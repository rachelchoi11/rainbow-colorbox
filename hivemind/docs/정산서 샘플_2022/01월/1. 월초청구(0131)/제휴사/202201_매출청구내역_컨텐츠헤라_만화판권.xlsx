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제휴사\"/>
    </mc:Choice>
  </mc:AlternateContent>
  <bookViews>
    <workbookView xWindow="-6828" yWindow="-192" windowWidth="23040" windowHeight="8952" tabRatio="846"/>
  </bookViews>
  <sheets>
    <sheet name="합계" sheetId="44" r:id="rId1"/>
    <sheet name="카카오페이지 SW 1월" sheetId="48" r:id="rId2"/>
    <sheet name="카카오페이지(회귀) SW 1월" sheetId="49" r:id="rId3"/>
    <sheet name="카카오웹툰(동시연재)SW 1월" sheetId="50" r:id="rId4"/>
    <sheet name="네이버시리즈 SW 1월" sheetId="51" r:id="rId5"/>
    <sheet name="네이버(북미)SW 01월" sheetId="52" r:id="rId6"/>
    <sheet name="콰이칸(마딸)SW 01월" sheetId="53" r:id="rId7"/>
    <sheet name="콰이칸(옹주)SW 01월" sheetId="54" r:id="rId8"/>
    <sheet name="콰이칸(아파트)SW 01월" sheetId="55" r:id="rId9"/>
    <sheet name="태국코미코SW 01월" sheetId="56" r:id="rId10"/>
    <sheet name="태피툰SW 01월" sheetId="57" r:id="rId11"/>
    <sheet name="델리툰(프)SW 01월" sheetId="58" r:id="rId12"/>
    <sheet name="델리툰(독)SW 01월" sheetId="59" r:id="rId13"/>
    <sheet name="카카페(인니)SW 01월" sheetId="60" r:id="rId14"/>
    <sheet name="카카페_회귀(타파스)SW 01월" sheetId="63" r:id="rId15"/>
    <sheet name="코믹툰(베트남)SW 01월" sheetId="61" r:id="rId16"/>
    <sheet name="라라툰(글로벌)SW 01월" sheetId="62" r:id="rId17"/>
    <sheet name="네이버 11월" sheetId="46" r:id="rId18"/>
    <sheet name="엠유_11월" sheetId="20" r:id="rId19"/>
    <sheet name="미스터블루_11월" sheetId="25" r:id="rId20"/>
    <sheet name="원스토어_11월" sheetId="22" r:id="rId21"/>
    <sheet name="봄툰_11월" sheetId="28" r:id="rId22"/>
    <sheet name="리디_11월" sheetId="45" r:id="rId23"/>
    <sheet name="카카오페이지_11월" sheetId="41" r:id="rId24"/>
    <sheet name="레진_11월" sheetId="43" r:id="rId25"/>
    <sheet name="알라딘_11월" sheetId="47" r:id="rId26"/>
  </sheets>
  <definedNames>
    <definedName name="_xlnm._FilterDatabase" localSheetId="22" hidden="1">리디_11월!#REF!</definedName>
    <definedName name="_xlnm._FilterDatabase" localSheetId="2" hidden="1">'카카오페이지(회귀) SW 1월'!$A$1:$AP$29</definedName>
    <definedName name="_xlnm.Extract" localSheetId="2">'카카오페이지(회귀) SW 1월'!#REF!</definedName>
  </definedNames>
  <calcPr calcId="152511"/>
</workbook>
</file>

<file path=xl/calcChain.xml><?xml version="1.0" encoding="utf-8"?>
<calcChain xmlns="http://schemas.openxmlformats.org/spreadsheetml/2006/main">
  <c r="D32" i="44" l="1"/>
  <c r="D33" i="44"/>
  <c r="E26" i="44" l="1"/>
  <c r="F26" i="44" s="1"/>
  <c r="C5" i="63"/>
  <c r="C6" i="63" s="1"/>
  <c r="E27" i="44"/>
  <c r="E25" i="44"/>
  <c r="E24" i="44"/>
  <c r="E23" i="44"/>
  <c r="E22" i="44"/>
  <c r="E21" i="44"/>
  <c r="E20" i="44"/>
  <c r="E19" i="44"/>
  <c r="E18" i="44"/>
  <c r="C6" i="62"/>
  <c r="H28" i="61"/>
  <c r="L28" i="61" s="1"/>
  <c r="M28" i="61" s="1"/>
  <c r="N28" i="61" s="1"/>
  <c r="N29" i="61" s="1"/>
  <c r="N30" i="61" s="1"/>
  <c r="N31" i="61" s="1"/>
  <c r="N15" i="61"/>
  <c r="C6" i="61"/>
  <c r="M16" i="60"/>
  <c r="M15" i="60"/>
  <c r="C5" i="60"/>
  <c r="C6" i="60" s="1"/>
  <c r="G18" i="59"/>
  <c r="G15" i="59"/>
  <c r="C5" i="59"/>
  <c r="C7" i="59" s="1"/>
  <c r="H23" i="58"/>
  <c r="H22" i="58"/>
  <c r="H21" i="58"/>
  <c r="F18" i="58"/>
  <c r="H18" i="58" s="1"/>
  <c r="C8" i="58"/>
  <c r="G20" i="57"/>
  <c r="G19" i="57"/>
  <c r="E19" i="57"/>
  <c r="G18" i="57"/>
  <c r="E18" i="57"/>
  <c r="G17" i="57"/>
  <c r="E17" i="57"/>
  <c r="C6" i="57"/>
  <c r="C5" i="57"/>
  <c r="G40" i="56"/>
  <c r="F40" i="56"/>
  <c r="E40" i="56"/>
  <c r="D40" i="56"/>
  <c r="C40" i="56"/>
  <c r="H38" i="56"/>
  <c r="I38" i="56" s="1"/>
  <c r="I37" i="56"/>
  <c r="H37" i="56"/>
  <c r="H32" i="56"/>
  <c r="I32" i="56" s="1"/>
  <c r="I30" i="56"/>
  <c r="H30" i="56"/>
  <c r="H29" i="56"/>
  <c r="I29" i="56" s="1"/>
  <c r="J28" i="56" s="1"/>
  <c r="I28" i="56"/>
  <c r="H28" i="56"/>
  <c r="H27" i="56"/>
  <c r="I26" i="56"/>
  <c r="H26" i="56"/>
  <c r="I25" i="56"/>
  <c r="H25" i="56"/>
  <c r="C5" i="56"/>
  <c r="C7" i="56" s="1"/>
  <c r="D11" i="56" s="1"/>
  <c r="D128" i="55"/>
  <c r="D129" i="55" s="1"/>
  <c r="E129" i="55" s="1"/>
  <c r="E127" i="55"/>
  <c r="D104" i="55"/>
  <c r="D105" i="55" s="1"/>
  <c r="E105" i="55" s="1"/>
  <c r="E103" i="55"/>
  <c r="E80" i="55"/>
  <c r="D80" i="55"/>
  <c r="D81" i="55" s="1"/>
  <c r="E81" i="55" s="1"/>
  <c r="E79" i="55"/>
  <c r="D57" i="55"/>
  <c r="E7" i="55" s="1"/>
  <c r="D13" i="55" s="1"/>
  <c r="D14" i="55" s="1"/>
  <c r="D15" i="55" s="1"/>
  <c r="E56" i="55"/>
  <c r="D56" i="55"/>
  <c r="E55" i="55"/>
  <c r="D33" i="55"/>
  <c r="E33" i="55" s="1"/>
  <c r="D32" i="55"/>
  <c r="E32" i="55" s="1"/>
  <c r="E31" i="55"/>
  <c r="D12" i="55"/>
  <c r="D11" i="55"/>
  <c r="D7" i="55"/>
  <c r="C7" i="55"/>
  <c r="E332" i="54"/>
  <c r="E331" i="54"/>
  <c r="D331" i="54"/>
  <c r="E330" i="54"/>
  <c r="E329" i="54"/>
  <c r="E328" i="54"/>
  <c r="E327" i="54"/>
  <c r="D327" i="54"/>
  <c r="E326" i="54"/>
  <c r="E325" i="54"/>
  <c r="E324" i="54"/>
  <c r="E323" i="54"/>
  <c r="D322" i="54"/>
  <c r="E322" i="54" s="1"/>
  <c r="E321" i="54"/>
  <c r="E320" i="54"/>
  <c r="E314" i="54"/>
  <c r="E312" i="54"/>
  <c r="E311" i="54"/>
  <c r="E310" i="54"/>
  <c r="D309" i="54"/>
  <c r="E308" i="54"/>
  <c r="E307" i="54"/>
  <c r="E306" i="54"/>
  <c r="E305" i="54"/>
  <c r="E304" i="54"/>
  <c r="E303" i="54"/>
  <c r="E302" i="54"/>
  <c r="E296" i="54"/>
  <c r="E294" i="54"/>
  <c r="E293" i="54"/>
  <c r="E292" i="54"/>
  <c r="D291" i="54"/>
  <c r="D295" i="54" s="1"/>
  <c r="E290" i="54"/>
  <c r="E289" i="54"/>
  <c r="E288" i="54"/>
  <c r="E287" i="54"/>
  <c r="E286" i="54"/>
  <c r="E285" i="54"/>
  <c r="E284" i="54"/>
  <c r="E260" i="54"/>
  <c r="E258" i="54"/>
  <c r="E257" i="54"/>
  <c r="E256" i="54"/>
  <c r="E253" i="54"/>
  <c r="E252" i="54"/>
  <c r="E251" i="54"/>
  <c r="E250" i="54"/>
  <c r="D250" i="54"/>
  <c r="D254" i="54" s="1"/>
  <c r="E249" i="54"/>
  <c r="E248" i="54"/>
  <c r="E242" i="54"/>
  <c r="E240" i="54"/>
  <c r="E239" i="54"/>
  <c r="E238" i="54"/>
  <c r="D236" i="54"/>
  <c r="E235" i="54"/>
  <c r="E234" i="54"/>
  <c r="E233" i="54"/>
  <c r="D232" i="54"/>
  <c r="E232" i="54" s="1"/>
  <c r="E231" i="54"/>
  <c r="E230" i="54"/>
  <c r="E223" i="54"/>
  <c r="E221" i="54"/>
  <c r="E220" i="54"/>
  <c r="E219" i="54"/>
  <c r="E216" i="54"/>
  <c r="E215" i="54"/>
  <c r="E214" i="54"/>
  <c r="D213" i="54"/>
  <c r="E212" i="54"/>
  <c r="E211" i="54"/>
  <c r="E204" i="54"/>
  <c r="E202" i="54"/>
  <c r="E201" i="54"/>
  <c r="E200" i="54"/>
  <c r="D199" i="54"/>
  <c r="E199" i="54" s="1"/>
  <c r="E198" i="54"/>
  <c r="D198" i="54"/>
  <c r="E197" i="54"/>
  <c r="E196" i="54"/>
  <c r="E195" i="54"/>
  <c r="E194" i="54"/>
  <c r="D194" i="54"/>
  <c r="E193" i="54"/>
  <c r="E192" i="54"/>
  <c r="E185" i="54"/>
  <c r="D184" i="54"/>
  <c r="D186" i="54" s="1"/>
  <c r="E186" i="54" s="1"/>
  <c r="E183" i="54"/>
  <c r="E182" i="54"/>
  <c r="E181" i="54"/>
  <c r="D179" i="54"/>
  <c r="D180" i="54" s="1"/>
  <c r="E180" i="54" s="1"/>
  <c r="E178" i="54"/>
  <c r="E177" i="54"/>
  <c r="E176" i="54"/>
  <c r="E175" i="54"/>
  <c r="D175" i="54"/>
  <c r="E174" i="54"/>
  <c r="E173" i="54"/>
  <c r="E166" i="54"/>
  <c r="E164" i="54"/>
  <c r="E163" i="54"/>
  <c r="E162" i="54"/>
  <c r="E161" i="54"/>
  <c r="D161" i="54"/>
  <c r="D165" i="54" s="1"/>
  <c r="E165" i="54" s="1"/>
  <c r="D160" i="54"/>
  <c r="E160" i="54" s="1"/>
  <c r="E159" i="54"/>
  <c r="E158" i="54"/>
  <c r="E157" i="54"/>
  <c r="E156" i="54"/>
  <c r="E155" i="54"/>
  <c r="E154" i="54"/>
  <c r="E148" i="54"/>
  <c r="E145" i="54"/>
  <c r="E144" i="54"/>
  <c r="E143" i="54"/>
  <c r="D142" i="54"/>
  <c r="E142" i="54" s="1"/>
  <c r="E141" i="54"/>
  <c r="D141" i="54"/>
  <c r="E140" i="54"/>
  <c r="E139" i="54"/>
  <c r="E138" i="54"/>
  <c r="E137" i="54"/>
  <c r="D137" i="54"/>
  <c r="E136" i="54"/>
  <c r="E135" i="54"/>
  <c r="E126" i="54"/>
  <c r="E125" i="54"/>
  <c r="E124" i="54"/>
  <c r="D123" i="54"/>
  <c r="E122" i="54"/>
  <c r="D122" i="54"/>
  <c r="E121" i="54"/>
  <c r="E120" i="54"/>
  <c r="E119" i="54"/>
  <c r="E118" i="54"/>
  <c r="D118" i="54"/>
  <c r="E117" i="54"/>
  <c r="E116" i="54"/>
  <c r="E107" i="54"/>
  <c r="E106" i="54"/>
  <c r="E105" i="54"/>
  <c r="E103" i="54"/>
  <c r="D103" i="54"/>
  <c r="E102" i="54"/>
  <c r="E101" i="54"/>
  <c r="E100" i="54"/>
  <c r="E99" i="54"/>
  <c r="D99" i="54"/>
  <c r="E98" i="54"/>
  <c r="E97" i="54"/>
  <c r="E87" i="54"/>
  <c r="D85" i="54"/>
  <c r="E84" i="54"/>
  <c r="E83" i="54"/>
  <c r="E82" i="54"/>
  <c r="D81" i="54"/>
  <c r="E81" i="54" s="1"/>
  <c r="E80" i="54"/>
  <c r="E79" i="54"/>
  <c r="E70" i="54"/>
  <c r="D68" i="54"/>
  <c r="E67" i="54"/>
  <c r="E66" i="54"/>
  <c r="E65" i="54"/>
  <c r="E64" i="54"/>
  <c r="D64" i="54"/>
  <c r="E63" i="54"/>
  <c r="E62" i="54"/>
  <c r="E53" i="54"/>
  <c r="E50" i="54"/>
  <c r="E49" i="54"/>
  <c r="E48" i="54"/>
  <c r="D47" i="54"/>
  <c r="D51" i="54" s="1"/>
  <c r="E51" i="54" s="1"/>
  <c r="E46" i="54"/>
  <c r="E45" i="54"/>
  <c r="E38" i="54"/>
  <c r="E36" i="54"/>
  <c r="E33" i="54"/>
  <c r="E32" i="54"/>
  <c r="E31" i="54"/>
  <c r="D30" i="54"/>
  <c r="D34" i="54" s="1"/>
  <c r="E29" i="54"/>
  <c r="E28" i="54"/>
  <c r="D6" i="54"/>
  <c r="D5" i="54"/>
  <c r="D4" i="54"/>
  <c r="D7" i="54" s="1"/>
  <c r="D12" i="54" s="1"/>
  <c r="E693" i="53"/>
  <c r="D692" i="53"/>
  <c r="E692" i="53" s="1"/>
  <c r="E691" i="53"/>
  <c r="E690" i="53"/>
  <c r="E689" i="53"/>
  <c r="E688" i="53"/>
  <c r="D687" i="53"/>
  <c r="E687" i="53" s="1"/>
  <c r="E686" i="53"/>
  <c r="E685" i="53"/>
  <c r="E684" i="53"/>
  <c r="E683" i="53"/>
  <c r="E682" i="53"/>
  <c r="E681" i="53"/>
  <c r="D667" i="53"/>
  <c r="E667" i="53" s="1"/>
  <c r="E666" i="53"/>
  <c r="E665" i="53"/>
  <c r="D665" i="53"/>
  <c r="E664" i="53"/>
  <c r="E663" i="53"/>
  <c r="E662" i="53"/>
  <c r="E661" i="53"/>
  <c r="D660" i="53"/>
  <c r="E660" i="53" s="1"/>
  <c r="E659" i="53"/>
  <c r="E658" i="53"/>
  <c r="E657" i="53"/>
  <c r="E656" i="53"/>
  <c r="E655" i="53"/>
  <c r="E654" i="53"/>
  <c r="D650" i="53"/>
  <c r="E650" i="53" s="1"/>
  <c r="D648" i="53"/>
  <c r="D649" i="53" s="1"/>
  <c r="E649" i="53" s="1"/>
  <c r="E647" i="53"/>
  <c r="E646" i="53"/>
  <c r="E612" i="53"/>
  <c r="E610" i="53"/>
  <c r="E609" i="53"/>
  <c r="E608" i="53"/>
  <c r="E605" i="53"/>
  <c r="E604" i="53"/>
  <c r="E603" i="53"/>
  <c r="D602" i="53"/>
  <c r="E601" i="53"/>
  <c r="E600" i="53"/>
  <c r="D594" i="53"/>
  <c r="E593" i="53"/>
  <c r="E592" i="53"/>
  <c r="E585" i="53"/>
  <c r="E583" i="53"/>
  <c r="E582" i="53"/>
  <c r="E581" i="53"/>
  <c r="D580" i="53"/>
  <c r="E580" i="53" s="1"/>
  <c r="E579" i="53"/>
  <c r="D579" i="53"/>
  <c r="E578" i="53"/>
  <c r="E577" i="53"/>
  <c r="E576" i="53"/>
  <c r="E575" i="53"/>
  <c r="D575" i="53"/>
  <c r="E574" i="53"/>
  <c r="E573" i="53"/>
  <c r="D568" i="53"/>
  <c r="E568" i="53" s="1"/>
  <c r="E567" i="53"/>
  <c r="D567" i="53"/>
  <c r="D569" i="53" s="1"/>
  <c r="E569" i="53" s="1"/>
  <c r="E566" i="53"/>
  <c r="E565" i="53"/>
  <c r="E557" i="53"/>
  <c r="E555" i="53"/>
  <c r="E554" i="53"/>
  <c r="E553" i="53"/>
  <c r="D551" i="53"/>
  <c r="D552" i="53" s="1"/>
  <c r="E552" i="53" s="1"/>
  <c r="E550" i="53"/>
  <c r="E549" i="53"/>
  <c r="E548" i="53"/>
  <c r="E547" i="53"/>
  <c r="D547" i="53"/>
  <c r="E546" i="53"/>
  <c r="E545" i="53"/>
  <c r="D541" i="53"/>
  <c r="E541" i="53" s="1"/>
  <c r="D540" i="53"/>
  <c r="E540" i="53" s="1"/>
  <c r="E539" i="53"/>
  <c r="D539" i="53"/>
  <c r="E538" i="53"/>
  <c r="E537" i="53"/>
  <c r="E529" i="53"/>
  <c r="E527" i="53"/>
  <c r="E526" i="53"/>
  <c r="E525" i="53"/>
  <c r="D524" i="53"/>
  <c r="D528" i="53" s="1"/>
  <c r="E528" i="53" s="1"/>
  <c r="E522" i="53"/>
  <c r="E521" i="53"/>
  <c r="E520" i="53"/>
  <c r="E519" i="53"/>
  <c r="D519" i="53"/>
  <c r="D523" i="53" s="1"/>
  <c r="E523" i="53" s="1"/>
  <c r="E518" i="53"/>
  <c r="E517" i="53"/>
  <c r="E511" i="53"/>
  <c r="D511" i="53"/>
  <c r="E510" i="53"/>
  <c r="E509" i="53"/>
  <c r="E501" i="53"/>
  <c r="E499" i="53"/>
  <c r="E498" i="53"/>
  <c r="E497" i="53"/>
  <c r="E494" i="53"/>
  <c r="E493" i="53"/>
  <c r="E492" i="53"/>
  <c r="D491" i="53"/>
  <c r="E491" i="53" s="1"/>
  <c r="E490" i="53"/>
  <c r="E489" i="53"/>
  <c r="D485" i="53"/>
  <c r="E485" i="53" s="1"/>
  <c r="E484" i="53"/>
  <c r="D484" i="53"/>
  <c r="D483" i="53"/>
  <c r="E483" i="53" s="1"/>
  <c r="E482" i="53"/>
  <c r="E481" i="53"/>
  <c r="E473" i="53"/>
  <c r="E471" i="53"/>
  <c r="E470" i="53"/>
  <c r="E469" i="53"/>
  <c r="D468" i="53"/>
  <c r="E467" i="53"/>
  <c r="D467" i="53"/>
  <c r="E466" i="53"/>
  <c r="E465" i="53"/>
  <c r="E464" i="53"/>
  <c r="E463" i="53"/>
  <c r="D463" i="53"/>
  <c r="E462" i="53"/>
  <c r="E461" i="53"/>
  <c r="D456" i="53"/>
  <c r="E456" i="53" s="1"/>
  <c r="E455" i="53"/>
  <c r="D455" i="53"/>
  <c r="D457" i="53" s="1"/>
  <c r="E457" i="53" s="1"/>
  <c r="E454" i="53"/>
  <c r="E453" i="53"/>
  <c r="E445" i="53"/>
  <c r="E443" i="53"/>
  <c r="E442" i="53"/>
  <c r="E441" i="53"/>
  <c r="E438" i="53"/>
  <c r="E437" i="53"/>
  <c r="E436" i="53"/>
  <c r="E435" i="53"/>
  <c r="D435" i="53"/>
  <c r="D439" i="53" s="1"/>
  <c r="E434" i="53"/>
  <c r="E433" i="53"/>
  <c r="D428" i="53"/>
  <c r="E428" i="53" s="1"/>
  <c r="D427" i="53"/>
  <c r="E426" i="53"/>
  <c r="E425" i="53"/>
  <c r="E417" i="53"/>
  <c r="E415" i="53"/>
  <c r="E414" i="53"/>
  <c r="E413" i="53"/>
  <c r="D411" i="53"/>
  <c r="E410" i="53"/>
  <c r="E409" i="53"/>
  <c r="E408" i="53"/>
  <c r="D407" i="53"/>
  <c r="E407" i="53" s="1"/>
  <c r="E406" i="53"/>
  <c r="E405" i="53"/>
  <c r="D401" i="53"/>
  <c r="E401" i="53" s="1"/>
  <c r="E400" i="53"/>
  <c r="D399" i="53"/>
  <c r="D400" i="53" s="1"/>
  <c r="E398" i="53"/>
  <c r="E397" i="53"/>
  <c r="E389" i="53"/>
  <c r="E387" i="53"/>
  <c r="E386" i="53"/>
  <c r="E385" i="53"/>
  <c r="E382" i="53"/>
  <c r="E381" i="53"/>
  <c r="E380" i="53"/>
  <c r="D379" i="53"/>
  <c r="E378" i="53"/>
  <c r="E377" i="53"/>
  <c r="D371" i="53"/>
  <c r="E370" i="53"/>
  <c r="E369" i="53"/>
  <c r="D360" i="53"/>
  <c r="E359" i="53"/>
  <c r="E358" i="53"/>
  <c r="D357" i="53"/>
  <c r="E357" i="53" s="1"/>
  <c r="E356" i="53"/>
  <c r="D356" i="53"/>
  <c r="E355" i="53"/>
  <c r="E354" i="53"/>
  <c r="E353" i="53"/>
  <c r="E352" i="53"/>
  <c r="D352" i="53"/>
  <c r="E351" i="53"/>
  <c r="E350" i="53"/>
  <c r="D345" i="53"/>
  <c r="E345" i="53" s="1"/>
  <c r="E344" i="53"/>
  <c r="D344" i="53"/>
  <c r="E343" i="53"/>
  <c r="E342" i="53"/>
  <c r="E332" i="53"/>
  <c r="D330" i="53"/>
  <c r="E329" i="53"/>
  <c r="E328" i="53"/>
  <c r="E327" i="53"/>
  <c r="D326" i="53"/>
  <c r="E326" i="53" s="1"/>
  <c r="E325" i="53"/>
  <c r="E324" i="53"/>
  <c r="D318" i="53"/>
  <c r="D319" i="53" s="1"/>
  <c r="D320" i="53" s="1"/>
  <c r="E320" i="53" s="1"/>
  <c r="E317" i="53"/>
  <c r="E316" i="53"/>
  <c r="E306" i="53"/>
  <c r="D305" i="53"/>
  <c r="E305" i="53" s="1"/>
  <c r="E304" i="53"/>
  <c r="D304" i="53"/>
  <c r="E303" i="53"/>
  <c r="E302" i="53"/>
  <c r="E301" i="53"/>
  <c r="E300" i="53"/>
  <c r="D300" i="53"/>
  <c r="E299" i="53"/>
  <c r="E298" i="53"/>
  <c r="D293" i="53"/>
  <c r="E293" i="53" s="1"/>
  <c r="E292" i="53"/>
  <c r="D292" i="53"/>
  <c r="D294" i="53" s="1"/>
  <c r="E294" i="53" s="1"/>
  <c r="E291" i="53"/>
  <c r="E290" i="53"/>
  <c r="E280" i="53"/>
  <c r="E279" i="53"/>
  <c r="D279" i="53"/>
  <c r="D281" i="53" s="1"/>
  <c r="E277" i="53"/>
  <c r="E276" i="53"/>
  <c r="E275" i="53"/>
  <c r="E274" i="53"/>
  <c r="D274" i="53"/>
  <c r="D278" i="53" s="1"/>
  <c r="E278" i="53" s="1"/>
  <c r="E273" i="53"/>
  <c r="E272" i="53"/>
  <c r="D268" i="53"/>
  <c r="E268" i="53" s="1"/>
  <c r="E266" i="53"/>
  <c r="D266" i="53"/>
  <c r="D267" i="53" s="1"/>
  <c r="E267" i="53" s="1"/>
  <c r="E265" i="53"/>
  <c r="E264" i="53"/>
  <c r="D255" i="53"/>
  <c r="D256" i="53" s="1"/>
  <c r="E256" i="53" s="1"/>
  <c r="E254" i="53"/>
  <c r="D253" i="53"/>
  <c r="E253" i="53" s="1"/>
  <c r="E252" i="53"/>
  <c r="D252" i="53"/>
  <c r="E251" i="53"/>
  <c r="E250" i="53"/>
  <c r="E249" i="53"/>
  <c r="E248" i="53"/>
  <c r="D248" i="53"/>
  <c r="E247" i="53"/>
  <c r="E246" i="53"/>
  <c r="D241" i="53"/>
  <c r="E241" i="53" s="1"/>
  <c r="E240" i="53"/>
  <c r="D240" i="53"/>
  <c r="E239" i="53"/>
  <c r="E238" i="53"/>
  <c r="E228" i="53"/>
  <c r="E225" i="53"/>
  <c r="E224" i="53"/>
  <c r="E223" i="53"/>
  <c r="D222" i="53"/>
  <c r="E222" i="53" s="1"/>
  <c r="E221" i="53"/>
  <c r="E220" i="53"/>
  <c r="D214" i="53"/>
  <c r="E213" i="53"/>
  <c r="E212" i="53"/>
  <c r="E202" i="53"/>
  <c r="D201" i="53"/>
  <c r="E201" i="53" s="1"/>
  <c r="E200" i="53"/>
  <c r="D200" i="53"/>
  <c r="E199" i="53"/>
  <c r="E198" i="53"/>
  <c r="E197" i="53"/>
  <c r="E196" i="53"/>
  <c r="D196" i="53"/>
  <c r="E195" i="53"/>
  <c r="E194" i="53"/>
  <c r="D189" i="53"/>
  <c r="E189" i="53" s="1"/>
  <c r="E188" i="53"/>
  <c r="D188" i="53"/>
  <c r="E187" i="53"/>
  <c r="E186" i="53"/>
  <c r="E176" i="53"/>
  <c r="D175" i="53"/>
  <c r="D177" i="53" s="1"/>
  <c r="E173" i="53"/>
  <c r="E172" i="53"/>
  <c r="E171" i="53"/>
  <c r="D170" i="53"/>
  <c r="D174" i="53" s="1"/>
  <c r="E174" i="53" s="1"/>
  <c r="E169" i="53"/>
  <c r="E168" i="53"/>
  <c r="D164" i="53"/>
  <c r="E164" i="53" s="1"/>
  <c r="E162" i="53"/>
  <c r="D162" i="53"/>
  <c r="D163" i="53" s="1"/>
  <c r="E163" i="53" s="1"/>
  <c r="E161" i="53"/>
  <c r="E160" i="53"/>
  <c r="D153" i="53"/>
  <c r="E153" i="53" s="1"/>
  <c r="D151" i="53"/>
  <c r="D152" i="53" s="1"/>
  <c r="E152" i="53" s="1"/>
  <c r="E150" i="53"/>
  <c r="D149" i="53"/>
  <c r="E149" i="53" s="1"/>
  <c r="E148" i="53"/>
  <c r="D148" i="53"/>
  <c r="E147" i="53"/>
  <c r="E146" i="53"/>
  <c r="E145" i="53"/>
  <c r="E144" i="53"/>
  <c r="D144" i="53"/>
  <c r="E143" i="53"/>
  <c r="E142" i="53"/>
  <c r="D137" i="53"/>
  <c r="E137" i="53" s="1"/>
  <c r="E136" i="53"/>
  <c r="D136" i="53"/>
  <c r="E135" i="53"/>
  <c r="E134" i="53"/>
  <c r="E124" i="53"/>
  <c r="E121" i="53"/>
  <c r="E120" i="53"/>
  <c r="E119" i="53"/>
  <c r="D118" i="53"/>
  <c r="E118" i="53" s="1"/>
  <c r="E117" i="53"/>
  <c r="E116" i="53"/>
  <c r="D110" i="53"/>
  <c r="E109" i="53"/>
  <c r="E108" i="53"/>
  <c r="E98" i="53"/>
  <c r="D97" i="53"/>
  <c r="E97" i="53" s="1"/>
  <c r="E96" i="53"/>
  <c r="D96" i="53"/>
  <c r="E95" i="53"/>
  <c r="E94" i="53"/>
  <c r="E93" i="53"/>
  <c r="E92" i="53"/>
  <c r="D92" i="53"/>
  <c r="E91" i="53"/>
  <c r="E90" i="53"/>
  <c r="D85" i="53"/>
  <c r="E85" i="53" s="1"/>
  <c r="E84" i="53"/>
  <c r="D84" i="53"/>
  <c r="D86" i="53" s="1"/>
  <c r="E86" i="53" s="1"/>
  <c r="E83" i="53"/>
  <c r="E82" i="53"/>
  <c r="E73" i="53"/>
  <c r="D72" i="53"/>
  <c r="D74" i="53" s="1"/>
  <c r="E70" i="53"/>
  <c r="E69" i="53"/>
  <c r="E68" i="53"/>
  <c r="E67" i="53"/>
  <c r="D67" i="53"/>
  <c r="D71" i="53" s="1"/>
  <c r="E71" i="53" s="1"/>
  <c r="E66" i="53"/>
  <c r="E65" i="53"/>
  <c r="D61" i="53"/>
  <c r="E61" i="53" s="1"/>
  <c r="E59" i="53"/>
  <c r="D59" i="53"/>
  <c r="D60" i="53" s="1"/>
  <c r="E60" i="53" s="1"/>
  <c r="E58" i="53"/>
  <c r="E57" i="53"/>
  <c r="E47" i="53"/>
  <c r="D45" i="53"/>
  <c r="D46" i="53" s="1"/>
  <c r="E46" i="53" s="1"/>
  <c r="E44" i="53"/>
  <c r="E43" i="53"/>
  <c r="E42" i="53"/>
  <c r="E41" i="53"/>
  <c r="D41" i="53"/>
  <c r="E40" i="53"/>
  <c r="E39" i="53"/>
  <c r="E35" i="53"/>
  <c r="E34" i="53"/>
  <c r="D34" i="53"/>
  <c r="E33" i="53"/>
  <c r="D33" i="53"/>
  <c r="D35" i="53" s="1"/>
  <c r="E32" i="53"/>
  <c r="E31" i="53"/>
  <c r="E7" i="53"/>
  <c r="D7" i="53"/>
  <c r="C7" i="53"/>
  <c r="D6" i="53"/>
  <c r="E5" i="53"/>
  <c r="D5" i="53"/>
  <c r="C5" i="53"/>
  <c r="E4" i="53"/>
  <c r="D4" i="53"/>
  <c r="D8" i="53" s="1"/>
  <c r="D14" i="53" s="1"/>
  <c r="C4" i="53"/>
  <c r="D12" i="53" s="1"/>
  <c r="C20" i="52"/>
  <c r="C7" i="52"/>
  <c r="C5" i="52"/>
  <c r="G26" i="44" l="1"/>
  <c r="D13" i="56"/>
  <c r="D14" i="56" s="1"/>
  <c r="D12" i="56"/>
  <c r="D412" i="53"/>
  <c r="E411" i="53"/>
  <c r="D127" i="54"/>
  <c r="E123" i="54"/>
  <c r="D313" i="54"/>
  <c r="E309" i="54"/>
  <c r="H40" i="56"/>
  <c r="I27" i="56"/>
  <c r="E175" i="53"/>
  <c r="E319" i="53"/>
  <c r="D346" i="53"/>
  <c r="E346" i="53" s="1"/>
  <c r="D362" i="53"/>
  <c r="E362" i="53" s="1"/>
  <c r="D361" i="53"/>
  <c r="E361" i="53" s="1"/>
  <c r="E360" i="53"/>
  <c r="D429" i="53"/>
  <c r="E429" i="53" s="1"/>
  <c r="D530" i="53"/>
  <c r="E530" i="53" s="1"/>
  <c r="E47" i="54"/>
  <c r="E68" i="54"/>
  <c r="E184" i="54"/>
  <c r="E295" i="54"/>
  <c r="C4" i="54"/>
  <c r="E45" i="53"/>
  <c r="D99" i="53"/>
  <c r="D122" i="53"/>
  <c r="D138" i="53"/>
  <c r="E138" i="53" s="1"/>
  <c r="E151" i="53"/>
  <c r="D307" i="53"/>
  <c r="D331" i="53"/>
  <c r="E330" i="53"/>
  <c r="E427" i="53"/>
  <c r="D513" i="53"/>
  <c r="E513" i="53" s="1"/>
  <c r="D512" i="53"/>
  <c r="E512" i="53" s="1"/>
  <c r="E551" i="53"/>
  <c r="D606" i="53"/>
  <c r="E602" i="53"/>
  <c r="D167" i="54"/>
  <c r="E167" i="54" s="1"/>
  <c r="E291" i="54"/>
  <c r="D333" i="54"/>
  <c r="C6" i="54"/>
  <c r="D111" i="53"/>
  <c r="E111" i="53" s="1"/>
  <c r="E110" i="53"/>
  <c r="E170" i="53"/>
  <c r="D215" i="53"/>
  <c r="E215" i="53" s="1"/>
  <c r="E214" i="53"/>
  <c r="D283" i="53"/>
  <c r="E283" i="53" s="1"/>
  <c r="E281" i="53"/>
  <c r="D372" i="53"/>
  <c r="E372" i="53" s="1"/>
  <c r="E371" i="53"/>
  <c r="E524" i="53"/>
  <c r="E179" i="54"/>
  <c r="E177" i="53"/>
  <c r="C6" i="53"/>
  <c r="D694" i="53"/>
  <c r="D472" i="53"/>
  <c r="E468" i="53"/>
  <c r="D217" i="54"/>
  <c r="E213" i="54"/>
  <c r="E74" i="53"/>
  <c r="E72" i="53"/>
  <c r="D35" i="54"/>
  <c r="E34" i="54"/>
  <c r="E85" i="54"/>
  <c r="I40" i="56"/>
  <c r="D203" i="53"/>
  <c r="D216" i="53"/>
  <c r="E216" i="53" s="1"/>
  <c r="D226" i="53"/>
  <c r="D242" i="53"/>
  <c r="E242" i="53" s="1"/>
  <c r="E255" i="53"/>
  <c r="D440" i="53"/>
  <c r="E439" i="53"/>
  <c r="D556" i="53"/>
  <c r="E30" i="54"/>
  <c r="D237" i="54"/>
  <c r="E236" i="54"/>
  <c r="D178" i="53"/>
  <c r="E178" i="53" s="1"/>
  <c r="D48" i="53"/>
  <c r="D75" i="53"/>
  <c r="E75" i="53" s="1"/>
  <c r="D190" i="53"/>
  <c r="E190" i="53" s="1"/>
  <c r="D257" i="53"/>
  <c r="E257" i="53" s="1"/>
  <c r="D282" i="53"/>
  <c r="E282" i="53" s="1"/>
  <c r="D383" i="53"/>
  <c r="E379" i="53"/>
  <c r="D596" i="53"/>
  <c r="E596" i="53" s="1"/>
  <c r="D595" i="53"/>
  <c r="E595" i="53" s="1"/>
  <c r="E594" i="53"/>
  <c r="D255" i="54"/>
  <c r="E254" i="54"/>
  <c r="D297" i="54"/>
  <c r="D495" i="53"/>
  <c r="D584" i="53"/>
  <c r="D146" i="54"/>
  <c r="D203" i="54"/>
  <c r="E128" i="55"/>
  <c r="E318" i="53"/>
  <c r="E399" i="53"/>
  <c r="E648" i="53"/>
  <c r="E57" i="55"/>
  <c r="E104" i="55"/>
  <c r="J25" i="56"/>
  <c r="D259" i="54" l="1"/>
  <c r="E255" i="54"/>
  <c r="D179" i="53"/>
  <c r="E179" i="53" s="1"/>
  <c r="D333" i="53"/>
  <c r="E331" i="53"/>
  <c r="D444" i="53"/>
  <c r="E440" i="53"/>
  <c r="D308" i="53"/>
  <c r="E308" i="53" s="1"/>
  <c r="E307" i="53"/>
  <c r="D128" i="54"/>
  <c r="E128" i="54" s="1"/>
  <c r="E127" i="54"/>
  <c r="D205" i="54"/>
  <c r="E205" i="54" s="1"/>
  <c r="E203" i="54"/>
  <c r="D49" i="53"/>
  <c r="E49" i="53" s="1"/>
  <c r="E48" i="53"/>
  <c r="E217" i="54"/>
  <c r="D218" i="54"/>
  <c r="D607" i="53"/>
  <c r="E606" i="53"/>
  <c r="D37" i="54"/>
  <c r="E35" i="54"/>
  <c r="D123" i="53"/>
  <c r="E122" i="53"/>
  <c r="D147" i="54"/>
  <c r="E147" i="54" s="1"/>
  <c r="E146" i="54"/>
  <c r="E412" i="53"/>
  <c r="D416" i="53"/>
  <c r="D586" i="53"/>
  <c r="E586" i="53" s="1"/>
  <c r="E584" i="53"/>
  <c r="D227" i="53"/>
  <c r="E226" i="53"/>
  <c r="D474" i="53"/>
  <c r="E474" i="53" s="1"/>
  <c r="E472" i="53"/>
  <c r="D496" i="53"/>
  <c r="E495" i="53"/>
  <c r="E383" i="53"/>
  <c r="D384" i="53"/>
  <c r="E237" i="54"/>
  <c r="D241" i="54"/>
  <c r="E694" i="53"/>
  <c r="E6" i="53"/>
  <c r="E8" i="53" s="1"/>
  <c r="D15" i="53" s="1"/>
  <c r="D16" i="53" s="1"/>
  <c r="D17" i="53" s="1"/>
  <c r="D373" i="53"/>
  <c r="E373" i="53" s="1"/>
  <c r="D100" i="53"/>
  <c r="E100" i="53" s="1"/>
  <c r="E99" i="53"/>
  <c r="D101" i="53"/>
  <c r="E101" i="53" s="1"/>
  <c r="E4" i="54"/>
  <c r="E297" i="54"/>
  <c r="D204" i="53"/>
  <c r="E204" i="53" s="1"/>
  <c r="E203" i="53"/>
  <c r="D205" i="53"/>
  <c r="E205" i="53" s="1"/>
  <c r="D13" i="53"/>
  <c r="C8" i="53"/>
  <c r="E6" i="54"/>
  <c r="E333" i="54"/>
  <c r="D558" i="53"/>
  <c r="E558" i="53" s="1"/>
  <c r="E556" i="53"/>
  <c r="D76" i="53"/>
  <c r="E76" i="53" s="1"/>
  <c r="E313" i="54"/>
  <c r="D315" i="54"/>
  <c r="C5" i="54"/>
  <c r="C7" i="54" s="1"/>
  <c r="D11" i="54" s="1"/>
  <c r="D112" i="53"/>
  <c r="E112" i="53" s="1"/>
  <c r="D125" i="53" l="1"/>
  <c r="E123" i="53"/>
  <c r="D388" i="53"/>
  <c r="E384" i="53"/>
  <c r="E315" i="54"/>
  <c r="E5" i="54"/>
  <c r="E7" i="54" s="1"/>
  <c r="D13" i="54" s="1"/>
  <c r="D14" i="54" s="1"/>
  <c r="D15" i="54" s="1"/>
  <c r="D39" i="54"/>
  <c r="E39" i="54" s="1"/>
  <c r="E37" i="54"/>
  <c r="D52" i="54"/>
  <c r="D418" i="53"/>
  <c r="E418" i="53" s="1"/>
  <c r="E416" i="53"/>
  <c r="D446" i="53"/>
  <c r="E446" i="53" s="1"/>
  <c r="E444" i="53"/>
  <c r="D222" i="54"/>
  <c r="E218" i="54"/>
  <c r="D334" i="53"/>
  <c r="E334" i="53" s="1"/>
  <c r="E333" i="53"/>
  <c r="D229" i="53"/>
  <c r="E227" i="53"/>
  <c r="E496" i="53"/>
  <c r="D500" i="53"/>
  <c r="D611" i="53"/>
  <c r="E607" i="53"/>
  <c r="D129" i="54"/>
  <c r="E129" i="54" s="1"/>
  <c r="D243" i="54"/>
  <c r="E243" i="54" s="1"/>
  <c r="E241" i="54"/>
  <c r="D309" i="53"/>
  <c r="E309" i="53" s="1"/>
  <c r="D50" i="53"/>
  <c r="E50" i="53" s="1"/>
  <c r="D261" i="54"/>
  <c r="E261" i="54" s="1"/>
  <c r="E259" i="54"/>
  <c r="E222" i="54" l="1"/>
  <c r="D224" i="54"/>
  <c r="E224" i="54" s="1"/>
  <c r="D502" i="53"/>
  <c r="E502" i="53" s="1"/>
  <c r="E500" i="53"/>
  <c r="D230" i="53"/>
  <c r="E230" i="53" s="1"/>
  <c r="E229" i="53"/>
  <c r="E388" i="53"/>
  <c r="D390" i="53"/>
  <c r="E390" i="53" s="1"/>
  <c r="D54" i="54"/>
  <c r="E52" i="54"/>
  <c r="E125" i="53"/>
  <c r="D126" i="53"/>
  <c r="E126" i="53" s="1"/>
  <c r="E611" i="53"/>
  <c r="D613" i="53"/>
  <c r="E613" i="53" s="1"/>
  <c r="D335" i="53"/>
  <c r="E335" i="53" s="1"/>
  <c r="D231" i="53" l="1"/>
  <c r="E231" i="53" s="1"/>
  <c r="D127" i="53"/>
  <c r="E127" i="53" s="1"/>
  <c r="D55" i="54"/>
  <c r="E55" i="54" s="1"/>
  <c r="E54" i="54"/>
  <c r="D69" i="54"/>
  <c r="D71" i="54" l="1"/>
  <c r="E69" i="54"/>
  <c r="D56" i="54"/>
  <c r="E56" i="54" s="1"/>
  <c r="D72" i="54" l="1"/>
  <c r="E72" i="54" s="1"/>
  <c r="E71" i="54"/>
  <c r="D73" i="54"/>
  <c r="E73" i="54" s="1"/>
  <c r="D86" i="54"/>
  <c r="D89" i="54" l="1"/>
  <c r="E86" i="54"/>
  <c r="D104" i="54" l="1"/>
  <c r="E89" i="54"/>
  <c r="D90" i="54"/>
  <c r="E90" i="54" s="1"/>
  <c r="D91" i="54" l="1"/>
  <c r="E91" i="54" s="1"/>
  <c r="E104" i="54"/>
  <c r="D108" i="54"/>
  <c r="D109" i="54" l="1"/>
  <c r="E109" i="54" s="1"/>
  <c r="E108" i="54"/>
  <c r="D110" i="54" l="1"/>
  <c r="E110" i="54" s="1"/>
  <c r="E17" i="44" l="1"/>
  <c r="E16" i="44"/>
  <c r="G16" i="44" s="1"/>
  <c r="E15" i="44"/>
  <c r="E14" i="44"/>
  <c r="AW16" i="51"/>
  <c r="F16" i="44" l="1"/>
  <c r="AV6" i="51"/>
  <c r="AW6" i="51" s="1"/>
  <c r="AV5" i="51"/>
  <c r="AW5" i="51" s="1"/>
  <c r="AV4" i="51"/>
  <c r="AW4" i="51" s="1"/>
  <c r="AV3" i="51"/>
  <c r="AW3" i="51" s="1"/>
  <c r="AV2" i="51"/>
  <c r="AW2" i="51" s="1"/>
  <c r="C16" i="49" l="1"/>
  <c r="B16" i="49"/>
  <c r="C14" i="49" l="1"/>
  <c r="C13" i="49"/>
  <c r="C12" i="49"/>
  <c r="AP10" i="49"/>
  <c r="AP18" i="48"/>
  <c r="AP10" i="48"/>
  <c r="AD10" i="48"/>
  <c r="B23" i="49" l="1"/>
  <c r="C15" i="49"/>
  <c r="C23" i="49" s="1"/>
  <c r="F9" i="44" l="1"/>
  <c r="G9" i="44"/>
  <c r="F12" i="44"/>
  <c r="G12" i="44"/>
  <c r="F14" i="44"/>
  <c r="G14" i="44"/>
  <c r="F15" i="44"/>
  <c r="G15" i="44"/>
  <c r="F17" i="44"/>
  <c r="G17" i="44"/>
  <c r="F18" i="44"/>
  <c r="G18" i="44"/>
  <c r="F19" i="44"/>
  <c r="G19" i="44"/>
  <c r="F20" i="44"/>
  <c r="G20" i="44"/>
  <c r="F21" i="44"/>
  <c r="G21" i="44"/>
  <c r="F22" i="44"/>
  <c r="G22" i="44"/>
  <c r="F23" i="44"/>
  <c r="G23" i="44"/>
  <c r="F24" i="44"/>
  <c r="G24" i="44"/>
  <c r="F25" i="44"/>
  <c r="G25" i="44"/>
  <c r="F27" i="44"/>
  <c r="G27" i="44"/>
  <c r="AQ14" i="45"/>
  <c r="O14" i="45"/>
  <c r="C10" i="44" s="1"/>
  <c r="L14" i="45"/>
  <c r="F5" i="47"/>
  <c r="C13" i="44" s="1"/>
  <c r="G5" i="47"/>
  <c r="L4" i="47"/>
  <c r="L3" i="47"/>
  <c r="L2" i="47"/>
  <c r="AD4" i="22" l="1"/>
  <c r="W4" i="22"/>
  <c r="C8" i="44" s="1"/>
  <c r="AK9" i="25"/>
  <c r="AJ9" i="25"/>
  <c r="C7" i="44" s="1"/>
  <c r="AT8" i="46"/>
  <c r="C5" i="44" s="1"/>
  <c r="K48" i="44"/>
  <c r="K35" i="44" l="1"/>
  <c r="K22" i="44"/>
  <c r="K9" i="44"/>
  <c r="D19" i="44" l="1"/>
  <c r="D22" i="44"/>
  <c r="D24" i="44"/>
  <c r="C28" i="44" l="1"/>
  <c r="K5" i="44" l="1"/>
  <c r="K4" i="44"/>
  <c r="K50" i="44" s="1"/>
  <c r="E33" i="44" l="1"/>
  <c r="E34" i="44" s="1"/>
  <c r="F33" i="44" l="1"/>
  <c r="D12" i="44" l="1"/>
  <c r="E11" i="44" l="1"/>
  <c r="F11" i="44" l="1"/>
  <c r="G11" i="44"/>
  <c r="D11" i="44"/>
  <c r="D7" i="44"/>
  <c r="D8" i="44"/>
  <c r="D10" i="44" l="1"/>
  <c r="E10" i="44" s="1"/>
  <c r="F10" i="44" l="1"/>
  <c r="G10" i="44"/>
  <c r="D13" i="44"/>
  <c r="E13" i="44" l="1"/>
  <c r="F13" i="44" l="1"/>
  <c r="G13" i="44"/>
  <c r="E8" i="44"/>
  <c r="F8" i="44" l="1"/>
  <c r="G8" i="44"/>
  <c r="D6" i="44"/>
  <c r="E7" i="44"/>
  <c r="D5" i="44"/>
  <c r="F7" i="44" l="1"/>
  <c r="G7" i="44"/>
  <c r="D28" i="44"/>
  <c r="E5" i="44"/>
  <c r="E6" i="44"/>
  <c r="G6" i="44" l="1"/>
  <c r="F6" i="44"/>
  <c r="G5" i="44"/>
  <c r="F5" i="44"/>
  <c r="E28" i="44"/>
  <c r="D31" i="44" s="1"/>
  <c r="F28" i="44" l="1"/>
  <c r="G28" i="44"/>
  <c r="F31" i="44"/>
  <c r="D34" i="44" l="1"/>
  <c r="F34" i="44" s="1"/>
  <c r="F32" i="44" l="1"/>
</calcChain>
</file>

<file path=xl/comments1.xml><?xml version="1.0" encoding="utf-8"?>
<comments xmlns="http://schemas.openxmlformats.org/spreadsheetml/2006/main">
  <authors>
    <author>soojeoung choi</author>
  </authors>
  <commentList>
    <comment ref="E2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0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38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46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55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6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64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80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81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8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97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106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07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115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23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132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33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141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158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59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167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75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184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85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193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01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210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11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21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27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236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37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245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53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262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63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271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79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288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89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297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314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15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323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31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E340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41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34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57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359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367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68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376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84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386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387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395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96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404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412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414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415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423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424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432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440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442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443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451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452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460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468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470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471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47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480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488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496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498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499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507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08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516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24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526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527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535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36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544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52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554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555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563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64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572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80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582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583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590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91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59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607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609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610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617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618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626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634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636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637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644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645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653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661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663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664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671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672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680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688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690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691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698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699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707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715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717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718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soojeoung choi</author>
  </authors>
  <commentList>
    <comment ref="C107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126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C145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153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64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172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83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191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02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210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21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22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40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247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58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265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76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283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94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301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12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31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330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</commentList>
</comments>
</file>

<file path=xl/comments3.xml><?xml version="1.0" encoding="utf-8"?>
<comments xmlns="http://schemas.openxmlformats.org/spreadsheetml/2006/main">
  <authors>
    <author>soojeoung choi</author>
  </authors>
  <commentList>
    <comment ref="E27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28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44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51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52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C65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67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68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75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76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C89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91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92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99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00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C113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115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116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123" authorId="0" shapeId="0">
      <text>
        <r>
          <rPr>
            <b/>
            <sz val="9"/>
            <color indexed="81"/>
            <rFont val="돋움"/>
            <family val="3"/>
            <charset val="129"/>
          </rPr>
          <t>기준환율</t>
        </r>
        <r>
          <rPr>
            <b/>
            <sz val="9"/>
            <color indexed="81"/>
            <rFont val="Tahoma"/>
            <family val="2"/>
          </rPr>
          <t xml:space="preserve"> 180
</t>
        </r>
      </text>
    </comment>
    <comment ref="C124" authorId="0" shapeId="0">
      <text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C137" authorId="0" shapeId="0">
      <text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*50%)-MG
</t>
        </r>
      </text>
    </comment>
    <comment ref="C139" authorId="0" shapeId="0">
      <text>
        <r>
          <rPr>
            <b/>
            <sz val="9"/>
            <color indexed="81"/>
            <rFont val="Tahoma"/>
            <family val="2"/>
          </rPr>
          <t>2020.11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140" authorId="0" shape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>(MG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>
  <authors>
    <author>soojeoung choi</author>
  </authors>
  <commentList>
    <comment ref="K2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스토리위즈 인보이스 발행일 기준
</t>
        </r>
      </text>
    </comment>
  </commentList>
</comments>
</file>

<file path=xl/comments5.xml><?xml version="1.0" encoding="utf-8"?>
<comments xmlns="http://schemas.openxmlformats.org/spreadsheetml/2006/main">
  <authors>
    <author>soojeoung choi</author>
  </authors>
  <commentList>
    <comment ref="H14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세금계산서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comments6.xml><?xml version="1.0" encoding="utf-8"?>
<comments xmlns="http://schemas.openxmlformats.org/spreadsheetml/2006/main">
  <authors>
    <author>soojeoung choi</author>
  </authors>
  <commentList>
    <comment ref="B16" authorId="0" shapeId="0">
      <text>
        <r>
          <rPr>
            <b/>
            <sz val="9"/>
            <color indexed="81"/>
            <rFont val="돋움"/>
            <family val="3"/>
            <charset val="129"/>
          </rPr>
          <t>매출월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J16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세금계산서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B35" authorId="0" shapeId="0">
      <text>
        <r>
          <rPr>
            <b/>
            <sz val="9"/>
            <color indexed="81"/>
            <rFont val="돋움"/>
            <family val="3"/>
            <charset val="129"/>
          </rPr>
          <t>매출월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J35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세금계산서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comments7.xml><?xml version="1.0" encoding="utf-8"?>
<comments xmlns="http://schemas.openxmlformats.org/spreadsheetml/2006/main">
  <authors>
    <author>soojeoung choi</author>
  </authors>
  <commentList>
    <comment ref="B14" authorId="0" shapeId="0">
      <text>
        <r>
          <rPr>
            <b/>
            <sz val="9"/>
            <color indexed="81"/>
            <rFont val="돋움"/>
            <family val="3"/>
            <charset val="129"/>
          </rPr>
          <t>매출월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J14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세금계산서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B29" authorId="0" shapeId="0">
      <text>
        <r>
          <rPr>
            <b/>
            <sz val="9"/>
            <color indexed="81"/>
            <rFont val="돋움"/>
            <family val="3"/>
            <charset val="129"/>
          </rPr>
          <t>매출월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J29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세금계산서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comments8.xml><?xml version="1.0" encoding="utf-8"?>
<comments xmlns="http://schemas.openxmlformats.org/spreadsheetml/2006/main">
  <authors>
    <author>soojeoung choi</author>
  </authors>
  <commentList>
    <comment ref="B14" authorId="0" shapeId="0">
      <text>
        <r>
          <rPr>
            <b/>
            <sz val="9"/>
            <color indexed="81"/>
            <rFont val="돋움"/>
            <family val="3"/>
            <charset val="129"/>
          </rPr>
          <t>매출월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N14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세금계산서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comments9.xml><?xml version="1.0" encoding="utf-8"?>
<comments xmlns="http://schemas.openxmlformats.org/spreadsheetml/2006/main">
  <authors>
    <author>soojeoung choi</author>
  </authors>
  <commentList>
    <comment ref="B13" authorId="0" shapeId="0">
      <text>
        <r>
          <rPr>
            <b/>
            <sz val="9"/>
            <color indexed="81"/>
            <rFont val="돋움"/>
            <family val="3"/>
            <charset val="129"/>
          </rPr>
          <t>매출월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N13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세금계산서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sharedStrings.xml><?xml version="1.0" encoding="utf-8"?>
<sst xmlns="http://schemas.openxmlformats.org/spreadsheetml/2006/main" count="3050" uniqueCount="1124">
  <si>
    <t>합계</t>
  </si>
  <si>
    <t>출판사</t>
  </si>
  <si>
    <t>컨텐츠 헤라_만화</t>
  </si>
  <si>
    <t>컨텐츠</t>
  </si>
  <si>
    <t>CP명</t>
  </si>
  <si>
    <t>건수</t>
  </si>
  <si>
    <t>컨텐츠No</t>
  </si>
  <si>
    <t>나이제한</t>
  </si>
  <si>
    <t>서비스일</t>
  </si>
  <si>
    <t>19세 이상 이용가능</t>
  </si>
  <si>
    <t>종량</t>
  </si>
  <si>
    <t>매출액</t>
  </si>
  <si>
    <t>정산액</t>
  </si>
  <si>
    <t>계</t>
  </si>
  <si>
    <t>이용권(화)수</t>
  </si>
  <si>
    <t>서울비주얼웍스(컨텐츠헤라제공)</t>
  </si>
  <si>
    <t/>
  </si>
  <si>
    <t>만화</t>
  </si>
  <si>
    <t>쿠키로 대여</t>
  </si>
  <si>
    <t>쿠키로 구매</t>
  </si>
  <si>
    <t>작가명</t>
  </si>
  <si>
    <t>i쿠키로 대여</t>
  </si>
  <si>
    <t>i쿠키로 구매</t>
  </si>
  <si>
    <t>유상</t>
  </si>
  <si>
    <t>무상</t>
  </si>
  <si>
    <t>일  자</t>
  </si>
  <si>
    <t>작품명</t>
  </si>
  <si>
    <t>코드</t>
  </si>
  <si>
    <t>소  계</t>
  </si>
  <si>
    <t>공급자코드</t>
  </si>
  <si>
    <t>무라오 미오</t>
  </si>
  <si>
    <t>1부 5처 ~내가 인기 있는 이유~</t>
  </si>
  <si>
    <t>2018.09.06</t>
  </si>
  <si>
    <t>CROSS and CRIME (크로스 앤드 크라임)</t>
  </si>
  <si>
    <t>하츠키 쿄</t>
  </si>
  <si>
    <t>시리즈명</t>
  </si>
  <si>
    <t>대여권</t>
  </si>
  <si>
    <t>소장권</t>
  </si>
  <si>
    <t>i쿠키 수수료</t>
  </si>
  <si>
    <t>비정산</t>
  </si>
  <si>
    <t>무료이용권</t>
  </si>
  <si>
    <t>유상쿠키</t>
  </si>
  <si>
    <t>무상쿠키</t>
  </si>
  <si>
    <t>유상i쿠키</t>
  </si>
  <si>
    <t>무상i쿠키</t>
  </si>
  <si>
    <t>제목</t>
  </si>
  <si>
    <t>권/화수</t>
  </si>
  <si>
    <t>저자</t>
  </si>
  <si>
    <t>역자</t>
  </si>
  <si>
    <t>그림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</si>
  <si>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</si>
  <si>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</si>
  <si>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</si>
  <si>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</si>
  <si>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</si>
  <si>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</si>
  <si>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</si>
  <si>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</si>
  <si>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</si>
  <si>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</si>
  <si>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</si>
  <si>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</si>
  <si>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</si>
  <si>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사이트명</t>
  </si>
  <si>
    <t xml:space="preserve">소비자매출액 </t>
  </si>
  <si>
    <t>유통사수수료</t>
  </si>
  <si>
    <t>컨텐츠헤라 수익</t>
  </si>
  <si>
    <t>비고</t>
  </si>
  <si>
    <t>선지급금</t>
  </si>
  <si>
    <t>목표 프로젝트 수익</t>
  </si>
  <si>
    <t>2018. 11</t>
  </si>
  <si>
    <t>2018. 12</t>
  </si>
  <si>
    <t>2018년 합계</t>
  </si>
  <si>
    <t>2019. 01</t>
  </si>
  <si>
    <t>2019. 02</t>
  </si>
  <si>
    <t>2019. 03</t>
  </si>
  <si>
    <t>2019. 06</t>
  </si>
  <si>
    <t>2019. 07</t>
  </si>
  <si>
    <t>2019. 08</t>
  </si>
  <si>
    <t>2019. 09</t>
  </si>
  <si>
    <t>2019. 10</t>
  </si>
  <si>
    <t>2019. 11</t>
  </si>
  <si>
    <t>2019년 합계</t>
  </si>
  <si>
    <t>2020. 01</t>
  </si>
  <si>
    <t>2020. 02</t>
  </si>
  <si>
    <t>2020. 03</t>
  </si>
  <si>
    <t>2020. 04</t>
  </si>
  <si>
    <t>2020. 05</t>
  </si>
  <si>
    <t>2020. 06</t>
  </si>
  <si>
    <t>2020. 07</t>
  </si>
  <si>
    <t>2020. 08</t>
  </si>
  <si>
    <t>2020. 09</t>
  </si>
  <si>
    <t>2020. 10</t>
  </si>
  <si>
    <t>2020. 11</t>
  </si>
  <si>
    <t>2020. 12</t>
  </si>
  <si>
    <t>2020년 합계</t>
  </si>
  <si>
    <t>잔여 선지급금</t>
  </si>
  <si>
    <t>I.앱머니</t>
  </si>
  <si>
    <t>권별 대여</t>
  </si>
  <si>
    <t>권별 소장</t>
  </si>
  <si>
    <t>전권 대여</t>
  </si>
  <si>
    <t>전권 소장</t>
  </si>
  <si>
    <t>블루머니 + A.앱머니</t>
  </si>
  <si>
    <t>2019. 04</t>
    <phoneticPr fontId="2" type="noConversion"/>
  </si>
  <si>
    <t>2019. 05</t>
    <phoneticPr fontId="2" type="noConversion"/>
  </si>
  <si>
    <t>매출구분</t>
  </si>
  <si>
    <t>정액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</si>
  <si>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</si>
  <si>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</si>
  <si>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</si>
  <si>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</si>
  <si>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</si>
  <si>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</si>
  <si>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</si>
  <si>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</si>
  <si>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</si>
  <si>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</si>
  <si>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</si>
  <si>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</si>
  <si>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매출없음</t>
    <phoneticPr fontId="2" type="noConversion"/>
  </si>
  <si>
    <t>이용권 포함 컨텐츠별 매출 통계</t>
  </si>
  <si>
    <t>카카오_스토리위즈</t>
    <phoneticPr fontId="2" type="noConversion"/>
  </si>
  <si>
    <t>■ 컨텐츠헤라 (만화판권) 스토리위즈 정산서</t>
    <phoneticPr fontId="2" type="noConversion"/>
  </si>
  <si>
    <t>스토리위즈매출액</t>
    <phoneticPr fontId="2" type="noConversion"/>
  </si>
  <si>
    <t>스토리위즈수익</t>
    <phoneticPr fontId="2" type="noConversion"/>
  </si>
  <si>
    <t>월별 회수금 (스토리위즈수익)</t>
    <phoneticPr fontId="2" type="noConversion"/>
  </si>
  <si>
    <t>스토리위즈 계정으로 유통</t>
    <phoneticPr fontId="2" type="noConversion"/>
  </si>
  <si>
    <t>대여유료권( ~ 2020-04 대여권)</t>
  </si>
  <si>
    <t>대여무료권</t>
  </si>
  <si>
    <t>판매처</t>
  </si>
  <si>
    <t>전체</t>
  </si>
  <si>
    <t>태국코미코_스토리위즈</t>
    <phoneticPr fontId="2" type="noConversion"/>
  </si>
  <si>
    <t>태피툰_스토리위즈</t>
    <phoneticPr fontId="2" type="noConversion"/>
  </si>
  <si>
    <t>델리툰(프)_스토리위즈</t>
    <phoneticPr fontId="2" type="noConversion"/>
  </si>
  <si>
    <t>델리툰(독)_스토리위즈</t>
    <phoneticPr fontId="2" type="noConversion"/>
  </si>
  <si>
    <t>카카페(인니)_스토리위즈</t>
    <phoneticPr fontId="2" type="noConversion"/>
  </si>
  <si>
    <t>스토리위즈 계정으로 유통_과세</t>
    <phoneticPr fontId="2" type="noConversion"/>
  </si>
  <si>
    <t>2021년 합계</t>
    <phoneticPr fontId="2" type="noConversion"/>
  </si>
  <si>
    <t>판매</t>
  </si>
  <si>
    <t>스토리위즈-컨헤라 매출 계산서 발행</t>
  </si>
  <si>
    <t>컨헤라-스토리위즈 계산서 발행</t>
  </si>
  <si>
    <t>스토리위즈-컨헤라 지급 금액</t>
  </si>
  <si>
    <t>구분</t>
    <phoneticPr fontId="2" type="noConversion"/>
  </si>
  <si>
    <t>공급가액</t>
    <phoneticPr fontId="2" type="noConversion"/>
  </si>
  <si>
    <t>부가세</t>
    <phoneticPr fontId="2" type="noConversion"/>
  </si>
  <si>
    <t>카테고리</t>
  </si>
  <si>
    <t>합계</t>
    <phoneticPr fontId="2" type="noConversion"/>
  </si>
  <si>
    <t>자동충전 쿠키로 대여</t>
  </si>
  <si>
    <t>자동충전 쿠키로 구매</t>
  </si>
  <si>
    <t>유상자동충전쿠키</t>
  </si>
  <si>
    <t>무상자동충전쿠키</t>
  </si>
  <si>
    <t>매출없음</t>
    <phoneticPr fontId="2" type="noConversion"/>
  </si>
  <si>
    <t>판매액</t>
  </si>
  <si>
    <t>판매권</t>
  </si>
  <si>
    <t>일반 판매액</t>
  </si>
  <si>
    <t>일반 취소액</t>
  </si>
  <si>
    <t>앱마켓 정산대상액</t>
  </si>
  <si>
    <t>앱마켓 수수료</t>
  </si>
  <si>
    <t>앱마켓 취소액</t>
  </si>
  <si>
    <t>네이버_스토리위즈</t>
    <phoneticPr fontId="2" type="noConversion"/>
  </si>
  <si>
    <t>콰이콴(옹주)_스토리위즈</t>
    <phoneticPr fontId="2" type="noConversion"/>
  </si>
  <si>
    <t>콰이콴(마딸)_스토리위즈</t>
    <phoneticPr fontId="2" type="noConversion"/>
  </si>
  <si>
    <t>2018.11.21</t>
  </si>
  <si>
    <t>요시토미 아키히토</t>
  </si>
  <si>
    <t>코믹툰(베)_스토리위즈</t>
    <phoneticPr fontId="2" type="noConversion"/>
  </si>
  <si>
    <t>컨헤라-스토리위즈 세금계산서 발행(과세)</t>
    <phoneticPr fontId="2" type="noConversion"/>
  </si>
  <si>
    <t>무라오 미오(Mio Murao)</t>
  </si>
  <si>
    <t>제노스 (Xenos)</t>
  </si>
  <si>
    <t>제노스2 (Xenos2)</t>
  </si>
  <si>
    <t>파트너명</t>
  </si>
  <si>
    <t>파트너ID</t>
  </si>
  <si>
    <t>사업자구분</t>
  </si>
  <si>
    <t>구매요청POC</t>
  </si>
  <si>
    <t>채널상품ID</t>
  </si>
  <si>
    <t>채널상품명</t>
  </si>
  <si>
    <t>상품명</t>
  </si>
  <si>
    <t>회차</t>
  </si>
  <si>
    <t>상품ID</t>
  </si>
  <si>
    <t>2차정산여부</t>
  </si>
  <si>
    <t>글작가</t>
  </si>
  <si>
    <t>그림작가</t>
  </si>
  <si>
    <t>타입</t>
  </si>
  <si>
    <t>판매건수</t>
  </si>
  <si>
    <t>취소건수</t>
  </si>
  <si>
    <t>정액제 정산대상액</t>
  </si>
  <si>
    <t>취소</t>
  </si>
  <si>
    <t>결제수단</t>
  </si>
  <si>
    <t>서비스이용료</t>
  </si>
  <si>
    <t>정산지급액</t>
  </si>
  <si>
    <t>정산유형</t>
  </si>
  <si>
    <t>금액</t>
  </si>
  <si>
    <t>고객결제</t>
  </si>
  <si>
    <t>고객결제(현금영수증)</t>
  </si>
  <si>
    <t>쿠폰/포인트등</t>
  </si>
  <si>
    <t>고객결제 서비스이용료</t>
  </si>
  <si>
    <t>차감</t>
  </si>
  <si>
    <t>(주)컨텐츠헤라</t>
  </si>
  <si>
    <t>dclb_ch</t>
  </si>
  <si>
    <t>원스토어㈜</t>
  </si>
  <si>
    <t>2차</t>
  </si>
  <si>
    <t>컨텐츠헤라</t>
  </si>
  <si>
    <t>단행</t>
  </si>
  <si>
    <t>정규</t>
  </si>
  <si>
    <t>H038861556</t>
  </si>
  <si>
    <t>1</t>
  </si>
  <si>
    <t>2021.10</t>
    <phoneticPr fontId="2" type="noConversion"/>
  </si>
  <si>
    <t>연애활동</t>
  </si>
  <si>
    <t>판매/취소일시</t>
  </si>
  <si>
    <t>ItemId</t>
  </si>
  <si>
    <t>판매형태</t>
  </si>
  <si>
    <t>정가</t>
  </si>
  <si>
    <t>판매가</t>
  </si>
  <si>
    <t>원주문일시</t>
  </si>
  <si>
    <t>저자명</t>
  </si>
  <si>
    <t>출판사명</t>
  </si>
  <si>
    <t>정산처명</t>
  </si>
  <si>
    <t>ISBN</t>
  </si>
  <si>
    <t>CID</t>
  </si>
  <si>
    <t>대여</t>
  </si>
  <si>
    <t>컨텐츠헤라(만화)</t>
  </si>
  <si>
    <t>카카오_스토리위즈(회귀)</t>
    <phoneticPr fontId="2" type="noConversion"/>
  </si>
  <si>
    <t>네이버_글로벌</t>
    <phoneticPr fontId="2" type="noConversion"/>
  </si>
  <si>
    <t>1부 5처 ~내가 인기 있는 이유~ [단행본] 1권</t>
  </si>
  <si>
    <t>H035193416</t>
  </si>
  <si>
    <t>1부 5처 ~내가 인기 있는 이유~ 1화</t>
  </si>
  <si>
    <t>1부 5처 ~내가 인기 있는 이유~ 2화</t>
  </si>
  <si>
    <t>연애활동 1화</t>
  </si>
  <si>
    <t>제노스 (Xenos) 2화</t>
  </si>
  <si>
    <t>제노스2 (Xenos2) 1화</t>
  </si>
  <si>
    <t>제노스2 (Xenos2) 2화</t>
  </si>
  <si>
    <t>[e북]CROSS and CRIME (크로스 앤드 크라임) 1권</t>
  </si>
  <si>
    <t>[e북]CROSS and CRIME (크로스 앤드 크라임)</t>
  </si>
  <si>
    <t>CROSS and CRIME (크로스 앤드 크라임) 1화</t>
  </si>
  <si>
    <t>CROSS and CRIME (크로스 앤드 크라임) 2화</t>
  </si>
  <si>
    <t>CROSS and CRIME (크로스 앤드 크라임) 3화</t>
  </si>
  <si>
    <t>매출없음</t>
    <phoneticPr fontId="2" type="noConversion"/>
  </si>
  <si>
    <t>매출없음</t>
    <phoneticPr fontId="2" type="noConversion"/>
  </si>
  <si>
    <t>1. 컨텐츠헤라 월별 매출 상세내역</t>
  </si>
  <si>
    <t>네이버(11월)</t>
    <phoneticPr fontId="2" type="noConversion"/>
  </si>
  <si>
    <t>엠유(11월)</t>
    <phoneticPr fontId="2" type="noConversion"/>
  </si>
  <si>
    <t>미스터블루(11월)</t>
    <phoneticPr fontId="2" type="noConversion"/>
  </si>
  <si>
    <t>원스토어(11월)</t>
    <phoneticPr fontId="2" type="noConversion"/>
  </si>
  <si>
    <t>봄툰(11월)</t>
    <phoneticPr fontId="2" type="noConversion"/>
  </si>
  <si>
    <t>리디(11월)</t>
    <phoneticPr fontId="2" type="noConversion"/>
  </si>
  <si>
    <t>카카오(11월)</t>
    <phoneticPr fontId="2" type="noConversion"/>
  </si>
  <si>
    <t>2021-11-01 ~ 2021-11-30</t>
  </si>
  <si>
    <t>conhera_0003</t>
  </si>
  <si>
    <t>conhera_0001</t>
  </si>
  <si>
    <t>OSB_AOS_ONESTORE</t>
  </si>
  <si>
    <t>[고화질] 지구의 방과후 (단행본) 01</t>
  </si>
  <si>
    <t>[고화질] 제노스 (Xenos) (단행본) 03</t>
  </si>
  <si>
    <t>[고화질] 제노스 (Xenos) (단행본) 04 (완결)</t>
  </si>
  <si>
    <t>알라딘(11월)</t>
    <phoneticPr fontId="2" type="noConversion"/>
  </si>
  <si>
    <t>레진(11월)</t>
    <phoneticPr fontId="2" type="noConversion"/>
  </si>
  <si>
    <t>[e북]1부 5처 ~내가 인기 있는 이유~ 1권</t>
  </si>
  <si>
    <t>[e북]1부 5처 ~내가 인기 있는 이유~</t>
  </si>
  <si>
    <t>그 남자의 최면술 1화</t>
  </si>
  <si>
    <t>효군</t>
  </si>
  <si>
    <t>그 남자의 최면술</t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</si>
  <si>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</si>
  <si>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</si>
  <si>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</si>
  <si>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</si>
  <si>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</si>
  <si>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</si>
  <si>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</si>
  <si>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</si>
  <si>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</si>
  <si>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발행자가 부여하는 코드</t>
    <phoneticPr fontId="162" type="noConversion"/>
  </si>
  <si>
    <t>레이블</t>
    <phoneticPr fontId="162" type="noConversion"/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</si>
  <si>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</si>
  <si>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</si>
  <si>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</si>
  <si>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</si>
  <si>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</si>
  <si>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  <phoneticPr fontId="2" type="noConversion"/>
  </si>
  <si>
    <t>캐시_합계</t>
    <phoneticPr fontId="2" type="noConversion"/>
  </si>
  <si>
    <t>캐시_CPP</t>
    <phoneticPr fontId="2" type="noConversion"/>
  </si>
  <si>
    <t>캐시_CPI</t>
    <phoneticPr fontId="2" type="noConversion"/>
  </si>
  <si>
    <t>캐시_CP1</t>
    <phoneticPr fontId="2" type="noConversion"/>
  </si>
  <si>
    <t>캐시_CP2</t>
    <phoneticPr fontId="2" type="noConversion"/>
  </si>
  <si>
    <t>캐시_CP3</t>
    <phoneticPr fontId="2" type="noConversion"/>
  </si>
  <si>
    <t>캐시_CP7</t>
    <phoneticPr fontId="2" type="noConversion"/>
  </si>
  <si>
    <t>캐시_CP8</t>
    <phoneticPr fontId="2" type="noConversion"/>
  </si>
  <si>
    <t>캐시_CP9</t>
    <phoneticPr fontId="2" type="noConversion"/>
  </si>
  <si>
    <t>캐시_이벤트캐시</t>
    <phoneticPr fontId="2" type="noConversion"/>
  </si>
  <si>
    <t>원화_합계</t>
    <phoneticPr fontId="2" type="noConversion"/>
  </si>
  <si>
    <t>원화_CPP</t>
    <phoneticPr fontId="2" type="noConversion"/>
  </si>
  <si>
    <t>원화_CPP</t>
    <phoneticPr fontId="2" type="noConversion"/>
  </si>
  <si>
    <t>원화_CPI</t>
    <phoneticPr fontId="2" type="noConversion"/>
  </si>
  <si>
    <t>원화_CP1</t>
    <phoneticPr fontId="2" type="noConversion"/>
  </si>
  <si>
    <t>원화_CP2</t>
    <phoneticPr fontId="2" type="noConversion"/>
  </si>
  <si>
    <t>원화_CP3</t>
    <phoneticPr fontId="2" type="noConversion"/>
  </si>
  <si>
    <t>원화_CP7</t>
    <phoneticPr fontId="2" type="noConversion"/>
  </si>
  <si>
    <t>원화_CP8</t>
    <phoneticPr fontId="2" type="noConversion"/>
  </si>
  <si>
    <t>원화_CP9</t>
    <phoneticPr fontId="2" type="noConversion"/>
  </si>
  <si>
    <t>원화_이벤트캐시</t>
    <phoneticPr fontId="2" type="noConversion"/>
  </si>
  <si>
    <t>공급가액</t>
  </si>
  <si>
    <t>부가세</t>
  </si>
  <si>
    <t>공급대가</t>
  </si>
  <si>
    <t>특별계약</t>
  </si>
  <si>
    <t>주식회사 스토리위즈</t>
  </si>
  <si>
    <t>3828601768</t>
  </si>
  <si>
    <t>storywiz</t>
  </si>
  <si>
    <t>1944.0</t>
  </si>
  <si>
    <t>선투자</t>
  </si>
  <si>
    <t>면세</t>
  </si>
  <si>
    <t>N</t>
  </si>
  <si>
    <t>마왕의 딸로 태어났습니다</t>
  </si>
  <si>
    <t>은민,여울</t>
  </si>
  <si>
    <t>Y</t>
  </si>
  <si>
    <t>단일 이용권</t>
  </si>
  <si>
    <t>시리즈 이용권 패키지</t>
  </si>
  <si>
    <t>단일 대여 이용권</t>
  </si>
  <si>
    <t>시리즈 대여 이용권 패키지</t>
  </si>
  <si>
    <t>발행자가 부여하는 코드</t>
    <phoneticPr fontId="162" type="noConversion"/>
  </si>
  <si>
    <t>레이블</t>
    <phoneticPr fontId="162" type="noConversion"/>
  </si>
  <si>
    <t>원화_CP8</t>
    <phoneticPr fontId="2" type="noConversion"/>
  </si>
  <si>
    <t>옹주의 호위무사</t>
  </si>
  <si>
    <t>정훈,수국</t>
  </si>
  <si>
    <t>발행자가 부여하는 코드</t>
    <phoneticPr fontId="162" type="noConversion"/>
  </si>
  <si>
    <t>2531.0</t>
  </si>
  <si>
    <t>회귀의 전설</t>
  </si>
  <si>
    <t>송진우,김광수</t>
  </si>
  <si>
    <t>유통년월</t>
    <phoneticPr fontId="162" type="noConversion"/>
  </si>
  <si>
    <t>총 매출</t>
    <phoneticPr fontId="2" type="noConversion"/>
  </si>
  <si>
    <t>정산 매출(85%)</t>
    <phoneticPr fontId="2" type="noConversion"/>
  </si>
  <si>
    <t>합계</t>
    <phoneticPr fontId="162" type="noConversion"/>
  </si>
  <si>
    <t>※ 컨헤라 정산 : SW매출 85%</t>
    <phoneticPr fontId="162" type="noConversion"/>
  </si>
  <si>
    <t>총 매출의 85%를 판권제휴 SW 매출로 인식/ 해당 매출의 30% 컨헤라 정산(70% 투자회수)</t>
    <phoneticPr fontId="2" type="noConversion"/>
  </si>
  <si>
    <t>구분</t>
    <phoneticPr fontId="2" type="noConversion"/>
  </si>
  <si>
    <t>순매출(합계-수수료)</t>
    <phoneticPr fontId="2" type="noConversion"/>
  </si>
  <si>
    <t>sw 매출</t>
    <phoneticPr fontId="2" type="noConversion"/>
  </si>
  <si>
    <t>시리즈APP</t>
    <phoneticPr fontId="2" type="noConversion"/>
  </si>
  <si>
    <t>사랑은 비를 타고 [독점]</t>
  </si>
  <si>
    <t>스토리위즈_사랑은비를타고_MG</t>
  </si>
  <si>
    <t>예리</t>
  </si>
  <si>
    <t>스토리위즈</t>
  </si>
  <si>
    <t>전체이용가</t>
  </si>
  <si>
    <t>마스코마스코 [독점]</t>
  </si>
  <si>
    <t>스토리위즈_만화</t>
  </si>
  <si>
    <t>남정훈</t>
  </si>
  <si>
    <t>2021.10.25</t>
  </si>
  <si>
    <t>기초정보</t>
    <phoneticPr fontId="171" type="noConversion"/>
  </si>
  <si>
    <t>유통 플랫폼 거래액_KW</t>
    <phoneticPr fontId="171" type="noConversion"/>
  </si>
  <si>
    <t xml:space="preserve"> 발행처 동시치감 특별계약타입_KP</t>
    <phoneticPr fontId="2" type="noConversion"/>
  </si>
  <si>
    <t xml:space="preserve"> 발행처 정산금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</si>
  <si>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</si>
  <si>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</si>
  <si>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</si>
  <si>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</si>
  <si>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</si>
  <si>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순번</t>
    <phoneticPr fontId="171" type="noConversion"/>
  </si>
  <si>
    <t>카테
고리</t>
    <phoneticPr fontId="2" type="noConversion"/>
  </si>
  <si>
    <t>레이블
구분</t>
    <phoneticPr fontId="2" type="noConversion"/>
  </si>
  <si>
    <t>플랫폼_작품_UID_KW</t>
  </si>
  <si>
    <t>플랫폼_작품_UID_KP</t>
  </si>
  <si>
    <t>작품명</t>
    <phoneticPr fontId="171" type="noConversion"/>
  </si>
  <si>
    <t>작가명</t>
    <phoneticPr fontId="171" type="noConversion"/>
  </si>
  <si>
    <t>원작정산
(사후)</t>
    <phoneticPr fontId="171" type="noConversion"/>
  </si>
  <si>
    <t>판매월</t>
    <phoneticPr fontId="171" type="noConversion"/>
  </si>
  <si>
    <t>오픈일자_KW</t>
    <phoneticPr fontId="171" type="noConversion"/>
  </si>
  <si>
    <t>통화</t>
    <phoneticPr fontId="171" type="noConversion"/>
  </si>
  <si>
    <t>ANDROID
(원화)</t>
    <phoneticPr fontId="2" type="noConversion"/>
  </si>
  <si>
    <t>WEB
(원화)</t>
    <phoneticPr fontId="2" type="noConversion"/>
  </si>
  <si>
    <t>IOS
(원화)</t>
    <phoneticPr fontId="2" type="noConversion"/>
  </si>
  <si>
    <t>EVENT CASH
(원화)</t>
    <phoneticPr fontId="2" type="noConversion"/>
  </si>
  <si>
    <t>플랫폼거래액
합계</t>
    <phoneticPr fontId="2" type="noConversion"/>
  </si>
  <si>
    <r>
      <t>운영/결제수수료</t>
    </r>
    <r>
      <rPr>
        <sz val="7"/>
        <color theme="4"/>
        <rFont val="맑은 고딕"/>
        <family val="3"/>
        <charset val="129"/>
        <scheme val="major"/>
      </rPr>
      <t>ANDROID (6%) 
WEB (6%)
IOS (30%) 
EVENT CASH (30%)</t>
    </r>
    <phoneticPr fontId="2" type="noConversion"/>
  </si>
  <si>
    <t>KW_순매출
합계
C = A - B</t>
    <phoneticPr fontId="2" type="noConversion"/>
  </si>
  <si>
    <t>KP_특별계약타입</t>
    <phoneticPr fontId="2" type="noConversion"/>
  </si>
  <si>
    <t>KP_특별계약_UID</t>
    <phoneticPr fontId="2" type="noConversion"/>
  </si>
  <si>
    <t>KP_특별계약_이름</t>
    <phoneticPr fontId="2" type="noConversion"/>
  </si>
  <si>
    <t>KP_특별계약_과세유형</t>
    <phoneticPr fontId="2" type="noConversion"/>
  </si>
  <si>
    <t>정산기준</t>
    <phoneticPr fontId="2" type="noConversion"/>
  </si>
  <si>
    <t>RS%
android%</t>
    <phoneticPr fontId="2" type="noConversion"/>
  </si>
  <si>
    <t>RS%
_IOS%</t>
    <phoneticPr fontId="2" type="noConversion"/>
  </si>
  <si>
    <t>KW_정산금
합계
E = C * D</t>
    <phoneticPr fontId="2" type="noConversion"/>
  </si>
  <si>
    <t>스토리위즈_마왕의 딸 등 2종</t>
  </si>
  <si>
    <t>2021.12월</t>
  </si>
  <si>
    <t>CP</t>
  </si>
  <si>
    <t>해당없음</t>
  </si>
  <si>
    <t>KRW</t>
  </si>
  <si>
    <t>플랫폼거래액</t>
  </si>
  <si>
    <t>시리즈APP</t>
    <phoneticPr fontId="2" type="noConversion"/>
  </si>
  <si>
    <t>2022.02.02</t>
  </si>
  <si>
    <t>완전판APP</t>
    <phoneticPr fontId="2" type="noConversion"/>
  </si>
  <si>
    <t>시리즈IOS</t>
    <phoneticPr fontId="2" type="noConversion"/>
  </si>
  <si>
    <t>N스토어PC</t>
    <phoneticPr fontId="2" type="noConversion"/>
  </si>
  <si>
    <t>PC뷰어PC</t>
    <phoneticPr fontId="2" type="noConversion"/>
  </si>
  <si>
    <t>완전판APP</t>
    <phoneticPr fontId="2" type="noConversion"/>
  </si>
  <si>
    <t>시리즈IOS</t>
    <phoneticPr fontId="2" type="noConversion"/>
  </si>
  <si>
    <t>웹툰스토어MW</t>
    <phoneticPr fontId="2" type="noConversion"/>
  </si>
  <si>
    <t>웹툰스토어APP</t>
    <phoneticPr fontId="2" type="noConversion"/>
  </si>
  <si>
    <t>웹툰앱엔드APP</t>
    <phoneticPr fontId="2" type="noConversion"/>
  </si>
  <si>
    <t>웹툰IOS앤드</t>
    <phoneticPr fontId="2" type="noConversion"/>
  </si>
  <si>
    <t>N스토어(PC)</t>
    <phoneticPr fontId="2" type="noConversion"/>
  </si>
  <si>
    <t>PC뷰어(PC)</t>
    <phoneticPr fontId="2" type="noConversion"/>
  </si>
  <si>
    <t>카카오웹툰_동시연재</t>
    <phoneticPr fontId="2" type="noConversion"/>
  </si>
  <si>
    <t xml:space="preserve">당월 정산 대상 </t>
    <phoneticPr fontId="2" type="noConversion"/>
  </si>
  <si>
    <t xml:space="preserve">네이버웹툰(글로벌) 2022년 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</si>
  <si>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월 정산 금액  </t>
    </r>
    <r>
      <rPr>
        <sz val="10"/>
        <color theme="1"/>
        <rFont val="맑은 고딕"/>
        <family val="3"/>
        <charset val="129"/>
        <scheme val="minor"/>
      </rPr>
      <t xml:space="preserve"> (단위 : 원)</t>
    </r>
    <phoneticPr fontId="2" type="noConversion"/>
  </si>
  <si>
    <t>대상</t>
    <phoneticPr fontId="2" type="noConversion"/>
  </si>
  <si>
    <t>금액 (공급가)</t>
    <phoneticPr fontId="2" type="noConversion"/>
  </si>
  <si>
    <t>비고</t>
    <phoneticPr fontId="2" type="noConversion"/>
  </si>
  <si>
    <t>R/S</t>
    <phoneticPr fontId="2" type="noConversion"/>
  </si>
  <si>
    <t>합계</t>
    <phoneticPr fontId="2" type="noConversion"/>
  </si>
  <si>
    <t xml:space="preserve">상세 *매출월 발생월 기준 </t>
    <phoneticPr fontId="5" type="Hiragana"/>
  </si>
  <si>
    <t xml:space="preserve">작품명 </t>
    <phoneticPr fontId="5" type="Hiragana"/>
  </si>
  <si>
    <t>Love Falls Like Rain</t>
    <phoneticPr fontId="2" type="noConversion"/>
  </si>
  <si>
    <t>MG</t>
    <phoneticPr fontId="5" type="Hiragana"/>
  </si>
  <si>
    <t xml:space="preserve"> *국내 독점 서비스/글로벌 계약 포괄 MG (MG 미정산/월별 매출로 정산)</t>
    <phoneticPr fontId="2" type="noConversion"/>
  </si>
  <si>
    <t xml:space="preserve">런칭일 </t>
    <phoneticPr fontId="5" type="Hiragana"/>
  </si>
  <si>
    <t>항목</t>
  </si>
  <si>
    <t>사랑은 비를 타고_2021 11 LINE MANGA_JP</t>
  </si>
  <si>
    <t>사랑은 비를 타고_2021 11 LINE MANGA_LAP_JP</t>
  </si>
  <si>
    <t>사랑은 비를 타고_2021 12 LINE WEBTOON_US</t>
  </si>
  <si>
    <t>사랑은 비를 타고_2021 12 LINE WEBTOON_FR</t>
  </si>
  <si>
    <t>소계</t>
  </si>
  <si>
    <t xml:space="preserve">당월 정산 대상 </t>
    <phoneticPr fontId="2" type="noConversion"/>
  </si>
  <si>
    <t>(면세)</t>
    <phoneticPr fontId="2" type="noConversion"/>
  </si>
  <si>
    <t xml:space="preserve">콰이칸 2022년 </t>
    <phoneticPr fontId="2" type="noConversion"/>
  </si>
  <si>
    <t>월 정산금액</t>
    <phoneticPr fontId="2" type="noConversion"/>
  </si>
  <si>
    <t>(단위 : CNY)</t>
  </si>
  <si>
    <t>구분</t>
  </si>
  <si>
    <t>매출청구액</t>
  </si>
  <si>
    <t>세금공제액</t>
    <phoneticPr fontId="2" type="noConversion"/>
  </si>
  <si>
    <t>실입금액</t>
  </si>
  <si>
    <t>비고</t>
    <phoneticPr fontId="2" type="noConversion"/>
  </si>
  <si>
    <t>MG(2021.12)</t>
    <phoneticPr fontId="2" type="noConversion"/>
  </si>
  <si>
    <t>5화분</t>
    <phoneticPr fontId="2" type="noConversion"/>
  </si>
  <si>
    <t>RS(2021.10)</t>
    <phoneticPr fontId="2" type="noConversion"/>
  </si>
  <si>
    <t>RS(2021.11)</t>
    <phoneticPr fontId="2" type="noConversion"/>
  </si>
  <si>
    <t>RS(2021.12)</t>
    <phoneticPr fontId="2" type="noConversion"/>
  </si>
  <si>
    <t>(단위 : CNY)</t>
    <phoneticPr fontId="2" type="noConversion"/>
  </si>
  <si>
    <t>구분</t>
    <phoneticPr fontId="2" type="noConversion"/>
  </si>
  <si>
    <t>금액</t>
    <phoneticPr fontId="2" type="noConversion"/>
  </si>
  <si>
    <t>계약액</t>
    <phoneticPr fontId="2" type="noConversion"/>
  </si>
  <si>
    <t>MG(고료)</t>
    <phoneticPr fontId="2" type="noConversion"/>
  </si>
  <si>
    <t>RS(유료수익)</t>
    <phoneticPr fontId="2" type="noConversion"/>
  </si>
  <si>
    <t>세금</t>
    <phoneticPr fontId="2" type="noConversion"/>
  </si>
  <si>
    <t>실제입금액</t>
    <phoneticPr fontId="2" type="noConversion"/>
  </si>
  <si>
    <t>정산대상액</t>
    <phoneticPr fontId="2" type="noConversion"/>
  </si>
  <si>
    <t>정산대상액(KRW)</t>
    <phoneticPr fontId="2" type="noConversion"/>
  </si>
  <si>
    <t>*2021년 1월부터 기업소득세 정산 대상 제외 (미환급)</t>
    <phoneticPr fontId="2" type="noConversion"/>
  </si>
  <si>
    <t>RMB-USD환율</t>
    <phoneticPr fontId="2" type="noConversion"/>
  </si>
  <si>
    <t>USD-KRW환율</t>
    <phoneticPr fontId="2" type="noConversion"/>
  </si>
  <si>
    <t>환산일 : 2022년 1월 21일 (스토리위즈 매출 전표 결의일)</t>
    <phoneticPr fontId="0" type="Hiragana"/>
  </si>
  <si>
    <t>환산기준율 : http://www.smbs.biz/ExRate/TodayExRate.jsp</t>
    <phoneticPr fontId="2" type="noConversion"/>
  </si>
  <si>
    <t>상세 *매출월 발생월 기준 / MG 월별정산 (M+1), RS 분기별 정산 (Q+1M)</t>
    <phoneticPr fontId="2" type="noConversion"/>
  </si>
  <si>
    <t xml:space="preserve">작품명 </t>
    <phoneticPr fontId="2" type="noConversion"/>
  </si>
  <si>
    <r>
      <t>重生</t>
    </r>
    <r>
      <rPr>
        <b/>
        <sz val="10"/>
        <color theme="1"/>
        <rFont val="맑은 고딕"/>
        <family val="3"/>
        <charset val="134"/>
        <scheme val="minor"/>
      </rPr>
      <t>为</t>
    </r>
    <r>
      <rPr>
        <b/>
        <sz val="10"/>
        <color theme="1"/>
        <rFont val="맑은 고딕"/>
        <family val="3"/>
        <charset val="129"/>
        <scheme val="minor"/>
      </rPr>
      <t>魔王的女</t>
    </r>
    <r>
      <rPr>
        <b/>
        <sz val="10"/>
        <color theme="1"/>
        <rFont val="맑은 고딕"/>
        <family val="3"/>
        <charset val="128"/>
        <scheme val="minor"/>
      </rPr>
      <t>儿</t>
    </r>
    <r>
      <rPr>
        <b/>
        <sz val="10"/>
        <color theme="1"/>
        <rFont val="맑은 고딕"/>
        <family val="3"/>
        <charset val="129"/>
        <scheme val="minor"/>
      </rPr>
      <t>(마왕의 딸로 태어났습니다)</t>
    </r>
    <phoneticPr fontId="2" type="noConversion"/>
  </si>
  <si>
    <t>MG</t>
    <phoneticPr fontId="2" type="noConversion"/>
  </si>
  <si>
    <t>화당 2,500 RMB</t>
    <phoneticPr fontId="2" type="noConversion"/>
  </si>
  <si>
    <t>매월 정산</t>
    <phoneticPr fontId="2" type="noConversion"/>
  </si>
  <si>
    <t xml:space="preserve">런칭일 </t>
    <phoneticPr fontId="2" type="noConversion"/>
  </si>
  <si>
    <t>2019.11.21</t>
    <phoneticPr fontId="2" type="noConversion"/>
  </si>
  <si>
    <t xml:space="preserve">중국 Kuaikan 2019.11 정산표 </t>
    <phoneticPr fontId="2" type="noConversion"/>
  </si>
  <si>
    <t>타이틀</t>
    <phoneticPr fontId="2" type="noConversion"/>
  </si>
  <si>
    <t>마왕의 딸로 태어났습니다</t>
    <phoneticPr fontId="2" type="noConversion"/>
  </si>
  <si>
    <t xml:space="preserve"> RMB</t>
    <phoneticPr fontId="2" type="noConversion"/>
  </si>
  <si>
    <t>KRW</t>
    <phoneticPr fontId="2" type="noConversion"/>
  </si>
  <si>
    <t>정산화수</t>
    <phoneticPr fontId="2" type="noConversion"/>
  </si>
  <si>
    <t>01-17화</t>
    <phoneticPr fontId="2" type="noConversion"/>
  </si>
  <si>
    <t>화별MG</t>
    <phoneticPr fontId="2" type="noConversion"/>
  </si>
  <si>
    <t>상금</t>
    <phoneticPr fontId="2" type="noConversion"/>
  </si>
  <si>
    <t xml:space="preserve">당월 고료 </t>
    <phoneticPr fontId="2" type="noConversion"/>
  </si>
  <si>
    <t>세금공제액</t>
    <phoneticPr fontId="2" type="noConversion"/>
  </si>
  <si>
    <t xml:space="preserve">당월 세후 고료 </t>
    <phoneticPr fontId="2" type="noConversion"/>
  </si>
  <si>
    <t>합 계</t>
    <phoneticPr fontId="2" type="noConversion"/>
  </si>
  <si>
    <t xml:space="preserve"> RMB</t>
  </si>
  <si>
    <t>RS</t>
    <phoneticPr fontId="2" type="noConversion"/>
  </si>
  <si>
    <t>코인 총매출</t>
    <phoneticPr fontId="2" type="noConversion"/>
  </si>
  <si>
    <t>ㄴ채널수수료</t>
    <phoneticPr fontId="2" type="noConversion"/>
  </si>
  <si>
    <t xml:space="preserve">코인 순수익 </t>
    <phoneticPr fontId="2" type="noConversion"/>
  </si>
  <si>
    <t>증정코익 수익</t>
    <phoneticPr fontId="2" type="noConversion"/>
  </si>
  <si>
    <t>카드수익</t>
    <phoneticPr fontId="2" type="noConversion"/>
  </si>
  <si>
    <t>외부수익</t>
    <phoneticPr fontId="2" type="noConversion"/>
  </si>
  <si>
    <t>순이익</t>
    <phoneticPr fontId="2" type="noConversion"/>
  </si>
  <si>
    <t>당월세전RS수익</t>
    <phoneticPr fontId="2" type="noConversion"/>
  </si>
  <si>
    <t>전월누적RS수익</t>
    <phoneticPr fontId="2" type="noConversion"/>
  </si>
  <si>
    <t>당월 발생 RS수익</t>
    <phoneticPr fontId="2" type="noConversion"/>
  </si>
  <si>
    <t xml:space="preserve">RS 정산금액 </t>
    <phoneticPr fontId="2" type="noConversion"/>
  </si>
  <si>
    <t xml:space="preserve">중국 Kuaikan 2019.12 정산표 </t>
    <phoneticPr fontId="2" type="noConversion"/>
  </si>
  <si>
    <t>타이틀</t>
    <phoneticPr fontId="2" type="noConversion"/>
  </si>
  <si>
    <t>MG</t>
    <phoneticPr fontId="2" type="noConversion"/>
  </si>
  <si>
    <t>정산화수</t>
    <phoneticPr fontId="2" type="noConversion"/>
  </si>
  <si>
    <t>18-25화</t>
    <phoneticPr fontId="2" type="noConversion"/>
  </si>
  <si>
    <t>상금</t>
    <phoneticPr fontId="2" type="noConversion"/>
  </si>
  <si>
    <t>세금공제액</t>
    <phoneticPr fontId="2" type="noConversion"/>
  </si>
  <si>
    <t>합 계</t>
    <phoneticPr fontId="2" type="noConversion"/>
  </si>
  <si>
    <t>KRW</t>
    <phoneticPr fontId="2" type="noConversion"/>
  </si>
  <si>
    <t>RS</t>
    <phoneticPr fontId="2" type="noConversion"/>
  </si>
  <si>
    <t>코인 총매출</t>
    <phoneticPr fontId="2" type="noConversion"/>
  </si>
  <si>
    <t>ㄴ채널수수료</t>
    <phoneticPr fontId="2" type="noConversion"/>
  </si>
  <si>
    <t xml:space="preserve">코인 순수익 </t>
    <phoneticPr fontId="2" type="noConversion"/>
  </si>
  <si>
    <t>증정코익 수익</t>
    <phoneticPr fontId="2" type="noConversion"/>
  </si>
  <si>
    <t>카드수익</t>
    <phoneticPr fontId="2" type="noConversion"/>
  </si>
  <si>
    <t>외부수익</t>
    <phoneticPr fontId="2" type="noConversion"/>
  </si>
  <si>
    <t>순이익</t>
    <phoneticPr fontId="2" type="noConversion"/>
  </si>
  <si>
    <t>당월세전RS수익</t>
    <phoneticPr fontId="2" type="noConversion"/>
  </si>
  <si>
    <t>전월누적RS수익</t>
    <phoneticPr fontId="2" type="noConversion"/>
  </si>
  <si>
    <t>당월 발생 RS수익</t>
    <phoneticPr fontId="2" type="noConversion"/>
  </si>
  <si>
    <t xml:space="preserve">RS 정산금액 </t>
    <phoneticPr fontId="2" type="noConversion"/>
  </si>
  <si>
    <t xml:space="preserve">중국 Kuaikan 2020.01 정산표 </t>
    <phoneticPr fontId="2" type="noConversion"/>
  </si>
  <si>
    <t>타이틀</t>
    <phoneticPr fontId="2" type="noConversion"/>
  </si>
  <si>
    <t>마왕의 딸로 태어났습니다</t>
    <phoneticPr fontId="2" type="noConversion"/>
  </si>
  <si>
    <t xml:space="preserve"> RMB</t>
    <phoneticPr fontId="2" type="noConversion"/>
  </si>
  <si>
    <t>MG</t>
    <phoneticPr fontId="2" type="noConversion"/>
  </si>
  <si>
    <t>정산화수</t>
    <phoneticPr fontId="2" type="noConversion"/>
  </si>
  <si>
    <t>26-35화</t>
    <phoneticPr fontId="2" type="noConversion"/>
  </si>
  <si>
    <t>RS</t>
  </si>
  <si>
    <t>코인 총매출</t>
    <phoneticPr fontId="2" type="noConversion"/>
  </si>
  <si>
    <t xml:space="preserve">코인 순수익 </t>
    <phoneticPr fontId="2" type="noConversion"/>
  </si>
  <si>
    <t>카드수익</t>
    <phoneticPr fontId="2" type="noConversion"/>
  </si>
  <si>
    <t>외부수익</t>
    <phoneticPr fontId="2" type="noConversion"/>
  </si>
  <si>
    <t>순이익</t>
    <phoneticPr fontId="2" type="noConversion"/>
  </si>
  <si>
    <t>전월누적RS수익</t>
    <phoneticPr fontId="2" type="noConversion"/>
  </si>
  <si>
    <t>세금공제액</t>
    <phoneticPr fontId="2" type="noConversion"/>
  </si>
  <si>
    <t xml:space="preserve">중국 Kuaikan 2020.02 정산표 </t>
    <phoneticPr fontId="2" type="noConversion"/>
  </si>
  <si>
    <t>MG</t>
    <phoneticPr fontId="2" type="noConversion"/>
  </si>
  <si>
    <t>36-43화</t>
    <phoneticPr fontId="2" type="noConversion"/>
  </si>
  <si>
    <t>화별MG</t>
    <phoneticPr fontId="2" type="noConversion"/>
  </si>
  <si>
    <t xml:space="preserve">당월 고료 </t>
    <phoneticPr fontId="2" type="noConversion"/>
  </si>
  <si>
    <t>RS</t>
    <phoneticPr fontId="2" type="noConversion"/>
  </si>
  <si>
    <t>당월세전RS수익</t>
    <phoneticPr fontId="2" type="noConversion"/>
  </si>
  <si>
    <t>당월 발생 RS수익</t>
    <phoneticPr fontId="2" type="noConversion"/>
  </si>
  <si>
    <t xml:space="preserve">RS 정산금액 </t>
    <phoneticPr fontId="2" type="noConversion"/>
  </si>
  <si>
    <t xml:space="preserve">중국 Kuaikan 2020.03 정산표 </t>
    <phoneticPr fontId="2" type="noConversion"/>
  </si>
  <si>
    <t>마왕의 딸로 태어났습니다</t>
    <phoneticPr fontId="2" type="noConversion"/>
  </si>
  <si>
    <t>KRW</t>
    <phoneticPr fontId="2" type="noConversion"/>
  </si>
  <si>
    <t>44-51화</t>
    <phoneticPr fontId="2" type="noConversion"/>
  </si>
  <si>
    <t>화별MG</t>
    <phoneticPr fontId="2" type="noConversion"/>
  </si>
  <si>
    <t>세금공제액</t>
    <phoneticPr fontId="2" type="noConversion"/>
  </si>
  <si>
    <t xml:space="preserve">당월 세후 고료 </t>
    <phoneticPr fontId="2" type="noConversion"/>
  </si>
  <si>
    <t>합 계</t>
    <phoneticPr fontId="2" type="noConversion"/>
  </si>
  <si>
    <t>KRW</t>
    <phoneticPr fontId="2" type="noConversion"/>
  </si>
  <si>
    <t>증정코익 수익</t>
    <phoneticPr fontId="2" type="noConversion"/>
  </si>
  <si>
    <t xml:space="preserve">중국 Kuaikan 2020.04 정산표 </t>
    <phoneticPr fontId="2" type="noConversion"/>
  </si>
  <si>
    <t>52-59화</t>
    <phoneticPr fontId="2" type="noConversion"/>
  </si>
  <si>
    <t>세금공제액</t>
    <phoneticPr fontId="2" type="noConversion"/>
  </si>
  <si>
    <t>RS</t>
    <phoneticPr fontId="2" type="noConversion"/>
  </si>
  <si>
    <t>외부수익</t>
    <phoneticPr fontId="2" type="noConversion"/>
  </si>
  <si>
    <t xml:space="preserve">중국 Kuaikan 2020.05 정산표 </t>
    <phoneticPr fontId="2" type="noConversion"/>
  </si>
  <si>
    <t>마왕의 딸로 태어났습니다</t>
    <phoneticPr fontId="2" type="noConversion"/>
  </si>
  <si>
    <t>60-67화</t>
    <phoneticPr fontId="2" type="noConversion"/>
  </si>
  <si>
    <t>당월세전RS수익</t>
    <phoneticPr fontId="2" type="noConversion"/>
  </si>
  <si>
    <t xml:space="preserve">중국 Kuaikan 2020.06 정산표 </t>
    <phoneticPr fontId="2" type="noConversion"/>
  </si>
  <si>
    <t>68-70화</t>
    <phoneticPr fontId="2" type="noConversion"/>
  </si>
  <si>
    <t>세금공제액</t>
    <phoneticPr fontId="2" type="noConversion"/>
  </si>
  <si>
    <t>KRW</t>
    <phoneticPr fontId="2" type="noConversion"/>
  </si>
  <si>
    <t>ㄴ채널수수료</t>
    <phoneticPr fontId="2" type="noConversion"/>
  </si>
  <si>
    <t>카드수익</t>
    <phoneticPr fontId="2" type="noConversion"/>
  </si>
  <si>
    <t>외부수익</t>
    <phoneticPr fontId="2" type="noConversion"/>
  </si>
  <si>
    <t>순이익</t>
    <phoneticPr fontId="2" type="noConversion"/>
  </si>
  <si>
    <t>당월세전RS수익</t>
    <phoneticPr fontId="2" type="noConversion"/>
  </si>
  <si>
    <t>전월누적RS수익</t>
    <phoneticPr fontId="2" type="noConversion"/>
  </si>
  <si>
    <t>당월 발생 RS수익</t>
    <phoneticPr fontId="2" type="noConversion"/>
  </si>
  <si>
    <t xml:space="preserve">중국 Kuaikan 2020.07 정산표 </t>
    <phoneticPr fontId="2" type="noConversion"/>
  </si>
  <si>
    <t>타이틀</t>
    <phoneticPr fontId="2" type="noConversion"/>
  </si>
  <si>
    <t>시즌2 대기중</t>
    <phoneticPr fontId="2" type="noConversion"/>
  </si>
  <si>
    <t>RS</t>
    <phoneticPr fontId="2" type="noConversion"/>
  </si>
  <si>
    <t>코인 총매출</t>
    <phoneticPr fontId="2" type="noConversion"/>
  </si>
  <si>
    <t>증정코익 수익</t>
    <phoneticPr fontId="2" type="noConversion"/>
  </si>
  <si>
    <t xml:space="preserve">RS 정산금액 </t>
    <phoneticPr fontId="2" type="noConversion"/>
  </si>
  <si>
    <t xml:space="preserve">중국 Kuaikan 2020.08 정산표 </t>
    <phoneticPr fontId="2" type="noConversion"/>
  </si>
  <si>
    <t>마왕의 딸로 태어났습니다</t>
    <phoneticPr fontId="2" type="noConversion"/>
  </si>
  <si>
    <t>비고</t>
    <phoneticPr fontId="2" type="noConversion"/>
  </si>
  <si>
    <t>MG</t>
    <phoneticPr fontId="2" type="noConversion"/>
  </si>
  <si>
    <t>정산화수</t>
    <phoneticPr fontId="2" type="noConversion"/>
  </si>
  <si>
    <t>71-75화</t>
    <phoneticPr fontId="2" type="noConversion"/>
  </si>
  <si>
    <t>화별MG</t>
    <phoneticPr fontId="2" type="noConversion"/>
  </si>
  <si>
    <t>상금</t>
    <phoneticPr fontId="2" type="noConversion"/>
  </si>
  <si>
    <t xml:space="preserve">당월 고료 </t>
    <phoneticPr fontId="2" type="noConversion"/>
  </si>
  <si>
    <t xml:space="preserve">당월 세후 고료 </t>
    <phoneticPr fontId="2" type="noConversion"/>
  </si>
  <si>
    <t>코인 총매출</t>
    <phoneticPr fontId="2" type="noConversion"/>
  </si>
  <si>
    <t xml:space="preserve">중국 Kuaikan 2020.09 정산표 </t>
    <phoneticPr fontId="2" type="noConversion"/>
  </si>
  <si>
    <t>76-79화</t>
    <phoneticPr fontId="2" type="noConversion"/>
  </si>
  <si>
    <t xml:space="preserve">당월 세후 고료 </t>
    <phoneticPr fontId="2" type="noConversion"/>
  </si>
  <si>
    <t>합 계</t>
    <phoneticPr fontId="2" type="noConversion"/>
  </si>
  <si>
    <t>RS</t>
    <phoneticPr fontId="2" type="noConversion"/>
  </si>
  <si>
    <t xml:space="preserve">코인 순수익 </t>
    <phoneticPr fontId="2" type="noConversion"/>
  </si>
  <si>
    <t>카드수익</t>
    <phoneticPr fontId="2" type="noConversion"/>
  </si>
  <si>
    <t>당월세전RS수익</t>
    <phoneticPr fontId="2" type="noConversion"/>
  </si>
  <si>
    <t>전월누적RS수익</t>
    <phoneticPr fontId="2" type="noConversion"/>
  </si>
  <si>
    <t>당월 발생 RS수익</t>
    <phoneticPr fontId="2" type="noConversion"/>
  </si>
  <si>
    <t xml:space="preserve">중국 Kuaikan 2020.10 정산표 </t>
    <phoneticPr fontId="2" type="noConversion"/>
  </si>
  <si>
    <t>마왕의 딸로 태어났습니다</t>
    <phoneticPr fontId="2" type="noConversion"/>
  </si>
  <si>
    <t xml:space="preserve"> RMB</t>
    <phoneticPr fontId="2" type="noConversion"/>
  </si>
  <si>
    <t>KRW</t>
    <phoneticPr fontId="2" type="noConversion"/>
  </si>
  <si>
    <t>비고</t>
    <phoneticPr fontId="2" type="noConversion"/>
  </si>
  <si>
    <t>80~84화</t>
    <phoneticPr fontId="2" type="noConversion"/>
  </si>
  <si>
    <t>상금</t>
    <phoneticPr fontId="2" type="noConversion"/>
  </si>
  <si>
    <t xml:space="preserve">당월 고료 </t>
    <phoneticPr fontId="2" type="noConversion"/>
  </si>
  <si>
    <t>타이틀</t>
    <phoneticPr fontId="2" type="noConversion"/>
  </si>
  <si>
    <t>증정코익 수익</t>
    <phoneticPr fontId="2" type="noConversion"/>
  </si>
  <si>
    <t>카드수익</t>
    <phoneticPr fontId="2" type="noConversion"/>
  </si>
  <si>
    <t>전월누적RS수익</t>
    <phoneticPr fontId="2" type="noConversion"/>
  </si>
  <si>
    <t xml:space="preserve">RS 정산금액 </t>
    <phoneticPr fontId="2" type="noConversion"/>
  </si>
  <si>
    <t xml:space="preserve">중국 Kuaikan 2020.11 정산표 </t>
    <phoneticPr fontId="2" type="noConversion"/>
  </si>
  <si>
    <t>비고</t>
    <phoneticPr fontId="2" type="noConversion"/>
  </si>
  <si>
    <t>정산화수</t>
    <phoneticPr fontId="2" type="noConversion"/>
  </si>
  <si>
    <t>85~88화</t>
    <phoneticPr fontId="2" type="noConversion"/>
  </si>
  <si>
    <t>상금</t>
    <phoneticPr fontId="2" type="noConversion"/>
  </si>
  <si>
    <t>합 계</t>
    <phoneticPr fontId="2" type="noConversion"/>
  </si>
  <si>
    <t>타이틀</t>
    <phoneticPr fontId="2" type="noConversion"/>
  </si>
  <si>
    <t>코인 총매출</t>
    <phoneticPr fontId="2" type="noConversion"/>
  </si>
  <si>
    <t>ㄴ채널수수료</t>
    <phoneticPr fontId="2" type="noConversion"/>
  </si>
  <si>
    <t>증정코익 수익</t>
    <phoneticPr fontId="2" type="noConversion"/>
  </si>
  <si>
    <t>전월누적RS수익</t>
    <phoneticPr fontId="2" type="noConversion"/>
  </si>
  <si>
    <t>광고수익</t>
    <phoneticPr fontId="2" type="noConversion"/>
  </si>
  <si>
    <t xml:space="preserve">중국 Kuaikan 2020.12 정산표 </t>
    <phoneticPr fontId="2" type="noConversion"/>
  </si>
  <si>
    <t xml:space="preserve"> RMB</t>
    <phoneticPr fontId="2" type="noConversion"/>
  </si>
  <si>
    <t>89~92화</t>
    <phoneticPr fontId="2" type="noConversion"/>
  </si>
  <si>
    <t>화별MG</t>
    <phoneticPr fontId="2" type="noConversion"/>
  </si>
  <si>
    <t xml:space="preserve">당월 고료 </t>
    <phoneticPr fontId="2" type="noConversion"/>
  </si>
  <si>
    <t xml:space="preserve">당월 세후 고료 </t>
    <phoneticPr fontId="2" type="noConversion"/>
  </si>
  <si>
    <t>외부수익</t>
    <phoneticPr fontId="2" type="noConversion"/>
  </si>
  <si>
    <t>순이익</t>
    <phoneticPr fontId="2" type="noConversion"/>
  </si>
  <si>
    <t>당월세전RS수익</t>
    <phoneticPr fontId="2" type="noConversion"/>
  </si>
  <si>
    <t>광고수익</t>
    <phoneticPr fontId="2" type="noConversion"/>
  </si>
  <si>
    <t>선물코인</t>
    <phoneticPr fontId="2" type="noConversion"/>
  </si>
  <si>
    <t xml:space="preserve">중국 Kuaikan 2021.01 정산표 </t>
    <phoneticPr fontId="2" type="noConversion"/>
  </si>
  <si>
    <t>93~97화</t>
    <phoneticPr fontId="2" type="noConversion"/>
  </si>
  <si>
    <t>상금</t>
    <phoneticPr fontId="2" type="noConversion"/>
  </si>
  <si>
    <t xml:space="preserve">코인 순수익 </t>
    <phoneticPr fontId="2" type="noConversion"/>
  </si>
  <si>
    <t>광고수익</t>
    <phoneticPr fontId="2" type="noConversion"/>
  </si>
  <si>
    <t>당월 발생 RS수익</t>
    <phoneticPr fontId="2" type="noConversion"/>
  </si>
  <si>
    <t xml:space="preserve">중국 Kuaikan 2021.02 정산표 </t>
    <phoneticPr fontId="2" type="noConversion"/>
  </si>
  <si>
    <t>98~100화</t>
    <phoneticPr fontId="2" type="noConversion"/>
  </si>
  <si>
    <t xml:space="preserve">중국 Kuaikan 2021.03 정산표 </t>
    <phoneticPr fontId="2" type="noConversion"/>
  </si>
  <si>
    <t>101~103화</t>
    <phoneticPr fontId="2" type="noConversion"/>
  </si>
  <si>
    <t xml:space="preserve">당월 고료 </t>
    <phoneticPr fontId="2" type="noConversion"/>
  </si>
  <si>
    <t>MG차감 없이 정산</t>
    <phoneticPr fontId="2" type="noConversion"/>
  </si>
  <si>
    <t>선물코인</t>
    <phoneticPr fontId="2" type="noConversion"/>
  </si>
  <si>
    <t xml:space="preserve">중국 Kuaikan 2021.04 정산표 </t>
    <phoneticPr fontId="2" type="noConversion"/>
  </si>
  <si>
    <t>104화~108화</t>
    <phoneticPr fontId="2" type="noConversion"/>
  </si>
  <si>
    <t>ㄴ채널수수료</t>
    <phoneticPr fontId="2" type="noConversion"/>
  </si>
  <si>
    <t>순이익</t>
    <phoneticPr fontId="2" type="noConversion"/>
  </si>
  <si>
    <t>MG차감 없이 정산</t>
    <phoneticPr fontId="2" type="noConversion"/>
  </si>
  <si>
    <t>선물코인</t>
    <phoneticPr fontId="2" type="noConversion"/>
  </si>
  <si>
    <t xml:space="preserve">중국 Kuaikan 2021.05 정산표 </t>
    <phoneticPr fontId="2" type="noConversion"/>
  </si>
  <si>
    <t xml:space="preserve"> RMB</t>
    <phoneticPr fontId="2" type="noConversion"/>
  </si>
  <si>
    <t>MG</t>
    <phoneticPr fontId="2" type="noConversion"/>
  </si>
  <si>
    <t>109~112화</t>
    <phoneticPr fontId="2" type="noConversion"/>
  </si>
  <si>
    <t>ㄴ채널수수료</t>
    <phoneticPr fontId="2" type="noConversion"/>
  </si>
  <si>
    <t>외부수익</t>
    <phoneticPr fontId="2" type="noConversion"/>
  </si>
  <si>
    <t>MG차감 없이 정산</t>
    <phoneticPr fontId="2" type="noConversion"/>
  </si>
  <si>
    <t xml:space="preserve">중국 Kuaikan 2021.06 정산표 </t>
    <phoneticPr fontId="2" type="noConversion"/>
  </si>
  <si>
    <t>113~116화</t>
    <phoneticPr fontId="2" type="noConversion"/>
  </si>
  <si>
    <t xml:space="preserve">코인 순수익 </t>
    <phoneticPr fontId="2" type="noConversion"/>
  </si>
  <si>
    <t>MG차감 없이 정산</t>
    <phoneticPr fontId="2" type="noConversion"/>
  </si>
  <si>
    <t xml:space="preserve">RS 정산금액 </t>
    <phoneticPr fontId="2" type="noConversion"/>
  </si>
  <si>
    <t xml:space="preserve">중국 Kuaikan 2021.07 정산표 </t>
    <phoneticPr fontId="2" type="noConversion"/>
  </si>
  <si>
    <t>117~120화</t>
    <phoneticPr fontId="2" type="noConversion"/>
  </si>
  <si>
    <t>합 계</t>
    <phoneticPr fontId="2" type="noConversion"/>
  </si>
  <si>
    <t>증정코익 수익</t>
    <phoneticPr fontId="2" type="noConversion"/>
  </si>
  <si>
    <t>광고수익</t>
    <phoneticPr fontId="2" type="noConversion"/>
  </si>
  <si>
    <t xml:space="preserve">중국 Kuaikan 2021.08 정산표 </t>
    <phoneticPr fontId="2" type="noConversion"/>
  </si>
  <si>
    <t>117~120화</t>
    <phoneticPr fontId="2" type="noConversion"/>
  </si>
  <si>
    <t xml:space="preserve">중국 Kuaikan 2021.09 정산표 </t>
    <phoneticPr fontId="2" type="noConversion"/>
  </si>
  <si>
    <t>2</t>
  </si>
  <si>
    <t>121~122</t>
  </si>
  <si>
    <t>광고수익</t>
    <phoneticPr fontId="2" type="noConversion"/>
  </si>
  <si>
    <t>MG차감 없이 정산</t>
  </si>
  <si>
    <t xml:space="preserve">중국 Kuaikan 2021.10 정산표 </t>
    <phoneticPr fontId="2" type="noConversion"/>
  </si>
  <si>
    <t>5</t>
    <phoneticPr fontId="2" type="noConversion"/>
  </si>
  <si>
    <t xml:space="preserve">중국 Kuaikan 2021.11 정산표 </t>
    <phoneticPr fontId="2" type="noConversion"/>
  </si>
  <si>
    <t>4</t>
  </si>
  <si>
    <t xml:space="preserve">중국 Kuaikan 2021.12 정산표 </t>
    <phoneticPr fontId="2" type="noConversion"/>
  </si>
  <si>
    <t xml:space="preserve">당월 정산 대상 </t>
    <phoneticPr fontId="0" type="Hiragana"/>
  </si>
  <si>
    <t>(면세)</t>
    <phoneticPr fontId="0" type="Hiragana"/>
  </si>
  <si>
    <t xml:space="preserve">콰이칸 2022년 </t>
    <phoneticPr fontId="2" type="noConversion"/>
  </si>
  <si>
    <t>공제세액합계</t>
  </si>
  <si>
    <t>비고</t>
    <phoneticPr fontId="0" type="Hiragana"/>
  </si>
  <si>
    <t>RS(2021.10)</t>
    <phoneticPr fontId="2" type="noConversion"/>
  </si>
  <si>
    <t>RS(2021.11)</t>
    <phoneticPr fontId="2" type="noConversion"/>
  </si>
  <si>
    <t>RS(2021.12)</t>
    <phoneticPr fontId="2" type="noConversion"/>
  </si>
  <si>
    <t>(단위 : CNY)</t>
    <phoneticPr fontId="0" type="Hiragana"/>
  </si>
  <si>
    <t>구분</t>
    <phoneticPr fontId="0" type="Hiragana"/>
  </si>
  <si>
    <t>금액</t>
    <phoneticPr fontId="0" type="Hiragana"/>
  </si>
  <si>
    <t>계약액</t>
    <phoneticPr fontId="2" type="noConversion"/>
  </si>
  <si>
    <t>RS(유료수익)</t>
    <phoneticPr fontId="0" type="Hiragana"/>
  </si>
  <si>
    <t>세금</t>
    <phoneticPr fontId="0" type="Hiragana"/>
  </si>
  <si>
    <t>실제입금액</t>
    <phoneticPr fontId="0" type="Hiragana"/>
  </si>
  <si>
    <t>정산대상액</t>
    <phoneticPr fontId="0" type="Hiragana"/>
  </si>
  <si>
    <t>정산대상액(KRW)</t>
    <phoneticPr fontId="0" type="Hiragana"/>
  </si>
  <si>
    <t>*2021년 1월부터 기업소득세 정산 대상 제외 (미환급)</t>
    <phoneticPr fontId="2" type="noConversion"/>
  </si>
  <si>
    <t>RMB-USD환율</t>
    <phoneticPr fontId="2" type="noConversion"/>
  </si>
  <si>
    <t>USD-KRW환율</t>
    <phoneticPr fontId="2" type="noConversion"/>
  </si>
  <si>
    <t>환산일 : 2022년 1월 21일 (스토리위즈 매출 전표 결의일)</t>
    <phoneticPr fontId="0" type="Hiragana"/>
  </si>
  <si>
    <t>환산기준율 : http://www.smbs.biz/ExRate/TodayExRate.jsp</t>
    <phoneticPr fontId="0" type="Hiragana"/>
  </si>
  <si>
    <t>상세 *매출월 발생월 기준 / MG 월별정산 (M+1), RS 분기별 정산 (Q+1M)</t>
    <phoneticPr fontId="0" type="Hiragana"/>
  </si>
  <si>
    <t xml:space="preserve">작품명 </t>
    <phoneticPr fontId="0" type="Hiragana"/>
  </si>
  <si>
    <r>
      <t>逃婚郡主和她的影</t>
    </r>
    <r>
      <rPr>
        <b/>
        <sz val="10"/>
        <color theme="1"/>
        <rFont val="맑은 고딕"/>
        <family val="3"/>
        <charset val="134"/>
        <scheme val="minor"/>
      </rPr>
      <t>卫们</t>
    </r>
    <phoneticPr fontId="0" type="Hiragana"/>
  </si>
  <si>
    <t>MG</t>
    <phoneticPr fontId="0" type="Hiragana"/>
  </si>
  <si>
    <t>NO MG</t>
    <phoneticPr fontId="0" type="Hiragana"/>
  </si>
  <si>
    <t xml:space="preserve">런칭일 </t>
    <phoneticPr fontId="0" type="Hiragana"/>
  </si>
  <si>
    <t>2020.08.07</t>
    <phoneticPr fontId="0" type="Hiragana"/>
  </si>
  <si>
    <t xml:space="preserve">중국 Kuaikan 2020.08 정산표 </t>
    <phoneticPr fontId="0" type="Hiragana"/>
  </si>
  <si>
    <t>타이틀</t>
    <phoneticPr fontId="0" type="Hiragana"/>
  </si>
  <si>
    <t>옹주의 호위무사</t>
    <phoneticPr fontId="0" type="Hiragana"/>
  </si>
  <si>
    <t>옹주의 호위무사</t>
    <phoneticPr fontId="0" type="Hiragana"/>
  </si>
  <si>
    <t>KRW</t>
    <phoneticPr fontId="0" type="Hiragana"/>
  </si>
  <si>
    <t>RS</t>
    <phoneticPr fontId="0" type="Hiragana"/>
  </si>
  <si>
    <t>코인 총매출</t>
    <phoneticPr fontId="0" type="Hiragana"/>
  </si>
  <si>
    <t>ㄴ채널수수료</t>
    <phoneticPr fontId="0" type="Hiragana"/>
  </si>
  <si>
    <t xml:space="preserve">코인 순수익 </t>
    <phoneticPr fontId="0" type="Hiragana"/>
  </si>
  <si>
    <t>증정코익 수익</t>
    <phoneticPr fontId="0" type="Hiragana"/>
  </si>
  <si>
    <t>카드수익</t>
    <phoneticPr fontId="0" type="Hiragana"/>
  </si>
  <si>
    <t>외부수익</t>
    <phoneticPr fontId="0" type="Hiragana"/>
  </si>
  <si>
    <t>순이익</t>
    <phoneticPr fontId="0" type="Hiragana"/>
  </si>
  <si>
    <t>순이익</t>
    <phoneticPr fontId="0" type="Hiragana"/>
  </si>
  <si>
    <t>당월세전RS수익</t>
    <phoneticPr fontId="0" type="Hiragana"/>
  </si>
  <si>
    <t>전월누적RS수익</t>
    <phoneticPr fontId="0" type="Hiragana"/>
  </si>
  <si>
    <t>전월누적RS수익</t>
    <phoneticPr fontId="0" type="Hiragana"/>
  </si>
  <si>
    <t>당월 발생 RS수익</t>
    <phoneticPr fontId="0" type="Hiragana"/>
  </si>
  <si>
    <t>세금공제액</t>
    <phoneticPr fontId="0" type="Hiragana"/>
  </si>
  <si>
    <t xml:space="preserve">RS 정산금액 </t>
    <phoneticPr fontId="0" type="Hiragana"/>
  </si>
  <si>
    <t xml:space="preserve">중국 Kuaikan 2020.09 정산표 </t>
    <phoneticPr fontId="0" type="Hiragana"/>
  </si>
  <si>
    <t>KRW</t>
    <phoneticPr fontId="0" type="Hiragana"/>
  </si>
  <si>
    <t>RS</t>
    <phoneticPr fontId="0" type="Hiragana"/>
  </si>
  <si>
    <t>ㄴ채널수수료</t>
    <phoneticPr fontId="0" type="Hiragana"/>
  </si>
  <si>
    <t xml:space="preserve">코인 순수익 </t>
    <phoneticPr fontId="0" type="Hiragana"/>
  </si>
  <si>
    <t>증정코익 수익</t>
    <phoneticPr fontId="0" type="Hiragana"/>
  </si>
  <si>
    <t>외부수익</t>
    <phoneticPr fontId="0" type="Hiragana"/>
  </si>
  <si>
    <t>당월세전RS수익</t>
    <phoneticPr fontId="0" type="Hiragana"/>
  </si>
  <si>
    <t>당월 발생 RS수익</t>
    <phoneticPr fontId="0" type="Hiragana"/>
  </si>
  <si>
    <t xml:space="preserve">RS 정산금액 </t>
    <phoneticPr fontId="0" type="Hiragana"/>
  </si>
  <si>
    <t xml:space="preserve">중국 Kuaikan 2020.10 정산표 </t>
    <phoneticPr fontId="0" type="Hiragana"/>
  </si>
  <si>
    <t>타이틀</t>
    <phoneticPr fontId="0" type="Hiragana"/>
  </si>
  <si>
    <t>코인 총매출</t>
    <phoneticPr fontId="0" type="Hiragana"/>
  </si>
  <si>
    <t>카드수익</t>
    <phoneticPr fontId="0" type="Hiragana"/>
  </si>
  <si>
    <t>외부수익</t>
    <phoneticPr fontId="0" type="Hiragana"/>
  </si>
  <si>
    <t>당월 발생 RS수익</t>
    <phoneticPr fontId="0" type="Hiragana"/>
  </si>
  <si>
    <t>세금공제액</t>
    <phoneticPr fontId="0" type="Hiragana"/>
  </si>
  <si>
    <t xml:space="preserve">중국 Kuaikan 2020.11 정산표 </t>
    <phoneticPr fontId="0" type="Hiragana"/>
  </si>
  <si>
    <t>증정코익 수익</t>
    <phoneticPr fontId="0" type="Hiragana"/>
  </si>
  <si>
    <t>당월세전RS수익</t>
    <phoneticPr fontId="0" type="Hiragana"/>
  </si>
  <si>
    <t>광고수익</t>
    <phoneticPr fontId="0" type="Hiragana"/>
  </si>
  <si>
    <t xml:space="preserve">중국 Kuaikan 2020.12 정산표 </t>
    <phoneticPr fontId="0" type="Hiragana"/>
  </si>
  <si>
    <t>카드수익</t>
    <phoneticPr fontId="0" type="Hiragana"/>
  </si>
  <si>
    <t>광고수익</t>
    <phoneticPr fontId="0" type="Hiragana"/>
  </si>
  <si>
    <t>선물코인</t>
    <phoneticPr fontId="2" type="noConversion"/>
  </si>
  <si>
    <t xml:space="preserve">중국 Kuaikan 2021.01 정산표 </t>
    <phoneticPr fontId="0" type="Hiragana"/>
  </si>
  <si>
    <t>선물코인</t>
    <phoneticPr fontId="2" type="noConversion"/>
  </si>
  <si>
    <t xml:space="preserve">중국 Kuaikan 2021.02 정산표 </t>
    <phoneticPr fontId="0" type="Hiragana"/>
  </si>
  <si>
    <t xml:space="preserve">중국 Kuaikan 2021.03 정산표 </t>
    <phoneticPr fontId="0" type="Hiragana"/>
  </si>
  <si>
    <t>KRW</t>
    <phoneticPr fontId="2" type="noConversion"/>
  </si>
  <si>
    <t>RS</t>
    <phoneticPr fontId="0" type="Hiragana"/>
  </si>
  <si>
    <t>MG차감 없이 정산</t>
    <phoneticPr fontId="2" type="noConversion"/>
  </si>
  <si>
    <t xml:space="preserve">중국 Kuaikan 2021.04 정산표 </t>
    <phoneticPr fontId="0" type="Hiragana"/>
  </si>
  <si>
    <t>MG차감 없이 정산</t>
    <phoneticPr fontId="2" type="noConversion"/>
  </si>
  <si>
    <t xml:space="preserve">중국 Kuaikan 2021.05 정산표 </t>
    <phoneticPr fontId="0" type="Hiragana"/>
  </si>
  <si>
    <t xml:space="preserve">중국 Kuaikan 2021.06 정산표 </t>
    <phoneticPr fontId="0" type="Hiragana"/>
  </si>
  <si>
    <t xml:space="preserve">중국 Kuaikan 2021.07 정산표 </t>
    <phoneticPr fontId="0" type="Hiragana"/>
  </si>
  <si>
    <t>KRW</t>
    <phoneticPr fontId="2" type="noConversion"/>
  </si>
  <si>
    <t xml:space="preserve">중국 Kuaikan 2021.08 정산표 </t>
    <phoneticPr fontId="0" type="Hiragana"/>
  </si>
  <si>
    <t xml:space="preserve">중국 Kuaikan 2021.09 정산표 </t>
    <phoneticPr fontId="0" type="Hiragana"/>
  </si>
  <si>
    <t xml:space="preserve">중국 Kuaikan 2021.10 정산표 </t>
    <phoneticPr fontId="0" type="Hiragana"/>
  </si>
  <si>
    <t xml:space="preserve">중국 Kuaikan 2021.11 정산표 </t>
    <phoneticPr fontId="0" type="Hiragana"/>
  </si>
  <si>
    <t xml:space="preserve">중국 Kuaikan 2021.12 정산표 </t>
    <phoneticPr fontId="0" type="Hiragana"/>
  </si>
  <si>
    <t xml:space="preserve">당월 정산 대상 </t>
    <phoneticPr fontId="0" type="Hiragana"/>
  </si>
  <si>
    <t>(면세)</t>
    <phoneticPr fontId="0" type="Hiragana"/>
  </si>
  <si>
    <t xml:space="preserve">콰이칸 2022년 </t>
    <phoneticPr fontId="2" type="noConversion"/>
  </si>
  <si>
    <t>월 정산금액</t>
    <phoneticPr fontId="2" type="noConversion"/>
  </si>
  <si>
    <t>비고</t>
    <phoneticPr fontId="0" type="Hiragana"/>
  </si>
  <si>
    <t>RS(2021.04)</t>
    <phoneticPr fontId="2" type="noConversion"/>
  </si>
  <si>
    <t>RS(2021.05)</t>
    <phoneticPr fontId="2" type="noConversion"/>
  </si>
  <si>
    <t>RS(2021.06)</t>
    <phoneticPr fontId="2" type="noConversion"/>
  </si>
  <si>
    <t>(단위 : CNY)</t>
    <phoneticPr fontId="0" type="Hiragana"/>
  </si>
  <si>
    <t>구분</t>
    <phoneticPr fontId="0" type="Hiragana"/>
  </si>
  <si>
    <t>금액</t>
    <phoneticPr fontId="0" type="Hiragana"/>
  </si>
  <si>
    <t>계약액</t>
    <phoneticPr fontId="2" type="noConversion"/>
  </si>
  <si>
    <t>RS(유료수익)</t>
    <phoneticPr fontId="0" type="Hiragana"/>
  </si>
  <si>
    <t>세금</t>
    <phoneticPr fontId="0" type="Hiragana"/>
  </si>
  <si>
    <t>실제입금액</t>
    <phoneticPr fontId="0" type="Hiragana"/>
  </si>
  <si>
    <t>정산대상액</t>
    <phoneticPr fontId="0" type="Hiragana"/>
  </si>
  <si>
    <t>정산대상액(KRW)</t>
    <phoneticPr fontId="0" type="Hiragana"/>
  </si>
  <si>
    <t>*2021년 1월부터 기업소득세 정산 대상 제외 (미환급)</t>
    <phoneticPr fontId="2" type="noConversion"/>
  </si>
  <si>
    <t>환산일 : 년 월 일 (스토리위즈 매출 전표 결의일)</t>
    <phoneticPr fontId="0" type="Hiragana"/>
  </si>
  <si>
    <t>환산기준율 : http://www.smbs.biz/ExRate/TodayExRate.jsp</t>
    <phoneticPr fontId="0" type="Hiragana"/>
  </si>
  <si>
    <t>상세 *매출월 발생월 기준 / MG 월별정산 (M+1), RS 분기별 정산 (Q+1M)</t>
    <phoneticPr fontId="0" type="Hiragana"/>
  </si>
  <si>
    <t xml:space="preserve">작품명 </t>
    <phoneticPr fontId="0" type="Hiragana"/>
  </si>
  <si>
    <r>
      <t>逃婚郡主和她的影</t>
    </r>
    <r>
      <rPr>
        <b/>
        <sz val="10"/>
        <color theme="1"/>
        <rFont val="맑은 고딕"/>
        <family val="3"/>
        <charset val="134"/>
        <scheme val="minor"/>
      </rPr>
      <t>卫们</t>
    </r>
    <phoneticPr fontId="0" type="Hiragana"/>
  </si>
  <si>
    <t>MG</t>
    <phoneticPr fontId="0" type="Hiragana"/>
  </si>
  <si>
    <t xml:space="preserve">런칭일 </t>
    <phoneticPr fontId="0" type="Hiragana"/>
  </si>
  <si>
    <t xml:space="preserve">중국 Kuaikan 2021.08 정산표 </t>
    <phoneticPr fontId="0" type="Hiragana"/>
  </si>
  <si>
    <t>타이틀</t>
    <phoneticPr fontId="2" type="noConversion"/>
  </si>
  <si>
    <t>아파트 용사</t>
    <phoneticPr fontId="2" type="noConversion"/>
  </si>
  <si>
    <t xml:space="preserve"> RMB</t>
    <phoneticPr fontId="2" type="noConversion"/>
  </si>
  <si>
    <t>KRW</t>
    <phoneticPr fontId="2" type="noConversion"/>
  </si>
  <si>
    <t>비고</t>
    <phoneticPr fontId="2" type="noConversion"/>
  </si>
  <si>
    <t>MG</t>
    <phoneticPr fontId="2" type="noConversion"/>
  </si>
  <si>
    <t>정산화수</t>
    <phoneticPr fontId="2" type="noConversion"/>
  </si>
  <si>
    <t>-</t>
    <phoneticPr fontId="2" type="noConversion"/>
  </si>
  <si>
    <t>MG 일괄 지급</t>
    <phoneticPr fontId="2" type="noConversion"/>
  </si>
  <si>
    <t>화별MG</t>
    <phoneticPr fontId="2" type="noConversion"/>
  </si>
  <si>
    <t>상금</t>
    <phoneticPr fontId="2" type="noConversion"/>
  </si>
  <si>
    <t xml:space="preserve">당월 고료 </t>
    <phoneticPr fontId="2" type="noConversion"/>
  </si>
  <si>
    <t>세금공제액</t>
    <phoneticPr fontId="2" type="noConversion"/>
  </si>
  <si>
    <t xml:space="preserve">당월 세후 고료 </t>
    <phoneticPr fontId="2" type="noConversion"/>
  </si>
  <si>
    <t>RS</t>
    <phoneticPr fontId="2" type="noConversion"/>
  </si>
  <si>
    <t>코인 총매출</t>
    <phoneticPr fontId="2" type="noConversion"/>
  </si>
  <si>
    <t>ㄴ채널수수료</t>
    <phoneticPr fontId="2" type="noConversion"/>
  </si>
  <si>
    <t xml:space="preserve">코인 순수익 </t>
    <phoneticPr fontId="2" type="noConversion"/>
  </si>
  <si>
    <t>증정코인 수익</t>
    <phoneticPr fontId="2" type="noConversion"/>
  </si>
  <si>
    <t>카드수익</t>
    <phoneticPr fontId="2" type="noConversion"/>
  </si>
  <si>
    <t>외부수익</t>
    <phoneticPr fontId="2" type="noConversion"/>
  </si>
  <si>
    <t>순이익</t>
    <phoneticPr fontId="2" type="noConversion"/>
  </si>
  <si>
    <t>당월세전RS수익</t>
    <phoneticPr fontId="2" type="noConversion"/>
  </si>
  <si>
    <t>전월누적RS수익</t>
    <phoneticPr fontId="2" type="noConversion"/>
  </si>
  <si>
    <t>광고수익</t>
    <phoneticPr fontId="2" type="noConversion"/>
  </si>
  <si>
    <t>선물코인</t>
    <phoneticPr fontId="2" type="noConversion"/>
  </si>
  <si>
    <t>당월 발생 RS수익</t>
    <phoneticPr fontId="2" type="noConversion"/>
  </si>
  <si>
    <t xml:space="preserve">RS 정산금액 </t>
    <phoneticPr fontId="2" type="noConversion"/>
  </si>
  <si>
    <t xml:space="preserve">중국 Kuaikan 2021.09 정산표 </t>
    <phoneticPr fontId="0" type="Hiragana"/>
  </si>
  <si>
    <t>세금공제액</t>
    <phoneticPr fontId="2" type="noConversion"/>
  </si>
  <si>
    <t xml:space="preserve">당월 세후 고료 </t>
    <phoneticPr fontId="2" type="noConversion"/>
  </si>
  <si>
    <t>RS</t>
    <phoneticPr fontId="2" type="noConversion"/>
  </si>
  <si>
    <t>코인 총매출</t>
    <phoneticPr fontId="2" type="noConversion"/>
  </si>
  <si>
    <t>ㄴ채널수수료</t>
    <phoneticPr fontId="2" type="noConversion"/>
  </si>
  <si>
    <t>증정코인 수익</t>
    <phoneticPr fontId="2" type="noConversion"/>
  </si>
  <si>
    <t>순이익</t>
    <phoneticPr fontId="2" type="noConversion"/>
  </si>
  <si>
    <t>광고수익</t>
    <phoneticPr fontId="2" type="noConversion"/>
  </si>
  <si>
    <t xml:space="preserve">RS 정산금액 </t>
    <phoneticPr fontId="2" type="noConversion"/>
  </si>
  <si>
    <t xml:space="preserve">중국 Kuaikan 2021.10 정산표 </t>
    <phoneticPr fontId="0" type="Hiragana"/>
  </si>
  <si>
    <t>타이틀</t>
    <phoneticPr fontId="2" type="noConversion"/>
  </si>
  <si>
    <t>아파트 용사</t>
    <phoneticPr fontId="2" type="noConversion"/>
  </si>
  <si>
    <t xml:space="preserve"> RMB</t>
    <phoneticPr fontId="2" type="noConversion"/>
  </si>
  <si>
    <t>MG</t>
    <phoneticPr fontId="2" type="noConversion"/>
  </si>
  <si>
    <t>정산화수</t>
    <phoneticPr fontId="2" type="noConversion"/>
  </si>
  <si>
    <t>-</t>
    <phoneticPr fontId="2" type="noConversion"/>
  </si>
  <si>
    <t>MG 일괄 지급</t>
    <phoneticPr fontId="2" type="noConversion"/>
  </si>
  <si>
    <t>화별MG</t>
    <phoneticPr fontId="2" type="noConversion"/>
  </si>
  <si>
    <t>상금</t>
    <phoneticPr fontId="2" type="noConversion"/>
  </si>
  <si>
    <t xml:space="preserve">당월 고료 </t>
    <phoneticPr fontId="2" type="noConversion"/>
  </si>
  <si>
    <t xml:space="preserve">당월 정산 대상 </t>
    <phoneticPr fontId="2" type="noConversion"/>
  </si>
  <si>
    <t>(면세)</t>
    <phoneticPr fontId="2" type="noConversion"/>
  </si>
  <si>
    <t xml:space="preserve">태국 코미코 2022년 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</si>
  <si>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월 정산 금액   </t>
    </r>
    <r>
      <rPr>
        <sz val="10"/>
        <color theme="1"/>
        <rFont val="맑은 고딕"/>
        <family val="3"/>
        <charset val="129"/>
        <scheme val="minor"/>
      </rPr>
      <t xml:space="preserve">   (단위 :THB)</t>
    </r>
    <phoneticPr fontId="2" type="noConversion"/>
  </si>
  <si>
    <t>대상</t>
    <phoneticPr fontId="2" type="noConversion"/>
  </si>
  <si>
    <t>금액(THB)</t>
    <phoneticPr fontId="2" type="noConversion"/>
  </si>
  <si>
    <t>비고</t>
    <phoneticPr fontId="2" type="noConversion"/>
  </si>
  <si>
    <t>RS</t>
    <phoneticPr fontId="2" type="noConversion"/>
  </si>
  <si>
    <t>합계</t>
    <phoneticPr fontId="2" type="noConversion"/>
  </si>
  <si>
    <t>(단위 :THB)</t>
    <phoneticPr fontId="2" type="noConversion"/>
  </si>
  <si>
    <t>구분</t>
    <phoneticPr fontId="2" type="noConversion"/>
  </si>
  <si>
    <t>금액</t>
    <phoneticPr fontId="2" type="noConversion"/>
  </si>
  <si>
    <t>계약액</t>
    <phoneticPr fontId="2" type="noConversion"/>
  </si>
  <si>
    <t>세금(5%)</t>
    <phoneticPr fontId="2" type="noConversion"/>
  </si>
  <si>
    <t>정산대상액</t>
    <phoneticPr fontId="2" type="noConversion"/>
  </si>
  <si>
    <t>정산대상액(KRW)</t>
    <phoneticPr fontId="2" type="noConversion"/>
  </si>
  <si>
    <t>환산일 : 2022년 01월 17일(인보이스 발행일)</t>
    <phoneticPr fontId="2" type="noConversion"/>
  </si>
  <si>
    <t>환산기준율 : http://www.smbs.biz/ExRate/TodayExRate.jsp</t>
    <phoneticPr fontId="2" type="noConversion"/>
  </si>
  <si>
    <t>*원천세 5% 포함 / 2021년 1월부터 원천세 정산 대상 제외 (미환급)</t>
    <phoneticPr fontId="2" type="noConversion"/>
  </si>
  <si>
    <t>상세 *매출월 발생월 기준 / 타이틀 MG, RS 분기별 정산 (Q+2M)</t>
    <phoneticPr fontId="2" type="noConversion"/>
  </si>
  <si>
    <t xml:space="preserve">작품명 </t>
    <phoneticPr fontId="2" type="noConversion"/>
  </si>
  <si>
    <r>
      <t>เกิดมาอีกทีกลายเป็นเบบี๋ของจอมมาร</t>
    </r>
    <r>
      <rPr>
        <b/>
        <sz val="10"/>
        <color theme="1"/>
        <rFont val="맑은 고딕"/>
        <family val="3"/>
        <charset val="129"/>
        <scheme val="minor"/>
      </rPr>
      <t xml:space="preserve"> (마왕의 딸로 태어났습니다)</t>
    </r>
    <phoneticPr fontId="2" type="noConversion"/>
  </si>
  <si>
    <t>MG</t>
    <phoneticPr fontId="2" type="noConversion"/>
  </si>
  <si>
    <t>USD</t>
    <phoneticPr fontId="2" type="noConversion"/>
  </si>
  <si>
    <t xml:space="preserve">2020.09 SW정산 </t>
    <phoneticPr fontId="2" type="noConversion"/>
  </si>
  <si>
    <t xml:space="preserve">런칭일 </t>
    <phoneticPr fontId="2" type="noConversion"/>
  </si>
  <si>
    <t>2020.10.16</t>
    <phoneticPr fontId="2" type="noConversion"/>
  </si>
  <si>
    <t>매출월</t>
    <phoneticPr fontId="2" type="noConversion"/>
  </si>
  <si>
    <t>잔여 MG (THB)</t>
    <phoneticPr fontId="164" type="noConversion"/>
  </si>
  <si>
    <t>Gross (THB)</t>
    <phoneticPr fontId="164" type="noConversion"/>
  </si>
  <si>
    <t>Fee (THB)</t>
    <phoneticPr fontId="164" type="noConversion"/>
  </si>
  <si>
    <t>Deducted (THB)</t>
    <phoneticPr fontId="164" type="noConversion"/>
  </si>
  <si>
    <t>Net Rev (THB)</t>
    <phoneticPr fontId="164" type="noConversion"/>
  </si>
  <si>
    <t>Rev-MG (THB)</t>
    <phoneticPr fontId="164" type="noConversion"/>
  </si>
  <si>
    <t>정산액 (THB)</t>
    <phoneticPr fontId="164" type="noConversion"/>
  </si>
  <si>
    <t>분기정산(THB)</t>
    <phoneticPr fontId="2" type="noConversion"/>
  </si>
  <si>
    <t>정산현황</t>
    <phoneticPr fontId="164" type="noConversion"/>
  </si>
  <si>
    <t>2020.10</t>
    <phoneticPr fontId="2" type="noConversion"/>
  </si>
  <si>
    <t>정산완료(2021.01)</t>
    <phoneticPr fontId="2" type="noConversion"/>
  </si>
  <si>
    <t>정산완료(2021.04)</t>
    <phoneticPr fontId="2" type="noConversion"/>
  </si>
  <si>
    <t>정산완료(2021.07)</t>
    <phoneticPr fontId="2" type="noConversion"/>
  </si>
  <si>
    <t>정산완료(2021.10)</t>
    <phoneticPr fontId="2" type="noConversion"/>
  </si>
  <si>
    <t>2021.10</t>
    <phoneticPr fontId="2" type="noConversion"/>
  </si>
  <si>
    <t>정산완료(2022.01)</t>
    <phoneticPr fontId="2" type="noConversion"/>
  </si>
  <si>
    <t>2021.11</t>
  </si>
  <si>
    <t>Total</t>
  </si>
  <si>
    <t>*업체 송금일 기준 USD 환산 송금 / 내부 매출인식 문제로 업체 송금 완료 후 국내 제휴사 정산 예정 (Q+3M)</t>
    <phoneticPr fontId="2" type="noConversion"/>
  </si>
  <si>
    <t xml:space="preserve">당월 정산 대상 </t>
    <phoneticPr fontId="2" type="noConversion"/>
  </si>
  <si>
    <t>(과세)</t>
    <phoneticPr fontId="2" type="noConversion"/>
  </si>
  <si>
    <t>태피툰 2022년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</si>
  <si>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월 정산 금액</t>
    </r>
    <r>
      <rPr>
        <sz val="10"/>
        <color theme="1"/>
        <rFont val="맑은 고딕"/>
        <family val="3"/>
        <charset val="129"/>
        <scheme val="minor"/>
      </rPr>
      <t xml:space="preserve"> (단위: KRW)</t>
    </r>
    <phoneticPr fontId="2" type="noConversion"/>
  </si>
  <si>
    <t>정산대상액</t>
    <phoneticPr fontId="2" type="noConversion"/>
  </si>
  <si>
    <t>RS(2021.11)</t>
    <phoneticPr fontId="2" type="noConversion"/>
  </si>
  <si>
    <t>VAT 별도</t>
    <phoneticPr fontId="2" type="noConversion"/>
  </si>
  <si>
    <t xml:space="preserve">*최초 MG 정산 제외 모두 과세 </t>
    <phoneticPr fontId="2" type="noConversion"/>
  </si>
  <si>
    <t>상세 *매출월 발생월 기준 / 타이틀 MG, RS 월별 정산 (M+2)</t>
    <phoneticPr fontId="2" type="noConversion"/>
  </si>
  <si>
    <t>The Adventures of a Demon King's Daughter 
(마왕의 딸로 태어났습니다)</t>
    <phoneticPr fontId="2" type="noConversion"/>
  </si>
  <si>
    <t xml:space="preserve">2020.08 SW정산 </t>
    <phoneticPr fontId="2" type="noConversion"/>
  </si>
  <si>
    <t xml:space="preserve">런칭일 </t>
    <phoneticPr fontId="2" type="noConversion"/>
  </si>
  <si>
    <t>2020.09.28</t>
    <phoneticPr fontId="2" type="noConversion"/>
  </si>
  <si>
    <t>매출월</t>
    <phoneticPr fontId="2" type="noConversion"/>
  </si>
  <si>
    <t>토큰 합계</t>
  </si>
  <si>
    <t>배분 수익</t>
  </si>
  <si>
    <t>이월 선급금</t>
  </si>
  <si>
    <t>잔여 선급금</t>
  </si>
  <si>
    <t>정산 금액</t>
  </si>
  <si>
    <t>정산현황</t>
    <phoneticPr fontId="2" type="noConversion"/>
  </si>
  <si>
    <t>2020.12 정산</t>
    <phoneticPr fontId="2" type="noConversion"/>
  </si>
  <si>
    <t>2020.11</t>
    <phoneticPr fontId="2" type="noConversion"/>
  </si>
  <si>
    <t>2021.01 정산</t>
    <phoneticPr fontId="2" type="noConversion"/>
  </si>
  <si>
    <t>2020.12</t>
    <phoneticPr fontId="2" type="noConversion"/>
  </si>
  <si>
    <t>2021.02 정산</t>
    <phoneticPr fontId="2" type="noConversion"/>
  </si>
  <si>
    <t>2021.01</t>
    <phoneticPr fontId="2" type="noConversion"/>
  </si>
  <si>
    <t>2021.03 정산</t>
    <phoneticPr fontId="2" type="noConversion"/>
  </si>
  <si>
    <t>2021.02</t>
    <phoneticPr fontId="2" type="noConversion"/>
  </si>
  <si>
    <t>-</t>
  </si>
  <si>
    <t>2021.04 정산</t>
    <phoneticPr fontId="2" type="noConversion"/>
  </si>
  <si>
    <t>2021.03</t>
    <phoneticPr fontId="2" type="noConversion"/>
  </si>
  <si>
    <t>2021.05 정산</t>
    <phoneticPr fontId="2" type="noConversion"/>
  </si>
  <si>
    <t>2021.04</t>
    <phoneticPr fontId="2" type="noConversion"/>
  </si>
  <si>
    <t>2021.06 정산</t>
    <phoneticPr fontId="2" type="noConversion"/>
  </si>
  <si>
    <t>2021.05</t>
    <phoneticPr fontId="2" type="noConversion"/>
  </si>
  <si>
    <t>2021.07 정산</t>
    <phoneticPr fontId="2" type="noConversion"/>
  </si>
  <si>
    <t>2021.06</t>
    <phoneticPr fontId="2" type="noConversion"/>
  </si>
  <si>
    <t>2021.09 정산</t>
    <phoneticPr fontId="2" type="noConversion"/>
  </si>
  <si>
    <t>2021.07</t>
  </si>
  <si>
    <t>2021.08 정산</t>
    <phoneticPr fontId="2" type="noConversion"/>
  </si>
  <si>
    <t>2021.10 정산</t>
    <phoneticPr fontId="2" type="noConversion"/>
  </si>
  <si>
    <t>2021.11 정산</t>
    <phoneticPr fontId="2" type="noConversion"/>
  </si>
  <si>
    <t>2021.10</t>
    <phoneticPr fontId="2" type="noConversion"/>
  </si>
  <si>
    <t>2021.12 정산</t>
    <phoneticPr fontId="2" type="noConversion"/>
  </si>
  <si>
    <t>2021.11</t>
    <phoneticPr fontId="2" type="noConversion"/>
  </si>
  <si>
    <t>2022.01 정산</t>
    <phoneticPr fontId="2" type="noConversion"/>
  </si>
  <si>
    <t xml:space="preserve">당월 정산 대상 </t>
    <phoneticPr fontId="2" type="noConversion"/>
  </si>
  <si>
    <t>(면세)</t>
    <phoneticPr fontId="2" type="noConversion"/>
  </si>
  <si>
    <t>델리툰(프) 2022년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</si>
  <si>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월 정산 금액</t>
    </r>
    <r>
      <rPr>
        <sz val="10"/>
        <color theme="1"/>
        <rFont val="맑은 고딕"/>
        <family val="3"/>
        <charset val="129"/>
        <scheme val="minor"/>
      </rPr>
      <t xml:space="preserve"> (단위: KRW)</t>
    </r>
    <phoneticPr fontId="2" type="noConversion"/>
  </si>
  <si>
    <t>정산대상액</t>
    <phoneticPr fontId="2" type="noConversion"/>
  </si>
  <si>
    <t>비고</t>
    <phoneticPr fontId="2" type="noConversion"/>
  </si>
  <si>
    <t>vat 별도</t>
    <phoneticPr fontId="2" type="noConversion"/>
  </si>
  <si>
    <t>*2021년 3월 매출분(스토리위즈 4월 매출적용분)부터 과세</t>
    <phoneticPr fontId="2" type="noConversion"/>
  </si>
  <si>
    <t xml:space="preserve"> </t>
    <phoneticPr fontId="2" type="noConversion"/>
  </si>
  <si>
    <t>상세 *매출월 발생월 기준 / 타이틀 MG, RS 월별 정산 (M+2)</t>
    <phoneticPr fontId="2" type="noConversion"/>
  </si>
  <si>
    <t xml:space="preserve">작품명 </t>
    <phoneticPr fontId="2" type="noConversion"/>
  </si>
  <si>
    <t>Les aventures de la fille du Roi Démon 
(마왕의 딸로 태어났습니다)</t>
    <phoneticPr fontId="2" type="noConversion"/>
  </si>
  <si>
    <t>MG</t>
    <phoneticPr fontId="2" type="noConversion"/>
  </si>
  <si>
    <t>KRW</t>
    <phoneticPr fontId="2" type="noConversion"/>
  </si>
  <si>
    <t xml:space="preserve">2020.07 SW정산 </t>
    <phoneticPr fontId="2" type="noConversion"/>
  </si>
  <si>
    <t>MG 2차</t>
    <phoneticPr fontId="2" type="noConversion"/>
  </si>
  <si>
    <t>KRW</t>
    <phoneticPr fontId="2" type="noConversion"/>
  </si>
  <si>
    <t>2021.11 SW 정산</t>
    <phoneticPr fontId="2" type="noConversion"/>
  </si>
  <si>
    <t xml:space="preserve">런칭일 </t>
    <phoneticPr fontId="2" type="noConversion"/>
  </si>
  <si>
    <t>2020.12.15</t>
    <phoneticPr fontId="2" type="noConversion"/>
  </si>
  <si>
    <t>매출월</t>
    <phoneticPr fontId="2" type="noConversion"/>
  </si>
  <si>
    <r>
      <t>CP RS (</t>
    </r>
    <r>
      <rPr>
        <b/>
        <sz val="10"/>
        <rFont val="맑은 고딕"/>
        <family val="2"/>
        <scheme val="major"/>
      </rPr>
      <t>€</t>
    </r>
    <r>
      <rPr>
        <b/>
        <sz val="10"/>
        <rFont val="맑은 고딕"/>
        <family val="3"/>
        <charset val="129"/>
        <scheme val="major"/>
      </rPr>
      <t>)</t>
    </r>
  </si>
  <si>
    <t>CP RS (￦)</t>
  </si>
  <si>
    <t>전체 MG (￦)</t>
  </si>
  <si>
    <t>남은 MG (￦)</t>
  </si>
  <si>
    <t>차감 후 MG (￦)</t>
  </si>
  <si>
    <t>자급 금액 (￦)</t>
  </si>
  <si>
    <t>Unit</t>
  </si>
  <si>
    <t>정산현황</t>
    <phoneticPr fontId="2" type="noConversion"/>
  </si>
  <si>
    <t>-</t>
    <phoneticPr fontId="2" type="noConversion"/>
  </si>
  <si>
    <t>2021.02 정산</t>
    <phoneticPr fontId="2" type="noConversion"/>
  </si>
  <si>
    <t>2021.03 정산</t>
    <phoneticPr fontId="2" type="noConversion"/>
  </si>
  <si>
    <t>2021.04 정산</t>
    <phoneticPr fontId="2" type="noConversion"/>
  </si>
  <si>
    <t>2021.05 정산</t>
    <phoneticPr fontId="2" type="noConversion"/>
  </si>
  <si>
    <t>2021.06 정산</t>
    <phoneticPr fontId="2" type="noConversion"/>
  </si>
  <si>
    <t>2021.07 정산</t>
    <phoneticPr fontId="2" type="noConversion"/>
  </si>
  <si>
    <t>2021.08 정산</t>
    <phoneticPr fontId="2" type="noConversion"/>
  </si>
  <si>
    <t>2021.09 정산</t>
    <phoneticPr fontId="2" type="noConversion"/>
  </si>
  <si>
    <t>2021.10 정산</t>
    <phoneticPr fontId="2" type="noConversion"/>
  </si>
  <si>
    <t>2021.10</t>
    <phoneticPr fontId="2" type="noConversion"/>
  </si>
  <si>
    <t>2021.11 정산</t>
  </si>
  <si>
    <t>2021.12 정산</t>
    <phoneticPr fontId="2" type="noConversion"/>
  </si>
  <si>
    <t>2022.01정산</t>
    <phoneticPr fontId="2" type="noConversion"/>
  </si>
  <si>
    <t xml:space="preserve">작품명 </t>
    <phoneticPr fontId="2" type="noConversion"/>
  </si>
  <si>
    <t>미정   (회귀의 전설)</t>
    <phoneticPr fontId="2" type="noConversion"/>
  </si>
  <si>
    <t>KRW</t>
    <phoneticPr fontId="2" type="noConversion"/>
  </si>
  <si>
    <t>2021.11 SW정산</t>
    <phoneticPr fontId="2" type="noConversion"/>
  </si>
  <si>
    <t>= SW 매출 * 85% = 컨헤라 정산대상액으로 인식</t>
    <phoneticPr fontId="2" type="noConversion"/>
  </si>
  <si>
    <t xml:space="preserve">런칭일 </t>
    <phoneticPr fontId="2" type="noConversion"/>
  </si>
  <si>
    <t>미정</t>
    <phoneticPr fontId="2" type="noConversion"/>
  </si>
  <si>
    <t>매출월</t>
    <phoneticPr fontId="2" type="noConversion"/>
  </si>
  <si>
    <t>정산현황</t>
    <phoneticPr fontId="2" type="noConversion"/>
  </si>
  <si>
    <t xml:space="preserve">당월 정산 대상 </t>
    <phoneticPr fontId="2" type="noConversion"/>
  </si>
  <si>
    <t>(과세)</t>
    <phoneticPr fontId="2" type="noConversion"/>
  </si>
  <si>
    <t>델리툰(독) 2022년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</si>
  <si>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월 정산 금액</t>
    </r>
    <r>
      <rPr>
        <sz val="10"/>
        <color theme="1"/>
        <rFont val="맑은 고딕"/>
        <family val="3"/>
        <charset val="129"/>
        <scheme val="minor"/>
      </rPr>
      <t xml:space="preserve"> (단위: KRW)</t>
    </r>
    <phoneticPr fontId="2" type="noConversion"/>
  </si>
  <si>
    <t>정산대상액</t>
    <phoneticPr fontId="2" type="noConversion"/>
  </si>
  <si>
    <t>비고</t>
    <phoneticPr fontId="2" type="noConversion"/>
  </si>
  <si>
    <t>RS(21.12)</t>
    <phoneticPr fontId="2" type="noConversion"/>
  </si>
  <si>
    <t>*2021년 3월 매출분(스토리위즈 4월 매출적용분)부터 과세</t>
    <phoneticPr fontId="2" type="noConversion"/>
  </si>
  <si>
    <t>미정
(마왕의 딸로 태어났습니다)</t>
    <phoneticPr fontId="2" type="noConversion"/>
  </si>
  <si>
    <t xml:space="preserve">2020.12 SW정산 </t>
    <phoneticPr fontId="2" type="noConversion"/>
  </si>
  <si>
    <t xml:space="preserve">런칭일 </t>
    <phoneticPr fontId="2" type="noConversion"/>
  </si>
  <si>
    <t>2021.05.09</t>
    <phoneticPr fontId="2" type="noConversion"/>
  </si>
  <si>
    <t>매출월</t>
    <phoneticPr fontId="2" type="noConversion"/>
  </si>
  <si>
    <t>-</t>
    <phoneticPr fontId="2" type="noConversion"/>
  </si>
  <si>
    <t>-</t>
    <phoneticPr fontId="2" type="noConversion"/>
  </si>
  <si>
    <t>2022.01 정산</t>
    <phoneticPr fontId="2" type="noConversion"/>
  </si>
  <si>
    <t>미정 (회귀의 전설)</t>
    <phoneticPr fontId="2" type="noConversion"/>
  </si>
  <si>
    <t>2021.11 SW 정산</t>
    <phoneticPr fontId="2" type="noConversion"/>
  </si>
  <si>
    <t>= SW 매출 * 85% = 컨헤라 정산대상액으로 인식</t>
    <phoneticPr fontId="2" type="noConversion"/>
  </si>
  <si>
    <t xml:space="preserve">런칭일 </t>
    <phoneticPr fontId="2" type="noConversion"/>
  </si>
  <si>
    <t xml:space="preserve">미정 </t>
    <phoneticPr fontId="2" type="noConversion"/>
  </si>
  <si>
    <t>매출월</t>
    <phoneticPr fontId="2" type="noConversion"/>
  </si>
  <si>
    <t>정산현황</t>
    <phoneticPr fontId="2" type="noConversion"/>
  </si>
  <si>
    <t xml:space="preserve">당월 정산 대상 </t>
    <phoneticPr fontId="2" type="noConversion"/>
  </si>
  <si>
    <t>(과세)</t>
    <phoneticPr fontId="2" type="noConversion"/>
  </si>
  <si>
    <t>카카페인니 2022년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</si>
  <si>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월 정산 금액</t>
    </r>
    <r>
      <rPr>
        <sz val="10"/>
        <color theme="1"/>
        <rFont val="맑은 고딕"/>
        <family val="3"/>
        <charset val="129"/>
        <scheme val="minor"/>
      </rPr>
      <t xml:space="preserve"> (단위: KRW)</t>
    </r>
    <phoneticPr fontId="2" type="noConversion"/>
  </si>
  <si>
    <t>정산대상액</t>
    <phoneticPr fontId="2" type="noConversion"/>
  </si>
  <si>
    <t>비고</t>
    <phoneticPr fontId="2" type="noConversion"/>
  </si>
  <si>
    <t>RS(2021.1)</t>
    <phoneticPr fontId="2" type="noConversion"/>
  </si>
  <si>
    <t>vat 별도</t>
    <phoneticPr fontId="2" type="noConversion"/>
  </si>
  <si>
    <t>*과세</t>
    <phoneticPr fontId="2" type="noConversion"/>
  </si>
  <si>
    <t>상세 *매출월 발생월 기준 / 타이틀 MG / RS 월별 정산 (M+3)</t>
    <phoneticPr fontId="2" type="noConversion"/>
  </si>
  <si>
    <t xml:space="preserve">작품명 </t>
    <phoneticPr fontId="2" type="noConversion"/>
  </si>
  <si>
    <t>Aku Lahir Sebagai Anak Raja Ibis
(마왕의 딸로 태어났습니다)</t>
    <phoneticPr fontId="2" type="noConversion"/>
  </si>
  <si>
    <t>MG</t>
    <phoneticPr fontId="2" type="noConversion"/>
  </si>
  <si>
    <t>KRW</t>
    <phoneticPr fontId="2" type="noConversion"/>
  </si>
  <si>
    <t xml:space="preserve">2021.02 SW정산 </t>
    <phoneticPr fontId="2" type="noConversion"/>
  </si>
  <si>
    <t xml:space="preserve">런칭일 </t>
    <phoneticPr fontId="2" type="noConversion"/>
  </si>
  <si>
    <t>2021.01.07</t>
    <phoneticPr fontId="2" type="noConversion"/>
  </si>
  <si>
    <t>정산서 주기</t>
    <phoneticPr fontId="2" type="noConversion"/>
  </si>
  <si>
    <t>매출월(M)기준 M+2월 10일 내</t>
    <phoneticPr fontId="2" type="noConversion"/>
  </si>
  <si>
    <t>매출월(정산입수)</t>
    <phoneticPr fontId="2" type="noConversion"/>
  </si>
  <si>
    <t>플래폼거래액
(IDR)</t>
    <phoneticPr fontId="2" type="noConversion"/>
  </si>
  <si>
    <t>환율
(IDR)</t>
  </si>
  <si>
    <t>플래폼거래액
(원)</t>
    <phoneticPr fontId="2" type="noConversion"/>
  </si>
  <si>
    <t>결제수수료
(원)</t>
  </si>
  <si>
    <t>page
RS%</t>
    <phoneticPr fontId="2" type="noConversion"/>
  </si>
  <si>
    <t>page 매출액
(원)</t>
  </si>
  <si>
    <t xml:space="preserve"> CP
RS%</t>
    <phoneticPr fontId="2" type="noConversion"/>
  </si>
  <si>
    <t xml:space="preserve"> 당월연동비
(MG+RS)</t>
    <phoneticPr fontId="2" type="noConversion"/>
  </si>
  <si>
    <t xml:space="preserve">당월인식
MG </t>
    <phoneticPr fontId="2" type="noConversion"/>
  </si>
  <si>
    <t xml:space="preserve">당월초과
RS </t>
    <phoneticPr fontId="2" type="noConversion"/>
  </si>
  <si>
    <t>비고(잔여MG)</t>
    <phoneticPr fontId="2" type="noConversion"/>
  </si>
  <si>
    <t>2021.01(2021.03)</t>
    <phoneticPr fontId="2" type="noConversion"/>
  </si>
  <si>
    <t>2021.02(2021.04)</t>
    <phoneticPr fontId="2" type="noConversion"/>
  </si>
  <si>
    <t>-</t>
    <phoneticPr fontId="2" type="noConversion"/>
  </si>
  <si>
    <t>2021.03(2021.05)</t>
    <phoneticPr fontId="2" type="noConversion"/>
  </si>
  <si>
    <t>2021.05 정산</t>
    <phoneticPr fontId="2" type="noConversion"/>
  </si>
  <si>
    <t>2021.04(2021.06)</t>
    <phoneticPr fontId="2" type="noConversion"/>
  </si>
  <si>
    <t>2021.06 정산</t>
    <phoneticPr fontId="2" type="noConversion"/>
  </si>
  <si>
    <t>2021.05(2021.07)</t>
    <phoneticPr fontId="2" type="noConversion"/>
  </si>
  <si>
    <t>2021.07 정산</t>
    <phoneticPr fontId="2" type="noConversion"/>
  </si>
  <si>
    <t>2021.06(2021.08)</t>
    <phoneticPr fontId="2" type="noConversion"/>
  </si>
  <si>
    <t>2021.08 정산</t>
    <phoneticPr fontId="2" type="noConversion"/>
  </si>
  <si>
    <t>2021.07(2021.09)</t>
    <phoneticPr fontId="2" type="noConversion"/>
  </si>
  <si>
    <t>2021.09 정산</t>
    <phoneticPr fontId="2" type="noConversion"/>
  </si>
  <si>
    <t>2021.08(2021.10)</t>
    <phoneticPr fontId="2" type="noConversion"/>
  </si>
  <si>
    <t>2021.10 정산</t>
    <phoneticPr fontId="2" type="noConversion"/>
  </si>
  <si>
    <t>2021.09(2021.11)</t>
    <phoneticPr fontId="2" type="noConversion"/>
  </si>
  <si>
    <t>2021.11 정산</t>
    <phoneticPr fontId="2" type="noConversion"/>
  </si>
  <si>
    <t>2021.10(2021.12)</t>
    <phoneticPr fontId="2" type="noConversion"/>
  </si>
  <si>
    <t>2021.12 정산</t>
    <phoneticPr fontId="2" type="noConversion"/>
  </si>
  <si>
    <t>2021.11(2022.01)</t>
    <phoneticPr fontId="2" type="noConversion"/>
  </si>
  <si>
    <t>2022.1 정산</t>
    <phoneticPr fontId="2" type="noConversion"/>
  </si>
  <si>
    <t xml:space="preserve">당월 정산 대상 </t>
    <phoneticPr fontId="2" type="noConversion"/>
  </si>
  <si>
    <t>(면세)</t>
    <phoneticPr fontId="2" type="noConversion"/>
  </si>
  <si>
    <t>코믹툰 2022년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</si>
  <si>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월 정산 금액</t>
    </r>
    <r>
      <rPr>
        <sz val="10"/>
        <color theme="1"/>
        <rFont val="맑은 고딕"/>
        <family val="3"/>
        <charset val="129"/>
        <scheme val="minor"/>
      </rPr>
      <t xml:space="preserve"> (단위: KRW)</t>
    </r>
    <phoneticPr fontId="2" type="noConversion"/>
  </si>
  <si>
    <t>정산대상액</t>
    <phoneticPr fontId="2" type="noConversion"/>
  </si>
  <si>
    <t>MG 차감 중</t>
    <phoneticPr fontId="2" type="noConversion"/>
  </si>
  <si>
    <t>* 과세</t>
    <phoneticPr fontId="2" type="noConversion"/>
  </si>
  <si>
    <t>상세 *매출월 발생월 기준 / 타이틀 MG, RS 월별 정산 (M+2)</t>
    <phoneticPr fontId="2" type="noConversion"/>
  </si>
  <si>
    <t xml:space="preserve">작품명 </t>
    <phoneticPr fontId="2" type="noConversion"/>
  </si>
  <si>
    <t>미정
(마왕의 딸로 태어났습니다)</t>
    <phoneticPr fontId="2" type="noConversion"/>
  </si>
  <si>
    <t>MG</t>
    <phoneticPr fontId="2" type="noConversion"/>
  </si>
  <si>
    <t>KRW</t>
    <phoneticPr fontId="2" type="noConversion"/>
  </si>
  <si>
    <t>2021.04 SW정산</t>
    <phoneticPr fontId="2" type="noConversion"/>
  </si>
  <si>
    <t xml:space="preserve">런칭일 </t>
    <phoneticPr fontId="2" type="noConversion"/>
  </si>
  <si>
    <t>판매월/정산월</t>
    <phoneticPr fontId="162" type="noConversion"/>
  </si>
  <si>
    <t>제목 (Korean)</t>
    <phoneticPr fontId="162" type="noConversion"/>
  </si>
  <si>
    <t>판매 건수</t>
    <phoneticPr fontId="162" type="noConversion"/>
  </si>
  <si>
    <t>판매 코인</t>
    <phoneticPr fontId="162" type="noConversion"/>
  </si>
  <si>
    <t>판매 금액
(VND)</t>
    <phoneticPr fontId="162" type="noConversion"/>
  </si>
  <si>
    <t>총매출
(VND)</t>
    <phoneticPr fontId="162" type="noConversion"/>
  </si>
  <si>
    <t>순매출
(VND)</t>
    <phoneticPr fontId="162" type="noConversion"/>
  </si>
  <si>
    <t>MG (원)</t>
    <phoneticPr fontId="162" type="noConversion"/>
  </si>
  <si>
    <t>수익분배기준 (RS)</t>
    <phoneticPr fontId="162" type="noConversion"/>
  </si>
  <si>
    <t>수익분배율(RS)</t>
    <phoneticPr fontId="2" type="noConversion"/>
  </si>
  <si>
    <t>정산 금액
(VND)</t>
    <phoneticPr fontId="162" type="noConversion"/>
  </si>
  <si>
    <t>정산 금액
(KRW)</t>
    <phoneticPr fontId="162" type="noConversion"/>
  </si>
  <si>
    <t>잔여MG</t>
    <phoneticPr fontId="162" type="noConversion"/>
  </si>
  <si>
    <t>21년 8월/21년 9월</t>
    <phoneticPr fontId="2" type="noConversion"/>
  </si>
  <si>
    <t>마왕의 딸로 태어났습니다</t>
    <phoneticPr fontId="2" type="noConversion"/>
  </si>
  <si>
    <t>순매출</t>
    <phoneticPr fontId="2" type="noConversion"/>
  </si>
  <si>
    <t>21년 9월/21년 10월</t>
    <phoneticPr fontId="2" type="noConversion"/>
  </si>
  <si>
    <t>마왕의 딸로 태어났습니다</t>
    <phoneticPr fontId="2" type="noConversion"/>
  </si>
  <si>
    <t>21년 10월/21년 11월</t>
    <phoneticPr fontId="2" type="noConversion"/>
  </si>
  <si>
    <t>21년 11월/21년 12월</t>
    <phoneticPr fontId="2" type="noConversion"/>
  </si>
  <si>
    <t>21년 12월/22년 1월</t>
    <phoneticPr fontId="2" type="noConversion"/>
  </si>
  <si>
    <t>21년 11월(추가)/22년 1월</t>
    <phoneticPr fontId="2" type="noConversion"/>
  </si>
  <si>
    <t>상세 *매출월 발생월 기준 / 타이틀 MG, RS 월별 정산 (M+2)</t>
  </si>
  <si>
    <t xml:space="preserve">작품명 </t>
  </si>
  <si>
    <t>미정 (옹주의 호위무사)</t>
    <phoneticPr fontId="2" type="noConversion"/>
  </si>
  <si>
    <t>MG</t>
  </si>
  <si>
    <t>2021.04 SW정산</t>
  </si>
  <si>
    <t xml:space="preserve">런칭일 </t>
  </si>
  <si>
    <t>제목 (Korean)</t>
    <phoneticPr fontId="162" type="noConversion"/>
  </si>
  <si>
    <t>수익분배율(RS)</t>
    <phoneticPr fontId="2" type="noConversion"/>
  </si>
  <si>
    <t>잔여MG</t>
    <phoneticPr fontId="162" type="noConversion"/>
  </si>
  <si>
    <t>21년 6월/21년 7월</t>
    <phoneticPr fontId="2" type="noConversion"/>
  </si>
  <si>
    <t>옹주의 호위무사</t>
    <phoneticPr fontId="2" type="noConversion"/>
  </si>
  <si>
    <t>21년 7월/21년 8월</t>
    <phoneticPr fontId="2" type="noConversion"/>
  </si>
  <si>
    <t>순매출</t>
    <phoneticPr fontId="2" type="noConversion"/>
  </si>
  <si>
    <t>21년 10월/21년 11월</t>
    <phoneticPr fontId="2" type="noConversion"/>
  </si>
  <si>
    <t xml:space="preserve">당월 정산 대상 </t>
  </si>
  <si>
    <t>(면세)</t>
  </si>
  <si>
    <t>라라툰 2022년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</si>
  <si>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월 정산 금액</t>
    </r>
    <r>
      <rPr>
        <sz val="10"/>
        <color theme="1"/>
        <rFont val="맑은 고딕"/>
        <family val="3"/>
        <charset val="129"/>
        <scheme val="minor"/>
      </rPr>
      <t xml:space="preserve"> (단위: KRW)</t>
    </r>
    <phoneticPr fontId="2" type="noConversion"/>
  </si>
  <si>
    <t>정산대상액</t>
  </si>
  <si>
    <t>N</t>
    <phoneticPr fontId="2" type="noConversion"/>
  </si>
  <si>
    <t xml:space="preserve">부가세 별도 </t>
    <phoneticPr fontId="2" type="noConversion"/>
  </si>
  <si>
    <t>* 과세</t>
  </si>
  <si>
    <t>미정 (옹주의 호위무사)</t>
    <phoneticPr fontId="2" type="noConversion"/>
  </si>
  <si>
    <t>2021.07 SW정산</t>
    <phoneticPr fontId="2" type="noConversion"/>
  </si>
  <si>
    <t xml:space="preserve">미정   </t>
    <phoneticPr fontId="2" type="noConversion"/>
  </si>
  <si>
    <t xml:space="preserve">2022.01 SW정산 </t>
    <phoneticPr fontId="2" type="noConversion"/>
  </si>
  <si>
    <t>상세 *매출월 발생월 기준 / 타이틀 MG / RS 월별 정산</t>
    <phoneticPr fontId="2" type="noConversion"/>
  </si>
  <si>
    <t>&lt;회귀의 전설&gt;</t>
    <phoneticPr fontId="2" type="noConversion"/>
  </si>
  <si>
    <t>미정</t>
    <phoneticPr fontId="2" type="noConversion"/>
  </si>
  <si>
    <t>-총 매출의 85%를 판권제휴 SW 매출로 인식/ 해당 매출의 30% 컨헤라 정산(70% 투자회수)</t>
    <phoneticPr fontId="2" type="noConversion"/>
  </si>
  <si>
    <t>카카페(회귀/타파스)_스토리위즈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</si>
</sst>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_(* #,##0.00_);_(* \(#,##0.00\);_(* &quot;-&quot;??_);_(@_)"/>
    <numFmt numFmtId="181" formatCode="0.0"/>
    <numFmt numFmtId="182" formatCode="_-* #,##0_-;\-* #,##0_-;_-* \-_-;_-@_-"/>
    <numFmt numFmtId="183" formatCode="&quot;Yes&quot;;&quot;Yes&quot;;&quot;No&quot;"/>
    <numFmt numFmtId="184" formatCode="&quot;₩&quot;#,##0;[Red]&quot;₩&quot;&quot;₩&quot;&quot;₩&quot;&quot;₩&quot;\-&quot;₩&quot;#,##0"/>
    <numFmt numFmtId="185" formatCode="&quot;₩&quot;#,##0.00;[Red]&quot;₩&quot;&quot;₩&quot;&quot;₩&quot;&quot;₩&quot;&quot;₩&quot;&quot;₩&quot;&quot;₩&quot;\-#,##0.00"/>
    <numFmt numFmtId="186" formatCode="_ * #,##0_ ;_ * &quot;₩&quot;&quot;₩&quot;&quot;₩&quot;&quot;₩&quot;&quot;₩&quot;&quot;₩&quot;\-#,##0_ ;_ * &quot;-&quot;_ ;_ @_ "/>
    <numFmt numFmtId="187" formatCode="_-* #,##0.00_-;\-* #,##0.00_-;_-* &quot;-&quot;_-;_-@_-"/>
    <numFmt numFmtId="188" formatCode="#,##0_ ;[Red]\-#,##0\ "/>
    <numFmt numFmtId="189" formatCode="#,##0.0_ "/>
    <numFmt numFmtId="190" formatCode="#,##0.00_ "/>
    <numFmt numFmtId="191" formatCode="_(* #,##0.0000_);_(* \(#,##0.0000\);_(* &quot;-&quot;_);_(@_)"/>
    <numFmt numFmtId="192" formatCode="0.0%"/>
    <numFmt numFmtId="193" formatCode="yyyy/mm/dd\ aaa"/>
    <numFmt numFmtId="194" formatCode="#,##0.00_ ;[Red]\-#,##0.00\ "/>
    <numFmt numFmtId="195" formatCode="_ [$¥-804]* #,##0.00_ ;_ [$¥-804]* \-#,##0.00_ ;_ [$¥-804]* &quot;-&quot;??_ ;_ @_ "/>
    <numFmt numFmtId="196" formatCode="[$¥-804]#,##0.00_);[Red]\([$¥-804]#,##0.00\)"/>
    <numFmt numFmtId="197" formatCode="_(* #,##0_);_(* \(#,##0\);_(* &quot;-&quot;??_);_(@_)"/>
    <numFmt numFmtId="198" formatCode="_-* #,##0.0000_-;\-* #,##0.0000_-;_-* &quot;-&quot;_-;_-@_-"/>
    <numFmt numFmtId="199" formatCode="_-* #,##0_-;\-* #,##0_-;_-* &quot;-&quot;??_-;_-@_-"/>
  </numFmts>
  <fonts count="2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돋움체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8"/>
      <name val="Arial"/>
      <family val="2"/>
    </font>
    <font>
      <u/>
      <sz val="11"/>
      <color theme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8"/>
      <name val="Arial"/>
      <family val="2"/>
    </font>
    <font>
      <b/>
      <sz val="9"/>
      <name val="Arial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Helv"/>
      <family val="2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64"/>
      <name val="돋움"/>
      <family val="3"/>
      <charset val="129"/>
    </font>
    <font>
      <sz val="11"/>
      <color indexed="8"/>
      <name val="Helvetica Neue"/>
      <family val="2"/>
    </font>
    <font>
      <sz val="11"/>
      <color rgb="FF000000"/>
      <name val="맑은 고딕"/>
      <family val="3"/>
      <charset val="129"/>
    </font>
    <font>
      <sz val="11"/>
      <name val="굴림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b/>
      <sz val="10"/>
      <color theme="1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65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sz val="14"/>
      <color theme="1"/>
      <name val="맑은 고딕"/>
      <family val="2"/>
      <charset val="129"/>
      <scheme val="minor"/>
    </font>
    <font>
      <b/>
      <sz val="10"/>
      <name val="Tahoma"/>
      <family val="2"/>
    </font>
    <font>
      <u/>
      <sz val="8"/>
      <color rgb="FF136EBE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b/>
      <i/>
      <sz val="10"/>
      <color indexed="1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u val="singleAccounting"/>
      <sz val="9"/>
      <color indexed="10"/>
      <name val="맑은 고딕"/>
      <family val="3"/>
      <charset val="129"/>
    </font>
    <font>
      <b/>
      <i/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i/>
      <sz val="10"/>
      <color indexed="8"/>
      <name val="맑은 고딕"/>
      <family val="3"/>
      <charset val="129"/>
    </font>
    <font>
      <b/>
      <i/>
      <sz val="11"/>
      <color indexed="10"/>
      <name val="맑은 고딕"/>
      <family val="3"/>
      <charset val="129"/>
    </font>
    <font>
      <sz val="9"/>
      <color rgb="FF0070C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9"/>
      <color rgb="FF2F3743"/>
      <name val="돋움"/>
      <family val="3"/>
      <charset val="129"/>
    </font>
    <font>
      <sz val="9"/>
      <color indexed="8"/>
      <name val="맑은 고딕"/>
      <family val="2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나눔고딕"/>
      <family val="3"/>
      <charset val="129"/>
    </font>
    <font>
      <b/>
      <sz val="9"/>
      <color rgb="FFFF0000"/>
      <name val="맑은 고딕"/>
      <family val="3"/>
      <charset val="129"/>
    </font>
    <font>
      <sz val="8"/>
      <color rgb="FF2F3743"/>
      <name val="돋움"/>
      <family val="3"/>
      <charset val="129"/>
    </font>
    <font>
      <sz val="8"/>
      <color rgb="FF2F3743"/>
      <name val="Tahoma"/>
      <family val="2"/>
    </font>
    <font>
      <b/>
      <sz val="8"/>
      <color rgb="FF2F3743"/>
      <name val="Tahoma"/>
      <family val="2"/>
    </font>
    <font>
      <sz val="18"/>
      <color theme="3"/>
      <name val="맑은 고딕"/>
      <family val="2"/>
      <charset val="129"/>
      <scheme val="major"/>
    </font>
    <font>
      <b/>
      <sz val="7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  <font>
      <b/>
      <sz val="9"/>
      <color rgb="FFFF0000"/>
      <name val="맑은 고딕"/>
      <family val="3"/>
      <charset val="129"/>
      <scheme val="major"/>
    </font>
    <font>
      <sz val="10"/>
      <color rgb="FFFF0000"/>
      <name val="Arial"/>
      <family val="2"/>
    </font>
    <font>
      <b/>
      <sz val="11"/>
      <color rgb="FF2F3743"/>
      <name val="돋움"/>
      <family val="3"/>
      <charset val="129"/>
    </font>
    <font>
      <b/>
      <sz val="16"/>
      <color rgb="FF060A12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8"/>
      <name val="굴림"/>
      <family val="2"/>
      <charset val="129"/>
    </font>
    <font>
      <sz val="9"/>
      <color theme="1" tint="0.3999755851924192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7"/>
      <color theme="4"/>
      <name val="맑은 고딕"/>
      <family val="3"/>
      <charset val="129"/>
      <scheme val="major"/>
    </font>
    <font>
      <sz val="9"/>
      <color theme="0" tint="-0.499984740745262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34"/>
      <scheme val="minor"/>
    </font>
    <font>
      <b/>
      <sz val="10"/>
      <color theme="1"/>
      <name val="맑은 고딕"/>
      <family val="3"/>
      <charset val="128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2"/>
      <charset val="129"/>
      <scheme val="minor"/>
    </font>
    <font>
      <b/>
      <sz val="10"/>
      <color theme="0" tint="-0.499984740745262"/>
      <name val="맑은 고딕"/>
      <family val="2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0"/>
      <name val="맑은 고딕"/>
      <family val="3"/>
      <charset val="129"/>
      <scheme val="minor"/>
    </font>
    <font>
      <b/>
      <sz val="8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b/>
      <sz val="10"/>
      <name val="Calibri"/>
      <family val="2"/>
    </font>
    <font>
      <b/>
      <sz val="10"/>
      <name val="맑은 고딕"/>
      <family val="3"/>
      <charset val="129"/>
      <scheme val="major"/>
    </font>
    <font>
      <b/>
      <sz val="10"/>
      <name val="맑은 고딕"/>
      <family val="2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rgb="FF0070C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Malgun Gothic"/>
      <family val="2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</fonts>
  <fills count="1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/>
      <right style="medium">
        <color rgb="FFBEBEBE"/>
      </right>
      <top style="medium">
        <color rgb="FFBEBEBE"/>
      </top>
      <bottom style="medium">
        <color rgb="FFBEBEBE"/>
      </bottom>
      <diagonal/>
    </border>
    <border>
      <left style="medium">
        <color rgb="FFBEBEBE"/>
      </left>
      <right/>
      <top style="medium">
        <color rgb="FFBEBEBE"/>
      </top>
      <bottom style="medium">
        <color rgb="FFBEBEBE"/>
      </bottom>
      <diagonal/>
    </border>
    <border>
      <left style="medium">
        <color rgb="FFBEBEBE"/>
      </left>
      <right style="medium">
        <color rgb="FFBEBEBE"/>
      </right>
      <top/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/>
      <right/>
      <top style="medium">
        <color rgb="FFBEBEBE"/>
      </top>
      <bottom/>
      <diagonal/>
    </border>
    <border>
      <left/>
      <right style="medium">
        <color rgb="FFBEBEBE"/>
      </right>
      <top style="medium">
        <color rgb="FFBEBEBE"/>
      </top>
      <bottom/>
      <diagonal/>
    </border>
    <border>
      <left style="medium">
        <color rgb="FFBEBEBE"/>
      </left>
      <right/>
      <top/>
      <bottom style="medium">
        <color rgb="FFBEBEBE"/>
      </bottom>
      <diagonal/>
    </border>
    <border>
      <left/>
      <right/>
      <top/>
      <bottom style="medium">
        <color rgb="FFBEBEBE"/>
      </bottom>
      <diagonal/>
    </border>
    <border>
      <left/>
      <right style="medium">
        <color rgb="FFBEBEBE"/>
      </right>
      <top/>
      <bottom style="medium">
        <color rgb="FFBEBEBE"/>
      </bottom>
      <diagonal/>
    </border>
    <border>
      <left style="medium">
        <color rgb="FFBEBEBE"/>
      </left>
      <right style="medium">
        <color rgb="FFBEBEBE"/>
      </right>
      <top/>
      <bottom style="medium">
        <color rgb="FFBEBEBE"/>
      </bottom>
      <diagonal/>
    </border>
    <border>
      <left style="medium">
        <color rgb="FFBEBEBE"/>
      </left>
      <right/>
      <top/>
      <bottom/>
      <diagonal/>
    </border>
    <border>
      <left/>
      <right style="medium">
        <color rgb="FFBEBEBE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theme="0" tint="-9.9948118533890809E-2"/>
      </left>
      <right style="thin">
        <color theme="0" tint="-9.9948118533890809E-2"/>
      </right>
      <top/>
      <bottom style="thin">
        <color theme="0" tint="-9.9948118533890809E-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9.9948118533890809E-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9.9948118533890809E-2"/>
      </bottom>
      <diagonal/>
    </border>
    <border>
      <left/>
      <right/>
      <top style="thin">
        <color theme="0" tint="-0.499984740745262"/>
      </top>
      <bottom style="thin">
        <color theme="0" tint="-9.9948118533890809E-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9.9948118533890809E-2"/>
      </bottom>
      <diagonal/>
    </border>
    <border>
      <left style="thin">
        <color theme="0" tint="-0.499984740745262"/>
      </left>
      <right style="thin">
        <color theme="0" tint="-9.9948118533890809E-2"/>
      </right>
      <top/>
      <bottom/>
      <diagonal/>
    </border>
    <border>
      <left/>
      <right style="thin">
        <color theme="0" tint="-9.9948118533890809E-2"/>
      </right>
      <top/>
      <bottom/>
      <diagonal/>
    </border>
    <border>
      <left style="thin">
        <color theme="0" tint="-9.9948118533890809E-2"/>
      </left>
      <right style="thin">
        <color theme="0" tint="-9.9948118533890809E-2"/>
      </right>
      <top/>
      <bottom/>
      <diagonal/>
    </border>
    <border>
      <left style="thin">
        <color theme="0" tint="-9.9948118533890809E-2"/>
      </left>
      <right/>
      <top/>
      <bottom/>
      <diagonal/>
    </border>
    <border>
      <left style="thin">
        <color theme="0" tint="-9.9948118533890809E-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9.9948118533890809E-2"/>
      </right>
      <top style="thin">
        <color theme="0" tint="-9.9948118533890809E-2"/>
      </top>
      <bottom/>
      <diagonal/>
    </border>
    <border>
      <left/>
      <right style="thin">
        <color theme="0" tint="-9.9948118533890809E-2"/>
      </right>
      <top style="thin">
        <color theme="0" tint="-9.9948118533890809E-2"/>
      </top>
      <bottom/>
      <diagonal/>
    </border>
    <border>
      <left/>
      <right style="thin">
        <color theme="0" tint="-0.499984740745262"/>
      </right>
      <top style="thin">
        <color theme="0" tint="-9.9948118533890809E-2"/>
      </top>
      <bottom/>
      <diagonal/>
    </border>
    <border>
      <left style="thin">
        <color theme="0" tint="-0.499984740745262"/>
      </left>
      <right style="thin">
        <color theme="0" tint="-9.9948118533890809E-2"/>
      </right>
      <top/>
      <bottom style="thin">
        <color theme="0" tint="-0.499984740745262"/>
      </bottom>
      <diagonal/>
    </border>
    <border>
      <left/>
      <right style="thin">
        <color theme="0" tint="-9.9948118533890809E-2"/>
      </right>
      <top/>
      <bottom style="thin">
        <color theme="0" tint="-0.499984740745262"/>
      </bottom>
      <diagonal/>
    </border>
    <border>
      <left style="thin">
        <color theme="0" tint="-9.9948118533890809E-2"/>
      </left>
      <right style="thin">
        <color theme="0" tint="-9.9948118533890809E-2"/>
      </right>
      <top/>
      <bottom style="thin">
        <color theme="0" tint="-0.499984740745262"/>
      </bottom>
      <diagonal/>
    </border>
    <border>
      <left style="thin">
        <color theme="0" tint="-9.9948118533890809E-2"/>
      </left>
      <right/>
      <top/>
      <bottom style="thin">
        <color theme="0" tint="-0.499984740745262"/>
      </bottom>
      <diagonal/>
    </border>
    <border>
      <left style="thin">
        <color theme="0" tint="-9.9948118533890809E-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9.9948118533890809E-2"/>
      </right>
      <top style="thin">
        <color theme="0" tint="-9.9948118533890809E-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9.9948118533890809E-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9.9948118533890809E-2"/>
      </right>
      <top style="thin">
        <color theme="0" tint="-9.9948118533890809E-2"/>
      </top>
      <bottom style="thin">
        <color theme="0" tint="-0.499984740745262"/>
      </bottom>
      <diagonal/>
    </border>
    <border>
      <left/>
      <right style="thin">
        <color theme="0" tint="-9.9948118533890809E-2"/>
      </right>
      <top/>
      <bottom style="thin">
        <color theme="0" tint="-9.9948118533890809E-2"/>
      </bottom>
      <diagonal/>
    </border>
    <border>
      <left style="thin">
        <color theme="0" tint="-0.499984740745262"/>
      </left>
      <right style="thin">
        <color theme="0" tint="-9.9948118533890809E-2"/>
      </right>
      <top style="thin">
        <color theme="0" tint="-9.9948118533890809E-2"/>
      </top>
      <bottom style="thin">
        <color theme="0" tint="-9.9948118533890809E-2"/>
      </bottom>
      <diagonal/>
    </border>
    <border>
      <left/>
      <right style="thin">
        <color theme="0" tint="-9.9948118533890809E-2"/>
      </right>
      <top style="thin">
        <color theme="0" tint="-9.9948118533890809E-2"/>
      </top>
      <bottom style="thin">
        <color theme="0" tint="-9.9948118533890809E-2"/>
      </bottom>
      <diagonal/>
    </border>
    <border>
      <left style="thin">
        <color theme="0" tint="-9.9948118533890809E-2"/>
      </left>
      <right/>
      <top style="thin">
        <color theme="0" tint="-9.9948118533890809E-2"/>
      </top>
      <bottom style="thin">
        <color theme="0" tint="-9.9948118533890809E-2"/>
      </bottom>
      <diagonal/>
    </border>
    <border>
      <left style="thin">
        <color theme="0" tint="-9.9948118533890809E-2"/>
      </left>
      <right style="thin">
        <color theme="0" tint="-0.499984740745262"/>
      </right>
      <top style="thin">
        <color theme="0" tint="-9.9948118533890809E-2"/>
      </top>
      <bottom style="thin">
        <color theme="0" tint="-9.9948118533890809E-2"/>
      </bottom>
      <diagonal/>
    </border>
    <border>
      <left/>
      <right style="thin">
        <color theme="0" tint="-0.499984740745262"/>
      </right>
      <top style="thin">
        <color theme="0" tint="-9.9948118533890809E-2"/>
      </top>
      <bottom style="thin">
        <color theme="0" tint="-9.9948118533890809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078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4" fillId="0" borderId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41" borderId="0" applyNumberFormat="0" applyBorder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41" borderId="0" applyNumberFormat="0" applyBorder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41" borderId="0" applyNumberFormat="0" applyBorder="0" applyProtection="0">
      <alignment vertical="center"/>
    </xf>
    <xf numFmtId="0" fontId="30" fillId="41" borderId="0" applyNumberFormat="0" applyBorder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41" borderId="0" applyNumberFormat="0" applyBorder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42" borderId="0" applyNumberFormat="0" applyBorder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42" borderId="0" applyNumberFormat="0" applyBorder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42" borderId="0" applyNumberFormat="0" applyBorder="0" applyProtection="0">
      <alignment vertical="center"/>
    </xf>
    <xf numFmtId="0" fontId="30" fillId="42" borderId="0" applyNumberFormat="0" applyBorder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42" borderId="0" applyNumberFormat="0" applyBorder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43" borderId="0" applyNumberFormat="0" applyBorder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43" borderId="0" applyNumberFormat="0" applyBorder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43" borderId="0" applyNumberFormat="0" applyBorder="0" applyProtection="0">
      <alignment vertical="center"/>
    </xf>
    <xf numFmtId="0" fontId="30" fillId="43" borderId="0" applyNumberFormat="0" applyBorder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43" borderId="0" applyNumberFormat="0" applyBorder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44" borderId="0" applyNumberFormat="0" applyBorder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44" borderId="0" applyNumberFormat="0" applyBorder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44" borderId="0" applyNumberFormat="0" applyBorder="0" applyProtection="0">
      <alignment vertical="center"/>
    </xf>
    <xf numFmtId="0" fontId="30" fillId="44" borderId="0" applyNumberFormat="0" applyBorder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44" borderId="0" applyNumberFormat="0" applyBorder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45" borderId="0" applyNumberFormat="0" applyBorder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45" borderId="0" applyNumberFormat="0" applyBorder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45" borderId="0" applyNumberFormat="0" applyBorder="0" applyProtection="0">
      <alignment vertical="center"/>
    </xf>
    <xf numFmtId="0" fontId="30" fillId="45" borderId="0" applyNumberFormat="0" applyBorder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45" borderId="0" applyNumberFormat="0" applyBorder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6" borderId="0" applyNumberFormat="0" applyBorder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6" borderId="0" applyNumberFormat="0" applyBorder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6" borderId="0" applyNumberFormat="0" applyBorder="0" applyProtection="0">
      <alignment vertical="center"/>
    </xf>
    <xf numFmtId="0" fontId="30" fillId="46" borderId="0" applyNumberFormat="0" applyBorder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6" borderId="0" applyNumberFormat="0" applyBorder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51" borderId="0" applyNumberFormat="0" applyBorder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51" borderId="0" applyNumberFormat="0" applyBorder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51" borderId="0" applyNumberFormat="0" applyBorder="0" applyProtection="0">
      <alignment vertical="center"/>
    </xf>
    <xf numFmtId="0" fontId="30" fillId="51" borderId="0" applyNumberFormat="0" applyBorder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51" borderId="0" applyNumberFormat="0" applyBorder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52" borderId="0" applyNumberFormat="0" applyBorder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52" borderId="0" applyNumberFormat="0" applyBorder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52" borderId="0" applyNumberFormat="0" applyBorder="0" applyProtection="0">
      <alignment vertical="center"/>
    </xf>
    <xf numFmtId="0" fontId="30" fillId="52" borderId="0" applyNumberFormat="0" applyBorder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52" borderId="0" applyNumberFormat="0" applyBorder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53" borderId="0" applyNumberFormat="0" applyBorder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53" borderId="0" applyNumberFormat="0" applyBorder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53" borderId="0" applyNumberFormat="0" applyBorder="0" applyProtection="0">
      <alignment vertical="center"/>
    </xf>
    <xf numFmtId="0" fontId="30" fillId="53" borderId="0" applyNumberFormat="0" applyBorder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53" borderId="0" applyNumberFormat="0" applyBorder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44" borderId="0" applyNumberFormat="0" applyBorder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44" borderId="0" applyNumberFormat="0" applyBorder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44" borderId="0" applyNumberFormat="0" applyBorder="0" applyProtection="0">
      <alignment vertical="center"/>
    </xf>
    <xf numFmtId="0" fontId="30" fillId="44" borderId="0" applyNumberFormat="0" applyBorder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44" borderId="0" applyNumberFormat="0" applyBorder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51" borderId="0" applyNumberFormat="0" applyBorder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51" borderId="0" applyNumberFormat="0" applyBorder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51" borderId="0" applyNumberFormat="0" applyBorder="0" applyProtection="0">
      <alignment vertical="center"/>
    </xf>
    <xf numFmtId="0" fontId="30" fillId="51" borderId="0" applyNumberFormat="0" applyBorder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51" borderId="0" applyNumberFormat="0" applyBorder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4" borderId="0" applyNumberFormat="0" applyBorder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4" borderId="0" applyNumberFormat="0" applyBorder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4" borderId="0" applyNumberFormat="0" applyBorder="0" applyProtection="0">
      <alignment vertical="center"/>
    </xf>
    <xf numFmtId="0" fontId="30" fillId="54" borderId="0" applyNumberFormat="0" applyBorder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4" borderId="0" applyNumberFormat="0" applyBorder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9" borderId="0" applyNumberFormat="0" applyBorder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9" borderId="0" applyNumberFormat="0" applyBorder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9" borderId="0" applyNumberFormat="0" applyBorder="0" applyProtection="0">
      <alignment vertical="center"/>
    </xf>
    <xf numFmtId="0" fontId="31" fillId="59" borderId="0" applyNumberFormat="0" applyBorder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9" borderId="0" applyNumberFormat="0" applyBorder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52" borderId="0" applyNumberFormat="0" applyBorder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52" borderId="0" applyNumberFormat="0" applyBorder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52" borderId="0" applyNumberFormat="0" applyBorder="0" applyProtection="0">
      <alignment vertical="center"/>
    </xf>
    <xf numFmtId="0" fontId="31" fillId="52" borderId="0" applyNumberFormat="0" applyBorder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52" borderId="0" applyNumberFormat="0" applyBorder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53" borderId="0" applyNumberFormat="0" applyBorder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53" borderId="0" applyNumberFormat="0" applyBorder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3" borderId="0" applyNumberFormat="0" applyBorder="0" applyProtection="0">
      <alignment vertical="center"/>
    </xf>
    <xf numFmtId="0" fontId="31" fillId="53" borderId="0" applyNumberFormat="0" applyBorder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53" borderId="0" applyNumberFormat="0" applyBorder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60" borderId="0" applyNumberFormat="0" applyBorder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60" borderId="0" applyNumberFormat="0" applyBorder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60" borderId="0" applyNumberFormat="0" applyBorder="0" applyProtection="0">
      <alignment vertical="center"/>
    </xf>
    <xf numFmtId="0" fontId="31" fillId="60" borderId="0" applyNumberFormat="0" applyBorder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60" borderId="0" applyNumberFormat="0" applyBorder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61" borderId="0" applyNumberFormat="0" applyBorder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61" borderId="0" applyNumberFormat="0" applyBorder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61" borderId="0" applyNumberFormat="0" applyBorder="0" applyProtection="0">
      <alignment vertical="center"/>
    </xf>
    <xf numFmtId="0" fontId="31" fillId="61" borderId="0" applyNumberFormat="0" applyBorder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61" borderId="0" applyNumberFormat="0" applyBorder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62" borderId="0" applyNumberFormat="0" applyBorder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62" borderId="0" applyNumberFormat="0" applyBorder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62" borderId="0" applyNumberFormat="0" applyBorder="0" applyProtection="0">
      <alignment vertical="center"/>
    </xf>
    <xf numFmtId="0" fontId="31" fillId="62" borderId="0" applyNumberFormat="0" applyBorder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62" borderId="0" applyNumberFormat="0" applyBorder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177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27" fillId="0" borderId="0"/>
    <xf numFmtId="0" fontId="30" fillId="70" borderId="19" applyNumberFormat="0" applyFont="0" applyAlignment="0" applyProtection="0">
      <alignment vertical="center"/>
    </xf>
    <xf numFmtId="0" fontId="30" fillId="70" borderId="19" applyNumberFormat="0" applyFon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5" fillId="0" borderId="12" applyNumberFormat="0" applyFill="0" applyProtection="0">
      <alignment horizontal="center" wrapText="1"/>
    </xf>
    <xf numFmtId="0" fontId="45" fillId="0" borderId="0" applyNumberFormat="0" applyFill="0" applyBorder="0" applyProtection="0">
      <alignment horizontal="left" vertical="top" wrapText="1"/>
    </xf>
    <xf numFmtId="0" fontId="28" fillId="0" borderId="0" applyNumberFormat="0" applyFill="0" applyBorder="0" applyProtection="0">
      <alignment horizontal="left" vertical="top" wrapText="1"/>
    </xf>
    <xf numFmtId="49" fontId="28" fillId="0" borderId="1" applyFill="0" applyProtection="0">
      <alignment horizontal="left" vertical="top"/>
    </xf>
    <xf numFmtId="49" fontId="28" fillId="0" borderId="1" applyFill="0" applyProtection="0">
      <alignment horizontal="center" vertical="top"/>
    </xf>
    <xf numFmtId="0" fontId="28" fillId="0" borderId="1" applyNumberFormat="0" applyFill="0" applyProtection="0">
      <alignment horizontal="left" vertical="top" wrapText="1"/>
    </xf>
    <xf numFmtId="14" fontId="28" fillId="0" borderId="1" applyFill="0" applyProtection="0">
      <alignment horizontal="right" vertical="top"/>
    </xf>
    <xf numFmtId="180" fontId="28" fillId="0" borderId="1" applyFill="0" applyProtection="0">
      <alignment horizontal="right" vertical="top"/>
    </xf>
    <xf numFmtId="181" fontId="28" fillId="0" borderId="1" applyFill="0" applyProtection="0">
      <alignment horizontal="right" vertical="top"/>
    </xf>
    <xf numFmtId="3" fontId="46" fillId="0" borderId="0" applyNumberFormat="0"/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71" borderId="0" applyNumberFormat="0" applyBorder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71" borderId="0" applyNumberFormat="0" applyBorder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71" borderId="0" applyNumberFormat="0" applyBorder="0" applyProtection="0">
      <alignment vertical="center"/>
    </xf>
    <xf numFmtId="0" fontId="31" fillId="71" borderId="0" applyNumberFormat="0" applyBorder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71" borderId="0" applyNumberFormat="0" applyBorder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72" borderId="0" applyNumberFormat="0" applyBorder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72" borderId="0" applyNumberFormat="0" applyBorder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72" borderId="0" applyNumberFormat="0" applyBorder="0" applyProtection="0">
      <alignment vertical="center"/>
    </xf>
    <xf numFmtId="0" fontId="31" fillId="72" borderId="0" applyNumberFormat="0" applyBorder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72" borderId="0" applyNumberFormat="0" applyBorder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73" borderId="0" applyNumberFormat="0" applyBorder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73" borderId="0" applyNumberFormat="0" applyBorder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73" borderId="0" applyNumberFormat="0" applyBorder="0" applyProtection="0">
      <alignment vertical="center"/>
    </xf>
    <xf numFmtId="0" fontId="31" fillId="73" borderId="0" applyNumberFormat="0" applyBorder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73" borderId="0" applyNumberFormat="0" applyBorder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60" borderId="0" applyNumberFormat="0" applyBorder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60" borderId="0" applyNumberFormat="0" applyBorder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60" borderId="0" applyNumberFormat="0" applyBorder="0" applyProtection="0">
      <alignment vertical="center"/>
    </xf>
    <xf numFmtId="0" fontId="31" fillId="60" borderId="0" applyNumberFormat="0" applyBorder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60" borderId="0" applyNumberFormat="0" applyBorder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61" borderId="0" applyNumberFormat="0" applyBorder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61" borderId="0" applyNumberFormat="0" applyBorder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61" borderId="0" applyNumberFormat="0" applyBorder="0" applyProtection="0">
      <alignment vertical="center"/>
    </xf>
    <xf numFmtId="0" fontId="31" fillId="61" borderId="0" applyNumberFormat="0" applyBorder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61" borderId="0" applyNumberFormat="0" applyBorder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74" borderId="0" applyNumberFormat="0" applyBorder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74" borderId="0" applyNumberFormat="0" applyBorder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74" borderId="0" applyNumberFormat="0" applyBorder="0" applyProtection="0">
      <alignment vertical="center"/>
    </xf>
    <xf numFmtId="0" fontId="31" fillId="74" borderId="0" applyNumberFormat="0" applyBorder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74" borderId="0" applyNumberFormat="0" applyBorder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Protection="0">
      <alignment vertical="center"/>
    </xf>
    <xf numFmtId="0" fontId="49" fillId="0" borderId="0" applyNumberFormat="0" applyFill="0" applyBorder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75" borderId="13" applyNumberForma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75" borderId="13" applyNumberForma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75" borderId="13" applyNumberFormat="0" applyProtection="0">
      <alignment vertical="center"/>
    </xf>
    <xf numFmtId="0" fontId="34" fillId="75" borderId="13" applyNumberForma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75" borderId="13" applyNumberForma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13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42" borderId="0" applyNumberFormat="0" applyBorder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42" borderId="0" applyNumberFormat="0" applyBorder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Protection="0">
      <alignment vertical="center"/>
    </xf>
    <xf numFmtId="0" fontId="33" fillId="42" borderId="0" applyNumberFormat="0" applyBorder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42" borderId="0" applyNumberFormat="0" applyBorder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3" fillId="76" borderId="19" applyNumberForma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3" fillId="76" borderId="19" applyNumberForma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3" fillId="76" borderId="19" applyNumberFormat="0" applyProtection="0">
      <alignment vertical="center"/>
    </xf>
    <xf numFmtId="0" fontId="53" fillId="76" borderId="19" applyNumberForma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3" fillId="76" borderId="19" applyNumberForma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0" fontId="4" fillId="70" borderId="19" applyNumberFormat="0" applyFont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7" fillId="0" borderId="0" applyNumberFormat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77" borderId="0" applyNumberFormat="0" applyBorder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77" borderId="0" applyNumberFormat="0" applyBorder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77" borderId="0" applyNumberFormat="0" applyBorder="0" applyProtection="0">
      <alignment vertical="center"/>
    </xf>
    <xf numFmtId="0" fontId="43" fillId="77" borderId="0" applyNumberFormat="0" applyBorder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77" borderId="0" applyNumberFormat="0" applyBorder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Protection="0">
      <alignment vertical="center"/>
    </xf>
    <xf numFmtId="0" fontId="36" fillId="0" borderId="0" applyNumberFormat="0" applyFill="0" applyBorder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78" borderId="14" applyNumberForma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78" borderId="14" applyNumberForma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78" borderId="14" applyNumberFormat="0" applyProtection="0">
      <alignment vertical="center"/>
    </xf>
    <xf numFmtId="0" fontId="35" fillId="78" borderId="14" applyNumberForma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78" borderId="14" applyNumberForma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NumberFormat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27" fillId="0" borderId="0" applyNumberFormat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2" fontId="53" fillId="0" borderId="0" applyFill="0" applyBorder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7" fillId="0" borderId="0" applyNumberFormat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2" fontId="4" fillId="0" borderId="0" applyFill="0" applyBorder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0" fillId="0" borderId="0"/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Protection="0">
      <alignment vertical="center"/>
    </xf>
    <xf numFmtId="0" fontId="42" fillId="0" borderId="18" applyNumberFormat="0" applyFill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Protection="0">
      <alignment vertical="center"/>
    </xf>
    <xf numFmtId="0" fontId="48" fillId="0" borderId="21" applyNumberFormat="0" applyFill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6" borderId="13" applyNumberForma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6" borderId="13" applyNumberForma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6" borderId="13" applyNumberFormat="0" applyProtection="0">
      <alignment vertical="center"/>
    </xf>
    <xf numFmtId="0" fontId="41" fillId="46" borderId="13" applyNumberForma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6" borderId="13" applyNumberForma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13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38" fillId="0" borderId="15" applyNumberFormat="0" applyFill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47" fillId="0" borderId="0" applyNumberFormat="0" applyFill="0" applyBorder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47" fillId="0" borderId="0" applyNumberFormat="0" applyFill="0" applyBorder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47" fillId="0" borderId="0" applyNumberFormat="0" applyFill="0" applyBorder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Protection="0">
      <alignment vertical="center"/>
    </xf>
    <xf numFmtId="0" fontId="39" fillId="0" borderId="16" applyNumberFormat="0" applyFill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Protection="0">
      <alignment vertical="center"/>
    </xf>
    <xf numFmtId="0" fontId="40" fillId="0" borderId="17" applyNumberFormat="0" applyFill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0" fillId="0" borderId="0" applyNumberFormat="0" applyFill="0" applyBorder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43" borderId="0" applyNumberFormat="0" applyBorder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43" borderId="0" applyNumberFormat="0" applyBorder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43" borderId="0" applyNumberFormat="0" applyBorder="0" applyProtection="0">
      <alignment vertical="center"/>
    </xf>
    <xf numFmtId="0" fontId="37" fillId="43" borderId="0" applyNumberFormat="0" applyBorder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43" borderId="0" applyNumberFormat="0" applyBorder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75" borderId="20" applyNumberForma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75" borderId="20" applyNumberForma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75" borderId="20" applyNumberFormat="0" applyProtection="0">
      <alignment vertical="center"/>
    </xf>
    <xf numFmtId="0" fontId="44" fillId="75" borderId="20" applyNumberForma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75" borderId="20" applyNumberForma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20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1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9" fillId="0" borderId="0"/>
    <xf numFmtId="0" fontId="5" fillId="0" borderId="0">
      <alignment vertical="center"/>
    </xf>
    <xf numFmtId="0" fontId="59" fillId="0" borderId="0"/>
    <xf numFmtId="0" fontId="59" fillId="0" borderId="0"/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2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4" fillId="0" borderId="0">
      <alignment vertical="center"/>
    </xf>
    <xf numFmtId="0" fontId="70" fillId="0" borderId="0" applyNumberFormat="0" applyFill="0" applyBorder="0" applyProtection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9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0" fillId="0" borderId="0" applyNumberFormat="0" applyFont="0" applyBorder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 applyNumberFormat="0" applyFont="0" applyFill="0" applyBorder="0" applyAlignment="0" applyProtection="0"/>
    <xf numFmtId="0" fontId="30" fillId="0" borderId="0" applyNumberFormat="0" applyFont="0" applyBorder="0" applyProtection="0">
      <alignment vertical="center"/>
    </xf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4" fillId="0" borderId="0">
      <alignment vertical="center"/>
    </xf>
    <xf numFmtId="0" fontId="71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5" fillId="0" borderId="0">
      <alignment vertical="center"/>
    </xf>
    <xf numFmtId="0" fontId="27" fillId="0" borderId="0" applyNumberFormat="0" applyFont="0" applyFill="0" applyBorder="0" applyAlignment="0" applyProtection="0"/>
    <xf numFmtId="0" fontId="71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30" fillId="0" borderId="0" applyNumberFormat="0" applyFont="0" applyBorder="0" applyProtection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72" fillId="0" borderId="0">
      <alignment vertical="top"/>
    </xf>
    <xf numFmtId="0" fontId="72" fillId="0" borderId="0">
      <alignment vertical="top"/>
    </xf>
    <xf numFmtId="0" fontId="4" fillId="0" borderId="0"/>
    <xf numFmtId="0" fontId="5" fillId="0" borderId="0">
      <alignment vertical="center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 applyNumberFormat="0" applyFont="0" applyFill="0" applyBorder="0" applyAlignment="0" applyProtection="0"/>
    <xf numFmtId="0" fontId="4" fillId="0" borderId="0">
      <alignment vertical="center"/>
    </xf>
    <xf numFmtId="0" fontId="27" fillId="0" borderId="0" applyNumberFormat="0" applyFont="0" applyFill="0" applyBorder="0" applyAlignment="0" applyProtection="0"/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4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0" borderId="0">
      <alignment vertical="center"/>
    </xf>
    <xf numFmtId="0" fontId="5" fillId="0" borderId="0">
      <alignment vertical="center"/>
    </xf>
    <xf numFmtId="0" fontId="7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 applyNumberFormat="0" applyFill="0" applyBorder="0" applyProtection="0">
      <alignment vertical="top"/>
    </xf>
    <xf numFmtId="0" fontId="4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70" fillId="0" borderId="0" applyNumberFormat="0" applyFill="0" applyBorder="0" applyProtection="0">
      <alignment vertical="top"/>
    </xf>
    <xf numFmtId="0" fontId="4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70" fillId="0" borderId="0" applyNumberFormat="0" applyFill="0" applyBorder="0" applyProtection="0">
      <alignment vertical="top"/>
    </xf>
    <xf numFmtId="0" fontId="1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70" fillId="0" borderId="0" applyNumberFormat="0" applyFill="0" applyBorder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5" fillId="0" borderId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71" fillId="0" borderId="0" applyNumberFormat="0" applyBorder="0" applyProtection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4" fillId="0" borderId="0"/>
    <xf numFmtId="0" fontId="5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1" fillId="5" borderId="6" applyNumberFormat="0" applyAlignment="0" applyProtection="0">
      <alignment vertical="center"/>
    </xf>
    <xf numFmtId="0" fontId="82" fillId="6" borderId="7" applyNumberFormat="0" applyAlignment="0" applyProtection="0">
      <alignment vertical="center"/>
    </xf>
    <xf numFmtId="0" fontId="83" fillId="6" borderId="6" applyNumberFormat="0" applyAlignment="0" applyProtection="0">
      <alignment vertical="center"/>
    </xf>
    <xf numFmtId="0" fontId="84" fillId="0" borderId="8" applyNumberFormat="0" applyFill="0" applyAlignment="0" applyProtection="0">
      <alignment vertical="center"/>
    </xf>
    <xf numFmtId="0" fontId="85" fillId="7" borderId="9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25" fillId="8" borderId="10" applyNumberFormat="0" applyFon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07" fillId="0" borderId="0"/>
    <xf numFmtId="41" fontId="1" fillId="0" borderId="0" applyFont="0" applyFill="0" applyBorder="0" applyAlignment="0" applyProtection="0">
      <alignment vertical="center"/>
    </xf>
    <xf numFmtId="0" fontId="10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27" fillId="0" borderId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7" fillId="0" borderId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10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10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10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38" fontId="10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" fillId="79" borderId="0" applyNumberFormat="0" applyBorder="0" applyAlignment="0" applyProtection="0">
      <alignment vertical="center"/>
    </xf>
    <xf numFmtId="0" fontId="30" fillId="80" borderId="0" applyNumberFormat="0" applyBorder="0" applyAlignment="0" applyProtection="0">
      <alignment vertical="center"/>
    </xf>
    <xf numFmtId="0" fontId="30" fillId="81" borderId="0" applyNumberFormat="0" applyBorder="0" applyAlignment="0" applyProtection="0">
      <alignment vertical="center"/>
    </xf>
    <xf numFmtId="0" fontId="30" fillId="82" borderId="0" applyNumberFormat="0" applyBorder="0" applyAlignment="0" applyProtection="0">
      <alignment vertical="center"/>
    </xf>
    <xf numFmtId="0" fontId="30" fillId="83" borderId="0" applyNumberFormat="0" applyBorder="0" applyAlignment="0" applyProtection="0">
      <alignment vertical="center"/>
    </xf>
    <xf numFmtId="0" fontId="30" fillId="84" borderId="0" applyNumberFormat="0" applyBorder="0" applyAlignment="0" applyProtection="0">
      <alignment vertical="center"/>
    </xf>
    <xf numFmtId="0" fontId="30" fillId="85" borderId="0" applyNumberFormat="0" applyBorder="0" applyAlignment="0" applyProtection="0">
      <alignment vertical="center"/>
    </xf>
    <xf numFmtId="0" fontId="30" fillId="86" borderId="0" applyNumberFormat="0" applyBorder="0" applyAlignment="0" applyProtection="0">
      <alignment vertical="center"/>
    </xf>
    <xf numFmtId="0" fontId="30" fillId="87" borderId="0" applyNumberFormat="0" applyBorder="0" applyAlignment="0" applyProtection="0">
      <alignment vertical="center"/>
    </xf>
    <xf numFmtId="0" fontId="30" fillId="82" borderId="0" applyNumberFormat="0" applyBorder="0" applyAlignment="0" applyProtection="0">
      <alignment vertical="center"/>
    </xf>
    <xf numFmtId="0" fontId="30" fillId="85" borderId="0" applyNumberFormat="0" applyBorder="0" applyAlignment="0" applyProtection="0">
      <alignment vertical="center"/>
    </xf>
    <xf numFmtId="0" fontId="30" fillId="88" borderId="0" applyNumberFormat="0" applyBorder="0" applyAlignment="0" applyProtection="0">
      <alignment vertical="center"/>
    </xf>
    <xf numFmtId="0" fontId="31" fillId="89" borderId="0" applyNumberFormat="0" applyBorder="0" applyAlignment="0" applyProtection="0">
      <alignment vertical="center"/>
    </xf>
    <xf numFmtId="0" fontId="31" fillId="86" borderId="0" applyNumberFormat="0" applyBorder="0" applyAlignment="0" applyProtection="0">
      <alignment vertical="center"/>
    </xf>
    <xf numFmtId="0" fontId="31" fillId="87" borderId="0" applyNumberFormat="0" applyBorder="0" applyAlignment="0" applyProtection="0">
      <alignment vertical="center"/>
    </xf>
    <xf numFmtId="0" fontId="31" fillId="90" borderId="0" applyNumberFormat="0" applyBorder="0" applyAlignment="0" applyProtection="0">
      <alignment vertical="center"/>
    </xf>
    <xf numFmtId="0" fontId="31" fillId="91" borderId="0" applyNumberFormat="0" applyBorder="0" applyAlignment="0" applyProtection="0">
      <alignment vertical="center"/>
    </xf>
    <xf numFmtId="0" fontId="31" fillId="92" borderId="0" applyNumberFormat="0" applyBorder="0" applyAlignment="0" applyProtection="0">
      <alignment vertical="center"/>
    </xf>
    <xf numFmtId="0" fontId="31" fillId="93" borderId="0" applyNumberFormat="0" applyBorder="0" applyAlignment="0" applyProtection="0">
      <alignment vertical="center"/>
    </xf>
    <xf numFmtId="0" fontId="31" fillId="94" borderId="0" applyNumberFormat="0" applyBorder="0" applyAlignment="0" applyProtection="0">
      <alignment vertical="center"/>
    </xf>
    <xf numFmtId="0" fontId="31" fillId="95" borderId="0" applyNumberFormat="0" applyBorder="0" applyAlignment="0" applyProtection="0">
      <alignment vertical="center"/>
    </xf>
    <xf numFmtId="0" fontId="31" fillId="90" borderId="0" applyNumberFormat="0" applyBorder="0" applyAlignment="0" applyProtection="0">
      <alignment vertical="center"/>
    </xf>
    <xf numFmtId="0" fontId="31" fillId="91" borderId="0" applyNumberFormat="0" applyBorder="0" applyAlignment="0" applyProtection="0">
      <alignment vertical="center"/>
    </xf>
    <xf numFmtId="0" fontId="31" fillId="96" borderId="0" applyNumberFormat="0" applyBorder="0" applyAlignment="0" applyProtection="0">
      <alignment vertical="center"/>
    </xf>
    <xf numFmtId="0" fontId="34" fillId="34" borderId="13" applyNumberFormat="0" applyAlignment="0" applyProtection="0">
      <alignment vertical="center"/>
    </xf>
    <xf numFmtId="0" fontId="33" fillId="80" borderId="0" applyNumberFormat="0" applyBorder="0" applyAlignment="0" applyProtection="0">
      <alignment vertical="center"/>
    </xf>
    <xf numFmtId="0" fontId="27" fillId="97" borderId="19" applyNumberFormat="0" applyFont="0" applyAlignment="0" applyProtection="0">
      <alignment vertical="center"/>
    </xf>
    <xf numFmtId="0" fontId="43" fillId="98" borderId="0" applyNumberFormat="0" applyBorder="0" applyAlignment="0" applyProtection="0">
      <alignment vertical="center"/>
    </xf>
    <xf numFmtId="0" fontId="35" fillId="99" borderId="14" applyNumberFormat="0" applyAlignment="0" applyProtection="0">
      <alignment vertical="center"/>
    </xf>
    <xf numFmtId="0" fontId="41" fillId="84" borderId="13" applyNumberFormat="0" applyAlignment="0" applyProtection="0">
      <alignment vertical="center"/>
    </xf>
    <xf numFmtId="0" fontId="123" fillId="0" borderId="0"/>
    <xf numFmtId="0" fontId="4" fillId="0" borderId="0">
      <protection locked="0"/>
    </xf>
    <xf numFmtId="0" fontId="102" fillId="0" borderId="0">
      <protection locked="0"/>
    </xf>
    <xf numFmtId="0" fontId="4" fillId="0" borderId="0" applyFont="0" applyFill="0" applyBorder="0" applyAlignment="0" applyProtection="0"/>
    <xf numFmtId="0" fontId="37" fillId="81" borderId="0" applyNumberFormat="0" applyBorder="0" applyAlignment="0" applyProtection="0">
      <alignment vertical="center"/>
    </xf>
    <xf numFmtId="0" fontId="44" fillId="34" borderId="20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27" fillId="0" borderId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2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27" fillId="0" borderId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27" fillId="0" borderId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/>
    <xf numFmtId="0" fontId="27" fillId="0" borderId="0"/>
    <xf numFmtId="0" fontId="89" fillId="0" borderId="0">
      <alignment vertical="center"/>
    </xf>
    <xf numFmtId="0" fontId="90" fillId="0" borderId="0"/>
    <xf numFmtId="41" fontId="90" fillId="0" borderId="0" applyFont="0" applyFill="0" applyBorder="0" applyAlignment="0" applyProtection="0">
      <alignment vertical="center"/>
    </xf>
    <xf numFmtId="0" fontId="90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9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91" fillId="67" borderId="6" applyNumberFormat="0" applyAlignment="0" applyProtection="0">
      <alignment vertical="center"/>
    </xf>
    <xf numFmtId="0" fontId="91" fillId="67" borderId="6" applyNumberFormat="0" applyAlignment="0" applyProtection="0">
      <alignment vertical="center"/>
    </xf>
    <xf numFmtId="0" fontId="91" fillId="67" borderId="6" applyNumberFormat="0" applyAlignment="0" applyProtection="0">
      <alignment vertical="center"/>
    </xf>
    <xf numFmtId="0" fontId="91" fillId="67" borderId="6" applyNumberFormat="0" applyAlignment="0" applyProtection="0">
      <alignment vertical="center"/>
    </xf>
    <xf numFmtId="0" fontId="91" fillId="67" borderId="6" applyNumberFormat="0" applyAlignment="0" applyProtection="0">
      <alignment vertical="center"/>
    </xf>
    <xf numFmtId="0" fontId="91" fillId="67" borderId="6" applyNumberFormat="0" applyAlignment="0" applyProtection="0">
      <alignment vertical="center"/>
    </xf>
    <xf numFmtId="0" fontId="91" fillId="67" borderId="6" applyNumberFormat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3" fillId="0" borderId="21" applyNumberFormat="0" applyFill="0" applyAlignment="0" applyProtection="0">
      <alignment vertical="center"/>
    </xf>
    <xf numFmtId="0" fontId="3" fillId="0" borderId="21" applyNumberFormat="0" applyFill="0" applyAlignment="0" applyProtection="0">
      <alignment vertical="center"/>
    </xf>
    <xf numFmtId="0" fontId="3" fillId="0" borderId="21" applyNumberFormat="0" applyFill="0" applyAlignment="0" applyProtection="0">
      <alignment vertical="center"/>
    </xf>
    <xf numFmtId="0" fontId="3" fillId="0" borderId="21" applyNumberFormat="0" applyFill="0" applyAlignment="0" applyProtection="0">
      <alignment vertical="center"/>
    </xf>
    <xf numFmtId="0" fontId="3" fillId="0" borderId="21" applyNumberFormat="0" applyFill="0" applyAlignment="0" applyProtection="0">
      <alignment vertical="center"/>
    </xf>
    <xf numFmtId="0" fontId="3" fillId="0" borderId="21" applyNumberFormat="0" applyFill="0" applyAlignment="0" applyProtection="0">
      <alignment vertical="center"/>
    </xf>
    <xf numFmtId="0" fontId="3" fillId="0" borderId="21" applyNumberFormat="0" applyFill="0" applyAlignment="0" applyProtection="0">
      <alignment vertical="center"/>
    </xf>
    <xf numFmtId="0" fontId="62" fillId="67" borderId="6" applyNumberFormat="0" applyAlignment="0" applyProtection="0">
      <alignment vertical="center"/>
    </xf>
    <xf numFmtId="0" fontId="62" fillId="67" borderId="6" applyNumberFormat="0" applyAlignment="0" applyProtection="0">
      <alignment vertical="center"/>
    </xf>
    <xf numFmtId="0" fontId="62" fillId="67" borderId="6" applyNumberFormat="0" applyAlignment="0" applyProtection="0">
      <alignment vertical="center"/>
    </xf>
    <xf numFmtId="0" fontId="62" fillId="67" borderId="6" applyNumberFormat="0" applyAlignment="0" applyProtection="0">
      <alignment vertical="center"/>
    </xf>
    <xf numFmtId="0" fontId="62" fillId="67" borderId="6" applyNumberFormat="0" applyAlignment="0" applyProtection="0">
      <alignment vertical="center"/>
    </xf>
    <xf numFmtId="0" fontId="62" fillId="67" borderId="6" applyNumberFormat="0" applyAlignment="0" applyProtection="0">
      <alignment vertical="center"/>
    </xf>
    <xf numFmtId="0" fontId="62" fillId="67" borderId="6" applyNumberFormat="0" applyAlignment="0" applyProtection="0">
      <alignment vertical="center"/>
    </xf>
    <xf numFmtId="0" fontId="55" fillId="0" borderId="0">
      <alignment vertical="center"/>
    </xf>
    <xf numFmtId="0" fontId="23" fillId="0" borderId="0">
      <alignment vertical="center"/>
    </xf>
    <xf numFmtId="0" fontId="102" fillId="0" borderId="0">
      <protection locked="0"/>
    </xf>
    <xf numFmtId="0" fontId="4" fillId="0" borderId="0"/>
    <xf numFmtId="0" fontId="94" fillId="0" borderId="15" applyNumberFormat="0" applyFill="0" applyAlignment="0" applyProtection="0">
      <alignment vertical="center"/>
    </xf>
    <xf numFmtId="0" fontId="94" fillId="0" borderId="15" applyNumberFormat="0" applyFill="0" applyAlignment="0" applyProtection="0">
      <alignment vertical="center"/>
    </xf>
    <xf numFmtId="0" fontId="94" fillId="0" borderId="15" applyNumberFormat="0" applyFill="0" applyAlignment="0" applyProtection="0">
      <alignment vertical="center"/>
    </xf>
    <xf numFmtId="0" fontId="104" fillId="0" borderId="29">
      <protection locked="0"/>
    </xf>
    <xf numFmtId="0" fontId="94" fillId="0" borderId="15" applyNumberFormat="0" applyFill="0" applyAlignment="0" applyProtection="0">
      <alignment vertical="center"/>
    </xf>
    <xf numFmtId="0" fontId="94" fillId="0" borderId="15" applyNumberFormat="0" applyFill="0" applyAlignment="0" applyProtection="0">
      <alignment vertical="center"/>
    </xf>
    <xf numFmtId="0" fontId="4" fillId="0" borderId="0">
      <alignment vertical="center"/>
    </xf>
    <xf numFmtId="0" fontId="94" fillId="0" borderId="15" applyNumberFormat="0" applyFill="0" applyAlignment="0" applyProtection="0">
      <alignment vertical="center"/>
    </xf>
    <xf numFmtId="0" fontId="94" fillId="0" borderId="15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24" fillId="0" borderId="0"/>
    <xf numFmtId="0" fontId="4" fillId="0" borderId="0"/>
    <xf numFmtId="0" fontId="101" fillId="0" borderId="0"/>
    <xf numFmtId="0" fontId="4" fillId="0" borderId="0"/>
    <xf numFmtId="0" fontId="4" fillId="0" borderId="0">
      <protection locked="0"/>
    </xf>
    <xf numFmtId="0" fontId="10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2" fillId="0" borderId="0"/>
    <xf numFmtId="0" fontId="4" fillId="0" borderId="1">
      <alignment vertical="center"/>
    </xf>
    <xf numFmtId="0" fontId="95" fillId="0" borderId="16" applyNumberFormat="0" applyFill="0" applyAlignment="0" applyProtection="0">
      <alignment vertical="center"/>
    </xf>
    <xf numFmtId="0" fontId="95" fillId="0" borderId="16" applyNumberFormat="0" applyFill="0" applyAlignment="0" applyProtection="0">
      <alignment vertical="center"/>
    </xf>
    <xf numFmtId="0" fontId="95" fillId="0" borderId="16" applyNumberFormat="0" applyFill="0" applyAlignment="0" applyProtection="0">
      <alignment vertical="center"/>
    </xf>
    <xf numFmtId="4" fontId="104" fillId="0" borderId="0">
      <protection locked="0"/>
    </xf>
    <xf numFmtId="0" fontId="95" fillId="0" borderId="16" applyNumberFormat="0" applyFill="0" applyAlignment="0" applyProtection="0">
      <alignment vertical="center"/>
    </xf>
    <xf numFmtId="0" fontId="95" fillId="0" borderId="16" applyNumberFormat="0" applyFill="0" applyAlignment="0" applyProtection="0">
      <alignment vertical="center"/>
    </xf>
    <xf numFmtId="0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95" fillId="0" borderId="16" applyNumberFormat="0" applyFill="0" applyAlignment="0" applyProtection="0">
      <alignment vertical="center"/>
    </xf>
    <xf numFmtId="0" fontId="95" fillId="0" borderId="16" applyNumberFormat="0" applyFill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41" fontId="4" fillId="0" borderId="0" applyFont="0" applyFill="0" applyBorder="0" applyAlignment="0" applyProtection="0"/>
    <xf numFmtId="183" fontId="4" fillId="0" borderId="0" applyFill="0" applyBorder="0" applyAlignment="0" applyProtection="0"/>
    <xf numFmtId="0" fontId="96" fillId="0" borderId="17" applyNumberFormat="0" applyFill="0" applyAlignment="0" applyProtection="0">
      <alignment vertical="center"/>
    </xf>
    <xf numFmtId="0" fontId="96" fillId="0" borderId="17" applyNumberFormat="0" applyFill="0" applyAlignment="0" applyProtection="0">
      <alignment vertical="center"/>
    </xf>
    <xf numFmtId="0" fontId="96" fillId="0" borderId="17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6" fillId="0" borderId="17" applyNumberFormat="0" applyFill="0" applyAlignment="0" applyProtection="0">
      <alignment vertical="center"/>
    </xf>
    <xf numFmtId="0" fontId="96" fillId="0" borderId="17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96" fillId="0" borderId="17" applyNumberFormat="0" applyFill="0" applyAlignment="0" applyProtection="0">
      <alignment vertical="center"/>
    </xf>
    <xf numFmtId="0" fontId="96" fillId="0" borderId="17" applyNumberFormat="0" applyFill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1">
      <alignment vertical="center"/>
    </xf>
    <xf numFmtId="0" fontId="4" fillId="102" borderId="1" applyNumberFormat="0">
      <alignment vertical="center"/>
    </xf>
    <xf numFmtId="0" fontId="4" fillId="0" borderId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40" fontId="106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4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2" fillId="0" borderId="0">
      <protection locked="0"/>
    </xf>
    <xf numFmtId="0" fontId="4" fillId="0" borderId="0" applyFont="0" applyFill="0" applyBorder="0" applyAlignment="0" applyProtection="0"/>
    <xf numFmtId="0" fontId="116" fillId="0" borderId="28" applyProtection="0"/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27" fillId="0" borderId="0">
      <alignment horizontal="center" textRotation="180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21" fillId="0" borderId="0"/>
    <xf numFmtId="0" fontId="127" fillId="101" borderId="0"/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10" fontId="116" fillId="0" borderId="0" applyProtection="0"/>
    <xf numFmtId="10" fontId="27" fillId="0" borderId="0" applyFont="0" applyFill="0" applyBorder="0" applyAlignment="0" applyProtection="0"/>
    <xf numFmtId="0" fontId="126" fillId="0" borderId="0" applyBorder="0">
      <alignment horizontal="centerContinuous"/>
    </xf>
    <xf numFmtId="0" fontId="126" fillId="33" borderId="22"/>
    <xf numFmtId="0" fontId="125" fillId="33" borderId="0">
      <alignment horizontal="right"/>
    </xf>
    <xf numFmtId="40" fontId="124" fillId="33" borderId="0">
      <alignment horizontal="right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27" fillId="0" borderId="0"/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187" fontId="27" fillId="0" borderId="0"/>
    <xf numFmtId="181" fontId="122" fillId="34" borderId="27">
      <alignment horizont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21" fillId="0" borderId="26"/>
    <xf numFmtId="0" fontId="27" fillId="0" borderId="0">
      <alignment horizontal="center"/>
    </xf>
    <xf numFmtId="0" fontId="27" fillId="0" borderId="0" applyFont="0" applyFill="0" applyBorder="0" applyAlignment="0" applyProtection="0"/>
    <xf numFmtId="10" fontId="28" fillId="97" borderId="1" applyNumberFormat="0" applyBorder="0" applyAlignment="0" applyProtection="0"/>
    <xf numFmtId="0" fontId="27" fillId="0" borderId="0">
      <alignment horizontal="center"/>
    </xf>
    <xf numFmtId="0" fontId="118" fillId="0" borderId="0" applyProtection="0"/>
    <xf numFmtId="0" fontId="120" fillId="0" borderId="0" applyProtection="0"/>
    <xf numFmtId="0" fontId="119" fillId="0" borderId="0" applyNumberFormat="0" applyFill="0" applyBorder="0" applyAlignment="0" applyProtection="0"/>
    <xf numFmtId="0" fontId="118" fillId="0" borderId="25">
      <alignment horizontal="left" vertical="center"/>
    </xf>
    <xf numFmtId="0" fontId="118" fillId="0" borderId="24" applyNumberFormat="0" applyAlignment="0" applyProtection="0">
      <alignment horizontal="left" vertical="center"/>
    </xf>
    <xf numFmtId="0" fontId="117" fillId="0" borderId="0">
      <alignment horizontal="left"/>
    </xf>
    <xf numFmtId="2" fontId="116" fillId="0" borderId="0" applyProtection="0"/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38" fontId="28" fillId="34" borderId="0" applyNumberFormat="0" applyBorder="0" applyAlignment="0" applyProtection="0"/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186" fontId="4" fillId="0" borderId="0"/>
    <xf numFmtId="0" fontId="4" fillId="0" borderId="0" applyFont="0" applyFill="0" applyBorder="0" applyAlignment="0" applyProtection="0"/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4" fillId="0" borderId="0" applyFont="0" applyFill="0" applyBorder="0" applyAlignment="0" applyProtection="0"/>
    <xf numFmtId="0" fontId="116" fillId="0" borderId="0" applyProtection="0"/>
    <xf numFmtId="0" fontId="115" fillId="0" borderId="23">
      <alignment horizontal="center" vertical="center"/>
    </xf>
    <xf numFmtId="185" fontId="4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4" fillId="0" borderId="0"/>
    <xf numFmtId="0" fontId="27" fillId="0" borderId="0" applyFont="0" applyFill="0" applyBorder="0" applyAlignment="0" applyProtection="0"/>
    <xf numFmtId="0" fontId="4" fillId="0" borderId="0"/>
    <xf numFmtId="0" fontId="114" fillId="0" borderId="0">
      <alignment vertical="center"/>
    </xf>
    <xf numFmtId="0" fontId="113" fillId="0" borderId="0"/>
    <xf numFmtId="0" fontId="112" fillId="0" borderId="0"/>
    <xf numFmtId="0" fontId="68" fillId="67" borderId="7" applyNumberFormat="0" applyAlignment="0" applyProtection="0">
      <alignment vertical="center"/>
    </xf>
    <xf numFmtId="0" fontId="68" fillId="67" borderId="7" applyNumberFormat="0" applyAlignment="0" applyProtection="0">
      <alignment vertical="center"/>
    </xf>
    <xf numFmtId="0" fontId="68" fillId="67" borderId="7" applyNumberFormat="0" applyAlignment="0" applyProtection="0">
      <alignment vertical="center"/>
    </xf>
    <xf numFmtId="0" fontId="111" fillId="0" borderId="0"/>
    <xf numFmtId="0" fontId="68" fillId="67" borderId="7" applyNumberFormat="0" applyAlignment="0" applyProtection="0">
      <alignment vertical="center"/>
    </xf>
    <xf numFmtId="0" fontId="68" fillId="67" borderId="7" applyNumberFormat="0" applyAlignment="0" applyProtection="0">
      <alignment vertical="center"/>
    </xf>
    <xf numFmtId="0" fontId="111" fillId="0" borderId="0"/>
    <xf numFmtId="0" fontId="112" fillId="0" borderId="0"/>
    <xf numFmtId="0" fontId="68" fillId="67" borderId="7" applyNumberFormat="0" applyAlignment="0" applyProtection="0">
      <alignment vertical="center"/>
    </xf>
    <xf numFmtId="0" fontId="68" fillId="67" borderId="7" applyNumberFormat="0" applyAlignment="0" applyProtection="0">
      <alignment vertical="center"/>
    </xf>
    <xf numFmtId="0" fontId="111" fillId="0" borderId="0"/>
    <xf numFmtId="0" fontId="108" fillId="0" borderId="0"/>
    <xf numFmtId="0" fontId="107" fillId="0" borderId="0"/>
    <xf numFmtId="0" fontId="110" fillId="0" borderId="0"/>
    <xf numFmtId="0" fontId="107" fillId="0" borderId="0"/>
    <xf numFmtId="0" fontId="108" fillId="0" borderId="0"/>
    <xf numFmtId="0" fontId="109" fillId="0" borderId="0"/>
    <xf numFmtId="0" fontId="109" fillId="0" borderId="0"/>
    <xf numFmtId="0" fontId="108" fillId="0" borderId="0"/>
    <xf numFmtId="0" fontId="107" fillId="0" borderId="0"/>
    <xf numFmtId="0" fontId="108" fillId="0" borderId="0" applyFont="0" applyFill="0" applyBorder="0" applyAlignment="0" applyProtection="0"/>
    <xf numFmtId="0" fontId="1" fillId="0" borderId="0">
      <alignment vertical="center"/>
    </xf>
    <xf numFmtId="0" fontId="102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7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>
      <alignment vertical="center"/>
    </xf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4" fillId="0" borderId="0">
      <alignment vertical="center"/>
    </xf>
    <xf numFmtId="0" fontId="10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5" fillId="0" borderId="0">
      <alignment vertical="center"/>
    </xf>
    <xf numFmtId="0" fontId="4" fillId="0" borderId="0">
      <alignment vertical="center"/>
    </xf>
    <xf numFmtId="0" fontId="55" fillId="0" borderId="0">
      <alignment vertical="center"/>
    </xf>
    <xf numFmtId="0" fontId="4" fillId="0" borderId="0">
      <alignment vertical="center"/>
    </xf>
    <xf numFmtId="0" fontId="89" fillId="0" borderId="0">
      <alignment vertical="center"/>
    </xf>
    <xf numFmtId="0" fontId="98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/>
    <xf numFmtId="41" fontId="27" fillId="0" borderId="0" applyFont="0" applyFill="0" applyBorder="0" applyAlignment="0" applyProtection="0"/>
    <xf numFmtId="0" fontId="27" fillId="0" borderId="0"/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9" fillId="100" borderId="0"/>
    <xf numFmtId="9" fontId="5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1" fillId="0" borderId="0"/>
    <xf numFmtId="0" fontId="34" fillId="67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75" borderId="31" applyNumberForma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75" borderId="31" applyNumberForma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75" borderId="31" applyNumberForma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3" fillId="76" borderId="32" applyNumberForma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3" fillId="76" borderId="32" applyNumberForma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6" borderId="31" applyNumberForma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6" borderId="31" applyNumberForma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6" borderId="31" applyNumberForma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75" borderId="33" applyNumberForma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75" borderId="33" applyNumberForma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75" borderId="33" applyNumberForma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34" fillId="34" borderId="31" applyNumberFormat="0" applyAlignment="0" applyProtection="0">
      <alignment vertical="center"/>
    </xf>
    <xf numFmtId="0" fontId="27" fillId="97" borderId="32" applyNumberFormat="0" applyFont="0" applyAlignment="0" applyProtection="0">
      <alignment vertical="center"/>
    </xf>
    <xf numFmtId="0" fontId="41" fillId="84" borderId="31" applyNumberFormat="0" applyAlignment="0" applyProtection="0">
      <alignment vertical="center"/>
    </xf>
    <xf numFmtId="0" fontId="44" fillId="34" borderId="33" applyNumberFormat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118" fillId="0" borderId="25">
      <alignment horizontal="left" vertical="center"/>
    </xf>
    <xf numFmtId="0" fontId="118" fillId="0" borderId="25">
      <alignment horizontal="left" vertical="center"/>
    </xf>
    <xf numFmtId="0" fontId="118" fillId="0" borderId="25">
      <alignment horizontal="left" vertical="center"/>
    </xf>
    <xf numFmtId="10" fontId="28" fillId="97" borderId="1" applyNumberFormat="0" applyBorder="0" applyAlignment="0" applyProtection="0"/>
    <xf numFmtId="10" fontId="28" fillId="97" borderId="1" applyNumberFormat="0" applyBorder="0" applyAlignment="0" applyProtection="0"/>
    <xf numFmtId="10" fontId="28" fillId="97" borderId="1" applyNumberFormat="0" applyBorder="0" applyAlignment="0" applyProtection="0"/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30" fillId="70" borderId="32" applyNumberFormat="0" applyFon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49" fontId="28" fillId="0" borderId="1" applyFill="0" applyProtection="0">
      <alignment horizontal="left" vertical="top"/>
    </xf>
    <xf numFmtId="49" fontId="28" fillId="0" borderId="1" applyFill="0" applyProtection="0">
      <alignment horizontal="left" vertical="top"/>
    </xf>
    <xf numFmtId="49" fontId="28" fillId="0" borderId="1" applyFill="0" applyProtection="0">
      <alignment horizontal="left" vertical="top"/>
    </xf>
    <xf numFmtId="49" fontId="28" fillId="0" borderId="1" applyFill="0" applyProtection="0">
      <alignment horizontal="center" vertical="top"/>
    </xf>
    <xf numFmtId="49" fontId="28" fillId="0" borderId="1" applyFill="0" applyProtection="0">
      <alignment horizontal="center" vertical="top"/>
    </xf>
    <xf numFmtId="49" fontId="28" fillId="0" borderId="1" applyFill="0" applyProtection="0">
      <alignment horizontal="center" vertical="top"/>
    </xf>
    <xf numFmtId="0" fontId="28" fillId="0" borderId="1" applyNumberFormat="0" applyFill="0" applyProtection="0">
      <alignment horizontal="left" vertical="top" wrapText="1"/>
    </xf>
    <xf numFmtId="0" fontId="28" fillId="0" borderId="1" applyNumberFormat="0" applyFill="0" applyProtection="0">
      <alignment horizontal="left" vertical="top" wrapText="1"/>
    </xf>
    <xf numFmtId="0" fontId="28" fillId="0" borderId="1" applyNumberFormat="0" applyFill="0" applyProtection="0">
      <alignment horizontal="left" vertical="top" wrapText="1"/>
    </xf>
    <xf numFmtId="14" fontId="28" fillId="0" borderId="1" applyFill="0" applyProtection="0">
      <alignment horizontal="right" vertical="top"/>
    </xf>
    <xf numFmtId="14" fontId="28" fillId="0" borderId="1" applyFill="0" applyProtection="0">
      <alignment horizontal="right" vertical="top"/>
    </xf>
    <xf numFmtId="14" fontId="28" fillId="0" borderId="1" applyFill="0" applyProtection="0">
      <alignment horizontal="right" vertical="top"/>
    </xf>
    <xf numFmtId="180" fontId="28" fillId="0" borderId="1" applyFill="0" applyProtection="0">
      <alignment horizontal="right" vertical="top"/>
    </xf>
    <xf numFmtId="180" fontId="28" fillId="0" borderId="1" applyFill="0" applyProtection="0">
      <alignment horizontal="right" vertical="top"/>
    </xf>
    <xf numFmtId="180" fontId="28" fillId="0" borderId="1" applyFill="0" applyProtection="0">
      <alignment horizontal="right" vertical="top"/>
    </xf>
    <xf numFmtId="181" fontId="28" fillId="0" borderId="1" applyFill="0" applyProtection="0">
      <alignment horizontal="right" vertical="top"/>
    </xf>
    <xf numFmtId="181" fontId="28" fillId="0" borderId="1" applyFill="0" applyProtection="0">
      <alignment horizontal="right" vertical="top"/>
    </xf>
    <xf numFmtId="181" fontId="28" fillId="0" borderId="1" applyFill="0" applyProtection="0">
      <alignment horizontal="right" vertical="top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34" borderId="31" applyNumberFormat="0" applyAlignment="0" applyProtection="0">
      <alignment vertical="center"/>
    </xf>
    <xf numFmtId="0" fontId="34" fillId="34" borderId="31" applyNumberFormat="0" applyAlignment="0" applyProtection="0">
      <alignment vertical="center"/>
    </xf>
    <xf numFmtId="0" fontId="34" fillId="34" borderId="31" applyNumberFormat="0" applyAlignment="0" applyProtection="0">
      <alignment vertical="center"/>
    </xf>
    <xf numFmtId="0" fontId="34" fillId="34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75" borderId="31" applyNumberForma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51" fillId="6" borderId="6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34" fillId="67" borderId="31" applyNumberForma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27" fillId="97" borderId="32" applyNumberFormat="0" applyFont="0" applyAlignment="0" applyProtection="0">
      <alignment vertical="center"/>
    </xf>
    <xf numFmtId="0" fontId="27" fillId="97" borderId="32" applyNumberFormat="0" applyFont="0" applyAlignment="0" applyProtection="0">
      <alignment vertical="center"/>
    </xf>
    <xf numFmtId="0" fontId="27" fillId="97" borderId="32" applyNumberFormat="0" applyFont="0" applyAlignment="0" applyProtection="0">
      <alignment vertical="center"/>
    </xf>
    <xf numFmtId="0" fontId="27" fillId="97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30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53" fillId="76" borderId="32" applyNumberForma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0" fontId="4" fillId="70" borderId="32" applyNumberFormat="0" applyFont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7" fillId="0" borderId="0" applyNumberFormat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4" fillId="102" borderId="1" applyNumberFormat="0">
      <alignment vertical="center"/>
    </xf>
    <xf numFmtId="0" fontId="4" fillId="102" borderId="1" applyNumberFormat="0">
      <alignment vertical="center"/>
    </xf>
    <xf numFmtId="0" fontId="4" fillId="102" borderId="1" applyNumberFormat="0">
      <alignment vertical="center"/>
    </xf>
    <xf numFmtId="0" fontId="4" fillId="0" borderId="1">
      <alignment vertical="center"/>
    </xf>
    <xf numFmtId="0" fontId="4" fillId="0" borderId="1">
      <alignment vertical="center"/>
    </xf>
    <xf numFmtId="0" fontId="4" fillId="0" borderId="1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7" borderId="9" applyNumberFormat="0" applyAlignment="0" applyProtection="0">
      <alignment vertical="center"/>
    </xf>
    <xf numFmtId="0" fontId="35" fillId="68" borderId="14" applyNumberFormat="0" applyAlignment="0" applyProtection="0">
      <alignment vertical="center"/>
    </xf>
    <xf numFmtId="0" fontId="58" fillId="7" borderId="9" applyNumberFormat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61" fillId="0" borderId="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3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84" borderId="31" applyNumberFormat="0" applyAlignment="0" applyProtection="0">
      <alignment vertical="center"/>
    </xf>
    <xf numFmtId="0" fontId="41" fillId="84" borderId="31" applyNumberFormat="0" applyAlignment="0" applyProtection="0">
      <alignment vertical="center"/>
    </xf>
    <xf numFmtId="0" fontId="41" fillId="84" borderId="31" applyNumberFormat="0" applyAlignment="0" applyProtection="0">
      <alignment vertical="center"/>
    </xf>
    <xf numFmtId="0" fontId="41" fillId="84" borderId="31" applyNumberFormat="0" applyAlignment="0" applyProtection="0">
      <alignment vertical="center"/>
    </xf>
    <xf numFmtId="0" fontId="4" fillId="0" borderId="1">
      <alignment vertical="center"/>
    </xf>
    <xf numFmtId="0" fontId="4" fillId="0" borderId="1">
      <alignment vertical="center"/>
    </xf>
    <xf numFmtId="0" fontId="4" fillId="0" borderId="1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6" borderId="31" applyNumberForma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62" fillId="5" borderId="6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41" fillId="40" borderId="31" applyNumberFormat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34" borderId="33" applyNumberFormat="0" applyAlignment="0" applyProtection="0">
      <alignment vertical="center"/>
    </xf>
    <xf numFmtId="0" fontId="44" fillId="34" borderId="33" applyNumberFormat="0" applyAlignment="0" applyProtection="0">
      <alignment vertical="center"/>
    </xf>
    <xf numFmtId="0" fontId="44" fillId="34" borderId="33" applyNumberFormat="0" applyAlignment="0" applyProtection="0">
      <alignment vertical="center"/>
    </xf>
    <xf numFmtId="0" fontId="44" fillId="34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75" borderId="33" applyNumberForma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68" fillId="6" borderId="7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44" fillId="67" borderId="3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0" fillId="0" borderId="0" applyNumberFormat="0" applyFont="0" applyBorder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70" fillId="0" borderId="0" applyNumberFormat="0" applyFill="0" applyBorder="0" applyProtection="0">
      <alignment vertical="top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1" fillId="0" borderId="0"/>
    <xf numFmtId="0" fontId="139" fillId="0" borderId="0">
      <alignment vertical="center"/>
    </xf>
    <xf numFmtId="41" fontId="139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9" fillId="0" borderId="0"/>
    <xf numFmtId="176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514">
    <xf numFmtId="0" fontId="0" fillId="0" borderId="0" xfId="0">
      <alignment vertical="center"/>
    </xf>
    <xf numFmtId="0" fontId="0" fillId="0" borderId="0" xfId="0">
      <alignment vertical="center"/>
    </xf>
    <xf numFmtId="0" fontId="26" fillId="0" borderId="0" xfId="0" applyFont="1">
      <alignment vertical="center"/>
    </xf>
    <xf numFmtId="41" fontId="73" fillId="0" borderId="0" xfId="20999" applyNumberFormat="1" applyFont="1">
      <alignment vertical="center"/>
    </xf>
    <xf numFmtId="41" fontId="128" fillId="0" borderId="0" xfId="20999" applyNumberFormat="1" applyFont="1" applyAlignment="1">
      <alignment horizontal="right" vertical="center"/>
    </xf>
    <xf numFmtId="0" fontId="73" fillId="0" borderId="0" xfId="21000" applyNumberFormat="1" applyFont="1">
      <alignment vertical="center"/>
    </xf>
    <xf numFmtId="41" fontId="129" fillId="0" borderId="0" xfId="20999" applyNumberFormat="1" applyFont="1">
      <alignment vertical="center"/>
    </xf>
    <xf numFmtId="41" fontId="130" fillId="0" borderId="0" xfId="20999" applyNumberFormat="1" applyFont="1" applyFill="1">
      <alignment vertical="center"/>
    </xf>
    <xf numFmtId="41" fontId="131" fillId="0" borderId="0" xfId="20999" applyNumberFormat="1" applyFont="1" applyAlignment="1">
      <alignment vertical="center"/>
    </xf>
    <xf numFmtId="41" fontId="132" fillId="0" borderId="0" xfId="21000" applyNumberFormat="1" applyFont="1" applyAlignment="1">
      <alignment horizontal="left" vertical="center"/>
    </xf>
    <xf numFmtId="41" fontId="54" fillId="0" borderId="0" xfId="20999" applyNumberFormat="1" applyFont="1">
      <alignment vertical="center"/>
    </xf>
    <xf numFmtId="41" fontId="133" fillId="103" borderId="36" xfId="20999" applyNumberFormat="1" applyFont="1" applyFill="1" applyBorder="1" applyAlignment="1">
      <alignment horizontal="center" vertical="center"/>
    </xf>
    <xf numFmtId="41" fontId="133" fillId="103" borderId="37" xfId="20999" applyNumberFormat="1" applyFont="1" applyFill="1" applyBorder="1" applyAlignment="1">
      <alignment horizontal="center" vertical="center"/>
    </xf>
    <xf numFmtId="41" fontId="133" fillId="103" borderId="38" xfId="20999" applyNumberFormat="1" applyFont="1" applyFill="1" applyBorder="1" applyAlignment="1">
      <alignment horizontal="center" vertical="center"/>
    </xf>
    <xf numFmtId="0" fontId="133" fillId="104" borderId="36" xfId="21000" applyNumberFormat="1" applyFont="1" applyFill="1" applyBorder="1" applyAlignment="1">
      <alignment horizontal="center" vertical="center"/>
    </xf>
    <xf numFmtId="41" fontId="134" fillId="104" borderId="38" xfId="21000" applyNumberFormat="1" applyFont="1" applyFill="1" applyBorder="1" applyAlignment="1">
      <alignment horizontal="center" vertical="center"/>
    </xf>
    <xf numFmtId="0" fontId="133" fillId="0" borderId="39" xfId="21000" applyNumberFormat="1" applyFont="1" applyBorder="1" applyAlignment="1">
      <alignment horizontal="center" vertical="center"/>
    </xf>
    <xf numFmtId="41" fontId="54" fillId="0" borderId="2" xfId="20999" applyNumberFormat="1" applyFont="1" applyBorder="1">
      <alignment vertical="center"/>
    </xf>
    <xf numFmtId="41" fontId="54" fillId="103" borderId="2" xfId="20999" applyNumberFormat="1" applyFont="1" applyFill="1" applyBorder="1">
      <alignment vertical="center"/>
    </xf>
    <xf numFmtId="41" fontId="54" fillId="0" borderId="2" xfId="20999" applyFont="1" applyFill="1" applyBorder="1">
      <alignment vertical="center"/>
    </xf>
    <xf numFmtId="41" fontId="54" fillId="33" borderId="2" xfId="20999" applyFont="1" applyFill="1" applyBorder="1" applyAlignment="1">
      <alignment vertical="center" wrapText="1"/>
    </xf>
    <xf numFmtId="0" fontId="135" fillId="0" borderId="40" xfId="21000" applyNumberFormat="1" applyFont="1" applyBorder="1" applyAlignment="1">
      <alignment horizontal="center" vertical="center"/>
    </xf>
    <xf numFmtId="0" fontId="133" fillId="104" borderId="41" xfId="21000" applyNumberFormat="1" applyFont="1" applyFill="1" applyBorder="1" applyAlignment="1">
      <alignment horizontal="center" vertical="center"/>
    </xf>
    <xf numFmtId="41" fontId="134" fillId="104" borderId="42" xfId="21000" applyNumberFormat="1" applyFont="1" applyFill="1" applyBorder="1" applyAlignment="1">
      <alignment horizontal="center" vertical="center"/>
    </xf>
    <xf numFmtId="41" fontId="54" fillId="0" borderId="1" xfId="20999" applyNumberFormat="1" applyFont="1" applyBorder="1">
      <alignment vertical="center"/>
    </xf>
    <xf numFmtId="0" fontId="135" fillId="0" borderId="43" xfId="21000" applyNumberFormat="1" applyFont="1" applyBorder="1">
      <alignment vertical="center"/>
    </xf>
    <xf numFmtId="0" fontId="133" fillId="0" borderId="44" xfId="21000" applyNumberFormat="1" applyFont="1" applyBorder="1" applyAlignment="1">
      <alignment horizontal="center" vertical="center"/>
    </xf>
    <xf numFmtId="0" fontId="136" fillId="33" borderId="44" xfId="21000" applyNumberFormat="1" applyFont="1" applyFill="1" applyBorder="1" applyAlignment="1">
      <alignment horizontal="center" vertical="center"/>
    </xf>
    <xf numFmtId="41" fontId="54" fillId="33" borderId="43" xfId="20999" applyNumberFormat="1" applyFont="1" applyFill="1" applyBorder="1" applyAlignment="1">
      <alignment horizontal="right" vertical="center"/>
    </xf>
    <xf numFmtId="0" fontId="136" fillId="33" borderId="41" xfId="21000" applyNumberFormat="1" applyFont="1" applyFill="1" applyBorder="1" applyAlignment="1">
      <alignment horizontal="center" vertical="center"/>
    </xf>
    <xf numFmtId="41" fontId="54" fillId="33" borderId="42" xfId="20999" applyNumberFormat="1" applyFont="1" applyFill="1" applyBorder="1" applyAlignment="1">
      <alignment horizontal="right" vertical="center"/>
    </xf>
    <xf numFmtId="41" fontId="137" fillId="104" borderId="38" xfId="21000" applyNumberFormat="1" applyFont="1" applyFill="1" applyBorder="1" applyAlignment="1">
      <alignment horizontal="center" vertical="center"/>
    </xf>
    <xf numFmtId="0" fontId="136" fillId="33" borderId="45" xfId="21000" applyNumberFormat="1" applyFont="1" applyFill="1" applyBorder="1" applyAlignment="1">
      <alignment horizontal="center" vertical="center"/>
    </xf>
    <xf numFmtId="41" fontId="54" fillId="33" borderId="46" xfId="20999" applyNumberFormat="1" applyFont="1" applyFill="1" applyBorder="1" applyAlignment="1">
      <alignment horizontal="right" vertical="center"/>
    </xf>
    <xf numFmtId="0" fontId="133" fillId="0" borderId="47" xfId="21000" applyNumberFormat="1" applyFont="1" applyBorder="1" applyAlignment="1">
      <alignment horizontal="center" vertical="center"/>
    </xf>
    <xf numFmtId="41" fontId="54" fillId="0" borderId="30" xfId="20999" applyNumberFormat="1" applyFont="1" applyBorder="1">
      <alignment vertical="center"/>
    </xf>
    <xf numFmtId="0" fontId="135" fillId="0" borderId="48" xfId="21000" applyNumberFormat="1" applyFont="1" applyBorder="1">
      <alignment vertical="center"/>
    </xf>
    <xf numFmtId="0" fontId="73" fillId="33" borderId="0" xfId="21000" applyNumberFormat="1" applyFont="1" applyFill="1" applyAlignment="1">
      <alignment horizontal="center" vertical="center"/>
    </xf>
    <xf numFmtId="41" fontId="133" fillId="103" borderId="37" xfId="20999" applyNumberFormat="1" applyFont="1" applyFill="1" applyBorder="1">
      <alignment vertical="center"/>
    </xf>
    <xf numFmtId="0" fontId="135" fillId="103" borderId="38" xfId="21000" applyNumberFormat="1" applyFont="1" applyFill="1" applyBorder="1">
      <alignment vertical="center"/>
    </xf>
    <xf numFmtId="0" fontId="138" fillId="0" borderId="0" xfId="21000" applyNumberFormat="1" applyFont="1">
      <alignment vertical="center"/>
    </xf>
    <xf numFmtId="0" fontId="135" fillId="0" borderId="0" xfId="21000" applyNumberFormat="1" applyFont="1" applyAlignment="1">
      <alignment horizontal="center" vertical="center"/>
    </xf>
    <xf numFmtId="0" fontId="133" fillId="0" borderId="49" xfId="21000" applyNumberFormat="1" applyFont="1" applyBorder="1" applyAlignment="1">
      <alignment horizontal="center" vertical="center"/>
    </xf>
    <xf numFmtId="0" fontId="135" fillId="0" borderId="50" xfId="21000" applyNumberFormat="1" applyFont="1" applyBorder="1">
      <alignment vertical="center"/>
    </xf>
    <xf numFmtId="0" fontId="133" fillId="0" borderId="41" xfId="21000" applyNumberFormat="1" applyFont="1" applyBorder="1" applyAlignment="1">
      <alignment horizontal="center" vertical="center"/>
    </xf>
    <xf numFmtId="41" fontId="54" fillId="0" borderId="51" xfId="20999" applyNumberFormat="1" applyFont="1" applyBorder="1">
      <alignment vertical="center"/>
    </xf>
    <xf numFmtId="0" fontId="140" fillId="0" borderId="0" xfId="0" applyFont="1">
      <alignment vertical="center"/>
    </xf>
    <xf numFmtId="0" fontId="0" fillId="0" borderId="0" xfId="0">
      <alignment vertical="center"/>
    </xf>
    <xf numFmtId="41" fontId="54" fillId="33" borderId="52" xfId="20999" applyNumberFormat="1" applyFont="1" applyFill="1" applyBorder="1" applyAlignment="1">
      <alignment horizontal="right" vertical="center"/>
    </xf>
    <xf numFmtId="41" fontId="54" fillId="0" borderId="35" xfId="20999" applyNumberFormat="1" applyFont="1" applyBorder="1">
      <alignment vertical="center"/>
    </xf>
    <xf numFmtId="41" fontId="54" fillId="103" borderId="53" xfId="20999" applyNumberFormat="1" applyFont="1" applyFill="1" applyBorder="1">
      <alignment vertical="center"/>
    </xf>
    <xf numFmtId="0" fontId="135" fillId="0" borderId="52" xfId="21000" applyNumberFormat="1" applyFont="1" applyBorder="1">
      <alignment vertical="center"/>
    </xf>
    <xf numFmtId="41" fontId="54" fillId="103" borderId="51" xfId="20999" applyNumberFormat="1" applyFont="1" applyFill="1" applyBorder="1">
      <alignment vertical="center"/>
    </xf>
    <xf numFmtId="0" fontId="142" fillId="0" borderId="0" xfId="0" applyFont="1">
      <alignment vertical="center"/>
    </xf>
    <xf numFmtId="0" fontId="143" fillId="0" borderId="0" xfId="0" applyFont="1">
      <alignment vertical="center"/>
    </xf>
    <xf numFmtId="41" fontId="54" fillId="103" borderId="30" xfId="20999" applyNumberFormat="1" applyFont="1" applyFill="1" applyBorder="1">
      <alignment vertical="center"/>
    </xf>
    <xf numFmtId="0" fontId="144" fillId="0" borderId="0" xfId="0" applyFont="1">
      <alignment vertical="center"/>
    </xf>
    <xf numFmtId="4" fontId="77" fillId="0" borderId="0" xfId="0" applyNumberFormat="1" applyFont="1" applyAlignment="1">
      <alignment vertical="center" wrapText="1"/>
    </xf>
    <xf numFmtId="0" fontId="133" fillId="0" borderId="68" xfId="21000" applyNumberFormat="1" applyFont="1" applyBorder="1" applyAlignment="1">
      <alignment horizontal="center" vertical="center"/>
    </xf>
    <xf numFmtId="41" fontId="54" fillId="103" borderId="69" xfId="20999" applyNumberFormat="1" applyFont="1" applyFill="1" applyBorder="1">
      <alignment vertical="center"/>
    </xf>
    <xf numFmtId="41" fontId="54" fillId="103" borderId="35" xfId="20999" applyNumberFormat="1" applyFont="1" applyFill="1" applyBorder="1">
      <alignment vertical="center"/>
    </xf>
    <xf numFmtId="41" fontId="145" fillId="0" borderId="70" xfId="20999" applyNumberFormat="1" applyFont="1" applyFill="1" applyBorder="1">
      <alignment vertical="center"/>
    </xf>
    <xf numFmtId="41" fontId="145" fillId="0" borderId="43" xfId="21000" applyNumberFormat="1" applyFont="1" applyFill="1" applyBorder="1" applyAlignment="1">
      <alignment vertical="center"/>
    </xf>
    <xf numFmtId="41" fontId="145" fillId="0" borderId="51" xfId="0" applyNumberFormat="1" applyFont="1" applyFill="1" applyBorder="1">
      <alignment vertical="center"/>
    </xf>
    <xf numFmtId="41" fontId="145" fillId="0" borderId="42" xfId="21000" applyNumberFormat="1" applyFont="1" applyFill="1" applyBorder="1">
      <alignment vertical="center"/>
    </xf>
    <xf numFmtId="0" fontId="133" fillId="103" borderId="36" xfId="21000" applyNumberFormat="1" applyFont="1" applyFill="1" applyBorder="1" applyAlignment="1">
      <alignment horizontal="center" vertical="center"/>
    </xf>
    <xf numFmtId="41" fontId="145" fillId="106" borderId="70" xfId="20999" applyNumberFormat="1" applyFont="1" applyFill="1" applyBorder="1">
      <alignment vertical="center"/>
    </xf>
    <xf numFmtId="41" fontId="145" fillId="106" borderId="43" xfId="21000" applyNumberFormat="1" applyFont="1" applyFill="1" applyBorder="1" applyAlignment="1">
      <alignment vertical="center"/>
    </xf>
    <xf numFmtId="41" fontId="145" fillId="106" borderId="70" xfId="23068" applyFont="1" applyFill="1" applyBorder="1">
      <alignment vertical="center"/>
    </xf>
    <xf numFmtId="0" fontId="145" fillId="105" borderId="71" xfId="21000" applyNumberFormat="1" applyFont="1" applyFill="1" applyBorder="1" applyAlignment="1">
      <alignment horizontal="center" vertical="center"/>
    </xf>
    <xf numFmtId="41" fontId="145" fillId="105" borderId="46" xfId="20999" applyNumberFormat="1" applyFont="1" applyFill="1" applyBorder="1" applyAlignment="1">
      <alignment horizontal="center" vertical="center"/>
    </xf>
    <xf numFmtId="41" fontId="73" fillId="0" borderId="0" xfId="21000" applyNumberFormat="1" applyFont="1">
      <alignment vertical="center"/>
    </xf>
    <xf numFmtId="0" fontId="146" fillId="0" borderId="52" xfId="21000" applyNumberFormat="1" applyFont="1" applyBorder="1">
      <alignment vertical="center"/>
    </xf>
    <xf numFmtId="0" fontId="27" fillId="0" borderId="0" xfId="1447" applyFont="1"/>
    <xf numFmtId="41" fontId="0" fillId="0" borderId="0" xfId="0" applyNumberFormat="1">
      <alignment vertical="center"/>
    </xf>
    <xf numFmtId="0" fontId="147" fillId="0" borderId="59" xfId="0" applyFont="1" applyBorder="1" applyAlignment="1">
      <alignment horizontal="center" vertical="center" wrapText="1"/>
    </xf>
    <xf numFmtId="0" fontId="147" fillId="0" borderId="59" xfId="0" applyFont="1" applyBorder="1" applyAlignment="1">
      <alignment horizontal="left" vertical="center" wrapText="1"/>
    </xf>
    <xf numFmtId="0" fontId="148" fillId="0" borderId="59" xfId="0" applyFont="1" applyBorder="1" applyAlignment="1">
      <alignment horizontal="right" vertical="center" wrapText="1"/>
    </xf>
    <xf numFmtId="41" fontId="54" fillId="0" borderId="69" xfId="20999" applyNumberFormat="1" applyFont="1" applyBorder="1">
      <alignment vertical="center"/>
    </xf>
    <xf numFmtId="0" fontId="0" fillId="0" borderId="0" xfId="0">
      <alignment vertical="center"/>
    </xf>
    <xf numFmtId="0" fontId="152" fillId="0" borderId="0" xfId="0" applyFont="1" applyAlignment="1">
      <alignment horizontal="left" vertical="center" wrapText="1"/>
    </xf>
    <xf numFmtId="49" fontId="152" fillId="0" borderId="0" xfId="0" applyNumberFormat="1" applyFont="1" applyAlignment="1">
      <alignment vertical="center" wrapText="1"/>
    </xf>
    <xf numFmtId="0" fontId="152" fillId="0" borderId="0" xfId="0" applyFont="1" applyAlignment="1">
      <alignment vertical="center" wrapText="1"/>
    </xf>
    <xf numFmtId="3" fontId="152" fillId="0" borderId="0" xfId="0" applyNumberFormat="1" applyFont="1" applyAlignment="1">
      <alignment vertical="center" wrapText="1"/>
    </xf>
    <xf numFmtId="0" fontId="153" fillId="0" borderId="0" xfId="0" applyFont="1">
      <alignment vertical="center"/>
    </xf>
    <xf numFmtId="4" fontId="155" fillId="0" borderId="0" xfId="0" applyNumberFormat="1" applyFont="1">
      <alignment vertical="center"/>
    </xf>
    <xf numFmtId="3" fontId="155" fillId="0" borderId="0" xfId="0" applyNumberFormat="1" applyFont="1">
      <alignment vertical="center"/>
    </xf>
    <xf numFmtId="0" fontId="157" fillId="0" borderId="0" xfId="23065" applyFont="1" applyFill="1">
      <alignment vertical="center"/>
    </xf>
    <xf numFmtId="49" fontId="142" fillId="0" borderId="74" xfId="0" applyNumberFormat="1" applyFont="1" applyFill="1" applyBorder="1" applyAlignment="1">
      <alignment horizontal="left" vertical="center"/>
    </xf>
    <xf numFmtId="3" fontId="142" fillId="0" borderId="74" xfId="0" applyNumberFormat="1" applyFont="1" applyFill="1" applyBorder="1" applyAlignment="1">
      <alignment horizontal="right" vertical="center"/>
    </xf>
    <xf numFmtId="0" fontId="158" fillId="0" borderId="0" xfId="23065" applyFont="1" applyFill="1">
      <alignment vertical="center"/>
    </xf>
    <xf numFmtId="22" fontId="144" fillId="0" borderId="0" xfId="0" applyNumberFormat="1" applyFont="1">
      <alignment vertical="center"/>
    </xf>
    <xf numFmtId="3" fontId="144" fillId="0" borderId="0" xfId="0" applyNumberFormat="1" applyFont="1">
      <alignment vertical="center"/>
    </xf>
    <xf numFmtId="0" fontId="159" fillId="0" borderId="0" xfId="1447" applyFont="1"/>
    <xf numFmtId="3" fontId="159" fillId="0" borderId="0" xfId="1447" applyNumberFormat="1" applyFont="1"/>
    <xf numFmtId="0" fontId="133" fillId="0" borderId="77" xfId="21000" applyNumberFormat="1" applyFont="1" applyBorder="1" applyAlignment="1">
      <alignment horizontal="center" vertical="center"/>
    </xf>
    <xf numFmtId="0" fontId="136" fillId="33" borderId="76" xfId="21000" applyNumberFormat="1" applyFont="1" applyFill="1" applyBorder="1" applyAlignment="1">
      <alignment horizontal="center" vertical="center"/>
    </xf>
    <xf numFmtId="41" fontId="54" fillId="33" borderId="75" xfId="20999" applyNumberFormat="1" applyFont="1" applyFill="1" applyBorder="1" applyAlignment="1">
      <alignment horizontal="right" vertical="center"/>
    </xf>
    <xf numFmtId="0" fontId="136" fillId="0" borderId="76" xfId="21000" applyNumberFormat="1" applyFont="1" applyFill="1" applyBorder="1" applyAlignment="1">
      <alignment horizontal="center" vertical="center"/>
    </xf>
    <xf numFmtId="41" fontId="54" fillId="0" borderId="75" xfId="20999" applyNumberFormat="1" applyFont="1" applyFill="1" applyBorder="1" applyAlignment="1">
      <alignment horizontal="right" vertical="center"/>
    </xf>
    <xf numFmtId="0" fontId="77" fillId="0" borderId="0" xfId="0" applyFont="1" applyAlignment="1">
      <alignment vertical="center" wrapText="1"/>
    </xf>
    <xf numFmtId="4" fontId="156" fillId="0" borderId="0" xfId="0" applyNumberFormat="1" applyFont="1">
      <alignment vertical="center"/>
    </xf>
    <xf numFmtId="0" fontId="151" fillId="107" borderId="0" xfId="0" applyFont="1" applyFill="1" applyAlignment="1">
      <alignment horizontal="center" vertical="center" wrapText="1"/>
    </xf>
    <xf numFmtId="0" fontId="160" fillId="0" borderId="59" xfId="0" applyFont="1" applyBorder="1" applyAlignment="1">
      <alignment horizontal="center" vertical="center" wrapText="1"/>
    </xf>
    <xf numFmtId="49" fontId="142" fillId="110" borderId="74" xfId="0" applyNumberFormat="1" applyFont="1" applyFill="1" applyBorder="1" applyAlignment="1">
      <alignment horizontal="center" vertical="center" wrapText="1"/>
    </xf>
    <xf numFmtId="0" fontId="136" fillId="33" borderId="78" xfId="21000" quotePrefix="1" applyNumberFormat="1" applyFont="1" applyFill="1" applyBorder="1" applyAlignment="1">
      <alignment horizontal="center" vertical="center"/>
    </xf>
    <xf numFmtId="41" fontId="54" fillId="33" borderId="79" xfId="20999" applyNumberFormat="1" applyFont="1" applyFill="1" applyBorder="1" applyAlignment="1">
      <alignment horizontal="right" vertical="center"/>
    </xf>
    <xf numFmtId="0" fontId="136" fillId="33" borderId="41" xfId="21000" quotePrefix="1" applyNumberFormat="1" applyFont="1" applyFill="1" applyBorder="1" applyAlignment="1">
      <alignment horizontal="center" vertical="center"/>
    </xf>
    <xf numFmtId="0" fontId="161" fillId="0" borderId="0" xfId="0" applyFont="1">
      <alignment vertical="center"/>
    </xf>
    <xf numFmtId="0" fontId="149" fillId="0" borderId="59" xfId="0" applyFont="1" applyBorder="1" applyAlignment="1">
      <alignment horizontal="right" vertical="center" wrapText="1"/>
    </xf>
    <xf numFmtId="0" fontId="149" fillId="0" borderId="54" xfId="0" applyFont="1" applyBorder="1" applyAlignment="1">
      <alignment horizontal="right" vertical="center" wrapText="1"/>
    </xf>
    <xf numFmtId="0" fontId="151" fillId="107" borderId="0" xfId="0" applyFont="1" applyFill="1" applyAlignment="1">
      <alignment horizontal="center" vertical="center" wrapText="1"/>
    </xf>
    <xf numFmtId="0" fontId="136" fillId="33" borderId="77" xfId="21000" quotePrefix="1" applyNumberFormat="1" applyFont="1" applyFill="1" applyBorder="1" applyAlignment="1">
      <alignment horizontal="center" vertical="center"/>
    </xf>
    <xf numFmtId="0" fontId="136" fillId="103" borderId="36" xfId="21000" applyNumberFormat="1" applyFont="1" applyFill="1" applyBorder="1" applyAlignment="1">
      <alignment horizontal="center" vertical="center"/>
    </xf>
    <xf numFmtId="0" fontId="73" fillId="103" borderId="38" xfId="21000" applyNumberFormat="1" applyFont="1" applyFill="1" applyBorder="1" applyAlignment="1">
      <alignment horizontal="center" vertical="center"/>
    </xf>
    <xf numFmtId="0" fontId="145" fillId="0" borderId="44" xfId="21000" applyNumberFormat="1" applyFont="1" applyFill="1" applyBorder="1" applyAlignment="1">
      <alignment horizontal="center" vertical="center"/>
    </xf>
    <xf numFmtId="0" fontId="145" fillId="0" borderId="70" xfId="21000" applyNumberFormat="1" applyFont="1" applyFill="1" applyBorder="1" applyAlignment="1">
      <alignment horizontal="center" vertical="center"/>
    </xf>
    <xf numFmtId="41" fontId="145" fillId="106" borderId="44" xfId="20999" applyNumberFormat="1" applyFont="1" applyFill="1" applyBorder="1" applyAlignment="1">
      <alignment horizontal="center" vertical="center"/>
    </xf>
    <xf numFmtId="41" fontId="145" fillId="106" borderId="70" xfId="20999" applyNumberFormat="1" applyFont="1" applyFill="1" applyBorder="1" applyAlignment="1">
      <alignment horizontal="center" vertical="center"/>
    </xf>
    <xf numFmtId="41" fontId="145" fillId="0" borderId="41" xfId="20999" applyNumberFormat="1" applyFont="1" applyFill="1" applyBorder="1" applyAlignment="1">
      <alignment horizontal="center" vertical="center"/>
    </xf>
    <xf numFmtId="41" fontId="145" fillId="0" borderId="51" xfId="20999" applyNumberFormat="1" applyFont="1" applyFill="1" applyBorder="1" applyAlignment="1">
      <alignment horizontal="center" vertical="center"/>
    </xf>
    <xf numFmtId="41" fontId="145" fillId="105" borderId="72" xfId="20999" applyNumberFormat="1" applyFont="1" applyFill="1" applyBorder="1" applyAlignment="1">
      <alignment horizontal="center" vertical="center"/>
    </xf>
    <xf numFmtId="41" fontId="145" fillId="105" borderId="73" xfId="20999" applyNumberFormat="1" applyFont="1" applyFill="1" applyBorder="1" applyAlignment="1">
      <alignment horizontal="center" vertical="center"/>
    </xf>
    <xf numFmtId="0" fontId="151" fillId="107" borderId="0" xfId="0" applyFont="1" applyFill="1" applyAlignment="1">
      <alignment horizontal="center" vertical="center" wrapText="1"/>
    </xf>
    <xf numFmtId="0" fontId="151" fillId="108" borderId="0" xfId="0" applyFont="1" applyFill="1" applyAlignment="1">
      <alignment horizontal="center" vertical="center" wrapText="1"/>
    </xf>
    <xf numFmtId="0" fontId="151" fillId="109" borderId="0" xfId="0" applyFont="1" applyFill="1" applyAlignment="1">
      <alignment horizontal="center" vertical="center" wrapText="1"/>
    </xf>
    <xf numFmtId="0" fontId="152" fillId="107" borderId="0" xfId="0" applyFont="1" applyFill="1" applyAlignment="1">
      <alignment vertical="center" wrapText="1"/>
    </xf>
    <xf numFmtId="0" fontId="154" fillId="0" borderId="0" xfId="0" applyFont="1" applyAlignment="1">
      <alignment vertical="top" wrapText="1"/>
    </xf>
    <xf numFmtId="0" fontId="160" fillId="0" borderId="57" xfId="0" applyFont="1" applyBorder="1" applyAlignment="1">
      <alignment horizontal="center" vertical="center" wrapText="1"/>
    </xf>
    <xf numFmtId="0" fontId="160" fillId="0" borderId="56" xfId="0" applyFont="1" applyBorder="1" applyAlignment="1">
      <alignment horizontal="center" vertical="center" wrapText="1"/>
    </xf>
    <xf numFmtId="0" fontId="160" fillId="0" borderId="59" xfId="0" applyFont="1" applyBorder="1" applyAlignment="1">
      <alignment horizontal="center" vertical="center" wrapText="1"/>
    </xf>
    <xf numFmtId="0" fontId="160" fillId="0" borderId="60" xfId="0" applyFont="1" applyBorder="1" applyAlignment="1">
      <alignment horizontal="center" vertical="center" wrapText="1"/>
    </xf>
    <xf numFmtId="0" fontId="160" fillId="0" borderId="61" xfId="0" applyFont="1" applyBorder="1" applyAlignment="1">
      <alignment horizontal="center" vertical="center" wrapText="1"/>
    </xf>
    <xf numFmtId="0" fontId="160" fillId="0" borderId="66" xfId="0" applyFont="1" applyBorder="1" applyAlignment="1">
      <alignment horizontal="center" vertical="center" wrapText="1"/>
    </xf>
    <xf numFmtId="0" fontId="160" fillId="0" borderId="0" xfId="0" applyFont="1" applyBorder="1" applyAlignment="1">
      <alignment horizontal="center" vertical="center" wrapText="1"/>
    </xf>
    <xf numFmtId="0" fontId="160" fillId="0" borderId="67" xfId="0" applyFont="1" applyBorder="1" applyAlignment="1">
      <alignment horizontal="center" vertical="center" wrapText="1"/>
    </xf>
    <xf numFmtId="0" fontId="160" fillId="0" borderId="62" xfId="0" applyFont="1" applyBorder="1" applyAlignment="1">
      <alignment horizontal="center" vertical="center" wrapText="1"/>
    </xf>
    <xf numFmtId="0" fontId="160" fillId="0" borderId="63" xfId="0" applyFont="1" applyBorder="1" applyAlignment="1">
      <alignment horizontal="center" vertical="center" wrapText="1"/>
    </xf>
    <xf numFmtId="0" fontId="160" fillId="0" borderId="64" xfId="0" applyFont="1" applyBorder="1" applyAlignment="1">
      <alignment horizontal="center" vertical="center" wrapText="1"/>
    </xf>
    <xf numFmtId="0" fontId="160" fillId="0" borderId="55" xfId="0" applyFont="1" applyBorder="1" applyAlignment="1">
      <alignment horizontal="center" vertical="center" wrapText="1"/>
    </xf>
    <xf numFmtId="0" fontId="160" fillId="0" borderId="54" xfId="0" applyFont="1" applyBorder="1" applyAlignment="1">
      <alignment horizontal="center" vertical="center" wrapText="1"/>
    </xf>
    <xf numFmtId="0" fontId="160" fillId="0" borderId="58" xfId="0" applyFont="1" applyBorder="1" applyAlignment="1">
      <alignment horizontal="center" vertical="center" wrapText="1"/>
    </xf>
    <xf numFmtId="0" fontId="160" fillId="0" borderId="65" xfId="0" applyFont="1" applyBorder="1" applyAlignment="1">
      <alignment horizontal="center" vertical="center" wrapText="1"/>
    </xf>
    <xf numFmtId="49" fontId="142" fillId="110" borderId="74" xfId="0" applyNumberFormat="1" applyFont="1" applyFill="1" applyBorder="1" applyAlignment="1">
      <alignment horizontal="center" vertical="center" wrapText="1"/>
    </xf>
    <xf numFmtId="49" fontId="141" fillId="110" borderId="74" xfId="0" applyNumberFormat="1" applyFont="1" applyFill="1" applyBorder="1" applyAlignment="1">
      <alignment horizontal="center" vertical="center" wrapText="1"/>
    </xf>
    <xf numFmtId="0" fontId="0" fillId="35" borderId="80" xfId="0" applyFill="1" applyBorder="1" applyAlignment="1">
      <alignment horizontal="center"/>
    </xf>
    <xf numFmtId="0" fontId="0" fillId="111" borderId="80" xfId="0" applyFill="1" applyBorder="1" applyAlignment="1">
      <alignment horizontal="center"/>
    </xf>
    <xf numFmtId="0" fontId="0" fillId="0" borderId="81" xfId="0" applyBorder="1" applyAlignment="1"/>
    <xf numFmtId="3" fontId="0" fillId="0" borderId="81" xfId="0" applyNumberFormat="1" applyBorder="1" applyAlignment="1"/>
    <xf numFmtId="41" fontId="0" fillId="0" borderId="0" xfId="23068" applyFont="1">
      <alignment vertical="center"/>
    </xf>
    <xf numFmtId="41" fontId="0" fillId="112" borderId="0" xfId="23068" applyFont="1" applyFill="1">
      <alignment vertical="center"/>
    </xf>
    <xf numFmtId="3" fontId="0" fillId="112" borderId="0" xfId="0" applyNumberFormat="1" applyFill="1">
      <alignment vertical="center"/>
    </xf>
    <xf numFmtId="0" fontId="89" fillId="35" borderId="80" xfId="20191" applyFill="1" applyBorder="1" applyAlignment="1">
      <alignment horizontal="center"/>
    </xf>
    <xf numFmtId="0" fontId="89" fillId="111" borderId="80" xfId="20191" applyFill="1" applyBorder="1" applyAlignment="1">
      <alignment horizontal="center"/>
    </xf>
    <xf numFmtId="0" fontId="89" fillId="0" borderId="0" xfId="20191">
      <alignment vertical="center"/>
    </xf>
    <xf numFmtId="0" fontId="89" fillId="0" borderId="0" xfId="20191" applyBorder="1" applyAlignment="1"/>
    <xf numFmtId="3" fontId="89" fillId="0" borderId="0" xfId="20191" applyNumberFormat="1" applyBorder="1" applyAlignment="1"/>
    <xf numFmtId="3" fontId="89" fillId="111" borderId="0" xfId="20191" applyNumberFormat="1" applyFill="1" applyBorder="1" applyAlignment="1"/>
    <xf numFmtId="0" fontId="3" fillId="113" borderId="74" xfId="15268" applyFont="1" applyFill="1" applyBorder="1" applyAlignment="1">
      <alignment horizontal="center" vertical="center"/>
    </xf>
    <xf numFmtId="0" fontId="89" fillId="0" borderId="74" xfId="20191" applyBorder="1" applyAlignment="1">
      <alignment horizontal="center" vertical="center"/>
    </xf>
    <xf numFmtId="41" fontId="0" fillId="0" borderId="74" xfId="23074" applyFont="1" applyBorder="1">
      <alignment vertical="center"/>
    </xf>
    <xf numFmtId="41" fontId="0" fillId="0" borderId="53" xfId="23068" applyFont="1" applyFill="1" applyBorder="1">
      <alignment vertical="center"/>
    </xf>
    <xf numFmtId="41" fontId="163" fillId="0" borderId="74" xfId="23074" applyFont="1" applyBorder="1">
      <alignment vertical="center"/>
    </xf>
    <xf numFmtId="41" fontId="89" fillId="0" borderId="74" xfId="20191" applyNumberFormat="1" applyBorder="1">
      <alignment vertical="center"/>
    </xf>
    <xf numFmtId="0" fontId="89" fillId="0" borderId="74" xfId="20191" applyBorder="1">
      <alignment vertical="center"/>
    </xf>
    <xf numFmtId="0" fontId="164" fillId="0" borderId="74" xfId="20191" applyFont="1" applyBorder="1" applyAlignment="1">
      <alignment horizontal="center" vertical="center"/>
    </xf>
    <xf numFmtId="41" fontId="164" fillId="0" borderId="74" xfId="20191" applyNumberFormat="1" applyFont="1" applyBorder="1">
      <alignment vertical="center"/>
    </xf>
    <xf numFmtId="0" fontId="30" fillId="0" borderId="0" xfId="20191" applyFont="1">
      <alignment vertical="center"/>
    </xf>
    <xf numFmtId="0" fontId="165" fillId="0" borderId="0" xfId="20191" applyFont="1">
      <alignment vertical="center"/>
    </xf>
    <xf numFmtId="0" fontId="166" fillId="0" borderId="0" xfId="20191" applyFont="1">
      <alignment vertical="center"/>
    </xf>
    <xf numFmtId="41" fontId="166" fillId="0" borderId="0" xfId="20191" applyNumberFormat="1" applyFont="1">
      <alignment vertical="center"/>
    </xf>
    <xf numFmtId="0" fontId="162" fillId="0" borderId="0" xfId="20191" quotePrefix="1" applyFont="1">
      <alignment vertical="center"/>
    </xf>
    <xf numFmtId="0" fontId="167" fillId="0" borderId="82" xfId="42" applyFont="1" applyBorder="1" applyAlignment="1">
      <alignment horizontal="center" vertical="center" shrinkToFit="1"/>
    </xf>
    <xf numFmtId="0" fontId="168" fillId="107" borderId="0" xfId="0" applyFont="1" applyFill="1" applyBorder="1" applyAlignment="1">
      <alignment vertical="center" wrapText="1"/>
    </xf>
    <xf numFmtId="0" fontId="151" fillId="107" borderId="0" xfId="0" applyFont="1" applyFill="1" applyBorder="1" applyAlignment="1">
      <alignment vertical="center" wrapText="1"/>
    </xf>
    <xf numFmtId="0" fontId="152" fillId="107" borderId="0" xfId="0" applyFont="1" applyFill="1" applyBorder="1" applyAlignment="1">
      <alignment vertical="center" wrapText="1"/>
    </xf>
    <xf numFmtId="41" fontId="151" fillId="111" borderId="0" xfId="23068" applyFont="1" applyFill="1" applyBorder="1" applyAlignment="1">
      <alignment vertical="center" wrapText="1"/>
    </xf>
    <xf numFmtId="0" fontId="151" fillId="111" borderId="0" xfId="0" applyFont="1" applyFill="1" applyAlignment="1">
      <alignment horizontal="center" vertical="center" wrapText="1"/>
    </xf>
    <xf numFmtId="0" fontId="169" fillId="0" borderId="0" xfId="0" applyFont="1" applyBorder="1">
      <alignment vertical="center"/>
    </xf>
    <xf numFmtId="189" fontId="152" fillId="0" borderId="0" xfId="0" applyNumberFormat="1" applyFont="1" applyBorder="1">
      <alignment vertical="center"/>
    </xf>
    <xf numFmtId="41" fontId="152" fillId="0" borderId="0" xfId="23068" applyFont="1" applyBorder="1">
      <alignment vertical="center"/>
    </xf>
    <xf numFmtId="0" fontId="152" fillId="0" borderId="0" xfId="0" applyFont="1" applyBorder="1">
      <alignment vertical="center"/>
    </xf>
    <xf numFmtId="0" fontId="152" fillId="0" borderId="0" xfId="0" applyFont="1" applyBorder="1" applyAlignment="1">
      <alignment horizontal="center" vertical="center"/>
    </xf>
    <xf numFmtId="4" fontId="152" fillId="0" borderId="0" xfId="0" applyNumberFormat="1" applyFont="1" applyAlignment="1">
      <alignment vertical="center" wrapText="1"/>
    </xf>
    <xf numFmtId="0" fontId="169" fillId="0" borderId="0" xfId="0" applyFont="1">
      <alignment vertical="center"/>
    </xf>
    <xf numFmtId="190" fontId="170" fillId="0" borderId="0" xfId="0" applyNumberFormat="1" applyFont="1">
      <alignment vertical="center"/>
    </xf>
    <xf numFmtId="0" fontId="170" fillId="0" borderId="0" xfId="0" applyFont="1">
      <alignment vertical="center"/>
    </xf>
    <xf numFmtId="0" fontId="167" fillId="114" borderId="85" xfId="42" applyFont="1" applyFill="1" applyBorder="1" applyAlignment="1">
      <alignment horizontal="left" vertical="top" indent="1"/>
    </xf>
    <xf numFmtId="0" fontId="167" fillId="114" borderId="86" xfId="42" applyFont="1" applyFill="1" applyBorder="1" applyAlignment="1">
      <alignment vertical="top"/>
    </xf>
    <xf numFmtId="0" fontId="167" fillId="114" borderId="87" xfId="42" applyFont="1" applyFill="1" applyBorder="1" applyAlignment="1">
      <alignment vertical="top"/>
    </xf>
    <xf numFmtId="191" fontId="167" fillId="114" borderId="85" xfId="42" applyNumberFormat="1" applyFont="1" applyFill="1" applyBorder="1" applyAlignment="1">
      <alignment horizontal="left" vertical="top" indent="1"/>
    </xf>
    <xf numFmtId="191" fontId="167" fillId="114" borderId="86" xfId="42" applyNumberFormat="1" applyFont="1" applyFill="1" applyBorder="1" applyAlignment="1">
      <alignment vertical="top"/>
    </xf>
    <xf numFmtId="191" fontId="172" fillId="114" borderId="86" xfId="42" applyNumberFormat="1" applyFont="1" applyFill="1" applyBorder="1" applyAlignment="1">
      <alignment horizontal="center" vertical="top"/>
    </xf>
    <xf numFmtId="191" fontId="167" fillId="114" borderId="87" xfId="42" applyNumberFormat="1" applyFont="1" applyFill="1" applyBorder="1" applyAlignment="1">
      <alignment vertical="top"/>
    </xf>
    <xf numFmtId="191" fontId="167" fillId="116" borderId="86" xfId="42" applyNumberFormat="1" applyFont="1" applyFill="1" applyBorder="1" applyAlignment="1">
      <alignment vertical="top"/>
    </xf>
    <xf numFmtId="191" fontId="167" fillId="116" borderId="87" xfId="42" applyNumberFormat="1" applyFont="1" applyFill="1" applyBorder="1" applyAlignment="1">
      <alignment vertical="top"/>
    </xf>
    <xf numFmtId="191" fontId="167" fillId="116" borderId="85" xfId="42" applyNumberFormat="1" applyFont="1" applyFill="1" applyBorder="1" applyAlignment="1">
      <alignment vertical="top"/>
    </xf>
    <xf numFmtId="192" fontId="167" fillId="116" borderId="86" xfId="23076" applyNumberFormat="1" applyFont="1" applyFill="1" applyBorder="1" applyAlignment="1">
      <alignment horizontal="center" vertical="top"/>
    </xf>
    <xf numFmtId="0" fontId="167" fillId="114" borderId="88" xfId="42" applyFont="1" applyFill="1" applyBorder="1" applyAlignment="1">
      <alignment horizontal="center" vertical="top"/>
    </xf>
    <xf numFmtId="0" fontId="167" fillId="114" borderId="89" xfId="42" applyFont="1" applyFill="1" applyBorder="1" applyAlignment="1">
      <alignment horizontal="center" vertical="top"/>
    </xf>
    <xf numFmtId="0" fontId="167" fillId="114" borderId="90" xfId="42" applyFont="1" applyFill="1" applyBorder="1" applyAlignment="1">
      <alignment horizontal="center" vertical="top"/>
    </xf>
    <xf numFmtId="0" fontId="167" fillId="114" borderId="91" xfId="42" applyFont="1" applyFill="1" applyBorder="1" applyAlignment="1">
      <alignment horizontal="center" vertical="top"/>
    </xf>
    <xf numFmtId="0" fontId="167" fillId="114" borderId="92" xfId="42" applyFont="1" applyFill="1" applyBorder="1" applyAlignment="1">
      <alignment horizontal="center" vertical="top"/>
    </xf>
    <xf numFmtId="0" fontId="167" fillId="114" borderId="93" xfId="42" applyFont="1" applyFill="1" applyBorder="1" applyAlignment="1">
      <alignment horizontal="center" vertical="top"/>
    </xf>
    <xf numFmtId="191" fontId="167" fillId="114" borderId="94" xfId="42" applyNumberFormat="1" applyFont="1" applyFill="1" applyBorder="1" applyAlignment="1">
      <alignment horizontal="center" vertical="top"/>
    </xf>
    <xf numFmtId="191" fontId="167" fillId="114" borderId="89" xfId="42" applyNumberFormat="1" applyFont="1" applyFill="1" applyBorder="1" applyAlignment="1">
      <alignment horizontal="center" vertical="top"/>
    </xf>
    <xf numFmtId="191" fontId="167" fillId="114" borderId="83" xfId="42" applyNumberFormat="1" applyFont="1" applyFill="1" applyBorder="1" applyAlignment="1">
      <alignment horizontal="center" vertical="top"/>
    </xf>
    <xf numFmtId="191" fontId="167" fillId="116" borderId="94" xfId="42" applyNumberFormat="1" applyFont="1" applyFill="1" applyBorder="1" applyAlignment="1">
      <alignment horizontal="center" vertical="top"/>
    </xf>
    <xf numFmtId="191" fontId="167" fillId="116" borderId="95" xfId="42" applyNumberFormat="1" applyFont="1" applyFill="1" applyBorder="1" applyAlignment="1">
      <alignment horizontal="center" vertical="top"/>
    </xf>
    <xf numFmtId="191" fontId="167" fillId="116" borderId="88" xfId="42" applyNumberFormat="1" applyFont="1" applyFill="1" applyBorder="1" applyAlignment="1">
      <alignment horizontal="center" vertical="top"/>
    </xf>
    <xf numFmtId="192" fontId="167" fillId="116" borderId="89" xfId="23076" applyNumberFormat="1" applyFont="1" applyFill="1" applyBorder="1" applyAlignment="1">
      <alignment horizontal="center" vertical="top"/>
    </xf>
    <xf numFmtId="191" fontId="167" fillId="116" borderId="83" xfId="42" applyNumberFormat="1" applyFont="1" applyFill="1" applyBorder="1" applyAlignment="1">
      <alignment horizontal="center" vertical="top"/>
    </xf>
    <xf numFmtId="0" fontId="167" fillId="114" borderId="96" xfId="42" applyFont="1" applyFill="1" applyBorder="1" applyAlignment="1">
      <alignment horizontal="center" vertical="top" wrapText="1"/>
    </xf>
    <xf numFmtId="0" fontId="167" fillId="114" borderId="97" xfId="42" applyFont="1" applyFill="1" applyBorder="1" applyAlignment="1">
      <alignment horizontal="center" vertical="top" wrapText="1"/>
    </xf>
    <xf numFmtId="0" fontId="167" fillId="114" borderId="98" xfId="42" applyFont="1" applyFill="1" applyBorder="1" applyAlignment="1">
      <alignment horizontal="center" vertical="top" wrapText="1"/>
    </xf>
    <xf numFmtId="0" fontId="167" fillId="114" borderId="98" xfId="42" applyFont="1" applyFill="1" applyBorder="1" applyAlignment="1">
      <alignment horizontal="center" vertical="top"/>
    </xf>
    <xf numFmtId="0" fontId="167" fillId="114" borderId="99" xfId="42" applyFont="1" applyFill="1" applyBorder="1" applyAlignment="1">
      <alignment horizontal="center" vertical="top" wrapText="1"/>
    </xf>
    <xf numFmtId="0" fontId="167" fillId="114" borderId="100" xfId="42" applyFont="1" applyFill="1" applyBorder="1" applyAlignment="1">
      <alignment horizontal="center" vertical="top"/>
    </xf>
    <xf numFmtId="0" fontId="167" fillId="114" borderId="97" xfId="42" applyFont="1" applyFill="1" applyBorder="1" applyAlignment="1">
      <alignment horizontal="center" vertical="top"/>
    </xf>
    <xf numFmtId="0" fontId="167" fillId="114" borderId="101" xfId="42" applyFont="1" applyFill="1" applyBorder="1" applyAlignment="1">
      <alignment horizontal="center" vertical="top" wrapText="1"/>
    </xf>
    <xf numFmtId="0" fontId="173" fillId="114" borderId="101" xfId="42" applyFont="1" applyFill="1" applyBorder="1" applyAlignment="1">
      <alignment horizontal="center" vertical="top" wrapText="1"/>
    </xf>
    <xf numFmtId="0" fontId="167" fillId="114" borderId="102" xfId="42" applyFont="1" applyFill="1" applyBorder="1" applyAlignment="1">
      <alignment horizontal="center" vertical="top" wrapText="1"/>
    </xf>
    <xf numFmtId="0" fontId="167" fillId="116" borderId="97" xfId="42" applyFont="1" applyFill="1" applyBorder="1" applyAlignment="1">
      <alignment horizontal="center" vertical="top" wrapText="1"/>
    </xf>
    <xf numFmtId="0" fontId="167" fillId="116" borderId="103" xfId="42" applyFont="1" applyFill="1" applyBorder="1" applyAlignment="1">
      <alignment horizontal="center" vertical="top" wrapText="1"/>
    </xf>
    <xf numFmtId="0" fontId="167" fillId="116" borderId="104" xfId="42" applyFont="1" applyFill="1" applyBorder="1" applyAlignment="1">
      <alignment horizontal="center" vertical="top" wrapText="1"/>
    </xf>
    <xf numFmtId="192" fontId="167" fillId="116" borderId="101" xfId="23076" applyNumberFormat="1" applyFont="1" applyFill="1" applyBorder="1" applyAlignment="1">
      <alignment horizontal="center" vertical="top" wrapText="1"/>
    </xf>
    <xf numFmtId="0" fontId="167" fillId="116" borderId="102" xfId="42" applyFont="1" applyFill="1" applyBorder="1" applyAlignment="1">
      <alignment horizontal="center" vertical="top" wrapText="1"/>
    </xf>
    <xf numFmtId="0" fontId="167" fillId="0" borderId="82" xfId="42" applyFont="1" applyBorder="1" applyAlignment="1">
      <alignment vertical="center" shrinkToFit="1"/>
    </xf>
    <xf numFmtId="0" fontId="167" fillId="0" borderId="105" xfId="42" applyNumberFormat="1" applyFont="1" applyFill="1" applyBorder="1" applyAlignment="1">
      <alignment horizontal="center" vertical="center" shrinkToFit="1"/>
    </xf>
    <xf numFmtId="188" fontId="167" fillId="0" borderId="105" xfId="42" applyNumberFormat="1" applyFont="1" applyFill="1" applyBorder="1" applyAlignment="1">
      <alignment vertical="center" shrinkToFit="1"/>
    </xf>
    <xf numFmtId="188" fontId="167" fillId="0" borderId="84" xfId="42" applyNumberFormat="1" applyFont="1" applyFill="1" applyBorder="1" applyAlignment="1">
      <alignment horizontal="center" vertical="center" shrinkToFit="1"/>
    </xf>
    <xf numFmtId="0" fontId="167" fillId="0" borderId="106" xfId="42" quotePrefix="1" applyFont="1" applyBorder="1" applyAlignment="1">
      <alignment horizontal="center" vertical="center" shrinkToFit="1"/>
    </xf>
    <xf numFmtId="0" fontId="167" fillId="0" borderId="107" xfId="42" quotePrefix="1" applyFont="1" applyBorder="1" applyAlignment="1">
      <alignment horizontal="center" vertical="center" shrinkToFit="1"/>
    </xf>
    <xf numFmtId="193" fontId="167" fillId="0" borderId="108" xfId="42" quotePrefix="1" applyNumberFormat="1" applyFont="1" applyBorder="1" applyAlignment="1">
      <alignment horizontal="center" vertical="center" shrinkToFit="1"/>
    </xf>
    <xf numFmtId="0" fontId="167" fillId="0" borderId="109" xfId="1457" quotePrefix="1" applyFont="1" applyBorder="1" applyAlignment="1">
      <alignment horizontal="center" vertical="center" shrinkToFit="1"/>
    </xf>
    <xf numFmtId="193" fontId="167" fillId="0" borderId="106" xfId="42" quotePrefix="1" applyNumberFormat="1" applyFont="1" applyBorder="1" applyAlignment="1">
      <alignment horizontal="center" vertical="center" shrinkToFit="1"/>
    </xf>
    <xf numFmtId="0" fontId="167" fillId="0" borderId="107" xfId="42" applyFont="1" applyBorder="1" applyAlignment="1">
      <alignment horizontal="center" vertical="center" shrinkToFit="1"/>
    </xf>
    <xf numFmtId="188" fontId="175" fillId="0" borderId="107" xfId="42" applyNumberFormat="1" applyFont="1" applyBorder="1" applyAlignment="1">
      <alignment horizontal="right" vertical="center" shrinkToFit="1"/>
    </xf>
    <xf numFmtId="188" fontId="167" fillId="0" borderId="107" xfId="42" applyNumberFormat="1" applyFont="1" applyFill="1" applyBorder="1" applyAlignment="1">
      <alignment horizontal="right" vertical="center" shrinkToFit="1"/>
    </xf>
    <xf numFmtId="188" fontId="167" fillId="0" borderId="110" xfId="42" applyNumberFormat="1" applyFont="1" applyFill="1" applyBorder="1" applyAlignment="1">
      <alignment horizontal="right" vertical="center" shrinkToFit="1"/>
    </xf>
    <xf numFmtId="188" fontId="167" fillId="0" borderId="107" xfId="42" applyNumberFormat="1" applyFont="1" applyFill="1" applyBorder="1" applyAlignment="1">
      <alignment horizontal="center" vertical="center" shrinkToFit="1"/>
    </xf>
    <xf numFmtId="188" fontId="167" fillId="0" borderId="106" xfId="42" applyNumberFormat="1" applyFont="1" applyFill="1" applyBorder="1" applyAlignment="1">
      <alignment vertical="center" shrinkToFit="1"/>
    </xf>
    <xf numFmtId="192" fontId="167" fillId="115" borderId="107" xfId="23076" applyNumberFormat="1" applyFont="1" applyFill="1" applyBorder="1" applyAlignment="1">
      <alignment horizontal="center" vertical="center" shrinkToFit="1"/>
    </xf>
    <xf numFmtId="0" fontId="176" fillId="0" borderId="82" xfId="42" applyFont="1" applyBorder="1" applyAlignment="1">
      <alignment horizontal="center" vertical="center" shrinkToFit="1"/>
    </xf>
    <xf numFmtId="41" fontId="0" fillId="111" borderId="0" xfId="0" applyNumberFormat="1" applyFill="1">
      <alignment vertical="center"/>
    </xf>
    <xf numFmtId="0" fontId="3" fillId="111" borderId="0" xfId="0" applyFont="1" applyFill="1">
      <alignment vertical="center"/>
    </xf>
    <xf numFmtId="0" fontId="5" fillId="0" borderId="0" xfId="14586">
      <alignment vertical="center"/>
    </xf>
    <xf numFmtId="0" fontId="177" fillId="0" borderId="111" xfId="0" applyFont="1" applyBorder="1">
      <alignment vertical="center"/>
    </xf>
    <xf numFmtId="0" fontId="177" fillId="0" borderId="112" xfId="0" applyFont="1" applyBorder="1">
      <alignment vertical="center"/>
    </xf>
    <xf numFmtId="0" fontId="26" fillId="0" borderId="113" xfId="0" applyFont="1" applyBorder="1" applyAlignment="1">
      <alignment horizontal="left" vertical="center"/>
    </xf>
    <xf numFmtId="0" fontId="177" fillId="117" borderId="76" xfId="0" applyFont="1" applyFill="1" applyBorder="1" applyAlignment="1">
      <alignment horizontal="center" vertical="center"/>
    </xf>
    <xf numFmtId="0" fontId="177" fillId="117" borderId="74" xfId="0" applyFont="1" applyFill="1" applyBorder="1" applyAlignment="1">
      <alignment horizontal="center" vertical="center"/>
    </xf>
    <xf numFmtId="0" fontId="178" fillId="118" borderId="75" xfId="0" applyFont="1" applyFill="1" applyBorder="1" applyAlignment="1">
      <alignment horizontal="center" vertical="center" wrapText="1"/>
    </xf>
    <xf numFmtId="0" fontId="179" fillId="119" borderId="76" xfId="0" quotePrefix="1" applyFont="1" applyFill="1" applyBorder="1" applyAlignment="1">
      <alignment horizontal="center" vertical="center" wrapText="1"/>
    </xf>
    <xf numFmtId="41" fontId="25" fillId="0" borderId="74" xfId="23068" applyFont="1" applyBorder="1">
      <alignment vertical="center"/>
    </xf>
    <xf numFmtId="0" fontId="26" fillId="0" borderId="75" xfId="0" applyFont="1" applyBorder="1">
      <alignment vertical="center"/>
    </xf>
    <xf numFmtId="0" fontId="179" fillId="119" borderId="76" xfId="0" applyFont="1" applyFill="1" applyBorder="1" applyAlignment="1">
      <alignment horizontal="center" vertical="center" wrapText="1"/>
    </xf>
    <xf numFmtId="187" fontId="25" fillId="0" borderId="74" xfId="23068" applyNumberFormat="1" applyFont="1" applyBorder="1">
      <alignment vertical="center"/>
    </xf>
    <xf numFmtId="0" fontId="177" fillId="117" borderId="41" xfId="0" applyFont="1" applyFill="1" applyBorder="1" applyAlignment="1">
      <alignment horizontal="center" vertical="center"/>
    </xf>
    <xf numFmtId="41" fontId="25" fillId="0" borderId="51" xfId="23068" applyFont="1" applyBorder="1">
      <alignment vertical="center"/>
    </xf>
    <xf numFmtId="0" fontId="26" fillId="0" borderId="42" xfId="0" applyFont="1" applyBorder="1">
      <alignment vertical="center"/>
    </xf>
    <xf numFmtId="0" fontId="177" fillId="0" borderId="0" xfId="0" applyFont="1" applyFill="1" applyBorder="1" applyAlignment="1">
      <alignment horizontal="center" vertical="center"/>
    </xf>
    <xf numFmtId="187" fontId="25" fillId="0" borderId="0" xfId="0" applyNumberFormat="1" applyFont="1" applyFill="1" applyBorder="1">
      <alignment vertical="center"/>
    </xf>
    <xf numFmtId="0" fontId="26" fillId="0" borderId="0" xfId="0" applyFont="1" applyFill="1" applyBorder="1">
      <alignment vertical="center"/>
    </xf>
    <xf numFmtId="0" fontId="5" fillId="0" borderId="0" xfId="14586" applyFill="1">
      <alignment vertical="center"/>
    </xf>
    <xf numFmtId="0" fontId="3" fillId="0" borderId="0" xfId="14586" applyFont="1">
      <alignment vertical="center"/>
    </xf>
    <xf numFmtId="0" fontId="177" fillId="0" borderId="0" xfId="14586" applyFont="1">
      <alignment vertical="center"/>
    </xf>
    <xf numFmtId="0" fontId="177" fillId="0" borderId="0" xfId="14586" applyFont="1" applyAlignment="1">
      <alignment vertical="center"/>
    </xf>
    <xf numFmtId="3" fontId="177" fillId="0" borderId="0" xfId="14586" applyNumberFormat="1" applyFont="1" applyAlignment="1">
      <alignment vertical="center"/>
    </xf>
    <xf numFmtId="0" fontId="153" fillId="0" borderId="0" xfId="14586" applyFont="1" applyAlignment="1">
      <alignment horizontal="left" vertical="center"/>
    </xf>
    <xf numFmtId="0" fontId="153" fillId="0" borderId="0" xfId="14586" applyFont="1" applyAlignment="1">
      <alignment horizontal="right" vertical="center"/>
    </xf>
    <xf numFmtId="0" fontId="177" fillId="0" borderId="0" xfId="14586" applyNumberFormat="1" applyFont="1" applyAlignment="1">
      <alignment horizontal="right" vertical="center" wrapText="1"/>
    </xf>
    <xf numFmtId="0" fontId="50" fillId="0" borderId="0" xfId="14586" applyFont="1">
      <alignment vertical="center"/>
    </xf>
    <xf numFmtId="0" fontId="0" fillId="0" borderId="74" xfId="0" applyBorder="1" applyAlignment="1"/>
    <xf numFmtId="0" fontId="180" fillId="0" borderId="74" xfId="0" applyFont="1" applyBorder="1" applyAlignment="1">
      <alignment horizontal="center"/>
    </xf>
    <xf numFmtId="3" fontId="0" fillId="0" borderId="74" xfId="0" applyNumberFormat="1" applyBorder="1" applyAlignment="1"/>
    <xf numFmtId="0" fontId="0" fillId="0" borderId="74" xfId="0" applyFill="1" applyBorder="1" applyAlignment="1"/>
    <xf numFmtId="3" fontId="0" fillId="0" borderId="74" xfId="23068" applyNumberFormat="1" applyFont="1" applyBorder="1" applyAlignment="1"/>
    <xf numFmtId="0" fontId="169" fillId="0" borderId="74" xfId="14586" applyFont="1" applyBorder="1" applyAlignment="1"/>
    <xf numFmtId="0" fontId="26" fillId="0" borderId="112" xfId="0" applyFont="1" applyBorder="1">
      <alignment vertical="center"/>
    </xf>
    <xf numFmtId="0" fontId="26" fillId="0" borderId="113" xfId="0" applyFont="1" applyBorder="1" applyAlignment="1">
      <alignment horizontal="right" vertical="center"/>
    </xf>
    <xf numFmtId="0" fontId="178" fillId="118" borderId="76" xfId="0" applyFont="1" applyFill="1" applyBorder="1" applyAlignment="1">
      <alignment horizontal="center" vertical="center" wrapText="1"/>
    </xf>
    <xf numFmtId="0" fontId="178" fillId="118" borderId="74" xfId="0" applyFont="1" applyFill="1" applyBorder="1" applyAlignment="1">
      <alignment horizontal="center" vertical="center" wrapText="1"/>
    </xf>
    <xf numFmtId="4" fontId="179" fillId="119" borderId="74" xfId="0" applyNumberFormat="1" applyFont="1" applyFill="1" applyBorder="1" applyAlignment="1">
      <alignment horizontal="right" vertical="center" wrapText="1"/>
    </xf>
    <xf numFmtId="190" fontId="179" fillId="119" borderId="74" xfId="0" applyNumberFormat="1" applyFont="1" applyFill="1" applyBorder="1" applyAlignment="1">
      <alignment horizontal="right" vertical="center" wrapText="1"/>
    </xf>
    <xf numFmtId="0" fontId="26" fillId="0" borderId="75" xfId="0" applyFont="1" applyBorder="1" applyAlignment="1">
      <alignment horizontal="center" vertical="center"/>
    </xf>
    <xf numFmtId="4" fontId="178" fillId="119" borderId="74" xfId="0" applyNumberFormat="1" applyFont="1" applyFill="1" applyBorder="1" applyAlignment="1">
      <alignment horizontal="right" vertical="center" wrapText="1"/>
    </xf>
    <xf numFmtId="0" fontId="177" fillId="0" borderId="114" xfId="0" applyFont="1" applyBorder="1">
      <alignment vertical="center"/>
    </xf>
    <xf numFmtId="0" fontId="26" fillId="0" borderId="0" xfId="0" applyFont="1" applyBorder="1">
      <alignment vertical="center"/>
    </xf>
    <xf numFmtId="0" fontId="26" fillId="0" borderId="115" xfId="0" applyFont="1" applyBorder="1">
      <alignment vertical="center"/>
    </xf>
    <xf numFmtId="0" fontId="26" fillId="0" borderId="114" xfId="0" applyFont="1" applyBorder="1">
      <alignment vertical="center"/>
    </xf>
    <xf numFmtId="0" fontId="26" fillId="0" borderId="0" xfId="0" applyFont="1" applyBorder="1" applyAlignment="1">
      <alignment horizontal="right" vertical="center"/>
    </xf>
    <xf numFmtId="0" fontId="177" fillId="105" borderId="76" xfId="0" applyFont="1" applyFill="1" applyBorder="1" applyAlignment="1">
      <alignment horizontal="center" vertical="center"/>
    </xf>
    <xf numFmtId="0" fontId="177" fillId="105" borderId="74" xfId="0" applyFont="1" applyFill="1" applyBorder="1" applyAlignment="1">
      <alignment horizontal="center" vertical="center"/>
    </xf>
    <xf numFmtId="0" fontId="177" fillId="105" borderId="74" xfId="0" applyFont="1" applyFill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26" fillId="0" borderId="74" xfId="0" applyFont="1" applyBorder="1">
      <alignment vertical="center"/>
    </xf>
    <xf numFmtId="40" fontId="26" fillId="0" borderId="74" xfId="0" applyNumberFormat="1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/>
    </xf>
    <xf numFmtId="0" fontId="26" fillId="0" borderId="116" xfId="0" applyFont="1" applyBorder="1" applyAlignment="1">
      <alignment horizontal="center" vertical="center"/>
    </xf>
    <xf numFmtId="0" fontId="26" fillId="0" borderId="117" xfId="0" applyFont="1" applyBorder="1" applyAlignment="1">
      <alignment horizontal="center" vertical="center"/>
    </xf>
    <xf numFmtId="194" fontId="26" fillId="0" borderId="74" xfId="0" applyNumberFormat="1" applyFont="1" applyBorder="1" applyAlignment="1">
      <alignment horizontal="right" vertical="center"/>
    </xf>
    <xf numFmtId="41" fontId="26" fillId="0" borderId="74" xfId="23068" applyFont="1" applyBorder="1" applyAlignment="1">
      <alignment horizontal="right" vertical="center"/>
    </xf>
    <xf numFmtId="0" fontId="181" fillId="0" borderId="114" xfId="0" applyFont="1" applyBorder="1">
      <alignment vertical="center"/>
    </xf>
    <xf numFmtId="0" fontId="143" fillId="0" borderId="0" xfId="0" applyFont="1" applyAlignment="1">
      <alignment horizontal="center" vertical="center"/>
    </xf>
    <xf numFmtId="0" fontId="182" fillId="0" borderId="114" xfId="0" applyFont="1" applyBorder="1">
      <alignment vertical="center"/>
    </xf>
    <xf numFmtId="0" fontId="182" fillId="0" borderId="118" xfId="0" applyFont="1" applyBorder="1">
      <alignment vertical="center"/>
    </xf>
    <xf numFmtId="0" fontId="26" fillId="0" borderId="26" xfId="0" applyFont="1" applyBorder="1">
      <alignment vertical="center"/>
    </xf>
    <xf numFmtId="0" fontId="26" fillId="0" borderId="119" xfId="0" applyFont="1" applyBorder="1">
      <alignment vertical="center"/>
    </xf>
    <xf numFmtId="0" fontId="182" fillId="0" borderId="0" xfId="0" applyFont="1">
      <alignment vertical="center"/>
    </xf>
    <xf numFmtId="0" fontId="3" fillId="0" borderId="0" xfId="0" applyFont="1">
      <alignment vertical="center"/>
    </xf>
    <xf numFmtId="0" fontId="177" fillId="0" borderId="0" xfId="0" applyFont="1">
      <alignment vertical="center"/>
    </xf>
    <xf numFmtId="0" fontId="177" fillId="0" borderId="0" xfId="0" applyFont="1" applyAlignment="1">
      <alignment vertical="center"/>
    </xf>
    <xf numFmtId="3" fontId="177" fillId="0" borderId="0" xfId="0" applyNumberFormat="1" applyFont="1" applyAlignment="1">
      <alignment vertical="center"/>
    </xf>
    <xf numFmtId="0" fontId="153" fillId="0" borderId="0" xfId="0" applyFont="1" applyAlignment="1">
      <alignment horizontal="right" vertical="center"/>
    </xf>
    <xf numFmtId="3" fontId="177" fillId="0" borderId="0" xfId="0" applyNumberFormat="1" applyFont="1" applyAlignment="1">
      <alignment horizontal="right" vertical="center"/>
    </xf>
    <xf numFmtId="0" fontId="185" fillId="0" borderId="0" xfId="0" applyFont="1">
      <alignment vertical="center"/>
    </xf>
    <xf numFmtId="0" fontId="25" fillId="0" borderId="0" xfId="0" applyFont="1">
      <alignment vertical="center"/>
    </xf>
    <xf numFmtId="0" fontId="186" fillId="0" borderId="0" xfId="0" applyFont="1">
      <alignment vertical="center"/>
    </xf>
    <xf numFmtId="0" fontId="177" fillId="120" borderId="120" xfId="0" applyFont="1" applyFill="1" applyBorder="1" applyAlignment="1">
      <alignment horizontal="center" vertical="center"/>
    </xf>
    <xf numFmtId="0" fontId="177" fillId="120" borderId="121" xfId="0" applyFont="1" applyFill="1" applyBorder="1" applyAlignment="1">
      <alignment horizontal="center" vertical="center"/>
    </xf>
    <xf numFmtId="0" fontId="177" fillId="120" borderId="122" xfId="0" applyFont="1" applyFill="1" applyBorder="1" applyAlignment="1">
      <alignment horizontal="center" vertical="center"/>
    </xf>
    <xf numFmtId="0" fontId="177" fillId="120" borderId="25" xfId="0" applyFont="1" applyFill="1" applyBorder="1" applyAlignment="1">
      <alignment horizontal="center" vertical="center"/>
    </xf>
    <xf numFmtId="0" fontId="177" fillId="120" borderId="117" xfId="0" applyFont="1" applyFill="1" applyBorder="1" applyAlignment="1">
      <alignment horizontal="center" vertical="center"/>
    </xf>
    <xf numFmtId="0" fontId="177" fillId="120" borderId="123" xfId="0" applyFont="1" applyFill="1" applyBorder="1" applyAlignment="1">
      <alignment horizontal="center" vertical="center"/>
    </xf>
    <xf numFmtId="0" fontId="177" fillId="120" borderId="124" xfId="0" applyFont="1" applyFill="1" applyBorder="1" applyAlignment="1">
      <alignment horizontal="center" vertical="center"/>
    </xf>
    <xf numFmtId="0" fontId="177" fillId="120" borderId="74" xfId="0" applyFont="1" applyFill="1" applyBorder="1" applyAlignment="1">
      <alignment horizontal="center" vertical="center"/>
    </xf>
    <xf numFmtId="0" fontId="187" fillId="120" borderId="74" xfId="0" applyFont="1" applyFill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/>
    </xf>
    <xf numFmtId="0" fontId="188" fillId="0" borderId="74" xfId="0" applyFont="1" applyBorder="1" applyAlignment="1">
      <alignment horizontal="center" vertical="center"/>
    </xf>
    <xf numFmtId="0" fontId="169" fillId="0" borderId="74" xfId="0" applyFont="1" applyBorder="1">
      <alignment vertical="center"/>
    </xf>
    <xf numFmtId="0" fontId="26" fillId="0" borderId="53" xfId="0" applyFont="1" applyBorder="1" applyAlignment="1">
      <alignment horizontal="center" vertical="center" wrapText="1"/>
    </xf>
    <xf numFmtId="195" fontId="26" fillId="0" borderId="74" xfId="0" applyNumberFormat="1" applyFont="1" applyBorder="1">
      <alignment vertical="center"/>
    </xf>
    <xf numFmtId="42" fontId="188" fillId="0" borderId="74" xfId="0" applyNumberFormat="1" applyFont="1" applyBorder="1">
      <alignment vertical="center"/>
    </xf>
    <xf numFmtId="0" fontId="177" fillId="0" borderId="74" xfId="0" applyFont="1" applyBorder="1">
      <alignment vertical="center"/>
    </xf>
    <xf numFmtId="195" fontId="177" fillId="0" borderId="74" xfId="0" applyNumberFormat="1" applyFont="1" applyBorder="1">
      <alignment vertical="center"/>
    </xf>
    <xf numFmtId="42" fontId="189" fillId="0" borderId="74" xfId="0" applyNumberFormat="1" applyFont="1" applyBorder="1">
      <alignment vertical="center"/>
    </xf>
    <xf numFmtId="0" fontId="168" fillId="0" borderId="74" xfId="0" applyFont="1" applyBorder="1">
      <alignment vertical="center"/>
    </xf>
    <xf numFmtId="0" fontId="177" fillId="120" borderId="74" xfId="0" applyFont="1" applyFill="1" applyBorder="1">
      <alignment vertical="center"/>
    </xf>
    <xf numFmtId="0" fontId="26" fillId="0" borderId="2" xfId="0" applyFont="1" applyBorder="1" applyAlignment="1">
      <alignment horizontal="center" vertical="center" wrapText="1"/>
    </xf>
    <xf numFmtId="0" fontId="177" fillId="106" borderId="74" xfId="0" applyFont="1" applyFill="1" applyBorder="1" applyAlignment="1">
      <alignment horizontal="center" vertical="center"/>
    </xf>
    <xf numFmtId="0" fontId="177" fillId="106" borderId="122" xfId="0" applyFont="1" applyFill="1" applyBorder="1" applyAlignment="1">
      <alignment horizontal="center" vertical="center"/>
    </xf>
    <xf numFmtId="0" fontId="177" fillId="106" borderId="25" xfId="0" applyFont="1" applyFill="1" applyBorder="1" applyAlignment="1">
      <alignment horizontal="center" vertical="center"/>
    </xf>
    <xf numFmtId="0" fontId="177" fillId="106" borderId="117" xfId="0" applyFont="1" applyFill="1" applyBorder="1" applyAlignment="1">
      <alignment horizontal="center" vertical="center"/>
    </xf>
    <xf numFmtId="0" fontId="177" fillId="106" borderId="74" xfId="0" applyFont="1" applyFill="1" applyBorder="1" applyAlignment="1">
      <alignment horizontal="center" vertical="center"/>
    </xf>
    <xf numFmtId="0" fontId="189" fillId="106" borderId="74" xfId="0" applyFont="1" applyFill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6" fillId="0" borderId="74" xfId="0" applyFont="1" applyFill="1" applyBorder="1">
      <alignment vertical="center"/>
    </xf>
    <xf numFmtId="195" fontId="25" fillId="0" borderId="74" xfId="0" applyNumberFormat="1" applyFont="1" applyBorder="1">
      <alignment vertical="center"/>
    </xf>
    <xf numFmtId="0" fontId="25" fillId="0" borderId="53" xfId="0" applyFont="1" applyBorder="1" applyAlignment="1">
      <alignment horizontal="center" vertical="center"/>
    </xf>
    <xf numFmtId="195" fontId="86" fillId="0" borderId="74" xfId="0" applyNumberFormat="1" applyFont="1" applyBorder="1">
      <alignment vertical="center"/>
    </xf>
    <xf numFmtId="0" fontId="177" fillId="0" borderId="74" xfId="0" applyFont="1" applyFill="1" applyBorder="1">
      <alignment vertical="center"/>
    </xf>
    <xf numFmtId="0" fontId="25" fillId="0" borderId="2" xfId="0" applyFont="1" applyBorder="1" applyAlignment="1">
      <alignment horizontal="center" vertical="center"/>
    </xf>
    <xf numFmtId="0" fontId="177" fillId="106" borderId="74" xfId="0" applyFont="1" applyFill="1" applyBorder="1">
      <alignment vertical="center"/>
    </xf>
    <xf numFmtId="0" fontId="177" fillId="121" borderId="74" xfId="0" applyFont="1" applyFill="1" applyBorder="1">
      <alignment vertical="center"/>
    </xf>
    <xf numFmtId="196" fontId="26" fillId="0" borderId="74" xfId="0" applyNumberFormat="1" applyFont="1" applyBorder="1">
      <alignment vertical="center"/>
    </xf>
    <xf numFmtId="196" fontId="177" fillId="0" borderId="74" xfId="0" applyNumberFormat="1" applyFont="1" applyBorder="1">
      <alignment vertical="center"/>
    </xf>
    <xf numFmtId="196" fontId="25" fillId="0" borderId="74" xfId="0" applyNumberFormat="1" applyFont="1" applyBorder="1">
      <alignment vertical="center"/>
    </xf>
    <xf numFmtId="196" fontId="86" fillId="0" borderId="74" xfId="0" applyNumberFormat="1" applyFont="1" applyBorder="1">
      <alignment vertical="center"/>
    </xf>
    <xf numFmtId="0" fontId="190" fillId="0" borderId="74" xfId="0" applyFont="1" applyBorder="1">
      <alignment vertical="center"/>
    </xf>
    <xf numFmtId="41" fontId="26" fillId="0" borderId="74" xfId="23068" applyFont="1" applyBorder="1" applyAlignment="1">
      <alignment horizontal="center" vertical="center"/>
    </xf>
    <xf numFmtId="0" fontId="26" fillId="0" borderId="74" xfId="0" quotePrefix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15" xfId="0" applyBorder="1">
      <alignment vertical="center"/>
    </xf>
    <xf numFmtId="0" fontId="177" fillId="105" borderId="76" xfId="0" applyFont="1" applyFill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194" fontId="26" fillId="0" borderId="0" xfId="0" applyNumberFormat="1" applyFont="1" applyBorder="1">
      <alignment vertical="center"/>
    </xf>
    <xf numFmtId="0" fontId="26" fillId="0" borderId="0" xfId="0" applyFont="1" applyBorder="1" applyAlignment="1">
      <alignment horizontal="center" vertical="center"/>
    </xf>
    <xf numFmtId="41" fontId="26" fillId="0" borderId="0" xfId="23068" applyFont="1" applyBorder="1" applyAlignment="1">
      <alignment horizontal="right" vertical="center"/>
    </xf>
    <xf numFmtId="0" fontId="177" fillId="106" borderId="35" xfId="0" applyFont="1" applyFill="1" applyBorder="1" applyAlignment="1">
      <alignment horizontal="center" vertical="center"/>
    </xf>
    <xf numFmtId="0" fontId="177" fillId="106" borderId="2" xfId="0" applyFont="1" applyFill="1" applyBorder="1" applyAlignment="1">
      <alignment horizontal="center" vertical="center"/>
    </xf>
    <xf numFmtId="195" fontId="182" fillId="0" borderId="74" xfId="0" applyNumberFormat="1" applyFont="1" applyBorder="1">
      <alignment vertical="center"/>
    </xf>
    <xf numFmtId="195" fontId="193" fillId="0" borderId="74" xfId="0" applyNumberFormat="1" applyFont="1" applyBorder="1">
      <alignment vertical="center"/>
    </xf>
    <xf numFmtId="0" fontId="194" fillId="0" borderId="74" xfId="0" applyFont="1" applyBorder="1">
      <alignment vertical="center"/>
    </xf>
    <xf numFmtId="195" fontId="195" fillId="0" borderId="74" xfId="0" applyNumberFormat="1" applyFont="1" applyBorder="1">
      <alignment vertical="center"/>
    </xf>
    <xf numFmtId="196" fontId="182" fillId="0" borderId="74" xfId="0" applyNumberFormat="1" applyFont="1" applyBorder="1">
      <alignment vertical="center"/>
    </xf>
    <xf numFmtId="196" fontId="195" fillId="0" borderId="74" xfId="0" applyNumberFormat="1" applyFont="1" applyBorder="1">
      <alignment vertical="center"/>
    </xf>
    <xf numFmtId="196" fontId="193" fillId="0" borderId="74" xfId="0" applyNumberFormat="1" applyFont="1" applyBorder="1">
      <alignment vertical="center"/>
    </xf>
    <xf numFmtId="0" fontId="102" fillId="0" borderId="0" xfId="18630"/>
    <xf numFmtId="0" fontId="182" fillId="111" borderId="114" xfId="0" applyFont="1" applyFill="1" applyBorder="1">
      <alignment vertical="center"/>
    </xf>
    <xf numFmtId="0" fontId="26" fillId="111" borderId="0" xfId="0" applyFont="1" applyFill="1" applyBorder="1">
      <alignment vertical="center"/>
    </xf>
    <xf numFmtId="0" fontId="26" fillId="114" borderId="74" xfId="0" quotePrefix="1" applyFont="1" applyFill="1" applyBorder="1" applyAlignment="1">
      <alignment horizontal="center" vertical="center"/>
    </xf>
    <xf numFmtId="0" fontId="188" fillId="114" borderId="74" xfId="0" quotePrefix="1" applyFont="1" applyFill="1" applyBorder="1" applyAlignment="1">
      <alignment horizontal="center" vertical="center"/>
    </xf>
    <xf numFmtId="0" fontId="169" fillId="114" borderId="74" xfId="0" applyFont="1" applyFill="1" applyBorder="1">
      <alignment vertical="center"/>
    </xf>
    <xf numFmtId="196" fontId="26" fillId="114" borderId="74" xfId="0" quotePrefix="1" applyNumberFormat="1" applyFont="1" applyFill="1" applyBorder="1" applyAlignment="1">
      <alignment horizontal="center" vertical="center"/>
    </xf>
    <xf numFmtId="42" fontId="188" fillId="114" borderId="74" xfId="0" quotePrefix="1" applyNumberFormat="1" applyFont="1" applyFill="1" applyBorder="1" applyAlignment="1">
      <alignment horizontal="center" vertical="center"/>
    </xf>
    <xf numFmtId="196" fontId="177" fillId="114" borderId="74" xfId="0" applyNumberFormat="1" applyFont="1" applyFill="1" applyBorder="1">
      <alignment vertical="center"/>
    </xf>
    <xf numFmtId="42" fontId="189" fillId="114" borderId="74" xfId="0" applyNumberFormat="1" applyFont="1" applyFill="1" applyBorder="1">
      <alignment vertical="center"/>
    </xf>
    <xf numFmtId="0" fontId="168" fillId="114" borderId="74" xfId="0" applyFont="1" applyFill="1" applyBorder="1">
      <alignment vertical="center"/>
    </xf>
    <xf numFmtId="196" fontId="26" fillId="114" borderId="74" xfId="0" applyNumberFormat="1" applyFont="1" applyFill="1" applyBorder="1">
      <alignment vertical="center"/>
    </xf>
    <xf numFmtId="42" fontId="188" fillId="114" borderId="74" xfId="0" applyNumberFormat="1" applyFont="1" applyFill="1" applyBorder="1">
      <alignment vertical="center"/>
    </xf>
    <xf numFmtId="196" fontId="25" fillId="105" borderId="74" xfId="0" applyNumberFormat="1" applyFont="1" applyFill="1" applyBorder="1">
      <alignment vertical="center"/>
    </xf>
    <xf numFmtId="42" fontId="188" fillId="105" borderId="74" xfId="0" applyNumberFormat="1" applyFont="1" applyFill="1" applyBorder="1">
      <alignment vertical="center"/>
    </xf>
    <xf numFmtId="0" fontId="190" fillId="105" borderId="74" xfId="0" applyFont="1" applyFill="1" applyBorder="1">
      <alignment vertical="center"/>
    </xf>
    <xf numFmtId="196" fontId="86" fillId="105" borderId="74" xfId="0" applyNumberFormat="1" applyFont="1" applyFill="1" applyBorder="1">
      <alignment vertical="center"/>
    </xf>
    <xf numFmtId="196" fontId="182" fillId="105" borderId="74" xfId="0" applyNumberFormat="1" applyFont="1" applyFill="1" applyBorder="1">
      <alignment vertical="center"/>
    </xf>
    <xf numFmtId="196" fontId="195" fillId="105" borderId="74" xfId="0" applyNumberFormat="1" applyFont="1" applyFill="1" applyBorder="1">
      <alignment vertical="center"/>
    </xf>
    <xf numFmtId="196" fontId="193" fillId="105" borderId="74" xfId="0" applyNumberFormat="1" applyFont="1" applyFill="1" applyBorder="1">
      <alignment vertical="center"/>
    </xf>
    <xf numFmtId="42" fontId="189" fillId="105" borderId="74" xfId="0" applyNumberFormat="1" applyFont="1" applyFill="1" applyBorder="1">
      <alignment vertical="center"/>
    </xf>
    <xf numFmtId="0" fontId="194" fillId="105" borderId="74" xfId="0" applyFont="1" applyFill="1" applyBorder="1">
      <alignment vertical="center"/>
    </xf>
    <xf numFmtId="0" fontId="26" fillId="0" borderId="112" xfId="0" applyFont="1" applyBorder="1" applyAlignment="1">
      <alignment horizontal="left" vertical="center"/>
    </xf>
    <xf numFmtId="187" fontId="25" fillId="0" borderId="74" xfId="0" applyNumberFormat="1" applyFont="1" applyBorder="1">
      <alignment vertical="center"/>
    </xf>
    <xf numFmtId="0" fontId="25" fillId="0" borderId="114" xfId="0" applyFont="1" applyBorder="1">
      <alignment vertical="center"/>
    </xf>
    <xf numFmtId="0" fontId="25" fillId="0" borderId="0" xfId="0" applyFont="1" applyBorder="1">
      <alignment vertical="center"/>
    </xf>
    <xf numFmtId="0" fontId="26" fillId="0" borderId="76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0" fontId="26" fillId="0" borderId="118" xfId="0" applyFont="1" applyBorder="1">
      <alignment vertical="center"/>
    </xf>
    <xf numFmtId="0" fontId="196" fillId="0" borderId="0" xfId="0" applyFont="1" applyAlignment="1">
      <alignment vertical="center"/>
    </xf>
    <xf numFmtId="0" fontId="177" fillId="0" borderId="0" xfId="0" applyFont="1" applyAlignment="1">
      <alignment horizontal="left" vertical="center"/>
    </xf>
    <xf numFmtId="0" fontId="177" fillId="0" borderId="0" xfId="0" applyFont="1" applyAlignment="1">
      <alignment horizontal="right" vertical="center"/>
    </xf>
    <xf numFmtId="0" fontId="197" fillId="106" borderId="74" xfId="23069" applyFont="1" applyFill="1" applyBorder="1" applyAlignment="1">
      <alignment horizontal="center" vertical="center"/>
    </xf>
    <xf numFmtId="176" fontId="197" fillId="106" borderId="74" xfId="23070" applyFont="1" applyFill="1" applyBorder="1" applyAlignment="1">
      <alignment horizontal="center" vertical="center"/>
    </xf>
    <xf numFmtId="176" fontId="197" fillId="106" borderId="74" xfId="23071" applyFont="1" applyFill="1" applyBorder="1" applyAlignment="1">
      <alignment horizontal="center" vertical="center"/>
    </xf>
    <xf numFmtId="197" fontId="197" fillId="106" borderId="74" xfId="23075" applyNumberFormat="1" applyFont="1" applyFill="1" applyBorder="1" applyAlignment="1">
      <alignment horizontal="center" vertical="center"/>
    </xf>
    <xf numFmtId="0" fontId="89" fillId="0" borderId="74" xfId="23069" quotePrefix="1" applyBorder="1" applyAlignment="1">
      <alignment horizontal="center" vertical="center"/>
    </xf>
    <xf numFmtId="197" fontId="89" fillId="0" borderId="74" xfId="23075" applyNumberFormat="1" applyFont="1" applyBorder="1" applyAlignment="1">
      <alignment horizontal="center" vertical="center"/>
    </xf>
    <xf numFmtId="43" fontId="59" fillId="0" borderId="74" xfId="23075" applyFont="1" applyBorder="1" applyAlignment="1">
      <alignment horizontal="center" vertical="center"/>
    </xf>
    <xf numFmtId="43" fontId="89" fillId="0" borderId="74" xfId="23075" applyFont="1" applyBorder="1" applyAlignment="1">
      <alignment vertical="center"/>
    </xf>
    <xf numFmtId="43" fontId="89" fillId="0" borderId="35" xfId="23075" applyFont="1" applyBorder="1" applyAlignment="1">
      <alignment horizontal="center" vertical="center"/>
    </xf>
    <xf numFmtId="43" fontId="89" fillId="0" borderId="53" xfId="23075" applyFont="1" applyBorder="1" applyAlignment="1">
      <alignment horizontal="center" vertical="center"/>
    </xf>
    <xf numFmtId="197" fontId="89" fillId="0" borderId="117" xfId="23075" applyNumberFormat="1" applyFont="1" applyBorder="1" applyAlignment="1">
      <alignment horizontal="center" vertical="center"/>
    </xf>
    <xf numFmtId="43" fontId="59" fillId="0" borderId="117" xfId="23075" applyFont="1" applyBorder="1" applyAlignment="1">
      <alignment horizontal="center" vertical="center"/>
    </xf>
    <xf numFmtId="43" fontId="89" fillId="0" borderId="2" xfId="23075" applyFont="1" applyBorder="1" applyAlignment="1">
      <alignment horizontal="center" vertical="center"/>
    </xf>
    <xf numFmtId="0" fontId="195" fillId="0" borderId="35" xfId="0" applyFont="1" applyBorder="1" applyAlignment="1">
      <alignment horizontal="center" vertical="center"/>
    </xf>
    <xf numFmtId="0" fontId="182" fillId="0" borderId="53" xfId="0" applyFont="1" applyBorder="1" applyAlignment="1">
      <alignment horizontal="center" vertical="center"/>
    </xf>
    <xf numFmtId="177" fontId="59" fillId="0" borderId="74" xfId="23067" applyFont="1" applyBorder="1" applyAlignment="1">
      <alignment horizontal="center" vertical="center"/>
    </xf>
    <xf numFmtId="177" fontId="89" fillId="0" borderId="74" xfId="23067" applyFont="1" applyBorder="1" applyAlignment="1">
      <alignment vertical="center"/>
    </xf>
    <xf numFmtId="0" fontId="182" fillId="0" borderId="2" xfId="0" applyFont="1" applyBorder="1" applyAlignment="1">
      <alignment horizontal="center" vertical="center"/>
    </xf>
    <xf numFmtId="177" fontId="59" fillId="0" borderId="117" xfId="23067" applyFont="1" applyBorder="1" applyAlignment="1">
      <alignment horizontal="center" vertical="center"/>
    </xf>
    <xf numFmtId="0" fontId="182" fillId="0" borderId="35" xfId="0" applyFont="1" applyBorder="1" applyAlignment="1">
      <alignment horizontal="center" vertical="center"/>
    </xf>
    <xf numFmtId="43" fontId="89" fillId="0" borderId="117" xfId="23075" applyFont="1" applyBorder="1" applyAlignment="1">
      <alignment vertical="center"/>
    </xf>
    <xf numFmtId="43" fontId="59" fillId="0" borderId="74" xfId="23077" applyFont="1" applyBorder="1" applyAlignment="1">
      <alignment horizontal="center" vertical="center"/>
    </xf>
    <xf numFmtId="43" fontId="89" fillId="0" borderId="74" xfId="23077" applyFont="1" applyBorder="1" applyAlignment="1">
      <alignment vertical="center"/>
    </xf>
    <xf numFmtId="0" fontId="198" fillId="0" borderId="74" xfId="23069" applyFont="1" applyBorder="1" applyAlignment="1">
      <alignment horizontal="center" vertical="center"/>
    </xf>
    <xf numFmtId="197" fontId="198" fillId="0" borderId="117" xfId="23075" applyNumberFormat="1" applyFont="1" applyBorder="1" applyAlignment="1">
      <alignment horizontal="center" vertical="center"/>
    </xf>
    <xf numFmtId="43" fontId="198" fillId="0" borderId="117" xfId="23075" applyFont="1" applyBorder="1" applyAlignment="1">
      <alignment horizontal="center" vertical="center"/>
    </xf>
    <xf numFmtId="0" fontId="25" fillId="0" borderId="74" xfId="0" applyFont="1" applyBorder="1">
      <alignment vertical="center"/>
    </xf>
    <xf numFmtId="0" fontId="5" fillId="0" borderId="0" xfId="0" applyFont="1">
      <alignment vertical="center"/>
    </xf>
    <xf numFmtId="3" fontId="179" fillId="119" borderId="74" xfId="0" applyNumberFormat="1" applyFont="1" applyFill="1" applyBorder="1" applyAlignment="1">
      <alignment horizontal="right" vertical="center" wrapText="1"/>
    </xf>
    <xf numFmtId="3" fontId="178" fillId="119" borderId="74" xfId="0" applyNumberFormat="1" applyFont="1" applyFill="1" applyBorder="1" applyAlignment="1">
      <alignment horizontal="right" vertical="center" wrapText="1"/>
    </xf>
    <xf numFmtId="0" fontId="181" fillId="0" borderId="118" xfId="0" applyFont="1" applyBorder="1">
      <alignment vertical="center"/>
    </xf>
    <xf numFmtId="0" fontId="153" fillId="0" borderId="0" xfId="0" applyFont="1" applyAlignment="1">
      <alignment horizontal="left" vertical="center"/>
    </xf>
    <xf numFmtId="0" fontId="199" fillId="117" borderId="74" xfId="0" applyFont="1" applyFill="1" applyBorder="1" applyAlignment="1">
      <alignment horizontal="center"/>
    </xf>
    <xf numFmtId="0" fontId="200" fillId="117" borderId="74" xfId="0" applyFont="1" applyFill="1" applyBorder="1" applyAlignment="1">
      <alignment horizontal="center"/>
    </xf>
    <xf numFmtId="0" fontId="178" fillId="117" borderId="74" xfId="0" applyFont="1" applyFill="1" applyBorder="1" applyAlignment="1">
      <alignment horizontal="center"/>
    </xf>
    <xf numFmtId="0" fontId="25" fillId="0" borderId="74" xfId="0" applyFont="1" applyBorder="1" applyAlignment="1">
      <alignment horizontal="center" vertical="center"/>
    </xf>
    <xf numFmtId="41" fontId="25" fillId="0" borderId="74" xfId="23068" applyFont="1" applyBorder="1" applyAlignment="1">
      <alignment horizontal="center" vertical="center"/>
    </xf>
    <xf numFmtId="41" fontId="195" fillId="0" borderId="74" xfId="23068" applyFont="1" applyBorder="1" applyAlignment="1">
      <alignment horizontal="center" vertical="center"/>
    </xf>
    <xf numFmtId="0" fontId="182" fillId="0" borderId="74" xfId="0" applyFont="1" applyBorder="1" applyAlignment="1">
      <alignment horizontal="center" vertical="center"/>
    </xf>
    <xf numFmtId="0" fontId="26" fillId="0" borderId="74" xfId="0" quotePrefix="1" applyFont="1" applyFill="1" applyBorder="1" applyAlignment="1">
      <alignment horizontal="center" vertical="center"/>
    </xf>
    <xf numFmtId="41" fontId="25" fillId="0" borderId="74" xfId="23068" applyFont="1" applyFill="1" applyBorder="1">
      <alignment vertical="center"/>
    </xf>
    <xf numFmtId="0" fontId="182" fillId="0" borderId="74" xfId="0" applyFont="1" applyFill="1" applyBorder="1" applyAlignment="1">
      <alignment horizontal="center" vertical="center"/>
    </xf>
    <xf numFmtId="0" fontId="26" fillId="105" borderId="74" xfId="0" quotePrefix="1" applyFont="1" applyFill="1" applyBorder="1" applyAlignment="1">
      <alignment horizontal="center" vertical="center"/>
    </xf>
    <xf numFmtId="41" fontId="26" fillId="105" borderId="74" xfId="23068" applyFont="1" applyFill="1" applyBorder="1">
      <alignment vertical="center"/>
    </xf>
    <xf numFmtId="0" fontId="182" fillId="105" borderId="74" xfId="0" applyFont="1" applyFill="1" applyBorder="1" applyAlignment="1">
      <alignment horizontal="center" vertical="center"/>
    </xf>
    <xf numFmtId="41" fontId="179" fillId="119" borderId="74" xfId="23068" applyFont="1" applyFill="1" applyBorder="1" applyAlignment="1">
      <alignment horizontal="right" vertical="center" wrapText="1"/>
    </xf>
    <xf numFmtId="0" fontId="201" fillId="117" borderId="74" xfId="0" applyFont="1" applyFill="1" applyBorder="1" applyAlignment="1">
      <alignment horizontal="center"/>
    </xf>
    <xf numFmtId="0" fontId="203" fillId="117" borderId="74" xfId="0" applyFont="1" applyFill="1" applyBorder="1" applyAlignment="1">
      <alignment horizontal="center" vertical="center"/>
    </xf>
    <xf numFmtId="41" fontId="26" fillId="0" borderId="74" xfId="23068" applyFont="1" applyBorder="1">
      <alignment vertical="center"/>
    </xf>
    <xf numFmtId="41" fontId="177" fillId="120" borderId="74" xfId="23068" applyFont="1" applyFill="1" applyBorder="1">
      <alignment vertical="center"/>
    </xf>
    <xf numFmtId="41" fontId="204" fillId="0" borderId="74" xfId="23068" applyFont="1" applyBorder="1" applyAlignment="1">
      <alignment horizontal="center" vertical="center"/>
    </xf>
    <xf numFmtId="0" fontId="177" fillId="0" borderId="0" xfId="0" applyFont="1" applyAlignment="1">
      <alignment horizontal="left" vertical="center" wrapText="1"/>
    </xf>
    <xf numFmtId="0" fontId="177" fillId="0" borderId="0" xfId="0" quotePrefix="1" applyFont="1">
      <alignment vertical="center"/>
    </xf>
    <xf numFmtId="3" fontId="177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 vertical="center"/>
    </xf>
    <xf numFmtId="0" fontId="143" fillId="0" borderId="0" xfId="0" applyFont="1" applyAlignment="1">
      <alignment horizontal="right" vertical="center"/>
    </xf>
    <xf numFmtId="0" fontId="201" fillId="117" borderId="74" xfId="0" applyFont="1" applyFill="1" applyBorder="1" applyAlignment="1">
      <alignment horizontal="center" vertical="center"/>
    </xf>
    <xf numFmtId="0" fontId="201" fillId="117" borderId="74" xfId="0" applyFont="1" applyFill="1" applyBorder="1" applyAlignment="1">
      <alignment horizontal="center" vertical="center" wrapText="1"/>
    </xf>
    <xf numFmtId="0" fontId="203" fillId="117" borderId="74" xfId="0" applyFont="1" applyFill="1" applyBorder="1" applyAlignment="1">
      <alignment horizontal="center" vertical="center" wrapText="1"/>
    </xf>
    <xf numFmtId="41" fontId="201" fillId="117" borderId="74" xfId="23068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98" fontId="26" fillId="0" borderId="74" xfId="23068" applyNumberFormat="1" applyFont="1" applyBorder="1">
      <alignment vertical="center"/>
    </xf>
    <xf numFmtId="9" fontId="26" fillId="0" borderId="74" xfId="0" applyNumberFormat="1" applyFont="1" applyBorder="1">
      <alignment vertical="center"/>
    </xf>
    <xf numFmtId="41" fontId="25" fillId="0" borderId="74" xfId="0" applyNumberFormat="1" applyFont="1" applyBorder="1">
      <alignment vertical="center"/>
    </xf>
    <xf numFmtId="41" fontId="26" fillId="111" borderId="74" xfId="23068" applyFont="1" applyFill="1" applyBorder="1">
      <alignment vertical="center"/>
    </xf>
    <xf numFmtId="41" fontId="26" fillId="0" borderId="74" xfId="23068" applyFont="1" applyFill="1" applyBorder="1" applyAlignment="1">
      <alignment horizontal="center" vertical="center"/>
    </xf>
    <xf numFmtId="198" fontId="26" fillId="0" borderId="74" xfId="23068" applyNumberFormat="1" applyFont="1" applyFill="1" applyBorder="1" applyAlignment="1">
      <alignment horizontal="right" vertical="center"/>
    </xf>
    <xf numFmtId="41" fontId="26" fillId="0" borderId="74" xfId="23068" applyNumberFormat="1" applyFont="1" applyFill="1" applyBorder="1" applyAlignment="1">
      <alignment horizontal="right" vertical="center"/>
    </xf>
    <xf numFmtId="41" fontId="26" fillId="0" borderId="74" xfId="23068" applyFont="1" applyFill="1" applyBorder="1">
      <alignment vertical="center"/>
    </xf>
    <xf numFmtId="9" fontId="26" fillId="0" borderId="74" xfId="23076" applyFont="1" applyFill="1" applyBorder="1">
      <alignment vertical="center"/>
    </xf>
    <xf numFmtId="0" fontId="0" fillId="0" borderId="74" xfId="0" applyBorder="1">
      <alignment vertical="center"/>
    </xf>
    <xf numFmtId="0" fontId="205" fillId="0" borderId="74" xfId="0" applyFont="1" applyBorder="1" applyAlignment="1">
      <alignment horizontal="center" vertical="center"/>
    </xf>
    <xf numFmtId="0" fontId="177" fillId="0" borderId="0" xfId="0" applyNumberFormat="1" applyFont="1" applyAlignment="1">
      <alignment horizontal="right" vertical="center" wrapText="1"/>
    </xf>
    <xf numFmtId="0" fontId="206" fillId="106" borderId="74" xfId="0" applyFont="1" applyFill="1" applyBorder="1" applyAlignment="1">
      <alignment horizontal="center" vertical="center"/>
    </xf>
    <xf numFmtId="0" fontId="206" fillId="106" borderId="74" xfId="0" applyFont="1" applyFill="1" applyBorder="1" applyAlignment="1">
      <alignment horizontal="center" vertical="center" wrapText="1"/>
    </xf>
    <xf numFmtId="41" fontId="206" fillId="106" borderId="74" xfId="23068" applyFont="1" applyFill="1" applyBorder="1" applyAlignment="1">
      <alignment horizontal="center" vertical="center"/>
    </xf>
    <xf numFmtId="0" fontId="207" fillId="0" borderId="74" xfId="0" applyFont="1" applyBorder="1" applyAlignment="1">
      <alignment horizontal="center"/>
    </xf>
    <xf numFmtId="0" fontId="207" fillId="0" borderId="74" xfId="0" applyFont="1" applyBorder="1" applyAlignment="1"/>
    <xf numFmtId="176" fontId="207" fillId="0" borderId="74" xfId="23068" applyNumberFormat="1" applyFont="1" applyBorder="1" applyAlignment="1"/>
    <xf numFmtId="41" fontId="208" fillId="0" borderId="74" xfId="0" applyNumberFormat="1" applyFont="1" applyBorder="1" applyAlignment="1">
      <alignment horizontal="center" vertical="center"/>
    </xf>
    <xf numFmtId="0" fontId="144" fillId="0" borderId="74" xfId="0" applyFont="1" applyBorder="1" applyAlignment="1">
      <alignment horizontal="center" vertical="center"/>
    </xf>
    <xf numFmtId="9" fontId="144" fillId="0" borderId="74" xfId="0" applyNumberFormat="1" applyFont="1" applyBorder="1" applyAlignment="1">
      <alignment horizontal="center" vertical="center"/>
    </xf>
    <xf numFmtId="41" fontId="207" fillId="0" borderId="74" xfId="23068" applyFont="1" applyBorder="1" applyAlignment="1"/>
    <xf numFmtId="0" fontId="207" fillId="0" borderId="0" xfId="0" applyFont="1" applyBorder="1" applyAlignment="1">
      <alignment horizontal="center"/>
    </xf>
    <xf numFmtId="0" fontId="207" fillId="0" borderId="0" xfId="0" applyFont="1" applyBorder="1" applyAlignment="1"/>
    <xf numFmtId="176" fontId="207" fillId="0" borderId="0" xfId="23068" applyNumberFormat="1" applyFont="1" applyBorder="1" applyAlignment="1"/>
    <xf numFmtId="41" fontId="207" fillId="0" borderId="0" xfId="23068" applyFont="1" applyBorder="1" applyAlignment="1"/>
    <xf numFmtId="0" fontId="177" fillId="0" borderId="0" xfId="0" applyFont="1" applyAlignment="1">
      <alignment vertical="center" wrapText="1"/>
    </xf>
    <xf numFmtId="3" fontId="177" fillId="0" borderId="0" xfId="0" applyNumberFormat="1" applyFont="1">
      <alignment vertical="center"/>
    </xf>
    <xf numFmtId="0" fontId="208" fillId="0" borderId="74" xfId="0" applyFont="1" applyBorder="1" applyAlignment="1">
      <alignment horizontal="center" vertical="center"/>
    </xf>
    <xf numFmtId="199" fontId="209" fillId="119" borderId="74" xfId="23068" applyNumberFormat="1" applyFont="1" applyFill="1" applyBorder="1" applyAlignment="1">
      <alignment horizontal="center" vertical="center"/>
    </xf>
    <xf numFmtId="0" fontId="177" fillId="111" borderId="111" xfId="0" applyFont="1" applyFill="1" applyBorder="1">
      <alignment vertical="center"/>
    </xf>
    <xf numFmtId="0" fontId="25" fillId="0" borderId="113" xfId="0" applyFont="1" applyBorder="1">
      <alignment vertical="center"/>
    </xf>
    <xf numFmtId="0" fontId="177" fillId="105" borderId="75" xfId="0" applyFont="1" applyFill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3" fontId="26" fillId="0" borderId="74" xfId="0" applyNumberFormat="1" applyFont="1" applyBorder="1">
      <alignment vertical="center"/>
    </xf>
    <xf numFmtId="0" fontId="25" fillId="0" borderId="75" xfId="0" applyFont="1" applyBorder="1">
      <alignment vertical="center"/>
    </xf>
    <xf numFmtId="0" fontId="86" fillId="0" borderId="118" xfId="0" applyFont="1" applyBorder="1">
      <alignment vertical="center"/>
    </xf>
    <xf numFmtId="0" fontId="25" fillId="0" borderId="26" xfId="0" applyFont="1" applyBorder="1">
      <alignment vertical="center"/>
    </xf>
    <xf numFmtId="0" fontId="25" fillId="0" borderId="119" xfId="0" applyFont="1" applyBorder="1">
      <alignment vertical="center"/>
    </xf>
    <xf numFmtId="0" fontId="135" fillId="0" borderId="118" xfId="20191" quotePrefix="1" applyFont="1" applyBorder="1">
      <alignment vertical="center"/>
    </xf>
  </cellXfs>
  <cellStyles count="23078">
    <cellStyle name="??&amp;O?&amp;H?_x0008__x000f__x0007_?_x0007__x0001__x0001_" xfId="18630"/>
    <cellStyle name="??&amp;O?&amp;H?_x0008_??_x0007__x0001__x0001_" xfId="18441"/>
    <cellStyle name="_나우콤반기조서2002.7.18" xfId="18667"/>
    <cellStyle name="_분기조서(hds)" xfId="18371"/>
    <cellStyle name="_정산표2Q" xfId="18602"/>
    <cellStyle name="=C:\WINNT\SYSTEM32\COMMAND.COM" xfId="1485"/>
    <cellStyle name="=C:\WINNT\SYSTEM32\COMMAND.COM 2" xfId="1486"/>
    <cellStyle name="=C:\WINNT\SYSTEM32\COMMAND.COM 2 2" xfId="1487"/>
    <cellStyle name="=C:\WINNT\SYSTEM32\COMMAND.COM 2 3" xfId="1488"/>
    <cellStyle name="=C:\WINNT\SYSTEM32\COMMAND.COM 3" xfId="1489"/>
    <cellStyle name="᠀ŀ" xfId="18476"/>
    <cellStyle name="᠀ŀŀ䅀᠀ŀŀ䅀᠀ŀ" xfId="18487"/>
    <cellStyle name="᠀ŀŀ䅀᠀ŀŀ䅀᠀ŀŀ䅀᠀ŀŀ䅀᠀ŀŀ䅀᠀ŀŀ䅀᠀ŀŀ䅀᠀ŀŀ䅀᠀ŀŀ䅀᠀ŀ" xfId="18422"/>
    <cellStyle name="16" xfId="18380"/>
    <cellStyle name="20% - Accent1" xfId="1490"/>
    <cellStyle name="20% - Accent1 2" xfId="1491"/>
    <cellStyle name="20% - Accent2" xfId="1492"/>
    <cellStyle name="20% - Accent2 2" xfId="1493"/>
    <cellStyle name="20% - Accent3" xfId="1494"/>
    <cellStyle name="20% - Accent3 2" xfId="1495"/>
    <cellStyle name="20% - Accent4" xfId="1496"/>
    <cellStyle name="20% - Accent4 2" xfId="1497"/>
    <cellStyle name="20% - Accent5" xfId="1498"/>
    <cellStyle name="20% - Accent5 2" xfId="1499"/>
    <cellStyle name="20% - Accent6" xfId="1500"/>
    <cellStyle name="20% - Accent6 2" xfId="1501"/>
    <cellStyle name="20% - 강조색1" xfId="19" builtinId="30" customBuiltin="1"/>
    <cellStyle name="20% - 강조색1 10" xfId="1502"/>
    <cellStyle name="20% - 강조색1 10 10" xfId="1503"/>
    <cellStyle name="20% - 강조색1 10 11" xfId="1504"/>
    <cellStyle name="20% - 강조색1 10 12" xfId="1505"/>
    <cellStyle name="20% - 강조색1 10 13" xfId="1506"/>
    <cellStyle name="20% - 강조색1 10 14" xfId="1507"/>
    <cellStyle name="20% - 강조색1 10 15" xfId="1508"/>
    <cellStyle name="20% - 강조색1 10 16" xfId="1509"/>
    <cellStyle name="20% - 강조색1 10 17" xfId="1510"/>
    <cellStyle name="20% - 강조색1 10 18" xfId="1511"/>
    <cellStyle name="20% - 강조색1 10 19" xfId="1512"/>
    <cellStyle name="20% - 강조색1 10 2" xfId="1513"/>
    <cellStyle name="20% - 강조색1 10 2 2" xfId="1514"/>
    <cellStyle name="20% - 강조색1 10 2 2 2" xfId="1515"/>
    <cellStyle name="20% - 강조색1 10 2 2 2 2" xfId="1516"/>
    <cellStyle name="20% - 강조색1 10 2 2 2 2 2" xfId="21002"/>
    <cellStyle name="20% - 강조색1 10 2 2 3" xfId="1517"/>
    <cellStyle name="20% - 강조색1 10 2 3" xfId="1518"/>
    <cellStyle name="20% - 강조색1 10 2 3 2" xfId="1519"/>
    <cellStyle name="20% - 강조색1 10 2 4" xfId="1520"/>
    <cellStyle name="20% - 강조색1 10 20" xfId="1521"/>
    <cellStyle name="20% - 강조색1 10 21" xfId="1522"/>
    <cellStyle name="20% - 강조색1 10 3" xfId="1523"/>
    <cellStyle name="20% - 강조색1 10 3 2" xfId="1524"/>
    <cellStyle name="20% - 강조색1 10 3 2 2" xfId="1525"/>
    <cellStyle name="20% - 강조색1 10 4" xfId="1526"/>
    <cellStyle name="20% - 강조색1 10 4 2" xfId="1527"/>
    <cellStyle name="20% - 강조색1 10 5" xfId="1528"/>
    <cellStyle name="20% - 강조색1 10 5 2" xfId="1529"/>
    <cellStyle name="20% - 강조색1 10 6" xfId="1530"/>
    <cellStyle name="20% - 강조색1 10 7" xfId="1531"/>
    <cellStyle name="20% - 강조색1 10 8" xfId="1532"/>
    <cellStyle name="20% - 강조색1 10 9" xfId="1533"/>
    <cellStyle name="20% - 강조색1 11" xfId="1534"/>
    <cellStyle name="20% - 강조색1 11 2" xfId="1535"/>
    <cellStyle name="20% - 강조색1 11 2 2" xfId="1536"/>
    <cellStyle name="20% - 강조색1 11 2 2 2" xfId="1537"/>
    <cellStyle name="20% - 강조색1 11 2 2 2 2" xfId="1538"/>
    <cellStyle name="20% - 강조색1 11 2 2 3" xfId="1539"/>
    <cellStyle name="20% - 강조색1 11 2 3" xfId="1540"/>
    <cellStyle name="20% - 강조색1 11 2 3 2" xfId="1541"/>
    <cellStyle name="20% - 강조색1 11 2 4" xfId="1542"/>
    <cellStyle name="20% - 강조색1 11 3" xfId="1543"/>
    <cellStyle name="20% - 강조색1 11 3 2" xfId="1544"/>
    <cellStyle name="20% - 강조색1 11 3 2 2" xfId="1545"/>
    <cellStyle name="20% - 강조색1 11 3 3" xfId="1546"/>
    <cellStyle name="20% - 강조색1 11 4" xfId="1547"/>
    <cellStyle name="20% - 강조색1 11 4 2" xfId="1548"/>
    <cellStyle name="20% - 강조색1 11 5" xfId="1549"/>
    <cellStyle name="20% - 강조색1 11 5 2" xfId="1550"/>
    <cellStyle name="20% - 강조색1 12" xfId="1551"/>
    <cellStyle name="20% - 강조색1 12 2" xfId="1552"/>
    <cellStyle name="20% - 강조색1 12 2 2" xfId="1553"/>
    <cellStyle name="20% - 강조색1 12 2 2 2" xfId="1554"/>
    <cellStyle name="20% - 강조색1 12 2 2 2 2" xfId="1555"/>
    <cellStyle name="20% - 강조색1 12 2 2 2 2 2" xfId="21003"/>
    <cellStyle name="20% - 강조색1 12 2 2 3" xfId="1556"/>
    <cellStyle name="20% - 강조색1 12 2 3" xfId="1557"/>
    <cellStyle name="20% - 강조색1 12 2 3 2" xfId="1558"/>
    <cellStyle name="20% - 강조색1 12 2 4" xfId="1559"/>
    <cellStyle name="20% - 강조색1 12 3" xfId="1560"/>
    <cellStyle name="20% - 강조색1 12 3 2" xfId="1561"/>
    <cellStyle name="20% - 강조색1 12 3 2 2" xfId="1562"/>
    <cellStyle name="20% - 강조색1 12 3 3" xfId="1563"/>
    <cellStyle name="20% - 강조색1 12 4" xfId="1564"/>
    <cellStyle name="20% - 강조색1 12 4 2" xfId="1565"/>
    <cellStyle name="20% - 강조색1 12 5" xfId="1566"/>
    <cellStyle name="20% - 강조색1 12 5 2" xfId="1567"/>
    <cellStyle name="20% - 강조색1 13" xfId="1568"/>
    <cellStyle name="20% - 강조색1 13 2" xfId="1569"/>
    <cellStyle name="20% - 강조색1 13 2 2" xfId="1570"/>
    <cellStyle name="20% - 강조색1 13 2 2 2" xfId="21004"/>
    <cellStyle name="20% - 강조색1 13 2 3" xfId="1571"/>
    <cellStyle name="20% - 강조색1 13 2 3 2" xfId="1572"/>
    <cellStyle name="20% - 강조색1 13 2 4" xfId="1573"/>
    <cellStyle name="20% - 강조색1 13 3" xfId="1574"/>
    <cellStyle name="20% - 강조색1 13 3 2" xfId="1575"/>
    <cellStyle name="20% - 강조색1 13 3 3" xfId="1576"/>
    <cellStyle name="20% - 강조색1 13 3 3 2" xfId="1577"/>
    <cellStyle name="20% - 강조색1 13 4" xfId="1578"/>
    <cellStyle name="20% - 강조색1 13 4 2" xfId="1579"/>
    <cellStyle name="20% - 강조색1 13 5" xfId="1580"/>
    <cellStyle name="20% - 강조색1 14" xfId="1581"/>
    <cellStyle name="20% - 강조색1 14 2" xfId="1582"/>
    <cellStyle name="20% - 강조색1 14 2 2" xfId="1583"/>
    <cellStyle name="20% - 강조색1 14 2 2 2" xfId="21005"/>
    <cellStyle name="20% - 강조색1 14 3" xfId="1584"/>
    <cellStyle name="20% - 강조색1 14 3 2" xfId="1585"/>
    <cellStyle name="20% - 강조색1 14 4" xfId="1586"/>
    <cellStyle name="20% - 강조색1 14 5" xfId="1587"/>
    <cellStyle name="20% - 강조색1 15" xfId="1588"/>
    <cellStyle name="20% - 강조색1 15 2" xfId="1589"/>
    <cellStyle name="20% - 강조색1 15 2 2" xfId="1590"/>
    <cellStyle name="20% - 강조색1 15 2 2 2" xfId="21006"/>
    <cellStyle name="20% - 강조색1 15 3" xfId="1591"/>
    <cellStyle name="20% - 강조색1 15 3 2" xfId="1592"/>
    <cellStyle name="20% - 강조색1 15 4" xfId="1593"/>
    <cellStyle name="20% - 강조색1 15 5" xfId="1594"/>
    <cellStyle name="20% - 강조색1 16" xfId="1595"/>
    <cellStyle name="20% - 강조색1 16 2" xfId="1596"/>
    <cellStyle name="20% - 강조색1 16 2 2" xfId="1597"/>
    <cellStyle name="20% - 강조색1 16 2 2 2" xfId="21007"/>
    <cellStyle name="20% - 강조색1 16 3" xfId="1598"/>
    <cellStyle name="20% - 강조색1 16 3 2" xfId="1599"/>
    <cellStyle name="20% - 강조색1 16 4" xfId="1600"/>
    <cellStyle name="20% - 강조색1 16 5" xfId="1601"/>
    <cellStyle name="20% - 강조색1 17" xfId="1602"/>
    <cellStyle name="20% - 강조색1 17 2" xfId="1603"/>
    <cellStyle name="20% - 강조색1 17 2 2" xfId="1604"/>
    <cellStyle name="20% - 강조색1 17 2 2 2" xfId="21008"/>
    <cellStyle name="20% - 강조색1 17 3" xfId="1605"/>
    <cellStyle name="20% - 강조색1 17 4" xfId="1606"/>
    <cellStyle name="20% - 강조색1 17 5" xfId="1607"/>
    <cellStyle name="20% - 강조색1 18" xfId="1608"/>
    <cellStyle name="20% - 강조색1 18 2" xfId="1609"/>
    <cellStyle name="20% - 강조색1 18 2 2" xfId="1610"/>
    <cellStyle name="20% - 강조색1 18 3" xfId="1611"/>
    <cellStyle name="20% - 강조색1 18 4" xfId="1612"/>
    <cellStyle name="20% - 강조색1 18 5" xfId="1613"/>
    <cellStyle name="20% - 강조색1 19" xfId="1614"/>
    <cellStyle name="20% - 강조색1 19 2" xfId="1615"/>
    <cellStyle name="20% - 강조색1 19 2 2" xfId="1616"/>
    <cellStyle name="20% - 강조색1 19 3" xfId="1617"/>
    <cellStyle name="20% - 강조색1 19 4" xfId="1618"/>
    <cellStyle name="20% - 강조색1 19 5" xfId="1619"/>
    <cellStyle name="20% - 강조색1 2" xfId="1620"/>
    <cellStyle name="20% - 강조색1 2 10" xfId="1621"/>
    <cellStyle name="20% - 강조색1 2 10 2" xfId="1622"/>
    <cellStyle name="20% - 강조색1 2 10 2 2" xfId="1623"/>
    <cellStyle name="20% - 강조색1 2 10 3" xfId="1624"/>
    <cellStyle name="20% - 강조색1 2 10 4" xfId="1625"/>
    <cellStyle name="20% - 강조색1 2 11" xfId="1626"/>
    <cellStyle name="20% - 강조색1 2 11 2" xfId="1627"/>
    <cellStyle name="20% - 강조색1 2 11 2 2" xfId="1628"/>
    <cellStyle name="20% - 강조색1 2 11 3" xfId="1629"/>
    <cellStyle name="20% - 강조색1 2 12" xfId="1630"/>
    <cellStyle name="20% - 강조색1 2 12 2" xfId="1631"/>
    <cellStyle name="20% - 강조색1 2 13" xfId="1632"/>
    <cellStyle name="20% - 강조색1 2 14" xfId="1633"/>
    <cellStyle name="20% - 강조색1 2 15" xfId="1634"/>
    <cellStyle name="20% - 강조색1 2 16" xfId="1635"/>
    <cellStyle name="20% - 강조색1 2 17" xfId="1636"/>
    <cellStyle name="20% - 강조색1 2 18" xfId="1637"/>
    <cellStyle name="20% - 강조색1 2 19" xfId="1638"/>
    <cellStyle name="20% - 강조색1 2 2" xfId="1639"/>
    <cellStyle name="20% - 강조색1 2 2 2" xfId="1640"/>
    <cellStyle name="20% - 강조색1 2 2 2 2" xfId="1641"/>
    <cellStyle name="20% - 강조색1 2 2 2 3" xfId="1642"/>
    <cellStyle name="20% - 강조색1 2 2 2 4" xfId="1643"/>
    <cellStyle name="20% - 강조색1 2 2 2 4 2" xfId="1644"/>
    <cellStyle name="20% - 강조색1 2 2 2 5" xfId="1645"/>
    <cellStyle name="20% - 강조색1 2 2 3" xfId="1646"/>
    <cellStyle name="20% - 강조색1 2 2 3 2" xfId="1647"/>
    <cellStyle name="20% - 강조색1 2 2 3 2 2" xfId="1648"/>
    <cellStyle name="20% - 강조색1 2 2 3 3" xfId="1649"/>
    <cellStyle name="20% - 강조색1 2 2 4" xfId="1650"/>
    <cellStyle name="20% - 강조색1 2 2 5" xfId="20198"/>
    <cellStyle name="20% - 강조색1 2 20" xfId="1651"/>
    <cellStyle name="20% - 강조색1 2 21" xfId="1652"/>
    <cellStyle name="20% - 강조색1 2 22" xfId="19662"/>
    <cellStyle name="20% - 강조색1 2 3" xfId="1653"/>
    <cellStyle name="20% - 강조색1 2 3 2" xfId="1654"/>
    <cellStyle name="20% - 강조색1 2 3 2 2" xfId="1655"/>
    <cellStyle name="20% - 강조색1 2 3 2 2 2" xfId="1656"/>
    <cellStyle name="20% - 강조색1 2 3 2 2 2 2" xfId="21009"/>
    <cellStyle name="20% - 강조색1 2 3 3" xfId="20199"/>
    <cellStyle name="20% - 강조색1 2 4" xfId="1657"/>
    <cellStyle name="20% - 강조색1 2 4 2" xfId="1658"/>
    <cellStyle name="20% - 강조색1 2 4 2 2" xfId="1659"/>
    <cellStyle name="20% - 강조색1 2 4 2 2 2" xfId="1660"/>
    <cellStyle name="20% - 강조색1 2 4 2 2 2 2" xfId="21010"/>
    <cellStyle name="20% - 강조색1 2 4 2 3" xfId="1661"/>
    <cellStyle name="20% - 강조색1 2 4 2 4" xfId="1662"/>
    <cellStyle name="20% - 강조색1 2 4 3" xfId="1663"/>
    <cellStyle name="20% - 강조색1 2 4 3 2" xfId="1664"/>
    <cellStyle name="20% - 강조색1 2 4 4" xfId="1665"/>
    <cellStyle name="20% - 강조색1 2 4 4 2" xfId="1666"/>
    <cellStyle name="20% - 강조색1 2 4 5" xfId="1667"/>
    <cellStyle name="20% - 강조색1 2 4 6" xfId="20200"/>
    <cellStyle name="20% - 강조색1 2 5" xfId="1668"/>
    <cellStyle name="20% - 강조색1 2 5 2" xfId="1669"/>
    <cellStyle name="20% - 강조색1 2 5 2 2" xfId="1670"/>
    <cellStyle name="20% - 강조색1 2 5 3" xfId="1671"/>
    <cellStyle name="20% - 강조색1 2 5 4" xfId="1672"/>
    <cellStyle name="20% - 강조색1 2 6" xfId="1673"/>
    <cellStyle name="20% - 강조색1 2 6 2" xfId="1674"/>
    <cellStyle name="20% - 강조색1 2 6 2 2" xfId="1675"/>
    <cellStyle name="20% - 강조색1 2 6 2 2 2" xfId="21011"/>
    <cellStyle name="20% - 강조색1 2 6 3" xfId="1676"/>
    <cellStyle name="20% - 강조색1 2 6 4" xfId="1677"/>
    <cellStyle name="20% - 강조색1 2 6 5" xfId="20201"/>
    <cellStyle name="20% - 강조색1 2 7" xfId="1678"/>
    <cellStyle name="20% - 강조색1 2 7 2" xfId="1679"/>
    <cellStyle name="20% - 강조색1 2 7 2 2" xfId="1680"/>
    <cellStyle name="20% - 강조색1 2 7 2 2 2" xfId="21012"/>
    <cellStyle name="20% - 강조색1 2 7 3" xfId="1681"/>
    <cellStyle name="20% - 강조색1 2 7 4" xfId="1682"/>
    <cellStyle name="20% - 강조색1 2 7 5" xfId="20202"/>
    <cellStyle name="20% - 강조색1 2 8" xfId="1683"/>
    <cellStyle name="20% - 강조색1 2 8 2" xfId="1684"/>
    <cellStyle name="20% - 강조색1 2 8 2 2" xfId="1685"/>
    <cellStyle name="20% - 강조색1 2 8 3" xfId="1686"/>
    <cellStyle name="20% - 강조색1 2 8 4" xfId="1687"/>
    <cellStyle name="20% - 강조색1 2 9" xfId="1688"/>
    <cellStyle name="20% - 강조색1 2 9 2" xfId="1689"/>
    <cellStyle name="20% - 강조색1 2 9 2 2" xfId="1690"/>
    <cellStyle name="20% - 강조색1 2 9 2 2 2" xfId="21013"/>
    <cellStyle name="20% - 강조색1 2 9 3" xfId="1691"/>
    <cellStyle name="20% - 강조색1 2 9 4" xfId="1692"/>
    <cellStyle name="20% - 강조색1 20" xfId="1693"/>
    <cellStyle name="20% - 강조색1 20 2" xfId="1694"/>
    <cellStyle name="20% - 강조색1 20 3" xfId="1695"/>
    <cellStyle name="20% - 강조색1 20 4" xfId="1696"/>
    <cellStyle name="20% - 강조색1 20 5" xfId="1697"/>
    <cellStyle name="20% - 강조색1 21" xfId="1698"/>
    <cellStyle name="20% - 강조색1 21 2" xfId="1699"/>
    <cellStyle name="20% - 강조색1 21 3" xfId="1700"/>
    <cellStyle name="20% - 강조색1 21 4" xfId="1701"/>
    <cellStyle name="20% - 강조색1 21 5" xfId="1702"/>
    <cellStyle name="20% - 강조색1 22" xfId="1703"/>
    <cellStyle name="20% - 강조색1 22 2" xfId="1704"/>
    <cellStyle name="20% - 강조색1 22 3" xfId="1705"/>
    <cellStyle name="20% - 강조색1 22 4" xfId="1706"/>
    <cellStyle name="20% - 강조색1 22 5" xfId="1707"/>
    <cellStyle name="20% - 강조색1 23" xfId="1708"/>
    <cellStyle name="20% - 강조색1 23 2" xfId="1709"/>
    <cellStyle name="20% - 강조색1 23 2 2" xfId="1710"/>
    <cellStyle name="20% - 강조색1 23 2 3" xfId="1711"/>
    <cellStyle name="20% - 강조색1 23 3" xfId="1712"/>
    <cellStyle name="20% - 강조색1 23 4" xfId="1713"/>
    <cellStyle name="20% - 강조색1 24" xfId="1714"/>
    <cellStyle name="20% - 강조색1 24 2" xfId="1715"/>
    <cellStyle name="20% - 강조색1 24 2 2" xfId="1716"/>
    <cellStyle name="20% - 강조색1 24 2 3" xfId="1717"/>
    <cellStyle name="20% - 강조색1 24 3" xfId="1718"/>
    <cellStyle name="20% - 강조색1 24 4" xfId="1719"/>
    <cellStyle name="20% - 강조색1 25" xfId="1720"/>
    <cellStyle name="20% - 강조색1 25 2" xfId="1721"/>
    <cellStyle name="20% - 강조색1 25 2 2" xfId="1722"/>
    <cellStyle name="20% - 강조색1 25 3" xfId="1723"/>
    <cellStyle name="20% - 강조색1 26" xfId="1724"/>
    <cellStyle name="20% - 강조색1 26 2" xfId="1725"/>
    <cellStyle name="20% - 강조색1 27" xfId="1726"/>
    <cellStyle name="20% - 강조색1 27 2" xfId="1727"/>
    <cellStyle name="20% - 강조색1 28" xfId="1728"/>
    <cellStyle name="20% - 강조색1 29" xfId="1729"/>
    <cellStyle name="20% - 강조색1 3" xfId="1730"/>
    <cellStyle name="20% - 강조색1 3 10" xfId="1731"/>
    <cellStyle name="20% - 강조색1 3 11" xfId="1732"/>
    <cellStyle name="20% - 강조색1 3 12" xfId="1733"/>
    <cellStyle name="20% - 강조색1 3 13" xfId="1734"/>
    <cellStyle name="20% - 강조색1 3 14" xfId="1735"/>
    <cellStyle name="20% - 강조색1 3 15" xfId="1736"/>
    <cellStyle name="20% - 강조색1 3 16" xfId="1737"/>
    <cellStyle name="20% - 강조색1 3 17" xfId="1738"/>
    <cellStyle name="20% - 강조색1 3 18" xfId="1739"/>
    <cellStyle name="20% - 강조색1 3 19" xfId="1740"/>
    <cellStyle name="20% - 강조색1 3 2" xfId="1741"/>
    <cellStyle name="20% - 강조색1 3 2 2" xfId="1742"/>
    <cellStyle name="20% - 강조색1 3 2 2 2" xfId="1743"/>
    <cellStyle name="20% - 강조색1 3 2 2 3" xfId="1744"/>
    <cellStyle name="20% - 강조색1 3 2 2 4" xfId="1745"/>
    <cellStyle name="20% - 강조색1 3 2 2 4 2" xfId="1746"/>
    <cellStyle name="20% - 강조색1 3 2 3" xfId="1747"/>
    <cellStyle name="20% - 강조색1 3 2 4" xfId="1748"/>
    <cellStyle name="20% - 강조색1 3 20" xfId="1749"/>
    <cellStyle name="20% - 강조색1 3 21" xfId="1750"/>
    <cellStyle name="20% - 강조색1 3 3" xfId="1751"/>
    <cellStyle name="20% - 강조색1 3 3 2" xfId="1752"/>
    <cellStyle name="20% - 강조색1 3 3 2 2" xfId="1753"/>
    <cellStyle name="20% - 강조색1 3 3 2 2 2" xfId="1754"/>
    <cellStyle name="20% - 강조색1 3 3 2 2 2 2" xfId="21014"/>
    <cellStyle name="20% - 강조색1 3 3 3" xfId="20203"/>
    <cellStyle name="20% - 강조색1 3 4" xfId="1755"/>
    <cellStyle name="20% - 강조색1 3 4 2" xfId="1756"/>
    <cellStyle name="20% - 강조색1 3 4 2 2" xfId="1757"/>
    <cellStyle name="20% - 강조색1 3 4 2 3" xfId="1758"/>
    <cellStyle name="20% - 강조색1 3 4 2 3 2" xfId="1759"/>
    <cellStyle name="20% - 강조색1 3 4 2 4" xfId="1760"/>
    <cellStyle name="20% - 강조색1 3 4 3" xfId="1761"/>
    <cellStyle name="20% - 강조색1 3 4 3 2" xfId="1762"/>
    <cellStyle name="20% - 강조색1 3 4 3 3" xfId="1763"/>
    <cellStyle name="20% - 강조색1 3 4 4" xfId="1764"/>
    <cellStyle name="20% - 강조색1 3 4 5" xfId="1765"/>
    <cellStyle name="20% - 강조색1 3 4 6" xfId="1766"/>
    <cellStyle name="20% - 강조색1 3 4 6 2" xfId="1767"/>
    <cellStyle name="20% - 강조색1 3 4 7" xfId="20204"/>
    <cellStyle name="20% - 강조색1 3 5" xfId="1768"/>
    <cellStyle name="20% - 강조색1 3 5 2" xfId="1769"/>
    <cellStyle name="20% - 강조색1 3 5 2 2" xfId="1770"/>
    <cellStyle name="20% - 강조색1 3 5 3" xfId="1771"/>
    <cellStyle name="20% - 강조색1 3 6" xfId="1772"/>
    <cellStyle name="20% - 강조색1 3 6 2" xfId="1773"/>
    <cellStyle name="20% - 강조색1 3 7" xfId="1774"/>
    <cellStyle name="20% - 강조색1 3 8" xfId="1775"/>
    <cellStyle name="20% - 강조색1 3 9" xfId="1776"/>
    <cellStyle name="20% - 강조색1 30" xfId="1777"/>
    <cellStyle name="20% - 강조색1 31" xfId="1778"/>
    <cellStyle name="20% - 강조색1 32" xfId="1779"/>
    <cellStyle name="20% - 강조색1 33" xfId="18215"/>
    <cellStyle name="20% - 강조색1 4" xfId="1780"/>
    <cellStyle name="20% - 강조색1 4 10" xfId="1781"/>
    <cellStyle name="20% - 강조색1 4 11" xfId="1782"/>
    <cellStyle name="20% - 강조색1 4 12" xfId="1783"/>
    <cellStyle name="20% - 강조색1 4 13" xfId="1784"/>
    <cellStyle name="20% - 강조색1 4 14" xfId="1785"/>
    <cellStyle name="20% - 강조색1 4 15" xfId="1786"/>
    <cellStyle name="20% - 강조색1 4 16" xfId="1787"/>
    <cellStyle name="20% - 강조색1 4 17" xfId="1788"/>
    <cellStyle name="20% - 강조색1 4 18" xfId="1789"/>
    <cellStyle name="20% - 강조색1 4 19" xfId="1790"/>
    <cellStyle name="20% - 강조색1 4 2" xfId="1791"/>
    <cellStyle name="20% - 강조색1 4 2 2" xfId="1792"/>
    <cellStyle name="20% - 강조색1 4 2 2 2" xfId="1793"/>
    <cellStyle name="20% - 강조색1 4 2 2 2 2" xfId="21015"/>
    <cellStyle name="20% - 강조색1 4 20" xfId="1794"/>
    <cellStyle name="20% - 강조색1 4 21" xfId="1795"/>
    <cellStyle name="20% - 강조색1 4 3" xfId="1796"/>
    <cellStyle name="20% - 강조색1 4 3 2" xfId="1797"/>
    <cellStyle name="20% - 강조색1 4 3 2 2" xfId="1798"/>
    <cellStyle name="20% - 강조색1 4 4" xfId="1799"/>
    <cellStyle name="20% - 강조색1 4 4 2" xfId="1800"/>
    <cellStyle name="20% - 강조색1 4 4 2 2" xfId="1801"/>
    <cellStyle name="20% - 강조색1 4 4 2 2 2" xfId="1802"/>
    <cellStyle name="20% - 강조색1 4 4 2 3" xfId="1803"/>
    <cellStyle name="20% - 강조색1 4 4 3" xfId="1804"/>
    <cellStyle name="20% - 강조색1 4 4 3 2" xfId="1805"/>
    <cellStyle name="20% - 강조색1 4 4 4" xfId="1806"/>
    <cellStyle name="20% - 강조색1 4 4 5" xfId="1807"/>
    <cellStyle name="20% - 강조색1 4 5" xfId="1808"/>
    <cellStyle name="20% - 강조색1 4 5 2" xfId="1809"/>
    <cellStyle name="20% - 강조색1 4 5 2 2" xfId="1810"/>
    <cellStyle name="20% - 강조색1 4 6" xfId="1811"/>
    <cellStyle name="20% - 강조색1 4 6 2" xfId="1812"/>
    <cellStyle name="20% - 강조색1 4 7" xfId="1813"/>
    <cellStyle name="20% - 강조색1 4 8" xfId="1814"/>
    <cellStyle name="20% - 강조색1 4 9" xfId="1815"/>
    <cellStyle name="20% - 강조색1 5" xfId="1816"/>
    <cellStyle name="20% - 강조색1 5 10" xfId="1817"/>
    <cellStyle name="20% - 강조색1 5 11" xfId="1818"/>
    <cellStyle name="20% - 강조색1 5 12" xfId="1819"/>
    <cellStyle name="20% - 강조색1 5 13" xfId="1820"/>
    <cellStyle name="20% - 강조색1 5 14" xfId="1821"/>
    <cellStyle name="20% - 강조색1 5 15" xfId="1822"/>
    <cellStyle name="20% - 강조색1 5 16" xfId="1823"/>
    <cellStyle name="20% - 강조색1 5 17" xfId="1824"/>
    <cellStyle name="20% - 강조색1 5 18" xfId="1825"/>
    <cellStyle name="20% - 강조색1 5 19" xfId="1826"/>
    <cellStyle name="20% - 강조색1 5 2" xfId="1827"/>
    <cellStyle name="20% - 강조색1 5 2 2" xfId="1828"/>
    <cellStyle name="20% - 강조색1 5 2 2 2" xfId="1829"/>
    <cellStyle name="20% - 강조색1 5 2 2 2 2" xfId="21016"/>
    <cellStyle name="20% - 강조색1 5 20" xfId="1830"/>
    <cellStyle name="20% - 강조색1 5 21" xfId="1831"/>
    <cellStyle name="20% - 강조색1 5 3" xfId="1832"/>
    <cellStyle name="20% - 강조색1 5 3 2" xfId="1833"/>
    <cellStyle name="20% - 강조색1 5 3 2 2" xfId="1834"/>
    <cellStyle name="20% - 강조색1 5 3 2 2 2" xfId="1835"/>
    <cellStyle name="20% - 강조색1 5 3 2 3" xfId="1836"/>
    <cellStyle name="20% - 강조색1 5 3 3" xfId="1837"/>
    <cellStyle name="20% - 강조색1 5 3 4" xfId="1838"/>
    <cellStyle name="20% - 강조색1 5 3 4 2" xfId="1839"/>
    <cellStyle name="20% - 강조색1 5 4" xfId="1840"/>
    <cellStyle name="20% - 강조색1 5 4 2" xfId="1841"/>
    <cellStyle name="20% - 강조색1 5 5" xfId="1842"/>
    <cellStyle name="20% - 강조색1 5 6" xfId="1843"/>
    <cellStyle name="20% - 강조색1 5 7" xfId="1844"/>
    <cellStyle name="20% - 강조색1 5 8" xfId="1845"/>
    <cellStyle name="20% - 강조색1 5 9" xfId="1846"/>
    <cellStyle name="20% - 강조색1 6" xfId="1847"/>
    <cellStyle name="20% - 강조색1 6 10" xfId="1848"/>
    <cellStyle name="20% - 강조색1 6 11" xfId="1849"/>
    <cellStyle name="20% - 강조색1 6 12" xfId="1850"/>
    <cellStyle name="20% - 강조색1 6 13" xfId="1851"/>
    <cellStyle name="20% - 강조색1 6 14" xfId="1852"/>
    <cellStyle name="20% - 강조색1 6 15" xfId="1853"/>
    <cellStyle name="20% - 강조색1 6 16" xfId="1854"/>
    <cellStyle name="20% - 강조색1 6 17" xfId="1855"/>
    <cellStyle name="20% - 강조색1 6 18" xfId="1856"/>
    <cellStyle name="20% - 강조색1 6 19" xfId="1857"/>
    <cellStyle name="20% - 강조색1 6 2" xfId="1858"/>
    <cellStyle name="20% - 강조색1 6 2 2" xfId="1859"/>
    <cellStyle name="20% - 강조색1 6 2 2 2" xfId="1860"/>
    <cellStyle name="20% - 강조색1 6 2 2 2 2" xfId="21017"/>
    <cellStyle name="20% - 강조색1 6 20" xfId="1861"/>
    <cellStyle name="20% - 강조색1 6 21" xfId="1862"/>
    <cellStyle name="20% - 강조색1 6 3" xfId="1863"/>
    <cellStyle name="20% - 강조색1 6 3 2" xfId="1864"/>
    <cellStyle name="20% - 강조색1 6 3 2 2" xfId="1865"/>
    <cellStyle name="20% - 강조색1 6 3 2 2 2" xfId="1866"/>
    <cellStyle name="20% - 강조색1 6 3 2 3" xfId="1867"/>
    <cellStyle name="20% - 강조색1 6 3 3" xfId="1868"/>
    <cellStyle name="20% - 강조색1 6 3 4" xfId="1869"/>
    <cellStyle name="20% - 강조색1 6 3 4 2" xfId="1870"/>
    <cellStyle name="20% - 강조색1 6 4" xfId="1871"/>
    <cellStyle name="20% - 강조색1 6 4 2" xfId="1872"/>
    <cellStyle name="20% - 강조색1 6 5" xfId="1873"/>
    <cellStyle name="20% - 강조색1 6 6" xfId="1874"/>
    <cellStyle name="20% - 강조색1 6 7" xfId="1875"/>
    <cellStyle name="20% - 강조색1 6 8" xfId="1876"/>
    <cellStyle name="20% - 강조색1 6 9" xfId="1877"/>
    <cellStyle name="20% - 강조색1 7" xfId="1878"/>
    <cellStyle name="20% - 강조색1 7 10" xfId="1879"/>
    <cellStyle name="20% - 강조색1 7 11" xfId="1880"/>
    <cellStyle name="20% - 강조색1 7 12" xfId="1881"/>
    <cellStyle name="20% - 강조색1 7 13" xfId="1882"/>
    <cellStyle name="20% - 강조색1 7 14" xfId="1883"/>
    <cellStyle name="20% - 강조색1 7 15" xfId="1884"/>
    <cellStyle name="20% - 강조색1 7 16" xfId="1885"/>
    <cellStyle name="20% - 강조색1 7 17" xfId="1886"/>
    <cellStyle name="20% - 강조색1 7 18" xfId="1887"/>
    <cellStyle name="20% - 강조색1 7 19" xfId="1888"/>
    <cellStyle name="20% - 강조색1 7 2" xfId="1889"/>
    <cellStyle name="20% - 강조색1 7 2 2" xfId="1890"/>
    <cellStyle name="20% - 강조색1 7 2 2 2" xfId="1891"/>
    <cellStyle name="20% - 강조색1 7 2 3" xfId="1892"/>
    <cellStyle name="20% - 강조색1 7 3" xfId="1893"/>
    <cellStyle name="20% - 강조색1 7 4" xfId="1894"/>
    <cellStyle name="20% - 강조색1 7 5" xfId="1895"/>
    <cellStyle name="20% - 강조색1 7 6" xfId="1896"/>
    <cellStyle name="20% - 강조색1 7 7" xfId="1897"/>
    <cellStyle name="20% - 강조색1 7 8" xfId="1898"/>
    <cellStyle name="20% - 강조색1 7 9" xfId="1899"/>
    <cellStyle name="20% - 강조색1 8" xfId="1900"/>
    <cellStyle name="20% - 강조색1 8 10" xfId="1901"/>
    <cellStyle name="20% - 강조색1 8 11" xfId="1902"/>
    <cellStyle name="20% - 강조색1 8 12" xfId="1903"/>
    <cellStyle name="20% - 강조색1 8 13" xfId="1904"/>
    <cellStyle name="20% - 강조색1 8 14" xfId="1905"/>
    <cellStyle name="20% - 강조색1 8 15" xfId="1906"/>
    <cellStyle name="20% - 강조색1 8 16" xfId="1907"/>
    <cellStyle name="20% - 강조색1 8 17" xfId="1908"/>
    <cellStyle name="20% - 강조색1 8 18" xfId="1909"/>
    <cellStyle name="20% - 강조색1 8 19" xfId="1910"/>
    <cellStyle name="20% - 강조색1 8 2" xfId="1911"/>
    <cellStyle name="20% - 강조색1 8 2 2" xfId="1912"/>
    <cellStyle name="20% - 강조색1 8 2 2 2" xfId="1913"/>
    <cellStyle name="20% - 강조색1 8 2 3" xfId="1914"/>
    <cellStyle name="20% - 강조색1 8 3" xfId="1915"/>
    <cellStyle name="20% - 강조색1 8 4" xfId="1916"/>
    <cellStyle name="20% - 강조색1 8 5" xfId="1917"/>
    <cellStyle name="20% - 강조색1 8 6" xfId="1918"/>
    <cellStyle name="20% - 강조색1 8 7" xfId="1919"/>
    <cellStyle name="20% - 강조색1 8 8" xfId="1920"/>
    <cellStyle name="20% - 강조색1 8 9" xfId="1921"/>
    <cellStyle name="20% - 강조색1 9" xfId="1922"/>
    <cellStyle name="20% - 강조색1 9 10" xfId="1923"/>
    <cellStyle name="20% - 강조색1 9 11" xfId="1924"/>
    <cellStyle name="20% - 강조색1 9 12" xfId="1925"/>
    <cellStyle name="20% - 강조색1 9 13" xfId="1926"/>
    <cellStyle name="20% - 강조색1 9 14" xfId="1927"/>
    <cellStyle name="20% - 강조색1 9 15" xfId="1928"/>
    <cellStyle name="20% - 강조색1 9 16" xfId="1929"/>
    <cellStyle name="20% - 강조색1 9 17" xfId="1930"/>
    <cellStyle name="20% - 강조색1 9 18" xfId="1931"/>
    <cellStyle name="20% - 강조색1 9 19" xfId="1932"/>
    <cellStyle name="20% - 강조색1 9 2" xfId="1933"/>
    <cellStyle name="20% - 강조색1 9 2 2" xfId="1934"/>
    <cellStyle name="20% - 강조색1 9 2 2 2" xfId="1935"/>
    <cellStyle name="20% - 강조색1 9 2 2 2 2" xfId="1936"/>
    <cellStyle name="20% - 강조색1 9 2 2 2 2 2" xfId="21018"/>
    <cellStyle name="20% - 강조색1 9 2 2 3" xfId="1937"/>
    <cellStyle name="20% - 강조색1 9 2 3" xfId="1938"/>
    <cellStyle name="20% - 강조색1 9 2 3 2" xfId="1939"/>
    <cellStyle name="20% - 강조색1 9 2 4" xfId="1940"/>
    <cellStyle name="20% - 강조색1 9 20" xfId="1941"/>
    <cellStyle name="20% - 강조색1 9 21" xfId="1942"/>
    <cellStyle name="20% - 강조색1 9 3" xfId="1943"/>
    <cellStyle name="20% - 강조색1 9 3 2" xfId="1944"/>
    <cellStyle name="20% - 강조색1 9 3 2 2" xfId="1945"/>
    <cellStyle name="20% - 강조색1 9 4" xfId="1946"/>
    <cellStyle name="20% - 강조색1 9 4 2" xfId="1947"/>
    <cellStyle name="20% - 강조색1 9 5" xfId="1948"/>
    <cellStyle name="20% - 강조색1 9 5 2" xfId="1949"/>
    <cellStyle name="20% - 강조색1 9 6" xfId="1950"/>
    <cellStyle name="20% - 강조색1 9 7" xfId="1951"/>
    <cellStyle name="20% - 강조색1 9 8" xfId="1952"/>
    <cellStyle name="20% - 강조색1 9 9" xfId="1953"/>
    <cellStyle name="20% - 강조색2" xfId="23" builtinId="34" customBuiltin="1"/>
    <cellStyle name="20% - 강조색2 10" xfId="1954"/>
    <cellStyle name="20% - 강조색2 10 10" xfId="1955"/>
    <cellStyle name="20% - 강조색2 10 11" xfId="1956"/>
    <cellStyle name="20% - 강조색2 10 12" xfId="1957"/>
    <cellStyle name="20% - 강조색2 10 13" xfId="1958"/>
    <cellStyle name="20% - 강조색2 10 14" xfId="1959"/>
    <cellStyle name="20% - 강조색2 10 15" xfId="1960"/>
    <cellStyle name="20% - 강조색2 10 16" xfId="1961"/>
    <cellStyle name="20% - 강조색2 10 17" xfId="1962"/>
    <cellStyle name="20% - 강조색2 10 18" xfId="1963"/>
    <cellStyle name="20% - 강조색2 10 19" xfId="1964"/>
    <cellStyle name="20% - 강조색2 10 2" xfId="1965"/>
    <cellStyle name="20% - 강조색2 10 2 2" xfId="1966"/>
    <cellStyle name="20% - 강조색2 10 2 2 2" xfId="1967"/>
    <cellStyle name="20% - 강조색2 10 2 2 2 2" xfId="1968"/>
    <cellStyle name="20% - 강조색2 10 2 2 2 2 2" xfId="21019"/>
    <cellStyle name="20% - 강조색2 10 2 2 3" xfId="1969"/>
    <cellStyle name="20% - 강조색2 10 2 3" xfId="1970"/>
    <cellStyle name="20% - 강조색2 10 2 3 2" xfId="1971"/>
    <cellStyle name="20% - 강조색2 10 2 4" xfId="1972"/>
    <cellStyle name="20% - 강조색2 10 20" xfId="1973"/>
    <cellStyle name="20% - 강조색2 10 21" xfId="1974"/>
    <cellStyle name="20% - 강조색2 10 3" xfId="1975"/>
    <cellStyle name="20% - 강조색2 10 3 2" xfId="1976"/>
    <cellStyle name="20% - 강조색2 10 3 2 2" xfId="1977"/>
    <cellStyle name="20% - 강조색2 10 4" xfId="1978"/>
    <cellStyle name="20% - 강조색2 10 4 2" xfId="1979"/>
    <cellStyle name="20% - 강조색2 10 5" xfId="1980"/>
    <cellStyle name="20% - 강조색2 10 5 2" xfId="1981"/>
    <cellStyle name="20% - 강조색2 10 6" xfId="1982"/>
    <cellStyle name="20% - 강조색2 10 7" xfId="1983"/>
    <cellStyle name="20% - 강조색2 10 8" xfId="1984"/>
    <cellStyle name="20% - 강조색2 10 9" xfId="1985"/>
    <cellStyle name="20% - 강조색2 11" xfId="1986"/>
    <cellStyle name="20% - 강조색2 11 2" xfId="1987"/>
    <cellStyle name="20% - 강조색2 11 2 2" xfId="1988"/>
    <cellStyle name="20% - 강조색2 11 2 2 2" xfId="1989"/>
    <cellStyle name="20% - 강조색2 11 2 2 2 2" xfId="1990"/>
    <cellStyle name="20% - 강조색2 11 2 2 3" xfId="1991"/>
    <cellStyle name="20% - 강조색2 11 2 3" xfId="1992"/>
    <cellStyle name="20% - 강조색2 11 2 3 2" xfId="1993"/>
    <cellStyle name="20% - 강조색2 11 2 4" xfId="1994"/>
    <cellStyle name="20% - 강조색2 11 3" xfId="1995"/>
    <cellStyle name="20% - 강조색2 11 3 2" xfId="1996"/>
    <cellStyle name="20% - 강조색2 11 3 2 2" xfId="1997"/>
    <cellStyle name="20% - 강조색2 11 3 3" xfId="1998"/>
    <cellStyle name="20% - 강조색2 11 4" xfId="1999"/>
    <cellStyle name="20% - 강조색2 11 4 2" xfId="2000"/>
    <cellStyle name="20% - 강조색2 11 5" xfId="2001"/>
    <cellStyle name="20% - 강조색2 11 5 2" xfId="2002"/>
    <cellStyle name="20% - 강조색2 12" xfId="2003"/>
    <cellStyle name="20% - 강조색2 12 2" xfId="2004"/>
    <cellStyle name="20% - 강조색2 12 2 2" xfId="2005"/>
    <cellStyle name="20% - 강조색2 12 2 2 2" xfId="2006"/>
    <cellStyle name="20% - 강조색2 12 2 2 2 2" xfId="2007"/>
    <cellStyle name="20% - 강조색2 12 2 2 2 2 2" xfId="21020"/>
    <cellStyle name="20% - 강조색2 12 2 2 3" xfId="2008"/>
    <cellStyle name="20% - 강조색2 12 2 3" xfId="2009"/>
    <cellStyle name="20% - 강조색2 12 2 3 2" xfId="2010"/>
    <cellStyle name="20% - 강조색2 12 2 4" xfId="2011"/>
    <cellStyle name="20% - 강조색2 12 3" xfId="2012"/>
    <cellStyle name="20% - 강조색2 12 3 2" xfId="2013"/>
    <cellStyle name="20% - 강조색2 12 3 2 2" xfId="2014"/>
    <cellStyle name="20% - 강조색2 12 3 3" xfId="2015"/>
    <cellStyle name="20% - 강조색2 12 4" xfId="2016"/>
    <cellStyle name="20% - 강조색2 12 4 2" xfId="2017"/>
    <cellStyle name="20% - 강조색2 12 5" xfId="2018"/>
    <cellStyle name="20% - 강조색2 12 5 2" xfId="2019"/>
    <cellStyle name="20% - 강조색2 13" xfId="2020"/>
    <cellStyle name="20% - 강조색2 13 2" xfId="2021"/>
    <cellStyle name="20% - 강조색2 13 2 2" xfId="2022"/>
    <cellStyle name="20% - 강조색2 13 2 2 2" xfId="21021"/>
    <cellStyle name="20% - 강조색2 13 2 3" xfId="2023"/>
    <cellStyle name="20% - 강조색2 13 2 3 2" xfId="2024"/>
    <cellStyle name="20% - 강조색2 13 2 4" xfId="2025"/>
    <cellStyle name="20% - 강조색2 13 3" xfId="2026"/>
    <cellStyle name="20% - 강조색2 13 3 2" xfId="2027"/>
    <cellStyle name="20% - 강조색2 13 3 3" xfId="2028"/>
    <cellStyle name="20% - 강조색2 13 3 3 2" xfId="2029"/>
    <cellStyle name="20% - 강조색2 13 4" xfId="2030"/>
    <cellStyle name="20% - 강조색2 13 4 2" xfId="2031"/>
    <cellStyle name="20% - 강조색2 13 5" xfId="2032"/>
    <cellStyle name="20% - 강조색2 14" xfId="2033"/>
    <cellStyle name="20% - 강조색2 14 2" xfId="2034"/>
    <cellStyle name="20% - 강조색2 14 2 2" xfId="2035"/>
    <cellStyle name="20% - 강조색2 14 2 2 2" xfId="21022"/>
    <cellStyle name="20% - 강조색2 14 3" xfId="2036"/>
    <cellStyle name="20% - 강조색2 14 3 2" xfId="2037"/>
    <cellStyle name="20% - 강조색2 14 4" xfId="2038"/>
    <cellStyle name="20% - 강조색2 14 5" xfId="2039"/>
    <cellStyle name="20% - 강조색2 15" xfId="2040"/>
    <cellStyle name="20% - 강조색2 15 2" xfId="2041"/>
    <cellStyle name="20% - 강조색2 15 2 2" xfId="2042"/>
    <cellStyle name="20% - 강조색2 15 2 2 2" xfId="21023"/>
    <cellStyle name="20% - 강조색2 15 3" xfId="2043"/>
    <cellStyle name="20% - 강조색2 15 3 2" xfId="2044"/>
    <cellStyle name="20% - 강조색2 15 4" xfId="2045"/>
    <cellStyle name="20% - 강조색2 15 5" xfId="2046"/>
    <cellStyle name="20% - 강조색2 16" xfId="2047"/>
    <cellStyle name="20% - 강조색2 16 2" xfId="2048"/>
    <cellStyle name="20% - 강조색2 16 2 2" xfId="2049"/>
    <cellStyle name="20% - 강조색2 16 2 2 2" xfId="21024"/>
    <cellStyle name="20% - 강조색2 16 3" xfId="2050"/>
    <cellStyle name="20% - 강조색2 16 3 2" xfId="2051"/>
    <cellStyle name="20% - 강조색2 16 4" xfId="2052"/>
    <cellStyle name="20% - 강조색2 16 5" xfId="2053"/>
    <cellStyle name="20% - 강조색2 17" xfId="2054"/>
    <cellStyle name="20% - 강조색2 17 2" xfId="2055"/>
    <cellStyle name="20% - 강조색2 17 2 2" xfId="2056"/>
    <cellStyle name="20% - 강조색2 17 2 2 2" xfId="21025"/>
    <cellStyle name="20% - 강조색2 17 3" xfId="2057"/>
    <cellStyle name="20% - 강조색2 17 4" xfId="2058"/>
    <cellStyle name="20% - 강조색2 17 5" xfId="2059"/>
    <cellStyle name="20% - 강조색2 18" xfId="2060"/>
    <cellStyle name="20% - 강조색2 18 2" xfId="2061"/>
    <cellStyle name="20% - 강조색2 18 2 2" xfId="2062"/>
    <cellStyle name="20% - 강조색2 18 3" xfId="2063"/>
    <cellStyle name="20% - 강조색2 18 4" xfId="2064"/>
    <cellStyle name="20% - 강조색2 18 5" xfId="2065"/>
    <cellStyle name="20% - 강조색2 19" xfId="2066"/>
    <cellStyle name="20% - 강조색2 19 2" xfId="2067"/>
    <cellStyle name="20% - 강조색2 19 2 2" xfId="2068"/>
    <cellStyle name="20% - 강조색2 19 3" xfId="2069"/>
    <cellStyle name="20% - 강조색2 19 4" xfId="2070"/>
    <cellStyle name="20% - 강조색2 19 5" xfId="2071"/>
    <cellStyle name="20% - 강조색2 2" xfId="2072"/>
    <cellStyle name="20% - 강조색2 2 10" xfId="2073"/>
    <cellStyle name="20% - 강조색2 2 10 2" xfId="2074"/>
    <cellStyle name="20% - 강조색2 2 10 2 2" xfId="2075"/>
    <cellStyle name="20% - 강조색2 2 10 3" xfId="2076"/>
    <cellStyle name="20% - 강조색2 2 10 4" xfId="2077"/>
    <cellStyle name="20% - 강조색2 2 11" xfId="2078"/>
    <cellStyle name="20% - 강조색2 2 11 2" xfId="2079"/>
    <cellStyle name="20% - 강조색2 2 11 2 2" xfId="2080"/>
    <cellStyle name="20% - 강조색2 2 11 3" xfId="2081"/>
    <cellStyle name="20% - 강조색2 2 12" xfId="2082"/>
    <cellStyle name="20% - 강조색2 2 12 2" xfId="2083"/>
    <cellStyle name="20% - 강조색2 2 13" xfId="2084"/>
    <cellStyle name="20% - 강조색2 2 14" xfId="2085"/>
    <cellStyle name="20% - 강조색2 2 15" xfId="2086"/>
    <cellStyle name="20% - 강조색2 2 16" xfId="2087"/>
    <cellStyle name="20% - 강조색2 2 17" xfId="2088"/>
    <cellStyle name="20% - 강조색2 2 18" xfId="2089"/>
    <cellStyle name="20% - 강조색2 2 19" xfId="2090"/>
    <cellStyle name="20% - 강조색2 2 2" xfId="2091"/>
    <cellStyle name="20% - 강조색2 2 2 2" xfId="2092"/>
    <cellStyle name="20% - 강조색2 2 2 2 2" xfId="2093"/>
    <cellStyle name="20% - 강조색2 2 2 2 3" xfId="2094"/>
    <cellStyle name="20% - 강조색2 2 2 2 4" xfId="2095"/>
    <cellStyle name="20% - 강조색2 2 2 2 4 2" xfId="2096"/>
    <cellStyle name="20% - 강조색2 2 2 2 5" xfId="2097"/>
    <cellStyle name="20% - 강조색2 2 2 3" xfId="2098"/>
    <cellStyle name="20% - 강조색2 2 2 3 2" xfId="2099"/>
    <cellStyle name="20% - 강조색2 2 2 3 2 2" xfId="2100"/>
    <cellStyle name="20% - 강조색2 2 2 3 3" xfId="2101"/>
    <cellStyle name="20% - 강조색2 2 2 4" xfId="2102"/>
    <cellStyle name="20% - 강조색2 2 2 5" xfId="20205"/>
    <cellStyle name="20% - 강조색2 2 20" xfId="2103"/>
    <cellStyle name="20% - 강조색2 2 21" xfId="2104"/>
    <cellStyle name="20% - 강조색2 2 22" xfId="19663"/>
    <cellStyle name="20% - 강조색2 2 3" xfId="2105"/>
    <cellStyle name="20% - 강조색2 2 3 2" xfId="2106"/>
    <cellStyle name="20% - 강조색2 2 3 2 2" xfId="2107"/>
    <cellStyle name="20% - 강조색2 2 3 2 2 2" xfId="2108"/>
    <cellStyle name="20% - 강조색2 2 3 2 2 2 2" xfId="21026"/>
    <cellStyle name="20% - 강조색2 2 3 3" xfId="20206"/>
    <cellStyle name="20% - 강조색2 2 4" xfId="2109"/>
    <cellStyle name="20% - 강조색2 2 4 2" xfId="2110"/>
    <cellStyle name="20% - 강조색2 2 4 2 2" xfId="2111"/>
    <cellStyle name="20% - 강조색2 2 4 2 2 2" xfId="2112"/>
    <cellStyle name="20% - 강조색2 2 4 2 2 2 2" xfId="21027"/>
    <cellStyle name="20% - 강조색2 2 4 2 3" xfId="2113"/>
    <cellStyle name="20% - 강조색2 2 4 2 4" xfId="2114"/>
    <cellStyle name="20% - 강조색2 2 4 3" xfId="2115"/>
    <cellStyle name="20% - 강조색2 2 4 3 2" xfId="2116"/>
    <cellStyle name="20% - 강조색2 2 4 4" xfId="2117"/>
    <cellStyle name="20% - 강조색2 2 4 4 2" xfId="2118"/>
    <cellStyle name="20% - 강조색2 2 4 5" xfId="2119"/>
    <cellStyle name="20% - 강조색2 2 4 6" xfId="20207"/>
    <cellStyle name="20% - 강조색2 2 5" xfId="2120"/>
    <cellStyle name="20% - 강조색2 2 5 2" xfId="2121"/>
    <cellStyle name="20% - 강조색2 2 5 2 2" xfId="2122"/>
    <cellStyle name="20% - 강조색2 2 5 3" xfId="2123"/>
    <cellStyle name="20% - 강조색2 2 5 4" xfId="2124"/>
    <cellStyle name="20% - 강조색2 2 6" xfId="2125"/>
    <cellStyle name="20% - 강조색2 2 6 2" xfId="2126"/>
    <cellStyle name="20% - 강조색2 2 6 2 2" xfId="2127"/>
    <cellStyle name="20% - 강조색2 2 6 2 2 2" xfId="21028"/>
    <cellStyle name="20% - 강조색2 2 6 3" xfId="2128"/>
    <cellStyle name="20% - 강조색2 2 6 4" xfId="2129"/>
    <cellStyle name="20% - 강조색2 2 6 5" xfId="20208"/>
    <cellStyle name="20% - 강조색2 2 7" xfId="2130"/>
    <cellStyle name="20% - 강조색2 2 7 2" xfId="2131"/>
    <cellStyle name="20% - 강조색2 2 7 2 2" xfId="2132"/>
    <cellStyle name="20% - 강조색2 2 7 2 2 2" xfId="21029"/>
    <cellStyle name="20% - 강조색2 2 7 3" xfId="2133"/>
    <cellStyle name="20% - 강조색2 2 7 4" xfId="2134"/>
    <cellStyle name="20% - 강조색2 2 7 5" xfId="20209"/>
    <cellStyle name="20% - 강조색2 2 8" xfId="2135"/>
    <cellStyle name="20% - 강조색2 2 8 2" xfId="2136"/>
    <cellStyle name="20% - 강조색2 2 8 2 2" xfId="2137"/>
    <cellStyle name="20% - 강조색2 2 8 3" xfId="2138"/>
    <cellStyle name="20% - 강조색2 2 8 4" xfId="2139"/>
    <cellStyle name="20% - 강조색2 2 9" xfId="2140"/>
    <cellStyle name="20% - 강조색2 2 9 2" xfId="2141"/>
    <cellStyle name="20% - 강조색2 2 9 2 2" xfId="2142"/>
    <cellStyle name="20% - 강조색2 2 9 2 2 2" xfId="21030"/>
    <cellStyle name="20% - 강조색2 2 9 3" xfId="2143"/>
    <cellStyle name="20% - 강조색2 2 9 4" xfId="2144"/>
    <cellStyle name="20% - 강조색2 20" xfId="2145"/>
    <cellStyle name="20% - 강조색2 20 2" xfId="2146"/>
    <cellStyle name="20% - 강조색2 20 3" xfId="2147"/>
    <cellStyle name="20% - 강조색2 20 4" xfId="2148"/>
    <cellStyle name="20% - 강조색2 20 5" xfId="2149"/>
    <cellStyle name="20% - 강조색2 21" xfId="2150"/>
    <cellStyle name="20% - 강조색2 21 2" xfId="2151"/>
    <cellStyle name="20% - 강조색2 21 3" xfId="2152"/>
    <cellStyle name="20% - 강조색2 21 4" xfId="2153"/>
    <cellStyle name="20% - 강조색2 21 5" xfId="2154"/>
    <cellStyle name="20% - 강조색2 22" xfId="2155"/>
    <cellStyle name="20% - 강조색2 22 2" xfId="2156"/>
    <cellStyle name="20% - 강조색2 22 3" xfId="2157"/>
    <cellStyle name="20% - 강조색2 22 4" xfId="2158"/>
    <cellStyle name="20% - 강조색2 22 5" xfId="2159"/>
    <cellStyle name="20% - 강조색2 23" xfId="2160"/>
    <cellStyle name="20% - 강조색2 23 2" xfId="2161"/>
    <cellStyle name="20% - 강조색2 23 2 2" xfId="2162"/>
    <cellStyle name="20% - 강조색2 23 2 3" xfId="2163"/>
    <cellStyle name="20% - 강조색2 23 3" xfId="2164"/>
    <cellStyle name="20% - 강조색2 23 4" xfId="2165"/>
    <cellStyle name="20% - 강조색2 24" xfId="2166"/>
    <cellStyle name="20% - 강조색2 24 2" xfId="2167"/>
    <cellStyle name="20% - 강조색2 24 2 2" xfId="2168"/>
    <cellStyle name="20% - 강조색2 24 2 3" xfId="2169"/>
    <cellStyle name="20% - 강조색2 24 3" xfId="2170"/>
    <cellStyle name="20% - 강조색2 24 4" xfId="2171"/>
    <cellStyle name="20% - 강조색2 25" xfId="2172"/>
    <cellStyle name="20% - 강조색2 25 2" xfId="2173"/>
    <cellStyle name="20% - 강조색2 25 2 2" xfId="2174"/>
    <cellStyle name="20% - 강조색2 25 3" xfId="2175"/>
    <cellStyle name="20% - 강조색2 26" xfId="2176"/>
    <cellStyle name="20% - 강조색2 26 2" xfId="2177"/>
    <cellStyle name="20% - 강조색2 27" xfId="2178"/>
    <cellStyle name="20% - 강조색2 27 2" xfId="2179"/>
    <cellStyle name="20% - 강조색2 28" xfId="2180"/>
    <cellStyle name="20% - 강조색2 29" xfId="2181"/>
    <cellStyle name="20% - 강조색2 3" xfId="2182"/>
    <cellStyle name="20% - 강조색2 3 10" xfId="2183"/>
    <cellStyle name="20% - 강조색2 3 11" xfId="2184"/>
    <cellStyle name="20% - 강조색2 3 12" xfId="2185"/>
    <cellStyle name="20% - 강조색2 3 13" xfId="2186"/>
    <cellStyle name="20% - 강조색2 3 14" xfId="2187"/>
    <cellStyle name="20% - 강조색2 3 15" xfId="2188"/>
    <cellStyle name="20% - 강조색2 3 16" xfId="2189"/>
    <cellStyle name="20% - 강조색2 3 17" xfId="2190"/>
    <cellStyle name="20% - 강조색2 3 18" xfId="2191"/>
    <cellStyle name="20% - 강조색2 3 19" xfId="2192"/>
    <cellStyle name="20% - 강조색2 3 2" xfId="2193"/>
    <cellStyle name="20% - 강조색2 3 2 2" xfId="2194"/>
    <cellStyle name="20% - 강조색2 3 2 2 2" xfId="2195"/>
    <cellStyle name="20% - 강조색2 3 2 2 3" xfId="2196"/>
    <cellStyle name="20% - 강조색2 3 2 2 4" xfId="2197"/>
    <cellStyle name="20% - 강조색2 3 2 2 4 2" xfId="2198"/>
    <cellStyle name="20% - 강조색2 3 2 3" xfId="2199"/>
    <cellStyle name="20% - 강조색2 3 2 4" xfId="2200"/>
    <cellStyle name="20% - 강조색2 3 20" xfId="2201"/>
    <cellStyle name="20% - 강조색2 3 21" xfId="2202"/>
    <cellStyle name="20% - 강조색2 3 3" xfId="2203"/>
    <cellStyle name="20% - 강조색2 3 3 2" xfId="2204"/>
    <cellStyle name="20% - 강조색2 3 3 2 2" xfId="2205"/>
    <cellStyle name="20% - 강조색2 3 3 2 2 2" xfId="2206"/>
    <cellStyle name="20% - 강조색2 3 3 2 2 2 2" xfId="21031"/>
    <cellStyle name="20% - 강조색2 3 3 3" xfId="20210"/>
    <cellStyle name="20% - 강조색2 3 4" xfId="2207"/>
    <cellStyle name="20% - 강조색2 3 4 2" xfId="2208"/>
    <cellStyle name="20% - 강조색2 3 4 2 2" xfId="2209"/>
    <cellStyle name="20% - 강조색2 3 4 2 3" xfId="2210"/>
    <cellStyle name="20% - 강조색2 3 4 2 3 2" xfId="2211"/>
    <cellStyle name="20% - 강조색2 3 4 2 4" xfId="2212"/>
    <cellStyle name="20% - 강조색2 3 4 3" xfId="2213"/>
    <cellStyle name="20% - 강조색2 3 4 3 2" xfId="2214"/>
    <cellStyle name="20% - 강조색2 3 4 3 3" xfId="2215"/>
    <cellStyle name="20% - 강조색2 3 4 4" xfId="2216"/>
    <cellStyle name="20% - 강조색2 3 4 5" xfId="2217"/>
    <cellStyle name="20% - 강조색2 3 4 6" xfId="2218"/>
    <cellStyle name="20% - 강조색2 3 4 6 2" xfId="2219"/>
    <cellStyle name="20% - 강조색2 3 4 7" xfId="20211"/>
    <cellStyle name="20% - 강조색2 3 5" xfId="2220"/>
    <cellStyle name="20% - 강조색2 3 5 2" xfId="2221"/>
    <cellStyle name="20% - 강조색2 3 5 2 2" xfId="2222"/>
    <cellStyle name="20% - 강조색2 3 5 3" xfId="2223"/>
    <cellStyle name="20% - 강조색2 3 6" xfId="2224"/>
    <cellStyle name="20% - 강조색2 3 6 2" xfId="2225"/>
    <cellStyle name="20% - 강조색2 3 7" xfId="2226"/>
    <cellStyle name="20% - 강조색2 3 8" xfId="2227"/>
    <cellStyle name="20% - 강조색2 3 9" xfId="2228"/>
    <cellStyle name="20% - 강조색2 30" xfId="2229"/>
    <cellStyle name="20% - 강조색2 31" xfId="2230"/>
    <cellStyle name="20% - 강조색2 32" xfId="2231"/>
    <cellStyle name="20% - 강조색2 33" xfId="18219"/>
    <cellStyle name="20% - 강조색2 4" xfId="2232"/>
    <cellStyle name="20% - 강조색2 4 10" xfId="2233"/>
    <cellStyle name="20% - 강조색2 4 11" xfId="2234"/>
    <cellStyle name="20% - 강조색2 4 12" xfId="2235"/>
    <cellStyle name="20% - 강조색2 4 13" xfId="2236"/>
    <cellStyle name="20% - 강조색2 4 14" xfId="2237"/>
    <cellStyle name="20% - 강조색2 4 15" xfId="2238"/>
    <cellStyle name="20% - 강조색2 4 16" xfId="2239"/>
    <cellStyle name="20% - 강조색2 4 17" xfId="2240"/>
    <cellStyle name="20% - 강조색2 4 18" xfId="2241"/>
    <cellStyle name="20% - 강조색2 4 19" xfId="2242"/>
    <cellStyle name="20% - 강조색2 4 2" xfId="2243"/>
    <cellStyle name="20% - 강조색2 4 2 2" xfId="2244"/>
    <cellStyle name="20% - 강조색2 4 2 2 2" xfId="2245"/>
    <cellStyle name="20% - 강조색2 4 2 2 2 2" xfId="21032"/>
    <cellStyle name="20% - 강조색2 4 20" xfId="2246"/>
    <cellStyle name="20% - 강조색2 4 21" xfId="2247"/>
    <cellStyle name="20% - 강조색2 4 3" xfId="2248"/>
    <cellStyle name="20% - 강조색2 4 3 2" xfId="2249"/>
    <cellStyle name="20% - 강조색2 4 3 2 2" xfId="2250"/>
    <cellStyle name="20% - 강조색2 4 4" xfId="2251"/>
    <cellStyle name="20% - 강조색2 4 4 2" xfId="2252"/>
    <cellStyle name="20% - 강조색2 4 4 2 2" xfId="2253"/>
    <cellStyle name="20% - 강조색2 4 4 2 2 2" xfId="2254"/>
    <cellStyle name="20% - 강조색2 4 4 2 3" xfId="2255"/>
    <cellStyle name="20% - 강조색2 4 4 3" xfId="2256"/>
    <cellStyle name="20% - 강조색2 4 4 3 2" xfId="2257"/>
    <cellStyle name="20% - 강조색2 4 4 4" xfId="2258"/>
    <cellStyle name="20% - 강조색2 4 4 5" xfId="2259"/>
    <cellStyle name="20% - 강조색2 4 5" xfId="2260"/>
    <cellStyle name="20% - 강조색2 4 5 2" xfId="2261"/>
    <cellStyle name="20% - 강조색2 4 5 2 2" xfId="2262"/>
    <cellStyle name="20% - 강조색2 4 6" xfId="2263"/>
    <cellStyle name="20% - 강조색2 4 6 2" xfId="2264"/>
    <cellStyle name="20% - 강조색2 4 7" xfId="2265"/>
    <cellStyle name="20% - 강조색2 4 8" xfId="2266"/>
    <cellStyle name="20% - 강조색2 4 9" xfId="2267"/>
    <cellStyle name="20% - 강조색2 5" xfId="2268"/>
    <cellStyle name="20% - 강조색2 5 10" xfId="2269"/>
    <cellStyle name="20% - 강조색2 5 11" xfId="2270"/>
    <cellStyle name="20% - 강조색2 5 12" xfId="2271"/>
    <cellStyle name="20% - 강조색2 5 13" xfId="2272"/>
    <cellStyle name="20% - 강조색2 5 14" xfId="2273"/>
    <cellStyle name="20% - 강조색2 5 15" xfId="2274"/>
    <cellStyle name="20% - 강조색2 5 16" xfId="2275"/>
    <cellStyle name="20% - 강조색2 5 17" xfId="2276"/>
    <cellStyle name="20% - 강조색2 5 18" xfId="2277"/>
    <cellStyle name="20% - 강조색2 5 19" xfId="2278"/>
    <cellStyle name="20% - 강조색2 5 2" xfId="2279"/>
    <cellStyle name="20% - 강조색2 5 2 2" xfId="2280"/>
    <cellStyle name="20% - 강조색2 5 2 2 2" xfId="2281"/>
    <cellStyle name="20% - 강조색2 5 2 2 2 2" xfId="21033"/>
    <cellStyle name="20% - 강조색2 5 20" xfId="2282"/>
    <cellStyle name="20% - 강조색2 5 21" xfId="2283"/>
    <cellStyle name="20% - 강조색2 5 3" xfId="2284"/>
    <cellStyle name="20% - 강조색2 5 3 2" xfId="2285"/>
    <cellStyle name="20% - 강조색2 5 3 2 2" xfId="2286"/>
    <cellStyle name="20% - 강조색2 5 3 2 2 2" xfId="2287"/>
    <cellStyle name="20% - 강조색2 5 3 2 3" xfId="2288"/>
    <cellStyle name="20% - 강조색2 5 3 3" xfId="2289"/>
    <cellStyle name="20% - 강조색2 5 3 4" xfId="2290"/>
    <cellStyle name="20% - 강조색2 5 3 4 2" xfId="2291"/>
    <cellStyle name="20% - 강조색2 5 4" xfId="2292"/>
    <cellStyle name="20% - 강조색2 5 4 2" xfId="2293"/>
    <cellStyle name="20% - 강조색2 5 5" xfId="2294"/>
    <cellStyle name="20% - 강조색2 5 6" xfId="2295"/>
    <cellStyle name="20% - 강조색2 5 7" xfId="2296"/>
    <cellStyle name="20% - 강조색2 5 8" xfId="2297"/>
    <cellStyle name="20% - 강조색2 5 9" xfId="2298"/>
    <cellStyle name="20% - 강조색2 6" xfId="2299"/>
    <cellStyle name="20% - 강조색2 6 10" xfId="2300"/>
    <cellStyle name="20% - 강조색2 6 11" xfId="2301"/>
    <cellStyle name="20% - 강조색2 6 12" xfId="2302"/>
    <cellStyle name="20% - 강조색2 6 13" xfId="2303"/>
    <cellStyle name="20% - 강조색2 6 14" xfId="2304"/>
    <cellStyle name="20% - 강조색2 6 15" xfId="2305"/>
    <cellStyle name="20% - 강조색2 6 16" xfId="2306"/>
    <cellStyle name="20% - 강조색2 6 17" xfId="2307"/>
    <cellStyle name="20% - 강조색2 6 18" xfId="2308"/>
    <cellStyle name="20% - 강조색2 6 19" xfId="2309"/>
    <cellStyle name="20% - 강조색2 6 2" xfId="2310"/>
    <cellStyle name="20% - 강조색2 6 2 2" xfId="2311"/>
    <cellStyle name="20% - 강조색2 6 2 2 2" xfId="2312"/>
    <cellStyle name="20% - 강조색2 6 2 2 2 2" xfId="21034"/>
    <cellStyle name="20% - 강조색2 6 20" xfId="2313"/>
    <cellStyle name="20% - 강조색2 6 21" xfId="2314"/>
    <cellStyle name="20% - 강조색2 6 3" xfId="2315"/>
    <cellStyle name="20% - 강조색2 6 3 2" xfId="2316"/>
    <cellStyle name="20% - 강조색2 6 3 2 2" xfId="2317"/>
    <cellStyle name="20% - 강조색2 6 3 2 2 2" xfId="2318"/>
    <cellStyle name="20% - 강조색2 6 3 2 3" xfId="2319"/>
    <cellStyle name="20% - 강조색2 6 3 3" xfId="2320"/>
    <cellStyle name="20% - 강조색2 6 3 4" xfId="2321"/>
    <cellStyle name="20% - 강조색2 6 3 4 2" xfId="2322"/>
    <cellStyle name="20% - 강조색2 6 4" xfId="2323"/>
    <cellStyle name="20% - 강조색2 6 4 2" xfId="2324"/>
    <cellStyle name="20% - 강조색2 6 5" xfId="2325"/>
    <cellStyle name="20% - 강조색2 6 6" xfId="2326"/>
    <cellStyle name="20% - 강조색2 6 7" xfId="2327"/>
    <cellStyle name="20% - 강조색2 6 8" xfId="2328"/>
    <cellStyle name="20% - 강조색2 6 9" xfId="2329"/>
    <cellStyle name="20% - 강조색2 7" xfId="2330"/>
    <cellStyle name="20% - 강조색2 7 10" xfId="2331"/>
    <cellStyle name="20% - 강조색2 7 11" xfId="2332"/>
    <cellStyle name="20% - 강조색2 7 12" xfId="2333"/>
    <cellStyle name="20% - 강조색2 7 13" xfId="2334"/>
    <cellStyle name="20% - 강조색2 7 14" xfId="2335"/>
    <cellStyle name="20% - 강조색2 7 15" xfId="2336"/>
    <cellStyle name="20% - 강조색2 7 16" xfId="2337"/>
    <cellStyle name="20% - 강조색2 7 17" xfId="2338"/>
    <cellStyle name="20% - 강조색2 7 18" xfId="2339"/>
    <cellStyle name="20% - 강조색2 7 19" xfId="2340"/>
    <cellStyle name="20% - 강조색2 7 2" xfId="2341"/>
    <cellStyle name="20% - 강조색2 7 2 2" xfId="2342"/>
    <cellStyle name="20% - 강조색2 7 2 2 2" xfId="2343"/>
    <cellStyle name="20% - 강조색2 7 2 3" xfId="2344"/>
    <cellStyle name="20% - 강조색2 7 3" xfId="2345"/>
    <cellStyle name="20% - 강조색2 7 4" xfId="2346"/>
    <cellStyle name="20% - 강조색2 7 5" xfId="2347"/>
    <cellStyle name="20% - 강조색2 7 6" xfId="2348"/>
    <cellStyle name="20% - 강조색2 7 7" xfId="2349"/>
    <cellStyle name="20% - 강조색2 7 8" xfId="2350"/>
    <cellStyle name="20% - 강조색2 7 9" xfId="2351"/>
    <cellStyle name="20% - 강조색2 8" xfId="2352"/>
    <cellStyle name="20% - 강조색2 8 10" xfId="2353"/>
    <cellStyle name="20% - 강조색2 8 11" xfId="2354"/>
    <cellStyle name="20% - 강조색2 8 12" xfId="2355"/>
    <cellStyle name="20% - 강조색2 8 13" xfId="2356"/>
    <cellStyle name="20% - 강조색2 8 14" xfId="2357"/>
    <cellStyle name="20% - 강조색2 8 15" xfId="2358"/>
    <cellStyle name="20% - 강조색2 8 16" xfId="2359"/>
    <cellStyle name="20% - 강조색2 8 17" xfId="2360"/>
    <cellStyle name="20% - 강조색2 8 18" xfId="2361"/>
    <cellStyle name="20% - 강조색2 8 19" xfId="2362"/>
    <cellStyle name="20% - 강조색2 8 2" xfId="2363"/>
    <cellStyle name="20% - 강조색2 8 2 2" xfId="2364"/>
    <cellStyle name="20% - 강조색2 8 2 2 2" xfId="2365"/>
    <cellStyle name="20% - 강조색2 8 2 3" xfId="2366"/>
    <cellStyle name="20% - 강조색2 8 3" xfId="2367"/>
    <cellStyle name="20% - 강조색2 8 4" xfId="2368"/>
    <cellStyle name="20% - 강조색2 8 5" xfId="2369"/>
    <cellStyle name="20% - 강조색2 8 6" xfId="2370"/>
    <cellStyle name="20% - 강조색2 8 7" xfId="2371"/>
    <cellStyle name="20% - 강조색2 8 8" xfId="2372"/>
    <cellStyle name="20% - 강조색2 8 9" xfId="2373"/>
    <cellStyle name="20% - 강조색2 9" xfId="2374"/>
    <cellStyle name="20% - 강조색2 9 10" xfId="2375"/>
    <cellStyle name="20% - 강조색2 9 11" xfId="2376"/>
    <cellStyle name="20% - 강조색2 9 12" xfId="2377"/>
    <cellStyle name="20% - 강조색2 9 13" xfId="2378"/>
    <cellStyle name="20% - 강조색2 9 14" xfId="2379"/>
    <cellStyle name="20% - 강조색2 9 15" xfId="2380"/>
    <cellStyle name="20% - 강조색2 9 16" xfId="2381"/>
    <cellStyle name="20% - 강조색2 9 17" xfId="2382"/>
    <cellStyle name="20% - 강조색2 9 18" xfId="2383"/>
    <cellStyle name="20% - 강조색2 9 19" xfId="2384"/>
    <cellStyle name="20% - 강조색2 9 2" xfId="2385"/>
    <cellStyle name="20% - 강조색2 9 2 2" xfId="2386"/>
    <cellStyle name="20% - 강조색2 9 2 2 2" xfId="2387"/>
    <cellStyle name="20% - 강조색2 9 2 2 2 2" xfId="2388"/>
    <cellStyle name="20% - 강조색2 9 2 2 2 2 2" xfId="21035"/>
    <cellStyle name="20% - 강조색2 9 2 2 3" xfId="2389"/>
    <cellStyle name="20% - 강조색2 9 2 3" xfId="2390"/>
    <cellStyle name="20% - 강조색2 9 2 3 2" xfId="2391"/>
    <cellStyle name="20% - 강조색2 9 2 4" xfId="2392"/>
    <cellStyle name="20% - 강조색2 9 20" xfId="2393"/>
    <cellStyle name="20% - 강조색2 9 21" xfId="2394"/>
    <cellStyle name="20% - 강조색2 9 3" xfId="2395"/>
    <cellStyle name="20% - 강조색2 9 3 2" xfId="2396"/>
    <cellStyle name="20% - 강조색2 9 3 2 2" xfId="2397"/>
    <cellStyle name="20% - 강조색2 9 4" xfId="2398"/>
    <cellStyle name="20% - 강조색2 9 4 2" xfId="2399"/>
    <cellStyle name="20% - 강조색2 9 5" xfId="2400"/>
    <cellStyle name="20% - 강조색2 9 5 2" xfId="2401"/>
    <cellStyle name="20% - 강조색2 9 6" xfId="2402"/>
    <cellStyle name="20% - 강조색2 9 7" xfId="2403"/>
    <cellStyle name="20% - 강조색2 9 8" xfId="2404"/>
    <cellStyle name="20% - 강조색2 9 9" xfId="2405"/>
    <cellStyle name="20% - 강조색3" xfId="27" builtinId="38" customBuiltin="1"/>
    <cellStyle name="20% - 강조색3 10" xfId="2406"/>
    <cellStyle name="20% - 강조색3 10 10" xfId="2407"/>
    <cellStyle name="20% - 강조색3 10 11" xfId="2408"/>
    <cellStyle name="20% - 강조색3 10 12" xfId="2409"/>
    <cellStyle name="20% - 강조색3 10 13" xfId="2410"/>
    <cellStyle name="20% - 강조색3 10 14" xfId="2411"/>
    <cellStyle name="20% - 강조색3 10 15" xfId="2412"/>
    <cellStyle name="20% - 강조색3 10 16" xfId="2413"/>
    <cellStyle name="20% - 강조색3 10 17" xfId="2414"/>
    <cellStyle name="20% - 강조색3 10 18" xfId="2415"/>
    <cellStyle name="20% - 강조색3 10 19" xfId="2416"/>
    <cellStyle name="20% - 강조색3 10 2" xfId="2417"/>
    <cellStyle name="20% - 강조색3 10 2 2" xfId="2418"/>
    <cellStyle name="20% - 강조색3 10 2 2 2" xfId="2419"/>
    <cellStyle name="20% - 강조색3 10 2 2 2 2" xfId="2420"/>
    <cellStyle name="20% - 강조색3 10 2 2 2 2 2" xfId="21036"/>
    <cellStyle name="20% - 강조색3 10 2 2 3" xfId="2421"/>
    <cellStyle name="20% - 강조색3 10 2 3" xfId="2422"/>
    <cellStyle name="20% - 강조색3 10 2 3 2" xfId="2423"/>
    <cellStyle name="20% - 강조색3 10 2 4" xfId="2424"/>
    <cellStyle name="20% - 강조색3 10 20" xfId="2425"/>
    <cellStyle name="20% - 강조색3 10 21" xfId="2426"/>
    <cellStyle name="20% - 강조색3 10 3" xfId="2427"/>
    <cellStyle name="20% - 강조색3 10 3 2" xfId="2428"/>
    <cellStyle name="20% - 강조색3 10 3 2 2" xfId="2429"/>
    <cellStyle name="20% - 강조색3 10 4" xfId="2430"/>
    <cellStyle name="20% - 강조색3 10 4 2" xfId="2431"/>
    <cellStyle name="20% - 강조색3 10 5" xfId="2432"/>
    <cellStyle name="20% - 강조색3 10 5 2" xfId="2433"/>
    <cellStyle name="20% - 강조색3 10 6" xfId="2434"/>
    <cellStyle name="20% - 강조색3 10 7" xfId="2435"/>
    <cellStyle name="20% - 강조색3 10 8" xfId="2436"/>
    <cellStyle name="20% - 강조색3 10 9" xfId="2437"/>
    <cellStyle name="20% - 강조색3 11" xfId="2438"/>
    <cellStyle name="20% - 강조색3 11 2" xfId="2439"/>
    <cellStyle name="20% - 강조색3 11 2 2" xfId="2440"/>
    <cellStyle name="20% - 강조색3 11 2 2 2" xfId="2441"/>
    <cellStyle name="20% - 강조색3 11 2 2 2 2" xfId="2442"/>
    <cellStyle name="20% - 강조색3 11 2 2 3" xfId="2443"/>
    <cellStyle name="20% - 강조색3 11 2 3" xfId="2444"/>
    <cellStyle name="20% - 강조색3 11 2 3 2" xfId="2445"/>
    <cellStyle name="20% - 강조색3 11 2 4" xfId="2446"/>
    <cellStyle name="20% - 강조색3 11 3" xfId="2447"/>
    <cellStyle name="20% - 강조색3 11 3 2" xfId="2448"/>
    <cellStyle name="20% - 강조색3 11 3 2 2" xfId="2449"/>
    <cellStyle name="20% - 강조색3 11 3 3" xfId="2450"/>
    <cellStyle name="20% - 강조색3 11 4" xfId="2451"/>
    <cellStyle name="20% - 강조색3 11 4 2" xfId="2452"/>
    <cellStyle name="20% - 강조색3 11 5" xfId="2453"/>
    <cellStyle name="20% - 강조색3 11 5 2" xfId="2454"/>
    <cellStyle name="20% - 강조색3 12" xfId="2455"/>
    <cellStyle name="20% - 강조색3 12 2" xfId="2456"/>
    <cellStyle name="20% - 강조색3 12 2 2" xfId="2457"/>
    <cellStyle name="20% - 강조색3 12 2 2 2" xfId="2458"/>
    <cellStyle name="20% - 강조색3 12 2 2 2 2" xfId="2459"/>
    <cellStyle name="20% - 강조색3 12 2 2 2 2 2" xfId="21037"/>
    <cellStyle name="20% - 강조색3 12 2 2 3" xfId="2460"/>
    <cellStyle name="20% - 강조색3 12 2 3" xfId="2461"/>
    <cellStyle name="20% - 강조색3 12 2 3 2" xfId="2462"/>
    <cellStyle name="20% - 강조색3 12 2 4" xfId="2463"/>
    <cellStyle name="20% - 강조색3 12 3" xfId="2464"/>
    <cellStyle name="20% - 강조색3 12 3 2" xfId="2465"/>
    <cellStyle name="20% - 강조색3 12 3 2 2" xfId="2466"/>
    <cellStyle name="20% - 강조색3 12 3 3" xfId="2467"/>
    <cellStyle name="20% - 강조색3 12 4" xfId="2468"/>
    <cellStyle name="20% - 강조색3 12 4 2" xfId="2469"/>
    <cellStyle name="20% - 강조색3 12 5" xfId="2470"/>
    <cellStyle name="20% - 강조색3 12 5 2" xfId="2471"/>
    <cellStyle name="20% - 강조색3 13" xfId="2472"/>
    <cellStyle name="20% - 강조색3 13 2" xfId="2473"/>
    <cellStyle name="20% - 강조색3 13 2 2" xfId="2474"/>
    <cellStyle name="20% - 강조색3 13 2 2 2" xfId="21038"/>
    <cellStyle name="20% - 강조색3 13 2 3" xfId="2475"/>
    <cellStyle name="20% - 강조색3 13 2 3 2" xfId="2476"/>
    <cellStyle name="20% - 강조색3 13 2 4" xfId="2477"/>
    <cellStyle name="20% - 강조색3 13 3" xfId="2478"/>
    <cellStyle name="20% - 강조색3 13 3 2" xfId="2479"/>
    <cellStyle name="20% - 강조색3 13 3 3" xfId="2480"/>
    <cellStyle name="20% - 강조색3 13 3 3 2" xfId="2481"/>
    <cellStyle name="20% - 강조색3 13 4" xfId="2482"/>
    <cellStyle name="20% - 강조색3 13 4 2" xfId="2483"/>
    <cellStyle name="20% - 강조색3 13 5" xfId="2484"/>
    <cellStyle name="20% - 강조색3 14" xfId="2485"/>
    <cellStyle name="20% - 강조색3 14 2" xfId="2486"/>
    <cellStyle name="20% - 강조색3 14 2 2" xfId="2487"/>
    <cellStyle name="20% - 강조색3 14 2 2 2" xfId="21039"/>
    <cellStyle name="20% - 강조색3 14 3" xfId="2488"/>
    <cellStyle name="20% - 강조색3 14 3 2" xfId="2489"/>
    <cellStyle name="20% - 강조색3 14 4" xfId="2490"/>
    <cellStyle name="20% - 강조색3 14 5" xfId="2491"/>
    <cellStyle name="20% - 강조색3 15" xfId="2492"/>
    <cellStyle name="20% - 강조색3 15 2" xfId="2493"/>
    <cellStyle name="20% - 강조색3 15 2 2" xfId="2494"/>
    <cellStyle name="20% - 강조색3 15 2 2 2" xfId="21040"/>
    <cellStyle name="20% - 강조색3 15 3" xfId="2495"/>
    <cellStyle name="20% - 강조색3 15 3 2" xfId="2496"/>
    <cellStyle name="20% - 강조색3 15 4" xfId="2497"/>
    <cellStyle name="20% - 강조색3 15 5" xfId="2498"/>
    <cellStyle name="20% - 강조색3 16" xfId="2499"/>
    <cellStyle name="20% - 강조색3 16 2" xfId="2500"/>
    <cellStyle name="20% - 강조색3 16 2 2" xfId="2501"/>
    <cellStyle name="20% - 강조색3 16 2 2 2" xfId="21041"/>
    <cellStyle name="20% - 강조색3 16 3" xfId="2502"/>
    <cellStyle name="20% - 강조색3 16 3 2" xfId="2503"/>
    <cellStyle name="20% - 강조색3 16 4" xfId="2504"/>
    <cellStyle name="20% - 강조색3 16 5" xfId="2505"/>
    <cellStyle name="20% - 강조색3 17" xfId="2506"/>
    <cellStyle name="20% - 강조색3 17 2" xfId="2507"/>
    <cellStyle name="20% - 강조색3 17 2 2" xfId="2508"/>
    <cellStyle name="20% - 강조색3 17 2 2 2" xfId="21042"/>
    <cellStyle name="20% - 강조색3 17 3" xfId="2509"/>
    <cellStyle name="20% - 강조색3 17 4" xfId="2510"/>
    <cellStyle name="20% - 강조색3 17 5" xfId="2511"/>
    <cellStyle name="20% - 강조색3 18" xfId="2512"/>
    <cellStyle name="20% - 강조색3 18 2" xfId="2513"/>
    <cellStyle name="20% - 강조색3 18 2 2" xfId="2514"/>
    <cellStyle name="20% - 강조색3 18 3" xfId="2515"/>
    <cellStyle name="20% - 강조색3 18 4" xfId="2516"/>
    <cellStyle name="20% - 강조색3 18 5" xfId="2517"/>
    <cellStyle name="20% - 강조색3 19" xfId="2518"/>
    <cellStyle name="20% - 강조색3 19 2" xfId="2519"/>
    <cellStyle name="20% - 강조색3 19 2 2" xfId="2520"/>
    <cellStyle name="20% - 강조색3 19 3" xfId="2521"/>
    <cellStyle name="20% - 강조색3 19 4" xfId="2522"/>
    <cellStyle name="20% - 강조색3 19 5" xfId="2523"/>
    <cellStyle name="20% - 강조색3 2" xfId="2524"/>
    <cellStyle name="20% - 강조색3 2 10" xfId="2525"/>
    <cellStyle name="20% - 강조색3 2 10 2" xfId="2526"/>
    <cellStyle name="20% - 강조색3 2 10 2 2" xfId="2527"/>
    <cellStyle name="20% - 강조색3 2 10 3" xfId="2528"/>
    <cellStyle name="20% - 강조색3 2 10 4" xfId="2529"/>
    <cellStyle name="20% - 강조색3 2 11" xfId="2530"/>
    <cellStyle name="20% - 강조색3 2 11 2" xfId="2531"/>
    <cellStyle name="20% - 강조색3 2 11 2 2" xfId="2532"/>
    <cellStyle name="20% - 강조색3 2 11 3" xfId="2533"/>
    <cellStyle name="20% - 강조색3 2 12" xfId="2534"/>
    <cellStyle name="20% - 강조색3 2 12 2" xfId="2535"/>
    <cellStyle name="20% - 강조색3 2 13" xfId="2536"/>
    <cellStyle name="20% - 강조색3 2 14" xfId="2537"/>
    <cellStyle name="20% - 강조색3 2 15" xfId="2538"/>
    <cellStyle name="20% - 강조색3 2 16" xfId="2539"/>
    <cellStyle name="20% - 강조색3 2 17" xfId="2540"/>
    <cellStyle name="20% - 강조색3 2 18" xfId="2541"/>
    <cellStyle name="20% - 강조색3 2 19" xfId="2542"/>
    <cellStyle name="20% - 강조색3 2 2" xfId="2543"/>
    <cellStyle name="20% - 강조색3 2 2 2" xfId="2544"/>
    <cellStyle name="20% - 강조색3 2 2 2 2" xfId="2545"/>
    <cellStyle name="20% - 강조색3 2 2 2 3" xfId="2546"/>
    <cellStyle name="20% - 강조색3 2 2 2 4" xfId="2547"/>
    <cellStyle name="20% - 강조색3 2 2 2 4 2" xfId="2548"/>
    <cellStyle name="20% - 강조색3 2 2 2 5" xfId="2549"/>
    <cellStyle name="20% - 강조색3 2 2 3" xfId="2550"/>
    <cellStyle name="20% - 강조색3 2 2 3 2" xfId="2551"/>
    <cellStyle name="20% - 강조색3 2 2 3 2 2" xfId="2552"/>
    <cellStyle name="20% - 강조색3 2 2 3 3" xfId="2553"/>
    <cellStyle name="20% - 강조색3 2 2 4" xfId="2554"/>
    <cellStyle name="20% - 강조색3 2 2 5" xfId="20212"/>
    <cellStyle name="20% - 강조색3 2 20" xfId="2555"/>
    <cellStyle name="20% - 강조색3 2 21" xfId="2556"/>
    <cellStyle name="20% - 강조색3 2 22" xfId="19664"/>
    <cellStyle name="20% - 강조색3 2 3" xfId="2557"/>
    <cellStyle name="20% - 강조색3 2 3 2" xfId="2558"/>
    <cellStyle name="20% - 강조색3 2 3 2 2" xfId="2559"/>
    <cellStyle name="20% - 강조색3 2 3 2 2 2" xfId="2560"/>
    <cellStyle name="20% - 강조색3 2 3 2 2 2 2" xfId="21043"/>
    <cellStyle name="20% - 강조색3 2 3 3" xfId="20213"/>
    <cellStyle name="20% - 강조색3 2 4" xfId="2561"/>
    <cellStyle name="20% - 강조색3 2 4 2" xfId="2562"/>
    <cellStyle name="20% - 강조색3 2 4 2 2" xfId="2563"/>
    <cellStyle name="20% - 강조색3 2 4 2 2 2" xfId="2564"/>
    <cellStyle name="20% - 강조색3 2 4 2 2 2 2" xfId="21044"/>
    <cellStyle name="20% - 강조색3 2 4 2 3" xfId="2565"/>
    <cellStyle name="20% - 강조색3 2 4 2 4" xfId="2566"/>
    <cellStyle name="20% - 강조색3 2 4 3" xfId="2567"/>
    <cellStyle name="20% - 강조색3 2 4 3 2" xfId="2568"/>
    <cellStyle name="20% - 강조색3 2 4 4" xfId="2569"/>
    <cellStyle name="20% - 강조색3 2 4 4 2" xfId="2570"/>
    <cellStyle name="20% - 강조색3 2 4 5" xfId="2571"/>
    <cellStyle name="20% - 강조색3 2 4 6" xfId="20214"/>
    <cellStyle name="20% - 강조색3 2 5" xfId="2572"/>
    <cellStyle name="20% - 강조색3 2 5 2" xfId="2573"/>
    <cellStyle name="20% - 강조색3 2 5 2 2" xfId="2574"/>
    <cellStyle name="20% - 강조색3 2 5 3" xfId="2575"/>
    <cellStyle name="20% - 강조색3 2 5 4" xfId="2576"/>
    <cellStyle name="20% - 강조색3 2 6" xfId="2577"/>
    <cellStyle name="20% - 강조색3 2 6 2" xfId="2578"/>
    <cellStyle name="20% - 강조색3 2 6 2 2" xfId="2579"/>
    <cellStyle name="20% - 강조색3 2 6 2 2 2" xfId="21045"/>
    <cellStyle name="20% - 강조색3 2 6 3" xfId="2580"/>
    <cellStyle name="20% - 강조색3 2 6 4" xfId="2581"/>
    <cellStyle name="20% - 강조색3 2 6 5" xfId="20215"/>
    <cellStyle name="20% - 강조색3 2 7" xfId="2582"/>
    <cellStyle name="20% - 강조색3 2 7 2" xfId="2583"/>
    <cellStyle name="20% - 강조색3 2 7 2 2" xfId="2584"/>
    <cellStyle name="20% - 강조색3 2 7 2 2 2" xfId="21046"/>
    <cellStyle name="20% - 강조색3 2 7 3" xfId="2585"/>
    <cellStyle name="20% - 강조색3 2 7 4" xfId="2586"/>
    <cellStyle name="20% - 강조색3 2 7 5" xfId="20216"/>
    <cellStyle name="20% - 강조색3 2 8" xfId="2587"/>
    <cellStyle name="20% - 강조색3 2 8 2" xfId="2588"/>
    <cellStyle name="20% - 강조색3 2 8 2 2" xfId="2589"/>
    <cellStyle name="20% - 강조색3 2 8 3" xfId="2590"/>
    <cellStyle name="20% - 강조색3 2 8 4" xfId="2591"/>
    <cellStyle name="20% - 강조색3 2 9" xfId="2592"/>
    <cellStyle name="20% - 강조색3 2 9 2" xfId="2593"/>
    <cellStyle name="20% - 강조색3 2 9 2 2" xfId="2594"/>
    <cellStyle name="20% - 강조색3 2 9 2 2 2" xfId="21047"/>
    <cellStyle name="20% - 강조색3 2 9 3" xfId="2595"/>
    <cellStyle name="20% - 강조색3 2 9 4" xfId="2596"/>
    <cellStyle name="20% - 강조색3 20" xfId="2597"/>
    <cellStyle name="20% - 강조색3 20 2" xfId="2598"/>
    <cellStyle name="20% - 강조색3 20 3" xfId="2599"/>
    <cellStyle name="20% - 강조색3 20 4" xfId="2600"/>
    <cellStyle name="20% - 강조색3 20 5" xfId="2601"/>
    <cellStyle name="20% - 강조색3 21" xfId="2602"/>
    <cellStyle name="20% - 강조색3 21 2" xfId="2603"/>
    <cellStyle name="20% - 강조색3 21 3" xfId="2604"/>
    <cellStyle name="20% - 강조색3 21 4" xfId="2605"/>
    <cellStyle name="20% - 강조색3 21 5" xfId="2606"/>
    <cellStyle name="20% - 강조색3 22" xfId="2607"/>
    <cellStyle name="20% - 강조색3 22 2" xfId="2608"/>
    <cellStyle name="20% - 강조색3 22 3" xfId="2609"/>
    <cellStyle name="20% - 강조색3 22 4" xfId="2610"/>
    <cellStyle name="20% - 강조색3 22 5" xfId="2611"/>
    <cellStyle name="20% - 강조색3 23" xfId="2612"/>
    <cellStyle name="20% - 강조색3 23 2" xfId="2613"/>
    <cellStyle name="20% - 강조색3 23 2 2" xfId="2614"/>
    <cellStyle name="20% - 강조색3 23 2 3" xfId="2615"/>
    <cellStyle name="20% - 강조색3 23 3" xfId="2616"/>
    <cellStyle name="20% - 강조색3 23 4" xfId="2617"/>
    <cellStyle name="20% - 강조색3 24" xfId="2618"/>
    <cellStyle name="20% - 강조색3 24 2" xfId="2619"/>
    <cellStyle name="20% - 강조색3 24 2 2" xfId="2620"/>
    <cellStyle name="20% - 강조색3 24 2 3" xfId="2621"/>
    <cellStyle name="20% - 강조색3 24 3" xfId="2622"/>
    <cellStyle name="20% - 강조색3 24 4" xfId="2623"/>
    <cellStyle name="20% - 강조색3 25" xfId="2624"/>
    <cellStyle name="20% - 강조색3 25 2" xfId="2625"/>
    <cellStyle name="20% - 강조색3 25 2 2" xfId="2626"/>
    <cellStyle name="20% - 강조색3 25 3" xfId="2627"/>
    <cellStyle name="20% - 강조색3 26" xfId="2628"/>
    <cellStyle name="20% - 강조색3 26 2" xfId="2629"/>
    <cellStyle name="20% - 강조색3 27" xfId="2630"/>
    <cellStyle name="20% - 강조색3 27 2" xfId="2631"/>
    <cellStyle name="20% - 강조색3 28" xfId="2632"/>
    <cellStyle name="20% - 강조색3 29" xfId="2633"/>
    <cellStyle name="20% - 강조색3 3" xfId="2634"/>
    <cellStyle name="20% - 강조색3 3 10" xfId="2635"/>
    <cellStyle name="20% - 강조색3 3 11" xfId="2636"/>
    <cellStyle name="20% - 강조색3 3 12" xfId="2637"/>
    <cellStyle name="20% - 강조색3 3 13" xfId="2638"/>
    <cellStyle name="20% - 강조색3 3 14" xfId="2639"/>
    <cellStyle name="20% - 강조색3 3 15" xfId="2640"/>
    <cellStyle name="20% - 강조색3 3 16" xfId="2641"/>
    <cellStyle name="20% - 강조색3 3 17" xfId="2642"/>
    <cellStyle name="20% - 강조색3 3 18" xfId="2643"/>
    <cellStyle name="20% - 강조색3 3 19" xfId="2644"/>
    <cellStyle name="20% - 강조색3 3 2" xfId="2645"/>
    <cellStyle name="20% - 강조색3 3 2 2" xfId="2646"/>
    <cellStyle name="20% - 강조색3 3 2 2 2" xfId="2647"/>
    <cellStyle name="20% - 강조색3 3 2 2 3" xfId="2648"/>
    <cellStyle name="20% - 강조색3 3 2 2 4" xfId="2649"/>
    <cellStyle name="20% - 강조색3 3 2 2 4 2" xfId="2650"/>
    <cellStyle name="20% - 강조색3 3 2 3" xfId="2651"/>
    <cellStyle name="20% - 강조색3 3 2 4" xfId="2652"/>
    <cellStyle name="20% - 강조색3 3 20" xfId="2653"/>
    <cellStyle name="20% - 강조색3 3 21" xfId="2654"/>
    <cellStyle name="20% - 강조색3 3 3" xfId="2655"/>
    <cellStyle name="20% - 강조색3 3 3 2" xfId="2656"/>
    <cellStyle name="20% - 강조색3 3 3 2 2" xfId="2657"/>
    <cellStyle name="20% - 강조색3 3 3 2 2 2" xfId="2658"/>
    <cellStyle name="20% - 강조색3 3 3 2 2 2 2" xfId="21048"/>
    <cellStyle name="20% - 강조색3 3 3 3" xfId="20217"/>
    <cellStyle name="20% - 강조색3 3 4" xfId="2659"/>
    <cellStyle name="20% - 강조색3 3 4 2" xfId="2660"/>
    <cellStyle name="20% - 강조색3 3 4 2 2" xfId="2661"/>
    <cellStyle name="20% - 강조색3 3 4 2 3" xfId="2662"/>
    <cellStyle name="20% - 강조색3 3 4 2 3 2" xfId="2663"/>
    <cellStyle name="20% - 강조색3 3 4 2 4" xfId="2664"/>
    <cellStyle name="20% - 강조색3 3 4 3" xfId="2665"/>
    <cellStyle name="20% - 강조색3 3 4 3 2" xfId="2666"/>
    <cellStyle name="20% - 강조색3 3 4 3 3" xfId="2667"/>
    <cellStyle name="20% - 강조색3 3 4 4" xfId="2668"/>
    <cellStyle name="20% - 강조색3 3 4 5" xfId="2669"/>
    <cellStyle name="20% - 강조색3 3 4 6" xfId="2670"/>
    <cellStyle name="20% - 강조색3 3 4 6 2" xfId="2671"/>
    <cellStyle name="20% - 강조색3 3 4 7" xfId="20218"/>
    <cellStyle name="20% - 강조색3 3 5" xfId="2672"/>
    <cellStyle name="20% - 강조색3 3 5 2" xfId="2673"/>
    <cellStyle name="20% - 강조색3 3 5 2 2" xfId="2674"/>
    <cellStyle name="20% - 강조색3 3 5 3" xfId="2675"/>
    <cellStyle name="20% - 강조색3 3 6" xfId="2676"/>
    <cellStyle name="20% - 강조색3 3 6 2" xfId="2677"/>
    <cellStyle name="20% - 강조색3 3 7" xfId="2678"/>
    <cellStyle name="20% - 강조색3 3 8" xfId="2679"/>
    <cellStyle name="20% - 강조색3 3 9" xfId="2680"/>
    <cellStyle name="20% - 강조색3 30" xfId="2681"/>
    <cellStyle name="20% - 강조색3 31" xfId="2682"/>
    <cellStyle name="20% - 강조색3 32" xfId="2683"/>
    <cellStyle name="20% - 강조색3 33" xfId="18223"/>
    <cellStyle name="20% - 강조색3 4" xfId="2684"/>
    <cellStyle name="20% - 강조색3 4 10" xfId="2685"/>
    <cellStyle name="20% - 강조색3 4 11" xfId="2686"/>
    <cellStyle name="20% - 강조색3 4 12" xfId="2687"/>
    <cellStyle name="20% - 강조색3 4 13" xfId="2688"/>
    <cellStyle name="20% - 강조색3 4 14" xfId="2689"/>
    <cellStyle name="20% - 강조색3 4 15" xfId="2690"/>
    <cellStyle name="20% - 강조색3 4 16" xfId="2691"/>
    <cellStyle name="20% - 강조색3 4 17" xfId="2692"/>
    <cellStyle name="20% - 강조색3 4 18" xfId="2693"/>
    <cellStyle name="20% - 강조색3 4 19" xfId="2694"/>
    <cellStyle name="20% - 강조색3 4 2" xfId="2695"/>
    <cellStyle name="20% - 강조색3 4 2 2" xfId="2696"/>
    <cellStyle name="20% - 강조색3 4 2 2 2" xfId="2697"/>
    <cellStyle name="20% - 강조색3 4 2 2 2 2" xfId="21049"/>
    <cellStyle name="20% - 강조색3 4 20" xfId="2698"/>
    <cellStyle name="20% - 강조색3 4 21" xfId="2699"/>
    <cellStyle name="20% - 강조색3 4 3" xfId="2700"/>
    <cellStyle name="20% - 강조색3 4 3 2" xfId="2701"/>
    <cellStyle name="20% - 강조색3 4 3 2 2" xfId="2702"/>
    <cellStyle name="20% - 강조색3 4 4" xfId="2703"/>
    <cellStyle name="20% - 강조색3 4 4 2" xfId="2704"/>
    <cellStyle name="20% - 강조색3 4 4 2 2" xfId="2705"/>
    <cellStyle name="20% - 강조색3 4 4 2 2 2" xfId="2706"/>
    <cellStyle name="20% - 강조색3 4 4 2 3" xfId="2707"/>
    <cellStyle name="20% - 강조색3 4 4 3" xfId="2708"/>
    <cellStyle name="20% - 강조색3 4 4 3 2" xfId="2709"/>
    <cellStyle name="20% - 강조색3 4 4 4" xfId="2710"/>
    <cellStyle name="20% - 강조색3 4 4 5" xfId="2711"/>
    <cellStyle name="20% - 강조색3 4 5" xfId="2712"/>
    <cellStyle name="20% - 강조색3 4 5 2" xfId="2713"/>
    <cellStyle name="20% - 강조색3 4 5 2 2" xfId="2714"/>
    <cellStyle name="20% - 강조색3 4 6" xfId="2715"/>
    <cellStyle name="20% - 강조색3 4 6 2" xfId="2716"/>
    <cellStyle name="20% - 강조색3 4 7" xfId="2717"/>
    <cellStyle name="20% - 강조색3 4 8" xfId="2718"/>
    <cellStyle name="20% - 강조색3 4 9" xfId="2719"/>
    <cellStyle name="20% - 강조색3 5" xfId="2720"/>
    <cellStyle name="20% - 강조색3 5 10" xfId="2721"/>
    <cellStyle name="20% - 강조색3 5 11" xfId="2722"/>
    <cellStyle name="20% - 강조색3 5 12" xfId="2723"/>
    <cellStyle name="20% - 강조색3 5 13" xfId="2724"/>
    <cellStyle name="20% - 강조색3 5 14" xfId="2725"/>
    <cellStyle name="20% - 강조색3 5 15" xfId="2726"/>
    <cellStyle name="20% - 강조색3 5 16" xfId="2727"/>
    <cellStyle name="20% - 강조색3 5 17" xfId="2728"/>
    <cellStyle name="20% - 강조색3 5 18" xfId="2729"/>
    <cellStyle name="20% - 강조색3 5 19" xfId="2730"/>
    <cellStyle name="20% - 강조색3 5 2" xfId="2731"/>
    <cellStyle name="20% - 강조색3 5 2 2" xfId="2732"/>
    <cellStyle name="20% - 강조색3 5 2 2 2" xfId="2733"/>
    <cellStyle name="20% - 강조색3 5 2 2 2 2" xfId="21050"/>
    <cellStyle name="20% - 강조색3 5 20" xfId="2734"/>
    <cellStyle name="20% - 강조색3 5 21" xfId="2735"/>
    <cellStyle name="20% - 강조색3 5 3" xfId="2736"/>
    <cellStyle name="20% - 강조색3 5 3 2" xfId="2737"/>
    <cellStyle name="20% - 강조색3 5 3 2 2" xfId="2738"/>
    <cellStyle name="20% - 강조색3 5 3 2 2 2" xfId="2739"/>
    <cellStyle name="20% - 강조색3 5 3 2 3" xfId="2740"/>
    <cellStyle name="20% - 강조색3 5 3 3" xfId="2741"/>
    <cellStyle name="20% - 강조색3 5 3 4" xfId="2742"/>
    <cellStyle name="20% - 강조색3 5 3 4 2" xfId="2743"/>
    <cellStyle name="20% - 강조색3 5 4" xfId="2744"/>
    <cellStyle name="20% - 강조색3 5 4 2" xfId="2745"/>
    <cellStyle name="20% - 강조색3 5 5" xfId="2746"/>
    <cellStyle name="20% - 강조색3 5 6" xfId="2747"/>
    <cellStyle name="20% - 강조색3 5 7" xfId="2748"/>
    <cellStyle name="20% - 강조색3 5 8" xfId="2749"/>
    <cellStyle name="20% - 강조색3 5 9" xfId="2750"/>
    <cellStyle name="20% - 강조색3 6" xfId="2751"/>
    <cellStyle name="20% - 강조색3 6 10" xfId="2752"/>
    <cellStyle name="20% - 강조색3 6 11" xfId="2753"/>
    <cellStyle name="20% - 강조색3 6 12" xfId="2754"/>
    <cellStyle name="20% - 강조색3 6 13" xfId="2755"/>
    <cellStyle name="20% - 강조색3 6 14" xfId="2756"/>
    <cellStyle name="20% - 강조색3 6 15" xfId="2757"/>
    <cellStyle name="20% - 강조색3 6 16" xfId="2758"/>
    <cellStyle name="20% - 강조색3 6 17" xfId="2759"/>
    <cellStyle name="20% - 강조색3 6 18" xfId="2760"/>
    <cellStyle name="20% - 강조색3 6 19" xfId="2761"/>
    <cellStyle name="20% - 강조색3 6 2" xfId="2762"/>
    <cellStyle name="20% - 강조색3 6 2 2" xfId="2763"/>
    <cellStyle name="20% - 강조색3 6 2 2 2" xfId="2764"/>
    <cellStyle name="20% - 강조색3 6 2 2 2 2" xfId="21051"/>
    <cellStyle name="20% - 강조색3 6 20" xfId="2765"/>
    <cellStyle name="20% - 강조색3 6 21" xfId="2766"/>
    <cellStyle name="20% - 강조색3 6 3" xfId="2767"/>
    <cellStyle name="20% - 강조색3 6 3 2" xfId="2768"/>
    <cellStyle name="20% - 강조색3 6 3 2 2" xfId="2769"/>
    <cellStyle name="20% - 강조색3 6 3 2 2 2" xfId="2770"/>
    <cellStyle name="20% - 강조색3 6 3 2 3" xfId="2771"/>
    <cellStyle name="20% - 강조색3 6 3 3" xfId="2772"/>
    <cellStyle name="20% - 강조색3 6 3 4" xfId="2773"/>
    <cellStyle name="20% - 강조색3 6 3 4 2" xfId="2774"/>
    <cellStyle name="20% - 강조색3 6 4" xfId="2775"/>
    <cellStyle name="20% - 강조색3 6 4 2" xfId="2776"/>
    <cellStyle name="20% - 강조색3 6 5" xfId="2777"/>
    <cellStyle name="20% - 강조색3 6 6" xfId="2778"/>
    <cellStyle name="20% - 강조색3 6 7" xfId="2779"/>
    <cellStyle name="20% - 강조색3 6 8" xfId="2780"/>
    <cellStyle name="20% - 강조색3 6 9" xfId="2781"/>
    <cellStyle name="20% - 강조색3 7" xfId="2782"/>
    <cellStyle name="20% - 강조색3 7 10" xfId="2783"/>
    <cellStyle name="20% - 강조색3 7 11" xfId="2784"/>
    <cellStyle name="20% - 강조색3 7 12" xfId="2785"/>
    <cellStyle name="20% - 강조색3 7 13" xfId="2786"/>
    <cellStyle name="20% - 강조색3 7 14" xfId="2787"/>
    <cellStyle name="20% - 강조색3 7 15" xfId="2788"/>
    <cellStyle name="20% - 강조색3 7 16" xfId="2789"/>
    <cellStyle name="20% - 강조색3 7 17" xfId="2790"/>
    <cellStyle name="20% - 강조색3 7 18" xfId="2791"/>
    <cellStyle name="20% - 강조색3 7 19" xfId="2792"/>
    <cellStyle name="20% - 강조색3 7 2" xfId="2793"/>
    <cellStyle name="20% - 강조색3 7 2 2" xfId="2794"/>
    <cellStyle name="20% - 강조색3 7 2 2 2" xfId="2795"/>
    <cellStyle name="20% - 강조색3 7 2 3" xfId="2796"/>
    <cellStyle name="20% - 강조색3 7 3" xfId="2797"/>
    <cellStyle name="20% - 강조색3 7 4" xfId="2798"/>
    <cellStyle name="20% - 강조색3 7 5" xfId="2799"/>
    <cellStyle name="20% - 강조색3 7 6" xfId="2800"/>
    <cellStyle name="20% - 강조색3 7 7" xfId="2801"/>
    <cellStyle name="20% - 강조색3 7 8" xfId="2802"/>
    <cellStyle name="20% - 강조색3 7 9" xfId="2803"/>
    <cellStyle name="20% - 강조색3 8" xfId="2804"/>
    <cellStyle name="20% - 강조색3 8 10" xfId="2805"/>
    <cellStyle name="20% - 강조색3 8 11" xfId="2806"/>
    <cellStyle name="20% - 강조색3 8 12" xfId="2807"/>
    <cellStyle name="20% - 강조색3 8 13" xfId="2808"/>
    <cellStyle name="20% - 강조색3 8 14" xfId="2809"/>
    <cellStyle name="20% - 강조색3 8 15" xfId="2810"/>
    <cellStyle name="20% - 강조색3 8 16" xfId="2811"/>
    <cellStyle name="20% - 강조색3 8 17" xfId="2812"/>
    <cellStyle name="20% - 강조색3 8 18" xfId="2813"/>
    <cellStyle name="20% - 강조색3 8 19" xfId="2814"/>
    <cellStyle name="20% - 강조색3 8 2" xfId="2815"/>
    <cellStyle name="20% - 강조색3 8 2 2" xfId="2816"/>
    <cellStyle name="20% - 강조색3 8 2 2 2" xfId="2817"/>
    <cellStyle name="20% - 강조색3 8 2 3" xfId="2818"/>
    <cellStyle name="20% - 강조색3 8 3" xfId="2819"/>
    <cellStyle name="20% - 강조색3 8 4" xfId="2820"/>
    <cellStyle name="20% - 강조색3 8 5" xfId="2821"/>
    <cellStyle name="20% - 강조색3 8 6" xfId="2822"/>
    <cellStyle name="20% - 강조색3 8 7" xfId="2823"/>
    <cellStyle name="20% - 강조색3 8 8" xfId="2824"/>
    <cellStyle name="20% - 강조색3 8 9" xfId="2825"/>
    <cellStyle name="20% - 강조색3 9" xfId="2826"/>
    <cellStyle name="20% - 강조색3 9 10" xfId="2827"/>
    <cellStyle name="20% - 강조색3 9 11" xfId="2828"/>
    <cellStyle name="20% - 강조색3 9 12" xfId="2829"/>
    <cellStyle name="20% - 강조색3 9 13" xfId="2830"/>
    <cellStyle name="20% - 강조색3 9 14" xfId="2831"/>
    <cellStyle name="20% - 강조색3 9 15" xfId="2832"/>
    <cellStyle name="20% - 강조색3 9 16" xfId="2833"/>
    <cellStyle name="20% - 강조색3 9 17" xfId="2834"/>
    <cellStyle name="20% - 강조색3 9 18" xfId="2835"/>
    <cellStyle name="20% - 강조색3 9 19" xfId="2836"/>
    <cellStyle name="20% - 강조색3 9 2" xfId="2837"/>
    <cellStyle name="20% - 강조색3 9 2 2" xfId="2838"/>
    <cellStyle name="20% - 강조색3 9 2 2 2" xfId="2839"/>
    <cellStyle name="20% - 강조색3 9 2 2 2 2" xfId="2840"/>
    <cellStyle name="20% - 강조색3 9 2 2 2 2 2" xfId="21052"/>
    <cellStyle name="20% - 강조색3 9 2 2 3" xfId="2841"/>
    <cellStyle name="20% - 강조색3 9 2 3" xfId="2842"/>
    <cellStyle name="20% - 강조색3 9 2 3 2" xfId="2843"/>
    <cellStyle name="20% - 강조색3 9 2 4" xfId="2844"/>
    <cellStyle name="20% - 강조색3 9 20" xfId="2845"/>
    <cellStyle name="20% - 강조색3 9 21" xfId="2846"/>
    <cellStyle name="20% - 강조색3 9 3" xfId="2847"/>
    <cellStyle name="20% - 강조색3 9 3 2" xfId="2848"/>
    <cellStyle name="20% - 강조색3 9 3 2 2" xfId="2849"/>
    <cellStyle name="20% - 강조색3 9 4" xfId="2850"/>
    <cellStyle name="20% - 강조색3 9 4 2" xfId="2851"/>
    <cellStyle name="20% - 강조색3 9 5" xfId="2852"/>
    <cellStyle name="20% - 강조색3 9 5 2" xfId="2853"/>
    <cellStyle name="20% - 강조색3 9 6" xfId="2854"/>
    <cellStyle name="20% - 강조색3 9 7" xfId="2855"/>
    <cellStyle name="20% - 강조색3 9 8" xfId="2856"/>
    <cellStyle name="20% - 강조색3 9 9" xfId="2857"/>
    <cellStyle name="20% - 강조색4" xfId="31" builtinId="42" customBuiltin="1"/>
    <cellStyle name="20% - 강조색4 10" xfId="2858"/>
    <cellStyle name="20% - 강조색4 10 10" xfId="2859"/>
    <cellStyle name="20% - 강조색4 10 11" xfId="2860"/>
    <cellStyle name="20% - 강조색4 10 12" xfId="2861"/>
    <cellStyle name="20% - 강조색4 10 13" xfId="2862"/>
    <cellStyle name="20% - 강조색4 10 14" xfId="2863"/>
    <cellStyle name="20% - 강조색4 10 15" xfId="2864"/>
    <cellStyle name="20% - 강조색4 10 16" xfId="2865"/>
    <cellStyle name="20% - 강조색4 10 17" xfId="2866"/>
    <cellStyle name="20% - 강조색4 10 18" xfId="2867"/>
    <cellStyle name="20% - 강조색4 10 19" xfId="2868"/>
    <cellStyle name="20% - 강조색4 10 2" xfId="2869"/>
    <cellStyle name="20% - 강조색4 10 2 2" xfId="2870"/>
    <cellStyle name="20% - 강조색4 10 2 2 2" xfId="2871"/>
    <cellStyle name="20% - 강조색4 10 2 2 2 2" xfId="2872"/>
    <cellStyle name="20% - 강조색4 10 2 2 2 2 2" xfId="21053"/>
    <cellStyle name="20% - 강조색4 10 2 2 3" xfId="2873"/>
    <cellStyle name="20% - 강조색4 10 2 3" xfId="2874"/>
    <cellStyle name="20% - 강조색4 10 2 3 2" xfId="2875"/>
    <cellStyle name="20% - 강조색4 10 2 4" xfId="2876"/>
    <cellStyle name="20% - 강조색4 10 20" xfId="2877"/>
    <cellStyle name="20% - 강조색4 10 21" xfId="2878"/>
    <cellStyle name="20% - 강조색4 10 3" xfId="2879"/>
    <cellStyle name="20% - 강조색4 10 3 2" xfId="2880"/>
    <cellStyle name="20% - 강조색4 10 3 2 2" xfId="2881"/>
    <cellStyle name="20% - 강조색4 10 4" xfId="2882"/>
    <cellStyle name="20% - 강조색4 10 4 2" xfId="2883"/>
    <cellStyle name="20% - 강조색4 10 5" xfId="2884"/>
    <cellStyle name="20% - 강조색4 10 5 2" xfId="2885"/>
    <cellStyle name="20% - 강조색4 10 6" xfId="2886"/>
    <cellStyle name="20% - 강조색4 10 7" xfId="2887"/>
    <cellStyle name="20% - 강조색4 10 8" xfId="2888"/>
    <cellStyle name="20% - 강조색4 10 9" xfId="2889"/>
    <cellStyle name="20% - 강조색4 11" xfId="2890"/>
    <cellStyle name="20% - 강조색4 11 2" xfId="2891"/>
    <cellStyle name="20% - 강조색4 11 2 2" xfId="2892"/>
    <cellStyle name="20% - 강조색4 11 2 2 2" xfId="2893"/>
    <cellStyle name="20% - 강조색4 11 2 2 2 2" xfId="2894"/>
    <cellStyle name="20% - 강조색4 11 2 2 3" xfId="2895"/>
    <cellStyle name="20% - 강조색4 11 2 3" xfId="2896"/>
    <cellStyle name="20% - 강조색4 11 2 3 2" xfId="2897"/>
    <cellStyle name="20% - 강조색4 11 2 4" xfId="2898"/>
    <cellStyle name="20% - 강조색4 11 3" xfId="2899"/>
    <cellStyle name="20% - 강조색4 11 3 2" xfId="2900"/>
    <cellStyle name="20% - 강조색4 11 3 2 2" xfId="2901"/>
    <cellStyle name="20% - 강조색4 11 3 3" xfId="2902"/>
    <cellStyle name="20% - 강조색4 11 4" xfId="2903"/>
    <cellStyle name="20% - 강조색4 11 4 2" xfId="2904"/>
    <cellStyle name="20% - 강조색4 11 5" xfId="2905"/>
    <cellStyle name="20% - 강조색4 11 5 2" xfId="2906"/>
    <cellStyle name="20% - 강조색4 12" xfId="2907"/>
    <cellStyle name="20% - 강조색4 12 2" xfId="2908"/>
    <cellStyle name="20% - 강조색4 12 2 2" xfId="2909"/>
    <cellStyle name="20% - 강조색4 12 2 2 2" xfId="2910"/>
    <cellStyle name="20% - 강조색4 12 2 2 2 2" xfId="2911"/>
    <cellStyle name="20% - 강조색4 12 2 2 2 2 2" xfId="21054"/>
    <cellStyle name="20% - 강조색4 12 2 2 3" xfId="2912"/>
    <cellStyle name="20% - 강조색4 12 2 3" xfId="2913"/>
    <cellStyle name="20% - 강조색4 12 2 3 2" xfId="2914"/>
    <cellStyle name="20% - 강조색4 12 2 4" xfId="2915"/>
    <cellStyle name="20% - 강조색4 12 3" xfId="2916"/>
    <cellStyle name="20% - 강조색4 12 3 2" xfId="2917"/>
    <cellStyle name="20% - 강조색4 12 3 2 2" xfId="2918"/>
    <cellStyle name="20% - 강조색4 12 3 3" xfId="2919"/>
    <cellStyle name="20% - 강조색4 12 4" xfId="2920"/>
    <cellStyle name="20% - 강조색4 12 4 2" xfId="2921"/>
    <cellStyle name="20% - 강조색4 12 5" xfId="2922"/>
    <cellStyle name="20% - 강조색4 12 5 2" xfId="2923"/>
    <cellStyle name="20% - 강조색4 13" xfId="2924"/>
    <cellStyle name="20% - 강조색4 13 2" xfId="2925"/>
    <cellStyle name="20% - 강조색4 13 2 2" xfId="2926"/>
    <cellStyle name="20% - 강조색4 13 2 2 2" xfId="21055"/>
    <cellStyle name="20% - 강조색4 13 2 3" xfId="2927"/>
    <cellStyle name="20% - 강조색4 13 2 3 2" xfId="2928"/>
    <cellStyle name="20% - 강조색4 13 2 4" xfId="2929"/>
    <cellStyle name="20% - 강조색4 13 3" xfId="2930"/>
    <cellStyle name="20% - 강조색4 13 3 2" xfId="2931"/>
    <cellStyle name="20% - 강조색4 13 3 3" xfId="2932"/>
    <cellStyle name="20% - 강조색4 13 3 3 2" xfId="2933"/>
    <cellStyle name="20% - 강조색4 13 4" xfId="2934"/>
    <cellStyle name="20% - 강조색4 13 4 2" xfId="2935"/>
    <cellStyle name="20% - 강조색4 13 5" xfId="2936"/>
    <cellStyle name="20% - 강조색4 14" xfId="2937"/>
    <cellStyle name="20% - 강조색4 14 2" xfId="2938"/>
    <cellStyle name="20% - 강조색4 14 2 2" xfId="2939"/>
    <cellStyle name="20% - 강조색4 14 2 2 2" xfId="21056"/>
    <cellStyle name="20% - 강조색4 14 3" xfId="2940"/>
    <cellStyle name="20% - 강조색4 14 3 2" xfId="2941"/>
    <cellStyle name="20% - 강조색4 14 4" xfId="2942"/>
    <cellStyle name="20% - 강조색4 14 5" xfId="2943"/>
    <cellStyle name="20% - 강조색4 15" xfId="2944"/>
    <cellStyle name="20% - 강조색4 15 2" xfId="2945"/>
    <cellStyle name="20% - 강조색4 15 2 2" xfId="2946"/>
    <cellStyle name="20% - 강조색4 15 2 2 2" xfId="21057"/>
    <cellStyle name="20% - 강조색4 15 3" xfId="2947"/>
    <cellStyle name="20% - 강조색4 15 3 2" xfId="2948"/>
    <cellStyle name="20% - 강조색4 15 4" xfId="2949"/>
    <cellStyle name="20% - 강조색4 15 5" xfId="2950"/>
    <cellStyle name="20% - 강조색4 16" xfId="2951"/>
    <cellStyle name="20% - 강조색4 16 2" xfId="2952"/>
    <cellStyle name="20% - 강조색4 16 2 2" xfId="2953"/>
    <cellStyle name="20% - 강조색4 16 2 2 2" xfId="21058"/>
    <cellStyle name="20% - 강조색4 16 3" xfId="2954"/>
    <cellStyle name="20% - 강조색4 16 3 2" xfId="2955"/>
    <cellStyle name="20% - 강조색4 16 4" xfId="2956"/>
    <cellStyle name="20% - 강조색4 16 5" xfId="2957"/>
    <cellStyle name="20% - 강조색4 17" xfId="2958"/>
    <cellStyle name="20% - 강조색4 17 2" xfId="2959"/>
    <cellStyle name="20% - 강조색4 17 2 2" xfId="2960"/>
    <cellStyle name="20% - 강조색4 17 2 2 2" xfId="21059"/>
    <cellStyle name="20% - 강조색4 17 3" xfId="2961"/>
    <cellStyle name="20% - 강조색4 17 4" xfId="2962"/>
    <cellStyle name="20% - 강조색4 17 5" xfId="2963"/>
    <cellStyle name="20% - 강조색4 18" xfId="2964"/>
    <cellStyle name="20% - 강조색4 18 2" xfId="2965"/>
    <cellStyle name="20% - 강조색4 18 2 2" xfId="2966"/>
    <cellStyle name="20% - 강조색4 18 3" xfId="2967"/>
    <cellStyle name="20% - 강조색4 18 4" xfId="2968"/>
    <cellStyle name="20% - 강조색4 18 5" xfId="2969"/>
    <cellStyle name="20% - 강조색4 19" xfId="2970"/>
    <cellStyle name="20% - 강조색4 19 2" xfId="2971"/>
    <cellStyle name="20% - 강조색4 19 2 2" xfId="2972"/>
    <cellStyle name="20% - 강조색4 19 3" xfId="2973"/>
    <cellStyle name="20% - 강조색4 19 4" xfId="2974"/>
    <cellStyle name="20% - 강조색4 19 5" xfId="2975"/>
    <cellStyle name="20% - 강조색4 2" xfId="2976"/>
    <cellStyle name="20% - 강조색4 2 10" xfId="2977"/>
    <cellStyle name="20% - 강조색4 2 10 2" xfId="2978"/>
    <cellStyle name="20% - 강조색4 2 10 2 2" xfId="2979"/>
    <cellStyle name="20% - 강조색4 2 10 3" xfId="2980"/>
    <cellStyle name="20% - 강조색4 2 10 4" xfId="2981"/>
    <cellStyle name="20% - 강조색4 2 11" xfId="2982"/>
    <cellStyle name="20% - 강조색4 2 11 2" xfId="2983"/>
    <cellStyle name="20% - 강조색4 2 11 2 2" xfId="2984"/>
    <cellStyle name="20% - 강조색4 2 11 3" xfId="2985"/>
    <cellStyle name="20% - 강조색4 2 12" xfId="2986"/>
    <cellStyle name="20% - 강조색4 2 12 2" xfId="2987"/>
    <cellStyle name="20% - 강조색4 2 13" xfId="2988"/>
    <cellStyle name="20% - 강조색4 2 14" xfId="2989"/>
    <cellStyle name="20% - 강조색4 2 15" xfId="2990"/>
    <cellStyle name="20% - 강조색4 2 16" xfId="2991"/>
    <cellStyle name="20% - 강조색4 2 17" xfId="2992"/>
    <cellStyle name="20% - 강조색4 2 18" xfId="2993"/>
    <cellStyle name="20% - 강조색4 2 19" xfId="2994"/>
    <cellStyle name="20% - 강조색4 2 2" xfId="2995"/>
    <cellStyle name="20% - 강조색4 2 2 2" xfId="2996"/>
    <cellStyle name="20% - 강조색4 2 2 2 2" xfId="2997"/>
    <cellStyle name="20% - 강조색4 2 2 2 3" xfId="2998"/>
    <cellStyle name="20% - 강조색4 2 2 2 4" xfId="2999"/>
    <cellStyle name="20% - 강조색4 2 2 2 4 2" xfId="3000"/>
    <cellStyle name="20% - 강조색4 2 2 2 5" xfId="3001"/>
    <cellStyle name="20% - 강조색4 2 2 3" xfId="3002"/>
    <cellStyle name="20% - 강조색4 2 2 3 2" xfId="3003"/>
    <cellStyle name="20% - 강조색4 2 2 3 2 2" xfId="3004"/>
    <cellStyle name="20% - 강조색4 2 2 3 3" xfId="3005"/>
    <cellStyle name="20% - 강조색4 2 2 4" xfId="3006"/>
    <cellStyle name="20% - 강조색4 2 2 5" xfId="20219"/>
    <cellStyle name="20% - 강조색4 2 20" xfId="3007"/>
    <cellStyle name="20% - 강조색4 2 21" xfId="3008"/>
    <cellStyle name="20% - 강조색4 2 22" xfId="19665"/>
    <cellStyle name="20% - 강조색4 2 3" xfId="3009"/>
    <cellStyle name="20% - 강조색4 2 3 2" xfId="3010"/>
    <cellStyle name="20% - 강조색4 2 3 2 2" xfId="3011"/>
    <cellStyle name="20% - 강조색4 2 3 2 2 2" xfId="3012"/>
    <cellStyle name="20% - 강조색4 2 3 2 2 2 2" xfId="21060"/>
    <cellStyle name="20% - 강조색4 2 3 3" xfId="20220"/>
    <cellStyle name="20% - 강조색4 2 4" xfId="3013"/>
    <cellStyle name="20% - 강조색4 2 4 2" xfId="3014"/>
    <cellStyle name="20% - 강조색4 2 4 2 2" xfId="3015"/>
    <cellStyle name="20% - 강조색4 2 4 2 2 2" xfId="3016"/>
    <cellStyle name="20% - 강조색4 2 4 2 2 2 2" xfId="21061"/>
    <cellStyle name="20% - 강조색4 2 4 2 3" xfId="3017"/>
    <cellStyle name="20% - 강조색4 2 4 2 4" xfId="3018"/>
    <cellStyle name="20% - 강조색4 2 4 3" xfId="3019"/>
    <cellStyle name="20% - 강조색4 2 4 3 2" xfId="3020"/>
    <cellStyle name="20% - 강조색4 2 4 4" xfId="3021"/>
    <cellStyle name="20% - 강조색4 2 4 4 2" xfId="3022"/>
    <cellStyle name="20% - 강조색4 2 4 5" xfId="3023"/>
    <cellStyle name="20% - 강조색4 2 4 6" xfId="20221"/>
    <cellStyle name="20% - 강조색4 2 5" xfId="3024"/>
    <cellStyle name="20% - 강조색4 2 5 2" xfId="3025"/>
    <cellStyle name="20% - 강조색4 2 5 2 2" xfId="3026"/>
    <cellStyle name="20% - 강조색4 2 5 3" xfId="3027"/>
    <cellStyle name="20% - 강조색4 2 5 4" xfId="3028"/>
    <cellStyle name="20% - 강조색4 2 6" xfId="3029"/>
    <cellStyle name="20% - 강조색4 2 6 2" xfId="3030"/>
    <cellStyle name="20% - 강조색4 2 6 2 2" xfId="3031"/>
    <cellStyle name="20% - 강조색4 2 6 2 2 2" xfId="21062"/>
    <cellStyle name="20% - 강조색4 2 6 3" xfId="3032"/>
    <cellStyle name="20% - 강조색4 2 6 4" xfId="3033"/>
    <cellStyle name="20% - 강조색4 2 6 5" xfId="20222"/>
    <cellStyle name="20% - 강조색4 2 7" xfId="3034"/>
    <cellStyle name="20% - 강조색4 2 7 2" xfId="3035"/>
    <cellStyle name="20% - 강조색4 2 7 2 2" xfId="3036"/>
    <cellStyle name="20% - 강조색4 2 7 2 2 2" xfId="21063"/>
    <cellStyle name="20% - 강조색4 2 7 3" xfId="3037"/>
    <cellStyle name="20% - 강조색4 2 7 4" xfId="3038"/>
    <cellStyle name="20% - 강조색4 2 7 5" xfId="20223"/>
    <cellStyle name="20% - 강조색4 2 8" xfId="3039"/>
    <cellStyle name="20% - 강조색4 2 8 2" xfId="3040"/>
    <cellStyle name="20% - 강조색4 2 8 2 2" xfId="3041"/>
    <cellStyle name="20% - 강조색4 2 8 3" xfId="3042"/>
    <cellStyle name="20% - 강조색4 2 8 4" xfId="3043"/>
    <cellStyle name="20% - 강조색4 2 9" xfId="3044"/>
    <cellStyle name="20% - 강조색4 2 9 2" xfId="3045"/>
    <cellStyle name="20% - 강조색4 2 9 2 2" xfId="3046"/>
    <cellStyle name="20% - 강조색4 2 9 2 2 2" xfId="21064"/>
    <cellStyle name="20% - 강조색4 2 9 3" xfId="3047"/>
    <cellStyle name="20% - 강조색4 2 9 4" xfId="3048"/>
    <cellStyle name="20% - 강조색4 20" xfId="3049"/>
    <cellStyle name="20% - 강조색4 20 2" xfId="3050"/>
    <cellStyle name="20% - 강조색4 20 3" xfId="3051"/>
    <cellStyle name="20% - 강조색4 20 4" xfId="3052"/>
    <cellStyle name="20% - 강조색4 20 5" xfId="3053"/>
    <cellStyle name="20% - 강조색4 21" xfId="3054"/>
    <cellStyle name="20% - 강조색4 21 2" xfId="3055"/>
    <cellStyle name="20% - 강조색4 21 3" xfId="3056"/>
    <cellStyle name="20% - 강조색4 21 4" xfId="3057"/>
    <cellStyle name="20% - 강조색4 21 5" xfId="3058"/>
    <cellStyle name="20% - 강조색4 22" xfId="3059"/>
    <cellStyle name="20% - 강조색4 22 2" xfId="3060"/>
    <cellStyle name="20% - 강조색4 22 3" xfId="3061"/>
    <cellStyle name="20% - 강조색4 22 4" xfId="3062"/>
    <cellStyle name="20% - 강조색4 22 5" xfId="3063"/>
    <cellStyle name="20% - 강조색4 23" xfId="3064"/>
    <cellStyle name="20% - 강조색4 23 2" xfId="3065"/>
    <cellStyle name="20% - 강조색4 23 2 2" xfId="3066"/>
    <cellStyle name="20% - 강조색4 23 2 3" xfId="3067"/>
    <cellStyle name="20% - 강조색4 23 3" xfId="3068"/>
    <cellStyle name="20% - 강조색4 23 4" xfId="3069"/>
    <cellStyle name="20% - 강조색4 24" xfId="3070"/>
    <cellStyle name="20% - 강조색4 24 2" xfId="3071"/>
    <cellStyle name="20% - 강조색4 24 2 2" xfId="3072"/>
    <cellStyle name="20% - 강조색4 24 2 3" xfId="3073"/>
    <cellStyle name="20% - 강조색4 24 3" xfId="3074"/>
    <cellStyle name="20% - 강조색4 24 4" xfId="3075"/>
    <cellStyle name="20% - 강조색4 25" xfId="3076"/>
    <cellStyle name="20% - 강조색4 25 2" xfId="3077"/>
    <cellStyle name="20% - 강조색4 25 2 2" xfId="3078"/>
    <cellStyle name="20% - 강조색4 25 3" xfId="3079"/>
    <cellStyle name="20% - 강조색4 26" xfId="3080"/>
    <cellStyle name="20% - 강조색4 26 2" xfId="3081"/>
    <cellStyle name="20% - 강조색4 27" xfId="3082"/>
    <cellStyle name="20% - 강조색4 27 2" xfId="3083"/>
    <cellStyle name="20% - 강조색4 28" xfId="3084"/>
    <cellStyle name="20% - 강조색4 29" xfId="3085"/>
    <cellStyle name="20% - 강조색4 3" xfId="3086"/>
    <cellStyle name="20% - 강조색4 3 10" xfId="3087"/>
    <cellStyle name="20% - 강조색4 3 11" xfId="3088"/>
    <cellStyle name="20% - 강조색4 3 12" xfId="3089"/>
    <cellStyle name="20% - 강조색4 3 13" xfId="3090"/>
    <cellStyle name="20% - 강조색4 3 14" xfId="3091"/>
    <cellStyle name="20% - 강조색4 3 15" xfId="3092"/>
    <cellStyle name="20% - 강조색4 3 16" xfId="3093"/>
    <cellStyle name="20% - 강조색4 3 17" xfId="3094"/>
    <cellStyle name="20% - 강조색4 3 18" xfId="3095"/>
    <cellStyle name="20% - 강조색4 3 19" xfId="3096"/>
    <cellStyle name="20% - 강조색4 3 2" xfId="3097"/>
    <cellStyle name="20% - 강조색4 3 2 2" xfId="3098"/>
    <cellStyle name="20% - 강조색4 3 2 2 2" xfId="3099"/>
    <cellStyle name="20% - 강조색4 3 2 2 3" xfId="3100"/>
    <cellStyle name="20% - 강조색4 3 2 2 4" xfId="3101"/>
    <cellStyle name="20% - 강조색4 3 2 2 4 2" xfId="3102"/>
    <cellStyle name="20% - 강조색4 3 2 3" xfId="3103"/>
    <cellStyle name="20% - 강조색4 3 2 4" xfId="3104"/>
    <cellStyle name="20% - 강조색4 3 20" xfId="3105"/>
    <cellStyle name="20% - 강조색4 3 21" xfId="3106"/>
    <cellStyle name="20% - 강조색4 3 3" xfId="3107"/>
    <cellStyle name="20% - 강조색4 3 3 2" xfId="3108"/>
    <cellStyle name="20% - 강조색4 3 3 2 2" xfId="3109"/>
    <cellStyle name="20% - 강조색4 3 3 2 2 2" xfId="3110"/>
    <cellStyle name="20% - 강조색4 3 3 2 2 2 2" xfId="21065"/>
    <cellStyle name="20% - 강조색4 3 3 3" xfId="20224"/>
    <cellStyle name="20% - 강조색4 3 4" xfId="3111"/>
    <cellStyle name="20% - 강조색4 3 4 2" xfId="3112"/>
    <cellStyle name="20% - 강조색4 3 4 2 2" xfId="3113"/>
    <cellStyle name="20% - 강조색4 3 4 2 3" xfId="3114"/>
    <cellStyle name="20% - 강조색4 3 4 2 3 2" xfId="3115"/>
    <cellStyle name="20% - 강조색4 3 4 2 4" xfId="3116"/>
    <cellStyle name="20% - 강조색4 3 4 3" xfId="3117"/>
    <cellStyle name="20% - 강조색4 3 4 3 2" xfId="3118"/>
    <cellStyle name="20% - 강조색4 3 4 3 3" xfId="3119"/>
    <cellStyle name="20% - 강조색4 3 4 4" xfId="3120"/>
    <cellStyle name="20% - 강조색4 3 4 5" xfId="3121"/>
    <cellStyle name="20% - 강조색4 3 4 6" xfId="3122"/>
    <cellStyle name="20% - 강조색4 3 4 6 2" xfId="3123"/>
    <cellStyle name="20% - 강조색4 3 4 7" xfId="20225"/>
    <cellStyle name="20% - 강조색4 3 5" xfId="3124"/>
    <cellStyle name="20% - 강조색4 3 5 2" xfId="3125"/>
    <cellStyle name="20% - 강조색4 3 5 2 2" xfId="3126"/>
    <cellStyle name="20% - 강조색4 3 5 3" xfId="3127"/>
    <cellStyle name="20% - 강조색4 3 6" xfId="3128"/>
    <cellStyle name="20% - 강조색4 3 6 2" xfId="3129"/>
    <cellStyle name="20% - 강조색4 3 7" xfId="3130"/>
    <cellStyle name="20% - 강조색4 3 8" xfId="3131"/>
    <cellStyle name="20% - 강조색4 3 9" xfId="3132"/>
    <cellStyle name="20% - 강조색4 30" xfId="3133"/>
    <cellStyle name="20% - 강조색4 31" xfId="3134"/>
    <cellStyle name="20% - 강조색4 32" xfId="3135"/>
    <cellStyle name="20% - 강조색4 33" xfId="18227"/>
    <cellStyle name="20% - 강조색4 4" xfId="3136"/>
    <cellStyle name="20% - 강조색4 4 10" xfId="3137"/>
    <cellStyle name="20% - 강조색4 4 11" xfId="3138"/>
    <cellStyle name="20% - 강조색4 4 12" xfId="3139"/>
    <cellStyle name="20% - 강조색4 4 13" xfId="3140"/>
    <cellStyle name="20% - 강조색4 4 14" xfId="3141"/>
    <cellStyle name="20% - 강조색4 4 15" xfId="3142"/>
    <cellStyle name="20% - 강조색4 4 16" xfId="3143"/>
    <cellStyle name="20% - 강조색4 4 17" xfId="3144"/>
    <cellStyle name="20% - 강조색4 4 18" xfId="3145"/>
    <cellStyle name="20% - 강조색4 4 19" xfId="3146"/>
    <cellStyle name="20% - 강조색4 4 2" xfId="3147"/>
    <cellStyle name="20% - 강조색4 4 2 2" xfId="3148"/>
    <cellStyle name="20% - 강조색4 4 2 2 2" xfId="3149"/>
    <cellStyle name="20% - 강조색4 4 2 2 2 2" xfId="21066"/>
    <cellStyle name="20% - 강조색4 4 20" xfId="3150"/>
    <cellStyle name="20% - 강조색4 4 21" xfId="3151"/>
    <cellStyle name="20% - 강조색4 4 3" xfId="3152"/>
    <cellStyle name="20% - 강조색4 4 3 2" xfId="3153"/>
    <cellStyle name="20% - 강조색4 4 3 2 2" xfId="3154"/>
    <cellStyle name="20% - 강조색4 4 4" xfId="3155"/>
    <cellStyle name="20% - 강조색4 4 4 2" xfId="3156"/>
    <cellStyle name="20% - 강조색4 4 4 2 2" xfId="3157"/>
    <cellStyle name="20% - 강조색4 4 4 2 2 2" xfId="3158"/>
    <cellStyle name="20% - 강조색4 4 4 2 3" xfId="3159"/>
    <cellStyle name="20% - 강조색4 4 4 3" xfId="3160"/>
    <cellStyle name="20% - 강조색4 4 4 3 2" xfId="3161"/>
    <cellStyle name="20% - 강조색4 4 4 4" xfId="3162"/>
    <cellStyle name="20% - 강조색4 4 4 5" xfId="3163"/>
    <cellStyle name="20% - 강조색4 4 5" xfId="3164"/>
    <cellStyle name="20% - 강조색4 4 5 2" xfId="3165"/>
    <cellStyle name="20% - 강조색4 4 5 2 2" xfId="3166"/>
    <cellStyle name="20% - 강조색4 4 6" xfId="3167"/>
    <cellStyle name="20% - 강조색4 4 6 2" xfId="3168"/>
    <cellStyle name="20% - 강조색4 4 7" xfId="3169"/>
    <cellStyle name="20% - 강조색4 4 8" xfId="3170"/>
    <cellStyle name="20% - 강조색4 4 9" xfId="3171"/>
    <cellStyle name="20% - 강조색4 5" xfId="3172"/>
    <cellStyle name="20% - 강조색4 5 10" xfId="3173"/>
    <cellStyle name="20% - 강조색4 5 11" xfId="3174"/>
    <cellStyle name="20% - 강조색4 5 12" xfId="3175"/>
    <cellStyle name="20% - 강조색4 5 13" xfId="3176"/>
    <cellStyle name="20% - 강조색4 5 14" xfId="3177"/>
    <cellStyle name="20% - 강조색4 5 15" xfId="3178"/>
    <cellStyle name="20% - 강조색4 5 16" xfId="3179"/>
    <cellStyle name="20% - 강조색4 5 17" xfId="3180"/>
    <cellStyle name="20% - 강조색4 5 18" xfId="3181"/>
    <cellStyle name="20% - 강조색4 5 19" xfId="3182"/>
    <cellStyle name="20% - 강조색4 5 2" xfId="3183"/>
    <cellStyle name="20% - 강조색4 5 2 2" xfId="3184"/>
    <cellStyle name="20% - 강조색4 5 2 2 2" xfId="3185"/>
    <cellStyle name="20% - 강조색4 5 2 2 2 2" xfId="21067"/>
    <cellStyle name="20% - 강조색4 5 20" xfId="3186"/>
    <cellStyle name="20% - 강조색4 5 21" xfId="3187"/>
    <cellStyle name="20% - 강조색4 5 3" xfId="3188"/>
    <cellStyle name="20% - 강조색4 5 3 2" xfId="3189"/>
    <cellStyle name="20% - 강조색4 5 3 2 2" xfId="3190"/>
    <cellStyle name="20% - 강조색4 5 3 2 2 2" xfId="3191"/>
    <cellStyle name="20% - 강조색4 5 3 2 3" xfId="3192"/>
    <cellStyle name="20% - 강조색4 5 3 3" xfId="3193"/>
    <cellStyle name="20% - 강조색4 5 3 4" xfId="3194"/>
    <cellStyle name="20% - 강조색4 5 3 4 2" xfId="3195"/>
    <cellStyle name="20% - 강조색4 5 4" xfId="3196"/>
    <cellStyle name="20% - 강조색4 5 4 2" xfId="3197"/>
    <cellStyle name="20% - 강조색4 5 5" xfId="3198"/>
    <cellStyle name="20% - 강조색4 5 6" xfId="3199"/>
    <cellStyle name="20% - 강조색4 5 7" xfId="3200"/>
    <cellStyle name="20% - 강조색4 5 8" xfId="3201"/>
    <cellStyle name="20% - 강조색4 5 9" xfId="3202"/>
    <cellStyle name="20% - 강조색4 6" xfId="3203"/>
    <cellStyle name="20% - 강조색4 6 10" xfId="3204"/>
    <cellStyle name="20% - 강조색4 6 11" xfId="3205"/>
    <cellStyle name="20% - 강조색4 6 12" xfId="3206"/>
    <cellStyle name="20% - 강조색4 6 13" xfId="3207"/>
    <cellStyle name="20% - 강조색4 6 14" xfId="3208"/>
    <cellStyle name="20% - 강조색4 6 15" xfId="3209"/>
    <cellStyle name="20% - 강조색4 6 16" xfId="3210"/>
    <cellStyle name="20% - 강조색4 6 17" xfId="3211"/>
    <cellStyle name="20% - 강조색4 6 18" xfId="3212"/>
    <cellStyle name="20% - 강조색4 6 19" xfId="3213"/>
    <cellStyle name="20% - 강조색4 6 2" xfId="3214"/>
    <cellStyle name="20% - 강조색4 6 2 2" xfId="3215"/>
    <cellStyle name="20% - 강조색4 6 2 2 2" xfId="3216"/>
    <cellStyle name="20% - 강조색4 6 2 2 2 2" xfId="21068"/>
    <cellStyle name="20% - 강조색4 6 20" xfId="3217"/>
    <cellStyle name="20% - 강조색4 6 21" xfId="3218"/>
    <cellStyle name="20% - 강조색4 6 3" xfId="3219"/>
    <cellStyle name="20% - 강조색4 6 3 2" xfId="3220"/>
    <cellStyle name="20% - 강조색4 6 3 2 2" xfId="3221"/>
    <cellStyle name="20% - 강조색4 6 3 2 2 2" xfId="3222"/>
    <cellStyle name="20% - 강조색4 6 3 2 3" xfId="3223"/>
    <cellStyle name="20% - 강조색4 6 3 3" xfId="3224"/>
    <cellStyle name="20% - 강조색4 6 3 4" xfId="3225"/>
    <cellStyle name="20% - 강조색4 6 3 4 2" xfId="3226"/>
    <cellStyle name="20% - 강조색4 6 4" xfId="3227"/>
    <cellStyle name="20% - 강조색4 6 4 2" xfId="3228"/>
    <cellStyle name="20% - 강조색4 6 5" xfId="3229"/>
    <cellStyle name="20% - 강조색4 6 6" xfId="3230"/>
    <cellStyle name="20% - 강조색4 6 7" xfId="3231"/>
    <cellStyle name="20% - 강조색4 6 8" xfId="3232"/>
    <cellStyle name="20% - 강조색4 6 9" xfId="3233"/>
    <cellStyle name="20% - 강조색4 7" xfId="3234"/>
    <cellStyle name="20% - 강조색4 7 10" xfId="3235"/>
    <cellStyle name="20% - 강조색4 7 11" xfId="3236"/>
    <cellStyle name="20% - 강조색4 7 12" xfId="3237"/>
    <cellStyle name="20% - 강조색4 7 13" xfId="3238"/>
    <cellStyle name="20% - 강조색4 7 14" xfId="3239"/>
    <cellStyle name="20% - 강조색4 7 15" xfId="3240"/>
    <cellStyle name="20% - 강조색4 7 16" xfId="3241"/>
    <cellStyle name="20% - 강조색4 7 17" xfId="3242"/>
    <cellStyle name="20% - 강조색4 7 18" xfId="3243"/>
    <cellStyle name="20% - 강조색4 7 19" xfId="3244"/>
    <cellStyle name="20% - 강조색4 7 2" xfId="3245"/>
    <cellStyle name="20% - 강조색4 7 2 2" xfId="3246"/>
    <cellStyle name="20% - 강조색4 7 2 2 2" xfId="3247"/>
    <cellStyle name="20% - 강조색4 7 2 3" xfId="3248"/>
    <cellStyle name="20% - 강조색4 7 3" xfId="3249"/>
    <cellStyle name="20% - 강조색4 7 4" xfId="3250"/>
    <cellStyle name="20% - 강조색4 7 5" xfId="3251"/>
    <cellStyle name="20% - 강조색4 7 6" xfId="3252"/>
    <cellStyle name="20% - 강조색4 7 7" xfId="3253"/>
    <cellStyle name="20% - 강조색4 7 8" xfId="3254"/>
    <cellStyle name="20% - 강조색4 7 9" xfId="3255"/>
    <cellStyle name="20% - 강조색4 8" xfId="3256"/>
    <cellStyle name="20% - 강조색4 8 10" xfId="3257"/>
    <cellStyle name="20% - 강조색4 8 11" xfId="3258"/>
    <cellStyle name="20% - 강조색4 8 12" xfId="3259"/>
    <cellStyle name="20% - 강조색4 8 13" xfId="3260"/>
    <cellStyle name="20% - 강조색4 8 14" xfId="3261"/>
    <cellStyle name="20% - 강조색4 8 15" xfId="3262"/>
    <cellStyle name="20% - 강조색4 8 16" xfId="3263"/>
    <cellStyle name="20% - 강조색4 8 17" xfId="3264"/>
    <cellStyle name="20% - 강조색4 8 18" xfId="3265"/>
    <cellStyle name="20% - 강조색4 8 19" xfId="3266"/>
    <cellStyle name="20% - 강조색4 8 2" xfId="3267"/>
    <cellStyle name="20% - 강조색4 8 2 2" xfId="3268"/>
    <cellStyle name="20% - 강조색4 8 2 2 2" xfId="3269"/>
    <cellStyle name="20% - 강조색4 8 2 3" xfId="3270"/>
    <cellStyle name="20% - 강조색4 8 3" xfId="3271"/>
    <cellStyle name="20% - 강조색4 8 4" xfId="3272"/>
    <cellStyle name="20% - 강조색4 8 5" xfId="3273"/>
    <cellStyle name="20% - 강조색4 8 6" xfId="3274"/>
    <cellStyle name="20% - 강조색4 8 7" xfId="3275"/>
    <cellStyle name="20% - 강조색4 8 8" xfId="3276"/>
    <cellStyle name="20% - 강조색4 8 9" xfId="3277"/>
    <cellStyle name="20% - 강조색4 9" xfId="3278"/>
    <cellStyle name="20% - 강조색4 9 10" xfId="3279"/>
    <cellStyle name="20% - 강조색4 9 11" xfId="3280"/>
    <cellStyle name="20% - 강조색4 9 12" xfId="3281"/>
    <cellStyle name="20% - 강조색4 9 13" xfId="3282"/>
    <cellStyle name="20% - 강조색4 9 14" xfId="3283"/>
    <cellStyle name="20% - 강조색4 9 15" xfId="3284"/>
    <cellStyle name="20% - 강조색4 9 16" xfId="3285"/>
    <cellStyle name="20% - 강조색4 9 17" xfId="3286"/>
    <cellStyle name="20% - 강조색4 9 18" xfId="3287"/>
    <cellStyle name="20% - 강조색4 9 19" xfId="3288"/>
    <cellStyle name="20% - 강조색4 9 2" xfId="3289"/>
    <cellStyle name="20% - 강조색4 9 2 2" xfId="3290"/>
    <cellStyle name="20% - 강조색4 9 2 2 2" xfId="3291"/>
    <cellStyle name="20% - 강조색4 9 2 2 2 2" xfId="3292"/>
    <cellStyle name="20% - 강조색4 9 2 2 2 2 2" xfId="21069"/>
    <cellStyle name="20% - 강조색4 9 2 2 3" xfId="3293"/>
    <cellStyle name="20% - 강조색4 9 2 3" xfId="3294"/>
    <cellStyle name="20% - 강조색4 9 2 3 2" xfId="3295"/>
    <cellStyle name="20% - 강조색4 9 2 4" xfId="3296"/>
    <cellStyle name="20% - 강조색4 9 20" xfId="3297"/>
    <cellStyle name="20% - 강조색4 9 21" xfId="3298"/>
    <cellStyle name="20% - 강조색4 9 3" xfId="3299"/>
    <cellStyle name="20% - 강조색4 9 3 2" xfId="3300"/>
    <cellStyle name="20% - 강조색4 9 3 2 2" xfId="3301"/>
    <cellStyle name="20% - 강조색4 9 4" xfId="3302"/>
    <cellStyle name="20% - 강조색4 9 4 2" xfId="3303"/>
    <cellStyle name="20% - 강조색4 9 5" xfId="3304"/>
    <cellStyle name="20% - 강조색4 9 5 2" xfId="3305"/>
    <cellStyle name="20% - 강조색4 9 6" xfId="3306"/>
    <cellStyle name="20% - 강조색4 9 7" xfId="3307"/>
    <cellStyle name="20% - 강조색4 9 8" xfId="3308"/>
    <cellStyle name="20% - 강조색4 9 9" xfId="3309"/>
    <cellStyle name="20% - 강조색5" xfId="35" builtinId="46" customBuiltin="1"/>
    <cellStyle name="20% - 강조색5 10" xfId="3310"/>
    <cellStyle name="20% - 강조색5 10 10" xfId="3311"/>
    <cellStyle name="20% - 강조색5 10 11" xfId="3312"/>
    <cellStyle name="20% - 강조색5 10 12" xfId="3313"/>
    <cellStyle name="20% - 강조색5 10 13" xfId="3314"/>
    <cellStyle name="20% - 강조색5 10 14" xfId="3315"/>
    <cellStyle name="20% - 강조색5 10 15" xfId="3316"/>
    <cellStyle name="20% - 강조색5 10 16" xfId="3317"/>
    <cellStyle name="20% - 강조색5 10 17" xfId="3318"/>
    <cellStyle name="20% - 강조색5 10 18" xfId="3319"/>
    <cellStyle name="20% - 강조색5 10 19" xfId="3320"/>
    <cellStyle name="20% - 강조색5 10 2" xfId="3321"/>
    <cellStyle name="20% - 강조색5 10 2 2" xfId="3322"/>
    <cellStyle name="20% - 강조색5 10 2 2 2" xfId="3323"/>
    <cellStyle name="20% - 강조색5 10 2 2 2 2" xfId="3324"/>
    <cellStyle name="20% - 강조색5 10 2 2 2 2 2" xfId="21070"/>
    <cellStyle name="20% - 강조색5 10 2 2 3" xfId="3325"/>
    <cellStyle name="20% - 강조색5 10 2 3" xfId="3326"/>
    <cellStyle name="20% - 강조색5 10 2 3 2" xfId="3327"/>
    <cellStyle name="20% - 강조색5 10 2 4" xfId="3328"/>
    <cellStyle name="20% - 강조색5 10 20" xfId="3329"/>
    <cellStyle name="20% - 강조색5 10 21" xfId="3330"/>
    <cellStyle name="20% - 강조색5 10 3" xfId="3331"/>
    <cellStyle name="20% - 강조색5 10 3 2" xfId="3332"/>
    <cellStyle name="20% - 강조색5 10 3 2 2" xfId="3333"/>
    <cellStyle name="20% - 강조색5 10 4" xfId="3334"/>
    <cellStyle name="20% - 강조색5 10 4 2" xfId="3335"/>
    <cellStyle name="20% - 강조색5 10 5" xfId="3336"/>
    <cellStyle name="20% - 강조색5 10 5 2" xfId="3337"/>
    <cellStyle name="20% - 강조색5 10 6" xfId="3338"/>
    <cellStyle name="20% - 강조색5 10 7" xfId="3339"/>
    <cellStyle name="20% - 강조색5 10 8" xfId="3340"/>
    <cellStyle name="20% - 강조색5 10 9" xfId="3341"/>
    <cellStyle name="20% - 강조색5 11" xfId="3342"/>
    <cellStyle name="20% - 강조색5 11 2" xfId="3343"/>
    <cellStyle name="20% - 강조색5 11 2 2" xfId="3344"/>
    <cellStyle name="20% - 강조색5 11 2 2 2" xfId="3345"/>
    <cellStyle name="20% - 강조색5 11 2 2 2 2" xfId="3346"/>
    <cellStyle name="20% - 강조색5 11 2 2 3" xfId="3347"/>
    <cellStyle name="20% - 강조색5 11 2 3" xfId="3348"/>
    <cellStyle name="20% - 강조색5 11 2 3 2" xfId="3349"/>
    <cellStyle name="20% - 강조색5 11 2 4" xfId="3350"/>
    <cellStyle name="20% - 강조색5 11 3" xfId="3351"/>
    <cellStyle name="20% - 강조색5 11 3 2" xfId="3352"/>
    <cellStyle name="20% - 강조색5 11 3 2 2" xfId="3353"/>
    <cellStyle name="20% - 강조색5 11 3 3" xfId="3354"/>
    <cellStyle name="20% - 강조색5 11 4" xfId="3355"/>
    <cellStyle name="20% - 강조색5 11 4 2" xfId="3356"/>
    <cellStyle name="20% - 강조색5 11 5" xfId="3357"/>
    <cellStyle name="20% - 강조색5 11 5 2" xfId="3358"/>
    <cellStyle name="20% - 강조색5 12" xfId="3359"/>
    <cellStyle name="20% - 강조색5 12 2" xfId="3360"/>
    <cellStyle name="20% - 강조색5 12 2 2" xfId="3361"/>
    <cellStyle name="20% - 강조색5 12 2 2 2" xfId="3362"/>
    <cellStyle name="20% - 강조색5 12 2 2 2 2" xfId="3363"/>
    <cellStyle name="20% - 강조색5 12 2 2 2 2 2" xfId="21071"/>
    <cellStyle name="20% - 강조색5 12 2 2 3" xfId="3364"/>
    <cellStyle name="20% - 강조색5 12 2 3" xfId="3365"/>
    <cellStyle name="20% - 강조색5 12 2 3 2" xfId="3366"/>
    <cellStyle name="20% - 강조색5 12 2 4" xfId="3367"/>
    <cellStyle name="20% - 강조색5 12 3" xfId="3368"/>
    <cellStyle name="20% - 강조색5 12 3 2" xfId="3369"/>
    <cellStyle name="20% - 강조색5 12 3 2 2" xfId="3370"/>
    <cellStyle name="20% - 강조색5 12 3 3" xfId="3371"/>
    <cellStyle name="20% - 강조색5 12 4" xfId="3372"/>
    <cellStyle name="20% - 강조색5 12 4 2" xfId="3373"/>
    <cellStyle name="20% - 강조색5 12 5" xfId="3374"/>
    <cellStyle name="20% - 강조색5 12 5 2" xfId="3375"/>
    <cellStyle name="20% - 강조색5 13" xfId="3376"/>
    <cellStyle name="20% - 강조색5 13 2" xfId="3377"/>
    <cellStyle name="20% - 강조색5 13 2 2" xfId="3378"/>
    <cellStyle name="20% - 강조색5 13 2 2 2" xfId="21072"/>
    <cellStyle name="20% - 강조색5 13 2 3" xfId="3379"/>
    <cellStyle name="20% - 강조색5 13 2 3 2" xfId="3380"/>
    <cellStyle name="20% - 강조색5 13 2 4" xfId="3381"/>
    <cellStyle name="20% - 강조색5 13 3" xfId="3382"/>
    <cellStyle name="20% - 강조색5 13 3 2" xfId="3383"/>
    <cellStyle name="20% - 강조색5 13 3 3" xfId="3384"/>
    <cellStyle name="20% - 강조색5 13 3 3 2" xfId="3385"/>
    <cellStyle name="20% - 강조색5 13 4" xfId="3386"/>
    <cellStyle name="20% - 강조색5 13 4 2" xfId="3387"/>
    <cellStyle name="20% - 강조색5 13 5" xfId="3388"/>
    <cellStyle name="20% - 강조색5 14" xfId="3389"/>
    <cellStyle name="20% - 강조색5 14 2" xfId="3390"/>
    <cellStyle name="20% - 강조색5 14 2 2" xfId="3391"/>
    <cellStyle name="20% - 강조색5 14 2 2 2" xfId="21073"/>
    <cellStyle name="20% - 강조색5 14 3" xfId="3392"/>
    <cellStyle name="20% - 강조색5 14 3 2" xfId="3393"/>
    <cellStyle name="20% - 강조색5 14 4" xfId="3394"/>
    <cellStyle name="20% - 강조색5 14 5" xfId="3395"/>
    <cellStyle name="20% - 강조색5 15" xfId="3396"/>
    <cellStyle name="20% - 강조색5 15 2" xfId="3397"/>
    <cellStyle name="20% - 강조색5 15 2 2" xfId="3398"/>
    <cellStyle name="20% - 강조색5 15 2 2 2" xfId="21074"/>
    <cellStyle name="20% - 강조색5 15 3" xfId="3399"/>
    <cellStyle name="20% - 강조색5 15 3 2" xfId="3400"/>
    <cellStyle name="20% - 강조색5 15 4" xfId="3401"/>
    <cellStyle name="20% - 강조색5 15 5" xfId="3402"/>
    <cellStyle name="20% - 강조색5 16" xfId="3403"/>
    <cellStyle name="20% - 강조색5 16 2" xfId="3404"/>
    <cellStyle name="20% - 강조색5 16 2 2" xfId="3405"/>
    <cellStyle name="20% - 강조색5 16 2 2 2" xfId="21075"/>
    <cellStyle name="20% - 강조색5 16 3" xfId="3406"/>
    <cellStyle name="20% - 강조색5 16 3 2" xfId="3407"/>
    <cellStyle name="20% - 강조색5 16 4" xfId="3408"/>
    <cellStyle name="20% - 강조색5 16 5" xfId="3409"/>
    <cellStyle name="20% - 강조색5 17" xfId="3410"/>
    <cellStyle name="20% - 강조색5 17 2" xfId="3411"/>
    <cellStyle name="20% - 강조색5 17 2 2" xfId="3412"/>
    <cellStyle name="20% - 강조색5 17 2 2 2" xfId="21076"/>
    <cellStyle name="20% - 강조색5 17 3" xfId="3413"/>
    <cellStyle name="20% - 강조색5 17 4" xfId="3414"/>
    <cellStyle name="20% - 강조색5 17 5" xfId="3415"/>
    <cellStyle name="20% - 강조색5 18" xfId="3416"/>
    <cellStyle name="20% - 강조색5 18 2" xfId="3417"/>
    <cellStyle name="20% - 강조색5 18 2 2" xfId="3418"/>
    <cellStyle name="20% - 강조색5 18 3" xfId="3419"/>
    <cellStyle name="20% - 강조색5 18 4" xfId="3420"/>
    <cellStyle name="20% - 강조색5 18 5" xfId="3421"/>
    <cellStyle name="20% - 강조색5 19" xfId="3422"/>
    <cellStyle name="20% - 강조색5 19 2" xfId="3423"/>
    <cellStyle name="20% - 강조색5 19 2 2" xfId="3424"/>
    <cellStyle name="20% - 강조색5 19 3" xfId="3425"/>
    <cellStyle name="20% - 강조색5 19 4" xfId="3426"/>
    <cellStyle name="20% - 강조색5 19 5" xfId="3427"/>
    <cellStyle name="20% - 강조색5 2" xfId="3428"/>
    <cellStyle name="20% - 강조색5 2 10" xfId="3429"/>
    <cellStyle name="20% - 강조색5 2 10 2" xfId="3430"/>
    <cellStyle name="20% - 강조색5 2 10 2 2" xfId="3431"/>
    <cellStyle name="20% - 강조색5 2 10 3" xfId="3432"/>
    <cellStyle name="20% - 강조색5 2 10 4" xfId="3433"/>
    <cellStyle name="20% - 강조색5 2 11" xfId="3434"/>
    <cellStyle name="20% - 강조색5 2 11 2" xfId="3435"/>
    <cellStyle name="20% - 강조색5 2 11 2 2" xfId="3436"/>
    <cellStyle name="20% - 강조색5 2 11 3" xfId="3437"/>
    <cellStyle name="20% - 강조색5 2 12" xfId="3438"/>
    <cellStyle name="20% - 강조색5 2 12 2" xfId="3439"/>
    <cellStyle name="20% - 강조색5 2 13" xfId="3440"/>
    <cellStyle name="20% - 강조색5 2 14" xfId="3441"/>
    <cellStyle name="20% - 강조색5 2 15" xfId="3442"/>
    <cellStyle name="20% - 강조색5 2 16" xfId="3443"/>
    <cellStyle name="20% - 강조색5 2 17" xfId="3444"/>
    <cellStyle name="20% - 강조색5 2 18" xfId="3445"/>
    <cellStyle name="20% - 강조색5 2 19" xfId="3446"/>
    <cellStyle name="20% - 강조색5 2 2" xfId="3447"/>
    <cellStyle name="20% - 강조색5 2 2 2" xfId="3448"/>
    <cellStyle name="20% - 강조색5 2 2 2 2" xfId="3449"/>
    <cellStyle name="20% - 강조색5 2 2 2 3" xfId="3450"/>
    <cellStyle name="20% - 강조색5 2 2 2 4" xfId="3451"/>
    <cellStyle name="20% - 강조색5 2 2 2 4 2" xfId="3452"/>
    <cellStyle name="20% - 강조색5 2 2 2 5" xfId="3453"/>
    <cellStyle name="20% - 강조색5 2 2 3" xfId="3454"/>
    <cellStyle name="20% - 강조색5 2 2 3 2" xfId="3455"/>
    <cellStyle name="20% - 강조색5 2 2 3 2 2" xfId="3456"/>
    <cellStyle name="20% - 강조색5 2 2 3 3" xfId="3457"/>
    <cellStyle name="20% - 강조색5 2 2 4" xfId="3458"/>
    <cellStyle name="20% - 강조색5 2 20" xfId="3459"/>
    <cellStyle name="20% - 강조색5 2 21" xfId="3460"/>
    <cellStyle name="20% - 강조색5 2 22" xfId="19666"/>
    <cellStyle name="20% - 강조색5 2 3" xfId="3461"/>
    <cellStyle name="20% - 강조색5 2 3 2" xfId="3462"/>
    <cellStyle name="20% - 강조색5 2 3 2 2" xfId="3463"/>
    <cellStyle name="20% - 강조색5 2 3 2 2 2" xfId="3464"/>
    <cellStyle name="20% - 강조색5 2 4" xfId="3465"/>
    <cellStyle name="20% - 강조색5 2 4 2" xfId="3466"/>
    <cellStyle name="20% - 강조색5 2 4 2 2" xfId="3467"/>
    <cellStyle name="20% - 강조색5 2 4 2 2 2" xfId="3468"/>
    <cellStyle name="20% - 강조색5 2 4 2 2 2 2" xfId="21077"/>
    <cellStyle name="20% - 강조색5 2 4 2 3" xfId="3469"/>
    <cellStyle name="20% - 강조색5 2 4 2 4" xfId="3470"/>
    <cellStyle name="20% - 강조색5 2 4 3" xfId="3471"/>
    <cellStyle name="20% - 강조색5 2 4 3 2" xfId="3472"/>
    <cellStyle name="20% - 강조색5 2 4 4" xfId="3473"/>
    <cellStyle name="20% - 강조색5 2 4 4 2" xfId="3474"/>
    <cellStyle name="20% - 강조색5 2 4 5" xfId="3475"/>
    <cellStyle name="20% - 강조색5 2 5" xfId="3476"/>
    <cellStyle name="20% - 강조색5 2 5 2" xfId="3477"/>
    <cellStyle name="20% - 강조색5 2 5 2 2" xfId="3478"/>
    <cellStyle name="20% - 강조색5 2 5 3" xfId="3479"/>
    <cellStyle name="20% - 강조색5 2 5 4" xfId="3480"/>
    <cellStyle name="20% - 강조색5 2 6" xfId="3481"/>
    <cellStyle name="20% - 강조색5 2 6 2" xfId="3482"/>
    <cellStyle name="20% - 강조색5 2 6 2 2" xfId="3483"/>
    <cellStyle name="20% - 강조색5 2 6 2 2 2" xfId="21078"/>
    <cellStyle name="20% - 강조색5 2 6 3" xfId="3484"/>
    <cellStyle name="20% - 강조색5 2 6 4" xfId="3485"/>
    <cellStyle name="20% - 강조색5 2 7" xfId="3486"/>
    <cellStyle name="20% - 강조색5 2 7 2" xfId="3487"/>
    <cellStyle name="20% - 강조색5 2 7 2 2" xfId="3488"/>
    <cellStyle name="20% - 강조색5 2 7 3" xfId="3489"/>
    <cellStyle name="20% - 강조색5 2 7 4" xfId="3490"/>
    <cellStyle name="20% - 강조색5 2 8" xfId="3491"/>
    <cellStyle name="20% - 강조색5 2 8 2" xfId="3492"/>
    <cellStyle name="20% - 강조색5 2 8 2 2" xfId="3493"/>
    <cellStyle name="20% - 강조색5 2 8 3" xfId="3494"/>
    <cellStyle name="20% - 강조색5 2 8 4" xfId="3495"/>
    <cellStyle name="20% - 강조색5 2 9" xfId="3496"/>
    <cellStyle name="20% - 강조색5 2 9 2" xfId="3497"/>
    <cellStyle name="20% - 강조색5 2 9 2 2" xfId="3498"/>
    <cellStyle name="20% - 강조색5 2 9 3" xfId="3499"/>
    <cellStyle name="20% - 강조색5 2 9 4" xfId="3500"/>
    <cellStyle name="20% - 강조색5 20" xfId="3501"/>
    <cellStyle name="20% - 강조색5 20 2" xfId="3502"/>
    <cellStyle name="20% - 강조색5 20 3" xfId="3503"/>
    <cellStyle name="20% - 강조색5 20 4" xfId="3504"/>
    <cellStyle name="20% - 강조색5 20 5" xfId="3505"/>
    <cellStyle name="20% - 강조색5 21" xfId="3506"/>
    <cellStyle name="20% - 강조색5 21 2" xfId="3507"/>
    <cellStyle name="20% - 강조색5 21 3" xfId="3508"/>
    <cellStyle name="20% - 강조색5 21 4" xfId="3509"/>
    <cellStyle name="20% - 강조색5 21 5" xfId="3510"/>
    <cellStyle name="20% - 강조색5 22" xfId="3511"/>
    <cellStyle name="20% - 강조색5 22 2" xfId="3512"/>
    <cellStyle name="20% - 강조색5 22 3" xfId="3513"/>
    <cellStyle name="20% - 강조색5 22 4" xfId="3514"/>
    <cellStyle name="20% - 강조색5 22 5" xfId="3515"/>
    <cellStyle name="20% - 강조색5 23" xfId="3516"/>
    <cellStyle name="20% - 강조색5 23 2" xfId="3517"/>
    <cellStyle name="20% - 강조색5 23 2 2" xfId="3518"/>
    <cellStyle name="20% - 강조색5 23 2 3" xfId="3519"/>
    <cellStyle name="20% - 강조색5 23 3" xfId="3520"/>
    <cellStyle name="20% - 강조색5 23 4" xfId="3521"/>
    <cellStyle name="20% - 강조색5 24" xfId="3522"/>
    <cellStyle name="20% - 강조색5 24 2" xfId="3523"/>
    <cellStyle name="20% - 강조색5 24 2 2" xfId="3524"/>
    <cellStyle name="20% - 강조색5 24 2 3" xfId="3525"/>
    <cellStyle name="20% - 강조색5 24 3" xfId="3526"/>
    <cellStyle name="20% - 강조색5 24 4" xfId="3527"/>
    <cellStyle name="20% - 강조색5 25" xfId="3528"/>
    <cellStyle name="20% - 강조색5 25 2" xfId="3529"/>
    <cellStyle name="20% - 강조색5 25 2 2" xfId="3530"/>
    <cellStyle name="20% - 강조색5 25 3" xfId="3531"/>
    <cellStyle name="20% - 강조색5 26" xfId="3532"/>
    <cellStyle name="20% - 강조색5 26 2" xfId="3533"/>
    <cellStyle name="20% - 강조색5 27" xfId="3534"/>
    <cellStyle name="20% - 강조색5 27 2" xfId="3535"/>
    <cellStyle name="20% - 강조색5 28" xfId="3536"/>
    <cellStyle name="20% - 강조색5 29" xfId="3537"/>
    <cellStyle name="20% - 강조색5 3" xfId="3538"/>
    <cellStyle name="20% - 강조색5 3 10" xfId="3539"/>
    <cellStyle name="20% - 강조색5 3 11" xfId="3540"/>
    <cellStyle name="20% - 강조색5 3 12" xfId="3541"/>
    <cellStyle name="20% - 강조색5 3 13" xfId="3542"/>
    <cellStyle name="20% - 강조색5 3 14" xfId="3543"/>
    <cellStyle name="20% - 강조색5 3 15" xfId="3544"/>
    <cellStyle name="20% - 강조색5 3 16" xfId="3545"/>
    <cellStyle name="20% - 강조색5 3 17" xfId="3546"/>
    <cellStyle name="20% - 강조색5 3 18" xfId="3547"/>
    <cellStyle name="20% - 강조색5 3 19" xfId="3548"/>
    <cellStyle name="20% - 강조색5 3 2" xfId="3549"/>
    <cellStyle name="20% - 강조색5 3 2 2" xfId="3550"/>
    <cellStyle name="20% - 강조색5 3 2 2 2" xfId="3551"/>
    <cellStyle name="20% - 강조색5 3 2 2 3" xfId="3552"/>
    <cellStyle name="20% - 강조색5 3 2 2 4" xfId="3553"/>
    <cellStyle name="20% - 강조색5 3 2 2 4 2" xfId="3554"/>
    <cellStyle name="20% - 강조색5 3 2 3" xfId="3555"/>
    <cellStyle name="20% - 강조색5 3 2 4" xfId="3556"/>
    <cellStyle name="20% - 강조색5 3 20" xfId="3557"/>
    <cellStyle name="20% - 강조색5 3 21" xfId="3558"/>
    <cellStyle name="20% - 강조색5 3 3" xfId="3559"/>
    <cellStyle name="20% - 강조색5 3 3 2" xfId="3560"/>
    <cellStyle name="20% - 강조색5 3 3 2 2" xfId="3561"/>
    <cellStyle name="20% - 강조색5 3 3 2 2 2" xfId="3562"/>
    <cellStyle name="20% - 강조색5 3 4" xfId="3563"/>
    <cellStyle name="20% - 강조색5 3 4 2" xfId="3564"/>
    <cellStyle name="20% - 강조색5 3 4 2 2" xfId="3565"/>
    <cellStyle name="20% - 강조색5 3 4 2 3" xfId="3566"/>
    <cellStyle name="20% - 강조색5 3 4 2 3 2" xfId="3567"/>
    <cellStyle name="20% - 강조색5 3 4 2 4" xfId="3568"/>
    <cellStyle name="20% - 강조색5 3 4 3" xfId="3569"/>
    <cellStyle name="20% - 강조색5 3 4 3 2" xfId="3570"/>
    <cellStyle name="20% - 강조색5 3 4 3 3" xfId="3571"/>
    <cellStyle name="20% - 강조색5 3 4 4" xfId="3572"/>
    <cellStyle name="20% - 강조색5 3 4 5" xfId="3573"/>
    <cellStyle name="20% - 강조색5 3 4 6" xfId="3574"/>
    <cellStyle name="20% - 강조색5 3 4 6 2" xfId="3575"/>
    <cellStyle name="20% - 강조색5 3 5" xfId="3576"/>
    <cellStyle name="20% - 강조색5 3 5 2" xfId="3577"/>
    <cellStyle name="20% - 강조색5 3 5 2 2" xfId="3578"/>
    <cellStyle name="20% - 강조색5 3 5 3" xfId="3579"/>
    <cellStyle name="20% - 강조색5 3 6" xfId="3580"/>
    <cellStyle name="20% - 강조색5 3 6 2" xfId="3581"/>
    <cellStyle name="20% - 강조색5 3 7" xfId="3582"/>
    <cellStyle name="20% - 강조색5 3 8" xfId="3583"/>
    <cellStyle name="20% - 강조색5 3 9" xfId="3584"/>
    <cellStyle name="20% - 강조색5 30" xfId="3585"/>
    <cellStyle name="20% - 강조색5 31" xfId="3586"/>
    <cellStyle name="20% - 강조색5 32" xfId="3587"/>
    <cellStyle name="20% - 강조색5 33" xfId="18231"/>
    <cellStyle name="20% - 강조색5 4" xfId="3588"/>
    <cellStyle name="20% - 강조색5 4 10" xfId="3589"/>
    <cellStyle name="20% - 강조색5 4 11" xfId="3590"/>
    <cellStyle name="20% - 강조색5 4 12" xfId="3591"/>
    <cellStyle name="20% - 강조색5 4 13" xfId="3592"/>
    <cellStyle name="20% - 강조색5 4 14" xfId="3593"/>
    <cellStyle name="20% - 강조색5 4 15" xfId="3594"/>
    <cellStyle name="20% - 강조색5 4 16" xfId="3595"/>
    <cellStyle name="20% - 강조색5 4 17" xfId="3596"/>
    <cellStyle name="20% - 강조색5 4 18" xfId="3597"/>
    <cellStyle name="20% - 강조색5 4 19" xfId="3598"/>
    <cellStyle name="20% - 강조색5 4 2" xfId="3599"/>
    <cellStyle name="20% - 강조색5 4 2 2" xfId="3600"/>
    <cellStyle name="20% - 강조색5 4 2 2 2" xfId="3601"/>
    <cellStyle name="20% - 강조색5 4 2 2 2 2" xfId="21079"/>
    <cellStyle name="20% - 강조색5 4 20" xfId="3602"/>
    <cellStyle name="20% - 강조색5 4 21" xfId="3603"/>
    <cellStyle name="20% - 강조색5 4 3" xfId="3604"/>
    <cellStyle name="20% - 강조색5 4 3 2" xfId="3605"/>
    <cellStyle name="20% - 강조색5 4 3 2 2" xfId="3606"/>
    <cellStyle name="20% - 강조색5 4 4" xfId="3607"/>
    <cellStyle name="20% - 강조색5 4 4 2" xfId="3608"/>
    <cellStyle name="20% - 강조색5 4 4 2 2" xfId="3609"/>
    <cellStyle name="20% - 강조색5 4 4 2 2 2" xfId="3610"/>
    <cellStyle name="20% - 강조색5 4 4 2 3" xfId="3611"/>
    <cellStyle name="20% - 강조색5 4 4 3" xfId="3612"/>
    <cellStyle name="20% - 강조색5 4 4 3 2" xfId="3613"/>
    <cellStyle name="20% - 강조색5 4 4 4" xfId="3614"/>
    <cellStyle name="20% - 강조색5 4 4 5" xfId="3615"/>
    <cellStyle name="20% - 강조색5 4 5" xfId="3616"/>
    <cellStyle name="20% - 강조색5 4 5 2" xfId="3617"/>
    <cellStyle name="20% - 강조색5 4 5 2 2" xfId="3618"/>
    <cellStyle name="20% - 강조색5 4 6" xfId="3619"/>
    <cellStyle name="20% - 강조색5 4 6 2" xfId="3620"/>
    <cellStyle name="20% - 강조색5 4 7" xfId="3621"/>
    <cellStyle name="20% - 강조색5 4 8" xfId="3622"/>
    <cellStyle name="20% - 강조색5 4 9" xfId="3623"/>
    <cellStyle name="20% - 강조색5 5" xfId="3624"/>
    <cellStyle name="20% - 강조색5 5 10" xfId="3625"/>
    <cellStyle name="20% - 강조색5 5 11" xfId="3626"/>
    <cellStyle name="20% - 강조색5 5 12" xfId="3627"/>
    <cellStyle name="20% - 강조색5 5 13" xfId="3628"/>
    <cellStyle name="20% - 강조색5 5 14" xfId="3629"/>
    <cellStyle name="20% - 강조색5 5 15" xfId="3630"/>
    <cellStyle name="20% - 강조색5 5 16" xfId="3631"/>
    <cellStyle name="20% - 강조색5 5 17" xfId="3632"/>
    <cellStyle name="20% - 강조색5 5 18" xfId="3633"/>
    <cellStyle name="20% - 강조색5 5 19" xfId="3634"/>
    <cellStyle name="20% - 강조색5 5 2" xfId="3635"/>
    <cellStyle name="20% - 강조색5 5 2 2" xfId="3636"/>
    <cellStyle name="20% - 강조색5 5 2 2 2" xfId="3637"/>
    <cellStyle name="20% - 강조색5 5 2 2 2 2" xfId="21080"/>
    <cellStyle name="20% - 강조색5 5 20" xfId="3638"/>
    <cellStyle name="20% - 강조색5 5 21" xfId="3639"/>
    <cellStyle name="20% - 강조색5 5 3" xfId="3640"/>
    <cellStyle name="20% - 강조색5 5 3 2" xfId="3641"/>
    <cellStyle name="20% - 강조색5 5 3 2 2" xfId="3642"/>
    <cellStyle name="20% - 강조색5 5 3 2 2 2" xfId="3643"/>
    <cellStyle name="20% - 강조색5 5 3 2 3" xfId="3644"/>
    <cellStyle name="20% - 강조색5 5 3 3" xfId="3645"/>
    <cellStyle name="20% - 강조색5 5 3 4" xfId="3646"/>
    <cellStyle name="20% - 강조색5 5 3 4 2" xfId="3647"/>
    <cellStyle name="20% - 강조색5 5 4" xfId="3648"/>
    <cellStyle name="20% - 강조색5 5 4 2" xfId="3649"/>
    <cellStyle name="20% - 강조색5 5 5" xfId="3650"/>
    <cellStyle name="20% - 강조색5 5 6" xfId="3651"/>
    <cellStyle name="20% - 강조색5 5 7" xfId="3652"/>
    <cellStyle name="20% - 강조색5 5 8" xfId="3653"/>
    <cellStyle name="20% - 강조색5 5 9" xfId="3654"/>
    <cellStyle name="20% - 강조색5 6" xfId="3655"/>
    <cellStyle name="20% - 강조색5 6 10" xfId="3656"/>
    <cellStyle name="20% - 강조색5 6 11" xfId="3657"/>
    <cellStyle name="20% - 강조색5 6 12" xfId="3658"/>
    <cellStyle name="20% - 강조색5 6 13" xfId="3659"/>
    <cellStyle name="20% - 강조색5 6 14" xfId="3660"/>
    <cellStyle name="20% - 강조색5 6 15" xfId="3661"/>
    <cellStyle name="20% - 강조색5 6 16" xfId="3662"/>
    <cellStyle name="20% - 강조색5 6 17" xfId="3663"/>
    <cellStyle name="20% - 강조색5 6 18" xfId="3664"/>
    <cellStyle name="20% - 강조색5 6 19" xfId="3665"/>
    <cellStyle name="20% - 강조색5 6 2" xfId="3666"/>
    <cellStyle name="20% - 강조색5 6 2 2" xfId="3667"/>
    <cellStyle name="20% - 강조색5 6 2 2 2" xfId="3668"/>
    <cellStyle name="20% - 강조색5 6 2 2 2 2" xfId="21081"/>
    <cellStyle name="20% - 강조색5 6 20" xfId="3669"/>
    <cellStyle name="20% - 강조색5 6 21" xfId="3670"/>
    <cellStyle name="20% - 강조색5 6 3" xfId="3671"/>
    <cellStyle name="20% - 강조색5 6 3 2" xfId="3672"/>
    <cellStyle name="20% - 강조색5 6 3 2 2" xfId="3673"/>
    <cellStyle name="20% - 강조색5 6 3 2 2 2" xfId="3674"/>
    <cellStyle name="20% - 강조색5 6 3 2 3" xfId="3675"/>
    <cellStyle name="20% - 강조색5 6 3 3" xfId="3676"/>
    <cellStyle name="20% - 강조색5 6 3 4" xfId="3677"/>
    <cellStyle name="20% - 강조색5 6 3 4 2" xfId="3678"/>
    <cellStyle name="20% - 강조색5 6 4" xfId="3679"/>
    <cellStyle name="20% - 강조색5 6 4 2" xfId="3680"/>
    <cellStyle name="20% - 강조색5 6 5" xfId="3681"/>
    <cellStyle name="20% - 강조색5 6 6" xfId="3682"/>
    <cellStyle name="20% - 강조색5 6 7" xfId="3683"/>
    <cellStyle name="20% - 강조색5 6 8" xfId="3684"/>
    <cellStyle name="20% - 강조색5 6 9" xfId="3685"/>
    <cellStyle name="20% - 강조색5 7" xfId="3686"/>
    <cellStyle name="20% - 강조색5 7 10" xfId="3687"/>
    <cellStyle name="20% - 강조색5 7 11" xfId="3688"/>
    <cellStyle name="20% - 강조색5 7 12" xfId="3689"/>
    <cellStyle name="20% - 강조색5 7 13" xfId="3690"/>
    <cellStyle name="20% - 강조색5 7 14" xfId="3691"/>
    <cellStyle name="20% - 강조색5 7 15" xfId="3692"/>
    <cellStyle name="20% - 강조색5 7 16" xfId="3693"/>
    <cellStyle name="20% - 강조색5 7 17" xfId="3694"/>
    <cellStyle name="20% - 강조색5 7 18" xfId="3695"/>
    <cellStyle name="20% - 강조색5 7 19" xfId="3696"/>
    <cellStyle name="20% - 강조색5 7 2" xfId="3697"/>
    <cellStyle name="20% - 강조색5 7 2 2" xfId="3698"/>
    <cellStyle name="20% - 강조색5 7 2 2 2" xfId="3699"/>
    <cellStyle name="20% - 강조색5 7 2 3" xfId="3700"/>
    <cellStyle name="20% - 강조색5 7 3" xfId="3701"/>
    <cellStyle name="20% - 강조색5 7 4" xfId="3702"/>
    <cellStyle name="20% - 강조색5 7 5" xfId="3703"/>
    <cellStyle name="20% - 강조색5 7 6" xfId="3704"/>
    <cellStyle name="20% - 강조색5 7 7" xfId="3705"/>
    <cellStyle name="20% - 강조색5 7 8" xfId="3706"/>
    <cellStyle name="20% - 강조색5 7 9" xfId="3707"/>
    <cellStyle name="20% - 강조색5 8" xfId="3708"/>
    <cellStyle name="20% - 강조색5 8 10" xfId="3709"/>
    <cellStyle name="20% - 강조색5 8 11" xfId="3710"/>
    <cellStyle name="20% - 강조색5 8 12" xfId="3711"/>
    <cellStyle name="20% - 강조색5 8 13" xfId="3712"/>
    <cellStyle name="20% - 강조색5 8 14" xfId="3713"/>
    <cellStyle name="20% - 강조색5 8 15" xfId="3714"/>
    <cellStyle name="20% - 강조색5 8 16" xfId="3715"/>
    <cellStyle name="20% - 강조색5 8 17" xfId="3716"/>
    <cellStyle name="20% - 강조색5 8 18" xfId="3717"/>
    <cellStyle name="20% - 강조색5 8 19" xfId="3718"/>
    <cellStyle name="20% - 강조색5 8 2" xfId="3719"/>
    <cellStyle name="20% - 강조색5 8 2 2" xfId="3720"/>
    <cellStyle name="20% - 강조색5 8 2 2 2" xfId="3721"/>
    <cellStyle name="20% - 강조색5 8 2 3" xfId="3722"/>
    <cellStyle name="20% - 강조색5 8 3" xfId="3723"/>
    <cellStyle name="20% - 강조색5 8 4" xfId="3724"/>
    <cellStyle name="20% - 강조색5 8 5" xfId="3725"/>
    <cellStyle name="20% - 강조색5 8 6" xfId="3726"/>
    <cellStyle name="20% - 강조색5 8 7" xfId="3727"/>
    <cellStyle name="20% - 강조색5 8 8" xfId="3728"/>
    <cellStyle name="20% - 강조색5 8 9" xfId="3729"/>
    <cellStyle name="20% - 강조색5 9" xfId="3730"/>
    <cellStyle name="20% - 강조색5 9 10" xfId="3731"/>
    <cellStyle name="20% - 강조색5 9 11" xfId="3732"/>
    <cellStyle name="20% - 강조색5 9 12" xfId="3733"/>
    <cellStyle name="20% - 강조색5 9 13" xfId="3734"/>
    <cellStyle name="20% - 강조색5 9 14" xfId="3735"/>
    <cellStyle name="20% - 강조색5 9 15" xfId="3736"/>
    <cellStyle name="20% - 강조색5 9 16" xfId="3737"/>
    <cellStyle name="20% - 강조색5 9 17" xfId="3738"/>
    <cellStyle name="20% - 강조색5 9 18" xfId="3739"/>
    <cellStyle name="20% - 강조색5 9 19" xfId="3740"/>
    <cellStyle name="20% - 강조색5 9 2" xfId="3741"/>
    <cellStyle name="20% - 강조색5 9 2 2" xfId="3742"/>
    <cellStyle name="20% - 강조색5 9 2 2 2" xfId="3743"/>
    <cellStyle name="20% - 강조색5 9 2 2 2 2" xfId="3744"/>
    <cellStyle name="20% - 강조색5 9 2 2 2 2 2" xfId="21082"/>
    <cellStyle name="20% - 강조색5 9 2 2 3" xfId="3745"/>
    <cellStyle name="20% - 강조색5 9 2 3" xfId="3746"/>
    <cellStyle name="20% - 강조색5 9 2 3 2" xfId="3747"/>
    <cellStyle name="20% - 강조색5 9 2 4" xfId="3748"/>
    <cellStyle name="20% - 강조색5 9 20" xfId="3749"/>
    <cellStyle name="20% - 강조색5 9 21" xfId="3750"/>
    <cellStyle name="20% - 강조색5 9 3" xfId="3751"/>
    <cellStyle name="20% - 강조색5 9 3 2" xfId="3752"/>
    <cellStyle name="20% - 강조색5 9 3 2 2" xfId="3753"/>
    <cellStyle name="20% - 강조색5 9 4" xfId="3754"/>
    <cellStyle name="20% - 강조색5 9 4 2" xfId="3755"/>
    <cellStyle name="20% - 강조색5 9 5" xfId="3756"/>
    <cellStyle name="20% - 강조색5 9 5 2" xfId="3757"/>
    <cellStyle name="20% - 강조색5 9 6" xfId="3758"/>
    <cellStyle name="20% - 강조색5 9 7" xfId="3759"/>
    <cellStyle name="20% - 강조색5 9 8" xfId="3760"/>
    <cellStyle name="20% - 강조색5 9 9" xfId="3761"/>
    <cellStyle name="20% - 강조색6" xfId="39" builtinId="50" customBuiltin="1"/>
    <cellStyle name="20% - 강조색6 10" xfId="3762"/>
    <cellStyle name="20% - 강조색6 10 10" xfId="3763"/>
    <cellStyle name="20% - 강조색6 10 11" xfId="3764"/>
    <cellStyle name="20% - 강조색6 10 12" xfId="3765"/>
    <cellStyle name="20% - 강조색6 10 13" xfId="3766"/>
    <cellStyle name="20% - 강조색6 10 14" xfId="3767"/>
    <cellStyle name="20% - 강조색6 10 15" xfId="3768"/>
    <cellStyle name="20% - 강조색6 10 16" xfId="3769"/>
    <cellStyle name="20% - 강조색6 10 17" xfId="3770"/>
    <cellStyle name="20% - 강조색6 10 18" xfId="3771"/>
    <cellStyle name="20% - 강조색6 10 19" xfId="3772"/>
    <cellStyle name="20% - 강조색6 10 2" xfId="3773"/>
    <cellStyle name="20% - 강조색6 10 2 2" xfId="3774"/>
    <cellStyle name="20% - 강조색6 10 2 2 2" xfId="3775"/>
    <cellStyle name="20% - 강조색6 10 2 2 2 2" xfId="3776"/>
    <cellStyle name="20% - 강조색6 10 2 2 2 2 2" xfId="21083"/>
    <cellStyle name="20% - 강조색6 10 2 2 3" xfId="3777"/>
    <cellStyle name="20% - 강조색6 10 2 3" xfId="3778"/>
    <cellStyle name="20% - 강조색6 10 2 3 2" xfId="3779"/>
    <cellStyle name="20% - 강조색6 10 2 4" xfId="3780"/>
    <cellStyle name="20% - 강조색6 10 20" xfId="3781"/>
    <cellStyle name="20% - 강조색6 10 21" xfId="3782"/>
    <cellStyle name="20% - 강조색6 10 3" xfId="3783"/>
    <cellStyle name="20% - 강조색6 10 3 2" xfId="3784"/>
    <cellStyle name="20% - 강조색6 10 3 2 2" xfId="3785"/>
    <cellStyle name="20% - 강조색6 10 4" xfId="3786"/>
    <cellStyle name="20% - 강조색6 10 4 2" xfId="3787"/>
    <cellStyle name="20% - 강조색6 10 5" xfId="3788"/>
    <cellStyle name="20% - 강조색6 10 5 2" xfId="3789"/>
    <cellStyle name="20% - 강조색6 10 6" xfId="3790"/>
    <cellStyle name="20% - 강조색6 10 7" xfId="3791"/>
    <cellStyle name="20% - 강조색6 10 8" xfId="3792"/>
    <cellStyle name="20% - 강조색6 10 9" xfId="3793"/>
    <cellStyle name="20% - 강조색6 11" xfId="3794"/>
    <cellStyle name="20% - 강조색6 11 2" xfId="3795"/>
    <cellStyle name="20% - 강조색6 11 2 2" xfId="3796"/>
    <cellStyle name="20% - 강조색6 11 2 2 2" xfId="3797"/>
    <cellStyle name="20% - 강조색6 11 2 2 2 2" xfId="3798"/>
    <cellStyle name="20% - 강조색6 11 2 2 3" xfId="3799"/>
    <cellStyle name="20% - 강조색6 11 2 3" xfId="3800"/>
    <cellStyle name="20% - 강조색6 11 2 3 2" xfId="3801"/>
    <cellStyle name="20% - 강조색6 11 2 4" xfId="3802"/>
    <cellStyle name="20% - 강조색6 11 3" xfId="3803"/>
    <cellStyle name="20% - 강조색6 11 3 2" xfId="3804"/>
    <cellStyle name="20% - 강조색6 11 3 2 2" xfId="3805"/>
    <cellStyle name="20% - 강조색6 11 3 3" xfId="3806"/>
    <cellStyle name="20% - 강조색6 11 4" xfId="3807"/>
    <cellStyle name="20% - 강조색6 11 4 2" xfId="3808"/>
    <cellStyle name="20% - 강조색6 11 5" xfId="3809"/>
    <cellStyle name="20% - 강조색6 11 5 2" xfId="3810"/>
    <cellStyle name="20% - 강조색6 12" xfId="3811"/>
    <cellStyle name="20% - 강조색6 12 2" xfId="3812"/>
    <cellStyle name="20% - 강조색6 12 2 2" xfId="3813"/>
    <cellStyle name="20% - 강조색6 12 2 2 2" xfId="3814"/>
    <cellStyle name="20% - 강조색6 12 2 2 2 2" xfId="3815"/>
    <cellStyle name="20% - 강조색6 12 2 2 2 2 2" xfId="21084"/>
    <cellStyle name="20% - 강조색6 12 2 2 3" xfId="3816"/>
    <cellStyle name="20% - 강조색6 12 2 3" xfId="3817"/>
    <cellStyle name="20% - 강조색6 12 2 3 2" xfId="3818"/>
    <cellStyle name="20% - 강조색6 12 2 4" xfId="3819"/>
    <cellStyle name="20% - 강조색6 12 3" xfId="3820"/>
    <cellStyle name="20% - 강조색6 12 3 2" xfId="3821"/>
    <cellStyle name="20% - 강조색6 12 3 2 2" xfId="3822"/>
    <cellStyle name="20% - 강조색6 12 3 3" xfId="3823"/>
    <cellStyle name="20% - 강조색6 12 4" xfId="3824"/>
    <cellStyle name="20% - 강조색6 12 4 2" xfId="3825"/>
    <cellStyle name="20% - 강조색6 12 5" xfId="3826"/>
    <cellStyle name="20% - 강조색6 12 5 2" xfId="3827"/>
    <cellStyle name="20% - 강조색6 13" xfId="3828"/>
    <cellStyle name="20% - 강조색6 13 2" xfId="3829"/>
    <cellStyle name="20% - 강조색6 13 2 2" xfId="3830"/>
    <cellStyle name="20% - 강조색6 13 2 2 2" xfId="21085"/>
    <cellStyle name="20% - 강조색6 13 2 3" xfId="3831"/>
    <cellStyle name="20% - 강조색6 13 2 3 2" xfId="3832"/>
    <cellStyle name="20% - 강조색6 13 2 4" xfId="3833"/>
    <cellStyle name="20% - 강조색6 13 3" xfId="3834"/>
    <cellStyle name="20% - 강조색6 13 3 2" xfId="3835"/>
    <cellStyle name="20% - 강조색6 13 3 3" xfId="3836"/>
    <cellStyle name="20% - 강조색6 13 3 3 2" xfId="3837"/>
    <cellStyle name="20% - 강조색6 13 4" xfId="3838"/>
    <cellStyle name="20% - 강조색6 13 4 2" xfId="3839"/>
    <cellStyle name="20% - 강조색6 13 5" xfId="3840"/>
    <cellStyle name="20% - 강조색6 14" xfId="3841"/>
    <cellStyle name="20% - 강조색6 14 2" xfId="3842"/>
    <cellStyle name="20% - 강조색6 14 2 2" xfId="3843"/>
    <cellStyle name="20% - 강조색6 14 2 2 2" xfId="21086"/>
    <cellStyle name="20% - 강조색6 14 3" xfId="3844"/>
    <cellStyle name="20% - 강조색6 14 3 2" xfId="3845"/>
    <cellStyle name="20% - 강조색6 14 4" xfId="3846"/>
    <cellStyle name="20% - 강조색6 14 5" xfId="3847"/>
    <cellStyle name="20% - 강조색6 15" xfId="3848"/>
    <cellStyle name="20% - 강조색6 15 2" xfId="3849"/>
    <cellStyle name="20% - 강조색6 15 2 2" xfId="3850"/>
    <cellStyle name="20% - 강조색6 15 2 2 2" xfId="21087"/>
    <cellStyle name="20% - 강조색6 15 3" xfId="3851"/>
    <cellStyle name="20% - 강조색6 15 3 2" xfId="3852"/>
    <cellStyle name="20% - 강조색6 15 4" xfId="3853"/>
    <cellStyle name="20% - 강조색6 15 5" xfId="3854"/>
    <cellStyle name="20% - 강조색6 16" xfId="3855"/>
    <cellStyle name="20% - 강조색6 16 2" xfId="3856"/>
    <cellStyle name="20% - 강조색6 16 2 2" xfId="3857"/>
    <cellStyle name="20% - 강조색6 16 2 2 2" xfId="21088"/>
    <cellStyle name="20% - 강조색6 16 3" xfId="3858"/>
    <cellStyle name="20% - 강조색6 16 3 2" xfId="3859"/>
    <cellStyle name="20% - 강조색6 16 4" xfId="3860"/>
    <cellStyle name="20% - 강조색6 16 5" xfId="3861"/>
    <cellStyle name="20% - 강조색6 17" xfId="3862"/>
    <cellStyle name="20% - 강조색6 17 2" xfId="3863"/>
    <cellStyle name="20% - 강조색6 17 2 2" xfId="3864"/>
    <cellStyle name="20% - 강조색6 17 2 2 2" xfId="21089"/>
    <cellStyle name="20% - 강조색6 17 3" xfId="3865"/>
    <cellStyle name="20% - 강조색6 17 4" xfId="3866"/>
    <cellStyle name="20% - 강조색6 17 5" xfId="3867"/>
    <cellStyle name="20% - 강조색6 18" xfId="3868"/>
    <cellStyle name="20% - 강조색6 18 2" xfId="3869"/>
    <cellStyle name="20% - 강조색6 18 2 2" xfId="3870"/>
    <cellStyle name="20% - 강조색6 18 3" xfId="3871"/>
    <cellStyle name="20% - 강조색6 18 4" xfId="3872"/>
    <cellStyle name="20% - 강조색6 18 5" xfId="3873"/>
    <cellStyle name="20% - 강조색6 19" xfId="3874"/>
    <cellStyle name="20% - 강조색6 19 2" xfId="3875"/>
    <cellStyle name="20% - 강조색6 19 2 2" xfId="3876"/>
    <cellStyle name="20% - 강조색6 19 3" xfId="3877"/>
    <cellStyle name="20% - 강조색6 19 4" xfId="3878"/>
    <cellStyle name="20% - 강조색6 19 5" xfId="3879"/>
    <cellStyle name="20% - 강조색6 2" xfId="3880"/>
    <cellStyle name="20% - 강조색6 2 10" xfId="3881"/>
    <cellStyle name="20% - 강조색6 2 10 2" xfId="3882"/>
    <cellStyle name="20% - 강조색6 2 10 2 2" xfId="3883"/>
    <cellStyle name="20% - 강조색6 2 10 3" xfId="3884"/>
    <cellStyle name="20% - 강조색6 2 10 4" xfId="3885"/>
    <cellStyle name="20% - 강조색6 2 11" xfId="3886"/>
    <cellStyle name="20% - 강조색6 2 11 2" xfId="3887"/>
    <cellStyle name="20% - 강조색6 2 11 2 2" xfId="3888"/>
    <cellStyle name="20% - 강조색6 2 11 3" xfId="3889"/>
    <cellStyle name="20% - 강조색6 2 12" xfId="3890"/>
    <cellStyle name="20% - 강조색6 2 12 2" xfId="3891"/>
    <cellStyle name="20% - 강조색6 2 13" xfId="3892"/>
    <cellStyle name="20% - 강조색6 2 14" xfId="3893"/>
    <cellStyle name="20% - 강조색6 2 15" xfId="3894"/>
    <cellStyle name="20% - 강조색6 2 16" xfId="3895"/>
    <cellStyle name="20% - 강조색6 2 17" xfId="3896"/>
    <cellStyle name="20% - 강조색6 2 18" xfId="3897"/>
    <cellStyle name="20% - 강조색6 2 19" xfId="3898"/>
    <cellStyle name="20% - 강조색6 2 2" xfId="3899"/>
    <cellStyle name="20% - 강조색6 2 2 2" xfId="3900"/>
    <cellStyle name="20% - 강조색6 2 2 2 2" xfId="3901"/>
    <cellStyle name="20% - 강조색6 2 2 2 3" xfId="3902"/>
    <cellStyle name="20% - 강조색6 2 2 2 4" xfId="3903"/>
    <cellStyle name="20% - 강조색6 2 2 2 4 2" xfId="3904"/>
    <cellStyle name="20% - 강조색6 2 2 2 5" xfId="3905"/>
    <cellStyle name="20% - 강조색6 2 2 3" xfId="3906"/>
    <cellStyle name="20% - 강조색6 2 2 3 2" xfId="3907"/>
    <cellStyle name="20% - 강조색6 2 2 3 2 2" xfId="3908"/>
    <cellStyle name="20% - 강조색6 2 2 3 3" xfId="3909"/>
    <cellStyle name="20% - 강조색6 2 2 4" xfId="3910"/>
    <cellStyle name="20% - 강조색6 2 2 5" xfId="20226"/>
    <cellStyle name="20% - 강조색6 2 20" xfId="3911"/>
    <cellStyle name="20% - 강조색6 2 21" xfId="3912"/>
    <cellStyle name="20% - 강조색6 2 22" xfId="19667"/>
    <cellStyle name="20% - 강조색6 2 3" xfId="3913"/>
    <cellStyle name="20% - 강조색6 2 3 2" xfId="3914"/>
    <cellStyle name="20% - 강조색6 2 3 2 2" xfId="3915"/>
    <cellStyle name="20% - 강조색6 2 3 2 2 2" xfId="3916"/>
    <cellStyle name="20% - 강조색6 2 3 2 2 2 2" xfId="21090"/>
    <cellStyle name="20% - 강조색6 2 3 3" xfId="20227"/>
    <cellStyle name="20% - 강조색6 2 4" xfId="3917"/>
    <cellStyle name="20% - 강조색6 2 4 2" xfId="3918"/>
    <cellStyle name="20% - 강조색6 2 4 2 2" xfId="3919"/>
    <cellStyle name="20% - 강조색6 2 4 2 2 2" xfId="3920"/>
    <cellStyle name="20% - 강조색6 2 4 2 2 2 2" xfId="21091"/>
    <cellStyle name="20% - 강조색6 2 4 2 3" xfId="3921"/>
    <cellStyle name="20% - 강조색6 2 4 2 4" xfId="3922"/>
    <cellStyle name="20% - 강조색6 2 4 3" xfId="3923"/>
    <cellStyle name="20% - 강조색6 2 4 3 2" xfId="3924"/>
    <cellStyle name="20% - 강조색6 2 4 4" xfId="3925"/>
    <cellStyle name="20% - 강조색6 2 4 4 2" xfId="3926"/>
    <cellStyle name="20% - 강조색6 2 4 5" xfId="3927"/>
    <cellStyle name="20% - 강조색6 2 4 6" xfId="20228"/>
    <cellStyle name="20% - 강조색6 2 5" xfId="3928"/>
    <cellStyle name="20% - 강조색6 2 5 2" xfId="3929"/>
    <cellStyle name="20% - 강조색6 2 5 2 2" xfId="3930"/>
    <cellStyle name="20% - 강조색6 2 5 3" xfId="3931"/>
    <cellStyle name="20% - 강조색6 2 5 4" xfId="3932"/>
    <cellStyle name="20% - 강조색6 2 6" xfId="3933"/>
    <cellStyle name="20% - 강조색6 2 6 2" xfId="3934"/>
    <cellStyle name="20% - 강조색6 2 6 2 2" xfId="3935"/>
    <cellStyle name="20% - 강조색6 2 6 2 2 2" xfId="21092"/>
    <cellStyle name="20% - 강조색6 2 6 3" xfId="3936"/>
    <cellStyle name="20% - 강조색6 2 6 4" xfId="3937"/>
    <cellStyle name="20% - 강조색6 2 6 5" xfId="20229"/>
    <cellStyle name="20% - 강조색6 2 7" xfId="3938"/>
    <cellStyle name="20% - 강조색6 2 7 2" xfId="3939"/>
    <cellStyle name="20% - 강조색6 2 7 2 2" xfId="3940"/>
    <cellStyle name="20% - 강조색6 2 7 2 2 2" xfId="21093"/>
    <cellStyle name="20% - 강조색6 2 7 3" xfId="3941"/>
    <cellStyle name="20% - 강조색6 2 7 4" xfId="3942"/>
    <cellStyle name="20% - 강조색6 2 7 5" xfId="20230"/>
    <cellStyle name="20% - 강조색6 2 8" xfId="3943"/>
    <cellStyle name="20% - 강조색6 2 8 2" xfId="3944"/>
    <cellStyle name="20% - 강조색6 2 8 2 2" xfId="3945"/>
    <cellStyle name="20% - 강조색6 2 8 3" xfId="3946"/>
    <cellStyle name="20% - 강조색6 2 8 4" xfId="3947"/>
    <cellStyle name="20% - 강조색6 2 9" xfId="3948"/>
    <cellStyle name="20% - 강조색6 2 9 2" xfId="3949"/>
    <cellStyle name="20% - 강조색6 2 9 2 2" xfId="3950"/>
    <cellStyle name="20% - 강조색6 2 9 2 2 2" xfId="21094"/>
    <cellStyle name="20% - 강조색6 2 9 3" xfId="3951"/>
    <cellStyle name="20% - 강조색6 2 9 4" xfId="3952"/>
    <cellStyle name="20% - 강조색6 20" xfId="3953"/>
    <cellStyle name="20% - 강조색6 20 2" xfId="3954"/>
    <cellStyle name="20% - 강조색6 20 3" xfId="3955"/>
    <cellStyle name="20% - 강조색6 20 4" xfId="3956"/>
    <cellStyle name="20% - 강조색6 20 5" xfId="3957"/>
    <cellStyle name="20% - 강조색6 21" xfId="3958"/>
    <cellStyle name="20% - 강조색6 21 2" xfId="3959"/>
    <cellStyle name="20% - 강조색6 21 3" xfId="3960"/>
    <cellStyle name="20% - 강조색6 21 4" xfId="3961"/>
    <cellStyle name="20% - 강조색6 21 5" xfId="3962"/>
    <cellStyle name="20% - 강조색6 22" xfId="3963"/>
    <cellStyle name="20% - 강조색6 22 2" xfId="3964"/>
    <cellStyle name="20% - 강조색6 22 3" xfId="3965"/>
    <cellStyle name="20% - 강조색6 22 4" xfId="3966"/>
    <cellStyle name="20% - 강조색6 22 5" xfId="3967"/>
    <cellStyle name="20% - 강조색6 23" xfId="3968"/>
    <cellStyle name="20% - 강조색6 23 2" xfId="3969"/>
    <cellStyle name="20% - 강조색6 23 2 2" xfId="3970"/>
    <cellStyle name="20% - 강조색6 23 2 3" xfId="3971"/>
    <cellStyle name="20% - 강조색6 23 3" xfId="3972"/>
    <cellStyle name="20% - 강조색6 23 4" xfId="3973"/>
    <cellStyle name="20% - 강조색6 24" xfId="3974"/>
    <cellStyle name="20% - 강조색6 24 2" xfId="3975"/>
    <cellStyle name="20% - 강조색6 24 2 2" xfId="3976"/>
    <cellStyle name="20% - 강조색6 24 2 3" xfId="3977"/>
    <cellStyle name="20% - 강조색6 24 3" xfId="3978"/>
    <cellStyle name="20% - 강조색6 24 4" xfId="3979"/>
    <cellStyle name="20% - 강조색6 25" xfId="3980"/>
    <cellStyle name="20% - 강조색6 25 2" xfId="3981"/>
    <cellStyle name="20% - 강조색6 25 2 2" xfId="3982"/>
    <cellStyle name="20% - 강조색6 25 3" xfId="3983"/>
    <cellStyle name="20% - 강조색6 26" xfId="3984"/>
    <cellStyle name="20% - 강조색6 26 2" xfId="3985"/>
    <cellStyle name="20% - 강조색6 27" xfId="3986"/>
    <cellStyle name="20% - 강조색6 27 2" xfId="3987"/>
    <cellStyle name="20% - 강조색6 28" xfId="3988"/>
    <cellStyle name="20% - 강조색6 29" xfId="3989"/>
    <cellStyle name="20% - 강조색6 3" xfId="3990"/>
    <cellStyle name="20% - 강조색6 3 10" xfId="3991"/>
    <cellStyle name="20% - 강조색6 3 11" xfId="3992"/>
    <cellStyle name="20% - 강조색6 3 12" xfId="3993"/>
    <cellStyle name="20% - 강조색6 3 13" xfId="3994"/>
    <cellStyle name="20% - 강조색6 3 14" xfId="3995"/>
    <cellStyle name="20% - 강조색6 3 15" xfId="3996"/>
    <cellStyle name="20% - 강조색6 3 16" xfId="3997"/>
    <cellStyle name="20% - 강조색6 3 17" xfId="3998"/>
    <cellStyle name="20% - 강조색6 3 18" xfId="3999"/>
    <cellStyle name="20% - 강조색6 3 19" xfId="4000"/>
    <cellStyle name="20% - 강조색6 3 2" xfId="4001"/>
    <cellStyle name="20% - 강조색6 3 2 2" xfId="4002"/>
    <cellStyle name="20% - 강조색6 3 2 2 2" xfId="4003"/>
    <cellStyle name="20% - 강조색6 3 2 2 3" xfId="4004"/>
    <cellStyle name="20% - 강조색6 3 2 2 4" xfId="4005"/>
    <cellStyle name="20% - 강조색6 3 2 2 4 2" xfId="4006"/>
    <cellStyle name="20% - 강조색6 3 2 3" xfId="4007"/>
    <cellStyle name="20% - 강조색6 3 2 4" xfId="4008"/>
    <cellStyle name="20% - 강조색6 3 20" xfId="4009"/>
    <cellStyle name="20% - 강조색6 3 21" xfId="4010"/>
    <cellStyle name="20% - 강조색6 3 3" xfId="4011"/>
    <cellStyle name="20% - 강조색6 3 3 2" xfId="4012"/>
    <cellStyle name="20% - 강조색6 3 3 2 2" xfId="4013"/>
    <cellStyle name="20% - 강조색6 3 3 2 2 2" xfId="4014"/>
    <cellStyle name="20% - 강조색6 3 3 2 2 2 2" xfId="21095"/>
    <cellStyle name="20% - 강조색6 3 3 3" xfId="20231"/>
    <cellStyle name="20% - 강조색6 3 4" xfId="4015"/>
    <cellStyle name="20% - 강조색6 3 4 2" xfId="4016"/>
    <cellStyle name="20% - 강조색6 3 4 2 2" xfId="4017"/>
    <cellStyle name="20% - 강조색6 3 4 2 3" xfId="4018"/>
    <cellStyle name="20% - 강조색6 3 4 2 3 2" xfId="4019"/>
    <cellStyle name="20% - 강조색6 3 4 2 4" xfId="4020"/>
    <cellStyle name="20% - 강조색6 3 4 3" xfId="4021"/>
    <cellStyle name="20% - 강조색6 3 4 3 2" xfId="4022"/>
    <cellStyle name="20% - 강조색6 3 4 3 3" xfId="4023"/>
    <cellStyle name="20% - 강조색6 3 4 4" xfId="4024"/>
    <cellStyle name="20% - 강조색6 3 4 5" xfId="4025"/>
    <cellStyle name="20% - 강조색6 3 4 6" xfId="4026"/>
    <cellStyle name="20% - 강조색6 3 4 6 2" xfId="4027"/>
    <cellStyle name="20% - 강조색6 3 4 7" xfId="20232"/>
    <cellStyle name="20% - 강조색6 3 5" xfId="4028"/>
    <cellStyle name="20% - 강조색6 3 5 2" xfId="4029"/>
    <cellStyle name="20% - 강조색6 3 5 2 2" xfId="4030"/>
    <cellStyle name="20% - 강조색6 3 5 3" xfId="4031"/>
    <cellStyle name="20% - 강조색6 3 6" xfId="4032"/>
    <cellStyle name="20% - 강조색6 3 6 2" xfId="4033"/>
    <cellStyle name="20% - 강조색6 3 7" xfId="4034"/>
    <cellStyle name="20% - 강조색6 3 8" xfId="4035"/>
    <cellStyle name="20% - 강조색6 3 9" xfId="4036"/>
    <cellStyle name="20% - 강조색6 30" xfId="4037"/>
    <cellStyle name="20% - 강조색6 31" xfId="4038"/>
    <cellStyle name="20% - 강조색6 32" xfId="4039"/>
    <cellStyle name="20% - 강조색6 33" xfId="18235"/>
    <cellStyle name="20% - 강조색6 4" xfId="4040"/>
    <cellStyle name="20% - 강조색6 4 10" xfId="4041"/>
    <cellStyle name="20% - 강조색6 4 11" xfId="4042"/>
    <cellStyle name="20% - 강조색6 4 12" xfId="4043"/>
    <cellStyle name="20% - 강조색6 4 13" xfId="4044"/>
    <cellStyle name="20% - 강조색6 4 14" xfId="4045"/>
    <cellStyle name="20% - 강조색6 4 15" xfId="4046"/>
    <cellStyle name="20% - 강조색6 4 16" xfId="4047"/>
    <cellStyle name="20% - 강조색6 4 17" xfId="4048"/>
    <cellStyle name="20% - 강조색6 4 18" xfId="4049"/>
    <cellStyle name="20% - 강조색6 4 19" xfId="4050"/>
    <cellStyle name="20% - 강조색6 4 2" xfId="4051"/>
    <cellStyle name="20% - 강조색6 4 2 2" xfId="4052"/>
    <cellStyle name="20% - 강조색6 4 2 2 2" xfId="4053"/>
    <cellStyle name="20% - 강조색6 4 2 2 2 2" xfId="21096"/>
    <cellStyle name="20% - 강조색6 4 20" xfId="4054"/>
    <cellStyle name="20% - 강조색6 4 21" xfId="4055"/>
    <cellStyle name="20% - 강조색6 4 3" xfId="4056"/>
    <cellStyle name="20% - 강조색6 4 3 2" xfId="4057"/>
    <cellStyle name="20% - 강조색6 4 3 2 2" xfId="4058"/>
    <cellStyle name="20% - 강조색6 4 4" xfId="4059"/>
    <cellStyle name="20% - 강조색6 4 4 2" xfId="4060"/>
    <cellStyle name="20% - 강조색6 4 4 2 2" xfId="4061"/>
    <cellStyle name="20% - 강조색6 4 4 2 2 2" xfId="4062"/>
    <cellStyle name="20% - 강조색6 4 4 2 3" xfId="4063"/>
    <cellStyle name="20% - 강조색6 4 4 3" xfId="4064"/>
    <cellStyle name="20% - 강조색6 4 4 3 2" xfId="4065"/>
    <cellStyle name="20% - 강조색6 4 4 4" xfId="4066"/>
    <cellStyle name="20% - 강조색6 4 4 5" xfId="4067"/>
    <cellStyle name="20% - 강조색6 4 5" xfId="4068"/>
    <cellStyle name="20% - 강조색6 4 5 2" xfId="4069"/>
    <cellStyle name="20% - 강조색6 4 5 2 2" xfId="4070"/>
    <cellStyle name="20% - 강조색6 4 6" xfId="4071"/>
    <cellStyle name="20% - 강조색6 4 6 2" xfId="4072"/>
    <cellStyle name="20% - 강조색6 4 7" xfId="4073"/>
    <cellStyle name="20% - 강조색6 4 8" xfId="4074"/>
    <cellStyle name="20% - 강조색6 4 9" xfId="4075"/>
    <cellStyle name="20% - 강조색6 5" xfId="4076"/>
    <cellStyle name="20% - 강조색6 5 10" xfId="4077"/>
    <cellStyle name="20% - 강조색6 5 11" xfId="4078"/>
    <cellStyle name="20% - 강조색6 5 12" xfId="4079"/>
    <cellStyle name="20% - 강조색6 5 13" xfId="4080"/>
    <cellStyle name="20% - 강조색6 5 14" xfId="4081"/>
    <cellStyle name="20% - 강조색6 5 15" xfId="4082"/>
    <cellStyle name="20% - 강조색6 5 16" xfId="4083"/>
    <cellStyle name="20% - 강조색6 5 17" xfId="4084"/>
    <cellStyle name="20% - 강조색6 5 18" xfId="4085"/>
    <cellStyle name="20% - 강조색6 5 19" xfId="4086"/>
    <cellStyle name="20% - 강조색6 5 2" xfId="4087"/>
    <cellStyle name="20% - 강조색6 5 2 2" xfId="4088"/>
    <cellStyle name="20% - 강조색6 5 2 2 2" xfId="4089"/>
    <cellStyle name="20% - 강조색6 5 2 2 2 2" xfId="21097"/>
    <cellStyle name="20% - 강조색6 5 20" xfId="4090"/>
    <cellStyle name="20% - 강조색6 5 21" xfId="4091"/>
    <cellStyle name="20% - 강조색6 5 3" xfId="4092"/>
    <cellStyle name="20% - 강조색6 5 3 2" xfId="4093"/>
    <cellStyle name="20% - 강조색6 5 3 2 2" xfId="4094"/>
    <cellStyle name="20% - 강조색6 5 3 2 2 2" xfId="4095"/>
    <cellStyle name="20% - 강조색6 5 3 2 3" xfId="4096"/>
    <cellStyle name="20% - 강조색6 5 3 3" xfId="4097"/>
    <cellStyle name="20% - 강조색6 5 3 4" xfId="4098"/>
    <cellStyle name="20% - 강조색6 5 3 4 2" xfId="4099"/>
    <cellStyle name="20% - 강조색6 5 4" xfId="4100"/>
    <cellStyle name="20% - 강조색6 5 4 2" xfId="4101"/>
    <cellStyle name="20% - 강조색6 5 5" xfId="4102"/>
    <cellStyle name="20% - 강조색6 5 6" xfId="4103"/>
    <cellStyle name="20% - 강조색6 5 7" xfId="4104"/>
    <cellStyle name="20% - 강조색6 5 8" xfId="4105"/>
    <cellStyle name="20% - 강조색6 5 9" xfId="4106"/>
    <cellStyle name="20% - 강조색6 6" xfId="4107"/>
    <cellStyle name="20% - 강조색6 6 10" xfId="4108"/>
    <cellStyle name="20% - 강조색6 6 11" xfId="4109"/>
    <cellStyle name="20% - 강조색6 6 12" xfId="4110"/>
    <cellStyle name="20% - 강조색6 6 13" xfId="4111"/>
    <cellStyle name="20% - 강조색6 6 14" xfId="4112"/>
    <cellStyle name="20% - 강조색6 6 15" xfId="4113"/>
    <cellStyle name="20% - 강조색6 6 16" xfId="4114"/>
    <cellStyle name="20% - 강조색6 6 17" xfId="4115"/>
    <cellStyle name="20% - 강조색6 6 18" xfId="4116"/>
    <cellStyle name="20% - 강조색6 6 19" xfId="4117"/>
    <cellStyle name="20% - 강조색6 6 2" xfId="4118"/>
    <cellStyle name="20% - 강조색6 6 2 2" xfId="4119"/>
    <cellStyle name="20% - 강조색6 6 2 2 2" xfId="4120"/>
    <cellStyle name="20% - 강조색6 6 2 2 2 2" xfId="21098"/>
    <cellStyle name="20% - 강조색6 6 20" xfId="4121"/>
    <cellStyle name="20% - 강조색6 6 21" xfId="4122"/>
    <cellStyle name="20% - 강조색6 6 3" xfId="4123"/>
    <cellStyle name="20% - 강조색6 6 3 2" xfId="4124"/>
    <cellStyle name="20% - 강조색6 6 3 2 2" xfId="4125"/>
    <cellStyle name="20% - 강조색6 6 3 2 2 2" xfId="4126"/>
    <cellStyle name="20% - 강조색6 6 3 2 3" xfId="4127"/>
    <cellStyle name="20% - 강조색6 6 3 3" xfId="4128"/>
    <cellStyle name="20% - 강조색6 6 3 4" xfId="4129"/>
    <cellStyle name="20% - 강조색6 6 3 4 2" xfId="4130"/>
    <cellStyle name="20% - 강조색6 6 4" xfId="4131"/>
    <cellStyle name="20% - 강조색6 6 4 2" xfId="4132"/>
    <cellStyle name="20% - 강조색6 6 5" xfId="4133"/>
    <cellStyle name="20% - 강조색6 6 6" xfId="4134"/>
    <cellStyle name="20% - 강조색6 6 7" xfId="4135"/>
    <cellStyle name="20% - 강조색6 6 8" xfId="4136"/>
    <cellStyle name="20% - 강조색6 6 9" xfId="4137"/>
    <cellStyle name="20% - 강조색6 7" xfId="4138"/>
    <cellStyle name="20% - 강조색6 7 10" xfId="4139"/>
    <cellStyle name="20% - 강조색6 7 11" xfId="4140"/>
    <cellStyle name="20% - 강조색6 7 12" xfId="4141"/>
    <cellStyle name="20% - 강조색6 7 13" xfId="4142"/>
    <cellStyle name="20% - 강조색6 7 14" xfId="4143"/>
    <cellStyle name="20% - 강조색6 7 15" xfId="4144"/>
    <cellStyle name="20% - 강조색6 7 16" xfId="4145"/>
    <cellStyle name="20% - 강조색6 7 17" xfId="4146"/>
    <cellStyle name="20% - 강조색6 7 18" xfId="4147"/>
    <cellStyle name="20% - 강조색6 7 19" xfId="4148"/>
    <cellStyle name="20% - 강조색6 7 2" xfId="4149"/>
    <cellStyle name="20% - 강조색6 7 2 2" xfId="4150"/>
    <cellStyle name="20% - 강조색6 7 2 2 2" xfId="4151"/>
    <cellStyle name="20% - 강조색6 7 2 3" xfId="4152"/>
    <cellStyle name="20% - 강조색6 7 3" xfId="4153"/>
    <cellStyle name="20% - 강조색6 7 4" xfId="4154"/>
    <cellStyle name="20% - 강조색6 7 5" xfId="4155"/>
    <cellStyle name="20% - 강조색6 7 6" xfId="4156"/>
    <cellStyle name="20% - 강조색6 7 7" xfId="4157"/>
    <cellStyle name="20% - 강조색6 7 8" xfId="4158"/>
    <cellStyle name="20% - 강조색6 7 9" xfId="4159"/>
    <cellStyle name="20% - 강조색6 8" xfId="4160"/>
    <cellStyle name="20% - 강조색6 8 10" xfId="4161"/>
    <cellStyle name="20% - 강조색6 8 11" xfId="4162"/>
    <cellStyle name="20% - 강조색6 8 12" xfId="4163"/>
    <cellStyle name="20% - 강조색6 8 13" xfId="4164"/>
    <cellStyle name="20% - 강조색6 8 14" xfId="4165"/>
    <cellStyle name="20% - 강조색6 8 15" xfId="4166"/>
    <cellStyle name="20% - 강조색6 8 16" xfId="4167"/>
    <cellStyle name="20% - 강조색6 8 17" xfId="4168"/>
    <cellStyle name="20% - 강조색6 8 18" xfId="4169"/>
    <cellStyle name="20% - 강조색6 8 19" xfId="4170"/>
    <cellStyle name="20% - 강조색6 8 2" xfId="4171"/>
    <cellStyle name="20% - 강조색6 8 2 2" xfId="4172"/>
    <cellStyle name="20% - 강조색6 8 2 2 2" xfId="4173"/>
    <cellStyle name="20% - 강조색6 8 2 3" xfId="4174"/>
    <cellStyle name="20% - 강조색6 8 3" xfId="4175"/>
    <cellStyle name="20% - 강조색6 8 4" xfId="4176"/>
    <cellStyle name="20% - 강조색6 8 5" xfId="4177"/>
    <cellStyle name="20% - 강조색6 8 6" xfId="4178"/>
    <cellStyle name="20% - 강조색6 8 7" xfId="4179"/>
    <cellStyle name="20% - 강조색6 8 8" xfId="4180"/>
    <cellStyle name="20% - 강조색6 8 9" xfId="4181"/>
    <cellStyle name="20% - 강조색6 9" xfId="4182"/>
    <cellStyle name="20% - 강조색6 9 10" xfId="4183"/>
    <cellStyle name="20% - 강조색6 9 11" xfId="4184"/>
    <cellStyle name="20% - 강조색6 9 12" xfId="4185"/>
    <cellStyle name="20% - 강조색6 9 13" xfId="4186"/>
    <cellStyle name="20% - 강조색6 9 14" xfId="4187"/>
    <cellStyle name="20% - 강조색6 9 15" xfId="4188"/>
    <cellStyle name="20% - 강조색6 9 16" xfId="4189"/>
    <cellStyle name="20% - 강조색6 9 17" xfId="4190"/>
    <cellStyle name="20% - 강조색6 9 18" xfId="4191"/>
    <cellStyle name="20% - 강조색6 9 19" xfId="4192"/>
    <cellStyle name="20% - 강조색6 9 2" xfId="4193"/>
    <cellStyle name="20% - 강조색6 9 2 2" xfId="4194"/>
    <cellStyle name="20% - 강조색6 9 2 2 2" xfId="4195"/>
    <cellStyle name="20% - 강조색6 9 2 2 2 2" xfId="4196"/>
    <cellStyle name="20% - 강조색6 9 2 2 2 2 2" xfId="21099"/>
    <cellStyle name="20% - 강조색6 9 2 2 3" xfId="4197"/>
    <cellStyle name="20% - 강조색6 9 2 3" xfId="4198"/>
    <cellStyle name="20% - 강조색6 9 2 3 2" xfId="4199"/>
    <cellStyle name="20% - 강조색6 9 2 4" xfId="4200"/>
    <cellStyle name="20% - 강조색6 9 20" xfId="4201"/>
    <cellStyle name="20% - 강조색6 9 21" xfId="4202"/>
    <cellStyle name="20% - 강조색6 9 3" xfId="4203"/>
    <cellStyle name="20% - 강조색6 9 3 2" xfId="4204"/>
    <cellStyle name="20% - 강조색6 9 3 2 2" xfId="4205"/>
    <cellStyle name="20% - 강조색6 9 4" xfId="4206"/>
    <cellStyle name="20% - 강조색6 9 4 2" xfId="4207"/>
    <cellStyle name="20% - 강조색6 9 5" xfId="4208"/>
    <cellStyle name="20% - 강조색6 9 5 2" xfId="4209"/>
    <cellStyle name="20% - 강조색6 9 6" xfId="4210"/>
    <cellStyle name="20% - 강조색6 9 7" xfId="4211"/>
    <cellStyle name="20% - 강조색6 9 8" xfId="4212"/>
    <cellStyle name="20% - 강조색6 9 9" xfId="4213"/>
    <cellStyle name="40% - Accent1" xfId="4214"/>
    <cellStyle name="40% - Accent1 2" xfId="4215"/>
    <cellStyle name="40% - Accent2" xfId="4216"/>
    <cellStyle name="40% - Accent2 2" xfId="4217"/>
    <cellStyle name="40% - Accent3" xfId="4218"/>
    <cellStyle name="40% - Accent3 2" xfId="4219"/>
    <cellStyle name="40% - Accent4" xfId="4220"/>
    <cellStyle name="40% - Accent4 2" xfId="4221"/>
    <cellStyle name="40% - Accent5" xfId="4222"/>
    <cellStyle name="40% - Accent5 2" xfId="4223"/>
    <cellStyle name="40% - Accent6" xfId="4224"/>
    <cellStyle name="40% - Accent6 2" xfId="4225"/>
    <cellStyle name="40% - 강조색1" xfId="20" builtinId="31" customBuiltin="1"/>
    <cellStyle name="40% - 강조색1 10" xfId="4226"/>
    <cellStyle name="40% - 강조색1 10 10" xfId="4227"/>
    <cellStyle name="40% - 강조색1 10 11" xfId="4228"/>
    <cellStyle name="40% - 강조색1 10 12" xfId="4229"/>
    <cellStyle name="40% - 강조색1 10 13" xfId="4230"/>
    <cellStyle name="40% - 강조색1 10 14" xfId="4231"/>
    <cellStyle name="40% - 강조색1 10 15" xfId="4232"/>
    <cellStyle name="40% - 강조색1 10 16" xfId="4233"/>
    <cellStyle name="40% - 강조색1 10 17" xfId="4234"/>
    <cellStyle name="40% - 강조색1 10 18" xfId="4235"/>
    <cellStyle name="40% - 강조색1 10 19" xfId="4236"/>
    <cellStyle name="40% - 강조색1 10 2" xfId="4237"/>
    <cellStyle name="40% - 강조색1 10 2 2" xfId="4238"/>
    <cellStyle name="40% - 강조색1 10 2 2 2" xfId="4239"/>
    <cellStyle name="40% - 강조색1 10 2 2 2 2" xfId="4240"/>
    <cellStyle name="40% - 강조색1 10 2 2 2 2 2" xfId="21100"/>
    <cellStyle name="40% - 강조색1 10 2 2 3" xfId="4241"/>
    <cellStyle name="40% - 강조색1 10 2 3" xfId="4242"/>
    <cellStyle name="40% - 강조색1 10 2 3 2" xfId="4243"/>
    <cellStyle name="40% - 강조색1 10 2 4" xfId="4244"/>
    <cellStyle name="40% - 강조색1 10 20" xfId="4245"/>
    <cellStyle name="40% - 강조색1 10 21" xfId="4246"/>
    <cellStyle name="40% - 강조색1 10 3" xfId="4247"/>
    <cellStyle name="40% - 강조색1 10 3 2" xfId="4248"/>
    <cellStyle name="40% - 강조색1 10 3 2 2" xfId="4249"/>
    <cellStyle name="40% - 강조색1 10 4" xfId="4250"/>
    <cellStyle name="40% - 강조색1 10 4 2" xfId="4251"/>
    <cellStyle name="40% - 강조색1 10 5" xfId="4252"/>
    <cellStyle name="40% - 강조색1 10 5 2" xfId="4253"/>
    <cellStyle name="40% - 강조색1 10 6" xfId="4254"/>
    <cellStyle name="40% - 강조색1 10 7" xfId="4255"/>
    <cellStyle name="40% - 강조색1 10 8" xfId="4256"/>
    <cellStyle name="40% - 강조색1 10 9" xfId="4257"/>
    <cellStyle name="40% - 강조색1 11" xfId="4258"/>
    <cellStyle name="40% - 강조색1 11 2" xfId="4259"/>
    <cellStyle name="40% - 강조색1 11 2 2" xfId="4260"/>
    <cellStyle name="40% - 강조색1 11 2 2 2" xfId="4261"/>
    <cellStyle name="40% - 강조색1 11 2 2 2 2" xfId="4262"/>
    <cellStyle name="40% - 강조색1 11 2 2 3" xfId="4263"/>
    <cellStyle name="40% - 강조색1 11 2 3" xfId="4264"/>
    <cellStyle name="40% - 강조색1 11 2 3 2" xfId="4265"/>
    <cellStyle name="40% - 강조색1 11 2 4" xfId="4266"/>
    <cellStyle name="40% - 강조색1 11 3" xfId="4267"/>
    <cellStyle name="40% - 강조색1 11 3 2" xfId="4268"/>
    <cellStyle name="40% - 강조색1 11 3 2 2" xfId="4269"/>
    <cellStyle name="40% - 강조색1 11 3 3" xfId="4270"/>
    <cellStyle name="40% - 강조색1 11 4" xfId="4271"/>
    <cellStyle name="40% - 강조색1 11 4 2" xfId="4272"/>
    <cellStyle name="40% - 강조색1 11 5" xfId="4273"/>
    <cellStyle name="40% - 강조색1 11 5 2" xfId="4274"/>
    <cellStyle name="40% - 강조색1 12" xfId="4275"/>
    <cellStyle name="40% - 강조색1 12 2" xfId="4276"/>
    <cellStyle name="40% - 강조색1 12 2 2" xfId="4277"/>
    <cellStyle name="40% - 강조색1 12 2 2 2" xfId="4278"/>
    <cellStyle name="40% - 강조색1 12 2 2 2 2" xfId="4279"/>
    <cellStyle name="40% - 강조색1 12 2 2 2 2 2" xfId="21101"/>
    <cellStyle name="40% - 강조색1 12 2 2 3" xfId="4280"/>
    <cellStyle name="40% - 강조색1 12 2 3" xfId="4281"/>
    <cellStyle name="40% - 강조색1 12 2 3 2" xfId="4282"/>
    <cellStyle name="40% - 강조색1 12 2 4" xfId="4283"/>
    <cellStyle name="40% - 강조색1 12 3" xfId="4284"/>
    <cellStyle name="40% - 강조색1 12 3 2" xfId="4285"/>
    <cellStyle name="40% - 강조색1 12 3 2 2" xfId="4286"/>
    <cellStyle name="40% - 강조색1 12 3 3" xfId="4287"/>
    <cellStyle name="40% - 강조색1 12 4" xfId="4288"/>
    <cellStyle name="40% - 강조색1 12 4 2" xfId="4289"/>
    <cellStyle name="40% - 강조색1 12 5" xfId="4290"/>
    <cellStyle name="40% - 강조색1 12 5 2" xfId="4291"/>
    <cellStyle name="40% - 강조색1 13" xfId="4292"/>
    <cellStyle name="40% - 강조색1 13 2" xfId="4293"/>
    <cellStyle name="40% - 강조색1 13 2 2" xfId="4294"/>
    <cellStyle name="40% - 강조색1 13 2 2 2" xfId="21102"/>
    <cellStyle name="40% - 강조색1 13 2 3" xfId="4295"/>
    <cellStyle name="40% - 강조색1 13 2 3 2" xfId="4296"/>
    <cellStyle name="40% - 강조색1 13 2 4" xfId="4297"/>
    <cellStyle name="40% - 강조색1 13 3" xfId="4298"/>
    <cellStyle name="40% - 강조색1 13 3 2" xfId="4299"/>
    <cellStyle name="40% - 강조색1 13 3 3" xfId="4300"/>
    <cellStyle name="40% - 강조색1 13 3 3 2" xfId="4301"/>
    <cellStyle name="40% - 강조색1 13 4" xfId="4302"/>
    <cellStyle name="40% - 강조색1 13 4 2" xfId="4303"/>
    <cellStyle name="40% - 강조색1 13 5" xfId="4304"/>
    <cellStyle name="40% - 강조색1 14" xfId="4305"/>
    <cellStyle name="40% - 강조색1 14 2" xfId="4306"/>
    <cellStyle name="40% - 강조색1 14 2 2" xfId="4307"/>
    <cellStyle name="40% - 강조색1 14 2 2 2" xfId="21103"/>
    <cellStyle name="40% - 강조색1 14 3" xfId="4308"/>
    <cellStyle name="40% - 강조색1 14 3 2" xfId="4309"/>
    <cellStyle name="40% - 강조색1 14 4" xfId="4310"/>
    <cellStyle name="40% - 강조색1 14 5" xfId="4311"/>
    <cellStyle name="40% - 강조색1 15" xfId="4312"/>
    <cellStyle name="40% - 강조색1 15 2" xfId="4313"/>
    <cellStyle name="40% - 강조색1 15 2 2" xfId="4314"/>
    <cellStyle name="40% - 강조색1 15 2 2 2" xfId="21104"/>
    <cellStyle name="40% - 강조색1 15 3" xfId="4315"/>
    <cellStyle name="40% - 강조색1 15 3 2" xfId="4316"/>
    <cellStyle name="40% - 강조색1 15 4" xfId="4317"/>
    <cellStyle name="40% - 강조색1 15 5" xfId="4318"/>
    <cellStyle name="40% - 강조색1 16" xfId="4319"/>
    <cellStyle name="40% - 강조색1 16 2" xfId="4320"/>
    <cellStyle name="40% - 강조색1 16 2 2" xfId="4321"/>
    <cellStyle name="40% - 강조색1 16 2 2 2" xfId="21105"/>
    <cellStyle name="40% - 강조색1 16 3" xfId="4322"/>
    <cellStyle name="40% - 강조색1 16 3 2" xfId="4323"/>
    <cellStyle name="40% - 강조색1 16 4" xfId="4324"/>
    <cellStyle name="40% - 강조색1 16 5" xfId="4325"/>
    <cellStyle name="40% - 강조색1 17" xfId="4326"/>
    <cellStyle name="40% - 강조색1 17 2" xfId="4327"/>
    <cellStyle name="40% - 강조색1 17 2 2" xfId="4328"/>
    <cellStyle name="40% - 강조색1 17 2 2 2" xfId="21106"/>
    <cellStyle name="40% - 강조색1 17 3" xfId="4329"/>
    <cellStyle name="40% - 강조색1 17 4" xfId="4330"/>
    <cellStyle name="40% - 강조색1 17 5" xfId="4331"/>
    <cellStyle name="40% - 강조색1 18" xfId="4332"/>
    <cellStyle name="40% - 강조색1 18 2" xfId="4333"/>
    <cellStyle name="40% - 강조색1 18 2 2" xfId="4334"/>
    <cellStyle name="40% - 강조색1 18 3" xfId="4335"/>
    <cellStyle name="40% - 강조색1 18 4" xfId="4336"/>
    <cellStyle name="40% - 강조색1 18 5" xfId="4337"/>
    <cellStyle name="40% - 강조색1 19" xfId="4338"/>
    <cellStyle name="40% - 강조색1 19 2" xfId="4339"/>
    <cellStyle name="40% - 강조색1 19 2 2" xfId="4340"/>
    <cellStyle name="40% - 강조색1 19 3" xfId="4341"/>
    <cellStyle name="40% - 강조색1 19 4" xfId="4342"/>
    <cellStyle name="40% - 강조색1 19 5" xfId="4343"/>
    <cellStyle name="40% - 강조색1 2" xfId="4344"/>
    <cellStyle name="40% - 강조색1 2 10" xfId="4345"/>
    <cellStyle name="40% - 강조색1 2 10 2" xfId="4346"/>
    <cellStyle name="40% - 강조색1 2 10 2 2" xfId="4347"/>
    <cellStyle name="40% - 강조색1 2 10 3" xfId="4348"/>
    <cellStyle name="40% - 강조색1 2 10 4" xfId="4349"/>
    <cellStyle name="40% - 강조색1 2 11" xfId="4350"/>
    <cellStyle name="40% - 강조색1 2 11 2" xfId="4351"/>
    <cellStyle name="40% - 강조색1 2 11 2 2" xfId="4352"/>
    <cellStyle name="40% - 강조색1 2 11 3" xfId="4353"/>
    <cellStyle name="40% - 강조색1 2 12" xfId="4354"/>
    <cellStyle name="40% - 강조색1 2 12 2" xfId="4355"/>
    <cellStyle name="40% - 강조색1 2 13" xfId="4356"/>
    <cellStyle name="40% - 강조색1 2 14" xfId="4357"/>
    <cellStyle name="40% - 강조색1 2 15" xfId="4358"/>
    <cellStyle name="40% - 강조색1 2 16" xfId="4359"/>
    <cellStyle name="40% - 강조색1 2 17" xfId="4360"/>
    <cellStyle name="40% - 강조색1 2 18" xfId="4361"/>
    <cellStyle name="40% - 강조색1 2 19" xfId="4362"/>
    <cellStyle name="40% - 강조색1 2 2" xfId="4363"/>
    <cellStyle name="40% - 강조색1 2 2 2" xfId="4364"/>
    <cellStyle name="40% - 강조색1 2 2 2 2" xfId="4365"/>
    <cellStyle name="40% - 강조색1 2 2 2 3" xfId="4366"/>
    <cellStyle name="40% - 강조색1 2 2 2 4" xfId="4367"/>
    <cellStyle name="40% - 강조색1 2 2 2 4 2" xfId="4368"/>
    <cellStyle name="40% - 강조색1 2 2 2 5" xfId="4369"/>
    <cellStyle name="40% - 강조색1 2 2 3" xfId="4370"/>
    <cellStyle name="40% - 강조색1 2 2 3 2" xfId="4371"/>
    <cellStyle name="40% - 강조색1 2 2 3 2 2" xfId="4372"/>
    <cellStyle name="40% - 강조색1 2 2 3 3" xfId="4373"/>
    <cellStyle name="40% - 강조색1 2 2 4" xfId="4374"/>
    <cellStyle name="40% - 강조색1 2 2 5" xfId="20233"/>
    <cellStyle name="40% - 강조색1 2 20" xfId="4375"/>
    <cellStyle name="40% - 강조색1 2 21" xfId="4376"/>
    <cellStyle name="40% - 강조색1 2 22" xfId="19668"/>
    <cellStyle name="40% - 강조색1 2 3" xfId="4377"/>
    <cellStyle name="40% - 강조색1 2 3 2" xfId="4378"/>
    <cellStyle name="40% - 강조색1 2 3 2 2" xfId="4379"/>
    <cellStyle name="40% - 강조색1 2 3 2 2 2" xfId="4380"/>
    <cellStyle name="40% - 강조색1 2 3 2 2 2 2" xfId="21107"/>
    <cellStyle name="40% - 강조색1 2 3 3" xfId="20234"/>
    <cellStyle name="40% - 강조색1 2 4" xfId="4381"/>
    <cellStyle name="40% - 강조색1 2 4 2" xfId="4382"/>
    <cellStyle name="40% - 강조색1 2 4 2 2" xfId="4383"/>
    <cellStyle name="40% - 강조색1 2 4 2 2 2" xfId="4384"/>
    <cellStyle name="40% - 강조색1 2 4 2 2 2 2" xfId="21108"/>
    <cellStyle name="40% - 강조색1 2 4 2 3" xfId="4385"/>
    <cellStyle name="40% - 강조색1 2 4 2 4" xfId="4386"/>
    <cellStyle name="40% - 강조색1 2 4 3" xfId="4387"/>
    <cellStyle name="40% - 강조색1 2 4 3 2" xfId="4388"/>
    <cellStyle name="40% - 강조색1 2 4 4" xfId="4389"/>
    <cellStyle name="40% - 강조색1 2 4 4 2" xfId="4390"/>
    <cellStyle name="40% - 강조색1 2 4 5" xfId="4391"/>
    <cellStyle name="40% - 강조색1 2 4 6" xfId="20235"/>
    <cellStyle name="40% - 강조색1 2 5" xfId="4392"/>
    <cellStyle name="40% - 강조색1 2 5 2" xfId="4393"/>
    <cellStyle name="40% - 강조색1 2 5 2 2" xfId="4394"/>
    <cellStyle name="40% - 강조색1 2 5 3" xfId="4395"/>
    <cellStyle name="40% - 강조색1 2 5 4" xfId="4396"/>
    <cellStyle name="40% - 강조색1 2 6" xfId="4397"/>
    <cellStyle name="40% - 강조색1 2 6 2" xfId="4398"/>
    <cellStyle name="40% - 강조색1 2 6 2 2" xfId="4399"/>
    <cellStyle name="40% - 강조색1 2 6 2 2 2" xfId="21109"/>
    <cellStyle name="40% - 강조색1 2 6 3" xfId="4400"/>
    <cellStyle name="40% - 강조색1 2 6 4" xfId="4401"/>
    <cellStyle name="40% - 강조색1 2 6 5" xfId="20236"/>
    <cellStyle name="40% - 강조색1 2 7" xfId="4402"/>
    <cellStyle name="40% - 강조색1 2 7 2" xfId="4403"/>
    <cellStyle name="40% - 강조색1 2 7 2 2" xfId="4404"/>
    <cellStyle name="40% - 강조색1 2 7 2 2 2" xfId="21110"/>
    <cellStyle name="40% - 강조색1 2 7 3" xfId="4405"/>
    <cellStyle name="40% - 강조색1 2 7 4" xfId="4406"/>
    <cellStyle name="40% - 강조색1 2 7 5" xfId="20237"/>
    <cellStyle name="40% - 강조색1 2 8" xfId="4407"/>
    <cellStyle name="40% - 강조색1 2 8 2" xfId="4408"/>
    <cellStyle name="40% - 강조색1 2 8 2 2" xfId="4409"/>
    <cellStyle name="40% - 강조색1 2 8 3" xfId="4410"/>
    <cellStyle name="40% - 강조색1 2 8 4" xfId="4411"/>
    <cellStyle name="40% - 강조색1 2 9" xfId="4412"/>
    <cellStyle name="40% - 강조색1 2 9 2" xfId="4413"/>
    <cellStyle name="40% - 강조색1 2 9 2 2" xfId="4414"/>
    <cellStyle name="40% - 강조색1 2 9 2 2 2" xfId="21111"/>
    <cellStyle name="40% - 강조색1 2 9 3" xfId="4415"/>
    <cellStyle name="40% - 강조색1 2 9 4" xfId="4416"/>
    <cellStyle name="40% - 강조색1 20" xfId="4417"/>
    <cellStyle name="40% - 강조색1 20 2" xfId="4418"/>
    <cellStyle name="40% - 강조색1 20 3" xfId="4419"/>
    <cellStyle name="40% - 강조색1 20 4" xfId="4420"/>
    <cellStyle name="40% - 강조색1 20 5" xfId="4421"/>
    <cellStyle name="40% - 강조색1 21" xfId="4422"/>
    <cellStyle name="40% - 강조색1 21 2" xfId="4423"/>
    <cellStyle name="40% - 강조색1 21 3" xfId="4424"/>
    <cellStyle name="40% - 강조색1 21 4" xfId="4425"/>
    <cellStyle name="40% - 강조색1 21 5" xfId="4426"/>
    <cellStyle name="40% - 강조색1 22" xfId="4427"/>
    <cellStyle name="40% - 강조색1 22 2" xfId="4428"/>
    <cellStyle name="40% - 강조색1 22 3" xfId="4429"/>
    <cellStyle name="40% - 강조색1 22 4" xfId="4430"/>
    <cellStyle name="40% - 강조색1 22 5" xfId="4431"/>
    <cellStyle name="40% - 강조색1 23" xfId="4432"/>
    <cellStyle name="40% - 강조색1 23 2" xfId="4433"/>
    <cellStyle name="40% - 강조색1 23 2 2" xfId="4434"/>
    <cellStyle name="40% - 강조색1 23 2 3" xfId="4435"/>
    <cellStyle name="40% - 강조색1 23 3" xfId="4436"/>
    <cellStyle name="40% - 강조색1 23 4" xfId="4437"/>
    <cellStyle name="40% - 강조색1 24" xfId="4438"/>
    <cellStyle name="40% - 강조색1 24 2" xfId="4439"/>
    <cellStyle name="40% - 강조색1 24 2 2" xfId="4440"/>
    <cellStyle name="40% - 강조색1 24 2 3" xfId="4441"/>
    <cellStyle name="40% - 강조색1 24 3" xfId="4442"/>
    <cellStyle name="40% - 강조색1 24 4" xfId="4443"/>
    <cellStyle name="40% - 강조색1 25" xfId="4444"/>
    <cellStyle name="40% - 강조색1 25 2" xfId="4445"/>
    <cellStyle name="40% - 강조색1 25 2 2" xfId="4446"/>
    <cellStyle name="40% - 강조색1 25 3" xfId="4447"/>
    <cellStyle name="40% - 강조색1 26" xfId="4448"/>
    <cellStyle name="40% - 강조색1 26 2" xfId="4449"/>
    <cellStyle name="40% - 강조색1 27" xfId="4450"/>
    <cellStyle name="40% - 강조색1 27 2" xfId="4451"/>
    <cellStyle name="40% - 강조색1 28" xfId="4452"/>
    <cellStyle name="40% - 강조색1 29" xfId="4453"/>
    <cellStyle name="40% - 강조색1 3" xfId="4454"/>
    <cellStyle name="40% - 강조색1 3 10" xfId="4455"/>
    <cellStyle name="40% - 강조색1 3 11" xfId="4456"/>
    <cellStyle name="40% - 강조색1 3 12" xfId="4457"/>
    <cellStyle name="40% - 강조색1 3 13" xfId="4458"/>
    <cellStyle name="40% - 강조색1 3 14" xfId="4459"/>
    <cellStyle name="40% - 강조색1 3 15" xfId="4460"/>
    <cellStyle name="40% - 강조색1 3 16" xfId="4461"/>
    <cellStyle name="40% - 강조색1 3 17" xfId="4462"/>
    <cellStyle name="40% - 강조색1 3 18" xfId="4463"/>
    <cellStyle name="40% - 강조색1 3 19" xfId="4464"/>
    <cellStyle name="40% - 강조색1 3 2" xfId="4465"/>
    <cellStyle name="40% - 강조색1 3 2 2" xfId="4466"/>
    <cellStyle name="40% - 강조색1 3 2 2 2" xfId="4467"/>
    <cellStyle name="40% - 강조색1 3 2 2 3" xfId="4468"/>
    <cellStyle name="40% - 강조색1 3 2 2 4" xfId="4469"/>
    <cellStyle name="40% - 강조색1 3 2 2 4 2" xfId="4470"/>
    <cellStyle name="40% - 강조색1 3 2 3" xfId="4471"/>
    <cellStyle name="40% - 강조색1 3 2 4" xfId="4472"/>
    <cellStyle name="40% - 강조색1 3 20" xfId="4473"/>
    <cellStyle name="40% - 강조색1 3 21" xfId="4474"/>
    <cellStyle name="40% - 강조색1 3 3" xfId="4475"/>
    <cellStyle name="40% - 강조색1 3 3 2" xfId="4476"/>
    <cellStyle name="40% - 강조색1 3 3 2 2" xfId="4477"/>
    <cellStyle name="40% - 강조색1 3 3 2 2 2" xfId="4478"/>
    <cellStyle name="40% - 강조색1 3 3 2 2 2 2" xfId="21112"/>
    <cellStyle name="40% - 강조색1 3 3 3" xfId="20238"/>
    <cellStyle name="40% - 강조색1 3 4" xfId="4479"/>
    <cellStyle name="40% - 강조색1 3 4 2" xfId="4480"/>
    <cellStyle name="40% - 강조색1 3 4 2 2" xfId="4481"/>
    <cellStyle name="40% - 강조색1 3 4 2 3" xfId="4482"/>
    <cellStyle name="40% - 강조색1 3 4 2 3 2" xfId="4483"/>
    <cellStyle name="40% - 강조색1 3 4 2 4" xfId="4484"/>
    <cellStyle name="40% - 강조색1 3 4 3" xfId="4485"/>
    <cellStyle name="40% - 강조색1 3 4 3 2" xfId="4486"/>
    <cellStyle name="40% - 강조색1 3 4 3 3" xfId="4487"/>
    <cellStyle name="40% - 강조색1 3 4 4" xfId="4488"/>
    <cellStyle name="40% - 강조색1 3 4 5" xfId="4489"/>
    <cellStyle name="40% - 강조색1 3 4 6" xfId="4490"/>
    <cellStyle name="40% - 강조색1 3 4 6 2" xfId="4491"/>
    <cellStyle name="40% - 강조색1 3 4 7" xfId="20239"/>
    <cellStyle name="40% - 강조색1 3 5" xfId="4492"/>
    <cellStyle name="40% - 강조색1 3 5 2" xfId="4493"/>
    <cellStyle name="40% - 강조색1 3 5 2 2" xfId="4494"/>
    <cellStyle name="40% - 강조색1 3 5 3" xfId="4495"/>
    <cellStyle name="40% - 강조색1 3 6" xfId="4496"/>
    <cellStyle name="40% - 강조색1 3 6 2" xfId="4497"/>
    <cellStyle name="40% - 강조색1 3 7" xfId="4498"/>
    <cellStyle name="40% - 강조색1 3 8" xfId="4499"/>
    <cellStyle name="40% - 강조색1 3 9" xfId="4500"/>
    <cellStyle name="40% - 강조색1 30" xfId="4501"/>
    <cellStyle name="40% - 강조색1 31" xfId="4502"/>
    <cellStyle name="40% - 강조색1 32" xfId="4503"/>
    <cellStyle name="40% - 강조색1 33" xfId="18216"/>
    <cellStyle name="40% - 강조색1 4" xfId="4504"/>
    <cellStyle name="40% - 강조색1 4 10" xfId="4505"/>
    <cellStyle name="40% - 강조색1 4 11" xfId="4506"/>
    <cellStyle name="40% - 강조색1 4 12" xfId="4507"/>
    <cellStyle name="40% - 강조색1 4 13" xfId="4508"/>
    <cellStyle name="40% - 강조색1 4 14" xfId="4509"/>
    <cellStyle name="40% - 강조색1 4 15" xfId="4510"/>
    <cellStyle name="40% - 강조색1 4 16" xfId="4511"/>
    <cellStyle name="40% - 강조색1 4 17" xfId="4512"/>
    <cellStyle name="40% - 강조색1 4 18" xfId="4513"/>
    <cellStyle name="40% - 강조색1 4 19" xfId="4514"/>
    <cellStyle name="40% - 강조색1 4 2" xfId="4515"/>
    <cellStyle name="40% - 강조색1 4 2 2" xfId="4516"/>
    <cellStyle name="40% - 강조색1 4 2 2 2" xfId="4517"/>
    <cellStyle name="40% - 강조색1 4 2 2 2 2" xfId="21113"/>
    <cellStyle name="40% - 강조색1 4 20" xfId="4518"/>
    <cellStyle name="40% - 강조색1 4 21" xfId="4519"/>
    <cellStyle name="40% - 강조색1 4 3" xfId="4520"/>
    <cellStyle name="40% - 강조색1 4 3 2" xfId="4521"/>
    <cellStyle name="40% - 강조색1 4 3 2 2" xfId="4522"/>
    <cellStyle name="40% - 강조색1 4 4" xfId="4523"/>
    <cellStyle name="40% - 강조색1 4 4 2" xfId="4524"/>
    <cellStyle name="40% - 강조색1 4 4 2 2" xfId="4525"/>
    <cellStyle name="40% - 강조색1 4 4 2 2 2" xfId="4526"/>
    <cellStyle name="40% - 강조색1 4 4 2 3" xfId="4527"/>
    <cellStyle name="40% - 강조색1 4 4 3" xfId="4528"/>
    <cellStyle name="40% - 강조색1 4 4 3 2" xfId="4529"/>
    <cellStyle name="40% - 강조색1 4 4 4" xfId="4530"/>
    <cellStyle name="40% - 강조색1 4 4 5" xfId="4531"/>
    <cellStyle name="40% - 강조색1 4 5" xfId="4532"/>
    <cellStyle name="40% - 강조색1 4 5 2" xfId="4533"/>
    <cellStyle name="40% - 강조색1 4 5 2 2" xfId="4534"/>
    <cellStyle name="40% - 강조색1 4 6" xfId="4535"/>
    <cellStyle name="40% - 강조색1 4 6 2" xfId="4536"/>
    <cellStyle name="40% - 강조색1 4 7" xfId="4537"/>
    <cellStyle name="40% - 강조색1 4 8" xfId="4538"/>
    <cellStyle name="40% - 강조색1 4 9" xfId="4539"/>
    <cellStyle name="40% - 강조색1 5" xfId="4540"/>
    <cellStyle name="40% - 강조색1 5 10" xfId="4541"/>
    <cellStyle name="40% - 강조색1 5 11" xfId="4542"/>
    <cellStyle name="40% - 강조색1 5 12" xfId="4543"/>
    <cellStyle name="40% - 강조색1 5 13" xfId="4544"/>
    <cellStyle name="40% - 강조색1 5 14" xfId="4545"/>
    <cellStyle name="40% - 강조색1 5 15" xfId="4546"/>
    <cellStyle name="40% - 강조색1 5 16" xfId="4547"/>
    <cellStyle name="40% - 강조색1 5 17" xfId="4548"/>
    <cellStyle name="40% - 강조색1 5 18" xfId="4549"/>
    <cellStyle name="40% - 강조색1 5 19" xfId="4550"/>
    <cellStyle name="40% - 강조색1 5 2" xfId="4551"/>
    <cellStyle name="40% - 강조색1 5 2 2" xfId="4552"/>
    <cellStyle name="40% - 강조색1 5 2 2 2" xfId="4553"/>
    <cellStyle name="40% - 강조색1 5 2 2 2 2" xfId="21114"/>
    <cellStyle name="40% - 강조색1 5 20" xfId="4554"/>
    <cellStyle name="40% - 강조색1 5 21" xfId="4555"/>
    <cellStyle name="40% - 강조색1 5 3" xfId="4556"/>
    <cellStyle name="40% - 강조색1 5 3 2" xfId="4557"/>
    <cellStyle name="40% - 강조색1 5 3 2 2" xfId="4558"/>
    <cellStyle name="40% - 강조색1 5 3 2 2 2" xfId="4559"/>
    <cellStyle name="40% - 강조색1 5 3 2 3" xfId="4560"/>
    <cellStyle name="40% - 강조색1 5 3 3" xfId="4561"/>
    <cellStyle name="40% - 강조색1 5 3 4" xfId="4562"/>
    <cellStyle name="40% - 강조색1 5 3 4 2" xfId="4563"/>
    <cellStyle name="40% - 강조색1 5 4" xfId="4564"/>
    <cellStyle name="40% - 강조색1 5 4 2" xfId="4565"/>
    <cellStyle name="40% - 강조색1 5 5" xfId="4566"/>
    <cellStyle name="40% - 강조색1 5 6" xfId="4567"/>
    <cellStyle name="40% - 강조색1 5 7" xfId="4568"/>
    <cellStyle name="40% - 강조색1 5 8" xfId="4569"/>
    <cellStyle name="40% - 강조색1 5 9" xfId="4570"/>
    <cellStyle name="40% - 강조색1 6" xfId="4571"/>
    <cellStyle name="40% - 강조색1 6 10" xfId="4572"/>
    <cellStyle name="40% - 강조색1 6 11" xfId="4573"/>
    <cellStyle name="40% - 강조색1 6 12" xfId="4574"/>
    <cellStyle name="40% - 강조색1 6 13" xfId="4575"/>
    <cellStyle name="40% - 강조색1 6 14" xfId="4576"/>
    <cellStyle name="40% - 강조색1 6 15" xfId="4577"/>
    <cellStyle name="40% - 강조색1 6 16" xfId="4578"/>
    <cellStyle name="40% - 강조색1 6 17" xfId="4579"/>
    <cellStyle name="40% - 강조색1 6 18" xfId="4580"/>
    <cellStyle name="40% - 강조색1 6 19" xfId="4581"/>
    <cellStyle name="40% - 강조색1 6 2" xfId="4582"/>
    <cellStyle name="40% - 강조색1 6 2 2" xfId="4583"/>
    <cellStyle name="40% - 강조색1 6 2 2 2" xfId="4584"/>
    <cellStyle name="40% - 강조색1 6 2 2 2 2" xfId="21115"/>
    <cellStyle name="40% - 강조색1 6 20" xfId="4585"/>
    <cellStyle name="40% - 강조색1 6 21" xfId="4586"/>
    <cellStyle name="40% - 강조색1 6 3" xfId="4587"/>
    <cellStyle name="40% - 강조색1 6 3 2" xfId="4588"/>
    <cellStyle name="40% - 강조색1 6 3 2 2" xfId="4589"/>
    <cellStyle name="40% - 강조색1 6 3 2 2 2" xfId="4590"/>
    <cellStyle name="40% - 강조색1 6 3 2 3" xfId="4591"/>
    <cellStyle name="40% - 강조색1 6 3 3" xfId="4592"/>
    <cellStyle name="40% - 강조색1 6 3 4" xfId="4593"/>
    <cellStyle name="40% - 강조색1 6 3 4 2" xfId="4594"/>
    <cellStyle name="40% - 강조색1 6 4" xfId="4595"/>
    <cellStyle name="40% - 강조색1 6 4 2" xfId="4596"/>
    <cellStyle name="40% - 강조색1 6 5" xfId="4597"/>
    <cellStyle name="40% - 강조색1 6 6" xfId="4598"/>
    <cellStyle name="40% - 강조색1 6 7" xfId="4599"/>
    <cellStyle name="40% - 강조색1 6 8" xfId="4600"/>
    <cellStyle name="40% - 강조색1 6 9" xfId="4601"/>
    <cellStyle name="40% - 강조색1 7" xfId="4602"/>
    <cellStyle name="40% - 강조색1 7 10" xfId="4603"/>
    <cellStyle name="40% - 강조색1 7 11" xfId="4604"/>
    <cellStyle name="40% - 강조색1 7 12" xfId="4605"/>
    <cellStyle name="40% - 강조색1 7 13" xfId="4606"/>
    <cellStyle name="40% - 강조색1 7 14" xfId="4607"/>
    <cellStyle name="40% - 강조색1 7 15" xfId="4608"/>
    <cellStyle name="40% - 강조색1 7 16" xfId="4609"/>
    <cellStyle name="40% - 강조색1 7 17" xfId="4610"/>
    <cellStyle name="40% - 강조색1 7 18" xfId="4611"/>
    <cellStyle name="40% - 강조색1 7 19" xfId="4612"/>
    <cellStyle name="40% - 강조색1 7 2" xfId="4613"/>
    <cellStyle name="40% - 강조색1 7 2 2" xfId="4614"/>
    <cellStyle name="40% - 강조색1 7 2 2 2" xfId="4615"/>
    <cellStyle name="40% - 강조색1 7 2 3" xfId="4616"/>
    <cellStyle name="40% - 강조색1 7 3" xfId="4617"/>
    <cellStyle name="40% - 강조색1 7 4" xfId="4618"/>
    <cellStyle name="40% - 강조색1 7 5" xfId="4619"/>
    <cellStyle name="40% - 강조색1 7 6" xfId="4620"/>
    <cellStyle name="40% - 강조색1 7 7" xfId="4621"/>
    <cellStyle name="40% - 강조색1 7 8" xfId="4622"/>
    <cellStyle name="40% - 강조색1 7 9" xfId="4623"/>
    <cellStyle name="40% - 강조색1 8" xfId="4624"/>
    <cellStyle name="40% - 강조색1 8 10" xfId="4625"/>
    <cellStyle name="40% - 강조색1 8 11" xfId="4626"/>
    <cellStyle name="40% - 강조색1 8 12" xfId="4627"/>
    <cellStyle name="40% - 강조색1 8 13" xfId="4628"/>
    <cellStyle name="40% - 강조색1 8 14" xfId="4629"/>
    <cellStyle name="40% - 강조색1 8 15" xfId="4630"/>
    <cellStyle name="40% - 강조색1 8 16" xfId="4631"/>
    <cellStyle name="40% - 강조색1 8 17" xfId="4632"/>
    <cellStyle name="40% - 강조색1 8 18" xfId="4633"/>
    <cellStyle name="40% - 강조색1 8 19" xfId="4634"/>
    <cellStyle name="40% - 강조색1 8 2" xfId="4635"/>
    <cellStyle name="40% - 강조색1 8 2 2" xfId="4636"/>
    <cellStyle name="40% - 강조색1 8 2 2 2" xfId="4637"/>
    <cellStyle name="40% - 강조색1 8 2 3" xfId="4638"/>
    <cellStyle name="40% - 강조색1 8 3" xfId="4639"/>
    <cellStyle name="40% - 강조색1 8 4" xfId="4640"/>
    <cellStyle name="40% - 강조색1 8 5" xfId="4641"/>
    <cellStyle name="40% - 강조색1 8 6" xfId="4642"/>
    <cellStyle name="40% - 강조색1 8 7" xfId="4643"/>
    <cellStyle name="40% - 강조색1 8 8" xfId="4644"/>
    <cellStyle name="40% - 강조색1 8 9" xfId="4645"/>
    <cellStyle name="40% - 강조색1 9" xfId="4646"/>
    <cellStyle name="40% - 강조색1 9 10" xfId="4647"/>
    <cellStyle name="40% - 강조색1 9 11" xfId="4648"/>
    <cellStyle name="40% - 강조색1 9 12" xfId="4649"/>
    <cellStyle name="40% - 강조색1 9 13" xfId="4650"/>
    <cellStyle name="40% - 강조색1 9 14" xfId="4651"/>
    <cellStyle name="40% - 강조색1 9 15" xfId="4652"/>
    <cellStyle name="40% - 강조색1 9 16" xfId="4653"/>
    <cellStyle name="40% - 강조색1 9 17" xfId="4654"/>
    <cellStyle name="40% - 강조색1 9 18" xfId="4655"/>
    <cellStyle name="40% - 강조색1 9 19" xfId="4656"/>
    <cellStyle name="40% - 강조색1 9 2" xfId="4657"/>
    <cellStyle name="40% - 강조색1 9 2 2" xfId="4658"/>
    <cellStyle name="40% - 강조색1 9 2 2 2" xfId="4659"/>
    <cellStyle name="40% - 강조색1 9 2 2 2 2" xfId="4660"/>
    <cellStyle name="40% - 강조색1 9 2 2 2 2 2" xfId="21116"/>
    <cellStyle name="40% - 강조색1 9 2 2 3" xfId="4661"/>
    <cellStyle name="40% - 강조색1 9 2 3" xfId="4662"/>
    <cellStyle name="40% - 강조색1 9 2 3 2" xfId="4663"/>
    <cellStyle name="40% - 강조색1 9 2 4" xfId="4664"/>
    <cellStyle name="40% - 강조색1 9 20" xfId="4665"/>
    <cellStyle name="40% - 강조색1 9 21" xfId="4666"/>
    <cellStyle name="40% - 강조색1 9 3" xfId="4667"/>
    <cellStyle name="40% - 강조색1 9 3 2" xfId="4668"/>
    <cellStyle name="40% - 강조색1 9 3 2 2" xfId="4669"/>
    <cellStyle name="40% - 강조색1 9 4" xfId="4670"/>
    <cellStyle name="40% - 강조색1 9 4 2" xfId="4671"/>
    <cellStyle name="40% - 강조색1 9 5" xfId="4672"/>
    <cellStyle name="40% - 강조색1 9 5 2" xfId="4673"/>
    <cellStyle name="40% - 강조색1 9 6" xfId="4674"/>
    <cellStyle name="40% - 강조색1 9 7" xfId="4675"/>
    <cellStyle name="40% - 강조색1 9 8" xfId="4676"/>
    <cellStyle name="40% - 강조색1 9 9" xfId="4677"/>
    <cellStyle name="40% - 강조색2" xfId="24" builtinId="35" customBuiltin="1"/>
    <cellStyle name="40% - 강조색2 10" xfId="4678"/>
    <cellStyle name="40% - 강조색2 10 10" xfId="4679"/>
    <cellStyle name="40% - 강조색2 10 11" xfId="4680"/>
    <cellStyle name="40% - 강조색2 10 12" xfId="4681"/>
    <cellStyle name="40% - 강조색2 10 13" xfId="4682"/>
    <cellStyle name="40% - 강조색2 10 14" xfId="4683"/>
    <cellStyle name="40% - 강조색2 10 15" xfId="4684"/>
    <cellStyle name="40% - 강조색2 10 16" xfId="4685"/>
    <cellStyle name="40% - 강조색2 10 17" xfId="4686"/>
    <cellStyle name="40% - 강조색2 10 18" xfId="4687"/>
    <cellStyle name="40% - 강조색2 10 19" xfId="4688"/>
    <cellStyle name="40% - 강조색2 10 2" xfId="4689"/>
    <cellStyle name="40% - 강조색2 10 2 2" xfId="4690"/>
    <cellStyle name="40% - 강조색2 10 2 2 2" xfId="4691"/>
    <cellStyle name="40% - 강조색2 10 2 2 2 2" xfId="4692"/>
    <cellStyle name="40% - 강조색2 10 2 2 2 2 2" xfId="21117"/>
    <cellStyle name="40% - 강조색2 10 2 2 3" xfId="4693"/>
    <cellStyle name="40% - 강조색2 10 2 3" xfId="4694"/>
    <cellStyle name="40% - 강조색2 10 2 3 2" xfId="4695"/>
    <cellStyle name="40% - 강조색2 10 2 4" xfId="4696"/>
    <cellStyle name="40% - 강조색2 10 20" xfId="4697"/>
    <cellStyle name="40% - 강조색2 10 21" xfId="4698"/>
    <cellStyle name="40% - 강조색2 10 3" xfId="4699"/>
    <cellStyle name="40% - 강조색2 10 3 2" xfId="4700"/>
    <cellStyle name="40% - 강조색2 10 3 2 2" xfId="4701"/>
    <cellStyle name="40% - 강조색2 10 4" xfId="4702"/>
    <cellStyle name="40% - 강조색2 10 4 2" xfId="4703"/>
    <cellStyle name="40% - 강조색2 10 5" xfId="4704"/>
    <cellStyle name="40% - 강조색2 10 5 2" xfId="4705"/>
    <cellStyle name="40% - 강조색2 10 6" xfId="4706"/>
    <cellStyle name="40% - 강조색2 10 7" xfId="4707"/>
    <cellStyle name="40% - 강조색2 10 8" xfId="4708"/>
    <cellStyle name="40% - 강조색2 10 9" xfId="4709"/>
    <cellStyle name="40% - 강조색2 11" xfId="4710"/>
    <cellStyle name="40% - 강조색2 11 2" xfId="4711"/>
    <cellStyle name="40% - 강조색2 11 2 2" xfId="4712"/>
    <cellStyle name="40% - 강조색2 11 2 2 2" xfId="4713"/>
    <cellStyle name="40% - 강조색2 11 2 2 2 2" xfId="4714"/>
    <cellStyle name="40% - 강조색2 11 2 2 3" xfId="4715"/>
    <cellStyle name="40% - 강조색2 11 2 3" xfId="4716"/>
    <cellStyle name="40% - 강조색2 11 2 3 2" xfId="4717"/>
    <cellStyle name="40% - 강조색2 11 2 4" xfId="4718"/>
    <cellStyle name="40% - 강조색2 11 3" xfId="4719"/>
    <cellStyle name="40% - 강조색2 11 3 2" xfId="4720"/>
    <cellStyle name="40% - 강조색2 11 3 2 2" xfId="4721"/>
    <cellStyle name="40% - 강조색2 11 3 3" xfId="4722"/>
    <cellStyle name="40% - 강조색2 11 4" xfId="4723"/>
    <cellStyle name="40% - 강조색2 11 4 2" xfId="4724"/>
    <cellStyle name="40% - 강조색2 11 5" xfId="4725"/>
    <cellStyle name="40% - 강조색2 11 5 2" xfId="4726"/>
    <cellStyle name="40% - 강조색2 12" xfId="4727"/>
    <cellStyle name="40% - 강조색2 12 2" xfId="4728"/>
    <cellStyle name="40% - 강조색2 12 2 2" xfId="4729"/>
    <cellStyle name="40% - 강조색2 12 2 2 2" xfId="4730"/>
    <cellStyle name="40% - 강조색2 12 2 2 2 2" xfId="4731"/>
    <cellStyle name="40% - 강조색2 12 2 2 2 2 2" xfId="21118"/>
    <cellStyle name="40% - 강조색2 12 2 2 3" xfId="4732"/>
    <cellStyle name="40% - 강조색2 12 2 3" xfId="4733"/>
    <cellStyle name="40% - 강조색2 12 2 3 2" xfId="4734"/>
    <cellStyle name="40% - 강조색2 12 2 4" xfId="4735"/>
    <cellStyle name="40% - 강조색2 12 3" xfId="4736"/>
    <cellStyle name="40% - 강조색2 12 3 2" xfId="4737"/>
    <cellStyle name="40% - 강조색2 12 3 2 2" xfId="4738"/>
    <cellStyle name="40% - 강조색2 12 3 3" xfId="4739"/>
    <cellStyle name="40% - 강조색2 12 4" xfId="4740"/>
    <cellStyle name="40% - 강조색2 12 4 2" xfId="4741"/>
    <cellStyle name="40% - 강조색2 12 5" xfId="4742"/>
    <cellStyle name="40% - 강조색2 12 5 2" xfId="4743"/>
    <cellStyle name="40% - 강조색2 13" xfId="4744"/>
    <cellStyle name="40% - 강조색2 13 2" xfId="4745"/>
    <cellStyle name="40% - 강조색2 13 2 2" xfId="4746"/>
    <cellStyle name="40% - 강조색2 13 2 2 2" xfId="21119"/>
    <cellStyle name="40% - 강조색2 13 2 3" xfId="4747"/>
    <cellStyle name="40% - 강조색2 13 2 3 2" xfId="4748"/>
    <cellStyle name="40% - 강조색2 13 2 4" xfId="4749"/>
    <cellStyle name="40% - 강조색2 13 3" xfId="4750"/>
    <cellStyle name="40% - 강조색2 13 3 2" xfId="4751"/>
    <cellStyle name="40% - 강조색2 13 3 3" xfId="4752"/>
    <cellStyle name="40% - 강조색2 13 3 3 2" xfId="4753"/>
    <cellStyle name="40% - 강조색2 13 4" xfId="4754"/>
    <cellStyle name="40% - 강조색2 13 4 2" xfId="4755"/>
    <cellStyle name="40% - 강조색2 13 5" xfId="4756"/>
    <cellStyle name="40% - 강조색2 14" xfId="4757"/>
    <cellStyle name="40% - 강조색2 14 2" xfId="4758"/>
    <cellStyle name="40% - 강조색2 14 2 2" xfId="4759"/>
    <cellStyle name="40% - 강조색2 14 2 2 2" xfId="21120"/>
    <cellStyle name="40% - 강조색2 14 3" xfId="4760"/>
    <cellStyle name="40% - 강조색2 14 3 2" xfId="4761"/>
    <cellStyle name="40% - 강조색2 14 4" xfId="4762"/>
    <cellStyle name="40% - 강조색2 14 5" xfId="4763"/>
    <cellStyle name="40% - 강조색2 15" xfId="4764"/>
    <cellStyle name="40% - 강조색2 15 2" xfId="4765"/>
    <cellStyle name="40% - 강조색2 15 2 2" xfId="4766"/>
    <cellStyle name="40% - 강조색2 15 2 2 2" xfId="21121"/>
    <cellStyle name="40% - 강조색2 15 3" xfId="4767"/>
    <cellStyle name="40% - 강조색2 15 3 2" xfId="4768"/>
    <cellStyle name="40% - 강조색2 15 4" xfId="4769"/>
    <cellStyle name="40% - 강조색2 15 5" xfId="4770"/>
    <cellStyle name="40% - 강조색2 16" xfId="4771"/>
    <cellStyle name="40% - 강조색2 16 2" xfId="4772"/>
    <cellStyle name="40% - 강조색2 16 2 2" xfId="4773"/>
    <cellStyle name="40% - 강조색2 16 2 2 2" xfId="21122"/>
    <cellStyle name="40% - 강조색2 16 3" xfId="4774"/>
    <cellStyle name="40% - 강조색2 16 3 2" xfId="4775"/>
    <cellStyle name="40% - 강조색2 16 4" xfId="4776"/>
    <cellStyle name="40% - 강조색2 16 5" xfId="4777"/>
    <cellStyle name="40% - 강조색2 17" xfId="4778"/>
    <cellStyle name="40% - 강조색2 17 2" xfId="4779"/>
    <cellStyle name="40% - 강조색2 17 2 2" xfId="4780"/>
    <cellStyle name="40% - 강조색2 17 2 2 2" xfId="21123"/>
    <cellStyle name="40% - 강조색2 17 3" xfId="4781"/>
    <cellStyle name="40% - 강조색2 17 4" xfId="4782"/>
    <cellStyle name="40% - 강조색2 17 5" xfId="4783"/>
    <cellStyle name="40% - 강조색2 18" xfId="4784"/>
    <cellStyle name="40% - 강조색2 18 2" xfId="4785"/>
    <cellStyle name="40% - 강조색2 18 2 2" xfId="4786"/>
    <cellStyle name="40% - 강조색2 18 3" xfId="4787"/>
    <cellStyle name="40% - 강조색2 18 4" xfId="4788"/>
    <cellStyle name="40% - 강조색2 18 5" xfId="4789"/>
    <cellStyle name="40% - 강조색2 19" xfId="4790"/>
    <cellStyle name="40% - 강조색2 19 2" xfId="4791"/>
    <cellStyle name="40% - 강조색2 19 2 2" xfId="4792"/>
    <cellStyle name="40% - 강조색2 19 3" xfId="4793"/>
    <cellStyle name="40% - 강조색2 19 4" xfId="4794"/>
    <cellStyle name="40% - 강조색2 19 5" xfId="4795"/>
    <cellStyle name="40% - 강조색2 2" xfId="4796"/>
    <cellStyle name="40% - 강조색2 2 10" xfId="4797"/>
    <cellStyle name="40% - 강조색2 2 10 2" xfId="4798"/>
    <cellStyle name="40% - 강조색2 2 10 2 2" xfId="4799"/>
    <cellStyle name="40% - 강조색2 2 10 3" xfId="4800"/>
    <cellStyle name="40% - 강조색2 2 10 4" xfId="4801"/>
    <cellStyle name="40% - 강조색2 2 11" xfId="4802"/>
    <cellStyle name="40% - 강조색2 2 11 2" xfId="4803"/>
    <cellStyle name="40% - 강조색2 2 11 2 2" xfId="4804"/>
    <cellStyle name="40% - 강조색2 2 11 3" xfId="4805"/>
    <cellStyle name="40% - 강조색2 2 12" xfId="4806"/>
    <cellStyle name="40% - 강조색2 2 12 2" xfId="4807"/>
    <cellStyle name="40% - 강조색2 2 13" xfId="4808"/>
    <cellStyle name="40% - 강조색2 2 14" xfId="4809"/>
    <cellStyle name="40% - 강조색2 2 15" xfId="4810"/>
    <cellStyle name="40% - 강조색2 2 16" xfId="4811"/>
    <cellStyle name="40% - 강조색2 2 17" xfId="4812"/>
    <cellStyle name="40% - 강조색2 2 18" xfId="4813"/>
    <cellStyle name="40% - 강조색2 2 19" xfId="4814"/>
    <cellStyle name="40% - 강조색2 2 2" xfId="4815"/>
    <cellStyle name="40% - 강조색2 2 2 2" xfId="4816"/>
    <cellStyle name="40% - 강조색2 2 2 2 2" xfId="4817"/>
    <cellStyle name="40% - 강조색2 2 2 2 3" xfId="4818"/>
    <cellStyle name="40% - 강조색2 2 2 2 4" xfId="4819"/>
    <cellStyle name="40% - 강조색2 2 2 2 4 2" xfId="4820"/>
    <cellStyle name="40% - 강조색2 2 2 2 5" xfId="4821"/>
    <cellStyle name="40% - 강조색2 2 2 3" xfId="4822"/>
    <cellStyle name="40% - 강조색2 2 2 3 2" xfId="4823"/>
    <cellStyle name="40% - 강조색2 2 2 3 2 2" xfId="4824"/>
    <cellStyle name="40% - 강조색2 2 2 3 3" xfId="4825"/>
    <cellStyle name="40% - 강조색2 2 2 4" xfId="4826"/>
    <cellStyle name="40% - 강조색2 2 20" xfId="4827"/>
    <cellStyle name="40% - 강조색2 2 21" xfId="4828"/>
    <cellStyle name="40% - 강조색2 2 22" xfId="19669"/>
    <cellStyle name="40% - 강조색2 2 3" xfId="4829"/>
    <cellStyle name="40% - 강조색2 2 3 2" xfId="4830"/>
    <cellStyle name="40% - 강조색2 2 3 2 2" xfId="4831"/>
    <cellStyle name="40% - 강조색2 2 3 2 2 2" xfId="4832"/>
    <cellStyle name="40% - 강조색2 2 4" xfId="4833"/>
    <cellStyle name="40% - 강조색2 2 4 2" xfId="4834"/>
    <cellStyle name="40% - 강조색2 2 4 2 2" xfId="4835"/>
    <cellStyle name="40% - 강조색2 2 4 2 2 2" xfId="4836"/>
    <cellStyle name="40% - 강조색2 2 4 2 2 2 2" xfId="21124"/>
    <cellStyle name="40% - 강조색2 2 4 2 3" xfId="4837"/>
    <cellStyle name="40% - 강조색2 2 4 2 4" xfId="4838"/>
    <cellStyle name="40% - 강조색2 2 4 3" xfId="4839"/>
    <cellStyle name="40% - 강조색2 2 4 3 2" xfId="4840"/>
    <cellStyle name="40% - 강조색2 2 4 4" xfId="4841"/>
    <cellStyle name="40% - 강조색2 2 4 4 2" xfId="4842"/>
    <cellStyle name="40% - 강조색2 2 4 5" xfId="4843"/>
    <cellStyle name="40% - 강조색2 2 5" xfId="4844"/>
    <cellStyle name="40% - 강조색2 2 5 2" xfId="4845"/>
    <cellStyle name="40% - 강조색2 2 5 2 2" xfId="4846"/>
    <cellStyle name="40% - 강조색2 2 5 3" xfId="4847"/>
    <cellStyle name="40% - 강조색2 2 5 4" xfId="4848"/>
    <cellStyle name="40% - 강조색2 2 6" xfId="4849"/>
    <cellStyle name="40% - 강조색2 2 6 2" xfId="4850"/>
    <cellStyle name="40% - 강조색2 2 6 2 2" xfId="4851"/>
    <cellStyle name="40% - 강조색2 2 6 2 2 2" xfId="21125"/>
    <cellStyle name="40% - 강조색2 2 6 3" xfId="4852"/>
    <cellStyle name="40% - 강조색2 2 6 4" xfId="4853"/>
    <cellStyle name="40% - 강조색2 2 7" xfId="4854"/>
    <cellStyle name="40% - 강조색2 2 7 2" xfId="4855"/>
    <cellStyle name="40% - 강조색2 2 7 2 2" xfId="4856"/>
    <cellStyle name="40% - 강조색2 2 7 3" xfId="4857"/>
    <cellStyle name="40% - 강조색2 2 7 4" xfId="4858"/>
    <cellStyle name="40% - 강조색2 2 8" xfId="4859"/>
    <cellStyle name="40% - 강조색2 2 8 2" xfId="4860"/>
    <cellStyle name="40% - 강조색2 2 8 2 2" xfId="4861"/>
    <cellStyle name="40% - 강조색2 2 8 3" xfId="4862"/>
    <cellStyle name="40% - 강조색2 2 8 4" xfId="4863"/>
    <cellStyle name="40% - 강조색2 2 9" xfId="4864"/>
    <cellStyle name="40% - 강조색2 2 9 2" xfId="4865"/>
    <cellStyle name="40% - 강조색2 2 9 2 2" xfId="4866"/>
    <cellStyle name="40% - 강조색2 2 9 3" xfId="4867"/>
    <cellStyle name="40% - 강조색2 2 9 4" xfId="4868"/>
    <cellStyle name="40% - 강조색2 20" xfId="4869"/>
    <cellStyle name="40% - 강조색2 20 2" xfId="4870"/>
    <cellStyle name="40% - 강조색2 20 3" xfId="4871"/>
    <cellStyle name="40% - 강조색2 20 4" xfId="4872"/>
    <cellStyle name="40% - 강조색2 20 5" xfId="4873"/>
    <cellStyle name="40% - 강조색2 21" xfId="4874"/>
    <cellStyle name="40% - 강조색2 21 2" xfId="4875"/>
    <cellStyle name="40% - 강조색2 21 3" xfId="4876"/>
    <cellStyle name="40% - 강조색2 21 4" xfId="4877"/>
    <cellStyle name="40% - 강조색2 21 5" xfId="4878"/>
    <cellStyle name="40% - 강조색2 22" xfId="4879"/>
    <cellStyle name="40% - 강조색2 22 2" xfId="4880"/>
    <cellStyle name="40% - 강조색2 22 3" xfId="4881"/>
    <cellStyle name="40% - 강조색2 22 4" xfId="4882"/>
    <cellStyle name="40% - 강조색2 22 5" xfId="4883"/>
    <cellStyle name="40% - 강조색2 23" xfId="4884"/>
    <cellStyle name="40% - 강조색2 23 2" xfId="4885"/>
    <cellStyle name="40% - 강조색2 23 2 2" xfId="4886"/>
    <cellStyle name="40% - 강조색2 23 2 3" xfId="4887"/>
    <cellStyle name="40% - 강조색2 23 3" xfId="4888"/>
    <cellStyle name="40% - 강조색2 23 4" xfId="4889"/>
    <cellStyle name="40% - 강조색2 24" xfId="4890"/>
    <cellStyle name="40% - 강조색2 24 2" xfId="4891"/>
    <cellStyle name="40% - 강조색2 24 2 2" xfId="4892"/>
    <cellStyle name="40% - 강조색2 24 2 3" xfId="4893"/>
    <cellStyle name="40% - 강조색2 24 3" xfId="4894"/>
    <cellStyle name="40% - 강조색2 24 4" xfId="4895"/>
    <cellStyle name="40% - 강조색2 25" xfId="4896"/>
    <cellStyle name="40% - 강조색2 25 2" xfId="4897"/>
    <cellStyle name="40% - 강조색2 25 2 2" xfId="4898"/>
    <cellStyle name="40% - 강조색2 25 3" xfId="4899"/>
    <cellStyle name="40% - 강조색2 26" xfId="4900"/>
    <cellStyle name="40% - 강조색2 26 2" xfId="4901"/>
    <cellStyle name="40% - 강조색2 27" xfId="4902"/>
    <cellStyle name="40% - 강조색2 27 2" xfId="4903"/>
    <cellStyle name="40% - 강조색2 28" xfId="4904"/>
    <cellStyle name="40% - 강조색2 29" xfId="4905"/>
    <cellStyle name="40% - 강조색2 3" xfId="4906"/>
    <cellStyle name="40% - 강조색2 3 10" xfId="4907"/>
    <cellStyle name="40% - 강조색2 3 11" xfId="4908"/>
    <cellStyle name="40% - 강조색2 3 12" xfId="4909"/>
    <cellStyle name="40% - 강조색2 3 13" xfId="4910"/>
    <cellStyle name="40% - 강조색2 3 14" xfId="4911"/>
    <cellStyle name="40% - 강조색2 3 15" xfId="4912"/>
    <cellStyle name="40% - 강조색2 3 16" xfId="4913"/>
    <cellStyle name="40% - 강조색2 3 17" xfId="4914"/>
    <cellStyle name="40% - 강조색2 3 18" xfId="4915"/>
    <cellStyle name="40% - 강조색2 3 19" xfId="4916"/>
    <cellStyle name="40% - 강조색2 3 2" xfId="4917"/>
    <cellStyle name="40% - 강조색2 3 2 2" xfId="4918"/>
    <cellStyle name="40% - 강조색2 3 2 2 2" xfId="4919"/>
    <cellStyle name="40% - 강조색2 3 2 2 3" xfId="4920"/>
    <cellStyle name="40% - 강조색2 3 2 2 4" xfId="4921"/>
    <cellStyle name="40% - 강조색2 3 2 2 4 2" xfId="4922"/>
    <cellStyle name="40% - 강조색2 3 2 3" xfId="4923"/>
    <cellStyle name="40% - 강조색2 3 2 4" xfId="4924"/>
    <cellStyle name="40% - 강조색2 3 20" xfId="4925"/>
    <cellStyle name="40% - 강조색2 3 21" xfId="4926"/>
    <cellStyle name="40% - 강조색2 3 3" xfId="4927"/>
    <cellStyle name="40% - 강조색2 3 3 2" xfId="4928"/>
    <cellStyle name="40% - 강조색2 3 3 2 2" xfId="4929"/>
    <cellStyle name="40% - 강조색2 3 3 2 2 2" xfId="4930"/>
    <cellStyle name="40% - 강조색2 3 4" xfId="4931"/>
    <cellStyle name="40% - 강조색2 3 4 2" xfId="4932"/>
    <cellStyle name="40% - 강조색2 3 4 2 2" xfId="4933"/>
    <cellStyle name="40% - 강조색2 3 4 2 3" xfId="4934"/>
    <cellStyle name="40% - 강조색2 3 4 2 3 2" xfId="4935"/>
    <cellStyle name="40% - 강조색2 3 4 2 4" xfId="4936"/>
    <cellStyle name="40% - 강조색2 3 4 3" xfId="4937"/>
    <cellStyle name="40% - 강조색2 3 4 3 2" xfId="4938"/>
    <cellStyle name="40% - 강조색2 3 4 3 3" xfId="4939"/>
    <cellStyle name="40% - 강조색2 3 4 4" xfId="4940"/>
    <cellStyle name="40% - 강조색2 3 4 5" xfId="4941"/>
    <cellStyle name="40% - 강조색2 3 4 6" xfId="4942"/>
    <cellStyle name="40% - 강조색2 3 4 6 2" xfId="4943"/>
    <cellStyle name="40% - 강조색2 3 5" xfId="4944"/>
    <cellStyle name="40% - 강조색2 3 5 2" xfId="4945"/>
    <cellStyle name="40% - 강조색2 3 5 2 2" xfId="4946"/>
    <cellStyle name="40% - 강조색2 3 5 3" xfId="4947"/>
    <cellStyle name="40% - 강조색2 3 6" xfId="4948"/>
    <cellStyle name="40% - 강조색2 3 6 2" xfId="4949"/>
    <cellStyle name="40% - 강조색2 3 7" xfId="4950"/>
    <cellStyle name="40% - 강조색2 3 8" xfId="4951"/>
    <cellStyle name="40% - 강조색2 3 9" xfId="4952"/>
    <cellStyle name="40% - 강조색2 30" xfId="4953"/>
    <cellStyle name="40% - 강조색2 31" xfId="4954"/>
    <cellStyle name="40% - 강조색2 32" xfId="4955"/>
    <cellStyle name="40% - 강조색2 33" xfId="18220"/>
    <cellStyle name="40% - 강조색2 4" xfId="4956"/>
    <cellStyle name="40% - 강조색2 4 10" xfId="4957"/>
    <cellStyle name="40% - 강조색2 4 11" xfId="4958"/>
    <cellStyle name="40% - 강조색2 4 12" xfId="4959"/>
    <cellStyle name="40% - 강조색2 4 13" xfId="4960"/>
    <cellStyle name="40% - 강조색2 4 14" xfId="4961"/>
    <cellStyle name="40% - 강조색2 4 15" xfId="4962"/>
    <cellStyle name="40% - 강조색2 4 16" xfId="4963"/>
    <cellStyle name="40% - 강조색2 4 17" xfId="4964"/>
    <cellStyle name="40% - 강조색2 4 18" xfId="4965"/>
    <cellStyle name="40% - 강조색2 4 19" xfId="4966"/>
    <cellStyle name="40% - 강조색2 4 2" xfId="4967"/>
    <cellStyle name="40% - 강조색2 4 2 2" xfId="4968"/>
    <cellStyle name="40% - 강조색2 4 2 2 2" xfId="4969"/>
    <cellStyle name="40% - 강조색2 4 2 2 2 2" xfId="21126"/>
    <cellStyle name="40% - 강조색2 4 20" xfId="4970"/>
    <cellStyle name="40% - 강조색2 4 21" xfId="4971"/>
    <cellStyle name="40% - 강조색2 4 3" xfId="4972"/>
    <cellStyle name="40% - 강조색2 4 3 2" xfId="4973"/>
    <cellStyle name="40% - 강조색2 4 3 2 2" xfId="4974"/>
    <cellStyle name="40% - 강조색2 4 4" xfId="4975"/>
    <cellStyle name="40% - 강조색2 4 4 2" xfId="4976"/>
    <cellStyle name="40% - 강조색2 4 4 2 2" xfId="4977"/>
    <cellStyle name="40% - 강조색2 4 4 2 2 2" xfId="4978"/>
    <cellStyle name="40% - 강조색2 4 4 2 3" xfId="4979"/>
    <cellStyle name="40% - 강조색2 4 4 3" xfId="4980"/>
    <cellStyle name="40% - 강조색2 4 4 3 2" xfId="4981"/>
    <cellStyle name="40% - 강조색2 4 4 4" xfId="4982"/>
    <cellStyle name="40% - 강조색2 4 4 5" xfId="4983"/>
    <cellStyle name="40% - 강조색2 4 5" xfId="4984"/>
    <cellStyle name="40% - 강조색2 4 5 2" xfId="4985"/>
    <cellStyle name="40% - 강조색2 4 5 2 2" xfId="4986"/>
    <cellStyle name="40% - 강조색2 4 6" xfId="4987"/>
    <cellStyle name="40% - 강조색2 4 6 2" xfId="4988"/>
    <cellStyle name="40% - 강조색2 4 7" xfId="4989"/>
    <cellStyle name="40% - 강조색2 4 8" xfId="4990"/>
    <cellStyle name="40% - 강조색2 4 9" xfId="4991"/>
    <cellStyle name="40% - 강조색2 5" xfId="4992"/>
    <cellStyle name="40% - 강조색2 5 10" xfId="4993"/>
    <cellStyle name="40% - 강조색2 5 11" xfId="4994"/>
    <cellStyle name="40% - 강조색2 5 12" xfId="4995"/>
    <cellStyle name="40% - 강조색2 5 13" xfId="4996"/>
    <cellStyle name="40% - 강조색2 5 14" xfId="4997"/>
    <cellStyle name="40% - 강조색2 5 15" xfId="4998"/>
    <cellStyle name="40% - 강조색2 5 16" xfId="4999"/>
    <cellStyle name="40% - 강조색2 5 17" xfId="5000"/>
    <cellStyle name="40% - 강조색2 5 18" xfId="5001"/>
    <cellStyle name="40% - 강조색2 5 19" xfId="5002"/>
    <cellStyle name="40% - 강조색2 5 2" xfId="5003"/>
    <cellStyle name="40% - 강조색2 5 2 2" xfId="5004"/>
    <cellStyle name="40% - 강조색2 5 2 2 2" xfId="5005"/>
    <cellStyle name="40% - 강조색2 5 2 2 2 2" xfId="21127"/>
    <cellStyle name="40% - 강조색2 5 20" xfId="5006"/>
    <cellStyle name="40% - 강조색2 5 21" xfId="5007"/>
    <cellStyle name="40% - 강조색2 5 3" xfId="5008"/>
    <cellStyle name="40% - 강조색2 5 3 2" xfId="5009"/>
    <cellStyle name="40% - 강조색2 5 3 2 2" xfId="5010"/>
    <cellStyle name="40% - 강조색2 5 3 2 2 2" xfId="5011"/>
    <cellStyle name="40% - 강조색2 5 3 2 3" xfId="5012"/>
    <cellStyle name="40% - 강조색2 5 3 3" xfId="5013"/>
    <cellStyle name="40% - 강조색2 5 3 4" xfId="5014"/>
    <cellStyle name="40% - 강조색2 5 3 4 2" xfId="5015"/>
    <cellStyle name="40% - 강조색2 5 4" xfId="5016"/>
    <cellStyle name="40% - 강조색2 5 4 2" xfId="5017"/>
    <cellStyle name="40% - 강조색2 5 5" xfId="5018"/>
    <cellStyle name="40% - 강조색2 5 6" xfId="5019"/>
    <cellStyle name="40% - 강조색2 5 7" xfId="5020"/>
    <cellStyle name="40% - 강조색2 5 8" xfId="5021"/>
    <cellStyle name="40% - 강조색2 5 9" xfId="5022"/>
    <cellStyle name="40% - 강조색2 6" xfId="5023"/>
    <cellStyle name="40% - 강조색2 6 10" xfId="5024"/>
    <cellStyle name="40% - 강조색2 6 11" xfId="5025"/>
    <cellStyle name="40% - 강조색2 6 12" xfId="5026"/>
    <cellStyle name="40% - 강조색2 6 13" xfId="5027"/>
    <cellStyle name="40% - 강조색2 6 14" xfId="5028"/>
    <cellStyle name="40% - 강조색2 6 15" xfId="5029"/>
    <cellStyle name="40% - 강조색2 6 16" xfId="5030"/>
    <cellStyle name="40% - 강조색2 6 17" xfId="5031"/>
    <cellStyle name="40% - 강조색2 6 18" xfId="5032"/>
    <cellStyle name="40% - 강조색2 6 19" xfId="5033"/>
    <cellStyle name="40% - 강조색2 6 2" xfId="5034"/>
    <cellStyle name="40% - 강조색2 6 2 2" xfId="5035"/>
    <cellStyle name="40% - 강조색2 6 2 2 2" xfId="5036"/>
    <cellStyle name="40% - 강조색2 6 2 2 2 2" xfId="21128"/>
    <cellStyle name="40% - 강조색2 6 20" xfId="5037"/>
    <cellStyle name="40% - 강조색2 6 21" xfId="5038"/>
    <cellStyle name="40% - 강조색2 6 3" xfId="5039"/>
    <cellStyle name="40% - 강조색2 6 3 2" xfId="5040"/>
    <cellStyle name="40% - 강조색2 6 3 2 2" xfId="5041"/>
    <cellStyle name="40% - 강조색2 6 3 2 2 2" xfId="5042"/>
    <cellStyle name="40% - 강조색2 6 3 2 3" xfId="5043"/>
    <cellStyle name="40% - 강조색2 6 3 3" xfId="5044"/>
    <cellStyle name="40% - 강조색2 6 3 4" xfId="5045"/>
    <cellStyle name="40% - 강조색2 6 3 4 2" xfId="5046"/>
    <cellStyle name="40% - 강조색2 6 4" xfId="5047"/>
    <cellStyle name="40% - 강조색2 6 4 2" xfId="5048"/>
    <cellStyle name="40% - 강조색2 6 5" xfId="5049"/>
    <cellStyle name="40% - 강조색2 6 6" xfId="5050"/>
    <cellStyle name="40% - 강조색2 6 7" xfId="5051"/>
    <cellStyle name="40% - 강조색2 6 8" xfId="5052"/>
    <cellStyle name="40% - 강조색2 6 9" xfId="5053"/>
    <cellStyle name="40% - 강조색2 7" xfId="5054"/>
    <cellStyle name="40% - 강조색2 7 10" xfId="5055"/>
    <cellStyle name="40% - 강조색2 7 11" xfId="5056"/>
    <cellStyle name="40% - 강조색2 7 12" xfId="5057"/>
    <cellStyle name="40% - 강조색2 7 13" xfId="5058"/>
    <cellStyle name="40% - 강조색2 7 14" xfId="5059"/>
    <cellStyle name="40% - 강조색2 7 15" xfId="5060"/>
    <cellStyle name="40% - 강조색2 7 16" xfId="5061"/>
    <cellStyle name="40% - 강조색2 7 17" xfId="5062"/>
    <cellStyle name="40% - 강조색2 7 18" xfId="5063"/>
    <cellStyle name="40% - 강조색2 7 19" xfId="5064"/>
    <cellStyle name="40% - 강조색2 7 2" xfId="5065"/>
    <cellStyle name="40% - 강조색2 7 2 2" xfId="5066"/>
    <cellStyle name="40% - 강조색2 7 2 2 2" xfId="5067"/>
    <cellStyle name="40% - 강조색2 7 2 3" xfId="5068"/>
    <cellStyle name="40% - 강조색2 7 3" xfId="5069"/>
    <cellStyle name="40% - 강조색2 7 4" xfId="5070"/>
    <cellStyle name="40% - 강조색2 7 5" xfId="5071"/>
    <cellStyle name="40% - 강조색2 7 6" xfId="5072"/>
    <cellStyle name="40% - 강조색2 7 7" xfId="5073"/>
    <cellStyle name="40% - 강조색2 7 8" xfId="5074"/>
    <cellStyle name="40% - 강조색2 7 9" xfId="5075"/>
    <cellStyle name="40% - 강조색2 8" xfId="5076"/>
    <cellStyle name="40% - 강조색2 8 10" xfId="5077"/>
    <cellStyle name="40% - 강조색2 8 11" xfId="5078"/>
    <cellStyle name="40% - 강조색2 8 12" xfId="5079"/>
    <cellStyle name="40% - 강조색2 8 13" xfId="5080"/>
    <cellStyle name="40% - 강조색2 8 14" xfId="5081"/>
    <cellStyle name="40% - 강조색2 8 15" xfId="5082"/>
    <cellStyle name="40% - 강조색2 8 16" xfId="5083"/>
    <cellStyle name="40% - 강조색2 8 17" xfId="5084"/>
    <cellStyle name="40% - 강조색2 8 18" xfId="5085"/>
    <cellStyle name="40% - 강조색2 8 19" xfId="5086"/>
    <cellStyle name="40% - 강조색2 8 2" xfId="5087"/>
    <cellStyle name="40% - 강조색2 8 2 2" xfId="5088"/>
    <cellStyle name="40% - 강조색2 8 2 2 2" xfId="5089"/>
    <cellStyle name="40% - 강조색2 8 2 3" xfId="5090"/>
    <cellStyle name="40% - 강조색2 8 3" xfId="5091"/>
    <cellStyle name="40% - 강조색2 8 4" xfId="5092"/>
    <cellStyle name="40% - 강조색2 8 5" xfId="5093"/>
    <cellStyle name="40% - 강조색2 8 6" xfId="5094"/>
    <cellStyle name="40% - 강조색2 8 7" xfId="5095"/>
    <cellStyle name="40% - 강조색2 8 8" xfId="5096"/>
    <cellStyle name="40% - 강조색2 8 9" xfId="5097"/>
    <cellStyle name="40% - 강조색2 9" xfId="5098"/>
    <cellStyle name="40% - 강조색2 9 10" xfId="5099"/>
    <cellStyle name="40% - 강조색2 9 11" xfId="5100"/>
    <cellStyle name="40% - 강조색2 9 12" xfId="5101"/>
    <cellStyle name="40% - 강조색2 9 13" xfId="5102"/>
    <cellStyle name="40% - 강조색2 9 14" xfId="5103"/>
    <cellStyle name="40% - 강조색2 9 15" xfId="5104"/>
    <cellStyle name="40% - 강조색2 9 16" xfId="5105"/>
    <cellStyle name="40% - 강조색2 9 17" xfId="5106"/>
    <cellStyle name="40% - 강조색2 9 18" xfId="5107"/>
    <cellStyle name="40% - 강조색2 9 19" xfId="5108"/>
    <cellStyle name="40% - 강조색2 9 2" xfId="5109"/>
    <cellStyle name="40% - 강조색2 9 2 2" xfId="5110"/>
    <cellStyle name="40% - 강조색2 9 2 2 2" xfId="5111"/>
    <cellStyle name="40% - 강조색2 9 2 2 2 2" xfId="5112"/>
    <cellStyle name="40% - 강조색2 9 2 2 2 2 2" xfId="21129"/>
    <cellStyle name="40% - 강조색2 9 2 2 3" xfId="5113"/>
    <cellStyle name="40% - 강조색2 9 2 3" xfId="5114"/>
    <cellStyle name="40% - 강조색2 9 2 3 2" xfId="5115"/>
    <cellStyle name="40% - 강조색2 9 2 4" xfId="5116"/>
    <cellStyle name="40% - 강조색2 9 20" xfId="5117"/>
    <cellStyle name="40% - 강조색2 9 21" xfId="5118"/>
    <cellStyle name="40% - 강조색2 9 3" xfId="5119"/>
    <cellStyle name="40% - 강조색2 9 3 2" xfId="5120"/>
    <cellStyle name="40% - 강조색2 9 3 2 2" xfId="5121"/>
    <cellStyle name="40% - 강조색2 9 4" xfId="5122"/>
    <cellStyle name="40% - 강조색2 9 4 2" xfId="5123"/>
    <cellStyle name="40% - 강조색2 9 5" xfId="5124"/>
    <cellStyle name="40% - 강조색2 9 5 2" xfId="5125"/>
    <cellStyle name="40% - 강조색2 9 6" xfId="5126"/>
    <cellStyle name="40% - 강조색2 9 7" xfId="5127"/>
    <cellStyle name="40% - 강조색2 9 8" xfId="5128"/>
    <cellStyle name="40% - 강조색2 9 9" xfId="5129"/>
    <cellStyle name="40% - 강조색3" xfId="28" builtinId="39" customBuiltin="1"/>
    <cellStyle name="40% - 강조색3 10" xfId="5130"/>
    <cellStyle name="40% - 강조색3 10 10" xfId="5131"/>
    <cellStyle name="40% - 강조색3 10 11" xfId="5132"/>
    <cellStyle name="40% - 강조색3 10 12" xfId="5133"/>
    <cellStyle name="40% - 강조색3 10 13" xfId="5134"/>
    <cellStyle name="40% - 강조색3 10 14" xfId="5135"/>
    <cellStyle name="40% - 강조색3 10 15" xfId="5136"/>
    <cellStyle name="40% - 강조색3 10 16" xfId="5137"/>
    <cellStyle name="40% - 강조색3 10 17" xfId="5138"/>
    <cellStyle name="40% - 강조색3 10 18" xfId="5139"/>
    <cellStyle name="40% - 강조색3 10 19" xfId="5140"/>
    <cellStyle name="40% - 강조색3 10 2" xfId="5141"/>
    <cellStyle name="40% - 강조색3 10 2 2" xfId="5142"/>
    <cellStyle name="40% - 강조색3 10 2 2 2" xfId="5143"/>
    <cellStyle name="40% - 강조색3 10 2 2 2 2" xfId="5144"/>
    <cellStyle name="40% - 강조색3 10 2 2 2 2 2" xfId="21130"/>
    <cellStyle name="40% - 강조색3 10 2 2 3" xfId="5145"/>
    <cellStyle name="40% - 강조색3 10 2 3" xfId="5146"/>
    <cellStyle name="40% - 강조색3 10 2 3 2" xfId="5147"/>
    <cellStyle name="40% - 강조색3 10 2 4" xfId="5148"/>
    <cellStyle name="40% - 강조색3 10 20" xfId="5149"/>
    <cellStyle name="40% - 강조색3 10 21" xfId="5150"/>
    <cellStyle name="40% - 강조색3 10 3" xfId="5151"/>
    <cellStyle name="40% - 강조색3 10 3 2" xfId="5152"/>
    <cellStyle name="40% - 강조색3 10 3 2 2" xfId="5153"/>
    <cellStyle name="40% - 강조색3 10 4" xfId="5154"/>
    <cellStyle name="40% - 강조색3 10 4 2" xfId="5155"/>
    <cellStyle name="40% - 강조색3 10 5" xfId="5156"/>
    <cellStyle name="40% - 강조색3 10 5 2" xfId="5157"/>
    <cellStyle name="40% - 강조색3 10 6" xfId="5158"/>
    <cellStyle name="40% - 강조색3 10 7" xfId="5159"/>
    <cellStyle name="40% - 강조색3 10 8" xfId="5160"/>
    <cellStyle name="40% - 강조색3 10 9" xfId="5161"/>
    <cellStyle name="40% - 강조색3 11" xfId="5162"/>
    <cellStyle name="40% - 강조색3 11 2" xfId="5163"/>
    <cellStyle name="40% - 강조색3 11 2 2" xfId="5164"/>
    <cellStyle name="40% - 강조색3 11 2 2 2" xfId="5165"/>
    <cellStyle name="40% - 강조색3 11 2 2 2 2" xfId="5166"/>
    <cellStyle name="40% - 강조색3 11 2 2 3" xfId="5167"/>
    <cellStyle name="40% - 강조색3 11 2 3" xfId="5168"/>
    <cellStyle name="40% - 강조색3 11 2 3 2" xfId="5169"/>
    <cellStyle name="40% - 강조색3 11 2 4" xfId="5170"/>
    <cellStyle name="40% - 강조색3 11 3" xfId="5171"/>
    <cellStyle name="40% - 강조색3 11 3 2" xfId="5172"/>
    <cellStyle name="40% - 강조색3 11 3 2 2" xfId="5173"/>
    <cellStyle name="40% - 강조색3 11 3 3" xfId="5174"/>
    <cellStyle name="40% - 강조색3 11 4" xfId="5175"/>
    <cellStyle name="40% - 강조색3 11 4 2" xfId="5176"/>
    <cellStyle name="40% - 강조색3 11 5" xfId="5177"/>
    <cellStyle name="40% - 강조색3 11 5 2" xfId="5178"/>
    <cellStyle name="40% - 강조색3 12" xfId="5179"/>
    <cellStyle name="40% - 강조색3 12 2" xfId="5180"/>
    <cellStyle name="40% - 강조색3 12 2 2" xfId="5181"/>
    <cellStyle name="40% - 강조색3 12 2 2 2" xfId="5182"/>
    <cellStyle name="40% - 강조색3 12 2 2 2 2" xfId="5183"/>
    <cellStyle name="40% - 강조색3 12 2 2 2 2 2" xfId="21131"/>
    <cellStyle name="40% - 강조색3 12 2 2 3" xfId="5184"/>
    <cellStyle name="40% - 강조색3 12 2 3" xfId="5185"/>
    <cellStyle name="40% - 강조색3 12 2 3 2" xfId="5186"/>
    <cellStyle name="40% - 강조색3 12 2 4" xfId="5187"/>
    <cellStyle name="40% - 강조색3 12 3" xfId="5188"/>
    <cellStyle name="40% - 강조색3 12 3 2" xfId="5189"/>
    <cellStyle name="40% - 강조색3 12 3 2 2" xfId="5190"/>
    <cellStyle name="40% - 강조색3 12 3 3" xfId="5191"/>
    <cellStyle name="40% - 강조색3 12 4" xfId="5192"/>
    <cellStyle name="40% - 강조색3 12 4 2" xfId="5193"/>
    <cellStyle name="40% - 강조색3 12 5" xfId="5194"/>
    <cellStyle name="40% - 강조색3 12 5 2" xfId="5195"/>
    <cellStyle name="40% - 강조색3 13" xfId="5196"/>
    <cellStyle name="40% - 강조색3 13 2" xfId="5197"/>
    <cellStyle name="40% - 강조색3 13 2 2" xfId="5198"/>
    <cellStyle name="40% - 강조색3 13 2 2 2" xfId="21132"/>
    <cellStyle name="40% - 강조색3 13 2 3" xfId="5199"/>
    <cellStyle name="40% - 강조색3 13 2 3 2" xfId="5200"/>
    <cellStyle name="40% - 강조색3 13 2 4" xfId="5201"/>
    <cellStyle name="40% - 강조색3 13 3" xfId="5202"/>
    <cellStyle name="40% - 강조색3 13 3 2" xfId="5203"/>
    <cellStyle name="40% - 강조색3 13 3 3" xfId="5204"/>
    <cellStyle name="40% - 강조색3 13 3 3 2" xfId="5205"/>
    <cellStyle name="40% - 강조색3 13 4" xfId="5206"/>
    <cellStyle name="40% - 강조색3 13 4 2" xfId="5207"/>
    <cellStyle name="40% - 강조색3 13 5" xfId="5208"/>
    <cellStyle name="40% - 강조색3 14" xfId="5209"/>
    <cellStyle name="40% - 강조색3 14 2" xfId="5210"/>
    <cellStyle name="40% - 강조색3 14 2 2" xfId="5211"/>
    <cellStyle name="40% - 강조색3 14 2 2 2" xfId="21133"/>
    <cellStyle name="40% - 강조색3 14 3" xfId="5212"/>
    <cellStyle name="40% - 강조색3 14 3 2" xfId="5213"/>
    <cellStyle name="40% - 강조색3 14 4" xfId="5214"/>
    <cellStyle name="40% - 강조색3 14 5" xfId="5215"/>
    <cellStyle name="40% - 강조색3 15" xfId="5216"/>
    <cellStyle name="40% - 강조색3 15 2" xfId="5217"/>
    <cellStyle name="40% - 강조색3 15 2 2" xfId="5218"/>
    <cellStyle name="40% - 강조색3 15 2 2 2" xfId="21134"/>
    <cellStyle name="40% - 강조색3 15 3" xfId="5219"/>
    <cellStyle name="40% - 강조색3 15 3 2" xfId="5220"/>
    <cellStyle name="40% - 강조색3 15 4" xfId="5221"/>
    <cellStyle name="40% - 강조색3 15 5" xfId="5222"/>
    <cellStyle name="40% - 강조색3 16" xfId="5223"/>
    <cellStyle name="40% - 강조색3 16 2" xfId="5224"/>
    <cellStyle name="40% - 강조색3 16 2 2" xfId="5225"/>
    <cellStyle name="40% - 강조색3 16 2 2 2" xfId="21135"/>
    <cellStyle name="40% - 강조색3 16 3" xfId="5226"/>
    <cellStyle name="40% - 강조색3 16 3 2" xfId="5227"/>
    <cellStyle name="40% - 강조색3 16 4" xfId="5228"/>
    <cellStyle name="40% - 강조색3 16 5" xfId="5229"/>
    <cellStyle name="40% - 강조색3 17" xfId="5230"/>
    <cellStyle name="40% - 강조색3 17 2" xfId="5231"/>
    <cellStyle name="40% - 강조색3 17 2 2" xfId="5232"/>
    <cellStyle name="40% - 강조색3 17 2 2 2" xfId="21136"/>
    <cellStyle name="40% - 강조색3 17 3" xfId="5233"/>
    <cellStyle name="40% - 강조색3 17 4" xfId="5234"/>
    <cellStyle name="40% - 강조색3 17 5" xfId="5235"/>
    <cellStyle name="40% - 강조색3 18" xfId="5236"/>
    <cellStyle name="40% - 강조색3 18 2" xfId="5237"/>
    <cellStyle name="40% - 강조색3 18 2 2" xfId="5238"/>
    <cellStyle name="40% - 강조색3 18 3" xfId="5239"/>
    <cellStyle name="40% - 강조색3 18 4" xfId="5240"/>
    <cellStyle name="40% - 강조색3 18 5" xfId="5241"/>
    <cellStyle name="40% - 강조색3 19" xfId="5242"/>
    <cellStyle name="40% - 강조색3 19 2" xfId="5243"/>
    <cellStyle name="40% - 강조색3 19 2 2" xfId="5244"/>
    <cellStyle name="40% - 강조색3 19 3" xfId="5245"/>
    <cellStyle name="40% - 강조색3 19 4" xfId="5246"/>
    <cellStyle name="40% - 강조색3 19 5" xfId="5247"/>
    <cellStyle name="40% - 강조색3 2" xfId="5248"/>
    <cellStyle name="40% - 강조색3 2 10" xfId="5249"/>
    <cellStyle name="40% - 강조색3 2 10 2" xfId="5250"/>
    <cellStyle name="40% - 강조색3 2 10 2 2" xfId="5251"/>
    <cellStyle name="40% - 강조색3 2 10 3" xfId="5252"/>
    <cellStyle name="40% - 강조색3 2 10 4" xfId="5253"/>
    <cellStyle name="40% - 강조색3 2 11" xfId="5254"/>
    <cellStyle name="40% - 강조색3 2 11 2" xfId="5255"/>
    <cellStyle name="40% - 강조색3 2 11 2 2" xfId="5256"/>
    <cellStyle name="40% - 강조색3 2 11 3" xfId="5257"/>
    <cellStyle name="40% - 강조색3 2 12" xfId="5258"/>
    <cellStyle name="40% - 강조색3 2 12 2" xfId="5259"/>
    <cellStyle name="40% - 강조색3 2 13" xfId="5260"/>
    <cellStyle name="40% - 강조색3 2 14" xfId="5261"/>
    <cellStyle name="40% - 강조색3 2 15" xfId="5262"/>
    <cellStyle name="40% - 강조색3 2 16" xfId="5263"/>
    <cellStyle name="40% - 강조색3 2 17" xfId="5264"/>
    <cellStyle name="40% - 강조색3 2 18" xfId="5265"/>
    <cellStyle name="40% - 강조색3 2 19" xfId="5266"/>
    <cellStyle name="40% - 강조색3 2 2" xfId="5267"/>
    <cellStyle name="40% - 강조색3 2 2 2" xfId="5268"/>
    <cellStyle name="40% - 강조색3 2 2 2 2" xfId="5269"/>
    <cellStyle name="40% - 강조색3 2 2 2 3" xfId="5270"/>
    <cellStyle name="40% - 강조색3 2 2 2 4" xfId="5271"/>
    <cellStyle name="40% - 강조색3 2 2 2 4 2" xfId="5272"/>
    <cellStyle name="40% - 강조색3 2 2 2 5" xfId="5273"/>
    <cellStyle name="40% - 강조색3 2 2 3" xfId="5274"/>
    <cellStyle name="40% - 강조색3 2 2 3 2" xfId="5275"/>
    <cellStyle name="40% - 강조색3 2 2 3 2 2" xfId="5276"/>
    <cellStyle name="40% - 강조색3 2 2 3 3" xfId="5277"/>
    <cellStyle name="40% - 강조색3 2 2 4" xfId="5278"/>
    <cellStyle name="40% - 강조색3 2 2 5" xfId="20240"/>
    <cellStyle name="40% - 강조색3 2 20" xfId="5279"/>
    <cellStyle name="40% - 강조색3 2 21" xfId="5280"/>
    <cellStyle name="40% - 강조색3 2 22" xfId="19670"/>
    <cellStyle name="40% - 강조색3 2 3" xfId="5281"/>
    <cellStyle name="40% - 강조색3 2 3 2" xfId="5282"/>
    <cellStyle name="40% - 강조색3 2 3 2 2" xfId="5283"/>
    <cellStyle name="40% - 강조색3 2 3 2 2 2" xfId="5284"/>
    <cellStyle name="40% - 강조색3 2 3 2 2 2 2" xfId="21137"/>
    <cellStyle name="40% - 강조색3 2 3 3" xfId="20241"/>
    <cellStyle name="40% - 강조색3 2 4" xfId="5285"/>
    <cellStyle name="40% - 강조색3 2 4 2" xfId="5286"/>
    <cellStyle name="40% - 강조색3 2 4 2 2" xfId="5287"/>
    <cellStyle name="40% - 강조색3 2 4 2 2 2" xfId="5288"/>
    <cellStyle name="40% - 강조색3 2 4 2 2 2 2" xfId="21138"/>
    <cellStyle name="40% - 강조색3 2 4 2 3" xfId="5289"/>
    <cellStyle name="40% - 강조색3 2 4 2 4" xfId="5290"/>
    <cellStyle name="40% - 강조색3 2 4 3" xfId="5291"/>
    <cellStyle name="40% - 강조색3 2 4 3 2" xfId="5292"/>
    <cellStyle name="40% - 강조색3 2 4 4" xfId="5293"/>
    <cellStyle name="40% - 강조색3 2 4 4 2" xfId="5294"/>
    <cellStyle name="40% - 강조색3 2 4 5" xfId="5295"/>
    <cellStyle name="40% - 강조색3 2 4 6" xfId="20242"/>
    <cellStyle name="40% - 강조색3 2 5" xfId="5296"/>
    <cellStyle name="40% - 강조색3 2 5 2" xfId="5297"/>
    <cellStyle name="40% - 강조색3 2 5 2 2" xfId="5298"/>
    <cellStyle name="40% - 강조색3 2 5 3" xfId="5299"/>
    <cellStyle name="40% - 강조색3 2 5 4" xfId="5300"/>
    <cellStyle name="40% - 강조색3 2 6" xfId="5301"/>
    <cellStyle name="40% - 강조색3 2 6 2" xfId="5302"/>
    <cellStyle name="40% - 강조색3 2 6 2 2" xfId="5303"/>
    <cellStyle name="40% - 강조색3 2 6 2 2 2" xfId="21139"/>
    <cellStyle name="40% - 강조색3 2 6 3" xfId="5304"/>
    <cellStyle name="40% - 강조색3 2 6 4" xfId="5305"/>
    <cellStyle name="40% - 강조색3 2 6 5" xfId="20243"/>
    <cellStyle name="40% - 강조색3 2 7" xfId="5306"/>
    <cellStyle name="40% - 강조색3 2 7 2" xfId="5307"/>
    <cellStyle name="40% - 강조색3 2 7 2 2" xfId="5308"/>
    <cellStyle name="40% - 강조색3 2 7 2 2 2" xfId="21140"/>
    <cellStyle name="40% - 강조색3 2 7 3" xfId="5309"/>
    <cellStyle name="40% - 강조색3 2 7 4" xfId="5310"/>
    <cellStyle name="40% - 강조색3 2 7 5" xfId="20244"/>
    <cellStyle name="40% - 강조색3 2 8" xfId="5311"/>
    <cellStyle name="40% - 강조색3 2 8 2" xfId="5312"/>
    <cellStyle name="40% - 강조색3 2 8 2 2" xfId="5313"/>
    <cellStyle name="40% - 강조색3 2 8 3" xfId="5314"/>
    <cellStyle name="40% - 강조색3 2 8 4" xfId="5315"/>
    <cellStyle name="40% - 강조색3 2 9" xfId="5316"/>
    <cellStyle name="40% - 강조색3 2 9 2" xfId="5317"/>
    <cellStyle name="40% - 강조색3 2 9 2 2" xfId="5318"/>
    <cellStyle name="40% - 강조색3 2 9 2 2 2" xfId="21141"/>
    <cellStyle name="40% - 강조색3 2 9 3" xfId="5319"/>
    <cellStyle name="40% - 강조색3 2 9 4" xfId="5320"/>
    <cellStyle name="40% - 강조색3 20" xfId="5321"/>
    <cellStyle name="40% - 강조색3 20 2" xfId="5322"/>
    <cellStyle name="40% - 강조색3 20 3" xfId="5323"/>
    <cellStyle name="40% - 강조색3 20 4" xfId="5324"/>
    <cellStyle name="40% - 강조색3 20 5" xfId="5325"/>
    <cellStyle name="40% - 강조색3 21" xfId="5326"/>
    <cellStyle name="40% - 강조색3 21 2" xfId="5327"/>
    <cellStyle name="40% - 강조색3 21 3" xfId="5328"/>
    <cellStyle name="40% - 강조색3 21 4" xfId="5329"/>
    <cellStyle name="40% - 강조색3 21 5" xfId="5330"/>
    <cellStyle name="40% - 강조색3 22" xfId="5331"/>
    <cellStyle name="40% - 강조색3 22 2" xfId="5332"/>
    <cellStyle name="40% - 강조색3 22 3" xfId="5333"/>
    <cellStyle name="40% - 강조색3 22 4" xfId="5334"/>
    <cellStyle name="40% - 강조색3 22 5" xfId="5335"/>
    <cellStyle name="40% - 강조색3 23" xfId="5336"/>
    <cellStyle name="40% - 강조색3 23 2" xfId="5337"/>
    <cellStyle name="40% - 강조색3 23 2 2" xfId="5338"/>
    <cellStyle name="40% - 강조색3 23 2 3" xfId="5339"/>
    <cellStyle name="40% - 강조색3 23 3" xfId="5340"/>
    <cellStyle name="40% - 강조색3 23 4" xfId="5341"/>
    <cellStyle name="40% - 강조색3 24" xfId="5342"/>
    <cellStyle name="40% - 강조색3 24 2" xfId="5343"/>
    <cellStyle name="40% - 강조색3 24 2 2" xfId="5344"/>
    <cellStyle name="40% - 강조색3 24 2 3" xfId="5345"/>
    <cellStyle name="40% - 강조색3 24 3" xfId="5346"/>
    <cellStyle name="40% - 강조색3 24 4" xfId="5347"/>
    <cellStyle name="40% - 강조색3 25" xfId="5348"/>
    <cellStyle name="40% - 강조색3 25 2" xfId="5349"/>
    <cellStyle name="40% - 강조색3 25 2 2" xfId="5350"/>
    <cellStyle name="40% - 강조색3 25 3" xfId="5351"/>
    <cellStyle name="40% - 강조색3 26" xfId="5352"/>
    <cellStyle name="40% - 강조색3 26 2" xfId="5353"/>
    <cellStyle name="40% - 강조색3 27" xfId="5354"/>
    <cellStyle name="40% - 강조색3 27 2" xfId="5355"/>
    <cellStyle name="40% - 강조색3 28" xfId="5356"/>
    <cellStyle name="40% - 강조색3 29" xfId="5357"/>
    <cellStyle name="40% - 강조색3 3" xfId="5358"/>
    <cellStyle name="40% - 강조색3 3 10" xfId="5359"/>
    <cellStyle name="40% - 강조색3 3 11" xfId="5360"/>
    <cellStyle name="40% - 강조색3 3 12" xfId="5361"/>
    <cellStyle name="40% - 강조색3 3 13" xfId="5362"/>
    <cellStyle name="40% - 강조색3 3 14" xfId="5363"/>
    <cellStyle name="40% - 강조색3 3 15" xfId="5364"/>
    <cellStyle name="40% - 강조색3 3 16" xfId="5365"/>
    <cellStyle name="40% - 강조색3 3 17" xfId="5366"/>
    <cellStyle name="40% - 강조색3 3 18" xfId="5367"/>
    <cellStyle name="40% - 강조색3 3 19" xfId="5368"/>
    <cellStyle name="40% - 강조색3 3 2" xfId="5369"/>
    <cellStyle name="40% - 강조색3 3 2 2" xfId="5370"/>
    <cellStyle name="40% - 강조색3 3 2 2 2" xfId="5371"/>
    <cellStyle name="40% - 강조색3 3 2 2 3" xfId="5372"/>
    <cellStyle name="40% - 강조색3 3 2 2 4" xfId="5373"/>
    <cellStyle name="40% - 강조색3 3 2 2 4 2" xfId="5374"/>
    <cellStyle name="40% - 강조색3 3 2 3" xfId="5375"/>
    <cellStyle name="40% - 강조색3 3 2 4" xfId="5376"/>
    <cellStyle name="40% - 강조색3 3 20" xfId="5377"/>
    <cellStyle name="40% - 강조색3 3 21" xfId="5378"/>
    <cellStyle name="40% - 강조색3 3 3" xfId="5379"/>
    <cellStyle name="40% - 강조색3 3 3 2" xfId="5380"/>
    <cellStyle name="40% - 강조색3 3 3 2 2" xfId="5381"/>
    <cellStyle name="40% - 강조색3 3 3 2 2 2" xfId="5382"/>
    <cellStyle name="40% - 강조색3 3 3 2 2 2 2" xfId="21142"/>
    <cellStyle name="40% - 강조색3 3 3 3" xfId="20245"/>
    <cellStyle name="40% - 강조색3 3 4" xfId="5383"/>
    <cellStyle name="40% - 강조색3 3 4 2" xfId="5384"/>
    <cellStyle name="40% - 강조색3 3 4 2 2" xfId="5385"/>
    <cellStyle name="40% - 강조색3 3 4 2 3" xfId="5386"/>
    <cellStyle name="40% - 강조색3 3 4 2 3 2" xfId="5387"/>
    <cellStyle name="40% - 강조색3 3 4 2 4" xfId="5388"/>
    <cellStyle name="40% - 강조색3 3 4 3" xfId="5389"/>
    <cellStyle name="40% - 강조색3 3 4 3 2" xfId="5390"/>
    <cellStyle name="40% - 강조색3 3 4 3 3" xfId="5391"/>
    <cellStyle name="40% - 강조색3 3 4 4" xfId="5392"/>
    <cellStyle name="40% - 강조색3 3 4 5" xfId="5393"/>
    <cellStyle name="40% - 강조색3 3 4 6" xfId="5394"/>
    <cellStyle name="40% - 강조색3 3 4 6 2" xfId="5395"/>
    <cellStyle name="40% - 강조색3 3 4 7" xfId="20246"/>
    <cellStyle name="40% - 강조색3 3 5" xfId="5396"/>
    <cellStyle name="40% - 강조색3 3 5 2" xfId="5397"/>
    <cellStyle name="40% - 강조색3 3 5 2 2" xfId="5398"/>
    <cellStyle name="40% - 강조색3 3 5 3" xfId="5399"/>
    <cellStyle name="40% - 강조색3 3 6" xfId="5400"/>
    <cellStyle name="40% - 강조색3 3 6 2" xfId="5401"/>
    <cellStyle name="40% - 강조색3 3 7" xfId="5402"/>
    <cellStyle name="40% - 강조색3 3 8" xfId="5403"/>
    <cellStyle name="40% - 강조색3 3 9" xfId="5404"/>
    <cellStyle name="40% - 강조색3 30" xfId="5405"/>
    <cellStyle name="40% - 강조색3 31" xfId="5406"/>
    <cellStyle name="40% - 강조색3 32" xfId="5407"/>
    <cellStyle name="40% - 강조색3 33" xfId="18224"/>
    <cellStyle name="40% - 강조색3 4" xfId="5408"/>
    <cellStyle name="40% - 강조색3 4 10" xfId="5409"/>
    <cellStyle name="40% - 강조색3 4 11" xfId="5410"/>
    <cellStyle name="40% - 강조색3 4 12" xfId="5411"/>
    <cellStyle name="40% - 강조색3 4 13" xfId="5412"/>
    <cellStyle name="40% - 강조색3 4 14" xfId="5413"/>
    <cellStyle name="40% - 강조색3 4 15" xfId="5414"/>
    <cellStyle name="40% - 강조색3 4 16" xfId="5415"/>
    <cellStyle name="40% - 강조색3 4 17" xfId="5416"/>
    <cellStyle name="40% - 강조색3 4 18" xfId="5417"/>
    <cellStyle name="40% - 강조색3 4 19" xfId="5418"/>
    <cellStyle name="40% - 강조색3 4 2" xfId="5419"/>
    <cellStyle name="40% - 강조색3 4 2 2" xfId="5420"/>
    <cellStyle name="40% - 강조색3 4 2 2 2" xfId="5421"/>
    <cellStyle name="40% - 강조색3 4 2 2 2 2" xfId="21143"/>
    <cellStyle name="40% - 강조색3 4 20" xfId="5422"/>
    <cellStyle name="40% - 강조색3 4 21" xfId="5423"/>
    <cellStyle name="40% - 강조색3 4 3" xfId="5424"/>
    <cellStyle name="40% - 강조색3 4 3 2" xfId="5425"/>
    <cellStyle name="40% - 강조색3 4 3 2 2" xfId="5426"/>
    <cellStyle name="40% - 강조색3 4 4" xfId="5427"/>
    <cellStyle name="40% - 강조색3 4 4 2" xfId="5428"/>
    <cellStyle name="40% - 강조색3 4 4 2 2" xfId="5429"/>
    <cellStyle name="40% - 강조색3 4 4 2 2 2" xfId="5430"/>
    <cellStyle name="40% - 강조색3 4 4 2 3" xfId="5431"/>
    <cellStyle name="40% - 강조색3 4 4 3" xfId="5432"/>
    <cellStyle name="40% - 강조색3 4 4 3 2" xfId="5433"/>
    <cellStyle name="40% - 강조색3 4 4 4" xfId="5434"/>
    <cellStyle name="40% - 강조색3 4 4 5" xfId="5435"/>
    <cellStyle name="40% - 강조색3 4 5" xfId="5436"/>
    <cellStyle name="40% - 강조색3 4 5 2" xfId="5437"/>
    <cellStyle name="40% - 강조색3 4 5 2 2" xfId="5438"/>
    <cellStyle name="40% - 강조색3 4 6" xfId="5439"/>
    <cellStyle name="40% - 강조색3 4 6 2" xfId="5440"/>
    <cellStyle name="40% - 강조색3 4 7" xfId="5441"/>
    <cellStyle name="40% - 강조색3 4 8" xfId="5442"/>
    <cellStyle name="40% - 강조색3 4 9" xfId="5443"/>
    <cellStyle name="40% - 강조색3 5" xfId="5444"/>
    <cellStyle name="40% - 강조색3 5 10" xfId="5445"/>
    <cellStyle name="40% - 강조색3 5 11" xfId="5446"/>
    <cellStyle name="40% - 강조색3 5 12" xfId="5447"/>
    <cellStyle name="40% - 강조색3 5 13" xfId="5448"/>
    <cellStyle name="40% - 강조색3 5 14" xfId="5449"/>
    <cellStyle name="40% - 강조색3 5 15" xfId="5450"/>
    <cellStyle name="40% - 강조색3 5 16" xfId="5451"/>
    <cellStyle name="40% - 강조색3 5 17" xfId="5452"/>
    <cellStyle name="40% - 강조색3 5 18" xfId="5453"/>
    <cellStyle name="40% - 강조색3 5 19" xfId="5454"/>
    <cellStyle name="40% - 강조색3 5 2" xfId="5455"/>
    <cellStyle name="40% - 강조색3 5 2 2" xfId="5456"/>
    <cellStyle name="40% - 강조색3 5 2 2 2" xfId="5457"/>
    <cellStyle name="40% - 강조색3 5 2 2 2 2" xfId="21144"/>
    <cellStyle name="40% - 강조색3 5 20" xfId="5458"/>
    <cellStyle name="40% - 강조색3 5 21" xfId="5459"/>
    <cellStyle name="40% - 강조색3 5 3" xfId="5460"/>
    <cellStyle name="40% - 강조색3 5 3 2" xfId="5461"/>
    <cellStyle name="40% - 강조색3 5 3 2 2" xfId="5462"/>
    <cellStyle name="40% - 강조색3 5 3 2 2 2" xfId="5463"/>
    <cellStyle name="40% - 강조색3 5 3 2 3" xfId="5464"/>
    <cellStyle name="40% - 강조색3 5 3 3" xfId="5465"/>
    <cellStyle name="40% - 강조색3 5 3 4" xfId="5466"/>
    <cellStyle name="40% - 강조색3 5 3 4 2" xfId="5467"/>
    <cellStyle name="40% - 강조색3 5 4" xfId="5468"/>
    <cellStyle name="40% - 강조색3 5 4 2" xfId="5469"/>
    <cellStyle name="40% - 강조색3 5 5" xfId="5470"/>
    <cellStyle name="40% - 강조색3 5 6" xfId="5471"/>
    <cellStyle name="40% - 강조색3 5 7" xfId="5472"/>
    <cellStyle name="40% - 강조색3 5 8" xfId="5473"/>
    <cellStyle name="40% - 강조색3 5 9" xfId="5474"/>
    <cellStyle name="40% - 강조색3 6" xfId="5475"/>
    <cellStyle name="40% - 강조색3 6 10" xfId="5476"/>
    <cellStyle name="40% - 강조색3 6 11" xfId="5477"/>
    <cellStyle name="40% - 강조색3 6 12" xfId="5478"/>
    <cellStyle name="40% - 강조색3 6 13" xfId="5479"/>
    <cellStyle name="40% - 강조색3 6 14" xfId="5480"/>
    <cellStyle name="40% - 강조색3 6 15" xfId="5481"/>
    <cellStyle name="40% - 강조색3 6 16" xfId="5482"/>
    <cellStyle name="40% - 강조색3 6 17" xfId="5483"/>
    <cellStyle name="40% - 강조색3 6 18" xfId="5484"/>
    <cellStyle name="40% - 강조색3 6 19" xfId="5485"/>
    <cellStyle name="40% - 강조색3 6 2" xfId="5486"/>
    <cellStyle name="40% - 강조색3 6 2 2" xfId="5487"/>
    <cellStyle name="40% - 강조색3 6 2 2 2" xfId="5488"/>
    <cellStyle name="40% - 강조색3 6 2 2 2 2" xfId="21145"/>
    <cellStyle name="40% - 강조색3 6 20" xfId="5489"/>
    <cellStyle name="40% - 강조색3 6 21" xfId="5490"/>
    <cellStyle name="40% - 강조색3 6 3" xfId="5491"/>
    <cellStyle name="40% - 강조색3 6 3 2" xfId="5492"/>
    <cellStyle name="40% - 강조색3 6 3 2 2" xfId="5493"/>
    <cellStyle name="40% - 강조색3 6 3 2 2 2" xfId="5494"/>
    <cellStyle name="40% - 강조색3 6 3 2 3" xfId="5495"/>
    <cellStyle name="40% - 강조색3 6 3 3" xfId="5496"/>
    <cellStyle name="40% - 강조색3 6 3 4" xfId="5497"/>
    <cellStyle name="40% - 강조색3 6 3 4 2" xfId="5498"/>
    <cellStyle name="40% - 강조색3 6 4" xfId="5499"/>
    <cellStyle name="40% - 강조색3 6 4 2" xfId="5500"/>
    <cellStyle name="40% - 강조색3 6 5" xfId="5501"/>
    <cellStyle name="40% - 강조색3 6 6" xfId="5502"/>
    <cellStyle name="40% - 강조색3 6 7" xfId="5503"/>
    <cellStyle name="40% - 강조색3 6 8" xfId="5504"/>
    <cellStyle name="40% - 강조색3 6 9" xfId="5505"/>
    <cellStyle name="40% - 강조색3 7" xfId="5506"/>
    <cellStyle name="40% - 강조색3 7 10" xfId="5507"/>
    <cellStyle name="40% - 강조색3 7 11" xfId="5508"/>
    <cellStyle name="40% - 강조색3 7 12" xfId="5509"/>
    <cellStyle name="40% - 강조색3 7 13" xfId="5510"/>
    <cellStyle name="40% - 강조색3 7 14" xfId="5511"/>
    <cellStyle name="40% - 강조색3 7 15" xfId="5512"/>
    <cellStyle name="40% - 강조색3 7 16" xfId="5513"/>
    <cellStyle name="40% - 강조색3 7 17" xfId="5514"/>
    <cellStyle name="40% - 강조색3 7 18" xfId="5515"/>
    <cellStyle name="40% - 강조색3 7 19" xfId="5516"/>
    <cellStyle name="40% - 강조색3 7 2" xfId="5517"/>
    <cellStyle name="40% - 강조색3 7 2 2" xfId="5518"/>
    <cellStyle name="40% - 강조색3 7 2 2 2" xfId="5519"/>
    <cellStyle name="40% - 강조색3 7 2 3" xfId="5520"/>
    <cellStyle name="40% - 강조색3 7 3" xfId="5521"/>
    <cellStyle name="40% - 강조색3 7 4" xfId="5522"/>
    <cellStyle name="40% - 강조색3 7 5" xfId="5523"/>
    <cellStyle name="40% - 강조색3 7 6" xfId="5524"/>
    <cellStyle name="40% - 강조색3 7 7" xfId="5525"/>
    <cellStyle name="40% - 강조색3 7 8" xfId="5526"/>
    <cellStyle name="40% - 강조색3 7 9" xfId="5527"/>
    <cellStyle name="40% - 강조색3 8" xfId="5528"/>
    <cellStyle name="40% - 강조색3 8 10" xfId="5529"/>
    <cellStyle name="40% - 강조색3 8 11" xfId="5530"/>
    <cellStyle name="40% - 강조색3 8 12" xfId="5531"/>
    <cellStyle name="40% - 강조색3 8 13" xfId="5532"/>
    <cellStyle name="40% - 강조색3 8 14" xfId="5533"/>
    <cellStyle name="40% - 강조색3 8 15" xfId="5534"/>
    <cellStyle name="40% - 강조색3 8 16" xfId="5535"/>
    <cellStyle name="40% - 강조색3 8 17" xfId="5536"/>
    <cellStyle name="40% - 강조색3 8 18" xfId="5537"/>
    <cellStyle name="40% - 강조색3 8 19" xfId="5538"/>
    <cellStyle name="40% - 강조색3 8 2" xfId="5539"/>
    <cellStyle name="40% - 강조색3 8 2 2" xfId="5540"/>
    <cellStyle name="40% - 강조색3 8 2 2 2" xfId="5541"/>
    <cellStyle name="40% - 강조색3 8 2 3" xfId="5542"/>
    <cellStyle name="40% - 강조색3 8 3" xfId="5543"/>
    <cellStyle name="40% - 강조색3 8 4" xfId="5544"/>
    <cellStyle name="40% - 강조색3 8 5" xfId="5545"/>
    <cellStyle name="40% - 강조색3 8 6" xfId="5546"/>
    <cellStyle name="40% - 강조색3 8 7" xfId="5547"/>
    <cellStyle name="40% - 강조색3 8 8" xfId="5548"/>
    <cellStyle name="40% - 강조색3 8 9" xfId="5549"/>
    <cellStyle name="40% - 강조색3 9" xfId="5550"/>
    <cellStyle name="40% - 강조색3 9 10" xfId="5551"/>
    <cellStyle name="40% - 강조색3 9 11" xfId="5552"/>
    <cellStyle name="40% - 강조색3 9 12" xfId="5553"/>
    <cellStyle name="40% - 강조색3 9 13" xfId="5554"/>
    <cellStyle name="40% - 강조색3 9 14" xfId="5555"/>
    <cellStyle name="40% - 강조색3 9 15" xfId="5556"/>
    <cellStyle name="40% - 강조색3 9 16" xfId="5557"/>
    <cellStyle name="40% - 강조색3 9 17" xfId="5558"/>
    <cellStyle name="40% - 강조색3 9 18" xfId="5559"/>
    <cellStyle name="40% - 강조색3 9 19" xfId="5560"/>
    <cellStyle name="40% - 강조색3 9 2" xfId="5561"/>
    <cellStyle name="40% - 강조색3 9 2 2" xfId="5562"/>
    <cellStyle name="40% - 강조색3 9 2 2 2" xfId="5563"/>
    <cellStyle name="40% - 강조색3 9 2 2 2 2" xfId="5564"/>
    <cellStyle name="40% - 강조색3 9 2 2 2 2 2" xfId="21146"/>
    <cellStyle name="40% - 강조색3 9 2 2 3" xfId="5565"/>
    <cellStyle name="40% - 강조색3 9 2 3" xfId="5566"/>
    <cellStyle name="40% - 강조색3 9 2 3 2" xfId="5567"/>
    <cellStyle name="40% - 강조색3 9 2 4" xfId="5568"/>
    <cellStyle name="40% - 강조색3 9 20" xfId="5569"/>
    <cellStyle name="40% - 강조색3 9 21" xfId="5570"/>
    <cellStyle name="40% - 강조색3 9 3" xfId="5571"/>
    <cellStyle name="40% - 강조색3 9 3 2" xfId="5572"/>
    <cellStyle name="40% - 강조색3 9 3 2 2" xfId="5573"/>
    <cellStyle name="40% - 강조색3 9 4" xfId="5574"/>
    <cellStyle name="40% - 강조색3 9 4 2" xfId="5575"/>
    <cellStyle name="40% - 강조색3 9 5" xfId="5576"/>
    <cellStyle name="40% - 강조색3 9 5 2" xfId="5577"/>
    <cellStyle name="40% - 강조색3 9 6" xfId="5578"/>
    <cellStyle name="40% - 강조색3 9 7" xfId="5579"/>
    <cellStyle name="40% - 강조색3 9 8" xfId="5580"/>
    <cellStyle name="40% - 강조색3 9 9" xfId="5581"/>
    <cellStyle name="40% - 강조색4" xfId="32" builtinId="43" customBuiltin="1"/>
    <cellStyle name="40% - 강조색4 10" xfId="5582"/>
    <cellStyle name="40% - 강조색4 10 10" xfId="5583"/>
    <cellStyle name="40% - 강조색4 10 11" xfId="5584"/>
    <cellStyle name="40% - 강조색4 10 12" xfId="5585"/>
    <cellStyle name="40% - 강조색4 10 13" xfId="5586"/>
    <cellStyle name="40% - 강조색4 10 14" xfId="5587"/>
    <cellStyle name="40% - 강조색4 10 15" xfId="5588"/>
    <cellStyle name="40% - 강조색4 10 16" xfId="5589"/>
    <cellStyle name="40% - 강조색4 10 17" xfId="5590"/>
    <cellStyle name="40% - 강조색4 10 18" xfId="5591"/>
    <cellStyle name="40% - 강조색4 10 19" xfId="5592"/>
    <cellStyle name="40% - 강조색4 10 2" xfId="5593"/>
    <cellStyle name="40% - 강조색4 10 2 2" xfId="5594"/>
    <cellStyle name="40% - 강조색4 10 2 2 2" xfId="5595"/>
    <cellStyle name="40% - 강조색4 10 2 2 2 2" xfId="5596"/>
    <cellStyle name="40% - 강조색4 10 2 2 2 2 2" xfId="21147"/>
    <cellStyle name="40% - 강조색4 10 2 2 3" xfId="5597"/>
    <cellStyle name="40% - 강조색4 10 2 3" xfId="5598"/>
    <cellStyle name="40% - 강조색4 10 2 3 2" xfId="5599"/>
    <cellStyle name="40% - 강조색4 10 2 4" xfId="5600"/>
    <cellStyle name="40% - 강조색4 10 20" xfId="5601"/>
    <cellStyle name="40% - 강조색4 10 21" xfId="5602"/>
    <cellStyle name="40% - 강조색4 10 3" xfId="5603"/>
    <cellStyle name="40% - 강조색4 10 3 2" xfId="5604"/>
    <cellStyle name="40% - 강조색4 10 3 2 2" xfId="5605"/>
    <cellStyle name="40% - 강조색4 10 4" xfId="5606"/>
    <cellStyle name="40% - 강조색4 10 4 2" xfId="5607"/>
    <cellStyle name="40% - 강조색4 10 5" xfId="5608"/>
    <cellStyle name="40% - 강조색4 10 5 2" xfId="5609"/>
    <cellStyle name="40% - 강조색4 10 6" xfId="5610"/>
    <cellStyle name="40% - 강조색4 10 7" xfId="5611"/>
    <cellStyle name="40% - 강조색4 10 8" xfId="5612"/>
    <cellStyle name="40% - 강조색4 10 9" xfId="5613"/>
    <cellStyle name="40% - 강조색4 11" xfId="5614"/>
    <cellStyle name="40% - 강조색4 11 2" xfId="5615"/>
    <cellStyle name="40% - 강조색4 11 2 2" xfId="5616"/>
    <cellStyle name="40% - 강조색4 11 2 2 2" xfId="5617"/>
    <cellStyle name="40% - 강조색4 11 2 2 2 2" xfId="5618"/>
    <cellStyle name="40% - 강조색4 11 2 2 3" xfId="5619"/>
    <cellStyle name="40% - 강조색4 11 2 3" xfId="5620"/>
    <cellStyle name="40% - 강조색4 11 2 3 2" xfId="5621"/>
    <cellStyle name="40% - 강조색4 11 2 4" xfId="5622"/>
    <cellStyle name="40% - 강조색4 11 3" xfId="5623"/>
    <cellStyle name="40% - 강조색4 11 3 2" xfId="5624"/>
    <cellStyle name="40% - 강조색4 11 3 2 2" xfId="5625"/>
    <cellStyle name="40% - 강조색4 11 3 3" xfId="5626"/>
    <cellStyle name="40% - 강조색4 11 4" xfId="5627"/>
    <cellStyle name="40% - 강조색4 11 4 2" xfId="5628"/>
    <cellStyle name="40% - 강조색4 11 5" xfId="5629"/>
    <cellStyle name="40% - 강조색4 11 5 2" xfId="5630"/>
    <cellStyle name="40% - 강조색4 12" xfId="5631"/>
    <cellStyle name="40% - 강조색4 12 2" xfId="5632"/>
    <cellStyle name="40% - 강조색4 12 2 2" xfId="5633"/>
    <cellStyle name="40% - 강조색4 12 2 2 2" xfId="5634"/>
    <cellStyle name="40% - 강조색4 12 2 2 2 2" xfId="5635"/>
    <cellStyle name="40% - 강조색4 12 2 2 2 2 2" xfId="21148"/>
    <cellStyle name="40% - 강조색4 12 2 2 3" xfId="5636"/>
    <cellStyle name="40% - 강조색4 12 2 3" xfId="5637"/>
    <cellStyle name="40% - 강조색4 12 2 3 2" xfId="5638"/>
    <cellStyle name="40% - 강조색4 12 2 4" xfId="5639"/>
    <cellStyle name="40% - 강조색4 12 3" xfId="5640"/>
    <cellStyle name="40% - 강조색4 12 3 2" xfId="5641"/>
    <cellStyle name="40% - 강조색4 12 3 2 2" xfId="5642"/>
    <cellStyle name="40% - 강조색4 12 3 3" xfId="5643"/>
    <cellStyle name="40% - 강조색4 12 4" xfId="5644"/>
    <cellStyle name="40% - 강조색4 12 4 2" xfId="5645"/>
    <cellStyle name="40% - 강조색4 12 5" xfId="5646"/>
    <cellStyle name="40% - 강조색4 12 5 2" xfId="5647"/>
    <cellStyle name="40% - 강조색4 13" xfId="5648"/>
    <cellStyle name="40% - 강조색4 13 2" xfId="5649"/>
    <cellStyle name="40% - 강조색4 13 2 2" xfId="5650"/>
    <cellStyle name="40% - 강조색4 13 2 2 2" xfId="21149"/>
    <cellStyle name="40% - 강조색4 13 2 3" xfId="5651"/>
    <cellStyle name="40% - 강조색4 13 2 3 2" xfId="5652"/>
    <cellStyle name="40% - 강조색4 13 2 4" xfId="5653"/>
    <cellStyle name="40% - 강조색4 13 3" xfId="5654"/>
    <cellStyle name="40% - 강조색4 13 3 2" xfId="5655"/>
    <cellStyle name="40% - 강조색4 13 3 3" xfId="5656"/>
    <cellStyle name="40% - 강조색4 13 3 3 2" xfId="5657"/>
    <cellStyle name="40% - 강조색4 13 4" xfId="5658"/>
    <cellStyle name="40% - 강조색4 13 4 2" xfId="5659"/>
    <cellStyle name="40% - 강조색4 13 5" xfId="5660"/>
    <cellStyle name="40% - 강조색4 14" xfId="5661"/>
    <cellStyle name="40% - 강조색4 14 2" xfId="5662"/>
    <cellStyle name="40% - 강조색4 14 2 2" xfId="5663"/>
    <cellStyle name="40% - 강조색4 14 2 2 2" xfId="21150"/>
    <cellStyle name="40% - 강조색4 14 3" xfId="5664"/>
    <cellStyle name="40% - 강조색4 14 3 2" xfId="5665"/>
    <cellStyle name="40% - 강조색4 14 4" xfId="5666"/>
    <cellStyle name="40% - 강조색4 14 5" xfId="5667"/>
    <cellStyle name="40% - 강조색4 15" xfId="5668"/>
    <cellStyle name="40% - 강조색4 15 2" xfId="5669"/>
    <cellStyle name="40% - 강조색4 15 2 2" xfId="5670"/>
    <cellStyle name="40% - 강조색4 15 2 2 2" xfId="21151"/>
    <cellStyle name="40% - 강조색4 15 3" xfId="5671"/>
    <cellStyle name="40% - 강조색4 15 3 2" xfId="5672"/>
    <cellStyle name="40% - 강조색4 15 4" xfId="5673"/>
    <cellStyle name="40% - 강조색4 15 5" xfId="5674"/>
    <cellStyle name="40% - 강조색4 16" xfId="5675"/>
    <cellStyle name="40% - 강조색4 16 2" xfId="5676"/>
    <cellStyle name="40% - 강조색4 16 2 2" xfId="5677"/>
    <cellStyle name="40% - 강조색4 16 2 2 2" xfId="21152"/>
    <cellStyle name="40% - 강조색4 16 3" xfId="5678"/>
    <cellStyle name="40% - 강조색4 16 3 2" xfId="5679"/>
    <cellStyle name="40% - 강조색4 16 4" xfId="5680"/>
    <cellStyle name="40% - 강조색4 16 5" xfId="5681"/>
    <cellStyle name="40% - 강조색4 17" xfId="5682"/>
    <cellStyle name="40% - 강조색4 17 2" xfId="5683"/>
    <cellStyle name="40% - 강조색4 17 2 2" xfId="5684"/>
    <cellStyle name="40% - 강조색4 17 2 2 2" xfId="21153"/>
    <cellStyle name="40% - 강조색4 17 3" xfId="5685"/>
    <cellStyle name="40% - 강조색4 17 4" xfId="5686"/>
    <cellStyle name="40% - 강조색4 17 5" xfId="5687"/>
    <cellStyle name="40% - 강조색4 18" xfId="5688"/>
    <cellStyle name="40% - 강조색4 18 2" xfId="5689"/>
    <cellStyle name="40% - 강조색4 18 2 2" xfId="5690"/>
    <cellStyle name="40% - 강조색4 18 3" xfId="5691"/>
    <cellStyle name="40% - 강조색4 18 4" xfId="5692"/>
    <cellStyle name="40% - 강조색4 18 5" xfId="5693"/>
    <cellStyle name="40% - 강조색4 19" xfId="5694"/>
    <cellStyle name="40% - 강조색4 19 2" xfId="5695"/>
    <cellStyle name="40% - 강조색4 19 2 2" xfId="5696"/>
    <cellStyle name="40% - 강조색4 19 3" xfId="5697"/>
    <cellStyle name="40% - 강조색4 19 4" xfId="5698"/>
    <cellStyle name="40% - 강조색4 19 5" xfId="5699"/>
    <cellStyle name="40% - 강조색4 2" xfId="5700"/>
    <cellStyle name="40% - 강조색4 2 10" xfId="5701"/>
    <cellStyle name="40% - 강조색4 2 10 2" xfId="5702"/>
    <cellStyle name="40% - 강조색4 2 10 2 2" xfId="5703"/>
    <cellStyle name="40% - 강조색4 2 10 3" xfId="5704"/>
    <cellStyle name="40% - 강조색4 2 10 4" xfId="5705"/>
    <cellStyle name="40% - 강조색4 2 11" xfId="5706"/>
    <cellStyle name="40% - 강조색4 2 11 2" xfId="5707"/>
    <cellStyle name="40% - 강조색4 2 11 2 2" xfId="5708"/>
    <cellStyle name="40% - 강조색4 2 11 3" xfId="5709"/>
    <cellStyle name="40% - 강조색4 2 12" xfId="5710"/>
    <cellStyle name="40% - 강조색4 2 12 2" xfId="5711"/>
    <cellStyle name="40% - 강조색4 2 13" xfId="5712"/>
    <cellStyle name="40% - 강조색4 2 14" xfId="5713"/>
    <cellStyle name="40% - 강조색4 2 15" xfId="5714"/>
    <cellStyle name="40% - 강조색4 2 16" xfId="5715"/>
    <cellStyle name="40% - 강조색4 2 17" xfId="5716"/>
    <cellStyle name="40% - 강조색4 2 18" xfId="5717"/>
    <cellStyle name="40% - 강조색4 2 19" xfId="5718"/>
    <cellStyle name="40% - 강조색4 2 2" xfId="5719"/>
    <cellStyle name="40% - 강조색4 2 2 2" xfId="5720"/>
    <cellStyle name="40% - 강조색4 2 2 2 2" xfId="5721"/>
    <cellStyle name="40% - 강조색4 2 2 2 3" xfId="5722"/>
    <cellStyle name="40% - 강조색4 2 2 2 4" xfId="5723"/>
    <cellStyle name="40% - 강조색4 2 2 2 4 2" xfId="5724"/>
    <cellStyle name="40% - 강조색4 2 2 2 5" xfId="5725"/>
    <cellStyle name="40% - 강조색4 2 2 3" xfId="5726"/>
    <cellStyle name="40% - 강조색4 2 2 3 2" xfId="5727"/>
    <cellStyle name="40% - 강조색4 2 2 3 2 2" xfId="5728"/>
    <cellStyle name="40% - 강조색4 2 2 3 3" xfId="5729"/>
    <cellStyle name="40% - 강조색4 2 2 4" xfId="5730"/>
    <cellStyle name="40% - 강조색4 2 2 5" xfId="20247"/>
    <cellStyle name="40% - 강조색4 2 20" xfId="5731"/>
    <cellStyle name="40% - 강조색4 2 21" xfId="5732"/>
    <cellStyle name="40% - 강조색4 2 22" xfId="19671"/>
    <cellStyle name="40% - 강조색4 2 3" xfId="5733"/>
    <cellStyle name="40% - 강조색4 2 3 2" xfId="5734"/>
    <cellStyle name="40% - 강조색4 2 3 2 2" xfId="5735"/>
    <cellStyle name="40% - 강조색4 2 3 2 2 2" xfId="5736"/>
    <cellStyle name="40% - 강조색4 2 3 2 2 2 2" xfId="21154"/>
    <cellStyle name="40% - 강조색4 2 3 3" xfId="20248"/>
    <cellStyle name="40% - 강조색4 2 4" xfId="5737"/>
    <cellStyle name="40% - 강조색4 2 4 2" xfId="5738"/>
    <cellStyle name="40% - 강조색4 2 4 2 2" xfId="5739"/>
    <cellStyle name="40% - 강조색4 2 4 2 2 2" xfId="5740"/>
    <cellStyle name="40% - 강조색4 2 4 2 2 2 2" xfId="21155"/>
    <cellStyle name="40% - 강조색4 2 4 2 3" xfId="5741"/>
    <cellStyle name="40% - 강조색4 2 4 2 4" xfId="5742"/>
    <cellStyle name="40% - 강조색4 2 4 3" xfId="5743"/>
    <cellStyle name="40% - 강조색4 2 4 3 2" xfId="5744"/>
    <cellStyle name="40% - 강조색4 2 4 4" xfId="5745"/>
    <cellStyle name="40% - 강조색4 2 4 4 2" xfId="5746"/>
    <cellStyle name="40% - 강조색4 2 4 5" xfId="5747"/>
    <cellStyle name="40% - 강조색4 2 4 6" xfId="20249"/>
    <cellStyle name="40% - 강조색4 2 5" xfId="5748"/>
    <cellStyle name="40% - 강조색4 2 5 2" xfId="5749"/>
    <cellStyle name="40% - 강조색4 2 5 2 2" xfId="5750"/>
    <cellStyle name="40% - 강조색4 2 5 3" xfId="5751"/>
    <cellStyle name="40% - 강조색4 2 5 4" xfId="5752"/>
    <cellStyle name="40% - 강조색4 2 6" xfId="5753"/>
    <cellStyle name="40% - 강조색4 2 6 2" xfId="5754"/>
    <cellStyle name="40% - 강조색4 2 6 2 2" xfId="5755"/>
    <cellStyle name="40% - 강조색4 2 6 2 2 2" xfId="21156"/>
    <cellStyle name="40% - 강조색4 2 6 3" xfId="5756"/>
    <cellStyle name="40% - 강조색4 2 6 4" xfId="5757"/>
    <cellStyle name="40% - 강조색4 2 6 5" xfId="20250"/>
    <cellStyle name="40% - 강조색4 2 7" xfId="5758"/>
    <cellStyle name="40% - 강조색4 2 7 2" xfId="5759"/>
    <cellStyle name="40% - 강조색4 2 7 2 2" xfId="5760"/>
    <cellStyle name="40% - 강조색4 2 7 2 2 2" xfId="21157"/>
    <cellStyle name="40% - 강조색4 2 7 3" xfId="5761"/>
    <cellStyle name="40% - 강조색4 2 7 4" xfId="5762"/>
    <cellStyle name="40% - 강조색4 2 7 5" xfId="20251"/>
    <cellStyle name="40% - 강조색4 2 8" xfId="5763"/>
    <cellStyle name="40% - 강조색4 2 8 2" xfId="5764"/>
    <cellStyle name="40% - 강조색4 2 8 2 2" xfId="5765"/>
    <cellStyle name="40% - 강조색4 2 8 3" xfId="5766"/>
    <cellStyle name="40% - 강조색4 2 8 4" xfId="5767"/>
    <cellStyle name="40% - 강조색4 2 9" xfId="5768"/>
    <cellStyle name="40% - 강조색4 2 9 2" xfId="5769"/>
    <cellStyle name="40% - 강조색4 2 9 2 2" xfId="5770"/>
    <cellStyle name="40% - 강조색4 2 9 2 2 2" xfId="21158"/>
    <cellStyle name="40% - 강조색4 2 9 3" xfId="5771"/>
    <cellStyle name="40% - 강조색4 2 9 4" xfId="5772"/>
    <cellStyle name="40% - 강조색4 20" xfId="5773"/>
    <cellStyle name="40% - 강조색4 20 2" xfId="5774"/>
    <cellStyle name="40% - 강조색4 20 3" xfId="5775"/>
    <cellStyle name="40% - 강조색4 20 4" xfId="5776"/>
    <cellStyle name="40% - 강조색4 20 5" xfId="5777"/>
    <cellStyle name="40% - 강조색4 21" xfId="5778"/>
    <cellStyle name="40% - 강조색4 21 2" xfId="5779"/>
    <cellStyle name="40% - 강조색4 21 3" xfId="5780"/>
    <cellStyle name="40% - 강조색4 21 4" xfId="5781"/>
    <cellStyle name="40% - 강조색4 21 5" xfId="5782"/>
    <cellStyle name="40% - 강조색4 22" xfId="5783"/>
    <cellStyle name="40% - 강조색4 22 2" xfId="5784"/>
    <cellStyle name="40% - 강조색4 22 3" xfId="5785"/>
    <cellStyle name="40% - 강조색4 22 4" xfId="5786"/>
    <cellStyle name="40% - 강조색4 22 5" xfId="5787"/>
    <cellStyle name="40% - 강조색4 23" xfId="5788"/>
    <cellStyle name="40% - 강조색4 23 2" xfId="5789"/>
    <cellStyle name="40% - 강조색4 23 2 2" xfId="5790"/>
    <cellStyle name="40% - 강조색4 23 2 3" xfId="5791"/>
    <cellStyle name="40% - 강조색4 23 3" xfId="5792"/>
    <cellStyle name="40% - 강조색4 23 4" xfId="5793"/>
    <cellStyle name="40% - 강조색4 24" xfId="5794"/>
    <cellStyle name="40% - 강조색4 24 2" xfId="5795"/>
    <cellStyle name="40% - 강조색4 24 2 2" xfId="5796"/>
    <cellStyle name="40% - 강조색4 24 2 3" xfId="5797"/>
    <cellStyle name="40% - 강조색4 24 3" xfId="5798"/>
    <cellStyle name="40% - 강조색4 24 4" xfId="5799"/>
    <cellStyle name="40% - 강조색4 25" xfId="5800"/>
    <cellStyle name="40% - 강조색4 25 2" xfId="5801"/>
    <cellStyle name="40% - 강조색4 25 2 2" xfId="5802"/>
    <cellStyle name="40% - 강조색4 25 3" xfId="5803"/>
    <cellStyle name="40% - 강조색4 26" xfId="5804"/>
    <cellStyle name="40% - 강조색4 26 2" xfId="5805"/>
    <cellStyle name="40% - 강조색4 27" xfId="5806"/>
    <cellStyle name="40% - 강조색4 27 2" xfId="5807"/>
    <cellStyle name="40% - 강조색4 28" xfId="5808"/>
    <cellStyle name="40% - 강조색4 29" xfId="5809"/>
    <cellStyle name="40% - 강조색4 3" xfId="5810"/>
    <cellStyle name="40% - 강조색4 3 10" xfId="5811"/>
    <cellStyle name="40% - 강조색4 3 11" xfId="5812"/>
    <cellStyle name="40% - 강조색4 3 12" xfId="5813"/>
    <cellStyle name="40% - 강조색4 3 13" xfId="5814"/>
    <cellStyle name="40% - 강조색4 3 14" xfId="5815"/>
    <cellStyle name="40% - 강조색4 3 15" xfId="5816"/>
    <cellStyle name="40% - 강조색4 3 16" xfId="5817"/>
    <cellStyle name="40% - 강조색4 3 17" xfId="5818"/>
    <cellStyle name="40% - 강조색4 3 18" xfId="5819"/>
    <cellStyle name="40% - 강조색4 3 19" xfId="5820"/>
    <cellStyle name="40% - 강조색4 3 2" xfId="5821"/>
    <cellStyle name="40% - 강조색4 3 2 2" xfId="5822"/>
    <cellStyle name="40% - 강조색4 3 2 2 2" xfId="5823"/>
    <cellStyle name="40% - 강조색4 3 2 2 3" xfId="5824"/>
    <cellStyle name="40% - 강조색4 3 2 2 4" xfId="5825"/>
    <cellStyle name="40% - 강조색4 3 2 2 4 2" xfId="5826"/>
    <cellStyle name="40% - 강조색4 3 2 3" xfId="5827"/>
    <cellStyle name="40% - 강조색4 3 2 4" xfId="5828"/>
    <cellStyle name="40% - 강조색4 3 20" xfId="5829"/>
    <cellStyle name="40% - 강조색4 3 21" xfId="5830"/>
    <cellStyle name="40% - 강조색4 3 3" xfId="5831"/>
    <cellStyle name="40% - 강조색4 3 3 2" xfId="5832"/>
    <cellStyle name="40% - 강조색4 3 3 2 2" xfId="5833"/>
    <cellStyle name="40% - 강조색4 3 3 2 2 2" xfId="5834"/>
    <cellStyle name="40% - 강조색4 3 3 2 2 2 2" xfId="21159"/>
    <cellStyle name="40% - 강조색4 3 3 3" xfId="20252"/>
    <cellStyle name="40% - 강조색4 3 4" xfId="5835"/>
    <cellStyle name="40% - 강조색4 3 4 2" xfId="5836"/>
    <cellStyle name="40% - 강조색4 3 4 2 2" xfId="5837"/>
    <cellStyle name="40% - 강조색4 3 4 2 3" xfId="5838"/>
    <cellStyle name="40% - 강조색4 3 4 2 3 2" xfId="5839"/>
    <cellStyle name="40% - 강조색4 3 4 2 4" xfId="5840"/>
    <cellStyle name="40% - 강조색4 3 4 3" xfId="5841"/>
    <cellStyle name="40% - 강조색4 3 4 3 2" xfId="5842"/>
    <cellStyle name="40% - 강조색4 3 4 3 3" xfId="5843"/>
    <cellStyle name="40% - 강조색4 3 4 4" xfId="5844"/>
    <cellStyle name="40% - 강조색4 3 4 5" xfId="5845"/>
    <cellStyle name="40% - 강조색4 3 4 6" xfId="5846"/>
    <cellStyle name="40% - 강조색4 3 4 6 2" xfId="5847"/>
    <cellStyle name="40% - 강조색4 3 4 7" xfId="20253"/>
    <cellStyle name="40% - 강조색4 3 5" xfId="5848"/>
    <cellStyle name="40% - 강조색4 3 5 2" xfId="5849"/>
    <cellStyle name="40% - 강조색4 3 5 2 2" xfId="5850"/>
    <cellStyle name="40% - 강조색4 3 5 3" xfId="5851"/>
    <cellStyle name="40% - 강조색4 3 6" xfId="5852"/>
    <cellStyle name="40% - 강조색4 3 6 2" xfId="5853"/>
    <cellStyle name="40% - 강조색4 3 7" xfId="5854"/>
    <cellStyle name="40% - 강조색4 3 8" xfId="5855"/>
    <cellStyle name="40% - 강조색4 3 9" xfId="5856"/>
    <cellStyle name="40% - 강조색4 30" xfId="5857"/>
    <cellStyle name="40% - 강조색4 31" xfId="5858"/>
    <cellStyle name="40% - 강조색4 32" xfId="5859"/>
    <cellStyle name="40% - 강조색4 33" xfId="18228"/>
    <cellStyle name="40% - 강조색4 4" xfId="5860"/>
    <cellStyle name="40% - 강조색4 4 10" xfId="5861"/>
    <cellStyle name="40% - 강조색4 4 11" xfId="5862"/>
    <cellStyle name="40% - 강조색4 4 12" xfId="5863"/>
    <cellStyle name="40% - 강조색4 4 13" xfId="5864"/>
    <cellStyle name="40% - 강조색4 4 14" xfId="5865"/>
    <cellStyle name="40% - 강조색4 4 15" xfId="5866"/>
    <cellStyle name="40% - 강조색4 4 16" xfId="5867"/>
    <cellStyle name="40% - 강조색4 4 17" xfId="5868"/>
    <cellStyle name="40% - 강조색4 4 18" xfId="5869"/>
    <cellStyle name="40% - 강조색4 4 19" xfId="5870"/>
    <cellStyle name="40% - 강조색4 4 2" xfId="5871"/>
    <cellStyle name="40% - 강조색4 4 2 2" xfId="5872"/>
    <cellStyle name="40% - 강조색4 4 2 2 2" xfId="5873"/>
    <cellStyle name="40% - 강조색4 4 2 2 2 2" xfId="21160"/>
    <cellStyle name="40% - 강조색4 4 20" xfId="5874"/>
    <cellStyle name="40% - 강조색4 4 21" xfId="5875"/>
    <cellStyle name="40% - 강조색4 4 3" xfId="5876"/>
    <cellStyle name="40% - 강조색4 4 3 2" xfId="5877"/>
    <cellStyle name="40% - 강조색4 4 3 2 2" xfId="5878"/>
    <cellStyle name="40% - 강조색4 4 4" xfId="5879"/>
    <cellStyle name="40% - 강조색4 4 4 2" xfId="5880"/>
    <cellStyle name="40% - 강조색4 4 4 2 2" xfId="5881"/>
    <cellStyle name="40% - 강조색4 4 4 2 2 2" xfId="5882"/>
    <cellStyle name="40% - 강조색4 4 4 2 3" xfId="5883"/>
    <cellStyle name="40% - 강조색4 4 4 3" xfId="5884"/>
    <cellStyle name="40% - 강조색4 4 4 3 2" xfId="5885"/>
    <cellStyle name="40% - 강조색4 4 4 4" xfId="5886"/>
    <cellStyle name="40% - 강조색4 4 4 5" xfId="5887"/>
    <cellStyle name="40% - 강조색4 4 5" xfId="5888"/>
    <cellStyle name="40% - 강조색4 4 5 2" xfId="5889"/>
    <cellStyle name="40% - 강조색4 4 5 2 2" xfId="5890"/>
    <cellStyle name="40% - 강조색4 4 6" xfId="5891"/>
    <cellStyle name="40% - 강조색4 4 6 2" xfId="5892"/>
    <cellStyle name="40% - 강조색4 4 7" xfId="5893"/>
    <cellStyle name="40% - 강조색4 4 8" xfId="5894"/>
    <cellStyle name="40% - 강조색4 4 9" xfId="5895"/>
    <cellStyle name="40% - 강조색4 5" xfId="5896"/>
    <cellStyle name="40% - 강조색4 5 10" xfId="5897"/>
    <cellStyle name="40% - 강조색4 5 11" xfId="5898"/>
    <cellStyle name="40% - 강조색4 5 12" xfId="5899"/>
    <cellStyle name="40% - 강조색4 5 13" xfId="5900"/>
    <cellStyle name="40% - 강조색4 5 14" xfId="5901"/>
    <cellStyle name="40% - 강조색4 5 15" xfId="5902"/>
    <cellStyle name="40% - 강조색4 5 16" xfId="5903"/>
    <cellStyle name="40% - 강조색4 5 17" xfId="5904"/>
    <cellStyle name="40% - 강조색4 5 18" xfId="5905"/>
    <cellStyle name="40% - 강조색4 5 19" xfId="5906"/>
    <cellStyle name="40% - 강조색4 5 2" xfId="5907"/>
    <cellStyle name="40% - 강조색4 5 2 2" xfId="5908"/>
    <cellStyle name="40% - 강조색4 5 2 2 2" xfId="5909"/>
    <cellStyle name="40% - 강조색4 5 2 2 2 2" xfId="21161"/>
    <cellStyle name="40% - 강조색4 5 20" xfId="5910"/>
    <cellStyle name="40% - 강조색4 5 21" xfId="5911"/>
    <cellStyle name="40% - 강조색4 5 3" xfId="5912"/>
    <cellStyle name="40% - 강조색4 5 3 2" xfId="5913"/>
    <cellStyle name="40% - 강조색4 5 3 2 2" xfId="5914"/>
    <cellStyle name="40% - 강조색4 5 3 2 2 2" xfId="5915"/>
    <cellStyle name="40% - 강조색4 5 3 2 3" xfId="5916"/>
    <cellStyle name="40% - 강조색4 5 3 3" xfId="5917"/>
    <cellStyle name="40% - 강조색4 5 3 4" xfId="5918"/>
    <cellStyle name="40% - 강조색4 5 3 4 2" xfId="5919"/>
    <cellStyle name="40% - 강조색4 5 4" xfId="5920"/>
    <cellStyle name="40% - 강조색4 5 4 2" xfId="5921"/>
    <cellStyle name="40% - 강조색4 5 5" xfId="5922"/>
    <cellStyle name="40% - 강조색4 5 6" xfId="5923"/>
    <cellStyle name="40% - 강조색4 5 7" xfId="5924"/>
    <cellStyle name="40% - 강조색4 5 8" xfId="5925"/>
    <cellStyle name="40% - 강조색4 5 9" xfId="5926"/>
    <cellStyle name="40% - 강조색4 6" xfId="5927"/>
    <cellStyle name="40% - 강조색4 6 10" xfId="5928"/>
    <cellStyle name="40% - 강조색4 6 11" xfId="5929"/>
    <cellStyle name="40% - 강조색4 6 12" xfId="5930"/>
    <cellStyle name="40% - 강조색4 6 13" xfId="5931"/>
    <cellStyle name="40% - 강조색4 6 14" xfId="5932"/>
    <cellStyle name="40% - 강조색4 6 15" xfId="5933"/>
    <cellStyle name="40% - 강조색4 6 16" xfId="5934"/>
    <cellStyle name="40% - 강조색4 6 17" xfId="5935"/>
    <cellStyle name="40% - 강조색4 6 18" xfId="5936"/>
    <cellStyle name="40% - 강조색4 6 19" xfId="5937"/>
    <cellStyle name="40% - 강조색4 6 2" xfId="5938"/>
    <cellStyle name="40% - 강조색4 6 2 2" xfId="5939"/>
    <cellStyle name="40% - 강조색4 6 2 2 2" xfId="5940"/>
    <cellStyle name="40% - 강조색4 6 2 2 2 2" xfId="21162"/>
    <cellStyle name="40% - 강조색4 6 20" xfId="5941"/>
    <cellStyle name="40% - 강조색4 6 21" xfId="5942"/>
    <cellStyle name="40% - 강조색4 6 3" xfId="5943"/>
    <cellStyle name="40% - 강조색4 6 3 2" xfId="5944"/>
    <cellStyle name="40% - 강조색4 6 3 2 2" xfId="5945"/>
    <cellStyle name="40% - 강조색4 6 3 2 2 2" xfId="5946"/>
    <cellStyle name="40% - 강조색4 6 3 2 3" xfId="5947"/>
    <cellStyle name="40% - 강조색4 6 3 3" xfId="5948"/>
    <cellStyle name="40% - 강조색4 6 3 4" xfId="5949"/>
    <cellStyle name="40% - 강조색4 6 3 4 2" xfId="5950"/>
    <cellStyle name="40% - 강조색4 6 4" xfId="5951"/>
    <cellStyle name="40% - 강조색4 6 4 2" xfId="5952"/>
    <cellStyle name="40% - 강조색4 6 5" xfId="5953"/>
    <cellStyle name="40% - 강조색4 6 6" xfId="5954"/>
    <cellStyle name="40% - 강조색4 6 7" xfId="5955"/>
    <cellStyle name="40% - 강조색4 6 8" xfId="5956"/>
    <cellStyle name="40% - 강조색4 6 9" xfId="5957"/>
    <cellStyle name="40% - 강조색4 7" xfId="5958"/>
    <cellStyle name="40% - 강조색4 7 10" xfId="5959"/>
    <cellStyle name="40% - 강조색4 7 11" xfId="5960"/>
    <cellStyle name="40% - 강조색4 7 12" xfId="5961"/>
    <cellStyle name="40% - 강조색4 7 13" xfId="5962"/>
    <cellStyle name="40% - 강조색4 7 14" xfId="5963"/>
    <cellStyle name="40% - 강조색4 7 15" xfId="5964"/>
    <cellStyle name="40% - 강조색4 7 16" xfId="5965"/>
    <cellStyle name="40% - 강조색4 7 17" xfId="5966"/>
    <cellStyle name="40% - 강조색4 7 18" xfId="5967"/>
    <cellStyle name="40% - 강조색4 7 19" xfId="5968"/>
    <cellStyle name="40% - 강조색4 7 2" xfId="5969"/>
    <cellStyle name="40% - 강조색4 7 2 2" xfId="5970"/>
    <cellStyle name="40% - 강조색4 7 2 2 2" xfId="5971"/>
    <cellStyle name="40% - 강조색4 7 2 3" xfId="5972"/>
    <cellStyle name="40% - 강조색4 7 3" xfId="5973"/>
    <cellStyle name="40% - 강조색4 7 4" xfId="5974"/>
    <cellStyle name="40% - 강조색4 7 5" xfId="5975"/>
    <cellStyle name="40% - 강조색4 7 6" xfId="5976"/>
    <cellStyle name="40% - 강조색4 7 7" xfId="5977"/>
    <cellStyle name="40% - 강조색4 7 8" xfId="5978"/>
    <cellStyle name="40% - 강조색4 7 9" xfId="5979"/>
    <cellStyle name="40% - 강조색4 8" xfId="5980"/>
    <cellStyle name="40% - 강조색4 8 10" xfId="5981"/>
    <cellStyle name="40% - 강조색4 8 11" xfId="5982"/>
    <cellStyle name="40% - 강조색4 8 12" xfId="5983"/>
    <cellStyle name="40% - 강조색4 8 13" xfId="5984"/>
    <cellStyle name="40% - 강조색4 8 14" xfId="5985"/>
    <cellStyle name="40% - 강조색4 8 15" xfId="5986"/>
    <cellStyle name="40% - 강조색4 8 16" xfId="5987"/>
    <cellStyle name="40% - 강조색4 8 17" xfId="5988"/>
    <cellStyle name="40% - 강조색4 8 18" xfId="5989"/>
    <cellStyle name="40% - 강조색4 8 19" xfId="5990"/>
    <cellStyle name="40% - 강조색4 8 2" xfId="5991"/>
    <cellStyle name="40% - 강조색4 8 2 2" xfId="5992"/>
    <cellStyle name="40% - 강조색4 8 2 2 2" xfId="5993"/>
    <cellStyle name="40% - 강조색4 8 2 3" xfId="5994"/>
    <cellStyle name="40% - 강조색4 8 3" xfId="5995"/>
    <cellStyle name="40% - 강조색4 8 4" xfId="5996"/>
    <cellStyle name="40% - 강조색4 8 5" xfId="5997"/>
    <cellStyle name="40% - 강조색4 8 6" xfId="5998"/>
    <cellStyle name="40% - 강조색4 8 7" xfId="5999"/>
    <cellStyle name="40% - 강조색4 8 8" xfId="6000"/>
    <cellStyle name="40% - 강조색4 8 9" xfId="6001"/>
    <cellStyle name="40% - 강조색4 9" xfId="6002"/>
    <cellStyle name="40% - 강조색4 9 10" xfId="6003"/>
    <cellStyle name="40% - 강조색4 9 11" xfId="6004"/>
    <cellStyle name="40% - 강조색4 9 12" xfId="6005"/>
    <cellStyle name="40% - 강조색4 9 13" xfId="6006"/>
    <cellStyle name="40% - 강조색4 9 14" xfId="6007"/>
    <cellStyle name="40% - 강조색4 9 15" xfId="6008"/>
    <cellStyle name="40% - 강조색4 9 16" xfId="6009"/>
    <cellStyle name="40% - 강조색4 9 17" xfId="6010"/>
    <cellStyle name="40% - 강조색4 9 18" xfId="6011"/>
    <cellStyle name="40% - 강조색4 9 19" xfId="6012"/>
    <cellStyle name="40% - 강조색4 9 2" xfId="6013"/>
    <cellStyle name="40% - 강조색4 9 2 2" xfId="6014"/>
    <cellStyle name="40% - 강조색4 9 2 2 2" xfId="6015"/>
    <cellStyle name="40% - 강조색4 9 2 2 2 2" xfId="6016"/>
    <cellStyle name="40% - 강조색4 9 2 2 2 2 2" xfId="21163"/>
    <cellStyle name="40% - 강조색4 9 2 2 3" xfId="6017"/>
    <cellStyle name="40% - 강조색4 9 2 3" xfId="6018"/>
    <cellStyle name="40% - 강조색4 9 2 3 2" xfId="6019"/>
    <cellStyle name="40% - 강조색4 9 2 4" xfId="6020"/>
    <cellStyle name="40% - 강조색4 9 20" xfId="6021"/>
    <cellStyle name="40% - 강조색4 9 21" xfId="6022"/>
    <cellStyle name="40% - 강조색4 9 3" xfId="6023"/>
    <cellStyle name="40% - 강조색4 9 3 2" xfId="6024"/>
    <cellStyle name="40% - 강조색4 9 3 2 2" xfId="6025"/>
    <cellStyle name="40% - 강조색4 9 4" xfId="6026"/>
    <cellStyle name="40% - 강조색4 9 4 2" xfId="6027"/>
    <cellStyle name="40% - 강조색4 9 5" xfId="6028"/>
    <cellStyle name="40% - 강조색4 9 5 2" xfId="6029"/>
    <cellStyle name="40% - 강조색4 9 6" xfId="6030"/>
    <cellStyle name="40% - 강조색4 9 7" xfId="6031"/>
    <cellStyle name="40% - 강조색4 9 8" xfId="6032"/>
    <cellStyle name="40% - 강조색4 9 9" xfId="6033"/>
    <cellStyle name="40% - 강조색5" xfId="36" builtinId="47" customBuiltin="1"/>
    <cellStyle name="40% - 강조색5 10" xfId="6034"/>
    <cellStyle name="40% - 강조색5 10 10" xfId="6035"/>
    <cellStyle name="40% - 강조색5 10 11" xfId="6036"/>
    <cellStyle name="40% - 강조색5 10 12" xfId="6037"/>
    <cellStyle name="40% - 강조색5 10 13" xfId="6038"/>
    <cellStyle name="40% - 강조색5 10 14" xfId="6039"/>
    <cellStyle name="40% - 강조색5 10 15" xfId="6040"/>
    <cellStyle name="40% - 강조색5 10 16" xfId="6041"/>
    <cellStyle name="40% - 강조색5 10 17" xfId="6042"/>
    <cellStyle name="40% - 강조색5 10 18" xfId="6043"/>
    <cellStyle name="40% - 강조색5 10 19" xfId="6044"/>
    <cellStyle name="40% - 강조색5 10 2" xfId="6045"/>
    <cellStyle name="40% - 강조색5 10 2 2" xfId="6046"/>
    <cellStyle name="40% - 강조색5 10 2 2 2" xfId="6047"/>
    <cellStyle name="40% - 강조색5 10 2 2 2 2" xfId="6048"/>
    <cellStyle name="40% - 강조색5 10 2 2 2 2 2" xfId="21164"/>
    <cellStyle name="40% - 강조색5 10 2 2 3" xfId="6049"/>
    <cellStyle name="40% - 강조색5 10 2 3" xfId="6050"/>
    <cellStyle name="40% - 강조색5 10 2 3 2" xfId="6051"/>
    <cellStyle name="40% - 강조색5 10 2 4" xfId="6052"/>
    <cellStyle name="40% - 강조색5 10 20" xfId="6053"/>
    <cellStyle name="40% - 강조색5 10 21" xfId="6054"/>
    <cellStyle name="40% - 강조색5 10 3" xfId="6055"/>
    <cellStyle name="40% - 강조색5 10 3 2" xfId="6056"/>
    <cellStyle name="40% - 강조색5 10 3 2 2" xfId="6057"/>
    <cellStyle name="40% - 강조색5 10 4" xfId="6058"/>
    <cellStyle name="40% - 강조색5 10 4 2" xfId="6059"/>
    <cellStyle name="40% - 강조색5 10 5" xfId="6060"/>
    <cellStyle name="40% - 강조색5 10 5 2" xfId="6061"/>
    <cellStyle name="40% - 강조색5 10 6" xfId="6062"/>
    <cellStyle name="40% - 강조색5 10 7" xfId="6063"/>
    <cellStyle name="40% - 강조색5 10 8" xfId="6064"/>
    <cellStyle name="40% - 강조색5 10 9" xfId="6065"/>
    <cellStyle name="40% - 강조색5 11" xfId="6066"/>
    <cellStyle name="40% - 강조색5 11 2" xfId="6067"/>
    <cellStyle name="40% - 강조색5 11 2 2" xfId="6068"/>
    <cellStyle name="40% - 강조색5 11 2 2 2" xfId="6069"/>
    <cellStyle name="40% - 강조색5 11 2 2 2 2" xfId="6070"/>
    <cellStyle name="40% - 강조색5 11 2 2 3" xfId="6071"/>
    <cellStyle name="40% - 강조색5 11 2 3" xfId="6072"/>
    <cellStyle name="40% - 강조색5 11 2 3 2" xfId="6073"/>
    <cellStyle name="40% - 강조색5 11 2 4" xfId="6074"/>
    <cellStyle name="40% - 강조색5 11 3" xfId="6075"/>
    <cellStyle name="40% - 강조색5 11 3 2" xfId="6076"/>
    <cellStyle name="40% - 강조색5 11 3 2 2" xfId="6077"/>
    <cellStyle name="40% - 강조색5 11 3 3" xfId="6078"/>
    <cellStyle name="40% - 강조색5 11 4" xfId="6079"/>
    <cellStyle name="40% - 강조색5 11 4 2" xfId="6080"/>
    <cellStyle name="40% - 강조색5 11 5" xfId="6081"/>
    <cellStyle name="40% - 강조색5 11 5 2" xfId="6082"/>
    <cellStyle name="40% - 강조색5 12" xfId="6083"/>
    <cellStyle name="40% - 강조색5 12 2" xfId="6084"/>
    <cellStyle name="40% - 강조색5 12 2 2" xfId="6085"/>
    <cellStyle name="40% - 강조색5 12 2 2 2" xfId="6086"/>
    <cellStyle name="40% - 강조색5 12 2 2 2 2" xfId="6087"/>
    <cellStyle name="40% - 강조색5 12 2 2 2 2 2" xfId="21165"/>
    <cellStyle name="40% - 강조색5 12 2 2 3" xfId="6088"/>
    <cellStyle name="40% - 강조색5 12 2 3" xfId="6089"/>
    <cellStyle name="40% - 강조색5 12 2 3 2" xfId="6090"/>
    <cellStyle name="40% - 강조색5 12 2 4" xfId="6091"/>
    <cellStyle name="40% - 강조색5 12 3" xfId="6092"/>
    <cellStyle name="40% - 강조색5 12 3 2" xfId="6093"/>
    <cellStyle name="40% - 강조색5 12 3 2 2" xfId="6094"/>
    <cellStyle name="40% - 강조색5 12 3 3" xfId="6095"/>
    <cellStyle name="40% - 강조색5 12 4" xfId="6096"/>
    <cellStyle name="40% - 강조색5 12 4 2" xfId="6097"/>
    <cellStyle name="40% - 강조색5 12 5" xfId="6098"/>
    <cellStyle name="40% - 강조색5 12 5 2" xfId="6099"/>
    <cellStyle name="40% - 강조색5 13" xfId="6100"/>
    <cellStyle name="40% - 강조색5 13 2" xfId="6101"/>
    <cellStyle name="40% - 강조색5 13 2 2" xfId="6102"/>
    <cellStyle name="40% - 강조색5 13 2 2 2" xfId="21166"/>
    <cellStyle name="40% - 강조색5 13 2 3" xfId="6103"/>
    <cellStyle name="40% - 강조색5 13 2 3 2" xfId="6104"/>
    <cellStyle name="40% - 강조색5 13 2 4" xfId="6105"/>
    <cellStyle name="40% - 강조색5 13 3" xfId="6106"/>
    <cellStyle name="40% - 강조색5 13 3 2" xfId="6107"/>
    <cellStyle name="40% - 강조색5 13 3 3" xfId="6108"/>
    <cellStyle name="40% - 강조색5 13 3 3 2" xfId="6109"/>
    <cellStyle name="40% - 강조색5 13 4" xfId="6110"/>
    <cellStyle name="40% - 강조색5 13 4 2" xfId="6111"/>
    <cellStyle name="40% - 강조색5 13 5" xfId="6112"/>
    <cellStyle name="40% - 강조색5 14" xfId="6113"/>
    <cellStyle name="40% - 강조색5 14 2" xfId="6114"/>
    <cellStyle name="40% - 강조색5 14 2 2" xfId="6115"/>
    <cellStyle name="40% - 강조색5 14 2 2 2" xfId="21167"/>
    <cellStyle name="40% - 강조색5 14 3" xfId="6116"/>
    <cellStyle name="40% - 강조색5 14 3 2" xfId="6117"/>
    <cellStyle name="40% - 강조색5 14 4" xfId="6118"/>
    <cellStyle name="40% - 강조색5 14 5" xfId="6119"/>
    <cellStyle name="40% - 강조색5 15" xfId="6120"/>
    <cellStyle name="40% - 강조색5 15 2" xfId="6121"/>
    <cellStyle name="40% - 강조색5 15 2 2" xfId="6122"/>
    <cellStyle name="40% - 강조색5 15 2 2 2" xfId="21168"/>
    <cellStyle name="40% - 강조색5 15 3" xfId="6123"/>
    <cellStyle name="40% - 강조색5 15 3 2" xfId="6124"/>
    <cellStyle name="40% - 강조색5 15 4" xfId="6125"/>
    <cellStyle name="40% - 강조색5 15 5" xfId="6126"/>
    <cellStyle name="40% - 강조색5 16" xfId="6127"/>
    <cellStyle name="40% - 강조색5 16 2" xfId="6128"/>
    <cellStyle name="40% - 강조색5 16 2 2" xfId="6129"/>
    <cellStyle name="40% - 강조색5 16 2 2 2" xfId="21169"/>
    <cellStyle name="40% - 강조색5 16 3" xfId="6130"/>
    <cellStyle name="40% - 강조색5 16 3 2" xfId="6131"/>
    <cellStyle name="40% - 강조색5 16 4" xfId="6132"/>
    <cellStyle name="40% - 강조색5 16 5" xfId="6133"/>
    <cellStyle name="40% - 강조색5 17" xfId="6134"/>
    <cellStyle name="40% - 강조색5 17 2" xfId="6135"/>
    <cellStyle name="40% - 강조색5 17 2 2" xfId="6136"/>
    <cellStyle name="40% - 강조색5 17 2 2 2" xfId="21170"/>
    <cellStyle name="40% - 강조색5 17 3" xfId="6137"/>
    <cellStyle name="40% - 강조색5 17 4" xfId="6138"/>
    <cellStyle name="40% - 강조색5 17 5" xfId="6139"/>
    <cellStyle name="40% - 강조색5 18" xfId="6140"/>
    <cellStyle name="40% - 강조색5 18 2" xfId="6141"/>
    <cellStyle name="40% - 강조색5 18 2 2" xfId="6142"/>
    <cellStyle name="40% - 강조색5 18 3" xfId="6143"/>
    <cellStyle name="40% - 강조색5 18 4" xfId="6144"/>
    <cellStyle name="40% - 강조색5 18 5" xfId="6145"/>
    <cellStyle name="40% - 강조색5 19" xfId="6146"/>
    <cellStyle name="40% - 강조색5 19 2" xfId="6147"/>
    <cellStyle name="40% - 강조색5 19 2 2" xfId="6148"/>
    <cellStyle name="40% - 강조색5 19 3" xfId="6149"/>
    <cellStyle name="40% - 강조색5 19 4" xfId="6150"/>
    <cellStyle name="40% - 강조색5 19 5" xfId="6151"/>
    <cellStyle name="40% - 강조색5 2" xfId="6152"/>
    <cellStyle name="40% - 강조색5 2 10" xfId="6153"/>
    <cellStyle name="40% - 강조색5 2 10 2" xfId="6154"/>
    <cellStyle name="40% - 강조색5 2 10 2 2" xfId="6155"/>
    <cellStyle name="40% - 강조색5 2 10 3" xfId="6156"/>
    <cellStyle name="40% - 강조색5 2 10 4" xfId="6157"/>
    <cellStyle name="40% - 강조색5 2 11" xfId="6158"/>
    <cellStyle name="40% - 강조색5 2 11 2" xfId="6159"/>
    <cellStyle name="40% - 강조색5 2 11 2 2" xfId="6160"/>
    <cellStyle name="40% - 강조색5 2 11 3" xfId="6161"/>
    <cellStyle name="40% - 강조색5 2 12" xfId="6162"/>
    <cellStyle name="40% - 강조색5 2 12 2" xfId="6163"/>
    <cellStyle name="40% - 강조색5 2 13" xfId="6164"/>
    <cellStyle name="40% - 강조색5 2 14" xfId="6165"/>
    <cellStyle name="40% - 강조색5 2 15" xfId="6166"/>
    <cellStyle name="40% - 강조색5 2 16" xfId="6167"/>
    <cellStyle name="40% - 강조색5 2 17" xfId="6168"/>
    <cellStyle name="40% - 강조색5 2 18" xfId="6169"/>
    <cellStyle name="40% - 강조색5 2 19" xfId="6170"/>
    <cellStyle name="40% - 강조색5 2 2" xfId="6171"/>
    <cellStyle name="40% - 강조색5 2 2 2" xfId="6172"/>
    <cellStyle name="40% - 강조색5 2 2 2 2" xfId="6173"/>
    <cellStyle name="40% - 강조색5 2 2 2 3" xfId="6174"/>
    <cellStyle name="40% - 강조색5 2 2 2 4" xfId="6175"/>
    <cellStyle name="40% - 강조색5 2 2 2 4 2" xfId="6176"/>
    <cellStyle name="40% - 강조색5 2 2 2 5" xfId="6177"/>
    <cellStyle name="40% - 강조색5 2 2 3" xfId="6178"/>
    <cellStyle name="40% - 강조색5 2 2 3 2" xfId="6179"/>
    <cellStyle name="40% - 강조색5 2 2 3 2 2" xfId="6180"/>
    <cellStyle name="40% - 강조색5 2 2 3 3" xfId="6181"/>
    <cellStyle name="40% - 강조색5 2 2 4" xfId="6182"/>
    <cellStyle name="40% - 강조색5 2 2 5" xfId="20254"/>
    <cellStyle name="40% - 강조색5 2 20" xfId="6183"/>
    <cellStyle name="40% - 강조색5 2 21" xfId="6184"/>
    <cellStyle name="40% - 강조색5 2 22" xfId="19672"/>
    <cellStyle name="40% - 강조색5 2 3" xfId="6185"/>
    <cellStyle name="40% - 강조색5 2 3 2" xfId="6186"/>
    <cellStyle name="40% - 강조색5 2 3 2 2" xfId="6187"/>
    <cellStyle name="40% - 강조색5 2 3 2 2 2" xfId="6188"/>
    <cellStyle name="40% - 강조색5 2 3 2 2 2 2" xfId="21171"/>
    <cellStyle name="40% - 강조색5 2 3 3" xfId="20255"/>
    <cellStyle name="40% - 강조색5 2 4" xfId="6189"/>
    <cellStyle name="40% - 강조색5 2 4 2" xfId="6190"/>
    <cellStyle name="40% - 강조색5 2 4 2 2" xfId="6191"/>
    <cellStyle name="40% - 강조색5 2 4 2 2 2" xfId="6192"/>
    <cellStyle name="40% - 강조색5 2 4 2 2 2 2" xfId="21172"/>
    <cellStyle name="40% - 강조색5 2 4 2 3" xfId="6193"/>
    <cellStyle name="40% - 강조색5 2 4 2 4" xfId="6194"/>
    <cellStyle name="40% - 강조색5 2 4 3" xfId="6195"/>
    <cellStyle name="40% - 강조색5 2 4 3 2" xfId="6196"/>
    <cellStyle name="40% - 강조색5 2 4 4" xfId="6197"/>
    <cellStyle name="40% - 강조색5 2 4 4 2" xfId="6198"/>
    <cellStyle name="40% - 강조색5 2 4 5" xfId="6199"/>
    <cellStyle name="40% - 강조색5 2 4 6" xfId="20256"/>
    <cellStyle name="40% - 강조색5 2 5" xfId="6200"/>
    <cellStyle name="40% - 강조색5 2 5 2" xfId="6201"/>
    <cellStyle name="40% - 강조색5 2 5 2 2" xfId="6202"/>
    <cellStyle name="40% - 강조색5 2 5 3" xfId="6203"/>
    <cellStyle name="40% - 강조색5 2 5 4" xfId="6204"/>
    <cellStyle name="40% - 강조색5 2 6" xfId="6205"/>
    <cellStyle name="40% - 강조색5 2 6 2" xfId="6206"/>
    <cellStyle name="40% - 강조색5 2 6 2 2" xfId="6207"/>
    <cellStyle name="40% - 강조색5 2 6 2 2 2" xfId="21173"/>
    <cellStyle name="40% - 강조색5 2 6 3" xfId="6208"/>
    <cellStyle name="40% - 강조색5 2 6 4" xfId="6209"/>
    <cellStyle name="40% - 강조색5 2 6 5" xfId="20257"/>
    <cellStyle name="40% - 강조색5 2 7" xfId="6210"/>
    <cellStyle name="40% - 강조색5 2 7 2" xfId="6211"/>
    <cellStyle name="40% - 강조색5 2 7 2 2" xfId="6212"/>
    <cellStyle name="40% - 강조색5 2 7 2 2 2" xfId="21174"/>
    <cellStyle name="40% - 강조색5 2 7 3" xfId="6213"/>
    <cellStyle name="40% - 강조색5 2 7 4" xfId="6214"/>
    <cellStyle name="40% - 강조색5 2 7 5" xfId="20258"/>
    <cellStyle name="40% - 강조색5 2 8" xfId="6215"/>
    <cellStyle name="40% - 강조색5 2 8 2" xfId="6216"/>
    <cellStyle name="40% - 강조색5 2 8 2 2" xfId="6217"/>
    <cellStyle name="40% - 강조색5 2 8 3" xfId="6218"/>
    <cellStyle name="40% - 강조색5 2 8 4" xfId="6219"/>
    <cellStyle name="40% - 강조색5 2 9" xfId="6220"/>
    <cellStyle name="40% - 강조색5 2 9 2" xfId="6221"/>
    <cellStyle name="40% - 강조색5 2 9 2 2" xfId="6222"/>
    <cellStyle name="40% - 강조색5 2 9 2 2 2" xfId="21175"/>
    <cellStyle name="40% - 강조색5 2 9 3" xfId="6223"/>
    <cellStyle name="40% - 강조색5 2 9 4" xfId="6224"/>
    <cellStyle name="40% - 강조색5 20" xfId="6225"/>
    <cellStyle name="40% - 강조색5 20 2" xfId="6226"/>
    <cellStyle name="40% - 강조색5 20 3" xfId="6227"/>
    <cellStyle name="40% - 강조색5 20 4" xfId="6228"/>
    <cellStyle name="40% - 강조색5 20 5" xfId="6229"/>
    <cellStyle name="40% - 강조색5 21" xfId="6230"/>
    <cellStyle name="40% - 강조색5 21 2" xfId="6231"/>
    <cellStyle name="40% - 강조색5 21 3" xfId="6232"/>
    <cellStyle name="40% - 강조색5 21 4" xfId="6233"/>
    <cellStyle name="40% - 강조색5 21 5" xfId="6234"/>
    <cellStyle name="40% - 강조색5 22" xfId="6235"/>
    <cellStyle name="40% - 강조색5 22 2" xfId="6236"/>
    <cellStyle name="40% - 강조색5 22 3" xfId="6237"/>
    <cellStyle name="40% - 강조색5 22 4" xfId="6238"/>
    <cellStyle name="40% - 강조색5 22 5" xfId="6239"/>
    <cellStyle name="40% - 강조색5 23" xfId="6240"/>
    <cellStyle name="40% - 강조색5 23 2" xfId="6241"/>
    <cellStyle name="40% - 강조색5 23 2 2" xfId="6242"/>
    <cellStyle name="40% - 강조색5 23 2 3" xfId="6243"/>
    <cellStyle name="40% - 강조색5 23 3" xfId="6244"/>
    <cellStyle name="40% - 강조색5 23 4" xfId="6245"/>
    <cellStyle name="40% - 강조색5 24" xfId="6246"/>
    <cellStyle name="40% - 강조색5 24 2" xfId="6247"/>
    <cellStyle name="40% - 강조색5 24 2 2" xfId="6248"/>
    <cellStyle name="40% - 강조색5 24 2 3" xfId="6249"/>
    <cellStyle name="40% - 강조색5 24 3" xfId="6250"/>
    <cellStyle name="40% - 강조색5 24 4" xfId="6251"/>
    <cellStyle name="40% - 강조색5 25" xfId="6252"/>
    <cellStyle name="40% - 강조색5 25 2" xfId="6253"/>
    <cellStyle name="40% - 강조색5 25 2 2" xfId="6254"/>
    <cellStyle name="40% - 강조색5 25 3" xfId="6255"/>
    <cellStyle name="40% - 강조색5 26" xfId="6256"/>
    <cellStyle name="40% - 강조색5 26 2" xfId="6257"/>
    <cellStyle name="40% - 강조색5 27" xfId="6258"/>
    <cellStyle name="40% - 강조색5 27 2" xfId="6259"/>
    <cellStyle name="40% - 강조색5 28" xfId="6260"/>
    <cellStyle name="40% - 강조색5 29" xfId="6261"/>
    <cellStyle name="40% - 강조색5 3" xfId="6262"/>
    <cellStyle name="40% - 강조색5 3 10" xfId="6263"/>
    <cellStyle name="40% - 강조색5 3 11" xfId="6264"/>
    <cellStyle name="40% - 강조색5 3 12" xfId="6265"/>
    <cellStyle name="40% - 강조색5 3 13" xfId="6266"/>
    <cellStyle name="40% - 강조색5 3 14" xfId="6267"/>
    <cellStyle name="40% - 강조색5 3 15" xfId="6268"/>
    <cellStyle name="40% - 강조색5 3 16" xfId="6269"/>
    <cellStyle name="40% - 강조색5 3 17" xfId="6270"/>
    <cellStyle name="40% - 강조색5 3 18" xfId="6271"/>
    <cellStyle name="40% - 강조색5 3 19" xfId="6272"/>
    <cellStyle name="40% - 강조색5 3 2" xfId="6273"/>
    <cellStyle name="40% - 강조색5 3 2 2" xfId="6274"/>
    <cellStyle name="40% - 강조색5 3 2 2 2" xfId="6275"/>
    <cellStyle name="40% - 강조색5 3 2 2 3" xfId="6276"/>
    <cellStyle name="40% - 강조색5 3 2 2 4" xfId="6277"/>
    <cellStyle name="40% - 강조색5 3 2 2 4 2" xfId="6278"/>
    <cellStyle name="40% - 강조색5 3 2 3" xfId="6279"/>
    <cellStyle name="40% - 강조색5 3 2 4" xfId="6280"/>
    <cellStyle name="40% - 강조색5 3 20" xfId="6281"/>
    <cellStyle name="40% - 강조색5 3 21" xfId="6282"/>
    <cellStyle name="40% - 강조색5 3 3" xfId="6283"/>
    <cellStyle name="40% - 강조색5 3 3 2" xfId="6284"/>
    <cellStyle name="40% - 강조색5 3 3 2 2" xfId="6285"/>
    <cellStyle name="40% - 강조색5 3 3 2 2 2" xfId="6286"/>
    <cellStyle name="40% - 강조색5 3 3 2 2 2 2" xfId="21176"/>
    <cellStyle name="40% - 강조색5 3 3 3" xfId="20259"/>
    <cellStyle name="40% - 강조색5 3 4" xfId="6287"/>
    <cellStyle name="40% - 강조색5 3 4 2" xfId="6288"/>
    <cellStyle name="40% - 강조색5 3 4 2 2" xfId="6289"/>
    <cellStyle name="40% - 강조색5 3 4 2 3" xfId="6290"/>
    <cellStyle name="40% - 강조색5 3 4 2 3 2" xfId="6291"/>
    <cellStyle name="40% - 강조색5 3 4 2 4" xfId="6292"/>
    <cellStyle name="40% - 강조색5 3 4 3" xfId="6293"/>
    <cellStyle name="40% - 강조색5 3 4 3 2" xfId="6294"/>
    <cellStyle name="40% - 강조색5 3 4 3 3" xfId="6295"/>
    <cellStyle name="40% - 강조색5 3 4 4" xfId="6296"/>
    <cellStyle name="40% - 강조색5 3 4 5" xfId="6297"/>
    <cellStyle name="40% - 강조색5 3 4 6" xfId="6298"/>
    <cellStyle name="40% - 강조색5 3 4 6 2" xfId="6299"/>
    <cellStyle name="40% - 강조색5 3 4 7" xfId="20260"/>
    <cellStyle name="40% - 강조색5 3 5" xfId="6300"/>
    <cellStyle name="40% - 강조색5 3 5 2" xfId="6301"/>
    <cellStyle name="40% - 강조색5 3 5 2 2" xfId="6302"/>
    <cellStyle name="40% - 강조색5 3 5 3" xfId="6303"/>
    <cellStyle name="40% - 강조색5 3 6" xfId="6304"/>
    <cellStyle name="40% - 강조색5 3 6 2" xfId="6305"/>
    <cellStyle name="40% - 강조색5 3 7" xfId="6306"/>
    <cellStyle name="40% - 강조색5 3 8" xfId="6307"/>
    <cellStyle name="40% - 강조색5 3 9" xfId="6308"/>
    <cellStyle name="40% - 강조색5 30" xfId="6309"/>
    <cellStyle name="40% - 강조색5 31" xfId="6310"/>
    <cellStyle name="40% - 강조색5 32" xfId="6311"/>
    <cellStyle name="40% - 강조색5 33" xfId="18232"/>
    <cellStyle name="40% - 강조색5 4" xfId="6312"/>
    <cellStyle name="40% - 강조색5 4 10" xfId="6313"/>
    <cellStyle name="40% - 강조색5 4 11" xfId="6314"/>
    <cellStyle name="40% - 강조색5 4 12" xfId="6315"/>
    <cellStyle name="40% - 강조색5 4 13" xfId="6316"/>
    <cellStyle name="40% - 강조색5 4 14" xfId="6317"/>
    <cellStyle name="40% - 강조색5 4 15" xfId="6318"/>
    <cellStyle name="40% - 강조색5 4 16" xfId="6319"/>
    <cellStyle name="40% - 강조색5 4 17" xfId="6320"/>
    <cellStyle name="40% - 강조색5 4 18" xfId="6321"/>
    <cellStyle name="40% - 강조색5 4 19" xfId="6322"/>
    <cellStyle name="40% - 강조색5 4 2" xfId="6323"/>
    <cellStyle name="40% - 강조색5 4 2 2" xfId="6324"/>
    <cellStyle name="40% - 강조색5 4 2 2 2" xfId="6325"/>
    <cellStyle name="40% - 강조색5 4 2 2 2 2" xfId="21177"/>
    <cellStyle name="40% - 강조색5 4 20" xfId="6326"/>
    <cellStyle name="40% - 강조색5 4 21" xfId="6327"/>
    <cellStyle name="40% - 강조색5 4 3" xfId="6328"/>
    <cellStyle name="40% - 강조색5 4 3 2" xfId="6329"/>
    <cellStyle name="40% - 강조색5 4 3 2 2" xfId="6330"/>
    <cellStyle name="40% - 강조색5 4 4" xfId="6331"/>
    <cellStyle name="40% - 강조색5 4 4 2" xfId="6332"/>
    <cellStyle name="40% - 강조색5 4 4 2 2" xfId="6333"/>
    <cellStyle name="40% - 강조색5 4 4 2 2 2" xfId="6334"/>
    <cellStyle name="40% - 강조색5 4 4 2 3" xfId="6335"/>
    <cellStyle name="40% - 강조색5 4 4 3" xfId="6336"/>
    <cellStyle name="40% - 강조색5 4 4 3 2" xfId="6337"/>
    <cellStyle name="40% - 강조색5 4 4 4" xfId="6338"/>
    <cellStyle name="40% - 강조색5 4 4 5" xfId="6339"/>
    <cellStyle name="40% - 강조색5 4 5" xfId="6340"/>
    <cellStyle name="40% - 강조색5 4 5 2" xfId="6341"/>
    <cellStyle name="40% - 강조색5 4 5 2 2" xfId="6342"/>
    <cellStyle name="40% - 강조색5 4 6" xfId="6343"/>
    <cellStyle name="40% - 강조색5 4 6 2" xfId="6344"/>
    <cellStyle name="40% - 강조색5 4 7" xfId="6345"/>
    <cellStyle name="40% - 강조색5 4 8" xfId="6346"/>
    <cellStyle name="40% - 강조색5 4 9" xfId="6347"/>
    <cellStyle name="40% - 강조색5 5" xfId="6348"/>
    <cellStyle name="40% - 강조색5 5 10" xfId="6349"/>
    <cellStyle name="40% - 강조색5 5 11" xfId="6350"/>
    <cellStyle name="40% - 강조색5 5 12" xfId="6351"/>
    <cellStyle name="40% - 강조색5 5 13" xfId="6352"/>
    <cellStyle name="40% - 강조색5 5 14" xfId="6353"/>
    <cellStyle name="40% - 강조색5 5 15" xfId="6354"/>
    <cellStyle name="40% - 강조색5 5 16" xfId="6355"/>
    <cellStyle name="40% - 강조색5 5 17" xfId="6356"/>
    <cellStyle name="40% - 강조색5 5 18" xfId="6357"/>
    <cellStyle name="40% - 강조색5 5 19" xfId="6358"/>
    <cellStyle name="40% - 강조색5 5 2" xfId="6359"/>
    <cellStyle name="40% - 강조색5 5 2 2" xfId="6360"/>
    <cellStyle name="40% - 강조색5 5 2 2 2" xfId="6361"/>
    <cellStyle name="40% - 강조색5 5 2 2 2 2" xfId="21178"/>
    <cellStyle name="40% - 강조색5 5 20" xfId="6362"/>
    <cellStyle name="40% - 강조색5 5 21" xfId="6363"/>
    <cellStyle name="40% - 강조색5 5 3" xfId="6364"/>
    <cellStyle name="40% - 강조색5 5 3 2" xfId="6365"/>
    <cellStyle name="40% - 강조색5 5 3 2 2" xfId="6366"/>
    <cellStyle name="40% - 강조색5 5 3 2 2 2" xfId="6367"/>
    <cellStyle name="40% - 강조색5 5 3 2 3" xfId="6368"/>
    <cellStyle name="40% - 강조색5 5 3 3" xfId="6369"/>
    <cellStyle name="40% - 강조색5 5 3 4" xfId="6370"/>
    <cellStyle name="40% - 강조색5 5 3 4 2" xfId="6371"/>
    <cellStyle name="40% - 강조색5 5 4" xfId="6372"/>
    <cellStyle name="40% - 강조색5 5 4 2" xfId="6373"/>
    <cellStyle name="40% - 강조색5 5 5" xfId="6374"/>
    <cellStyle name="40% - 강조색5 5 6" xfId="6375"/>
    <cellStyle name="40% - 강조색5 5 7" xfId="6376"/>
    <cellStyle name="40% - 강조색5 5 8" xfId="6377"/>
    <cellStyle name="40% - 강조색5 5 9" xfId="6378"/>
    <cellStyle name="40% - 강조색5 6" xfId="6379"/>
    <cellStyle name="40% - 강조색5 6 10" xfId="6380"/>
    <cellStyle name="40% - 강조색5 6 11" xfId="6381"/>
    <cellStyle name="40% - 강조색5 6 12" xfId="6382"/>
    <cellStyle name="40% - 강조색5 6 13" xfId="6383"/>
    <cellStyle name="40% - 강조색5 6 14" xfId="6384"/>
    <cellStyle name="40% - 강조색5 6 15" xfId="6385"/>
    <cellStyle name="40% - 강조색5 6 16" xfId="6386"/>
    <cellStyle name="40% - 강조색5 6 17" xfId="6387"/>
    <cellStyle name="40% - 강조색5 6 18" xfId="6388"/>
    <cellStyle name="40% - 강조색5 6 19" xfId="6389"/>
    <cellStyle name="40% - 강조색5 6 2" xfId="6390"/>
    <cellStyle name="40% - 강조색5 6 2 2" xfId="6391"/>
    <cellStyle name="40% - 강조색5 6 2 2 2" xfId="6392"/>
    <cellStyle name="40% - 강조색5 6 2 2 2 2" xfId="21179"/>
    <cellStyle name="40% - 강조색5 6 20" xfId="6393"/>
    <cellStyle name="40% - 강조색5 6 21" xfId="6394"/>
    <cellStyle name="40% - 강조색5 6 3" xfId="6395"/>
    <cellStyle name="40% - 강조색5 6 3 2" xfId="6396"/>
    <cellStyle name="40% - 강조색5 6 3 2 2" xfId="6397"/>
    <cellStyle name="40% - 강조색5 6 3 2 2 2" xfId="6398"/>
    <cellStyle name="40% - 강조색5 6 3 2 3" xfId="6399"/>
    <cellStyle name="40% - 강조색5 6 3 3" xfId="6400"/>
    <cellStyle name="40% - 강조색5 6 3 4" xfId="6401"/>
    <cellStyle name="40% - 강조색5 6 3 4 2" xfId="6402"/>
    <cellStyle name="40% - 강조색5 6 4" xfId="6403"/>
    <cellStyle name="40% - 강조색5 6 4 2" xfId="6404"/>
    <cellStyle name="40% - 강조색5 6 5" xfId="6405"/>
    <cellStyle name="40% - 강조색5 6 6" xfId="6406"/>
    <cellStyle name="40% - 강조색5 6 7" xfId="6407"/>
    <cellStyle name="40% - 강조색5 6 8" xfId="6408"/>
    <cellStyle name="40% - 강조색5 6 9" xfId="6409"/>
    <cellStyle name="40% - 강조색5 7" xfId="6410"/>
    <cellStyle name="40% - 강조색5 7 10" xfId="6411"/>
    <cellStyle name="40% - 강조색5 7 11" xfId="6412"/>
    <cellStyle name="40% - 강조색5 7 12" xfId="6413"/>
    <cellStyle name="40% - 강조색5 7 13" xfId="6414"/>
    <cellStyle name="40% - 강조색5 7 14" xfId="6415"/>
    <cellStyle name="40% - 강조색5 7 15" xfId="6416"/>
    <cellStyle name="40% - 강조색5 7 16" xfId="6417"/>
    <cellStyle name="40% - 강조색5 7 17" xfId="6418"/>
    <cellStyle name="40% - 강조색5 7 18" xfId="6419"/>
    <cellStyle name="40% - 강조색5 7 19" xfId="6420"/>
    <cellStyle name="40% - 강조색5 7 2" xfId="6421"/>
    <cellStyle name="40% - 강조색5 7 2 2" xfId="6422"/>
    <cellStyle name="40% - 강조색5 7 2 2 2" xfId="6423"/>
    <cellStyle name="40% - 강조색5 7 2 3" xfId="6424"/>
    <cellStyle name="40% - 강조색5 7 3" xfId="6425"/>
    <cellStyle name="40% - 강조색5 7 4" xfId="6426"/>
    <cellStyle name="40% - 강조색5 7 5" xfId="6427"/>
    <cellStyle name="40% - 강조색5 7 6" xfId="6428"/>
    <cellStyle name="40% - 강조색5 7 7" xfId="6429"/>
    <cellStyle name="40% - 강조색5 7 8" xfId="6430"/>
    <cellStyle name="40% - 강조색5 7 9" xfId="6431"/>
    <cellStyle name="40% - 강조색5 8" xfId="6432"/>
    <cellStyle name="40% - 강조색5 8 10" xfId="6433"/>
    <cellStyle name="40% - 강조색5 8 11" xfId="6434"/>
    <cellStyle name="40% - 강조색5 8 12" xfId="6435"/>
    <cellStyle name="40% - 강조색5 8 13" xfId="6436"/>
    <cellStyle name="40% - 강조색5 8 14" xfId="6437"/>
    <cellStyle name="40% - 강조색5 8 15" xfId="6438"/>
    <cellStyle name="40% - 강조색5 8 16" xfId="6439"/>
    <cellStyle name="40% - 강조색5 8 17" xfId="6440"/>
    <cellStyle name="40% - 강조색5 8 18" xfId="6441"/>
    <cellStyle name="40% - 강조색5 8 19" xfId="6442"/>
    <cellStyle name="40% - 강조색5 8 2" xfId="6443"/>
    <cellStyle name="40% - 강조색5 8 2 2" xfId="6444"/>
    <cellStyle name="40% - 강조색5 8 2 2 2" xfId="6445"/>
    <cellStyle name="40% - 강조색5 8 2 3" xfId="6446"/>
    <cellStyle name="40% - 강조색5 8 3" xfId="6447"/>
    <cellStyle name="40% - 강조색5 8 4" xfId="6448"/>
    <cellStyle name="40% - 강조색5 8 5" xfId="6449"/>
    <cellStyle name="40% - 강조색5 8 6" xfId="6450"/>
    <cellStyle name="40% - 강조색5 8 7" xfId="6451"/>
    <cellStyle name="40% - 강조색5 8 8" xfId="6452"/>
    <cellStyle name="40% - 강조색5 8 9" xfId="6453"/>
    <cellStyle name="40% - 강조색5 9" xfId="6454"/>
    <cellStyle name="40% - 강조색5 9 10" xfId="6455"/>
    <cellStyle name="40% - 강조색5 9 11" xfId="6456"/>
    <cellStyle name="40% - 강조색5 9 12" xfId="6457"/>
    <cellStyle name="40% - 강조색5 9 13" xfId="6458"/>
    <cellStyle name="40% - 강조색5 9 14" xfId="6459"/>
    <cellStyle name="40% - 강조색5 9 15" xfId="6460"/>
    <cellStyle name="40% - 강조색5 9 16" xfId="6461"/>
    <cellStyle name="40% - 강조색5 9 17" xfId="6462"/>
    <cellStyle name="40% - 강조색5 9 18" xfId="6463"/>
    <cellStyle name="40% - 강조색5 9 19" xfId="6464"/>
    <cellStyle name="40% - 강조색5 9 2" xfId="6465"/>
    <cellStyle name="40% - 강조색5 9 2 2" xfId="6466"/>
    <cellStyle name="40% - 강조색5 9 2 2 2" xfId="6467"/>
    <cellStyle name="40% - 강조색5 9 2 2 2 2" xfId="6468"/>
    <cellStyle name="40% - 강조색5 9 2 2 2 2 2" xfId="21180"/>
    <cellStyle name="40% - 강조색5 9 2 2 3" xfId="6469"/>
    <cellStyle name="40% - 강조색5 9 2 3" xfId="6470"/>
    <cellStyle name="40% - 강조색5 9 2 3 2" xfId="6471"/>
    <cellStyle name="40% - 강조색5 9 2 4" xfId="6472"/>
    <cellStyle name="40% - 강조색5 9 20" xfId="6473"/>
    <cellStyle name="40% - 강조색5 9 21" xfId="6474"/>
    <cellStyle name="40% - 강조색5 9 3" xfId="6475"/>
    <cellStyle name="40% - 강조색5 9 3 2" xfId="6476"/>
    <cellStyle name="40% - 강조색5 9 3 2 2" xfId="6477"/>
    <cellStyle name="40% - 강조색5 9 4" xfId="6478"/>
    <cellStyle name="40% - 강조색5 9 4 2" xfId="6479"/>
    <cellStyle name="40% - 강조색5 9 5" xfId="6480"/>
    <cellStyle name="40% - 강조색5 9 5 2" xfId="6481"/>
    <cellStyle name="40% - 강조색5 9 6" xfId="6482"/>
    <cellStyle name="40% - 강조색5 9 7" xfId="6483"/>
    <cellStyle name="40% - 강조색5 9 8" xfId="6484"/>
    <cellStyle name="40% - 강조색5 9 9" xfId="6485"/>
    <cellStyle name="40% - 강조색6" xfId="40" builtinId="51" customBuiltin="1"/>
    <cellStyle name="40% - 강조색6 10" xfId="6486"/>
    <cellStyle name="40% - 강조색6 10 10" xfId="6487"/>
    <cellStyle name="40% - 강조색6 10 11" xfId="6488"/>
    <cellStyle name="40% - 강조색6 10 12" xfId="6489"/>
    <cellStyle name="40% - 강조색6 10 13" xfId="6490"/>
    <cellStyle name="40% - 강조색6 10 14" xfId="6491"/>
    <cellStyle name="40% - 강조색6 10 15" xfId="6492"/>
    <cellStyle name="40% - 강조색6 10 16" xfId="6493"/>
    <cellStyle name="40% - 강조색6 10 17" xfId="6494"/>
    <cellStyle name="40% - 강조색6 10 18" xfId="6495"/>
    <cellStyle name="40% - 강조색6 10 19" xfId="6496"/>
    <cellStyle name="40% - 강조색6 10 2" xfId="6497"/>
    <cellStyle name="40% - 강조색6 10 2 2" xfId="6498"/>
    <cellStyle name="40% - 강조색6 10 2 2 2" xfId="6499"/>
    <cellStyle name="40% - 강조색6 10 2 2 2 2" xfId="6500"/>
    <cellStyle name="40% - 강조색6 10 2 2 2 2 2" xfId="21181"/>
    <cellStyle name="40% - 강조색6 10 2 2 3" xfId="6501"/>
    <cellStyle name="40% - 강조색6 10 2 3" xfId="6502"/>
    <cellStyle name="40% - 강조색6 10 2 3 2" xfId="6503"/>
    <cellStyle name="40% - 강조색6 10 2 4" xfId="6504"/>
    <cellStyle name="40% - 강조색6 10 20" xfId="6505"/>
    <cellStyle name="40% - 강조색6 10 21" xfId="6506"/>
    <cellStyle name="40% - 강조색6 10 3" xfId="6507"/>
    <cellStyle name="40% - 강조색6 10 3 2" xfId="6508"/>
    <cellStyle name="40% - 강조색6 10 3 2 2" xfId="6509"/>
    <cellStyle name="40% - 강조색6 10 4" xfId="6510"/>
    <cellStyle name="40% - 강조색6 10 4 2" xfId="6511"/>
    <cellStyle name="40% - 강조색6 10 5" xfId="6512"/>
    <cellStyle name="40% - 강조색6 10 5 2" xfId="6513"/>
    <cellStyle name="40% - 강조색6 10 6" xfId="6514"/>
    <cellStyle name="40% - 강조색6 10 7" xfId="6515"/>
    <cellStyle name="40% - 강조색6 10 8" xfId="6516"/>
    <cellStyle name="40% - 강조색6 10 9" xfId="6517"/>
    <cellStyle name="40% - 강조색6 11" xfId="6518"/>
    <cellStyle name="40% - 강조색6 11 2" xfId="6519"/>
    <cellStyle name="40% - 강조색6 11 2 2" xfId="6520"/>
    <cellStyle name="40% - 강조색6 11 2 2 2" xfId="6521"/>
    <cellStyle name="40% - 강조색6 11 2 2 2 2" xfId="6522"/>
    <cellStyle name="40% - 강조색6 11 2 2 3" xfId="6523"/>
    <cellStyle name="40% - 강조색6 11 2 3" xfId="6524"/>
    <cellStyle name="40% - 강조색6 11 2 3 2" xfId="6525"/>
    <cellStyle name="40% - 강조색6 11 2 4" xfId="6526"/>
    <cellStyle name="40% - 강조색6 11 3" xfId="6527"/>
    <cellStyle name="40% - 강조색6 11 3 2" xfId="6528"/>
    <cellStyle name="40% - 강조색6 11 3 2 2" xfId="6529"/>
    <cellStyle name="40% - 강조색6 11 3 3" xfId="6530"/>
    <cellStyle name="40% - 강조색6 11 4" xfId="6531"/>
    <cellStyle name="40% - 강조색6 11 4 2" xfId="6532"/>
    <cellStyle name="40% - 강조색6 11 5" xfId="6533"/>
    <cellStyle name="40% - 강조색6 11 5 2" xfId="6534"/>
    <cellStyle name="40% - 강조색6 12" xfId="6535"/>
    <cellStyle name="40% - 강조색6 12 2" xfId="6536"/>
    <cellStyle name="40% - 강조색6 12 2 2" xfId="6537"/>
    <cellStyle name="40% - 강조색6 12 2 2 2" xfId="6538"/>
    <cellStyle name="40% - 강조색6 12 2 2 2 2" xfId="6539"/>
    <cellStyle name="40% - 강조색6 12 2 2 2 2 2" xfId="21182"/>
    <cellStyle name="40% - 강조색6 12 2 2 3" xfId="6540"/>
    <cellStyle name="40% - 강조색6 12 2 3" xfId="6541"/>
    <cellStyle name="40% - 강조색6 12 2 3 2" xfId="6542"/>
    <cellStyle name="40% - 강조색6 12 2 4" xfId="6543"/>
    <cellStyle name="40% - 강조색6 12 3" xfId="6544"/>
    <cellStyle name="40% - 강조색6 12 3 2" xfId="6545"/>
    <cellStyle name="40% - 강조색6 12 3 2 2" xfId="6546"/>
    <cellStyle name="40% - 강조색6 12 3 3" xfId="6547"/>
    <cellStyle name="40% - 강조색6 12 4" xfId="6548"/>
    <cellStyle name="40% - 강조색6 12 4 2" xfId="6549"/>
    <cellStyle name="40% - 강조색6 12 5" xfId="6550"/>
    <cellStyle name="40% - 강조색6 12 5 2" xfId="6551"/>
    <cellStyle name="40% - 강조색6 13" xfId="6552"/>
    <cellStyle name="40% - 강조색6 13 2" xfId="6553"/>
    <cellStyle name="40% - 강조색6 13 2 2" xfId="6554"/>
    <cellStyle name="40% - 강조색6 13 2 2 2" xfId="21183"/>
    <cellStyle name="40% - 강조색6 13 2 3" xfId="6555"/>
    <cellStyle name="40% - 강조색6 13 2 3 2" xfId="6556"/>
    <cellStyle name="40% - 강조색6 13 2 4" xfId="6557"/>
    <cellStyle name="40% - 강조색6 13 3" xfId="6558"/>
    <cellStyle name="40% - 강조색6 13 3 2" xfId="6559"/>
    <cellStyle name="40% - 강조색6 13 3 3" xfId="6560"/>
    <cellStyle name="40% - 강조색6 13 3 3 2" xfId="6561"/>
    <cellStyle name="40% - 강조색6 13 4" xfId="6562"/>
    <cellStyle name="40% - 강조색6 13 4 2" xfId="6563"/>
    <cellStyle name="40% - 강조색6 13 5" xfId="6564"/>
    <cellStyle name="40% - 강조색6 14" xfId="6565"/>
    <cellStyle name="40% - 강조색6 14 2" xfId="6566"/>
    <cellStyle name="40% - 강조색6 14 2 2" xfId="6567"/>
    <cellStyle name="40% - 강조색6 14 2 2 2" xfId="21184"/>
    <cellStyle name="40% - 강조색6 14 3" xfId="6568"/>
    <cellStyle name="40% - 강조색6 14 3 2" xfId="6569"/>
    <cellStyle name="40% - 강조색6 14 4" xfId="6570"/>
    <cellStyle name="40% - 강조색6 14 5" xfId="6571"/>
    <cellStyle name="40% - 강조색6 15" xfId="6572"/>
    <cellStyle name="40% - 강조색6 15 2" xfId="6573"/>
    <cellStyle name="40% - 강조색6 15 2 2" xfId="6574"/>
    <cellStyle name="40% - 강조색6 15 2 2 2" xfId="21185"/>
    <cellStyle name="40% - 강조색6 15 3" xfId="6575"/>
    <cellStyle name="40% - 강조색6 15 3 2" xfId="6576"/>
    <cellStyle name="40% - 강조색6 15 4" xfId="6577"/>
    <cellStyle name="40% - 강조색6 15 5" xfId="6578"/>
    <cellStyle name="40% - 강조색6 16" xfId="6579"/>
    <cellStyle name="40% - 강조색6 16 2" xfId="6580"/>
    <cellStyle name="40% - 강조색6 16 2 2" xfId="6581"/>
    <cellStyle name="40% - 강조색6 16 2 2 2" xfId="21186"/>
    <cellStyle name="40% - 강조색6 16 3" xfId="6582"/>
    <cellStyle name="40% - 강조색6 16 3 2" xfId="6583"/>
    <cellStyle name="40% - 강조색6 16 4" xfId="6584"/>
    <cellStyle name="40% - 강조색6 16 5" xfId="6585"/>
    <cellStyle name="40% - 강조색6 17" xfId="6586"/>
    <cellStyle name="40% - 강조색6 17 2" xfId="6587"/>
    <cellStyle name="40% - 강조색6 17 2 2" xfId="6588"/>
    <cellStyle name="40% - 강조색6 17 2 2 2" xfId="21187"/>
    <cellStyle name="40% - 강조색6 17 3" xfId="6589"/>
    <cellStyle name="40% - 강조색6 17 4" xfId="6590"/>
    <cellStyle name="40% - 강조색6 17 5" xfId="6591"/>
    <cellStyle name="40% - 강조색6 18" xfId="6592"/>
    <cellStyle name="40% - 강조색6 18 2" xfId="6593"/>
    <cellStyle name="40% - 강조색6 18 2 2" xfId="6594"/>
    <cellStyle name="40% - 강조색6 18 3" xfId="6595"/>
    <cellStyle name="40% - 강조색6 18 4" xfId="6596"/>
    <cellStyle name="40% - 강조색6 18 5" xfId="6597"/>
    <cellStyle name="40% - 강조색6 19" xfId="6598"/>
    <cellStyle name="40% - 강조색6 19 2" xfId="6599"/>
    <cellStyle name="40% - 강조색6 19 2 2" xfId="6600"/>
    <cellStyle name="40% - 강조색6 19 3" xfId="6601"/>
    <cellStyle name="40% - 강조색6 19 4" xfId="6602"/>
    <cellStyle name="40% - 강조색6 19 5" xfId="6603"/>
    <cellStyle name="40% - 강조색6 2" xfId="6604"/>
    <cellStyle name="40% - 강조색6 2 10" xfId="6605"/>
    <cellStyle name="40% - 강조색6 2 10 2" xfId="6606"/>
    <cellStyle name="40% - 강조색6 2 10 2 2" xfId="6607"/>
    <cellStyle name="40% - 강조색6 2 10 3" xfId="6608"/>
    <cellStyle name="40% - 강조색6 2 10 4" xfId="6609"/>
    <cellStyle name="40% - 강조색6 2 11" xfId="6610"/>
    <cellStyle name="40% - 강조색6 2 11 2" xfId="6611"/>
    <cellStyle name="40% - 강조색6 2 11 2 2" xfId="6612"/>
    <cellStyle name="40% - 강조색6 2 11 3" xfId="6613"/>
    <cellStyle name="40% - 강조색6 2 12" xfId="6614"/>
    <cellStyle name="40% - 강조색6 2 12 2" xfId="6615"/>
    <cellStyle name="40% - 강조색6 2 13" xfId="6616"/>
    <cellStyle name="40% - 강조색6 2 14" xfId="6617"/>
    <cellStyle name="40% - 강조색6 2 15" xfId="6618"/>
    <cellStyle name="40% - 강조색6 2 16" xfId="6619"/>
    <cellStyle name="40% - 강조색6 2 17" xfId="6620"/>
    <cellStyle name="40% - 강조색6 2 18" xfId="6621"/>
    <cellStyle name="40% - 강조색6 2 19" xfId="6622"/>
    <cellStyle name="40% - 강조색6 2 2" xfId="6623"/>
    <cellStyle name="40% - 강조색6 2 2 2" xfId="6624"/>
    <cellStyle name="40% - 강조색6 2 2 2 2" xfId="6625"/>
    <cellStyle name="40% - 강조색6 2 2 2 3" xfId="6626"/>
    <cellStyle name="40% - 강조색6 2 2 2 4" xfId="6627"/>
    <cellStyle name="40% - 강조색6 2 2 2 4 2" xfId="6628"/>
    <cellStyle name="40% - 강조색6 2 2 2 5" xfId="6629"/>
    <cellStyle name="40% - 강조색6 2 2 3" xfId="6630"/>
    <cellStyle name="40% - 강조색6 2 2 3 2" xfId="6631"/>
    <cellStyle name="40% - 강조색6 2 2 3 2 2" xfId="6632"/>
    <cellStyle name="40% - 강조색6 2 2 3 3" xfId="6633"/>
    <cellStyle name="40% - 강조색6 2 2 4" xfId="6634"/>
    <cellStyle name="40% - 강조색6 2 2 5" xfId="20261"/>
    <cellStyle name="40% - 강조색6 2 20" xfId="6635"/>
    <cellStyle name="40% - 강조색6 2 21" xfId="6636"/>
    <cellStyle name="40% - 강조색6 2 22" xfId="19673"/>
    <cellStyle name="40% - 강조색6 2 3" xfId="6637"/>
    <cellStyle name="40% - 강조색6 2 3 2" xfId="6638"/>
    <cellStyle name="40% - 강조색6 2 3 2 2" xfId="6639"/>
    <cellStyle name="40% - 강조색6 2 3 2 2 2" xfId="6640"/>
    <cellStyle name="40% - 강조색6 2 3 2 2 2 2" xfId="21188"/>
    <cellStyle name="40% - 강조색6 2 3 3" xfId="20262"/>
    <cellStyle name="40% - 강조색6 2 4" xfId="6641"/>
    <cellStyle name="40% - 강조색6 2 4 2" xfId="6642"/>
    <cellStyle name="40% - 강조색6 2 4 2 2" xfId="6643"/>
    <cellStyle name="40% - 강조색6 2 4 2 2 2" xfId="6644"/>
    <cellStyle name="40% - 강조색6 2 4 2 2 2 2" xfId="21189"/>
    <cellStyle name="40% - 강조색6 2 4 2 3" xfId="6645"/>
    <cellStyle name="40% - 강조색6 2 4 2 4" xfId="6646"/>
    <cellStyle name="40% - 강조색6 2 4 3" xfId="6647"/>
    <cellStyle name="40% - 강조색6 2 4 3 2" xfId="6648"/>
    <cellStyle name="40% - 강조색6 2 4 4" xfId="6649"/>
    <cellStyle name="40% - 강조색6 2 4 4 2" xfId="6650"/>
    <cellStyle name="40% - 강조색6 2 4 5" xfId="6651"/>
    <cellStyle name="40% - 강조색6 2 4 6" xfId="20263"/>
    <cellStyle name="40% - 강조색6 2 5" xfId="6652"/>
    <cellStyle name="40% - 강조색6 2 5 2" xfId="6653"/>
    <cellStyle name="40% - 강조색6 2 5 2 2" xfId="6654"/>
    <cellStyle name="40% - 강조색6 2 5 3" xfId="6655"/>
    <cellStyle name="40% - 강조색6 2 5 4" xfId="6656"/>
    <cellStyle name="40% - 강조색6 2 6" xfId="6657"/>
    <cellStyle name="40% - 강조색6 2 6 2" xfId="6658"/>
    <cellStyle name="40% - 강조색6 2 6 2 2" xfId="6659"/>
    <cellStyle name="40% - 강조색6 2 6 2 2 2" xfId="21190"/>
    <cellStyle name="40% - 강조색6 2 6 3" xfId="6660"/>
    <cellStyle name="40% - 강조색6 2 6 4" xfId="6661"/>
    <cellStyle name="40% - 강조색6 2 6 5" xfId="20264"/>
    <cellStyle name="40% - 강조색6 2 7" xfId="6662"/>
    <cellStyle name="40% - 강조색6 2 7 2" xfId="6663"/>
    <cellStyle name="40% - 강조색6 2 7 2 2" xfId="6664"/>
    <cellStyle name="40% - 강조색6 2 7 2 2 2" xfId="21191"/>
    <cellStyle name="40% - 강조색6 2 7 3" xfId="6665"/>
    <cellStyle name="40% - 강조색6 2 7 4" xfId="6666"/>
    <cellStyle name="40% - 강조색6 2 7 5" xfId="20265"/>
    <cellStyle name="40% - 강조색6 2 8" xfId="6667"/>
    <cellStyle name="40% - 강조색6 2 8 2" xfId="6668"/>
    <cellStyle name="40% - 강조색6 2 8 2 2" xfId="6669"/>
    <cellStyle name="40% - 강조색6 2 8 3" xfId="6670"/>
    <cellStyle name="40% - 강조색6 2 8 4" xfId="6671"/>
    <cellStyle name="40% - 강조색6 2 9" xfId="6672"/>
    <cellStyle name="40% - 강조색6 2 9 2" xfId="6673"/>
    <cellStyle name="40% - 강조색6 2 9 2 2" xfId="6674"/>
    <cellStyle name="40% - 강조색6 2 9 2 2 2" xfId="21192"/>
    <cellStyle name="40% - 강조색6 2 9 3" xfId="6675"/>
    <cellStyle name="40% - 강조색6 2 9 4" xfId="6676"/>
    <cellStyle name="40% - 강조색6 20" xfId="6677"/>
    <cellStyle name="40% - 강조색6 20 2" xfId="6678"/>
    <cellStyle name="40% - 강조색6 20 3" xfId="6679"/>
    <cellStyle name="40% - 강조색6 20 4" xfId="6680"/>
    <cellStyle name="40% - 강조색6 20 5" xfId="6681"/>
    <cellStyle name="40% - 강조색6 21" xfId="6682"/>
    <cellStyle name="40% - 강조색6 21 2" xfId="6683"/>
    <cellStyle name="40% - 강조색6 21 3" xfId="6684"/>
    <cellStyle name="40% - 강조색6 21 4" xfId="6685"/>
    <cellStyle name="40% - 강조색6 21 5" xfId="6686"/>
    <cellStyle name="40% - 강조색6 22" xfId="6687"/>
    <cellStyle name="40% - 강조색6 22 2" xfId="6688"/>
    <cellStyle name="40% - 강조색6 22 3" xfId="6689"/>
    <cellStyle name="40% - 강조색6 22 4" xfId="6690"/>
    <cellStyle name="40% - 강조색6 22 5" xfId="6691"/>
    <cellStyle name="40% - 강조색6 23" xfId="6692"/>
    <cellStyle name="40% - 강조색6 23 2" xfId="6693"/>
    <cellStyle name="40% - 강조색6 23 2 2" xfId="6694"/>
    <cellStyle name="40% - 강조색6 23 2 3" xfId="6695"/>
    <cellStyle name="40% - 강조색6 23 3" xfId="6696"/>
    <cellStyle name="40% - 강조색6 23 4" xfId="6697"/>
    <cellStyle name="40% - 강조색6 24" xfId="6698"/>
    <cellStyle name="40% - 강조색6 24 2" xfId="6699"/>
    <cellStyle name="40% - 강조색6 24 2 2" xfId="6700"/>
    <cellStyle name="40% - 강조색6 24 2 3" xfId="6701"/>
    <cellStyle name="40% - 강조색6 24 3" xfId="6702"/>
    <cellStyle name="40% - 강조색6 24 4" xfId="6703"/>
    <cellStyle name="40% - 강조색6 25" xfId="6704"/>
    <cellStyle name="40% - 강조색6 25 2" xfId="6705"/>
    <cellStyle name="40% - 강조색6 25 2 2" xfId="6706"/>
    <cellStyle name="40% - 강조색6 25 3" xfId="6707"/>
    <cellStyle name="40% - 강조색6 26" xfId="6708"/>
    <cellStyle name="40% - 강조색6 26 2" xfId="6709"/>
    <cellStyle name="40% - 강조색6 27" xfId="6710"/>
    <cellStyle name="40% - 강조색6 27 2" xfId="6711"/>
    <cellStyle name="40% - 강조색6 28" xfId="6712"/>
    <cellStyle name="40% - 강조색6 29" xfId="6713"/>
    <cellStyle name="40% - 강조색6 3" xfId="6714"/>
    <cellStyle name="40% - 강조색6 3 10" xfId="6715"/>
    <cellStyle name="40% - 강조색6 3 11" xfId="6716"/>
    <cellStyle name="40% - 강조색6 3 12" xfId="6717"/>
    <cellStyle name="40% - 강조색6 3 13" xfId="6718"/>
    <cellStyle name="40% - 강조색6 3 14" xfId="6719"/>
    <cellStyle name="40% - 강조색6 3 15" xfId="6720"/>
    <cellStyle name="40% - 강조색6 3 16" xfId="6721"/>
    <cellStyle name="40% - 강조색6 3 17" xfId="6722"/>
    <cellStyle name="40% - 강조색6 3 18" xfId="6723"/>
    <cellStyle name="40% - 강조색6 3 19" xfId="6724"/>
    <cellStyle name="40% - 강조색6 3 2" xfId="6725"/>
    <cellStyle name="40% - 강조색6 3 2 2" xfId="6726"/>
    <cellStyle name="40% - 강조색6 3 2 2 2" xfId="6727"/>
    <cellStyle name="40% - 강조색6 3 2 2 3" xfId="6728"/>
    <cellStyle name="40% - 강조색6 3 2 2 4" xfId="6729"/>
    <cellStyle name="40% - 강조색6 3 2 2 4 2" xfId="6730"/>
    <cellStyle name="40% - 강조색6 3 2 3" xfId="6731"/>
    <cellStyle name="40% - 강조색6 3 2 4" xfId="6732"/>
    <cellStyle name="40% - 강조색6 3 20" xfId="6733"/>
    <cellStyle name="40% - 강조색6 3 21" xfId="6734"/>
    <cellStyle name="40% - 강조색6 3 3" xfId="6735"/>
    <cellStyle name="40% - 강조색6 3 3 2" xfId="6736"/>
    <cellStyle name="40% - 강조색6 3 3 2 2" xfId="6737"/>
    <cellStyle name="40% - 강조색6 3 3 2 2 2" xfId="6738"/>
    <cellStyle name="40% - 강조색6 3 3 2 2 2 2" xfId="21193"/>
    <cellStyle name="40% - 강조색6 3 3 3" xfId="20266"/>
    <cellStyle name="40% - 강조색6 3 4" xfId="6739"/>
    <cellStyle name="40% - 강조색6 3 4 2" xfId="6740"/>
    <cellStyle name="40% - 강조색6 3 4 2 2" xfId="6741"/>
    <cellStyle name="40% - 강조색6 3 4 2 3" xfId="6742"/>
    <cellStyle name="40% - 강조색6 3 4 2 3 2" xfId="6743"/>
    <cellStyle name="40% - 강조색6 3 4 2 4" xfId="6744"/>
    <cellStyle name="40% - 강조색6 3 4 3" xfId="6745"/>
    <cellStyle name="40% - 강조색6 3 4 3 2" xfId="6746"/>
    <cellStyle name="40% - 강조색6 3 4 3 3" xfId="6747"/>
    <cellStyle name="40% - 강조색6 3 4 4" xfId="6748"/>
    <cellStyle name="40% - 강조색6 3 4 5" xfId="6749"/>
    <cellStyle name="40% - 강조색6 3 4 6" xfId="6750"/>
    <cellStyle name="40% - 강조색6 3 4 6 2" xfId="6751"/>
    <cellStyle name="40% - 강조색6 3 4 7" xfId="20267"/>
    <cellStyle name="40% - 강조색6 3 5" xfId="6752"/>
    <cellStyle name="40% - 강조색6 3 5 2" xfId="6753"/>
    <cellStyle name="40% - 강조색6 3 5 2 2" xfId="6754"/>
    <cellStyle name="40% - 강조색6 3 5 3" xfId="6755"/>
    <cellStyle name="40% - 강조색6 3 6" xfId="6756"/>
    <cellStyle name="40% - 강조색6 3 6 2" xfId="6757"/>
    <cellStyle name="40% - 강조색6 3 7" xfId="6758"/>
    <cellStyle name="40% - 강조색6 3 8" xfId="6759"/>
    <cellStyle name="40% - 강조색6 3 9" xfId="6760"/>
    <cellStyle name="40% - 강조색6 30" xfId="6761"/>
    <cellStyle name="40% - 강조색6 31" xfId="6762"/>
    <cellStyle name="40% - 강조색6 32" xfId="6763"/>
    <cellStyle name="40% - 강조색6 33" xfId="18236"/>
    <cellStyle name="40% - 강조색6 4" xfId="6764"/>
    <cellStyle name="40% - 강조색6 4 10" xfId="6765"/>
    <cellStyle name="40% - 강조색6 4 11" xfId="6766"/>
    <cellStyle name="40% - 강조색6 4 12" xfId="6767"/>
    <cellStyle name="40% - 강조색6 4 13" xfId="6768"/>
    <cellStyle name="40% - 강조색6 4 14" xfId="6769"/>
    <cellStyle name="40% - 강조색6 4 15" xfId="6770"/>
    <cellStyle name="40% - 강조색6 4 16" xfId="6771"/>
    <cellStyle name="40% - 강조색6 4 17" xfId="6772"/>
    <cellStyle name="40% - 강조색6 4 18" xfId="6773"/>
    <cellStyle name="40% - 강조색6 4 19" xfId="6774"/>
    <cellStyle name="40% - 강조색6 4 2" xfId="6775"/>
    <cellStyle name="40% - 강조색6 4 2 2" xfId="6776"/>
    <cellStyle name="40% - 강조색6 4 2 2 2" xfId="6777"/>
    <cellStyle name="40% - 강조색6 4 2 2 2 2" xfId="21194"/>
    <cellStyle name="40% - 강조색6 4 20" xfId="6778"/>
    <cellStyle name="40% - 강조색6 4 21" xfId="6779"/>
    <cellStyle name="40% - 강조색6 4 3" xfId="6780"/>
    <cellStyle name="40% - 강조색6 4 3 2" xfId="6781"/>
    <cellStyle name="40% - 강조색6 4 3 2 2" xfId="6782"/>
    <cellStyle name="40% - 강조색6 4 4" xfId="6783"/>
    <cellStyle name="40% - 강조색6 4 4 2" xfId="6784"/>
    <cellStyle name="40% - 강조색6 4 4 2 2" xfId="6785"/>
    <cellStyle name="40% - 강조색6 4 4 2 2 2" xfId="6786"/>
    <cellStyle name="40% - 강조색6 4 4 2 3" xfId="6787"/>
    <cellStyle name="40% - 강조색6 4 4 3" xfId="6788"/>
    <cellStyle name="40% - 강조색6 4 4 3 2" xfId="6789"/>
    <cellStyle name="40% - 강조색6 4 4 4" xfId="6790"/>
    <cellStyle name="40% - 강조색6 4 4 5" xfId="6791"/>
    <cellStyle name="40% - 강조색6 4 5" xfId="6792"/>
    <cellStyle name="40% - 강조색6 4 5 2" xfId="6793"/>
    <cellStyle name="40% - 강조색6 4 5 2 2" xfId="6794"/>
    <cellStyle name="40% - 강조색6 4 6" xfId="6795"/>
    <cellStyle name="40% - 강조색6 4 6 2" xfId="6796"/>
    <cellStyle name="40% - 강조색6 4 7" xfId="6797"/>
    <cellStyle name="40% - 강조색6 4 8" xfId="6798"/>
    <cellStyle name="40% - 강조색6 4 9" xfId="6799"/>
    <cellStyle name="40% - 강조색6 5" xfId="6800"/>
    <cellStyle name="40% - 강조색6 5 10" xfId="6801"/>
    <cellStyle name="40% - 강조색6 5 11" xfId="6802"/>
    <cellStyle name="40% - 강조색6 5 12" xfId="6803"/>
    <cellStyle name="40% - 강조색6 5 13" xfId="6804"/>
    <cellStyle name="40% - 강조색6 5 14" xfId="6805"/>
    <cellStyle name="40% - 강조색6 5 15" xfId="6806"/>
    <cellStyle name="40% - 강조색6 5 16" xfId="6807"/>
    <cellStyle name="40% - 강조색6 5 17" xfId="6808"/>
    <cellStyle name="40% - 강조색6 5 18" xfId="6809"/>
    <cellStyle name="40% - 강조색6 5 19" xfId="6810"/>
    <cellStyle name="40% - 강조색6 5 2" xfId="6811"/>
    <cellStyle name="40% - 강조색6 5 2 2" xfId="6812"/>
    <cellStyle name="40% - 강조색6 5 2 2 2" xfId="6813"/>
    <cellStyle name="40% - 강조색6 5 2 2 2 2" xfId="21195"/>
    <cellStyle name="40% - 강조색6 5 20" xfId="6814"/>
    <cellStyle name="40% - 강조색6 5 21" xfId="6815"/>
    <cellStyle name="40% - 강조색6 5 3" xfId="6816"/>
    <cellStyle name="40% - 강조색6 5 3 2" xfId="6817"/>
    <cellStyle name="40% - 강조색6 5 3 2 2" xfId="6818"/>
    <cellStyle name="40% - 강조색6 5 3 2 2 2" xfId="6819"/>
    <cellStyle name="40% - 강조색6 5 3 2 3" xfId="6820"/>
    <cellStyle name="40% - 강조색6 5 3 3" xfId="6821"/>
    <cellStyle name="40% - 강조색6 5 3 4" xfId="6822"/>
    <cellStyle name="40% - 강조색6 5 3 4 2" xfId="6823"/>
    <cellStyle name="40% - 강조색6 5 4" xfId="6824"/>
    <cellStyle name="40% - 강조색6 5 4 2" xfId="6825"/>
    <cellStyle name="40% - 강조색6 5 5" xfId="6826"/>
    <cellStyle name="40% - 강조색6 5 6" xfId="6827"/>
    <cellStyle name="40% - 강조색6 5 7" xfId="6828"/>
    <cellStyle name="40% - 강조색6 5 8" xfId="6829"/>
    <cellStyle name="40% - 강조색6 5 9" xfId="6830"/>
    <cellStyle name="40% - 강조색6 6" xfId="6831"/>
    <cellStyle name="40% - 강조색6 6 10" xfId="6832"/>
    <cellStyle name="40% - 강조색6 6 11" xfId="6833"/>
    <cellStyle name="40% - 강조색6 6 12" xfId="6834"/>
    <cellStyle name="40% - 강조색6 6 13" xfId="6835"/>
    <cellStyle name="40% - 강조색6 6 14" xfId="6836"/>
    <cellStyle name="40% - 강조색6 6 15" xfId="6837"/>
    <cellStyle name="40% - 강조색6 6 16" xfId="6838"/>
    <cellStyle name="40% - 강조색6 6 17" xfId="6839"/>
    <cellStyle name="40% - 강조색6 6 18" xfId="6840"/>
    <cellStyle name="40% - 강조색6 6 19" xfId="6841"/>
    <cellStyle name="40% - 강조색6 6 2" xfId="6842"/>
    <cellStyle name="40% - 강조색6 6 2 2" xfId="6843"/>
    <cellStyle name="40% - 강조색6 6 2 2 2" xfId="6844"/>
    <cellStyle name="40% - 강조색6 6 2 2 2 2" xfId="21196"/>
    <cellStyle name="40% - 강조색6 6 20" xfId="6845"/>
    <cellStyle name="40% - 강조색6 6 21" xfId="6846"/>
    <cellStyle name="40% - 강조색6 6 3" xfId="6847"/>
    <cellStyle name="40% - 강조색6 6 3 2" xfId="6848"/>
    <cellStyle name="40% - 강조색6 6 3 2 2" xfId="6849"/>
    <cellStyle name="40% - 강조색6 6 3 2 2 2" xfId="6850"/>
    <cellStyle name="40% - 강조색6 6 3 2 3" xfId="6851"/>
    <cellStyle name="40% - 강조색6 6 3 3" xfId="6852"/>
    <cellStyle name="40% - 강조색6 6 3 4" xfId="6853"/>
    <cellStyle name="40% - 강조색6 6 3 4 2" xfId="6854"/>
    <cellStyle name="40% - 강조색6 6 4" xfId="6855"/>
    <cellStyle name="40% - 강조색6 6 4 2" xfId="6856"/>
    <cellStyle name="40% - 강조색6 6 5" xfId="6857"/>
    <cellStyle name="40% - 강조색6 6 6" xfId="6858"/>
    <cellStyle name="40% - 강조색6 6 7" xfId="6859"/>
    <cellStyle name="40% - 강조색6 6 8" xfId="6860"/>
    <cellStyle name="40% - 강조색6 6 9" xfId="6861"/>
    <cellStyle name="40% - 강조색6 7" xfId="6862"/>
    <cellStyle name="40% - 강조색6 7 10" xfId="6863"/>
    <cellStyle name="40% - 강조색6 7 11" xfId="6864"/>
    <cellStyle name="40% - 강조색6 7 12" xfId="6865"/>
    <cellStyle name="40% - 강조색6 7 13" xfId="6866"/>
    <cellStyle name="40% - 강조색6 7 14" xfId="6867"/>
    <cellStyle name="40% - 강조색6 7 15" xfId="6868"/>
    <cellStyle name="40% - 강조색6 7 16" xfId="6869"/>
    <cellStyle name="40% - 강조색6 7 17" xfId="6870"/>
    <cellStyle name="40% - 강조색6 7 18" xfId="6871"/>
    <cellStyle name="40% - 강조색6 7 19" xfId="6872"/>
    <cellStyle name="40% - 강조색6 7 2" xfId="6873"/>
    <cellStyle name="40% - 강조색6 7 2 2" xfId="6874"/>
    <cellStyle name="40% - 강조색6 7 2 2 2" xfId="6875"/>
    <cellStyle name="40% - 강조색6 7 2 3" xfId="6876"/>
    <cellStyle name="40% - 강조색6 7 3" xfId="6877"/>
    <cellStyle name="40% - 강조색6 7 4" xfId="6878"/>
    <cellStyle name="40% - 강조색6 7 5" xfId="6879"/>
    <cellStyle name="40% - 강조색6 7 6" xfId="6880"/>
    <cellStyle name="40% - 강조색6 7 7" xfId="6881"/>
    <cellStyle name="40% - 강조색6 7 8" xfId="6882"/>
    <cellStyle name="40% - 강조색6 7 9" xfId="6883"/>
    <cellStyle name="40% - 강조색6 8" xfId="6884"/>
    <cellStyle name="40% - 강조색6 8 10" xfId="6885"/>
    <cellStyle name="40% - 강조색6 8 11" xfId="6886"/>
    <cellStyle name="40% - 강조색6 8 12" xfId="6887"/>
    <cellStyle name="40% - 강조색6 8 13" xfId="6888"/>
    <cellStyle name="40% - 강조색6 8 14" xfId="6889"/>
    <cellStyle name="40% - 강조색6 8 15" xfId="6890"/>
    <cellStyle name="40% - 강조색6 8 16" xfId="6891"/>
    <cellStyle name="40% - 강조색6 8 17" xfId="6892"/>
    <cellStyle name="40% - 강조색6 8 18" xfId="6893"/>
    <cellStyle name="40% - 강조색6 8 19" xfId="6894"/>
    <cellStyle name="40% - 강조색6 8 2" xfId="6895"/>
    <cellStyle name="40% - 강조색6 8 2 2" xfId="6896"/>
    <cellStyle name="40% - 강조색6 8 2 2 2" xfId="6897"/>
    <cellStyle name="40% - 강조색6 8 2 3" xfId="6898"/>
    <cellStyle name="40% - 강조색6 8 3" xfId="6899"/>
    <cellStyle name="40% - 강조색6 8 4" xfId="6900"/>
    <cellStyle name="40% - 강조색6 8 5" xfId="6901"/>
    <cellStyle name="40% - 강조색6 8 6" xfId="6902"/>
    <cellStyle name="40% - 강조색6 8 7" xfId="6903"/>
    <cellStyle name="40% - 강조색6 8 8" xfId="6904"/>
    <cellStyle name="40% - 강조색6 8 9" xfId="6905"/>
    <cellStyle name="40% - 강조색6 9" xfId="6906"/>
    <cellStyle name="40% - 강조색6 9 10" xfId="6907"/>
    <cellStyle name="40% - 강조색6 9 11" xfId="6908"/>
    <cellStyle name="40% - 강조색6 9 12" xfId="6909"/>
    <cellStyle name="40% - 강조색6 9 13" xfId="6910"/>
    <cellStyle name="40% - 강조색6 9 14" xfId="6911"/>
    <cellStyle name="40% - 강조색6 9 15" xfId="6912"/>
    <cellStyle name="40% - 강조색6 9 16" xfId="6913"/>
    <cellStyle name="40% - 강조색6 9 17" xfId="6914"/>
    <cellStyle name="40% - 강조색6 9 18" xfId="6915"/>
    <cellStyle name="40% - 강조색6 9 19" xfId="6916"/>
    <cellStyle name="40% - 강조색6 9 2" xfId="6917"/>
    <cellStyle name="40% - 강조색6 9 2 2" xfId="6918"/>
    <cellStyle name="40% - 강조색6 9 2 2 2" xfId="6919"/>
    <cellStyle name="40% - 강조색6 9 2 2 2 2" xfId="6920"/>
    <cellStyle name="40% - 강조색6 9 2 2 2 2 2" xfId="21197"/>
    <cellStyle name="40% - 강조색6 9 2 2 3" xfId="6921"/>
    <cellStyle name="40% - 강조색6 9 2 3" xfId="6922"/>
    <cellStyle name="40% - 강조색6 9 2 3 2" xfId="6923"/>
    <cellStyle name="40% - 강조색6 9 2 4" xfId="6924"/>
    <cellStyle name="40% - 강조색6 9 20" xfId="6925"/>
    <cellStyle name="40% - 강조색6 9 21" xfId="6926"/>
    <cellStyle name="40% - 강조색6 9 3" xfId="6927"/>
    <cellStyle name="40% - 강조색6 9 3 2" xfId="6928"/>
    <cellStyle name="40% - 강조색6 9 3 2 2" xfId="6929"/>
    <cellStyle name="40% - 강조색6 9 4" xfId="6930"/>
    <cellStyle name="40% - 강조색6 9 4 2" xfId="6931"/>
    <cellStyle name="40% - 강조색6 9 5" xfId="6932"/>
    <cellStyle name="40% - 강조색6 9 5 2" xfId="6933"/>
    <cellStyle name="40% - 강조색6 9 6" xfId="6934"/>
    <cellStyle name="40% - 강조색6 9 7" xfId="6935"/>
    <cellStyle name="40% - 강조색6 9 8" xfId="6936"/>
    <cellStyle name="40% - 강조색6 9 9" xfId="6937"/>
    <cellStyle name="60% - Accent1" xfId="6938"/>
    <cellStyle name="60% - Accent2" xfId="6939"/>
    <cellStyle name="60% - Accent3" xfId="6940"/>
    <cellStyle name="60% - Accent4" xfId="6941"/>
    <cellStyle name="60% - Accent5" xfId="6942"/>
    <cellStyle name="60% - Accent6" xfId="6943"/>
    <cellStyle name="60% - 강조색1" xfId="21" builtinId="32" customBuiltin="1"/>
    <cellStyle name="60% - 강조색1 10" xfId="6944"/>
    <cellStyle name="60% - 강조색1 10 2" xfId="6945"/>
    <cellStyle name="60% - 강조색1 10 3" xfId="6946"/>
    <cellStyle name="60% - 강조색1 10 3 2" xfId="6947"/>
    <cellStyle name="60% - 강조색1 10 4" xfId="6948"/>
    <cellStyle name="60% - 강조색1 11" xfId="6949"/>
    <cellStyle name="60% - 강조색1 11 2" xfId="6950"/>
    <cellStyle name="60% - 강조색1 11 2 2" xfId="6951"/>
    <cellStyle name="60% - 강조색1 11 2 2 2" xfId="6952"/>
    <cellStyle name="60% - 강조색1 11 2 3" xfId="6953"/>
    <cellStyle name="60% - 강조색1 11 3" xfId="6954"/>
    <cellStyle name="60% - 강조색1 11 3 2" xfId="6955"/>
    <cellStyle name="60% - 강조색1 11 4" xfId="6956"/>
    <cellStyle name="60% - 강조색1 11 5" xfId="6957"/>
    <cellStyle name="60% - 강조색1 12" xfId="6958"/>
    <cellStyle name="60% - 강조색1 12 2" xfId="6959"/>
    <cellStyle name="60% - 강조색1 12 2 2" xfId="6960"/>
    <cellStyle name="60% - 강조색1 12 2 2 2" xfId="6961"/>
    <cellStyle name="60% - 강조색1 12 2 3" xfId="6962"/>
    <cellStyle name="60% - 강조색1 12 3" xfId="6963"/>
    <cellStyle name="60% - 강조색1 12 3 2" xfId="6964"/>
    <cellStyle name="60% - 강조색1 12 4" xfId="6965"/>
    <cellStyle name="60% - 강조색1 12 5" xfId="6966"/>
    <cellStyle name="60% - 강조색1 13" xfId="6967"/>
    <cellStyle name="60% - 강조색1 13 2" xfId="6968"/>
    <cellStyle name="60% - 강조색1 13 2 2" xfId="6969"/>
    <cellStyle name="60% - 강조색1 13 2 2 2" xfId="6970"/>
    <cellStyle name="60% - 강조색1 13 2 2 2 2" xfId="21198"/>
    <cellStyle name="60% - 강조색1 13 2 3" xfId="6971"/>
    <cellStyle name="60% - 강조색1 13 3" xfId="6972"/>
    <cellStyle name="60% - 강조색1 13 3 2" xfId="6973"/>
    <cellStyle name="60% - 강조색1 13 3 2 2" xfId="6974"/>
    <cellStyle name="60% - 강조색1 13 3 3" xfId="6975"/>
    <cellStyle name="60% - 강조색1 13 4" xfId="6976"/>
    <cellStyle name="60% - 강조색1 13 4 2" xfId="6977"/>
    <cellStyle name="60% - 강조색1 13 5" xfId="6978"/>
    <cellStyle name="60% - 강조색1 14" xfId="6979"/>
    <cellStyle name="60% - 강조색1 14 2" xfId="6980"/>
    <cellStyle name="60% - 강조색1 14 3" xfId="6981"/>
    <cellStyle name="60% - 강조색1 14 4" xfId="6982"/>
    <cellStyle name="60% - 강조색1 14 5" xfId="6983"/>
    <cellStyle name="60% - 강조색1 15" xfId="6984"/>
    <cellStyle name="60% - 강조색1 15 2" xfId="6985"/>
    <cellStyle name="60% - 강조색1 15 3" xfId="6986"/>
    <cellStyle name="60% - 강조색1 15 4" xfId="6987"/>
    <cellStyle name="60% - 강조색1 15 5" xfId="6988"/>
    <cellStyle name="60% - 강조색1 16" xfId="6989"/>
    <cellStyle name="60% - 강조색1 16 2" xfId="6990"/>
    <cellStyle name="60% - 강조색1 16 3" xfId="6991"/>
    <cellStyle name="60% - 강조색1 16 4" xfId="6992"/>
    <cellStyle name="60% - 강조색1 16 5" xfId="6993"/>
    <cellStyle name="60% - 강조색1 17" xfId="6994"/>
    <cellStyle name="60% - 강조색1 17 2" xfId="6995"/>
    <cellStyle name="60% - 강조색1 17 2 2" xfId="21199"/>
    <cellStyle name="60% - 강조색1 17 3" xfId="6996"/>
    <cellStyle name="60% - 강조색1 17 4" xfId="6997"/>
    <cellStyle name="60% - 강조색1 17 5" xfId="6998"/>
    <cellStyle name="60% - 강조색1 17 6" xfId="20660"/>
    <cellStyle name="60% - 강조색1 18" xfId="6999"/>
    <cellStyle name="60% - 강조색1 18 2" xfId="7000"/>
    <cellStyle name="60% - 강조색1 18 3" xfId="7001"/>
    <cellStyle name="60% - 강조색1 18 4" xfId="7002"/>
    <cellStyle name="60% - 강조색1 18 5" xfId="7003"/>
    <cellStyle name="60% - 강조색1 19" xfId="7004"/>
    <cellStyle name="60% - 강조색1 19 2" xfId="7005"/>
    <cellStyle name="60% - 강조색1 19 3" xfId="7006"/>
    <cellStyle name="60% - 강조색1 19 4" xfId="7007"/>
    <cellStyle name="60% - 강조색1 19 5" xfId="7008"/>
    <cellStyle name="60% - 강조색1 2" xfId="7009"/>
    <cellStyle name="60% - 강조색1 2 10" xfId="7010"/>
    <cellStyle name="60% - 강조색1 2 11" xfId="7011"/>
    <cellStyle name="60% - 강조색1 2 12" xfId="19674"/>
    <cellStyle name="60% - 강조색1 2 2" xfId="7012"/>
    <cellStyle name="60% - 강조색1 2 2 2" xfId="7013"/>
    <cellStyle name="60% - 강조색1 2 2 2 2" xfId="7014"/>
    <cellStyle name="60% - 강조색1 2 2 2 3" xfId="7015"/>
    <cellStyle name="60% - 강조색1 2 2 3" xfId="7016"/>
    <cellStyle name="60% - 강조색1 2 2 4" xfId="7017"/>
    <cellStyle name="60% - 강조색1 2 2 5" xfId="20268"/>
    <cellStyle name="60% - 강조색1 2 3" xfId="7018"/>
    <cellStyle name="60% - 강조색1 2 3 2" xfId="7019"/>
    <cellStyle name="60% - 강조색1 2 3 2 2" xfId="7020"/>
    <cellStyle name="60% - 강조색1 2 3 2 2 2" xfId="7021"/>
    <cellStyle name="60% - 강조색1 2 3 2 2 2 2" xfId="21200"/>
    <cellStyle name="60% - 강조색1 2 3 2 3" xfId="7022"/>
    <cellStyle name="60% - 강조색1 2 3 3" xfId="7023"/>
    <cellStyle name="60% - 강조색1 2 3 3 2" xfId="7024"/>
    <cellStyle name="60% - 강조색1 2 3 4" xfId="7025"/>
    <cellStyle name="60% - 강조색1 2 3 5" xfId="20269"/>
    <cellStyle name="60% - 강조색1 2 4" xfId="7026"/>
    <cellStyle name="60% - 강조색1 2 4 2" xfId="20270"/>
    <cellStyle name="60% - 강조색1 2 5" xfId="7027"/>
    <cellStyle name="60% - 강조색1 2 6" xfId="7028"/>
    <cellStyle name="60% - 강조색1 2 6 2" xfId="20271"/>
    <cellStyle name="60% - 강조색1 2 7" xfId="7029"/>
    <cellStyle name="60% - 강조색1 2 7 2" xfId="20272"/>
    <cellStyle name="60% - 강조색1 2 8" xfId="7030"/>
    <cellStyle name="60% - 강조색1 2 9" xfId="7031"/>
    <cellStyle name="60% - 강조색1 20" xfId="7032"/>
    <cellStyle name="60% - 강조색1 20 2" xfId="7033"/>
    <cellStyle name="60% - 강조색1 20 3" xfId="7034"/>
    <cellStyle name="60% - 강조색1 20 4" xfId="7035"/>
    <cellStyle name="60% - 강조색1 20 5" xfId="7036"/>
    <cellStyle name="60% - 강조색1 21" xfId="7037"/>
    <cellStyle name="60% - 강조색1 21 2" xfId="7038"/>
    <cellStyle name="60% - 강조색1 21 3" xfId="7039"/>
    <cellStyle name="60% - 강조색1 21 4" xfId="7040"/>
    <cellStyle name="60% - 강조색1 21 5" xfId="7041"/>
    <cellStyle name="60% - 강조색1 22" xfId="7042"/>
    <cellStyle name="60% - 강조색1 22 2" xfId="7043"/>
    <cellStyle name="60% - 강조색1 22 3" xfId="7044"/>
    <cellStyle name="60% - 강조색1 22 4" xfId="7045"/>
    <cellStyle name="60% - 강조색1 22 5" xfId="7046"/>
    <cellStyle name="60% - 강조색1 23" xfId="7047"/>
    <cellStyle name="60% - 강조색1 23 2" xfId="7048"/>
    <cellStyle name="60% - 강조색1 24" xfId="7049"/>
    <cellStyle name="60% - 강조색1 24 2" xfId="7050"/>
    <cellStyle name="60% - 강조색1 25" xfId="7051"/>
    <cellStyle name="60% - 강조색1 26" xfId="7052"/>
    <cellStyle name="60% - 강조색1 27" xfId="18217"/>
    <cellStyle name="60% - 강조색1 3" xfId="7053"/>
    <cellStyle name="60% - 강조색1 3 2" xfId="7054"/>
    <cellStyle name="60% - 강조색1 3 2 2" xfId="7055"/>
    <cellStyle name="60% - 강조색1 3 2 2 2" xfId="7056"/>
    <cellStyle name="60% - 강조색1 3 2 2 3" xfId="7057"/>
    <cellStyle name="60% - 강조색1 3 2 3" xfId="7058"/>
    <cellStyle name="60% - 강조색1 3 2 4" xfId="7059"/>
    <cellStyle name="60% - 강조색1 3 3" xfId="7060"/>
    <cellStyle name="60% - 강조색1 3 3 2" xfId="20273"/>
    <cellStyle name="60% - 강조색1 3 4" xfId="7061"/>
    <cellStyle name="60% - 강조색1 3 4 2" xfId="7062"/>
    <cellStyle name="60% - 강조색1 3 4 3" xfId="7063"/>
    <cellStyle name="60% - 강조색1 3 4 4" xfId="20274"/>
    <cellStyle name="60% - 강조색1 3 5" xfId="7064"/>
    <cellStyle name="60% - 강조색1 4" xfId="7065"/>
    <cellStyle name="60% - 강조색1 4 2" xfId="7066"/>
    <cellStyle name="60% - 강조색1 4 3" xfId="7067"/>
    <cellStyle name="60% - 강조색1 5" xfId="7068"/>
    <cellStyle name="60% - 강조색1 5 2" xfId="7069"/>
    <cellStyle name="60% - 강조색1 5 2 2" xfId="7070"/>
    <cellStyle name="60% - 강조색1 5 2 2 2" xfId="7071"/>
    <cellStyle name="60% - 강조색1 5 2 3" xfId="7072"/>
    <cellStyle name="60% - 강조색1 6" xfId="7073"/>
    <cellStyle name="60% - 강조색1 6 2" xfId="7074"/>
    <cellStyle name="60% - 강조색1 6 2 2" xfId="7075"/>
    <cellStyle name="60% - 강조색1 6 2 2 2" xfId="7076"/>
    <cellStyle name="60% - 강조색1 6 2 3" xfId="7077"/>
    <cellStyle name="60% - 강조색1 7" xfId="7078"/>
    <cellStyle name="60% - 강조색1 7 2" xfId="7079"/>
    <cellStyle name="60% - 강조색1 7 2 2" xfId="7080"/>
    <cellStyle name="60% - 강조색1 7 2 2 2" xfId="7081"/>
    <cellStyle name="60% - 강조색1 7 2 3" xfId="7082"/>
    <cellStyle name="60% - 강조색1 8" xfId="7083"/>
    <cellStyle name="60% - 강조색1 8 2" xfId="7084"/>
    <cellStyle name="60% - 강조색1 8 2 2" xfId="7085"/>
    <cellStyle name="60% - 강조색1 8 2 2 2" xfId="7086"/>
    <cellStyle name="60% - 강조색1 8 2 3" xfId="7087"/>
    <cellStyle name="60% - 강조색1 9" xfId="7088"/>
    <cellStyle name="60% - 강조색1 9 2" xfId="7089"/>
    <cellStyle name="60% - 강조색1 9 2 2" xfId="7090"/>
    <cellStyle name="60% - 강조색1 9 2 2 2" xfId="7091"/>
    <cellStyle name="60% - 강조색1 9 2 2 2 2" xfId="21201"/>
    <cellStyle name="60% - 강조색1 9 2 3" xfId="7092"/>
    <cellStyle name="60% - 강조색1 9 2 4" xfId="7093"/>
    <cellStyle name="60% - 강조색1 9 3" xfId="7094"/>
    <cellStyle name="60% - 강조색1 9 4" xfId="7095"/>
    <cellStyle name="60% - 강조색2" xfId="25" builtinId="36" customBuiltin="1"/>
    <cellStyle name="60% - 강조색2 10" xfId="7096"/>
    <cellStyle name="60% - 강조색2 10 2" xfId="7097"/>
    <cellStyle name="60% - 강조색2 10 3" xfId="7098"/>
    <cellStyle name="60% - 강조색2 10 3 2" xfId="7099"/>
    <cellStyle name="60% - 강조색2 10 4" xfId="7100"/>
    <cellStyle name="60% - 강조색2 11" xfId="7101"/>
    <cellStyle name="60% - 강조색2 11 2" xfId="7102"/>
    <cellStyle name="60% - 강조색2 11 2 2" xfId="7103"/>
    <cellStyle name="60% - 강조색2 11 2 2 2" xfId="7104"/>
    <cellStyle name="60% - 강조색2 11 2 3" xfId="7105"/>
    <cellStyle name="60% - 강조색2 11 3" xfId="7106"/>
    <cellStyle name="60% - 강조색2 11 3 2" xfId="7107"/>
    <cellStyle name="60% - 강조색2 11 4" xfId="7108"/>
    <cellStyle name="60% - 강조색2 11 5" xfId="7109"/>
    <cellStyle name="60% - 강조색2 12" xfId="7110"/>
    <cellStyle name="60% - 강조색2 12 2" xfId="7111"/>
    <cellStyle name="60% - 강조색2 12 2 2" xfId="7112"/>
    <cellStyle name="60% - 강조색2 12 2 2 2" xfId="7113"/>
    <cellStyle name="60% - 강조색2 12 2 3" xfId="7114"/>
    <cellStyle name="60% - 강조색2 12 3" xfId="7115"/>
    <cellStyle name="60% - 강조색2 12 3 2" xfId="7116"/>
    <cellStyle name="60% - 강조색2 12 4" xfId="7117"/>
    <cellStyle name="60% - 강조색2 12 5" xfId="7118"/>
    <cellStyle name="60% - 강조색2 13" xfId="7119"/>
    <cellStyle name="60% - 강조색2 13 2" xfId="7120"/>
    <cellStyle name="60% - 강조색2 13 2 2" xfId="7121"/>
    <cellStyle name="60% - 강조색2 13 2 2 2" xfId="7122"/>
    <cellStyle name="60% - 강조색2 13 2 2 2 2" xfId="21202"/>
    <cellStyle name="60% - 강조색2 13 2 3" xfId="7123"/>
    <cellStyle name="60% - 강조색2 13 3" xfId="7124"/>
    <cellStyle name="60% - 강조색2 13 3 2" xfId="7125"/>
    <cellStyle name="60% - 강조색2 13 3 2 2" xfId="7126"/>
    <cellStyle name="60% - 강조색2 13 3 3" xfId="7127"/>
    <cellStyle name="60% - 강조색2 13 4" xfId="7128"/>
    <cellStyle name="60% - 강조색2 13 4 2" xfId="7129"/>
    <cellStyle name="60% - 강조색2 13 5" xfId="7130"/>
    <cellStyle name="60% - 강조색2 14" xfId="7131"/>
    <cellStyle name="60% - 강조색2 14 2" xfId="7132"/>
    <cellStyle name="60% - 강조색2 14 3" xfId="7133"/>
    <cellStyle name="60% - 강조색2 14 4" xfId="7134"/>
    <cellStyle name="60% - 강조색2 14 5" xfId="7135"/>
    <cellStyle name="60% - 강조색2 15" xfId="7136"/>
    <cellStyle name="60% - 강조색2 15 2" xfId="7137"/>
    <cellStyle name="60% - 강조색2 15 3" xfId="7138"/>
    <cellStyle name="60% - 강조색2 15 4" xfId="7139"/>
    <cellStyle name="60% - 강조색2 15 5" xfId="7140"/>
    <cellStyle name="60% - 강조색2 16" xfId="7141"/>
    <cellStyle name="60% - 강조색2 16 2" xfId="7142"/>
    <cellStyle name="60% - 강조색2 16 3" xfId="7143"/>
    <cellStyle name="60% - 강조색2 16 4" xfId="7144"/>
    <cellStyle name="60% - 강조색2 16 5" xfId="7145"/>
    <cellStyle name="60% - 강조색2 17" xfId="7146"/>
    <cellStyle name="60% - 강조색2 17 2" xfId="7147"/>
    <cellStyle name="60% - 강조색2 17 2 2" xfId="21203"/>
    <cellStyle name="60% - 강조색2 17 3" xfId="7148"/>
    <cellStyle name="60% - 강조색2 17 4" xfId="7149"/>
    <cellStyle name="60% - 강조색2 17 5" xfId="7150"/>
    <cellStyle name="60% - 강조색2 17 6" xfId="20662"/>
    <cellStyle name="60% - 강조색2 18" xfId="7151"/>
    <cellStyle name="60% - 강조색2 18 2" xfId="7152"/>
    <cellStyle name="60% - 강조색2 18 3" xfId="7153"/>
    <cellStyle name="60% - 강조색2 18 4" xfId="7154"/>
    <cellStyle name="60% - 강조색2 18 5" xfId="7155"/>
    <cellStyle name="60% - 강조색2 19" xfId="7156"/>
    <cellStyle name="60% - 강조색2 19 2" xfId="7157"/>
    <cellStyle name="60% - 강조색2 19 3" xfId="7158"/>
    <cellStyle name="60% - 강조색2 19 4" xfId="7159"/>
    <cellStyle name="60% - 강조색2 19 5" xfId="7160"/>
    <cellStyle name="60% - 강조색2 2" xfId="7161"/>
    <cellStyle name="60% - 강조색2 2 10" xfId="7162"/>
    <cellStyle name="60% - 강조색2 2 11" xfId="7163"/>
    <cellStyle name="60% - 강조색2 2 12" xfId="19675"/>
    <cellStyle name="60% - 강조색2 2 2" xfId="7164"/>
    <cellStyle name="60% - 강조색2 2 2 2" xfId="7165"/>
    <cellStyle name="60% - 강조색2 2 2 2 2" xfId="7166"/>
    <cellStyle name="60% - 강조색2 2 2 2 3" xfId="7167"/>
    <cellStyle name="60% - 강조색2 2 2 3" xfId="7168"/>
    <cellStyle name="60% - 강조색2 2 2 4" xfId="7169"/>
    <cellStyle name="60% - 강조색2 2 2 5" xfId="20275"/>
    <cellStyle name="60% - 강조색2 2 3" xfId="7170"/>
    <cellStyle name="60% - 강조색2 2 3 2" xfId="7171"/>
    <cellStyle name="60% - 강조색2 2 3 2 2" xfId="7172"/>
    <cellStyle name="60% - 강조색2 2 3 2 2 2" xfId="7173"/>
    <cellStyle name="60% - 강조색2 2 3 2 2 2 2" xfId="21204"/>
    <cellStyle name="60% - 강조색2 2 3 2 3" xfId="7174"/>
    <cellStyle name="60% - 강조색2 2 3 3" xfId="7175"/>
    <cellStyle name="60% - 강조색2 2 3 3 2" xfId="7176"/>
    <cellStyle name="60% - 강조색2 2 3 4" xfId="7177"/>
    <cellStyle name="60% - 강조색2 2 3 5" xfId="20276"/>
    <cellStyle name="60% - 강조색2 2 4" xfId="7178"/>
    <cellStyle name="60% - 강조색2 2 4 2" xfId="20277"/>
    <cellStyle name="60% - 강조색2 2 5" xfId="7179"/>
    <cellStyle name="60% - 강조색2 2 6" xfId="7180"/>
    <cellStyle name="60% - 강조색2 2 6 2" xfId="20278"/>
    <cellStyle name="60% - 강조색2 2 7" xfId="7181"/>
    <cellStyle name="60% - 강조색2 2 7 2" xfId="20279"/>
    <cellStyle name="60% - 강조색2 2 8" xfId="7182"/>
    <cellStyle name="60% - 강조색2 2 9" xfId="7183"/>
    <cellStyle name="60% - 강조색2 20" xfId="7184"/>
    <cellStyle name="60% - 강조색2 20 2" xfId="7185"/>
    <cellStyle name="60% - 강조색2 20 3" xfId="7186"/>
    <cellStyle name="60% - 강조색2 20 4" xfId="7187"/>
    <cellStyle name="60% - 강조색2 20 5" xfId="7188"/>
    <cellStyle name="60% - 강조색2 21" xfId="7189"/>
    <cellStyle name="60% - 강조색2 21 2" xfId="7190"/>
    <cellStyle name="60% - 강조색2 21 3" xfId="7191"/>
    <cellStyle name="60% - 강조색2 21 4" xfId="7192"/>
    <cellStyle name="60% - 강조색2 21 5" xfId="7193"/>
    <cellStyle name="60% - 강조색2 22" xfId="7194"/>
    <cellStyle name="60% - 강조색2 22 2" xfId="7195"/>
    <cellStyle name="60% - 강조색2 22 3" xfId="7196"/>
    <cellStyle name="60% - 강조색2 22 4" xfId="7197"/>
    <cellStyle name="60% - 강조색2 22 5" xfId="7198"/>
    <cellStyle name="60% - 강조색2 23" xfId="7199"/>
    <cellStyle name="60% - 강조색2 23 2" xfId="7200"/>
    <cellStyle name="60% - 강조색2 24" xfId="7201"/>
    <cellStyle name="60% - 강조색2 24 2" xfId="7202"/>
    <cellStyle name="60% - 강조색2 25" xfId="7203"/>
    <cellStyle name="60% - 강조색2 26" xfId="7204"/>
    <cellStyle name="60% - 강조색2 27" xfId="18221"/>
    <cellStyle name="60% - 강조색2 3" xfId="7205"/>
    <cellStyle name="60% - 강조색2 3 2" xfId="7206"/>
    <cellStyle name="60% - 강조색2 3 2 2" xfId="7207"/>
    <cellStyle name="60% - 강조색2 3 2 2 2" xfId="7208"/>
    <cellStyle name="60% - 강조색2 3 2 2 3" xfId="7209"/>
    <cellStyle name="60% - 강조색2 3 2 3" xfId="7210"/>
    <cellStyle name="60% - 강조색2 3 2 4" xfId="7211"/>
    <cellStyle name="60% - 강조색2 3 3" xfId="7212"/>
    <cellStyle name="60% - 강조색2 3 3 2" xfId="20280"/>
    <cellStyle name="60% - 강조색2 3 4" xfId="7213"/>
    <cellStyle name="60% - 강조색2 3 4 2" xfId="7214"/>
    <cellStyle name="60% - 강조색2 3 4 3" xfId="7215"/>
    <cellStyle name="60% - 강조색2 3 4 4" xfId="20281"/>
    <cellStyle name="60% - 강조색2 3 5" xfId="7216"/>
    <cellStyle name="60% - 강조색2 4" xfId="7217"/>
    <cellStyle name="60% - 강조색2 4 2" xfId="7218"/>
    <cellStyle name="60% - 강조색2 4 3" xfId="7219"/>
    <cellStyle name="60% - 강조색2 5" xfId="7220"/>
    <cellStyle name="60% - 강조색2 5 2" xfId="7221"/>
    <cellStyle name="60% - 강조색2 5 2 2" xfId="7222"/>
    <cellStyle name="60% - 강조색2 5 2 2 2" xfId="7223"/>
    <cellStyle name="60% - 강조색2 5 2 3" xfId="7224"/>
    <cellStyle name="60% - 강조색2 6" xfId="7225"/>
    <cellStyle name="60% - 강조색2 6 2" xfId="7226"/>
    <cellStyle name="60% - 강조색2 6 2 2" xfId="7227"/>
    <cellStyle name="60% - 강조색2 6 2 2 2" xfId="7228"/>
    <cellStyle name="60% - 강조색2 6 2 3" xfId="7229"/>
    <cellStyle name="60% - 강조색2 7" xfId="7230"/>
    <cellStyle name="60% - 강조색2 7 2" xfId="7231"/>
    <cellStyle name="60% - 강조색2 7 2 2" xfId="7232"/>
    <cellStyle name="60% - 강조색2 7 2 2 2" xfId="7233"/>
    <cellStyle name="60% - 강조색2 7 2 3" xfId="7234"/>
    <cellStyle name="60% - 강조색2 8" xfId="7235"/>
    <cellStyle name="60% - 강조색2 8 2" xfId="7236"/>
    <cellStyle name="60% - 강조색2 8 2 2" xfId="7237"/>
    <cellStyle name="60% - 강조색2 8 2 2 2" xfId="7238"/>
    <cellStyle name="60% - 강조색2 8 2 3" xfId="7239"/>
    <cellStyle name="60% - 강조색2 9" xfId="7240"/>
    <cellStyle name="60% - 강조색2 9 2" xfId="7241"/>
    <cellStyle name="60% - 강조색2 9 2 2" xfId="7242"/>
    <cellStyle name="60% - 강조색2 9 2 2 2" xfId="7243"/>
    <cellStyle name="60% - 강조색2 9 2 2 2 2" xfId="21205"/>
    <cellStyle name="60% - 강조색2 9 2 3" xfId="7244"/>
    <cellStyle name="60% - 강조색2 9 2 4" xfId="7245"/>
    <cellStyle name="60% - 강조색2 9 3" xfId="7246"/>
    <cellStyle name="60% - 강조색2 9 4" xfId="7247"/>
    <cellStyle name="60% - 강조색3" xfId="29" builtinId="40" customBuiltin="1"/>
    <cellStyle name="60% - 강조색3 10" xfId="7248"/>
    <cellStyle name="60% - 강조색3 10 2" xfId="7249"/>
    <cellStyle name="60% - 강조색3 10 3" xfId="7250"/>
    <cellStyle name="60% - 강조색3 10 3 2" xfId="7251"/>
    <cellStyle name="60% - 강조색3 10 4" xfId="7252"/>
    <cellStyle name="60% - 강조색3 11" xfId="7253"/>
    <cellStyle name="60% - 강조색3 11 2" xfId="7254"/>
    <cellStyle name="60% - 강조색3 11 2 2" xfId="7255"/>
    <cellStyle name="60% - 강조색3 11 2 2 2" xfId="7256"/>
    <cellStyle name="60% - 강조색3 11 2 3" xfId="7257"/>
    <cellStyle name="60% - 강조색3 11 3" xfId="7258"/>
    <cellStyle name="60% - 강조색3 11 3 2" xfId="7259"/>
    <cellStyle name="60% - 강조색3 11 4" xfId="7260"/>
    <cellStyle name="60% - 강조색3 11 5" xfId="7261"/>
    <cellStyle name="60% - 강조색3 12" xfId="7262"/>
    <cellStyle name="60% - 강조색3 12 2" xfId="7263"/>
    <cellStyle name="60% - 강조색3 12 2 2" xfId="7264"/>
    <cellStyle name="60% - 강조색3 12 2 2 2" xfId="7265"/>
    <cellStyle name="60% - 강조색3 12 2 3" xfId="7266"/>
    <cellStyle name="60% - 강조색3 12 3" xfId="7267"/>
    <cellStyle name="60% - 강조색3 12 3 2" xfId="7268"/>
    <cellStyle name="60% - 강조색3 12 4" xfId="7269"/>
    <cellStyle name="60% - 강조색3 12 5" xfId="7270"/>
    <cellStyle name="60% - 강조색3 13" xfId="7271"/>
    <cellStyle name="60% - 강조색3 13 2" xfId="7272"/>
    <cellStyle name="60% - 강조색3 13 2 2" xfId="7273"/>
    <cellStyle name="60% - 강조색3 13 2 2 2" xfId="7274"/>
    <cellStyle name="60% - 강조색3 13 2 2 2 2" xfId="21206"/>
    <cellStyle name="60% - 강조색3 13 2 3" xfId="7275"/>
    <cellStyle name="60% - 강조색3 13 3" xfId="7276"/>
    <cellStyle name="60% - 강조색3 13 3 2" xfId="7277"/>
    <cellStyle name="60% - 강조색3 13 3 2 2" xfId="7278"/>
    <cellStyle name="60% - 강조색3 13 3 3" xfId="7279"/>
    <cellStyle name="60% - 강조색3 13 4" xfId="7280"/>
    <cellStyle name="60% - 강조색3 13 4 2" xfId="7281"/>
    <cellStyle name="60% - 강조색3 13 5" xfId="7282"/>
    <cellStyle name="60% - 강조색3 14" xfId="7283"/>
    <cellStyle name="60% - 강조색3 14 2" xfId="7284"/>
    <cellStyle name="60% - 강조색3 14 3" xfId="7285"/>
    <cellStyle name="60% - 강조색3 14 4" xfId="7286"/>
    <cellStyle name="60% - 강조색3 14 5" xfId="7287"/>
    <cellStyle name="60% - 강조색3 15" xfId="7288"/>
    <cellStyle name="60% - 강조색3 15 2" xfId="7289"/>
    <cellStyle name="60% - 강조색3 15 3" xfId="7290"/>
    <cellStyle name="60% - 강조색3 15 4" xfId="7291"/>
    <cellStyle name="60% - 강조색3 15 5" xfId="7292"/>
    <cellStyle name="60% - 강조색3 16" xfId="7293"/>
    <cellStyle name="60% - 강조색3 16 2" xfId="7294"/>
    <cellStyle name="60% - 강조색3 16 3" xfId="7295"/>
    <cellStyle name="60% - 강조색3 16 4" xfId="7296"/>
    <cellStyle name="60% - 강조색3 16 5" xfId="7297"/>
    <cellStyle name="60% - 강조색3 17" xfId="7298"/>
    <cellStyle name="60% - 강조색3 17 2" xfId="7299"/>
    <cellStyle name="60% - 강조색3 17 2 2" xfId="21207"/>
    <cellStyle name="60% - 강조색3 17 3" xfId="7300"/>
    <cellStyle name="60% - 강조색3 17 4" xfId="7301"/>
    <cellStyle name="60% - 강조색3 17 5" xfId="7302"/>
    <cellStyle name="60% - 강조색3 17 6" xfId="20664"/>
    <cellStyle name="60% - 강조색3 18" xfId="7303"/>
    <cellStyle name="60% - 강조색3 18 2" xfId="7304"/>
    <cellStyle name="60% - 강조색3 18 3" xfId="7305"/>
    <cellStyle name="60% - 강조색3 18 4" xfId="7306"/>
    <cellStyle name="60% - 강조색3 18 5" xfId="7307"/>
    <cellStyle name="60% - 강조색3 19" xfId="7308"/>
    <cellStyle name="60% - 강조색3 19 2" xfId="7309"/>
    <cellStyle name="60% - 강조색3 19 3" xfId="7310"/>
    <cellStyle name="60% - 강조색3 19 4" xfId="7311"/>
    <cellStyle name="60% - 강조색3 19 5" xfId="7312"/>
    <cellStyle name="60% - 강조색3 2" xfId="7313"/>
    <cellStyle name="60% - 강조색3 2 10" xfId="7314"/>
    <cellStyle name="60% - 강조색3 2 11" xfId="7315"/>
    <cellStyle name="60% - 강조색3 2 12" xfId="19676"/>
    <cellStyle name="60% - 강조색3 2 2" xfId="7316"/>
    <cellStyle name="60% - 강조색3 2 2 2" xfId="7317"/>
    <cellStyle name="60% - 강조색3 2 2 2 2" xfId="7318"/>
    <cellStyle name="60% - 강조색3 2 2 2 3" xfId="7319"/>
    <cellStyle name="60% - 강조색3 2 2 3" xfId="7320"/>
    <cellStyle name="60% - 강조색3 2 2 4" xfId="7321"/>
    <cellStyle name="60% - 강조색3 2 2 5" xfId="20282"/>
    <cellStyle name="60% - 강조색3 2 3" xfId="7322"/>
    <cellStyle name="60% - 강조색3 2 3 2" xfId="7323"/>
    <cellStyle name="60% - 강조색3 2 3 2 2" xfId="7324"/>
    <cellStyle name="60% - 강조색3 2 3 2 2 2" xfId="7325"/>
    <cellStyle name="60% - 강조색3 2 3 2 2 2 2" xfId="21208"/>
    <cellStyle name="60% - 강조색3 2 3 2 3" xfId="7326"/>
    <cellStyle name="60% - 강조색3 2 3 3" xfId="7327"/>
    <cellStyle name="60% - 강조색3 2 3 3 2" xfId="7328"/>
    <cellStyle name="60% - 강조색3 2 3 4" xfId="7329"/>
    <cellStyle name="60% - 강조색3 2 3 5" xfId="20283"/>
    <cellStyle name="60% - 강조색3 2 4" xfId="7330"/>
    <cellStyle name="60% - 강조색3 2 4 2" xfId="20284"/>
    <cellStyle name="60% - 강조색3 2 5" xfId="7331"/>
    <cellStyle name="60% - 강조색3 2 6" xfId="7332"/>
    <cellStyle name="60% - 강조색3 2 6 2" xfId="20285"/>
    <cellStyle name="60% - 강조색3 2 7" xfId="7333"/>
    <cellStyle name="60% - 강조색3 2 7 2" xfId="20286"/>
    <cellStyle name="60% - 강조색3 2 8" xfId="7334"/>
    <cellStyle name="60% - 강조색3 2 9" xfId="7335"/>
    <cellStyle name="60% - 강조색3 20" xfId="7336"/>
    <cellStyle name="60% - 강조색3 20 2" xfId="7337"/>
    <cellStyle name="60% - 강조색3 20 3" xfId="7338"/>
    <cellStyle name="60% - 강조색3 20 4" xfId="7339"/>
    <cellStyle name="60% - 강조색3 20 5" xfId="7340"/>
    <cellStyle name="60% - 강조색3 21" xfId="7341"/>
    <cellStyle name="60% - 강조색3 21 2" xfId="7342"/>
    <cellStyle name="60% - 강조색3 21 3" xfId="7343"/>
    <cellStyle name="60% - 강조색3 21 4" xfId="7344"/>
    <cellStyle name="60% - 강조색3 21 5" xfId="7345"/>
    <cellStyle name="60% - 강조색3 22" xfId="7346"/>
    <cellStyle name="60% - 강조색3 22 2" xfId="7347"/>
    <cellStyle name="60% - 강조색3 22 3" xfId="7348"/>
    <cellStyle name="60% - 강조색3 22 4" xfId="7349"/>
    <cellStyle name="60% - 강조색3 22 5" xfId="7350"/>
    <cellStyle name="60% - 강조색3 23" xfId="7351"/>
    <cellStyle name="60% - 강조색3 23 2" xfId="7352"/>
    <cellStyle name="60% - 강조색3 24" xfId="7353"/>
    <cellStyle name="60% - 강조색3 24 2" xfId="7354"/>
    <cellStyle name="60% - 강조색3 25" xfId="7355"/>
    <cellStyle name="60% - 강조색3 26" xfId="7356"/>
    <cellStyle name="60% - 강조색3 27" xfId="18225"/>
    <cellStyle name="60% - 강조색3 3" xfId="7357"/>
    <cellStyle name="60% - 강조색3 3 2" xfId="7358"/>
    <cellStyle name="60% - 강조색3 3 2 2" xfId="7359"/>
    <cellStyle name="60% - 강조색3 3 2 2 2" xfId="7360"/>
    <cellStyle name="60% - 강조색3 3 2 2 3" xfId="7361"/>
    <cellStyle name="60% - 강조색3 3 2 3" xfId="7362"/>
    <cellStyle name="60% - 강조색3 3 2 4" xfId="7363"/>
    <cellStyle name="60% - 강조색3 3 3" xfId="7364"/>
    <cellStyle name="60% - 강조색3 3 3 2" xfId="20287"/>
    <cellStyle name="60% - 강조색3 3 4" xfId="7365"/>
    <cellStyle name="60% - 강조색3 3 4 2" xfId="7366"/>
    <cellStyle name="60% - 강조색3 3 4 3" xfId="7367"/>
    <cellStyle name="60% - 강조색3 3 4 4" xfId="20288"/>
    <cellStyle name="60% - 강조색3 3 5" xfId="7368"/>
    <cellStyle name="60% - 강조색3 4" xfId="7369"/>
    <cellStyle name="60% - 강조색3 4 2" xfId="7370"/>
    <cellStyle name="60% - 강조색3 4 3" xfId="7371"/>
    <cellStyle name="60% - 강조색3 5" xfId="7372"/>
    <cellStyle name="60% - 강조색3 5 2" xfId="7373"/>
    <cellStyle name="60% - 강조색3 5 2 2" xfId="7374"/>
    <cellStyle name="60% - 강조색3 5 2 2 2" xfId="7375"/>
    <cellStyle name="60% - 강조색3 5 2 3" xfId="7376"/>
    <cellStyle name="60% - 강조색3 6" xfId="7377"/>
    <cellStyle name="60% - 강조색3 6 2" xfId="7378"/>
    <cellStyle name="60% - 강조색3 6 2 2" xfId="7379"/>
    <cellStyle name="60% - 강조색3 6 2 2 2" xfId="7380"/>
    <cellStyle name="60% - 강조색3 6 2 3" xfId="7381"/>
    <cellStyle name="60% - 강조색3 7" xfId="7382"/>
    <cellStyle name="60% - 강조색3 7 2" xfId="7383"/>
    <cellStyle name="60% - 강조색3 7 2 2" xfId="7384"/>
    <cellStyle name="60% - 강조색3 7 2 2 2" xfId="7385"/>
    <cellStyle name="60% - 강조색3 7 2 3" xfId="7386"/>
    <cellStyle name="60% - 강조색3 8" xfId="7387"/>
    <cellStyle name="60% - 강조색3 8 2" xfId="7388"/>
    <cellStyle name="60% - 강조색3 8 2 2" xfId="7389"/>
    <cellStyle name="60% - 강조색3 8 2 2 2" xfId="7390"/>
    <cellStyle name="60% - 강조색3 8 2 3" xfId="7391"/>
    <cellStyle name="60% - 강조색3 9" xfId="7392"/>
    <cellStyle name="60% - 강조색3 9 2" xfId="7393"/>
    <cellStyle name="60% - 강조색3 9 2 2" xfId="7394"/>
    <cellStyle name="60% - 강조색3 9 2 2 2" xfId="7395"/>
    <cellStyle name="60% - 강조색3 9 2 2 2 2" xfId="21209"/>
    <cellStyle name="60% - 강조색3 9 2 3" xfId="7396"/>
    <cellStyle name="60% - 강조색3 9 2 4" xfId="7397"/>
    <cellStyle name="60% - 강조색3 9 3" xfId="7398"/>
    <cellStyle name="60% - 강조색3 9 4" xfId="7399"/>
    <cellStyle name="60% - 강조색4" xfId="33" builtinId="44" customBuiltin="1"/>
    <cellStyle name="60% - 강조색4 10" xfId="7400"/>
    <cellStyle name="60% - 강조색4 10 2" xfId="7401"/>
    <cellStyle name="60% - 강조색4 10 3" xfId="7402"/>
    <cellStyle name="60% - 강조색4 10 3 2" xfId="7403"/>
    <cellStyle name="60% - 강조색4 10 4" xfId="7404"/>
    <cellStyle name="60% - 강조색4 11" xfId="7405"/>
    <cellStyle name="60% - 강조색4 11 2" xfId="7406"/>
    <cellStyle name="60% - 강조색4 11 2 2" xfId="7407"/>
    <cellStyle name="60% - 강조색4 11 2 2 2" xfId="7408"/>
    <cellStyle name="60% - 강조색4 11 2 3" xfId="7409"/>
    <cellStyle name="60% - 강조색4 11 3" xfId="7410"/>
    <cellStyle name="60% - 강조색4 11 3 2" xfId="7411"/>
    <cellStyle name="60% - 강조색4 11 4" xfId="7412"/>
    <cellStyle name="60% - 강조색4 11 5" xfId="7413"/>
    <cellStyle name="60% - 강조색4 12" xfId="7414"/>
    <cellStyle name="60% - 강조색4 12 2" xfId="7415"/>
    <cellStyle name="60% - 강조색4 12 2 2" xfId="7416"/>
    <cellStyle name="60% - 강조색4 12 2 2 2" xfId="7417"/>
    <cellStyle name="60% - 강조색4 12 2 3" xfId="7418"/>
    <cellStyle name="60% - 강조색4 12 3" xfId="7419"/>
    <cellStyle name="60% - 강조색4 12 3 2" xfId="7420"/>
    <cellStyle name="60% - 강조색4 12 4" xfId="7421"/>
    <cellStyle name="60% - 강조색4 12 5" xfId="7422"/>
    <cellStyle name="60% - 강조색4 13" xfId="7423"/>
    <cellStyle name="60% - 강조색4 13 2" xfId="7424"/>
    <cellStyle name="60% - 강조색4 13 2 2" xfId="7425"/>
    <cellStyle name="60% - 강조색4 13 2 2 2" xfId="7426"/>
    <cellStyle name="60% - 강조색4 13 2 2 2 2" xfId="21210"/>
    <cellStyle name="60% - 강조색4 13 2 3" xfId="7427"/>
    <cellStyle name="60% - 강조색4 13 3" xfId="7428"/>
    <cellStyle name="60% - 강조색4 13 3 2" xfId="7429"/>
    <cellStyle name="60% - 강조색4 13 3 2 2" xfId="7430"/>
    <cellStyle name="60% - 강조색4 13 3 3" xfId="7431"/>
    <cellStyle name="60% - 강조색4 13 4" xfId="7432"/>
    <cellStyle name="60% - 강조색4 13 4 2" xfId="7433"/>
    <cellStyle name="60% - 강조색4 13 5" xfId="7434"/>
    <cellStyle name="60% - 강조색4 14" xfId="7435"/>
    <cellStyle name="60% - 강조색4 14 2" xfId="7436"/>
    <cellStyle name="60% - 강조색4 14 3" xfId="7437"/>
    <cellStyle name="60% - 강조색4 14 4" xfId="7438"/>
    <cellStyle name="60% - 강조색4 14 5" xfId="7439"/>
    <cellStyle name="60% - 강조색4 15" xfId="7440"/>
    <cellStyle name="60% - 강조색4 15 2" xfId="7441"/>
    <cellStyle name="60% - 강조색4 15 3" xfId="7442"/>
    <cellStyle name="60% - 강조색4 15 4" xfId="7443"/>
    <cellStyle name="60% - 강조색4 15 5" xfId="7444"/>
    <cellStyle name="60% - 강조색4 16" xfId="7445"/>
    <cellStyle name="60% - 강조색4 16 2" xfId="7446"/>
    <cellStyle name="60% - 강조색4 16 3" xfId="7447"/>
    <cellStyle name="60% - 강조색4 16 4" xfId="7448"/>
    <cellStyle name="60% - 강조색4 16 5" xfId="7449"/>
    <cellStyle name="60% - 강조색4 17" xfId="7450"/>
    <cellStyle name="60% - 강조색4 17 2" xfId="7451"/>
    <cellStyle name="60% - 강조색4 17 2 2" xfId="21211"/>
    <cellStyle name="60% - 강조색4 17 3" xfId="7452"/>
    <cellStyle name="60% - 강조색4 17 4" xfId="7453"/>
    <cellStyle name="60% - 강조색4 17 5" xfId="7454"/>
    <cellStyle name="60% - 강조색4 17 6" xfId="20666"/>
    <cellStyle name="60% - 강조색4 18" xfId="7455"/>
    <cellStyle name="60% - 강조색4 18 2" xfId="7456"/>
    <cellStyle name="60% - 강조색4 18 3" xfId="7457"/>
    <cellStyle name="60% - 강조색4 18 4" xfId="7458"/>
    <cellStyle name="60% - 강조색4 18 5" xfId="7459"/>
    <cellStyle name="60% - 강조색4 19" xfId="7460"/>
    <cellStyle name="60% - 강조색4 19 2" xfId="7461"/>
    <cellStyle name="60% - 강조색4 19 3" xfId="7462"/>
    <cellStyle name="60% - 강조색4 19 4" xfId="7463"/>
    <cellStyle name="60% - 강조색4 19 5" xfId="7464"/>
    <cellStyle name="60% - 강조색4 2" xfId="7465"/>
    <cellStyle name="60% - 강조색4 2 10" xfId="7466"/>
    <cellStyle name="60% - 강조색4 2 11" xfId="7467"/>
    <cellStyle name="60% - 강조색4 2 12" xfId="19677"/>
    <cellStyle name="60% - 강조색4 2 2" xfId="7468"/>
    <cellStyle name="60% - 강조색4 2 2 2" xfId="7469"/>
    <cellStyle name="60% - 강조색4 2 2 2 2" xfId="7470"/>
    <cellStyle name="60% - 강조색4 2 2 2 3" xfId="7471"/>
    <cellStyle name="60% - 강조색4 2 2 3" xfId="7472"/>
    <cellStyle name="60% - 강조색4 2 2 4" xfId="7473"/>
    <cellStyle name="60% - 강조색4 2 2 5" xfId="20289"/>
    <cellStyle name="60% - 강조색4 2 3" xfId="7474"/>
    <cellStyle name="60% - 강조색4 2 3 2" xfId="7475"/>
    <cellStyle name="60% - 강조색4 2 3 2 2" xfId="7476"/>
    <cellStyle name="60% - 강조색4 2 3 2 2 2" xfId="7477"/>
    <cellStyle name="60% - 강조색4 2 3 2 2 2 2" xfId="21212"/>
    <cellStyle name="60% - 강조색4 2 3 2 3" xfId="7478"/>
    <cellStyle name="60% - 강조색4 2 3 3" xfId="7479"/>
    <cellStyle name="60% - 강조색4 2 3 3 2" xfId="7480"/>
    <cellStyle name="60% - 강조색4 2 3 4" xfId="7481"/>
    <cellStyle name="60% - 강조색4 2 3 5" xfId="20290"/>
    <cellStyle name="60% - 강조색4 2 4" xfId="7482"/>
    <cellStyle name="60% - 강조색4 2 4 2" xfId="20291"/>
    <cellStyle name="60% - 강조색4 2 5" xfId="7483"/>
    <cellStyle name="60% - 강조색4 2 6" xfId="7484"/>
    <cellStyle name="60% - 강조색4 2 6 2" xfId="20292"/>
    <cellStyle name="60% - 강조색4 2 7" xfId="7485"/>
    <cellStyle name="60% - 강조색4 2 7 2" xfId="20293"/>
    <cellStyle name="60% - 강조색4 2 8" xfId="7486"/>
    <cellStyle name="60% - 강조색4 2 9" xfId="7487"/>
    <cellStyle name="60% - 강조색4 20" xfId="7488"/>
    <cellStyle name="60% - 강조색4 20 2" xfId="7489"/>
    <cellStyle name="60% - 강조색4 20 3" xfId="7490"/>
    <cellStyle name="60% - 강조색4 20 4" xfId="7491"/>
    <cellStyle name="60% - 강조색4 20 5" xfId="7492"/>
    <cellStyle name="60% - 강조색4 21" xfId="7493"/>
    <cellStyle name="60% - 강조색4 21 2" xfId="7494"/>
    <cellStyle name="60% - 강조색4 21 3" xfId="7495"/>
    <cellStyle name="60% - 강조색4 21 4" xfId="7496"/>
    <cellStyle name="60% - 강조색4 21 5" xfId="7497"/>
    <cellStyle name="60% - 강조색4 22" xfId="7498"/>
    <cellStyle name="60% - 강조색4 22 2" xfId="7499"/>
    <cellStyle name="60% - 강조색4 22 3" xfId="7500"/>
    <cellStyle name="60% - 강조색4 22 4" xfId="7501"/>
    <cellStyle name="60% - 강조색4 22 5" xfId="7502"/>
    <cellStyle name="60% - 강조색4 23" xfId="7503"/>
    <cellStyle name="60% - 강조색4 23 2" xfId="7504"/>
    <cellStyle name="60% - 강조색4 24" xfId="7505"/>
    <cellStyle name="60% - 강조색4 24 2" xfId="7506"/>
    <cellStyle name="60% - 강조색4 25" xfId="7507"/>
    <cellStyle name="60% - 강조색4 26" xfId="7508"/>
    <cellStyle name="60% - 강조색4 27" xfId="18229"/>
    <cellStyle name="60% - 강조색4 3" xfId="7509"/>
    <cellStyle name="60% - 강조색4 3 2" xfId="7510"/>
    <cellStyle name="60% - 강조색4 3 2 2" xfId="7511"/>
    <cellStyle name="60% - 강조색4 3 2 2 2" xfId="7512"/>
    <cellStyle name="60% - 강조색4 3 2 2 3" xfId="7513"/>
    <cellStyle name="60% - 강조색4 3 2 3" xfId="7514"/>
    <cellStyle name="60% - 강조색4 3 2 4" xfId="7515"/>
    <cellStyle name="60% - 강조색4 3 3" xfId="7516"/>
    <cellStyle name="60% - 강조색4 3 3 2" xfId="20294"/>
    <cellStyle name="60% - 강조색4 3 4" xfId="7517"/>
    <cellStyle name="60% - 강조색4 3 4 2" xfId="7518"/>
    <cellStyle name="60% - 강조색4 3 4 3" xfId="7519"/>
    <cellStyle name="60% - 강조색4 3 4 4" xfId="20295"/>
    <cellStyle name="60% - 강조색4 3 5" xfId="7520"/>
    <cellStyle name="60% - 강조색4 4" xfId="7521"/>
    <cellStyle name="60% - 강조색4 4 2" xfId="7522"/>
    <cellStyle name="60% - 강조색4 4 3" xfId="7523"/>
    <cellStyle name="60% - 강조색4 5" xfId="7524"/>
    <cellStyle name="60% - 강조색4 5 2" xfId="7525"/>
    <cellStyle name="60% - 강조색4 5 2 2" xfId="7526"/>
    <cellStyle name="60% - 강조색4 5 2 2 2" xfId="7527"/>
    <cellStyle name="60% - 강조색4 5 2 3" xfId="7528"/>
    <cellStyle name="60% - 강조색4 6" xfId="7529"/>
    <cellStyle name="60% - 강조색4 6 2" xfId="7530"/>
    <cellStyle name="60% - 강조색4 6 2 2" xfId="7531"/>
    <cellStyle name="60% - 강조색4 6 2 2 2" xfId="7532"/>
    <cellStyle name="60% - 강조색4 6 2 3" xfId="7533"/>
    <cellStyle name="60% - 강조색4 7" xfId="7534"/>
    <cellStyle name="60% - 강조색4 7 2" xfId="7535"/>
    <cellStyle name="60% - 강조색4 7 2 2" xfId="7536"/>
    <cellStyle name="60% - 강조색4 7 2 2 2" xfId="7537"/>
    <cellStyle name="60% - 강조색4 7 2 3" xfId="7538"/>
    <cellStyle name="60% - 강조색4 8" xfId="7539"/>
    <cellStyle name="60% - 강조색4 8 2" xfId="7540"/>
    <cellStyle name="60% - 강조색4 8 2 2" xfId="7541"/>
    <cellStyle name="60% - 강조색4 8 2 2 2" xfId="7542"/>
    <cellStyle name="60% - 강조색4 8 2 3" xfId="7543"/>
    <cellStyle name="60% - 강조색4 9" xfId="7544"/>
    <cellStyle name="60% - 강조색4 9 2" xfId="7545"/>
    <cellStyle name="60% - 강조색4 9 2 2" xfId="7546"/>
    <cellStyle name="60% - 강조색4 9 2 2 2" xfId="7547"/>
    <cellStyle name="60% - 강조색4 9 2 2 2 2" xfId="21213"/>
    <cellStyle name="60% - 강조색4 9 2 3" xfId="7548"/>
    <cellStyle name="60% - 강조색4 9 2 4" xfId="7549"/>
    <cellStyle name="60% - 강조색4 9 3" xfId="7550"/>
    <cellStyle name="60% - 강조색4 9 4" xfId="7551"/>
    <cellStyle name="60% - 강조색5" xfId="37" builtinId="48" customBuiltin="1"/>
    <cellStyle name="60% - 강조색5 10" xfId="7552"/>
    <cellStyle name="60% - 강조색5 10 2" xfId="7553"/>
    <cellStyle name="60% - 강조색5 10 3" xfId="7554"/>
    <cellStyle name="60% - 강조색5 10 3 2" xfId="7555"/>
    <cellStyle name="60% - 강조색5 10 4" xfId="7556"/>
    <cellStyle name="60% - 강조색5 11" xfId="7557"/>
    <cellStyle name="60% - 강조색5 11 2" xfId="7558"/>
    <cellStyle name="60% - 강조색5 11 2 2" xfId="7559"/>
    <cellStyle name="60% - 강조색5 11 2 2 2" xfId="7560"/>
    <cellStyle name="60% - 강조색5 11 2 3" xfId="7561"/>
    <cellStyle name="60% - 강조색5 11 3" xfId="7562"/>
    <cellStyle name="60% - 강조색5 11 3 2" xfId="7563"/>
    <cellStyle name="60% - 강조색5 11 4" xfId="7564"/>
    <cellStyle name="60% - 강조색5 11 5" xfId="7565"/>
    <cellStyle name="60% - 강조색5 12" xfId="7566"/>
    <cellStyle name="60% - 강조색5 12 2" xfId="7567"/>
    <cellStyle name="60% - 강조색5 12 2 2" xfId="7568"/>
    <cellStyle name="60% - 강조색5 12 2 2 2" xfId="7569"/>
    <cellStyle name="60% - 강조색5 12 2 3" xfId="7570"/>
    <cellStyle name="60% - 강조색5 12 3" xfId="7571"/>
    <cellStyle name="60% - 강조색5 12 3 2" xfId="7572"/>
    <cellStyle name="60% - 강조색5 12 4" xfId="7573"/>
    <cellStyle name="60% - 강조색5 12 5" xfId="7574"/>
    <cellStyle name="60% - 강조색5 13" xfId="7575"/>
    <cellStyle name="60% - 강조색5 13 2" xfId="7576"/>
    <cellStyle name="60% - 강조색5 13 2 2" xfId="7577"/>
    <cellStyle name="60% - 강조색5 13 2 2 2" xfId="7578"/>
    <cellStyle name="60% - 강조색5 13 2 2 2 2" xfId="21214"/>
    <cellStyle name="60% - 강조색5 13 2 3" xfId="7579"/>
    <cellStyle name="60% - 강조색5 13 3" xfId="7580"/>
    <cellStyle name="60% - 강조색5 13 3 2" xfId="7581"/>
    <cellStyle name="60% - 강조색5 13 3 2 2" xfId="7582"/>
    <cellStyle name="60% - 강조색5 13 3 3" xfId="7583"/>
    <cellStyle name="60% - 강조색5 13 4" xfId="7584"/>
    <cellStyle name="60% - 강조색5 13 4 2" xfId="7585"/>
    <cellStyle name="60% - 강조색5 13 5" xfId="7586"/>
    <cellStyle name="60% - 강조색5 14" xfId="7587"/>
    <cellStyle name="60% - 강조색5 14 2" xfId="7588"/>
    <cellStyle name="60% - 강조색5 14 3" xfId="7589"/>
    <cellStyle name="60% - 강조색5 14 4" xfId="7590"/>
    <cellStyle name="60% - 강조색5 14 5" xfId="7591"/>
    <cellStyle name="60% - 강조색5 15" xfId="7592"/>
    <cellStyle name="60% - 강조색5 15 2" xfId="7593"/>
    <cellStyle name="60% - 강조색5 15 3" xfId="7594"/>
    <cellStyle name="60% - 강조색5 15 4" xfId="7595"/>
    <cellStyle name="60% - 강조색5 15 5" xfId="7596"/>
    <cellStyle name="60% - 강조색5 16" xfId="7597"/>
    <cellStyle name="60% - 강조색5 16 2" xfId="7598"/>
    <cellStyle name="60% - 강조색5 16 3" xfId="7599"/>
    <cellStyle name="60% - 강조색5 16 4" xfId="7600"/>
    <cellStyle name="60% - 강조색5 16 5" xfId="7601"/>
    <cellStyle name="60% - 강조색5 17" xfId="7602"/>
    <cellStyle name="60% - 강조색5 17 2" xfId="7603"/>
    <cellStyle name="60% - 강조색5 17 2 2" xfId="21215"/>
    <cellStyle name="60% - 강조색5 17 3" xfId="7604"/>
    <cellStyle name="60% - 강조색5 17 4" xfId="7605"/>
    <cellStyle name="60% - 강조색5 17 5" xfId="7606"/>
    <cellStyle name="60% - 강조색5 17 6" xfId="20668"/>
    <cellStyle name="60% - 강조색5 18" xfId="7607"/>
    <cellStyle name="60% - 강조색5 18 2" xfId="7608"/>
    <cellStyle name="60% - 강조색5 18 3" xfId="7609"/>
    <cellStyle name="60% - 강조색5 18 4" xfId="7610"/>
    <cellStyle name="60% - 강조색5 18 5" xfId="7611"/>
    <cellStyle name="60% - 강조색5 19" xfId="7612"/>
    <cellStyle name="60% - 강조색5 19 2" xfId="7613"/>
    <cellStyle name="60% - 강조색5 19 3" xfId="7614"/>
    <cellStyle name="60% - 강조색5 19 4" xfId="7615"/>
    <cellStyle name="60% - 강조색5 19 5" xfId="7616"/>
    <cellStyle name="60% - 강조색5 2" xfId="7617"/>
    <cellStyle name="60% - 강조색5 2 10" xfId="7618"/>
    <cellStyle name="60% - 강조색5 2 11" xfId="7619"/>
    <cellStyle name="60% - 강조색5 2 12" xfId="19678"/>
    <cellStyle name="60% - 강조색5 2 2" xfId="7620"/>
    <cellStyle name="60% - 강조색5 2 2 2" xfId="7621"/>
    <cellStyle name="60% - 강조색5 2 2 2 2" xfId="7622"/>
    <cellStyle name="60% - 강조색5 2 2 2 3" xfId="7623"/>
    <cellStyle name="60% - 강조색5 2 2 3" xfId="7624"/>
    <cellStyle name="60% - 강조색5 2 2 4" xfId="7625"/>
    <cellStyle name="60% - 강조색5 2 2 5" xfId="20296"/>
    <cellStyle name="60% - 강조색5 2 3" xfId="7626"/>
    <cellStyle name="60% - 강조색5 2 3 2" xfId="7627"/>
    <cellStyle name="60% - 강조색5 2 3 2 2" xfId="7628"/>
    <cellStyle name="60% - 강조색5 2 3 2 2 2" xfId="7629"/>
    <cellStyle name="60% - 강조색5 2 3 2 2 2 2" xfId="21216"/>
    <cellStyle name="60% - 강조색5 2 3 2 3" xfId="7630"/>
    <cellStyle name="60% - 강조색5 2 3 3" xfId="7631"/>
    <cellStyle name="60% - 강조색5 2 3 3 2" xfId="7632"/>
    <cellStyle name="60% - 강조색5 2 3 4" xfId="7633"/>
    <cellStyle name="60% - 강조색5 2 3 5" xfId="20297"/>
    <cellStyle name="60% - 강조색5 2 4" xfId="7634"/>
    <cellStyle name="60% - 강조색5 2 4 2" xfId="20298"/>
    <cellStyle name="60% - 강조색5 2 5" xfId="7635"/>
    <cellStyle name="60% - 강조색5 2 6" xfId="7636"/>
    <cellStyle name="60% - 강조색5 2 6 2" xfId="20299"/>
    <cellStyle name="60% - 강조색5 2 7" xfId="7637"/>
    <cellStyle name="60% - 강조색5 2 7 2" xfId="20300"/>
    <cellStyle name="60% - 강조색5 2 8" xfId="7638"/>
    <cellStyle name="60% - 강조색5 2 9" xfId="7639"/>
    <cellStyle name="60% - 강조색5 20" xfId="7640"/>
    <cellStyle name="60% - 강조색5 20 2" xfId="7641"/>
    <cellStyle name="60% - 강조색5 20 3" xfId="7642"/>
    <cellStyle name="60% - 강조색5 20 4" xfId="7643"/>
    <cellStyle name="60% - 강조색5 20 5" xfId="7644"/>
    <cellStyle name="60% - 강조색5 21" xfId="7645"/>
    <cellStyle name="60% - 강조색5 21 2" xfId="7646"/>
    <cellStyle name="60% - 강조색5 21 3" xfId="7647"/>
    <cellStyle name="60% - 강조색5 21 4" xfId="7648"/>
    <cellStyle name="60% - 강조색5 21 5" xfId="7649"/>
    <cellStyle name="60% - 강조색5 22" xfId="7650"/>
    <cellStyle name="60% - 강조색5 22 2" xfId="7651"/>
    <cellStyle name="60% - 강조색5 22 3" xfId="7652"/>
    <cellStyle name="60% - 강조색5 22 4" xfId="7653"/>
    <cellStyle name="60% - 강조색5 22 5" xfId="7654"/>
    <cellStyle name="60% - 강조색5 23" xfId="7655"/>
    <cellStyle name="60% - 강조색5 23 2" xfId="7656"/>
    <cellStyle name="60% - 강조색5 24" xfId="7657"/>
    <cellStyle name="60% - 강조색5 24 2" xfId="7658"/>
    <cellStyle name="60% - 강조색5 25" xfId="7659"/>
    <cellStyle name="60% - 강조색5 26" xfId="7660"/>
    <cellStyle name="60% - 강조색5 27" xfId="18233"/>
    <cellStyle name="60% - 강조색5 3" xfId="7661"/>
    <cellStyle name="60% - 강조색5 3 2" xfId="7662"/>
    <cellStyle name="60% - 강조색5 3 2 2" xfId="7663"/>
    <cellStyle name="60% - 강조색5 3 2 2 2" xfId="7664"/>
    <cellStyle name="60% - 강조색5 3 2 2 3" xfId="7665"/>
    <cellStyle name="60% - 강조색5 3 2 3" xfId="7666"/>
    <cellStyle name="60% - 강조색5 3 2 4" xfId="7667"/>
    <cellStyle name="60% - 강조색5 3 3" xfId="7668"/>
    <cellStyle name="60% - 강조색5 3 3 2" xfId="20301"/>
    <cellStyle name="60% - 강조색5 3 4" xfId="7669"/>
    <cellStyle name="60% - 강조색5 3 4 2" xfId="7670"/>
    <cellStyle name="60% - 강조색5 3 4 3" xfId="7671"/>
    <cellStyle name="60% - 강조색5 3 4 4" xfId="20302"/>
    <cellStyle name="60% - 강조색5 3 5" xfId="7672"/>
    <cellStyle name="60% - 강조색5 4" xfId="7673"/>
    <cellStyle name="60% - 강조색5 4 2" xfId="7674"/>
    <cellStyle name="60% - 강조색5 4 3" xfId="7675"/>
    <cellStyle name="60% - 강조색5 5" xfId="7676"/>
    <cellStyle name="60% - 강조색5 5 2" xfId="7677"/>
    <cellStyle name="60% - 강조색5 5 2 2" xfId="7678"/>
    <cellStyle name="60% - 강조색5 5 2 2 2" xfId="7679"/>
    <cellStyle name="60% - 강조색5 5 2 3" xfId="7680"/>
    <cellStyle name="60% - 강조색5 6" xfId="7681"/>
    <cellStyle name="60% - 강조색5 6 2" xfId="7682"/>
    <cellStyle name="60% - 강조색5 6 2 2" xfId="7683"/>
    <cellStyle name="60% - 강조색5 6 2 2 2" xfId="7684"/>
    <cellStyle name="60% - 강조색5 6 2 3" xfId="7685"/>
    <cellStyle name="60% - 강조색5 7" xfId="7686"/>
    <cellStyle name="60% - 강조색5 7 2" xfId="7687"/>
    <cellStyle name="60% - 강조색5 7 2 2" xfId="7688"/>
    <cellStyle name="60% - 강조색5 7 2 2 2" xfId="7689"/>
    <cellStyle name="60% - 강조색5 7 2 3" xfId="7690"/>
    <cellStyle name="60% - 강조색5 8" xfId="7691"/>
    <cellStyle name="60% - 강조색5 8 2" xfId="7692"/>
    <cellStyle name="60% - 강조색5 8 2 2" xfId="7693"/>
    <cellStyle name="60% - 강조색5 8 2 2 2" xfId="7694"/>
    <cellStyle name="60% - 강조색5 8 2 3" xfId="7695"/>
    <cellStyle name="60% - 강조색5 9" xfId="7696"/>
    <cellStyle name="60% - 강조색5 9 2" xfId="7697"/>
    <cellStyle name="60% - 강조색5 9 2 2" xfId="7698"/>
    <cellStyle name="60% - 강조색5 9 2 2 2" xfId="7699"/>
    <cellStyle name="60% - 강조색5 9 2 2 2 2" xfId="21217"/>
    <cellStyle name="60% - 강조색5 9 2 3" xfId="7700"/>
    <cellStyle name="60% - 강조색5 9 2 4" xfId="7701"/>
    <cellStyle name="60% - 강조색5 9 3" xfId="7702"/>
    <cellStyle name="60% - 강조색5 9 4" xfId="7703"/>
    <cellStyle name="60% - 강조색6" xfId="41" builtinId="52" customBuiltin="1"/>
    <cellStyle name="60% - 강조색6 10" xfId="7704"/>
    <cellStyle name="60% - 강조색6 10 2" xfId="7705"/>
    <cellStyle name="60% - 강조색6 10 3" xfId="7706"/>
    <cellStyle name="60% - 강조색6 10 3 2" xfId="7707"/>
    <cellStyle name="60% - 강조색6 10 4" xfId="7708"/>
    <cellStyle name="60% - 강조색6 11" xfId="7709"/>
    <cellStyle name="60% - 강조색6 11 2" xfId="7710"/>
    <cellStyle name="60% - 강조색6 11 2 2" xfId="7711"/>
    <cellStyle name="60% - 강조색6 11 2 2 2" xfId="7712"/>
    <cellStyle name="60% - 강조색6 11 2 3" xfId="7713"/>
    <cellStyle name="60% - 강조색6 11 3" xfId="7714"/>
    <cellStyle name="60% - 강조색6 11 3 2" xfId="7715"/>
    <cellStyle name="60% - 강조색6 11 4" xfId="7716"/>
    <cellStyle name="60% - 강조색6 11 5" xfId="7717"/>
    <cellStyle name="60% - 강조색6 12" xfId="7718"/>
    <cellStyle name="60% - 강조색6 12 2" xfId="7719"/>
    <cellStyle name="60% - 강조색6 12 2 2" xfId="7720"/>
    <cellStyle name="60% - 강조색6 12 2 2 2" xfId="7721"/>
    <cellStyle name="60% - 강조색6 12 2 3" xfId="7722"/>
    <cellStyle name="60% - 강조색6 12 3" xfId="7723"/>
    <cellStyle name="60% - 강조색6 12 3 2" xfId="7724"/>
    <cellStyle name="60% - 강조색6 12 4" xfId="7725"/>
    <cellStyle name="60% - 강조색6 12 5" xfId="7726"/>
    <cellStyle name="60% - 강조색6 13" xfId="7727"/>
    <cellStyle name="60% - 강조색6 13 2" xfId="7728"/>
    <cellStyle name="60% - 강조색6 13 2 2" xfId="7729"/>
    <cellStyle name="60% - 강조색6 13 2 2 2" xfId="7730"/>
    <cellStyle name="60% - 강조색6 13 2 2 2 2" xfId="21218"/>
    <cellStyle name="60% - 강조색6 13 2 3" xfId="7731"/>
    <cellStyle name="60% - 강조색6 13 3" xfId="7732"/>
    <cellStyle name="60% - 강조색6 13 3 2" xfId="7733"/>
    <cellStyle name="60% - 강조색6 13 3 2 2" xfId="7734"/>
    <cellStyle name="60% - 강조색6 13 3 3" xfId="7735"/>
    <cellStyle name="60% - 강조색6 13 4" xfId="7736"/>
    <cellStyle name="60% - 강조색6 13 4 2" xfId="7737"/>
    <cellStyle name="60% - 강조색6 13 5" xfId="7738"/>
    <cellStyle name="60% - 강조색6 14" xfId="7739"/>
    <cellStyle name="60% - 강조색6 14 2" xfId="7740"/>
    <cellStyle name="60% - 강조색6 14 3" xfId="7741"/>
    <cellStyle name="60% - 강조색6 14 4" xfId="7742"/>
    <cellStyle name="60% - 강조색6 14 5" xfId="7743"/>
    <cellStyle name="60% - 강조색6 15" xfId="7744"/>
    <cellStyle name="60% - 강조색6 15 2" xfId="7745"/>
    <cellStyle name="60% - 강조색6 15 3" xfId="7746"/>
    <cellStyle name="60% - 강조색6 15 4" xfId="7747"/>
    <cellStyle name="60% - 강조색6 15 5" xfId="7748"/>
    <cellStyle name="60% - 강조색6 16" xfId="7749"/>
    <cellStyle name="60% - 강조색6 16 2" xfId="7750"/>
    <cellStyle name="60% - 강조색6 16 3" xfId="7751"/>
    <cellStyle name="60% - 강조색6 16 4" xfId="7752"/>
    <cellStyle name="60% - 강조색6 16 5" xfId="7753"/>
    <cellStyle name="60% - 강조색6 17" xfId="7754"/>
    <cellStyle name="60% - 강조색6 17 2" xfId="7755"/>
    <cellStyle name="60% - 강조색6 17 2 2" xfId="21219"/>
    <cellStyle name="60% - 강조색6 17 3" xfId="7756"/>
    <cellStyle name="60% - 강조색6 17 4" xfId="7757"/>
    <cellStyle name="60% - 강조색6 17 5" xfId="7758"/>
    <cellStyle name="60% - 강조색6 17 6" xfId="20670"/>
    <cellStyle name="60% - 강조색6 18" xfId="7759"/>
    <cellStyle name="60% - 강조색6 18 2" xfId="7760"/>
    <cellStyle name="60% - 강조색6 18 3" xfId="7761"/>
    <cellStyle name="60% - 강조색6 18 4" xfId="7762"/>
    <cellStyle name="60% - 강조색6 18 5" xfId="7763"/>
    <cellStyle name="60% - 강조색6 19" xfId="7764"/>
    <cellStyle name="60% - 강조색6 19 2" xfId="7765"/>
    <cellStyle name="60% - 강조색6 19 3" xfId="7766"/>
    <cellStyle name="60% - 강조색6 19 4" xfId="7767"/>
    <cellStyle name="60% - 강조색6 19 5" xfId="7768"/>
    <cellStyle name="60% - 강조색6 2" xfId="7769"/>
    <cellStyle name="60% - 강조색6 2 10" xfId="7770"/>
    <cellStyle name="60% - 강조색6 2 11" xfId="7771"/>
    <cellStyle name="60% - 강조색6 2 12" xfId="19679"/>
    <cellStyle name="60% - 강조색6 2 2" xfId="7772"/>
    <cellStyle name="60% - 강조색6 2 2 2" xfId="7773"/>
    <cellStyle name="60% - 강조색6 2 2 2 2" xfId="7774"/>
    <cellStyle name="60% - 강조색6 2 2 2 3" xfId="7775"/>
    <cellStyle name="60% - 강조색6 2 2 3" xfId="7776"/>
    <cellStyle name="60% - 강조색6 2 2 4" xfId="7777"/>
    <cellStyle name="60% - 강조색6 2 2 5" xfId="20303"/>
    <cellStyle name="60% - 강조색6 2 3" xfId="7778"/>
    <cellStyle name="60% - 강조색6 2 3 2" xfId="7779"/>
    <cellStyle name="60% - 강조색6 2 3 2 2" xfId="7780"/>
    <cellStyle name="60% - 강조색6 2 3 2 2 2" xfId="7781"/>
    <cellStyle name="60% - 강조색6 2 3 2 2 2 2" xfId="21220"/>
    <cellStyle name="60% - 강조색6 2 3 2 3" xfId="7782"/>
    <cellStyle name="60% - 강조색6 2 3 3" xfId="7783"/>
    <cellStyle name="60% - 강조색6 2 3 3 2" xfId="7784"/>
    <cellStyle name="60% - 강조색6 2 3 4" xfId="7785"/>
    <cellStyle name="60% - 강조색6 2 3 5" xfId="20304"/>
    <cellStyle name="60% - 강조색6 2 4" xfId="7786"/>
    <cellStyle name="60% - 강조색6 2 4 2" xfId="20305"/>
    <cellStyle name="60% - 강조색6 2 5" xfId="7787"/>
    <cellStyle name="60% - 강조색6 2 6" xfId="7788"/>
    <cellStyle name="60% - 강조색6 2 6 2" xfId="20306"/>
    <cellStyle name="60% - 강조색6 2 7" xfId="7789"/>
    <cellStyle name="60% - 강조색6 2 7 2" xfId="20307"/>
    <cellStyle name="60% - 강조색6 2 8" xfId="7790"/>
    <cellStyle name="60% - 강조색6 2 9" xfId="7791"/>
    <cellStyle name="60% - 강조색6 20" xfId="7792"/>
    <cellStyle name="60% - 강조색6 20 2" xfId="7793"/>
    <cellStyle name="60% - 강조색6 20 3" xfId="7794"/>
    <cellStyle name="60% - 강조색6 20 4" xfId="7795"/>
    <cellStyle name="60% - 강조색6 20 5" xfId="7796"/>
    <cellStyle name="60% - 강조색6 21" xfId="7797"/>
    <cellStyle name="60% - 강조색6 21 2" xfId="7798"/>
    <cellStyle name="60% - 강조색6 21 3" xfId="7799"/>
    <cellStyle name="60% - 강조색6 21 4" xfId="7800"/>
    <cellStyle name="60% - 강조색6 21 5" xfId="7801"/>
    <cellStyle name="60% - 강조색6 22" xfId="7802"/>
    <cellStyle name="60% - 강조색6 22 2" xfId="7803"/>
    <cellStyle name="60% - 강조색6 22 3" xfId="7804"/>
    <cellStyle name="60% - 강조색6 22 4" xfId="7805"/>
    <cellStyle name="60% - 강조색6 22 5" xfId="7806"/>
    <cellStyle name="60% - 강조색6 23" xfId="7807"/>
    <cellStyle name="60% - 강조색6 23 2" xfId="7808"/>
    <cellStyle name="60% - 강조색6 24" xfId="7809"/>
    <cellStyle name="60% - 강조색6 24 2" xfId="7810"/>
    <cellStyle name="60% - 강조색6 25" xfId="7811"/>
    <cellStyle name="60% - 강조색6 26" xfId="7812"/>
    <cellStyle name="60% - 강조색6 27" xfId="18237"/>
    <cellStyle name="60% - 강조색6 3" xfId="7813"/>
    <cellStyle name="60% - 강조색6 3 2" xfId="7814"/>
    <cellStyle name="60% - 강조색6 3 2 2" xfId="7815"/>
    <cellStyle name="60% - 강조색6 3 2 2 2" xfId="7816"/>
    <cellStyle name="60% - 강조색6 3 2 2 3" xfId="7817"/>
    <cellStyle name="60% - 강조색6 3 2 3" xfId="7818"/>
    <cellStyle name="60% - 강조색6 3 2 4" xfId="7819"/>
    <cellStyle name="60% - 강조색6 3 3" xfId="7820"/>
    <cellStyle name="60% - 강조색6 3 3 2" xfId="20308"/>
    <cellStyle name="60% - 강조색6 3 4" xfId="7821"/>
    <cellStyle name="60% - 강조색6 3 4 2" xfId="7822"/>
    <cellStyle name="60% - 강조색6 3 4 3" xfId="7823"/>
    <cellStyle name="60% - 강조색6 3 4 4" xfId="20309"/>
    <cellStyle name="60% - 강조색6 3 5" xfId="7824"/>
    <cellStyle name="60% - 강조색6 4" xfId="7825"/>
    <cellStyle name="60% - 강조색6 4 2" xfId="7826"/>
    <cellStyle name="60% - 강조색6 4 3" xfId="7827"/>
    <cellStyle name="60% - 강조색6 5" xfId="7828"/>
    <cellStyle name="60% - 강조색6 5 2" xfId="7829"/>
    <cellStyle name="60% - 강조색6 5 2 2" xfId="7830"/>
    <cellStyle name="60% - 강조색6 5 2 2 2" xfId="7831"/>
    <cellStyle name="60% - 강조색6 5 2 3" xfId="7832"/>
    <cellStyle name="60% - 강조색6 6" xfId="7833"/>
    <cellStyle name="60% - 강조색6 6 2" xfId="7834"/>
    <cellStyle name="60% - 강조색6 6 2 2" xfId="7835"/>
    <cellStyle name="60% - 강조색6 6 2 2 2" xfId="7836"/>
    <cellStyle name="60% - 강조색6 6 2 3" xfId="7837"/>
    <cellStyle name="60% - 강조색6 7" xfId="7838"/>
    <cellStyle name="60% - 강조색6 7 2" xfId="7839"/>
    <cellStyle name="60% - 강조색6 7 2 2" xfId="7840"/>
    <cellStyle name="60% - 강조색6 7 2 2 2" xfId="7841"/>
    <cellStyle name="60% - 강조색6 7 2 3" xfId="7842"/>
    <cellStyle name="60% - 강조색6 8" xfId="7843"/>
    <cellStyle name="60% - 강조색6 8 2" xfId="7844"/>
    <cellStyle name="60% - 강조색6 8 2 2" xfId="7845"/>
    <cellStyle name="60% - 강조색6 8 2 2 2" xfId="7846"/>
    <cellStyle name="60% - 강조색6 8 2 3" xfId="7847"/>
    <cellStyle name="60% - 강조색6 9" xfId="7848"/>
    <cellStyle name="60% - 강조색6 9 2" xfId="7849"/>
    <cellStyle name="60% - 강조색6 9 2 2" xfId="7850"/>
    <cellStyle name="60% - 강조색6 9 2 2 2" xfId="7851"/>
    <cellStyle name="60% - 강조색6 9 2 2 2 2" xfId="21221"/>
    <cellStyle name="60% - 강조색6 9 2 3" xfId="7852"/>
    <cellStyle name="60% - 강조색6 9 2 4" xfId="7853"/>
    <cellStyle name="60% - 강조색6 9 3" xfId="7854"/>
    <cellStyle name="60% - 강조색6 9 4" xfId="7855"/>
    <cellStyle name="Accent1" xfId="7856"/>
    <cellStyle name="Accent2" xfId="7857"/>
    <cellStyle name="Accent3" xfId="7858"/>
    <cellStyle name="Accent4" xfId="7859"/>
    <cellStyle name="Accent5" xfId="7860"/>
    <cellStyle name="Accent6" xfId="7861"/>
    <cellStyle name="ÅëÈ­ [0]_´ë¿©±Ý" xfId="18243"/>
    <cellStyle name="AeE­ [0]_°øAa¸eA|½AA≫" xfId="20626"/>
    <cellStyle name="ÅëÈ­ [0]_INQUIRY ¿µ¾÷ÃßÁø " xfId="20625"/>
    <cellStyle name="AeE­ [0]_INQUIRY ¿μ¾÷AßAø " xfId="20623"/>
    <cellStyle name="ÅëÈ­_´ë¿©±Ý" xfId="20622"/>
    <cellStyle name="AeE­_°øAa¸eA|½AA≫" xfId="20620"/>
    <cellStyle name="ÅëÈ­_INQUIRY ¿µ¾÷ÃßÁø " xfId="20619"/>
    <cellStyle name="AeE­_INQUIRY ¿μ¾÷AßAø " xfId="20618"/>
    <cellStyle name="ÄÞ¸¶ [0]_´ë¿©±Ý" xfId="20617"/>
    <cellStyle name="AÞ¸¶ [0]_½CAuCoE² " xfId="20616"/>
    <cellStyle name="ÄÞ¸¶ [0]_INQUIRY ¿µ¾÷ÃßÁø " xfId="20615"/>
    <cellStyle name="AÞ¸¶ [0]_INQUIRY ¿μ¾÷AßAø " xfId="20614"/>
    <cellStyle name="ÄÞ¸¶_´ë¿©±Ý" xfId="20613"/>
    <cellStyle name="AÞ¸¶_½CAuCoE² " xfId="20612"/>
    <cellStyle name="ÄÞ¸¶_INQUIRY ¿µ¾÷ÃßÁø " xfId="20611"/>
    <cellStyle name="AÞ¸¶_INQUIRY ¿μ¾÷AßAø " xfId="20609"/>
    <cellStyle name="Bad" xfId="7862"/>
    <cellStyle name="Ç¥ÁØ_´ç¿ùÀÚ±Ý¼öÁö" xfId="20608"/>
    <cellStyle name="C￥AØ_¿μ¾÷CoE² " xfId="20607"/>
    <cellStyle name="Ç¥ÁØ_»ç¾÷ºÎº° ÃÑ°è " xfId="20606"/>
    <cellStyle name="C￥AØ_≫c¾÷ºIº° AN°e " xfId="20605"/>
    <cellStyle name="Ç¥ÁØ_0N-HANDLING " xfId="18241"/>
    <cellStyle name="C￥AØ_5-1±¤°i " xfId="20604"/>
    <cellStyle name="Ç¥ÁØ_5-1±¤°í " xfId="20603"/>
    <cellStyle name="C￥AØ_Æ÷ÆRCoE²" xfId="20602"/>
    <cellStyle name="Ç¥ÁØ_Áý°èÇ¥(2¿ù) " xfId="20601"/>
    <cellStyle name="C￥AØ_CoAo¹yAI °A¾×¿ⓒ½A " xfId="20600"/>
    <cellStyle name="Ç¥ÁØ_Sheet1_¿µ¾÷ÇöÈ² " xfId="20599"/>
    <cellStyle name="C￥AØ_Sheet1_¿μ¾÷CoE² " xfId="20596"/>
    <cellStyle name="Ç¥ÁØ_Sheet1_0N-HANDLING " xfId="20595"/>
    <cellStyle name="C￥AØ_Sheet1_Ay°eC￥(2¿u) " xfId="20588"/>
    <cellStyle name="Ç¥ÁØ_Sheet1_Áý°èÇ¥(2¿ù) " xfId="20592"/>
    <cellStyle name="Calculation" xfId="7863"/>
    <cellStyle name="Calculation 2" xfId="20680"/>
    <cellStyle name="Calculation 2 2" xfId="21222"/>
    <cellStyle name="Calculation 2 3" xfId="21223"/>
    <cellStyle name="Calculation 3" xfId="21224"/>
    <cellStyle name="Calculation 4" xfId="21225"/>
    <cellStyle name="category" xfId="20587"/>
    <cellStyle name="Check Cell" xfId="7864"/>
    <cellStyle name="choi" xfId="20586"/>
    <cellStyle name="comma" xfId="20585"/>
    <cellStyle name="Comma [0]" xfId="20584"/>
    <cellStyle name="Comma [0] 2" xfId="23070"/>
    <cellStyle name="Comma [0] 2 2" xfId="23071"/>
    <cellStyle name="comma zerodec" xfId="20583"/>
    <cellStyle name="Comma^ODCOS " xfId="20582"/>
    <cellStyle name="Comma_ SG&amp;A Bridge " xfId="7865"/>
    <cellStyle name="Currency [0]" xfId="20581"/>
    <cellStyle name="Currency [0]?1" xfId="19661"/>
    <cellStyle name="Currency [0]_ SG&amp;A Bridge " xfId="7866"/>
    <cellStyle name="Currency_ SG&amp;A Bridge " xfId="7867"/>
    <cellStyle name="Currency1" xfId="20580"/>
    <cellStyle name="d" xfId="20579"/>
    <cellStyle name="Date" xfId="20578"/>
    <cellStyle name="Dezimal [0]_laroux" xfId="20577"/>
    <cellStyle name="Dezimal_laroux" xfId="20574"/>
    <cellStyle name="Dollar (zero dec)" xfId="20573"/>
    <cellStyle name="Explanatory Text" xfId="7868"/>
    <cellStyle name="Fixed" xfId="20566"/>
    <cellStyle name="Good" xfId="7869"/>
    <cellStyle name="Grey" xfId="20570"/>
    <cellStyle name="HEADER" xfId="20565"/>
    <cellStyle name="Header1" xfId="20564"/>
    <cellStyle name="Header2" xfId="20563"/>
    <cellStyle name="Header2 2" xfId="21226"/>
    <cellStyle name="Header2 3" xfId="21227"/>
    <cellStyle name="Header2 4" xfId="21228"/>
    <cellStyle name="headerStyle" xfId="20672"/>
    <cellStyle name="Heading" xfId="20562"/>
    <cellStyle name="Heading 1" xfId="7870"/>
    <cellStyle name="Heading 2" xfId="7871"/>
    <cellStyle name="Heading 3" xfId="7872"/>
    <cellStyle name="Heading 4" xfId="7873"/>
    <cellStyle name="HEADING1" xfId="20561"/>
    <cellStyle name="HEADING2" xfId="20560"/>
    <cellStyle name="Horizontal" xfId="20559"/>
    <cellStyle name="Input" xfId="7874"/>
    <cellStyle name="Input [yellow]" xfId="20558"/>
    <cellStyle name="Input [yellow] 2" xfId="21229"/>
    <cellStyle name="Input [yellow] 3" xfId="21230"/>
    <cellStyle name="Input [yellow] 4" xfId="21231"/>
    <cellStyle name="Input 2" xfId="20681"/>
    <cellStyle name="Input 2 2" xfId="21232"/>
    <cellStyle name="Input 2 3" xfId="21233"/>
    <cellStyle name="Input 3" xfId="21234"/>
    <cellStyle name="Input 4" xfId="21235"/>
    <cellStyle name="Linked Cell" xfId="7875"/>
    <cellStyle name="ŀ䅀᠀ŀŀ䅀᠀ŀŀ䅀᠀ŀŀ䅀᠀ŀŀ䅀᠀ŀŀ䅀᠀ŀ" xfId="19660"/>
    <cellStyle name="ŀ䅀਀ŀŀ䅀᠀ŀŀ䅀਀ŀŀ䅀᠀ŀŀ䅀᠀ŀŀ䅀᠀ŀŀ䅀᠀ŀŀ䅀᠀ŀŀ䅀᠀ŀŀ䅀᠀ŀŀ䅀᠀ŀ" xfId="20557"/>
    <cellStyle name="Matrix" xfId="20556"/>
    <cellStyle name="Model" xfId="20555"/>
    <cellStyle name="Neutral" xfId="7876"/>
    <cellStyle name="NEW" xfId="20552"/>
    <cellStyle name="Normal - Style1" xfId="20551"/>
    <cellStyle name="Normal 2" xfId="23069"/>
    <cellStyle name="Normal_ SG&amp;A Bridge " xfId="7877"/>
    <cellStyle name="Note" xfId="7878"/>
    <cellStyle name="Note 2" xfId="7879"/>
    <cellStyle name="Note 2 2" xfId="20683"/>
    <cellStyle name="Note 2 2 2" xfId="21236"/>
    <cellStyle name="Note 2 2 3" xfId="21237"/>
    <cellStyle name="Note 2 3" xfId="21238"/>
    <cellStyle name="Note 2 4" xfId="21239"/>
    <cellStyle name="Note 3" xfId="20682"/>
    <cellStyle name="Note 3 2" xfId="21240"/>
    <cellStyle name="Note 3 3" xfId="21241"/>
    <cellStyle name="Note 4" xfId="21242"/>
    <cellStyle name="Note 5" xfId="21243"/>
    <cellStyle name="Option" xfId="20548"/>
    <cellStyle name="OptionHeading" xfId="19692"/>
    <cellStyle name="Output" xfId="7880"/>
    <cellStyle name="Output 2" xfId="20684"/>
    <cellStyle name="Output 2 2" xfId="21244"/>
    <cellStyle name="Output 2 3" xfId="21245"/>
    <cellStyle name="Output 3" xfId="21246"/>
    <cellStyle name="Output 4" xfId="21247"/>
    <cellStyle name="Output Amounts" xfId="20544"/>
    <cellStyle name="Output Column Headings" xfId="20543"/>
    <cellStyle name="Output Line Items" xfId="20542"/>
    <cellStyle name="Output Report Heading" xfId="20541"/>
    <cellStyle name="Percent [2]" xfId="20540"/>
    <cellStyle name="Percent_laroux" xfId="20539"/>
    <cellStyle name="Standard_laroux" xfId="20536"/>
    <cellStyle name="Style 22" xfId="7881"/>
    <cellStyle name="Style 23" xfId="7882"/>
    <cellStyle name="Style 24" xfId="7883"/>
    <cellStyle name="Style 25" xfId="7884"/>
    <cellStyle name="Style 25 2" xfId="21248"/>
    <cellStyle name="Style 25 3" xfId="21249"/>
    <cellStyle name="Style 25 4" xfId="21250"/>
    <cellStyle name="Style 26" xfId="7885"/>
    <cellStyle name="Style 26 2" xfId="21251"/>
    <cellStyle name="Style 26 3" xfId="21252"/>
    <cellStyle name="Style 26 4" xfId="21253"/>
    <cellStyle name="Style 27" xfId="7886"/>
    <cellStyle name="Style 27 2" xfId="21254"/>
    <cellStyle name="Style 27 3" xfId="21255"/>
    <cellStyle name="Style 27 4" xfId="21256"/>
    <cellStyle name="Style 28" xfId="7887"/>
    <cellStyle name="Style 28 2" xfId="21257"/>
    <cellStyle name="Style 28 3" xfId="21258"/>
    <cellStyle name="Style 28 4" xfId="21259"/>
    <cellStyle name="Style 29" xfId="7888"/>
    <cellStyle name="Style 29 2" xfId="21260"/>
    <cellStyle name="Style 29 3" xfId="21261"/>
    <cellStyle name="Style 29 4" xfId="21262"/>
    <cellStyle name="Style 30" xfId="7889"/>
    <cellStyle name="Style 30 2" xfId="21263"/>
    <cellStyle name="Style 30 3" xfId="21264"/>
    <cellStyle name="Style 30 4" xfId="21265"/>
    <cellStyle name="subhead" xfId="20535"/>
    <cellStyle name="Table Heading" xfId="7890"/>
    <cellStyle name="Title" xfId="7891"/>
    <cellStyle name="Total" xfId="7892"/>
    <cellStyle name="Total 2" xfId="20528"/>
    <cellStyle name="Total 3" xfId="20685"/>
    <cellStyle name="Total 3 2" xfId="21266"/>
    <cellStyle name="Total 3 3" xfId="21267"/>
    <cellStyle name="Total 4" xfId="21268"/>
    <cellStyle name="Total 5" xfId="21269"/>
    <cellStyle name="Vertical" xfId="20532"/>
    <cellStyle name="Währung [0]_laroux" xfId="19695"/>
    <cellStyle name="Währung_laroux" xfId="20527"/>
    <cellStyle name="Warning Text" xfId="7893"/>
    <cellStyle name="강조색1" xfId="18" builtinId="29" customBuiltin="1"/>
    <cellStyle name="강조색1 10" xfId="7894"/>
    <cellStyle name="강조색1 10 2" xfId="7895"/>
    <cellStyle name="강조색1 10 3" xfId="7896"/>
    <cellStyle name="강조색1 10 3 2" xfId="7897"/>
    <cellStyle name="강조색1 10 4" xfId="7898"/>
    <cellStyle name="강조색1 11" xfId="7899"/>
    <cellStyle name="강조색1 11 2" xfId="7900"/>
    <cellStyle name="강조색1 11 2 2" xfId="7901"/>
    <cellStyle name="강조색1 11 2 2 2" xfId="7902"/>
    <cellStyle name="강조색1 11 2 3" xfId="7903"/>
    <cellStyle name="강조색1 11 3" xfId="7904"/>
    <cellStyle name="강조색1 11 3 2" xfId="7905"/>
    <cellStyle name="강조색1 11 4" xfId="7906"/>
    <cellStyle name="강조색1 11 5" xfId="7907"/>
    <cellStyle name="강조색1 12" xfId="7908"/>
    <cellStyle name="강조색1 12 2" xfId="7909"/>
    <cellStyle name="강조색1 12 2 2" xfId="7910"/>
    <cellStyle name="강조색1 12 2 2 2" xfId="7911"/>
    <cellStyle name="강조색1 12 2 3" xfId="7912"/>
    <cellStyle name="강조색1 12 3" xfId="7913"/>
    <cellStyle name="강조색1 12 3 2" xfId="7914"/>
    <cellStyle name="강조색1 12 4" xfId="7915"/>
    <cellStyle name="강조색1 12 5" xfId="7916"/>
    <cellStyle name="강조색1 13" xfId="7917"/>
    <cellStyle name="강조색1 13 2" xfId="7918"/>
    <cellStyle name="강조색1 13 2 2" xfId="7919"/>
    <cellStyle name="강조색1 13 2 2 2" xfId="7920"/>
    <cellStyle name="강조색1 13 2 2 2 2" xfId="21270"/>
    <cellStyle name="강조색1 13 2 3" xfId="7921"/>
    <cellStyle name="강조색1 13 3" xfId="7922"/>
    <cellStyle name="강조색1 13 3 2" xfId="7923"/>
    <cellStyle name="강조색1 13 3 2 2" xfId="7924"/>
    <cellStyle name="강조색1 13 3 3" xfId="7925"/>
    <cellStyle name="강조색1 13 4" xfId="7926"/>
    <cellStyle name="강조색1 13 4 2" xfId="7927"/>
    <cellStyle name="강조색1 13 5" xfId="7928"/>
    <cellStyle name="강조색1 14" xfId="7929"/>
    <cellStyle name="강조색1 14 2" xfId="7930"/>
    <cellStyle name="강조색1 14 3" xfId="7931"/>
    <cellStyle name="강조색1 14 4" xfId="7932"/>
    <cellStyle name="강조색1 14 5" xfId="7933"/>
    <cellStyle name="강조색1 15" xfId="7934"/>
    <cellStyle name="강조색1 15 2" xfId="7935"/>
    <cellStyle name="강조색1 15 3" xfId="7936"/>
    <cellStyle name="강조색1 15 4" xfId="7937"/>
    <cellStyle name="강조색1 15 5" xfId="7938"/>
    <cellStyle name="강조색1 16" xfId="7939"/>
    <cellStyle name="강조색1 16 2" xfId="7940"/>
    <cellStyle name="강조색1 16 3" xfId="7941"/>
    <cellStyle name="강조색1 16 4" xfId="7942"/>
    <cellStyle name="강조색1 16 5" xfId="7943"/>
    <cellStyle name="강조색1 17" xfId="7944"/>
    <cellStyle name="강조색1 17 2" xfId="7945"/>
    <cellStyle name="강조색1 17 2 2" xfId="21271"/>
    <cellStyle name="강조색1 17 3" xfId="7946"/>
    <cellStyle name="강조색1 17 4" xfId="7947"/>
    <cellStyle name="강조색1 17 5" xfId="7948"/>
    <cellStyle name="강조색1 17 6" xfId="20659"/>
    <cellStyle name="강조색1 18" xfId="7949"/>
    <cellStyle name="강조색1 18 2" xfId="7950"/>
    <cellStyle name="강조색1 18 3" xfId="7951"/>
    <cellStyle name="강조색1 18 4" xfId="7952"/>
    <cellStyle name="강조색1 18 5" xfId="7953"/>
    <cellStyle name="강조색1 19" xfId="7954"/>
    <cellStyle name="강조색1 19 2" xfId="7955"/>
    <cellStyle name="강조색1 19 3" xfId="7956"/>
    <cellStyle name="강조색1 19 4" xfId="7957"/>
    <cellStyle name="강조색1 19 5" xfId="7958"/>
    <cellStyle name="강조색1 2" xfId="7959"/>
    <cellStyle name="강조색1 2 10" xfId="7960"/>
    <cellStyle name="강조색1 2 11" xfId="7961"/>
    <cellStyle name="강조색1 2 12" xfId="19680"/>
    <cellStyle name="강조색1 2 2" xfId="7962"/>
    <cellStyle name="강조색1 2 2 2" xfId="7963"/>
    <cellStyle name="강조색1 2 2 2 2" xfId="7964"/>
    <cellStyle name="강조색1 2 2 2 3" xfId="7965"/>
    <cellStyle name="강조색1 2 2 3" xfId="7966"/>
    <cellStyle name="강조색1 2 2 4" xfId="7967"/>
    <cellStyle name="강조색1 2 2 5" xfId="20310"/>
    <cellStyle name="강조색1 2 3" xfId="7968"/>
    <cellStyle name="강조색1 2 3 2" xfId="7969"/>
    <cellStyle name="강조색1 2 3 2 2" xfId="7970"/>
    <cellStyle name="강조색1 2 3 2 2 2" xfId="7971"/>
    <cellStyle name="강조색1 2 3 2 2 2 2" xfId="21272"/>
    <cellStyle name="강조색1 2 3 2 3" xfId="7972"/>
    <cellStyle name="강조색1 2 3 3" xfId="7973"/>
    <cellStyle name="강조색1 2 3 3 2" xfId="7974"/>
    <cellStyle name="강조색1 2 3 4" xfId="7975"/>
    <cellStyle name="강조색1 2 3 5" xfId="20311"/>
    <cellStyle name="강조색1 2 4" xfId="7976"/>
    <cellStyle name="강조색1 2 4 2" xfId="20312"/>
    <cellStyle name="강조색1 2 5" xfId="7977"/>
    <cellStyle name="강조색1 2 6" xfId="7978"/>
    <cellStyle name="강조색1 2 6 2" xfId="20313"/>
    <cellStyle name="강조색1 2 7" xfId="7979"/>
    <cellStyle name="강조색1 2 7 2" xfId="20314"/>
    <cellStyle name="강조색1 2 8" xfId="7980"/>
    <cellStyle name="강조색1 2 9" xfId="7981"/>
    <cellStyle name="강조색1 20" xfId="7982"/>
    <cellStyle name="강조색1 20 2" xfId="7983"/>
    <cellStyle name="강조색1 20 3" xfId="7984"/>
    <cellStyle name="강조색1 20 4" xfId="7985"/>
    <cellStyle name="강조색1 20 5" xfId="7986"/>
    <cellStyle name="강조색1 21" xfId="7987"/>
    <cellStyle name="강조색1 21 2" xfId="7988"/>
    <cellStyle name="강조색1 21 3" xfId="7989"/>
    <cellStyle name="강조색1 21 4" xfId="7990"/>
    <cellStyle name="강조색1 21 5" xfId="7991"/>
    <cellStyle name="강조색1 22" xfId="7992"/>
    <cellStyle name="강조색1 22 2" xfId="7993"/>
    <cellStyle name="강조색1 22 3" xfId="7994"/>
    <cellStyle name="강조색1 22 4" xfId="7995"/>
    <cellStyle name="강조색1 22 5" xfId="7996"/>
    <cellStyle name="강조색1 23" xfId="7997"/>
    <cellStyle name="강조색1 23 2" xfId="7998"/>
    <cellStyle name="강조색1 24" xfId="7999"/>
    <cellStyle name="강조색1 24 2" xfId="8000"/>
    <cellStyle name="강조색1 25" xfId="8001"/>
    <cellStyle name="강조색1 26" xfId="8002"/>
    <cellStyle name="강조색1 27" xfId="18214"/>
    <cellStyle name="강조색1 3" xfId="8003"/>
    <cellStyle name="강조색1 3 2" xfId="8004"/>
    <cellStyle name="강조색1 3 2 2" xfId="8005"/>
    <cellStyle name="강조색1 3 2 2 2" xfId="8006"/>
    <cellStyle name="강조색1 3 2 2 3" xfId="8007"/>
    <cellStyle name="강조색1 3 2 3" xfId="8008"/>
    <cellStyle name="강조색1 3 2 4" xfId="8009"/>
    <cellStyle name="강조색1 3 3" xfId="8010"/>
    <cellStyle name="강조색1 3 3 2" xfId="20315"/>
    <cellStyle name="강조색1 3 4" xfId="8011"/>
    <cellStyle name="강조색1 3 4 2" xfId="8012"/>
    <cellStyle name="강조색1 3 4 3" xfId="8013"/>
    <cellStyle name="강조색1 3 4 4" xfId="20316"/>
    <cellStyle name="강조색1 3 5" xfId="8014"/>
    <cellStyle name="강조색1 4" xfId="8015"/>
    <cellStyle name="강조색1 4 2" xfId="8016"/>
    <cellStyle name="강조색1 4 3" xfId="8017"/>
    <cellStyle name="강조색1 5" xfId="8018"/>
    <cellStyle name="강조색1 5 2" xfId="8019"/>
    <cellStyle name="강조색1 5 2 2" xfId="8020"/>
    <cellStyle name="강조색1 5 2 2 2" xfId="8021"/>
    <cellStyle name="강조색1 5 2 3" xfId="8022"/>
    <cellStyle name="강조색1 6" xfId="8023"/>
    <cellStyle name="강조색1 6 2" xfId="8024"/>
    <cellStyle name="강조색1 6 2 2" xfId="8025"/>
    <cellStyle name="강조색1 6 2 2 2" xfId="8026"/>
    <cellStyle name="강조색1 6 2 3" xfId="8027"/>
    <cellStyle name="강조색1 7" xfId="8028"/>
    <cellStyle name="강조색1 7 2" xfId="8029"/>
    <cellStyle name="강조색1 7 2 2" xfId="8030"/>
    <cellStyle name="강조색1 7 2 2 2" xfId="8031"/>
    <cellStyle name="강조색1 7 2 3" xfId="8032"/>
    <cellStyle name="강조색1 8" xfId="8033"/>
    <cellStyle name="강조색1 8 2" xfId="8034"/>
    <cellStyle name="강조색1 8 2 2" xfId="8035"/>
    <cellStyle name="강조색1 8 2 2 2" xfId="8036"/>
    <cellStyle name="강조색1 8 2 3" xfId="8037"/>
    <cellStyle name="강조색1 9" xfId="8038"/>
    <cellStyle name="강조색1 9 2" xfId="8039"/>
    <cellStyle name="강조색1 9 2 2" xfId="8040"/>
    <cellStyle name="강조색1 9 2 2 2" xfId="8041"/>
    <cellStyle name="강조색1 9 2 2 2 2" xfId="21273"/>
    <cellStyle name="강조색1 9 2 3" xfId="8042"/>
    <cellStyle name="강조색1 9 2 4" xfId="8043"/>
    <cellStyle name="강조색1 9 3" xfId="8044"/>
    <cellStyle name="강조색1 9 4" xfId="8045"/>
    <cellStyle name="강조색2" xfId="22" builtinId="33" customBuiltin="1"/>
    <cellStyle name="강조색2 10" xfId="8046"/>
    <cellStyle name="강조색2 10 2" xfId="8047"/>
    <cellStyle name="강조색2 10 3" xfId="8048"/>
    <cellStyle name="강조색2 10 3 2" xfId="8049"/>
    <cellStyle name="강조색2 10 4" xfId="8050"/>
    <cellStyle name="강조색2 11" xfId="8051"/>
    <cellStyle name="강조색2 11 2" xfId="8052"/>
    <cellStyle name="강조색2 11 2 2" xfId="8053"/>
    <cellStyle name="강조색2 11 2 2 2" xfId="8054"/>
    <cellStyle name="강조색2 11 2 3" xfId="8055"/>
    <cellStyle name="강조색2 11 3" xfId="8056"/>
    <cellStyle name="강조색2 11 3 2" xfId="8057"/>
    <cellStyle name="강조색2 11 4" xfId="8058"/>
    <cellStyle name="강조색2 11 5" xfId="8059"/>
    <cellStyle name="강조색2 12" xfId="8060"/>
    <cellStyle name="강조색2 12 2" xfId="8061"/>
    <cellStyle name="강조색2 12 2 2" xfId="8062"/>
    <cellStyle name="강조색2 12 2 2 2" xfId="8063"/>
    <cellStyle name="강조색2 12 2 3" xfId="8064"/>
    <cellStyle name="강조색2 12 3" xfId="8065"/>
    <cellStyle name="강조색2 12 3 2" xfId="8066"/>
    <cellStyle name="강조색2 12 4" xfId="8067"/>
    <cellStyle name="강조색2 12 5" xfId="8068"/>
    <cellStyle name="강조색2 13" xfId="8069"/>
    <cellStyle name="강조색2 13 2" xfId="8070"/>
    <cellStyle name="강조색2 13 2 2" xfId="8071"/>
    <cellStyle name="강조색2 13 2 2 2" xfId="8072"/>
    <cellStyle name="강조색2 13 2 2 2 2" xfId="21274"/>
    <cellStyle name="강조색2 13 2 3" xfId="8073"/>
    <cellStyle name="강조색2 13 3" xfId="8074"/>
    <cellStyle name="강조색2 13 3 2" xfId="8075"/>
    <cellStyle name="강조색2 13 3 2 2" xfId="8076"/>
    <cellStyle name="강조색2 13 3 3" xfId="8077"/>
    <cellStyle name="강조색2 13 4" xfId="8078"/>
    <cellStyle name="강조색2 13 4 2" xfId="8079"/>
    <cellStyle name="강조색2 13 5" xfId="8080"/>
    <cellStyle name="강조색2 14" xfId="8081"/>
    <cellStyle name="강조색2 14 2" xfId="8082"/>
    <cellStyle name="강조색2 14 3" xfId="8083"/>
    <cellStyle name="강조색2 14 4" xfId="8084"/>
    <cellStyle name="강조색2 14 5" xfId="8085"/>
    <cellStyle name="강조색2 15" xfId="8086"/>
    <cellStyle name="강조색2 15 2" xfId="8087"/>
    <cellStyle name="강조색2 15 3" xfId="8088"/>
    <cellStyle name="강조색2 15 4" xfId="8089"/>
    <cellStyle name="강조색2 15 5" xfId="8090"/>
    <cellStyle name="강조색2 16" xfId="8091"/>
    <cellStyle name="강조색2 16 2" xfId="8092"/>
    <cellStyle name="강조색2 16 3" xfId="8093"/>
    <cellStyle name="강조색2 16 4" xfId="8094"/>
    <cellStyle name="강조색2 16 5" xfId="8095"/>
    <cellStyle name="강조색2 17" xfId="8096"/>
    <cellStyle name="강조색2 17 2" xfId="8097"/>
    <cellStyle name="강조색2 17 2 2" xfId="21275"/>
    <cellStyle name="강조색2 17 3" xfId="8098"/>
    <cellStyle name="강조색2 17 4" xfId="8099"/>
    <cellStyle name="강조색2 17 5" xfId="8100"/>
    <cellStyle name="강조색2 17 6" xfId="20661"/>
    <cellStyle name="강조색2 18" xfId="8101"/>
    <cellStyle name="강조색2 18 2" xfId="8102"/>
    <cellStyle name="강조색2 18 3" xfId="8103"/>
    <cellStyle name="강조색2 18 4" xfId="8104"/>
    <cellStyle name="강조색2 18 5" xfId="8105"/>
    <cellStyle name="강조색2 19" xfId="8106"/>
    <cellStyle name="강조색2 19 2" xfId="8107"/>
    <cellStyle name="강조색2 19 3" xfId="8108"/>
    <cellStyle name="강조색2 19 4" xfId="8109"/>
    <cellStyle name="강조색2 19 5" xfId="8110"/>
    <cellStyle name="강조색2 2" xfId="8111"/>
    <cellStyle name="강조색2 2 10" xfId="8112"/>
    <cellStyle name="강조색2 2 11" xfId="8113"/>
    <cellStyle name="강조색2 2 12" xfId="19681"/>
    <cellStyle name="강조색2 2 2" xfId="8114"/>
    <cellStyle name="강조색2 2 2 2" xfId="8115"/>
    <cellStyle name="강조색2 2 2 2 2" xfId="8116"/>
    <cellStyle name="강조색2 2 2 2 3" xfId="8117"/>
    <cellStyle name="강조색2 2 2 3" xfId="8118"/>
    <cellStyle name="강조색2 2 2 4" xfId="8119"/>
    <cellStyle name="강조색2 2 2 5" xfId="20317"/>
    <cellStyle name="강조색2 2 3" xfId="8120"/>
    <cellStyle name="강조색2 2 3 2" xfId="8121"/>
    <cellStyle name="강조색2 2 3 2 2" xfId="8122"/>
    <cellStyle name="강조색2 2 3 2 2 2" xfId="8123"/>
    <cellStyle name="강조색2 2 3 2 2 2 2" xfId="21276"/>
    <cellStyle name="강조색2 2 3 2 3" xfId="8124"/>
    <cellStyle name="강조색2 2 3 3" xfId="8125"/>
    <cellStyle name="강조색2 2 3 3 2" xfId="8126"/>
    <cellStyle name="강조색2 2 3 4" xfId="8127"/>
    <cellStyle name="강조색2 2 3 5" xfId="20318"/>
    <cellStyle name="강조색2 2 4" xfId="8128"/>
    <cellStyle name="강조색2 2 4 2" xfId="20319"/>
    <cellStyle name="강조색2 2 5" xfId="8129"/>
    <cellStyle name="강조색2 2 6" xfId="8130"/>
    <cellStyle name="강조색2 2 6 2" xfId="20320"/>
    <cellStyle name="강조색2 2 7" xfId="8131"/>
    <cellStyle name="강조색2 2 7 2" xfId="20321"/>
    <cellStyle name="강조색2 2 8" xfId="8132"/>
    <cellStyle name="강조색2 2 9" xfId="8133"/>
    <cellStyle name="강조색2 20" xfId="8134"/>
    <cellStyle name="강조색2 20 2" xfId="8135"/>
    <cellStyle name="강조색2 20 3" xfId="8136"/>
    <cellStyle name="강조색2 20 4" xfId="8137"/>
    <cellStyle name="강조색2 20 5" xfId="8138"/>
    <cellStyle name="강조색2 21" xfId="8139"/>
    <cellStyle name="강조색2 21 2" xfId="8140"/>
    <cellStyle name="강조색2 21 3" xfId="8141"/>
    <cellStyle name="강조색2 21 4" xfId="8142"/>
    <cellStyle name="강조색2 21 5" xfId="8143"/>
    <cellStyle name="강조색2 22" xfId="8144"/>
    <cellStyle name="강조색2 22 2" xfId="8145"/>
    <cellStyle name="강조색2 22 3" xfId="8146"/>
    <cellStyle name="강조색2 22 4" xfId="8147"/>
    <cellStyle name="강조색2 22 5" xfId="8148"/>
    <cellStyle name="강조색2 23" xfId="8149"/>
    <cellStyle name="강조색2 23 2" xfId="8150"/>
    <cellStyle name="강조색2 24" xfId="8151"/>
    <cellStyle name="강조색2 24 2" xfId="8152"/>
    <cellStyle name="강조색2 25" xfId="8153"/>
    <cellStyle name="강조색2 26" xfId="8154"/>
    <cellStyle name="강조색2 27" xfId="18218"/>
    <cellStyle name="강조색2 3" xfId="8155"/>
    <cellStyle name="강조색2 3 2" xfId="8156"/>
    <cellStyle name="강조색2 3 2 2" xfId="8157"/>
    <cellStyle name="강조색2 3 2 2 2" xfId="8158"/>
    <cellStyle name="강조색2 3 2 2 3" xfId="8159"/>
    <cellStyle name="강조색2 3 2 3" xfId="8160"/>
    <cellStyle name="강조색2 3 2 4" xfId="8161"/>
    <cellStyle name="강조색2 3 3" xfId="8162"/>
    <cellStyle name="강조색2 3 3 2" xfId="20322"/>
    <cellStyle name="강조색2 3 4" xfId="8163"/>
    <cellStyle name="강조색2 3 4 2" xfId="8164"/>
    <cellStyle name="강조색2 3 4 3" xfId="8165"/>
    <cellStyle name="강조색2 3 4 4" xfId="20323"/>
    <cellStyle name="강조색2 3 5" xfId="8166"/>
    <cellStyle name="강조색2 4" xfId="8167"/>
    <cellStyle name="강조색2 4 2" xfId="8168"/>
    <cellStyle name="강조색2 4 3" xfId="8169"/>
    <cellStyle name="강조색2 5" xfId="8170"/>
    <cellStyle name="강조색2 5 2" xfId="8171"/>
    <cellStyle name="강조색2 5 2 2" xfId="8172"/>
    <cellStyle name="강조색2 5 2 2 2" xfId="8173"/>
    <cellStyle name="강조색2 5 2 3" xfId="8174"/>
    <cellStyle name="강조색2 6" xfId="8175"/>
    <cellStyle name="강조색2 6 2" xfId="8176"/>
    <cellStyle name="강조색2 6 2 2" xfId="8177"/>
    <cellStyle name="강조색2 6 2 2 2" xfId="8178"/>
    <cellStyle name="강조색2 6 2 3" xfId="8179"/>
    <cellStyle name="강조색2 7" xfId="8180"/>
    <cellStyle name="강조색2 7 2" xfId="8181"/>
    <cellStyle name="강조색2 7 2 2" xfId="8182"/>
    <cellStyle name="강조색2 7 2 2 2" xfId="8183"/>
    <cellStyle name="강조색2 7 2 3" xfId="8184"/>
    <cellStyle name="강조색2 8" xfId="8185"/>
    <cellStyle name="강조색2 8 2" xfId="8186"/>
    <cellStyle name="강조색2 8 2 2" xfId="8187"/>
    <cellStyle name="강조색2 8 2 2 2" xfId="8188"/>
    <cellStyle name="강조색2 8 2 3" xfId="8189"/>
    <cellStyle name="강조색2 9" xfId="8190"/>
    <cellStyle name="강조색2 9 2" xfId="8191"/>
    <cellStyle name="강조색2 9 2 2" xfId="8192"/>
    <cellStyle name="강조색2 9 2 2 2" xfId="8193"/>
    <cellStyle name="강조색2 9 2 2 2 2" xfId="21277"/>
    <cellStyle name="강조색2 9 2 3" xfId="8194"/>
    <cellStyle name="강조색2 9 2 4" xfId="8195"/>
    <cellStyle name="강조색2 9 3" xfId="8196"/>
    <cellStyle name="강조색2 9 4" xfId="8197"/>
    <cellStyle name="강조색3" xfId="26" builtinId="37" customBuiltin="1"/>
    <cellStyle name="강조색3 10" xfId="8198"/>
    <cellStyle name="강조색3 10 2" xfId="8199"/>
    <cellStyle name="강조색3 10 3" xfId="8200"/>
    <cellStyle name="강조색3 10 3 2" xfId="8201"/>
    <cellStyle name="강조색3 10 4" xfId="8202"/>
    <cellStyle name="강조색3 11" xfId="8203"/>
    <cellStyle name="강조색3 11 2" xfId="8204"/>
    <cellStyle name="강조색3 11 2 2" xfId="8205"/>
    <cellStyle name="강조색3 11 2 2 2" xfId="8206"/>
    <cellStyle name="강조색3 11 2 3" xfId="8207"/>
    <cellStyle name="강조색3 11 3" xfId="8208"/>
    <cellStyle name="강조색3 11 3 2" xfId="8209"/>
    <cellStyle name="강조색3 11 4" xfId="8210"/>
    <cellStyle name="강조색3 11 5" xfId="8211"/>
    <cellStyle name="강조색3 12" xfId="8212"/>
    <cellStyle name="강조색3 12 2" xfId="8213"/>
    <cellStyle name="강조색3 12 2 2" xfId="8214"/>
    <cellStyle name="강조색3 12 2 2 2" xfId="8215"/>
    <cellStyle name="강조색3 12 2 3" xfId="8216"/>
    <cellStyle name="강조색3 12 3" xfId="8217"/>
    <cellStyle name="강조색3 12 3 2" xfId="8218"/>
    <cellStyle name="강조색3 12 4" xfId="8219"/>
    <cellStyle name="강조색3 12 5" xfId="8220"/>
    <cellStyle name="강조색3 13" xfId="8221"/>
    <cellStyle name="강조색3 13 2" xfId="8222"/>
    <cellStyle name="강조색3 13 2 2" xfId="8223"/>
    <cellStyle name="강조색3 13 2 2 2" xfId="8224"/>
    <cellStyle name="강조색3 13 2 2 2 2" xfId="21278"/>
    <cellStyle name="강조색3 13 2 3" xfId="8225"/>
    <cellStyle name="강조색3 13 3" xfId="8226"/>
    <cellStyle name="강조색3 13 3 2" xfId="8227"/>
    <cellStyle name="강조색3 13 3 2 2" xfId="8228"/>
    <cellStyle name="강조색3 13 3 3" xfId="8229"/>
    <cellStyle name="강조색3 13 4" xfId="8230"/>
    <cellStyle name="강조색3 13 4 2" xfId="8231"/>
    <cellStyle name="강조색3 13 5" xfId="8232"/>
    <cellStyle name="강조색3 14" xfId="8233"/>
    <cellStyle name="강조색3 14 2" xfId="8234"/>
    <cellStyle name="강조색3 14 3" xfId="8235"/>
    <cellStyle name="강조색3 14 4" xfId="8236"/>
    <cellStyle name="강조색3 14 5" xfId="8237"/>
    <cellStyle name="강조색3 15" xfId="8238"/>
    <cellStyle name="강조색3 15 2" xfId="8239"/>
    <cellStyle name="강조색3 15 3" xfId="8240"/>
    <cellStyle name="강조색3 15 4" xfId="8241"/>
    <cellStyle name="강조색3 15 5" xfId="8242"/>
    <cellStyle name="강조색3 16" xfId="8243"/>
    <cellStyle name="강조색3 16 2" xfId="8244"/>
    <cellStyle name="강조색3 16 3" xfId="8245"/>
    <cellStyle name="강조색3 16 4" xfId="8246"/>
    <cellStyle name="강조색3 16 5" xfId="8247"/>
    <cellStyle name="강조색3 17" xfId="8248"/>
    <cellStyle name="강조색3 17 2" xfId="8249"/>
    <cellStyle name="강조색3 17 2 2" xfId="21279"/>
    <cellStyle name="강조색3 17 3" xfId="8250"/>
    <cellStyle name="강조색3 17 4" xfId="8251"/>
    <cellStyle name="강조색3 17 5" xfId="8252"/>
    <cellStyle name="강조색3 17 6" xfId="20663"/>
    <cellStyle name="강조색3 18" xfId="8253"/>
    <cellStyle name="강조색3 18 2" xfId="8254"/>
    <cellStyle name="강조색3 18 3" xfId="8255"/>
    <cellStyle name="강조색3 18 4" xfId="8256"/>
    <cellStyle name="강조색3 18 5" xfId="8257"/>
    <cellStyle name="강조색3 19" xfId="8258"/>
    <cellStyle name="강조색3 19 2" xfId="8259"/>
    <cellStyle name="강조색3 19 3" xfId="8260"/>
    <cellStyle name="강조색3 19 4" xfId="8261"/>
    <cellStyle name="강조색3 19 5" xfId="8262"/>
    <cellStyle name="강조색3 2" xfId="8263"/>
    <cellStyle name="강조색3 2 10" xfId="8264"/>
    <cellStyle name="강조색3 2 11" xfId="8265"/>
    <cellStyle name="강조색3 2 12" xfId="19682"/>
    <cellStyle name="강조색3 2 2" xfId="8266"/>
    <cellStyle name="강조색3 2 2 2" xfId="8267"/>
    <cellStyle name="강조색3 2 2 2 2" xfId="8268"/>
    <cellStyle name="강조색3 2 2 2 3" xfId="8269"/>
    <cellStyle name="강조색3 2 2 3" xfId="8270"/>
    <cellStyle name="강조색3 2 2 4" xfId="8271"/>
    <cellStyle name="강조색3 2 2 5" xfId="20324"/>
    <cellStyle name="강조색3 2 3" xfId="8272"/>
    <cellStyle name="강조색3 2 3 2" xfId="8273"/>
    <cellStyle name="강조색3 2 3 2 2" xfId="8274"/>
    <cellStyle name="강조색3 2 3 2 2 2" xfId="8275"/>
    <cellStyle name="강조색3 2 3 2 2 2 2" xfId="21280"/>
    <cellStyle name="강조색3 2 3 2 3" xfId="8276"/>
    <cellStyle name="강조색3 2 3 3" xfId="8277"/>
    <cellStyle name="강조색3 2 3 3 2" xfId="8278"/>
    <cellStyle name="강조색3 2 3 4" xfId="8279"/>
    <cellStyle name="강조색3 2 3 5" xfId="20325"/>
    <cellStyle name="강조색3 2 4" xfId="8280"/>
    <cellStyle name="강조색3 2 4 2" xfId="20326"/>
    <cellStyle name="강조색3 2 5" xfId="8281"/>
    <cellStyle name="강조색3 2 6" xfId="8282"/>
    <cellStyle name="강조색3 2 6 2" xfId="20327"/>
    <cellStyle name="강조색3 2 7" xfId="8283"/>
    <cellStyle name="강조색3 2 7 2" xfId="20328"/>
    <cellStyle name="강조색3 2 8" xfId="8284"/>
    <cellStyle name="강조색3 2 9" xfId="8285"/>
    <cellStyle name="강조색3 20" xfId="8286"/>
    <cellStyle name="강조색3 20 2" xfId="8287"/>
    <cellStyle name="강조색3 20 3" xfId="8288"/>
    <cellStyle name="강조색3 20 4" xfId="8289"/>
    <cellStyle name="강조색3 20 5" xfId="8290"/>
    <cellStyle name="강조색3 21" xfId="8291"/>
    <cellStyle name="강조색3 21 2" xfId="8292"/>
    <cellStyle name="강조색3 21 3" xfId="8293"/>
    <cellStyle name="강조색3 21 4" xfId="8294"/>
    <cellStyle name="강조색3 21 5" xfId="8295"/>
    <cellStyle name="강조색3 22" xfId="8296"/>
    <cellStyle name="강조색3 22 2" xfId="8297"/>
    <cellStyle name="강조색3 22 3" xfId="8298"/>
    <cellStyle name="강조색3 22 4" xfId="8299"/>
    <cellStyle name="강조색3 22 5" xfId="8300"/>
    <cellStyle name="강조색3 23" xfId="8301"/>
    <cellStyle name="강조색3 23 2" xfId="8302"/>
    <cellStyle name="강조색3 24" xfId="8303"/>
    <cellStyle name="강조색3 24 2" xfId="8304"/>
    <cellStyle name="강조색3 25" xfId="8305"/>
    <cellStyle name="강조색3 26" xfId="8306"/>
    <cellStyle name="강조색3 27" xfId="18222"/>
    <cellStyle name="강조색3 3" xfId="8307"/>
    <cellStyle name="강조색3 3 2" xfId="8308"/>
    <cellStyle name="강조색3 3 2 2" xfId="8309"/>
    <cellStyle name="강조색3 3 2 2 2" xfId="8310"/>
    <cellStyle name="강조색3 3 2 2 3" xfId="8311"/>
    <cellStyle name="강조색3 3 2 3" xfId="8312"/>
    <cellStyle name="강조색3 3 2 4" xfId="8313"/>
    <cellStyle name="강조색3 3 3" xfId="8314"/>
    <cellStyle name="강조색3 3 3 2" xfId="20329"/>
    <cellStyle name="강조색3 3 4" xfId="8315"/>
    <cellStyle name="강조색3 3 4 2" xfId="8316"/>
    <cellStyle name="강조색3 3 4 3" xfId="8317"/>
    <cellStyle name="강조색3 3 4 4" xfId="20330"/>
    <cellStyle name="강조색3 3 5" xfId="8318"/>
    <cellStyle name="강조색3 4" xfId="8319"/>
    <cellStyle name="강조색3 4 2" xfId="8320"/>
    <cellStyle name="강조색3 4 3" xfId="8321"/>
    <cellStyle name="강조색3 5" xfId="8322"/>
    <cellStyle name="강조색3 5 2" xfId="8323"/>
    <cellStyle name="강조색3 5 2 2" xfId="8324"/>
    <cellStyle name="강조색3 5 2 2 2" xfId="8325"/>
    <cellStyle name="강조색3 5 2 3" xfId="8326"/>
    <cellStyle name="강조색3 6" xfId="8327"/>
    <cellStyle name="강조색3 6 2" xfId="8328"/>
    <cellStyle name="강조색3 6 2 2" xfId="8329"/>
    <cellStyle name="강조색3 6 2 2 2" xfId="8330"/>
    <cellStyle name="강조색3 6 2 3" xfId="8331"/>
    <cellStyle name="강조색3 7" xfId="8332"/>
    <cellStyle name="강조색3 7 2" xfId="8333"/>
    <cellStyle name="강조색3 7 2 2" xfId="8334"/>
    <cellStyle name="강조색3 7 2 2 2" xfId="8335"/>
    <cellStyle name="강조색3 7 2 3" xfId="8336"/>
    <cellStyle name="강조색3 8" xfId="8337"/>
    <cellStyle name="강조색3 8 2" xfId="8338"/>
    <cellStyle name="강조색3 8 2 2" xfId="8339"/>
    <cellStyle name="강조색3 8 2 2 2" xfId="8340"/>
    <cellStyle name="강조색3 8 2 3" xfId="8341"/>
    <cellStyle name="강조색3 9" xfId="8342"/>
    <cellStyle name="강조색3 9 2" xfId="8343"/>
    <cellStyle name="강조색3 9 2 2" xfId="8344"/>
    <cellStyle name="강조색3 9 2 2 2" xfId="8345"/>
    <cellStyle name="강조색3 9 2 2 2 2" xfId="21281"/>
    <cellStyle name="강조색3 9 2 3" xfId="8346"/>
    <cellStyle name="강조색3 9 2 4" xfId="8347"/>
    <cellStyle name="강조색3 9 3" xfId="8348"/>
    <cellStyle name="강조색3 9 4" xfId="8349"/>
    <cellStyle name="강조색4" xfId="30" builtinId="41" customBuiltin="1"/>
    <cellStyle name="강조색4 10" xfId="8350"/>
    <cellStyle name="강조색4 10 2" xfId="8351"/>
    <cellStyle name="강조색4 10 3" xfId="8352"/>
    <cellStyle name="강조색4 10 3 2" xfId="8353"/>
    <cellStyle name="강조색4 10 4" xfId="8354"/>
    <cellStyle name="강조색4 11" xfId="8355"/>
    <cellStyle name="강조색4 11 2" xfId="8356"/>
    <cellStyle name="강조색4 11 2 2" xfId="8357"/>
    <cellStyle name="강조색4 11 2 2 2" xfId="8358"/>
    <cellStyle name="강조색4 11 2 3" xfId="8359"/>
    <cellStyle name="강조색4 11 3" xfId="8360"/>
    <cellStyle name="강조색4 11 3 2" xfId="8361"/>
    <cellStyle name="강조색4 11 4" xfId="8362"/>
    <cellStyle name="강조색4 11 5" xfId="8363"/>
    <cellStyle name="강조색4 12" xfId="8364"/>
    <cellStyle name="강조색4 12 2" xfId="8365"/>
    <cellStyle name="강조색4 12 2 2" xfId="8366"/>
    <cellStyle name="강조색4 12 2 2 2" xfId="8367"/>
    <cellStyle name="강조색4 12 2 3" xfId="8368"/>
    <cellStyle name="강조색4 12 3" xfId="8369"/>
    <cellStyle name="강조색4 12 3 2" xfId="8370"/>
    <cellStyle name="강조색4 12 4" xfId="8371"/>
    <cellStyle name="강조색4 12 5" xfId="8372"/>
    <cellStyle name="강조색4 13" xfId="8373"/>
    <cellStyle name="강조색4 13 2" xfId="8374"/>
    <cellStyle name="강조색4 13 2 2" xfId="8375"/>
    <cellStyle name="강조색4 13 2 2 2" xfId="8376"/>
    <cellStyle name="강조색4 13 2 2 2 2" xfId="21282"/>
    <cellStyle name="강조색4 13 2 3" xfId="8377"/>
    <cellStyle name="강조색4 13 3" xfId="8378"/>
    <cellStyle name="강조색4 13 3 2" xfId="8379"/>
    <cellStyle name="강조색4 13 3 2 2" xfId="8380"/>
    <cellStyle name="강조색4 13 3 3" xfId="8381"/>
    <cellStyle name="강조색4 13 4" xfId="8382"/>
    <cellStyle name="강조색4 13 4 2" xfId="8383"/>
    <cellStyle name="강조색4 13 5" xfId="8384"/>
    <cellStyle name="강조색4 14" xfId="8385"/>
    <cellStyle name="강조색4 14 2" xfId="8386"/>
    <cellStyle name="강조색4 14 3" xfId="8387"/>
    <cellStyle name="강조색4 14 4" xfId="8388"/>
    <cellStyle name="강조색4 14 5" xfId="8389"/>
    <cellStyle name="강조색4 15" xfId="8390"/>
    <cellStyle name="강조색4 15 2" xfId="8391"/>
    <cellStyle name="강조색4 15 3" xfId="8392"/>
    <cellStyle name="강조색4 15 4" xfId="8393"/>
    <cellStyle name="강조색4 15 5" xfId="8394"/>
    <cellStyle name="강조색4 16" xfId="8395"/>
    <cellStyle name="강조색4 16 2" xfId="8396"/>
    <cellStyle name="강조색4 16 3" xfId="8397"/>
    <cellStyle name="강조색4 16 4" xfId="8398"/>
    <cellStyle name="강조색4 16 5" xfId="8399"/>
    <cellStyle name="강조색4 17" xfId="8400"/>
    <cellStyle name="강조색4 17 2" xfId="8401"/>
    <cellStyle name="강조색4 17 2 2" xfId="21283"/>
    <cellStyle name="강조색4 17 3" xfId="8402"/>
    <cellStyle name="강조색4 17 4" xfId="8403"/>
    <cellStyle name="강조색4 17 5" xfId="8404"/>
    <cellStyle name="강조색4 17 6" xfId="20665"/>
    <cellStyle name="강조색4 18" xfId="8405"/>
    <cellStyle name="강조색4 18 2" xfId="8406"/>
    <cellStyle name="강조색4 18 3" xfId="8407"/>
    <cellStyle name="강조색4 18 4" xfId="8408"/>
    <cellStyle name="강조색4 18 5" xfId="8409"/>
    <cellStyle name="강조색4 19" xfId="8410"/>
    <cellStyle name="강조색4 19 2" xfId="8411"/>
    <cellStyle name="강조색4 19 3" xfId="8412"/>
    <cellStyle name="강조색4 19 4" xfId="8413"/>
    <cellStyle name="강조색4 19 5" xfId="8414"/>
    <cellStyle name="강조색4 2" xfId="8415"/>
    <cellStyle name="강조색4 2 10" xfId="8416"/>
    <cellStyle name="강조색4 2 11" xfId="8417"/>
    <cellStyle name="강조색4 2 12" xfId="19683"/>
    <cellStyle name="강조색4 2 2" xfId="8418"/>
    <cellStyle name="강조색4 2 2 2" xfId="8419"/>
    <cellStyle name="강조색4 2 2 2 2" xfId="8420"/>
    <cellStyle name="강조색4 2 2 2 3" xfId="8421"/>
    <cellStyle name="강조색4 2 2 3" xfId="8422"/>
    <cellStyle name="강조색4 2 2 4" xfId="8423"/>
    <cellStyle name="강조색4 2 2 5" xfId="20331"/>
    <cellStyle name="강조색4 2 3" xfId="8424"/>
    <cellStyle name="강조색4 2 3 2" xfId="8425"/>
    <cellStyle name="강조색4 2 3 2 2" xfId="8426"/>
    <cellStyle name="강조색4 2 3 2 2 2" xfId="8427"/>
    <cellStyle name="강조색4 2 3 2 2 2 2" xfId="21284"/>
    <cellStyle name="강조색4 2 3 2 3" xfId="8428"/>
    <cellStyle name="강조색4 2 3 3" xfId="8429"/>
    <cellStyle name="강조색4 2 3 3 2" xfId="8430"/>
    <cellStyle name="강조색4 2 3 4" xfId="8431"/>
    <cellStyle name="강조색4 2 3 5" xfId="20332"/>
    <cellStyle name="강조색4 2 4" xfId="8432"/>
    <cellStyle name="강조색4 2 4 2" xfId="20333"/>
    <cellStyle name="강조색4 2 5" xfId="8433"/>
    <cellStyle name="강조색4 2 6" xfId="8434"/>
    <cellStyle name="강조색4 2 6 2" xfId="20334"/>
    <cellStyle name="강조색4 2 7" xfId="8435"/>
    <cellStyle name="강조색4 2 7 2" xfId="20335"/>
    <cellStyle name="강조색4 2 8" xfId="8436"/>
    <cellStyle name="강조색4 2 9" xfId="8437"/>
    <cellStyle name="강조색4 20" xfId="8438"/>
    <cellStyle name="강조색4 20 2" xfId="8439"/>
    <cellStyle name="강조색4 20 3" xfId="8440"/>
    <cellStyle name="강조색4 20 4" xfId="8441"/>
    <cellStyle name="강조색4 20 5" xfId="8442"/>
    <cellStyle name="강조색4 21" xfId="8443"/>
    <cellStyle name="강조색4 21 2" xfId="8444"/>
    <cellStyle name="강조색4 21 3" xfId="8445"/>
    <cellStyle name="강조색4 21 4" xfId="8446"/>
    <cellStyle name="강조색4 21 5" xfId="8447"/>
    <cellStyle name="강조색4 22" xfId="8448"/>
    <cellStyle name="강조색4 22 2" xfId="8449"/>
    <cellStyle name="강조색4 22 3" xfId="8450"/>
    <cellStyle name="강조색4 22 4" xfId="8451"/>
    <cellStyle name="강조색4 22 5" xfId="8452"/>
    <cellStyle name="강조색4 23" xfId="8453"/>
    <cellStyle name="강조색4 23 2" xfId="8454"/>
    <cellStyle name="강조색4 24" xfId="8455"/>
    <cellStyle name="강조색4 24 2" xfId="8456"/>
    <cellStyle name="강조색4 25" xfId="8457"/>
    <cellStyle name="강조색4 26" xfId="8458"/>
    <cellStyle name="강조색4 27" xfId="18226"/>
    <cellStyle name="강조색4 3" xfId="8459"/>
    <cellStyle name="강조색4 3 2" xfId="8460"/>
    <cellStyle name="강조색4 3 2 2" xfId="8461"/>
    <cellStyle name="강조색4 3 2 2 2" xfId="8462"/>
    <cellStyle name="강조색4 3 2 2 3" xfId="8463"/>
    <cellStyle name="강조색4 3 2 3" xfId="8464"/>
    <cellStyle name="강조색4 3 2 4" xfId="8465"/>
    <cellStyle name="강조색4 3 3" xfId="8466"/>
    <cellStyle name="강조색4 3 3 2" xfId="20336"/>
    <cellStyle name="강조색4 3 4" xfId="8467"/>
    <cellStyle name="강조색4 3 4 2" xfId="8468"/>
    <cellStyle name="강조색4 3 4 3" xfId="8469"/>
    <cellStyle name="강조색4 3 4 4" xfId="20337"/>
    <cellStyle name="강조색4 3 5" xfId="8470"/>
    <cellStyle name="강조색4 4" xfId="8471"/>
    <cellStyle name="강조색4 4 2" xfId="8472"/>
    <cellStyle name="강조색4 4 3" xfId="8473"/>
    <cellStyle name="강조색4 5" xfId="8474"/>
    <cellStyle name="강조색4 5 2" xfId="8475"/>
    <cellStyle name="강조색4 5 2 2" xfId="8476"/>
    <cellStyle name="강조색4 5 2 2 2" xfId="8477"/>
    <cellStyle name="강조색4 5 2 3" xfId="8478"/>
    <cellStyle name="강조색4 6" xfId="8479"/>
    <cellStyle name="강조색4 6 2" xfId="8480"/>
    <cellStyle name="강조색4 6 2 2" xfId="8481"/>
    <cellStyle name="강조색4 6 2 2 2" xfId="8482"/>
    <cellStyle name="강조색4 6 2 3" xfId="8483"/>
    <cellStyle name="강조색4 7" xfId="8484"/>
    <cellStyle name="강조색4 7 2" xfId="8485"/>
    <cellStyle name="강조색4 7 2 2" xfId="8486"/>
    <cellStyle name="강조색4 7 2 2 2" xfId="8487"/>
    <cellStyle name="강조색4 7 2 3" xfId="8488"/>
    <cellStyle name="강조색4 8" xfId="8489"/>
    <cellStyle name="강조색4 8 2" xfId="8490"/>
    <cellStyle name="강조색4 8 2 2" xfId="8491"/>
    <cellStyle name="강조색4 8 2 2 2" xfId="8492"/>
    <cellStyle name="강조색4 8 2 3" xfId="8493"/>
    <cellStyle name="강조색4 9" xfId="8494"/>
    <cellStyle name="강조색4 9 2" xfId="8495"/>
    <cellStyle name="강조색4 9 2 2" xfId="8496"/>
    <cellStyle name="강조색4 9 2 2 2" xfId="8497"/>
    <cellStyle name="강조색4 9 2 2 2 2" xfId="21285"/>
    <cellStyle name="강조색4 9 2 3" xfId="8498"/>
    <cellStyle name="강조색4 9 2 4" xfId="8499"/>
    <cellStyle name="강조색4 9 3" xfId="8500"/>
    <cellStyle name="강조색4 9 4" xfId="8501"/>
    <cellStyle name="강조색5" xfId="34" builtinId="45" customBuiltin="1"/>
    <cellStyle name="강조색5 10" xfId="8502"/>
    <cellStyle name="강조색5 10 2" xfId="8503"/>
    <cellStyle name="강조색5 10 3" xfId="8504"/>
    <cellStyle name="강조색5 10 3 2" xfId="8505"/>
    <cellStyle name="강조색5 10 4" xfId="8506"/>
    <cellStyle name="강조색5 11" xfId="8507"/>
    <cellStyle name="강조색5 11 2" xfId="8508"/>
    <cellStyle name="강조색5 11 2 2" xfId="8509"/>
    <cellStyle name="강조색5 11 2 2 2" xfId="8510"/>
    <cellStyle name="강조색5 11 2 3" xfId="8511"/>
    <cellStyle name="강조색5 11 3" xfId="8512"/>
    <cellStyle name="강조색5 11 3 2" xfId="8513"/>
    <cellStyle name="강조색5 11 4" xfId="8514"/>
    <cellStyle name="강조색5 11 5" xfId="8515"/>
    <cellStyle name="강조색5 12" xfId="8516"/>
    <cellStyle name="강조색5 12 2" xfId="8517"/>
    <cellStyle name="강조색5 12 2 2" xfId="8518"/>
    <cellStyle name="강조색5 12 2 2 2" xfId="8519"/>
    <cellStyle name="강조색5 12 2 3" xfId="8520"/>
    <cellStyle name="강조색5 12 3" xfId="8521"/>
    <cellStyle name="강조색5 12 3 2" xfId="8522"/>
    <cellStyle name="강조색5 12 4" xfId="8523"/>
    <cellStyle name="강조색5 12 5" xfId="8524"/>
    <cellStyle name="강조색5 13" xfId="8525"/>
    <cellStyle name="강조색5 13 2" xfId="8526"/>
    <cellStyle name="강조색5 13 2 2" xfId="8527"/>
    <cellStyle name="강조색5 13 2 2 2" xfId="8528"/>
    <cellStyle name="강조색5 13 2 2 2 2" xfId="21286"/>
    <cellStyle name="강조색5 13 2 3" xfId="8529"/>
    <cellStyle name="강조색5 13 3" xfId="8530"/>
    <cellStyle name="강조색5 13 3 2" xfId="8531"/>
    <cellStyle name="강조색5 13 3 2 2" xfId="8532"/>
    <cellStyle name="강조색5 13 3 3" xfId="8533"/>
    <cellStyle name="강조색5 13 4" xfId="8534"/>
    <cellStyle name="강조색5 13 4 2" xfId="8535"/>
    <cellStyle name="강조색5 13 5" xfId="8536"/>
    <cellStyle name="강조색5 14" xfId="8537"/>
    <cellStyle name="강조색5 14 2" xfId="8538"/>
    <cellStyle name="강조색5 14 3" xfId="8539"/>
    <cellStyle name="강조색5 14 4" xfId="8540"/>
    <cellStyle name="강조색5 14 5" xfId="8541"/>
    <cellStyle name="강조색5 15" xfId="8542"/>
    <cellStyle name="강조색5 15 2" xfId="8543"/>
    <cellStyle name="강조색5 15 3" xfId="8544"/>
    <cellStyle name="강조색5 15 4" xfId="8545"/>
    <cellStyle name="강조색5 15 5" xfId="8546"/>
    <cellStyle name="강조색5 16" xfId="8547"/>
    <cellStyle name="강조색5 16 2" xfId="8548"/>
    <cellStyle name="강조색5 16 3" xfId="8549"/>
    <cellStyle name="강조색5 16 4" xfId="8550"/>
    <cellStyle name="강조색5 16 5" xfId="8551"/>
    <cellStyle name="강조색5 17" xfId="8552"/>
    <cellStyle name="강조색5 17 2" xfId="8553"/>
    <cellStyle name="강조색5 17 2 2" xfId="21287"/>
    <cellStyle name="강조색5 17 3" xfId="8554"/>
    <cellStyle name="강조색5 17 4" xfId="8555"/>
    <cellStyle name="강조색5 17 5" xfId="8556"/>
    <cellStyle name="강조색5 17 6" xfId="20667"/>
    <cellStyle name="강조색5 18" xfId="8557"/>
    <cellStyle name="강조색5 18 2" xfId="8558"/>
    <cellStyle name="강조색5 18 3" xfId="8559"/>
    <cellStyle name="강조색5 18 4" xfId="8560"/>
    <cellStyle name="강조색5 18 5" xfId="8561"/>
    <cellStyle name="강조색5 19" xfId="8562"/>
    <cellStyle name="강조색5 19 2" xfId="8563"/>
    <cellStyle name="강조색5 19 3" xfId="8564"/>
    <cellStyle name="강조색5 19 4" xfId="8565"/>
    <cellStyle name="강조색5 19 5" xfId="8566"/>
    <cellStyle name="강조색5 2" xfId="8567"/>
    <cellStyle name="강조색5 2 10" xfId="8568"/>
    <cellStyle name="강조색5 2 11" xfId="8569"/>
    <cellStyle name="강조색5 2 12" xfId="19684"/>
    <cellStyle name="강조색5 2 2" xfId="8570"/>
    <cellStyle name="강조색5 2 2 2" xfId="8571"/>
    <cellStyle name="강조색5 2 2 2 2" xfId="8572"/>
    <cellStyle name="강조색5 2 2 2 3" xfId="8573"/>
    <cellStyle name="강조색5 2 2 3" xfId="8574"/>
    <cellStyle name="강조색5 2 2 4" xfId="8575"/>
    <cellStyle name="강조색5 2 3" xfId="8576"/>
    <cellStyle name="강조색5 2 3 2" xfId="8577"/>
    <cellStyle name="강조색5 2 3 2 2" xfId="8578"/>
    <cellStyle name="강조색5 2 3 2 2 2" xfId="8579"/>
    <cellStyle name="강조색5 2 3 2 3" xfId="8580"/>
    <cellStyle name="강조색5 2 3 3" xfId="8581"/>
    <cellStyle name="강조색5 2 3 3 2" xfId="8582"/>
    <cellStyle name="강조색5 2 3 4" xfId="8583"/>
    <cellStyle name="강조색5 2 4" xfId="8584"/>
    <cellStyle name="강조색5 2 5" xfId="8585"/>
    <cellStyle name="강조색5 2 6" xfId="8586"/>
    <cellStyle name="강조색5 2 7" xfId="8587"/>
    <cellStyle name="강조색5 2 8" xfId="8588"/>
    <cellStyle name="강조색5 2 9" xfId="8589"/>
    <cellStyle name="강조색5 20" xfId="8590"/>
    <cellStyle name="강조색5 20 2" xfId="8591"/>
    <cellStyle name="강조색5 20 3" xfId="8592"/>
    <cellStyle name="강조색5 20 4" xfId="8593"/>
    <cellStyle name="강조색5 20 5" xfId="8594"/>
    <cellStyle name="강조색5 21" xfId="8595"/>
    <cellStyle name="강조색5 21 2" xfId="8596"/>
    <cellStyle name="강조색5 21 3" xfId="8597"/>
    <cellStyle name="강조색5 21 4" xfId="8598"/>
    <cellStyle name="강조색5 21 5" xfId="8599"/>
    <cellStyle name="강조색5 22" xfId="8600"/>
    <cellStyle name="강조색5 22 2" xfId="8601"/>
    <cellStyle name="강조색5 22 3" xfId="8602"/>
    <cellStyle name="강조색5 22 4" xfId="8603"/>
    <cellStyle name="강조색5 22 5" xfId="8604"/>
    <cellStyle name="강조색5 23" xfId="8605"/>
    <cellStyle name="강조색5 23 2" xfId="8606"/>
    <cellStyle name="강조색5 24" xfId="8607"/>
    <cellStyle name="강조색5 24 2" xfId="8608"/>
    <cellStyle name="강조색5 25" xfId="8609"/>
    <cellStyle name="강조색5 26" xfId="8610"/>
    <cellStyle name="강조색5 27" xfId="18230"/>
    <cellStyle name="강조색5 3" xfId="8611"/>
    <cellStyle name="강조색5 3 2" xfId="8612"/>
    <cellStyle name="강조색5 3 2 2" xfId="8613"/>
    <cellStyle name="강조색5 3 2 2 2" xfId="8614"/>
    <cellStyle name="강조색5 3 2 2 3" xfId="8615"/>
    <cellStyle name="강조색5 3 2 3" xfId="8616"/>
    <cellStyle name="강조색5 3 2 4" xfId="8617"/>
    <cellStyle name="강조색5 3 3" xfId="8618"/>
    <cellStyle name="강조색5 3 4" xfId="8619"/>
    <cellStyle name="강조색5 3 4 2" xfId="8620"/>
    <cellStyle name="강조색5 3 4 3" xfId="8621"/>
    <cellStyle name="강조색5 3 5" xfId="8622"/>
    <cellStyle name="강조색5 4" xfId="8623"/>
    <cellStyle name="강조색5 4 2" xfId="8624"/>
    <cellStyle name="강조색5 4 3" xfId="8625"/>
    <cellStyle name="강조색5 5" xfId="8626"/>
    <cellStyle name="강조색5 5 2" xfId="8627"/>
    <cellStyle name="강조색5 5 2 2" xfId="8628"/>
    <cellStyle name="강조색5 5 2 2 2" xfId="8629"/>
    <cellStyle name="강조색5 5 2 3" xfId="8630"/>
    <cellStyle name="강조색5 6" xfId="8631"/>
    <cellStyle name="강조색5 6 2" xfId="8632"/>
    <cellStyle name="강조색5 6 2 2" xfId="8633"/>
    <cellStyle name="강조색5 6 2 2 2" xfId="8634"/>
    <cellStyle name="강조색5 6 2 3" xfId="8635"/>
    <cellStyle name="강조색5 7" xfId="8636"/>
    <cellStyle name="강조색5 7 2" xfId="8637"/>
    <cellStyle name="강조색5 7 2 2" xfId="8638"/>
    <cellStyle name="강조색5 7 2 2 2" xfId="8639"/>
    <cellStyle name="강조색5 7 2 3" xfId="8640"/>
    <cellStyle name="강조색5 8" xfId="8641"/>
    <cellStyle name="강조색5 8 2" xfId="8642"/>
    <cellStyle name="강조색5 8 2 2" xfId="8643"/>
    <cellStyle name="강조색5 8 2 2 2" xfId="8644"/>
    <cellStyle name="강조색5 8 2 3" xfId="8645"/>
    <cellStyle name="강조색5 9" xfId="8646"/>
    <cellStyle name="강조색5 9 2" xfId="8647"/>
    <cellStyle name="강조색5 9 2 2" xfId="8648"/>
    <cellStyle name="강조색5 9 2 2 2" xfId="8649"/>
    <cellStyle name="강조색5 9 2 2 2 2" xfId="21288"/>
    <cellStyle name="강조색5 9 2 3" xfId="8650"/>
    <cellStyle name="강조색5 9 2 4" xfId="8651"/>
    <cellStyle name="강조색5 9 3" xfId="8652"/>
    <cellStyle name="강조색5 9 4" xfId="8653"/>
    <cellStyle name="강조색6" xfId="38" builtinId="49" customBuiltin="1"/>
    <cellStyle name="강조색6 10" xfId="8654"/>
    <cellStyle name="강조색6 10 2" xfId="8655"/>
    <cellStyle name="강조색6 10 3" xfId="8656"/>
    <cellStyle name="강조색6 10 3 2" xfId="8657"/>
    <cellStyle name="강조색6 10 4" xfId="8658"/>
    <cellStyle name="강조색6 11" xfId="8659"/>
    <cellStyle name="강조색6 11 2" xfId="8660"/>
    <cellStyle name="강조색6 11 2 2" xfId="8661"/>
    <cellStyle name="강조색6 11 2 2 2" xfId="8662"/>
    <cellStyle name="강조색6 11 2 3" xfId="8663"/>
    <cellStyle name="강조색6 11 3" xfId="8664"/>
    <cellStyle name="강조색6 11 3 2" xfId="8665"/>
    <cellStyle name="강조색6 11 4" xfId="8666"/>
    <cellStyle name="강조색6 11 5" xfId="8667"/>
    <cellStyle name="강조색6 12" xfId="8668"/>
    <cellStyle name="강조색6 12 2" xfId="8669"/>
    <cellStyle name="강조색6 12 2 2" xfId="8670"/>
    <cellStyle name="강조색6 12 2 2 2" xfId="8671"/>
    <cellStyle name="강조색6 12 2 3" xfId="8672"/>
    <cellStyle name="강조색6 12 3" xfId="8673"/>
    <cellStyle name="강조색6 12 3 2" xfId="8674"/>
    <cellStyle name="강조색6 12 4" xfId="8675"/>
    <cellStyle name="강조색6 12 5" xfId="8676"/>
    <cellStyle name="강조색6 13" xfId="8677"/>
    <cellStyle name="강조색6 13 2" xfId="8678"/>
    <cellStyle name="강조색6 13 2 2" xfId="8679"/>
    <cellStyle name="강조색6 13 2 2 2" xfId="8680"/>
    <cellStyle name="강조색6 13 2 2 2 2" xfId="21289"/>
    <cellStyle name="강조색6 13 2 3" xfId="8681"/>
    <cellStyle name="강조색6 13 3" xfId="8682"/>
    <cellStyle name="강조색6 13 3 2" xfId="8683"/>
    <cellStyle name="강조색6 13 3 2 2" xfId="8684"/>
    <cellStyle name="강조색6 13 3 3" xfId="8685"/>
    <cellStyle name="강조색6 13 4" xfId="8686"/>
    <cellStyle name="강조색6 13 4 2" xfId="8687"/>
    <cellStyle name="강조색6 13 5" xfId="8688"/>
    <cellStyle name="강조색6 14" xfId="8689"/>
    <cellStyle name="강조색6 14 2" xfId="8690"/>
    <cellStyle name="강조색6 14 3" xfId="8691"/>
    <cellStyle name="강조색6 14 4" xfId="8692"/>
    <cellStyle name="강조색6 14 5" xfId="8693"/>
    <cellStyle name="강조색6 15" xfId="8694"/>
    <cellStyle name="강조색6 15 2" xfId="8695"/>
    <cellStyle name="강조색6 15 3" xfId="8696"/>
    <cellStyle name="강조색6 15 4" xfId="8697"/>
    <cellStyle name="강조색6 15 5" xfId="8698"/>
    <cellStyle name="강조색6 16" xfId="8699"/>
    <cellStyle name="강조색6 16 2" xfId="8700"/>
    <cellStyle name="강조색6 16 3" xfId="8701"/>
    <cellStyle name="강조색6 16 4" xfId="8702"/>
    <cellStyle name="강조색6 16 5" xfId="8703"/>
    <cellStyle name="강조색6 17" xfId="8704"/>
    <cellStyle name="강조색6 17 2" xfId="8705"/>
    <cellStyle name="강조색6 17 2 2" xfId="21290"/>
    <cellStyle name="강조색6 17 3" xfId="8706"/>
    <cellStyle name="강조색6 17 4" xfId="8707"/>
    <cellStyle name="강조색6 17 5" xfId="8708"/>
    <cellStyle name="강조색6 17 6" xfId="20669"/>
    <cellStyle name="강조색6 18" xfId="8709"/>
    <cellStyle name="강조색6 18 2" xfId="8710"/>
    <cellStyle name="강조색6 18 3" xfId="8711"/>
    <cellStyle name="강조색6 18 4" xfId="8712"/>
    <cellStyle name="강조색6 18 5" xfId="8713"/>
    <cellStyle name="강조색6 19" xfId="8714"/>
    <cellStyle name="강조색6 19 2" xfId="8715"/>
    <cellStyle name="강조색6 19 3" xfId="8716"/>
    <cellStyle name="강조색6 19 4" xfId="8717"/>
    <cellStyle name="강조색6 19 5" xfId="8718"/>
    <cellStyle name="강조색6 2" xfId="8719"/>
    <cellStyle name="강조색6 2 10" xfId="8720"/>
    <cellStyle name="강조색6 2 11" xfId="8721"/>
    <cellStyle name="강조색6 2 12" xfId="19685"/>
    <cellStyle name="강조색6 2 2" xfId="8722"/>
    <cellStyle name="강조색6 2 2 2" xfId="8723"/>
    <cellStyle name="강조색6 2 2 2 2" xfId="8724"/>
    <cellStyle name="강조색6 2 2 2 3" xfId="8725"/>
    <cellStyle name="강조색6 2 2 3" xfId="8726"/>
    <cellStyle name="강조색6 2 2 4" xfId="8727"/>
    <cellStyle name="강조색6 2 2 5" xfId="20338"/>
    <cellStyle name="강조색6 2 3" xfId="8728"/>
    <cellStyle name="강조색6 2 3 2" xfId="8729"/>
    <cellStyle name="강조색6 2 3 2 2" xfId="8730"/>
    <cellStyle name="강조색6 2 3 2 2 2" xfId="8731"/>
    <cellStyle name="강조색6 2 3 2 2 2 2" xfId="21291"/>
    <cellStyle name="강조색6 2 3 2 3" xfId="8732"/>
    <cellStyle name="강조색6 2 3 3" xfId="8733"/>
    <cellStyle name="강조색6 2 3 3 2" xfId="8734"/>
    <cellStyle name="강조색6 2 3 4" xfId="8735"/>
    <cellStyle name="강조색6 2 3 5" xfId="20339"/>
    <cellStyle name="강조색6 2 4" xfId="8736"/>
    <cellStyle name="강조색6 2 4 2" xfId="20340"/>
    <cellStyle name="강조색6 2 5" xfId="8737"/>
    <cellStyle name="강조색6 2 6" xfId="8738"/>
    <cellStyle name="강조색6 2 6 2" xfId="20341"/>
    <cellStyle name="강조색6 2 7" xfId="8739"/>
    <cellStyle name="강조색6 2 7 2" xfId="20342"/>
    <cellStyle name="강조색6 2 8" xfId="8740"/>
    <cellStyle name="강조색6 2 9" xfId="8741"/>
    <cellStyle name="강조색6 20" xfId="8742"/>
    <cellStyle name="강조색6 20 2" xfId="8743"/>
    <cellStyle name="강조색6 20 3" xfId="8744"/>
    <cellStyle name="강조색6 20 4" xfId="8745"/>
    <cellStyle name="강조색6 20 5" xfId="8746"/>
    <cellStyle name="강조색6 21" xfId="8747"/>
    <cellStyle name="강조색6 21 2" xfId="8748"/>
    <cellStyle name="강조색6 21 3" xfId="8749"/>
    <cellStyle name="강조색6 21 4" xfId="8750"/>
    <cellStyle name="강조색6 21 5" xfId="8751"/>
    <cellStyle name="강조색6 22" xfId="8752"/>
    <cellStyle name="강조색6 22 2" xfId="8753"/>
    <cellStyle name="강조색6 22 3" xfId="8754"/>
    <cellStyle name="강조색6 22 4" xfId="8755"/>
    <cellStyle name="강조색6 22 5" xfId="8756"/>
    <cellStyle name="강조색6 23" xfId="8757"/>
    <cellStyle name="강조색6 23 2" xfId="8758"/>
    <cellStyle name="강조색6 24" xfId="8759"/>
    <cellStyle name="강조색6 24 2" xfId="8760"/>
    <cellStyle name="강조색6 25" xfId="8761"/>
    <cellStyle name="강조색6 26" xfId="8762"/>
    <cellStyle name="강조색6 27" xfId="18234"/>
    <cellStyle name="강조색6 3" xfId="8763"/>
    <cellStyle name="강조색6 3 2" xfId="8764"/>
    <cellStyle name="강조색6 3 2 2" xfId="8765"/>
    <cellStyle name="강조색6 3 2 2 2" xfId="8766"/>
    <cellStyle name="강조색6 3 2 2 3" xfId="8767"/>
    <cellStyle name="강조색6 3 2 3" xfId="8768"/>
    <cellStyle name="강조색6 3 2 4" xfId="8769"/>
    <cellStyle name="강조색6 3 3" xfId="8770"/>
    <cellStyle name="강조색6 3 3 2" xfId="20343"/>
    <cellStyle name="강조색6 3 4" xfId="8771"/>
    <cellStyle name="강조색6 3 4 2" xfId="8772"/>
    <cellStyle name="강조색6 3 4 3" xfId="8773"/>
    <cellStyle name="강조색6 3 4 4" xfId="20344"/>
    <cellStyle name="강조색6 3 5" xfId="8774"/>
    <cellStyle name="강조색6 4" xfId="8775"/>
    <cellStyle name="강조색6 4 2" xfId="8776"/>
    <cellStyle name="강조색6 4 3" xfId="8777"/>
    <cellStyle name="강조색6 5" xfId="8778"/>
    <cellStyle name="강조색6 5 2" xfId="8779"/>
    <cellStyle name="강조색6 5 2 2" xfId="8780"/>
    <cellStyle name="강조색6 5 2 2 2" xfId="8781"/>
    <cellStyle name="강조색6 5 2 3" xfId="8782"/>
    <cellStyle name="강조색6 6" xfId="8783"/>
    <cellStyle name="강조색6 6 2" xfId="8784"/>
    <cellStyle name="강조색6 6 2 2" xfId="8785"/>
    <cellStyle name="강조색6 6 2 2 2" xfId="8786"/>
    <cellStyle name="강조색6 6 2 3" xfId="8787"/>
    <cellStyle name="강조색6 7" xfId="8788"/>
    <cellStyle name="강조색6 7 2" xfId="8789"/>
    <cellStyle name="강조색6 7 2 2" xfId="8790"/>
    <cellStyle name="강조색6 7 2 2 2" xfId="8791"/>
    <cellStyle name="강조색6 7 2 3" xfId="8792"/>
    <cellStyle name="강조색6 8" xfId="8793"/>
    <cellStyle name="강조색6 8 2" xfId="8794"/>
    <cellStyle name="강조색6 8 2 2" xfId="8795"/>
    <cellStyle name="강조색6 8 2 2 2" xfId="8796"/>
    <cellStyle name="강조색6 8 2 3" xfId="8797"/>
    <cellStyle name="강조색6 9" xfId="8798"/>
    <cellStyle name="강조색6 9 2" xfId="8799"/>
    <cellStyle name="강조색6 9 2 2" xfId="8800"/>
    <cellStyle name="강조색6 9 2 2 2" xfId="8801"/>
    <cellStyle name="강조색6 9 2 2 2 2" xfId="21292"/>
    <cellStyle name="강조색6 9 2 3" xfId="8802"/>
    <cellStyle name="강조색6 9 2 4" xfId="8803"/>
    <cellStyle name="강조색6 9 3" xfId="8804"/>
    <cellStyle name="강조색6 9 4" xfId="8805"/>
    <cellStyle name="경고문" xfId="14" builtinId="11" customBuiltin="1"/>
    <cellStyle name="경고문 10" xfId="8806"/>
    <cellStyle name="경고문 10 2" xfId="8807"/>
    <cellStyle name="경고문 10 3" xfId="8808"/>
    <cellStyle name="경고문 10 3 2" xfId="8809"/>
    <cellStyle name="경고문 10 4" xfId="8810"/>
    <cellStyle name="경고문 11" xfId="8811"/>
    <cellStyle name="경고문 11 2" xfId="8812"/>
    <cellStyle name="경고문 11 2 2" xfId="8813"/>
    <cellStyle name="경고문 11 2 2 2" xfId="8814"/>
    <cellStyle name="경고문 11 2 3" xfId="8815"/>
    <cellStyle name="경고문 11 3" xfId="8816"/>
    <cellStyle name="경고문 11 3 2" xfId="8817"/>
    <cellStyle name="경고문 11 4" xfId="8818"/>
    <cellStyle name="경고문 11 5" xfId="8819"/>
    <cellStyle name="경고문 12" xfId="8820"/>
    <cellStyle name="경고문 12 2" xfId="8821"/>
    <cellStyle name="경고문 12 2 2" xfId="8822"/>
    <cellStyle name="경고문 12 2 2 2" xfId="8823"/>
    <cellStyle name="경고문 12 2 3" xfId="8824"/>
    <cellStyle name="경고문 12 3" xfId="8825"/>
    <cellStyle name="경고문 12 3 2" xfId="8826"/>
    <cellStyle name="경고문 12 4" xfId="8827"/>
    <cellStyle name="경고문 12 5" xfId="8828"/>
    <cellStyle name="경고문 13" xfId="8829"/>
    <cellStyle name="경고문 13 2" xfId="8830"/>
    <cellStyle name="경고문 13 2 2" xfId="8831"/>
    <cellStyle name="경고문 13 2 2 2" xfId="8832"/>
    <cellStyle name="경고문 13 2 2 2 2" xfId="21293"/>
    <cellStyle name="경고문 13 2 3" xfId="8833"/>
    <cellStyle name="경고문 13 3" xfId="8834"/>
    <cellStyle name="경고문 13 3 2" xfId="8835"/>
    <cellStyle name="경고문 13 3 2 2" xfId="8836"/>
    <cellStyle name="경고문 13 3 3" xfId="8837"/>
    <cellStyle name="경고문 13 4" xfId="8838"/>
    <cellStyle name="경고문 13 4 2" xfId="8839"/>
    <cellStyle name="경고문 13 5" xfId="8840"/>
    <cellStyle name="경고문 14" xfId="8841"/>
    <cellStyle name="경고문 14 2" xfId="8842"/>
    <cellStyle name="경고문 14 3" xfId="8843"/>
    <cellStyle name="경고문 14 4" xfId="8844"/>
    <cellStyle name="경고문 14 5" xfId="8845"/>
    <cellStyle name="경고문 15" xfId="8846"/>
    <cellStyle name="경고문 15 2" xfId="8847"/>
    <cellStyle name="경고문 15 3" xfId="8848"/>
    <cellStyle name="경고문 15 4" xfId="8849"/>
    <cellStyle name="경고문 15 5" xfId="8850"/>
    <cellStyle name="경고문 16" xfId="8851"/>
    <cellStyle name="경고문 16 2" xfId="8852"/>
    <cellStyle name="경고문 16 3" xfId="8853"/>
    <cellStyle name="경고문 16 4" xfId="8854"/>
    <cellStyle name="경고문 16 5" xfId="8855"/>
    <cellStyle name="경고문 17" xfId="8856"/>
    <cellStyle name="경고문 17 2" xfId="8857"/>
    <cellStyle name="경고문 17 2 2" xfId="21294"/>
    <cellStyle name="경고문 17 3" xfId="8858"/>
    <cellStyle name="경고문 17 4" xfId="8859"/>
    <cellStyle name="경고문 17 5" xfId="8860"/>
    <cellStyle name="경고문 17 6" xfId="20656"/>
    <cellStyle name="경고문 18" xfId="8861"/>
    <cellStyle name="경고문 18 2" xfId="8862"/>
    <cellStyle name="경고문 18 3" xfId="8863"/>
    <cellStyle name="경고문 18 4" xfId="8864"/>
    <cellStyle name="경고문 18 5" xfId="8865"/>
    <cellStyle name="경고문 19" xfId="8866"/>
    <cellStyle name="경고문 19 2" xfId="8867"/>
    <cellStyle name="경고문 19 3" xfId="8868"/>
    <cellStyle name="경고문 19 4" xfId="8869"/>
    <cellStyle name="경고문 19 5" xfId="8870"/>
    <cellStyle name="경고문 2" xfId="8871"/>
    <cellStyle name="경고문 2 10" xfId="8872"/>
    <cellStyle name="경고문 2 11" xfId="8873"/>
    <cellStyle name="경고문 2 2" xfId="8874"/>
    <cellStyle name="경고문 2 2 2" xfId="8875"/>
    <cellStyle name="경고문 2 2 2 2" xfId="8876"/>
    <cellStyle name="경고문 2 2 2 3" xfId="8877"/>
    <cellStyle name="경고문 2 2 3" xfId="8878"/>
    <cellStyle name="경고문 2 2 4" xfId="8879"/>
    <cellStyle name="경고문 2 3" xfId="8880"/>
    <cellStyle name="경고문 2 3 2" xfId="8881"/>
    <cellStyle name="경고문 2 3 2 2" xfId="8882"/>
    <cellStyle name="경고문 2 3 2 2 2" xfId="8883"/>
    <cellStyle name="경고문 2 3 2 3" xfId="8884"/>
    <cellStyle name="경고문 2 3 3" xfId="8885"/>
    <cellStyle name="경고문 2 3 3 2" xfId="8886"/>
    <cellStyle name="경고문 2 3 4" xfId="8887"/>
    <cellStyle name="경고문 2 4" xfId="8888"/>
    <cellStyle name="경고문 2 5" xfId="8889"/>
    <cellStyle name="경고문 2 6" xfId="8890"/>
    <cellStyle name="경고문 2 7" xfId="8891"/>
    <cellStyle name="경고문 2 8" xfId="8892"/>
    <cellStyle name="경고문 2 9" xfId="8893"/>
    <cellStyle name="경고문 20" xfId="8894"/>
    <cellStyle name="경고문 20 2" xfId="8895"/>
    <cellStyle name="경고문 20 3" xfId="8896"/>
    <cellStyle name="경고문 20 4" xfId="8897"/>
    <cellStyle name="경고문 20 5" xfId="8898"/>
    <cellStyle name="경고문 21" xfId="8899"/>
    <cellStyle name="경고문 21 2" xfId="8900"/>
    <cellStyle name="경고문 21 3" xfId="8901"/>
    <cellStyle name="경고문 21 4" xfId="8902"/>
    <cellStyle name="경고문 21 5" xfId="8903"/>
    <cellStyle name="경고문 22" xfId="8904"/>
    <cellStyle name="경고문 22 2" xfId="8905"/>
    <cellStyle name="경고문 22 3" xfId="8906"/>
    <cellStyle name="경고문 22 4" xfId="8907"/>
    <cellStyle name="경고문 22 5" xfId="8908"/>
    <cellStyle name="경고문 23" xfId="8909"/>
    <cellStyle name="경고문 23 2" xfId="8910"/>
    <cellStyle name="경고문 24" xfId="8911"/>
    <cellStyle name="경고문 24 2" xfId="8912"/>
    <cellStyle name="경고문 25" xfId="8913"/>
    <cellStyle name="경고문 26" xfId="8914"/>
    <cellStyle name="경고문 27" xfId="18210"/>
    <cellStyle name="경고문 3" xfId="8915"/>
    <cellStyle name="경고문 3 2" xfId="8916"/>
    <cellStyle name="경고문 3 2 2" xfId="8917"/>
    <cellStyle name="경고문 3 2 2 2" xfId="8918"/>
    <cellStyle name="경고문 3 2 2 3" xfId="8919"/>
    <cellStyle name="경고문 3 2 3" xfId="8920"/>
    <cellStyle name="경고문 3 2 4" xfId="8921"/>
    <cellStyle name="경고문 3 3" xfId="8922"/>
    <cellStyle name="경고문 3 4" xfId="8923"/>
    <cellStyle name="경고문 3 4 2" xfId="8924"/>
    <cellStyle name="경고문 3 4 3" xfId="8925"/>
    <cellStyle name="경고문 3 5" xfId="8926"/>
    <cellStyle name="경고문 4" xfId="8927"/>
    <cellStyle name="경고문 4 2" xfId="8928"/>
    <cellStyle name="경고문 4 3" xfId="8929"/>
    <cellStyle name="경고문 5" xfId="8930"/>
    <cellStyle name="경고문 5 2" xfId="8931"/>
    <cellStyle name="경고문 5 2 2" xfId="8932"/>
    <cellStyle name="경고문 5 2 2 2" xfId="8933"/>
    <cellStyle name="경고문 5 2 3" xfId="8934"/>
    <cellStyle name="경고문 6" xfId="8935"/>
    <cellStyle name="경고문 6 2" xfId="8936"/>
    <cellStyle name="경고문 6 2 2" xfId="8937"/>
    <cellStyle name="경고문 6 2 2 2" xfId="8938"/>
    <cellStyle name="경고문 6 2 3" xfId="8939"/>
    <cellStyle name="경고문 7" xfId="8940"/>
    <cellStyle name="경고문 7 2" xfId="8941"/>
    <cellStyle name="경고문 7 2 2" xfId="8942"/>
    <cellStyle name="경고문 7 2 2 2" xfId="8943"/>
    <cellStyle name="경고문 7 2 3" xfId="8944"/>
    <cellStyle name="경고문 8" xfId="8945"/>
    <cellStyle name="경고문 8 2" xfId="8946"/>
    <cellStyle name="경고문 8 2 2" xfId="8947"/>
    <cellStyle name="경고문 8 2 2 2" xfId="8948"/>
    <cellStyle name="경고문 8 2 3" xfId="8949"/>
    <cellStyle name="경고문 9" xfId="8950"/>
    <cellStyle name="경고문 9 2" xfId="8951"/>
    <cellStyle name="경고문 9 2 2" xfId="8952"/>
    <cellStyle name="경고문 9 2 2 2" xfId="8953"/>
    <cellStyle name="경고문 9 2 2 2 2" xfId="21295"/>
    <cellStyle name="경고문 9 2 3" xfId="8954"/>
    <cellStyle name="경고문 9 2 4" xfId="8955"/>
    <cellStyle name="경고문 9 3" xfId="8956"/>
    <cellStyle name="경고문 9 4" xfId="8957"/>
    <cellStyle name="계산" xfId="11" builtinId="22" customBuiltin="1"/>
    <cellStyle name="계산 10" xfId="8958"/>
    <cellStyle name="계산 10 2" xfId="8959"/>
    <cellStyle name="계산 10 3" xfId="8960"/>
    <cellStyle name="계산 10 3 2" xfId="8961"/>
    <cellStyle name="계산 10 3 3" xfId="20686"/>
    <cellStyle name="계산 10 3 3 2" xfId="21296"/>
    <cellStyle name="계산 10 3 3 3" xfId="21297"/>
    <cellStyle name="계산 10 3 4" xfId="21298"/>
    <cellStyle name="계산 10 3 5" xfId="21299"/>
    <cellStyle name="계산 10 4" xfId="8962"/>
    <cellStyle name="계산 11" xfId="8963"/>
    <cellStyle name="계산 11 2" xfId="8964"/>
    <cellStyle name="계산 11 2 2" xfId="8965"/>
    <cellStyle name="계산 11 2 2 2" xfId="8966"/>
    <cellStyle name="계산 11 2 2 3" xfId="20687"/>
    <cellStyle name="계산 11 2 2 3 2" xfId="21300"/>
    <cellStyle name="계산 11 2 2 3 3" xfId="21301"/>
    <cellStyle name="계산 11 2 2 4" xfId="21302"/>
    <cellStyle name="계산 11 2 2 5" xfId="21303"/>
    <cellStyle name="계산 11 2 3" xfId="8967"/>
    <cellStyle name="계산 11 3" xfId="8968"/>
    <cellStyle name="계산 11 3 2" xfId="8969"/>
    <cellStyle name="계산 11 3 3" xfId="20688"/>
    <cellStyle name="계산 11 3 3 2" xfId="21304"/>
    <cellStyle name="계산 11 3 3 3" xfId="21305"/>
    <cellStyle name="계산 11 3 4" xfId="21306"/>
    <cellStyle name="계산 11 3 5" xfId="21307"/>
    <cellStyle name="계산 11 4" xfId="8970"/>
    <cellStyle name="계산 11 5" xfId="8971"/>
    <cellStyle name="계산 12" xfId="8972"/>
    <cellStyle name="계산 12 2" xfId="8973"/>
    <cellStyle name="계산 12 2 2" xfId="8974"/>
    <cellStyle name="계산 12 2 2 2" xfId="8975"/>
    <cellStyle name="계산 12 2 2 3" xfId="20689"/>
    <cellStyle name="계산 12 2 2 3 2" xfId="21308"/>
    <cellStyle name="계산 12 2 2 3 3" xfId="21309"/>
    <cellStyle name="계산 12 2 2 4" xfId="21310"/>
    <cellStyle name="계산 12 2 2 5" xfId="21311"/>
    <cellStyle name="계산 12 2 3" xfId="8976"/>
    <cellStyle name="계산 12 3" xfId="8977"/>
    <cellStyle name="계산 12 3 2" xfId="8978"/>
    <cellStyle name="계산 12 3 3" xfId="20690"/>
    <cellStyle name="계산 12 3 3 2" xfId="21312"/>
    <cellStyle name="계산 12 3 3 3" xfId="21313"/>
    <cellStyle name="계산 12 3 4" xfId="21314"/>
    <cellStyle name="계산 12 3 5" xfId="21315"/>
    <cellStyle name="계산 12 4" xfId="8979"/>
    <cellStyle name="계산 12 5" xfId="8980"/>
    <cellStyle name="계산 13" xfId="8981"/>
    <cellStyle name="계산 13 2" xfId="8982"/>
    <cellStyle name="계산 13 2 2" xfId="8983"/>
    <cellStyle name="계산 13 2 2 2" xfId="8984"/>
    <cellStyle name="계산 13 2 2 2 2" xfId="21316"/>
    <cellStyle name="계산 13 2 2 3" xfId="20692"/>
    <cellStyle name="계산 13 2 2 3 2" xfId="21317"/>
    <cellStyle name="계산 13 2 2 3 3" xfId="21318"/>
    <cellStyle name="계산 13 2 2 4" xfId="21319"/>
    <cellStyle name="계산 13 2 2 5" xfId="21320"/>
    <cellStyle name="계산 13 2 3" xfId="8985"/>
    <cellStyle name="계산 13 3" xfId="8986"/>
    <cellStyle name="계산 13 3 2" xfId="8987"/>
    <cellStyle name="계산 13 3 2 2" xfId="8988"/>
    <cellStyle name="계산 13 3 2 3" xfId="20693"/>
    <cellStyle name="계산 13 3 2 3 2" xfId="21321"/>
    <cellStyle name="계산 13 3 2 3 3" xfId="21322"/>
    <cellStyle name="계산 13 3 2 4" xfId="21323"/>
    <cellStyle name="계산 13 3 2 5" xfId="21324"/>
    <cellStyle name="계산 13 3 3" xfId="8989"/>
    <cellStyle name="계산 13 4" xfId="8990"/>
    <cellStyle name="계산 13 4 2" xfId="8991"/>
    <cellStyle name="계산 13 4 2 2" xfId="20695"/>
    <cellStyle name="계산 13 4 2 2 2" xfId="21325"/>
    <cellStyle name="계산 13 4 2 2 3" xfId="21326"/>
    <cellStyle name="계산 13 4 2 3" xfId="21327"/>
    <cellStyle name="계산 13 4 2 4" xfId="21328"/>
    <cellStyle name="계산 13 4 3" xfId="20694"/>
    <cellStyle name="계산 13 4 3 2" xfId="21329"/>
    <cellStyle name="계산 13 4 3 3" xfId="21330"/>
    <cellStyle name="계산 13 4 4" xfId="21331"/>
    <cellStyle name="계산 13 4 5" xfId="21332"/>
    <cellStyle name="계산 13 5" xfId="8992"/>
    <cellStyle name="계산 13 5 2" xfId="20696"/>
    <cellStyle name="계산 13 5 2 2" xfId="21333"/>
    <cellStyle name="계산 13 5 2 3" xfId="21334"/>
    <cellStyle name="계산 13 5 3" xfId="21335"/>
    <cellStyle name="계산 13 5 4" xfId="21336"/>
    <cellStyle name="계산 13 6" xfId="20691"/>
    <cellStyle name="계산 13 6 2" xfId="21337"/>
    <cellStyle name="계산 13 6 3" xfId="21338"/>
    <cellStyle name="계산 13 7" xfId="21339"/>
    <cellStyle name="계산 13 8" xfId="21340"/>
    <cellStyle name="계산 14" xfId="8993"/>
    <cellStyle name="계산 14 2" xfId="8994"/>
    <cellStyle name="계산 14 2 2" xfId="20697"/>
    <cellStyle name="계산 14 2 2 2" xfId="21341"/>
    <cellStyle name="계산 14 2 2 3" xfId="21342"/>
    <cellStyle name="계산 14 2 3" xfId="21343"/>
    <cellStyle name="계산 14 2 4" xfId="21344"/>
    <cellStyle name="계산 14 3" xfId="8995"/>
    <cellStyle name="계산 14 4" xfId="8996"/>
    <cellStyle name="계산 14 5" xfId="8997"/>
    <cellStyle name="계산 15" xfId="8998"/>
    <cellStyle name="계산 15 2" xfId="8999"/>
    <cellStyle name="계산 15 2 2" xfId="20698"/>
    <cellStyle name="계산 15 2 2 2" xfId="21345"/>
    <cellStyle name="계산 15 2 2 3" xfId="21346"/>
    <cellStyle name="계산 15 2 3" xfId="21347"/>
    <cellStyle name="계산 15 2 4" xfId="21348"/>
    <cellStyle name="계산 15 3" xfId="9000"/>
    <cellStyle name="계산 15 4" xfId="9001"/>
    <cellStyle name="계산 15 5" xfId="9002"/>
    <cellStyle name="계산 16" xfId="9003"/>
    <cellStyle name="계산 16 2" xfId="9004"/>
    <cellStyle name="계산 16 2 2" xfId="20699"/>
    <cellStyle name="계산 16 2 2 2" xfId="21349"/>
    <cellStyle name="계산 16 2 2 3" xfId="21350"/>
    <cellStyle name="계산 16 2 3" xfId="21351"/>
    <cellStyle name="계산 16 2 4" xfId="21352"/>
    <cellStyle name="계산 16 3" xfId="9005"/>
    <cellStyle name="계산 16 4" xfId="9006"/>
    <cellStyle name="계산 16 5" xfId="9007"/>
    <cellStyle name="계산 17" xfId="9008"/>
    <cellStyle name="계산 17 2" xfId="9009"/>
    <cellStyle name="계산 17 2 2" xfId="20700"/>
    <cellStyle name="계산 17 2 2 2" xfId="21353"/>
    <cellStyle name="계산 17 2 2 3" xfId="21354"/>
    <cellStyle name="계산 17 2 3" xfId="21355"/>
    <cellStyle name="계산 17 2 4" xfId="21356"/>
    <cellStyle name="계산 17 3" xfId="9010"/>
    <cellStyle name="계산 17 4" xfId="9011"/>
    <cellStyle name="계산 17 5" xfId="9012"/>
    <cellStyle name="계산 17 6" xfId="20653"/>
    <cellStyle name="계산 18" xfId="9013"/>
    <cellStyle name="계산 18 2" xfId="9014"/>
    <cellStyle name="계산 18 2 2" xfId="20701"/>
    <cellStyle name="계산 18 2 2 2" xfId="21357"/>
    <cellStyle name="계산 18 2 2 3" xfId="21358"/>
    <cellStyle name="계산 18 2 3" xfId="21359"/>
    <cellStyle name="계산 18 2 4" xfId="21360"/>
    <cellStyle name="계산 18 3" xfId="9015"/>
    <cellStyle name="계산 18 4" xfId="9016"/>
    <cellStyle name="계산 18 5" xfId="9017"/>
    <cellStyle name="계산 19" xfId="9018"/>
    <cellStyle name="계산 19 2" xfId="9019"/>
    <cellStyle name="계산 19 2 2" xfId="20702"/>
    <cellStyle name="계산 19 2 2 2" xfId="21361"/>
    <cellStyle name="계산 19 2 2 3" xfId="21362"/>
    <cellStyle name="계산 19 2 3" xfId="21363"/>
    <cellStyle name="계산 19 2 4" xfId="21364"/>
    <cellStyle name="계산 19 3" xfId="9020"/>
    <cellStyle name="계산 19 4" xfId="9021"/>
    <cellStyle name="계산 19 5" xfId="9022"/>
    <cellStyle name="계산 2" xfId="9023"/>
    <cellStyle name="계산 2 10" xfId="9024"/>
    <cellStyle name="계산 2 11" xfId="9025"/>
    <cellStyle name="계산 2 11 2" xfId="20703"/>
    <cellStyle name="계산 2 11 2 2" xfId="21365"/>
    <cellStyle name="계산 2 11 2 3" xfId="21366"/>
    <cellStyle name="계산 2 11 3" xfId="21367"/>
    <cellStyle name="계산 2 11 4" xfId="21368"/>
    <cellStyle name="계산 2 12" xfId="19686"/>
    <cellStyle name="계산 2 12 2" xfId="20988"/>
    <cellStyle name="계산 2 12 2 2" xfId="21369"/>
    <cellStyle name="계산 2 12 2 3" xfId="21370"/>
    <cellStyle name="계산 2 12 3" xfId="21371"/>
    <cellStyle name="계산 2 12 4" xfId="21372"/>
    <cellStyle name="계산 2 2" xfId="9026"/>
    <cellStyle name="계산 2 2 2" xfId="9027"/>
    <cellStyle name="계산 2 2 2 2" xfId="9028"/>
    <cellStyle name="계산 2 2 2 3" xfId="9029"/>
    <cellStyle name="계산 2 2 2 3 2" xfId="20704"/>
    <cellStyle name="계산 2 2 2 3 2 2" xfId="21373"/>
    <cellStyle name="계산 2 2 2 3 2 3" xfId="21374"/>
    <cellStyle name="계산 2 2 2 3 3" xfId="21375"/>
    <cellStyle name="계산 2 2 2 3 4" xfId="21376"/>
    <cellStyle name="계산 2 2 3" xfId="9030"/>
    <cellStyle name="계산 2 2 3 2" xfId="20705"/>
    <cellStyle name="계산 2 2 3 2 2" xfId="21377"/>
    <cellStyle name="계산 2 2 3 2 3" xfId="21378"/>
    <cellStyle name="계산 2 2 3 3" xfId="21379"/>
    <cellStyle name="계산 2 2 3 4" xfId="21380"/>
    <cellStyle name="계산 2 2 4" xfId="9031"/>
    <cellStyle name="계산 2 2 4 2" xfId="20706"/>
    <cellStyle name="계산 2 2 4 2 2" xfId="21381"/>
    <cellStyle name="계산 2 2 4 2 3" xfId="21382"/>
    <cellStyle name="계산 2 2 4 3" xfId="21383"/>
    <cellStyle name="계산 2 2 4 4" xfId="21384"/>
    <cellStyle name="계산 2 2 5" xfId="20345"/>
    <cellStyle name="계산 2 3" xfId="9032"/>
    <cellStyle name="계산 2 3 2" xfId="9033"/>
    <cellStyle name="계산 2 3 2 2" xfId="9034"/>
    <cellStyle name="계산 2 3 2 2 2" xfId="20708"/>
    <cellStyle name="계산 2 3 2 2 2 2" xfId="21385"/>
    <cellStyle name="계산 2 3 2 2 2 3" xfId="21386"/>
    <cellStyle name="계산 2 3 2 2 3" xfId="21387"/>
    <cellStyle name="계산 2 3 2 2 4" xfId="21388"/>
    <cellStyle name="계산 2 3 2 3" xfId="9035"/>
    <cellStyle name="계산 2 3 2 3 2" xfId="9036"/>
    <cellStyle name="계산 2 3 2 3 2 2" xfId="20709"/>
    <cellStyle name="계산 2 3 2 3 2 2 2" xfId="21389"/>
    <cellStyle name="계산 2 3 2 3 2 2 3" xfId="21390"/>
    <cellStyle name="계산 2 3 2 3 2 3" xfId="21391"/>
    <cellStyle name="계산 2 3 2 3 2 4" xfId="21392"/>
    <cellStyle name="계산 2 3 2 4" xfId="20707"/>
    <cellStyle name="계산 2 3 2 4 2" xfId="21393"/>
    <cellStyle name="계산 2 3 2 4 3" xfId="21394"/>
    <cellStyle name="계산 2 3 2 5" xfId="21395"/>
    <cellStyle name="계산 2 3 2 6" xfId="21396"/>
    <cellStyle name="계산 2 3 3" xfId="9037"/>
    <cellStyle name="계산 2 3 3 2" xfId="20710"/>
    <cellStyle name="계산 2 3 3 2 2" xfId="21397"/>
    <cellStyle name="계산 2 3 3 2 3" xfId="21398"/>
    <cellStyle name="계산 2 3 3 3" xfId="21399"/>
    <cellStyle name="계산 2 3 3 4" xfId="21400"/>
    <cellStyle name="계산 2 3 4" xfId="9038"/>
    <cellStyle name="계산 2 3 4 2" xfId="20711"/>
    <cellStyle name="계산 2 3 4 2 2" xfId="21401"/>
    <cellStyle name="계산 2 3 4 2 3" xfId="21402"/>
    <cellStyle name="계산 2 3 4 3" xfId="21403"/>
    <cellStyle name="계산 2 3 4 4" xfId="21404"/>
    <cellStyle name="계산 2 3 5" xfId="9039"/>
    <cellStyle name="계산 2 3 5 2" xfId="9040"/>
    <cellStyle name="계산 2 3 5 3" xfId="20712"/>
    <cellStyle name="계산 2 3 5 3 2" xfId="21405"/>
    <cellStyle name="계산 2 3 5 3 3" xfId="21406"/>
    <cellStyle name="계산 2 3 5 4" xfId="21407"/>
    <cellStyle name="계산 2 3 5 5" xfId="21408"/>
    <cellStyle name="계산 2 3 6" xfId="9041"/>
    <cellStyle name="계산 2 3 7" xfId="20346"/>
    <cellStyle name="계산 2 4" xfId="9042"/>
    <cellStyle name="계산 2 4 2" xfId="9043"/>
    <cellStyle name="계산 2 4 2 2" xfId="20713"/>
    <cellStyle name="계산 2 4 2 2 2" xfId="21409"/>
    <cellStyle name="계산 2 4 2 2 3" xfId="21410"/>
    <cellStyle name="계산 2 4 2 3" xfId="21411"/>
    <cellStyle name="계산 2 4 2 4" xfId="21412"/>
    <cellStyle name="계산 2 4 3" xfId="9044"/>
    <cellStyle name="계산 2 4 3 2" xfId="20714"/>
    <cellStyle name="계산 2 4 3 2 2" xfId="21413"/>
    <cellStyle name="계산 2 4 3 2 3" xfId="21414"/>
    <cellStyle name="계산 2 4 3 3" xfId="21415"/>
    <cellStyle name="계산 2 4 3 4" xfId="21416"/>
    <cellStyle name="계산 2 4 4" xfId="20347"/>
    <cellStyle name="계산 2 5" xfId="9045"/>
    <cellStyle name="계산 2 5 2" xfId="9046"/>
    <cellStyle name="계산 2 5 2 2" xfId="20715"/>
    <cellStyle name="계산 2 5 2 2 2" xfId="21417"/>
    <cellStyle name="계산 2 5 2 2 3" xfId="21418"/>
    <cellStyle name="계산 2 5 2 3" xfId="21419"/>
    <cellStyle name="계산 2 5 2 4" xfId="21420"/>
    <cellStyle name="계산 2 6" xfId="9047"/>
    <cellStyle name="계산 2 6 2" xfId="20348"/>
    <cellStyle name="계산 2 7" xfId="9048"/>
    <cellStyle name="계산 2 7 2" xfId="20349"/>
    <cellStyle name="계산 2 8" xfId="9049"/>
    <cellStyle name="계산 2 9" xfId="9050"/>
    <cellStyle name="계산 20" xfId="9051"/>
    <cellStyle name="계산 20 2" xfId="9052"/>
    <cellStyle name="계산 20 2 2" xfId="20716"/>
    <cellStyle name="계산 20 2 2 2" xfId="21421"/>
    <cellStyle name="계산 20 2 2 3" xfId="21422"/>
    <cellStyle name="계산 20 2 3" xfId="21423"/>
    <cellStyle name="계산 20 2 4" xfId="21424"/>
    <cellStyle name="계산 20 3" xfId="9053"/>
    <cellStyle name="계산 20 4" xfId="9054"/>
    <cellStyle name="계산 20 5" xfId="9055"/>
    <cellStyle name="계산 21" xfId="9056"/>
    <cellStyle name="계산 21 2" xfId="9057"/>
    <cellStyle name="계산 21 2 2" xfId="20717"/>
    <cellStyle name="계산 21 2 2 2" xfId="21425"/>
    <cellStyle name="계산 21 2 2 3" xfId="21426"/>
    <cellStyle name="계산 21 2 3" xfId="21427"/>
    <cellStyle name="계산 21 2 4" xfId="21428"/>
    <cellStyle name="계산 21 3" xfId="9058"/>
    <cellStyle name="계산 21 4" xfId="9059"/>
    <cellStyle name="계산 21 5" xfId="9060"/>
    <cellStyle name="계산 22" xfId="9061"/>
    <cellStyle name="계산 22 2" xfId="9062"/>
    <cellStyle name="계산 22 2 2" xfId="20718"/>
    <cellStyle name="계산 22 2 2 2" xfId="21429"/>
    <cellStyle name="계산 22 2 2 3" xfId="21430"/>
    <cellStyle name="계산 22 2 3" xfId="21431"/>
    <cellStyle name="계산 22 2 4" xfId="21432"/>
    <cellStyle name="계산 22 3" xfId="9063"/>
    <cellStyle name="계산 22 4" xfId="9064"/>
    <cellStyle name="계산 22 5" xfId="9065"/>
    <cellStyle name="계산 23" xfId="9066"/>
    <cellStyle name="계산 23 2" xfId="9067"/>
    <cellStyle name="계산 23 2 2" xfId="20720"/>
    <cellStyle name="계산 23 2 2 2" xfId="21433"/>
    <cellStyle name="계산 23 2 2 3" xfId="21434"/>
    <cellStyle name="계산 23 2 3" xfId="21435"/>
    <cellStyle name="계산 23 2 4" xfId="21436"/>
    <cellStyle name="계산 23 3" xfId="20719"/>
    <cellStyle name="계산 23 3 2" xfId="21437"/>
    <cellStyle name="계산 23 3 3" xfId="21438"/>
    <cellStyle name="계산 23 4" xfId="21439"/>
    <cellStyle name="계산 23 5" xfId="21440"/>
    <cellStyle name="계산 24" xfId="9068"/>
    <cellStyle name="계산 24 2" xfId="9069"/>
    <cellStyle name="계산 24 2 2" xfId="20722"/>
    <cellStyle name="계산 24 2 2 2" xfId="21441"/>
    <cellStyle name="계산 24 2 2 3" xfId="21442"/>
    <cellStyle name="계산 24 2 3" xfId="21443"/>
    <cellStyle name="계산 24 2 4" xfId="21444"/>
    <cellStyle name="계산 24 3" xfId="20721"/>
    <cellStyle name="계산 24 3 2" xfId="21445"/>
    <cellStyle name="계산 24 3 3" xfId="21446"/>
    <cellStyle name="계산 24 4" xfId="21447"/>
    <cellStyle name="계산 24 5" xfId="21448"/>
    <cellStyle name="계산 25" xfId="9070"/>
    <cellStyle name="계산 26" xfId="9071"/>
    <cellStyle name="계산 26 2" xfId="20723"/>
    <cellStyle name="계산 26 2 2" xfId="21449"/>
    <cellStyle name="계산 26 2 3" xfId="21450"/>
    <cellStyle name="계산 26 3" xfId="21451"/>
    <cellStyle name="계산 26 4" xfId="21452"/>
    <cellStyle name="계산 27" xfId="18207"/>
    <cellStyle name="계산 3" xfId="9072"/>
    <cellStyle name="계산 3 2" xfId="9073"/>
    <cellStyle name="계산 3 2 2" xfId="9074"/>
    <cellStyle name="계산 3 2 2 2" xfId="9075"/>
    <cellStyle name="계산 3 2 2 3" xfId="9076"/>
    <cellStyle name="계산 3 2 2 3 2" xfId="20724"/>
    <cellStyle name="계산 3 2 2 3 2 2" xfId="21453"/>
    <cellStyle name="계산 3 2 2 3 2 3" xfId="21454"/>
    <cellStyle name="계산 3 2 2 3 3" xfId="21455"/>
    <cellStyle name="계산 3 2 2 3 4" xfId="21456"/>
    <cellStyle name="계산 3 2 3" xfId="9077"/>
    <cellStyle name="계산 3 2 3 2" xfId="20725"/>
    <cellStyle name="계산 3 2 3 2 2" xfId="21457"/>
    <cellStyle name="계산 3 2 3 2 3" xfId="21458"/>
    <cellStyle name="계산 3 2 3 3" xfId="21459"/>
    <cellStyle name="계산 3 2 3 4" xfId="21460"/>
    <cellStyle name="계산 3 2 4" xfId="9078"/>
    <cellStyle name="계산 3 2 4 2" xfId="20726"/>
    <cellStyle name="계산 3 2 4 2 2" xfId="21461"/>
    <cellStyle name="계산 3 2 4 2 3" xfId="21462"/>
    <cellStyle name="계산 3 2 4 3" xfId="21463"/>
    <cellStyle name="계산 3 2 4 4" xfId="21464"/>
    <cellStyle name="계산 3 3" xfId="9079"/>
    <cellStyle name="계산 3 3 2" xfId="20350"/>
    <cellStyle name="계산 3 3 3" xfId="20727"/>
    <cellStyle name="계산 3 3 3 2" xfId="21465"/>
    <cellStyle name="계산 3 3 3 3" xfId="21466"/>
    <cellStyle name="계산 3 3 4" xfId="21467"/>
    <cellStyle name="계산 3 3 5" xfId="21468"/>
    <cellStyle name="계산 3 4" xfId="9080"/>
    <cellStyle name="계산 3 4 2" xfId="9081"/>
    <cellStyle name="계산 3 4 3" xfId="9082"/>
    <cellStyle name="계산 3 4 3 2" xfId="20728"/>
    <cellStyle name="계산 3 4 3 2 2" xfId="21469"/>
    <cellStyle name="계산 3 4 3 2 3" xfId="21470"/>
    <cellStyle name="계산 3 4 3 3" xfId="21471"/>
    <cellStyle name="계산 3 4 3 4" xfId="21472"/>
    <cellStyle name="계산 3 4 4" xfId="20351"/>
    <cellStyle name="계산 3 5" xfId="9083"/>
    <cellStyle name="계산 3 5 2" xfId="20729"/>
    <cellStyle name="계산 3 5 2 2" xfId="21473"/>
    <cellStyle name="계산 3 5 2 3" xfId="21474"/>
    <cellStyle name="계산 3 5 3" xfId="21475"/>
    <cellStyle name="계산 3 5 4" xfId="21476"/>
    <cellStyle name="계산 4" xfId="9084"/>
    <cellStyle name="계산 4 2" xfId="9085"/>
    <cellStyle name="계산 4 3" xfId="9086"/>
    <cellStyle name="계산 4 3 2" xfId="20730"/>
    <cellStyle name="계산 4 3 2 2" xfId="21477"/>
    <cellStyle name="계산 4 3 2 3" xfId="21478"/>
    <cellStyle name="계산 4 3 3" xfId="21479"/>
    <cellStyle name="계산 4 3 4" xfId="21480"/>
    <cellStyle name="계산 5" xfId="9087"/>
    <cellStyle name="계산 5 2" xfId="9088"/>
    <cellStyle name="계산 5 2 2" xfId="9089"/>
    <cellStyle name="계산 5 2 2 2" xfId="9090"/>
    <cellStyle name="계산 5 2 2 3" xfId="20731"/>
    <cellStyle name="계산 5 2 2 3 2" xfId="21481"/>
    <cellStyle name="계산 5 2 2 3 3" xfId="21482"/>
    <cellStyle name="계산 5 2 2 4" xfId="21483"/>
    <cellStyle name="계산 5 2 2 5" xfId="21484"/>
    <cellStyle name="계산 5 2 3" xfId="9091"/>
    <cellStyle name="계산 6" xfId="9092"/>
    <cellStyle name="계산 6 2" xfId="9093"/>
    <cellStyle name="계산 6 2 2" xfId="9094"/>
    <cellStyle name="계산 6 2 2 2" xfId="9095"/>
    <cellStyle name="계산 6 2 2 3" xfId="20732"/>
    <cellStyle name="계산 6 2 2 3 2" xfId="21485"/>
    <cellStyle name="계산 6 2 2 3 3" xfId="21486"/>
    <cellStyle name="계산 6 2 2 4" xfId="21487"/>
    <cellStyle name="계산 6 2 2 5" xfId="21488"/>
    <cellStyle name="계산 6 2 3" xfId="9096"/>
    <cellStyle name="계산 7" xfId="9097"/>
    <cellStyle name="계산 7 2" xfId="9098"/>
    <cellStyle name="계산 7 2 2" xfId="9099"/>
    <cellStyle name="계산 7 2 2 2" xfId="9100"/>
    <cellStyle name="계산 7 2 2 3" xfId="20733"/>
    <cellStyle name="계산 7 2 2 3 2" xfId="21489"/>
    <cellStyle name="계산 7 2 2 3 3" xfId="21490"/>
    <cellStyle name="계산 7 2 2 4" xfId="21491"/>
    <cellStyle name="계산 7 2 2 5" xfId="21492"/>
    <cellStyle name="계산 7 2 3" xfId="9101"/>
    <cellStyle name="계산 8" xfId="9102"/>
    <cellStyle name="계산 8 2" xfId="9103"/>
    <cellStyle name="계산 8 2 2" xfId="9104"/>
    <cellStyle name="계산 8 2 2 2" xfId="9105"/>
    <cellStyle name="계산 8 2 2 3" xfId="20734"/>
    <cellStyle name="계산 8 2 2 3 2" xfId="21493"/>
    <cellStyle name="계산 8 2 2 3 3" xfId="21494"/>
    <cellStyle name="계산 8 2 2 4" xfId="21495"/>
    <cellStyle name="계산 8 2 2 5" xfId="21496"/>
    <cellStyle name="계산 8 2 3" xfId="9106"/>
    <cellStyle name="계산 9" xfId="9107"/>
    <cellStyle name="계산 9 2" xfId="9108"/>
    <cellStyle name="계산 9 2 2" xfId="9109"/>
    <cellStyle name="계산 9 2 2 2" xfId="9110"/>
    <cellStyle name="계산 9 2 2 2 2" xfId="21497"/>
    <cellStyle name="계산 9 2 2 3" xfId="20735"/>
    <cellStyle name="계산 9 2 2 3 2" xfId="21498"/>
    <cellStyle name="계산 9 2 2 3 3" xfId="21499"/>
    <cellStyle name="계산 9 2 2 4" xfId="21500"/>
    <cellStyle name="계산 9 2 2 5" xfId="21501"/>
    <cellStyle name="계산 9 2 3" xfId="9111"/>
    <cellStyle name="계산 9 2 4" xfId="9112"/>
    <cellStyle name="계산 9 3" xfId="9113"/>
    <cellStyle name="계산 9 4" xfId="9114"/>
    <cellStyle name="고정소숫점" xfId="20526"/>
    <cellStyle name="고정출력1" xfId="20525"/>
    <cellStyle name="고정출력2" xfId="20524"/>
    <cellStyle name="나쁨" xfId="7" builtinId="27" customBuiltin="1"/>
    <cellStyle name="나쁨 10" xfId="9115"/>
    <cellStyle name="나쁨 10 2" xfId="9116"/>
    <cellStyle name="나쁨 10 3" xfId="9117"/>
    <cellStyle name="나쁨 10 3 2" xfId="9118"/>
    <cellStyle name="나쁨 10 4" xfId="9119"/>
    <cellStyle name="나쁨 11" xfId="9120"/>
    <cellStyle name="나쁨 11 2" xfId="9121"/>
    <cellStyle name="나쁨 11 2 2" xfId="9122"/>
    <cellStyle name="나쁨 11 2 2 2" xfId="9123"/>
    <cellStyle name="나쁨 11 2 3" xfId="9124"/>
    <cellStyle name="나쁨 11 3" xfId="9125"/>
    <cellStyle name="나쁨 11 3 2" xfId="9126"/>
    <cellStyle name="나쁨 11 4" xfId="9127"/>
    <cellStyle name="나쁨 11 5" xfId="9128"/>
    <cellStyle name="나쁨 12" xfId="9129"/>
    <cellStyle name="나쁨 12 2" xfId="9130"/>
    <cellStyle name="나쁨 12 2 2" xfId="9131"/>
    <cellStyle name="나쁨 12 2 2 2" xfId="9132"/>
    <cellStyle name="나쁨 12 2 3" xfId="9133"/>
    <cellStyle name="나쁨 12 3" xfId="9134"/>
    <cellStyle name="나쁨 12 3 2" xfId="9135"/>
    <cellStyle name="나쁨 12 4" xfId="9136"/>
    <cellStyle name="나쁨 12 5" xfId="9137"/>
    <cellStyle name="나쁨 13" xfId="9138"/>
    <cellStyle name="나쁨 13 2" xfId="9139"/>
    <cellStyle name="나쁨 13 2 2" xfId="9140"/>
    <cellStyle name="나쁨 13 2 2 2" xfId="9141"/>
    <cellStyle name="나쁨 13 2 2 2 2" xfId="21502"/>
    <cellStyle name="나쁨 13 2 3" xfId="9142"/>
    <cellStyle name="나쁨 13 3" xfId="9143"/>
    <cellStyle name="나쁨 13 3 2" xfId="9144"/>
    <cellStyle name="나쁨 13 3 2 2" xfId="9145"/>
    <cellStyle name="나쁨 13 3 3" xfId="9146"/>
    <cellStyle name="나쁨 13 4" xfId="9147"/>
    <cellStyle name="나쁨 13 4 2" xfId="9148"/>
    <cellStyle name="나쁨 13 5" xfId="9149"/>
    <cellStyle name="나쁨 14" xfId="9150"/>
    <cellStyle name="나쁨 14 2" xfId="9151"/>
    <cellStyle name="나쁨 14 3" xfId="9152"/>
    <cellStyle name="나쁨 14 4" xfId="9153"/>
    <cellStyle name="나쁨 14 5" xfId="9154"/>
    <cellStyle name="나쁨 15" xfId="9155"/>
    <cellStyle name="나쁨 15 2" xfId="9156"/>
    <cellStyle name="나쁨 15 3" xfId="9157"/>
    <cellStyle name="나쁨 15 4" xfId="9158"/>
    <cellStyle name="나쁨 15 5" xfId="9159"/>
    <cellStyle name="나쁨 16" xfId="9160"/>
    <cellStyle name="나쁨 16 2" xfId="9161"/>
    <cellStyle name="나쁨 16 3" xfId="9162"/>
    <cellStyle name="나쁨 16 4" xfId="9163"/>
    <cellStyle name="나쁨 16 5" xfId="9164"/>
    <cellStyle name="나쁨 17" xfId="9165"/>
    <cellStyle name="나쁨 17 2" xfId="9166"/>
    <cellStyle name="나쁨 17 2 2" xfId="21503"/>
    <cellStyle name="나쁨 17 3" xfId="9167"/>
    <cellStyle name="나쁨 17 4" xfId="9168"/>
    <cellStyle name="나쁨 17 5" xfId="9169"/>
    <cellStyle name="나쁨 17 6" xfId="20649"/>
    <cellStyle name="나쁨 18" xfId="9170"/>
    <cellStyle name="나쁨 18 2" xfId="9171"/>
    <cellStyle name="나쁨 18 3" xfId="9172"/>
    <cellStyle name="나쁨 18 4" xfId="9173"/>
    <cellStyle name="나쁨 18 5" xfId="9174"/>
    <cellStyle name="나쁨 19" xfId="9175"/>
    <cellStyle name="나쁨 19 2" xfId="9176"/>
    <cellStyle name="나쁨 19 3" xfId="9177"/>
    <cellStyle name="나쁨 19 4" xfId="9178"/>
    <cellStyle name="나쁨 19 5" xfId="9179"/>
    <cellStyle name="나쁨 2" xfId="9180"/>
    <cellStyle name="나쁨 2 10" xfId="9181"/>
    <cellStyle name="나쁨 2 11" xfId="9182"/>
    <cellStyle name="나쁨 2 12" xfId="19687"/>
    <cellStyle name="나쁨 2 2" xfId="9183"/>
    <cellStyle name="나쁨 2 2 2" xfId="9184"/>
    <cellStyle name="나쁨 2 2 2 2" xfId="9185"/>
    <cellStyle name="나쁨 2 2 2 3" xfId="9186"/>
    <cellStyle name="나쁨 2 2 3" xfId="9187"/>
    <cellStyle name="나쁨 2 2 4" xfId="9188"/>
    <cellStyle name="나쁨 2 2 5" xfId="20352"/>
    <cellStyle name="나쁨 2 3" xfId="9189"/>
    <cellStyle name="나쁨 2 3 2" xfId="9190"/>
    <cellStyle name="나쁨 2 3 2 2" xfId="9191"/>
    <cellStyle name="나쁨 2 3 2 2 2" xfId="9192"/>
    <cellStyle name="나쁨 2 3 2 2 2 2" xfId="21504"/>
    <cellStyle name="나쁨 2 3 2 3" xfId="9193"/>
    <cellStyle name="나쁨 2 3 3" xfId="9194"/>
    <cellStyle name="나쁨 2 3 3 2" xfId="9195"/>
    <cellStyle name="나쁨 2 3 4" xfId="9196"/>
    <cellStyle name="나쁨 2 3 5" xfId="20353"/>
    <cellStyle name="나쁨 2 4" xfId="9197"/>
    <cellStyle name="나쁨 2 4 2" xfId="20354"/>
    <cellStyle name="나쁨 2 5" xfId="9198"/>
    <cellStyle name="나쁨 2 6" xfId="9199"/>
    <cellStyle name="나쁨 2 6 2" xfId="20355"/>
    <cellStyle name="나쁨 2 7" xfId="9200"/>
    <cellStyle name="나쁨 2 7 2" xfId="20356"/>
    <cellStyle name="나쁨 2 8" xfId="9201"/>
    <cellStyle name="나쁨 2 9" xfId="9202"/>
    <cellStyle name="나쁨 20" xfId="9203"/>
    <cellStyle name="나쁨 20 2" xfId="9204"/>
    <cellStyle name="나쁨 20 3" xfId="9205"/>
    <cellStyle name="나쁨 20 4" xfId="9206"/>
    <cellStyle name="나쁨 20 5" xfId="9207"/>
    <cellStyle name="나쁨 21" xfId="9208"/>
    <cellStyle name="나쁨 21 2" xfId="9209"/>
    <cellStyle name="나쁨 21 3" xfId="9210"/>
    <cellStyle name="나쁨 21 4" xfId="9211"/>
    <cellStyle name="나쁨 21 5" xfId="9212"/>
    <cellStyle name="나쁨 22" xfId="9213"/>
    <cellStyle name="나쁨 22 2" xfId="9214"/>
    <cellStyle name="나쁨 22 3" xfId="9215"/>
    <cellStyle name="나쁨 22 4" xfId="9216"/>
    <cellStyle name="나쁨 22 5" xfId="9217"/>
    <cellStyle name="나쁨 23" xfId="9218"/>
    <cellStyle name="나쁨 23 2" xfId="9219"/>
    <cellStyle name="나쁨 24" xfId="9220"/>
    <cellStyle name="나쁨 24 2" xfId="9221"/>
    <cellStyle name="나쁨 25" xfId="9222"/>
    <cellStyle name="나쁨 26" xfId="9223"/>
    <cellStyle name="나쁨 27" xfId="18203"/>
    <cellStyle name="나쁨 3" xfId="9224"/>
    <cellStyle name="나쁨 3 2" xfId="9225"/>
    <cellStyle name="나쁨 3 2 2" xfId="9226"/>
    <cellStyle name="나쁨 3 2 2 2" xfId="9227"/>
    <cellStyle name="나쁨 3 2 2 3" xfId="9228"/>
    <cellStyle name="나쁨 3 2 3" xfId="9229"/>
    <cellStyle name="나쁨 3 2 4" xfId="9230"/>
    <cellStyle name="나쁨 3 3" xfId="9231"/>
    <cellStyle name="나쁨 3 3 2" xfId="20357"/>
    <cellStyle name="나쁨 3 4" xfId="9232"/>
    <cellStyle name="나쁨 3 4 2" xfId="9233"/>
    <cellStyle name="나쁨 3 4 3" xfId="9234"/>
    <cellStyle name="나쁨 3 4 4" xfId="20358"/>
    <cellStyle name="나쁨 3 5" xfId="9235"/>
    <cellStyle name="나쁨 4" xfId="9236"/>
    <cellStyle name="나쁨 4 2" xfId="9237"/>
    <cellStyle name="나쁨 4 3" xfId="9238"/>
    <cellStyle name="나쁨 5" xfId="9239"/>
    <cellStyle name="나쁨 5 2" xfId="9240"/>
    <cellStyle name="나쁨 5 2 2" xfId="9241"/>
    <cellStyle name="나쁨 5 2 2 2" xfId="9242"/>
    <cellStyle name="나쁨 5 2 3" xfId="9243"/>
    <cellStyle name="나쁨 6" xfId="9244"/>
    <cellStyle name="나쁨 6 2" xfId="9245"/>
    <cellStyle name="나쁨 6 2 2" xfId="9246"/>
    <cellStyle name="나쁨 6 2 2 2" xfId="9247"/>
    <cellStyle name="나쁨 6 2 3" xfId="9248"/>
    <cellStyle name="나쁨 7" xfId="9249"/>
    <cellStyle name="나쁨 7 2" xfId="9250"/>
    <cellStyle name="나쁨 7 2 2" xfId="9251"/>
    <cellStyle name="나쁨 7 2 2 2" xfId="9252"/>
    <cellStyle name="나쁨 7 2 3" xfId="9253"/>
    <cellStyle name="나쁨 8" xfId="9254"/>
    <cellStyle name="나쁨 8 2" xfId="9255"/>
    <cellStyle name="나쁨 8 2 2" xfId="9256"/>
    <cellStyle name="나쁨 8 2 2 2" xfId="9257"/>
    <cellStyle name="나쁨 8 2 3" xfId="9258"/>
    <cellStyle name="나쁨 9" xfId="9259"/>
    <cellStyle name="나쁨 9 2" xfId="9260"/>
    <cellStyle name="나쁨 9 2 2" xfId="9261"/>
    <cellStyle name="나쁨 9 2 2 2" xfId="9262"/>
    <cellStyle name="나쁨 9 2 2 2 2" xfId="21505"/>
    <cellStyle name="나쁨 9 2 3" xfId="9263"/>
    <cellStyle name="나쁨 9 2 4" xfId="9264"/>
    <cellStyle name="나쁨 9 3" xfId="9265"/>
    <cellStyle name="나쁨 9 4" xfId="9266"/>
    <cellStyle name="날짜" xfId="20523"/>
    <cellStyle name="달러" xfId="20522"/>
    <cellStyle name="뒤에 오는 하이퍼링크_01년손익종합" xfId="20521"/>
    <cellStyle name="똿뗦먛귟 [0.00]_PRODUCT DETAIL Q1" xfId="20520"/>
    <cellStyle name="똿뗦먛귟_PRODUCT DETAIL Q1" xfId="19659"/>
    <cellStyle name="메모" xfId="15" builtinId="10" customBuiltin="1"/>
    <cellStyle name="메모 10" xfId="9267"/>
    <cellStyle name="메모 10 2" xfId="9268"/>
    <cellStyle name="메모 10 2 2" xfId="9269"/>
    <cellStyle name="메모 10 2 2 2" xfId="9270"/>
    <cellStyle name="메모 10 2 2 2 2" xfId="9271"/>
    <cellStyle name="메모 10 2 2 3" xfId="9272"/>
    <cellStyle name="메모 10 2 3" xfId="9273"/>
    <cellStyle name="메모 10 2 3 2" xfId="9274"/>
    <cellStyle name="메모 10 2 3 3" xfId="9275"/>
    <cellStyle name="메모 10 2 4" xfId="9276"/>
    <cellStyle name="메모 10 2 5" xfId="9277"/>
    <cellStyle name="메모 10 2 5 2" xfId="9278"/>
    <cellStyle name="메모 10 3" xfId="9279"/>
    <cellStyle name="메모 10 3 2" xfId="9280"/>
    <cellStyle name="메모 10 3 3" xfId="9281"/>
    <cellStyle name="메모 10 3 4" xfId="20737"/>
    <cellStyle name="메모 10 3 4 2" xfId="21506"/>
    <cellStyle name="메모 10 3 4 3" xfId="21507"/>
    <cellStyle name="메모 10 3 5" xfId="21508"/>
    <cellStyle name="메모 10 3 6" xfId="21509"/>
    <cellStyle name="메모 10 4" xfId="9282"/>
    <cellStyle name="메모 10 4 2" xfId="9283"/>
    <cellStyle name="메모 10 4 3" xfId="9284"/>
    <cellStyle name="메모 10 4 3 2" xfId="9285"/>
    <cellStyle name="메모 10 4 3 3" xfId="20738"/>
    <cellStyle name="메모 10 4 3 3 2" xfId="21510"/>
    <cellStyle name="메모 10 4 3 3 3" xfId="21511"/>
    <cellStyle name="메모 10 4 3 4" xfId="21512"/>
    <cellStyle name="메모 10 4 3 5" xfId="21513"/>
    <cellStyle name="메모 10 4 4" xfId="9286"/>
    <cellStyle name="메모 10 5" xfId="9287"/>
    <cellStyle name="메모 10 5 2" xfId="9288"/>
    <cellStyle name="메모 10 5 2 2" xfId="20739"/>
    <cellStyle name="메모 10 5 2 2 2" xfId="21514"/>
    <cellStyle name="메모 10 5 2 2 3" xfId="21515"/>
    <cellStyle name="메모 10 5 2 3" xfId="21516"/>
    <cellStyle name="메모 10 5 2 4" xfId="21517"/>
    <cellStyle name="메모 10 6" xfId="9289"/>
    <cellStyle name="메모 10 6 2" xfId="20740"/>
    <cellStyle name="메모 10 6 2 2" xfId="21518"/>
    <cellStyle name="메모 10 6 2 3" xfId="21519"/>
    <cellStyle name="메모 10 6 3" xfId="21520"/>
    <cellStyle name="메모 10 6 4" xfId="21521"/>
    <cellStyle name="메모 10 7" xfId="20736"/>
    <cellStyle name="메모 10 7 2" xfId="21522"/>
    <cellStyle name="메모 10 7 3" xfId="21523"/>
    <cellStyle name="메모 10 8" xfId="21524"/>
    <cellStyle name="메모 10 9" xfId="21525"/>
    <cellStyle name="메모 11" xfId="9290"/>
    <cellStyle name="메모 11 2" xfId="9291"/>
    <cellStyle name="메모 11 2 2" xfId="9292"/>
    <cellStyle name="메모 11 2 2 2" xfId="9293"/>
    <cellStyle name="메모 11 2 2 3" xfId="9294"/>
    <cellStyle name="메모 11 2 2 3 2" xfId="9295"/>
    <cellStyle name="메모 11 2 2 3 3" xfId="20742"/>
    <cellStyle name="메모 11 2 2 3 3 2" xfId="21526"/>
    <cellStyle name="메모 11 2 2 3 3 3" xfId="21527"/>
    <cellStyle name="메모 11 2 2 3 4" xfId="21528"/>
    <cellStyle name="메모 11 2 2 3 5" xfId="21529"/>
    <cellStyle name="메모 11 2 2 4" xfId="9296"/>
    <cellStyle name="메모 11 2 3" xfId="9297"/>
    <cellStyle name="메모 11 2 4" xfId="9298"/>
    <cellStyle name="메모 11 2 5" xfId="9299"/>
    <cellStyle name="메모 11 2 5 2" xfId="9300"/>
    <cellStyle name="메모 11 3" xfId="9301"/>
    <cellStyle name="메모 11 3 2" xfId="9302"/>
    <cellStyle name="메모 11 3 3" xfId="9303"/>
    <cellStyle name="메모 11 3 4" xfId="20743"/>
    <cellStyle name="메모 11 3 4 2" xfId="21530"/>
    <cellStyle name="메모 11 3 4 3" xfId="21531"/>
    <cellStyle name="메모 11 3 5" xfId="21532"/>
    <cellStyle name="메모 11 3 6" xfId="21533"/>
    <cellStyle name="메모 11 4" xfId="9304"/>
    <cellStyle name="메모 11 4 2" xfId="9305"/>
    <cellStyle name="메모 11 4 3" xfId="9306"/>
    <cellStyle name="메모 11 4 3 2" xfId="9307"/>
    <cellStyle name="메모 11 4 3 3" xfId="20744"/>
    <cellStyle name="메모 11 4 3 3 2" xfId="21534"/>
    <cellStyle name="메모 11 4 3 3 3" xfId="21535"/>
    <cellStyle name="메모 11 4 3 4" xfId="21536"/>
    <cellStyle name="메모 11 4 3 5" xfId="21537"/>
    <cellStyle name="메모 11 4 4" xfId="9308"/>
    <cellStyle name="메모 11 5" xfId="9309"/>
    <cellStyle name="메모 11 5 2" xfId="9310"/>
    <cellStyle name="메모 11 5 2 2" xfId="20745"/>
    <cellStyle name="메모 11 5 2 2 2" xfId="21538"/>
    <cellStyle name="메모 11 5 2 2 3" xfId="21539"/>
    <cellStyle name="메모 11 5 2 3" xfId="21540"/>
    <cellStyle name="메모 11 5 2 4" xfId="21541"/>
    <cellStyle name="메모 11 6" xfId="9311"/>
    <cellStyle name="메모 11 6 2" xfId="20746"/>
    <cellStyle name="메모 11 6 2 2" xfId="21542"/>
    <cellStyle name="메모 11 6 2 3" xfId="21543"/>
    <cellStyle name="메모 11 6 3" xfId="21544"/>
    <cellStyle name="메모 11 6 4" xfId="21545"/>
    <cellStyle name="메모 11 7" xfId="20741"/>
    <cellStyle name="메모 11 7 2" xfId="21546"/>
    <cellStyle name="메모 11 7 3" xfId="21547"/>
    <cellStyle name="메모 11 8" xfId="21548"/>
    <cellStyle name="메모 11 9" xfId="21549"/>
    <cellStyle name="메모 12" xfId="9312"/>
    <cellStyle name="메모 12 2" xfId="9313"/>
    <cellStyle name="메모 12 2 2" xfId="9314"/>
    <cellStyle name="메모 12 2 2 2" xfId="9315"/>
    <cellStyle name="메모 12 2 2 3" xfId="9316"/>
    <cellStyle name="메모 12 2 2 3 2" xfId="9317"/>
    <cellStyle name="메모 12 2 2 3 3" xfId="20748"/>
    <cellStyle name="메모 12 2 2 3 3 2" xfId="21550"/>
    <cellStyle name="메모 12 2 2 3 3 3" xfId="21551"/>
    <cellStyle name="메모 12 2 2 3 4" xfId="21552"/>
    <cellStyle name="메모 12 2 2 3 5" xfId="21553"/>
    <cellStyle name="메모 12 2 2 4" xfId="9318"/>
    <cellStyle name="메모 12 2 3" xfId="9319"/>
    <cellStyle name="메모 12 2 4" xfId="9320"/>
    <cellStyle name="메모 12 2 5" xfId="9321"/>
    <cellStyle name="메모 12 2 5 2" xfId="9322"/>
    <cellStyle name="메모 12 3" xfId="9323"/>
    <cellStyle name="메모 12 3 2" xfId="9324"/>
    <cellStyle name="메모 12 3 3" xfId="9325"/>
    <cellStyle name="메모 12 3 4" xfId="20749"/>
    <cellStyle name="메모 12 3 4 2" xfId="21554"/>
    <cellStyle name="메모 12 3 4 3" xfId="21555"/>
    <cellStyle name="메모 12 3 5" xfId="21556"/>
    <cellStyle name="메모 12 3 6" xfId="21557"/>
    <cellStyle name="메모 12 4" xfId="9326"/>
    <cellStyle name="메모 12 4 2" xfId="9327"/>
    <cellStyle name="메모 12 4 3" xfId="9328"/>
    <cellStyle name="메모 12 4 3 2" xfId="9329"/>
    <cellStyle name="메모 12 4 3 3" xfId="20750"/>
    <cellStyle name="메모 12 4 3 3 2" xfId="21558"/>
    <cellStyle name="메모 12 4 3 3 3" xfId="21559"/>
    <cellStyle name="메모 12 4 3 4" xfId="21560"/>
    <cellStyle name="메모 12 4 3 5" xfId="21561"/>
    <cellStyle name="메모 12 4 4" xfId="9330"/>
    <cellStyle name="메모 12 5" xfId="9331"/>
    <cellStyle name="메모 12 5 2" xfId="9332"/>
    <cellStyle name="메모 12 5 2 2" xfId="20751"/>
    <cellStyle name="메모 12 5 2 2 2" xfId="21562"/>
    <cellStyle name="메모 12 5 2 2 3" xfId="21563"/>
    <cellStyle name="메모 12 5 2 3" xfId="21564"/>
    <cellStyle name="메모 12 5 2 4" xfId="21565"/>
    <cellStyle name="메모 12 6" xfId="9333"/>
    <cellStyle name="메모 12 6 2" xfId="20752"/>
    <cellStyle name="메모 12 6 2 2" xfId="21566"/>
    <cellStyle name="메모 12 6 2 3" xfId="21567"/>
    <cellStyle name="메모 12 6 3" xfId="21568"/>
    <cellStyle name="메모 12 6 4" xfId="21569"/>
    <cellStyle name="메모 12 7" xfId="20747"/>
    <cellStyle name="메모 12 7 2" xfId="21570"/>
    <cellStyle name="메모 12 7 3" xfId="21571"/>
    <cellStyle name="메모 12 8" xfId="21572"/>
    <cellStyle name="메모 12 9" xfId="21573"/>
    <cellStyle name="메모 13" xfId="9334"/>
    <cellStyle name="메모 13 2" xfId="9335"/>
    <cellStyle name="메모 13 2 2" xfId="9336"/>
    <cellStyle name="메모 13 2 2 2" xfId="9337"/>
    <cellStyle name="메모 13 2 2 2 2" xfId="9338"/>
    <cellStyle name="메모 13 2 2 2 2 2" xfId="21574"/>
    <cellStyle name="메모 13 2 2 3" xfId="9339"/>
    <cellStyle name="메모 13 2 3" xfId="9340"/>
    <cellStyle name="메모 13 2 3 2" xfId="9341"/>
    <cellStyle name="메모 13 2 3 3" xfId="20754"/>
    <cellStyle name="메모 13 2 3 3 2" xfId="21575"/>
    <cellStyle name="메모 13 2 3 3 3" xfId="21576"/>
    <cellStyle name="메모 13 2 3 4" xfId="21577"/>
    <cellStyle name="메모 13 2 3 5" xfId="21578"/>
    <cellStyle name="메모 13 3" xfId="9342"/>
    <cellStyle name="메모 13 4" xfId="9343"/>
    <cellStyle name="메모 13 5" xfId="20753"/>
    <cellStyle name="메모 13 5 2" xfId="21579"/>
    <cellStyle name="메모 13 5 3" xfId="21580"/>
    <cellStyle name="메모 13 6" xfId="21581"/>
    <cellStyle name="메모 13 7" xfId="21582"/>
    <cellStyle name="메모 14" xfId="9344"/>
    <cellStyle name="메모 14 2" xfId="9345"/>
    <cellStyle name="메모 14 2 2" xfId="9346"/>
    <cellStyle name="메모 14 2 2 2" xfId="9347"/>
    <cellStyle name="메모 14 2 2 2 2" xfId="21583"/>
    <cellStyle name="메모 14 2 2 3" xfId="20756"/>
    <cellStyle name="메모 14 2 2 3 2" xfId="21584"/>
    <cellStyle name="메모 14 2 2 3 3" xfId="21585"/>
    <cellStyle name="메모 14 2 2 4" xfId="21586"/>
    <cellStyle name="메모 14 2 2 5" xfId="21587"/>
    <cellStyle name="메모 14 2 3" xfId="9348"/>
    <cellStyle name="메모 14 3" xfId="9349"/>
    <cellStyle name="메모 14 4" xfId="20755"/>
    <cellStyle name="메모 14 4 2" xfId="21588"/>
    <cellStyle name="메모 14 4 3" xfId="21589"/>
    <cellStyle name="메모 14 5" xfId="21590"/>
    <cellStyle name="메모 14 6" xfId="21591"/>
    <cellStyle name="메모 15" xfId="9350"/>
    <cellStyle name="메모 15 2" xfId="9351"/>
    <cellStyle name="메모 15 2 2" xfId="9352"/>
    <cellStyle name="메모 15 2 2 2" xfId="9353"/>
    <cellStyle name="메모 15 2 2 2 2" xfId="21592"/>
    <cellStyle name="메모 15 2 2 3" xfId="20757"/>
    <cellStyle name="메모 15 2 2 3 2" xfId="21593"/>
    <cellStyle name="메모 15 2 2 3 3" xfId="21594"/>
    <cellStyle name="메모 15 2 2 4" xfId="21595"/>
    <cellStyle name="메모 15 2 2 5" xfId="21596"/>
    <cellStyle name="메모 15 2 3" xfId="9354"/>
    <cellStyle name="메모 15 2 4" xfId="9355"/>
    <cellStyle name="메모 15 3" xfId="9356"/>
    <cellStyle name="메모 15 3 2" xfId="9357"/>
    <cellStyle name="메모 15 4" xfId="9358"/>
    <cellStyle name="메모 15 5" xfId="9359"/>
    <cellStyle name="메모 15 5 2" xfId="9360"/>
    <cellStyle name="메모 16" xfId="9361"/>
    <cellStyle name="메모 16 2" xfId="9362"/>
    <cellStyle name="메모 16 2 2" xfId="9363"/>
    <cellStyle name="메모 16 2 2 2" xfId="9364"/>
    <cellStyle name="메모 16 2 2 2 2" xfId="21597"/>
    <cellStyle name="메모 16 2 2 3" xfId="20758"/>
    <cellStyle name="메모 16 2 2 3 2" xfId="21598"/>
    <cellStyle name="메모 16 2 2 3 3" xfId="21599"/>
    <cellStyle name="메모 16 2 2 4" xfId="21600"/>
    <cellStyle name="메모 16 2 2 5" xfId="21601"/>
    <cellStyle name="메모 16 2 3" xfId="9365"/>
    <cellStyle name="메모 16 3" xfId="9366"/>
    <cellStyle name="메모 16 4" xfId="9367"/>
    <cellStyle name="메모 16 4 2" xfId="9368"/>
    <cellStyle name="메모 16 5" xfId="9369"/>
    <cellStyle name="메모 17" xfId="9370"/>
    <cellStyle name="메모 17 2" xfId="9371"/>
    <cellStyle name="메모 17 2 2" xfId="9372"/>
    <cellStyle name="메모 17 2 2 2" xfId="9373"/>
    <cellStyle name="메모 17 2 2 3" xfId="20759"/>
    <cellStyle name="메모 17 2 2 3 2" xfId="21602"/>
    <cellStyle name="메모 17 2 2 3 3" xfId="21603"/>
    <cellStyle name="메모 17 2 2 4" xfId="21604"/>
    <cellStyle name="메모 17 2 2 5" xfId="21605"/>
    <cellStyle name="메모 17 2 3" xfId="9374"/>
    <cellStyle name="메모 17 3" xfId="9375"/>
    <cellStyle name="메모 17 4" xfId="9376"/>
    <cellStyle name="메모 17 4 2" xfId="9377"/>
    <cellStyle name="메모 17 5" xfId="9378"/>
    <cellStyle name="메모 18" xfId="9379"/>
    <cellStyle name="메모 18 2" xfId="9380"/>
    <cellStyle name="메모 18 2 2" xfId="9381"/>
    <cellStyle name="메모 18 2 2 2" xfId="9382"/>
    <cellStyle name="메모 18 2 2 3" xfId="20760"/>
    <cellStyle name="메모 18 2 2 3 2" xfId="21606"/>
    <cellStyle name="메모 18 2 2 3 3" xfId="21607"/>
    <cellStyle name="메모 18 2 2 4" xfId="21608"/>
    <cellStyle name="메모 18 2 2 5" xfId="21609"/>
    <cellStyle name="메모 18 2 3" xfId="9383"/>
    <cellStyle name="메모 18 3" xfId="9384"/>
    <cellStyle name="메모 18 4" xfId="9385"/>
    <cellStyle name="메모 18 4 2" xfId="9386"/>
    <cellStyle name="메모 18 5" xfId="9387"/>
    <cellStyle name="메모 19" xfId="9388"/>
    <cellStyle name="메모 19 2" xfId="9389"/>
    <cellStyle name="메모 19 2 2" xfId="9390"/>
    <cellStyle name="메모 19 2 2 2" xfId="9391"/>
    <cellStyle name="메모 19 2 2 3" xfId="20761"/>
    <cellStyle name="메모 19 2 2 3 2" xfId="21610"/>
    <cellStyle name="메모 19 2 2 3 3" xfId="21611"/>
    <cellStyle name="메모 19 2 2 4" xfId="21612"/>
    <cellStyle name="메모 19 2 2 5" xfId="21613"/>
    <cellStyle name="메모 19 2 3" xfId="9392"/>
    <cellStyle name="메모 19 3" xfId="9393"/>
    <cellStyle name="메모 19 4" xfId="9394"/>
    <cellStyle name="메모 19 4 2" xfId="9395"/>
    <cellStyle name="메모 19 5" xfId="9396"/>
    <cellStyle name="메모 2" xfId="9397"/>
    <cellStyle name="메모 2 10" xfId="9398"/>
    <cellStyle name="메모 2 10 2" xfId="9399"/>
    <cellStyle name="메모 2 10 2 2" xfId="9400"/>
    <cellStyle name="메모 2 10 2 2 2" xfId="21614"/>
    <cellStyle name="메모 2 10 3" xfId="9401"/>
    <cellStyle name="메모 2 11" xfId="9402"/>
    <cellStyle name="메모 2 11 2" xfId="9403"/>
    <cellStyle name="메모 2 11 2 2" xfId="9404"/>
    <cellStyle name="메모 2 11 3" xfId="9405"/>
    <cellStyle name="메모 2 12" xfId="9406"/>
    <cellStyle name="메모 2 12 2" xfId="9407"/>
    <cellStyle name="메모 2 12 2 2" xfId="9408"/>
    <cellStyle name="메모 2 12 2 3" xfId="20762"/>
    <cellStyle name="메모 2 12 2 3 2" xfId="21615"/>
    <cellStyle name="메모 2 12 2 3 3" xfId="21616"/>
    <cellStyle name="메모 2 12 2 4" xfId="21617"/>
    <cellStyle name="메모 2 12 2 5" xfId="21618"/>
    <cellStyle name="메모 2 12 3" xfId="9409"/>
    <cellStyle name="메모 2 12 3 2" xfId="20763"/>
    <cellStyle name="메모 2 12 3 2 2" xfId="21619"/>
    <cellStyle name="메모 2 12 3 2 3" xfId="21620"/>
    <cellStyle name="메모 2 12 3 3" xfId="21621"/>
    <cellStyle name="메모 2 12 3 4" xfId="21622"/>
    <cellStyle name="메모 2 13" xfId="9410"/>
    <cellStyle name="메모 2 13 2" xfId="9411"/>
    <cellStyle name="메모 2 14" xfId="9412"/>
    <cellStyle name="메모 2 14 2" xfId="20764"/>
    <cellStyle name="메모 2 14 2 2" xfId="21623"/>
    <cellStyle name="메모 2 14 2 3" xfId="21624"/>
    <cellStyle name="메모 2 14 3" xfId="21625"/>
    <cellStyle name="메모 2 14 4" xfId="21626"/>
    <cellStyle name="메모 2 15" xfId="19688"/>
    <cellStyle name="메모 2 15 2" xfId="20989"/>
    <cellStyle name="메모 2 15 2 2" xfId="21627"/>
    <cellStyle name="메모 2 15 2 3" xfId="21628"/>
    <cellStyle name="메모 2 15 3" xfId="21629"/>
    <cellStyle name="메모 2 15 4" xfId="21630"/>
    <cellStyle name="메모 2 2" xfId="9413"/>
    <cellStyle name="메모 2 2 2" xfId="9414"/>
    <cellStyle name="메모 2 2 2 2" xfId="9415"/>
    <cellStyle name="메모 2 2 2 2 2" xfId="9416"/>
    <cellStyle name="메모 2 2 2 2 2 2" xfId="20359"/>
    <cellStyle name="메모 2 2 2 3" xfId="9417"/>
    <cellStyle name="메모 2 2 2 3 2" xfId="20360"/>
    <cellStyle name="메모 2 2 2 3 3" xfId="20766"/>
    <cellStyle name="메모 2 2 2 3 3 2" xfId="21631"/>
    <cellStyle name="메모 2 2 2 3 3 3" xfId="21632"/>
    <cellStyle name="메모 2 2 2 3 4" xfId="21633"/>
    <cellStyle name="메모 2 2 2 3 5" xfId="21634"/>
    <cellStyle name="메모 2 2 2 4" xfId="9418"/>
    <cellStyle name="메모 2 2 2 5" xfId="9419"/>
    <cellStyle name="메모 2 2 3" xfId="9420"/>
    <cellStyle name="메모 2 2 3 2" xfId="9421"/>
    <cellStyle name="메모 2 2 3 2 2" xfId="9422"/>
    <cellStyle name="메모 2 2 3 2 2 2" xfId="20767"/>
    <cellStyle name="메모 2 2 3 2 2 2 2" xfId="21635"/>
    <cellStyle name="메모 2 2 3 2 2 2 3" xfId="21636"/>
    <cellStyle name="메모 2 2 3 2 2 3" xfId="21637"/>
    <cellStyle name="메모 2 2 3 2 2 4" xfId="21638"/>
    <cellStyle name="메모 2 2 3 2 3" xfId="9423"/>
    <cellStyle name="메모 2 2 3 2 3 2" xfId="9424"/>
    <cellStyle name="메모 2 2 3 2 3 2 2" xfId="20768"/>
    <cellStyle name="메모 2 2 3 2 3 2 2 2" xfId="21639"/>
    <cellStyle name="메모 2 2 3 2 3 2 2 3" xfId="21640"/>
    <cellStyle name="메모 2 2 3 2 3 2 3" xfId="21641"/>
    <cellStyle name="메모 2 2 3 2 3 2 4" xfId="21642"/>
    <cellStyle name="메모 2 2 3 2 4" xfId="9425"/>
    <cellStyle name="메모 2 2 3 3" xfId="9426"/>
    <cellStyle name="메모 2 2 3 3 2" xfId="9427"/>
    <cellStyle name="메모 2 2 3 4" xfId="9428"/>
    <cellStyle name="메모 2 2 3 4 2" xfId="9429"/>
    <cellStyle name="메모 2 2 3 5" xfId="9430"/>
    <cellStyle name="메모 2 2 4" xfId="9431"/>
    <cellStyle name="메모 2 2 4 2" xfId="9432"/>
    <cellStyle name="메모 2 2 4 2 2" xfId="20769"/>
    <cellStyle name="메모 2 2 4 2 2 2" xfId="21643"/>
    <cellStyle name="메모 2 2 4 2 2 3" xfId="21644"/>
    <cellStyle name="메모 2 2 4 2 3" xfId="21645"/>
    <cellStyle name="메모 2 2 4 2 4" xfId="21646"/>
    <cellStyle name="메모 2 2 4 3" xfId="9433"/>
    <cellStyle name="메모 2 2 4 3 2" xfId="9434"/>
    <cellStyle name="메모 2 2 4 3 2 2" xfId="20770"/>
    <cellStyle name="메모 2 2 4 3 2 2 2" xfId="21647"/>
    <cellStyle name="메모 2 2 4 3 2 2 3" xfId="21648"/>
    <cellStyle name="메모 2 2 4 3 2 3" xfId="21649"/>
    <cellStyle name="메모 2 2 4 3 2 4" xfId="21650"/>
    <cellStyle name="메모 2 2 4 4" xfId="9435"/>
    <cellStyle name="메모 2 2 5" xfId="9436"/>
    <cellStyle name="메모 2 2 5 2" xfId="20361"/>
    <cellStyle name="메모 2 2 6" xfId="9437"/>
    <cellStyle name="메모 2 2 6 2" xfId="9438"/>
    <cellStyle name="메모 2 2 6 2 2" xfId="21651"/>
    <cellStyle name="메모 2 2 7" xfId="20765"/>
    <cellStyle name="메모 2 2 7 2" xfId="21652"/>
    <cellStyle name="메모 2 2 7 3" xfId="21653"/>
    <cellStyle name="메모 2 2 8" xfId="21654"/>
    <cellStyle name="메모 2 2 9" xfId="21655"/>
    <cellStyle name="메모 2 3" xfId="9439"/>
    <cellStyle name="메모 2 3 2" xfId="9440"/>
    <cellStyle name="메모 2 3 2 2" xfId="9441"/>
    <cellStyle name="메모 2 3 2 2 2" xfId="20363"/>
    <cellStyle name="메모 2 3 2 2 3" xfId="20362"/>
    <cellStyle name="메모 2 3 2 2 4" xfId="20771"/>
    <cellStyle name="메모 2 3 2 2 4 2" xfId="21656"/>
    <cellStyle name="메모 2 3 2 2 4 3" xfId="21657"/>
    <cellStyle name="메모 2 3 2 2 5" xfId="21658"/>
    <cellStyle name="메모 2 3 2 2 6" xfId="21659"/>
    <cellStyle name="메모 2 3 2 3" xfId="9442"/>
    <cellStyle name="메모 2 3 2 3 2" xfId="20364"/>
    <cellStyle name="메모 2 3 2 3 3" xfId="20772"/>
    <cellStyle name="메모 2 3 2 3 3 2" xfId="21660"/>
    <cellStyle name="메모 2 3 2 3 3 3" xfId="21661"/>
    <cellStyle name="메모 2 3 2 3 4" xfId="21662"/>
    <cellStyle name="메모 2 3 2 3 5" xfId="21663"/>
    <cellStyle name="메모 2 3 3" xfId="9443"/>
    <cellStyle name="메모 2 3 3 2" xfId="9444"/>
    <cellStyle name="메모 2 3 3 2 2" xfId="20365"/>
    <cellStyle name="메모 2 3 3 2 3" xfId="20773"/>
    <cellStyle name="메모 2 3 3 2 3 2" xfId="21664"/>
    <cellStyle name="메모 2 3 3 2 3 3" xfId="21665"/>
    <cellStyle name="메모 2 3 3 2 4" xfId="21666"/>
    <cellStyle name="메모 2 3 3 2 5" xfId="21667"/>
    <cellStyle name="메모 2 3 3 3" xfId="9445"/>
    <cellStyle name="메모 2 3 3 3 2" xfId="9446"/>
    <cellStyle name="메모 2 3 3 3 2 2" xfId="21668"/>
    <cellStyle name="메모 2 3 3 4" xfId="9447"/>
    <cellStyle name="메모 2 3 4" xfId="9448"/>
    <cellStyle name="메모 2 3 4 2" xfId="20366"/>
    <cellStyle name="메모 2 3 4 3" xfId="20774"/>
    <cellStyle name="메모 2 3 4 3 2" xfId="21669"/>
    <cellStyle name="메모 2 3 4 3 3" xfId="21670"/>
    <cellStyle name="메모 2 3 4 4" xfId="21671"/>
    <cellStyle name="메모 2 3 4 5" xfId="21672"/>
    <cellStyle name="메모 2 4" xfId="9449"/>
    <cellStyle name="메모 2 4 2" xfId="9450"/>
    <cellStyle name="메모 2 4 2 2" xfId="9451"/>
    <cellStyle name="메모 2 4 2 2 2" xfId="9452"/>
    <cellStyle name="메모 2 4 2 2 2 2" xfId="20367"/>
    <cellStyle name="메모 2 4 2 2 2 3" xfId="20776"/>
    <cellStyle name="메모 2 4 2 2 2 3 2" xfId="21673"/>
    <cellStyle name="메모 2 4 2 2 2 3 3" xfId="21674"/>
    <cellStyle name="메모 2 4 2 2 2 4" xfId="21675"/>
    <cellStyle name="메모 2 4 2 2 2 5" xfId="21676"/>
    <cellStyle name="메모 2 4 2 3" xfId="9453"/>
    <cellStyle name="메모 2 4 2 3 2" xfId="20368"/>
    <cellStyle name="메모 2 4 2 3 3" xfId="20777"/>
    <cellStyle name="메모 2 4 2 3 3 2" xfId="21677"/>
    <cellStyle name="메모 2 4 2 3 3 3" xfId="21678"/>
    <cellStyle name="메모 2 4 2 3 4" xfId="21679"/>
    <cellStyle name="메모 2 4 2 3 5" xfId="21680"/>
    <cellStyle name="메모 2 4 2 4" xfId="20775"/>
    <cellStyle name="메모 2 4 2 4 2" xfId="21681"/>
    <cellStyle name="메모 2 4 2 4 3" xfId="21682"/>
    <cellStyle name="메모 2 4 2 5" xfId="21683"/>
    <cellStyle name="메모 2 4 2 6" xfId="21684"/>
    <cellStyle name="메모 2 4 3" xfId="9454"/>
    <cellStyle name="메모 2 4 3 2" xfId="20370"/>
    <cellStyle name="메모 2 4 3 3" xfId="20369"/>
    <cellStyle name="메모 2 4 3 4" xfId="20778"/>
    <cellStyle name="메모 2 4 3 4 2" xfId="21685"/>
    <cellStyle name="메모 2 4 3 4 3" xfId="21686"/>
    <cellStyle name="메모 2 4 3 5" xfId="21687"/>
    <cellStyle name="메모 2 4 3 6" xfId="21688"/>
    <cellStyle name="메모 2 4 4" xfId="9455"/>
    <cellStyle name="메모 2 4 5" xfId="21689"/>
    <cellStyle name="메모 2 5" xfId="9456"/>
    <cellStyle name="메모 2 5 2" xfId="9457"/>
    <cellStyle name="메모 2 5 2 2" xfId="9458"/>
    <cellStyle name="메모 2 5 2 2 2" xfId="9459"/>
    <cellStyle name="메모 2 5 2 3" xfId="9460"/>
    <cellStyle name="메모 2 5 2 3 2" xfId="21690"/>
    <cellStyle name="메모 2 5 3" xfId="9461"/>
    <cellStyle name="메모 2 5 3 2" xfId="9462"/>
    <cellStyle name="메모 2 5 3 2 2" xfId="9463"/>
    <cellStyle name="메모 2 5 3 2 2 2" xfId="21691"/>
    <cellStyle name="메모 2 5 3 2 3" xfId="20779"/>
    <cellStyle name="메모 2 5 3 2 3 2" xfId="21692"/>
    <cellStyle name="메모 2 5 3 2 3 3" xfId="21693"/>
    <cellStyle name="메모 2 5 3 2 4" xfId="21694"/>
    <cellStyle name="메모 2 5 3 2 5" xfId="21695"/>
    <cellStyle name="메모 2 5 3 3" xfId="9464"/>
    <cellStyle name="메모 2 5 3 3 2" xfId="20780"/>
    <cellStyle name="메모 2 5 3 3 2 2" xfId="21696"/>
    <cellStyle name="메모 2 5 3 3 2 3" xfId="21697"/>
    <cellStyle name="메모 2 5 3 3 3" xfId="21698"/>
    <cellStyle name="메모 2 5 3 3 4" xfId="21699"/>
    <cellStyle name="메모 2 5 3 4" xfId="20371"/>
    <cellStyle name="메모 2 5 4" xfId="9465"/>
    <cellStyle name="메모 2 5 4 2" xfId="9466"/>
    <cellStyle name="메모 2 5 5" xfId="9467"/>
    <cellStyle name="메모 2 5 5 2" xfId="9468"/>
    <cellStyle name="메모 2 5 6" xfId="9469"/>
    <cellStyle name="메모 2 6" xfId="9470"/>
    <cellStyle name="메모 2 6 2" xfId="9471"/>
    <cellStyle name="메모 2 6 2 2" xfId="9472"/>
    <cellStyle name="메모 2 6 2 2 2" xfId="9473"/>
    <cellStyle name="메모 2 6 2 2 2 2" xfId="20782"/>
    <cellStyle name="메모 2 6 2 2 2 2 2" xfId="21700"/>
    <cellStyle name="메모 2 6 2 2 2 2 3" xfId="21701"/>
    <cellStyle name="메모 2 6 2 2 2 3" xfId="21702"/>
    <cellStyle name="메모 2 6 2 2 2 4" xfId="21703"/>
    <cellStyle name="메모 2 6 2 3" xfId="20781"/>
    <cellStyle name="메모 2 6 2 3 2" xfId="21704"/>
    <cellStyle name="메모 2 6 2 3 3" xfId="21705"/>
    <cellStyle name="메모 2 6 2 4" xfId="21706"/>
    <cellStyle name="메모 2 6 2 5" xfId="21707"/>
    <cellStyle name="메모 2 6 3" xfId="9474"/>
    <cellStyle name="메모 2 6 4" xfId="9475"/>
    <cellStyle name="메모 2 6 4 2" xfId="9476"/>
    <cellStyle name="메모 2 6 4 3" xfId="20783"/>
    <cellStyle name="메모 2 6 4 3 2" xfId="21708"/>
    <cellStyle name="메모 2 6 4 3 3" xfId="21709"/>
    <cellStyle name="메모 2 6 4 4" xfId="21710"/>
    <cellStyle name="메모 2 6 4 5" xfId="21711"/>
    <cellStyle name="메모 2 7" xfId="9477"/>
    <cellStyle name="메모 2 7 2" xfId="9478"/>
    <cellStyle name="메모 2 7 2 2" xfId="20374"/>
    <cellStyle name="메모 2 7 3" xfId="9479"/>
    <cellStyle name="메모 2 7 3 2" xfId="9480"/>
    <cellStyle name="메모 2 7 3 2 2" xfId="21712"/>
    <cellStyle name="메모 2 7 3 3" xfId="20784"/>
    <cellStyle name="메모 2 7 3 3 2" xfId="21713"/>
    <cellStyle name="메모 2 7 3 3 3" xfId="21714"/>
    <cellStyle name="메모 2 7 3 4" xfId="21715"/>
    <cellStyle name="메모 2 7 3 5" xfId="21716"/>
    <cellStyle name="메모 2 7 4" xfId="9481"/>
    <cellStyle name="메모 2 8" xfId="9482"/>
    <cellStyle name="메모 2 8 2" xfId="9483"/>
    <cellStyle name="메모 2 8 2 2" xfId="9484"/>
    <cellStyle name="메모 2 8 3" xfId="9485"/>
    <cellStyle name="메모 2 8 3 2" xfId="21717"/>
    <cellStyle name="메모 2 9" xfId="9486"/>
    <cellStyle name="메모 2 9 2" xfId="9487"/>
    <cellStyle name="메모 2 9 2 2" xfId="9488"/>
    <cellStyle name="메모 2 9 3" xfId="9489"/>
    <cellStyle name="메모 20" xfId="9490"/>
    <cellStyle name="메모 20 2" xfId="9491"/>
    <cellStyle name="메모 20 2 2" xfId="9492"/>
    <cellStyle name="메모 20 2 2 2" xfId="9493"/>
    <cellStyle name="메모 20 2 2 3" xfId="20785"/>
    <cellStyle name="메모 20 2 2 3 2" xfId="21718"/>
    <cellStyle name="메모 20 2 2 3 3" xfId="21719"/>
    <cellStyle name="메모 20 2 2 4" xfId="21720"/>
    <cellStyle name="메모 20 2 2 5" xfId="21721"/>
    <cellStyle name="메모 20 2 3" xfId="9494"/>
    <cellStyle name="메모 20 3" xfId="9495"/>
    <cellStyle name="메모 20 4" xfId="9496"/>
    <cellStyle name="메모 20 4 2" xfId="9497"/>
    <cellStyle name="메모 20 5" xfId="9498"/>
    <cellStyle name="메모 21" xfId="9499"/>
    <cellStyle name="메모 21 2" xfId="9500"/>
    <cellStyle name="메모 21 2 2" xfId="9501"/>
    <cellStyle name="메모 21 2 3" xfId="9502"/>
    <cellStyle name="메모 21 2 3 2" xfId="9503"/>
    <cellStyle name="메모 21 2 3 3" xfId="20787"/>
    <cellStyle name="메모 21 2 3 3 2" xfId="21722"/>
    <cellStyle name="메모 21 2 3 3 3" xfId="21723"/>
    <cellStyle name="메모 21 2 3 4" xfId="21724"/>
    <cellStyle name="메모 21 2 3 5" xfId="21725"/>
    <cellStyle name="메모 21 2 4" xfId="20786"/>
    <cellStyle name="메모 21 2 4 2" xfId="21726"/>
    <cellStyle name="메모 21 2 4 3" xfId="21727"/>
    <cellStyle name="메모 21 2 5" xfId="21728"/>
    <cellStyle name="메모 21 2 6" xfId="21729"/>
    <cellStyle name="메모 21 3" xfId="9504"/>
    <cellStyle name="메모 21 3 2" xfId="9505"/>
    <cellStyle name="메모 21 3 2 2" xfId="9506"/>
    <cellStyle name="메모 21 3 2 3" xfId="20788"/>
    <cellStyle name="메모 21 3 2 3 2" xfId="21730"/>
    <cellStyle name="메모 21 3 2 3 3" xfId="21731"/>
    <cellStyle name="메모 21 3 2 4" xfId="21732"/>
    <cellStyle name="메모 21 3 2 5" xfId="21733"/>
    <cellStyle name="메모 21 3 3" xfId="9507"/>
    <cellStyle name="메모 21 4" xfId="9508"/>
    <cellStyle name="메모 21 4 2" xfId="9509"/>
    <cellStyle name="메모 21 4 2 2" xfId="20789"/>
    <cellStyle name="메모 21 4 2 2 2" xfId="21734"/>
    <cellStyle name="메모 21 4 2 2 3" xfId="21735"/>
    <cellStyle name="메모 21 4 2 3" xfId="21736"/>
    <cellStyle name="메모 21 4 2 4" xfId="21737"/>
    <cellStyle name="메모 21 5" xfId="9510"/>
    <cellStyle name="메모 21 5 2" xfId="20790"/>
    <cellStyle name="메모 21 5 2 2" xfId="21738"/>
    <cellStyle name="메모 21 5 2 3" xfId="21739"/>
    <cellStyle name="메모 21 5 3" xfId="21740"/>
    <cellStyle name="메모 21 5 4" xfId="21741"/>
    <cellStyle name="메모 22" xfId="9511"/>
    <cellStyle name="메모 22 2" xfId="9512"/>
    <cellStyle name="메모 22 2 2" xfId="9513"/>
    <cellStyle name="메모 22 2 2 2" xfId="20791"/>
    <cellStyle name="메모 22 2 2 2 2" xfId="21742"/>
    <cellStyle name="메모 22 2 2 2 3" xfId="21743"/>
    <cellStyle name="메모 22 2 2 3" xfId="21744"/>
    <cellStyle name="메모 22 2 2 4" xfId="21745"/>
    <cellStyle name="메모 22 3" xfId="9514"/>
    <cellStyle name="메모 22 3 2" xfId="9515"/>
    <cellStyle name="메모 22 3 3" xfId="20792"/>
    <cellStyle name="메모 22 3 3 2" xfId="21746"/>
    <cellStyle name="메모 22 3 3 3" xfId="21747"/>
    <cellStyle name="메모 22 3 4" xfId="21748"/>
    <cellStyle name="메모 22 3 5" xfId="21749"/>
    <cellStyle name="메모 22 4" xfId="9516"/>
    <cellStyle name="메모 22 5" xfId="9517"/>
    <cellStyle name="메모 23" xfId="9518"/>
    <cellStyle name="메모 23 2" xfId="9519"/>
    <cellStyle name="메모 23 2 2" xfId="9520"/>
    <cellStyle name="메모 23 2 2 2" xfId="9521"/>
    <cellStyle name="메모 23 2 2 3" xfId="20793"/>
    <cellStyle name="메모 23 2 2 3 2" xfId="21750"/>
    <cellStyle name="메모 23 2 2 3 3" xfId="21751"/>
    <cellStyle name="메모 23 2 2 4" xfId="21752"/>
    <cellStyle name="메모 23 2 2 5" xfId="21753"/>
    <cellStyle name="메모 23 2 3" xfId="9522"/>
    <cellStyle name="메모 23 3" xfId="9523"/>
    <cellStyle name="메모 23 3 2" xfId="9524"/>
    <cellStyle name="메모 23 3 3" xfId="20794"/>
    <cellStyle name="메모 23 3 3 2" xfId="21754"/>
    <cellStyle name="메모 23 3 3 3" xfId="21755"/>
    <cellStyle name="메모 23 3 4" xfId="21756"/>
    <cellStyle name="메모 23 3 5" xfId="21757"/>
    <cellStyle name="메모 23 4" xfId="9525"/>
    <cellStyle name="메모 23 5" xfId="9526"/>
    <cellStyle name="메모 24" xfId="9527"/>
    <cellStyle name="메모 24 2" xfId="9528"/>
    <cellStyle name="메모 24 2 2" xfId="9529"/>
    <cellStyle name="메모 24 2 3" xfId="9530"/>
    <cellStyle name="메모 24 2 4" xfId="20795"/>
    <cellStyle name="메모 24 2 4 2" xfId="21758"/>
    <cellStyle name="메모 24 2 4 3" xfId="21759"/>
    <cellStyle name="메모 24 2 5" xfId="21760"/>
    <cellStyle name="메모 24 2 6" xfId="21761"/>
    <cellStyle name="메모 24 3" xfId="9531"/>
    <cellStyle name="메모 24 4" xfId="9532"/>
    <cellStyle name="메모 24 5" xfId="9533"/>
    <cellStyle name="메모 25" xfId="9534"/>
    <cellStyle name="메모 25 2" xfId="9535"/>
    <cellStyle name="메모 25 2 2" xfId="9536"/>
    <cellStyle name="메모 25 2 3" xfId="9537"/>
    <cellStyle name="메모 25 3" xfId="9538"/>
    <cellStyle name="메모 25 4" xfId="9539"/>
    <cellStyle name="메모 25 5" xfId="9540"/>
    <cellStyle name="메모 26" xfId="9541"/>
    <cellStyle name="메모 26 2" xfId="9542"/>
    <cellStyle name="메모 26 2 2" xfId="9543"/>
    <cellStyle name="메모 26 3" xfId="9544"/>
    <cellStyle name="메모 26 4" xfId="9545"/>
    <cellStyle name="메모 27" xfId="9546"/>
    <cellStyle name="메모 27 2" xfId="9547"/>
    <cellStyle name="메모 27 2 2" xfId="9548"/>
    <cellStyle name="메모 27 3" xfId="9549"/>
    <cellStyle name="메모 27 4" xfId="9550"/>
    <cellStyle name="메모 28" xfId="9551"/>
    <cellStyle name="메모 28 2" xfId="9552"/>
    <cellStyle name="메모 28 2 2" xfId="9553"/>
    <cellStyle name="메모 29" xfId="9554"/>
    <cellStyle name="메모 29 2" xfId="9555"/>
    <cellStyle name="메모 3" xfId="9556"/>
    <cellStyle name="메모 3 10" xfId="20796"/>
    <cellStyle name="메모 3 10 2" xfId="21762"/>
    <cellStyle name="메모 3 10 3" xfId="21763"/>
    <cellStyle name="메모 3 11" xfId="21764"/>
    <cellStyle name="메모 3 12" xfId="21765"/>
    <cellStyle name="메모 3 2" xfId="9557"/>
    <cellStyle name="메모 3 2 2" xfId="9558"/>
    <cellStyle name="메모 3 2 2 2" xfId="9559"/>
    <cellStyle name="메모 3 2 2 2 2" xfId="9560"/>
    <cellStyle name="메모 3 2 2 3" xfId="9561"/>
    <cellStyle name="메모 3 2 2 3 2" xfId="20797"/>
    <cellStyle name="메모 3 2 2 3 2 2" xfId="21766"/>
    <cellStyle name="메모 3 2 2 3 2 3" xfId="21767"/>
    <cellStyle name="메모 3 2 2 3 3" xfId="21768"/>
    <cellStyle name="메모 3 2 2 3 4" xfId="21769"/>
    <cellStyle name="메모 3 2 2 4" xfId="9562"/>
    <cellStyle name="메모 3 2 2 5" xfId="9563"/>
    <cellStyle name="메모 3 2 2 5 2" xfId="9564"/>
    <cellStyle name="메모 3 2 2 6" xfId="9565"/>
    <cellStyle name="메모 3 2 3" xfId="9566"/>
    <cellStyle name="메모 3 2 3 2" xfId="9567"/>
    <cellStyle name="메모 3 2 3 2 2" xfId="9568"/>
    <cellStyle name="메모 3 2 3 2 2 2" xfId="21770"/>
    <cellStyle name="메모 3 2 3 2 3" xfId="20798"/>
    <cellStyle name="메모 3 2 3 2 3 2" xfId="21771"/>
    <cellStyle name="메모 3 2 3 2 3 3" xfId="21772"/>
    <cellStyle name="메모 3 2 3 2 4" xfId="21773"/>
    <cellStyle name="메모 3 2 3 2 5" xfId="21774"/>
    <cellStyle name="메모 3 2 3 3" xfId="9569"/>
    <cellStyle name="메모 3 2 3 3 2" xfId="20799"/>
    <cellStyle name="메모 3 2 3 3 2 2" xfId="21775"/>
    <cellStyle name="메모 3 2 3 3 2 3" xfId="21776"/>
    <cellStyle name="메모 3 2 3 3 3" xfId="21777"/>
    <cellStyle name="메모 3 2 3 3 4" xfId="21778"/>
    <cellStyle name="메모 3 2 3 4" xfId="20375"/>
    <cellStyle name="메모 3 2 4" xfId="9570"/>
    <cellStyle name="메모 3 2 4 2" xfId="20376"/>
    <cellStyle name="메모 3 2 4 3" xfId="20800"/>
    <cellStyle name="메모 3 2 4 3 2" xfId="21779"/>
    <cellStyle name="메모 3 2 4 3 3" xfId="21780"/>
    <cellStyle name="메모 3 2 4 4" xfId="21781"/>
    <cellStyle name="메모 3 2 4 5" xfId="21782"/>
    <cellStyle name="메모 3 2 5" xfId="9571"/>
    <cellStyle name="메모 3 2 5 2" xfId="21783"/>
    <cellStyle name="메모 3 3" xfId="9572"/>
    <cellStyle name="메모 3 3 2" xfId="9573"/>
    <cellStyle name="메모 3 3 2 2" xfId="20801"/>
    <cellStyle name="메모 3 3 2 2 2" xfId="21784"/>
    <cellStyle name="메모 3 3 2 2 3" xfId="21785"/>
    <cellStyle name="메모 3 3 2 3" xfId="21786"/>
    <cellStyle name="메모 3 3 2 4" xfId="21787"/>
    <cellStyle name="메모 3 3 3" xfId="20377"/>
    <cellStyle name="메모 3 4" xfId="9574"/>
    <cellStyle name="메모 3 4 2" xfId="9575"/>
    <cellStyle name="메모 3 4 2 2" xfId="9576"/>
    <cellStyle name="메모 3 4 2 2 2" xfId="20378"/>
    <cellStyle name="메모 3 4 3" xfId="9577"/>
    <cellStyle name="메모 3 4 3 2" xfId="20379"/>
    <cellStyle name="메모 3 4 3 3" xfId="20802"/>
    <cellStyle name="메모 3 4 3 3 2" xfId="21788"/>
    <cellStyle name="메모 3 4 3 3 3" xfId="21789"/>
    <cellStyle name="메모 3 4 3 4" xfId="21790"/>
    <cellStyle name="메모 3 4 3 5" xfId="21791"/>
    <cellStyle name="메모 3 4 4" xfId="9578"/>
    <cellStyle name="메모 3 4 5" xfId="9579"/>
    <cellStyle name="메모 3 5" xfId="9580"/>
    <cellStyle name="메모 3 5 2" xfId="9581"/>
    <cellStyle name="메모 3 5 2 2" xfId="9582"/>
    <cellStyle name="메모 3 5 2 2 2" xfId="9583"/>
    <cellStyle name="메모 3 5 2 2 2 2" xfId="21792"/>
    <cellStyle name="메모 3 5 3" xfId="9584"/>
    <cellStyle name="메모 3 5 3 2" xfId="9585"/>
    <cellStyle name="메모 3 5 4" xfId="9586"/>
    <cellStyle name="메모 3 5 4 2" xfId="9587"/>
    <cellStyle name="메모 3 5 5" xfId="9588"/>
    <cellStyle name="메모 3 6" xfId="9589"/>
    <cellStyle name="메모 3 6 2" xfId="20803"/>
    <cellStyle name="메모 3 6 2 2" xfId="21793"/>
    <cellStyle name="메모 3 6 2 3" xfId="21794"/>
    <cellStyle name="메모 3 6 3" xfId="21795"/>
    <cellStyle name="메모 3 6 4" xfId="21796"/>
    <cellStyle name="메모 3 7" xfId="9590"/>
    <cellStyle name="메모 3 7 2" xfId="9591"/>
    <cellStyle name="메모 3 7 2 2" xfId="9592"/>
    <cellStyle name="메모 3 7 2 3" xfId="20804"/>
    <cellStyle name="메모 3 7 2 3 2" xfId="21797"/>
    <cellStyle name="메모 3 7 2 3 3" xfId="21798"/>
    <cellStyle name="메모 3 7 2 4" xfId="21799"/>
    <cellStyle name="메모 3 7 2 5" xfId="21800"/>
    <cellStyle name="메모 3 8" xfId="9593"/>
    <cellStyle name="메모 3 8 2" xfId="9594"/>
    <cellStyle name="메모 3 8 2 2" xfId="20805"/>
    <cellStyle name="메모 3 8 2 2 2" xfId="21801"/>
    <cellStyle name="메모 3 8 2 2 3" xfId="21802"/>
    <cellStyle name="메모 3 8 2 3" xfId="21803"/>
    <cellStyle name="메모 3 8 2 4" xfId="21804"/>
    <cellStyle name="메모 3 9" xfId="9595"/>
    <cellStyle name="메모 3 9 2" xfId="20806"/>
    <cellStyle name="메모 3 9 2 2" xfId="21805"/>
    <cellStyle name="메모 3 9 2 3" xfId="21806"/>
    <cellStyle name="메모 3 9 3" xfId="21807"/>
    <cellStyle name="메모 3 9 4" xfId="21808"/>
    <cellStyle name="메모 30" xfId="9596"/>
    <cellStyle name="메모 30 2" xfId="9597"/>
    <cellStyle name="메모 31" xfId="9598"/>
    <cellStyle name="메모 32" xfId="9599"/>
    <cellStyle name="메모 33" xfId="9600"/>
    <cellStyle name="메모 34" xfId="9601"/>
    <cellStyle name="메모 34 2" xfId="20807"/>
    <cellStyle name="메모 34 2 2" xfId="21809"/>
    <cellStyle name="메모 34 2 3" xfId="21810"/>
    <cellStyle name="메모 34 3" xfId="21811"/>
    <cellStyle name="메모 34 4" xfId="21812"/>
    <cellStyle name="메모 35" xfId="18211"/>
    <cellStyle name="메모 4" xfId="9602"/>
    <cellStyle name="메모 4 10" xfId="20808"/>
    <cellStyle name="메모 4 10 2" xfId="21813"/>
    <cellStyle name="메모 4 10 3" xfId="21814"/>
    <cellStyle name="메모 4 11" xfId="21815"/>
    <cellStyle name="메모 4 12" xfId="21816"/>
    <cellStyle name="메모 4 2" xfId="9603"/>
    <cellStyle name="메모 4 2 2" xfId="9604"/>
    <cellStyle name="메모 4 2 2 2" xfId="9605"/>
    <cellStyle name="메모 4 2 2 2 2" xfId="9606"/>
    <cellStyle name="메모 4 2 2 3" xfId="9607"/>
    <cellStyle name="메모 4 2 3" xfId="9608"/>
    <cellStyle name="메모 4 3" xfId="9609"/>
    <cellStyle name="메모 4 4" xfId="9610"/>
    <cellStyle name="메모 4 4 2" xfId="9611"/>
    <cellStyle name="메모 4 4 3" xfId="9612"/>
    <cellStyle name="메모 4 5" xfId="9613"/>
    <cellStyle name="메모 4 5 2" xfId="9614"/>
    <cellStyle name="메모 4 5 2 2" xfId="9615"/>
    <cellStyle name="메모 4 5 2 2 2" xfId="9616"/>
    <cellStyle name="메모 4 5 3" xfId="9617"/>
    <cellStyle name="메모 4 5 3 2" xfId="9618"/>
    <cellStyle name="메모 4 5 4" xfId="9619"/>
    <cellStyle name="메모 4 5 4 2" xfId="9620"/>
    <cellStyle name="메모 4 5 5" xfId="9621"/>
    <cellStyle name="메모 4 6" xfId="9622"/>
    <cellStyle name="메모 4 6 2" xfId="9623"/>
    <cellStyle name="메모 4 6 3" xfId="9624"/>
    <cellStyle name="메모 4 6 4" xfId="20809"/>
    <cellStyle name="메모 4 6 4 2" xfId="21817"/>
    <cellStyle name="메모 4 6 4 3" xfId="21818"/>
    <cellStyle name="메모 4 6 5" xfId="21819"/>
    <cellStyle name="메모 4 6 6" xfId="21820"/>
    <cellStyle name="메모 4 7" xfId="9625"/>
    <cellStyle name="메모 4 7 2" xfId="9626"/>
    <cellStyle name="메모 4 7 2 2" xfId="9627"/>
    <cellStyle name="메모 4 7 2 3" xfId="20810"/>
    <cellStyle name="메모 4 7 2 3 2" xfId="21821"/>
    <cellStyle name="메모 4 7 2 3 3" xfId="21822"/>
    <cellStyle name="메모 4 7 2 4" xfId="21823"/>
    <cellStyle name="메모 4 7 2 5" xfId="21824"/>
    <cellStyle name="메모 4 8" xfId="9628"/>
    <cellStyle name="메모 4 8 2" xfId="9629"/>
    <cellStyle name="메모 4 8 2 2" xfId="20811"/>
    <cellStyle name="메모 4 8 2 2 2" xfId="21825"/>
    <cellStyle name="메모 4 8 2 2 3" xfId="21826"/>
    <cellStyle name="메모 4 8 2 3" xfId="21827"/>
    <cellStyle name="메모 4 8 2 4" xfId="21828"/>
    <cellStyle name="메모 4 9" xfId="9630"/>
    <cellStyle name="메모 4 9 2" xfId="20812"/>
    <cellStyle name="메모 4 9 2 2" xfId="21829"/>
    <cellStyle name="메모 4 9 2 3" xfId="21830"/>
    <cellStyle name="메모 4 9 3" xfId="21831"/>
    <cellStyle name="메모 4 9 4" xfId="21832"/>
    <cellStyle name="메모 5" xfId="9631"/>
    <cellStyle name="메모 5 10" xfId="21833"/>
    <cellStyle name="메모 5 2" xfId="9632"/>
    <cellStyle name="메모 5 2 2" xfId="9633"/>
    <cellStyle name="메모 5 2 2 2" xfId="9634"/>
    <cellStyle name="메모 5 2 2 2 2" xfId="9635"/>
    <cellStyle name="메모 5 2 2 3" xfId="9636"/>
    <cellStyle name="메모 5 2 3" xfId="9637"/>
    <cellStyle name="메모 5 3" xfId="9638"/>
    <cellStyle name="메모 5 3 2" xfId="9639"/>
    <cellStyle name="메모 5 3 2 2" xfId="9640"/>
    <cellStyle name="메모 5 3 2 2 2" xfId="9641"/>
    <cellStyle name="메모 5 3 3" xfId="9642"/>
    <cellStyle name="메모 5 3 3 2" xfId="9643"/>
    <cellStyle name="메모 5 3 4" xfId="9644"/>
    <cellStyle name="메모 5 3 4 2" xfId="9645"/>
    <cellStyle name="메모 5 3 5" xfId="9646"/>
    <cellStyle name="메모 5 4" xfId="9647"/>
    <cellStyle name="메모 5 4 2" xfId="9648"/>
    <cellStyle name="메모 5 4 3" xfId="9649"/>
    <cellStyle name="메모 5 4 4" xfId="20814"/>
    <cellStyle name="메모 5 4 4 2" xfId="21834"/>
    <cellStyle name="메모 5 4 4 3" xfId="21835"/>
    <cellStyle name="메모 5 4 5" xfId="21836"/>
    <cellStyle name="메모 5 4 6" xfId="21837"/>
    <cellStyle name="메모 5 5" xfId="9650"/>
    <cellStyle name="메모 5 5 2" xfId="9651"/>
    <cellStyle name="메모 5 5 2 2" xfId="9652"/>
    <cellStyle name="메모 5 5 2 3" xfId="20815"/>
    <cellStyle name="메모 5 5 2 3 2" xfId="21838"/>
    <cellStyle name="메모 5 5 2 3 3" xfId="21839"/>
    <cellStyle name="메모 5 5 2 4" xfId="21840"/>
    <cellStyle name="메모 5 5 2 5" xfId="21841"/>
    <cellStyle name="메모 5 6" xfId="9653"/>
    <cellStyle name="메모 5 6 2" xfId="9654"/>
    <cellStyle name="메모 5 6 2 2" xfId="20816"/>
    <cellStyle name="메모 5 6 2 2 2" xfId="21842"/>
    <cellStyle name="메모 5 6 2 2 3" xfId="21843"/>
    <cellStyle name="메모 5 6 2 3" xfId="21844"/>
    <cellStyle name="메모 5 6 2 4" xfId="21845"/>
    <cellStyle name="메모 5 7" xfId="9655"/>
    <cellStyle name="메모 5 7 2" xfId="20817"/>
    <cellStyle name="메모 5 7 2 2" xfId="21846"/>
    <cellStyle name="메모 5 7 2 3" xfId="21847"/>
    <cellStyle name="메모 5 7 3" xfId="21848"/>
    <cellStyle name="메모 5 7 4" xfId="21849"/>
    <cellStyle name="메모 5 8" xfId="20813"/>
    <cellStyle name="메모 5 8 2" xfId="21850"/>
    <cellStyle name="메모 5 8 3" xfId="21851"/>
    <cellStyle name="메모 5 9" xfId="21852"/>
    <cellStyle name="메모 6" xfId="9656"/>
    <cellStyle name="메모 6 10" xfId="21853"/>
    <cellStyle name="메모 6 2" xfId="9657"/>
    <cellStyle name="메모 6 2 2" xfId="9658"/>
    <cellStyle name="메모 6 2 2 2" xfId="9659"/>
    <cellStyle name="메모 6 2 2 2 2" xfId="9660"/>
    <cellStyle name="메모 6 2 2 3" xfId="9661"/>
    <cellStyle name="메모 6 2 3" xfId="9662"/>
    <cellStyle name="메모 6 3" xfId="9663"/>
    <cellStyle name="메모 6 3 2" xfId="9664"/>
    <cellStyle name="메모 6 3 2 2" xfId="9665"/>
    <cellStyle name="메모 6 3 2 2 2" xfId="9666"/>
    <cellStyle name="메모 6 3 3" xfId="9667"/>
    <cellStyle name="메모 6 3 3 2" xfId="9668"/>
    <cellStyle name="메모 6 3 4" xfId="9669"/>
    <cellStyle name="메모 6 3 4 2" xfId="9670"/>
    <cellStyle name="메모 6 3 5" xfId="9671"/>
    <cellStyle name="메모 6 4" xfId="9672"/>
    <cellStyle name="메모 6 4 2" xfId="9673"/>
    <cellStyle name="메모 6 4 3" xfId="9674"/>
    <cellStyle name="메모 6 4 4" xfId="20819"/>
    <cellStyle name="메모 6 4 4 2" xfId="21854"/>
    <cellStyle name="메모 6 4 4 3" xfId="21855"/>
    <cellStyle name="메모 6 4 5" xfId="21856"/>
    <cellStyle name="메모 6 4 6" xfId="21857"/>
    <cellStyle name="메모 6 5" xfId="9675"/>
    <cellStyle name="메모 6 5 2" xfId="9676"/>
    <cellStyle name="메모 6 5 2 2" xfId="20820"/>
    <cellStyle name="메모 6 5 2 2 2" xfId="21858"/>
    <cellStyle name="메모 6 5 2 2 3" xfId="21859"/>
    <cellStyle name="메모 6 5 2 3" xfId="21860"/>
    <cellStyle name="메모 6 5 2 4" xfId="21861"/>
    <cellStyle name="메모 6 6" xfId="9677"/>
    <cellStyle name="메모 6 6 2" xfId="20821"/>
    <cellStyle name="메모 6 6 2 2" xfId="21862"/>
    <cellStyle name="메모 6 6 2 3" xfId="21863"/>
    <cellStyle name="메모 6 6 3" xfId="21864"/>
    <cellStyle name="메모 6 6 4" xfId="21865"/>
    <cellStyle name="메모 6 7" xfId="9678"/>
    <cellStyle name="메모 6 7 2" xfId="20822"/>
    <cellStyle name="메모 6 7 2 2" xfId="21866"/>
    <cellStyle name="메모 6 7 2 3" xfId="21867"/>
    <cellStyle name="메모 6 7 3" xfId="21868"/>
    <cellStyle name="메모 6 7 4" xfId="21869"/>
    <cellStyle name="메모 6 8" xfId="20818"/>
    <cellStyle name="메모 6 8 2" xfId="21870"/>
    <cellStyle name="메모 6 8 3" xfId="21871"/>
    <cellStyle name="메모 6 9" xfId="21872"/>
    <cellStyle name="메모 7" xfId="9679"/>
    <cellStyle name="메모 7 10" xfId="21873"/>
    <cellStyle name="메모 7 2" xfId="9680"/>
    <cellStyle name="메모 7 2 2" xfId="9681"/>
    <cellStyle name="메모 7 2 2 2" xfId="9682"/>
    <cellStyle name="메모 7 2 2 2 2" xfId="9683"/>
    <cellStyle name="메모 7 2 2 3" xfId="9684"/>
    <cellStyle name="메모 7 2 3" xfId="9685"/>
    <cellStyle name="메모 7 3" xfId="9686"/>
    <cellStyle name="메모 7 3 2" xfId="9687"/>
    <cellStyle name="메모 7 3 2 2" xfId="9688"/>
    <cellStyle name="메모 7 3 2 2 2" xfId="9689"/>
    <cellStyle name="메모 7 3 3" xfId="9690"/>
    <cellStyle name="메모 7 3 3 2" xfId="9691"/>
    <cellStyle name="메모 7 3 4" xfId="9692"/>
    <cellStyle name="메모 7 3 4 2" xfId="9693"/>
    <cellStyle name="메모 7 3 5" xfId="9694"/>
    <cellStyle name="메모 7 4" xfId="9695"/>
    <cellStyle name="메모 7 4 2" xfId="9696"/>
    <cellStyle name="메모 7 4 3" xfId="9697"/>
    <cellStyle name="메모 7 4 4" xfId="20824"/>
    <cellStyle name="메모 7 4 4 2" xfId="21874"/>
    <cellStyle name="메모 7 4 4 3" xfId="21875"/>
    <cellStyle name="메모 7 4 5" xfId="21876"/>
    <cellStyle name="메모 7 4 6" xfId="21877"/>
    <cellStyle name="메모 7 5" xfId="9698"/>
    <cellStyle name="메모 7 5 2" xfId="9699"/>
    <cellStyle name="메모 7 5 2 2" xfId="20825"/>
    <cellStyle name="메모 7 5 2 2 2" xfId="21878"/>
    <cellStyle name="메모 7 5 2 2 3" xfId="21879"/>
    <cellStyle name="메모 7 5 2 3" xfId="21880"/>
    <cellStyle name="메모 7 5 2 4" xfId="21881"/>
    <cellStyle name="메모 7 6" xfId="9700"/>
    <cellStyle name="메모 7 6 2" xfId="20826"/>
    <cellStyle name="메모 7 6 2 2" xfId="21882"/>
    <cellStyle name="메모 7 6 2 3" xfId="21883"/>
    <cellStyle name="메모 7 6 3" xfId="21884"/>
    <cellStyle name="메모 7 6 4" xfId="21885"/>
    <cellStyle name="메모 7 7" xfId="9701"/>
    <cellStyle name="메모 7 7 2" xfId="20827"/>
    <cellStyle name="메모 7 7 2 2" xfId="21886"/>
    <cellStyle name="메모 7 7 2 3" xfId="21887"/>
    <cellStyle name="메모 7 7 3" xfId="21888"/>
    <cellStyle name="메모 7 7 4" xfId="21889"/>
    <cellStyle name="메모 7 8" xfId="20823"/>
    <cellStyle name="메모 7 8 2" xfId="21890"/>
    <cellStyle name="메모 7 8 3" xfId="21891"/>
    <cellStyle name="메모 7 9" xfId="21892"/>
    <cellStyle name="메모 8" xfId="9702"/>
    <cellStyle name="메모 8 2" xfId="9703"/>
    <cellStyle name="메모 8 2 2" xfId="9704"/>
    <cellStyle name="메모 8 2 2 2" xfId="9705"/>
    <cellStyle name="메모 8 2 2 2 2" xfId="9706"/>
    <cellStyle name="메모 8 2 2 3" xfId="9707"/>
    <cellStyle name="메모 8 2 3" xfId="9708"/>
    <cellStyle name="메모 8 3" xfId="9709"/>
    <cellStyle name="메모 8 3 2" xfId="9710"/>
    <cellStyle name="메모 8 3 3" xfId="9711"/>
    <cellStyle name="메모 8 3 4" xfId="20829"/>
    <cellStyle name="메모 8 3 4 2" xfId="21893"/>
    <cellStyle name="메모 8 3 4 3" xfId="21894"/>
    <cellStyle name="메모 8 3 5" xfId="21895"/>
    <cellStyle name="메모 8 3 6" xfId="21896"/>
    <cellStyle name="메모 8 4" xfId="9712"/>
    <cellStyle name="메모 8 4 2" xfId="9713"/>
    <cellStyle name="메모 8 4 2 2" xfId="20830"/>
    <cellStyle name="메모 8 4 2 2 2" xfId="21897"/>
    <cellStyle name="메모 8 4 2 2 3" xfId="21898"/>
    <cellStyle name="메모 8 4 2 3" xfId="21899"/>
    <cellStyle name="메모 8 4 2 4" xfId="21900"/>
    <cellStyle name="메모 8 5" xfId="9714"/>
    <cellStyle name="메모 8 5 2" xfId="20831"/>
    <cellStyle name="메모 8 5 2 2" xfId="21901"/>
    <cellStyle name="메모 8 5 2 3" xfId="21902"/>
    <cellStyle name="메모 8 5 3" xfId="21903"/>
    <cellStyle name="메모 8 5 4" xfId="21904"/>
    <cellStyle name="메모 8 6" xfId="9715"/>
    <cellStyle name="메모 8 6 2" xfId="20832"/>
    <cellStyle name="메모 8 6 2 2" xfId="21905"/>
    <cellStyle name="메모 8 6 2 3" xfId="21906"/>
    <cellStyle name="메모 8 6 3" xfId="21907"/>
    <cellStyle name="메모 8 6 4" xfId="21908"/>
    <cellStyle name="메모 8 7" xfId="20828"/>
    <cellStyle name="메모 8 7 2" xfId="21909"/>
    <cellStyle name="메모 8 7 3" xfId="21910"/>
    <cellStyle name="메모 8 8" xfId="21911"/>
    <cellStyle name="메모 8 9" xfId="21912"/>
    <cellStyle name="메모 9" xfId="9716"/>
    <cellStyle name="메모 9 2" xfId="9717"/>
    <cellStyle name="메모 9 2 2" xfId="9718"/>
    <cellStyle name="메모 9 2 2 2" xfId="9719"/>
    <cellStyle name="메모 9 2 2 2 2" xfId="9720"/>
    <cellStyle name="메모 9 2 2 2 2 2" xfId="21913"/>
    <cellStyle name="메모 9 2 2 3" xfId="9721"/>
    <cellStyle name="메모 9 2 3" xfId="9722"/>
    <cellStyle name="메모 9 2 3 2" xfId="9723"/>
    <cellStyle name="메모 9 2 3 3" xfId="9724"/>
    <cellStyle name="메모 9 2 4" xfId="9725"/>
    <cellStyle name="메모 9 2 4 2" xfId="9726"/>
    <cellStyle name="메모 9 2 5" xfId="9727"/>
    <cellStyle name="메모 9 2 5 2" xfId="9728"/>
    <cellStyle name="메모 9 2 6" xfId="9729"/>
    <cellStyle name="메모 9 3" xfId="9730"/>
    <cellStyle name="메모 9 3 2" xfId="9731"/>
    <cellStyle name="메모 9 3 3" xfId="9732"/>
    <cellStyle name="메모 9 3 4" xfId="20834"/>
    <cellStyle name="메모 9 3 4 2" xfId="21914"/>
    <cellStyle name="메모 9 3 4 3" xfId="21915"/>
    <cellStyle name="메모 9 3 5" xfId="21916"/>
    <cellStyle name="메모 9 3 6" xfId="21917"/>
    <cellStyle name="메모 9 4" xfId="9733"/>
    <cellStyle name="메모 9 4 2" xfId="9734"/>
    <cellStyle name="메모 9 4 2 2" xfId="9735"/>
    <cellStyle name="메모 9 4 2 3" xfId="20835"/>
    <cellStyle name="메모 9 4 2 3 2" xfId="21918"/>
    <cellStyle name="메모 9 4 2 3 3" xfId="21919"/>
    <cellStyle name="메모 9 4 2 4" xfId="21920"/>
    <cellStyle name="메모 9 4 2 5" xfId="21921"/>
    <cellStyle name="메모 9 5" xfId="9736"/>
    <cellStyle name="메모 9 5 2" xfId="9737"/>
    <cellStyle name="메모 9 5 2 2" xfId="20836"/>
    <cellStyle name="메모 9 5 2 2 2" xfId="21922"/>
    <cellStyle name="메모 9 5 2 2 3" xfId="21923"/>
    <cellStyle name="메모 9 5 2 3" xfId="21924"/>
    <cellStyle name="메모 9 5 2 4" xfId="21925"/>
    <cellStyle name="메모 9 6" xfId="9738"/>
    <cellStyle name="메모 9 6 2" xfId="20837"/>
    <cellStyle name="메모 9 6 2 2" xfId="21926"/>
    <cellStyle name="메모 9 6 2 3" xfId="21927"/>
    <cellStyle name="메모 9 6 3" xfId="21928"/>
    <cellStyle name="메모 9 6 4" xfId="21929"/>
    <cellStyle name="메모 9 7" xfId="20833"/>
    <cellStyle name="메모 9 7 2" xfId="21930"/>
    <cellStyle name="메모 9 7 3" xfId="21931"/>
    <cellStyle name="메모 9 8" xfId="21932"/>
    <cellStyle name="메모 9 9" xfId="21933"/>
    <cellStyle name="믅됞 [0.00]_PRODUCT DETAIL Q1" xfId="20519"/>
    <cellStyle name="믅됞_PRODUCT DETAIL Q1" xfId="20518"/>
    <cellStyle name="백분율" xfId="23076" builtinId="5"/>
    <cellStyle name="백분율 10" xfId="9739"/>
    <cellStyle name="백분율 10 2" xfId="9740"/>
    <cellStyle name="백분율 2" xfId="9741"/>
    <cellStyle name="백분율 2 2" xfId="9742"/>
    <cellStyle name="백분율 2 2 2" xfId="20671"/>
    <cellStyle name="백분율 2 3" xfId="9743"/>
    <cellStyle name="백분율 2 3 2" xfId="9744"/>
    <cellStyle name="백분율 2 3 2 2" xfId="21934"/>
    <cellStyle name="백분율 2 3 3" xfId="20638"/>
    <cellStyle name="백분율 2 4" xfId="9745"/>
    <cellStyle name="백분율 2 4 2" xfId="21935"/>
    <cellStyle name="백분율 2 5" xfId="9746"/>
    <cellStyle name="백분율 2 6" xfId="9747"/>
    <cellStyle name="백분율 2 7" xfId="20190"/>
    <cellStyle name="백분율 2 8" xfId="21001"/>
    <cellStyle name="백분율 3" xfId="9748"/>
    <cellStyle name="백분율 3 2" xfId="9749"/>
    <cellStyle name="백분율 3 2 2" xfId="9750"/>
    <cellStyle name="백분율 3 2 3" xfId="9751"/>
    <cellStyle name="백분율 3 2 4" xfId="9752"/>
    <cellStyle name="백분율 3 3" xfId="9753"/>
    <cellStyle name="백분율 3 3 2" xfId="9754"/>
    <cellStyle name="백분율 3 3 2 2" xfId="21936"/>
    <cellStyle name="백분율 3 4" xfId="9755"/>
    <cellStyle name="백분율 3 5" xfId="20197"/>
    <cellStyle name="백분율 4" xfId="9756"/>
    <cellStyle name="백분율 4 2" xfId="9757"/>
    <cellStyle name="백분율 4 2 2" xfId="21937"/>
    <cellStyle name="백분율 4 3" xfId="20673"/>
    <cellStyle name="백분율 5" xfId="9758"/>
    <cellStyle name="백분율 5 2" xfId="9759"/>
    <cellStyle name="백분율 5 2 2" xfId="9760"/>
    <cellStyle name="백분율 5 2 2 2" xfId="21938"/>
    <cellStyle name="백분율 5 3" xfId="9761"/>
    <cellStyle name="백분율 5 3 2" xfId="9762"/>
    <cellStyle name="백분율 5 4" xfId="9763"/>
    <cellStyle name="백분율 5 4 2" xfId="9764"/>
    <cellStyle name="백분율 5 5" xfId="9765"/>
    <cellStyle name="백분율 5 6" xfId="20675"/>
    <cellStyle name="백분율 6" xfId="9766"/>
    <cellStyle name="백분율 6 2" xfId="9767"/>
    <cellStyle name="백분율 6 2 2" xfId="21939"/>
    <cellStyle name="백분율 6 3" xfId="9768"/>
    <cellStyle name="백분율 6 4" xfId="20676"/>
    <cellStyle name="백분율 7" xfId="9769"/>
    <cellStyle name="백분율 7 2" xfId="9770"/>
    <cellStyle name="백분율 8" xfId="9771"/>
    <cellStyle name="백분율 8 2" xfId="9772"/>
    <cellStyle name="백분율 9" xfId="9773"/>
    <cellStyle name="백분율 9 2" xfId="9774"/>
    <cellStyle name="보통" xfId="8" builtinId="28" customBuiltin="1"/>
    <cellStyle name="보통 10" xfId="9775"/>
    <cellStyle name="보통 10 2" xfId="9776"/>
    <cellStyle name="보통 10 3" xfId="9777"/>
    <cellStyle name="보통 10 3 2" xfId="9778"/>
    <cellStyle name="보통 10 4" xfId="9779"/>
    <cellStyle name="보통 11" xfId="9780"/>
    <cellStyle name="보통 11 2" xfId="9781"/>
    <cellStyle name="보통 11 2 2" xfId="9782"/>
    <cellStyle name="보통 11 2 2 2" xfId="9783"/>
    <cellStyle name="보통 11 2 3" xfId="9784"/>
    <cellStyle name="보통 11 3" xfId="9785"/>
    <cellStyle name="보통 11 3 2" xfId="9786"/>
    <cellStyle name="보통 11 4" xfId="9787"/>
    <cellStyle name="보통 11 5" xfId="9788"/>
    <cellStyle name="보통 12" xfId="9789"/>
    <cellStyle name="보통 12 2" xfId="9790"/>
    <cellStyle name="보통 12 2 2" xfId="9791"/>
    <cellStyle name="보통 12 2 2 2" xfId="9792"/>
    <cellStyle name="보통 12 2 3" xfId="9793"/>
    <cellStyle name="보통 12 3" xfId="9794"/>
    <cellStyle name="보통 12 3 2" xfId="9795"/>
    <cellStyle name="보통 12 4" xfId="9796"/>
    <cellStyle name="보통 12 5" xfId="9797"/>
    <cellStyle name="보통 13" xfId="9798"/>
    <cellStyle name="보통 13 2" xfId="9799"/>
    <cellStyle name="보통 13 2 2" xfId="9800"/>
    <cellStyle name="보통 13 2 2 2" xfId="9801"/>
    <cellStyle name="보통 13 2 2 2 2" xfId="21940"/>
    <cellStyle name="보통 13 2 3" xfId="9802"/>
    <cellStyle name="보통 13 3" xfId="9803"/>
    <cellStyle name="보통 13 3 2" xfId="9804"/>
    <cellStyle name="보통 13 3 2 2" xfId="9805"/>
    <cellStyle name="보통 13 3 3" xfId="9806"/>
    <cellStyle name="보통 13 4" xfId="9807"/>
    <cellStyle name="보통 13 4 2" xfId="9808"/>
    <cellStyle name="보통 13 5" xfId="9809"/>
    <cellStyle name="보통 14" xfId="9810"/>
    <cellStyle name="보통 14 2" xfId="9811"/>
    <cellStyle name="보통 14 3" xfId="9812"/>
    <cellStyle name="보통 14 4" xfId="9813"/>
    <cellStyle name="보통 14 5" xfId="9814"/>
    <cellStyle name="보통 15" xfId="9815"/>
    <cellStyle name="보통 15 2" xfId="9816"/>
    <cellStyle name="보통 15 3" xfId="9817"/>
    <cellStyle name="보통 15 4" xfId="9818"/>
    <cellStyle name="보통 15 5" xfId="9819"/>
    <cellStyle name="보통 16" xfId="9820"/>
    <cellStyle name="보통 16 2" xfId="9821"/>
    <cellStyle name="보통 16 3" xfId="9822"/>
    <cellStyle name="보통 16 4" xfId="9823"/>
    <cellStyle name="보통 16 5" xfId="9824"/>
    <cellStyle name="보통 17" xfId="9825"/>
    <cellStyle name="보통 17 2" xfId="9826"/>
    <cellStyle name="보통 17 2 2" xfId="21941"/>
    <cellStyle name="보통 17 3" xfId="9827"/>
    <cellStyle name="보통 17 4" xfId="9828"/>
    <cellStyle name="보통 17 5" xfId="9829"/>
    <cellStyle name="보통 17 6" xfId="20650"/>
    <cellStyle name="보통 18" xfId="9830"/>
    <cellStyle name="보통 18 2" xfId="9831"/>
    <cellStyle name="보통 18 3" xfId="9832"/>
    <cellStyle name="보통 18 4" xfId="9833"/>
    <cellStyle name="보통 18 5" xfId="9834"/>
    <cellStyle name="보통 19" xfId="9835"/>
    <cellStyle name="보통 19 2" xfId="9836"/>
    <cellStyle name="보통 19 3" xfId="9837"/>
    <cellStyle name="보통 19 4" xfId="9838"/>
    <cellStyle name="보통 19 5" xfId="9839"/>
    <cellStyle name="보통 2" xfId="9840"/>
    <cellStyle name="보통 2 10" xfId="9841"/>
    <cellStyle name="보통 2 11" xfId="9842"/>
    <cellStyle name="보통 2 12" xfId="19689"/>
    <cellStyle name="보통 2 2" xfId="9843"/>
    <cellStyle name="보통 2 2 2" xfId="9844"/>
    <cellStyle name="보통 2 2 2 2" xfId="9845"/>
    <cellStyle name="보통 2 2 2 3" xfId="9846"/>
    <cellStyle name="보통 2 2 3" xfId="9847"/>
    <cellStyle name="보통 2 2 4" xfId="9848"/>
    <cellStyle name="보통 2 2 5" xfId="20380"/>
    <cellStyle name="보통 2 3" xfId="9849"/>
    <cellStyle name="보통 2 3 2" xfId="9850"/>
    <cellStyle name="보통 2 3 2 2" xfId="9851"/>
    <cellStyle name="보통 2 3 2 2 2" xfId="9852"/>
    <cellStyle name="보통 2 3 2 2 2 2" xfId="21942"/>
    <cellStyle name="보통 2 3 2 3" xfId="9853"/>
    <cellStyle name="보통 2 3 3" xfId="9854"/>
    <cellStyle name="보통 2 3 3 2" xfId="9855"/>
    <cellStyle name="보통 2 3 4" xfId="9856"/>
    <cellStyle name="보통 2 3 5" xfId="20381"/>
    <cellStyle name="보통 2 4" xfId="9857"/>
    <cellStyle name="보통 2 4 2" xfId="20382"/>
    <cellStyle name="보통 2 5" xfId="9858"/>
    <cellStyle name="보통 2 6" xfId="9859"/>
    <cellStyle name="보통 2 6 2" xfId="20383"/>
    <cellStyle name="보통 2 7" xfId="9860"/>
    <cellStyle name="보통 2 7 2" xfId="20384"/>
    <cellStyle name="보통 2 8" xfId="9861"/>
    <cellStyle name="보통 2 9" xfId="9862"/>
    <cellStyle name="보통 20" xfId="9863"/>
    <cellStyle name="보통 20 2" xfId="9864"/>
    <cellStyle name="보통 20 3" xfId="9865"/>
    <cellStyle name="보통 20 4" xfId="9866"/>
    <cellStyle name="보통 20 5" xfId="9867"/>
    <cellStyle name="보통 21" xfId="9868"/>
    <cellStyle name="보통 21 2" xfId="9869"/>
    <cellStyle name="보통 21 3" xfId="9870"/>
    <cellStyle name="보통 21 4" xfId="9871"/>
    <cellStyle name="보통 21 5" xfId="9872"/>
    <cellStyle name="보통 22" xfId="9873"/>
    <cellStyle name="보통 22 2" xfId="9874"/>
    <cellStyle name="보통 22 3" xfId="9875"/>
    <cellStyle name="보통 22 4" xfId="9876"/>
    <cellStyle name="보통 22 5" xfId="9877"/>
    <cellStyle name="보통 23" xfId="9878"/>
    <cellStyle name="보통 23 2" xfId="9879"/>
    <cellStyle name="보통 24" xfId="9880"/>
    <cellStyle name="보통 24 2" xfId="9881"/>
    <cellStyle name="보통 25" xfId="9882"/>
    <cellStyle name="보통 26" xfId="9883"/>
    <cellStyle name="보통 27" xfId="18204"/>
    <cellStyle name="보통 3" xfId="9884"/>
    <cellStyle name="보통 3 2" xfId="9885"/>
    <cellStyle name="보통 3 2 2" xfId="9886"/>
    <cellStyle name="보통 3 2 2 2" xfId="9887"/>
    <cellStyle name="보통 3 2 2 3" xfId="9888"/>
    <cellStyle name="보통 3 2 3" xfId="9889"/>
    <cellStyle name="보통 3 2 4" xfId="9890"/>
    <cellStyle name="보통 3 3" xfId="9891"/>
    <cellStyle name="보통 3 3 2" xfId="20385"/>
    <cellStyle name="보통 3 4" xfId="9892"/>
    <cellStyle name="보통 3 4 2" xfId="9893"/>
    <cellStyle name="보통 3 4 3" xfId="9894"/>
    <cellStyle name="보통 3 4 4" xfId="20386"/>
    <cellStyle name="보통 3 5" xfId="9895"/>
    <cellStyle name="보통 4" xfId="9896"/>
    <cellStyle name="보통 4 2" xfId="9897"/>
    <cellStyle name="보통 4 3" xfId="9898"/>
    <cellStyle name="보통 5" xfId="9899"/>
    <cellStyle name="보통 5 2" xfId="9900"/>
    <cellStyle name="보통 5 2 2" xfId="9901"/>
    <cellStyle name="보통 5 2 2 2" xfId="9902"/>
    <cellStyle name="보통 5 2 3" xfId="9903"/>
    <cellStyle name="보통 6" xfId="9904"/>
    <cellStyle name="보통 6 2" xfId="9905"/>
    <cellStyle name="보통 6 2 2" xfId="9906"/>
    <cellStyle name="보통 6 2 2 2" xfId="9907"/>
    <cellStyle name="보통 6 2 3" xfId="9908"/>
    <cellStyle name="보통 7" xfId="9909"/>
    <cellStyle name="보통 7 2" xfId="9910"/>
    <cellStyle name="보통 7 2 2" xfId="9911"/>
    <cellStyle name="보통 7 2 2 2" xfId="9912"/>
    <cellStyle name="보통 7 2 3" xfId="9913"/>
    <cellStyle name="보통 8" xfId="9914"/>
    <cellStyle name="보통 8 2" xfId="9915"/>
    <cellStyle name="보통 8 2 2" xfId="9916"/>
    <cellStyle name="보통 8 2 2 2" xfId="9917"/>
    <cellStyle name="보통 8 2 3" xfId="9918"/>
    <cellStyle name="보통 9" xfId="9919"/>
    <cellStyle name="보통 9 2" xfId="9920"/>
    <cellStyle name="보통 9 2 2" xfId="9921"/>
    <cellStyle name="보통 9 2 2 2" xfId="9922"/>
    <cellStyle name="보통 9 2 2 2 2" xfId="21943"/>
    <cellStyle name="보통 9 2 3" xfId="9923"/>
    <cellStyle name="보통 9 2 4" xfId="9924"/>
    <cellStyle name="보통 9 3" xfId="9925"/>
    <cellStyle name="보통 9 4" xfId="9926"/>
    <cellStyle name="뷭?_BOOKSHIP" xfId="20517"/>
    <cellStyle name="삼일-금지" xfId="20516"/>
    <cellStyle name="삼일-금지 2" xfId="21944"/>
    <cellStyle name="삼일-금지 3" xfId="21945"/>
    <cellStyle name="삼일-금지 4" xfId="21946"/>
    <cellStyle name="삼일-입력" xfId="20515"/>
    <cellStyle name="삼일-입력 2" xfId="21947"/>
    <cellStyle name="삼일-입력 3" xfId="21948"/>
    <cellStyle name="삼일-입력 4" xfId="21949"/>
    <cellStyle name="새귑[0]_롤痰삠悧 " xfId="20514"/>
    <cellStyle name="새귑_롤痰삠悧 " xfId="20511"/>
    <cellStyle name="설명 텍스트" xfId="16" builtinId="53" customBuiltin="1"/>
    <cellStyle name="설명 텍스트 10" xfId="9927"/>
    <cellStyle name="설명 텍스트 10 2" xfId="9928"/>
    <cellStyle name="설명 텍스트 10 3" xfId="9929"/>
    <cellStyle name="설명 텍스트 10 3 2" xfId="9930"/>
    <cellStyle name="설명 텍스트 10 4" xfId="9931"/>
    <cellStyle name="설명 텍스트 11" xfId="9932"/>
    <cellStyle name="설명 텍스트 11 2" xfId="9933"/>
    <cellStyle name="설명 텍스트 11 2 2" xfId="9934"/>
    <cellStyle name="설명 텍스트 11 2 2 2" xfId="9935"/>
    <cellStyle name="설명 텍스트 11 2 3" xfId="9936"/>
    <cellStyle name="설명 텍스트 11 3" xfId="9937"/>
    <cellStyle name="설명 텍스트 11 3 2" xfId="9938"/>
    <cellStyle name="설명 텍스트 11 4" xfId="9939"/>
    <cellStyle name="설명 텍스트 11 5" xfId="9940"/>
    <cellStyle name="설명 텍스트 12" xfId="9941"/>
    <cellStyle name="설명 텍스트 12 2" xfId="9942"/>
    <cellStyle name="설명 텍스트 12 2 2" xfId="9943"/>
    <cellStyle name="설명 텍스트 12 2 2 2" xfId="9944"/>
    <cellStyle name="설명 텍스트 12 2 3" xfId="9945"/>
    <cellStyle name="설명 텍스트 12 3" xfId="9946"/>
    <cellStyle name="설명 텍스트 12 3 2" xfId="9947"/>
    <cellStyle name="설명 텍스트 12 4" xfId="9948"/>
    <cellStyle name="설명 텍스트 12 5" xfId="9949"/>
    <cellStyle name="설명 텍스트 13" xfId="9950"/>
    <cellStyle name="설명 텍스트 13 2" xfId="9951"/>
    <cellStyle name="설명 텍스트 13 2 2" xfId="9952"/>
    <cellStyle name="설명 텍스트 13 2 2 2" xfId="9953"/>
    <cellStyle name="설명 텍스트 13 2 2 2 2" xfId="21950"/>
    <cellStyle name="설명 텍스트 13 2 3" xfId="9954"/>
    <cellStyle name="설명 텍스트 13 3" xfId="9955"/>
    <cellStyle name="설명 텍스트 13 3 2" xfId="9956"/>
    <cellStyle name="설명 텍스트 13 3 2 2" xfId="9957"/>
    <cellStyle name="설명 텍스트 13 3 3" xfId="9958"/>
    <cellStyle name="설명 텍스트 13 4" xfId="9959"/>
    <cellStyle name="설명 텍스트 13 4 2" xfId="9960"/>
    <cellStyle name="설명 텍스트 13 5" xfId="9961"/>
    <cellStyle name="설명 텍스트 14" xfId="9962"/>
    <cellStyle name="설명 텍스트 14 2" xfId="9963"/>
    <cellStyle name="설명 텍스트 14 3" xfId="9964"/>
    <cellStyle name="설명 텍스트 14 4" xfId="9965"/>
    <cellStyle name="설명 텍스트 14 5" xfId="9966"/>
    <cellStyle name="설명 텍스트 15" xfId="9967"/>
    <cellStyle name="설명 텍스트 15 2" xfId="9968"/>
    <cellStyle name="설명 텍스트 15 3" xfId="9969"/>
    <cellStyle name="설명 텍스트 15 4" xfId="9970"/>
    <cellStyle name="설명 텍스트 15 5" xfId="9971"/>
    <cellStyle name="설명 텍스트 16" xfId="9972"/>
    <cellStyle name="설명 텍스트 16 2" xfId="9973"/>
    <cellStyle name="설명 텍스트 16 3" xfId="9974"/>
    <cellStyle name="설명 텍스트 16 4" xfId="9975"/>
    <cellStyle name="설명 텍스트 16 5" xfId="9976"/>
    <cellStyle name="설명 텍스트 17" xfId="9977"/>
    <cellStyle name="설명 텍스트 17 2" xfId="9978"/>
    <cellStyle name="설명 텍스트 17 2 2" xfId="21951"/>
    <cellStyle name="설명 텍스트 17 3" xfId="9979"/>
    <cellStyle name="설명 텍스트 17 4" xfId="9980"/>
    <cellStyle name="설명 텍스트 17 5" xfId="9981"/>
    <cellStyle name="설명 텍스트 17 6" xfId="20657"/>
    <cellStyle name="설명 텍스트 18" xfId="9982"/>
    <cellStyle name="설명 텍스트 18 2" xfId="9983"/>
    <cellStyle name="설명 텍스트 18 3" xfId="9984"/>
    <cellStyle name="설명 텍스트 18 4" xfId="9985"/>
    <cellStyle name="설명 텍스트 18 5" xfId="9986"/>
    <cellStyle name="설명 텍스트 19" xfId="9987"/>
    <cellStyle name="설명 텍스트 19 2" xfId="9988"/>
    <cellStyle name="설명 텍스트 19 3" xfId="9989"/>
    <cellStyle name="설명 텍스트 19 4" xfId="9990"/>
    <cellStyle name="설명 텍스트 19 5" xfId="9991"/>
    <cellStyle name="설명 텍스트 2" xfId="9992"/>
    <cellStyle name="설명 텍스트 2 10" xfId="9993"/>
    <cellStyle name="설명 텍스트 2 11" xfId="9994"/>
    <cellStyle name="설명 텍스트 2 2" xfId="9995"/>
    <cellStyle name="설명 텍스트 2 2 2" xfId="9996"/>
    <cellStyle name="설명 텍스트 2 2 2 2" xfId="9997"/>
    <cellStyle name="설명 텍스트 2 2 2 3" xfId="9998"/>
    <cellStyle name="설명 텍스트 2 2 3" xfId="9999"/>
    <cellStyle name="설명 텍스트 2 2 4" xfId="10000"/>
    <cellStyle name="설명 텍스트 2 3" xfId="10001"/>
    <cellStyle name="설명 텍스트 2 3 2" xfId="10002"/>
    <cellStyle name="설명 텍스트 2 3 2 2" xfId="10003"/>
    <cellStyle name="설명 텍스트 2 3 2 2 2" xfId="10004"/>
    <cellStyle name="설명 텍스트 2 3 2 3" xfId="10005"/>
    <cellStyle name="설명 텍스트 2 3 3" xfId="10006"/>
    <cellStyle name="설명 텍스트 2 3 3 2" xfId="10007"/>
    <cellStyle name="설명 텍스트 2 3 4" xfId="10008"/>
    <cellStyle name="설명 텍스트 2 4" xfId="10009"/>
    <cellStyle name="설명 텍스트 2 5" xfId="10010"/>
    <cellStyle name="설명 텍스트 2 6" xfId="10011"/>
    <cellStyle name="설명 텍스트 2 7" xfId="10012"/>
    <cellStyle name="설명 텍스트 2 8" xfId="10013"/>
    <cellStyle name="설명 텍스트 2 9" xfId="10014"/>
    <cellStyle name="설명 텍스트 20" xfId="10015"/>
    <cellStyle name="설명 텍스트 20 2" xfId="10016"/>
    <cellStyle name="설명 텍스트 20 3" xfId="10017"/>
    <cellStyle name="설명 텍스트 20 4" xfId="10018"/>
    <cellStyle name="설명 텍스트 20 5" xfId="10019"/>
    <cellStyle name="설명 텍스트 21" xfId="10020"/>
    <cellStyle name="설명 텍스트 21 2" xfId="10021"/>
    <cellStyle name="설명 텍스트 21 3" xfId="10022"/>
    <cellStyle name="설명 텍스트 21 4" xfId="10023"/>
    <cellStyle name="설명 텍스트 21 5" xfId="10024"/>
    <cellStyle name="설명 텍스트 22" xfId="10025"/>
    <cellStyle name="설명 텍스트 22 2" xfId="10026"/>
    <cellStyle name="설명 텍스트 22 3" xfId="10027"/>
    <cellStyle name="설명 텍스트 22 4" xfId="10028"/>
    <cellStyle name="설명 텍스트 22 5" xfId="10029"/>
    <cellStyle name="설명 텍스트 23" xfId="10030"/>
    <cellStyle name="설명 텍스트 23 2" xfId="10031"/>
    <cellStyle name="설명 텍스트 24" xfId="10032"/>
    <cellStyle name="설명 텍스트 24 2" xfId="10033"/>
    <cellStyle name="설명 텍스트 25" xfId="10034"/>
    <cellStyle name="설명 텍스트 26" xfId="10035"/>
    <cellStyle name="설명 텍스트 27" xfId="18212"/>
    <cellStyle name="설명 텍스트 3" xfId="10036"/>
    <cellStyle name="설명 텍스트 3 2" xfId="10037"/>
    <cellStyle name="설명 텍스트 3 2 2" xfId="10038"/>
    <cellStyle name="설명 텍스트 3 2 2 2" xfId="10039"/>
    <cellStyle name="설명 텍스트 3 2 2 3" xfId="10040"/>
    <cellStyle name="설명 텍스트 3 2 3" xfId="10041"/>
    <cellStyle name="설명 텍스트 3 2 4" xfId="10042"/>
    <cellStyle name="설명 텍스트 3 3" xfId="10043"/>
    <cellStyle name="설명 텍스트 3 4" xfId="10044"/>
    <cellStyle name="설명 텍스트 3 4 2" xfId="10045"/>
    <cellStyle name="설명 텍스트 3 4 3" xfId="10046"/>
    <cellStyle name="설명 텍스트 3 5" xfId="10047"/>
    <cellStyle name="설명 텍스트 4" xfId="10048"/>
    <cellStyle name="설명 텍스트 4 2" xfId="10049"/>
    <cellStyle name="설명 텍스트 4 3" xfId="10050"/>
    <cellStyle name="설명 텍스트 5" xfId="10051"/>
    <cellStyle name="설명 텍스트 5 2" xfId="10052"/>
    <cellStyle name="설명 텍스트 5 2 2" xfId="10053"/>
    <cellStyle name="설명 텍스트 5 2 2 2" xfId="10054"/>
    <cellStyle name="설명 텍스트 5 2 3" xfId="10055"/>
    <cellStyle name="설명 텍스트 6" xfId="10056"/>
    <cellStyle name="설명 텍스트 6 2" xfId="10057"/>
    <cellStyle name="설명 텍스트 6 2 2" xfId="10058"/>
    <cellStyle name="설명 텍스트 6 2 2 2" xfId="10059"/>
    <cellStyle name="설명 텍스트 6 2 3" xfId="10060"/>
    <cellStyle name="설명 텍스트 7" xfId="10061"/>
    <cellStyle name="설명 텍스트 7 2" xfId="10062"/>
    <cellStyle name="설명 텍스트 7 2 2" xfId="10063"/>
    <cellStyle name="설명 텍스트 7 2 2 2" xfId="10064"/>
    <cellStyle name="설명 텍스트 7 2 3" xfId="10065"/>
    <cellStyle name="설명 텍스트 8" xfId="10066"/>
    <cellStyle name="설명 텍스트 8 2" xfId="10067"/>
    <cellStyle name="설명 텍스트 8 2 2" xfId="10068"/>
    <cellStyle name="설명 텍스트 8 2 2 2" xfId="10069"/>
    <cellStyle name="설명 텍스트 8 2 3" xfId="10070"/>
    <cellStyle name="설명 텍스트 9" xfId="10071"/>
    <cellStyle name="설명 텍스트 9 2" xfId="10072"/>
    <cellStyle name="설명 텍스트 9 2 2" xfId="10073"/>
    <cellStyle name="설명 텍스트 9 2 2 2" xfId="10074"/>
    <cellStyle name="설명 텍스트 9 2 2 2 2" xfId="21952"/>
    <cellStyle name="설명 텍스트 9 2 3" xfId="10075"/>
    <cellStyle name="설명 텍스트 9 2 4" xfId="10076"/>
    <cellStyle name="설명 텍스트 9 3" xfId="10077"/>
    <cellStyle name="설명 텍스트 9 4" xfId="10078"/>
    <cellStyle name="셀 확인" xfId="13" builtinId="23" customBuiltin="1"/>
    <cellStyle name="셀 확인 10" xfId="10079"/>
    <cellStyle name="셀 확인 10 2" xfId="10080"/>
    <cellStyle name="셀 확인 10 3" xfId="10081"/>
    <cellStyle name="셀 확인 10 3 2" xfId="10082"/>
    <cellStyle name="셀 확인 10 4" xfId="10083"/>
    <cellStyle name="셀 확인 11" xfId="10084"/>
    <cellStyle name="셀 확인 11 2" xfId="10085"/>
    <cellStyle name="셀 확인 11 2 2" xfId="10086"/>
    <cellStyle name="셀 확인 11 2 2 2" xfId="10087"/>
    <cellStyle name="셀 확인 11 2 3" xfId="10088"/>
    <cellStyle name="셀 확인 11 3" xfId="10089"/>
    <cellStyle name="셀 확인 11 3 2" xfId="10090"/>
    <cellStyle name="셀 확인 11 4" xfId="10091"/>
    <cellStyle name="셀 확인 11 5" xfId="10092"/>
    <cellStyle name="셀 확인 12" xfId="10093"/>
    <cellStyle name="셀 확인 12 2" xfId="10094"/>
    <cellStyle name="셀 확인 12 2 2" xfId="10095"/>
    <cellStyle name="셀 확인 12 2 2 2" xfId="10096"/>
    <cellStyle name="셀 확인 12 2 3" xfId="10097"/>
    <cellStyle name="셀 확인 12 3" xfId="10098"/>
    <cellStyle name="셀 확인 12 3 2" xfId="10099"/>
    <cellStyle name="셀 확인 12 4" xfId="10100"/>
    <cellStyle name="셀 확인 12 5" xfId="10101"/>
    <cellStyle name="셀 확인 13" xfId="10102"/>
    <cellStyle name="셀 확인 13 2" xfId="10103"/>
    <cellStyle name="셀 확인 13 2 2" xfId="10104"/>
    <cellStyle name="셀 확인 13 2 2 2" xfId="10105"/>
    <cellStyle name="셀 확인 13 2 2 2 2" xfId="21953"/>
    <cellStyle name="셀 확인 13 2 3" xfId="10106"/>
    <cellStyle name="셀 확인 13 3" xfId="10107"/>
    <cellStyle name="셀 확인 13 3 2" xfId="10108"/>
    <cellStyle name="셀 확인 13 3 2 2" xfId="10109"/>
    <cellStyle name="셀 확인 13 3 3" xfId="10110"/>
    <cellStyle name="셀 확인 13 4" xfId="10111"/>
    <cellStyle name="셀 확인 13 4 2" xfId="10112"/>
    <cellStyle name="셀 확인 13 5" xfId="10113"/>
    <cellStyle name="셀 확인 14" xfId="10114"/>
    <cellStyle name="셀 확인 14 2" xfId="10115"/>
    <cellStyle name="셀 확인 14 3" xfId="10116"/>
    <cellStyle name="셀 확인 14 4" xfId="10117"/>
    <cellStyle name="셀 확인 14 5" xfId="10118"/>
    <cellStyle name="셀 확인 15" xfId="10119"/>
    <cellStyle name="셀 확인 15 2" xfId="10120"/>
    <cellStyle name="셀 확인 15 3" xfId="10121"/>
    <cellStyle name="셀 확인 15 4" xfId="10122"/>
    <cellStyle name="셀 확인 15 5" xfId="10123"/>
    <cellStyle name="셀 확인 16" xfId="10124"/>
    <cellStyle name="셀 확인 16 2" xfId="10125"/>
    <cellStyle name="셀 확인 16 3" xfId="10126"/>
    <cellStyle name="셀 확인 16 4" xfId="10127"/>
    <cellStyle name="셀 확인 16 5" xfId="10128"/>
    <cellStyle name="셀 확인 17" xfId="10129"/>
    <cellStyle name="셀 확인 17 2" xfId="10130"/>
    <cellStyle name="셀 확인 17 2 2" xfId="21954"/>
    <cellStyle name="셀 확인 17 3" xfId="10131"/>
    <cellStyle name="셀 확인 17 4" xfId="10132"/>
    <cellStyle name="셀 확인 17 5" xfId="10133"/>
    <cellStyle name="셀 확인 17 6" xfId="20655"/>
    <cellStyle name="셀 확인 18" xfId="10134"/>
    <cellStyle name="셀 확인 18 2" xfId="10135"/>
    <cellStyle name="셀 확인 18 3" xfId="10136"/>
    <cellStyle name="셀 확인 18 4" xfId="10137"/>
    <cellStyle name="셀 확인 18 5" xfId="10138"/>
    <cellStyle name="셀 확인 19" xfId="10139"/>
    <cellStyle name="셀 확인 19 2" xfId="10140"/>
    <cellStyle name="셀 확인 19 3" xfId="10141"/>
    <cellStyle name="셀 확인 19 4" xfId="10142"/>
    <cellStyle name="셀 확인 19 5" xfId="10143"/>
    <cellStyle name="셀 확인 2" xfId="10144"/>
    <cellStyle name="셀 확인 2 10" xfId="10145"/>
    <cellStyle name="셀 확인 2 11" xfId="10146"/>
    <cellStyle name="셀 확인 2 12" xfId="19690"/>
    <cellStyle name="셀 확인 2 2" xfId="10147"/>
    <cellStyle name="셀 확인 2 2 2" xfId="10148"/>
    <cellStyle name="셀 확인 2 2 2 2" xfId="10149"/>
    <cellStyle name="셀 확인 2 2 2 3" xfId="10150"/>
    <cellStyle name="셀 확인 2 2 3" xfId="10151"/>
    <cellStyle name="셀 확인 2 2 4" xfId="10152"/>
    <cellStyle name="셀 확인 2 3" xfId="10153"/>
    <cellStyle name="셀 확인 2 3 2" xfId="10154"/>
    <cellStyle name="셀 확인 2 3 2 2" xfId="10155"/>
    <cellStyle name="셀 확인 2 3 2 2 2" xfId="10156"/>
    <cellStyle name="셀 확인 2 3 2 3" xfId="10157"/>
    <cellStyle name="셀 확인 2 3 3" xfId="10158"/>
    <cellStyle name="셀 확인 2 3 3 2" xfId="10159"/>
    <cellStyle name="셀 확인 2 3 4" xfId="10160"/>
    <cellStyle name="셀 확인 2 4" xfId="10161"/>
    <cellStyle name="셀 확인 2 5" xfId="10162"/>
    <cellStyle name="셀 확인 2 6" xfId="10163"/>
    <cellStyle name="셀 확인 2 7" xfId="10164"/>
    <cellStyle name="셀 확인 2 8" xfId="10165"/>
    <cellStyle name="셀 확인 2 9" xfId="10166"/>
    <cellStyle name="셀 확인 20" xfId="10167"/>
    <cellStyle name="셀 확인 20 2" xfId="10168"/>
    <cellStyle name="셀 확인 20 3" xfId="10169"/>
    <cellStyle name="셀 확인 20 4" xfId="10170"/>
    <cellStyle name="셀 확인 20 5" xfId="10171"/>
    <cellStyle name="셀 확인 21" xfId="10172"/>
    <cellStyle name="셀 확인 21 2" xfId="10173"/>
    <cellStyle name="셀 확인 21 3" xfId="10174"/>
    <cellStyle name="셀 확인 21 4" xfId="10175"/>
    <cellStyle name="셀 확인 21 5" xfId="10176"/>
    <cellStyle name="셀 확인 22" xfId="10177"/>
    <cellStyle name="셀 확인 22 2" xfId="10178"/>
    <cellStyle name="셀 확인 22 3" xfId="10179"/>
    <cellStyle name="셀 확인 22 4" xfId="10180"/>
    <cellStyle name="셀 확인 22 5" xfId="10181"/>
    <cellStyle name="셀 확인 23" xfId="10182"/>
    <cellStyle name="셀 확인 23 2" xfId="10183"/>
    <cellStyle name="셀 확인 24" xfId="10184"/>
    <cellStyle name="셀 확인 24 2" xfId="10185"/>
    <cellStyle name="셀 확인 25" xfId="10186"/>
    <cellStyle name="셀 확인 26" xfId="10187"/>
    <cellStyle name="셀 확인 27" xfId="18209"/>
    <cellStyle name="셀 확인 3" xfId="10188"/>
    <cellStyle name="셀 확인 3 2" xfId="10189"/>
    <cellStyle name="셀 확인 3 2 2" xfId="10190"/>
    <cellStyle name="셀 확인 3 2 2 2" xfId="10191"/>
    <cellStyle name="셀 확인 3 2 2 3" xfId="10192"/>
    <cellStyle name="셀 확인 3 2 3" xfId="10193"/>
    <cellStyle name="셀 확인 3 2 4" xfId="10194"/>
    <cellStyle name="셀 확인 3 3" xfId="10195"/>
    <cellStyle name="셀 확인 3 4" xfId="10196"/>
    <cellStyle name="셀 확인 3 4 2" xfId="10197"/>
    <cellStyle name="셀 확인 3 4 3" xfId="10198"/>
    <cellStyle name="셀 확인 3 5" xfId="10199"/>
    <cellStyle name="셀 확인 4" xfId="10200"/>
    <cellStyle name="셀 확인 4 2" xfId="10201"/>
    <cellStyle name="셀 확인 4 3" xfId="10202"/>
    <cellStyle name="셀 확인 5" xfId="10203"/>
    <cellStyle name="셀 확인 5 2" xfId="10204"/>
    <cellStyle name="셀 확인 5 2 2" xfId="10205"/>
    <cellStyle name="셀 확인 5 2 2 2" xfId="10206"/>
    <cellStyle name="셀 확인 5 2 3" xfId="10207"/>
    <cellStyle name="셀 확인 6" xfId="10208"/>
    <cellStyle name="셀 확인 6 2" xfId="10209"/>
    <cellStyle name="셀 확인 6 2 2" xfId="10210"/>
    <cellStyle name="셀 확인 6 2 2 2" xfId="10211"/>
    <cellStyle name="셀 확인 6 2 3" xfId="10212"/>
    <cellStyle name="셀 확인 7" xfId="10213"/>
    <cellStyle name="셀 확인 7 2" xfId="10214"/>
    <cellStyle name="셀 확인 7 2 2" xfId="10215"/>
    <cellStyle name="셀 확인 7 2 2 2" xfId="10216"/>
    <cellStyle name="셀 확인 7 2 3" xfId="10217"/>
    <cellStyle name="셀 확인 8" xfId="10218"/>
    <cellStyle name="셀 확인 8 2" xfId="10219"/>
    <cellStyle name="셀 확인 8 2 2" xfId="10220"/>
    <cellStyle name="셀 확인 8 2 2 2" xfId="10221"/>
    <cellStyle name="셀 확인 8 2 3" xfId="10222"/>
    <cellStyle name="셀 확인 9" xfId="10223"/>
    <cellStyle name="셀 확인 9 2" xfId="10224"/>
    <cellStyle name="셀 확인 9 2 2" xfId="10225"/>
    <cellStyle name="셀 확인 9 2 2 2" xfId="10226"/>
    <cellStyle name="셀 확인 9 2 2 2 2" xfId="21955"/>
    <cellStyle name="셀 확인 9 2 3" xfId="10227"/>
    <cellStyle name="셀 확인 9 2 4" xfId="10228"/>
    <cellStyle name="셀 확인 9 3" xfId="10229"/>
    <cellStyle name="셀 확인 9 4" xfId="10230"/>
    <cellStyle name="숫자(R)" xfId="20510"/>
    <cellStyle name="쉼표" xfId="23075" builtinId="3"/>
    <cellStyle name="쉼표 [0]" xfId="23068" builtinId="6"/>
    <cellStyle name="쉼표 [0] 10" xfId="49"/>
    <cellStyle name="쉼표 [0] 10 10" xfId="50"/>
    <cellStyle name="쉼표 [0] 10 10 2" xfId="18631"/>
    <cellStyle name="쉼표 [0] 10 11" xfId="51"/>
    <cellStyle name="쉼표 [0] 10 11 2" xfId="18581"/>
    <cellStyle name="쉼표 [0] 10 12" xfId="52"/>
    <cellStyle name="쉼표 [0] 10 12 2" xfId="18451"/>
    <cellStyle name="쉼표 [0] 10 13" xfId="53"/>
    <cellStyle name="쉼표 [0] 10 13 2" xfId="18635"/>
    <cellStyle name="쉼표 [0] 10 14" xfId="54"/>
    <cellStyle name="쉼표 [0] 10 14 2" xfId="18882"/>
    <cellStyle name="쉼표 [0] 10 15" xfId="55"/>
    <cellStyle name="쉼표 [0] 10 15 2" xfId="18406"/>
    <cellStyle name="쉼표 [0] 10 16" xfId="56"/>
    <cellStyle name="쉼표 [0] 10 16 2" xfId="19083"/>
    <cellStyle name="쉼표 [0] 10 17" xfId="57"/>
    <cellStyle name="쉼표 [0] 10 17 2" xfId="18983"/>
    <cellStyle name="쉼표 [0] 10 18" xfId="58"/>
    <cellStyle name="쉼표 [0] 10 18 2" xfId="19073"/>
    <cellStyle name="쉼표 [0] 10 19" xfId="59"/>
    <cellStyle name="쉼표 [0] 10 19 2" xfId="18452"/>
    <cellStyle name="쉼표 [0] 10 2" xfId="60"/>
    <cellStyle name="쉼표 [0] 10 2 2" xfId="10231"/>
    <cellStyle name="쉼표 [0] 10 2 2 2" xfId="10232"/>
    <cellStyle name="쉼표 [0] 10 2 3" xfId="10233"/>
    <cellStyle name="쉼표 [0] 10 2 3 2" xfId="10234"/>
    <cellStyle name="쉼표 [0] 10 2 3 2 2" xfId="10235"/>
    <cellStyle name="쉼표 [0] 10 2 4" xfId="10236"/>
    <cellStyle name="쉼표 [0] 10 2 5" xfId="10237"/>
    <cellStyle name="쉼표 [0] 10 2 5 2" xfId="10238"/>
    <cellStyle name="쉼표 [0] 10 2 6" xfId="18466"/>
    <cellStyle name="쉼표 [0] 10 20" xfId="61"/>
    <cellStyle name="쉼표 [0] 10 20 2" xfId="19364"/>
    <cellStyle name="쉼표 [0] 10 21" xfId="62"/>
    <cellStyle name="쉼표 [0] 10 21 2" xfId="19420"/>
    <cellStyle name="쉼표 [0] 10 22" xfId="63"/>
    <cellStyle name="쉼표 [0] 10 22 2" xfId="19237"/>
    <cellStyle name="쉼표 [0] 10 23" xfId="64"/>
    <cellStyle name="쉼표 [0] 10 23 2" xfId="19264"/>
    <cellStyle name="쉼표 [0] 10 24" xfId="19816"/>
    <cellStyle name="쉼표 [0] 10 25" xfId="19768"/>
    <cellStyle name="쉼표 [0] 10 26" xfId="18240"/>
    <cellStyle name="쉼표 [0] 10 26 2" xfId="19990"/>
    <cellStyle name="쉼표 [0] 10 26 3" xfId="19885"/>
    <cellStyle name="쉼표 [0] 10 27" xfId="20045"/>
    <cellStyle name="쉼표 [0] 10 28" xfId="20050"/>
    <cellStyle name="쉼표 [0] 10 29" xfId="18376"/>
    <cellStyle name="쉼표 [0] 10 3" xfId="65"/>
    <cellStyle name="쉼표 [0] 10 3 2" xfId="10239"/>
    <cellStyle name="쉼표 [0] 10 3 2 2" xfId="10240"/>
    <cellStyle name="쉼표 [0] 10 3 2 2 2" xfId="10241"/>
    <cellStyle name="쉼표 [0] 10 3 3" xfId="10242"/>
    <cellStyle name="쉼표 [0] 10 3 3 2" xfId="10243"/>
    <cellStyle name="쉼표 [0] 10 3 4" xfId="18493"/>
    <cellStyle name="쉼표 [0] 10 30" xfId="20999"/>
    <cellStyle name="쉼표 [0] 10 4" xfId="66"/>
    <cellStyle name="쉼표 [0] 10 4 2" xfId="10244"/>
    <cellStyle name="쉼표 [0] 10 4 2 2" xfId="10245"/>
    <cellStyle name="쉼표 [0] 10 4 2 2 2" xfId="10246"/>
    <cellStyle name="쉼표 [0] 10 4 3" xfId="10247"/>
    <cellStyle name="쉼표 [0] 10 4 3 2" xfId="10248"/>
    <cellStyle name="쉼표 [0] 10 4 4" xfId="18524"/>
    <cellStyle name="쉼표 [0] 10 5" xfId="67"/>
    <cellStyle name="쉼표 [0] 10 5 2" xfId="10249"/>
    <cellStyle name="쉼표 [0] 10 5 2 2" xfId="10250"/>
    <cellStyle name="쉼표 [0] 10 5 2 2 2" xfId="10251"/>
    <cellStyle name="쉼표 [0] 10 5 3" xfId="10252"/>
    <cellStyle name="쉼표 [0] 10 5 3 2" xfId="10253"/>
    <cellStyle name="쉼표 [0] 10 5 4" xfId="18501"/>
    <cellStyle name="쉼표 [0] 10 6" xfId="68"/>
    <cellStyle name="쉼표 [0] 10 6 2" xfId="10254"/>
    <cellStyle name="쉼표 [0] 10 6 2 2" xfId="20387"/>
    <cellStyle name="쉼표 [0] 10 6 3" xfId="18543"/>
    <cellStyle name="쉼표 [0] 10 7" xfId="69"/>
    <cellStyle name="쉼표 [0] 10 7 2" xfId="10255"/>
    <cellStyle name="쉼표 [0] 10 7 2 2" xfId="10256"/>
    <cellStyle name="쉼표 [0] 10 7 2 2 2" xfId="10257"/>
    <cellStyle name="쉼표 [0] 10 7 3" xfId="10258"/>
    <cellStyle name="쉼표 [0] 10 7 3 2" xfId="10259"/>
    <cellStyle name="쉼표 [0] 10 7 4" xfId="18446"/>
    <cellStyle name="쉼표 [0] 10 8" xfId="70"/>
    <cellStyle name="쉼표 [0] 10 8 2" xfId="10260"/>
    <cellStyle name="쉼표 [0] 10 8 2 2" xfId="10261"/>
    <cellStyle name="쉼표 [0] 10 8 3" xfId="18384"/>
    <cellStyle name="쉼표 [0] 10 9" xfId="71"/>
    <cellStyle name="쉼표 [0] 10 9 2" xfId="10262"/>
    <cellStyle name="쉼표 [0] 10 9 2 2" xfId="10263"/>
    <cellStyle name="쉼표 [0] 10 9 3" xfId="18575"/>
    <cellStyle name="쉼표 [0] 11" xfId="72"/>
    <cellStyle name="쉼표 [0] 11 10" xfId="73"/>
    <cellStyle name="쉼표 [0] 11 10 2" xfId="18850"/>
    <cellStyle name="쉼표 [0] 11 11" xfId="74"/>
    <cellStyle name="쉼표 [0] 11 11 2" xfId="18897"/>
    <cellStyle name="쉼표 [0] 11 12" xfId="75"/>
    <cellStyle name="쉼표 [0] 11 12 2" xfId="18668"/>
    <cellStyle name="쉼표 [0] 11 13" xfId="76"/>
    <cellStyle name="쉼표 [0] 11 13 2" xfId="18959"/>
    <cellStyle name="쉼표 [0] 11 14" xfId="77"/>
    <cellStyle name="쉼표 [0] 11 14 2" xfId="18933"/>
    <cellStyle name="쉼표 [0] 11 15" xfId="78"/>
    <cellStyle name="쉼표 [0] 11 15 2" xfId="19098"/>
    <cellStyle name="쉼표 [0] 11 16" xfId="79"/>
    <cellStyle name="쉼표 [0] 11 16 2" xfId="18632"/>
    <cellStyle name="쉼표 [0] 11 17" xfId="80"/>
    <cellStyle name="쉼표 [0] 11 17 2" xfId="18992"/>
    <cellStyle name="쉼표 [0] 11 18" xfId="81"/>
    <cellStyle name="쉼표 [0] 11 18 2" xfId="19248"/>
    <cellStyle name="쉼표 [0] 11 19" xfId="82"/>
    <cellStyle name="쉼표 [0] 11 19 2" xfId="18915"/>
    <cellStyle name="쉼표 [0] 11 2" xfId="83"/>
    <cellStyle name="쉼표 [0] 11 2 2" xfId="10264"/>
    <cellStyle name="쉼표 [0] 11 2 2 2" xfId="10265"/>
    <cellStyle name="쉼표 [0] 11 2 2 2 2" xfId="10266"/>
    <cellStyle name="쉼표 [0] 11 2 2 3" xfId="10267"/>
    <cellStyle name="쉼표 [0] 11 2 3" xfId="10268"/>
    <cellStyle name="쉼표 [0] 11 2 3 2" xfId="10269"/>
    <cellStyle name="쉼표 [0] 11 2 3 2 2" xfId="10270"/>
    <cellStyle name="쉼표 [0] 11 2 4" xfId="10271"/>
    <cellStyle name="쉼표 [0] 11 2 5" xfId="10272"/>
    <cellStyle name="쉼표 [0] 11 2 5 2" xfId="10273"/>
    <cellStyle name="쉼표 [0] 11 2 6" xfId="18518"/>
    <cellStyle name="쉼표 [0] 11 20" xfId="84"/>
    <cellStyle name="쉼표 [0] 11 20 2" xfId="18892"/>
    <cellStyle name="쉼표 [0] 11 21" xfId="85"/>
    <cellStyle name="쉼표 [0] 11 21 2" xfId="19440"/>
    <cellStyle name="쉼표 [0] 11 22" xfId="86"/>
    <cellStyle name="쉼표 [0] 11 22 2" xfId="19276"/>
    <cellStyle name="쉼표 [0] 11 23" xfId="19725"/>
    <cellStyle name="쉼표 [0] 11 24" xfId="19711"/>
    <cellStyle name="쉼표 [0] 11 25" xfId="19881"/>
    <cellStyle name="쉼표 [0] 11 25 2" xfId="19922"/>
    <cellStyle name="쉼표 [0] 11 26" xfId="19930"/>
    <cellStyle name="쉼표 [0] 11 27" xfId="19890"/>
    <cellStyle name="쉼표 [0] 11 28" xfId="18435"/>
    <cellStyle name="쉼표 [0] 11 29" xfId="20503"/>
    <cellStyle name="쉼표 [0] 11 3" xfId="87"/>
    <cellStyle name="쉼표 [0] 11 3 2" xfId="10274"/>
    <cellStyle name="쉼표 [0] 11 3 2 2" xfId="10275"/>
    <cellStyle name="쉼표 [0] 11 3 2 2 2" xfId="10276"/>
    <cellStyle name="쉼표 [0] 11 3 3" xfId="10277"/>
    <cellStyle name="쉼표 [0] 11 3 3 2" xfId="10278"/>
    <cellStyle name="쉼표 [0] 11 3 4" xfId="18552"/>
    <cellStyle name="쉼표 [0] 11 4" xfId="88"/>
    <cellStyle name="쉼표 [0] 11 4 2" xfId="10279"/>
    <cellStyle name="쉼표 [0] 11 4 2 2" xfId="10280"/>
    <cellStyle name="쉼표 [0] 11 4 2 2 2" xfId="10281"/>
    <cellStyle name="쉼표 [0] 11 4 3" xfId="10282"/>
    <cellStyle name="쉼표 [0] 11 4 3 2" xfId="10283"/>
    <cellStyle name="쉼표 [0] 11 4 4" xfId="18586"/>
    <cellStyle name="쉼표 [0] 11 5" xfId="89"/>
    <cellStyle name="쉼표 [0] 11 5 2" xfId="10284"/>
    <cellStyle name="쉼표 [0] 11 5 2 2" xfId="10285"/>
    <cellStyle name="쉼표 [0] 11 5 2 2 2" xfId="10286"/>
    <cellStyle name="쉼표 [0] 11 5 2 3" xfId="20388"/>
    <cellStyle name="쉼표 [0] 11 5 3" xfId="10287"/>
    <cellStyle name="쉼표 [0] 11 5 3 2" xfId="10288"/>
    <cellStyle name="쉼표 [0] 11 5 4" xfId="18615"/>
    <cellStyle name="쉼표 [0] 11 6" xfId="90"/>
    <cellStyle name="쉼표 [0] 11 6 2" xfId="18673"/>
    <cellStyle name="쉼표 [0] 11 7" xfId="91"/>
    <cellStyle name="쉼표 [0] 11 7 2" xfId="10289"/>
    <cellStyle name="쉼표 [0] 11 7 2 2" xfId="10290"/>
    <cellStyle name="쉼표 [0] 11 7 2 2 2" xfId="10291"/>
    <cellStyle name="쉼표 [0] 11 7 3" xfId="10292"/>
    <cellStyle name="쉼표 [0] 11 7 3 2" xfId="10293"/>
    <cellStyle name="쉼표 [0] 11 7 4" xfId="18677"/>
    <cellStyle name="쉼표 [0] 11 8" xfId="92"/>
    <cellStyle name="쉼표 [0] 11 8 2" xfId="10294"/>
    <cellStyle name="쉼표 [0] 11 8 2 2" xfId="10295"/>
    <cellStyle name="쉼표 [0] 11 8 3" xfId="18743"/>
    <cellStyle name="쉼표 [0] 11 9" xfId="93"/>
    <cellStyle name="쉼표 [0] 11 9 2" xfId="10296"/>
    <cellStyle name="쉼표 [0] 11 9 2 2" xfId="10297"/>
    <cellStyle name="쉼표 [0] 11 9 3" xfId="18824"/>
    <cellStyle name="쉼표 [0] 12" xfId="94"/>
    <cellStyle name="쉼표 [0] 12 10" xfId="95"/>
    <cellStyle name="쉼표 [0] 12 10 2" xfId="18859"/>
    <cellStyle name="쉼표 [0] 12 11" xfId="96"/>
    <cellStyle name="쉼표 [0] 12 11 2" xfId="18958"/>
    <cellStyle name="쉼표 [0] 12 12" xfId="97"/>
    <cellStyle name="쉼표 [0] 12 12 2" xfId="19034"/>
    <cellStyle name="쉼표 [0] 12 13" xfId="98"/>
    <cellStyle name="쉼표 [0] 12 13 2" xfId="18955"/>
    <cellStyle name="쉼표 [0] 12 14" xfId="99"/>
    <cellStyle name="쉼표 [0] 12 14 2" xfId="19132"/>
    <cellStyle name="쉼표 [0] 12 15" xfId="100"/>
    <cellStyle name="쉼표 [0] 12 15 2" xfId="19027"/>
    <cellStyle name="쉼표 [0] 12 16" xfId="101"/>
    <cellStyle name="쉼표 [0] 12 16 2" xfId="18986"/>
    <cellStyle name="쉼표 [0] 12 17" xfId="102"/>
    <cellStyle name="쉼표 [0] 12 17 2" xfId="18974"/>
    <cellStyle name="쉼표 [0] 12 18" xfId="103"/>
    <cellStyle name="쉼표 [0] 12 18 2" xfId="19016"/>
    <cellStyle name="쉼표 [0] 12 19" xfId="104"/>
    <cellStyle name="쉼표 [0] 12 19 2" xfId="19201"/>
    <cellStyle name="쉼표 [0] 12 2" xfId="105"/>
    <cellStyle name="쉼표 [0] 12 2 2" xfId="10298"/>
    <cellStyle name="쉼표 [0] 12 2 2 2" xfId="10299"/>
    <cellStyle name="쉼표 [0] 12 2 3" xfId="10300"/>
    <cellStyle name="쉼표 [0] 12 2 3 2" xfId="10301"/>
    <cellStyle name="쉼표 [0] 12 2 3 2 2" xfId="10302"/>
    <cellStyle name="쉼표 [0] 12 2 4" xfId="10303"/>
    <cellStyle name="쉼표 [0] 12 2 4 2" xfId="10304"/>
    <cellStyle name="쉼표 [0] 12 2 5" xfId="18559"/>
    <cellStyle name="쉼표 [0] 12 20" xfId="106"/>
    <cellStyle name="쉼표 [0] 12 20 2" xfId="19052"/>
    <cellStyle name="쉼표 [0] 12 21" xfId="107"/>
    <cellStyle name="쉼표 [0] 12 21 2" xfId="19174"/>
    <cellStyle name="쉼표 [0] 12 22" xfId="19852"/>
    <cellStyle name="쉼표 [0] 12 23" xfId="19818"/>
    <cellStyle name="쉼표 [0] 12 24" xfId="19893"/>
    <cellStyle name="쉼표 [0] 12 24 2" xfId="20038"/>
    <cellStyle name="쉼표 [0] 12 25" xfId="20112"/>
    <cellStyle name="쉼표 [0] 12 26" xfId="20073"/>
    <cellStyle name="쉼표 [0] 12 27" xfId="18468"/>
    <cellStyle name="쉼표 [0] 12 3" xfId="108"/>
    <cellStyle name="쉼표 [0] 12 3 2" xfId="10305"/>
    <cellStyle name="쉼표 [0] 12 3 2 2" xfId="10306"/>
    <cellStyle name="쉼표 [0] 12 3 2 2 2" xfId="10307"/>
    <cellStyle name="쉼표 [0] 12 3 3" xfId="10308"/>
    <cellStyle name="쉼표 [0] 12 3 3 2" xfId="10309"/>
    <cellStyle name="쉼표 [0] 12 3 4" xfId="10310"/>
    <cellStyle name="쉼표 [0] 12 3 4 2" xfId="10311"/>
    <cellStyle name="쉼표 [0] 12 3 5" xfId="18596"/>
    <cellStyle name="쉼표 [0] 12 4" xfId="109"/>
    <cellStyle name="쉼표 [0] 12 4 2" xfId="10312"/>
    <cellStyle name="쉼표 [0] 12 4 2 2" xfId="10313"/>
    <cellStyle name="쉼표 [0] 12 4 2 2 2" xfId="10314"/>
    <cellStyle name="쉼표 [0] 12 4 2 3" xfId="20389"/>
    <cellStyle name="쉼표 [0] 12 4 3" xfId="10315"/>
    <cellStyle name="쉼표 [0] 12 4 3 2" xfId="10316"/>
    <cellStyle name="쉼표 [0] 12 4 4" xfId="18633"/>
    <cellStyle name="쉼표 [0] 12 5" xfId="110"/>
    <cellStyle name="쉼표 [0] 12 5 2" xfId="10317"/>
    <cellStyle name="쉼표 [0] 12 5 2 2" xfId="10318"/>
    <cellStyle name="쉼표 [0] 12 5 2 2 2" xfId="10319"/>
    <cellStyle name="쉼표 [0] 12 5 3" xfId="10320"/>
    <cellStyle name="쉼표 [0] 12 5 3 2" xfId="10321"/>
    <cellStyle name="쉼표 [0] 12 5 4" xfId="18625"/>
    <cellStyle name="쉼표 [0] 12 6" xfId="111"/>
    <cellStyle name="쉼표 [0] 12 6 2" xfId="10322"/>
    <cellStyle name="쉼표 [0] 12 6 3" xfId="18681"/>
    <cellStyle name="쉼표 [0] 12 7" xfId="112"/>
    <cellStyle name="쉼표 [0] 12 7 2" xfId="10323"/>
    <cellStyle name="쉼표 [0] 12 7 2 2" xfId="10324"/>
    <cellStyle name="쉼표 [0] 12 7 2 2 2" xfId="10325"/>
    <cellStyle name="쉼표 [0] 12 7 3" xfId="10326"/>
    <cellStyle name="쉼표 [0] 12 7 3 2" xfId="10327"/>
    <cellStyle name="쉼표 [0] 12 7 4" xfId="18764"/>
    <cellStyle name="쉼표 [0] 12 8" xfId="113"/>
    <cellStyle name="쉼표 [0] 12 8 2" xfId="10328"/>
    <cellStyle name="쉼표 [0] 12 8 2 2" xfId="10329"/>
    <cellStyle name="쉼표 [0] 12 8 3" xfId="18843"/>
    <cellStyle name="쉼표 [0] 12 9" xfId="114"/>
    <cellStyle name="쉼표 [0] 12 9 2" xfId="10330"/>
    <cellStyle name="쉼표 [0] 12 9 2 2" xfId="10331"/>
    <cellStyle name="쉼표 [0] 12 9 3" xfId="18779"/>
    <cellStyle name="쉼표 [0] 13" xfId="115"/>
    <cellStyle name="쉼표 [0] 13 10" xfId="116"/>
    <cellStyle name="쉼표 [0] 13 10 2" xfId="18688"/>
    <cellStyle name="쉼표 [0] 13 11" xfId="117"/>
    <cellStyle name="쉼표 [0] 13 11 2" xfId="18961"/>
    <cellStyle name="쉼표 [0] 13 12" xfId="118"/>
    <cellStyle name="쉼표 [0] 13 12 2" xfId="19051"/>
    <cellStyle name="쉼표 [0] 13 13" xfId="119"/>
    <cellStyle name="쉼표 [0] 13 13 2" xfId="19131"/>
    <cellStyle name="쉼표 [0] 13 14" xfId="120"/>
    <cellStyle name="쉼표 [0] 13 14 2" xfId="18984"/>
    <cellStyle name="쉼표 [0] 13 15" xfId="121"/>
    <cellStyle name="쉼표 [0] 13 15 2" xfId="18869"/>
    <cellStyle name="쉼표 [0] 13 16" xfId="122"/>
    <cellStyle name="쉼표 [0] 13 16 2" xfId="19165"/>
    <cellStyle name="쉼표 [0] 13 17" xfId="123"/>
    <cellStyle name="쉼표 [0] 13 17 2" xfId="19239"/>
    <cellStyle name="쉼표 [0] 13 18" xfId="124"/>
    <cellStyle name="쉼표 [0] 13 18 2" xfId="19309"/>
    <cellStyle name="쉼표 [0] 13 19" xfId="125"/>
    <cellStyle name="쉼표 [0] 13 19 2" xfId="19037"/>
    <cellStyle name="쉼표 [0] 13 2" xfId="126"/>
    <cellStyle name="쉼표 [0] 13 2 2" xfId="10332"/>
    <cellStyle name="쉼표 [0] 13 2 2 2" xfId="10333"/>
    <cellStyle name="쉼표 [0] 13 2 2 2 2" xfId="10334"/>
    <cellStyle name="쉼표 [0] 13 2 3" xfId="10335"/>
    <cellStyle name="쉼표 [0] 13 2 3 2" xfId="10336"/>
    <cellStyle name="쉼표 [0] 13 2 4" xfId="18604"/>
    <cellStyle name="쉼표 [0] 13 20" xfId="127"/>
    <cellStyle name="쉼표 [0] 13 20 2" xfId="19414"/>
    <cellStyle name="쉼표 [0] 13 21" xfId="19744"/>
    <cellStyle name="쉼표 [0] 13 22" xfId="19813"/>
    <cellStyle name="쉼표 [0] 13 23" xfId="19892"/>
    <cellStyle name="쉼표 [0] 13 23 2" xfId="19969"/>
    <cellStyle name="쉼표 [0] 13 24" xfId="20036"/>
    <cellStyle name="쉼표 [0] 13 25" xfId="20037"/>
    <cellStyle name="쉼표 [0] 13 26" xfId="18496"/>
    <cellStyle name="쉼표 [0] 13 3" xfId="128"/>
    <cellStyle name="쉼표 [0] 13 3 2" xfId="10337"/>
    <cellStyle name="쉼표 [0] 13 3 2 2" xfId="10338"/>
    <cellStyle name="쉼표 [0] 13 3 2 2 2" xfId="10339"/>
    <cellStyle name="쉼표 [0] 13 3 2 3" xfId="20390"/>
    <cellStyle name="쉼표 [0] 13 3 3" xfId="10340"/>
    <cellStyle name="쉼표 [0] 13 3 3 2" xfId="10341"/>
    <cellStyle name="쉼표 [0] 13 3 4" xfId="18643"/>
    <cellStyle name="쉼표 [0] 13 4" xfId="129"/>
    <cellStyle name="쉼표 [0] 13 4 2" xfId="10342"/>
    <cellStyle name="쉼표 [0] 13 4 2 2" xfId="10343"/>
    <cellStyle name="쉼표 [0] 13 4 2 2 2" xfId="10344"/>
    <cellStyle name="쉼표 [0] 13 4 3" xfId="10345"/>
    <cellStyle name="쉼표 [0] 13 4 3 2" xfId="10346"/>
    <cellStyle name="쉼표 [0] 13 4 4" xfId="18645"/>
    <cellStyle name="쉼표 [0] 13 5" xfId="130"/>
    <cellStyle name="쉼표 [0] 13 5 2" xfId="10347"/>
    <cellStyle name="쉼표 [0] 13 5 2 2" xfId="10348"/>
    <cellStyle name="쉼표 [0] 13 5 2 2 2" xfId="10349"/>
    <cellStyle name="쉼표 [0] 13 5 3" xfId="10350"/>
    <cellStyle name="쉼표 [0] 13 5 3 2" xfId="10351"/>
    <cellStyle name="쉼표 [0] 13 5 4" xfId="18715"/>
    <cellStyle name="쉼표 [0] 13 6" xfId="131"/>
    <cellStyle name="쉼표 [0] 13 6 2" xfId="10352"/>
    <cellStyle name="쉼표 [0] 13 6 2 2" xfId="10353"/>
    <cellStyle name="쉼표 [0] 13 6 2 2 2" xfId="10354"/>
    <cellStyle name="쉼표 [0] 13 6 3" xfId="10355"/>
    <cellStyle name="쉼표 [0] 13 6 3 2" xfId="10356"/>
    <cellStyle name="쉼표 [0] 13 6 4" xfId="18736"/>
    <cellStyle name="쉼표 [0] 13 7" xfId="132"/>
    <cellStyle name="쉼표 [0] 13 7 2" xfId="10357"/>
    <cellStyle name="쉼표 [0] 13 7 2 2" xfId="10358"/>
    <cellStyle name="쉼표 [0] 13 7 3" xfId="18531"/>
    <cellStyle name="쉼표 [0] 13 8" xfId="133"/>
    <cellStyle name="쉼표 [0] 13 8 2" xfId="18886"/>
    <cellStyle name="쉼표 [0] 13 9" xfId="134"/>
    <cellStyle name="쉼표 [0] 13 9 2" xfId="10359"/>
    <cellStyle name="쉼표 [0] 13 9 3" xfId="18867"/>
    <cellStyle name="쉼표 [0] 138 2" xfId="10360"/>
    <cellStyle name="쉼표 [0] 14" xfId="135"/>
    <cellStyle name="쉼표 [0] 14 10" xfId="136"/>
    <cellStyle name="쉼표 [0] 14 10 2" xfId="19061"/>
    <cellStyle name="쉼표 [0] 14 11" xfId="137"/>
    <cellStyle name="쉼표 [0] 14 11 2" xfId="19099"/>
    <cellStyle name="쉼표 [0] 14 12" xfId="138"/>
    <cellStyle name="쉼표 [0] 14 12 2" xfId="18467"/>
    <cellStyle name="쉼표 [0] 14 13" xfId="139"/>
    <cellStyle name="쉼표 [0] 14 13 2" xfId="18825"/>
    <cellStyle name="쉼표 [0] 14 14" xfId="140"/>
    <cellStyle name="쉼표 [0] 14 14 2" xfId="19161"/>
    <cellStyle name="쉼표 [0] 14 15" xfId="141"/>
    <cellStyle name="쉼표 [0] 14 15 2" xfId="19263"/>
    <cellStyle name="쉼표 [0] 14 16" xfId="142"/>
    <cellStyle name="쉼표 [0] 14 16 2" xfId="18942"/>
    <cellStyle name="쉼표 [0] 14 17" xfId="143"/>
    <cellStyle name="쉼표 [0] 14 17 2" xfId="19243"/>
    <cellStyle name="쉼표 [0] 14 18" xfId="144"/>
    <cellStyle name="쉼표 [0] 14 18 2" xfId="19329"/>
    <cellStyle name="쉼표 [0] 14 19" xfId="145"/>
    <cellStyle name="쉼표 [0] 14 19 2" xfId="19470"/>
    <cellStyle name="쉼표 [0] 14 2" xfId="146"/>
    <cellStyle name="쉼표 [0] 14 2 2" xfId="10361"/>
    <cellStyle name="쉼표 [0] 14 2 2 2" xfId="20392"/>
    <cellStyle name="쉼표 [0] 14 2 3" xfId="10362"/>
    <cellStyle name="쉼표 [0] 14 2 4" xfId="18657"/>
    <cellStyle name="쉼표 [0] 14 20" xfId="19723"/>
    <cellStyle name="쉼표 [0] 14 21" xfId="19735"/>
    <cellStyle name="쉼표 [0] 14 22" xfId="19895"/>
    <cellStyle name="쉼표 [0] 14 22 2" xfId="20070"/>
    <cellStyle name="쉼표 [0] 14 23" xfId="20046"/>
    <cellStyle name="쉼표 [0] 14 24" xfId="19986"/>
    <cellStyle name="쉼표 [0] 14 25" xfId="18532"/>
    <cellStyle name="쉼표 [0] 14 3" xfId="147"/>
    <cellStyle name="쉼표 [0] 14 3 2" xfId="18685"/>
    <cellStyle name="쉼표 [0] 14 4" xfId="148"/>
    <cellStyle name="쉼표 [0] 14 4 2" xfId="20391"/>
    <cellStyle name="쉼표 [0] 14 4 3" xfId="18737"/>
    <cellStyle name="쉼표 [0] 14 5" xfId="149"/>
    <cellStyle name="쉼표 [0] 14 5 2" xfId="18772"/>
    <cellStyle name="쉼표 [0] 14 6" xfId="150"/>
    <cellStyle name="쉼표 [0] 14 6 2" xfId="18797"/>
    <cellStyle name="쉼표 [0] 14 7" xfId="151"/>
    <cellStyle name="쉼표 [0] 14 7 2" xfId="18725"/>
    <cellStyle name="쉼표 [0] 14 8" xfId="152"/>
    <cellStyle name="쉼표 [0] 14 8 2" xfId="18949"/>
    <cellStyle name="쉼표 [0] 14 9" xfId="153"/>
    <cellStyle name="쉼표 [0] 14 9 2" xfId="19028"/>
    <cellStyle name="쉼표 [0] 140" xfId="10363"/>
    <cellStyle name="쉼표 [0] 15" xfId="1484"/>
    <cellStyle name="쉼표 [0] 15 2" xfId="48"/>
    <cellStyle name="쉼표 [0] 15 2 2" xfId="10364"/>
    <cellStyle name="쉼표 [0] 15 2 2 2" xfId="10365"/>
    <cellStyle name="쉼표 [0] 15 2 2 2 2" xfId="10366"/>
    <cellStyle name="쉼표 [0] 15 2 2 3" xfId="20394"/>
    <cellStyle name="쉼표 [0] 15 2 3" xfId="10367"/>
    <cellStyle name="쉼표 [0] 15 2 3 2" xfId="10368"/>
    <cellStyle name="쉼표 [0] 15 2 4" xfId="19482"/>
    <cellStyle name="쉼표 [0] 15 3" xfId="154"/>
    <cellStyle name="쉼표 [0] 15 3 2" xfId="10369"/>
    <cellStyle name="쉼표 [0] 15 3 2 2" xfId="10370"/>
    <cellStyle name="쉼표 [0] 15 3 2 2 2" xfId="10371"/>
    <cellStyle name="쉼표 [0] 15 3 2 3" xfId="20395"/>
    <cellStyle name="쉼표 [0] 15 3 3" xfId="10372"/>
    <cellStyle name="쉼표 [0] 15 3 3 2" xfId="10373"/>
    <cellStyle name="쉼표 [0] 15 3 4" xfId="19601"/>
    <cellStyle name="쉼표 [0] 15 4" xfId="10374"/>
    <cellStyle name="쉼표 [0] 15 4 2" xfId="10375"/>
    <cellStyle name="쉼표 [0] 15 4 2 2" xfId="10376"/>
    <cellStyle name="쉼표 [0] 15 4 2 2 2" xfId="10377"/>
    <cellStyle name="쉼표 [0] 15 4 3" xfId="10378"/>
    <cellStyle name="쉼표 [0] 15 4 3 2" xfId="10379"/>
    <cellStyle name="쉼표 [0] 15 4 4" xfId="20393"/>
    <cellStyle name="쉼표 [0] 15 5" xfId="10380"/>
    <cellStyle name="쉼표 [0] 15 5 2" xfId="10381"/>
    <cellStyle name="쉼표 [0] 15 5 2 2" xfId="10382"/>
    <cellStyle name="쉼표 [0] 15 5 2 2 2" xfId="10383"/>
    <cellStyle name="쉼표 [0] 15 5 3" xfId="10384"/>
    <cellStyle name="쉼표 [0] 15 5 3 2" xfId="10385"/>
    <cellStyle name="쉼표 [0] 15 6" xfId="10386"/>
    <cellStyle name="쉼표 [0] 15 6 2" xfId="10387"/>
    <cellStyle name="쉼표 [0] 15 6 2 2" xfId="10388"/>
    <cellStyle name="쉼표 [0] 15 6 2 2 2" xfId="10389"/>
    <cellStyle name="쉼표 [0] 15 6 3" xfId="10390"/>
    <cellStyle name="쉼표 [0] 15 6 3 2" xfId="10391"/>
    <cellStyle name="쉼표 [0] 15 7" xfId="10392"/>
    <cellStyle name="쉼표 [0] 15 7 2" xfId="10393"/>
    <cellStyle name="쉼표 [0] 15 7 2 2" xfId="10394"/>
    <cellStyle name="쉼표 [0] 15 8" xfId="10395"/>
    <cellStyle name="쉼표 [0] 15 8 2" xfId="10396"/>
    <cellStyle name="쉼표 [0] 15 9" xfId="19656"/>
    <cellStyle name="쉼표 [0] 16" xfId="155"/>
    <cellStyle name="쉼표 [0] 16 10" xfId="156"/>
    <cellStyle name="쉼표 [0] 16 10 2" xfId="19160"/>
    <cellStyle name="쉼표 [0] 16 11" xfId="157"/>
    <cellStyle name="쉼표 [0] 16 11 2" xfId="19217"/>
    <cellStyle name="쉼표 [0] 16 12" xfId="158"/>
    <cellStyle name="쉼표 [0] 16 12 2" xfId="19230"/>
    <cellStyle name="쉼표 [0] 16 13" xfId="159"/>
    <cellStyle name="쉼표 [0] 16 13 2" xfId="18934"/>
    <cellStyle name="쉼표 [0] 16 14" xfId="160"/>
    <cellStyle name="쉼표 [0] 16 14 2" xfId="18679"/>
    <cellStyle name="쉼표 [0] 16 15" xfId="161"/>
    <cellStyle name="쉼표 [0] 16 15 2" xfId="19018"/>
    <cellStyle name="쉼표 [0] 16 16" xfId="162"/>
    <cellStyle name="쉼표 [0] 16 16 2" xfId="19445"/>
    <cellStyle name="쉼표 [0] 16 17" xfId="163"/>
    <cellStyle name="쉼표 [0] 16 17 2" xfId="19466"/>
    <cellStyle name="쉼표 [0] 16 18" xfId="19712"/>
    <cellStyle name="쉼표 [0] 16 19" xfId="19762"/>
    <cellStyle name="쉼표 [0] 16 2" xfId="164"/>
    <cellStyle name="쉼표 [0] 16 2 2" xfId="10397"/>
    <cellStyle name="쉼표 [0] 16 2 2 2" xfId="10398"/>
    <cellStyle name="쉼표 [0] 16 2 2 2 2" xfId="10399"/>
    <cellStyle name="쉼표 [0] 16 2 3" xfId="10400"/>
    <cellStyle name="쉼표 [0] 16 2 3 2" xfId="10401"/>
    <cellStyle name="쉼표 [0] 16 2 4" xfId="18750"/>
    <cellStyle name="쉼표 [0] 16 20" xfId="19946"/>
    <cellStyle name="쉼표 [0] 16 20 2" xfId="20396"/>
    <cellStyle name="쉼표 [0] 16 21" xfId="20080"/>
    <cellStyle name="쉼표 [0] 16 22" xfId="20121"/>
    <cellStyle name="쉼표 [0] 16 23" xfId="18580"/>
    <cellStyle name="쉼표 [0] 16 3" xfId="165"/>
    <cellStyle name="쉼표 [0] 16 3 2" xfId="10402"/>
    <cellStyle name="쉼표 [0] 16 3 2 2" xfId="10403"/>
    <cellStyle name="쉼표 [0] 16 3 2 2 2" xfId="10404"/>
    <cellStyle name="쉼표 [0] 16 3 3" xfId="10405"/>
    <cellStyle name="쉼표 [0] 16 3 3 2" xfId="10406"/>
    <cellStyle name="쉼표 [0] 16 3 4" xfId="18793"/>
    <cellStyle name="쉼표 [0] 16 4" xfId="166"/>
    <cellStyle name="쉼표 [0] 16 4 2" xfId="10407"/>
    <cellStyle name="쉼표 [0] 16 4 2 2" xfId="10408"/>
    <cellStyle name="쉼표 [0] 16 4 2 2 2" xfId="10409"/>
    <cellStyle name="쉼표 [0] 16 4 3" xfId="10410"/>
    <cellStyle name="쉼표 [0] 16 4 3 2" xfId="10411"/>
    <cellStyle name="쉼표 [0] 16 4 4" xfId="18815"/>
    <cellStyle name="쉼표 [0] 16 5" xfId="167"/>
    <cellStyle name="쉼표 [0] 16 5 2" xfId="10412"/>
    <cellStyle name="쉼표 [0] 16 5 2 2" xfId="10413"/>
    <cellStyle name="쉼표 [0] 16 5 2 2 2" xfId="10414"/>
    <cellStyle name="쉼표 [0] 16 5 3" xfId="10415"/>
    <cellStyle name="쉼표 [0] 16 5 3 2" xfId="10416"/>
    <cellStyle name="쉼표 [0] 16 5 4" xfId="18740"/>
    <cellStyle name="쉼표 [0] 16 6" xfId="168"/>
    <cellStyle name="쉼표 [0] 16 6 2" xfId="10417"/>
    <cellStyle name="쉼표 [0] 16 6 2 2" xfId="10418"/>
    <cellStyle name="쉼표 [0] 16 6 2 2 2" xfId="10419"/>
    <cellStyle name="쉼표 [0] 16 6 3" xfId="10420"/>
    <cellStyle name="쉼표 [0] 16 6 3 2" xfId="10421"/>
    <cellStyle name="쉼표 [0] 16 6 4" xfId="18669"/>
    <cellStyle name="쉼표 [0] 16 7" xfId="169"/>
    <cellStyle name="쉼표 [0] 16 7 2" xfId="10422"/>
    <cellStyle name="쉼표 [0] 16 7 2 2" xfId="10423"/>
    <cellStyle name="쉼표 [0] 16 7 3" xfId="18759"/>
    <cellStyle name="쉼표 [0] 16 8" xfId="170"/>
    <cellStyle name="쉼표 [0] 16 8 2" xfId="10424"/>
    <cellStyle name="쉼표 [0] 16 8 3" xfId="19038"/>
    <cellStyle name="쉼표 [0] 16 9" xfId="171"/>
    <cellStyle name="쉼표 [0] 16 9 2" xfId="19137"/>
    <cellStyle name="쉼표 [0] 17" xfId="172"/>
    <cellStyle name="쉼표 [0] 17 10" xfId="173"/>
    <cellStyle name="쉼표 [0] 17 10 2" xfId="10425"/>
    <cellStyle name="쉼표 [0] 17 10 3" xfId="18994"/>
    <cellStyle name="쉼표 [0] 17 11" xfId="174"/>
    <cellStyle name="쉼표 [0] 17 11 2" xfId="19290"/>
    <cellStyle name="쉼표 [0] 17 12" xfId="175"/>
    <cellStyle name="쉼표 [0] 17 12 2" xfId="19158"/>
    <cellStyle name="쉼표 [0] 17 13" xfId="176"/>
    <cellStyle name="쉼표 [0] 17 13 2" xfId="18948"/>
    <cellStyle name="쉼표 [0] 17 14" xfId="177"/>
    <cellStyle name="쉼표 [0] 17 14 2" xfId="19369"/>
    <cellStyle name="쉼표 [0] 17 15" xfId="178"/>
    <cellStyle name="쉼표 [0] 17 15 2" xfId="18706"/>
    <cellStyle name="쉼표 [0] 17 16" xfId="179"/>
    <cellStyle name="쉼표 [0] 17 16 2" xfId="19343"/>
    <cellStyle name="쉼표 [0] 17 17" xfId="19829"/>
    <cellStyle name="쉼표 [0] 17 18" xfId="19814"/>
    <cellStyle name="쉼표 [0] 17 19" xfId="20002"/>
    <cellStyle name="쉼표 [0] 17 19 2" xfId="20397"/>
    <cellStyle name="쉼표 [0] 17 2" xfId="180"/>
    <cellStyle name="쉼표 [0] 17 2 2" xfId="10426"/>
    <cellStyle name="쉼표 [0] 17 2 2 2" xfId="10427"/>
    <cellStyle name="쉼표 [0] 17 2 2 2 2" xfId="10428"/>
    <cellStyle name="쉼표 [0] 17 2 3" xfId="10429"/>
    <cellStyle name="쉼표 [0] 17 2 3 2" xfId="10430"/>
    <cellStyle name="쉼표 [0] 17 2 4" xfId="18820"/>
    <cellStyle name="쉼표 [0] 17 20" xfId="20054"/>
    <cellStyle name="쉼표 [0] 17 21" xfId="19964"/>
    <cellStyle name="쉼표 [0] 17 22" xfId="18634"/>
    <cellStyle name="쉼표 [0] 17 3" xfId="181"/>
    <cellStyle name="쉼표 [0] 17 3 2" xfId="10431"/>
    <cellStyle name="쉼표 [0] 17 3 2 2" xfId="10432"/>
    <cellStyle name="쉼표 [0] 17 3 2 2 2" xfId="10433"/>
    <cellStyle name="쉼표 [0] 17 3 3" xfId="10434"/>
    <cellStyle name="쉼표 [0] 17 3 3 2" xfId="10435"/>
    <cellStyle name="쉼표 [0] 17 3 4" xfId="18865"/>
    <cellStyle name="쉼표 [0] 17 4" xfId="182"/>
    <cellStyle name="쉼표 [0] 17 4 2" xfId="10436"/>
    <cellStyle name="쉼표 [0] 17 4 2 2" xfId="10437"/>
    <cellStyle name="쉼표 [0] 17 4 2 2 2" xfId="10438"/>
    <cellStyle name="쉼표 [0] 17 4 3" xfId="10439"/>
    <cellStyle name="쉼표 [0] 17 4 3 2" xfId="10440"/>
    <cellStyle name="쉼표 [0] 17 4 4" xfId="18720"/>
    <cellStyle name="쉼표 [0] 17 5" xfId="183"/>
    <cellStyle name="쉼표 [0] 17 5 2" xfId="10441"/>
    <cellStyle name="쉼표 [0] 17 5 2 2" xfId="10442"/>
    <cellStyle name="쉼표 [0] 17 5 2 2 2" xfId="10443"/>
    <cellStyle name="쉼표 [0] 17 5 3" xfId="10444"/>
    <cellStyle name="쉼표 [0] 17 5 3 2" xfId="10445"/>
    <cellStyle name="쉼표 [0] 17 5 4" xfId="18967"/>
    <cellStyle name="쉼표 [0] 17 6" xfId="184"/>
    <cellStyle name="쉼표 [0] 17 6 2" xfId="10446"/>
    <cellStyle name="쉼표 [0] 17 6 2 2" xfId="10447"/>
    <cellStyle name="쉼표 [0] 17 6 2 2 2" xfId="10448"/>
    <cellStyle name="쉼표 [0] 17 6 3" xfId="10449"/>
    <cellStyle name="쉼표 [0] 17 6 3 2" xfId="10450"/>
    <cellStyle name="쉼표 [0] 17 6 4" xfId="18809"/>
    <cellStyle name="쉼표 [0] 17 7" xfId="185"/>
    <cellStyle name="쉼표 [0] 17 7 2" xfId="10451"/>
    <cellStyle name="쉼표 [0] 17 7 2 2" xfId="10452"/>
    <cellStyle name="쉼표 [0] 17 7 3" xfId="18744"/>
    <cellStyle name="쉼표 [0] 17 8" xfId="186"/>
    <cellStyle name="쉼표 [0] 17 8 2" xfId="18985"/>
    <cellStyle name="쉼표 [0] 17 9" xfId="187"/>
    <cellStyle name="쉼표 [0] 17 9 2" xfId="10453"/>
    <cellStyle name="쉼표 [0] 17 9 3" xfId="18564"/>
    <cellStyle name="쉼표 [0] 18" xfId="188"/>
    <cellStyle name="쉼표 [0] 18 10" xfId="189"/>
    <cellStyle name="쉼표 [0] 18 10 2" xfId="19297"/>
    <cellStyle name="쉼표 [0] 18 11" xfId="190"/>
    <cellStyle name="쉼표 [0] 18 11 2" xfId="19303"/>
    <cellStyle name="쉼표 [0] 18 12" xfId="191"/>
    <cellStyle name="쉼표 [0] 18 12 2" xfId="18728"/>
    <cellStyle name="쉼표 [0] 18 13" xfId="192"/>
    <cellStyle name="쉼표 [0] 18 13 2" xfId="19348"/>
    <cellStyle name="쉼표 [0] 18 14" xfId="193"/>
    <cellStyle name="쉼표 [0] 18 14 2" xfId="19310"/>
    <cellStyle name="쉼표 [0] 18 15" xfId="194"/>
    <cellStyle name="쉼표 [0] 18 15 2" xfId="19225"/>
    <cellStyle name="쉼표 [0] 18 16" xfId="19812"/>
    <cellStyle name="쉼표 [0] 18 17" xfId="19739"/>
    <cellStyle name="쉼표 [0] 18 18" xfId="20051"/>
    <cellStyle name="쉼표 [0] 18 19" xfId="19965"/>
    <cellStyle name="쉼표 [0] 18 2" xfId="195"/>
    <cellStyle name="쉼표 [0] 18 2 2" xfId="10454"/>
    <cellStyle name="쉼표 [0] 18 2 2 2" xfId="10455"/>
    <cellStyle name="쉼표 [0] 18 2 2 2 2" xfId="10456"/>
    <cellStyle name="쉼표 [0] 18 2 3" xfId="10457"/>
    <cellStyle name="쉼표 [0] 18 2 3 2" xfId="10458"/>
    <cellStyle name="쉼표 [0] 18 2 4" xfId="18872"/>
    <cellStyle name="쉼표 [0] 18 20" xfId="20057"/>
    <cellStyle name="쉼표 [0] 18 21" xfId="18658"/>
    <cellStyle name="쉼표 [0] 18 3" xfId="196"/>
    <cellStyle name="쉼표 [0] 18 3 2" xfId="10459"/>
    <cellStyle name="쉼표 [0] 18 3 2 2" xfId="10460"/>
    <cellStyle name="쉼표 [0] 18 3 2 2 2" xfId="10461"/>
    <cellStyle name="쉼표 [0] 18 3 3" xfId="10462"/>
    <cellStyle name="쉼표 [0] 18 3 3 2" xfId="10463"/>
    <cellStyle name="쉼표 [0] 18 3 4" xfId="18920"/>
    <cellStyle name="쉼표 [0] 18 4" xfId="197"/>
    <cellStyle name="쉼표 [0] 18 4 2" xfId="10464"/>
    <cellStyle name="쉼표 [0] 18 4 2 2" xfId="10465"/>
    <cellStyle name="쉼표 [0] 18 4 2 2 2" xfId="10466"/>
    <cellStyle name="쉼표 [0] 18 4 3" xfId="10467"/>
    <cellStyle name="쉼표 [0] 18 4 3 2" xfId="10468"/>
    <cellStyle name="쉼표 [0] 18 4 4" xfId="18950"/>
    <cellStyle name="쉼표 [0] 18 5" xfId="198"/>
    <cellStyle name="쉼표 [0] 18 5 2" xfId="10469"/>
    <cellStyle name="쉼표 [0] 18 5 2 2" xfId="10470"/>
    <cellStyle name="쉼표 [0] 18 5 2 2 2" xfId="10471"/>
    <cellStyle name="쉼표 [0] 18 5 3" xfId="10472"/>
    <cellStyle name="쉼표 [0] 18 5 3 2" xfId="10473"/>
    <cellStyle name="쉼표 [0] 18 5 4" xfId="19019"/>
    <cellStyle name="쉼표 [0] 18 6" xfId="199"/>
    <cellStyle name="쉼표 [0] 18 6 2" xfId="10474"/>
    <cellStyle name="쉼표 [0] 18 6 2 2" xfId="10475"/>
    <cellStyle name="쉼표 [0] 18 6 2 2 2" xfId="10476"/>
    <cellStyle name="쉼표 [0] 18 6 3" xfId="10477"/>
    <cellStyle name="쉼표 [0] 18 6 3 2" xfId="10478"/>
    <cellStyle name="쉼표 [0] 18 6 4" xfId="19035"/>
    <cellStyle name="쉼표 [0] 18 7" xfId="200"/>
    <cellStyle name="쉼표 [0] 18 7 2" xfId="10479"/>
    <cellStyle name="쉼표 [0] 18 7 2 2" xfId="10480"/>
    <cellStyle name="쉼표 [0] 18 7 3" xfId="19090"/>
    <cellStyle name="쉼표 [0] 18 8" xfId="201"/>
    <cellStyle name="쉼표 [0] 18 8 2" xfId="10481"/>
    <cellStyle name="쉼표 [0] 18 8 3" xfId="18876"/>
    <cellStyle name="쉼표 [0] 18 9" xfId="202"/>
    <cellStyle name="쉼표 [0] 18 9 2" xfId="19194"/>
    <cellStyle name="쉼표 [0] 19" xfId="203"/>
    <cellStyle name="쉼표 [0] 19 10" xfId="204"/>
    <cellStyle name="쉼표 [0] 19 10 2" xfId="19221"/>
    <cellStyle name="쉼표 [0] 19 11" xfId="205"/>
    <cellStyle name="쉼표 [0] 19 11 2" xfId="19181"/>
    <cellStyle name="쉼표 [0] 19 12" xfId="206"/>
    <cellStyle name="쉼표 [0] 19 12 2" xfId="19375"/>
    <cellStyle name="쉼표 [0] 19 13" xfId="207"/>
    <cellStyle name="쉼표 [0] 19 13 2" xfId="19422"/>
    <cellStyle name="쉼표 [0] 19 14" xfId="208"/>
    <cellStyle name="쉼표 [0] 19 14 2" xfId="18723"/>
    <cellStyle name="쉼표 [0] 19 15" xfId="19710"/>
    <cellStyle name="쉼표 [0] 19 16" xfId="19772"/>
    <cellStyle name="쉼표 [0] 19 17" xfId="19919"/>
    <cellStyle name="쉼표 [0] 19 17 2" xfId="20398"/>
    <cellStyle name="쉼표 [0] 19 18" xfId="20033"/>
    <cellStyle name="쉼표 [0] 19 19" xfId="20049"/>
    <cellStyle name="쉼표 [0] 19 2" xfId="209"/>
    <cellStyle name="쉼표 [0] 19 2 2" xfId="10482"/>
    <cellStyle name="쉼표 [0] 19 2 2 2" xfId="10483"/>
    <cellStyle name="쉼표 [0] 19 2 2 2 2" xfId="10484"/>
    <cellStyle name="쉼표 [0] 19 2 3" xfId="10485"/>
    <cellStyle name="쉼표 [0] 19 2 3 2" xfId="10486"/>
    <cellStyle name="쉼표 [0] 19 2 4" xfId="18747"/>
    <cellStyle name="쉼표 [0] 19 20" xfId="18644"/>
    <cellStyle name="쉼표 [0] 19 3" xfId="210"/>
    <cellStyle name="쉼표 [0] 19 3 2" xfId="10487"/>
    <cellStyle name="쉼표 [0] 19 3 2 2" xfId="10488"/>
    <cellStyle name="쉼표 [0] 19 3 2 2 2" xfId="10489"/>
    <cellStyle name="쉼표 [0] 19 3 3" xfId="10490"/>
    <cellStyle name="쉼표 [0] 19 3 3 2" xfId="10491"/>
    <cellStyle name="쉼표 [0] 19 3 4" xfId="18956"/>
    <cellStyle name="쉼표 [0] 19 4" xfId="211"/>
    <cellStyle name="쉼표 [0] 19 4 2" xfId="10492"/>
    <cellStyle name="쉼표 [0] 19 4 2 2" xfId="10493"/>
    <cellStyle name="쉼표 [0] 19 4 2 2 2" xfId="10494"/>
    <cellStyle name="쉼표 [0] 19 4 3" xfId="10495"/>
    <cellStyle name="쉼표 [0] 19 4 3 2" xfId="10496"/>
    <cellStyle name="쉼표 [0] 19 4 4" xfId="18822"/>
    <cellStyle name="쉼표 [0] 19 5" xfId="212"/>
    <cellStyle name="쉼표 [0] 19 5 2" xfId="10497"/>
    <cellStyle name="쉼표 [0] 19 5 2 2" xfId="10498"/>
    <cellStyle name="쉼표 [0] 19 5 2 2 2" xfId="10499"/>
    <cellStyle name="쉼표 [0] 19 5 3" xfId="10500"/>
    <cellStyle name="쉼표 [0] 19 5 3 2" xfId="10501"/>
    <cellStyle name="쉼표 [0] 19 5 4" xfId="18840"/>
    <cellStyle name="쉼표 [0] 19 6" xfId="213"/>
    <cellStyle name="쉼표 [0] 19 6 2" xfId="10502"/>
    <cellStyle name="쉼표 [0] 19 6 2 2" xfId="10503"/>
    <cellStyle name="쉼표 [0] 19 6 2 2 2" xfId="10504"/>
    <cellStyle name="쉼표 [0] 19 6 3" xfId="10505"/>
    <cellStyle name="쉼표 [0] 19 6 3 2" xfId="10506"/>
    <cellStyle name="쉼표 [0] 19 6 4" xfId="19056"/>
    <cellStyle name="쉼표 [0] 19 7" xfId="214"/>
    <cellStyle name="쉼표 [0] 19 7 2" xfId="10507"/>
    <cellStyle name="쉼표 [0] 19 7 2 2" xfId="10508"/>
    <cellStyle name="쉼표 [0] 19 7 3" xfId="18980"/>
    <cellStyle name="쉼표 [0] 19 8" xfId="215"/>
    <cellStyle name="쉼표 [0] 19 8 2" xfId="10509"/>
    <cellStyle name="쉼표 [0] 19 8 3" xfId="19222"/>
    <cellStyle name="쉼표 [0] 19 9" xfId="216"/>
    <cellStyle name="쉼표 [0] 19 9 2" xfId="19292"/>
    <cellStyle name="쉼표 [0] 2" xfId="44"/>
    <cellStyle name="쉼표 [0] 2 10" xfId="217"/>
    <cellStyle name="쉼표 [0] 2 10 2" xfId="10510"/>
    <cellStyle name="쉼표 [0] 2 10 3" xfId="18388"/>
    <cellStyle name="쉼표 [0] 2 11" xfId="218"/>
    <cellStyle name="쉼표 [0] 2 11 2" xfId="10511"/>
    <cellStyle name="쉼표 [0] 2 11 3" xfId="18390"/>
    <cellStyle name="쉼표 [0] 2 12" xfId="219"/>
    <cellStyle name="쉼표 [0] 2 12 2" xfId="18326"/>
    <cellStyle name="쉼표 [0] 2 13" xfId="220"/>
    <cellStyle name="쉼표 [0] 2 13 2" xfId="10512"/>
    <cellStyle name="쉼표 [0] 2 13 3" xfId="10513"/>
    <cellStyle name="쉼표 [0] 2 13 3 2" xfId="10514"/>
    <cellStyle name="쉼표 [0] 2 13 4" xfId="10515"/>
    <cellStyle name="쉼표 [0] 2 13 5" xfId="18385"/>
    <cellStyle name="쉼표 [0] 2 14" xfId="221"/>
    <cellStyle name="쉼표 [0] 2 14 2" xfId="10516"/>
    <cellStyle name="쉼표 [0] 2 14 2 2" xfId="10517"/>
    <cellStyle name="쉼표 [0] 2 14 3" xfId="10518"/>
    <cellStyle name="쉼표 [0] 2 14 4" xfId="18313"/>
    <cellStyle name="쉼표 [0] 2 15" xfId="222"/>
    <cellStyle name="쉼표 [0] 2 15 2" xfId="18560"/>
    <cellStyle name="쉼표 [0] 2 16" xfId="223"/>
    <cellStyle name="쉼표 [0] 2 16 2" xfId="18603"/>
    <cellStyle name="쉼표 [0] 2 17" xfId="224"/>
    <cellStyle name="쉼표 [0] 2 17 2" xfId="20188"/>
    <cellStyle name="쉼표 [0] 2 17 2 2" xfId="20192"/>
    <cellStyle name="쉼표 [0] 2 17 3" xfId="18444"/>
    <cellStyle name="쉼표 [0] 2 18" xfId="225"/>
    <cellStyle name="쉼표 [0] 2 18 2" xfId="18571"/>
    <cellStyle name="쉼표 [0] 2 19" xfId="226"/>
    <cellStyle name="쉼표 [0] 2 19 2" xfId="18647"/>
    <cellStyle name="쉼표 [0] 2 2" xfId="227"/>
    <cellStyle name="쉼표 [0] 2 2 10" xfId="228"/>
    <cellStyle name="쉼표 [0] 2 2 10 2" xfId="18320"/>
    <cellStyle name="쉼표 [0] 2 2 11" xfId="229"/>
    <cellStyle name="쉼표 [0] 2 2 11 2" xfId="18437"/>
    <cellStyle name="쉼표 [0] 2 2 12" xfId="230"/>
    <cellStyle name="쉼표 [0] 2 2 12 2" xfId="18443"/>
    <cellStyle name="쉼표 [0] 2 2 13" xfId="231"/>
    <cellStyle name="쉼표 [0] 2 2 13 2" xfId="18428"/>
    <cellStyle name="쉼표 [0] 2 2 14" xfId="232"/>
    <cellStyle name="쉼표 [0] 2 2 14 2" xfId="18408"/>
    <cellStyle name="쉼표 [0] 2 2 15" xfId="233"/>
    <cellStyle name="쉼표 [0] 2 2 15 2" xfId="18470"/>
    <cellStyle name="쉼표 [0] 2 2 16" xfId="234"/>
    <cellStyle name="쉼표 [0] 2 2 16 2" xfId="18547"/>
    <cellStyle name="쉼표 [0] 2 2 17" xfId="235"/>
    <cellStyle name="쉼표 [0] 2 2 17 2" xfId="18455"/>
    <cellStyle name="쉼표 [0] 2 2 18" xfId="236"/>
    <cellStyle name="쉼표 [0] 2 2 18 2" xfId="18708"/>
    <cellStyle name="쉼표 [0] 2 2 19" xfId="237"/>
    <cellStyle name="쉼표 [0] 2 2 19 2" xfId="18545"/>
    <cellStyle name="쉼표 [0] 2 2 2" xfId="238"/>
    <cellStyle name="쉼표 [0] 2 2 2 10" xfId="239"/>
    <cellStyle name="쉼표 [0] 2 2 2 10 2" xfId="18369"/>
    <cellStyle name="쉼표 [0] 2 2 2 11" xfId="240"/>
    <cellStyle name="쉼표 [0] 2 2 2 11 2" xfId="18461"/>
    <cellStyle name="쉼표 [0] 2 2 2 12" xfId="241"/>
    <cellStyle name="쉼표 [0] 2 2 2 12 2" xfId="18510"/>
    <cellStyle name="쉼표 [0] 2 2 2 13" xfId="242"/>
    <cellStyle name="쉼표 [0] 2 2 2 13 2" xfId="18557"/>
    <cellStyle name="쉼표 [0] 2 2 2 14" xfId="243"/>
    <cellStyle name="쉼표 [0] 2 2 2 14 2" xfId="18591"/>
    <cellStyle name="쉼표 [0] 2 2 2 15" xfId="244"/>
    <cellStyle name="쉼표 [0] 2 2 2 15 2" xfId="18626"/>
    <cellStyle name="쉼표 [0] 2 2 2 16" xfId="245"/>
    <cellStyle name="쉼표 [0] 2 2 2 16 2" xfId="18638"/>
    <cellStyle name="쉼표 [0] 2 2 2 17" xfId="246"/>
    <cellStyle name="쉼표 [0] 2 2 2 17 2" xfId="18588"/>
    <cellStyle name="쉼표 [0] 2 2 2 18" xfId="247"/>
    <cellStyle name="쉼표 [0] 2 2 2 18 2" xfId="18753"/>
    <cellStyle name="쉼표 [0] 2 2 2 19" xfId="248"/>
    <cellStyle name="쉼표 [0] 2 2 2 19 2" xfId="18829"/>
    <cellStyle name="쉼표 [0] 2 2 2 2" xfId="249"/>
    <cellStyle name="쉼표 [0] 2 2 2 2 10" xfId="250"/>
    <cellStyle name="쉼표 [0] 2 2 2 2 10 2" xfId="18330"/>
    <cellStyle name="쉼표 [0] 2 2 2 2 11" xfId="251"/>
    <cellStyle name="쉼표 [0] 2 2 2 2 11 2" xfId="18414"/>
    <cellStyle name="쉼표 [0] 2 2 2 2 12" xfId="252"/>
    <cellStyle name="쉼표 [0] 2 2 2 2 12 2" xfId="18507"/>
    <cellStyle name="쉼표 [0] 2 2 2 2 13" xfId="253"/>
    <cellStyle name="쉼표 [0] 2 2 2 2 13 2" xfId="20399"/>
    <cellStyle name="쉼표 [0] 2 2 2 2 13 3" xfId="18528"/>
    <cellStyle name="쉼표 [0] 2 2 2 2 14" xfId="254"/>
    <cellStyle name="쉼표 [0] 2 2 2 2 14 2" xfId="18563"/>
    <cellStyle name="쉼표 [0] 2 2 2 2 15" xfId="255"/>
    <cellStyle name="쉼표 [0] 2 2 2 2 15 2" xfId="18590"/>
    <cellStyle name="쉼표 [0] 2 2 2 2 16" xfId="256"/>
    <cellStyle name="쉼표 [0] 2 2 2 2 16 2" xfId="18659"/>
    <cellStyle name="쉼표 [0] 2 2 2 2 17" xfId="257"/>
    <cellStyle name="쉼표 [0] 2 2 2 2 17 2" xfId="18702"/>
    <cellStyle name="쉼표 [0] 2 2 2 2 18" xfId="258"/>
    <cellStyle name="쉼표 [0] 2 2 2 2 18 2" xfId="18799"/>
    <cellStyle name="쉼표 [0] 2 2 2 2 19" xfId="259"/>
    <cellStyle name="쉼표 [0] 2 2 2 2 19 2" xfId="18594"/>
    <cellStyle name="쉼표 [0] 2 2 2 2 2" xfId="260"/>
    <cellStyle name="쉼표 [0] 2 2 2 2 2 10" xfId="261"/>
    <cellStyle name="쉼표 [0] 2 2 2 2 2 10 2" xfId="18483"/>
    <cellStyle name="쉼표 [0] 2 2 2 2 2 11" xfId="262"/>
    <cellStyle name="쉼표 [0] 2 2 2 2 2 11 2" xfId="18423"/>
    <cellStyle name="쉼표 [0] 2 2 2 2 2 12" xfId="263"/>
    <cellStyle name="쉼표 [0] 2 2 2 2 2 12 2" xfId="20400"/>
    <cellStyle name="쉼표 [0] 2 2 2 2 2 12 3" xfId="18497"/>
    <cellStyle name="쉼표 [0] 2 2 2 2 2 13" xfId="264"/>
    <cellStyle name="쉼표 [0] 2 2 2 2 2 13 2" xfId="18479"/>
    <cellStyle name="쉼표 [0] 2 2 2 2 2 14" xfId="265"/>
    <cellStyle name="쉼표 [0] 2 2 2 2 2 14 2" xfId="18611"/>
    <cellStyle name="쉼표 [0] 2 2 2 2 2 15" xfId="266"/>
    <cellStyle name="쉼표 [0] 2 2 2 2 2 15 2" xfId="18570"/>
    <cellStyle name="쉼표 [0] 2 2 2 2 2 16" xfId="267"/>
    <cellStyle name="쉼표 [0] 2 2 2 2 2 16 2" xfId="18503"/>
    <cellStyle name="쉼표 [0] 2 2 2 2 2 17" xfId="268"/>
    <cellStyle name="쉼표 [0] 2 2 2 2 2 17 2" xfId="18707"/>
    <cellStyle name="쉼표 [0] 2 2 2 2 2 18" xfId="269"/>
    <cellStyle name="쉼표 [0] 2 2 2 2 2 18 2" xfId="18578"/>
    <cellStyle name="쉼표 [0] 2 2 2 2 2 19" xfId="270"/>
    <cellStyle name="쉼표 [0] 2 2 2 2 2 19 2" xfId="18784"/>
    <cellStyle name="쉼표 [0] 2 2 2 2 2 2" xfId="271"/>
    <cellStyle name="쉼표 [0] 2 2 2 2 2 2 10" xfId="272"/>
    <cellStyle name="쉼표 [0] 2 2 2 2 2 2 10 2" xfId="18286"/>
    <cellStyle name="쉼표 [0] 2 2 2 2 2 2 11" xfId="273"/>
    <cellStyle name="쉼표 [0] 2 2 2 2 2 2 11 2" xfId="18502"/>
    <cellStyle name="쉼표 [0] 2 2 2 2 2 2 12" xfId="274"/>
    <cellStyle name="쉼표 [0] 2 2 2 2 2 2 12 2" xfId="18482"/>
    <cellStyle name="쉼표 [0] 2 2 2 2 2 2 13" xfId="275"/>
    <cellStyle name="쉼표 [0] 2 2 2 2 2 2 13 2" xfId="18618"/>
    <cellStyle name="쉼표 [0] 2 2 2 2 2 2 14" xfId="276"/>
    <cellStyle name="쉼표 [0] 2 2 2 2 2 2 14 2" xfId="18662"/>
    <cellStyle name="쉼표 [0] 2 2 2 2 2 2 15" xfId="277"/>
    <cellStyle name="쉼표 [0] 2 2 2 2 2 2 15 2" xfId="18569"/>
    <cellStyle name="쉼표 [0] 2 2 2 2 2 2 16" xfId="278"/>
    <cellStyle name="쉼표 [0] 2 2 2 2 2 2 16 2" xfId="18649"/>
    <cellStyle name="쉼표 [0] 2 2 2 2 2 2 17" xfId="279"/>
    <cellStyle name="쉼표 [0] 2 2 2 2 2 2 17 2" xfId="18741"/>
    <cellStyle name="쉼표 [0] 2 2 2 2 2 2 18" xfId="280"/>
    <cellStyle name="쉼표 [0] 2 2 2 2 2 2 18 2" xfId="18863"/>
    <cellStyle name="쉼표 [0] 2 2 2 2 2 2 19" xfId="281"/>
    <cellStyle name="쉼표 [0] 2 2 2 2 2 2 19 2" xfId="18817"/>
    <cellStyle name="쉼표 [0] 2 2 2 2 2 2 2" xfId="282"/>
    <cellStyle name="쉼표 [0] 2 2 2 2 2 2 2 10" xfId="283"/>
    <cellStyle name="쉼표 [0] 2 2 2 2 2 2 2 10 2" xfId="18514"/>
    <cellStyle name="쉼표 [0] 2 2 2 2 2 2 2 11" xfId="284"/>
    <cellStyle name="쉼표 [0] 2 2 2 2 2 2 2 11 2" xfId="18505"/>
    <cellStyle name="쉼표 [0] 2 2 2 2 2 2 2 12" xfId="285"/>
    <cellStyle name="쉼표 [0] 2 2 2 2 2 2 2 12 2" xfId="18624"/>
    <cellStyle name="쉼표 [0] 2 2 2 2 2 2 2 13" xfId="286"/>
    <cellStyle name="쉼표 [0] 2 2 2 2 2 2 2 13 2" xfId="18495"/>
    <cellStyle name="쉼표 [0] 2 2 2 2 2 2 2 14" xfId="287"/>
    <cellStyle name="쉼표 [0] 2 2 2 2 2 2 2 14 2" xfId="18646"/>
    <cellStyle name="쉼표 [0] 2 2 2 2 2 2 2 15" xfId="288"/>
    <cellStyle name="쉼표 [0] 2 2 2 2 2 2 2 15 2" xfId="18701"/>
    <cellStyle name="쉼표 [0] 2 2 2 2 2 2 2 16" xfId="289"/>
    <cellStyle name="쉼표 [0] 2 2 2 2 2 2 2 16 2" xfId="18785"/>
    <cellStyle name="쉼표 [0] 2 2 2 2 2 2 2 17" xfId="290"/>
    <cellStyle name="쉼표 [0] 2 2 2 2 2 2 2 17 2" xfId="18653"/>
    <cellStyle name="쉼표 [0] 2 2 2 2 2 2 2 18" xfId="291"/>
    <cellStyle name="쉼표 [0] 2 2 2 2 2 2 2 18 2" xfId="18938"/>
    <cellStyle name="쉼표 [0] 2 2 2 2 2 2 2 19" xfId="292"/>
    <cellStyle name="쉼표 [0] 2 2 2 2 2 2 2 19 2" xfId="18372"/>
    <cellStyle name="쉼표 [0] 2 2 2 2 2 2 2 2" xfId="293"/>
    <cellStyle name="쉼표 [0] 2 2 2 2 2 2 2 2 10" xfId="294"/>
    <cellStyle name="쉼표 [0] 2 2 2 2 2 2 2 2 10 2" xfId="18489"/>
    <cellStyle name="쉼표 [0] 2 2 2 2 2 2 2 2 11" xfId="295"/>
    <cellStyle name="쉼표 [0] 2 2 2 2 2 2 2 2 11 2" xfId="18458"/>
    <cellStyle name="쉼표 [0] 2 2 2 2 2 2 2 2 12" xfId="296"/>
    <cellStyle name="쉼표 [0] 2 2 2 2 2 2 2 2 12 2" xfId="18289"/>
    <cellStyle name="쉼표 [0] 2 2 2 2 2 2 2 2 13" xfId="297"/>
    <cellStyle name="쉼표 [0] 2 2 2 2 2 2 2 2 13 2" xfId="18484"/>
    <cellStyle name="쉼표 [0] 2 2 2 2 2 2 2 2 14" xfId="298"/>
    <cellStyle name="쉼표 [0] 2 2 2 2 2 2 2 2 14 2" xfId="18351"/>
    <cellStyle name="쉼표 [0] 2 2 2 2 2 2 2 2 15" xfId="299"/>
    <cellStyle name="쉼표 [0] 2 2 2 2 2 2 2 2 15 2" xfId="18314"/>
    <cellStyle name="쉼표 [0] 2 2 2 2 2 2 2 2 16" xfId="300"/>
    <cellStyle name="쉼표 [0] 2 2 2 2 2 2 2 2 16 2" xfId="18782"/>
    <cellStyle name="쉼표 [0] 2 2 2 2 2 2 2 2 17" xfId="301"/>
    <cellStyle name="쉼표 [0] 2 2 2 2 2 2 2 2 17 2" xfId="18927"/>
    <cellStyle name="쉼표 [0] 2 2 2 2 2 2 2 2 18" xfId="302"/>
    <cellStyle name="쉼표 [0] 2 2 2 2 2 2 2 2 18 2" xfId="18549"/>
    <cellStyle name="쉼표 [0] 2 2 2 2 2 2 2 2 19" xfId="303"/>
    <cellStyle name="쉼표 [0] 2 2 2 2 2 2 2 2 19 2" xfId="18690"/>
    <cellStyle name="쉼표 [0] 2 2 2 2 2 2 2 2 2" xfId="304"/>
    <cellStyle name="쉼표 [0] 2 2 2 2 2 2 2 2 2 10" xfId="305"/>
    <cellStyle name="쉼표 [0] 2 2 2 2 2 2 2 2 2 10 2" xfId="18589"/>
    <cellStyle name="쉼표 [0] 2 2 2 2 2 2 2 2 2 11" xfId="306"/>
    <cellStyle name="쉼표 [0] 2 2 2 2 2 2 2 2 2 11 2" xfId="18629"/>
    <cellStyle name="쉼표 [0] 2 2 2 2 2 2 2 2 2 12" xfId="307"/>
    <cellStyle name="쉼표 [0] 2 2 2 2 2 2 2 2 2 12 2" xfId="18572"/>
    <cellStyle name="쉼표 [0] 2 2 2 2 2 2 2 2 2 13" xfId="308"/>
    <cellStyle name="쉼표 [0] 2 2 2 2 2 2 2 2 2 13 2" xfId="18456"/>
    <cellStyle name="쉼표 [0] 2 2 2 2 2 2 2 2 2 14" xfId="309"/>
    <cellStyle name="쉼표 [0] 2 2 2 2 2 2 2 2 2 14 2" xfId="18787"/>
    <cellStyle name="쉼표 [0] 2 2 2 2 2 2 2 2 2 15" xfId="310"/>
    <cellStyle name="쉼표 [0] 2 2 2 2 2 2 2 2 2 15 2" xfId="18697"/>
    <cellStyle name="쉼표 [0] 2 2 2 2 2 2 2 2 2 16" xfId="311"/>
    <cellStyle name="쉼표 [0] 2 2 2 2 2 2 2 2 2 16 2" xfId="18878"/>
    <cellStyle name="쉼표 [0] 2 2 2 2 2 2 2 2 2 17" xfId="312"/>
    <cellStyle name="쉼표 [0] 2 2 2 2 2 2 2 2 2 17 2" xfId="18808"/>
    <cellStyle name="쉼표 [0] 2 2 2 2 2 2 2 2 2 18" xfId="313"/>
    <cellStyle name="쉼표 [0] 2 2 2 2 2 2 2 2 2 18 2" xfId="19055"/>
    <cellStyle name="쉼표 [0] 2 2 2 2 2 2 2 2 2 19" xfId="314"/>
    <cellStyle name="쉼표 [0] 2 2 2 2 2 2 2 2 2 19 2" xfId="18996"/>
    <cellStyle name="쉼표 [0] 2 2 2 2 2 2 2 2 2 2" xfId="315"/>
    <cellStyle name="쉼표 [0] 2 2 2 2 2 2 2 2 2 2 10" xfId="316"/>
    <cellStyle name="쉼표 [0] 2 2 2 2 2 2 2 2 2 2 10 2" xfId="18331"/>
    <cellStyle name="쉼표 [0] 2 2 2 2 2 2 2 2 2 2 11" xfId="317"/>
    <cellStyle name="쉼표 [0] 2 2 2 2 2 2 2 2 2 2 11 2" xfId="18363"/>
    <cellStyle name="쉼표 [0] 2 2 2 2 2 2 2 2 2 2 12" xfId="318"/>
    <cellStyle name="쉼표 [0] 2 2 2 2 2 2 2 2 2 2 12 2" xfId="18648"/>
    <cellStyle name="쉼표 [0] 2 2 2 2 2 2 2 2 2 2 13" xfId="319"/>
    <cellStyle name="쉼표 [0] 2 2 2 2 2 2 2 2 2 2 13 2" xfId="18656"/>
    <cellStyle name="쉼표 [0] 2 2 2 2 2 2 2 2 2 2 14" xfId="320"/>
    <cellStyle name="쉼표 [0] 2 2 2 2 2 2 2 2 2 2 14 2" xfId="18696"/>
    <cellStyle name="쉼표 [0] 2 2 2 2 2 2 2 2 2 2 15" xfId="321"/>
    <cellStyle name="쉼표 [0] 2 2 2 2 2 2 2 2 2 2 15 2" xfId="18520"/>
    <cellStyle name="쉼표 [0] 2 2 2 2 2 2 2 2 2 2 16" xfId="322"/>
    <cellStyle name="쉼표 [0] 2 2 2 2 2 2 2 2 2 2 16 2" xfId="18796"/>
    <cellStyle name="쉼표 [0] 2 2 2 2 2 2 2 2 2 2 17" xfId="323"/>
    <cellStyle name="쉼표 [0] 2 2 2 2 2 2 2 2 2 2 17 2" xfId="18970"/>
    <cellStyle name="쉼표 [0] 2 2 2 2 2 2 2 2 2 2 18" xfId="324"/>
    <cellStyle name="쉼표 [0] 2 2 2 2 2 2 2 2 2 2 18 2" xfId="18835"/>
    <cellStyle name="쉼표 [0] 2 2 2 2 2 2 2 2 2 2 19" xfId="325"/>
    <cellStyle name="쉼표 [0] 2 2 2 2 2 2 2 2 2 2 19 2" xfId="18714"/>
    <cellStyle name="쉼표 [0] 2 2 2 2 2 2 2 2 2 2 2" xfId="326"/>
    <cellStyle name="쉼표 [0] 2 2 2 2 2 2 2 2 2 2 2 10" xfId="327"/>
    <cellStyle name="쉼표 [0] 2 2 2 2 2 2 2 2 2 2 2 10 2" xfId="18506"/>
    <cellStyle name="쉼표 [0] 2 2 2 2 2 2 2 2 2 2 2 11" xfId="328"/>
    <cellStyle name="쉼표 [0] 2 2 2 2 2 2 2 2 2 2 2 11 2" xfId="18597"/>
    <cellStyle name="쉼표 [0] 2 2 2 2 2 2 2 2 2 2 2 12" xfId="329"/>
    <cellStyle name="쉼표 [0] 2 2 2 2 2 2 2 2 2 2 2 12 2" xfId="18672"/>
    <cellStyle name="쉼표 [0] 2 2 2 2 2 2 2 2 2 2 2 13" xfId="330"/>
    <cellStyle name="쉼표 [0] 2 2 2 2 2 2 2 2 2 2 2 13 2" xfId="18687"/>
    <cellStyle name="쉼표 [0] 2 2 2 2 2 2 2 2 2 2 2 14" xfId="331"/>
    <cellStyle name="쉼표 [0] 2 2 2 2 2 2 2 2 2 2 2 14 2" xfId="18417"/>
    <cellStyle name="쉼표 [0] 2 2 2 2 2 2 2 2 2 2 2 15" xfId="332"/>
    <cellStyle name="쉼표 [0] 2 2 2 2 2 2 2 2 2 2 2 15 2" xfId="18802"/>
    <cellStyle name="쉼표 [0] 2 2 2 2 2 2 2 2 2 2 2 16" xfId="333"/>
    <cellStyle name="쉼표 [0] 2 2 2 2 2 2 2 2 2 2 2 16 2" xfId="18498"/>
    <cellStyle name="쉼표 [0] 2 2 2 2 2 2 2 2 2 2 2 17" xfId="334"/>
    <cellStyle name="쉼표 [0] 2 2 2 2 2 2 2 2 2 2 2 17 2" xfId="18641"/>
    <cellStyle name="쉼표 [0] 2 2 2 2 2 2 2 2 2 2 2 18" xfId="335"/>
    <cellStyle name="쉼표 [0] 2 2 2 2 2 2 2 2 2 2 2 18 2" xfId="18383"/>
    <cellStyle name="쉼표 [0] 2 2 2 2 2 2 2 2 2 2 2 19" xfId="336"/>
    <cellStyle name="쉼표 [0] 2 2 2 2 2 2 2 2 2 2 2 19 2" xfId="19176"/>
    <cellStyle name="쉼표 [0] 2 2 2 2 2 2 2 2 2 2 2 2" xfId="337"/>
    <cellStyle name="쉼표 [0] 2 2 2 2 2 2 2 2 2 2 2 2 10" xfId="338"/>
    <cellStyle name="쉼표 [0] 2 2 2 2 2 2 2 2 2 2 2 2 10 2" xfId="18377"/>
    <cellStyle name="쉼표 [0] 2 2 2 2 2 2 2 2 2 2 2 2 11" xfId="339"/>
    <cellStyle name="쉼표 [0] 2 2 2 2 2 2 2 2 2 2 2 2 11 2" xfId="18724"/>
    <cellStyle name="쉼표 [0] 2 2 2 2 2 2 2 2 2 2 2 2 12" xfId="340"/>
    <cellStyle name="쉼표 [0] 2 2 2 2 2 2 2 2 2 2 2 2 12 2" xfId="18527"/>
    <cellStyle name="쉼표 [0] 2 2 2 2 2 2 2 2 2 2 2 2 13" xfId="341"/>
    <cellStyle name="쉼표 [0] 2 2 2 2 2 2 2 2 2 2 2 2 13 2" xfId="18538"/>
    <cellStyle name="쉼표 [0] 2 2 2 2 2 2 2 2 2 2 2 2 14" xfId="342"/>
    <cellStyle name="쉼표 [0] 2 2 2 2 2 2 2 2 2 2 2 2 14 2" xfId="18774"/>
    <cellStyle name="쉼표 [0] 2 2 2 2 2 2 2 2 2 2 2 2 15" xfId="343"/>
    <cellStyle name="쉼표 [0] 2 2 2 2 2 2 2 2 2 2 2 2 15 2" xfId="18755"/>
    <cellStyle name="쉼표 [0] 2 2 2 2 2 2 2 2 2 2 2 2 16" xfId="344"/>
    <cellStyle name="쉼표 [0] 2 2 2 2 2 2 2 2 2 2 2 2 16 2" xfId="18788"/>
    <cellStyle name="쉼표 [0] 2 2 2 2 2 2 2 2 2 2 2 2 17" xfId="345"/>
    <cellStyle name="쉼표 [0] 2 2 2 2 2 2 2 2 2 2 2 2 17 2" xfId="19053"/>
    <cellStyle name="쉼표 [0] 2 2 2 2 2 2 2 2 2 2 2 2 18" xfId="346"/>
    <cellStyle name="쉼표 [0] 2 2 2 2 2 2 2 2 2 2 2 2 18 2" xfId="18777"/>
    <cellStyle name="쉼표 [0] 2 2 2 2 2 2 2 2 2 2 2 2 19" xfId="347"/>
    <cellStyle name="쉼표 [0] 2 2 2 2 2 2 2 2 2 2 2 2 19 2" xfId="19145"/>
    <cellStyle name="쉼표 [0] 2 2 2 2 2 2 2 2 2 2 2 2 2" xfId="348"/>
    <cellStyle name="쉼표 [0] 2 2 2 2 2 2 2 2 2 2 2 2 2 10" xfId="349"/>
    <cellStyle name="쉼표 [0] 2 2 2 2 2 2 2 2 2 2 2 2 2 10 2" xfId="18661"/>
    <cellStyle name="쉼표 [0] 2 2 2 2 2 2 2 2 2 2 2 2 2 11" xfId="350"/>
    <cellStyle name="쉼표 [0] 2 2 2 2 2 2 2 2 2 2 2 2 2 11 2" xfId="18761"/>
    <cellStyle name="쉼표 [0] 2 2 2 2 2 2 2 2 2 2 2 2 2 12" xfId="351"/>
    <cellStyle name="쉼표 [0] 2 2 2 2 2 2 2 2 2 2 2 2 2 12 2" xfId="18731"/>
    <cellStyle name="쉼표 [0] 2 2 2 2 2 2 2 2 2 2 2 2 2 13" xfId="352"/>
    <cellStyle name="쉼표 [0] 2 2 2 2 2 2 2 2 2 2 2 2 2 13 2" xfId="18504"/>
    <cellStyle name="쉼표 [0] 2 2 2 2 2 2 2 2 2 2 2 2 2 14" xfId="353"/>
    <cellStyle name="쉼표 [0] 2 2 2 2 2 2 2 2 2 2 2 2 2 14 2" xfId="18905"/>
    <cellStyle name="쉼표 [0] 2 2 2 2 2 2 2 2 2 2 2 2 2 15" xfId="354"/>
    <cellStyle name="쉼표 [0] 2 2 2 2 2 2 2 2 2 2 2 2 2 15 2" xfId="18474"/>
    <cellStyle name="쉼표 [0] 2 2 2 2 2 2 2 2 2 2 2 2 2 16" xfId="355"/>
    <cellStyle name="쉼표 [0] 2 2 2 2 2 2 2 2 2 2 2 2 2 16 2" xfId="19024"/>
    <cellStyle name="쉼표 [0] 2 2 2 2 2 2 2 2 2 2 2 2 2 17" xfId="356"/>
    <cellStyle name="쉼표 [0] 2 2 2 2 2 2 2 2 2 2 2 2 2 17 2" xfId="18730"/>
    <cellStyle name="쉼표 [0] 2 2 2 2 2 2 2 2 2 2 2 2 2 18" xfId="357"/>
    <cellStyle name="쉼표 [0] 2 2 2 2 2 2 2 2 2 2 2 2 2 18 2" xfId="18899"/>
    <cellStyle name="쉼표 [0] 2 2 2 2 2 2 2 2 2 2 2 2 2 19" xfId="358"/>
    <cellStyle name="쉼표 [0] 2 2 2 2 2 2 2 2 2 2 2 2 2 19 2" xfId="18925"/>
    <cellStyle name="쉼표 [0] 2 2 2 2 2 2 2 2 2 2 2 2 2 2" xfId="359"/>
    <cellStyle name="쉼표 [0] 2 2 2 2 2 2 2 2 2 2 2 2 2 2 10" xfId="360"/>
    <cellStyle name="쉼표 [0] 2 2 2 2 2 2 2 2 2 2 2 2 2 2 10 2" xfId="18716"/>
    <cellStyle name="쉼표 [0] 2 2 2 2 2 2 2 2 2 2 2 2 2 2 11" xfId="361"/>
    <cellStyle name="쉼표 [0] 2 2 2 2 2 2 2 2 2 2 2 2 2 2 11 2" xfId="18862"/>
    <cellStyle name="쉼표 [0] 2 2 2 2 2 2 2 2 2 2 2 2 2 2 12" xfId="362"/>
    <cellStyle name="쉼표 [0] 2 2 2 2 2 2 2 2 2 2 2 2 2 2 12 2" xfId="18856"/>
    <cellStyle name="쉼표 [0] 2 2 2 2 2 2 2 2 2 2 2 2 2 2 13" xfId="363"/>
    <cellStyle name="쉼표 [0] 2 2 2 2 2 2 2 2 2 2 2 2 2 2 13 2" xfId="18674"/>
    <cellStyle name="쉼표 [0] 2 2 2 2 2 2 2 2 2 2 2 2 2 2 14" xfId="364"/>
    <cellStyle name="쉼표 [0] 2 2 2 2 2 2 2 2 2 2 2 2 2 2 14 2" xfId="18786"/>
    <cellStyle name="쉼표 [0] 2 2 2 2 2 2 2 2 2 2 2 2 2 2 15" xfId="365"/>
    <cellStyle name="쉼표 [0] 2 2 2 2 2 2 2 2 2 2 2 2 2 2 15 2" xfId="18541"/>
    <cellStyle name="쉼표 [0] 2 2 2 2 2 2 2 2 2 2 2 2 2 2 16" xfId="366"/>
    <cellStyle name="쉼표 [0] 2 2 2 2 2 2 2 2 2 2 2 2 2 2 16 2" xfId="18935"/>
    <cellStyle name="쉼표 [0] 2 2 2 2 2 2 2 2 2 2 2 2 2 2 17" xfId="367"/>
    <cellStyle name="쉼표 [0] 2 2 2 2 2 2 2 2 2 2 2 2 2 2 17 2" xfId="18691"/>
    <cellStyle name="쉼표 [0] 2 2 2 2 2 2 2 2 2 2 2 2 2 2 18" xfId="368"/>
    <cellStyle name="쉼표 [0] 2 2 2 2 2 2 2 2 2 2 2 2 2 2 18 2" xfId="18889"/>
    <cellStyle name="쉼표 [0] 2 2 2 2 2 2 2 2 2 2 2 2 2 2 19" xfId="369"/>
    <cellStyle name="쉼표 [0] 2 2 2 2 2 2 2 2 2 2 2 2 2 2 19 2" xfId="19074"/>
    <cellStyle name="쉼표 [0] 2 2 2 2 2 2 2 2 2 2 2 2 2 2 2" xfId="370"/>
    <cellStyle name="쉼표 [0] 2 2 2 2 2 2 2 2 2 2 2 2 2 2 2 10" xfId="371"/>
    <cellStyle name="쉼표 [0] 2 2 2 2 2 2 2 2 2 2 2 2 2 2 2 10 2" xfId="18783"/>
    <cellStyle name="쉼표 [0] 2 2 2 2 2 2 2 2 2 2 2 2 2 2 2 11" xfId="372"/>
    <cellStyle name="쉼표 [0] 2 2 2 2 2 2 2 2 2 2 2 2 2 2 2 11 2" xfId="18282"/>
    <cellStyle name="쉼표 [0] 2 2 2 2 2 2 2 2 2 2 2 2 2 2 2 12" xfId="373"/>
    <cellStyle name="쉼표 [0] 2 2 2 2 2 2 2 2 2 2 2 2 2 2 2 12 2" xfId="18906"/>
    <cellStyle name="쉼표 [0] 2 2 2 2 2 2 2 2 2 2 2 2 2 2 2 13" xfId="374"/>
    <cellStyle name="쉼표 [0] 2 2 2 2 2 2 2 2 2 2 2 2 2 2 2 13 2" xfId="18855"/>
    <cellStyle name="쉼표 [0] 2 2 2 2 2 2 2 2 2 2 2 2 2 2 2 14" xfId="375"/>
    <cellStyle name="쉼표 [0] 2 2 2 2 2 2 2 2 2 2 2 2 2 2 2 14 2" xfId="18910"/>
    <cellStyle name="쉼표 [0] 2 2 2 2 2 2 2 2 2 2 2 2 2 2 2 15" xfId="376"/>
    <cellStyle name="쉼표 [0] 2 2 2 2 2 2 2 2 2 2 2 2 2 2 2 15 2" xfId="18800"/>
    <cellStyle name="쉼표 [0] 2 2 2 2 2 2 2 2 2 2 2 2 2 2 2 16" xfId="377"/>
    <cellStyle name="쉼표 [0] 2 2 2 2 2 2 2 2 2 2 2 2 2 2 2 16 2" xfId="18838"/>
    <cellStyle name="쉼표 [0] 2 2 2 2 2 2 2 2 2 2 2 2 2 2 2 17" xfId="378"/>
    <cellStyle name="쉼표 [0] 2 2 2 2 2 2 2 2 2 2 2 2 2 2 2 17 2" xfId="18916"/>
    <cellStyle name="쉼표 [0] 2 2 2 2 2 2 2 2 2 2 2 2 2 2 2 18" xfId="379"/>
    <cellStyle name="쉼표 [0] 2 2 2 2 2 2 2 2 2 2 2 2 2 2 2 18 2" xfId="19223"/>
    <cellStyle name="쉼표 [0] 2 2 2 2 2 2 2 2 2 2 2 2 2 2 2 19" xfId="380"/>
    <cellStyle name="쉼표 [0] 2 2 2 2 2 2 2 2 2 2 2 2 2 2 2 19 2" xfId="18890"/>
    <cellStyle name="쉼표 [0] 2 2 2 2 2 2 2 2 2 2 2 2 2 2 2 2" xfId="381"/>
    <cellStyle name="쉼표 [0] 2 2 2 2 2 2 2 2 2 2 2 2 2 2 2 2 10" xfId="382"/>
    <cellStyle name="쉼표 [0] 2 2 2 2 2 2 2 2 2 2 2 2 2 2 2 2 10 2" xfId="18883"/>
    <cellStyle name="쉼표 [0] 2 2 2 2 2 2 2 2 2 2 2 2 2 2 2 2 11" xfId="383"/>
    <cellStyle name="쉼표 [0] 2 2 2 2 2 2 2 2 2 2 2 2 2 2 2 2 11 2" xfId="18555"/>
    <cellStyle name="쉼표 [0] 2 2 2 2 2 2 2 2 2 2 2 2 2 2 2 2 12" xfId="384"/>
    <cellStyle name="쉼표 [0] 2 2 2 2 2 2 2 2 2 2 2 2 2 2 2 2 12 2" xfId="18976"/>
    <cellStyle name="쉼표 [0] 2 2 2 2 2 2 2 2 2 2 2 2 2 2 2 2 13" xfId="385"/>
    <cellStyle name="쉼표 [0] 2 2 2 2 2 2 2 2 2 2 2 2 2 2 2 2 13 2" xfId="18907"/>
    <cellStyle name="쉼표 [0] 2 2 2 2 2 2 2 2 2 2 2 2 2 2 2 2 14" xfId="386"/>
    <cellStyle name="쉼표 [0] 2 2 2 2 2 2 2 2 2 2 2 2 2 2 2 2 14 2" xfId="18795"/>
    <cellStyle name="쉼표 [0] 2 2 2 2 2 2 2 2 2 2 2 2 2 2 2 2 15" xfId="387"/>
    <cellStyle name="쉼표 [0] 2 2 2 2 2 2 2 2 2 2 2 2 2 2 2 2 15 2" xfId="19009"/>
    <cellStyle name="쉼표 [0] 2 2 2 2 2 2 2 2 2 2 2 2 2 2 2 2 16" xfId="388"/>
    <cellStyle name="쉼표 [0] 2 2 2 2 2 2 2 2 2 2 2 2 2 2 2 2 16 2" xfId="18866"/>
    <cellStyle name="쉼표 [0] 2 2 2 2 2 2 2 2 2 2 2 2 2 2 2 2 17" xfId="389"/>
    <cellStyle name="쉼표 [0] 2 2 2 2 2 2 2 2 2 2 2 2 2 2 2 2 17 2" xfId="19036"/>
    <cellStyle name="쉼표 [0] 2 2 2 2 2 2 2 2 2 2 2 2 2 2 2 2 18" xfId="390"/>
    <cellStyle name="쉼표 [0] 2 2 2 2 2 2 2 2 2 2 2 2 2 2 2 2 18 2" xfId="18902"/>
    <cellStyle name="쉼표 [0] 2 2 2 2 2 2 2 2 2 2 2 2 2 2 2 2 19" xfId="391"/>
    <cellStyle name="쉼표 [0] 2 2 2 2 2 2 2 2 2 2 2 2 2 2 2 2 19 2" xfId="18868"/>
    <cellStyle name="쉼표 [0] 2 2 2 2 2 2 2 2 2 2 2 2 2 2 2 2 2" xfId="392"/>
    <cellStyle name="쉼표 [0] 2 2 2 2 2 2 2 2 2 2 2 2 2 2 2 2 2 10" xfId="393"/>
    <cellStyle name="쉼표 [0] 2 2 2 2 2 2 2 2 2 2 2 2 2 2 2 2 2 10 2" xfId="18870"/>
    <cellStyle name="쉼표 [0] 2 2 2 2 2 2 2 2 2 2 2 2 2 2 2 2 2 11" xfId="394"/>
    <cellStyle name="쉼표 [0] 2 2 2 2 2 2 2 2 2 2 2 2 2 2 2 2 2 11 2" xfId="18595"/>
    <cellStyle name="쉼표 [0] 2 2 2 2 2 2 2 2 2 2 2 2 2 2 2 2 2 12" xfId="395"/>
    <cellStyle name="쉼표 [0] 2 2 2 2 2 2 2 2 2 2 2 2 2 2 2 2 2 12 2" xfId="18639"/>
    <cellStyle name="쉼표 [0] 2 2 2 2 2 2 2 2 2 2 2 2 2 2 2 2 2 13" xfId="396"/>
    <cellStyle name="쉼표 [0] 2 2 2 2 2 2 2 2 2 2 2 2 2 2 2 2 2 13 2" xfId="18453"/>
    <cellStyle name="쉼표 [0] 2 2 2 2 2 2 2 2 2 2 2 2 2 2 2 2 2 14" xfId="397"/>
    <cellStyle name="쉼표 [0] 2 2 2 2 2 2 2 2 2 2 2 2 2 2 2 2 2 14 2" xfId="18775"/>
    <cellStyle name="쉼표 [0] 2 2 2 2 2 2 2 2 2 2 2 2 2 2 2 2 2 15" xfId="398"/>
    <cellStyle name="쉼표 [0] 2 2 2 2 2 2 2 2 2 2 2 2 2 2 2 2 2 15 2" xfId="19047"/>
    <cellStyle name="쉼표 [0] 2 2 2 2 2 2 2 2 2 2 2 2 2 2 2 2 2 16" xfId="399"/>
    <cellStyle name="쉼표 [0] 2 2 2 2 2 2 2 2 2 2 2 2 2 2 2 2 2 16 2" xfId="18758"/>
    <cellStyle name="쉼표 [0] 2 2 2 2 2 2 2 2 2 2 2 2 2 2 2 2 2 17" xfId="400"/>
    <cellStyle name="쉼표 [0] 2 2 2 2 2 2 2 2 2 2 2 2 2 2 2 2 2 17 2" xfId="19077"/>
    <cellStyle name="쉼표 [0] 2 2 2 2 2 2 2 2 2 2 2 2 2 2 2 2 2 18" xfId="401"/>
    <cellStyle name="쉼표 [0] 2 2 2 2 2 2 2 2 2 2 2 2 2 2 2 2 2 18 2" xfId="19226"/>
    <cellStyle name="쉼표 [0] 2 2 2 2 2 2 2 2 2 2 2 2 2 2 2 2 2 19" xfId="402"/>
    <cellStyle name="쉼표 [0] 2 2 2 2 2 2 2 2 2 2 2 2 2 2 2 2 2 19 2" xfId="18987"/>
    <cellStyle name="쉼표 [0] 2 2 2 2 2 2 2 2 2 2 2 2 2 2 2 2 2 2" xfId="403"/>
    <cellStyle name="쉼표 [0] 2 2 2 2 2 2 2 2 2 2 2 2 2 2 2 2 2 2 10" xfId="404"/>
    <cellStyle name="쉼표 [0] 2 2 2 2 2 2 2 2 2 2 2 2 2 2 2 2 2 2 10 2" xfId="18960"/>
    <cellStyle name="쉼표 [0] 2 2 2 2 2 2 2 2 2 2 2 2 2 2 2 2 2 2 11" xfId="405"/>
    <cellStyle name="쉼표 [0] 2 2 2 2 2 2 2 2 2 2 2 2 2 2 2 2 2 2 11 2" xfId="19014"/>
    <cellStyle name="쉼표 [0] 2 2 2 2 2 2 2 2 2 2 2 2 2 2 2 2 2 2 12" xfId="406"/>
    <cellStyle name="쉼표 [0] 2 2 2 2 2 2 2 2 2 2 2 2 2 2 2 2 2 2 12 2" xfId="19010"/>
    <cellStyle name="쉼표 [0] 2 2 2 2 2 2 2 2 2 2 2 2 2 2 2 2 2 2 13" xfId="407"/>
    <cellStyle name="쉼표 [0] 2 2 2 2 2 2 2 2 2 2 2 2 2 2 2 2 2 2 13 2" xfId="19107"/>
    <cellStyle name="쉼표 [0] 2 2 2 2 2 2 2 2 2 2 2 2 2 2 2 2 2 2 14" xfId="408"/>
    <cellStyle name="쉼표 [0] 2 2 2 2 2 2 2 2 2 2 2 2 2 2 2 2 2 2 14 2" xfId="19021"/>
    <cellStyle name="쉼표 [0] 2 2 2 2 2 2 2 2 2 2 2 2 2 2 2 2 2 2 15" xfId="409"/>
    <cellStyle name="쉼표 [0] 2 2 2 2 2 2 2 2 2 2 2 2 2 2 2 2 2 2 15 2" xfId="19007"/>
    <cellStyle name="쉼표 [0] 2 2 2 2 2 2 2 2 2 2 2 2 2 2 2 2 2 2 16" xfId="410"/>
    <cellStyle name="쉼표 [0] 2 2 2 2 2 2 2 2 2 2 2 2 2 2 2 2 2 2 16 2" xfId="19180"/>
    <cellStyle name="쉼표 [0] 2 2 2 2 2 2 2 2 2 2 2 2 2 2 2 2 2 2 17" xfId="411"/>
    <cellStyle name="쉼표 [0] 2 2 2 2 2 2 2 2 2 2 2 2 2 2 2 2 2 2 17 2" xfId="18727"/>
    <cellStyle name="쉼표 [0] 2 2 2 2 2 2 2 2 2 2 2 2 2 2 2 2 2 2 18" xfId="412"/>
    <cellStyle name="쉼표 [0] 2 2 2 2 2 2 2 2 2 2 2 2 2 2 2 2 2 2 18 2" xfId="19195"/>
    <cellStyle name="쉼표 [0] 2 2 2 2 2 2 2 2 2 2 2 2 2 2 2 2 2 2 19" xfId="413"/>
    <cellStyle name="쉼표 [0] 2 2 2 2 2 2 2 2 2 2 2 2 2 2 2 2 2 2 19 2" xfId="19392"/>
    <cellStyle name="쉼표 [0] 2 2 2 2 2 2 2 2 2 2 2 2 2 2 2 2 2 2 2" xfId="414"/>
    <cellStyle name="쉼표 [0] 2 2 2 2 2 2 2 2 2 2 2 2 2 2 2 2 2 2 2 10" xfId="415"/>
    <cellStyle name="쉼표 [0] 2 2 2 2 2 2 2 2 2 2 2 2 2 2 2 2 2 2 2 10 2" xfId="18969"/>
    <cellStyle name="쉼표 [0] 2 2 2 2 2 2 2 2 2 2 2 2 2 2 2 2 2 2 2 11" xfId="416"/>
    <cellStyle name="쉼표 [0] 2 2 2 2 2 2 2 2 2 2 2 2 2 2 2 2 2 2 2 11 2" xfId="19004"/>
    <cellStyle name="쉼표 [0] 2 2 2 2 2 2 2 2 2 2 2 2 2 2 2 2 2 2 2 12" xfId="417"/>
    <cellStyle name="쉼표 [0] 2 2 2 2 2 2 2 2 2 2 2 2 2 2 2 2 2 2 2 12 2" xfId="19001"/>
    <cellStyle name="쉼표 [0] 2 2 2 2 2 2 2 2 2 2 2 2 2 2 2 2 2 2 2 13" xfId="418"/>
    <cellStyle name="쉼표 [0] 2 2 2 2 2 2 2 2 2 2 2 2 2 2 2 2 2 2 2 13 2" xfId="18754"/>
    <cellStyle name="쉼표 [0] 2 2 2 2 2 2 2 2 2 2 2 2 2 2 2 2 2 2 2 14" xfId="419"/>
    <cellStyle name="쉼표 [0] 2 2 2 2 2 2 2 2 2 2 2 2 2 2 2 2 2 2 2 14 2" xfId="19011"/>
    <cellStyle name="쉼표 [0] 2 2 2 2 2 2 2 2 2 2 2 2 2 2 2 2 2 2 2 15" xfId="420"/>
    <cellStyle name="쉼표 [0] 2 2 2 2 2 2 2 2 2 2 2 2 2 2 2 2 2 2 2 15 2" xfId="18806"/>
    <cellStyle name="쉼표 [0] 2 2 2 2 2 2 2 2 2 2 2 2 2 2 2 2 2 2 2 16" xfId="421"/>
    <cellStyle name="쉼표 [0] 2 2 2 2 2 2 2 2 2 2 2 2 2 2 2 2 2 2 2 16 2" xfId="19128"/>
    <cellStyle name="쉼표 [0] 2 2 2 2 2 2 2 2 2 2 2 2 2 2 2 2 2 2 2 17" xfId="422"/>
    <cellStyle name="쉼표 [0] 2 2 2 2 2 2 2 2 2 2 2 2 2 2 2 2 2 2 2 17 2" xfId="18900"/>
    <cellStyle name="쉼표 [0] 2 2 2 2 2 2 2 2 2 2 2 2 2 2 2 2 2 2 2 18" xfId="423"/>
    <cellStyle name="쉼표 [0] 2 2 2 2 2 2 2 2 2 2 2 2 2 2 2 2 2 2 2 18 2" xfId="19156"/>
    <cellStyle name="쉼표 [0] 2 2 2 2 2 2 2 2 2 2 2 2 2 2 2 2 2 2 2 19" xfId="424"/>
    <cellStyle name="쉼표 [0] 2 2 2 2 2 2 2 2 2 2 2 2 2 2 2 2 2 2 2 19 2" xfId="19397"/>
    <cellStyle name="쉼표 [0] 2 2 2 2 2 2 2 2 2 2 2 2 2 2 2 2 2 2 2 2" xfId="425"/>
    <cellStyle name="쉼표 [0] 2 2 2 2 2 2 2 2 2 2 2 2 2 2 2 2 2 2 2 2 10" xfId="426"/>
    <cellStyle name="쉼표 [0] 2 2 2 2 2 2 2 2 2 2 2 2 2 2 2 2 2 2 2 2 10 2" xfId="18919"/>
    <cellStyle name="쉼표 [0] 2 2 2 2 2 2 2 2 2 2 2 2 2 2 2 2 2 2 2 2 11" xfId="427"/>
    <cellStyle name="쉼표 [0] 2 2 2 2 2 2 2 2 2 2 2 2 2 2 2 2 2 2 2 2 11 2" xfId="18846"/>
    <cellStyle name="쉼표 [0] 2 2 2 2 2 2 2 2 2 2 2 2 2 2 2 2 2 2 2 2 12" xfId="428"/>
    <cellStyle name="쉼표 [0] 2 2 2 2 2 2 2 2 2 2 2 2 2 2 2 2 2 2 2 2 12 2" xfId="19122"/>
    <cellStyle name="쉼표 [0] 2 2 2 2 2 2 2 2 2 2 2 2 2 2 2 2 2 2 2 2 13" xfId="429"/>
    <cellStyle name="쉼표 [0] 2 2 2 2 2 2 2 2 2 2 2 2 2 2 2 2 2 2 2 2 13 2" xfId="19175"/>
    <cellStyle name="쉼표 [0] 2 2 2 2 2 2 2 2 2 2 2 2 2 2 2 2 2 2 2 2 14" xfId="430"/>
    <cellStyle name="쉼표 [0] 2 2 2 2 2 2 2 2 2 2 2 2 2 2 2 2 2 2 2 2 14 2" xfId="19142"/>
    <cellStyle name="쉼표 [0] 2 2 2 2 2 2 2 2 2 2 2 2 2 2 2 2 2 2 2 2 15" xfId="431"/>
    <cellStyle name="쉼표 [0] 2 2 2 2 2 2 2 2 2 2 2 2 2 2 2 2 2 2 2 2 15 2" xfId="18966"/>
    <cellStyle name="쉼표 [0] 2 2 2 2 2 2 2 2 2 2 2 2 2 2 2 2 2 2 2 2 16" xfId="432"/>
    <cellStyle name="쉼표 [0] 2 2 2 2 2 2 2 2 2 2 2 2 2 2 2 2 2 2 2 2 16 2" xfId="19143"/>
    <cellStyle name="쉼표 [0] 2 2 2 2 2 2 2 2 2 2 2 2 2 2 2 2 2 2 2 2 17" xfId="433"/>
    <cellStyle name="쉼표 [0] 2 2 2 2 2 2 2 2 2 2 2 2 2 2 2 2 2 2 2 2 17 2" xfId="19261"/>
    <cellStyle name="쉼표 [0] 2 2 2 2 2 2 2 2 2 2 2 2 2 2 2 2 2 2 2 2 18" xfId="434"/>
    <cellStyle name="쉼표 [0] 2 2 2 2 2 2 2 2 2 2 2 2 2 2 2 2 2 2 2 2 18 2" xfId="18686"/>
    <cellStyle name="쉼표 [0] 2 2 2 2 2 2 2 2 2 2 2 2 2 2 2 2 2 2 2 2 19" xfId="435"/>
    <cellStyle name="쉼표 [0] 2 2 2 2 2 2 2 2 2 2 2 2 2 2 2 2 2 2 2 2 19 2" xfId="436"/>
    <cellStyle name="쉼표 [0] 2 2 2 2 2 2 2 2 2 2 2 2 2 2 2 2 2 2 2 2 19 2 2" xfId="19523"/>
    <cellStyle name="쉼표 [0] 2 2 2 2 2 2 2 2 2 2 2 2 2 2 2 2 2 2 2 2 19 3" xfId="19416"/>
    <cellStyle name="쉼표 [0] 2 2 2 2 2 2 2 2 2 2 2 2 2 2 2 2 2 2 2 2 2" xfId="437"/>
    <cellStyle name="쉼표 [0] 2 2 2 2 2 2 2 2 2 2 2 2 2 2 2 2 2 2 2 2 2 10" xfId="438"/>
    <cellStyle name="쉼표 [0] 2 2 2 2 2 2 2 2 2 2 2 2 2 2 2 2 2 2 2 2 2 10 2" xfId="18798"/>
    <cellStyle name="쉼표 [0] 2 2 2 2 2 2 2 2 2 2 2 2 2 2 2 2 2 2 2 2 2 11" xfId="439"/>
    <cellStyle name="쉼표 [0] 2 2 2 2 2 2 2 2 2 2 2 2 2 2 2 2 2 2 2 2 2 11 2" xfId="19066"/>
    <cellStyle name="쉼표 [0] 2 2 2 2 2 2 2 2 2 2 2 2 2 2 2 2 2 2 2 2 2 12" xfId="440"/>
    <cellStyle name="쉼표 [0] 2 2 2 2 2 2 2 2 2 2 2 2 2 2 2 2 2 2 2 2 2 12 2" xfId="19109"/>
    <cellStyle name="쉼표 [0] 2 2 2 2 2 2 2 2 2 2 2 2 2 2 2 2 2 2 2 2 2 13" xfId="441"/>
    <cellStyle name="쉼표 [0] 2 2 2 2 2 2 2 2 2 2 2 2 2 2 2 2 2 2 2 2 2 13 2" xfId="18770"/>
    <cellStyle name="쉼표 [0] 2 2 2 2 2 2 2 2 2 2 2 2 2 2 2 2 2 2 2 2 2 14" xfId="442"/>
    <cellStyle name="쉼표 [0] 2 2 2 2 2 2 2 2 2 2 2 2 2 2 2 2 2 2 2 2 2 14 2" xfId="18682"/>
    <cellStyle name="쉼표 [0] 2 2 2 2 2 2 2 2 2 2 2 2 2 2 2 2 2 2 2 2 2 15" xfId="443"/>
    <cellStyle name="쉼표 [0] 2 2 2 2 2 2 2 2 2 2 2 2 2 2 2 2 2 2 2 2 2 15 2" xfId="19106"/>
    <cellStyle name="쉼표 [0] 2 2 2 2 2 2 2 2 2 2 2 2 2 2 2 2 2 2 2 2 2 16" xfId="444"/>
    <cellStyle name="쉼표 [0] 2 2 2 2 2 2 2 2 2 2 2 2 2 2 2 2 2 2 2 2 2 16 2" xfId="19006"/>
    <cellStyle name="쉼표 [0] 2 2 2 2 2 2 2 2 2 2 2 2 2 2 2 2 2 2 2 2 2 17" xfId="445"/>
    <cellStyle name="쉼표 [0] 2 2 2 2 2 2 2 2 2 2 2 2 2 2 2 2 2 2 2 2 2 17 2" xfId="19313"/>
    <cellStyle name="쉼표 [0] 2 2 2 2 2 2 2 2 2 2 2 2 2 2 2 2 2 2 2 2 2 18" xfId="446"/>
    <cellStyle name="쉼표 [0] 2 2 2 2 2 2 2 2 2 2 2 2 2 2 2 2 2 2 2 2 2 18 2" xfId="19409"/>
    <cellStyle name="쉼표 [0] 2 2 2 2 2 2 2 2 2 2 2 2 2 2 2 2 2 2 2 2 2 19" xfId="447"/>
    <cellStyle name="쉼표 [0] 2 2 2 2 2 2 2 2 2 2 2 2 2 2 2 2 2 2 2 2 2 19 2" xfId="448"/>
    <cellStyle name="쉼표 [0] 2 2 2 2 2 2 2 2 2 2 2 2 2 2 2 2 2 2 2 2 2 19 2 2" xfId="19525"/>
    <cellStyle name="쉼표 [0] 2 2 2 2 2 2 2 2 2 2 2 2 2 2 2 2 2 2 2 2 2 19 3" xfId="19380"/>
    <cellStyle name="쉼표 [0] 2 2 2 2 2 2 2 2 2 2 2 2 2 2 2 2 2 2 2 2 2 2" xfId="449"/>
    <cellStyle name="쉼표 [0] 2 2 2 2 2 2 2 2 2 2 2 2 2 2 2 2 2 2 2 2 2 2 10" xfId="450"/>
    <cellStyle name="쉼표 [0] 2 2 2 2 2 2 2 2 2 2 2 2 2 2 2 2 2 2 2 2 2 2 10 2" xfId="18973"/>
    <cellStyle name="쉼표 [0] 2 2 2 2 2 2 2 2 2 2 2 2 2 2 2 2 2 2 2 2 2 2 11" xfId="451"/>
    <cellStyle name="쉼표 [0] 2 2 2 2 2 2 2 2 2 2 2 2 2 2 2 2 2 2 2 2 2 2 11 2" xfId="18873"/>
    <cellStyle name="쉼표 [0] 2 2 2 2 2 2 2 2 2 2 2 2 2 2 2 2 2 2 2 2 2 2 12" xfId="452"/>
    <cellStyle name="쉼표 [0] 2 2 2 2 2 2 2 2 2 2 2 2 2 2 2 2 2 2 2 2 2 2 12 2" xfId="18921"/>
    <cellStyle name="쉼표 [0] 2 2 2 2 2 2 2 2 2 2 2 2 2 2 2 2 2 2 2 2 2 2 13" xfId="453"/>
    <cellStyle name="쉼표 [0] 2 2 2 2 2 2 2 2 2 2 2 2 2 2 2 2 2 2 2 2 2 2 13 2" xfId="19241"/>
    <cellStyle name="쉼표 [0] 2 2 2 2 2 2 2 2 2 2 2 2 2 2 2 2 2 2 2 2 2 2 14" xfId="454"/>
    <cellStyle name="쉼표 [0] 2 2 2 2 2 2 2 2 2 2 2 2 2 2 2 2 2 2 2 2 2 2 14 2" xfId="19270"/>
    <cellStyle name="쉼표 [0] 2 2 2 2 2 2 2 2 2 2 2 2 2 2 2 2 2 2 2 2 2 2 15" xfId="455"/>
    <cellStyle name="쉼표 [0] 2 2 2 2 2 2 2 2 2 2 2 2 2 2 2 2 2 2 2 2 2 2 15 2" xfId="19124"/>
    <cellStyle name="쉼표 [0] 2 2 2 2 2 2 2 2 2 2 2 2 2 2 2 2 2 2 2 2 2 2 16" xfId="456"/>
    <cellStyle name="쉼표 [0] 2 2 2 2 2 2 2 2 2 2 2 2 2 2 2 2 2 2 2 2 2 2 16 2" xfId="18794"/>
    <cellStyle name="쉼표 [0] 2 2 2 2 2 2 2 2 2 2 2 2 2 2 2 2 2 2 2 2 2 2 17" xfId="457"/>
    <cellStyle name="쉼표 [0] 2 2 2 2 2 2 2 2 2 2 2 2 2 2 2 2 2 2 2 2 2 2 17 2" xfId="19130"/>
    <cellStyle name="쉼표 [0] 2 2 2 2 2 2 2 2 2 2 2 2 2 2 2 2 2 2 2 2 2 2 18" xfId="458"/>
    <cellStyle name="쉼표 [0] 2 2 2 2 2 2 2 2 2 2 2 2 2 2 2 2 2 2 2 2 2 2 18 2" xfId="459"/>
    <cellStyle name="쉼표 [0] 2 2 2 2 2 2 2 2 2 2 2 2 2 2 2 2 2 2 2 2 2 2 18 2 2" xfId="19526"/>
    <cellStyle name="쉼표 [0] 2 2 2 2 2 2 2 2 2 2 2 2 2 2 2 2 2 2 2 2 2 2 18 3" xfId="19298"/>
    <cellStyle name="쉼표 [0] 2 2 2 2 2 2 2 2 2 2 2 2 2 2 2 2 2 2 2 2 2 2 19" xfId="460"/>
    <cellStyle name="쉼표 [0] 2 2 2 2 2 2 2 2 2 2 2 2 2 2 2 2 2 2 2 2 2 2 19 2" xfId="19510"/>
    <cellStyle name="쉼표 [0] 2 2 2 2 2 2 2 2 2 2 2 2 2 2 2 2 2 2 2 2 2 2 2" xfId="461"/>
    <cellStyle name="쉼표 [0] 2 2 2 2 2 2 2 2 2 2 2 2 2 2 2 2 2 2 2 2 2 2 2 10" xfId="462"/>
    <cellStyle name="쉼표 [0] 2 2 2 2 2 2 2 2 2 2 2 2 2 2 2 2 2 2 2 2 2 2 2 10 2" xfId="18816"/>
    <cellStyle name="쉼표 [0] 2 2 2 2 2 2 2 2 2 2 2 2 2 2 2 2 2 2 2 2 2 2 2 11" xfId="463"/>
    <cellStyle name="쉼표 [0] 2 2 2 2 2 2 2 2 2 2 2 2 2 2 2 2 2 2 2 2 2 2 2 11 2" xfId="18951"/>
    <cellStyle name="쉼표 [0] 2 2 2 2 2 2 2 2 2 2 2 2 2 2 2 2 2 2 2 2 2 2 2 12" xfId="464"/>
    <cellStyle name="쉼표 [0] 2 2 2 2 2 2 2 2 2 2 2 2 2 2 2 2 2 2 2 2 2 2 2 12 2" xfId="18608"/>
    <cellStyle name="쉼표 [0] 2 2 2 2 2 2 2 2 2 2 2 2 2 2 2 2 2 2 2 2 2 2 2 13" xfId="465"/>
    <cellStyle name="쉼표 [0] 2 2 2 2 2 2 2 2 2 2 2 2 2 2 2 2 2 2 2 2 2 2 2 13 2" xfId="19234"/>
    <cellStyle name="쉼표 [0] 2 2 2 2 2 2 2 2 2 2 2 2 2 2 2 2 2 2 2 2 2 2 2 14" xfId="466"/>
    <cellStyle name="쉼표 [0] 2 2 2 2 2 2 2 2 2 2 2 2 2 2 2 2 2 2 2 2 2 2 2 14 2" xfId="19008"/>
    <cellStyle name="쉼표 [0] 2 2 2 2 2 2 2 2 2 2 2 2 2 2 2 2 2 2 2 2 2 2 2 15" xfId="467"/>
    <cellStyle name="쉼표 [0] 2 2 2 2 2 2 2 2 2 2 2 2 2 2 2 2 2 2 2 2 2 2 2 15 2" xfId="19031"/>
    <cellStyle name="쉼표 [0] 2 2 2 2 2 2 2 2 2 2 2 2 2 2 2 2 2 2 2 2 2 2 2 16" xfId="468"/>
    <cellStyle name="쉼표 [0] 2 2 2 2 2 2 2 2 2 2 2 2 2 2 2 2 2 2 2 2 2 2 2 16 2" xfId="18804"/>
    <cellStyle name="쉼표 [0] 2 2 2 2 2 2 2 2 2 2 2 2 2 2 2 2 2 2 2 2 2 2 2 17" xfId="469"/>
    <cellStyle name="쉼표 [0] 2 2 2 2 2 2 2 2 2 2 2 2 2 2 2 2 2 2 2 2 2 2 2 17 2" xfId="19338"/>
    <cellStyle name="쉼표 [0] 2 2 2 2 2 2 2 2 2 2 2 2 2 2 2 2 2 2 2 2 2 2 2 18" xfId="470"/>
    <cellStyle name="쉼표 [0] 2 2 2 2 2 2 2 2 2 2 2 2 2 2 2 2 2 2 2 2 2 2 2 18 2" xfId="471"/>
    <cellStyle name="쉼표 [0] 2 2 2 2 2 2 2 2 2 2 2 2 2 2 2 2 2 2 2 2 2 2 2 18 2 2" xfId="19530"/>
    <cellStyle name="쉼표 [0] 2 2 2 2 2 2 2 2 2 2 2 2 2 2 2 2 2 2 2 2 2 2 2 18 3" xfId="19413"/>
    <cellStyle name="쉼표 [0] 2 2 2 2 2 2 2 2 2 2 2 2 2 2 2 2 2 2 2 2 2 2 2 19" xfId="472"/>
    <cellStyle name="쉼표 [0] 2 2 2 2 2 2 2 2 2 2 2 2 2 2 2 2 2 2 2 2 2 2 2 19 2" xfId="19517"/>
    <cellStyle name="쉼표 [0] 2 2 2 2 2 2 2 2 2 2 2 2 2 2 2 2 2 2 2 2 2 2 2 2" xfId="473"/>
    <cellStyle name="쉼표 [0] 2 2 2 2 2 2 2 2 2 2 2 2 2 2 2 2 2 2 2 2 2 2 2 2 10" xfId="474"/>
    <cellStyle name="쉼표 [0] 2 2 2 2 2 2 2 2 2 2 2 2 2 2 2 2 2 2 2 2 2 2 2 2 10 2" xfId="19103"/>
    <cellStyle name="쉼표 [0] 2 2 2 2 2 2 2 2 2 2 2 2 2 2 2 2 2 2 2 2 2 2 2 2 11" xfId="475"/>
    <cellStyle name="쉼표 [0] 2 2 2 2 2 2 2 2 2 2 2 2 2 2 2 2 2 2 2 2 2 2 2 2 11 2" xfId="19045"/>
    <cellStyle name="쉼표 [0] 2 2 2 2 2 2 2 2 2 2 2 2 2 2 2 2 2 2 2 2 2 2 2 2 12" xfId="476"/>
    <cellStyle name="쉼표 [0] 2 2 2 2 2 2 2 2 2 2 2 2 2 2 2 2 2 2 2 2 2 2 2 2 12 2" xfId="19163"/>
    <cellStyle name="쉼표 [0] 2 2 2 2 2 2 2 2 2 2 2 2 2 2 2 2 2 2 2 2 2 2 2 2 13" xfId="477"/>
    <cellStyle name="쉼표 [0] 2 2 2 2 2 2 2 2 2 2 2 2 2 2 2 2 2 2 2 2 2 2 2 2 13 2" xfId="19342"/>
    <cellStyle name="쉼표 [0] 2 2 2 2 2 2 2 2 2 2 2 2 2 2 2 2 2 2 2 2 2 2 2 2 14" xfId="478"/>
    <cellStyle name="쉼표 [0] 2 2 2 2 2 2 2 2 2 2 2 2 2 2 2 2 2 2 2 2 2 2 2 2 14 2" xfId="19354"/>
    <cellStyle name="쉼표 [0] 2 2 2 2 2 2 2 2 2 2 2 2 2 2 2 2 2 2 2 2 2 2 2 2 15" xfId="479"/>
    <cellStyle name="쉼표 [0] 2 2 2 2 2 2 2 2 2 2 2 2 2 2 2 2 2 2 2 2 2 2 2 2 15 2" xfId="19359"/>
    <cellStyle name="쉼표 [0] 2 2 2 2 2 2 2 2 2 2 2 2 2 2 2 2 2 2 2 2 2 2 2 2 16" xfId="480"/>
    <cellStyle name="쉼표 [0] 2 2 2 2 2 2 2 2 2 2 2 2 2 2 2 2 2 2 2 2 2 2 2 2 16 2" xfId="481"/>
    <cellStyle name="쉼표 [0] 2 2 2 2 2 2 2 2 2 2 2 2 2 2 2 2 2 2 2 2 2 2 2 2 16 2 2" xfId="19531"/>
    <cellStyle name="쉼표 [0] 2 2 2 2 2 2 2 2 2 2 2 2 2 2 2 2 2 2 2 2 2 2 2 2 16 3" xfId="18616"/>
    <cellStyle name="쉼표 [0] 2 2 2 2 2 2 2 2 2 2 2 2 2 2 2 2 2 2 2 2 2 2 2 2 17" xfId="482"/>
    <cellStyle name="쉼표 [0] 2 2 2 2 2 2 2 2 2 2 2 2 2 2 2 2 2 2 2 2 2 2 2 2 17 2" xfId="19565"/>
    <cellStyle name="쉼표 [0] 2 2 2 2 2 2 2 2 2 2 2 2 2 2 2 2 2 2 2 2 2 2 2 2 18" xfId="483"/>
    <cellStyle name="쉼표 [0] 2 2 2 2 2 2 2 2 2 2 2 2 2 2 2 2 2 2 2 2 2 2 2 2 18 2" xfId="484"/>
    <cellStyle name="쉼표 [0] 2 2 2 2 2 2 2 2 2 2 2 2 2 2 2 2 2 2 2 2 2 2 2 2 18 2 2" xfId="19625"/>
    <cellStyle name="쉼표 [0] 2 2 2 2 2 2 2 2 2 2 2 2 2 2 2 2 2 2 2 2 2 2 2 2 18 3" xfId="19363"/>
    <cellStyle name="쉼표 [0] 2 2 2 2 2 2 2 2 2 2 2 2 2 2 2 2 2 2 2 2 2 2 2 2 19" xfId="19797"/>
    <cellStyle name="쉼표 [0] 2 2 2 2 2 2 2 2 2 2 2 2 2 2 2 2 2 2 2 2 2 2 2 2 2" xfId="485"/>
    <cellStyle name="쉼표 [0] 2 2 2 2 2 2 2 2 2 2 2 2 2 2 2 2 2 2 2 2 2 2 2 2 2 10" xfId="486"/>
    <cellStyle name="쉼표 [0] 2 2 2 2 2 2 2 2 2 2 2 2 2 2 2 2 2 2 2 2 2 2 2 2 2 10 2" xfId="19039"/>
    <cellStyle name="쉼표 [0] 2 2 2 2 2 2 2 2 2 2 2 2 2 2 2 2 2 2 2 2 2 2 2 2 2 11" xfId="487"/>
    <cellStyle name="쉼표 [0] 2 2 2 2 2 2 2 2 2 2 2 2 2 2 2 2 2 2 2 2 2 2 2 2 2 11 2" xfId="19193"/>
    <cellStyle name="쉼표 [0] 2 2 2 2 2 2 2 2 2 2 2 2 2 2 2 2 2 2 2 2 2 2 2 2 2 12" xfId="488"/>
    <cellStyle name="쉼표 [0] 2 2 2 2 2 2 2 2 2 2 2 2 2 2 2 2 2 2 2 2 2 2 2 2 2 12 2" xfId="19269"/>
    <cellStyle name="쉼표 [0] 2 2 2 2 2 2 2 2 2 2 2 2 2 2 2 2 2 2 2 2 2 2 2 2 2 13" xfId="489"/>
    <cellStyle name="쉼표 [0] 2 2 2 2 2 2 2 2 2 2 2 2 2 2 2 2 2 2 2 2 2 2 2 2 2 13 2" xfId="19335"/>
    <cellStyle name="쉼표 [0] 2 2 2 2 2 2 2 2 2 2 2 2 2 2 2 2 2 2 2 2 2 2 2 2 2 14" xfId="490"/>
    <cellStyle name="쉼표 [0] 2 2 2 2 2 2 2 2 2 2 2 2 2 2 2 2 2 2 2 2 2 2 2 2 2 14 2" xfId="19376"/>
    <cellStyle name="쉼표 [0] 2 2 2 2 2 2 2 2 2 2 2 2 2 2 2 2 2 2 2 2 2 2 2 2 2 15" xfId="491"/>
    <cellStyle name="쉼표 [0] 2 2 2 2 2 2 2 2 2 2 2 2 2 2 2 2 2 2 2 2 2 2 2 2 2 15 2" xfId="19182"/>
    <cellStyle name="쉼표 [0] 2 2 2 2 2 2 2 2 2 2 2 2 2 2 2 2 2 2 2 2 2 2 2 2 2 16" xfId="492"/>
    <cellStyle name="쉼표 [0] 2 2 2 2 2 2 2 2 2 2 2 2 2 2 2 2 2 2 2 2 2 2 2 2 2 16 2" xfId="493"/>
    <cellStyle name="쉼표 [0] 2 2 2 2 2 2 2 2 2 2 2 2 2 2 2 2 2 2 2 2 2 2 2 2 2 16 2 2" xfId="19534"/>
    <cellStyle name="쉼표 [0] 2 2 2 2 2 2 2 2 2 2 2 2 2 2 2 2 2 2 2 2 2 2 2 2 2 16 3" xfId="19427"/>
    <cellStyle name="쉼표 [0] 2 2 2 2 2 2 2 2 2 2 2 2 2 2 2 2 2 2 2 2 2 2 2 2 2 17" xfId="494"/>
    <cellStyle name="쉼표 [0] 2 2 2 2 2 2 2 2 2 2 2 2 2 2 2 2 2 2 2 2 2 2 2 2 2 17 2" xfId="19553"/>
    <cellStyle name="쉼표 [0] 2 2 2 2 2 2 2 2 2 2 2 2 2 2 2 2 2 2 2 2 2 2 2 2 2 18" xfId="495"/>
    <cellStyle name="쉼표 [0] 2 2 2 2 2 2 2 2 2 2 2 2 2 2 2 2 2 2 2 2 2 2 2 2 2 18 2" xfId="496"/>
    <cellStyle name="쉼표 [0] 2 2 2 2 2 2 2 2 2 2 2 2 2 2 2 2 2 2 2 2 2 2 2 2 2 18 2 2" xfId="19626"/>
    <cellStyle name="쉼표 [0] 2 2 2 2 2 2 2 2 2 2 2 2 2 2 2 2 2 2 2 2 2 2 2 2 2 18 3" xfId="19396"/>
    <cellStyle name="쉼표 [0] 2 2 2 2 2 2 2 2 2 2 2 2 2 2 2 2 2 2 2 2 2 2 2 2 2 19" xfId="19753"/>
    <cellStyle name="쉼표 [0] 2 2 2 2 2 2 2 2 2 2 2 2 2 2 2 2 2 2 2 2 2 2 2 2 2 2" xfId="497"/>
    <cellStyle name="쉼표 [0] 2 2 2 2 2 2 2 2 2 2 2 2 2 2 2 2 2 2 2 2 2 2 2 2 2 2 10" xfId="498"/>
    <cellStyle name="쉼표 [0] 2 2 2 2 2 2 2 2 2 2 2 2 2 2 2 2 2 2 2 2 2 2 2 2 2 2 10 2" xfId="19173"/>
    <cellStyle name="쉼표 [0] 2 2 2 2 2 2 2 2 2 2 2 2 2 2 2 2 2 2 2 2 2 2 2 2 2 2 11" xfId="499"/>
    <cellStyle name="쉼표 [0] 2 2 2 2 2 2 2 2 2 2 2 2 2 2 2 2 2 2 2 2 2 2 2 2 2 2 11 2" xfId="18801"/>
    <cellStyle name="쉼표 [0] 2 2 2 2 2 2 2 2 2 2 2 2 2 2 2 2 2 2 2 2 2 2 2 2 2 2 12" xfId="500"/>
    <cellStyle name="쉼표 [0] 2 2 2 2 2 2 2 2 2 2 2 2 2 2 2 2 2 2 2 2 2 2 2 2 2 2 12 2" xfId="19213"/>
    <cellStyle name="쉼표 [0] 2 2 2 2 2 2 2 2 2 2 2 2 2 2 2 2 2 2 2 2 2 2 2 2 2 2 13" xfId="501"/>
    <cellStyle name="쉼표 [0] 2 2 2 2 2 2 2 2 2 2 2 2 2 2 2 2 2 2 2 2 2 2 2 2 2 2 13 2" xfId="19358"/>
    <cellStyle name="쉼표 [0] 2 2 2 2 2 2 2 2 2 2 2 2 2 2 2 2 2 2 2 2 2 2 2 2 2 2 14" xfId="502"/>
    <cellStyle name="쉼표 [0] 2 2 2 2 2 2 2 2 2 2 2 2 2 2 2 2 2 2 2 2 2 2 2 2 2 2 14 2" xfId="19337"/>
    <cellStyle name="쉼표 [0] 2 2 2 2 2 2 2 2 2 2 2 2 2 2 2 2 2 2 2 2 2 2 2 2 2 2 15" xfId="503"/>
    <cellStyle name="쉼표 [0] 2 2 2 2 2 2 2 2 2 2 2 2 2 2 2 2 2 2 2 2 2 2 2 2 2 2 15 2" xfId="504"/>
    <cellStyle name="쉼표 [0] 2 2 2 2 2 2 2 2 2 2 2 2 2 2 2 2 2 2 2 2 2 2 2 2 2 2 15 2 2" xfId="19535"/>
    <cellStyle name="쉼표 [0] 2 2 2 2 2 2 2 2 2 2 2 2 2 2 2 2 2 2 2 2 2 2 2 2 2 2 15 3" xfId="19451"/>
    <cellStyle name="쉼표 [0] 2 2 2 2 2 2 2 2 2 2 2 2 2 2 2 2 2 2 2 2 2 2 2 2 2 2 16" xfId="505"/>
    <cellStyle name="쉼표 [0] 2 2 2 2 2 2 2 2 2 2 2 2 2 2 2 2 2 2 2 2 2 2 2 2 2 2 16 2" xfId="19548"/>
    <cellStyle name="쉼표 [0] 2 2 2 2 2 2 2 2 2 2 2 2 2 2 2 2 2 2 2 2 2 2 2 2 2 2 17" xfId="506"/>
    <cellStyle name="쉼표 [0] 2 2 2 2 2 2 2 2 2 2 2 2 2 2 2 2 2 2 2 2 2 2 2 2 2 2 17 2" xfId="507"/>
    <cellStyle name="쉼표 [0] 2 2 2 2 2 2 2 2 2 2 2 2 2 2 2 2 2 2 2 2 2 2 2 2 2 2 17 2 2" xfId="19627"/>
    <cellStyle name="쉼표 [0] 2 2 2 2 2 2 2 2 2 2 2 2 2 2 2 2 2 2 2 2 2 2 2 2 2 2 17 3" xfId="18924"/>
    <cellStyle name="쉼표 [0] 2 2 2 2 2 2 2 2 2 2 2 2 2 2 2 2 2 2 2 2 2 2 2 2 2 2 18" xfId="19851"/>
    <cellStyle name="쉼표 [0] 2 2 2 2 2 2 2 2 2 2 2 2 2 2 2 2 2 2 2 2 2 2 2 2 2 2 19" xfId="19763"/>
    <cellStyle name="쉼표 [0] 2 2 2 2 2 2 2 2 2 2 2 2 2 2 2 2 2 2 2 2 2 2 2 2 2 2 2" xfId="508"/>
    <cellStyle name="쉼표 [0] 2 2 2 2 2 2 2 2 2 2 2 2 2 2 2 2 2 2 2 2 2 2 2 2 2 2 2 10" xfId="509"/>
    <cellStyle name="쉼표 [0] 2 2 2 2 2 2 2 2 2 2 2 2 2 2 2 2 2 2 2 2 2 2 2 2 2 2 2 10 2" xfId="19100"/>
    <cellStyle name="쉼표 [0] 2 2 2 2 2 2 2 2 2 2 2 2 2 2 2 2 2 2 2 2 2 2 2 2 2 2 2 11" xfId="510"/>
    <cellStyle name="쉼표 [0] 2 2 2 2 2 2 2 2 2 2 2 2 2 2 2 2 2 2 2 2 2 2 2 2 2 2 2 11 2" xfId="19117"/>
    <cellStyle name="쉼표 [0] 2 2 2 2 2 2 2 2 2 2 2 2 2 2 2 2 2 2 2 2 2 2 2 2 2 2 2 12" xfId="511"/>
    <cellStyle name="쉼표 [0] 2 2 2 2 2 2 2 2 2 2 2 2 2 2 2 2 2 2 2 2 2 2 2 2 2 2 2 12 2" xfId="18893"/>
    <cellStyle name="쉼표 [0] 2 2 2 2 2 2 2 2 2 2 2 2 2 2 2 2 2 2 2 2 2 2 2 2 2 2 2 13" xfId="512"/>
    <cellStyle name="쉼표 [0] 2 2 2 2 2 2 2 2 2 2 2 2 2 2 2 2 2 2 2 2 2 2 2 2 2 2 2 13 2" xfId="19281"/>
    <cellStyle name="쉼표 [0] 2 2 2 2 2 2 2 2 2 2 2 2 2 2 2 2 2 2 2 2 2 2 2 2 2 2 2 14" xfId="513"/>
    <cellStyle name="쉼표 [0] 2 2 2 2 2 2 2 2 2 2 2 2 2 2 2 2 2 2 2 2 2 2 2 2 2 2 2 14 2" xfId="19412"/>
    <cellStyle name="쉼표 [0] 2 2 2 2 2 2 2 2 2 2 2 2 2 2 2 2 2 2 2 2 2 2 2 2 2 2 2 15" xfId="514"/>
    <cellStyle name="쉼표 [0] 2 2 2 2 2 2 2 2 2 2 2 2 2 2 2 2 2 2 2 2 2 2 2 2 2 2 2 15 2" xfId="515"/>
    <cellStyle name="쉼표 [0] 2 2 2 2 2 2 2 2 2 2 2 2 2 2 2 2 2 2 2 2 2 2 2 2 2 2 2 15 2 2" xfId="19541"/>
    <cellStyle name="쉼표 [0] 2 2 2 2 2 2 2 2 2 2 2 2 2 2 2 2 2 2 2 2 2 2 2 2 2 2 2 15 3" xfId="19448"/>
    <cellStyle name="쉼표 [0] 2 2 2 2 2 2 2 2 2 2 2 2 2 2 2 2 2 2 2 2 2 2 2 2 2 2 2 16" xfId="516"/>
    <cellStyle name="쉼표 [0] 2 2 2 2 2 2 2 2 2 2 2 2 2 2 2 2 2 2 2 2 2 2 2 2 2 2 2 16 2" xfId="19572"/>
    <cellStyle name="쉼표 [0] 2 2 2 2 2 2 2 2 2 2 2 2 2 2 2 2 2 2 2 2 2 2 2 2 2 2 2 17" xfId="517"/>
    <cellStyle name="쉼표 [0] 2 2 2 2 2 2 2 2 2 2 2 2 2 2 2 2 2 2 2 2 2 2 2 2 2 2 2 17 2" xfId="518"/>
    <cellStyle name="쉼표 [0] 2 2 2 2 2 2 2 2 2 2 2 2 2 2 2 2 2 2 2 2 2 2 2 2 2 2 2 17 2 2" xfId="19628"/>
    <cellStyle name="쉼표 [0] 2 2 2 2 2 2 2 2 2 2 2 2 2 2 2 2 2 2 2 2 2 2 2 2 2 2 2 17 3" xfId="19254"/>
    <cellStyle name="쉼표 [0] 2 2 2 2 2 2 2 2 2 2 2 2 2 2 2 2 2 2 2 2 2 2 2 2 2 2 2 18" xfId="19779"/>
    <cellStyle name="쉼표 [0] 2 2 2 2 2 2 2 2 2 2 2 2 2 2 2 2 2 2 2 2 2 2 2 2 2 2 2 19" xfId="19782"/>
    <cellStyle name="쉼표 [0] 2 2 2 2 2 2 2 2 2 2 2 2 2 2 2 2 2 2 2 2 2 2 2 2 2 2 2 2" xfId="519"/>
    <cellStyle name="쉼표 [0] 2 2 2 2 2 2 2 2 2 2 2 2 2 2 2 2 2 2 2 2 2 2 2 2 2 2 2 2 10" xfId="520"/>
    <cellStyle name="쉼표 [0] 2 2 2 2 2 2 2 2 2 2 2 2 2 2 2 2 2 2 2 2 2 2 2 2 2 2 2 2 10 2" xfId="18965"/>
    <cellStyle name="쉼표 [0] 2 2 2 2 2 2 2 2 2 2 2 2 2 2 2 2 2 2 2 2 2 2 2 2 2 2 2 2 11" xfId="521"/>
    <cellStyle name="쉼표 [0] 2 2 2 2 2 2 2 2 2 2 2 2 2 2 2 2 2 2 2 2 2 2 2 2 2 2 2 2 11 2" xfId="19220"/>
    <cellStyle name="쉼표 [0] 2 2 2 2 2 2 2 2 2 2 2 2 2 2 2 2 2 2 2 2 2 2 2 2 2 2 2 2 12" xfId="522"/>
    <cellStyle name="쉼표 [0] 2 2 2 2 2 2 2 2 2 2 2 2 2 2 2 2 2 2 2 2 2 2 2 2 2 2 2 2 12 2" xfId="18762"/>
    <cellStyle name="쉼표 [0] 2 2 2 2 2 2 2 2 2 2 2 2 2 2 2 2 2 2 2 2 2 2 2 2 2 2 2 2 13" xfId="523"/>
    <cellStyle name="쉼표 [0] 2 2 2 2 2 2 2 2 2 2 2 2 2 2 2 2 2 2 2 2 2 2 2 2 2 2 2 2 13 2" xfId="19262"/>
    <cellStyle name="쉼표 [0] 2 2 2 2 2 2 2 2 2 2 2 2 2 2 2 2 2 2 2 2 2 2 2 2 2 2 2 2 14" xfId="524"/>
    <cellStyle name="쉼표 [0] 2 2 2 2 2 2 2 2 2 2 2 2 2 2 2 2 2 2 2 2 2 2 2 2 2 2 2 2 14 2" xfId="525"/>
    <cellStyle name="쉼표 [0] 2 2 2 2 2 2 2 2 2 2 2 2 2 2 2 2 2 2 2 2 2 2 2 2 2 2 2 2 14 2 2" xfId="19542"/>
    <cellStyle name="쉼표 [0] 2 2 2 2 2 2 2 2 2 2 2 2 2 2 2 2 2 2 2 2 2 2 2 2 2 2 2 2 14 3" xfId="19344"/>
    <cellStyle name="쉼표 [0] 2 2 2 2 2 2 2 2 2 2 2 2 2 2 2 2 2 2 2 2 2 2 2 2 2 2 2 2 15" xfId="526"/>
    <cellStyle name="쉼표 [0] 2 2 2 2 2 2 2 2 2 2 2 2 2 2 2 2 2 2 2 2 2 2 2 2 2 2 2 2 15 2" xfId="19568"/>
    <cellStyle name="쉼표 [0] 2 2 2 2 2 2 2 2 2 2 2 2 2 2 2 2 2 2 2 2 2 2 2 2 2 2 2 2 16" xfId="527"/>
    <cellStyle name="쉼표 [0] 2 2 2 2 2 2 2 2 2 2 2 2 2 2 2 2 2 2 2 2 2 2 2 2 2 2 2 2 16 2" xfId="528"/>
    <cellStyle name="쉼표 [0] 2 2 2 2 2 2 2 2 2 2 2 2 2 2 2 2 2 2 2 2 2 2 2 2 2 2 2 2 16 2 2" xfId="19629"/>
    <cellStyle name="쉼표 [0] 2 2 2 2 2 2 2 2 2 2 2 2 2 2 2 2 2 2 2 2 2 2 2 2 2 2 2 2 16 3" xfId="19474"/>
    <cellStyle name="쉼표 [0] 2 2 2 2 2 2 2 2 2 2 2 2 2 2 2 2 2 2 2 2 2 2 2 2 2 2 2 2 17" xfId="19749"/>
    <cellStyle name="쉼표 [0] 2 2 2 2 2 2 2 2 2 2 2 2 2 2 2 2 2 2 2 2 2 2 2 2 2 2 2 2 18" xfId="19815"/>
    <cellStyle name="쉼표 [0] 2 2 2 2 2 2 2 2 2 2 2 2 2 2 2 2 2 2 2 2 2 2 2 2 2 2 2 2 19" xfId="19999"/>
    <cellStyle name="쉼표 [0] 2 2 2 2 2 2 2 2 2 2 2 2 2 2 2 2 2 2 2 2 2 2 2 2 2 2 2 2 2" xfId="529"/>
    <cellStyle name="쉼표 [0] 2 2 2 2 2 2 2 2 2 2 2 2 2 2 2 2 2 2 2 2 2 2 2 2 2 2 2 2 2 10" xfId="530"/>
    <cellStyle name="쉼표 [0] 2 2 2 2 2 2 2 2 2 2 2 2 2 2 2 2 2 2 2 2 2 2 2 2 2 2 2 2 2 10 2" xfId="18952"/>
    <cellStyle name="쉼표 [0] 2 2 2 2 2 2 2 2 2 2 2 2 2 2 2 2 2 2 2 2 2 2 2 2 2 2 2 2 2 11" xfId="531"/>
    <cellStyle name="쉼표 [0] 2 2 2 2 2 2 2 2 2 2 2 2 2 2 2 2 2 2 2 2 2 2 2 2 2 2 2 2 2 11 2" xfId="19278"/>
    <cellStyle name="쉼표 [0] 2 2 2 2 2 2 2 2 2 2 2 2 2 2 2 2 2 2 2 2 2 2 2 2 2 2 2 2 2 12" xfId="532"/>
    <cellStyle name="쉼표 [0] 2 2 2 2 2 2 2 2 2 2 2 2 2 2 2 2 2 2 2 2 2 2 2 2 2 2 2 2 2 12 2" xfId="19110"/>
    <cellStyle name="쉼표 [0] 2 2 2 2 2 2 2 2 2 2 2 2 2 2 2 2 2 2 2 2 2 2 2 2 2 2 2 2 2 13" xfId="533"/>
    <cellStyle name="쉼표 [0] 2 2 2 2 2 2 2 2 2 2 2 2 2 2 2 2 2 2 2 2 2 2 2 2 2 2 2 2 2 13 2" xfId="18718"/>
    <cellStyle name="쉼표 [0] 2 2 2 2 2 2 2 2 2 2 2 2 2 2 2 2 2 2 2 2 2 2 2 2 2 2 2 2 2 14" xfId="534"/>
    <cellStyle name="쉼표 [0] 2 2 2 2 2 2 2 2 2 2 2 2 2 2 2 2 2 2 2 2 2 2 2 2 2 2 2 2 2 14 2" xfId="535"/>
    <cellStyle name="쉼표 [0] 2 2 2 2 2 2 2 2 2 2 2 2 2 2 2 2 2 2 2 2 2 2 2 2 2 2 2 2 2 14 2 2" xfId="19546"/>
    <cellStyle name="쉼표 [0] 2 2 2 2 2 2 2 2 2 2 2 2 2 2 2 2 2 2 2 2 2 2 2 2 2 2 2 2 2 14 3" xfId="19439"/>
    <cellStyle name="쉼표 [0] 2 2 2 2 2 2 2 2 2 2 2 2 2 2 2 2 2 2 2 2 2 2 2 2 2 2 2 2 2 15" xfId="536"/>
    <cellStyle name="쉼표 [0] 2 2 2 2 2 2 2 2 2 2 2 2 2 2 2 2 2 2 2 2 2 2 2 2 2 2 2 2 2 15 2" xfId="19536"/>
    <cellStyle name="쉼표 [0] 2 2 2 2 2 2 2 2 2 2 2 2 2 2 2 2 2 2 2 2 2 2 2 2 2 2 2 2 2 16" xfId="537"/>
    <cellStyle name="쉼표 [0] 2 2 2 2 2 2 2 2 2 2 2 2 2 2 2 2 2 2 2 2 2 2 2 2 2 2 2 2 2 16 2" xfId="538"/>
    <cellStyle name="쉼표 [0] 2 2 2 2 2 2 2 2 2 2 2 2 2 2 2 2 2 2 2 2 2 2 2 2 2 2 2 2 2 16 2 2" xfId="19630"/>
    <cellStyle name="쉼표 [0] 2 2 2 2 2 2 2 2 2 2 2 2 2 2 2 2 2 2 2 2 2 2 2 2 2 2 2 2 2 16 3" xfId="19479"/>
    <cellStyle name="쉼표 [0] 2 2 2 2 2 2 2 2 2 2 2 2 2 2 2 2 2 2 2 2 2 2 2 2 2 2 2 2 2 17" xfId="19773"/>
    <cellStyle name="쉼표 [0] 2 2 2 2 2 2 2 2 2 2 2 2 2 2 2 2 2 2 2 2 2 2 2 2 2 2 2 2 2 18" xfId="19796"/>
    <cellStyle name="쉼표 [0] 2 2 2 2 2 2 2 2 2 2 2 2 2 2 2 2 2 2 2 2 2 2 2 2 2 2 2 2 2 19" xfId="20018"/>
    <cellStyle name="쉼표 [0] 2 2 2 2 2 2 2 2 2 2 2 2 2 2 2 2 2 2 2 2 2 2 2 2 2 2 2 2 2 2" xfId="539"/>
    <cellStyle name="쉼표 [0] 2 2 2 2 2 2 2 2 2 2 2 2 2 2 2 2 2 2 2 2 2 2 2 2 2 2 2 2 2 2 10" xfId="540"/>
    <cellStyle name="쉼표 [0] 2 2 2 2 2 2 2 2 2 2 2 2 2 2 2 2 2 2 2 2 2 2 2 2 2 2 2 2 2 2 10 2" xfId="18827"/>
    <cellStyle name="쉼표 [0] 2 2 2 2 2 2 2 2 2 2 2 2 2 2 2 2 2 2 2 2 2 2 2 2 2 2 2 2 2 2 11" xfId="541"/>
    <cellStyle name="쉼표 [0] 2 2 2 2 2 2 2 2 2 2 2 2 2 2 2 2 2 2 2 2 2 2 2 2 2 2 2 2 2 2 11 2" xfId="19204"/>
    <cellStyle name="쉼표 [0] 2 2 2 2 2 2 2 2 2 2 2 2 2 2 2 2 2 2 2 2 2 2 2 2 2 2 2 2 2 2 12" xfId="542"/>
    <cellStyle name="쉼표 [0] 2 2 2 2 2 2 2 2 2 2 2 2 2 2 2 2 2 2 2 2 2 2 2 2 2 2 2 2 2 2 12 2" xfId="19304"/>
    <cellStyle name="쉼표 [0] 2 2 2 2 2 2 2 2 2 2 2 2 2 2 2 2 2 2 2 2 2 2 2 2 2 2 2 2 2 2 13" xfId="543"/>
    <cellStyle name="쉼표 [0] 2 2 2 2 2 2 2 2 2 2 2 2 2 2 2 2 2 2 2 2 2 2 2 2 2 2 2 2 2 2 13 2" xfId="544"/>
    <cellStyle name="쉼표 [0] 2 2 2 2 2 2 2 2 2 2 2 2 2 2 2 2 2 2 2 2 2 2 2 2 2 2 2 2 2 2 13 2 2" xfId="19547"/>
    <cellStyle name="쉼표 [0] 2 2 2 2 2 2 2 2 2 2 2 2 2 2 2 2 2 2 2 2 2 2 2 2 2 2 2 2 2 2 13 3" xfId="19403"/>
    <cellStyle name="쉼표 [0] 2 2 2 2 2 2 2 2 2 2 2 2 2 2 2 2 2 2 2 2 2 2 2 2 2 2 2 2 2 2 14" xfId="545"/>
    <cellStyle name="쉼표 [0] 2 2 2 2 2 2 2 2 2 2 2 2 2 2 2 2 2 2 2 2 2 2 2 2 2 2 2 2 2 2 14 2" xfId="19562"/>
    <cellStyle name="쉼표 [0] 2 2 2 2 2 2 2 2 2 2 2 2 2 2 2 2 2 2 2 2 2 2 2 2 2 2 2 2 2 2 15" xfId="546"/>
    <cellStyle name="쉼표 [0] 2 2 2 2 2 2 2 2 2 2 2 2 2 2 2 2 2 2 2 2 2 2 2 2 2 2 2 2 2 2 15 2" xfId="547"/>
    <cellStyle name="쉼표 [0] 2 2 2 2 2 2 2 2 2 2 2 2 2 2 2 2 2 2 2 2 2 2 2 2 2 2 2 2 2 2 15 2 2" xfId="19631"/>
    <cellStyle name="쉼표 [0] 2 2 2 2 2 2 2 2 2 2 2 2 2 2 2 2 2 2 2 2 2 2 2 2 2 2 2 2 2 2 15 3" xfId="19437"/>
    <cellStyle name="쉼표 [0] 2 2 2 2 2 2 2 2 2 2 2 2 2 2 2 2 2 2 2 2 2 2 2 2 2 2 2 2 2 2 16" xfId="19841"/>
    <cellStyle name="쉼표 [0] 2 2 2 2 2 2 2 2 2 2 2 2 2 2 2 2 2 2 2 2 2 2 2 2 2 2 2 2 2 2 17" xfId="19804"/>
    <cellStyle name="쉼표 [0] 2 2 2 2 2 2 2 2 2 2 2 2 2 2 2 2 2 2 2 2 2 2 2 2 2 2 2 2 2 2 18" xfId="20028"/>
    <cellStyle name="쉼표 [0] 2 2 2 2 2 2 2 2 2 2 2 2 2 2 2 2 2 2 2 2 2 2 2 2 2 2 2 2 2 2 19" xfId="20063"/>
    <cellStyle name="쉼표 [0] 2 2 2 2 2 2 2 2 2 2 2 2 2 2 2 2 2 2 2 2 2 2 2 2 2 2 2 2 2 2 2" xfId="548"/>
    <cellStyle name="쉼표 [0] 2 2 2 2 2 2 2 2 2 2 2 2 2 2 2 2 2 2 2 2 2 2 2 2 2 2 2 2 2 2 2 10" xfId="549"/>
    <cellStyle name="쉼표 [0] 2 2 2 2 2 2 2 2 2 2 2 2 2 2 2 2 2 2 2 2 2 2 2 2 2 2 2 2 2 2 2 10 2" xfId="19186"/>
    <cellStyle name="쉼표 [0] 2 2 2 2 2 2 2 2 2 2 2 2 2 2 2 2 2 2 2 2 2 2 2 2 2 2 2 2 2 2 2 11" xfId="550"/>
    <cellStyle name="쉼표 [0] 2 2 2 2 2 2 2 2 2 2 2 2 2 2 2 2 2 2 2 2 2 2 2 2 2 2 2 2 2 2 2 11 2" xfId="19302"/>
    <cellStyle name="쉼표 [0] 2 2 2 2 2 2 2 2 2 2 2 2 2 2 2 2 2 2 2 2 2 2 2 2 2 2 2 2 2 2 2 12" xfId="551"/>
    <cellStyle name="쉼표 [0] 2 2 2 2 2 2 2 2 2 2 2 2 2 2 2 2 2 2 2 2 2 2 2 2 2 2 2 2 2 2 2 12 2" xfId="19046"/>
    <cellStyle name="쉼표 [0] 2 2 2 2 2 2 2 2 2 2 2 2 2 2 2 2 2 2 2 2 2 2 2 2 2 2 2 2 2 2 2 13" xfId="552"/>
    <cellStyle name="쉼표 [0] 2 2 2 2 2 2 2 2 2 2 2 2 2 2 2 2 2 2 2 2 2 2 2 2 2 2 2 2 2 2 2 13 2" xfId="553"/>
    <cellStyle name="쉼표 [0] 2 2 2 2 2 2 2 2 2 2 2 2 2 2 2 2 2 2 2 2 2 2 2 2 2 2 2 2 2 2 2 13 2 2" xfId="19549"/>
    <cellStyle name="쉼표 [0] 2 2 2 2 2 2 2 2 2 2 2 2 2 2 2 2 2 2 2 2 2 2 2 2 2 2 2 2 2 2 2 13 3" xfId="19211"/>
    <cellStyle name="쉼표 [0] 2 2 2 2 2 2 2 2 2 2 2 2 2 2 2 2 2 2 2 2 2 2 2 2 2 2 2 2 2 2 2 14" xfId="554"/>
    <cellStyle name="쉼표 [0] 2 2 2 2 2 2 2 2 2 2 2 2 2 2 2 2 2 2 2 2 2 2 2 2 2 2 2 2 2 2 2 14 2" xfId="19551"/>
    <cellStyle name="쉼표 [0] 2 2 2 2 2 2 2 2 2 2 2 2 2 2 2 2 2 2 2 2 2 2 2 2 2 2 2 2 2 2 2 15" xfId="555"/>
    <cellStyle name="쉼표 [0] 2 2 2 2 2 2 2 2 2 2 2 2 2 2 2 2 2 2 2 2 2 2 2 2 2 2 2 2 2 2 2 15 2" xfId="556"/>
    <cellStyle name="쉼표 [0] 2 2 2 2 2 2 2 2 2 2 2 2 2 2 2 2 2 2 2 2 2 2 2 2 2 2 2 2 2 2 2 15 2 2" xfId="19632"/>
    <cellStyle name="쉼표 [0] 2 2 2 2 2 2 2 2 2 2 2 2 2 2 2 2 2 2 2 2 2 2 2 2 2 2 2 2 2 2 2 15 3" xfId="19465"/>
    <cellStyle name="쉼표 [0] 2 2 2 2 2 2 2 2 2 2 2 2 2 2 2 2 2 2 2 2 2 2 2 2 2 2 2 2 2 2 2 16" xfId="19838"/>
    <cellStyle name="쉼표 [0] 2 2 2 2 2 2 2 2 2 2 2 2 2 2 2 2 2 2 2 2 2 2 2 2 2 2 2 2 2 2 2 17" xfId="19860"/>
    <cellStyle name="쉼표 [0] 2 2 2 2 2 2 2 2 2 2 2 2 2 2 2 2 2 2 2 2 2 2 2 2 2 2 2 2 2 2 2 18" xfId="20075"/>
    <cellStyle name="쉼표 [0] 2 2 2 2 2 2 2 2 2 2 2 2 2 2 2 2 2 2 2 2 2 2 2 2 2 2 2 2 2 2 2 19" xfId="19936"/>
    <cellStyle name="쉼표 [0] 2 2 2 2 2 2 2 2 2 2 2 2 2 2 2 2 2 2 2 2 2 2 2 2 2 2 2 2 2 2 2 2" xfId="557"/>
    <cellStyle name="쉼표 [0] 2 2 2 2 2 2 2 2 2 2 2 2 2 2 2 2 2 2 2 2 2 2 2 2 2 2 2 2 2 2 2 2 10" xfId="558"/>
    <cellStyle name="쉼표 [0] 2 2 2 2 2 2 2 2 2 2 2 2 2 2 2 2 2 2 2 2 2 2 2 2 2 2 2 2 2 2 2 2 10 2" xfId="18810"/>
    <cellStyle name="쉼표 [0] 2 2 2 2 2 2 2 2 2 2 2 2 2 2 2 2 2 2 2 2 2 2 2 2 2 2 2 2 2 2 2 2 11" xfId="559"/>
    <cellStyle name="쉼표 [0] 2 2 2 2 2 2 2 2 2 2 2 2 2 2 2 2 2 2 2 2 2 2 2 2 2 2 2 2 2 2 2 2 11 2" xfId="19224"/>
    <cellStyle name="쉼표 [0] 2 2 2 2 2 2 2 2 2 2 2 2 2 2 2 2 2 2 2 2 2 2 2 2 2 2 2 2 2 2 2 2 12" xfId="560"/>
    <cellStyle name="쉼표 [0] 2 2 2 2 2 2 2 2 2 2 2 2 2 2 2 2 2 2 2 2 2 2 2 2 2 2 2 2 2 2 2 2 12 2" xfId="561"/>
    <cellStyle name="쉼표 [0] 2 2 2 2 2 2 2 2 2 2 2 2 2 2 2 2 2 2 2 2 2 2 2 2 2 2 2 2 2 2 2 2 12 2 2" xfId="19550"/>
    <cellStyle name="쉼표 [0] 2 2 2 2 2 2 2 2 2 2 2 2 2 2 2 2 2 2 2 2 2 2 2 2 2 2 2 2 2 2 2 2 12 3" xfId="19277"/>
    <cellStyle name="쉼표 [0] 2 2 2 2 2 2 2 2 2 2 2 2 2 2 2 2 2 2 2 2 2 2 2 2 2 2 2 2 2 2 2 2 13" xfId="562"/>
    <cellStyle name="쉼표 [0] 2 2 2 2 2 2 2 2 2 2 2 2 2 2 2 2 2 2 2 2 2 2 2 2 2 2 2 2 2 2 2 2 13 2" xfId="19552"/>
    <cellStyle name="쉼표 [0] 2 2 2 2 2 2 2 2 2 2 2 2 2 2 2 2 2 2 2 2 2 2 2 2 2 2 2 2 2 2 2 2 14" xfId="563"/>
    <cellStyle name="쉼표 [0] 2 2 2 2 2 2 2 2 2 2 2 2 2 2 2 2 2 2 2 2 2 2 2 2 2 2 2 2 2 2 2 2 14 2" xfId="564"/>
    <cellStyle name="쉼표 [0] 2 2 2 2 2 2 2 2 2 2 2 2 2 2 2 2 2 2 2 2 2 2 2 2 2 2 2 2 2 2 2 2 14 2 2" xfId="19633"/>
    <cellStyle name="쉼표 [0] 2 2 2 2 2 2 2 2 2 2 2 2 2 2 2 2 2 2 2 2 2 2 2 2 2 2 2 2 2 2 2 2 14 3" xfId="19323"/>
    <cellStyle name="쉼표 [0] 2 2 2 2 2 2 2 2 2 2 2 2 2 2 2 2 2 2 2 2 2 2 2 2 2 2 2 2 2 2 2 2 15" xfId="19862"/>
    <cellStyle name="쉼표 [0] 2 2 2 2 2 2 2 2 2 2 2 2 2 2 2 2 2 2 2 2 2 2 2 2 2 2 2 2 2 2 2 2 16" xfId="19743"/>
    <cellStyle name="쉼표 [0] 2 2 2 2 2 2 2 2 2 2 2 2 2 2 2 2 2 2 2 2 2 2 2 2 2 2 2 2 2 2 2 2 17" xfId="20003"/>
    <cellStyle name="쉼표 [0] 2 2 2 2 2 2 2 2 2 2 2 2 2 2 2 2 2 2 2 2 2 2 2 2 2 2 2 2 2 2 2 2 18" xfId="20044"/>
    <cellStyle name="쉼표 [0] 2 2 2 2 2 2 2 2 2 2 2 2 2 2 2 2 2 2 2 2 2 2 2 2 2 2 2 2 2 2 2 2 19" xfId="20124"/>
    <cellStyle name="쉼표 [0] 2 2 2 2 2 2 2 2 2 2 2 2 2 2 2 2 2 2 2 2 2 2 2 2 2 2 2 2 2 2 2 2 2" xfId="565"/>
    <cellStyle name="쉼표 [0] 2 2 2 2 2 2 2 2 2 2 2 2 2 2 2 2 2 2 2 2 2 2 2 2 2 2 2 2 2 2 2 2 2 10" xfId="566"/>
    <cellStyle name="쉼표 [0] 2 2 2 2 2 2 2 2 2 2 2 2 2 2 2 2 2 2 2 2 2 2 2 2 2 2 2 2 2 2 2 2 2 10 2" xfId="18909"/>
    <cellStyle name="쉼표 [0] 2 2 2 2 2 2 2 2 2 2 2 2 2 2 2 2 2 2 2 2 2 2 2 2 2 2 2 2 2 2 2 2 2 11" xfId="567"/>
    <cellStyle name="쉼표 [0] 2 2 2 2 2 2 2 2 2 2 2 2 2 2 2 2 2 2 2 2 2 2 2 2 2 2 2 2 2 2 2 2 2 11 2" xfId="19360"/>
    <cellStyle name="쉼표 [0] 2 2 2 2 2 2 2 2 2 2 2 2 2 2 2 2 2 2 2 2 2 2 2 2 2 2 2 2 2 2 2 2 2 12" xfId="568"/>
    <cellStyle name="쉼표 [0] 2 2 2 2 2 2 2 2 2 2 2 2 2 2 2 2 2 2 2 2 2 2 2 2 2 2 2 2 2 2 2 2 2 12 2" xfId="569"/>
    <cellStyle name="쉼표 [0] 2 2 2 2 2 2 2 2 2 2 2 2 2 2 2 2 2 2 2 2 2 2 2 2 2 2 2 2 2 2 2 2 2 12 2 2" xfId="19554"/>
    <cellStyle name="쉼표 [0] 2 2 2 2 2 2 2 2 2 2 2 2 2 2 2 2 2 2 2 2 2 2 2 2 2 2 2 2 2 2 2 2 2 12 3" xfId="19120"/>
    <cellStyle name="쉼표 [0] 2 2 2 2 2 2 2 2 2 2 2 2 2 2 2 2 2 2 2 2 2 2 2 2 2 2 2 2 2 2 2 2 2 13" xfId="570"/>
    <cellStyle name="쉼표 [0] 2 2 2 2 2 2 2 2 2 2 2 2 2 2 2 2 2 2 2 2 2 2 2 2 2 2 2 2 2 2 2 2 2 13 2" xfId="19545"/>
    <cellStyle name="쉼표 [0] 2 2 2 2 2 2 2 2 2 2 2 2 2 2 2 2 2 2 2 2 2 2 2 2 2 2 2 2 2 2 2 2 2 14" xfId="571"/>
    <cellStyle name="쉼표 [0] 2 2 2 2 2 2 2 2 2 2 2 2 2 2 2 2 2 2 2 2 2 2 2 2 2 2 2 2 2 2 2 2 2 14 2" xfId="572"/>
    <cellStyle name="쉼표 [0] 2 2 2 2 2 2 2 2 2 2 2 2 2 2 2 2 2 2 2 2 2 2 2 2 2 2 2 2 2 2 2 2 2 14 2 2" xfId="19634"/>
    <cellStyle name="쉼표 [0] 2 2 2 2 2 2 2 2 2 2 2 2 2 2 2 2 2 2 2 2 2 2 2 2 2 2 2 2 2 2 2 2 2 14 3" xfId="19101"/>
    <cellStyle name="쉼표 [0] 2 2 2 2 2 2 2 2 2 2 2 2 2 2 2 2 2 2 2 2 2 2 2 2 2 2 2 2 2 2 2 2 2 15" xfId="19847"/>
    <cellStyle name="쉼표 [0] 2 2 2 2 2 2 2 2 2 2 2 2 2 2 2 2 2 2 2 2 2 2 2 2 2 2 2 2 2 2 2 2 2 16" xfId="19727"/>
    <cellStyle name="쉼표 [0] 2 2 2 2 2 2 2 2 2 2 2 2 2 2 2 2 2 2 2 2 2 2 2 2 2 2 2 2 2 2 2 2 2 17" xfId="20069"/>
    <cellStyle name="쉼표 [0] 2 2 2 2 2 2 2 2 2 2 2 2 2 2 2 2 2 2 2 2 2 2 2 2 2 2 2 2 2 2 2 2 2 18" xfId="20064"/>
    <cellStyle name="쉼표 [0] 2 2 2 2 2 2 2 2 2 2 2 2 2 2 2 2 2 2 2 2 2 2 2 2 2 2 2 2 2 2 2 2 2 19" xfId="20059"/>
    <cellStyle name="쉼표 [0] 2 2 2 2 2 2 2 2 2 2 2 2 2 2 2 2 2 2 2 2 2 2 2 2 2 2 2 2 2 2 2 2 2 2" xfId="573"/>
    <cellStyle name="쉼표 [0] 2 2 2 2 2 2 2 2 2 2 2 2 2 2 2 2 2 2 2 2 2 2 2 2 2 2 2 2 2 2 2 2 2 2 10" xfId="574"/>
    <cellStyle name="쉼표 [0] 2 2 2 2 2 2 2 2 2 2 2 2 2 2 2 2 2 2 2 2 2 2 2 2 2 2 2 2 2 2 2 2 2 2 10 2" xfId="19000"/>
    <cellStyle name="쉼표 [0] 2 2 2 2 2 2 2 2 2 2 2 2 2 2 2 2 2 2 2 2 2 2 2 2 2 2 2 2 2 2 2 2 2 2 11" xfId="575"/>
    <cellStyle name="쉼표 [0] 2 2 2 2 2 2 2 2 2 2 2 2 2 2 2 2 2 2 2 2 2 2 2 2 2 2 2 2 2 2 2 2 2 2 11 2" xfId="576"/>
    <cellStyle name="쉼표 [0] 2 2 2 2 2 2 2 2 2 2 2 2 2 2 2 2 2 2 2 2 2 2 2 2 2 2 2 2 2 2 2 2 2 2 11 2 2" xfId="19555"/>
    <cellStyle name="쉼표 [0] 2 2 2 2 2 2 2 2 2 2 2 2 2 2 2 2 2 2 2 2 2 2 2 2 2 2 2 2 2 2 2 2 2 2 11 3" xfId="19352"/>
    <cellStyle name="쉼표 [0] 2 2 2 2 2 2 2 2 2 2 2 2 2 2 2 2 2 2 2 2 2 2 2 2 2 2 2 2 2 2 2 2 2 2 12" xfId="577"/>
    <cellStyle name="쉼표 [0] 2 2 2 2 2 2 2 2 2 2 2 2 2 2 2 2 2 2 2 2 2 2 2 2 2 2 2 2 2 2 2 2 2 2 12 2" xfId="19516"/>
    <cellStyle name="쉼표 [0] 2 2 2 2 2 2 2 2 2 2 2 2 2 2 2 2 2 2 2 2 2 2 2 2 2 2 2 2 2 2 2 2 2 2 13" xfId="578"/>
    <cellStyle name="쉼표 [0] 2 2 2 2 2 2 2 2 2 2 2 2 2 2 2 2 2 2 2 2 2 2 2 2 2 2 2 2 2 2 2 2 2 2 13 2" xfId="579"/>
    <cellStyle name="쉼표 [0] 2 2 2 2 2 2 2 2 2 2 2 2 2 2 2 2 2 2 2 2 2 2 2 2 2 2 2 2 2 2 2 2 2 2 13 2 2" xfId="19635"/>
    <cellStyle name="쉼표 [0] 2 2 2 2 2 2 2 2 2 2 2 2 2 2 2 2 2 2 2 2 2 2 2 2 2 2 2 2 2 2 2 2 2 2 13 3" xfId="19372"/>
    <cellStyle name="쉼표 [0] 2 2 2 2 2 2 2 2 2 2 2 2 2 2 2 2 2 2 2 2 2 2 2 2 2 2 2 2 2 2 2 2 2 2 14" xfId="19831"/>
    <cellStyle name="쉼표 [0] 2 2 2 2 2 2 2 2 2 2 2 2 2 2 2 2 2 2 2 2 2 2 2 2 2 2 2 2 2 2 2 2 2 2 15" xfId="19872"/>
    <cellStyle name="쉼표 [0] 2 2 2 2 2 2 2 2 2 2 2 2 2 2 2 2 2 2 2 2 2 2 2 2 2 2 2 2 2 2 2 2 2 2 16" xfId="19917"/>
    <cellStyle name="쉼표 [0] 2 2 2 2 2 2 2 2 2 2 2 2 2 2 2 2 2 2 2 2 2 2 2 2 2 2 2 2 2 2 2 2 2 2 17" xfId="20058"/>
    <cellStyle name="쉼표 [0] 2 2 2 2 2 2 2 2 2 2 2 2 2 2 2 2 2 2 2 2 2 2 2 2 2 2 2 2 2 2 2 2 2 2 18" xfId="20086"/>
    <cellStyle name="쉼표 [0] 2 2 2 2 2 2 2 2 2 2 2 2 2 2 2 2 2 2 2 2 2 2 2 2 2 2 2 2 2 2 2 2 2 2 19" xfId="19029"/>
    <cellStyle name="쉼표 [0] 2 2 2 2 2 2 2 2 2 2 2 2 2 2 2 2 2 2 2 2 2 2 2 2 2 2 2 2 2 2 2 2 2 2 2" xfId="580"/>
    <cellStyle name="쉼표 [0] 2 2 2 2 2 2 2 2 2 2 2 2 2 2 2 2 2 2 2 2 2 2 2 2 2 2 2 2 2 2 2 2 2 2 2 10" xfId="581"/>
    <cellStyle name="쉼표 [0] 2 2 2 2 2 2 2 2 2 2 2 2 2 2 2 2 2 2 2 2 2 2 2 2 2 2 2 2 2 2 2 2 2 2 2 10 2" xfId="18789"/>
    <cellStyle name="쉼표 [0] 2 2 2 2 2 2 2 2 2 2 2 2 2 2 2 2 2 2 2 2 2 2 2 2 2 2 2 2 2 2 2 2 2 2 2 11" xfId="582"/>
    <cellStyle name="쉼표 [0] 2 2 2 2 2 2 2 2 2 2 2 2 2 2 2 2 2 2 2 2 2 2 2 2 2 2 2 2 2 2 2 2 2 2 2 11 2" xfId="583"/>
    <cellStyle name="쉼표 [0] 2 2 2 2 2 2 2 2 2 2 2 2 2 2 2 2 2 2 2 2 2 2 2 2 2 2 2 2 2 2 2 2 2 2 2 11 2 2" xfId="19556"/>
    <cellStyle name="쉼표 [0] 2 2 2 2 2 2 2 2 2 2 2 2 2 2 2 2 2 2 2 2 2 2 2 2 2 2 2 2 2 2 2 2 2 2 2 11 3" xfId="18729"/>
    <cellStyle name="쉼표 [0] 2 2 2 2 2 2 2 2 2 2 2 2 2 2 2 2 2 2 2 2 2 2 2 2 2 2 2 2 2 2 2 2 2 2 2 12" xfId="584"/>
    <cellStyle name="쉼표 [0] 2 2 2 2 2 2 2 2 2 2 2 2 2 2 2 2 2 2 2 2 2 2 2 2 2 2 2 2 2 2 2 2 2 2 2 12 2" xfId="19497"/>
    <cellStyle name="쉼표 [0] 2 2 2 2 2 2 2 2 2 2 2 2 2 2 2 2 2 2 2 2 2 2 2 2 2 2 2 2 2 2 2 2 2 2 2 13" xfId="585"/>
    <cellStyle name="쉼표 [0] 2 2 2 2 2 2 2 2 2 2 2 2 2 2 2 2 2 2 2 2 2 2 2 2 2 2 2 2 2 2 2 2 2 2 2 13 2" xfId="586"/>
    <cellStyle name="쉼표 [0] 2 2 2 2 2 2 2 2 2 2 2 2 2 2 2 2 2 2 2 2 2 2 2 2 2 2 2 2 2 2 2 2 2 2 2 13 2 2" xfId="19636"/>
    <cellStyle name="쉼표 [0] 2 2 2 2 2 2 2 2 2 2 2 2 2 2 2 2 2 2 2 2 2 2 2 2 2 2 2 2 2 2 2 2 2 2 2 13 3" xfId="19367"/>
    <cellStyle name="쉼표 [0] 2 2 2 2 2 2 2 2 2 2 2 2 2 2 2 2 2 2 2 2 2 2 2 2 2 2 2 2 2 2 2 2 2 2 2 14" xfId="19721"/>
    <cellStyle name="쉼표 [0] 2 2 2 2 2 2 2 2 2 2 2 2 2 2 2 2 2 2 2 2 2 2 2 2 2 2 2 2 2 2 2 2 2 2 2 15" xfId="19866"/>
    <cellStyle name="쉼표 [0] 2 2 2 2 2 2 2 2 2 2 2 2 2 2 2 2 2 2 2 2 2 2 2 2 2 2 2 2 2 2 2 2 2 2 2 16" xfId="19901"/>
    <cellStyle name="쉼표 [0] 2 2 2 2 2 2 2 2 2 2 2 2 2 2 2 2 2 2 2 2 2 2 2 2 2 2 2 2 2 2 2 2 2 2 2 17" xfId="20119"/>
    <cellStyle name="쉼표 [0] 2 2 2 2 2 2 2 2 2 2 2 2 2 2 2 2 2 2 2 2 2 2 2 2 2 2 2 2 2 2 2 2 2 2 2 18" xfId="20126"/>
    <cellStyle name="쉼표 [0] 2 2 2 2 2 2 2 2 2 2 2 2 2 2 2 2 2 2 2 2 2 2 2 2 2 2 2 2 2 2 2 2 2 2 2 19" xfId="19030"/>
    <cellStyle name="쉼표 [0] 2 2 2 2 2 2 2 2 2 2 2 2 2 2 2 2 2 2 2 2 2 2 2 2 2 2 2 2 2 2 2 2 2 2 2 2" xfId="587"/>
    <cellStyle name="쉼표 [0] 2 2 2 2 2 2 2 2 2 2 2 2 2 2 2 2 2 2 2 2 2 2 2 2 2 2 2 2 2 2 2 2 2 2 2 2 10" xfId="588"/>
    <cellStyle name="쉼표 [0] 2 2 2 2 2 2 2 2 2 2 2 2 2 2 2 2 2 2 2 2 2 2 2 2 2 2 2 2 2 2 2 2 2 2 2 2 10 2" xfId="589"/>
    <cellStyle name="쉼표 [0] 2 2 2 2 2 2 2 2 2 2 2 2 2 2 2 2 2 2 2 2 2 2 2 2 2 2 2 2 2 2 2 2 2 2 2 2 10 2 2" xfId="19557"/>
    <cellStyle name="쉼표 [0] 2 2 2 2 2 2 2 2 2 2 2 2 2 2 2 2 2 2 2 2 2 2 2 2 2 2 2 2 2 2 2 2 2 2 2 2 10 3" xfId="19400"/>
    <cellStyle name="쉼표 [0] 2 2 2 2 2 2 2 2 2 2 2 2 2 2 2 2 2 2 2 2 2 2 2 2 2 2 2 2 2 2 2 2 2 2 2 2 11" xfId="590"/>
    <cellStyle name="쉼표 [0] 2 2 2 2 2 2 2 2 2 2 2 2 2 2 2 2 2 2 2 2 2 2 2 2 2 2 2 2 2 2 2 2 2 2 2 2 11 2" xfId="19504"/>
    <cellStyle name="쉼표 [0] 2 2 2 2 2 2 2 2 2 2 2 2 2 2 2 2 2 2 2 2 2 2 2 2 2 2 2 2 2 2 2 2 2 2 2 2 12" xfId="591"/>
    <cellStyle name="쉼표 [0] 2 2 2 2 2 2 2 2 2 2 2 2 2 2 2 2 2 2 2 2 2 2 2 2 2 2 2 2 2 2 2 2 2 2 2 2 12 2" xfId="592"/>
    <cellStyle name="쉼표 [0] 2 2 2 2 2 2 2 2 2 2 2 2 2 2 2 2 2 2 2 2 2 2 2 2 2 2 2 2 2 2 2 2 2 2 2 2 12 2 2" xfId="19637"/>
    <cellStyle name="쉼표 [0] 2 2 2 2 2 2 2 2 2 2 2 2 2 2 2 2 2 2 2 2 2 2 2 2 2 2 2 2 2 2 2 2 2 2 2 2 12 3" xfId="19411"/>
    <cellStyle name="쉼표 [0] 2 2 2 2 2 2 2 2 2 2 2 2 2 2 2 2 2 2 2 2 2 2 2 2 2 2 2 2 2 2 2 2 2 2 2 2 13" xfId="19783"/>
    <cellStyle name="쉼표 [0] 2 2 2 2 2 2 2 2 2 2 2 2 2 2 2 2 2 2 2 2 2 2 2 2 2 2 2 2 2 2 2 2 2 2 2 2 14" xfId="19876"/>
    <cellStyle name="쉼표 [0] 2 2 2 2 2 2 2 2 2 2 2 2 2 2 2 2 2 2 2 2 2 2 2 2 2 2 2 2 2 2 2 2 2 2 2 2 15" xfId="20006"/>
    <cellStyle name="쉼표 [0] 2 2 2 2 2 2 2 2 2 2 2 2 2 2 2 2 2 2 2 2 2 2 2 2 2 2 2 2 2 2 2 2 2 2 2 2 16" xfId="20120"/>
    <cellStyle name="쉼표 [0] 2 2 2 2 2 2 2 2 2 2 2 2 2 2 2 2 2 2 2 2 2 2 2 2 2 2 2 2 2 2 2 2 2 2 2 2 17" xfId="19939"/>
    <cellStyle name="쉼표 [0] 2 2 2 2 2 2 2 2 2 2 2 2 2 2 2 2 2 2 2 2 2 2 2 2 2 2 2 2 2 2 2 2 2 2 2 2 18" xfId="19084"/>
    <cellStyle name="쉼표 [0] 2 2 2 2 2 2 2 2 2 2 2 2 2 2 2 2 2 2 2 2 2 2 2 2 2 2 2 2 2 2 2 2 2 2 2 2 2" xfId="593"/>
    <cellStyle name="쉼표 [0] 2 2 2 2 2 2 2 2 2 2 2 2 2 2 2 2 2 2 2 2 2 2 2 2 2 2 2 2 2 2 2 2 2 2 2 2 2 10" xfId="594"/>
    <cellStyle name="쉼표 [0] 2 2 2 2 2 2 2 2 2 2 2 2 2 2 2 2 2 2 2 2 2 2 2 2 2 2 2 2 2 2 2 2 2 2 2 2 2 10 2" xfId="595"/>
    <cellStyle name="쉼표 [0] 2 2 2 2 2 2 2 2 2 2 2 2 2 2 2 2 2 2 2 2 2 2 2 2 2 2 2 2 2 2 2 2 2 2 2 2 2 10 2 2" xfId="19559"/>
    <cellStyle name="쉼표 [0] 2 2 2 2 2 2 2 2 2 2 2 2 2 2 2 2 2 2 2 2 2 2 2 2 2 2 2 2 2 2 2 2 2 2 2 2 2 10 3" xfId="19433"/>
    <cellStyle name="쉼표 [0] 2 2 2 2 2 2 2 2 2 2 2 2 2 2 2 2 2 2 2 2 2 2 2 2 2 2 2 2 2 2 2 2 2 2 2 2 2 11" xfId="596"/>
    <cellStyle name="쉼표 [0] 2 2 2 2 2 2 2 2 2 2 2 2 2 2 2 2 2 2 2 2 2 2 2 2 2 2 2 2 2 2 2 2 2 2 2 2 2 11 2" xfId="19529"/>
    <cellStyle name="쉼표 [0] 2 2 2 2 2 2 2 2 2 2 2 2 2 2 2 2 2 2 2 2 2 2 2 2 2 2 2 2 2 2 2 2 2 2 2 2 2 12" xfId="597"/>
    <cellStyle name="쉼표 [0] 2 2 2 2 2 2 2 2 2 2 2 2 2 2 2 2 2 2 2 2 2 2 2 2 2 2 2 2 2 2 2 2 2 2 2 2 2 12 2" xfId="598"/>
    <cellStyle name="쉼표 [0] 2 2 2 2 2 2 2 2 2 2 2 2 2 2 2 2 2 2 2 2 2 2 2 2 2 2 2 2 2 2 2 2 2 2 2 2 2 12 2 2" xfId="19638"/>
    <cellStyle name="쉼표 [0] 2 2 2 2 2 2 2 2 2 2 2 2 2 2 2 2 2 2 2 2 2 2 2 2 2 2 2 2 2 2 2 2 2 2 2 2 2 12 3" xfId="19378"/>
    <cellStyle name="쉼표 [0] 2 2 2 2 2 2 2 2 2 2 2 2 2 2 2 2 2 2 2 2 2 2 2 2 2 2 2 2 2 2 2 2 2 2 2 2 2 13" xfId="19802"/>
    <cellStyle name="쉼표 [0] 2 2 2 2 2 2 2 2 2 2 2 2 2 2 2 2 2 2 2 2 2 2 2 2 2 2 2 2 2 2 2 2 2 2 2 2 2 14" xfId="19837"/>
    <cellStyle name="쉼표 [0] 2 2 2 2 2 2 2 2 2 2 2 2 2 2 2 2 2 2 2 2 2 2 2 2 2 2 2 2 2 2 2 2 2 2 2 2 2 15" xfId="20055"/>
    <cellStyle name="쉼표 [0] 2 2 2 2 2 2 2 2 2 2 2 2 2 2 2 2 2 2 2 2 2 2 2 2 2 2 2 2 2 2 2 2 2 2 2 2 2 16" xfId="19941"/>
    <cellStyle name="쉼표 [0] 2 2 2 2 2 2 2 2 2 2 2 2 2 2 2 2 2 2 2 2 2 2 2 2 2 2 2 2 2 2 2 2 2 2 2 2 2 17" xfId="20144"/>
    <cellStyle name="쉼표 [0] 2 2 2 2 2 2 2 2 2 2 2 2 2 2 2 2 2 2 2 2 2 2 2 2 2 2 2 2 2 2 2 2 2 2 2 2 2 18" xfId="19085"/>
    <cellStyle name="쉼표 [0] 2 2 2 2 2 2 2 2 2 2 2 2 2 2 2 2 2 2 2 2 2 2 2 2 2 2 2 2 2 2 2 2 2 2 2 2 2 2" xfId="599"/>
    <cellStyle name="쉼표 [0] 2 2 2 2 2 2 2 2 2 2 2 2 2 2 2 2 2 2 2 2 2 2 2 2 2 2 2 2 2 2 2 2 2 2 2 2 2 2 10" xfId="600"/>
    <cellStyle name="쉼표 [0] 2 2 2 2 2 2 2 2 2 2 2 2 2 2 2 2 2 2 2 2 2 2 2 2 2 2 2 2 2 2 2 2 2 2 2 2 2 2 10 2" xfId="19527"/>
    <cellStyle name="쉼표 [0] 2 2 2 2 2 2 2 2 2 2 2 2 2 2 2 2 2 2 2 2 2 2 2 2 2 2 2 2 2 2 2 2 2 2 2 2 2 2 11" xfId="601"/>
    <cellStyle name="쉼표 [0] 2 2 2 2 2 2 2 2 2 2 2 2 2 2 2 2 2 2 2 2 2 2 2 2 2 2 2 2 2 2 2 2 2 2 2 2 2 2 11 2" xfId="602"/>
    <cellStyle name="쉼표 [0] 2 2 2 2 2 2 2 2 2 2 2 2 2 2 2 2 2 2 2 2 2 2 2 2 2 2 2 2 2 2 2 2 2 2 2 2 2 2 11 2 2" xfId="19639"/>
    <cellStyle name="쉼표 [0] 2 2 2 2 2 2 2 2 2 2 2 2 2 2 2 2 2 2 2 2 2 2 2 2 2 2 2 2 2 2 2 2 2 2 2 2 2 2 11 3" xfId="19443"/>
    <cellStyle name="쉼표 [0] 2 2 2 2 2 2 2 2 2 2 2 2 2 2 2 2 2 2 2 2 2 2 2 2 2 2 2 2 2 2 2 2 2 2 2 2 2 2 12" xfId="19755"/>
    <cellStyle name="쉼표 [0] 2 2 2 2 2 2 2 2 2 2 2 2 2 2 2 2 2 2 2 2 2 2 2 2 2 2 2 2 2 2 2 2 2 2 2 2 2 2 13" xfId="19740"/>
    <cellStyle name="쉼표 [0] 2 2 2 2 2 2 2 2 2 2 2 2 2 2 2 2 2 2 2 2 2 2 2 2 2 2 2 2 2 2 2 2 2 2 2 2 2 2 14" xfId="20022"/>
    <cellStyle name="쉼표 [0] 2 2 2 2 2 2 2 2 2 2 2 2 2 2 2 2 2 2 2 2 2 2 2 2 2 2 2 2 2 2 2 2 2 2 2 2 2 2 15" xfId="20085"/>
    <cellStyle name="쉼표 [0] 2 2 2 2 2 2 2 2 2 2 2 2 2 2 2 2 2 2 2 2 2 2 2 2 2 2 2 2 2 2 2 2 2 2 2 2 2 2 16" xfId="20149"/>
    <cellStyle name="쉼표 [0] 2 2 2 2 2 2 2 2 2 2 2 2 2 2 2 2 2 2 2 2 2 2 2 2 2 2 2 2 2 2 2 2 2 2 2 2 2 2 17" xfId="19138"/>
    <cellStyle name="쉼표 [0] 2 2 2 2 2 2 2 2 2 2 2 2 2 2 2 2 2 2 2 2 2 2 2 2 2 2 2 2 2 2 2 2 2 2 2 2 2 2 2" xfId="603"/>
    <cellStyle name="쉼표 [0] 2 2 2 2 2 2 2 2 2 2 2 2 2 2 2 2 2 2 2 2 2 2 2 2 2 2 2 2 2 2 2 2 2 2 2 2 2 2 2 10" xfId="604"/>
    <cellStyle name="쉼표 [0] 2 2 2 2 2 2 2 2 2 2 2 2 2 2 2 2 2 2 2 2 2 2 2 2 2 2 2 2 2 2 2 2 2 2 2 2 2 2 2 10 2" xfId="19533"/>
    <cellStyle name="쉼표 [0] 2 2 2 2 2 2 2 2 2 2 2 2 2 2 2 2 2 2 2 2 2 2 2 2 2 2 2 2 2 2 2 2 2 2 2 2 2 2 2 11" xfId="605"/>
    <cellStyle name="쉼표 [0] 2 2 2 2 2 2 2 2 2 2 2 2 2 2 2 2 2 2 2 2 2 2 2 2 2 2 2 2 2 2 2 2 2 2 2 2 2 2 2 11 2" xfId="606"/>
    <cellStyle name="쉼표 [0] 2 2 2 2 2 2 2 2 2 2 2 2 2 2 2 2 2 2 2 2 2 2 2 2 2 2 2 2 2 2 2 2 2 2 2 2 2 2 2 11 2 2" xfId="19640"/>
    <cellStyle name="쉼표 [0] 2 2 2 2 2 2 2 2 2 2 2 2 2 2 2 2 2 2 2 2 2 2 2 2 2 2 2 2 2 2 2 2 2 2 2 2 2 2 2 11 3" xfId="19473"/>
    <cellStyle name="쉼표 [0] 2 2 2 2 2 2 2 2 2 2 2 2 2 2 2 2 2 2 2 2 2 2 2 2 2 2 2 2 2 2 2 2 2 2 2 2 2 2 2 12" xfId="19716"/>
    <cellStyle name="쉼표 [0] 2 2 2 2 2 2 2 2 2 2 2 2 2 2 2 2 2 2 2 2 2 2 2 2 2 2 2 2 2 2 2 2 2 2 2 2 2 2 2 13" xfId="19747"/>
    <cellStyle name="쉼표 [0] 2 2 2 2 2 2 2 2 2 2 2 2 2 2 2 2 2 2 2 2 2 2 2 2 2 2 2 2 2 2 2 2 2 2 2 2 2 2 2 14" xfId="20094"/>
    <cellStyle name="쉼표 [0] 2 2 2 2 2 2 2 2 2 2 2 2 2 2 2 2 2 2 2 2 2 2 2 2 2 2 2 2 2 2 2 2 2 2 2 2 2 2 2 15" xfId="20138"/>
    <cellStyle name="쉼표 [0] 2 2 2 2 2 2 2 2 2 2 2 2 2 2 2 2 2 2 2 2 2 2 2 2 2 2 2 2 2 2 2 2 2 2 2 2 2 2 2 16" xfId="20145"/>
    <cellStyle name="쉼표 [0] 2 2 2 2 2 2 2 2 2 2 2 2 2 2 2 2 2 2 2 2 2 2 2 2 2 2 2 2 2 2 2 2 2 2 2 2 2 2 2 17" xfId="19139"/>
    <cellStyle name="쉼표 [0] 2 2 2 2 2 2 2 2 2 2 2 2 2 2 2 2 2 2 2 2 2 2 2 2 2 2 2 2 2 2 2 2 2 2 2 2 2 2 2 2" xfId="607"/>
    <cellStyle name="쉼표 [0] 2 2 2 2 2 2 2 2 2 2 2 2 2 2 2 2 2 2 2 2 2 2 2 2 2 2 2 2 2 2 2 2 2 2 2 2 2 2 2 2 10" xfId="608"/>
    <cellStyle name="쉼표 [0] 2 2 2 2 2 2 2 2 2 2 2 2 2 2 2 2 2 2 2 2 2 2 2 2 2 2 2 2 2 2 2 2 2 2 2 2 2 2 2 2 10 2" xfId="609"/>
    <cellStyle name="쉼표 [0] 2 2 2 2 2 2 2 2 2 2 2 2 2 2 2 2 2 2 2 2 2 2 2 2 2 2 2 2 2 2 2 2 2 2 2 2 2 2 2 2 10 2 2" xfId="19641"/>
    <cellStyle name="쉼표 [0] 2 2 2 2 2 2 2 2 2 2 2 2 2 2 2 2 2 2 2 2 2 2 2 2 2 2 2 2 2 2 2 2 2 2 2 2 2 2 2 2 10 3" xfId="19460"/>
    <cellStyle name="쉼표 [0] 2 2 2 2 2 2 2 2 2 2 2 2 2 2 2 2 2 2 2 2 2 2 2 2 2 2 2 2 2 2 2 2 2 2 2 2 2 2 2 2 11" xfId="19828"/>
    <cellStyle name="쉼표 [0] 2 2 2 2 2 2 2 2 2 2 2 2 2 2 2 2 2 2 2 2 2 2 2 2 2 2 2 2 2 2 2 2 2 2 2 2 2 2 2 2 12" xfId="19827"/>
    <cellStyle name="쉼표 [0] 2 2 2 2 2 2 2 2 2 2 2 2 2 2 2 2 2 2 2 2 2 2 2 2 2 2 2 2 2 2 2 2 2 2 2 2 2 2 2 2 13" xfId="20095"/>
    <cellStyle name="쉼표 [0] 2 2 2 2 2 2 2 2 2 2 2 2 2 2 2 2 2 2 2 2 2 2 2 2 2 2 2 2 2 2 2 2 2 2 2 2 2 2 2 2 14" xfId="20118"/>
    <cellStyle name="쉼표 [0] 2 2 2 2 2 2 2 2 2 2 2 2 2 2 2 2 2 2 2 2 2 2 2 2 2 2 2 2 2 2 2 2 2 2 2 2 2 2 2 2 15" xfId="19905"/>
    <cellStyle name="쉼표 [0] 2 2 2 2 2 2 2 2 2 2 2 2 2 2 2 2 2 2 2 2 2 2 2 2 2 2 2 2 2 2 2 2 2 2 2 2 2 2 2 2 16" xfId="19190"/>
    <cellStyle name="쉼표 [0] 2 2 2 2 2 2 2 2 2 2 2 2 2 2 2 2 2 2 2 2 2 2 2 2 2 2 2 2 2 2 2 2 2 2 2 2 2 2 2 2 2" xfId="610"/>
    <cellStyle name="쉼표 [0] 2 2 2 2 2 2 2 2 2 2 2 2 2 2 2 2 2 2 2 2 2 2 2 2 2 2 2 2 2 2 2 2 2 2 2 2 2 2 2 2 2 10" xfId="611"/>
    <cellStyle name="쉼표 [0] 2 2 2 2 2 2 2 2 2 2 2 2 2 2 2 2 2 2 2 2 2 2 2 2 2 2 2 2 2 2 2 2 2 2 2 2 2 2 2 2 2 10 2" xfId="612"/>
    <cellStyle name="쉼표 [0] 2 2 2 2 2 2 2 2 2 2 2 2 2 2 2 2 2 2 2 2 2 2 2 2 2 2 2 2 2 2 2 2 2 2 2 2 2 2 2 2 2 10 2 2" xfId="19642"/>
    <cellStyle name="쉼표 [0] 2 2 2 2 2 2 2 2 2 2 2 2 2 2 2 2 2 2 2 2 2 2 2 2 2 2 2 2 2 2 2 2 2 2 2 2 2 2 2 2 2 10 3" xfId="19408"/>
    <cellStyle name="쉼표 [0] 2 2 2 2 2 2 2 2 2 2 2 2 2 2 2 2 2 2 2 2 2 2 2 2 2 2 2 2 2 2 2 2 2 2 2 2 2 2 2 2 2 11" xfId="19733"/>
    <cellStyle name="쉼표 [0] 2 2 2 2 2 2 2 2 2 2 2 2 2 2 2 2 2 2 2 2 2 2 2 2 2 2 2 2 2 2 2 2 2 2 2 2 2 2 2 2 2 12" xfId="19871"/>
    <cellStyle name="쉼표 [0] 2 2 2 2 2 2 2 2 2 2 2 2 2 2 2 2 2 2 2 2 2 2 2 2 2 2 2 2 2 2 2 2 2 2 2 2 2 2 2 2 2 13" xfId="20091"/>
    <cellStyle name="쉼표 [0] 2 2 2 2 2 2 2 2 2 2 2 2 2 2 2 2 2 2 2 2 2 2 2 2 2 2 2 2 2 2 2 2 2 2 2 2 2 2 2 2 2 14" xfId="20117"/>
    <cellStyle name="쉼표 [0] 2 2 2 2 2 2 2 2 2 2 2 2 2 2 2 2 2 2 2 2 2 2 2 2 2 2 2 2 2 2 2 2 2 2 2 2 2 2 2 2 2 15" xfId="19976"/>
    <cellStyle name="쉼표 [0] 2 2 2 2 2 2 2 2 2 2 2 2 2 2 2 2 2 2 2 2 2 2 2 2 2 2 2 2 2 2 2 2 2 2 2 2 2 2 2 2 2 16" xfId="19191"/>
    <cellStyle name="쉼표 [0] 2 2 2 2 2 2 2 2 2 2 2 2 2 2 2 2 2 2 2 2 2 2 2 2 2 2 2 2 2 2 2 2 2 2 2 2 2 2 2 2 2 2" xfId="613"/>
    <cellStyle name="쉼표 [0] 2 2 2 2 2 2 2 2 2 2 2 2 2 2 2 2 2 2 2 2 2 2 2 2 2 2 2 2 2 2 2 2 2 2 2 2 2 2 2 2 2 2 10" xfId="19789"/>
    <cellStyle name="쉼표 [0] 2 2 2 2 2 2 2 2 2 2 2 2 2 2 2 2 2 2 2 2 2 2 2 2 2 2 2 2 2 2 2 2 2 2 2 2 2 2 2 2 2 2 11" xfId="19839"/>
    <cellStyle name="쉼표 [0] 2 2 2 2 2 2 2 2 2 2 2 2 2 2 2 2 2 2 2 2 2 2 2 2 2 2 2 2 2 2 2 2 2 2 2 2 2 2 2 2 2 2 12" xfId="19984"/>
    <cellStyle name="쉼표 [0] 2 2 2 2 2 2 2 2 2 2 2 2 2 2 2 2 2 2 2 2 2 2 2 2 2 2 2 2 2 2 2 2 2 2 2 2 2 2 2 2 2 2 13" xfId="20115"/>
    <cellStyle name="쉼표 [0] 2 2 2 2 2 2 2 2 2 2 2 2 2 2 2 2 2 2 2 2 2 2 2 2 2 2 2 2 2 2 2 2 2 2 2 2 2 2 2 2 2 2 14" xfId="19949"/>
    <cellStyle name="쉼표 [0] 2 2 2 2 2 2 2 2 2 2 2 2 2 2 2 2 2 2 2 2 2 2 2 2 2 2 2 2 2 2 2 2 2 2 2 2 2 2 2 2 2 2 15" xfId="19251"/>
    <cellStyle name="쉼표 [0] 2 2 2 2 2 2 2 2 2 2 2 2 2 2 2 2 2 2 2 2 2 2 2 2 2 2 2 2 2 2 2 2 2 2 2 2 2 2 2 2 2 2 2" xfId="614"/>
    <cellStyle name="쉼표 [0] 2 2 2 2 2 2 2 2 2 2 2 2 2 2 2 2 2 2 2 2 2 2 2 2 2 2 2 2 2 2 2 2 2 2 2 2 2 2 2 2 2 2 2 10" xfId="19807"/>
    <cellStyle name="쉼표 [0] 2 2 2 2 2 2 2 2 2 2 2 2 2 2 2 2 2 2 2 2 2 2 2 2 2 2 2 2 2 2 2 2 2 2 2 2 2 2 2 2 2 2 2 11" xfId="19849"/>
    <cellStyle name="쉼표 [0] 2 2 2 2 2 2 2 2 2 2 2 2 2 2 2 2 2 2 2 2 2 2 2 2 2 2 2 2 2 2 2 2 2 2 2 2 2 2 2 2 2 2 2 12" xfId="19934"/>
    <cellStyle name="쉼표 [0] 2 2 2 2 2 2 2 2 2 2 2 2 2 2 2 2 2 2 2 2 2 2 2 2 2 2 2 2 2 2 2 2 2 2 2 2 2 2 2 2 2 2 2 13" xfId="20071"/>
    <cellStyle name="쉼표 [0] 2 2 2 2 2 2 2 2 2 2 2 2 2 2 2 2 2 2 2 2 2 2 2 2 2 2 2 2 2 2 2 2 2 2 2 2 2 2 2 2 2 2 2 14" xfId="20147"/>
    <cellStyle name="쉼표 [0] 2 2 2 2 2 2 2 2 2 2 2 2 2 2 2 2 2 2 2 2 2 2 2 2 2 2 2 2 2 2 2 2 2 2 2 2 2 2 2 2 2 2 2 15" xfId="19252"/>
    <cellStyle name="쉼표 [0] 2 2 2 2 2 2 2 2 2 2 2 2 2 2 2 2 2 2 2 2 2 2 2 2 2 2 2 2 2 2 2 2 2 2 2 2 2 2 2 2 2 2 2 2" xfId="615"/>
    <cellStyle name="쉼표 [0] 2 2 2 2 2 2 2 2 2 2 2 2 2 2 2 2 2 2 2 2 2 2 2 2 2 2 2 2 2 2 2 2 2 2 2 2 2 2 2 2 2 2 2 2 10" xfId="19844"/>
    <cellStyle name="쉼표 [0] 2 2 2 2 2 2 2 2 2 2 2 2 2 2 2 2 2 2 2 2 2 2 2 2 2 2 2 2 2 2 2 2 2 2 2 2 2 2 2 2 2 2 2 2 11" xfId="19989"/>
    <cellStyle name="쉼표 [0] 2 2 2 2 2 2 2 2 2 2 2 2 2 2 2 2 2 2 2 2 2 2 2 2 2 2 2 2 2 2 2 2 2 2 2 2 2 2 2 2 2 2 2 2 12" xfId="20072"/>
    <cellStyle name="쉼표 [0] 2 2 2 2 2 2 2 2 2 2 2 2 2 2 2 2 2 2 2 2 2 2 2 2 2 2 2 2 2 2 2 2 2 2 2 2 2 2 2 2 2 2 2 2 13" xfId="20156"/>
    <cellStyle name="쉼표 [0] 2 2 2 2 2 2 2 2 2 2 2 2 2 2 2 2 2 2 2 2 2 2 2 2 2 2 2 2 2 2 2 2 2 2 2 2 2 2 2 2 2 2 2 2 14" xfId="19299"/>
    <cellStyle name="쉼표 [0] 2 2 2 2 2 2 2 2 2 2 2 2 2 2 2 2 2 2 2 2 2 2 2 2 2 2 2 2 2 2 2 2 2 2 2 2 2 2 2 2 2 2 2 2 2" xfId="616"/>
    <cellStyle name="쉼표 [0] 2 2 2 2 2 2 2 2 2 2 2 2 2 2 2 2 2 2 2 2 2 2 2 2 2 2 2 2 2 2 2 2 2 2 2 2 2 2 2 2 2 2 2 2 2 10" xfId="19820"/>
    <cellStyle name="쉼표 [0] 2 2 2 2 2 2 2 2 2 2 2 2 2 2 2 2 2 2 2 2 2 2 2 2 2 2 2 2 2 2 2 2 2 2 2 2 2 2 2 2 2 2 2 2 2 11" xfId="20081"/>
    <cellStyle name="쉼표 [0] 2 2 2 2 2 2 2 2 2 2 2 2 2 2 2 2 2 2 2 2 2 2 2 2 2 2 2 2 2 2 2 2 2 2 2 2 2 2 2 2 2 2 2 2 2 12" xfId="20024"/>
    <cellStyle name="쉼표 [0] 2 2 2 2 2 2 2 2 2 2 2 2 2 2 2 2 2 2 2 2 2 2 2 2 2 2 2 2 2 2 2 2 2 2 2 2 2 2 2 2 2 2 2 2 2 13" xfId="20105"/>
    <cellStyle name="쉼표 [0] 2 2 2 2 2 2 2 2 2 2 2 2 2 2 2 2 2 2 2 2 2 2 2 2 2 2 2 2 2 2 2 2 2 2 2 2 2 2 2 2 2 2 2 2 2 14" xfId="19300"/>
    <cellStyle name="쉼표 [0] 2 2 2 2 2 2 2 2 2 2 2 2 2 2 2 2 2 2 2 2 2 2 2 2 2 2 2 2 2 2 2 2 2 2 2 2 2 2 2 2 2 2 2 2 2 2" xfId="617"/>
    <cellStyle name="쉼표 [0] 2 2 2 2 2 2 2 2 2 2 2 2 2 2 2 2 2 2 2 2 2 2 2 2 2 2 2 2 2 2 2 2 2 2 2 2 2 2 2 2 2 2 2 2 2 2 10" xfId="20026"/>
    <cellStyle name="쉼표 [0] 2 2 2 2 2 2 2 2 2 2 2 2 2 2 2 2 2 2 2 2 2 2 2 2 2 2 2 2 2 2 2 2 2 2 2 2 2 2 2 2 2 2 2 2 2 2 11" xfId="19959"/>
    <cellStyle name="쉼표 [0] 2 2 2 2 2 2 2 2 2 2 2 2 2 2 2 2 2 2 2 2 2 2 2 2 2 2 2 2 2 2 2 2 2 2 2 2 2 2 2 2 2 2 2 2 2 2 12" xfId="19894"/>
    <cellStyle name="쉼표 [0] 2 2 2 2 2 2 2 2 2 2 2 2 2 2 2 2 2 2 2 2 2 2 2 2 2 2 2 2 2 2 2 2 2 2 2 2 2 2 2 2 2 2 2 2 2 2 13" xfId="19345"/>
    <cellStyle name="쉼표 [0] 2 2 2 2 2 2 2 2 2 2 2 2 2 2 2 2 2 2 2 2 2 2 2 2 2 2 2 2 2 2 2 2 2 2 2 2 2 2 2 2 2 2 2 2 2 2 2" xfId="618"/>
    <cellStyle name="쉼표 [0] 2 2 2 2 2 2 2 2 2 2 2 2 2 2 2 2 2 2 2 2 2 2 2 2 2 2 2 2 2 2 2 2 2 2 2 2 2 2 2 2 2 2 2 2 2 2 2 10" xfId="19968"/>
    <cellStyle name="쉼표 [0] 2 2 2 2 2 2 2 2 2 2 2 2 2 2 2 2 2 2 2 2 2 2 2 2 2 2 2 2 2 2 2 2 2 2 2 2 2 2 2 2 2 2 2 2 2 2 2 11" xfId="20068"/>
    <cellStyle name="쉼표 [0] 2 2 2 2 2 2 2 2 2 2 2 2 2 2 2 2 2 2 2 2 2 2 2 2 2 2 2 2 2 2 2 2 2 2 2 2 2 2 2 2 2 2 2 2 2 2 2 12" xfId="20025"/>
    <cellStyle name="쉼표 [0] 2 2 2 2 2 2 2 2 2 2 2 2 2 2 2 2 2 2 2 2 2 2 2 2 2 2 2 2 2 2 2 2 2 2 2 2 2 2 2 2 2 2 2 2 2 2 2 13" xfId="19346"/>
    <cellStyle name="쉼표 [0] 2 2 2 2 2 2 2 2 2 2 2 2 2 2 2 2 2 2 2 2 2 2 2 2 2 2 2 2 2 2 2 2 2 2 2 2 2 2 2 2 2 2 2 2 2 2 2 2" xfId="619"/>
    <cellStyle name="쉼표 [0] 2 2 2 2 2 2 2 2 2 2 2 2 2 2 2 2 2 2 2 2 2 2 2 2 2 2 2 2 2 2 2 2 2 2 2 2 2 2 2 2 2 2 2 2 2 2 2 2 10" xfId="19920"/>
    <cellStyle name="쉼표 [0] 2 2 2 2 2 2 2 2 2 2 2 2 2 2 2 2 2 2 2 2 2 2 2 2 2 2 2 2 2 2 2 2 2 2 2 2 2 2 2 2 2 2 2 2 2 2 2 2 11" xfId="20088"/>
    <cellStyle name="쉼표 [0] 2 2 2 2 2 2 2 2 2 2 2 2 2 2 2 2 2 2 2 2 2 2 2 2 2 2 2 2 2 2 2 2 2 2 2 2 2 2 2 2 2 2 2 2 2 2 2 2 12" xfId="19389"/>
    <cellStyle name="쉼표 [0] 2 2 2 2 2 2 2 2 2 2 2 2 2 2 2 2 2 2 2 2 2 2 2 2 2 2 2 2 2 2 2 2 2 2 2 2 2 2 2 2 2 2 2 2 2 2 2 2 2" xfId="620"/>
    <cellStyle name="쉼표 [0] 2 2 2 2 2 2 2 2 2 2 2 2 2 2 2 2 2 2 2 2 2 2 2 2 2 2 2 2 2 2 2 2 2 2 2 2 2 2 2 2 2 2 2 2 2 2 2 2 2 10" xfId="19985"/>
    <cellStyle name="쉼표 [0] 2 2 2 2 2 2 2 2 2 2 2 2 2 2 2 2 2 2 2 2 2 2 2 2 2 2 2 2 2 2 2 2 2 2 2 2 2 2 2 2 2 2 2 2 2 2 2 2 2 11" xfId="19915"/>
    <cellStyle name="쉼표 [0] 2 2 2 2 2 2 2 2 2 2 2 2 2 2 2 2 2 2 2 2 2 2 2 2 2 2 2 2 2 2 2 2 2 2 2 2 2 2 2 2 2 2 2 2 2 2 2 2 2 12" xfId="19390"/>
    <cellStyle name="쉼표 [0] 2 2 2 2 2 2 2 2 2 2 2 2 2 2 2 2 2 2 2 2 2 2 2 2 2 2 2 2 2 2 2 2 2 2 2 2 2 2 2 2 2 2 2 2 2 2 2 2 2 2" xfId="621"/>
    <cellStyle name="쉼표 [0] 2 2 2 2 2 2 2 2 2 2 2 2 2 2 2 2 2 2 2 2 2 2 2 2 2 2 2 2 2 2 2 2 2 2 2 2 2 2 2 2 2 2 2 2 2 2 2 2 2 2 10" xfId="20133"/>
    <cellStyle name="쉼표 [0] 2 2 2 2 2 2 2 2 2 2 2 2 2 2 2 2 2 2 2 2 2 2 2 2 2 2 2 2 2 2 2 2 2 2 2 2 2 2 2 2 2 2 2 2 2 2 2 2 2 2 11" xfId="19428"/>
    <cellStyle name="쉼표 [0] 2 2 2 2 2 2 2 2 2 2 2 2 2 2 2 2 2 2 2 2 2 2 2 2 2 2 2 2 2 2 2 2 2 2 2 2 2 2 2 2 2 2 2 2 2 2 2 2 2 2 2" xfId="622"/>
    <cellStyle name="쉼표 [0] 2 2 2 2 2 2 2 2 2 2 2 2 2 2 2 2 2 2 2 2 2 2 2 2 2 2 2 2 2 2 2 2 2 2 2 2 2 2 2 2 2 2 2 2 2 2 2 2 2 2 2 10" xfId="20015"/>
    <cellStyle name="쉼표 [0] 2 2 2 2 2 2 2 2 2 2 2 2 2 2 2 2 2 2 2 2 2 2 2 2 2 2 2 2 2 2 2 2 2 2 2 2 2 2 2 2 2 2 2 2 2 2 2 2 2 2 2 11" xfId="19429"/>
    <cellStyle name="쉼표 [0] 2 2 2 2 2 2 2 2 2 2 2 2 2 2 2 2 2 2 2 2 2 2 2 2 2 2 2 2 2 2 2 2 2 2 2 2 2 2 2 2 2 2 2 2 2 2 2 2 2 2 2 2" xfId="623"/>
    <cellStyle name="쉼표 [0] 2 2 2 2 2 2 2 2 2 2 2 2 2 2 2 2 2 2 2 2 2 2 2 2 2 2 2 2 2 2 2 2 2 2 2 2 2 2 2 2 2 2 2 2 2 2 2 2 2 2 2 2 10" xfId="20030"/>
    <cellStyle name="쉼표 [0] 2 2 2 2 2 2 2 2 2 2 2 2 2 2 2 2 2 2 2 2 2 2 2 2 2 2 2 2 2 2 2 2 2 2 2 2 2 2 2 2 2 2 2 2 2 2 2 2 2 2 2 2 11" xfId="19457"/>
    <cellStyle name="쉼표 [0] 2 2 2 2 2 2 2 2 2 2 2 2 2 2 2 2 2 2 2 2 2 2 2 2 2 2 2 2 2 2 2 2 2 2 2 2 2 2 2 2 2 2 2 2 2 2 2 2 2 2 2 2 2" xfId="624"/>
    <cellStyle name="쉼표 [0] 2 2 2 2 2 2 2 2 2 2 2 2 2 2 2 2 2 2 2 2 2 2 2 2 2 2 2 2 2 2 2 2 2 2 2 2 2 2 2 2 2 2 2 2 2 2 2 2 2 2 2 2 2 2" xfId="625"/>
    <cellStyle name="쉼표 [0] 2 2 2 2 2 2 2 2 2 2 2 2 2 2 2 2 2 2 2 2 2 2 2 2 2 2 2 2 2 2 2 2 2 2 2 2 2 2 2 2 2 2 2 2 2 2 2 2 2 2 2 2 2 2 2" xfId="626"/>
    <cellStyle name="쉼표 [0] 2 2 2 2 2 2 2 2 2 2 2 2 2 2 2 2 2 2 2 2 2 2 2 2 2 2 2 2 2 2 2 2 2 2 2 2 2 2 2 2 2 2 2 2 2 2 2 2 2 2 2 2 2 2 2 2" xfId="627"/>
    <cellStyle name="쉼표 [0] 2 2 2 2 2 2 2 2 2 2 2 2 2 2 2 2 2 2 2 2 2 2 2 2 2 2 2 2 2 2 2 2 2 2 2 2 2 2 2 2 2 2 2 2 2 2 2 2 2 2 2 2 2 2 2 2 2" xfId="628"/>
    <cellStyle name="쉼표 [0] 2 2 2 2 2 2 2 2 2 2 2 2 2 2 2 2 2 2 2 2 2 2 2 2 2 2 2 2 2 2 2 2 2 2 2 2 2 2 2 2 2 2 2 2 2 2 2 2 2 2 2 2 2 2 2 2 2 2" xfId="19873"/>
    <cellStyle name="쉼표 [0] 2 2 2 2 2 2 2 2 2 2 2 2 2 2 2 2 2 2 2 2 2 2 2 2 2 2 2 2 2 2 2 2 2 2 2 2 2 2 2 2 2 2 2 2 2 2 2 2 2 2 2 2 2 2 2 2 2 2 2" xfId="19874"/>
    <cellStyle name="쉼표 [0] 2 2 2 2 2 2 2 2 2 2 2 2 2 2 2 2 2 2 2 2 2 2 2 2 2 2 2 2 2 2 2 2 2 2 2 2 2 2 2 2 2 2 2 2 2 2 2 2 2 2 2 2 2 2 2 2 2 2 2 2" xfId="19879"/>
    <cellStyle name="쉼표 [0] 2 2 2 2 2 2 2 2 2 2 2 2 2 2 2 2 2 2 2 2 2 2 2 2 2 2 2 2 2 2 2 2 2 2 2 2 2 2 2 2 2 2 2 2 2 2 2 2 2 2 2 2 2 2 2 2 2 2 2 2 2" xfId="19880"/>
    <cellStyle name="쉼표 [0] 2 2 2 2 2 2 2 2 2 2 2 2 2 2 2 2 2 2 2 2 2 2 2 2 2 2 2 2 2 2 2 2 2 2 2 2 2 2 2 2 2 2 2 2 2 2 2 2 2 2 2 2 2 2 2 2 2 2 2 2 2 2" xfId="20142"/>
    <cellStyle name="쉼표 [0] 2 2 2 2 2 2 2 2 2 2 2 2 2 2 2 2 2 2 2 2 2 2 2 2 2 2 2 2 2 2 2 2 2 2 2 2 2 2 2 2 2 2 2 2 2 2 2 2 2 2 2 2 2 2 2 2 2 2 2 2 2 2 2" xfId="20143"/>
    <cellStyle name="쉼표 [0] 2 2 2 2 2 2 2 2 2 2 2 2 2 2 2 2 2 2 2 2 2 2 2 2 2 2 2 2 2 2 2 2 2 2 2 2 2 2 2 2 2 2 2 2 2 2 2 2 2 2 2 2 2 2 2 2 2 2 2 2 2 2 2 2" xfId="20162"/>
    <cellStyle name="쉼표 [0] 2 2 2 2 2 2 2 2 2 2 2 2 2 2 2 2 2 2 2 2 2 2 2 2 2 2 2 2 2 2 2 2 2 2 2 2 2 2 2 2 2 2 2 2 2 2 2 2 2 2 2 2 2 2 2 2 2 2 2 2 2 2 2 2 2" xfId="20163"/>
    <cellStyle name="쉼표 [0] 2 2 2 2 2 2 2 2 2 2 2 2 2 2 2 2 2 2 2 2 2 2 2 2 2 2 2 2 2 2 2 2 2 2 2 2 2 2 2 2 2 2 2 2 2 2 2 2 2 2 2 2 2 2 2 2 2 2 2 2 2 2 2 2 2 2" xfId="20172"/>
    <cellStyle name="쉼표 [0] 2 2 2 2 2 2 2 2 2 2 2 2 2 2 2 2 2 2 2 2 2 2 2 2 2 2 2 2 2 2 2 2 2 2 2 2 2 2 2 2 2 2 2 2 2 2 2 2 2 2 2 2 2 2 2 2 2 2 2 2 2 2 2 2 2 2 2" xfId="20173"/>
    <cellStyle name="쉼표 [0] 2 2 2 2 2 2 2 2 2 2 2 2 2 2 2 2 2 2 2 2 2 2 2 2 2 2 2 2 2 2 2 2 2 2 2 2 2 2 2 2 2 2 2 2 2 2 2 2 2 2 2 2 2 2 2 2 2 2 2 2 2 2 2 3" xfId="20171"/>
    <cellStyle name="쉼표 [0] 2 2 2 2 2 2 2 2 2 2 2 2 2 2 2 2 2 2 2 2 2 2 2 2 2 2 2 2 2 2 2 2 2 2 2 2 2 2 2 2 2 2 2 2 2 2 2 2 2 2 2 2 2 2 2 2 2 2 2 2 2 2 3" xfId="20170"/>
    <cellStyle name="쉼표 [0] 2 2 2 2 2 2 2 2 2 2 2 2 2 2 2 2 2 2 2 2 2 2 2 2 2 2 2 2 2 2 2 2 2 2 2 2 2 2 2 2 2 2 2 2 2 2 2 2 2 2 2 2 2 2 2 2 2 2 2 2 2 3" xfId="20161"/>
    <cellStyle name="쉼표 [0] 2 2 2 2 2 2 2 2 2 2 2 2 2 2 2 2 2 2 2 2 2 2 2 2 2 2 2 2 2 2 2 2 2 2 2 2 2 2 2 2 2 2 2 2 2 2 2 2 2 2 2 2 2 2 2 2 2 2 2 2 2 4" xfId="20169"/>
    <cellStyle name="쉼표 [0] 2 2 2 2 2 2 2 2 2 2 2 2 2 2 2 2 2 2 2 2 2 2 2 2 2 2 2 2 2 2 2 2 2 2 2 2 2 2 2 2 2 2 2 2 2 2 2 2 2 2 2 2 2 2 2 2 2 2 2 2 3" xfId="20160"/>
    <cellStyle name="쉼표 [0] 2 2 2 2 2 2 2 2 2 2 2 2 2 2 2 2 2 2 2 2 2 2 2 2 2 2 2 2 2 2 2 2 2 2 2 2 2 2 2 2 2 2 2 2 2 2 2 2 2 2 2 2 2 2 2 2 2 2 2 2 4" xfId="20168"/>
    <cellStyle name="쉼표 [0] 2 2 2 2 2 2 2 2 2 2 2 2 2 2 2 2 2 2 2 2 2 2 2 2 2 2 2 2 2 2 2 2 2 2 2 2 2 2 2 2 2 2 2 2 2 2 2 2 2 2 2 2 2 2 2 2 2 2 2 3" xfId="20141"/>
    <cellStyle name="쉼표 [0] 2 2 2 2 2 2 2 2 2 2 2 2 2 2 2 2 2 2 2 2 2 2 2 2 2 2 2 2 2 2 2 2 2 2 2 2 2 2 2 2 2 2 2 2 2 2 2 2 2 2 2 2 2 2 2 2 2 2 2 4" xfId="20159"/>
    <cellStyle name="쉼표 [0] 2 2 2 2 2 2 2 2 2 2 2 2 2 2 2 2 2 2 2 2 2 2 2 2 2 2 2 2 2 2 2 2 2 2 2 2 2 2 2 2 2 2 2 2 2 2 2 2 2 2 2 2 2 2 2 2 2 2 2 5" xfId="20167"/>
    <cellStyle name="쉼표 [0] 2 2 2 2 2 2 2 2 2 2 2 2 2 2 2 2 2 2 2 2 2 2 2 2 2 2 2 2 2 2 2 2 2 2 2 2 2 2 2 2 2 2 2 2 2 2 2 2 2 2 2 2 2 2 2 2 2 2 3" xfId="20140"/>
    <cellStyle name="쉼표 [0] 2 2 2 2 2 2 2 2 2 2 2 2 2 2 2 2 2 2 2 2 2 2 2 2 2 2 2 2 2 2 2 2 2 2 2 2 2 2 2 2 2 2 2 2 2 2 2 2 2 2 2 2 2 2 2 2 2 2 4" xfId="20158"/>
    <cellStyle name="쉼표 [0] 2 2 2 2 2 2 2 2 2 2 2 2 2 2 2 2 2 2 2 2 2 2 2 2 2 2 2 2 2 2 2 2 2 2 2 2 2 2 2 2 2 2 2 2 2 2 2 2 2 2 2 2 2 2 2 2 2 2 5" xfId="20166"/>
    <cellStyle name="쉼표 [0] 2 2 2 2 2 2 2 2 2 2 2 2 2 2 2 2 2 2 2 2 2 2 2 2 2 2 2 2 2 2 2 2 2 2 2 2 2 2 2 2 2 2 2 2 2 2 2 2 2 2 2 2 2 2 2 2 2 3" xfId="19878"/>
    <cellStyle name="쉼표 [0] 2 2 2 2 2 2 2 2 2 2 2 2 2 2 2 2 2 2 2 2 2 2 2 2 2 2 2 2 2 2 2 2 2 2 2 2 2 2 2 2 2 2 2 2 2 2 2 2 2 2 2 2 2 2 2 2 2 4" xfId="20128"/>
    <cellStyle name="쉼표 [0] 2 2 2 2 2 2 2 2 2 2 2 2 2 2 2 2 2 2 2 2 2 2 2 2 2 2 2 2 2 2 2 2 2 2 2 2 2 2 2 2 2 2 2 2 2 2 2 2 2 2 2 2 2 2 2 2 2 5" xfId="20151"/>
    <cellStyle name="쉼표 [0] 2 2 2 2 2 2 2 2 2 2 2 2 2 2 2 2 2 2 2 2 2 2 2 2 2 2 2 2 2 2 2 2 2 2 2 2 2 2 2 2 2 2 2 2 2 2 2 2 2 2 2 2 2 2 2 2 2 6" xfId="20165"/>
    <cellStyle name="쉼표 [0] 2 2 2 2 2 2 2 2 2 2 2 2 2 2 2 2 2 2 2 2 2 2 2 2 2 2 2 2 2 2 2 2 2 2 2 2 2 2 2 2 2 2 2 2 2 2 2 2 2 2 2 2 2 2 2 2 2 7" xfId="19600"/>
    <cellStyle name="쉼표 [0] 2 2 2 2 2 2 2 2 2 2 2 2 2 2 2 2 2 2 2 2 2 2 2 2 2 2 2 2 2 2 2 2 2 2 2 2 2 2 2 2 2 2 2 2 2 2 2 2 2 2 2 2 2 2 2 2 3" xfId="19877"/>
    <cellStyle name="쉼표 [0] 2 2 2 2 2 2 2 2 2 2 2 2 2 2 2 2 2 2 2 2 2 2 2 2 2 2 2 2 2 2 2 2 2 2 2 2 2 2 2 2 2 2 2 2 2 2 2 2 2 2 2 2 2 2 2 2 4" xfId="20127"/>
    <cellStyle name="쉼표 [0] 2 2 2 2 2 2 2 2 2 2 2 2 2 2 2 2 2 2 2 2 2 2 2 2 2 2 2 2 2 2 2 2 2 2 2 2 2 2 2 2 2 2 2 2 2 2 2 2 2 2 2 2 2 2 2 2 5" xfId="20150"/>
    <cellStyle name="쉼표 [0] 2 2 2 2 2 2 2 2 2 2 2 2 2 2 2 2 2 2 2 2 2 2 2 2 2 2 2 2 2 2 2 2 2 2 2 2 2 2 2 2 2 2 2 2 2 2 2 2 2 2 2 2 2 2 2 2 6" xfId="20164"/>
    <cellStyle name="쉼표 [0] 2 2 2 2 2 2 2 2 2 2 2 2 2 2 2 2 2 2 2 2 2 2 2 2 2 2 2 2 2 2 2 2 2 2 2 2 2 2 2 2 2 2 2 2 2 2 2 2 2 2 2 2 2 2 2 2 7" xfId="19599"/>
    <cellStyle name="쉼표 [0] 2 2 2 2 2 2 2 2 2 2 2 2 2 2 2 2 2 2 2 2 2 2 2 2 2 2 2 2 2 2 2 2 2 2 2 2 2 2 2 2 2 2 2 2 2 2 2 2 2 2 2 2 2 2 2 3" xfId="19869"/>
    <cellStyle name="쉼표 [0] 2 2 2 2 2 2 2 2 2 2 2 2 2 2 2 2 2 2 2 2 2 2 2 2 2 2 2 2 2 2 2 2 2 2 2 2 2 2 2 2 2 2 2 2 2 2 2 2 2 2 2 2 2 2 2 4" xfId="19843"/>
    <cellStyle name="쉼표 [0] 2 2 2 2 2 2 2 2 2 2 2 2 2 2 2 2 2 2 2 2 2 2 2 2 2 2 2 2 2 2 2 2 2 2 2 2 2 2 2 2 2 2 2 2 2 2 2 2 2 2 2 2 2 2 2 5" xfId="20087"/>
    <cellStyle name="쉼표 [0] 2 2 2 2 2 2 2 2 2 2 2 2 2 2 2 2 2 2 2 2 2 2 2 2 2 2 2 2 2 2 2 2 2 2 2 2 2 2 2 2 2 2 2 2 2 2 2 2 2 2 2 2 2 2 2 6" xfId="20040"/>
    <cellStyle name="쉼표 [0] 2 2 2 2 2 2 2 2 2 2 2 2 2 2 2 2 2 2 2 2 2 2 2 2 2 2 2 2 2 2 2 2 2 2 2 2 2 2 2 2 2 2 2 2 2 2 2 2 2 2 2 2 2 2 2 7" xfId="20041"/>
    <cellStyle name="쉼표 [0] 2 2 2 2 2 2 2 2 2 2 2 2 2 2 2 2 2 2 2 2 2 2 2 2 2 2 2 2 2 2 2 2 2 2 2 2 2 2 2 2 2 2 2 2 2 2 2 2 2 2 2 2 2 2 2 8" xfId="19481"/>
    <cellStyle name="쉼표 [0] 2 2 2 2 2 2 2 2 2 2 2 2 2 2 2 2 2 2 2 2 2 2 2 2 2 2 2 2 2 2 2 2 2 2 2 2 2 2 2 2 2 2 2 2 2 2 2 2 2 2 2 2 2 2 3" xfId="629"/>
    <cellStyle name="쉼표 [0] 2 2 2 2 2 2 2 2 2 2 2 2 2 2 2 2 2 2 2 2 2 2 2 2 2 2 2 2 2 2 2 2 2 2 2 2 2 2 2 2 2 2 2 2 2 2 2 2 2 2 2 2 2 2 3 2" xfId="19655"/>
    <cellStyle name="쉼표 [0] 2 2 2 2 2 2 2 2 2 2 2 2 2 2 2 2 2 2 2 2 2 2 2 2 2 2 2 2 2 2 2 2 2 2 2 2 2 2 2 2 2 2 2 2 2 2 2 2 2 2 2 2 2 2 4" xfId="19868"/>
    <cellStyle name="쉼표 [0] 2 2 2 2 2 2 2 2 2 2 2 2 2 2 2 2 2 2 2 2 2 2 2 2 2 2 2 2 2 2 2 2 2 2 2 2 2 2 2 2 2 2 2 2 2 2 2 2 2 2 2 2 2 2 5" xfId="19801"/>
    <cellStyle name="쉼표 [0] 2 2 2 2 2 2 2 2 2 2 2 2 2 2 2 2 2 2 2 2 2 2 2 2 2 2 2 2 2 2 2 2 2 2 2 2 2 2 2 2 2 2 2 2 2 2 2 2 2 2 2 2 2 2 6" xfId="20066"/>
    <cellStyle name="쉼표 [0] 2 2 2 2 2 2 2 2 2 2 2 2 2 2 2 2 2 2 2 2 2 2 2 2 2 2 2 2 2 2 2 2 2 2 2 2 2 2 2 2 2 2 2 2 2 2 2 2 2 2 2 2 2 2 7" xfId="20079"/>
    <cellStyle name="쉼표 [0] 2 2 2 2 2 2 2 2 2 2 2 2 2 2 2 2 2 2 2 2 2 2 2 2 2 2 2 2 2 2 2 2 2 2 2 2 2 2 2 2 2 2 2 2 2 2 2 2 2 2 2 2 2 2 8" xfId="20092"/>
    <cellStyle name="쉼표 [0] 2 2 2 2 2 2 2 2 2 2 2 2 2 2 2 2 2 2 2 2 2 2 2 2 2 2 2 2 2 2 2 2 2 2 2 2 2 2 2 2 2 2 2 2 2 2 2 2 2 2 2 2 2 2 9" xfId="19480"/>
    <cellStyle name="쉼표 [0] 2 2 2 2 2 2 2 2 2 2 2 2 2 2 2 2 2 2 2 2 2 2 2 2 2 2 2 2 2 2 2 2 2 2 2 2 2 2 2 2 2 2 2 2 2 2 2 2 2 2 2 2 2 3" xfId="630"/>
    <cellStyle name="쉼표 [0] 2 2 2 2 2 2 2 2 2 2 2 2 2 2 2 2 2 2 2 2 2 2 2 2 2 2 2 2 2 2 2 2 2 2 2 2 2 2 2 2 2 2 2 2 2 2 2 2 2 2 2 2 2 3 2" xfId="631"/>
    <cellStyle name="쉼표 [0] 2 2 2 2 2 2 2 2 2 2 2 2 2 2 2 2 2 2 2 2 2 2 2 2 2 2 2 2 2 2 2 2 2 2 2 2 2 2 2 2 2 2 2 2 2 2 2 2 2 2 2 2 2 3 2 2" xfId="19654"/>
    <cellStyle name="쉼표 [0] 2 2 2 2 2 2 2 2 2 2 2 2 2 2 2 2 2 2 2 2 2 2 2 2 2 2 2 2 2 2 2 2 2 2 2 2 2 2 2 2 2 2 2 2 2 2 2 2 2 2 2 2 2 3 3" xfId="19598"/>
    <cellStyle name="쉼표 [0] 2 2 2 2 2 2 2 2 2 2 2 2 2 2 2 2 2 2 2 2 2 2 2 2 2 2 2 2 2 2 2 2 2 2 2 2 2 2 2 2 2 2 2 2 2 2 2 2 2 2 2 2 2 4" xfId="19865"/>
    <cellStyle name="쉼표 [0] 2 2 2 2 2 2 2 2 2 2 2 2 2 2 2 2 2 2 2 2 2 2 2 2 2 2 2 2 2 2 2 2 2 2 2 2 2 2 2 2 2 2 2 2 2 2 2 2 2 2 2 2 2 5" xfId="19785"/>
    <cellStyle name="쉼표 [0] 2 2 2 2 2 2 2 2 2 2 2 2 2 2 2 2 2 2 2 2 2 2 2 2 2 2 2 2 2 2 2 2 2 2 2 2 2 2 2 2 2 2 2 2 2 2 2 2 2 2 2 2 2 6" xfId="20047"/>
    <cellStyle name="쉼표 [0] 2 2 2 2 2 2 2 2 2 2 2 2 2 2 2 2 2 2 2 2 2 2 2 2 2 2 2 2 2 2 2 2 2 2 2 2 2 2 2 2 2 2 2 2 2 2 2 2 2 2 2 2 2 7" xfId="19945"/>
    <cellStyle name="쉼표 [0] 2 2 2 2 2 2 2 2 2 2 2 2 2 2 2 2 2 2 2 2 2 2 2 2 2 2 2 2 2 2 2 2 2 2 2 2 2 2 2 2 2 2 2 2 2 2 2 2 2 2 2 2 2 8" xfId="20131"/>
    <cellStyle name="쉼표 [0] 2 2 2 2 2 2 2 2 2 2 2 2 2 2 2 2 2 2 2 2 2 2 2 2 2 2 2 2 2 2 2 2 2 2 2 2 2 2 2 2 2 2 2 2 2 2 2 2 2 2 2 2 2 9" xfId="19458"/>
    <cellStyle name="쉼표 [0] 2 2 2 2 2 2 2 2 2 2 2 2 2 2 2 2 2 2 2 2 2 2 2 2 2 2 2 2 2 2 2 2 2 2 2 2 2 2 2 2 2 2 2 2 2 2 2 2 2 2 2 2 3" xfId="632"/>
    <cellStyle name="쉼표 [0] 2 2 2 2 2 2 2 2 2 2 2 2 2 2 2 2 2 2 2 2 2 2 2 2 2 2 2 2 2 2 2 2 2 2 2 2 2 2 2 2 2 2 2 2 2 2 2 2 2 2 2 2 3 2" xfId="19581"/>
    <cellStyle name="쉼표 [0] 2 2 2 2 2 2 2 2 2 2 2 2 2 2 2 2 2 2 2 2 2 2 2 2 2 2 2 2 2 2 2 2 2 2 2 2 2 2 2 2 2 2 2 2 2 2 2 2 2 2 2 2 4" xfId="633"/>
    <cellStyle name="쉼표 [0] 2 2 2 2 2 2 2 2 2 2 2 2 2 2 2 2 2 2 2 2 2 2 2 2 2 2 2 2 2 2 2 2 2 2 2 2 2 2 2 2 2 2 2 2 2 2 2 2 2 2 2 2 4 2" xfId="19587"/>
    <cellStyle name="쉼표 [0] 2 2 2 2 2 2 2 2 2 2 2 2 2 2 2 2 2 2 2 2 2 2 2 2 2 2 2 2 2 2 2 2 2 2 2 2 2 2 2 2 2 2 2 2 2 2 2 2 2 2 2 2 5" xfId="634"/>
    <cellStyle name="쉼표 [0] 2 2 2 2 2 2 2 2 2 2 2 2 2 2 2 2 2 2 2 2 2 2 2 2 2 2 2 2 2 2 2 2 2 2 2 2 2 2 2 2 2 2 2 2 2 2 2 2 2 2 2 2 5 2" xfId="635"/>
    <cellStyle name="쉼표 [0] 2 2 2 2 2 2 2 2 2 2 2 2 2 2 2 2 2 2 2 2 2 2 2 2 2 2 2 2 2 2 2 2 2 2 2 2 2 2 2 2 2 2 2 2 2 2 2 2 2 2 2 2 5 2 2" xfId="19653"/>
    <cellStyle name="쉼표 [0] 2 2 2 2 2 2 2 2 2 2 2 2 2 2 2 2 2 2 2 2 2 2 2 2 2 2 2 2 2 2 2 2 2 2 2 2 2 2 2 2 2 2 2 2 2 2 2 2 2 2 2 2 5 3" xfId="19597"/>
    <cellStyle name="쉼표 [0] 2 2 2 2 2 2 2 2 2 2 2 2 2 2 2 2 2 2 2 2 2 2 2 2 2 2 2 2 2 2 2 2 2 2 2 2 2 2 2 2 2 2 2 2 2 2 2 2 2 2 2 2 6" xfId="19864"/>
    <cellStyle name="쉼표 [0] 2 2 2 2 2 2 2 2 2 2 2 2 2 2 2 2 2 2 2 2 2 2 2 2 2 2 2 2 2 2 2 2 2 2 2 2 2 2 2 2 2 2 2 2 2 2 2 2 2 2 2 2 7" xfId="19722"/>
    <cellStyle name="쉼표 [0] 2 2 2 2 2 2 2 2 2 2 2 2 2 2 2 2 2 2 2 2 2 2 2 2 2 2 2 2 2 2 2 2 2 2 2 2 2 2 2 2 2 2 2 2 2 2 2 2 2 2 2 2 8" xfId="20082"/>
    <cellStyle name="쉼표 [0] 2 2 2 2 2 2 2 2 2 2 2 2 2 2 2 2 2 2 2 2 2 2 2 2 2 2 2 2 2 2 2 2 2 2 2 2 2 2 2 2 2 2 2 2 2 2 2 2 2 2 2 2 9" xfId="20021"/>
    <cellStyle name="쉼표 [0] 2 2 2 2 2 2 2 2 2 2 2 2 2 2 2 2 2 2 2 2 2 2 2 2 2 2 2 2 2 2 2 2 2 2 2 2 2 2 2 2 2 2 2 2 2 2 2 2 2 2 2 3" xfId="636"/>
    <cellStyle name="쉼표 [0] 2 2 2 2 2 2 2 2 2 2 2 2 2 2 2 2 2 2 2 2 2 2 2 2 2 2 2 2 2 2 2 2 2 2 2 2 2 2 2 2 2 2 2 2 2 2 2 2 2 2 2 3 2" xfId="637"/>
    <cellStyle name="쉼표 [0] 2 2 2 2 2 2 2 2 2 2 2 2 2 2 2 2 2 2 2 2 2 2 2 2 2 2 2 2 2 2 2 2 2 2 2 2 2 2 2 2 2 2 2 2 2 2 2 2 2 2 2 3 2 2" xfId="19580"/>
    <cellStyle name="쉼표 [0] 2 2 2 2 2 2 2 2 2 2 2 2 2 2 2 2 2 2 2 2 2 2 2 2 2 2 2 2 2 2 2 2 2 2 2 2 2 2 2 2 2 2 2 2 2 2 2 2 2 2 2 3 3" xfId="19478"/>
    <cellStyle name="쉼표 [0] 2 2 2 2 2 2 2 2 2 2 2 2 2 2 2 2 2 2 2 2 2 2 2 2 2 2 2 2 2 2 2 2 2 2 2 2 2 2 2 2 2 2 2 2 2 2 2 2 2 2 2 4" xfId="638"/>
    <cellStyle name="쉼표 [0] 2 2 2 2 2 2 2 2 2 2 2 2 2 2 2 2 2 2 2 2 2 2 2 2 2 2 2 2 2 2 2 2 2 2 2 2 2 2 2 2 2 2 2 2 2 2 2 2 2 2 2 4 2" xfId="19586"/>
    <cellStyle name="쉼표 [0] 2 2 2 2 2 2 2 2 2 2 2 2 2 2 2 2 2 2 2 2 2 2 2 2 2 2 2 2 2 2 2 2 2 2 2 2 2 2 2 2 2 2 2 2 2 2 2 2 2 2 2 5" xfId="639"/>
    <cellStyle name="쉼표 [0] 2 2 2 2 2 2 2 2 2 2 2 2 2 2 2 2 2 2 2 2 2 2 2 2 2 2 2 2 2 2 2 2 2 2 2 2 2 2 2 2 2 2 2 2 2 2 2 2 2 2 2 5 2" xfId="640"/>
    <cellStyle name="쉼표 [0] 2 2 2 2 2 2 2 2 2 2 2 2 2 2 2 2 2 2 2 2 2 2 2 2 2 2 2 2 2 2 2 2 2 2 2 2 2 2 2 2 2 2 2 2 2 2 2 2 2 2 2 5 2 2" xfId="19652"/>
    <cellStyle name="쉼표 [0] 2 2 2 2 2 2 2 2 2 2 2 2 2 2 2 2 2 2 2 2 2 2 2 2 2 2 2 2 2 2 2 2 2 2 2 2 2 2 2 2 2 2 2 2 2 2 2 2 2 2 2 5 3" xfId="19596"/>
    <cellStyle name="쉼표 [0] 2 2 2 2 2 2 2 2 2 2 2 2 2 2 2 2 2 2 2 2 2 2 2 2 2 2 2 2 2 2 2 2 2 2 2 2 2 2 2 2 2 2 2 2 2 2 2 2 2 2 2 6" xfId="19805"/>
    <cellStyle name="쉼표 [0] 2 2 2 2 2 2 2 2 2 2 2 2 2 2 2 2 2 2 2 2 2 2 2 2 2 2 2 2 2 2 2 2 2 2 2 2 2 2 2 2 2 2 2 2 2 2 2 2 2 2 2 7" xfId="19859"/>
    <cellStyle name="쉼표 [0] 2 2 2 2 2 2 2 2 2 2 2 2 2 2 2 2 2 2 2 2 2 2 2 2 2 2 2 2 2 2 2 2 2 2 2 2 2 2 2 2 2 2 2 2 2 2 2 2 2 2 2 8" xfId="19933"/>
    <cellStyle name="쉼표 [0] 2 2 2 2 2 2 2 2 2 2 2 2 2 2 2 2 2 2 2 2 2 2 2 2 2 2 2 2 2 2 2 2 2 2 2 2 2 2 2 2 2 2 2 2 2 2 2 2 2 2 2 9" xfId="20039"/>
    <cellStyle name="쉼표 [0] 2 2 2 2 2 2 2 2 2 2 2 2 2 2 2 2 2 2 2 2 2 2 2 2 2 2 2 2 2 2 2 2 2 2 2 2 2 2 2 2 2 2 2 2 2 2 2 2 2 2 3" xfId="641"/>
    <cellStyle name="쉼표 [0] 2 2 2 2 2 2 2 2 2 2 2 2 2 2 2 2 2 2 2 2 2 2 2 2 2 2 2 2 2 2 2 2 2 2 2 2 2 2 2 2 2 2 2 2 2 2 2 2 2 2 3 2" xfId="642"/>
    <cellStyle name="쉼표 [0] 2 2 2 2 2 2 2 2 2 2 2 2 2 2 2 2 2 2 2 2 2 2 2 2 2 2 2 2 2 2 2 2 2 2 2 2 2 2 2 2 2 2 2 2 2 2 2 2 2 2 3 2 2" xfId="19579"/>
    <cellStyle name="쉼표 [0] 2 2 2 2 2 2 2 2 2 2 2 2 2 2 2 2 2 2 2 2 2 2 2 2 2 2 2 2 2 2 2 2 2 2 2 2 2 2 2 2 2 2 2 2 2 2 2 2 2 2 3 3" xfId="19477"/>
    <cellStyle name="쉼표 [0] 2 2 2 2 2 2 2 2 2 2 2 2 2 2 2 2 2 2 2 2 2 2 2 2 2 2 2 2 2 2 2 2 2 2 2 2 2 2 2 2 2 2 2 2 2 2 2 2 2 2 4" xfId="643"/>
    <cellStyle name="쉼표 [0] 2 2 2 2 2 2 2 2 2 2 2 2 2 2 2 2 2 2 2 2 2 2 2 2 2 2 2 2 2 2 2 2 2 2 2 2 2 2 2 2 2 2 2 2 2 2 2 2 2 2 4 2" xfId="19585"/>
    <cellStyle name="쉼표 [0] 2 2 2 2 2 2 2 2 2 2 2 2 2 2 2 2 2 2 2 2 2 2 2 2 2 2 2 2 2 2 2 2 2 2 2 2 2 2 2 2 2 2 2 2 2 2 2 2 2 2 5" xfId="644"/>
    <cellStyle name="쉼표 [0] 2 2 2 2 2 2 2 2 2 2 2 2 2 2 2 2 2 2 2 2 2 2 2 2 2 2 2 2 2 2 2 2 2 2 2 2 2 2 2 2 2 2 2 2 2 2 2 2 2 2 5 2" xfId="645"/>
    <cellStyle name="쉼표 [0] 2 2 2 2 2 2 2 2 2 2 2 2 2 2 2 2 2 2 2 2 2 2 2 2 2 2 2 2 2 2 2 2 2 2 2 2 2 2 2 2 2 2 2 2 2 2 2 2 2 2 5 2 2" xfId="19651"/>
    <cellStyle name="쉼표 [0] 2 2 2 2 2 2 2 2 2 2 2 2 2 2 2 2 2 2 2 2 2 2 2 2 2 2 2 2 2 2 2 2 2 2 2 2 2 2 2 2 2 2 2 2 2 2 2 2 2 2 5 3" xfId="19595"/>
    <cellStyle name="쉼표 [0] 2 2 2 2 2 2 2 2 2 2 2 2 2 2 2 2 2 2 2 2 2 2 2 2 2 2 2 2 2 2 2 2 2 2 2 2 2 2 2 2 2 2 2 2 2 2 2 2 2 2 6" xfId="19750"/>
    <cellStyle name="쉼표 [0] 2 2 2 2 2 2 2 2 2 2 2 2 2 2 2 2 2 2 2 2 2 2 2 2 2 2 2 2 2 2 2 2 2 2 2 2 2 2 2 2 2 2 2 2 2 2 2 2 2 2 7" xfId="19845"/>
    <cellStyle name="쉼표 [0] 2 2 2 2 2 2 2 2 2 2 2 2 2 2 2 2 2 2 2 2 2 2 2 2 2 2 2 2 2 2 2 2 2 2 2 2 2 2 2 2 2 2 2 2 2 2 2 2 2 2 8" xfId="20020"/>
    <cellStyle name="쉼표 [0] 2 2 2 2 2 2 2 2 2 2 2 2 2 2 2 2 2 2 2 2 2 2 2 2 2 2 2 2 2 2 2 2 2 2 2 2 2 2 2 2 2 2 2 2 2 2 2 2 2 2 9" xfId="20017"/>
    <cellStyle name="쉼표 [0] 2 2 2 2 2 2 2 2 2 2 2 2 2 2 2 2 2 2 2 2 2 2 2 2 2 2 2 2 2 2 2 2 2 2 2 2 2 2 2 2 2 2 2 2 2 2 2 2 2 3" xfId="646"/>
    <cellStyle name="쉼표 [0] 2 2 2 2 2 2 2 2 2 2 2 2 2 2 2 2 2 2 2 2 2 2 2 2 2 2 2 2 2 2 2 2 2 2 2 2 2 2 2 2 2 2 2 2 2 2 2 2 2 3 2" xfId="19454"/>
    <cellStyle name="쉼표 [0] 2 2 2 2 2 2 2 2 2 2 2 2 2 2 2 2 2 2 2 2 2 2 2 2 2 2 2 2 2 2 2 2 2 2 2 2 2 2 2 2 2 2 2 2 2 2 2 2 2 4" xfId="647"/>
    <cellStyle name="쉼표 [0] 2 2 2 2 2 2 2 2 2 2 2 2 2 2 2 2 2 2 2 2 2 2 2 2 2 2 2 2 2 2 2 2 2 2 2 2 2 2 2 2 2 2 2 2 2 2 2 2 2 4 2" xfId="648"/>
    <cellStyle name="쉼표 [0] 2 2 2 2 2 2 2 2 2 2 2 2 2 2 2 2 2 2 2 2 2 2 2 2 2 2 2 2 2 2 2 2 2 2 2 2 2 2 2 2 2 2 2 2 2 2 2 2 2 4 2 2" xfId="19578"/>
    <cellStyle name="쉼표 [0] 2 2 2 2 2 2 2 2 2 2 2 2 2 2 2 2 2 2 2 2 2 2 2 2 2 2 2 2 2 2 2 2 2 2 2 2 2 2 2 2 2 2 2 2 2 2 2 2 2 4 3" xfId="19476"/>
    <cellStyle name="쉼표 [0] 2 2 2 2 2 2 2 2 2 2 2 2 2 2 2 2 2 2 2 2 2 2 2 2 2 2 2 2 2 2 2 2 2 2 2 2 2 2 2 2 2 2 2 2 2 2 2 2 2 5" xfId="649"/>
    <cellStyle name="쉼표 [0] 2 2 2 2 2 2 2 2 2 2 2 2 2 2 2 2 2 2 2 2 2 2 2 2 2 2 2 2 2 2 2 2 2 2 2 2 2 2 2 2 2 2 2 2 2 2 2 2 2 5 2" xfId="19584"/>
    <cellStyle name="쉼표 [0] 2 2 2 2 2 2 2 2 2 2 2 2 2 2 2 2 2 2 2 2 2 2 2 2 2 2 2 2 2 2 2 2 2 2 2 2 2 2 2 2 2 2 2 2 2 2 2 2 2 6" xfId="650"/>
    <cellStyle name="쉼표 [0] 2 2 2 2 2 2 2 2 2 2 2 2 2 2 2 2 2 2 2 2 2 2 2 2 2 2 2 2 2 2 2 2 2 2 2 2 2 2 2 2 2 2 2 2 2 2 2 2 2 6 2" xfId="651"/>
    <cellStyle name="쉼표 [0] 2 2 2 2 2 2 2 2 2 2 2 2 2 2 2 2 2 2 2 2 2 2 2 2 2 2 2 2 2 2 2 2 2 2 2 2 2 2 2 2 2 2 2 2 2 2 2 2 2 6 2 2" xfId="19650"/>
    <cellStyle name="쉼표 [0] 2 2 2 2 2 2 2 2 2 2 2 2 2 2 2 2 2 2 2 2 2 2 2 2 2 2 2 2 2 2 2 2 2 2 2 2 2 2 2 2 2 2 2 2 2 2 2 2 2 6 3" xfId="19594"/>
    <cellStyle name="쉼표 [0] 2 2 2 2 2 2 2 2 2 2 2 2 2 2 2 2 2 2 2 2 2 2 2 2 2 2 2 2 2 2 2 2 2 2 2 2 2 2 2 2 2 2 2 2 2 2 2 2 2 7" xfId="19798"/>
    <cellStyle name="쉼표 [0] 2 2 2 2 2 2 2 2 2 2 2 2 2 2 2 2 2 2 2 2 2 2 2 2 2 2 2 2 2 2 2 2 2 2 2 2 2 2 2 2 2 2 2 2 2 2 2 2 2 8" xfId="19811"/>
    <cellStyle name="쉼표 [0] 2 2 2 2 2 2 2 2 2 2 2 2 2 2 2 2 2 2 2 2 2 2 2 2 2 2 2 2 2 2 2 2 2 2 2 2 2 2 2 2 2 2 2 2 2 2 2 2 2 9" xfId="19952"/>
    <cellStyle name="쉼표 [0] 2 2 2 2 2 2 2 2 2 2 2 2 2 2 2 2 2 2 2 2 2 2 2 2 2 2 2 2 2 2 2 2 2 2 2 2 2 2 2 2 2 2 2 2 2 2 2 2 3" xfId="652"/>
    <cellStyle name="쉼표 [0] 2 2 2 2 2 2 2 2 2 2 2 2 2 2 2 2 2 2 2 2 2 2 2 2 2 2 2 2 2 2 2 2 2 2 2 2 2 2 2 2 2 2 2 2 2 2 2 2 3 2" xfId="19453"/>
    <cellStyle name="쉼표 [0] 2 2 2 2 2 2 2 2 2 2 2 2 2 2 2 2 2 2 2 2 2 2 2 2 2 2 2 2 2 2 2 2 2 2 2 2 2 2 2 2 2 2 2 2 2 2 2 2 4" xfId="653"/>
    <cellStyle name="쉼표 [0] 2 2 2 2 2 2 2 2 2 2 2 2 2 2 2 2 2 2 2 2 2 2 2 2 2 2 2 2 2 2 2 2 2 2 2 2 2 2 2 2 2 2 2 2 2 2 2 2 4 2" xfId="654"/>
    <cellStyle name="쉼표 [0] 2 2 2 2 2 2 2 2 2 2 2 2 2 2 2 2 2 2 2 2 2 2 2 2 2 2 2 2 2 2 2 2 2 2 2 2 2 2 2 2 2 2 2 2 2 2 2 2 4 2 2" xfId="19577"/>
    <cellStyle name="쉼표 [0] 2 2 2 2 2 2 2 2 2 2 2 2 2 2 2 2 2 2 2 2 2 2 2 2 2 2 2 2 2 2 2 2 2 2 2 2 2 2 2 2 2 2 2 2 2 2 2 2 4 3" xfId="19475"/>
    <cellStyle name="쉼표 [0] 2 2 2 2 2 2 2 2 2 2 2 2 2 2 2 2 2 2 2 2 2 2 2 2 2 2 2 2 2 2 2 2 2 2 2 2 2 2 2 2 2 2 2 2 2 2 2 2 5" xfId="655"/>
    <cellStyle name="쉼표 [0] 2 2 2 2 2 2 2 2 2 2 2 2 2 2 2 2 2 2 2 2 2 2 2 2 2 2 2 2 2 2 2 2 2 2 2 2 2 2 2 2 2 2 2 2 2 2 2 2 5 2" xfId="19583"/>
    <cellStyle name="쉼표 [0] 2 2 2 2 2 2 2 2 2 2 2 2 2 2 2 2 2 2 2 2 2 2 2 2 2 2 2 2 2 2 2 2 2 2 2 2 2 2 2 2 2 2 2 2 2 2 2 2 6" xfId="656"/>
    <cellStyle name="쉼표 [0] 2 2 2 2 2 2 2 2 2 2 2 2 2 2 2 2 2 2 2 2 2 2 2 2 2 2 2 2 2 2 2 2 2 2 2 2 2 2 2 2 2 2 2 2 2 2 2 2 6 2" xfId="657"/>
    <cellStyle name="쉼표 [0] 2 2 2 2 2 2 2 2 2 2 2 2 2 2 2 2 2 2 2 2 2 2 2 2 2 2 2 2 2 2 2 2 2 2 2 2 2 2 2 2 2 2 2 2 2 2 2 2 6 2 2" xfId="19649"/>
    <cellStyle name="쉼표 [0] 2 2 2 2 2 2 2 2 2 2 2 2 2 2 2 2 2 2 2 2 2 2 2 2 2 2 2 2 2 2 2 2 2 2 2 2 2 2 2 2 2 2 2 2 2 2 2 2 6 3" xfId="19593"/>
    <cellStyle name="쉼표 [0] 2 2 2 2 2 2 2 2 2 2 2 2 2 2 2 2 2 2 2 2 2 2 2 2 2 2 2 2 2 2 2 2 2 2 2 2 2 2 2 2 2 2 2 2 2 2 2 2 7" xfId="19795"/>
    <cellStyle name="쉼표 [0] 2 2 2 2 2 2 2 2 2 2 2 2 2 2 2 2 2 2 2 2 2 2 2 2 2 2 2 2 2 2 2 2 2 2 2 2 2 2 2 2 2 2 2 2 2 2 2 2 8" xfId="19793"/>
    <cellStyle name="쉼표 [0] 2 2 2 2 2 2 2 2 2 2 2 2 2 2 2 2 2 2 2 2 2 2 2 2 2 2 2 2 2 2 2 2 2 2 2 2 2 2 2 2 2 2 2 2 2 2 2 2 9" xfId="19909"/>
    <cellStyle name="쉼표 [0] 2 2 2 2 2 2 2 2 2 2 2 2 2 2 2 2 2 2 2 2 2 2 2 2 2 2 2 2 2 2 2 2 2 2 2 2 2 2 2 2 2 2 2 2 2 2 2 3" xfId="658"/>
    <cellStyle name="쉼표 [0] 2 2 2 2 2 2 2 2 2 2 2 2 2 2 2 2 2 2 2 2 2 2 2 2 2 2 2 2 2 2 2 2 2 2 2 2 2 2 2 2 2 2 2 2 2 2 2 3 2" xfId="19424"/>
    <cellStyle name="쉼표 [0] 2 2 2 2 2 2 2 2 2 2 2 2 2 2 2 2 2 2 2 2 2 2 2 2 2 2 2 2 2 2 2 2 2 2 2 2 2 2 2 2 2 2 2 2 2 2 2 4" xfId="659"/>
    <cellStyle name="쉼표 [0] 2 2 2 2 2 2 2 2 2 2 2 2 2 2 2 2 2 2 2 2 2 2 2 2 2 2 2 2 2 2 2 2 2 2 2 2 2 2 2 2 2 2 2 2 2 2 2 4 2" xfId="19450"/>
    <cellStyle name="쉼표 [0] 2 2 2 2 2 2 2 2 2 2 2 2 2 2 2 2 2 2 2 2 2 2 2 2 2 2 2 2 2 2 2 2 2 2 2 2 2 2 2 2 2 2 2 2 2 2 2 5" xfId="660"/>
    <cellStyle name="쉼표 [0] 2 2 2 2 2 2 2 2 2 2 2 2 2 2 2 2 2 2 2 2 2 2 2 2 2 2 2 2 2 2 2 2 2 2 2 2 2 2 2 2 2 2 2 2 2 2 2 5 2" xfId="661"/>
    <cellStyle name="쉼표 [0] 2 2 2 2 2 2 2 2 2 2 2 2 2 2 2 2 2 2 2 2 2 2 2 2 2 2 2 2 2 2 2 2 2 2 2 2 2 2 2 2 2 2 2 2 2 2 2 5 2 2" xfId="19576"/>
    <cellStyle name="쉼표 [0] 2 2 2 2 2 2 2 2 2 2 2 2 2 2 2 2 2 2 2 2 2 2 2 2 2 2 2 2 2 2 2 2 2 2 2 2 2 2 2 2 2 2 2 2 2 2 2 5 3" xfId="19472"/>
    <cellStyle name="쉼표 [0] 2 2 2 2 2 2 2 2 2 2 2 2 2 2 2 2 2 2 2 2 2 2 2 2 2 2 2 2 2 2 2 2 2 2 2 2 2 2 2 2 2 2 2 2 2 2 2 6" xfId="662"/>
    <cellStyle name="쉼표 [0] 2 2 2 2 2 2 2 2 2 2 2 2 2 2 2 2 2 2 2 2 2 2 2 2 2 2 2 2 2 2 2 2 2 2 2 2 2 2 2 2 2 2 2 2 2 2 2 6 2" xfId="19582"/>
    <cellStyle name="쉼표 [0] 2 2 2 2 2 2 2 2 2 2 2 2 2 2 2 2 2 2 2 2 2 2 2 2 2 2 2 2 2 2 2 2 2 2 2 2 2 2 2 2 2 2 2 2 2 2 2 7" xfId="663"/>
    <cellStyle name="쉼표 [0] 2 2 2 2 2 2 2 2 2 2 2 2 2 2 2 2 2 2 2 2 2 2 2 2 2 2 2 2 2 2 2 2 2 2 2 2 2 2 2 2 2 2 2 2 2 2 2 7 2" xfId="664"/>
    <cellStyle name="쉼표 [0] 2 2 2 2 2 2 2 2 2 2 2 2 2 2 2 2 2 2 2 2 2 2 2 2 2 2 2 2 2 2 2 2 2 2 2 2 2 2 2 2 2 2 2 2 2 2 2 7 2 2" xfId="19648"/>
    <cellStyle name="쉼표 [0] 2 2 2 2 2 2 2 2 2 2 2 2 2 2 2 2 2 2 2 2 2 2 2 2 2 2 2 2 2 2 2 2 2 2 2 2 2 2 2 2 2 2 2 2 2 2 2 7 3" xfId="19591"/>
    <cellStyle name="쉼표 [0] 2 2 2 2 2 2 2 2 2 2 2 2 2 2 2 2 2 2 2 2 2 2 2 2 2 2 2 2 2 2 2 2 2 2 2 2 2 2 2 2 2 2 2 2 2 2 2 8" xfId="19758"/>
    <cellStyle name="쉼표 [0] 2 2 2 2 2 2 2 2 2 2 2 2 2 2 2 2 2 2 2 2 2 2 2 2 2 2 2 2 2 2 2 2 2 2 2 2 2 2 2 2 2 2 2 2 2 2 2 9" xfId="19842"/>
    <cellStyle name="쉼표 [0] 2 2 2 2 2 2 2 2 2 2 2 2 2 2 2 2 2 2 2 2 2 2 2 2 2 2 2 2 2 2 2 2 2 2 2 2 2 2 2 2 2 2 2 2 2 2 3" xfId="665"/>
    <cellStyle name="쉼표 [0] 2 2 2 2 2 2 2 2 2 2 2 2 2 2 2 2 2 2 2 2 2 2 2 2 2 2 2 2 2 2 2 2 2 2 2 2 2 2 2 2 2 2 2 2 2 2 3 2" xfId="19423"/>
    <cellStyle name="쉼표 [0] 2 2 2 2 2 2 2 2 2 2 2 2 2 2 2 2 2 2 2 2 2 2 2 2 2 2 2 2 2 2 2 2 2 2 2 2 2 2 2 2 2 2 2 2 2 2 4" xfId="666"/>
    <cellStyle name="쉼표 [0] 2 2 2 2 2 2 2 2 2 2 2 2 2 2 2 2 2 2 2 2 2 2 2 2 2 2 2 2 2 2 2 2 2 2 2 2 2 2 2 2 2 2 2 2 2 2 4 2" xfId="19449"/>
    <cellStyle name="쉼표 [0] 2 2 2 2 2 2 2 2 2 2 2 2 2 2 2 2 2 2 2 2 2 2 2 2 2 2 2 2 2 2 2 2 2 2 2 2 2 2 2 2 2 2 2 2 2 2 5" xfId="667"/>
    <cellStyle name="쉼표 [0] 2 2 2 2 2 2 2 2 2 2 2 2 2 2 2 2 2 2 2 2 2 2 2 2 2 2 2 2 2 2 2 2 2 2 2 2 2 2 2 2 2 2 2 2 2 2 5 2" xfId="668"/>
    <cellStyle name="쉼표 [0] 2 2 2 2 2 2 2 2 2 2 2 2 2 2 2 2 2 2 2 2 2 2 2 2 2 2 2 2 2 2 2 2 2 2 2 2 2 2 2 2 2 2 2 2 2 2 5 2 2" xfId="19574"/>
    <cellStyle name="쉼표 [0] 2 2 2 2 2 2 2 2 2 2 2 2 2 2 2 2 2 2 2 2 2 2 2 2 2 2 2 2 2 2 2 2 2 2 2 2 2 2 2 2 2 2 2 2 2 2 5 3" xfId="19471"/>
    <cellStyle name="쉼표 [0] 2 2 2 2 2 2 2 2 2 2 2 2 2 2 2 2 2 2 2 2 2 2 2 2 2 2 2 2 2 2 2 2 2 2 2 2 2 2 2 2 2 2 2 2 2 2 6" xfId="669"/>
    <cellStyle name="쉼표 [0] 2 2 2 2 2 2 2 2 2 2 2 2 2 2 2 2 2 2 2 2 2 2 2 2 2 2 2 2 2 2 2 2 2 2 2 2 2 2 2 2 2 2 2 2 2 2 6 2" xfId="19544"/>
    <cellStyle name="쉼표 [0] 2 2 2 2 2 2 2 2 2 2 2 2 2 2 2 2 2 2 2 2 2 2 2 2 2 2 2 2 2 2 2 2 2 2 2 2 2 2 2 2 2 2 2 2 2 2 7" xfId="670"/>
    <cellStyle name="쉼표 [0] 2 2 2 2 2 2 2 2 2 2 2 2 2 2 2 2 2 2 2 2 2 2 2 2 2 2 2 2 2 2 2 2 2 2 2 2 2 2 2 2 2 2 2 2 2 2 7 2" xfId="671"/>
    <cellStyle name="쉼표 [0] 2 2 2 2 2 2 2 2 2 2 2 2 2 2 2 2 2 2 2 2 2 2 2 2 2 2 2 2 2 2 2 2 2 2 2 2 2 2 2 2 2 2 2 2 2 2 7 2 2" xfId="19647"/>
    <cellStyle name="쉼표 [0] 2 2 2 2 2 2 2 2 2 2 2 2 2 2 2 2 2 2 2 2 2 2 2 2 2 2 2 2 2 2 2 2 2 2 2 2 2 2 2 2 2 2 2 2 2 2 7 3" xfId="19590"/>
    <cellStyle name="쉼표 [0] 2 2 2 2 2 2 2 2 2 2 2 2 2 2 2 2 2 2 2 2 2 2 2 2 2 2 2 2 2 2 2 2 2 2 2 2 2 2 2 2 2 2 2 2 2 2 8" xfId="19776"/>
    <cellStyle name="쉼표 [0] 2 2 2 2 2 2 2 2 2 2 2 2 2 2 2 2 2 2 2 2 2 2 2 2 2 2 2 2 2 2 2 2 2 2 2 2 2 2 2 2 2 2 2 2 2 2 9" xfId="19780"/>
    <cellStyle name="쉼표 [0] 2 2 2 2 2 2 2 2 2 2 2 2 2 2 2 2 2 2 2 2 2 2 2 2 2 2 2 2 2 2 2 2 2 2 2 2 2 2 2 2 2 2 2 2 2 3" xfId="672"/>
    <cellStyle name="쉼표 [0] 2 2 2 2 2 2 2 2 2 2 2 2 2 2 2 2 2 2 2 2 2 2 2 2 2 2 2 2 2 2 2 2 2 2 2 2 2 2 2 2 2 2 2 2 2 3 2" xfId="19385"/>
    <cellStyle name="쉼표 [0] 2 2 2 2 2 2 2 2 2 2 2 2 2 2 2 2 2 2 2 2 2 2 2 2 2 2 2 2 2 2 2 2 2 2 2 2 2 2 2 2 2 2 2 2 2 4" xfId="673"/>
    <cellStyle name="쉼표 [0] 2 2 2 2 2 2 2 2 2 2 2 2 2 2 2 2 2 2 2 2 2 2 2 2 2 2 2 2 2 2 2 2 2 2 2 2 2 2 2 2 2 2 2 2 2 4 2" xfId="19418"/>
    <cellStyle name="쉼표 [0] 2 2 2 2 2 2 2 2 2 2 2 2 2 2 2 2 2 2 2 2 2 2 2 2 2 2 2 2 2 2 2 2 2 2 2 2 2 2 2 2 2 2 2 2 2 5" xfId="674"/>
    <cellStyle name="쉼표 [0] 2 2 2 2 2 2 2 2 2 2 2 2 2 2 2 2 2 2 2 2 2 2 2 2 2 2 2 2 2 2 2 2 2 2 2 2 2 2 2 2 2 2 2 2 2 5 2" xfId="19447"/>
    <cellStyle name="쉼표 [0] 2 2 2 2 2 2 2 2 2 2 2 2 2 2 2 2 2 2 2 2 2 2 2 2 2 2 2 2 2 2 2 2 2 2 2 2 2 2 2 2 2 2 2 2 2 6" xfId="675"/>
    <cellStyle name="쉼표 [0] 2 2 2 2 2 2 2 2 2 2 2 2 2 2 2 2 2 2 2 2 2 2 2 2 2 2 2 2 2 2 2 2 2 2 2 2 2 2 2 2 2 2 2 2 2 6 2" xfId="676"/>
    <cellStyle name="쉼표 [0] 2 2 2 2 2 2 2 2 2 2 2 2 2 2 2 2 2 2 2 2 2 2 2 2 2 2 2 2 2 2 2 2 2 2 2 2 2 2 2 2 2 2 2 2 2 6 2 2" xfId="19573"/>
    <cellStyle name="쉼표 [0] 2 2 2 2 2 2 2 2 2 2 2 2 2 2 2 2 2 2 2 2 2 2 2 2 2 2 2 2 2 2 2 2 2 2 2 2 2 2 2 2 2 2 2 2 2 6 3" xfId="19468"/>
    <cellStyle name="쉼표 [0] 2 2 2 2 2 2 2 2 2 2 2 2 2 2 2 2 2 2 2 2 2 2 2 2 2 2 2 2 2 2 2 2 2 2 2 2 2 2 2 2 2 2 2 2 2 7" xfId="677"/>
    <cellStyle name="쉼표 [0] 2 2 2 2 2 2 2 2 2 2 2 2 2 2 2 2 2 2 2 2 2 2 2 2 2 2 2 2 2 2 2 2 2 2 2 2 2 2 2 2 2 2 2 2 2 7 2" xfId="19509"/>
    <cellStyle name="쉼표 [0] 2 2 2 2 2 2 2 2 2 2 2 2 2 2 2 2 2 2 2 2 2 2 2 2 2 2 2 2 2 2 2 2 2 2 2 2 2 2 2 2 2 2 2 2 2 8" xfId="678"/>
    <cellStyle name="쉼표 [0] 2 2 2 2 2 2 2 2 2 2 2 2 2 2 2 2 2 2 2 2 2 2 2 2 2 2 2 2 2 2 2 2 2 2 2 2 2 2 2 2 2 2 2 2 2 8 2" xfId="679"/>
    <cellStyle name="쉼표 [0] 2 2 2 2 2 2 2 2 2 2 2 2 2 2 2 2 2 2 2 2 2 2 2 2 2 2 2 2 2 2 2 2 2 2 2 2 2 2 2 2 2 2 2 2 2 8 2 2" xfId="19646"/>
    <cellStyle name="쉼표 [0] 2 2 2 2 2 2 2 2 2 2 2 2 2 2 2 2 2 2 2 2 2 2 2 2 2 2 2 2 2 2 2 2 2 2 2 2 2 2 2 2 2 2 2 2 2 8 3" xfId="19589"/>
    <cellStyle name="쉼표 [0] 2 2 2 2 2 2 2 2 2 2 2 2 2 2 2 2 2 2 2 2 2 2 2 2 2 2 2 2 2 2 2 2 2 2 2 2 2 2 2 2 2 2 2 2 2 9" xfId="19778"/>
    <cellStyle name="쉼표 [0] 2 2 2 2 2 2 2 2 2 2 2 2 2 2 2 2 2 2 2 2 2 2 2 2 2 2 2 2 2 2 2 2 2 2 2 2 2 2 2 2 2 2 2 2 3" xfId="680"/>
    <cellStyle name="쉼표 [0] 2 2 2 2 2 2 2 2 2 2 2 2 2 2 2 2 2 2 2 2 2 2 2 2 2 2 2 2 2 2 2 2 2 2 2 2 2 2 2 2 2 2 2 2 3 2" xfId="19384"/>
    <cellStyle name="쉼표 [0] 2 2 2 2 2 2 2 2 2 2 2 2 2 2 2 2 2 2 2 2 2 2 2 2 2 2 2 2 2 2 2 2 2 2 2 2 2 2 2 2 2 2 2 2 4" xfId="681"/>
    <cellStyle name="쉼표 [0] 2 2 2 2 2 2 2 2 2 2 2 2 2 2 2 2 2 2 2 2 2 2 2 2 2 2 2 2 2 2 2 2 2 2 2 2 2 2 2 2 2 2 2 2 4 2" xfId="19417"/>
    <cellStyle name="쉼표 [0] 2 2 2 2 2 2 2 2 2 2 2 2 2 2 2 2 2 2 2 2 2 2 2 2 2 2 2 2 2 2 2 2 2 2 2 2 2 2 2 2 2 2 2 2 5" xfId="682"/>
    <cellStyle name="쉼표 [0] 2 2 2 2 2 2 2 2 2 2 2 2 2 2 2 2 2 2 2 2 2 2 2 2 2 2 2 2 2 2 2 2 2 2 2 2 2 2 2 2 2 2 2 2 5 2" xfId="19446"/>
    <cellStyle name="쉼표 [0] 2 2 2 2 2 2 2 2 2 2 2 2 2 2 2 2 2 2 2 2 2 2 2 2 2 2 2 2 2 2 2 2 2 2 2 2 2 2 2 2 2 2 2 2 6" xfId="683"/>
    <cellStyle name="쉼표 [0] 2 2 2 2 2 2 2 2 2 2 2 2 2 2 2 2 2 2 2 2 2 2 2 2 2 2 2 2 2 2 2 2 2 2 2 2 2 2 2 2 2 2 2 2 6 2" xfId="684"/>
    <cellStyle name="쉼표 [0] 2 2 2 2 2 2 2 2 2 2 2 2 2 2 2 2 2 2 2 2 2 2 2 2 2 2 2 2 2 2 2 2 2 2 2 2 2 2 2 2 2 2 2 2 6 2 2" xfId="19570"/>
    <cellStyle name="쉼표 [0] 2 2 2 2 2 2 2 2 2 2 2 2 2 2 2 2 2 2 2 2 2 2 2 2 2 2 2 2 2 2 2 2 2 2 2 2 2 2 2 2 2 2 2 2 6 3" xfId="19467"/>
    <cellStyle name="쉼표 [0] 2 2 2 2 2 2 2 2 2 2 2 2 2 2 2 2 2 2 2 2 2 2 2 2 2 2 2 2 2 2 2 2 2 2 2 2 2 2 2 2 2 2 2 2 7" xfId="685"/>
    <cellStyle name="쉼표 [0] 2 2 2 2 2 2 2 2 2 2 2 2 2 2 2 2 2 2 2 2 2 2 2 2 2 2 2 2 2 2 2 2 2 2 2 2 2 2 2 2 2 2 2 2 7 2" xfId="19538"/>
    <cellStyle name="쉼표 [0] 2 2 2 2 2 2 2 2 2 2 2 2 2 2 2 2 2 2 2 2 2 2 2 2 2 2 2 2 2 2 2 2 2 2 2 2 2 2 2 2 2 2 2 2 8" xfId="686"/>
    <cellStyle name="쉼표 [0] 2 2 2 2 2 2 2 2 2 2 2 2 2 2 2 2 2 2 2 2 2 2 2 2 2 2 2 2 2 2 2 2 2 2 2 2 2 2 2 2 2 2 2 2 8 2" xfId="687"/>
    <cellStyle name="쉼표 [0] 2 2 2 2 2 2 2 2 2 2 2 2 2 2 2 2 2 2 2 2 2 2 2 2 2 2 2 2 2 2 2 2 2 2 2 2 2 2 2 2 2 2 2 2 8 2 2" xfId="19645"/>
    <cellStyle name="쉼표 [0] 2 2 2 2 2 2 2 2 2 2 2 2 2 2 2 2 2 2 2 2 2 2 2 2 2 2 2 2 2 2 2 2 2 2 2 2 2 2 2 2 2 2 2 2 8 3" xfId="19588"/>
    <cellStyle name="쉼표 [0] 2 2 2 2 2 2 2 2 2 2 2 2 2 2 2 2 2 2 2 2 2 2 2 2 2 2 2 2 2 2 2 2 2 2 2 2 2 2 2 2 2 2 2 2 9" xfId="19786"/>
    <cellStyle name="쉼표 [0] 2 2 2 2 2 2 2 2 2 2 2 2 2 2 2 2 2 2 2 2 2 2 2 2 2 2 2 2 2 2 2 2 2 2 2 2 2 2 2 2 2 2 2 3" xfId="688"/>
    <cellStyle name="쉼표 [0] 2 2 2 2 2 2 2 2 2 2 2 2 2 2 2 2 2 2 2 2 2 2 2 2 2 2 2 2 2 2 2 2 2 2 2 2 2 2 2 2 2 2 2 3 2" xfId="19340"/>
    <cellStyle name="쉼표 [0] 2 2 2 2 2 2 2 2 2 2 2 2 2 2 2 2 2 2 2 2 2 2 2 2 2 2 2 2 2 2 2 2 2 2 2 2 2 2 2 2 2 2 2 4" xfId="689"/>
    <cellStyle name="쉼표 [0] 2 2 2 2 2 2 2 2 2 2 2 2 2 2 2 2 2 2 2 2 2 2 2 2 2 2 2 2 2 2 2 2 2 2 2 2 2 2 2 2 2 2 2 4 2" xfId="19382"/>
    <cellStyle name="쉼표 [0] 2 2 2 2 2 2 2 2 2 2 2 2 2 2 2 2 2 2 2 2 2 2 2 2 2 2 2 2 2 2 2 2 2 2 2 2 2 2 2 2 2 2 2 5" xfId="690"/>
    <cellStyle name="쉼표 [0] 2 2 2 2 2 2 2 2 2 2 2 2 2 2 2 2 2 2 2 2 2 2 2 2 2 2 2 2 2 2 2 2 2 2 2 2 2 2 2 2 2 2 2 5 2" xfId="19407"/>
    <cellStyle name="쉼표 [0] 2 2 2 2 2 2 2 2 2 2 2 2 2 2 2 2 2 2 2 2 2 2 2 2 2 2 2 2 2 2 2 2 2 2 2 2 2 2 2 2 2 2 2 6" xfId="691"/>
    <cellStyle name="쉼표 [0] 2 2 2 2 2 2 2 2 2 2 2 2 2 2 2 2 2 2 2 2 2 2 2 2 2 2 2 2 2 2 2 2 2 2 2 2 2 2 2 2 2 2 2 6 2" xfId="19442"/>
    <cellStyle name="쉼표 [0] 2 2 2 2 2 2 2 2 2 2 2 2 2 2 2 2 2 2 2 2 2 2 2 2 2 2 2 2 2 2 2 2 2 2 2 2 2 2 2 2 2 2 2 7" xfId="692"/>
    <cellStyle name="쉼표 [0] 2 2 2 2 2 2 2 2 2 2 2 2 2 2 2 2 2 2 2 2 2 2 2 2 2 2 2 2 2 2 2 2 2 2 2 2 2 2 2 2 2 2 2 7 2" xfId="693"/>
    <cellStyle name="쉼표 [0] 2 2 2 2 2 2 2 2 2 2 2 2 2 2 2 2 2 2 2 2 2 2 2 2 2 2 2 2 2 2 2 2 2 2 2 2 2 2 2 2 2 2 2 7 2 2" xfId="19569"/>
    <cellStyle name="쉼표 [0] 2 2 2 2 2 2 2 2 2 2 2 2 2 2 2 2 2 2 2 2 2 2 2 2 2 2 2 2 2 2 2 2 2 2 2 2 2 2 2 2 2 2 2 7 3" xfId="19463"/>
    <cellStyle name="쉼표 [0] 2 2 2 2 2 2 2 2 2 2 2 2 2 2 2 2 2 2 2 2 2 2 2 2 2 2 2 2 2 2 2 2 2 2 2 2 2 2 2 2 2 2 2 8" xfId="694"/>
    <cellStyle name="쉼표 [0] 2 2 2 2 2 2 2 2 2 2 2 2 2 2 2 2 2 2 2 2 2 2 2 2 2 2 2 2 2 2 2 2 2 2 2 2 2 2 2 2 2 2 2 8 2" xfId="19513"/>
    <cellStyle name="쉼표 [0] 2 2 2 2 2 2 2 2 2 2 2 2 2 2 2 2 2 2 2 2 2 2 2 2 2 2 2 2 2 2 2 2 2 2 2 2 2 2 2 2 2 2 2 9" xfId="695"/>
    <cellStyle name="쉼표 [0] 2 2 2 2 2 2 2 2 2 2 2 2 2 2 2 2 2 2 2 2 2 2 2 2 2 2 2 2 2 2 2 2 2 2 2 2 2 2 2 2 2 2 2 9 2" xfId="696"/>
    <cellStyle name="쉼표 [0] 2 2 2 2 2 2 2 2 2 2 2 2 2 2 2 2 2 2 2 2 2 2 2 2 2 2 2 2 2 2 2 2 2 2 2 2 2 2 2 2 2 2 2 9 2 2" xfId="19644"/>
    <cellStyle name="쉼표 [0] 2 2 2 2 2 2 2 2 2 2 2 2 2 2 2 2 2 2 2 2 2 2 2 2 2 2 2 2 2 2 2 2 2 2 2 2 2 2 2 2 2 2 2 9 3" xfId="19425"/>
    <cellStyle name="쉼표 [0] 2 2 2 2 2 2 2 2 2 2 2 2 2 2 2 2 2 2 2 2 2 2 2 2 2 2 2 2 2 2 2 2 2 2 2 2 2 2 2 2 2 2 3" xfId="697"/>
    <cellStyle name="쉼표 [0] 2 2 2 2 2 2 2 2 2 2 2 2 2 2 2 2 2 2 2 2 2 2 2 2 2 2 2 2 2 2 2 2 2 2 2 2 2 2 2 2 2 2 3 2" xfId="19339"/>
    <cellStyle name="쉼표 [0] 2 2 2 2 2 2 2 2 2 2 2 2 2 2 2 2 2 2 2 2 2 2 2 2 2 2 2 2 2 2 2 2 2 2 2 2 2 2 2 2 2 2 4" xfId="698"/>
    <cellStyle name="쉼표 [0] 2 2 2 2 2 2 2 2 2 2 2 2 2 2 2 2 2 2 2 2 2 2 2 2 2 2 2 2 2 2 2 2 2 2 2 2 2 2 2 2 2 2 4 2" xfId="19381"/>
    <cellStyle name="쉼표 [0] 2 2 2 2 2 2 2 2 2 2 2 2 2 2 2 2 2 2 2 2 2 2 2 2 2 2 2 2 2 2 2 2 2 2 2 2 2 2 2 2 2 2 5" xfId="699"/>
    <cellStyle name="쉼표 [0] 2 2 2 2 2 2 2 2 2 2 2 2 2 2 2 2 2 2 2 2 2 2 2 2 2 2 2 2 2 2 2 2 2 2 2 2 2 2 2 2 2 2 5 2" xfId="19406"/>
    <cellStyle name="쉼표 [0] 2 2 2 2 2 2 2 2 2 2 2 2 2 2 2 2 2 2 2 2 2 2 2 2 2 2 2 2 2 2 2 2 2 2 2 2 2 2 2 2 2 2 6" xfId="700"/>
    <cellStyle name="쉼표 [0] 2 2 2 2 2 2 2 2 2 2 2 2 2 2 2 2 2 2 2 2 2 2 2 2 2 2 2 2 2 2 2 2 2 2 2 2 2 2 2 2 2 2 6 2" xfId="19441"/>
    <cellStyle name="쉼표 [0] 2 2 2 2 2 2 2 2 2 2 2 2 2 2 2 2 2 2 2 2 2 2 2 2 2 2 2 2 2 2 2 2 2 2 2 2 2 2 2 2 2 2 7" xfId="701"/>
    <cellStyle name="쉼표 [0] 2 2 2 2 2 2 2 2 2 2 2 2 2 2 2 2 2 2 2 2 2 2 2 2 2 2 2 2 2 2 2 2 2 2 2 2 2 2 2 2 2 2 7 2" xfId="702"/>
    <cellStyle name="쉼표 [0] 2 2 2 2 2 2 2 2 2 2 2 2 2 2 2 2 2 2 2 2 2 2 2 2 2 2 2 2 2 2 2 2 2 2 2 2 2 2 2 2 2 2 7 2 2" xfId="19567"/>
    <cellStyle name="쉼표 [0] 2 2 2 2 2 2 2 2 2 2 2 2 2 2 2 2 2 2 2 2 2 2 2 2 2 2 2 2 2 2 2 2 2 2 2 2 2 2 2 2 2 2 7 3" xfId="19462"/>
    <cellStyle name="쉼표 [0] 2 2 2 2 2 2 2 2 2 2 2 2 2 2 2 2 2 2 2 2 2 2 2 2 2 2 2 2 2 2 2 2 2 2 2 2 2 2 2 2 2 2 8" xfId="703"/>
    <cellStyle name="쉼표 [0] 2 2 2 2 2 2 2 2 2 2 2 2 2 2 2 2 2 2 2 2 2 2 2 2 2 2 2 2 2 2 2 2 2 2 2 2 2 2 2 2 2 2 8 2" xfId="19543"/>
    <cellStyle name="쉼표 [0] 2 2 2 2 2 2 2 2 2 2 2 2 2 2 2 2 2 2 2 2 2 2 2 2 2 2 2 2 2 2 2 2 2 2 2 2 2 2 2 2 2 2 9" xfId="704"/>
    <cellStyle name="쉼표 [0] 2 2 2 2 2 2 2 2 2 2 2 2 2 2 2 2 2 2 2 2 2 2 2 2 2 2 2 2 2 2 2 2 2 2 2 2 2 2 2 2 2 2 9 2" xfId="705"/>
    <cellStyle name="쉼표 [0] 2 2 2 2 2 2 2 2 2 2 2 2 2 2 2 2 2 2 2 2 2 2 2 2 2 2 2 2 2 2 2 2 2 2 2 2 2 2 2 2 2 2 9 2 2" xfId="19643"/>
    <cellStyle name="쉼표 [0] 2 2 2 2 2 2 2 2 2 2 2 2 2 2 2 2 2 2 2 2 2 2 2 2 2 2 2 2 2 2 2 2 2 2 2 2 2 2 2 2 2 2 9 3" xfId="19395"/>
    <cellStyle name="쉼표 [0] 2 2 2 2 2 2 2 2 2 2 2 2 2 2 2 2 2 2 2 2 2 2 2 2 2 2 2 2 2 2 2 2 2 2 2 2 2 2 2 2 2 3" xfId="706"/>
    <cellStyle name="쉼표 [0] 2 2 2 2 2 2 2 2 2 2 2 2 2 2 2 2 2 2 2 2 2 2 2 2 2 2 2 2 2 2 2 2 2 2 2 2 2 2 2 2 2 3 2" xfId="19295"/>
    <cellStyle name="쉼표 [0] 2 2 2 2 2 2 2 2 2 2 2 2 2 2 2 2 2 2 2 2 2 2 2 2 2 2 2 2 2 2 2 2 2 2 2 2 2 2 2 2 2 4" xfId="707"/>
    <cellStyle name="쉼표 [0] 2 2 2 2 2 2 2 2 2 2 2 2 2 2 2 2 2 2 2 2 2 2 2 2 2 2 2 2 2 2 2 2 2 2 2 2 2 2 2 2 2 4 2" xfId="19332"/>
    <cellStyle name="쉼표 [0] 2 2 2 2 2 2 2 2 2 2 2 2 2 2 2 2 2 2 2 2 2 2 2 2 2 2 2 2 2 2 2 2 2 2 2 2 2 2 2 2 2 5" xfId="708"/>
    <cellStyle name="쉼표 [0] 2 2 2 2 2 2 2 2 2 2 2 2 2 2 2 2 2 2 2 2 2 2 2 2 2 2 2 2 2 2 2 2 2 2 2 2 2 2 2 2 2 5 2" xfId="19374"/>
    <cellStyle name="쉼표 [0] 2 2 2 2 2 2 2 2 2 2 2 2 2 2 2 2 2 2 2 2 2 2 2 2 2 2 2 2 2 2 2 2 2 2 2 2 2 2 2 2 2 6" xfId="709"/>
    <cellStyle name="쉼표 [0] 2 2 2 2 2 2 2 2 2 2 2 2 2 2 2 2 2 2 2 2 2 2 2 2 2 2 2 2 2 2 2 2 2 2 2 2 2 2 2 2 2 6 2" xfId="19402"/>
    <cellStyle name="쉼표 [0] 2 2 2 2 2 2 2 2 2 2 2 2 2 2 2 2 2 2 2 2 2 2 2 2 2 2 2 2 2 2 2 2 2 2 2 2 2 2 2 2 2 7" xfId="710"/>
    <cellStyle name="쉼표 [0] 2 2 2 2 2 2 2 2 2 2 2 2 2 2 2 2 2 2 2 2 2 2 2 2 2 2 2 2 2 2 2 2 2 2 2 2 2 2 2 2 2 7 2" xfId="19435"/>
    <cellStyle name="쉼표 [0] 2 2 2 2 2 2 2 2 2 2 2 2 2 2 2 2 2 2 2 2 2 2 2 2 2 2 2 2 2 2 2 2 2 2 2 2 2 2 2 2 2 8" xfId="711"/>
    <cellStyle name="쉼표 [0] 2 2 2 2 2 2 2 2 2 2 2 2 2 2 2 2 2 2 2 2 2 2 2 2 2 2 2 2 2 2 2 2 2 2 2 2 2 2 2 2 2 8 2" xfId="712"/>
    <cellStyle name="쉼표 [0] 2 2 2 2 2 2 2 2 2 2 2 2 2 2 2 2 2 2 2 2 2 2 2 2 2 2 2 2 2 2 2 2 2 2 2 2 2 2 2 2 2 8 2 2" xfId="19566"/>
    <cellStyle name="쉼표 [0] 2 2 2 2 2 2 2 2 2 2 2 2 2 2 2 2 2 2 2 2 2 2 2 2 2 2 2 2 2 2 2 2 2 2 2 2 2 2 2 2 2 8 3" xfId="19075"/>
    <cellStyle name="쉼표 [0] 2 2 2 2 2 2 2 2 2 2 2 2 2 2 2 2 2 2 2 2 2 2 2 2 2 2 2 2 2 2 2 2 2 2 2 2 2 2 2 2 2 9" xfId="713"/>
    <cellStyle name="쉼표 [0] 2 2 2 2 2 2 2 2 2 2 2 2 2 2 2 2 2 2 2 2 2 2 2 2 2 2 2 2 2 2 2 2 2 2 2 2 2 2 2 2 2 9 2" xfId="19520"/>
    <cellStyle name="쉼표 [0] 2 2 2 2 2 2 2 2 2 2 2 2 2 2 2 2 2 2 2 2 2 2 2 2 2 2 2 2 2 2 2 2 2 2 2 2 2 2 2 2 3" xfId="714"/>
    <cellStyle name="쉼표 [0] 2 2 2 2 2 2 2 2 2 2 2 2 2 2 2 2 2 2 2 2 2 2 2 2 2 2 2 2 2 2 2 2 2 2 2 2 2 2 2 2 3 2" xfId="19294"/>
    <cellStyle name="쉼표 [0] 2 2 2 2 2 2 2 2 2 2 2 2 2 2 2 2 2 2 2 2 2 2 2 2 2 2 2 2 2 2 2 2 2 2 2 2 2 2 2 2 4" xfId="715"/>
    <cellStyle name="쉼표 [0] 2 2 2 2 2 2 2 2 2 2 2 2 2 2 2 2 2 2 2 2 2 2 2 2 2 2 2 2 2 2 2 2 2 2 2 2 2 2 2 2 4 2" xfId="19331"/>
    <cellStyle name="쉼표 [0] 2 2 2 2 2 2 2 2 2 2 2 2 2 2 2 2 2 2 2 2 2 2 2 2 2 2 2 2 2 2 2 2 2 2 2 2 2 2 2 2 5" xfId="716"/>
    <cellStyle name="쉼표 [0] 2 2 2 2 2 2 2 2 2 2 2 2 2 2 2 2 2 2 2 2 2 2 2 2 2 2 2 2 2 2 2 2 2 2 2 2 2 2 2 2 5 2" xfId="19373"/>
    <cellStyle name="쉼표 [0] 2 2 2 2 2 2 2 2 2 2 2 2 2 2 2 2 2 2 2 2 2 2 2 2 2 2 2 2 2 2 2 2 2 2 2 2 2 2 2 2 6" xfId="717"/>
    <cellStyle name="쉼표 [0] 2 2 2 2 2 2 2 2 2 2 2 2 2 2 2 2 2 2 2 2 2 2 2 2 2 2 2 2 2 2 2 2 2 2 2 2 2 2 2 2 6 2" xfId="19401"/>
    <cellStyle name="쉼표 [0] 2 2 2 2 2 2 2 2 2 2 2 2 2 2 2 2 2 2 2 2 2 2 2 2 2 2 2 2 2 2 2 2 2 2 2 2 2 2 2 2 7" xfId="718"/>
    <cellStyle name="쉼표 [0] 2 2 2 2 2 2 2 2 2 2 2 2 2 2 2 2 2 2 2 2 2 2 2 2 2 2 2 2 2 2 2 2 2 2 2 2 2 2 2 2 7 2" xfId="19434"/>
    <cellStyle name="쉼표 [0] 2 2 2 2 2 2 2 2 2 2 2 2 2 2 2 2 2 2 2 2 2 2 2 2 2 2 2 2 2 2 2 2 2 2 2 2 2 2 2 2 8" xfId="719"/>
    <cellStyle name="쉼표 [0] 2 2 2 2 2 2 2 2 2 2 2 2 2 2 2 2 2 2 2 2 2 2 2 2 2 2 2 2 2 2 2 2 2 2 2 2 2 2 2 2 8 2" xfId="720"/>
    <cellStyle name="쉼표 [0] 2 2 2 2 2 2 2 2 2 2 2 2 2 2 2 2 2 2 2 2 2 2 2 2 2 2 2 2 2 2 2 2 2 2 2 2 2 2 2 2 8 2 2" xfId="19564"/>
    <cellStyle name="쉼표 [0] 2 2 2 2 2 2 2 2 2 2 2 2 2 2 2 2 2 2 2 2 2 2 2 2 2 2 2 2 2 2 2 2 2 2 2 2 2 2 2 2 8 3" xfId="19368"/>
    <cellStyle name="쉼표 [0] 2 2 2 2 2 2 2 2 2 2 2 2 2 2 2 2 2 2 2 2 2 2 2 2 2 2 2 2 2 2 2 2 2 2 2 2 2 2 2 2 9" xfId="721"/>
    <cellStyle name="쉼표 [0] 2 2 2 2 2 2 2 2 2 2 2 2 2 2 2 2 2 2 2 2 2 2 2 2 2 2 2 2 2 2 2 2 2 2 2 2 2 2 2 2 9 2" xfId="19571"/>
    <cellStyle name="쉼표 [0] 2 2 2 2 2 2 2 2 2 2 2 2 2 2 2 2 2 2 2 2 2 2 2 2 2 2 2 2 2 2 2 2 2 2 2 2 2 2 2 3" xfId="722"/>
    <cellStyle name="쉼표 [0] 2 2 2 2 2 2 2 2 2 2 2 2 2 2 2 2 2 2 2 2 2 2 2 2 2 2 2 2 2 2 2 2 2 2 2 2 2 2 2 3 2" xfId="19246"/>
    <cellStyle name="쉼표 [0] 2 2 2 2 2 2 2 2 2 2 2 2 2 2 2 2 2 2 2 2 2 2 2 2 2 2 2 2 2 2 2 2 2 2 2 2 2 2 2 4" xfId="723"/>
    <cellStyle name="쉼표 [0] 2 2 2 2 2 2 2 2 2 2 2 2 2 2 2 2 2 2 2 2 2 2 2 2 2 2 2 2 2 2 2 2 2 2 2 2 2 2 2 4 2" xfId="19289"/>
    <cellStyle name="쉼표 [0] 2 2 2 2 2 2 2 2 2 2 2 2 2 2 2 2 2 2 2 2 2 2 2 2 2 2 2 2 2 2 2 2 2 2 2 2 2 2 2 5" xfId="724"/>
    <cellStyle name="쉼표 [0] 2 2 2 2 2 2 2 2 2 2 2 2 2 2 2 2 2 2 2 2 2 2 2 2 2 2 2 2 2 2 2 2 2 2 2 2 2 2 2 5 2" xfId="19328"/>
    <cellStyle name="쉼표 [0] 2 2 2 2 2 2 2 2 2 2 2 2 2 2 2 2 2 2 2 2 2 2 2 2 2 2 2 2 2 2 2 2 2 2 2 2 2 2 2 6" xfId="725"/>
    <cellStyle name="쉼표 [0] 2 2 2 2 2 2 2 2 2 2 2 2 2 2 2 2 2 2 2 2 2 2 2 2 2 2 2 2 2 2 2 2 2 2 2 2 2 2 2 6 2" xfId="19362"/>
    <cellStyle name="쉼표 [0] 2 2 2 2 2 2 2 2 2 2 2 2 2 2 2 2 2 2 2 2 2 2 2 2 2 2 2 2 2 2 2 2 2 2 2 2 2 2 2 7" xfId="726"/>
    <cellStyle name="쉼표 [0] 2 2 2 2 2 2 2 2 2 2 2 2 2 2 2 2 2 2 2 2 2 2 2 2 2 2 2 2 2 2 2 2 2 2 2 2 2 2 2 7 2" xfId="19394"/>
    <cellStyle name="쉼표 [0] 2 2 2 2 2 2 2 2 2 2 2 2 2 2 2 2 2 2 2 2 2 2 2 2 2 2 2 2 2 2 2 2 2 2 2 2 2 2 2 8" xfId="727"/>
    <cellStyle name="쉼표 [0] 2 2 2 2 2 2 2 2 2 2 2 2 2 2 2 2 2 2 2 2 2 2 2 2 2 2 2 2 2 2 2 2 2 2 2 2 2 2 2 8 2" xfId="19192"/>
    <cellStyle name="쉼표 [0] 2 2 2 2 2 2 2 2 2 2 2 2 2 2 2 2 2 2 2 2 2 2 2 2 2 2 2 2 2 2 2 2 2 2 2 2 2 2 2 9" xfId="728"/>
    <cellStyle name="쉼표 [0] 2 2 2 2 2 2 2 2 2 2 2 2 2 2 2 2 2 2 2 2 2 2 2 2 2 2 2 2 2 2 2 2 2 2 2 2 2 2 2 9 2" xfId="729"/>
    <cellStyle name="쉼표 [0] 2 2 2 2 2 2 2 2 2 2 2 2 2 2 2 2 2 2 2 2 2 2 2 2 2 2 2 2 2 2 2 2 2 2 2 2 2 2 2 9 2 2" xfId="19563"/>
    <cellStyle name="쉼표 [0] 2 2 2 2 2 2 2 2 2 2 2 2 2 2 2 2 2 2 2 2 2 2 2 2 2 2 2 2 2 2 2 2 2 2 2 2 2 2 2 9 3" xfId="19391"/>
    <cellStyle name="쉼표 [0] 2 2 2 2 2 2 2 2 2 2 2 2 2 2 2 2 2 2 2 2 2 2 2 2 2 2 2 2 2 2 2 2 2 2 2 2 2 2 3" xfId="730"/>
    <cellStyle name="쉼표 [0] 2 2 2 2 2 2 2 2 2 2 2 2 2 2 2 2 2 2 2 2 2 2 2 2 2 2 2 2 2 2 2 2 2 2 2 2 2 2 3 2" xfId="19245"/>
    <cellStyle name="쉼표 [0] 2 2 2 2 2 2 2 2 2 2 2 2 2 2 2 2 2 2 2 2 2 2 2 2 2 2 2 2 2 2 2 2 2 2 2 2 2 2 4" xfId="731"/>
    <cellStyle name="쉼표 [0] 2 2 2 2 2 2 2 2 2 2 2 2 2 2 2 2 2 2 2 2 2 2 2 2 2 2 2 2 2 2 2 2 2 2 2 2 2 2 4 2" xfId="19288"/>
    <cellStyle name="쉼표 [0] 2 2 2 2 2 2 2 2 2 2 2 2 2 2 2 2 2 2 2 2 2 2 2 2 2 2 2 2 2 2 2 2 2 2 2 2 2 2 5" xfId="732"/>
    <cellStyle name="쉼표 [0] 2 2 2 2 2 2 2 2 2 2 2 2 2 2 2 2 2 2 2 2 2 2 2 2 2 2 2 2 2 2 2 2 2 2 2 2 2 2 5 2" xfId="19327"/>
    <cellStyle name="쉼표 [0] 2 2 2 2 2 2 2 2 2 2 2 2 2 2 2 2 2 2 2 2 2 2 2 2 2 2 2 2 2 2 2 2 2 2 2 2 2 2 6" xfId="733"/>
    <cellStyle name="쉼표 [0] 2 2 2 2 2 2 2 2 2 2 2 2 2 2 2 2 2 2 2 2 2 2 2 2 2 2 2 2 2 2 2 2 2 2 2 2 2 2 6 2" xfId="19361"/>
    <cellStyle name="쉼표 [0] 2 2 2 2 2 2 2 2 2 2 2 2 2 2 2 2 2 2 2 2 2 2 2 2 2 2 2 2 2 2 2 2 2 2 2 2 2 2 7" xfId="734"/>
    <cellStyle name="쉼표 [0] 2 2 2 2 2 2 2 2 2 2 2 2 2 2 2 2 2 2 2 2 2 2 2 2 2 2 2 2 2 2 2 2 2 2 2 2 2 2 7 2" xfId="19393"/>
    <cellStyle name="쉼표 [0] 2 2 2 2 2 2 2 2 2 2 2 2 2 2 2 2 2 2 2 2 2 2 2 2 2 2 2 2 2 2 2 2 2 2 2 2 2 2 8" xfId="735"/>
    <cellStyle name="쉼표 [0] 2 2 2 2 2 2 2 2 2 2 2 2 2 2 2 2 2 2 2 2 2 2 2 2 2 2 2 2 2 2 2 2 2 2 2 2 2 2 8 2" xfId="19092"/>
    <cellStyle name="쉼표 [0] 2 2 2 2 2 2 2 2 2 2 2 2 2 2 2 2 2 2 2 2 2 2 2 2 2 2 2 2 2 2 2 2 2 2 2 2 2 2 9" xfId="736"/>
    <cellStyle name="쉼표 [0] 2 2 2 2 2 2 2 2 2 2 2 2 2 2 2 2 2 2 2 2 2 2 2 2 2 2 2 2 2 2 2 2 2 2 2 2 2 2 9 2" xfId="737"/>
    <cellStyle name="쉼표 [0] 2 2 2 2 2 2 2 2 2 2 2 2 2 2 2 2 2 2 2 2 2 2 2 2 2 2 2 2 2 2 2 2 2 2 2 2 2 2 9 2 2" xfId="19560"/>
    <cellStyle name="쉼표 [0] 2 2 2 2 2 2 2 2 2 2 2 2 2 2 2 2 2 2 2 2 2 2 2 2 2 2 2 2 2 2 2 2 2 2 2 2 2 2 9 3" xfId="19063"/>
    <cellStyle name="쉼표 [0] 2 2 2 2 2 2 2 2 2 2 2 2 2 2 2 2 2 2 2 2 2 2 2 2 2 2 2 2 2 2 2 2 2 2 2 2 2 3" xfId="738"/>
    <cellStyle name="쉼표 [0] 2 2 2 2 2 2 2 2 2 2 2 2 2 2 2 2 2 2 2 2 2 2 2 2 2 2 2 2 2 2 2 2 2 2 2 2 2 3 2" xfId="19185"/>
    <cellStyle name="쉼표 [0] 2 2 2 2 2 2 2 2 2 2 2 2 2 2 2 2 2 2 2 2 2 2 2 2 2 2 2 2 2 2 2 2 2 2 2 2 2 4" xfId="739"/>
    <cellStyle name="쉼표 [0] 2 2 2 2 2 2 2 2 2 2 2 2 2 2 2 2 2 2 2 2 2 2 2 2 2 2 2 2 2 2 2 2 2 2 2 2 2 4 2" xfId="19236"/>
    <cellStyle name="쉼표 [0] 2 2 2 2 2 2 2 2 2 2 2 2 2 2 2 2 2 2 2 2 2 2 2 2 2 2 2 2 2 2 2 2 2 2 2 2 2 5" xfId="740"/>
    <cellStyle name="쉼표 [0] 2 2 2 2 2 2 2 2 2 2 2 2 2 2 2 2 2 2 2 2 2 2 2 2 2 2 2 2 2 2 2 2 2 2 2 2 2 5 2" xfId="19283"/>
    <cellStyle name="쉼표 [0] 2 2 2 2 2 2 2 2 2 2 2 2 2 2 2 2 2 2 2 2 2 2 2 2 2 2 2 2 2 2 2 2 2 2 2 2 2 6" xfId="741"/>
    <cellStyle name="쉼표 [0] 2 2 2 2 2 2 2 2 2 2 2 2 2 2 2 2 2 2 2 2 2 2 2 2 2 2 2 2 2 2 2 2 2 2 2 2 2 6 2" xfId="19315"/>
    <cellStyle name="쉼표 [0] 2 2 2 2 2 2 2 2 2 2 2 2 2 2 2 2 2 2 2 2 2 2 2 2 2 2 2 2 2 2 2 2 2 2 2 2 2 7" xfId="742"/>
    <cellStyle name="쉼표 [0] 2 2 2 2 2 2 2 2 2 2 2 2 2 2 2 2 2 2 2 2 2 2 2 2 2 2 2 2 2 2 2 2 2 2 2 2 2 7 2" xfId="19350"/>
    <cellStyle name="쉼표 [0] 2 2 2 2 2 2 2 2 2 2 2 2 2 2 2 2 2 2 2 2 2 2 2 2 2 2 2 2 2 2 2 2 2 2 2 2 2 8" xfId="743"/>
    <cellStyle name="쉼표 [0] 2 2 2 2 2 2 2 2 2 2 2 2 2 2 2 2 2 2 2 2 2 2 2 2 2 2 2 2 2 2 2 2 2 2 2 2 2 8 2" xfId="19152"/>
    <cellStyle name="쉼표 [0] 2 2 2 2 2 2 2 2 2 2 2 2 2 2 2 2 2 2 2 2 2 2 2 2 2 2 2 2 2 2 2 2 2 2 2 2 2 9" xfId="744"/>
    <cellStyle name="쉼표 [0] 2 2 2 2 2 2 2 2 2 2 2 2 2 2 2 2 2 2 2 2 2 2 2 2 2 2 2 2 2 2 2 2 2 2 2 2 2 9 2" xfId="19410"/>
    <cellStyle name="쉼표 [0] 2 2 2 2 2 2 2 2 2 2 2 2 2 2 2 2 2 2 2 2 2 2 2 2 2 2 2 2 2 2 2 2 2 2 2 2 3" xfId="745"/>
    <cellStyle name="쉼표 [0] 2 2 2 2 2 2 2 2 2 2 2 2 2 2 2 2 2 2 2 2 2 2 2 2 2 2 2 2 2 2 2 2 2 2 2 2 3 2" xfId="19184"/>
    <cellStyle name="쉼표 [0] 2 2 2 2 2 2 2 2 2 2 2 2 2 2 2 2 2 2 2 2 2 2 2 2 2 2 2 2 2 2 2 2 2 2 2 2 4" xfId="746"/>
    <cellStyle name="쉼표 [0] 2 2 2 2 2 2 2 2 2 2 2 2 2 2 2 2 2 2 2 2 2 2 2 2 2 2 2 2 2 2 2 2 2 2 2 2 4 2" xfId="19235"/>
    <cellStyle name="쉼표 [0] 2 2 2 2 2 2 2 2 2 2 2 2 2 2 2 2 2 2 2 2 2 2 2 2 2 2 2 2 2 2 2 2 2 2 2 2 5" xfId="747"/>
    <cellStyle name="쉼표 [0] 2 2 2 2 2 2 2 2 2 2 2 2 2 2 2 2 2 2 2 2 2 2 2 2 2 2 2 2 2 2 2 2 2 2 2 2 5 2" xfId="19282"/>
    <cellStyle name="쉼표 [0] 2 2 2 2 2 2 2 2 2 2 2 2 2 2 2 2 2 2 2 2 2 2 2 2 2 2 2 2 2 2 2 2 2 2 2 2 6" xfId="748"/>
    <cellStyle name="쉼표 [0] 2 2 2 2 2 2 2 2 2 2 2 2 2 2 2 2 2 2 2 2 2 2 2 2 2 2 2 2 2 2 2 2 2 2 2 2 6 2" xfId="19314"/>
    <cellStyle name="쉼표 [0] 2 2 2 2 2 2 2 2 2 2 2 2 2 2 2 2 2 2 2 2 2 2 2 2 2 2 2 2 2 2 2 2 2 2 2 2 7" xfId="749"/>
    <cellStyle name="쉼표 [0] 2 2 2 2 2 2 2 2 2 2 2 2 2 2 2 2 2 2 2 2 2 2 2 2 2 2 2 2 2 2 2 2 2 2 2 2 7 2" xfId="19349"/>
    <cellStyle name="쉼표 [0] 2 2 2 2 2 2 2 2 2 2 2 2 2 2 2 2 2 2 2 2 2 2 2 2 2 2 2 2 2 2 2 2 2 2 2 2 8" xfId="750"/>
    <cellStyle name="쉼표 [0] 2 2 2 2 2 2 2 2 2 2 2 2 2 2 2 2 2 2 2 2 2 2 2 2 2 2 2 2 2 2 2 2 2 2 2 2 8 2" xfId="19210"/>
    <cellStyle name="쉼표 [0] 2 2 2 2 2 2 2 2 2 2 2 2 2 2 2 2 2 2 2 2 2 2 2 2 2 2 2 2 2 2 2 2 2 2 2 2 9" xfId="751"/>
    <cellStyle name="쉼표 [0] 2 2 2 2 2 2 2 2 2 2 2 2 2 2 2 2 2 2 2 2 2 2 2 2 2 2 2 2 2 2 2 2 2 2 2 2 9 2" xfId="19189"/>
    <cellStyle name="쉼표 [0] 2 2 2 2 2 2 2 2 2 2 2 2 2 2 2 2 2 2 2 2 2 2 2 2 2 2 2 2 2 2 2 2 2 2 2 3" xfId="752"/>
    <cellStyle name="쉼표 [0] 2 2 2 2 2 2 2 2 2 2 2 2 2 2 2 2 2 2 2 2 2 2 2 2 2 2 2 2 2 2 2 2 2 2 2 3 2" xfId="19135"/>
    <cellStyle name="쉼표 [0] 2 2 2 2 2 2 2 2 2 2 2 2 2 2 2 2 2 2 2 2 2 2 2 2 2 2 2 2 2 2 2 2 2 2 2 4" xfId="753"/>
    <cellStyle name="쉼표 [0] 2 2 2 2 2 2 2 2 2 2 2 2 2 2 2 2 2 2 2 2 2 2 2 2 2 2 2 2 2 2 2 2 2 2 2 4 2" xfId="19178"/>
    <cellStyle name="쉼표 [0] 2 2 2 2 2 2 2 2 2 2 2 2 2 2 2 2 2 2 2 2 2 2 2 2 2 2 2 2 2 2 2 2 2 2 2 5" xfId="754"/>
    <cellStyle name="쉼표 [0] 2 2 2 2 2 2 2 2 2 2 2 2 2 2 2 2 2 2 2 2 2 2 2 2 2 2 2 2 2 2 2 2 2 2 2 5 2" xfId="19229"/>
    <cellStyle name="쉼표 [0] 2 2 2 2 2 2 2 2 2 2 2 2 2 2 2 2 2 2 2 2 2 2 2 2 2 2 2 2 2 2 2 2 2 2 2 6" xfId="755"/>
    <cellStyle name="쉼표 [0] 2 2 2 2 2 2 2 2 2 2 2 2 2 2 2 2 2 2 2 2 2 2 2 2 2 2 2 2 2 2 2 2 2 2 2 6 2" xfId="19274"/>
    <cellStyle name="쉼표 [0] 2 2 2 2 2 2 2 2 2 2 2 2 2 2 2 2 2 2 2 2 2 2 2 2 2 2 2 2 2 2 2 2 2 2 2 7" xfId="756"/>
    <cellStyle name="쉼표 [0] 2 2 2 2 2 2 2 2 2 2 2 2 2 2 2 2 2 2 2 2 2 2 2 2 2 2 2 2 2 2 2 2 2 2 2 7 2" xfId="19307"/>
    <cellStyle name="쉼표 [0] 2 2 2 2 2 2 2 2 2 2 2 2 2 2 2 2 2 2 2 2 2 2 2 2 2 2 2 2 2 2 2 2 2 2 2 8" xfId="757"/>
    <cellStyle name="쉼표 [0] 2 2 2 2 2 2 2 2 2 2 2 2 2 2 2 2 2 2 2 2 2 2 2 2 2 2 2 2 2 2 2 2 2 2 2 8 2" xfId="19319"/>
    <cellStyle name="쉼표 [0] 2 2 2 2 2 2 2 2 2 2 2 2 2 2 2 2 2 2 2 2 2 2 2 2 2 2 2 2 2 2 2 2 2 2 2 9" xfId="758"/>
    <cellStyle name="쉼표 [0] 2 2 2 2 2 2 2 2 2 2 2 2 2 2 2 2 2 2 2 2 2 2 2 2 2 2 2 2 2 2 2 2 2 2 2 9 2" xfId="19312"/>
    <cellStyle name="쉼표 [0] 2 2 2 2 2 2 2 2 2 2 2 2 2 2 2 2 2 2 2 2 2 2 2 2 2 2 2 2 2 2 2 2 2 2 3" xfId="759"/>
    <cellStyle name="쉼표 [0] 2 2 2 2 2 2 2 2 2 2 2 2 2 2 2 2 2 2 2 2 2 2 2 2 2 2 2 2 2 2 2 2 2 2 3 2" xfId="19134"/>
    <cellStyle name="쉼표 [0] 2 2 2 2 2 2 2 2 2 2 2 2 2 2 2 2 2 2 2 2 2 2 2 2 2 2 2 2 2 2 2 2 2 2 4" xfId="760"/>
    <cellStyle name="쉼표 [0] 2 2 2 2 2 2 2 2 2 2 2 2 2 2 2 2 2 2 2 2 2 2 2 2 2 2 2 2 2 2 2 2 2 2 4 2" xfId="19177"/>
    <cellStyle name="쉼표 [0] 2 2 2 2 2 2 2 2 2 2 2 2 2 2 2 2 2 2 2 2 2 2 2 2 2 2 2 2 2 2 2 2 2 2 5" xfId="761"/>
    <cellStyle name="쉼표 [0] 2 2 2 2 2 2 2 2 2 2 2 2 2 2 2 2 2 2 2 2 2 2 2 2 2 2 2 2 2 2 2 2 2 2 5 2" xfId="19228"/>
    <cellStyle name="쉼표 [0] 2 2 2 2 2 2 2 2 2 2 2 2 2 2 2 2 2 2 2 2 2 2 2 2 2 2 2 2 2 2 2 2 2 2 6" xfId="762"/>
    <cellStyle name="쉼표 [0] 2 2 2 2 2 2 2 2 2 2 2 2 2 2 2 2 2 2 2 2 2 2 2 2 2 2 2 2 2 2 2 2 2 2 6 2" xfId="19273"/>
    <cellStyle name="쉼표 [0] 2 2 2 2 2 2 2 2 2 2 2 2 2 2 2 2 2 2 2 2 2 2 2 2 2 2 2 2 2 2 2 2 2 2 7" xfId="763"/>
    <cellStyle name="쉼표 [0] 2 2 2 2 2 2 2 2 2 2 2 2 2 2 2 2 2 2 2 2 2 2 2 2 2 2 2 2 2 2 2 2 2 2 7 2" xfId="19306"/>
    <cellStyle name="쉼표 [0] 2 2 2 2 2 2 2 2 2 2 2 2 2 2 2 2 2 2 2 2 2 2 2 2 2 2 2 2 2 2 2 2 2 2 8" xfId="764"/>
    <cellStyle name="쉼표 [0] 2 2 2 2 2 2 2 2 2 2 2 2 2 2 2 2 2 2 2 2 2 2 2 2 2 2 2 2 2 2 2 2 2 2 8 2" xfId="19271"/>
    <cellStyle name="쉼표 [0] 2 2 2 2 2 2 2 2 2 2 2 2 2 2 2 2 2 2 2 2 2 2 2 2 2 2 2 2 2 2 2 2 2 2 9" xfId="765"/>
    <cellStyle name="쉼표 [0] 2 2 2 2 2 2 2 2 2 2 2 2 2 2 2 2 2 2 2 2 2 2 2 2 2 2 2 2 2 2 2 2 2 2 9 2" xfId="19330"/>
    <cellStyle name="쉼표 [0] 2 2 2 2 2 2 2 2 2 2 2 2 2 2 2 2 2 2 2 2 2 2 2 2 2 2 2 2 2 2 2 2 2 20" xfId="18972"/>
    <cellStyle name="쉼표 [0] 2 2 2 2 2 2 2 2 2 2 2 2 2 2 2 2 2 2 2 2 2 2 2 2 2 2 2 2 2 2 2 2 2 3" xfId="766"/>
    <cellStyle name="쉼표 [0] 2 2 2 2 2 2 2 2 2 2 2 2 2 2 2 2 2 2 2 2 2 2 2 2 2 2 2 2 2 2 2 2 2 3 2" xfId="19080"/>
    <cellStyle name="쉼표 [0] 2 2 2 2 2 2 2 2 2 2 2 2 2 2 2 2 2 2 2 2 2 2 2 2 2 2 2 2 2 2 2 2 2 4" xfId="767"/>
    <cellStyle name="쉼표 [0] 2 2 2 2 2 2 2 2 2 2 2 2 2 2 2 2 2 2 2 2 2 2 2 2 2 2 2 2 2 2 2 2 2 4 2" xfId="19127"/>
    <cellStyle name="쉼표 [0] 2 2 2 2 2 2 2 2 2 2 2 2 2 2 2 2 2 2 2 2 2 2 2 2 2 2 2 2 2 2 2 2 2 5" xfId="768"/>
    <cellStyle name="쉼표 [0] 2 2 2 2 2 2 2 2 2 2 2 2 2 2 2 2 2 2 2 2 2 2 2 2 2 2 2 2 2 2 2 2 2 5 2" xfId="19168"/>
    <cellStyle name="쉼표 [0] 2 2 2 2 2 2 2 2 2 2 2 2 2 2 2 2 2 2 2 2 2 2 2 2 2 2 2 2 2 2 2 2 2 6" xfId="769"/>
    <cellStyle name="쉼표 [0] 2 2 2 2 2 2 2 2 2 2 2 2 2 2 2 2 2 2 2 2 2 2 2 2 2 2 2 2 2 2 2 2 2 6 2" xfId="19215"/>
    <cellStyle name="쉼표 [0] 2 2 2 2 2 2 2 2 2 2 2 2 2 2 2 2 2 2 2 2 2 2 2 2 2 2 2 2 2 2 2 2 2 7" xfId="770"/>
    <cellStyle name="쉼표 [0] 2 2 2 2 2 2 2 2 2 2 2 2 2 2 2 2 2 2 2 2 2 2 2 2 2 2 2 2 2 2 2 2 2 7 2" xfId="19258"/>
    <cellStyle name="쉼표 [0] 2 2 2 2 2 2 2 2 2 2 2 2 2 2 2 2 2 2 2 2 2 2 2 2 2 2 2 2 2 2 2 2 2 8" xfId="771"/>
    <cellStyle name="쉼표 [0] 2 2 2 2 2 2 2 2 2 2 2 2 2 2 2 2 2 2 2 2 2 2 2 2 2 2 2 2 2 2 2 2 2 8 2" xfId="18990"/>
    <cellStyle name="쉼표 [0] 2 2 2 2 2 2 2 2 2 2 2 2 2 2 2 2 2 2 2 2 2 2 2 2 2 2 2 2 2 2 2 2 2 9" xfId="772"/>
    <cellStyle name="쉼표 [0] 2 2 2 2 2 2 2 2 2 2 2 2 2 2 2 2 2 2 2 2 2 2 2 2 2 2 2 2 2 2 2 2 2 9 2" xfId="19334"/>
    <cellStyle name="쉼표 [0] 2 2 2 2 2 2 2 2 2 2 2 2 2 2 2 2 2 2 2 2 2 2 2 2 2 2 2 2 2 2 2 2 20" xfId="18971"/>
    <cellStyle name="쉼표 [0] 2 2 2 2 2 2 2 2 2 2 2 2 2 2 2 2 2 2 2 2 2 2 2 2 2 2 2 2 2 2 2 2 3" xfId="773"/>
    <cellStyle name="쉼표 [0] 2 2 2 2 2 2 2 2 2 2 2 2 2 2 2 2 2 2 2 2 2 2 2 2 2 2 2 2 2 2 2 2 3 2" xfId="19079"/>
    <cellStyle name="쉼표 [0] 2 2 2 2 2 2 2 2 2 2 2 2 2 2 2 2 2 2 2 2 2 2 2 2 2 2 2 2 2 2 2 2 4" xfId="774"/>
    <cellStyle name="쉼표 [0] 2 2 2 2 2 2 2 2 2 2 2 2 2 2 2 2 2 2 2 2 2 2 2 2 2 2 2 2 2 2 2 2 4 2" xfId="19126"/>
    <cellStyle name="쉼표 [0] 2 2 2 2 2 2 2 2 2 2 2 2 2 2 2 2 2 2 2 2 2 2 2 2 2 2 2 2 2 2 2 2 5" xfId="775"/>
    <cellStyle name="쉼표 [0] 2 2 2 2 2 2 2 2 2 2 2 2 2 2 2 2 2 2 2 2 2 2 2 2 2 2 2 2 2 2 2 2 5 2" xfId="19167"/>
    <cellStyle name="쉼표 [0] 2 2 2 2 2 2 2 2 2 2 2 2 2 2 2 2 2 2 2 2 2 2 2 2 2 2 2 2 2 2 2 2 6" xfId="776"/>
    <cellStyle name="쉼표 [0] 2 2 2 2 2 2 2 2 2 2 2 2 2 2 2 2 2 2 2 2 2 2 2 2 2 2 2 2 2 2 2 2 6 2" xfId="19214"/>
    <cellStyle name="쉼표 [0] 2 2 2 2 2 2 2 2 2 2 2 2 2 2 2 2 2 2 2 2 2 2 2 2 2 2 2 2 2 2 2 2 7" xfId="777"/>
    <cellStyle name="쉼표 [0] 2 2 2 2 2 2 2 2 2 2 2 2 2 2 2 2 2 2 2 2 2 2 2 2 2 2 2 2 2 2 2 2 7 2" xfId="19257"/>
    <cellStyle name="쉼표 [0] 2 2 2 2 2 2 2 2 2 2 2 2 2 2 2 2 2 2 2 2 2 2 2 2 2 2 2 2 2 2 2 2 8" xfId="778"/>
    <cellStyle name="쉼표 [0] 2 2 2 2 2 2 2 2 2 2 2 2 2 2 2 2 2 2 2 2 2 2 2 2 2 2 2 2 2 2 2 2 8 2" xfId="18891"/>
    <cellStyle name="쉼표 [0] 2 2 2 2 2 2 2 2 2 2 2 2 2 2 2 2 2 2 2 2 2 2 2 2 2 2 2 2 2 2 2 2 9" xfId="779"/>
    <cellStyle name="쉼표 [0] 2 2 2 2 2 2 2 2 2 2 2 2 2 2 2 2 2 2 2 2 2 2 2 2 2 2 2 2 2 2 2 2 9 2" xfId="18914"/>
    <cellStyle name="쉼표 [0] 2 2 2 2 2 2 2 2 2 2 2 2 2 2 2 2 2 2 2 2 2 2 2 2 2 2 2 2 2 2 2 20" xfId="19950"/>
    <cellStyle name="쉼표 [0] 2 2 2 2 2 2 2 2 2 2 2 2 2 2 2 2 2 2 2 2 2 2 2 2 2 2 2 2 2 2 2 21" xfId="18912"/>
    <cellStyle name="쉼표 [0] 2 2 2 2 2 2 2 2 2 2 2 2 2 2 2 2 2 2 2 2 2 2 2 2 2 2 2 2 2 2 2 3" xfId="780"/>
    <cellStyle name="쉼표 [0] 2 2 2 2 2 2 2 2 2 2 2 2 2 2 2 2 2 2 2 2 2 2 2 2 2 2 2 2 2 2 2 3 2" xfId="19026"/>
    <cellStyle name="쉼표 [0] 2 2 2 2 2 2 2 2 2 2 2 2 2 2 2 2 2 2 2 2 2 2 2 2 2 2 2 2 2 2 2 4" xfId="781"/>
    <cellStyle name="쉼표 [0] 2 2 2 2 2 2 2 2 2 2 2 2 2 2 2 2 2 2 2 2 2 2 2 2 2 2 2 2 2 2 2 4 2" xfId="19072"/>
    <cellStyle name="쉼표 [0] 2 2 2 2 2 2 2 2 2 2 2 2 2 2 2 2 2 2 2 2 2 2 2 2 2 2 2 2 2 2 2 5" xfId="782"/>
    <cellStyle name="쉼표 [0] 2 2 2 2 2 2 2 2 2 2 2 2 2 2 2 2 2 2 2 2 2 2 2 2 2 2 2 2 2 2 2 5 2" xfId="19112"/>
    <cellStyle name="쉼표 [0] 2 2 2 2 2 2 2 2 2 2 2 2 2 2 2 2 2 2 2 2 2 2 2 2 2 2 2 2 2 2 2 6" xfId="783"/>
    <cellStyle name="쉼표 [0] 2 2 2 2 2 2 2 2 2 2 2 2 2 2 2 2 2 2 2 2 2 2 2 2 2 2 2 2 2 2 2 6 2" xfId="19154"/>
    <cellStyle name="쉼표 [0] 2 2 2 2 2 2 2 2 2 2 2 2 2 2 2 2 2 2 2 2 2 2 2 2 2 2 2 2 2 2 2 7" xfId="784"/>
    <cellStyle name="쉼표 [0] 2 2 2 2 2 2 2 2 2 2 2 2 2 2 2 2 2 2 2 2 2 2 2 2 2 2 2 2 2 2 2 7 2" xfId="19197"/>
    <cellStyle name="쉼표 [0] 2 2 2 2 2 2 2 2 2 2 2 2 2 2 2 2 2 2 2 2 2 2 2 2 2 2 2 2 2 2 2 8" xfId="785"/>
    <cellStyle name="쉼표 [0] 2 2 2 2 2 2 2 2 2 2 2 2 2 2 2 2 2 2 2 2 2 2 2 2 2 2 2 2 2 2 2 8 2" xfId="19188"/>
    <cellStyle name="쉼표 [0] 2 2 2 2 2 2 2 2 2 2 2 2 2 2 2 2 2 2 2 2 2 2 2 2 2 2 2 2 2 2 2 9" xfId="786"/>
    <cellStyle name="쉼표 [0] 2 2 2 2 2 2 2 2 2 2 2 2 2 2 2 2 2 2 2 2 2 2 2 2 2 2 2 2 2 2 2 9 2" xfId="18981"/>
    <cellStyle name="쉼표 [0] 2 2 2 2 2 2 2 2 2 2 2 2 2 2 2 2 2 2 2 2 2 2 2 2 2 2 2 2 2 2 20" xfId="19975"/>
    <cellStyle name="쉼표 [0] 2 2 2 2 2 2 2 2 2 2 2 2 2 2 2 2 2 2 2 2 2 2 2 2 2 2 2 2 2 2 21" xfId="18911"/>
    <cellStyle name="쉼표 [0] 2 2 2 2 2 2 2 2 2 2 2 2 2 2 2 2 2 2 2 2 2 2 2 2 2 2 2 2 2 2 3" xfId="787"/>
    <cellStyle name="쉼표 [0] 2 2 2 2 2 2 2 2 2 2 2 2 2 2 2 2 2 2 2 2 2 2 2 2 2 2 2 2 2 2 3 2" xfId="19025"/>
    <cellStyle name="쉼표 [0] 2 2 2 2 2 2 2 2 2 2 2 2 2 2 2 2 2 2 2 2 2 2 2 2 2 2 2 2 2 2 4" xfId="788"/>
    <cellStyle name="쉼표 [0] 2 2 2 2 2 2 2 2 2 2 2 2 2 2 2 2 2 2 2 2 2 2 2 2 2 2 2 2 2 2 4 2" xfId="19071"/>
    <cellStyle name="쉼표 [0] 2 2 2 2 2 2 2 2 2 2 2 2 2 2 2 2 2 2 2 2 2 2 2 2 2 2 2 2 2 2 5" xfId="789"/>
    <cellStyle name="쉼표 [0] 2 2 2 2 2 2 2 2 2 2 2 2 2 2 2 2 2 2 2 2 2 2 2 2 2 2 2 2 2 2 5 2" xfId="19111"/>
    <cellStyle name="쉼표 [0] 2 2 2 2 2 2 2 2 2 2 2 2 2 2 2 2 2 2 2 2 2 2 2 2 2 2 2 2 2 2 6" xfId="790"/>
    <cellStyle name="쉼표 [0] 2 2 2 2 2 2 2 2 2 2 2 2 2 2 2 2 2 2 2 2 2 2 2 2 2 2 2 2 2 2 6 2" xfId="19153"/>
    <cellStyle name="쉼표 [0] 2 2 2 2 2 2 2 2 2 2 2 2 2 2 2 2 2 2 2 2 2 2 2 2 2 2 2 2 2 2 7" xfId="791"/>
    <cellStyle name="쉼표 [0] 2 2 2 2 2 2 2 2 2 2 2 2 2 2 2 2 2 2 2 2 2 2 2 2 2 2 2 2 2 2 7 2" xfId="19196"/>
    <cellStyle name="쉼표 [0] 2 2 2 2 2 2 2 2 2 2 2 2 2 2 2 2 2 2 2 2 2 2 2 2 2 2 2 2 2 2 8" xfId="792"/>
    <cellStyle name="쉼표 [0] 2 2 2 2 2 2 2 2 2 2 2 2 2 2 2 2 2 2 2 2 2 2 2 2 2 2 2 2 2 2 8 2" xfId="19102"/>
    <cellStyle name="쉼표 [0] 2 2 2 2 2 2 2 2 2 2 2 2 2 2 2 2 2 2 2 2 2 2 2 2 2 2 2 2 2 2 9" xfId="793"/>
    <cellStyle name="쉼표 [0] 2 2 2 2 2 2 2 2 2 2 2 2 2 2 2 2 2 2 2 2 2 2 2 2 2 2 2 2 2 2 9 2" xfId="19048"/>
    <cellStyle name="쉼표 [0] 2 2 2 2 2 2 2 2 2 2 2 2 2 2 2 2 2 2 2 2 2 2 2 2 2 2 2 2 2 20" xfId="20083"/>
    <cellStyle name="쉼표 [0] 2 2 2 2 2 2 2 2 2 2 2 2 2 2 2 2 2 2 2 2 2 2 2 2 2 2 2 2 2 21" xfId="20023"/>
    <cellStyle name="쉼표 [0] 2 2 2 2 2 2 2 2 2 2 2 2 2 2 2 2 2 2 2 2 2 2 2 2 2 2 2 2 2 22" xfId="18849"/>
    <cellStyle name="쉼표 [0] 2 2 2 2 2 2 2 2 2 2 2 2 2 2 2 2 2 2 2 2 2 2 2 2 2 2 2 2 2 3" xfId="794"/>
    <cellStyle name="쉼표 [0] 2 2 2 2 2 2 2 2 2 2 2 2 2 2 2 2 2 2 2 2 2 2 2 2 2 2 2 2 2 3 2" xfId="18964"/>
    <cellStyle name="쉼표 [0] 2 2 2 2 2 2 2 2 2 2 2 2 2 2 2 2 2 2 2 2 2 2 2 2 2 2 2 2 2 4" xfId="795"/>
    <cellStyle name="쉼표 [0] 2 2 2 2 2 2 2 2 2 2 2 2 2 2 2 2 2 2 2 2 2 2 2 2 2 2 2 2 2 4 2" xfId="19013"/>
    <cellStyle name="쉼표 [0] 2 2 2 2 2 2 2 2 2 2 2 2 2 2 2 2 2 2 2 2 2 2 2 2 2 2 2 2 2 5" xfId="796"/>
    <cellStyle name="쉼표 [0] 2 2 2 2 2 2 2 2 2 2 2 2 2 2 2 2 2 2 2 2 2 2 2 2 2 2 2 2 2 5 2" xfId="19058"/>
    <cellStyle name="쉼표 [0] 2 2 2 2 2 2 2 2 2 2 2 2 2 2 2 2 2 2 2 2 2 2 2 2 2 2 2 2 2 6" xfId="797"/>
    <cellStyle name="쉼표 [0] 2 2 2 2 2 2 2 2 2 2 2 2 2 2 2 2 2 2 2 2 2 2 2 2 2 2 2 2 2 6 2" xfId="19097"/>
    <cellStyle name="쉼표 [0] 2 2 2 2 2 2 2 2 2 2 2 2 2 2 2 2 2 2 2 2 2 2 2 2 2 2 2 2 2 7" xfId="798"/>
    <cellStyle name="쉼표 [0] 2 2 2 2 2 2 2 2 2 2 2 2 2 2 2 2 2 2 2 2 2 2 2 2 2 2 2 2 2 7 2" xfId="18826"/>
    <cellStyle name="쉼표 [0] 2 2 2 2 2 2 2 2 2 2 2 2 2 2 2 2 2 2 2 2 2 2 2 2 2 2 2 2 2 8" xfId="799"/>
    <cellStyle name="쉼표 [0] 2 2 2 2 2 2 2 2 2 2 2 2 2 2 2 2 2 2 2 2 2 2 2 2 2 2 2 2 2 8 2" xfId="19119"/>
    <cellStyle name="쉼표 [0] 2 2 2 2 2 2 2 2 2 2 2 2 2 2 2 2 2 2 2 2 2 2 2 2 2 2 2 2 2 9" xfId="800"/>
    <cellStyle name="쉼표 [0] 2 2 2 2 2 2 2 2 2 2 2 2 2 2 2 2 2 2 2 2 2 2 2 2 2 2 2 2 2 9 2" xfId="19199"/>
    <cellStyle name="쉼표 [0] 2 2 2 2 2 2 2 2 2 2 2 2 2 2 2 2 2 2 2 2 2 2 2 2 2 2 2 2 20" xfId="20029"/>
    <cellStyle name="쉼표 [0] 2 2 2 2 2 2 2 2 2 2 2 2 2 2 2 2 2 2 2 2 2 2 2 2 2 2 2 2 21" xfId="20032"/>
    <cellStyle name="쉼표 [0] 2 2 2 2 2 2 2 2 2 2 2 2 2 2 2 2 2 2 2 2 2 2 2 2 2 2 2 2 22" xfId="18848"/>
    <cellStyle name="쉼표 [0] 2 2 2 2 2 2 2 2 2 2 2 2 2 2 2 2 2 2 2 2 2 2 2 2 2 2 2 2 3" xfId="801"/>
    <cellStyle name="쉼표 [0] 2 2 2 2 2 2 2 2 2 2 2 2 2 2 2 2 2 2 2 2 2 2 2 2 2 2 2 2 3 2" xfId="18963"/>
    <cellStyle name="쉼표 [0] 2 2 2 2 2 2 2 2 2 2 2 2 2 2 2 2 2 2 2 2 2 2 2 2 2 2 2 2 4" xfId="802"/>
    <cellStyle name="쉼표 [0] 2 2 2 2 2 2 2 2 2 2 2 2 2 2 2 2 2 2 2 2 2 2 2 2 2 2 2 2 4 2" xfId="19012"/>
    <cellStyle name="쉼표 [0] 2 2 2 2 2 2 2 2 2 2 2 2 2 2 2 2 2 2 2 2 2 2 2 2 2 2 2 2 5" xfId="803"/>
    <cellStyle name="쉼표 [0] 2 2 2 2 2 2 2 2 2 2 2 2 2 2 2 2 2 2 2 2 2 2 2 2 2 2 2 2 5 2" xfId="19057"/>
    <cellStyle name="쉼표 [0] 2 2 2 2 2 2 2 2 2 2 2 2 2 2 2 2 2 2 2 2 2 2 2 2 2 2 2 2 6" xfId="804"/>
    <cellStyle name="쉼표 [0] 2 2 2 2 2 2 2 2 2 2 2 2 2 2 2 2 2 2 2 2 2 2 2 2 2 2 2 2 6 2" xfId="19096"/>
    <cellStyle name="쉼표 [0] 2 2 2 2 2 2 2 2 2 2 2 2 2 2 2 2 2 2 2 2 2 2 2 2 2 2 2 2 7" xfId="805"/>
    <cellStyle name="쉼표 [0] 2 2 2 2 2 2 2 2 2 2 2 2 2 2 2 2 2 2 2 2 2 2 2 2 2 2 2 2 7 2" xfId="19017"/>
    <cellStyle name="쉼표 [0] 2 2 2 2 2 2 2 2 2 2 2 2 2 2 2 2 2 2 2 2 2 2 2 2 2 2 2 2 8" xfId="806"/>
    <cellStyle name="쉼표 [0] 2 2 2 2 2 2 2 2 2 2 2 2 2 2 2 2 2 2 2 2 2 2 2 2 2 2 2 2 8 2" xfId="19078"/>
    <cellStyle name="쉼표 [0] 2 2 2 2 2 2 2 2 2 2 2 2 2 2 2 2 2 2 2 2 2 2 2 2 2 2 2 2 9" xfId="807"/>
    <cellStyle name="쉼표 [0] 2 2 2 2 2 2 2 2 2 2 2 2 2 2 2 2 2 2 2 2 2 2 2 2 2 2 2 2 9 2" xfId="19208"/>
    <cellStyle name="쉼표 [0] 2 2 2 2 2 2 2 2 2 2 2 2 2 2 2 2 2 2 2 2 2 2 2 2 2 2 2 20" xfId="19958"/>
    <cellStyle name="쉼표 [0] 2 2 2 2 2 2 2 2 2 2 2 2 2 2 2 2 2 2 2 2 2 2 2 2 2 2 2 21" xfId="19957"/>
    <cellStyle name="쉼표 [0] 2 2 2 2 2 2 2 2 2 2 2 2 2 2 2 2 2 2 2 2 2 2 2 2 2 2 2 22" xfId="20154"/>
    <cellStyle name="쉼표 [0] 2 2 2 2 2 2 2 2 2 2 2 2 2 2 2 2 2 2 2 2 2 2 2 2 2 2 2 23" xfId="18781"/>
    <cellStyle name="쉼표 [0] 2 2 2 2 2 2 2 2 2 2 2 2 2 2 2 2 2 2 2 2 2 2 2 2 2 2 2 3" xfId="808"/>
    <cellStyle name="쉼표 [0] 2 2 2 2 2 2 2 2 2 2 2 2 2 2 2 2 2 2 2 2 2 2 2 2 2 2 2 3 2" xfId="18904"/>
    <cellStyle name="쉼표 [0] 2 2 2 2 2 2 2 2 2 2 2 2 2 2 2 2 2 2 2 2 2 2 2 2 2 2 2 4" xfId="809"/>
    <cellStyle name="쉼표 [0] 2 2 2 2 2 2 2 2 2 2 2 2 2 2 2 2 2 2 2 2 2 2 2 2 2 2 2 4 2" xfId="18954"/>
    <cellStyle name="쉼표 [0] 2 2 2 2 2 2 2 2 2 2 2 2 2 2 2 2 2 2 2 2 2 2 2 2 2 2 2 5" xfId="810"/>
    <cellStyle name="쉼표 [0] 2 2 2 2 2 2 2 2 2 2 2 2 2 2 2 2 2 2 2 2 2 2 2 2 2 2 2 5 2" xfId="18998"/>
    <cellStyle name="쉼표 [0] 2 2 2 2 2 2 2 2 2 2 2 2 2 2 2 2 2 2 2 2 2 2 2 2 2 2 2 6" xfId="811"/>
    <cellStyle name="쉼표 [0] 2 2 2 2 2 2 2 2 2 2 2 2 2 2 2 2 2 2 2 2 2 2 2 2 2 2 2 6 2" xfId="19044"/>
    <cellStyle name="쉼표 [0] 2 2 2 2 2 2 2 2 2 2 2 2 2 2 2 2 2 2 2 2 2 2 2 2 2 2 2 7" xfId="812"/>
    <cellStyle name="쉼표 [0] 2 2 2 2 2 2 2 2 2 2 2 2 2 2 2 2 2 2 2 2 2 2 2 2 2 2 2 7 2" xfId="19059"/>
    <cellStyle name="쉼표 [0] 2 2 2 2 2 2 2 2 2 2 2 2 2 2 2 2 2 2 2 2 2 2 2 2 2 2 2 8" xfId="813"/>
    <cellStyle name="쉼표 [0] 2 2 2 2 2 2 2 2 2 2 2 2 2 2 2 2 2 2 2 2 2 2 2 2 2 2 2 8 2" xfId="18923"/>
    <cellStyle name="쉼표 [0] 2 2 2 2 2 2 2 2 2 2 2 2 2 2 2 2 2 2 2 2 2 2 2 2 2 2 2 9" xfId="814"/>
    <cellStyle name="쉼표 [0] 2 2 2 2 2 2 2 2 2 2 2 2 2 2 2 2 2 2 2 2 2 2 2 2 2 2 2 9 2" xfId="19003"/>
    <cellStyle name="쉼표 [0] 2 2 2 2 2 2 2 2 2 2 2 2 2 2 2 2 2 2 2 2 2 2 2 2 2 2 20" xfId="19966"/>
    <cellStyle name="쉼표 [0] 2 2 2 2 2 2 2 2 2 2 2 2 2 2 2 2 2 2 2 2 2 2 2 2 2 2 21" xfId="19932"/>
    <cellStyle name="쉼표 [0] 2 2 2 2 2 2 2 2 2 2 2 2 2 2 2 2 2 2 2 2 2 2 2 2 2 2 22" xfId="20010"/>
    <cellStyle name="쉼표 [0] 2 2 2 2 2 2 2 2 2 2 2 2 2 2 2 2 2 2 2 2 2 2 2 2 2 2 23" xfId="18780"/>
    <cellStyle name="쉼표 [0] 2 2 2 2 2 2 2 2 2 2 2 2 2 2 2 2 2 2 2 2 2 2 2 2 2 2 3" xfId="815"/>
    <cellStyle name="쉼표 [0] 2 2 2 2 2 2 2 2 2 2 2 2 2 2 2 2 2 2 2 2 2 2 2 2 2 2 3 2" xfId="18903"/>
    <cellStyle name="쉼표 [0] 2 2 2 2 2 2 2 2 2 2 2 2 2 2 2 2 2 2 2 2 2 2 2 2 2 2 4" xfId="816"/>
    <cellStyle name="쉼표 [0] 2 2 2 2 2 2 2 2 2 2 2 2 2 2 2 2 2 2 2 2 2 2 2 2 2 2 4 2" xfId="18953"/>
    <cellStyle name="쉼표 [0] 2 2 2 2 2 2 2 2 2 2 2 2 2 2 2 2 2 2 2 2 2 2 2 2 2 2 5" xfId="817"/>
    <cellStyle name="쉼표 [0] 2 2 2 2 2 2 2 2 2 2 2 2 2 2 2 2 2 2 2 2 2 2 2 2 2 2 5 2" xfId="18997"/>
    <cellStyle name="쉼표 [0] 2 2 2 2 2 2 2 2 2 2 2 2 2 2 2 2 2 2 2 2 2 2 2 2 2 2 6" xfId="818"/>
    <cellStyle name="쉼표 [0] 2 2 2 2 2 2 2 2 2 2 2 2 2 2 2 2 2 2 2 2 2 2 2 2 2 2 6 2" xfId="19043"/>
    <cellStyle name="쉼표 [0] 2 2 2 2 2 2 2 2 2 2 2 2 2 2 2 2 2 2 2 2 2 2 2 2 2 2 7" xfId="819"/>
    <cellStyle name="쉼표 [0] 2 2 2 2 2 2 2 2 2 2 2 2 2 2 2 2 2 2 2 2 2 2 2 2 2 2 7 2" xfId="19069"/>
    <cellStyle name="쉼표 [0] 2 2 2 2 2 2 2 2 2 2 2 2 2 2 2 2 2 2 2 2 2 2 2 2 2 2 8" xfId="820"/>
    <cellStyle name="쉼표 [0] 2 2 2 2 2 2 2 2 2 2 2 2 2 2 2 2 2 2 2 2 2 2 2 2 2 2 8 2" xfId="18908"/>
    <cellStyle name="쉼표 [0] 2 2 2 2 2 2 2 2 2 2 2 2 2 2 2 2 2 2 2 2 2 2 2 2 2 2 9" xfId="821"/>
    <cellStyle name="쉼표 [0] 2 2 2 2 2 2 2 2 2 2 2 2 2 2 2 2 2 2 2 2 2 2 2 2 2 2 9 2" xfId="18941"/>
    <cellStyle name="쉼표 [0] 2 2 2 2 2 2 2 2 2 2 2 2 2 2 2 2 2 2 2 2 2 2 2 2 2 20" xfId="19729"/>
    <cellStyle name="쉼표 [0] 2 2 2 2 2 2 2 2 2 2 2 2 2 2 2 2 2 2 2 2 2 2 2 2 2 21" xfId="19967"/>
    <cellStyle name="쉼표 [0] 2 2 2 2 2 2 2 2 2 2 2 2 2 2 2 2 2 2 2 2 2 2 2 2 2 22" xfId="19956"/>
    <cellStyle name="쉼표 [0] 2 2 2 2 2 2 2 2 2 2 2 2 2 2 2 2 2 2 2 2 2 2 2 2 2 23" xfId="20153"/>
    <cellStyle name="쉼표 [0] 2 2 2 2 2 2 2 2 2 2 2 2 2 2 2 2 2 2 2 2 2 2 2 2 2 24" xfId="18676"/>
    <cellStyle name="쉼표 [0] 2 2 2 2 2 2 2 2 2 2 2 2 2 2 2 2 2 2 2 2 2 2 2 2 2 3" xfId="822"/>
    <cellStyle name="쉼표 [0] 2 2 2 2 2 2 2 2 2 2 2 2 2 2 2 2 2 2 2 2 2 2 2 2 2 3 2" xfId="18834"/>
    <cellStyle name="쉼표 [0] 2 2 2 2 2 2 2 2 2 2 2 2 2 2 2 2 2 2 2 2 2 2 2 2 2 4" xfId="823"/>
    <cellStyle name="쉼표 [0] 2 2 2 2 2 2 2 2 2 2 2 2 2 2 2 2 2 2 2 2 2 2 2 2 2 4 2" xfId="18881"/>
    <cellStyle name="쉼표 [0] 2 2 2 2 2 2 2 2 2 2 2 2 2 2 2 2 2 2 2 2 2 2 2 2 2 5" xfId="824"/>
    <cellStyle name="쉼표 [0] 2 2 2 2 2 2 2 2 2 2 2 2 2 2 2 2 2 2 2 2 2 2 2 2 2 5 2" xfId="18931"/>
    <cellStyle name="쉼표 [0] 2 2 2 2 2 2 2 2 2 2 2 2 2 2 2 2 2 2 2 2 2 2 2 2 2 6" xfId="825"/>
    <cellStyle name="쉼표 [0] 2 2 2 2 2 2 2 2 2 2 2 2 2 2 2 2 2 2 2 2 2 2 2 2 2 6 2" xfId="18823"/>
    <cellStyle name="쉼표 [0] 2 2 2 2 2 2 2 2 2 2 2 2 2 2 2 2 2 2 2 2 2 2 2 2 2 7" xfId="826"/>
    <cellStyle name="쉼표 [0] 2 2 2 2 2 2 2 2 2 2 2 2 2 2 2 2 2 2 2 2 2 2 2 2 2 7 2" xfId="19023"/>
    <cellStyle name="쉼표 [0] 2 2 2 2 2 2 2 2 2 2 2 2 2 2 2 2 2 2 2 2 2 2 2 2 2 8" xfId="827"/>
    <cellStyle name="쉼표 [0] 2 2 2 2 2 2 2 2 2 2 2 2 2 2 2 2 2 2 2 2 2 2 2 2 2 8 2" xfId="18887"/>
    <cellStyle name="쉼표 [0] 2 2 2 2 2 2 2 2 2 2 2 2 2 2 2 2 2 2 2 2 2 2 2 2 2 9" xfId="828"/>
    <cellStyle name="쉼표 [0] 2 2 2 2 2 2 2 2 2 2 2 2 2 2 2 2 2 2 2 2 2 2 2 2 2 9 2" xfId="18979"/>
    <cellStyle name="쉼표 [0] 2 2 2 2 2 2 2 2 2 2 2 2 2 2 2 2 2 2 2 2 2 2 2 2 20" xfId="19799"/>
    <cellStyle name="쉼표 [0] 2 2 2 2 2 2 2 2 2 2 2 2 2 2 2 2 2 2 2 2 2 2 2 2 21" xfId="20001"/>
    <cellStyle name="쉼표 [0] 2 2 2 2 2 2 2 2 2 2 2 2 2 2 2 2 2 2 2 2 2 2 2 2 22" xfId="20132"/>
    <cellStyle name="쉼표 [0] 2 2 2 2 2 2 2 2 2 2 2 2 2 2 2 2 2 2 2 2 2 2 2 2 23" xfId="20139"/>
    <cellStyle name="쉼표 [0] 2 2 2 2 2 2 2 2 2 2 2 2 2 2 2 2 2 2 2 2 2 2 2 2 24" xfId="18675"/>
    <cellStyle name="쉼표 [0] 2 2 2 2 2 2 2 2 2 2 2 2 2 2 2 2 2 2 2 2 2 2 2 2 3" xfId="829"/>
    <cellStyle name="쉼표 [0] 2 2 2 2 2 2 2 2 2 2 2 2 2 2 2 2 2 2 2 2 2 2 2 2 3 2" xfId="18833"/>
    <cellStyle name="쉼표 [0] 2 2 2 2 2 2 2 2 2 2 2 2 2 2 2 2 2 2 2 2 2 2 2 2 4" xfId="830"/>
    <cellStyle name="쉼표 [0] 2 2 2 2 2 2 2 2 2 2 2 2 2 2 2 2 2 2 2 2 2 2 2 2 4 2" xfId="18880"/>
    <cellStyle name="쉼표 [0] 2 2 2 2 2 2 2 2 2 2 2 2 2 2 2 2 2 2 2 2 2 2 2 2 5" xfId="831"/>
    <cellStyle name="쉼표 [0] 2 2 2 2 2 2 2 2 2 2 2 2 2 2 2 2 2 2 2 2 2 2 2 2 5 2" xfId="18930"/>
    <cellStyle name="쉼표 [0] 2 2 2 2 2 2 2 2 2 2 2 2 2 2 2 2 2 2 2 2 2 2 2 2 6" xfId="832"/>
    <cellStyle name="쉼표 [0] 2 2 2 2 2 2 2 2 2 2 2 2 2 2 2 2 2 2 2 2 2 2 2 2 6 2" xfId="18851"/>
    <cellStyle name="쉼표 [0] 2 2 2 2 2 2 2 2 2 2 2 2 2 2 2 2 2 2 2 2 2 2 2 2 7" xfId="833"/>
    <cellStyle name="쉼표 [0] 2 2 2 2 2 2 2 2 2 2 2 2 2 2 2 2 2 2 2 2 2 2 2 2 7 2" xfId="18962"/>
    <cellStyle name="쉼표 [0] 2 2 2 2 2 2 2 2 2 2 2 2 2 2 2 2 2 2 2 2 2 2 2 2 8" xfId="834"/>
    <cellStyle name="쉼표 [0] 2 2 2 2 2 2 2 2 2 2 2 2 2 2 2 2 2 2 2 2 2 2 2 2 8 2" xfId="18841"/>
    <cellStyle name="쉼표 [0] 2 2 2 2 2 2 2 2 2 2 2 2 2 2 2 2 2 2 2 2 2 2 2 2 9" xfId="835"/>
    <cellStyle name="쉼표 [0] 2 2 2 2 2 2 2 2 2 2 2 2 2 2 2 2 2 2 2 2 2 2 2 2 9 2" xfId="18769"/>
    <cellStyle name="쉼표 [0] 2 2 2 2 2 2 2 2 2 2 2 2 2 2 2 2 2 2 2 2 2 2 2 20" xfId="836"/>
    <cellStyle name="쉼표 [0] 2 2 2 2 2 2 2 2 2 2 2 2 2 2 2 2 2 2 2 2 2 2 2 20 2" xfId="837"/>
    <cellStyle name="쉼표 [0] 2 2 2 2 2 2 2 2 2 2 2 2 2 2 2 2 2 2 2 2 2 2 2 20 2 2" xfId="19624"/>
    <cellStyle name="쉼표 [0] 2 2 2 2 2 2 2 2 2 2 2 2 2 2 2 2 2 2 2 2 2 2 2 20 3" xfId="19321"/>
    <cellStyle name="쉼표 [0] 2 2 2 2 2 2 2 2 2 2 2 2 2 2 2 2 2 2 2 2 2 2 2 21" xfId="19754"/>
    <cellStyle name="쉼표 [0] 2 2 2 2 2 2 2 2 2 2 2 2 2 2 2 2 2 2 2 2 2 2 2 22" xfId="19822"/>
    <cellStyle name="쉼표 [0] 2 2 2 2 2 2 2 2 2 2 2 2 2 2 2 2 2 2 2 2 2 2 2 23" xfId="19902"/>
    <cellStyle name="쉼표 [0] 2 2 2 2 2 2 2 2 2 2 2 2 2 2 2 2 2 2 2 2 2 2 2 24" xfId="19994"/>
    <cellStyle name="쉼표 [0] 2 2 2 2 2 2 2 2 2 2 2 2 2 2 2 2 2 2 2 2 2 2 2 25" xfId="19981"/>
    <cellStyle name="쉼표 [0] 2 2 2 2 2 2 2 2 2 2 2 2 2 2 2 2 2 2 2 2 2 2 2 26" xfId="18621"/>
    <cellStyle name="쉼표 [0] 2 2 2 2 2 2 2 2 2 2 2 2 2 2 2 2 2 2 2 2 2 2 2 3" xfId="838"/>
    <cellStyle name="쉼표 [0] 2 2 2 2 2 2 2 2 2 2 2 2 2 2 2 2 2 2 2 2 2 2 2 3 2" xfId="18700"/>
    <cellStyle name="쉼표 [0] 2 2 2 2 2 2 2 2 2 2 2 2 2 2 2 2 2 2 2 2 2 2 2 4" xfId="839"/>
    <cellStyle name="쉼표 [0] 2 2 2 2 2 2 2 2 2 2 2 2 2 2 2 2 2 2 2 2 2 2 2 4 2" xfId="18768"/>
    <cellStyle name="쉼표 [0] 2 2 2 2 2 2 2 2 2 2 2 2 2 2 2 2 2 2 2 2 2 2 2 5" xfId="840"/>
    <cellStyle name="쉼표 [0] 2 2 2 2 2 2 2 2 2 2 2 2 2 2 2 2 2 2 2 2 2 2 2 5 2" xfId="18812"/>
    <cellStyle name="쉼표 [0] 2 2 2 2 2 2 2 2 2 2 2 2 2 2 2 2 2 2 2 2 2 2 2 6" xfId="841"/>
    <cellStyle name="쉼표 [0] 2 2 2 2 2 2 2 2 2 2 2 2 2 2 2 2 2 2 2 2 2 2 2 6 2" xfId="18858"/>
    <cellStyle name="쉼표 [0] 2 2 2 2 2 2 2 2 2 2 2 2 2 2 2 2 2 2 2 2 2 2 2 7" xfId="842"/>
    <cellStyle name="쉼표 [0] 2 2 2 2 2 2 2 2 2 2 2 2 2 2 2 2 2 2 2 2 2 2 2 7 2" xfId="18864"/>
    <cellStyle name="쉼표 [0] 2 2 2 2 2 2 2 2 2 2 2 2 2 2 2 2 2 2 2 2 2 2 2 8" xfId="843"/>
    <cellStyle name="쉼표 [0] 2 2 2 2 2 2 2 2 2 2 2 2 2 2 2 2 2 2 2 2 2 2 2 8 2" xfId="18861"/>
    <cellStyle name="쉼표 [0] 2 2 2 2 2 2 2 2 2 2 2 2 2 2 2 2 2 2 2 2 2 2 2 9" xfId="844"/>
    <cellStyle name="쉼표 [0] 2 2 2 2 2 2 2 2 2 2 2 2 2 2 2 2 2 2 2 2 2 2 2 9 2" xfId="18939"/>
    <cellStyle name="쉼표 [0] 2 2 2 2 2 2 2 2 2 2 2 2 2 2 2 2 2 2 2 2 2 2 20" xfId="845"/>
    <cellStyle name="쉼표 [0] 2 2 2 2 2 2 2 2 2 2 2 2 2 2 2 2 2 2 2 2 2 2 20 2" xfId="846"/>
    <cellStyle name="쉼표 [0] 2 2 2 2 2 2 2 2 2 2 2 2 2 2 2 2 2 2 2 2 2 2 20 2 2" xfId="19623"/>
    <cellStyle name="쉼표 [0] 2 2 2 2 2 2 2 2 2 2 2 2 2 2 2 2 2 2 2 2 2 2 20 3" xfId="19464"/>
    <cellStyle name="쉼표 [0] 2 2 2 2 2 2 2 2 2 2 2 2 2 2 2 2 2 2 2 2 2 2 21" xfId="19850"/>
    <cellStyle name="쉼표 [0] 2 2 2 2 2 2 2 2 2 2 2 2 2 2 2 2 2 2 2 2 2 2 22" xfId="19788"/>
    <cellStyle name="쉼표 [0] 2 2 2 2 2 2 2 2 2 2 2 2 2 2 2 2 2 2 2 2 2 2 23" xfId="19910"/>
    <cellStyle name="쉼표 [0] 2 2 2 2 2 2 2 2 2 2 2 2 2 2 2 2 2 2 2 2 2 2 24" xfId="19891"/>
    <cellStyle name="쉼표 [0] 2 2 2 2 2 2 2 2 2 2 2 2 2 2 2 2 2 2 2 2 2 2 25" xfId="20089"/>
    <cellStyle name="쉼표 [0] 2 2 2 2 2 2 2 2 2 2 2 2 2 2 2 2 2 2 2 2 2 2 26" xfId="18620"/>
    <cellStyle name="쉼표 [0] 2 2 2 2 2 2 2 2 2 2 2 2 2 2 2 2 2 2 2 2 2 2 3" xfId="847"/>
    <cellStyle name="쉼표 [0] 2 2 2 2 2 2 2 2 2 2 2 2 2 2 2 2 2 2 2 2 2 2 3 2" xfId="18699"/>
    <cellStyle name="쉼표 [0] 2 2 2 2 2 2 2 2 2 2 2 2 2 2 2 2 2 2 2 2 2 2 4" xfId="848"/>
    <cellStyle name="쉼표 [0] 2 2 2 2 2 2 2 2 2 2 2 2 2 2 2 2 2 2 2 2 2 2 4 2" xfId="18767"/>
    <cellStyle name="쉼표 [0] 2 2 2 2 2 2 2 2 2 2 2 2 2 2 2 2 2 2 2 2 2 2 5" xfId="849"/>
    <cellStyle name="쉼표 [0] 2 2 2 2 2 2 2 2 2 2 2 2 2 2 2 2 2 2 2 2 2 2 5 2" xfId="18811"/>
    <cellStyle name="쉼표 [0] 2 2 2 2 2 2 2 2 2 2 2 2 2 2 2 2 2 2 2 2 2 2 6" xfId="850"/>
    <cellStyle name="쉼표 [0] 2 2 2 2 2 2 2 2 2 2 2 2 2 2 2 2 2 2 2 2 2 2 6 2" xfId="18857"/>
    <cellStyle name="쉼표 [0] 2 2 2 2 2 2 2 2 2 2 2 2 2 2 2 2 2 2 2 2 2 2 7" xfId="851"/>
    <cellStyle name="쉼표 [0] 2 2 2 2 2 2 2 2 2 2 2 2 2 2 2 2 2 2 2 2 2 2 7 2" xfId="18860"/>
    <cellStyle name="쉼표 [0] 2 2 2 2 2 2 2 2 2 2 2 2 2 2 2 2 2 2 2 2 2 2 8" xfId="852"/>
    <cellStyle name="쉼표 [0] 2 2 2 2 2 2 2 2 2 2 2 2 2 2 2 2 2 2 2 2 2 2 8 2" xfId="18508"/>
    <cellStyle name="쉼표 [0] 2 2 2 2 2 2 2 2 2 2 2 2 2 2 2 2 2 2 2 2 2 2 9" xfId="853"/>
    <cellStyle name="쉼표 [0] 2 2 2 2 2 2 2 2 2 2 2 2 2 2 2 2 2 2 2 2 2 2 9 2" xfId="18989"/>
    <cellStyle name="쉼표 [0] 2 2 2 2 2 2 2 2 2 2 2 2 2 2 2 2 2 2 2 2 2 20" xfId="854"/>
    <cellStyle name="쉼표 [0] 2 2 2 2 2 2 2 2 2 2 2 2 2 2 2 2 2 2 2 2 2 20 2" xfId="19500"/>
    <cellStyle name="쉼표 [0] 2 2 2 2 2 2 2 2 2 2 2 2 2 2 2 2 2 2 2 2 2 21" xfId="855"/>
    <cellStyle name="쉼표 [0] 2 2 2 2 2 2 2 2 2 2 2 2 2 2 2 2 2 2 2 2 2 21 2" xfId="856"/>
    <cellStyle name="쉼표 [0] 2 2 2 2 2 2 2 2 2 2 2 2 2 2 2 2 2 2 2 2 2 21 2 2" xfId="19622"/>
    <cellStyle name="쉼표 [0] 2 2 2 2 2 2 2 2 2 2 2 2 2 2 2 2 2 2 2 2 2 21 3" xfId="19068"/>
    <cellStyle name="쉼표 [0] 2 2 2 2 2 2 2 2 2 2 2 2 2 2 2 2 2 2 2 2 2 22" xfId="19792"/>
    <cellStyle name="쉼표 [0] 2 2 2 2 2 2 2 2 2 2 2 2 2 2 2 2 2 2 2 2 2 23" xfId="19771"/>
    <cellStyle name="쉼표 [0] 2 2 2 2 2 2 2 2 2 2 2 2 2 2 2 2 2 2 2 2 2 24" xfId="19963"/>
    <cellStyle name="쉼표 [0] 2 2 2 2 2 2 2 2 2 2 2 2 2 2 2 2 2 2 2 2 2 25" xfId="19942"/>
    <cellStyle name="쉼표 [0] 2 2 2 2 2 2 2 2 2 2 2 2 2 2 2 2 2 2 2 2 2 26" xfId="19899"/>
    <cellStyle name="쉼표 [0] 2 2 2 2 2 2 2 2 2 2 2 2 2 2 2 2 2 2 2 2 2 27" xfId="18568"/>
    <cellStyle name="쉼표 [0] 2 2 2 2 2 2 2 2 2 2 2 2 2 2 2 2 2 2 2 2 2 3" xfId="857"/>
    <cellStyle name="쉼표 [0] 2 2 2 2 2 2 2 2 2 2 2 2 2 2 2 2 2 2 2 2 2 3 2" xfId="18665"/>
    <cellStyle name="쉼표 [0] 2 2 2 2 2 2 2 2 2 2 2 2 2 2 2 2 2 2 2 2 2 4" xfId="858"/>
    <cellStyle name="쉼표 [0] 2 2 2 2 2 2 2 2 2 2 2 2 2 2 2 2 2 2 2 2 2 4 2" xfId="18693"/>
    <cellStyle name="쉼표 [0] 2 2 2 2 2 2 2 2 2 2 2 2 2 2 2 2 2 2 2 2 2 5" xfId="859"/>
    <cellStyle name="쉼표 [0] 2 2 2 2 2 2 2 2 2 2 2 2 2 2 2 2 2 2 2 2 2 5 2" xfId="18749"/>
    <cellStyle name="쉼표 [0] 2 2 2 2 2 2 2 2 2 2 2 2 2 2 2 2 2 2 2 2 2 6" xfId="860"/>
    <cellStyle name="쉼표 [0] 2 2 2 2 2 2 2 2 2 2 2 2 2 2 2 2 2 2 2 2 2 6 2" xfId="18791"/>
    <cellStyle name="쉼표 [0] 2 2 2 2 2 2 2 2 2 2 2 2 2 2 2 2 2 2 2 2 2 7" xfId="861"/>
    <cellStyle name="쉼표 [0] 2 2 2 2 2 2 2 2 2 2 2 2 2 2 2 2 2 2 2 2 2 7 2" xfId="18839"/>
    <cellStyle name="쉼표 [0] 2 2 2 2 2 2 2 2 2 2 2 2 2 2 2 2 2 2 2 2 2 8" xfId="862"/>
    <cellStyle name="쉼표 [0] 2 2 2 2 2 2 2 2 2 2 2 2 2 2 2 2 2 2 2 2 2 8 2" xfId="18760"/>
    <cellStyle name="쉼표 [0] 2 2 2 2 2 2 2 2 2 2 2 2 2 2 2 2 2 2 2 2 2 9" xfId="863"/>
    <cellStyle name="쉼표 [0] 2 2 2 2 2 2 2 2 2 2 2 2 2 2 2 2 2 2 2 2 2 9 2" xfId="18898"/>
    <cellStyle name="쉼표 [0] 2 2 2 2 2 2 2 2 2 2 2 2 2 2 2 2 2 2 2 2 20" xfId="864"/>
    <cellStyle name="쉼표 [0] 2 2 2 2 2 2 2 2 2 2 2 2 2 2 2 2 2 2 2 2 20 2" xfId="19537"/>
    <cellStyle name="쉼표 [0] 2 2 2 2 2 2 2 2 2 2 2 2 2 2 2 2 2 2 2 2 21" xfId="865"/>
    <cellStyle name="쉼표 [0] 2 2 2 2 2 2 2 2 2 2 2 2 2 2 2 2 2 2 2 2 21 2" xfId="866"/>
    <cellStyle name="쉼표 [0] 2 2 2 2 2 2 2 2 2 2 2 2 2 2 2 2 2 2 2 2 21 2 2" xfId="19621"/>
    <cellStyle name="쉼표 [0] 2 2 2 2 2 2 2 2 2 2 2 2 2 2 2 2 2 2 2 2 21 3" xfId="19301"/>
    <cellStyle name="쉼표 [0] 2 2 2 2 2 2 2 2 2 2 2 2 2 2 2 2 2 2 2 2 22" xfId="19715"/>
    <cellStyle name="쉼표 [0] 2 2 2 2 2 2 2 2 2 2 2 2 2 2 2 2 2 2 2 2 23" xfId="19808"/>
    <cellStyle name="쉼표 [0] 2 2 2 2 2 2 2 2 2 2 2 2 2 2 2 2 2 2 2 2 24" xfId="20078"/>
    <cellStyle name="쉼표 [0] 2 2 2 2 2 2 2 2 2 2 2 2 2 2 2 2 2 2 2 2 25" xfId="20060"/>
    <cellStyle name="쉼표 [0] 2 2 2 2 2 2 2 2 2 2 2 2 2 2 2 2 2 2 2 2 26" xfId="20102"/>
    <cellStyle name="쉼표 [0] 2 2 2 2 2 2 2 2 2 2 2 2 2 2 2 2 2 2 2 2 27" xfId="18567"/>
    <cellStyle name="쉼표 [0] 2 2 2 2 2 2 2 2 2 2 2 2 2 2 2 2 2 2 2 2 3" xfId="867"/>
    <cellStyle name="쉼표 [0] 2 2 2 2 2 2 2 2 2 2 2 2 2 2 2 2 2 2 2 2 3 2" xfId="18664"/>
    <cellStyle name="쉼표 [0] 2 2 2 2 2 2 2 2 2 2 2 2 2 2 2 2 2 2 2 2 4" xfId="868"/>
    <cellStyle name="쉼표 [0] 2 2 2 2 2 2 2 2 2 2 2 2 2 2 2 2 2 2 2 2 4 2" xfId="18692"/>
    <cellStyle name="쉼표 [0] 2 2 2 2 2 2 2 2 2 2 2 2 2 2 2 2 2 2 2 2 5" xfId="869"/>
    <cellStyle name="쉼표 [0] 2 2 2 2 2 2 2 2 2 2 2 2 2 2 2 2 2 2 2 2 5 2" xfId="18748"/>
    <cellStyle name="쉼표 [0] 2 2 2 2 2 2 2 2 2 2 2 2 2 2 2 2 2 2 2 2 6" xfId="870"/>
    <cellStyle name="쉼표 [0] 2 2 2 2 2 2 2 2 2 2 2 2 2 2 2 2 2 2 2 2 6 2" xfId="18790"/>
    <cellStyle name="쉼표 [0] 2 2 2 2 2 2 2 2 2 2 2 2 2 2 2 2 2 2 2 2 7" xfId="871"/>
    <cellStyle name="쉼표 [0] 2 2 2 2 2 2 2 2 2 2 2 2 2 2 2 2 2 2 2 2 7 2" xfId="18844"/>
    <cellStyle name="쉼표 [0] 2 2 2 2 2 2 2 2 2 2 2 2 2 2 2 2 2 2 2 2 8" xfId="872"/>
    <cellStyle name="쉼표 [0] 2 2 2 2 2 2 2 2 2 2 2 2 2 2 2 2 2 2 2 2 8 2" xfId="18828"/>
    <cellStyle name="쉼표 [0] 2 2 2 2 2 2 2 2 2 2 2 2 2 2 2 2 2 2 2 2 9" xfId="873"/>
    <cellStyle name="쉼표 [0] 2 2 2 2 2 2 2 2 2 2 2 2 2 2 2 2 2 2 2 2 9 2" xfId="18818"/>
    <cellStyle name="쉼표 [0] 2 2 2 2 2 2 2 2 2 2 2 2 2 2 2 2 2 2 2 20" xfId="874"/>
    <cellStyle name="쉼표 [0] 2 2 2 2 2 2 2 2 2 2 2 2 2 2 2 2 2 2 2 20 2" xfId="875"/>
    <cellStyle name="쉼표 [0] 2 2 2 2 2 2 2 2 2 2 2 2 2 2 2 2 2 2 2 20 2 2" xfId="19522"/>
    <cellStyle name="쉼표 [0] 2 2 2 2 2 2 2 2 2 2 2 2 2 2 2 2 2 2 2 20 3" xfId="18922"/>
    <cellStyle name="쉼표 [0] 2 2 2 2 2 2 2 2 2 2 2 2 2 2 2 2 2 2 2 21" xfId="876"/>
    <cellStyle name="쉼표 [0] 2 2 2 2 2 2 2 2 2 2 2 2 2 2 2 2 2 2 2 21 2" xfId="19558"/>
    <cellStyle name="쉼표 [0] 2 2 2 2 2 2 2 2 2 2 2 2 2 2 2 2 2 2 2 22" xfId="877"/>
    <cellStyle name="쉼표 [0] 2 2 2 2 2 2 2 2 2 2 2 2 2 2 2 2 2 2 2 22 2" xfId="878"/>
    <cellStyle name="쉼표 [0] 2 2 2 2 2 2 2 2 2 2 2 2 2 2 2 2 2 2 2 22 2 2" xfId="19620"/>
    <cellStyle name="쉼표 [0] 2 2 2 2 2 2 2 2 2 2 2 2 2 2 2 2 2 2 2 22 3" xfId="19377"/>
    <cellStyle name="쉼표 [0] 2 2 2 2 2 2 2 2 2 2 2 2 2 2 2 2 2 2 2 23" xfId="19777"/>
    <cellStyle name="쉼표 [0] 2 2 2 2 2 2 2 2 2 2 2 2 2 2 2 2 2 2 2 24" xfId="19853"/>
    <cellStyle name="쉼표 [0] 2 2 2 2 2 2 2 2 2 2 2 2 2 2 2 2 2 2 2 25" xfId="19927"/>
    <cellStyle name="쉼표 [0] 2 2 2 2 2 2 2 2 2 2 2 2 2 2 2 2 2 2 2 26" xfId="20130"/>
    <cellStyle name="쉼표 [0] 2 2 2 2 2 2 2 2 2 2 2 2 2 2 2 2 2 2 2 27" xfId="19935"/>
    <cellStyle name="쉼표 [0] 2 2 2 2 2 2 2 2 2 2 2 2 2 2 2 2 2 2 2 28" xfId="18523"/>
    <cellStyle name="쉼표 [0] 2 2 2 2 2 2 2 2 2 2 2 2 2 2 2 2 2 2 2 3" xfId="879"/>
    <cellStyle name="쉼표 [0] 2 2 2 2 2 2 2 2 2 2 2 2 2 2 2 2 2 2 2 3 2" xfId="18614"/>
    <cellStyle name="쉼표 [0] 2 2 2 2 2 2 2 2 2 2 2 2 2 2 2 2 2 2 2 4" xfId="880"/>
    <cellStyle name="쉼표 [0] 2 2 2 2 2 2 2 2 2 2 2 2 2 2 2 2 2 2 2 4 2" xfId="18655"/>
    <cellStyle name="쉼표 [0] 2 2 2 2 2 2 2 2 2 2 2 2 2 2 2 2 2 2 2 5" xfId="881"/>
    <cellStyle name="쉼표 [0] 2 2 2 2 2 2 2 2 2 2 2 2 2 2 2 2 2 2 2 5 2" xfId="18684"/>
    <cellStyle name="쉼표 [0] 2 2 2 2 2 2 2 2 2 2 2 2 2 2 2 2 2 2 2 6" xfId="882"/>
    <cellStyle name="쉼표 [0] 2 2 2 2 2 2 2 2 2 2 2 2 2 2 2 2 2 2 2 6 2" xfId="18733"/>
    <cellStyle name="쉼표 [0] 2 2 2 2 2 2 2 2 2 2 2 2 2 2 2 2 2 2 2 7" xfId="883"/>
    <cellStyle name="쉼표 [0] 2 2 2 2 2 2 2 2 2 2 2 2 2 2 2 2 2 2 2 7 2" xfId="18405"/>
    <cellStyle name="쉼표 [0] 2 2 2 2 2 2 2 2 2 2 2 2 2 2 2 2 2 2 2 8" xfId="884"/>
    <cellStyle name="쉼표 [0] 2 2 2 2 2 2 2 2 2 2 2 2 2 2 2 2 2 2 2 8 2" xfId="18698"/>
    <cellStyle name="쉼표 [0] 2 2 2 2 2 2 2 2 2 2 2 2 2 2 2 2 2 2 2 9" xfId="885"/>
    <cellStyle name="쉼표 [0] 2 2 2 2 2 2 2 2 2 2 2 2 2 2 2 2 2 2 2 9 2" xfId="18847"/>
    <cellStyle name="쉼표 [0] 2 2 2 2 2 2 2 2 2 2 2 2 2 2 2 2 2 2 20" xfId="886"/>
    <cellStyle name="쉼표 [0] 2 2 2 2 2 2 2 2 2 2 2 2 2 2 2 2 2 2 20 2" xfId="887"/>
    <cellStyle name="쉼표 [0] 2 2 2 2 2 2 2 2 2 2 2 2 2 2 2 2 2 2 20 2 2" xfId="19519"/>
    <cellStyle name="쉼표 [0] 2 2 2 2 2 2 2 2 2 2 2 2 2 2 2 2 2 2 20 3" xfId="19275"/>
    <cellStyle name="쉼표 [0] 2 2 2 2 2 2 2 2 2 2 2 2 2 2 2 2 2 2 21" xfId="888"/>
    <cellStyle name="쉼표 [0] 2 2 2 2 2 2 2 2 2 2 2 2 2 2 2 2 2 2 21 2" xfId="19503"/>
    <cellStyle name="쉼표 [0] 2 2 2 2 2 2 2 2 2 2 2 2 2 2 2 2 2 2 22" xfId="889"/>
    <cellStyle name="쉼표 [0] 2 2 2 2 2 2 2 2 2 2 2 2 2 2 2 2 2 2 22 2" xfId="890"/>
    <cellStyle name="쉼표 [0] 2 2 2 2 2 2 2 2 2 2 2 2 2 2 2 2 2 2 22 2 2" xfId="19619"/>
    <cellStyle name="쉼표 [0] 2 2 2 2 2 2 2 2 2 2 2 2 2 2 2 2 2 2 22 3" xfId="18831"/>
    <cellStyle name="쉼표 [0] 2 2 2 2 2 2 2 2 2 2 2 2 2 2 2 2 2 2 23" xfId="19726"/>
    <cellStyle name="쉼표 [0] 2 2 2 2 2 2 2 2 2 2 2 2 2 2 2 2 2 2 24" xfId="19858"/>
    <cellStyle name="쉼표 [0] 2 2 2 2 2 2 2 2 2 2 2 2 2 2 2 2 2 2 25" xfId="19944"/>
    <cellStyle name="쉼표 [0] 2 2 2 2 2 2 2 2 2 2 2 2 2 2 2 2 2 2 26" xfId="19923"/>
    <cellStyle name="쉼표 [0] 2 2 2 2 2 2 2 2 2 2 2 2 2 2 2 2 2 2 27" xfId="19955"/>
    <cellStyle name="쉼표 [0] 2 2 2 2 2 2 2 2 2 2 2 2 2 2 2 2 2 2 28" xfId="18522"/>
    <cellStyle name="쉼표 [0] 2 2 2 2 2 2 2 2 2 2 2 2 2 2 2 2 2 2 3" xfId="891"/>
    <cellStyle name="쉼표 [0] 2 2 2 2 2 2 2 2 2 2 2 2 2 2 2 2 2 2 3 2" xfId="18613"/>
    <cellStyle name="쉼표 [0] 2 2 2 2 2 2 2 2 2 2 2 2 2 2 2 2 2 2 4" xfId="892"/>
    <cellStyle name="쉼표 [0] 2 2 2 2 2 2 2 2 2 2 2 2 2 2 2 2 2 2 4 2" xfId="18654"/>
    <cellStyle name="쉼표 [0] 2 2 2 2 2 2 2 2 2 2 2 2 2 2 2 2 2 2 5" xfId="893"/>
    <cellStyle name="쉼표 [0] 2 2 2 2 2 2 2 2 2 2 2 2 2 2 2 2 2 2 5 2" xfId="18683"/>
    <cellStyle name="쉼표 [0] 2 2 2 2 2 2 2 2 2 2 2 2 2 2 2 2 2 2 6" xfId="894"/>
    <cellStyle name="쉼표 [0] 2 2 2 2 2 2 2 2 2 2 2 2 2 2 2 2 2 2 6 2" xfId="18732"/>
    <cellStyle name="쉼표 [0] 2 2 2 2 2 2 2 2 2 2 2 2 2 2 2 2 2 2 7" xfId="895"/>
    <cellStyle name="쉼표 [0] 2 2 2 2 2 2 2 2 2 2 2 2 2 2 2 2 2 2 7 2" xfId="18583"/>
    <cellStyle name="쉼표 [0] 2 2 2 2 2 2 2 2 2 2 2 2 2 2 2 2 2 2 8" xfId="896"/>
    <cellStyle name="쉼표 [0] 2 2 2 2 2 2 2 2 2 2 2 2 2 2 2 2 2 2 8 2" xfId="18773"/>
    <cellStyle name="쉼표 [0] 2 2 2 2 2 2 2 2 2 2 2 2 2 2 2 2 2 2 9" xfId="897"/>
    <cellStyle name="쉼표 [0] 2 2 2 2 2 2 2 2 2 2 2 2 2 2 2 2 2 2 9 2" xfId="18566"/>
    <cellStyle name="쉼표 [0] 2 2 2 2 2 2 2 2 2 2 2 2 2 2 2 2 2 20" xfId="898"/>
    <cellStyle name="쉼표 [0] 2 2 2 2 2 2 2 2 2 2 2 2 2 2 2 2 2 20 2" xfId="19064"/>
    <cellStyle name="쉼표 [0] 2 2 2 2 2 2 2 2 2 2 2 2 2 2 2 2 2 21" xfId="899"/>
    <cellStyle name="쉼표 [0] 2 2 2 2 2 2 2 2 2 2 2 2 2 2 2 2 2 21 2" xfId="900"/>
    <cellStyle name="쉼표 [0] 2 2 2 2 2 2 2 2 2 2 2 2 2 2 2 2 2 21 2 2" xfId="19518"/>
    <cellStyle name="쉼표 [0] 2 2 2 2 2 2 2 2 2 2 2 2 2 2 2 2 2 21 3" xfId="19370"/>
    <cellStyle name="쉼표 [0] 2 2 2 2 2 2 2 2 2 2 2 2 2 2 2 2 2 22" xfId="901"/>
    <cellStyle name="쉼표 [0] 2 2 2 2 2 2 2 2 2 2 2 2 2 2 2 2 2 22 2" xfId="19494"/>
    <cellStyle name="쉼표 [0] 2 2 2 2 2 2 2 2 2 2 2 2 2 2 2 2 2 23" xfId="902"/>
    <cellStyle name="쉼표 [0] 2 2 2 2 2 2 2 2 2 2 2 2 2 2 2 2 2 23 2" xfId="903"/>
    <cellStyle name="쉼표 [0] 2 2 2 2 2 2 2 2 2 2 2 2 2 2 2 2 2 23 2 2" xfId="19618"/>
    <cellStyle name="쉼표 [0] 2 2 2 2 2 2 2 2 2 2 2 2 2 2 2 2 2 23 3" xfId="19166"/>
    <cellStyle name="쉼표 [0] 2 2 2 2 2 2 2 2 2 2 2 2 2 2 2 2 2 24" xfId="19741"/>
    <cellStyle name="쉼표 [0] 2 2 2 2 2 2 2 2 2 2 2 2 2 2 2 2 2 25" xfId="19717"/>
    <cellStyle name="쉼표 [0] 2 2 2 2 2 2 2 2 2 2 2 2 2 2 2 2 2 26" xfId="20011"/>
    <cellStyle name="쉼표 [0] 2 2 2 2 2 2 2 2 2 2 2 2 2 2 2 2 2 27" xfId="20122"/>
    <cellStyle name="쉼표 [0] 2 2 2 2 2 2 2 2 2 2 2 2 2 2 2 2 2 28" xfId="19970"/>
    <cellStyle name="쉼표 [0] 2 2 2 2 2 2 2 2 2 2 2 2 2 2 2 2 2 29" xfId="18481"/>
    <cellStyle name="쉼표 [0] 2 2 2 2 2 2 2 2 2 2 2 2 2 2 2 2 2 3" xfId="904"/>
    <cellStyle name="쉼표 [0] 2 2 2 2 2 2 2 2 2 2 2 2 2 2 2 2 2 3 2" xfId="18562"/>
    <cellStyle name="쉼표 [0] 2 2 2 2 2 2 2 2 2 2 2 2 2 2 2 2 2 4" xfId="905"/>
    <cellStyle name="쉼표 [0] 2 2 2 2 2 2 2 2 2 2 2 2 2 2 2 2 2 4 2" xfId="18599"/>
    <cellStyle name="쉼표 [0] 2 2 2 2 2 2 2 2 2 2 2 2 2 2 2 2 2 5" xfId="906"/>
    <cellStyle name="쉼표 [0] 2 2 2 2 2 2 2 2 2 2 2 2 2 2 2 2 2 5 2" xfId="18637"/>
    <cellStyle name="쉼표 [0] 2 2 2 2 2 2 2 2 2 2 2 2 2 2 2 2 2 6" xfId="907"/>
    <cellStyle name="쉼표 [0] 2 2 2 2 2 2 2 2 2 2 2 2 2 2 2 2 2 6 2" xfId="18607"/>
    <cellStyle name="쉼표 [0] 2 2 2 2 2 2 2 2 2 2 2 2 2 2 2 2 2 7" xfId="908"/>
    <cellStyle name="쉼표 [0] 2 2 2 2 2 2 2 2 2 2 2 2 2 2 2 2 2 7 2" xfId="18704"/>
    <cellStyle name="쉼표 [0] 2 2 2 2 2 2 2 2 2 2 2 2 2 2 2 2 2 8" xfId="909"/>
    <cellStyle name="쉼표 [0] 2 2 2 2 2 2 2 2 2 2 2 2 2 2 2 2 2 8 2" xfId="18709"/>
    <cellStyle name="쉼표 [0] 2 2 2 2 2 2 2 2 2 2 2 2 2 2 2 2 2 9" xfId="910"/>
    <cellStyle name="쉼표 [0] 2 2 2 2 2 2 2 2 2 2 2 2 2 2 2 2 2 9 2" xfId="18845"/>
    <cellStyle name="쉼표 [0] 2 2 2 2 2 2 2 2 2 2 2 2 2 2 2 2 20" xfId="911"/>
    <cellStyle name="쉼표 [0] 2 2 2 2 2 2 2 2 2 2 2 2 2 2 2 2 20 2" xfId="19095"/>
    <cellStyle name="쉼표 [0] 2 2 2 2 2 2 2 2 2 2 2 2 2 2 2 2 21" xfId="912"/>
    <cellStyle name="쉼표 [0] 2 2 2 2 2 2 2 2 2 2 2 2 2 2 2 2 21 2" xfId="913"/>
    <cellStyle name="쉼표 [0] 2 2 2 2 2 2 2 2 2 2 2 2 2 2 2 2 21 2 2" xfId="19515"/>
    <cellStyle name="쉼표 [0] 2 2 2 2 2 2 2 2 2 2 2 2 2 2 2 2 21 3" xfId="19164"/>
    <cellStyle name="쉼표 [0] 2 2 2 2 2 2 2 2 2 2 2 2 2 2 2 2 22" xfId="914"/>
    <cellStyle name="쉼표 [0] 2 2 2 2 2 2 2 2 2 2 2 2 2 2 2 2 22 2" xfId="19502"/>
    <cellStyle name="쉼표 [0] 2 2 2 2 2 2 2 2 2 2 2 2 2 2 2 2 23" xfId="915"/>
    <cellStyle name="쉼표 [0] 2 2 2 2 2 2 2 2 2 2 2 2 2 2 2 2 23 2" xfId="916"/>
    <cellStyle name="쉼표 [0] 2 2 2 2 2 2 2 2 2 2 2 2 2 2 2 2 23 2 2" xfId="19617"/>
    <cellStyle name="쉼표 [0] 2 2 2 2 2 2 2 2 2 2 2 2 2 2 2 2 23 3" xfId="19371"/>
    <cellStyle name="쉼표 [0] 2 2 2 2 2 2 2 2 2 2 2 2 2 2 2 2 24" xfId="19775"/>
    <cellStyle name="쉼표 [0] 2 2 2 2 2 2 2 2 2 2 2 2 2 2 2 2 25" xfId="19769"/>
    <cellStyle name="쉼표 [0] 2 2 2 2 2 2 2 2 2 2 2 2 2 2 2 2 26" xfId="20013"/>
    <cellStyle name="쉼표 [0] 2 2 2 2 2 2 2 2 2 2 2 2 2 2 2 2 27" xfId="19974"/>
    <cellStyle name="쉼표 [0] 2 2 2 2 2 2 2 2 2 2 2 2 2 2 2 2 28" xfId="20123"/>
    <cellStyle name="쉼표 [0] 2 2 2 2 2 2 2 2 2 2 2 2 2 2 2 2 29" xfId="18480"/>
    <cellStyle name="쉼표 [0] 2 2 2 2 2 2 2 2 2 2 2 2 2 2 2 2 3" xfId="917"/>
    <cellStyle name="쉼표 [0] 2 2 2 2 2 2 2 2 2 2 2 2 2 2 2 2 3 2" xfId="18561"/>
    <cellStyle name="쉼표 [0] 2 2 2 2 2 2 2 2 2 2 2 2 2 2 2 2 4" xfId="918"/>
    <cellStyle name="쉼표 [0] 2 2 2 2 2 2 2 2 2 2 2 2 2 2 2 2 4 2" xfId="18598"/>
    <cellStyle name="쉼표 [0] 2 2 2 2 2 2 2 2 2 2 2 2 2 2 2 2 5" xfId="919"/>
    <cellStyle name="쉼표 [0] 2 2 2 2 2 2 2 2 2 2 2 2 2 2 2 2 5 2" xfId="18636"/>
    <cellStyle name="쉼표 [0] 2 2 2 2 2 2 2 2 2 2 2 2 2 2 2 2 6" xfId="920"/>
    <cellStyle name="쉼표 [0] 2 2 2 2 2 2 2 2 2 2 2 2 2 2 2 2 6 2" xfId="18587"/>
    <cellStyle name="쉼표 [0] 2 2 2 2 2 2 2 2 2 2 2 2 2 2 2 2 7" xfId="921"/>
    <cellStyle name="쉼표 [0] 2 2 2 2 2 2 2 2 2 2 2 2 2 2 2 2 7 2" xfId="18703"/>
    <cellStyle name="쉼표 [0] 2 2 2 2 2 2 2 2 2 2 2 2 2 2 2 2 8" xfId="922"/>
    <cellStyle name="쉼표 [0] 2 2 2 2 2 2 2 2 2 2 2 2 2 2 2 2 8 2" xfId="18535"/>
    <cellStyle name="쉼표 [0] 2 2 2 2 2 2 2 2 2 2 2 2 2 2 2 2 9" xfId="923"/>
    <cellStyle name="쉼표 [0] 2 2 2 2 2 2 2 2 2 2 2 2 2 2 2 2 9 2" xfId="18830"/>
    <cellStyle name="쉼표 [0] 2 2 2 2 2 2 2 2 2 2 2 2 2 2 2 20" xfId="924"/>
    <cellStyle name="쉼표 [0] 2 2 2 2 2 2 2 2 2 2 2 2 2 2 2 20 2" xfId="19284"/>
    <cellStyle name="쉼표 [0] 2 2 2 2 2 2 2 2 2 2 2 2 2 2 2 21" xfId="925"/>
    <cellStyle name="쉼표 [0] 2 2 2 2 2 2 2 2 2 2 2 2 2 2 2 21 2" xfId="19202"/>
    <cellStyle name="쉼표 [0] 2 2 2 2 2 2 2 2 2 2 2 2 2 2 2 22" xfId="926"/>
    <cellStyle name="쉼표 [0] 2 2 2 2 2 2 2 2 2 2 2 2 2 2 2 22 2" xfId="927"/>
    <cellStyle name="쉼표 [0] 2 2 2 2 2 2 2 2 2 2 2 2 2 2 2 22 2 2" xfId="19514"/>
    <cellStyle name="쉼표 [0] 2 2 2 2 2 2 2 2 2 2 2 2 2 2 2 22 3" xfId="19205"/>
    <cellStyle name="쉼표 [0] 2 2 2 2 2 2 2 2 2 2 2 2 2 2 2 23" xfId="928"/>
    <cellStyle name="쉼표 [0] 2 2 2 2 2 2 2 2 2 2 2 2 2 2 2 23 2" xfId="19495"/>
    <cellStyle name="쉼표 [0] 2 2 2 2 2 2 2 2 2 2 2 2 2 2 2 24" xfId="929"/>
    <cellStyle name="쉼표 [0] 2 2 2 2 2 2 2 2 2 2 2 2 2 2 2 24 2" xfId="930"/>
    <cellStyle name="쉼표 [0] 2 2 2 2 2 2 2 2 2 2 2 2 2 2 2 24 2 2" xfId="19616"/>
    <cellStyle name="쉼표 [0] 2 2 2 2 2 2 2 2 2 2 2 2 2 2 2 24 3" xfId="18745"/>
    <cellStyle name="쉼표 [0] 2 2 2 2 2 2 2 2 2 2 2 2 2 2 2 25" xfId="19724"/>
    <cellStyle name="쉼표 [0] 2 2 2 2 2 2 2 2 2 2 2 2 2 2 2 26" xfId="19856"/>
    <cellStyle name="쉼표 [0] 2 2 2 2 2 2 2 2 2 2 2 2 2 2 2 27" xfId="19940"/>
    <cellStyle name="쉼표 [0] 2 2 2 2 2 2 2 2 2 2 2 2 2 2 2 28" xfId="20048"/>
    <cellStyle name="쉼표 [0] 2 2 2 2 2 2 2 2 2 2 2 2 2 2 2 29" xfId="20148"/>
    <cellStyle name="쉼표 [0] 2 2 2 2 2 2 2 2 2 2 2 2 2 2 2 3" xfId="931"/>
    <cellStyle name="쉼표 [0] 2 2 2 2 2 2 2 2 2 2 2 2 2 2 2 3 2" xfId="18517"/>
    <cellStyle name="쉼표 [0] 2 2 2 2 2 2 2 2 2 2 2 2 2 2 2 30" xfId="18434"/>
    <cellStyle name="쉼표 [0] 2 2 2 2 2 2 2 2 2 2 2 2 2 2 2 4" xfId="932"/>
    <cellStyle name="쉼표 [0] 2 2 2 2 2 2 2 2 2 2 2 2 2 2 2 4 2" xfId="18551"/>
    <cellStyle name="쉼표 [0] 2 2 2 2 2 2 2 2 2 2 2 2 2 2 2 5" xfId="933"/>
    <cellStyle name="쉼표 [0] 2 2 2 2 2 2 2 2 2 2 2 2 2 2 2 5 2" xfId="18585"/>
    <cellStyle name="쉼표 [0] 2 2 2 2 2 2 2 2 2 2 2 2 2 2 2 6" xfId="934"/>
    <cellStyle name="쉼표 [0] 2 2 2 2 2 2 2 2 2 2 2 2 2 2 2 6 2" xfId="18610"/>
    <cellStyle name="쉼표 [0] 2 2 2 2 2 2 2 2 2 2 2 2 2 2 2 7" xfId="935"/>
    <cellStyle name="쉼표 [0] 2 2 2 2 2 2 2 2 2 2 2 2 2 2 2 7 2" xfId="18663"/>
    <cellStyle name="쉼표 [0] 2 2 2 2 2 2 2 2 2 2 2 2 2 2 2 8" xfId="936"/>
    <cellStyle name="쉼표 [0] 2 2 2 2 2 2 2 2 2 2 2 2 2 2 2 8 2" xfId="18574"/>
    <cellStyle name="쉼표 [0] 2 2 2 2 2 2 2 2 2 2 2 2 2 2 2 9" xfId="937"/>
    <cellStyle name="쉼표 [0] 2 2 2 2 2 2 2 2 2 2 2 2 2 2 2 9 2" xfId="18751"/>
    <cellStyle name="쉼표 [0] 2 2 2 2 2 2 2 2 2 2 2 2 2 2 20" xfId="938"/>
    <cellStyle name="쉼표 [0] 2 2 2 2 2 2 2 2 2 2 2 2 2 2 20 2" xfId="18807"/>
    <cellStyle name="쉼표 [0] 2 2 2 2 2 2 2 2 2 2 2 2 2 2 21" xfId="939"/>
    <cellStyle name="쉼표 [0] 2 2 2 2 2 2 2 2 2 2 2 2 2 2 21 2" xfId="19065"/>
    <cellStyle name="쉼표 [0] 2 2 2 2 2 2 2 2 2 2 2 2 2 2 22" xfId="940"/>
    <cellStyle name="쉼표 [0] 2 2 2 2 2 2 2 2 2 2 2 2 2 2 22 2" xfId="941"/>
    <cellStyle name="쉼표 [0] 2 2 2 2 2 2 2 2 2 2 2 2 2 2 22 2 2" xfId="19512"/>
    <cellStyle name="쉼표 [0] 2 2 2 2 2 2 2 2 2 2 2 2 2 2 22 3" xfId="18805"/>
    <cellStyle name="쉼표 [0] 2 2 2 2 2 2 2 2 2 2 2 2 2 2 23" xfId="942"/>
    <cellStyle name="쉼표 [0] 2 2 2 2 2 2 2 2 2 2 2 2 2 2 23 2" xfId="19521"/>
    <cellStyle name="쉼표 [0] 2 2 2 2 2 2 2 2 2 2 2 2 2 2 24" xfId="943"/>
    <cellStyle name="쉼표 [0] 2 2 2 2 2 2 2 2 2 2 2 2 2 2 24 2" xfId="944"/>
    <cellStyle name="쉼표 [0] 2 2 2 2 2 2 2 2 2 2 2 2 2 2 24 2 2" xfId="19615"/>
    <cellStyle name="쉼표 [0] 2 2 2 2 2 2 2 2 2 2 2 2 2 2 24 3" xfId="19461"/>
    <cellStyle name="쉼표 [0] 2 2 2 2 2 2 2 2 2 2 2 2 2 2 25" xfId="19790"/>
    <cellStyle name="쉼표 [0] 2 2 2 2 2 2 2 2 2 2 2 2 2 2 26" xfId="19708"/>
    <cellStyle name="쉼표 [0] 2 2 2 2 2 2 2 2 2 2 2 2 2 2 27" xfId="20100"/>
    <cellStyle name="쉼표 [0] 2 2 2 2 2 2 2 2 2 2 2 2 2 2 28" xfId="19953"/>
    <cellStyle name="쉼표 [0] 2 2 2 2 2 2 2 2 2 2 2 2 2 2 29" xfId="20110"/>
    <cellStyle name="쉼표 [0] 2 2 2 2 2 2 2 2 2 2 2 2 2 2 3" xfId="945"/>
    <cellStyle name="쉼표 [0] 2 2 2 2 2 2 2 2 2 2 2 2 2 2 3 2" xfId="18516"/>
    <cellStyle name="쉼표 [0] 2 2 2 2 2 2 2 2 2 2 2 2 2 2 30" xfId="18433"/>
    <cellStyle name="쉼표 [0] 2 2 2 2 2 2 2 2 2 2 2 2 2 2 4" xfId="946"/>
    <cellStyle name="쉼표 [0] 2 2 2 2 2 2 2 2 2 2 2 2 2 2 4 2" xfId="18550"/>
    <cellStyle name="쉼표 [0] 2 2 2 2 2 2 2 2 2 2 2 2 2 2 5" xfId="947"/>
    <cellStyle name="쉼표 [0] 2 2 2 2 2 2 2 2 2 2 2 2 2 2 5 2" xfId="18584"/>
    <cellStyle name="쉼표 [0] 2 2 2 2 2 2 2 2 2 2 2 2 2 2 6" xfId="948"/>
    <cellStyle name="쉼표 [0] 2 2 2 2 2 2 2 2 2 2 2 2 2 2 6 2" xfId="18617"/>
    <cellStyle name="쉼표 [0] 2 2 2 2 2 2 2 2 2 2 2 2 2 2 7" xfId="949"/>
    <cellStyle name="쉼표 [0] 2 2 2 2 2 2 2 2 2 2 2 2 2 2 7 2" xfId="18671"/>
    <cellStyle name="쉼표 [0] 2 2 2 2 2 2 2 2 2 2 2 2 2 2 8" xfId="950"/>
    <cellStyle name="쉼표 [0] 2 2 2 2 2 2 2 2 2 2 2 2 2 2 8 2" xfId="18650"/>
    <cellStyle name="쉼표 [0] 2 2 2 2 2 2 2 2 2 2 2 2 2 2 9" xfId="951"/>
    <cellStyle name="쉼표 [0] 2 2 2 2 2 2 2 2 2 2 2 2 2 2 9 2" xfId="18766"/>
    <cellStyle name="쉼표 [0] 2 2 2 2 2 2 2 2 2 2 2 2 2 20" xfId="952"/>
    <cellStyle name="쉼표 [0] 2 2 2 2 2 2 2 2 2 2 2 2 2 20 2" xfId="18738"/>
    <cellStyle name="쉼표 [0] 2 2 2 2 2 2 2 2 2 2 2 2 2 21" xfId="953"/>
    <cellStyle name="쉼표 [0] 2 2 2 2 2 2 2 2 2 2 2 2 2 21 2" xfId="19183"/>
    <cellStyle name="쉼표 [0] 2 2 2 2 2 2 2 2 2 2 2 2 2 22" xfId="954"/>
    <cellStyle name="쉼표 [0] 2 2 2 2 2 2 2 2 2 2 2 2 2 22 2" xfId="19311"/>
    <cellStyle name="쉼표 [0] 2 2 2 2 2 2 2 2 2 2 2 2 2 23" xfId="955"/>
    <cellStyle name="쉼표 [0] 2 2 2 2 2 2 2 2 2 2 2 2 2 23 2" xfId="956"/>
    <cellStyle name="쉼표 [0] 2 2 2 2 2 2 2 2 2 2 2 2 2 23 2 2" xfId="19511"/>
    <cellStyle name="쉼표 [0] 2 2 2 2 2 2 2 2 2 2 2 2 2 23 3" xfId="18792"/>
    <cellStyle name="쉼표 [0] 2 2 2 2 2 2 2 2 2 2 2 2 2 24" xfId="957"/>
    <cellStyle name="쉼표 [0] 2 2 2 2 2 2 2 2 2 2 2 2 2 24 2" xfId="19561"/>
    <cellStyle name="쉼표 [0] 2 2 2 2 2 2 2 2 2 2 2 2 2 25" xfId="958"/>
    <cellStyle name="쉼표 [0] 2 2 2 2 2 2 2 2 2 2 2 2 2 25 2" xfId="959"/>
    <cellStyle name="쉼표 [0] 2 2 2 2 2 2 2 2 2 2 2 2 2 25 2 2" xfId="19614"/>
    <cellStyle name="쉼표 [0] 2 2 2 2 2 2 2 2 2 2 2 2 2 25 3" xfId="19218"/>
    <cellStyle name="쉼표 [0] 2 2 2 2 2 2 2 2 2 2 2 2 2 26" xfId="19803"/>
    <cellStyle name="쉼표 [0] 2 2 2 2 2 2 2 2 2 2 2 2 2 27" xfId="19791"/>
    <cellStyle name="쉼표 [0] 2 2 2 2 2 2 2 2 2 2 2 2 2 28" xfId="19906"/>
    <cellStyle name="쉼표 [0] 2 2 2 2 2 2 2 2 2 2 2 2 2 29" xfId="20007"/>
    <cellStyle name="쉼표 [0] 2 2 2 2 2 2 2 2 2 2 2 2 2 3" xfId="960"/>
    <cellStyle name="쉼표 [0] 2 2 2 2 2 2 2 2 2 2 2 2 2 3 2" xfId="18465"/>
    <cellStyle name="쉼표 [0] 2 2 2 2 2 2 2 2 2 2 2 2 2 30" xfId="20056"/>
    <cellStyle name="쉼표 [0] 2 2 2 2 2 2 2 2 2 2 2 2 2 31" xfId="18375"/>
    <cellStyle name="쉼표 [0] 2 2 2 2 2 2 2 2 2 2 2 2 2 4" xfId="961"/>
    <cellStyle name="쉼표 [0] 2 2 2 2 2 2 2 2 2 2 2 2 2 4 2" xfId="18492"/>
    <cellStyle name="쉼표 [0] 2 2 2 2 2 2 2 2 2 2 2 2 2 5" xfId="962"/>
    <cellStyle name="쉼표 [0] 2 2 2 2 2 2 2 2 2 2 2 2 2 5 2" xfId="18521"/>
    <cellStyle name="쉼표 [0] 2 2 2 2 2 2 2 2 2 2 2 2 2 6" xfId="963"/>
    <cellStyle name="쉼표 [0] 2 2 2 2 2 2 2 2 2 2 2 2 2 6 2" xfId="18540"/>
    <cellStyle name="쉼표 [0] 2 2 2 2 2 2 2 2 2 2 2 2 2 7" xfId="964"/>
    <cellStyle name="쉼표 [0] 2 2 2 2 2 2 2 2 2 2 2 2 2 7 2" xfId="18605"/>
    <cellStyle name="쉼표 [0] 2 2 2 2 2 2 2 2 2 2 2 2 2 8" xfId="965"/>
    <cellStyle name="쉼표 [0] 2 2 2 2 2 2 2 2 2 2 2 2 2 8 2" xfId="18593"/>
    <cellStyle name="쉼표 [0] 2 2 2 2 2 2 2 2 2 2 2 2 2 9" xfId="966"/>
    <cellStyle name="쉼표 [0] 2 2 2 2 2 2 2 2 2 2 2 2 2 9 2" xfId="18627"/>
    <cellStyle name="쉼표 [0] 2 2 2 2 2 2 2 2 2 2 2 2 20" xfId="967"/>
    <cellStyle name="쉼표 [0] 2 2 2 2 2 2 2 2 2 2 2 2 20 2" xfId="19207"/>
    <cellStyle name="쉼표 [0] 2 2 2 2 2 2 2 2 2 2 2 2 21" xfId="968"/>
    <cellStyle name="쉼표 [0] 2 2 2 2 2 2 2 2 2 2 2 2 21 2" xfId="19366"/>
    <cellStyle name="쉼표 [0] 2 2 2 2 2 2 2 2 2 2 2 2 22" xfId="969"/>
    <cellStyle name="쉼표 [0] 2 2 2 2 2 2 2 2 2 2 2 2 22 2" xfId="18548"/>
    <cellStyle name="쉼표 [0] 2 2 2 2 2 2 2 2 2 2 2 2 23" xfId="970"/>
    <cellStyle name="쉼표 [0] 2 2 2 2 2 2 2 2 2 2 2 2 23 2" xfId="971"/>
    <cellStyle name="쉼표 [0] 2 2 2 2 2 2 2 2 2 2 2 2 23 2 2" xfId="19507"/>
    <cellStyle name="쉼표 [0] 2 2 2 2 2 2 2 2 2 2 2 2 23 3" xfId="19125"/>
    <cellStyle name="쉼표 [0] 2 2 2 2 2 2 2 2 2 2 2 2 24" xfId="972"/>
    <cellStyle name="쉼표 [0] 2 2 2 2 2 2 2 2 2 2 2 2 24 2" xfId="19532"/>
    <cellStyle name="쉼표 [0] 2 2 2 2 2 2 2 2 2 2 2 2 25" xfId="973"/>
    <cellStyle name="쉼표 [0] 2 2 2 2 2 2 2 2 2 2 2 2 25 2" xfId="974"/>
    <cellStyle name="쉼표 [0] 2 2 2 2 2 2 2 2 2 2 2 2 25 2 2" xfId="19613"/>
    <cellStyle name="쉼표 [0] 2 2 2 2 2 2 2 2 2 2 2 2 25 3" xfId="19438"/>
    <cellStyle name="쉼표 [0] 2 2 2 2 2 2 2 2 2 2 2 2 26" xfId="19835"/>
    <cellStyle name="쉼표 [0] 2 2 2 2 2 2 2 2 2 2 2 2 27" xfId="19821"/>
    <cellStyle name="쉼표 [0] 2 2 2 2 2 2 2 2 2 2 2 2 28" xfId="19972"/>
    <cellStyle name="쉼표 [0] 2 2 2 2 2 2 2 2 2 2 2 2 29" xfId="19962"/>
    <cellStyle name="쉼표 [0] 2 2 2 2 2 2 2 2 2 2 2 2 3" xfId="975"/>
    <cellStyle name="쉼표 [0] 2 2 2 2 2 2 2 2 2 2 2 2 3 2" xfId="18464"/>
    <cellStyle name="쉼표 [0] 2 2 2 2 2 2 2 2 2 2 2 2 30" xfId="20099"/>
    <cellStyle name="쉼표 [0] 2 2 2 2 2 2 2 2 2 2 2 2 31" xfId="18374"/>
    <cellStyle name="쉼표 [0] 2 2 2 2 2 2 2 2 2 2 2 2 4" xfId="976"/>
    <cellStyle name="쉼표 [0] 2 2 2 2 2 2 2 2 2 2 2 2 4 2" xfId="18491"/>
    <cellStyle name="쉼표 [0] 2 2 2 2 2 2 2 2 2 2 2 2 5" xfId="977"/>
    <cellStyle name="쉼표 [0] 2 2 2 2 2 2 2 2 2 2 2 2 5 2" xfId="18494"/>
    <cellStyle name="쉼표 [0] 2 2 2 2 2 2 2 2 2 2 2 2 6" xfId="978"/>
    <cellStyle name="쉼표 [0] 2 2 2 2 2 2 2 2 2 2 2 2 6 2" xfId="18542"/>
    <cellStyle name="쉼표 [0] 2 2 2 2 2 2 2 2 2 2 2 2 7" xfId="979"/>
    <cellStyle name="쉼표 [0] 2 2 2 2 2 2 2 2 2 2 2 2 7 2" xfId="18471"/>
    <cellStyle name="쉼표 [0] 2 2 2 2 2 2 2 2 2 2 2 2 8" xfId="980"/>
    <cellStyle name="쉼표 [0] 2 2 2 2 2 2 2 2 2 2 2 2 8 2" xfId="18392"/>
    <cellStyle name="쉼표 [0] 2 2 2 2 2 2 2 2 2 2 2 2 9" xfId="981"/>
    <cellStyle name="쉼표 [0] 2 2 2 2 2 2 2 2 2 2 2 2 9 2" xfId="18553"/>
    <cellStyle name="쉼표 [0] 2 2 2 2 2 2 2 2 2 2 2 20" xfId="982"/>
    <cellStyle name="쉼표 [0] 2 2 2 2 2 2 2 2 2 2 2 20 2" xfId="19121"/>
    <cellStyle name="쉼표 [0] 2 2 2 2 2 2 2 2 2 2 2 21" xfId="983"/>
    <cellStyle name="쉼표 [0] 2 2 2 2 2 2 2 2 2 2 2 21 2" xfId="19260"/>
    <cellStyle name="쉼표 [0] 2 2 2 2 2 2 2 2 2 2 2 22" xfId="984"/>
    <cellStyle name="쉼표 [0] 2 2 2 2 2 2 2 2 2 2 2 22 2" xfId="19150"/>
    <cellStyle name="쉼표 [0] 2 2 2 2 2 2 2 2 2 2 2 23" xfId="985"/>
    <cellStyle name="쉼표 [0] 2 2 2 2 2 2 2 2 2 2 2 23 2" xfId="18940"/>
    <cellStyle name="쉼표 [0] 2 2 2 2 2 2 2 2 2 2 2 24" xfId="986"/>
    <cellStyle name="쉼표 [0] 2 2 2 2 2 2 2 2 2 2 2 24 2" xfId="987"/>
    <cellStyle name="쉼표 [0] 2 2 2 2 2 2 2 2 2 2 2 24 2 2" xfId="19506"/>
    <cellStyle name="쉼표 [0] 2 2 2 2 2 2 2 2 2 2 2 24 3" xfId="19232"/>
    <cellStyle name="쉼표 [0] 2 2 2 2 2 2 2 2 2 2 2 25" xfId="988"/>
    <cellStyle name="쉼표 [0] 2 2 2 2 2 2 2 2 2 2 2 25 2" xfId="19539"/>
    <cellStyle name="쉼표 [0] 2 2 2 2 2 2 2 2 2 2 2 26" xfId="989"/>
    <cellStyle name="쉼표 [0] 2 2 2 2 2 2 2 2 2 2 2 26 2" xfId="990"/>
    <cellStyle name="쉼표 [0] 2 2 2 2 2 2 2 2 2 2 2 26 2 2" xfId="19612"/>
    <cellStyle name="쉼표 [0] 2 2 2 2 2 2 2 2 2 2 2 26 3" xfId="19020"/>
    <cellStyle name="쉼표 [0] 2 2 2 2 2 2 2 2 2 2 2 27" xfId="19784"/>
    <cellStyle name="쉼표 [0] 2 2 2 2 2 2 2 2 2 2 2 28" xfId="19761"/>
    <cellStyle name="쉼표 [0] 2 2 2 2 2 2 2 2 2 2 2 29" xfId="19937"/>
    <cellStyle name="쉼표 [0] 2 2 2 2 2 2 2 2 2 2 2 3" xfId="991"/>
    <cellStyle name="쉼표 [0] 2 2 2 2 2 2 2 2 2 2 2 3 2" xfId="18413"/>
    <cellStyle name="쉼표 [0] 2 2 2 2 2 2 2 2 2 2 2 30" xfId="19983"/>
    <cellStyle name="쉼표 [0] 2 2 2 2 2 2 2 2 2 2 2 31" xfId="19918"/>
    <cellStyle name="쉼표 [0] 2 2 2 2 2 2 2 2 2 2 2 32" xfId="18325"/>
    <cellStyle name="쉼표 [0] 2 2 2 2 2 2 2 2 2 2 2 4" xfId="992"/>
    <cellStyle name="쉼표 [0] 2 2 2 2 2 2 2 2 2 2 2 4 2" xfId="18427"/>
    <cellStyle name="쉼표 [0] 2 2 2 2 2 2 2 2 2 2 2 5" xfId="993"/>
    <cellStyle name="쉼표 [0] 2 2 2 2 2 2 2 2 2 2 2 5 2" xfId="18317"/>
    <cellStyle name="쉼표 [0] 2 2 2 2 2 2 2 2 2 2 2 6" xfId="994"/>
    <cellStyle name="쉼표 [0] 2 2 2 2 2 2 2 2 2 2 2 6 2" xfId="18515"/>
    <cellStyle name="쉼표 [0] 2 2 2 2 2 2 2 2 2 2 2 7" xfId="995"/>
    <cellStyle name="쉼표 [0] 2 2 2 2 2 2 2 2 2 2 2 7 2" xfId="18440"/>
    <cellStyle name="쉼표 [0] 2 2 2 2 2 2 2 2 2 2 2 8" xfId="996"/>
    <cellStyle name="쉼표 [0] 2 2 2 2 2 2 2 2 2 2 2 8 2" xfId="18473"/>
    <cellStyle name="쉼표 [0] 2 2 2 2 2 2 2 2 2 2 2 9" xfId="997"/>
    <cellStyle name="쉼표 [0] 2 2 2 2 2 2 2 2 2 2 2 9 2" xfId="18424"/>
    <cellStyle name="쉼표 [0] 2 2 2 2 2 2 2 2 2 2 20" xfId="998"/>
    <cellStyle name="쉼표 [0] 2 2 2 2 2 2 2 2 2 2 20 2" xfId="18445"/>
    <cellStyle name="쉼표 [0] 2 2 2 2 2 2 2 2 2 2 21" xfId="999"/>
    <cellStyle name="쉼표 [0] 2 2 2 2 2 2 2 2 2 2 21 2" xfId="18918"/>
    <cellStyle name="쉼표 [0] 2 2 2 2 2 2 2 2 2 2 22" xfId="1000"/>
    <cellStyle name="쉼표 [0] 2 2 2 2 2 2 2 2 2 2 22 2" xfId="18486"/>
    <cellStyle name="쉼표 [0] 2 2 2 2 2 2 2 2 2 2 23" xfId="1001"/>
    <cellStyle name="쉼표 [0] 2 2 2 2 2 2 2 2 2 2 23 2" xfId="19291"/>
    <cellStyle name="쉼표 [0] 2 2 2 2 2 2 2 2 2 2 24" xfId="1002"/>
    <cellStyle name="쉼표 [0] 2 2 2 2 2 2 2 2 2 2 24 2" xfId="19255"/>
    <cellStyle name="쉼표 [0] 2 2 2 2 2 2 2 2 2 2 25" xfId="1003"/>
    <cellStyle name="쉼표 [0] 2 2 2 2 2 2 2 2 2 2 25 2" xfId="1004"/>
    <cellStyle name="쉼표 [0] 2 2 2 2 2 2 2 2 2 2 25 2 2" xfId="19499"/>
    <cellStyle name="쉼표 [0] 2 2 2 2 2 2 2 2 2 2 25 3" xfId="19129"/>
    <cellStyle name="쉼표 [0] 2 2 2 2 2 2 2 2 2 2 26" xfId="1005"/>
    <cellStyle name="쉼표 [0] 2 2 2 2 2 2 2 2 2 2 26 2" xfId="19575"/>
    <cellStyle name="쉼표 [0] 2 2 2 2 2 2 2 2 2 2 27" xfId="1006"/>
    <cellStyle name="쉼표 [0] 2 2 2 2 2 2 2 2 2 2 27 2" xfId="1007"/>
    <cellStyle name="쉼표 [0] 2 2 2 2 2 2 2 2 2 2 27 2 2" xfId="19611"/>
    <cellStyle name="쉼표 [0] 2 2 2 2 2 2 2 2 2 2 27 3" xfId="19198"/>
    <cellStyle name="쉼표 [0] 2 2 2 2 2 2 2 2 2 2 28" xfId="19713"/>
    <cellStyle name="쉼표 [0] 2 2 2 2 2 2 2 2 2 2 29" xfId="19834"/>
    <cellStyle name="쉼표 [0] 2 2 2 2 2 2 2 2 2 2 3" xfId="1008"/>
    <cellStyle name="쉼표 [0] 2 2 2 2 2 2 2 2 2 2 3 2" xfId="18404"/>
    <cellStyle name="쉼표 [0] 2 2 2 2 2 2 2 2 2 2 30" xfId="20061"/>
    <cellStyle name="쉼표 [0] 2 2 2 2 2 2 2 2 2 2 31" xfId="20067"/>
    <cellStyle name="쉼표 [0] 2 2 2 2 2 2 2 2 2 2 32" xfId="19896"/>
    <cellStyle name="쉼표 [0] 2 2 2 2 2 2 2 2 2 2 33" xfId="18324"/>
    <cellStyle name="쉼표 [0] 2 2 2 2 2 2 2 2 2 2 4" xfId="1009"/>
    <cellStyle name="쉼표 [0] 2 2 2 2 2 2 2 2 2 2 4 2" xfId="18412"/>
    <cellStyle name="쉼표 [0] 2 2 2 2 2 2 2 2 2 2 5" xfId="1010"/>
    <cellStyle name="쉼표 [0] 2 2 2 2 2 2 2 2 2 2 5 2" xfId="18430"/>
    <cellStyle name="쉼표 [0] 2 2 2 2 2 2 2 2 2 2 6" xfId="1011"/>
    <cellStyle name="쉼표 [0] 2 2 2 2 2 2 2 2 2 2 6 2" xfId="18332"/>
    <cellStyle name="쉼표 [0] 2 2 2 2 2 2 2 2 2 2 7" xfId="1012"/>
    <cellStyle name="쉼표 [0] 2 2 2 2 2 2 2 2 2 2 7 2" xfId="18365"/>
    <cellStyle name="쉼표 [0] 2 2 2 2 2 2 2 2 2 2 8" xfId="1013"/>
    <cellStyle name="쉼표 [0] 2 2 2 2 2 2 2 2 2 2 8 2" xfId="18475"/>
    <cellStyle name="쉼표 [0] 2 2 2 2 2 2 2 2 2 2 9" xfId="1014"/>
    <cellStyle name="쉼표 [0] 2 2 2 2 2 2 2 2 2 2 9 2" xfId="18509"/>
    <cellStyle name="쉼표 [0] 2 2 2 2 2 2 2 2 2 20" xfId="1015"/>
    <cellStyle name="쉼표 [0] 2 2 2 2 2 2 2 2 2 20 2" xfId="18765"/>
    <cellStyle name="쉼표 [0] 2 2 2 2 2 2 2 2 2 21" xfId="1016"/>
    <cellStyle name="쉼표 [0] 2 2 2 2 2 2 2 2 2 21 2" xfId="18917"/>
    <cellStyle name="쉼표 [0] 2 2 2 2 2 2 2 2 2 22" xfId="1017"/>
    <cellStyle name="쉼표 [0] 2 2 2 2 2 2 2 2 2 22 2" xfId="18821"/>
    <cellStyle name="쉼표 [0] 2 2 2 2 2 2 2 2 2 23" xfId="1018"/>
    <cellStyle name="쉼표 [0] 2 2 2 2 2 2 2 2 2 23 2" xfId="19203"/>
    <cellStyle name="쉼표 [0] 2 2 2 2 2 2 2 2 2 24" xfId="1019"/>
    <cellStyle name="쉼표 [0] 2 2 2 2 2 2 2 2 2 24 2" xfId="19242"/>
    <cellStyle name="쉼표 [0] 2 2 2 2 2 2 2 2 2 25" xfId="1020"/>
    <cellStyle name="쉼표 [0] 2 2 2 2 2 2 2 2 2 25 2" xfId="1021"/>
    <cellStyle name="쉼표 [0] 2 2 2 2 2 2 2 2 2 25 2 2" xfId="19498"/>
    <cellStyle name="쉼표 [0] 2 2 2 2 2 2 2 2 2 25 3" xfId="19231"/>
    <cellStyle name="쉼표 [0] 2 2 2 2 2 2 2 2 2 26" xfId="1022"/>
    <cellStyle name="쉼표 [0] 2 2 2 2 2 2 2 2 2 26 2" xfId="19496"/>
    <cellStyle name="쉼표 [0] 2 2 2 2 2 2 2 2 2 27" xfId="1023"/>
    <cellStyle name="쉼표 [0] 2 2 2 2 2 2 2 2 2 27 2" xfId="1024"/>
    <cellStyle name="쉼표 [0] 2 2 2 2 2 2 2 2 2 27 2 2" xfId="19610"/>
    <cellStyle name="쉼표 [0] 2 2 2 2 2 2 2 2 2 27 3" xfId="19116"/>
    <cellStyle name="쉼표 [0] 2 2 2 2 2 2 2 2 2 28" xfId="19774"/>
    <cellStyle name="쉼표 [0] 2 2 2 2 2 2 2 2 2 29" xfId="19832"/>
    <cellStyle name="쉼표 [0] 2 2 2 2 2 2 2 2 2 3" xfId="1025"/>
    <cellStyle name="쉼표 [0] 2 2 2 2 2 2 2 2 2 3 2" xfId="1026"/>
    <cellStyle name="쉼표 [0] 2 2 2 2 2 2 2 2 2 3 2 2" xfId="18403"/>
    <cellStyle name="쉼표 [0] 2 2 2 2 2 2 2 2 2 3 3" xfId="18362"/>
    <cellStyle name="쉼표 [0] 2 2 2 2 2 2 2 2 2 30" xfId="19960"/>
    <cellStyle name="쉼표 [0] 2 2 2 2 2 2 2 2 2 31" xfId="20107"/>
    <cellStyle name="쉼표 [0] 2 2 2 2 2 2 2 2 2 32" xfId="19911"/>
    <cellStyle name="쉼표 [0] 2 2 2 2 2 2 2 2 2 33" xfId="18292"/>
    <cellStyle name="쉼표 [0] 2 2 2 2 2 2 2 2 2 4" xfId="1027"/>
    <cellStyle name="쉼표 [0] 2 2 2 2 2 2 2 2 2 4 2" xfId="18391"/>
    <cellStyle name="쉼표 [0] 2 2 2 2 2 2 2 2 2 5" xfId="1028"/>
    <cellStyle name="쉼표 [0] 2 2 2 2 2 2 2 2 2 5 2" xfId="18353"/>
    <cellStyle name="쉼표 [0] 2 2 2 2 2 2 2 2 2 6" xfId="1029"/>
    <cellStyle name="쉼표 [0] 2 2 2 2 2 2 2 2 2 6 2" xfId="18379"/>
    <cellStyle name="쉼표 [0] 2 2 2 2 2 2 2 2 2 7" xfId="1030"/>
    <cellStyle name="쉼표 [0] 2 2 2 2 2 2 2 2 2 7 2" xfId="18499"/>
    <cellStyle name="쉼표 [0] 2 2 2 2 2 2 2 2 2 8" xfId="1031"/>
    <cellStyle name="쉼표 [0] 2 2 2 2 2 2 2 2 2 8 2" xfId="18386"/>
    <cellStyle name="쉼표 [0] 2 2 2 2 2 2 2 2 2 9" xfId="1032"/>
    <cellStyle name="쉼표 [0] 2 2 2 2 2 2 2 2 2 9 2" xfId="18554"/>
    <cellStyle name="쉼표 [0] 2 2 2 2 2 2 2 2 20" xfId="1033"/>
    <cellStyle name="쉼표 [0] 2 2 2 2 2 2 2 2 20 2" xfId="18877"/>
    <cellStyle name="쉼표 [0] 2 2 2 2 2 2 2 2 21" xfId="1034"/>
    <cellStyle name="쉼표 [0] 2 2 2 2 2 2 2 2 21 2" xfId="18609"/>
    <cellStyle name="쉼표 [0] 2 2 2 2 2 2 2 2 22" xfId="1035"/>
    <cellStyle name="쉼표 [0] 2 2 2 2 2 2 2 2 22 2" xfId="18534"/>
    <cellStyle name="쉼표 [0] 2 2 2 2 2 2 2 2 23" xfId="1036"/>
    <cellStyle name="쉼표 [0] 2 2 2 2 2 2 2 2 23 2" xfId="18689"/>
    <cellStyle name="쉼표 [0] 2 2 2 2 2 2 2 2 24" xfId="1037"/>
    <cellStyle name="쉼표 [0] 2 2 2 2 2 2 2 2 24 2" xfId="18485"/>
    <cellStyle name="쉼표 [0] 2 2 2 2 2 2 2 2 25" xfId="1038"/>
    <cellStyle name="쉼표 [0] 2 2 2 2 2 2 2 2 25 2" xfId="19279"/>
    <cellStyle name="쉼표 [0] 2 2 2 2 2 2 2 2 26" xfId="1039"/>
    <cellStyle name="쉼표 [0] 2 2 2 2 2 2 2 2 26 2" xfId="19259"/>
    <cellStyle name="쉼표 [0] 2 2 2 2 2 2 2 2 27" xfId="1040"/>
    <cellStyle name="쉼표 [0] 2 2 2 2 2 2 2 2 27 2" xfId="1041"/>
    <cellStyle name="쉼표 [0] 2 2 2 2 2 2 2 2 27 2 2" xfId="19492"/>
    <cellStyle name="쉼표 [0] 2 2 2 2 2 2 2 2 27 3" xfId="19268"/>
    <cellStyle name="쉼표 [0] 2 2 2 2 2 2 2 2 28" xfId="1042"/>
    <cellStyle name="쉼표 [0] 2 2 2 2 2 2 2 2 28 2" xfId="19505"/>
    <cellStyle name="쉼표 [0] 2 2 2 2 2 2 2 2 29" xfId="1043"/>
    <cellStyle name="쉼표 [0] 2 2 2 2 2 2 2 2 29 2" xfId="1044"/>
    <cellStyle name="쉼표 [0] 2 2 2 2 2 2 2 2 29 2 2" xfId="19609"/>
    <cellStyle name="쉼표 [0] 2 2 2 2 2 2 2 2 29 3" xfId="19287"/>
    <cellStyle name="쉼표 [0] 2 2 2 2 2 2 2 2 3" xfId="1045"/>
    <cellStyle name="쉼표 [0] 2 2 2 2 2 2 2 2 3 2" xfId="18347"/>
    <cellStyle name="쉼표 [0] 2 2 2 2 2 2 2 2 30" xfId="19825"/>
    <cellStyle name="쉼표 [0] 2 2 2 2 2 2 2 2 31" xfId="19719"/>
    <cellStyle name="쉼표 [0] 2 2 2 2 2 2 2 2 32" xfId="19988"/>
    <cellStyle name="쉼표 [0] 2 2 2 2 2 2 2 2 33" xfId="20097"/>
    <cellStyle name="쉼표 [0] 2 2 2 2 2 2 2 2 34" xfId="20014"/>
    <cellStyle name="쉼표 [0] 2 2 2 2 2 2 2 2 35" xfId="18291"/>
    <cellStyle name="쉼표 [0] 2 2 2 2 2 2 2 2 4" xfId="1046"/>
    <cellStyle name="쉼표 [0] 2 2 2 2 2 2 2 2 4 2" xfId="18350"/>
    <cellStyle name="쉼표 [0] 2 2 2 2 2 2 2 2 5" xfId="1047"/>
    <cellStyle name="쉼표 [0] 2 2 2 2 2 2 2 2 5 2" xfId="1048"/>
    <cellStyle name="쉼표 [0] 2 2 2 2 2 2 2 2 5 2 2" xfId="18402"/>
    <cellStyle name="쉼표 [0] 2 2 2 2 2 2 2 2 5 3" xfId="18361"/>
    <cellStyle name="쉼표 [0] 2 2 2 2 2 2 2 2 6" xfId="1049"/>
    <cellStyle name="쉼표 [0] 2 2 2 2 2 2 2 2 6 2" xfId="18323"/>
    <cellStyle name="쉼표 [0] 2 2 2 2 2 2 2 2 7" xfId="1050"/>
    <cellStyle name="쉼표 [0] 2 2 2 2 2 2 2 2 7 2" xfId="18418"/>
    <cellStyle name="쉼표 [0] 2 2 2 2 2 2 2 2 8" xfId="1051"/>
    <cellStyle name="쉼표 [0] 2 2 2 2 2 2 2 2 8 2" xfId="18358"/>
    <cellStyle name="쉼표 [0] 2 2 2 2 2 2 2 2 9" xfId="1052"/>
    <cellStyle name="쉼표 [0] 2 2 2 2 2 2 2 2 9 2" xfId="18367"/>
    <cellStyle name="쉼표 [0] 2 2 2 2 2 2 2 20" xfId="1053"/>
    <cellStyle name="쉼표 [0] 2 2 2 2 2 2 2 20 2" xfId="18945"/>
    <cellStyle name="쉼표 [0] 2 2 2 2 2 2 2 21" xfId="1054"/>
    <cellStyle name="쉼표 [0] 2 2 2 2 2 2 2 21 2" xfId="19054"/>
    <cellStyle name="쉼표 [0] 2 2 2 2 2 2 2 22" xfId="1055"/>
    <cellStyle name="쉼표 [0] 2 2 2 2 2 2 2 22 2" xfId="18558"/>
    <cellStyle name="쉼표 [0] 2 2 2 2 2 2 2 23" xfId="1056"/>
    <cellStyle name="쉼표 [0] 2 2 2 2 2 2 2 23 2" xfId="19170"/>
    <cellStyle name="쉼표 [0] 2 2 2 2 2 2 2 24" xfId="1057"/>
    <cellStyle name="쉼표 [0] 2 2 2 2 2 2 2 24 2" xfId="19133"/>
    <cellStyle name="쉼표 [0] 2 2 2 2 2 2 2 25" xfId="1058"/>
    <cellStyle name="쉼표 [0] 2 2 2 2 2 2 2 25 2" xfId="18752"/>
    <cellStyle name="쉼표 [0] 2 2 2 2 2 2 2 26" xfId="1059"/>
    <cellStyle name="쉼표 [0] 2 2 2 2 2 2 2 26 2" xfId="18651"/>
    <cellStyle name="쉼표 [0] 2 2 2 2 2 2 2 27" xfId="1060"/>
    <cellStyle name="쉼표 [0] 2 2 2 2 2 2 2 27 2" xfId="1061"/>
    <cellStyle name="쉼표 [0] 2 2 2 2 2 2 2 27 2 2" xfId="19491"/>
    <cellStyle name="쉼표 [0] 2 2 2 2 2 2 2 27 3" xfId="19200"/>
    <cellStyle name="쉼표 [0] 2 2 2 2 2 2 2 28" xfId="1062"/>
    <cellStyle name="쉼표 [0] 2 2 2 2 2 2 2 28 2" xfId="19524"/>
    <cellStyle name="쉼표 [0] 2 2 2 2 2 2 2 29" xfId="1063"/>
    <cellStyle name="쉼표 [0] 2 2 2 2 2 2 2 29 2" xfId="1064"/>
    <cellStyle name="쉼표 [0] 2 2 2 2 2 2 2 29 2 2" xfId="19608"/>
    <cellStyle name="쉼표 [0] 2 2 2 2 2 2 2 29 3" xfId="19383"/>
    <cellStyle name="쉼표 [0] 2 2 2 2 2 2 2 3" xfId="1065"/>
    <cellStyle name="쉼표 [0] 2 2 2 2 2 2 2 3 2" xfId="1066"/>
    <cellStyle name="쉼표 [0] 2 2 2 2 2 2 2 3 2 2" xfId="18346"/>
    <cellStyle name="쉼표 [0] 2 2 2 2 2 2 2 3 3" xfId="18309"/>
    <cellStyle name="쉼표 [0] 2 2 2 2 2 2 2 30" xfId="19826"/>
    <cellStyle name="쉼표 [0] 2 2 2 2 2 2 2 31" xfId="19800"/>
    <cellStyle name="쉼표 [0] 2 2 2 2 2 2 2 32" xfId="19904"/>
    <cellStyle name="쉼표 [0] 2 2 2 2 2 2 2 33" xfId="20012"/>
    <cellStyle name="쉼표 [0] 2 2 2 2 2 2 2 34" xfId="19908"/>
    <cellStyle name="쉼표 [0] 2 2 2 2 2 2 2 35" xfId="18263"/>
    <cellStyle name="쉼표 [0] 2 2 2 2 2 2 2 4" xfId="1067"/>
    <cellStyle name="쉼표 [0] 2 2 2 2 2 2 2 4 2" xfId="18349"/>
    <cellStyle name="쉼표 [0] 2 2 2 2 2 2 2 5" xfId="1068"/>
    <cellStyle name="쉼표 [0] 2 2 2 2 2 2 2 5 2" xfId="1069"/>
    <cellStyle name="쉼표 [0] 2 2 2 2 2 2 2 5 2 2" xfId="18401"/>
    <cellStyle name="쉼표 [0] 2 2 2 2 2 2 2 5 3" xfId="18329"/>
    <cellStyle name="쉼표 [0] 2 2 2 2 2 2 2 6" xfId="1070"/>
    <cellStyle name="쉼표 [0] 2 2 2 2 2 2 2 6 2" xfId="18321"/>
    <cellStyle name="쉼표 [0] 2 2 2 2 2 2 2 7" xfId="1071"/>
    <cellStyle name="쉼표 [0] 2 2 2 2 2 2 2 7 2" xfId="18378"/>
    <cellStyle name="쉼표 [0] 2 2 2 2 2 2 2 8" xfId="1072"/>
    <cellStyle name="쉼표 [0] 2 2 2 2 2 2 2 8 2" xfId="18370"/>
    <cellStyle name="쉼표 [0] 2 2 2 2 2 2 2 9" xfId="1073"/>
    <cellStyle name="쉼표 [0] 2 2 2 2 2 2 2 9 2" xfId="18450"/>
    <cellStyle name="쉼표 [0] 2 2 2 2 2 2 20" xfId="1074"/>
    <cellStyle name="쉼표 [0] 2 2 2 2 2 2 20 2" xfId="18726"/>
    <cellStyle name="쉼표 [0] 2 2 2 2 2 2 21" xfId="1075"/>
    <cellStyle name="쉼표 [0] 2 2 2 2 2 2 21 2" xfId="19060"/>
    <cellStyle name="쉼표 [0] 2 2 2 2 2 2 22" xfId="1076"/>
    <cellStyle name="쉼표 [0] 2 2 2 2 2 2 22 2" xfId="18936"/>
    <cellStyle name="쉼표 [0] 2 2 2 2 2 2 23" xfId="1077"/>
    <cellStyle name="쉼표 [0] 2 2 2 2 2 2 23 2" xfId="18819"/>
    <cellStyle name="쉼표 [0] 2 2 2 2 2 2 24" xfId="1078"/>
    <cellStyle name="쉼표 [0] 2 2 2 2 2 2 24 2" xfId="19087"/>
    <cellStyle name="쉼표 [0] 2 2 2 2 2 2 25" xfId="1079"/>
    <cellStyle name="쉼표 [0] 2 2 2 2 2 2 25 2" xfId="19212"/>
    <cellStyle name="쉼표 [0] 2 2 2 2 2 2 26" xfId="1080"/>
    <cellStyle name="쉼표 [0] 2 2 2 2 2 2 26 2" xfId="18711"/>
    <cellStyle name="쉼표 [0] 2 2 2 2 2 2 27" xfId="1081"/>
    <cellStyle name="쉼표 [0] 2 2 2 2 2 2 27 2" xfId="19082"/>
    <cellStyle name="쉼표 [0] 2 2 2 2 2 2 28" xfId="1082"/>
    <cellStyle name="쉼표 [0] 2 2 2 2 2 2 28 2" xfId="1083"/>
    <cellStyle name="쉼표 [0] 2 2 2 2 2 2 28 2 2" xfId="19489"/>
    <cellStyle name="쉼표 [0] 2 2 2 2 2 2 28 3" xfId="19216"/>
    <cellStyle name="쉼표 [0] 2 2 2 2 2 2 29" xfId="1084"/>
    <cellStyle name="쉼표 [0] 2 2 2 2 2 2 29 2" xfId="19528"/>
    <cellStyle name="쉼표 [0] 2 2 2 2 2 2 3" xfId="1085"/>
    <cellStyle name="쉼표 [0] 2 2 2 2 2 2 3 2" xfId="18304"/>
    <cellStyle name="쉼표 [0] 2 2 2 2 2 2 30" xfId="1086"/>
    <cellStyle name="쉼표 [0] 2 2 2 2 2 2 30 2" xfId="1087"/>
    <cellStyle name="쉼표 [0] 2 2 2 2 2 2 30 2 2" xfId="19607"/>
    <cellStyle name="쉼표 [0] 2 2 2 2 2 2 30 3" xfId="18937"/>
    <cellStyle name="쉼표 [0] 2 2 2 2 2 2 31" xfId="19745"/>
    <cellStyle name="쉼표 [0] 2 2 2 2 2 2 32" xfId="19728"/>
    <cellStyle name="쉼표 [0] 2 2 2 2 2 2 33" xfId="20074"/>
    <cellStyle name="쉼표 [0] 2 2 2 2 2 2 34" xfId="20052"/>
    <cellStyle name="쉼표 [0] 2 2 2 2 2 2 35" xfId="19928"/>
    <cellStyle name="쉼표 [0] 2 2 2 2 2 2 36" xfId="18262"/>
    <cellStyle name="쉼표 [0] 2 2 2 2 2 2 4" xfId="1088"/>
    <cellStyle name="쉼표 [0] 2 2 2 2 2 2 4 2" xfId="1089"/>
    <cellStyle name="쉼표 [0] 2 2 2 2 2 2 4 2 2" xfId="18342"/>
    <cellStyle name="쉼표 [0] 2 2 2 2 2 2 4 3" xfId="18308"/>
    <cellStyle name="쉼표 [0] 2 2 2 2 2 2 5" xfId="1090"/>
    <cellStyle name="쉼표 [0] 2 2 2 2 2 2 5 2" xfId="18344"/>
    <cellStyle name="쉼표 [0] 2 2 2 2 2 2 6" xfId="1091"/>
    <cellStyle name="쉼표 [0] 2 2 2 2 2 2 6 2" xfId="1092"/>
    <cellStyle name="쉼표 [0] 2 2 2 2 2 2 6 2 2" xfId="18400"/>
    <cellStyle name="쉼표 [0] 2 2 2 2 2 2 6 3" xfId="18296"/>
    <cellStyle name="쉼표 [0] 2 2 2 2 2 2 7" xfId="1093"/>
    <cellStyle name="쉼표 [0] 2 2 2 2 2 2 7 2" xfId="18316"/>
    <cellStyle name="쉼표 [0] 2 2 2 2 2 2 8" xfId="1094"/>
    <cellStyle name="쉼표 [0] 2 2 2 2 2 2 8 2" xfId="18381"/>
    <cellStyle name="쉼표 [0] 2 2 2 2 2 2 9" xfId="1095"/>
    <cellStyle name="쉼표 [0] 2 2 2 2 2 2 9 2" xfId="18439"/>
    <cellStyle name="쉼표 [0] 2 2 2 2 2 20" xfId="1096"/>
    <cellStyle name="쉼표 [0] 2 2 2 2 2 20 2" xfId="18449"/>
    <cellStyle name="쉼표 [0] 2 2 2 2 2 21" xfId="1097"/>
    <cellStyle name="쉼표 [0] 2 2 2 2 2 21 2" xfId="18947"/>
    <cellStyle name="쉼표 [0] 2 2 2 2 2 22" xfId="1098"/>
    <cellStyle name="쉼표 [0] 2 2 2 2 2 22 2" xfId="19093"/>
    <cellStyle name="쉼표 [0] 2 2 2 2 2 23" xfId="1099"/>
    <cellStyle name="쉼표 [0] 2 2 2 2 2 23 2" xfId="19219"/>
    <cellStyle name="쉼표 [0] 2 2 2 2 2 24" xfId="1100"/>
    <cellStyle name="쉼표 [0] 2 2 2 2 2 24 2" xfId="19272"/>
    <cellStyle name="쉼표 [0] 2 2 2 2 2 25" xfId="1101"/>
    <cellStyle name="쉼표 [0] 2 2 2 2 2 25 2" xfId="19081"/>
    <cellStyle name="쉼표 [0] 2 2 2 2 2 26" xfId="1102"/>
    <cellStyle name="쉼표 [0] 2 2 2 2 2 26 2" xfId="19336"/>
    <cellStyle name="쉼표 [0] 2 2 2 2 2 27" xfId="1103"/>
    <cellStyle name="쉼표 [0] 2 2 2 2 2 27 2" xfId="19238"/>
    <cellStyle name="쉼표 [0] 2 2 2 2 2 28" xfId="1104"/>
    <cellStyle name="쉼표 [0] 2 2 2 2 2 28 2" xfId="1105"/>
    <cellStyle name="쉼표 [0] 2 2 2 2 2 28 2 2" xfId="19488"/>
    <cellStyle name="쉼표 [0] 2 2 2 2 2 28 3" xfId="19431"/>
    <cellStyle name="쉼표 [0] 2 2 2 2 2 29" xfId="1106"/>
    <cellStyle name="쉼표 [0] 2 2 2 2 2 29 2" xfId="19540"/>
    <cellStyle name="쉼표 [0] 2 2 2 2 2 3" xfId="1107"/>
    <cellStyle name="쉼표 [0] 2 2 2 2 2 3 2" xfId="1108"/>
    <cellStyle name="쉼표 [0] 2 2 2 2 2 3 2 2" xfId="18303"/>
    <cellStyle name="쉼표 [0] 2 2 2 2 2 3 3" xfId="18281"/>
    <cellStyle name="쉼표 [0] 2 2 2 2 2 3 3 2" xfId="21956"/>
    <cellStyle name="쉼표 [0] 2 2 2 2 2 3 4" xfId="21957"/>
    <cellStyle name="쉼표 [0] 2 2 2 2 2 30" xfId="1109"/>
    <cellStyle name="쉼표 [0] 2 2 2 2 2 30 2" xfId="1110"/>
    <cellStyle name="쉼표 [0] 2 2 2 2 2 30 2 2" xfId="19606"/>
    <cellStyle name="쉼표 [0] 2 2 2 2 2 30 3" xfId="18968"/>
    <cellStyle name="쉼표 [0] 2 2 2 2 2 31" xfId="19787"/>
    <cellStyle name="쉼표 [0] 2 2 2 2 2 32" xfId="19732"/>
    <cellStyle name="쉼표 [0] 2 2 2 2 2 33" xfId="20043"/>
    <cellStyle name="쉼표 [0] 2 2 2 2 2 34" xfId="20077"/>
    <cellStyle name="쉼표 [0] 2 2 2 2 2 35" xfId="19993"/>
    <cellStyle name="쉼표 [0] 2 2 2 2 2 36" xfId="18254"/>
    <cellStyle name="쉼표 [0] 2 2 2 2 2 4" xfId="1111"/>
    <cellStyle name="쉼표 [0] 2 2 2 2 2 4 2" xfId="1112"/>
    <cellStyle name="쉼표 [0] 2 2 2 2 2 4 2 2" xfId="18341"/>
    <cellStyle name="쉼표 [0] 2 2 2 2 2 4 3" xfId="18285"/>
    <cellStyle name="쉼표 [0] 2 2 2 2 2 5" xfId="1113"/>
    <cellStyle name="쉼표 [0] 2 2 2 2 2 5 2" xfId="18348"/>
    <cellStyle name="쉼표 [0] 2 2 2 2 2 6" xfId="1114"/>
    <cellStyle name="쉼표 [0] 2 2 2 2 2 6 2" xfId="1115"/>
    <cellStyle name="쉼표 [0] 2 2 2 2 2 6 2 2" xfId="18399"/>
    <cellStyle name="쉼표 [0] 2 2 2 2 2 6 3" xfId="18293"/>
    <cellStyle name="쉼표 [0] 2 2 2 2 2 7" xfId="1116"/>
    <cellStyle name="쉼표 [0] 2 2 2 2 2 7 2" xfId="18359"/>
    <cellStyle name="쉼표 [0] 2 2 2 2 2 8" xfId="1117"/>
    <cellStyle name="쉼표 [0] 2 2 2 2 2 8 2" xfId="18431"/>
    <cellStyle name="쉼표 [0] 2 2 2 2 2 9" xfId="1118"/>
    <cellStyle name="쉼표 [0] 2 2 2 2 2 9 2" xfId="18469"/>
    <cellStyle name="쉼표 [0] 2 2 2 2 20" xfId="1119"/>
    <cellStyle name="쉼표 [0] 2 2 2 2 20 2" xfId="18926"/>
    <cellStyle name="쉼표 [0] 2 2 2 2 21" xfId="1120"/>
    <cellStyle name="쉼표 [0] 2 2 2 2 21 2" xfId="18875"/>
    <cellStyle name="쉼표 [0] 2 2 2 2 22" xfId="1121"/>
    <cellStyle name="쉼표 [0] 2 2 2 2 22 2" xfId="18977"/>
    <cellStyle name="쉼표 [0] 2 2 2 2 23" xfId="1122"/>
    <cellStyle name="쉼표 [0] 2 2 2 2 23 2" xfId="19094"/>
    <cellStyle name="쉼표 [0] 2 2 2 2 24" xfId="1123"/>
    <cellStyle name="쉼표 [0] 2 2 2 2 24 2" xfId="18842"/>
    <cellStyle name="쉼표 [0] 2 2 2 2 25" xfId="1124"/>
    <cellStyle name="쉼표 [0] 2 2 2 2 25 2" xfId="18854"/>
    <cellStyle name="쉼표 [0] 2 2 2 2 26" xfId="1125"/>
    <cellStyle name="쉼표 [0] 2 2 2 2 26 2" xfId="19265"/>
    <cellStyle name="쉼표 [0] 2 2 2 2 27" xfId="1126"/>
    <cellStyle name="쉼표 [0] 2 2 2 2 27 2" xfId="19305"/>
    <cellStyle name="쉼표 [0] 2 2 2 2 28" xfId="1127"/>
    <cellStyle name="쉼표 [0] 2 2 2 2 28 2" xfId="18642"/>
    <cellStyle name="쉼표 [0] 2 2 2 2 29" xfId="1128"/>
    <cellStyle name="쉼표 [0] 2 2 2 2 29 2" xfId="1129"/>
    <cellStyle name="쉼표 [0] 2 2 2 2 29 2 2" xfId="19486"/>
    <cellStyle name="쉼표 [0] 2 2 2 2 29 3" xfId="19365"/>
    <cellStyle name="쉼표 [0] 2 2 2 2 3" xfId="1130"/>
    <cellStyle name="쉼표 [0] 2 2 2 2 3 2" xfId="18270"/>
    <cellStyle name="쉼표 [0] 2 2 2 2 3 2 2" xfId="21958"/>
    <cellStyle name="쉼표 [0] 2 2 2 2 3 2 2 2" xfId="21959"/>
    <cellStyle name="쉼표 [0] 2 2 2 2 3 2 3" xfId="21960"/>
    <cellStyle name="쉼표 [0] 2 2 2 2 3 2 3 2" xfId="21961"/>
    <cellStyle name="쉼표 [0] 2 2 2 2 3 2 4" xfId="21962"/>
    <cellStyle name="쉼표 [0] 2 2 2 2 3 3" xfId="21963"/>
    <cellStyle name="쉼표 [0] 2 2 2 2 3 3 2" xfId="21964"/>
    <cellStyle name="쉼표 [0] 2 2 2 2 3 4" xfId="21965"/>
    <cellStyle name="쉼표 [0] 2 2 2 2 3 4 2" xfId="21966"/>
    <cellStyle name="쉼표 [0] 2 2 2 2 3 5" xfId="21967"/>
    <cellStyle name="쉼표 [0] 2 2 2 2 30" xfId="1131"/>
    <cellStyle name="쉼표 [0] 2 2 2 2 30 2" xfId="19487"/>
    <cellStyle name="쉼표 [0] 2 2 2 2 31" xfId="1132"/>
    <cellStyle name="쉼표 [0] 2 2 2 2 31 2" xfId="1133"/>
    <cellStyle name="쉼표 [0] 2 2 2 2 31 2 2" xfId="19605"/>
    <cellStyle name="쉼표 [0] 2 2 2 2 31 3" xfId="19324"/>
    <cellStyle name="쉼표 [0] 2 2 2 2 32" xfId="19748"/>
    <cellStyle name="쉼표 [0] 2 2 2 2 33" xfId="19746"/>
    <cellStyle name="쉼표 [0] 2 2 2 2 34" xfId="20008"/>
    <cellStyle name="쉼표 [0] 2 2 2 2 35" xfId="19998"/>
    <cellStyle name="쉼표 [0] 2 2 2 2 36" xfId="19912"/>
    <cellStyle name="쉼표 [0] 2 2 2 2 37" xfId="18252"/>
    <cellStyle name="쉼표 [0] 2 2 2 2 4" xfId="1134"/>
    <cellStyle name="쉼표 [0] 2 2 2 2 4 2" xfId="1135"/>
    <cellStyle name="쉼표 [0] 2 2 2 2 4 2 2" xfId="18302"/>
    <cellStyle name="쉼표 [0] 2 2 2 2 4 3" xfId="18279"/>
    <cellStyle name="쉼표 [0] 2 2 2 2 4 3 2" xfId="21968"/>
    <cellStyle name="쉼표 [0] 2 2 2 2 4 4" xfId="21969"/>
    <cellStyle name="쉼표 [0] 2 2 2 2 5" xfId="1136"/>
    <cellStyle name="쉼표 [0] 2 2 2 2 5 2" xfId="1137"/>
    <cellStyle name="쉼표 [0] 2 2 2 2 5 2 2" xfId="18338"/>
    <cellStyle name="쉼표 [0] 2 2 2 2 5 3" xfId="18294"/>
    <cellStyle name="쉼표 [0] 2 2 2 2 6" xfId="1138"/>
    <cellStyle name="쉼표 [0] 2 2 2 2 6 2" xfId="18345"/>
    <cellStyle name="쉼표 [0] 2 2 2 2 7" xfId="1139"/>
    <cellStyle name="쉼표 [0] 2 2 2 2 7 2" xfId="1140"/>
    <cellStyle name="쉼표 [0] 2 2 2 2 7 2 2" xfId="18398"/>
    <cellStyle name="쉼표 [0] 2 2 2 2 7 3" xfId="18306"/>
    <cellStyle name="쉼표 [0] 2 2 2 2 8" xfId="1141"/>
    <cellStyle name="쉼표 [0] 2 2 2 2 8 2" xfId="18373"/>
    <cellStyle name="쉼표 [0] 2 2 2 2 9" xfId="1142"/>
    <cellStyle name="쉼표 [0] 2 2 2 2 9 2" xfId="18436"/>
    <cellStyle name="쉼표 [0] 2 2 2 20" xfId="1143"/>
    <cellStyle name="쉼표 [0] 2 2 2 20 2" xfId="18879"/>
    <cellStyle name="쉼표 [0] 2 2 2 21" xfId="1144"/>
    <cellStyle name="쉼표 [0] 2 2 2 21 2" xfId="18832"/>
    <cellStyle name="쉼표 [0] 2 2 2 22" xfId="1145"/>
    <cellStyle name="쉼표 [0] 2 2 2 22 2" xfId="18874"/>
    <cellStyle name="쉼표 [0] 2 2 2 23" xfId="1146"/>
    <cellStyle name="쉼표 [0] 2 2 2 23 2" xfId="19022"/>
    <cellStyle name="쉼표 [0] 2 2 2 24" xfId="1147"/>
    <cellStyle name="쉼표 [0] 2 2 2 24 2" xfId="18712"/>
    <cellStyle name="쉼표 [0] 2 2 2 25" xfId="1148"/>
    <cellStyle name="쉼표 [0] 2 2 2 25 2" xfId="18943"/>
    <cellStyle name="쉼표 [0] 2 2 2 26" xfId="1149"/>
    <cellStyle name="쉼표 [0] 2 2 2 26 2" xfId="19049"/>
    <cellStyle name="쉼표 [0] 2 2 2 27" xfId="1150"/>
    <cellStyle name="쉼표 [0] 2 2 2 27 2" xfId="19206"/>
    <cellStyle name="쉼표 [0] 2 2 2 28" xfId="1151"/>
    <cellStyle name="쉼표 [0] 2 2 2 28 2" xfId="19318"/>
    <cellStyle name="쉼표 [0] 2 2 2 29" xfId="1152"/>
    <cellStyle name="쉼표 [0] 2 2 2 29 2" xfId="1153"/>
    <cellStyle name="쉼표 [0] 2 2 2 29 2 2" xfId="19485"/>
    <cellStyle name="쉼표 [0] 2 2 2 29 3" xfId="18853"/>
    <cellStyle name="쉼표 [0] 2 2 2 3" xfId="1154"/>
    <cellStyle name="쉼표 [0] 2 2 2 3 2" xfId="1155"/>
    <cellStyle name="쉼표 [0] 2 2 2 3 2 2" xfId="18269"/>
    <cellStyle name="쉼표 [0] 2 2 2 3 2 2 2" xfId="21970"/>
    <cellStyle name="쉼표 [0] 2 2 2 3 2 2 2 2" xfId="21971"/>
    <cellStyle name="쉼표 [0] 2 2 2 3 2 2 3" xfId="21972"/>
    <cellStyle name="쉼표 [0] 2 2 2 3 2 2 3 2" xfId="21973"/>
    <cellStyle name="쉼표 [0] 2 2 2 3 2 2 4" xfId="21974"/>
    <cellStyle name="쉼표 [0] 2 2 2 3 2 3" xfId="21975"/>
    <cellStyle name="쉼표 [0] 2 2 2 3 2 3 2" xfId="21976"/>
    <cellStyle name="쉼표 [0] 2 2 2 3 2 4" xfId="21977"/>
    <cellStyle name="쉼표 [0] 2 2 2 3 2 4 2" xfId="21978"/>
    <cellStyle name="쉼표 [0] 2 2 2 3 2 5" xfId="21979"/>
    <cellStyle name="쉼표 [0] 2 2 2 3 3" xfId="19706"/>
    <cellStyle name="쉼표 [0] 2 2 2 3 3 2" xfId="20401"/>
    <cellStyle name="쉼표 [0] 2 2 2 3 3 2 2" xfId="21980"/>
    <cellStyle name="쉼표 [0] 2 2 2 3 3 3" xfId="21981"/>
    <cellStyle name="쉼표 [0] 2 2 2 3 3 3 2" xfId="21982"/>
    <cellStyle name="쉼표 [0] 2 2 2 3 3 4" xfId="21983"/>
    <cellStyle name="쉼표 [0] 2 2 2 3 4" xfId="18260"/>
    <cellStyle name="쉼표 [0] 2 2 2 3 4 2" xfId="21984"/>
    <cellStyle name="쉼표 [0] 2 2 2 3 5" xfId="21985"/>
    <cellStyle name="쉼표 [0] 2 2 2 3 5 2" xfId="21986"/>
    <cellStyle name="쉼표 [0] 2 2 2 3 6" xfId="21987"/>
    <cellStyle name="쉼표 [0] 2 2 2 30" xfId="1156"/>
    <cellStyle name="쉼표 [0] 2 2 2 30 2" xfId="19493"/>
    <cellStyle name="쉼표 [0] 2 2 2 31" xfId="1157"/>
    <cellStyle name="쉼표 [0] 2 2 2 31 2" xfId="1158"/>
    <cellStyle name="쉼표 [0] 2 2 2 31 2 2" xfId="19604"/>
    <cellStyle name="쉼표 [0] 2 2 2 31 3" xfId="19280"/>
    <cellStyle name="쉼표 [0] 2 2 2 32" xfId="19794"/>
    <cellStyle name="쉼표 [0] 2 2 2 33" xfId="19809"/>
    <cellStyle name="쉼표 [0] 2 2 2 34" xfId="19900"/>
    <cellStyle name="쉼표 [0] 2 2 2 35" xfId="20004"/>
    <cellStyle name="쉼표 [0] 2 2 2 36" xfId="20027"/>
    <cellStyle name="쉼표 [0] 2 2 2 37" xfId="18247"/>
    <cellStyle name="쉼표 [0] 2 2 2 4" xfId="1159"/>
    <cellStyle name="쉼표 [0] 2 2 2 4 2" xfId="1160"/>
    <cellStyle name="쉼표 [0] 2 2 2 4 2 2" xfId="18301"/>
    <cellStyle name="쉼표 [0] 2 2 2 4 2 2 2" xfId="21988"/>
    <cellStyle name="쉼표 [0] 2 2 2 4 2 3" xfId="21989"/>
    <cellStyle name="쉼표 [0] 2 2 2 4 2 3 2" xfId="21990"/>
    <cellStyle name="쉼표 [0] 2 2 2 4 2 4" xfId="21991"/>
    <cellStyle name="쉼표 [0] 2 2 2 4 3" xfId="20402"/>
    <cellStyle name="쉼표 [0] 2 2 2 4 3 2" xfId="21992"/>
    <cellStyle name="쉼표 [0] 2 2 2 4 4" xfId="18273"/>
    <cellStyle name="쉼표 [0] 2 2 2 4 4 2" xfId="21993"/>
    <cellStyle name="쉼표 [0] 2 2 2 4 5" xfId="21994"/>
    <cellStyle name="쉼표 [0] 2 2 2 5" xfId="1161"/>
    <cellStyle name="쉼표 [0] 2 2 2 5 2" xfId="1162"/>
    <cellStyle name="쉼표 [0] 2 2 2 5 2 2" xfId="18337"/>
    <cellStyle name="쉼표 [0] 2 2 2 5 3" xfId="18277"/>
    <cellStyle name="쉼표 [0] 2 2 2 5 3 2" xfId="21995"/>
    <cellStyle name="쉼표 [0] 2 2 2 5 4" xfId="21996"/>
    <cellStyle name="쉼표 [0] 2 2 2 6" xfId="1163"/>
    <cellStyle name="쉼표 [0] 2 2 2 6 2" xfId="18343"/>
    <cellStyle name="쉼표 [0] 2 2 2 7" xfId="1164"/>
    <cellStyle name="쉼표 [0] 2 2 2 7 2" xfId="1165"/>
    <cellStyle name="쉼표 [0] 2 2 2 7 2 2" xfId="18397"/>
    <cellStyle name="쉼표 [0] 2 2 2 7 3" xfId="18284"/>
    <cellStyle name="쉼표 [0] 2 2 2 8" xfId="1166"/>
    <cellStyle name="쉼표 [0] 2 2 2 8 2" xfId="18297"/>
    <cellStyle name="쉼표 [0] 2 2 2 9" xfId="1167"/>
    <cellStyle name="쉼표 [0] 2 2 2 9 2" xfId="18327"/>
    <cellStyle name="쉼표 [0] 2 2 20" xfId="1168"/>
    <cellStyle name="쉼표 [0] 2 2 20 2" xfId="18852"/>
    <cellStyle name="쉼표 [0] 2 2 21" xfId="1169"/>
    <cellStyle name="쉼표 [0] 2 2 21 2" xfId="18438"/>
    <cellStyle name="쉼표 [0] 2 2 22" xfId="1170"/>
    <cellStyle name="쉼표 [0] 2 2 22 2" xfId="18500"/>
    <cellStyle name="쉼표 [0] 2 2 23" xfId="1171"/>
    <cellStyle name="쉼표 [0] 2 2 23 2" xfId="18694"/>
    <cellStyle name="쉼표 [0] 2 2 24" xfId="1172"/>
    <cellStyle name="쉼표 [0] 2 2 24 2" xfId="18619"/>
    <cellStyle name="쉼표 [0] 2 2 25" xfId="1173"/>
    <cellStyle name="쉼표 [0] 2 2 25 2" xfId="19042"/>
    <cellStyle name="쉼표 [0] 2 2 26" xfId="1174"/>
    <cellStyle name="쉼표 [0] 2 2 26 2" xfId="19091"/>
    <cellStyle name="쉼표 [0] 2 2 27" xfId="1175"/>
    <cellStyle name="쉼표 [0] 2 2 27 2" xfId="19067"/>
    <cellStyle name="쉼표 [0] 2 2 28" xfId="1176"/>
    <cellStyle name="쉼표 [0] 2 2 28 2" xfId="19247"/>
    <cellStyle name="쉼표 [0] 2 2 29" xfId="1177"/>
    <cellStyle name="쉼표 [0] 2 2 29 2" xfId="19136"/>
    <cellStyle name="쉼표 [0] 2 2 3" xfId="1178"/>
    <cellStyle name="쉼표 [0] 2 2 3 2" xfId="10519"/>
    <cellStyle name="쉼표 [0] 2 2 3 2 2" xfId="20404"/>
    <cellStyle name="쉼표 [0] 2 2 3 2 2 2" xfId="21997"/>
    <cellStyle name="쉼표 [0] 2 2 3 2 2 2 2" xfId="21998"/>
    <cellStyle name="쉼표 [0] 2 2 3 2 2 2 2 2" xfId="21999"/>
    <cellStyle name="쉼표 [0] 2 2 3 2 2 2 3" xfId="22000"/>
    <cellStyle name="쉼표 [0] 2 2 3 2 2 2 3 2" xfId="22001"/>
    <cellStyle name="쉼표 [0] 2 2 3 2 2 2 4" xfId="22002"/>
    <cellStyle name="쉼표 [0] 2 2 3 2 2 3" xfId="22003"/>
    <cellStyle name="쉼표 [0] 2 2 3 2 2 3 2" xfId="22004"/>
    <cellStyle name="쉼표 [0] 2 2 3 2 2 4" xfId="22005"/>
    <cellStyle name="쉼표 [0] 2 2 3 2 2 4 2" xfId="22006"/>
    <cellStyle name="쉼표 [0] 2 2 3 2 2 5" xfId="22007"/>
    <cellStyle name="쉼표 [0] 2 2 3 2 3" xfId="22008"/>
    <cellStyle name="쉼표 [0] 2 2 3 2 3 2" xfId="22009"/>
    <cellStyle name="쉼표 [0] 2 2 3 2 3 2 2" xfId="22010"/>
    <cellStyle name="쉼표 [0] 2 2 3 2 3 3" xfId="22011"/>
    <cellStyle name="쉼표 [0] 2 2 3 2 3 3 2" xfId="22012"/>
    <cellStyle name="쉼표 [0] 2 2 3 2 3 4" xfId="22013"/>
    <cellStyle name="쉼표 [0] 2 2 3 2 4" xfId="22014"/>
    <cellStyle name="쉼표 [0] 2 2 3 2 4 2" xfId="22015"/>
    <cellStyle name="쉼표 [0] 2 2 3 2 5" xfId="22016"/>
    <cellStyle name="쉼표 [0] 2 2 3 2 5 2" xfId="22017"/>
    <cellStyle name="쉼표 [0] 2 2 3 2 6" xfId="22018"/>
    <cellStyle name="쉼표 [0] 2 2 3 3" xfId="10520"/>
    <cellStyle name="쉼표 [0] 2 2 3 3 2" xfId="10521"/>
    <cellStyle name="쉼표 [0] 2 2 3 3 2 2" xfId="22019"/>
    <cellStyle name="쉼표 [0] 2 2 3 3 2 2 2" xfId="22020"/>
    <cellStyle name="쉼표 [0] 2 2 3 3 2 3" xfId="22021"/>
    <cellStyle name="쉼표 [0] 2 2 3 3 2 3 2" xfId="22022"/>
    <cellStyle name="쉼표 [0] 2 2 3 3 2 4" xfId="22023"/>
    <cellStyle name="쉼표 [0] 2 2 3 3 3" xfId="20403"/>
    <cellStyle name="쉼표 [0] 2 2 3 3 3 2" xfId="22024"/>
    <cellStyle name="쉼표 [0] 2 2 3 3 4" xfId="22025"/>
    <cellStyle name="쉼표 [0] 2 2 3 3 4 2" xfId="22026"/>
    <cellStyle name="쉼표 [0] 2 2 3 3 5" xfId="22027"/>
    <cellStyle name="쉼표 [0] 2 2 3 4" xfId="18257"/>
    <cellStyle name="쉼표 [0] 2 2 3 4 2" xfId="22028"/>
    <cellStyle name="쉼표 [0] 2 2 3 4 2 2" xfId="22029"/>
    <cellStyle name="쉼표 [0] 2 2 3 4 3" xfId="22030"/>
    <cellStyle name="쉼표 [0] 2 2 3 4 3 2" xfId="22031"/>
    <cellStyle name="쉼표 [0] 2 2 3 4 4" xfId="22032"/>
    <cellStyle name="쉼표 [0] 2 2 3 5" xfId="22033"/>
    <cellStyle name="쉼표 [0] 2 2 3 5 2" xfId="22034"/>
    <cellStyle name="쉼표 [0] 2 2 3 6" xfId="22035"/>
    <cellStyle name="쉼표 [0] 2 2 3 6 2" xfId="22036"/>
    <cellStyle name="쉼표 [0] 2 2 3 7" xfId="22037"/>
    <cellStyle name="쉼표 [0] 2 2 30" xfId="1179"/>
    <cellStyle name="쉼표 [0] 2 2 30 2" xfId="1180"/>
    <cellStyle name="쉼표 [0] 2 2 30 2 2" xfId="19484"/>
    <cellStyle name="쉼표 [0] 2 2 30 3" xfId="19233"/>
    <cellStyle name="쉼표 [0] 2 2 31" xfId="1181"/>
    <cellStyle name="쉼표 [0] 2 2 31 2" xfId="19490"/>
    <cellStyle name="쉼표 [0] 2 2 32" xfId="1182"/>
    <cellStyle name="쉼표 [0] 2 2 32 2" xfId="1183"/>
    <cellStyle name="쉼표 [0] 2 2 32 2 2" xfId="19603"/>
    <cellStyle name="쉼표 [0] 2 2 32 3" xfId="18978"/>
    <cellStyle name="쉼표 [0] 2 2 33" xfId="19738"/>
    <cellStyle name="쉼표 [0] 2 2 34" xfId="19854"/>
    <cellStyle name="쉼표 [0] 2 2 35" xfId="19980"/>
    <cellStyle name="쉼표 [0] 2 2 36" xfId="19995"/>
    <cellStyle name="쉼표 [0] 2 2 37" xfId="20000"/>
    <cellStyle name="쉼표 [0] 2 2 38" xfId="18245"/>
    <cellStyle name="쉼표 [0] 2 2 4" xfId="1184"/>
    <cellStyle name="쉼표 [0] 2 2 4 2" xfId="1185"/>
    <cellStyle name="쉼표 [0] 2 2 4 2 2" xfId="18268"/>
    <cellStyle name="쉼표 [0] 2 2 4 2 2 2" xfId="22038"/>
    <cellStyle name="쉼표 [0] 2 2 4 2 2 2 2" xfId="22039"/>
    <cellStyle name="쉼표 [0] 2 2 4 2 2 3" xfId="22040"/>
    <cellStyle name="쉼표 [0] 2 2 4 2 2 3 2" xfId="22041"/>
    <cellStyle name="쉼표 [0] 2 2 4 2 2 4" xfId="22042"/>
    <cellStyle name="쉼표 [0] 2 2 4 2 3" xfId="22043"/>
    <cellStyle name="쉼표 [0] 2 2 4 2 3 2" xfId="22044"/>
    <cellStyle name="쉼표 [0] 2 2 4 2 4" xfId="22045"/>
    <cellStyle name="쉼표 [0] 2 2 4 2 4 2" xfId="22046"/>
    <cellStyle name="쉼표 [0] 2 2 4 2 5" xfId="22047"/>
    <cellStyle name="쉼표 [0] 2 2 4 3" xfId="10522"/>
    <cellStyle name="쉼표 [0] 2 2 4 3 2" xfId="20405"/>
    <cellStyle name="쉼표 [0] 2 2 4 3 2 2" xfId="22048"/>
    <cellStyle name="쉼표 [0] 2 2 4 3 3" xfId="19705"/>
    <cellStyle name="쉼표 [0] 2 2 4 3 3 2" xfId="22049"/>
    <cellStyle name="쉼표 [0] 2 2 4 3 4" xfId="22050"/>
    <cellStyle name="쉼표 [0] 2 2 4 4" xfId="18259"/>
    <cellStyle name="쉼표 [0] 2 2 4 4 2" xfId="22051"/>
    <cellStyle name="쉼표 [0] 2 2 4 5" xfId="22052"/>
    <cellStyle name="쉼표 [0] 2 2 4 5 2" xfId="22053"/>
    <cellStyle name="쉼표 [0] 2 2 4 6" xfId="22054"/>
    <cellStyle name="쉼표 [0] 2 2 5" xfId="1186"/>
    <cellStyle name="쉼표 [0] 2 2 5 2" xfId="1187"/>
    <cellStyle name="쉼표 [0] 2 2 5 2 2" xfId="10523"/>
    <cellStyle name="쉼표 [0] 2 2 5 2 2 2" xfId="22055"/>
    <cellStyle name="쉼표 [0] 2 2 5 2 3" xfId="18300"/>
    <cellStyle name="쉼표 [0] 2 2 5 2 3 2" xfId="22056"/>
    <cellStyle name="쉼표 [0] 2 2 5 2 4" xfId="22057"/>
    <cellStyle name="쉼표 [0] 2 2 5 3" xfId="10524"/>
    <cellStyle name="쉼표 [0] 2 2 5 3 2" xfId="22058"/>
    <cellStyle name="쉼표 [0] 2 2 5 4" xfId="10525"/>
    <cellStyle name="쉼표 [0] 2 2 5 4 2" xfId="10526"/>
    <cellStyle name="쉼표 [0] 2 2 5 5" xfId="18271"/>
    <cellStyle name="쉼표 [0] 2 2 6" xfId="1188"/>
    <cellStyle name="쉼표 [0] 2 2 6 2" xfId="1189"/>
    <cellStyle name="쉼표 [0] 2 2 6 2 2" xfId="10527"/>
    <cellStyle name="쉼표 [0] 2 2 6 2 3" xfId="18335"/>
    <cellStyle name="쉼표 [0] 2 2 6 3" xfId="10528"/>
    <cellStyle name="쉼표 [0] 2 2 6 3 2" xfId="22059"/>
    <cellStyle name="쉼표 [0] 2 2 6 4" xfId="18274"/>
    <cellStyle name="쉼표 [0] 2 2 7" xfId="1190"/>
    <cellStyle name="쉼표 [0] 2 2 7 2" xfId="10529"/>
    <cellStyle name="쉼표 [0] 2 2 7 3" xfId="18339"/>
    <cellStyle name="쉼표 [0] 2 2 8" xfId="1191"/>
    <cellStyle name="쉼표 [0] 2 2 8 2" xfId="1192"/>
    <cellStyle name="쉼표 [0] 2 2 8 2 2" xfId="18396"/>
    <cellStyle name="쉼표 [0] 2 2 8 3" xfId="18307"/>
    <cellStyle name="쉼표 [0] 2 2 9" xfId="1193"/>
    <cellStyle name="쉼표 [0] 2 2 9 2" xfId="18311"/>
    <cellStyle name="쉼표 [0] 2 20" xfId="1194"/>
    <cellStyle name="쉼표 [0] 2 20 2" xfId="18529"/>
    <cellStyle name="쉼표 [0] 2 21" xfId="1195"/>
    <cellStyle name="쉼표 [0] 2 21 2" xfId="18420"/>
    <cellStyle name="쉼표 [0] 2 22" xfId="1196"/>
    <cellStyle name="쉼표 [0] 2 22 2" xfId="18640"/>
    <cellStyle name="쉼표 [0] 2 23" xfId="1197"/>
    <cellStyle name="쉼표 [0] 2 23 2" xfId="18999"/>
    <cellStyle name="쉼표 [0] 2 24" xfId="1198"/>
    <cellStyle name="쉼표 [0] 2 24 2" xfId="19002"/>
    <cellStyle name="쉼표 [0] 2 25" xfId="1199"/>
    <cellStyle name="쉼표 [0] 2 25 2" xfId="18460"/>
    <cellStyle name="쉼표 [0] 2 26" xfId="1200"/>
    <cellStyle name="쉼표 [0] 2 26 2" xfId="19108"/>
    <cellStyle name="쉼표 [0] 2 27" xfId="1201"/>
    <cellStyle name="쉼표 [0] 2 27 2" xfId="19118"/>
    <cellStyle name="쉼표 [0] 2 28" xfId="1202"/>
    <cellStyle name="쉼표 [0] 2 28 2" xfId="19249"/>
    <cellStyle name="쉼표 [0] 2 29" xfId="1203"/>
    <cellStyle name="쉼표 [0] 2 29 2" xfId="19141"/>
    <cellStyle name="쉼표 [0] 2 3" xfId="1204"/>
    <cellStyle name="쉼표 [0] 2 3 2" xfId="1205"/>
    <cellStyle name="쉼표 [0] 2 3 2 2" xfId="10530"/>
    <cellStyle name="쉼표 [0] 2 3 2 2 2" xfId="20409"/>
    <cellStyle name="쉼표 [0] 2 3 2 2 2 2" xfId="22060"/>
    <cellStyle name="쉼표 [0] 2 3 2 2 2 2 2" xfId="22061"/>
    <cellStyle name="쉼표 [0] 2 3 2 2 2 2 2 2" xfId="22062"/>
    <cellStyle name="쉼표 [0] 2 3 2 2 2 2 3" xfId="22063"/>
    <cellStyle name="쉼표 [0] 2 3 2 2 2 2 3 2" xfId="22064"/>
    <cellStyle name="쉼표 [0] 2 3 2 2 2 2 4" xfId="22065"/>
    <cellStyle name="쉼표 [0] 2 3 2 2 2 3" xfId="22066"/>
    <cellStyle name="쉼표 [0] 2 3 2 2 2 3 2" xfId="22067"/>
    <cellStyle name="쉼표 [0] 2 3 2 2 2 4" xfId="22068"/>
    <cellStyle name="쉼표 [0] 2 3 2 2 2 4 2" xfId="22069"/>
    <cellStyle name="쉼표 [0] 2 3 2 2 2 5" xfId="22070"/>
    <cellStyle name="쉼표 [0] 2 3 2 2 3" xfId="20408"/>
    <cellStyle name="쉼표 [0] 2 3 2 2 3 2" xfId="22071"/>
    <cellStyle name="쉼표 [0] 2 3 2 2 3 2 2" xfId="22072"/>
    <cellStyle name="쉼표 [0] 2 3 2 2 3 3" xfId="22073"/>
    <cellStyle name="쉼표 [0] 2 3 2 2 3 3 2" xfId="22074"/>
    <cellStyle name="쉼표 [0] 2 3 2 2 3 4" xfId="22075"/>
    <cellStyle name="쉼표 [0] 2 3 2 2 4" xfId="22076"/>
    <cellStyle name="쉼표 [0] 2 3 2 2 4 2" xfId="22077"/>
    <cellStyle name="쉼표 [0] 2 3 2 2 5" xfId="22078"/>
    <cellStyle name="쉼표 [0] 2 3 2 2 5 2" xfId="22079"/>
    <cellStyle name="쉼표 [0] 2 3 2 2 6" xfId="22080"/>
    <cellStyle name="쉼표 [0] 2 3 2 3" xfId="20410"/>
    <cellStyle name="쉼표 [0] 2 3 2 3 2" xfId="22081"/>
    <cellStyle name="쉼표 [0] 2 3 2 3 2 2" xfId="22082"/>
    <cellStyle name="쉼표 [0] 2 3 2 3 2 2 2" xfId="22083"/>
    <cellStyle name="쉼표 [0] 2 3 2 3 2 3" xfId="22084"/>
    <cellStyle name="쉼표 [0] 2 3 2 3 2 3 2" xfId="22085"/>
    <cellStyle name="쉼표 [0] 2 3 2 3 2 4" xfId="22086"/>
    <cellStyle name="쉼표 [0] 2 3 2 3 3" xfId="22087"/>
    <cellStyle name="쉼표 [0] 2 3 2 3 3 2" xfId="22088"/>
    <cellStyle name="쉼표 [0] 2 3 2 3 4" xfId="22089"/>
    <cellStyle name="쉼표 [0] 2 3 2 3 4 2" xfId="22090"/>
    <cellStyle name="쉼표 [0] 2 3 2 3 5" xfId="22091"/>
    <cellStyle name="쉼표 [0] 2 3 2 4" xfId="20407"/>
    <cellStyle name="쉼표 [0] 2 3 2 4 2" xfId="22092"/>
    <cellStyle name="쉼표 [0] 2 3 2 4 2 2" xfId="22093"/>
    <cellStyle name="쉼표 [0] 2 3 2 4 3" xfId="22094"/>
    <cellStyle name="쉼표 [0] 2 3 2 4 3 2" xfId="22095"/>
    <cellStyle name="쉼표 [0] 2 3 2 4 4" xfId="22096"/>
    <cellStyle name="쉼표 [0] 2 3 2 5" xfId="18256"/>
    <cellStyle name="쉼표 [0] 2 3 2 5 2" xfId="22097"/>
    <cellStyle name="쉼표 [0] 2 3 2 6" xfId="22098"/>
    <cellStyle name="쉼표 [0] 2 3 2 6 2" xfId="22099"/>
    <cellStyle name="쉼표 [0] 2 3 2 7" xfId="22100"/>
    <cellStyle name="쉼표 [0] 2 3 3" xfId="10531"/>
    <cellStyle name="쉼표 [0] 2 3 3 2" xfId="20412"/>
    <cellStyle name="쉼표 [0] 2 3 3 2 2" xfId="22101"/>
    <cellStyle name="쉼표 [0] 2 3 3 2 2 2" xfId="22102"/>
    <cellStyle name="쉼표 [0] 2 3 3 2 2 2 2" xfId="22103"/>
    <cellStyle name="쉼표 [0] 2 3 3 2 2 3" xfId="22104"/>
    <cellStyle name="쉼표 [0] 2 3 3 2 2 3 2" xfId="22105"/>
    <cellStyle name="쉼표 [0] 2 3 3 2 2 4" xfId="22106"/>
    <cellStyle name="쉼표 [0] 2 3 3 2 3" xfId="22107"/>
    <cellStyle name="쉼표 [0] 2 3 3 2 3 2" xfId="22108"/>
    <cellStyle name="쉼표 [0] 2 3 3 2 4" xfId="22109"/>
    <cellStyle name="쉼표 [0] 2 3 3 2 4 2" xfId="22110"/>
    <cellStyle name="쉼표 [0] 2 3 3 2 5" xfId="22111"/>
    <cellStyle name="쉼표 [0] 2 3 3 3" xfId="20411"/>
    <cellStyle name="쉼표 [0] 2 3 3 3 2" xfId="22112"/>
    <cellStyle name="쉼표 [0] 2 3 3 3 2 2" xfId="22113"/>
    <cellStyle name="쉼표 [0] 2 3 3 3 3" xfId="22114"/>
    <cellStyle name="쉼표 [0] 2 3 3 3 3 2" xfId="22115"/>
    <cellStyle name="쉼표 [0] 2 3 3 3 4" xfId="22116"/>
    <cellStyle name="쉼표 [0] 2 3 3 4" xfId="19700"/>
    <cellStyle name="쉼표 [0] 2 3 3 4 2" xfId="22117"/>
    <cellStyle name="쉼표 [0] 2 3 3 5" xfId="22118"/>
    <cellStyle name="쉼표 [0] 2 3 3 5 2" xfId="22119"/>
    <cellStyle name="쉼표 [0] 2 3 3 6" xfId="22120"/>
    <cellStyle name="쉼표 [0] 2 3 4" xfId="10532"/>
    <cellStyle name="쉼표 [0] 2 3 4 2" xfId="20413"/>
    <cellStyle name="쉼표 [0] 2 3 4 2 2" xfId="22121"/>
    <cellStyle name="쉼표 [0] 2 3 4 2 2 2" xfId="22122"/>
    <cellStyle name="쉼표 [0] 2 3 4 2 3" xfId="22123"/>
    <cellStyle name="쉼표 [0] 2 3 4 2 3 2" xfId="22124"/>
    <cellStyle name="쉼표 [0] 2 3 4 2 4" xfId="22125"/>
    <cellStyle name="쉼표 [0] 2 3 4 3" xfId="22126"/>
    <cellStyle name="쉼표 [0] 2 3 4 3 2" xfId="22127"/>
    <cellStyle name="쉼표 [0] 2 3 4 4" xfId="22128"/>
    <cellStyle name="쉼표 [0] 2 3 4 4 2" xfId="22129"/>
    <cellStyle name="쉼표 [0] 2 3 4 5" xfId="22130"/>
    <cellStyle name="쉼표 [0] 2 3 5" xfId="20414"/>
    <cellStyle name="쉼표 [0] 2 3 5 2" xfId="22131"/>
    <cellStyle name="쉼표 [0] 2 3 5 2 2" xfId="22132"/>
    <cellStyle name="쉼표 [0] 2 3 5 3" xfId="22133"/>
    <cellStyle name="쉼표 [0] 2 3 5 3 2" xfId="22134"/>
    <cellStyle name="쉼표 [0] 2 3 5 4" xfId="22135"/>
    <cellStyle name="쉼표 [0] 2 3 6" xfId="20406"/>
    <cellStyle name="쉼표 [0] 2 3 6 2" xfId="22136"/>
    <cellStyle name="쉼표 [0] 2 3 7" xfId="18251"/>
    <cellStyle name="쉼표 [0] 2 3 7 2" xfId="22137"/>
    <cellStyle name="쉼표 [0] 2 3 8" xfId="20507"/>
    <cellStyle name="쉼표 [0] 2 30" xfId="1206"/>
    <cellStyle name="쉼표 [0] 2 30 2" xfId="1207"/>
    <cellStyle name="쉼표 [0] 2 30 2 2" xfId="19483"/>
    <cellStyle name="쉼표 [0] 2 30 3" xfId="19285"/>
    <cellStyle name="쉼표 [0] 2 31" xfId="1208"/>
    <cellStyle name="쉼표 [0] 2 31 2" xfId="19501"/>
    <cellStyle name="쉼표 [0] 2 32" xfId="1209"/>
    <cellStyle name="쉼표 [0] 2 32 2" xfId="19602"/>
    <cellStyle name="쉼표 [0] 2 33" xfId="19830"/>
    <cellStyle name="쉼표 [0] 2 34" xfId="19870"/>
    <cellStyle name="쉼표 [0] 2 35" xfId="19883"/>
    <cellStyle name="쉼표 [0] 2 35 2" xfId="20053"/>
    <cellStyle name="쉼표 [0] 2 36" xfId="20084"/>
    <cellStyle name="쉼표 [0] 2 37" xfId="19978"/>
    <cellStyle name="쉼표 [0] 2 38" xfId="20641"/>
    <cellStyle name="쉼표 [0] 2 39" xfId="18244"/>
    <cellStyle name="쉼표 [0] 2 4" xfId="1210"/>
    <cellStyle name="쉼표 [0] 2 4 2" xfId="1211"/>
    <cellStyle name="쉼표 [0] 2 4 2 2" xfId="10533"/>
    <cellStyle name="쉼표 [0] 2 4 2 2 2" xfId="22138"/>
    <cellStyle name="쉼표 [0] 2 4 2 2 2 2" xfId="22139"/>
    <cellStyle name="쉼표 [0] 2 4 2 2 2 2 2" xfId="22140"/>
    <cellStyle name="쉼표 [0] 2 4 2 2 2 3" xfId="22141"/>
    <cellStyle name="쉼표 [0] 2 4 2 2 2 3 2" xfId="22142"/>
    <cellStyle name="쉼표 [0] 2 4 2 2 2 4" xfId="22143"/>
    <cellStyle name="쉼표 [0] 2 4 2 2 3" xfId="22144"/>
    <cellStyle name="쉼표 [0] 2 4 2 2 3 2" xfId="22145"/>
    <cellStyle name="쉼표 [0] 2 4 2 2 4" xfId="22146"/>
    <cellStyle name="쉼표 [0] 2 4 2 2 4 2" xfId="22147"/>
    <cellStyle name="쉼표 [0] 2 4 2 2 5" xfId="22148"/>
    <cellStyle name="쉼표 [0] 2 4 2 3" xfId="10534"/>
    <cellStyle name="쉼표 [0] 2 4 2 3 2" xfId="22149"/>
    <cellStyle name="쉼표 [0] 2 4 2 3 2 2" xfId="22150"/>
    <cellStyle name="쉼표 [0] 2 4 2 3 3" xfId="22151"/>
    <cellStyle name="쉼표 [0] 2 4 2 3 3 2" xfId="22152"/>
    <cellStyle name="쉼표 [0] 2 4 2 3 4" xfId="22153"/>
    <cellStyle name="쉼표 [0] 2 4 2 4" xfId="18267"/>
    <cellStyle name="쉼표 [0] 2 4 2 4 2" xfId="22154"/>
    <cellStyle name="쉼표 [0] 2 4 2 5" xfId="22155"/>
    <cellStyle name="쉼표 [0] 2 4 2 5 2" xfId="22156"/>
    <cellStyle name="쉼표 [0] 2 4 2 6" xfId="22157"/>
    <cellStyle name="쉼표 [0] 2 4 3" xfId="10535"/>
    <cellStyle name="쉼표 [0] 2 4 3 2" xfId="19704"/>
    <cellStyle name="쉼표 [0] 2 4 3 2 2" xfId="22158"/>
    <cellStyle name="쉼표 [0] 2 4 3 2 2 2" xfId="22159"/>
    <cellStyle name="쉼표 [0] 2 4 3 2 3" xfId="22160"/>
    <cellStyle name="쉼표 [0] 2 4 3 2 3 2" xfId="22161"/>
    <cellStyle name="쉼표 [0] 2 4 3 2 4" xfId="22162"/>
    <cellStyle name="쉼표 [0] 2 4 3 3" xfId="22163"/>
    <cellStyle name="쉼표 [0] 2 4 3 3 2" xfId="22164"/>
    <cellStyle name="쉼표 [0] 2 4 3 4" xfId="22165"/>
    <cellStyle name="쉼표 [0] 2 4 3 4 2" xfId="22166"/>
    <cellStyle name="쉼표 [0] 2 4 3 5" xfId="22167"/>
    <cellStyle name="쉼표 [0] 2 4 4" xfId="10536"/>
    <cellStyle name="쉼표 [0] 2 4 4 2" xfId="22168"/>
    <cellStyle name="쉼표 [0] 2 4 4 2 2" xfId="22169"/>
    <cellStyle name="쉼표 [0] 2 4 4 3" xfId="22170"/>
    <cellStyle name="쉼표 [0] 2 4 4 3 2" xfId="22171"/>
    <cellStyle name="쉼표 [0] 2 4 4 4" xfId="22172"/>
    <cellStyle name="쉼표 [0] 2 4 5" xfId="18258"/>
    <cellStyle name="쉼표 [0] 2 4 5 2" xfId="22173"/>
    <cellStyle name="쉼표 [0] 2 4 6" xfId="22174"/>
    <cellStyle name="쉼표 [0] 2 4 6 2" xfId="22175"/>
    <cellStyle name="쉼표 [0] 2 4 7" xfId="22176"/>
    <cellStyle name="쉼표 [0] 2 40" xfId="20628"/>
    <cellStyle name="쉼표 [0] 2 5" xfId="1212"/>
    <cellStyle name="쉼표 [0] 2 5 2" xfId="1213"/>
    <cellStyle name="쉼표 [0] 2 5 2 2" xfId="10537"/>
    <cellStyle name="쉼표 [0] 2 5 2 2 2" xfId="22177"/>
    <cellStyle name="쉼표 [0] 2 5 2 2 2 2" xfId="22178"/>
    <cellStyle name="쉼표 [0] 2 5 2 2 3" xfId="22179"/>
    <cellStyle name="쉼표 [0] 2 5 2 2 3 2" xfId="22180"/>
    <cellStyle name="쉼표 [0] 2 5 2 2 4" xfId="22181"/>
    <cellStyle name="쉼표 [0] 2 5 2 3" xfId="18299"/>
    <cellStyle name="쉼표 [0] 2 5 2 3 2" xfId="22182"/>
    <cellStyle name="쉼표 [0] 2 5 2 4" xfId="22183"/>
    <cellStyle name="쉼표 [0] 2 5 2 4 2" xfId="22184"/>
    <cellStyle name="쉼표 [0] 2 5 2 5" xfId="22185"/>
    <cellStyle name="쉼표 [0] 2 5 3" xfId="10538"/>
    <cellStyle name="쉼표 [0] 2 5 3 2" xfId="10539"/>
    <cellStyle name="쉼표 [0] 2 5 3 2 2" xfId="22186"/>
    <cellStyle name="쉼표 [0] 2 5 3 3" xfId="22187"/>
    <cellStyle name="쉼표 [0] 2 5 3 3 2" xfId="22188"/>
    <cellStyle name="쉼표 [0] 2 5 3 4" xfId="22189"/>
    <cellStyle name="쉼표 [0] 2 5 4" xfId="10540"/>
    <cellStyle name="쉼표 [0] 2 5 4 2" xfId="22190"/>
    <cellStyle name="쉼표 [0] 2 5 5" xfId="18265"/>
    <cellStyle name="쉼표 [0] 2 5 5 2" xfId="22191"/>
    <cellStyle name="쉼표 [0] 2 5 6" xfId="22192"/>
    <cellStyle name="쉼표 [0] 2 6" xfId="1214"/>
    <cellStyle name="쉼표 [0] 2 6 2" xfId="10541"/>
    <cellStyle name="쉼표 [0] 2 6 2 2" xfId="10542"/>
    <cellStyle name="쉼표 [0] 2 6 2 2 2" xfId="22193"/>
    <cellStyle name="쉼표 [0] 2 6 2 3" xfId="22194"/>
    <cellStyle name="쉼표 [0] 2 6 2 3 2" xfId="22195"/>
    <cellStyle name="쉼표 [0] 2 6 2 4" xfId="22196"/>
    <cellStyle name="쉼표 [0] 2 6 3" xfId="10543"/>
    <cellStyle name="쉼표 [0] 2 6 3 2" xfId="22197"/>
    <cellStyle name="쉼표 [0] 2 6 4" xfId="10544"/>
    <cellStyle name="쉼표 [0] 2 6 4 2" xfId="22198"/>
    <cellStyle name="쉼표 [0] 2 6 5" xfId="18334"/>
    <cellStyle name="쉼표 [0] 2 7" xfId="1215"/>
    <cellStyle name="쉼표 [0] 2 7 2" xfId="10545"/>
    <cellStyle name="쉼표 [0] 2 7 2 2" xfId="22199"/>
    <cellStyle name="쉼표 [0] 2 7 3" xfId="10546"/>
    <cellStyle name="쉼표 [0] 2 7 3 2" xfId="22200"/>
    <cellStyle name="쉼표 [0] 2 7 4" xfId="18336"/>
    <cellStyle name="쉼표 [0] 2 8" xfId="1216"/>
    <cellStyle name="쉼표 [0] 2 8 2" xfId="1217"/>
    <cellStyle name="쉼표 [0] 2 8 2 2" xfId="18395"/>
    <cellStyle name="쉼표 [0] 2 8 3" xfId="10547"/>
    <cellStyle name="쉼표 [0] 2 8 3 2" xfId="20175"/>
    <cellStyle name="쉼표 [0] 2 8 4" xfId="18272"/>
    <cellStyle name="쉼표 [0] 2 9" xfId="1218"/>
    <cellStyle name="쉼표 [0] 2 9 2" xfId="10548"/>
    <cellStyle name="쉼표 [0] 2 9 3" xfId="10549"/>
    <cellStyle name="쉼표 [0] 2 9 4" xfId="18305"/>
    <cellStyle name="쉼표 [0] 2_iCoD_DnP편성표_종합_070930(4차)_최종수정1번" xfId="10550"/>
    <cellStyle name="쉼표 [0] 20" xfId="1219"/>
    <cellStyle name="쉼표 [0] 20 10" xfId="1220"/>
    <cellStyle name="쉼표 [0] 20 10 2" xfId="19157"/>
    <cellStyle name="쉼표 [0] 20 11" xfId="1221"/>
    <cellStyle name="쉼표 [0] 20 11 2" xfId="19341"/>
    <cellStyle name="쉼표 [0] 20 12" xfId="1222"/>
    <cellStyle name="쉼표 [0] 20 12 2" xfId="19444"/>
    <cellStyle name="쉼표 [0] 20 13" xfId="1223"/>
    <cellStyle name="쉼표 [0] 20 13 2" xfId="19386"/>
    <cellStyle name="쉼표 [0] 20 14" xfId="19759"/>
    <cellStyle name="쉼표 [0] 20 15" xfId="19730"/>
    <cellStyle name="쉼표 [0] 20 16" xfId="20104"/>
    <cellStyle name="쉼표 [0] 20 16 2" xfId="20193"/>
    <cellStyle name="쉼표 [0] 20 17" xfId="19973"/>
    <cellStyle name="쉼표 [0] 20 18" xfId="20062"/>
    <cellStyle name="쉼표 [0] 20 19" xfId="18628"/>
    <cellStyle name="쉼표 [0] 20 2" xfId="1224"/>
    <cellStyle name="쉼표 [0] 20 2 2" xfId="10551"/>
    <cellStyle name="쉼표 [0] 20 2 2 2" xfId="10552"/>
    <cellStyle name="쉼표 [0] 20 2 3" xfId="18623"/>
    <cellStyle name="쉼표 [0] 20 3" xfId="1225"/>
    <cellStyle name="쉼표 [0] 20 3 2" xfId="10553"/>
    <cellStyle name="쉼표 [0] 20 3 3" xfId="18419"/>
    <cellStyle name="쉼표 [0] 20 4" xfId="1226"/>
    <cellStyle name="쉼표 [0] 20 4 2" xfId="19005"/>
    <cellStyle name="쉼표 [0] 20 5" xfId="1227"/>
    <cellStyle name="쉼표 [0] 20 5 2" xfId="18426"/>
    <cellStyle name="쉼표 [0] 20 6" xfId="1228"/>
    <cellStyle name="쉼표 [0] 20 6 2" xfId="19140"/>
    <cellStyle name="쉼표 [0] 20 7" xfId="1229"/>
    <cellStyle name="쉼표 [0] 20 7 2" xfId="19244"/>
    <cellStyle name="쉼표 [0] 20 8" xfId="1230"/>
    <cellStyle name="쉼표 [0] 20 8 2" xfId="19296"/>
    <cellStyle name="쉼표 [0] 20 9" xfId="1231"/>
    <cellStyle name="쉼표 [0] 20 9 2" xfId="19286"/>
    <cellStyle name="쉼표 [0] 21" xfId="1232"/>
    <cellStyle name="쉼표 [0] 21 10" xfId="1233"/>
    <cellStyle name="쉼표 [0] 21 10 2" xfId="18735"/>
    <cellStyle name="쉼표 [0] 21 11" xfId="1234"/>
    <cellStyle name="쉼표 [0] 21 11 2" xfId="19404"/>
    <cellStyle name="쉼표 [0] 21 12" xfId="1235"/>
    <cellStyle name="쉼표 [0] 21 12 2" xfId="18778"/>
    <cellStyle name="쉼표 [0] 21 13" xfId="19742"/>
    <cellStyle name="쉼표 [0] 21 14" xfId="19857"/>
    <cellStyle name="쉼표 [0] 21 15" xfId="20035"/>
    <cellStyle name="쉼표 [0] 21 15 2" xfId="20196"/>
    <cellStyle name="쉼표 [0] 21 16" xfId="19992"/>
    <cellStyle name="쉼표 [0] 21 17" xfId="20137"/>
    <cellStyle name="쉼표 [0] 21 18" xfId="18459"/>
    <cellStyle name="쉼표 [0] 21 2" xfId="1236"/>
    <cellStyle name="쉼표 [0] 21 2 2" xfId="10554"/>
    <cellStyle name="쉼표 [0] 21 2 2 2" xfId="10555"/>
    <cellStyle name="쉼표 [0] 21 2 3" xfId="18988"/>
    <cellStyle name="쉼표 [0] 21 3" xfId="1237"/>
    <cellStyle name="쉼표 [0] 21 3 2" xfId="10556"/>
    <cellStyle name="쉼표 [0] 21 3 3" xfId="18895"/>
    <cellStyle name="쉼표 [0] 21 4" xfId="1238"/>
    <cellStyle name="쉼표 [0] 21 4 2" xfId="18975"/>
    <cellStyle name="쉼표 [0] 21 5" xfId="1239"/>
    <cellStyle name="쉼표 [0] 21 5 2" xfId="18666"/>
    <cellStyle name="쉼표 [0] 21 6" xfId="1240"/>
    <cellStyle name="쉼표 [0] 21 6 2" xfId="19149"/>
    <cellStyle name="쉼표 [0] 21 7" xfId="1241"/>
    <cellStyle name="쉼표 [0] 21 7 2" xfId="18944"/>
    <cellStyle name="쉼표 [0] 21 8" xfId="1242"/>
    <cellStyle name="쉼표 [0] 21 8 2" xfId="19317"/>
    <cellStyle name="쉼표 [0] 21 9" xfId="1243"/>
    <cellStyle name="쉼표 [0] 21 9 2" xfId="19104"/>
    <cellStyle name="쉼표 [0] 22" xfId="1244"/>
    <cellStyle name="쉼표 [0] 22 10" xfId="1245"/>
    <cellStyle name="쉼표 [0] 22 10 2" xfId="19456"/>
    <cellStyle name="쉼표 [0] 22 11" xfId="1246"/>
    <cellStyle name="쉼표 [0] 22 11 2" xfId="19469"/>
    <cellStyle name="쉼표 [0] 22 12" xfId="19720"/>
    <cellStyle name="쉼표 [0] 22 13" xfId="19833"/>
    <cellStyle name="쉼표 [0] 22 14" xfId="20016"/>
    <cellStyle name="쉼표 [0] 22 14 2" xfId="20186"/>
    <cellStyle name="쉼표 [0] 22 15" xfId="20134"/>
    <cellStyle name="쉼표 [0] 22 16" xfId="20155"/>
    <cellStyle name="쉼표 [0] 22 17" xfId="18813"/>
    <cellStyle name="쉼표 [0] 22 2" xfId="1247"/>
    <cellStyle name="쉼표 [0] 22 2 2" xfId="10557"/>
    <cellStyle name="쉼표 [0] 22 2 2 2" xfId="10558"/>
    <cellStyle name="쉼표 [0] 22 2 3" xfId="19088"/>
    <cellStyle name="쉼표 [0] 22 3" xfId="1248"/>
    <cellStyle name="쉼표 [0] 22 3 2" xfId="10559"/>
    <cellStyle name="쉼표 [0] 22 3 3" xfId="18544"/>
    <cellStyle name="쉼표 [0] 22 4" xfId="1249"/>
    <cellStyle name="쉼표 [0] 22 4 2" xfId="19144"/>
    <cellStyle name="쉼표 [0] 22 5" xfId="1250"/>
    <cellStyle name="쉼표 [0] 22 5 2" xfId="18888"/>
    <cellStyle name="쉼표 [0] 22 6" xfId="1251"/>
    <cellStyle name="쉼표 [0] 22 6 2" xfId="19159"/>
    <cellStyle name="쉼표 [0] 22 7" xfId="1252"/>
    <cellStyle name="쉼표 [0] 22 7 2" xfId="19293"/>
    <cellStyle name="쉼표 [0] 22 8" xfId="1253"/>
    <cellStyle name="쉼표 [0] 22 8 2" xfId="18705"/>
    <cellStyle name="쉼표 [0] 22 9" xfId="1254"/>
    <cellStyle name="쉼표 [0] 22 9 2" xfId="18407"/>
    <cellStyle name="쉼표 [0] 23" xfId="10560"/>
    <cellStyle name="쉼표 [0] 23 10" xfId="1255"/>
    <cellStyle name="쉼표 [0] 23 10 2" xfId="19162"/>
    <cellStyle name="쉼표 [0] 23 11" xfId="19914"/>
    <cellStyle name="쉼표 [0] 23 2" xfId="1256"/>
    <cellStyle name="쉼표 [0] 23 2 2" xfId="10561"/>
    <cellStyle name="쉼표 [0] 23 2 2 2" xfId="10562"/>
    <cellStyle name="쉼표 [0] 23 2 3" xfId="19089"/>
    <cellStyle name="쉼표 [0] 23 3" xfId="1257"/>
    <cellStyle name="쉼표 [0] 23 3 2" xfId="10563"/>
    <cellStyle name="쉼표 [0] 23 3 3" xfId="19123"/>
    <cellStyle name="쉼표 [0] 23 4" xfId="1258"/>
    <cellStyle name="쉼표 [0] 23 4 2" xfId="19148"/>
    <cellStyle name="쉼표 [0] 23 5" xfId="1259"/>
    <cellStyle name="쉼표 [0] 23 5 2" xfId="18871"/>
    <cellStyle name="쉼표 [0] 23 6" xfId="1260"/>
    <cellStyle name="쉼표 [0] 23 6 2" xfId="19105"/>
    <cellStyle name="쉼표 [0] 23 7" xfId="1261"/>
    <cellStyle name="쉼표 [0] 23 7 2" xfId="19347"/>
    <cellStyle name="쉼표 [0] 23 8" xfId="1262"/>
    <cellStyle name="쉼표 [0] 23 8 2" xfId="19421"/>
    <cellStyle name="쉼표 [0] 23 9" xfId="1263"/>
    <cellStyle name="쉼표 [0] 23 9 2" xfId="19432"/>
    <cellStyle name="쉼표 [0] 24" xfId="1264"/>
    <cellStyle name="쉼표 [0] 24 10" xfId="19731"/>
    <cellStyle name="쉼표 [0] 24 11" xfId="19817"/>
    <cellStyle name="쉼표 [0] 24 12" xfId="19897"/>
    <cellStyle name="쉼표 [0] 24 13" xfId="20108"/>
    <cellStyle name="쉼표 [0] 24 14" xfId="20076"/>
    <cellStyle name="쉼표 [0] 24 15" xfId="18678"/>
    <cellStyle name="쉼표 [0] 24 2" xfId="1265"/>
    <cellStyle name="쉼표 [0] 24 2 2" xfId="10564"/>
    <cellStyle name="쉼표 [0] 24 2 2 2" xfId="10565"/>
    <cellStyle name="쉼표 [0] 24 2 3" xfId="19155"/>
    <cellStyle name="쉼표 [0] 24 3" xfId="1266"/>
    <cellStyle name="쉼표 [0] 24 3 2" xfId="10566"/>
    <cellStyle name="쉼표 [0] 24 3 3" xfId="19050"/>
    <cellStyle name="쉼표 [0] 24 4" xfId="1267"/>
    <cellStyle name="쉼표 [0] 24 4 2" xfId="19266"/>
    <cellStyle name="쉼표 [0] 24 5" xfId="1268"/>
    <cellStyle name="쉼표 [0] 24 5 2" xfId="19325"/>
    <cellStyle name="쉼표 [0] 24 6" xfId="1269"/>
    <cellStyle name="쉼표 [0] 24 6 2" xfId="19355"/>
    <cellStyle name="쉼표 [0] 24 7" xfId="1270"/>
    <cellStyle name="쉼표 [0] 24 7 2" xfId="18713"/>
    <cellStyle name="쉼표 [0] 24 8" xfId="1271"/>
    <cellStyle name="쉼표 [0] 24 8 2" xfId="19076"/>
    <cellStyle name="쉼표 [0] 24 9" xfId="1272"/>
    <cellStyle name="쉼표 [0] 24 9 2" xfId="19267"/>
    <cellStyle name="쉼표 [0] 25" xfId="1273"/>
    <cellStyle name="쉼표 [0] 25 10" xfId="19737"/>
    <cellStyle name="쉼표 [0] 25 11" xfId="19996"/>
    <cellStyle name="쉼표 [0] 25 12" xfId="19931"/>
    <cellStyle name="쉼표 [0] 25 13" xfId="20005"/>
    <cellStyle name="쉼표 [0] 25 14" xfId="18957"/>
    <cellStyle name="쉼표 [0] 25 2" xfId="1274"/>
    <cellStyle name="쉼표 [0] 25 2 2" xfId="10567"/>
    <cellStyle name="쉼표 [0] 25 2 2 2" xfId="10568"/>
    <cellStyle name="쉼표 [0] 25 2 3" xfId="18556"/>
    <cellStyle name="쉼표 [0] 25 3" xfId="1275"/>
    <cellStyle name="쉼표 [0] 25 3 2" xfId="10569"/>
    <cellStyle name="쉼표 [0] 25 3 3" xfId="19146"/>
    <cellStyle name="쉼표 [0] 25 4" xfId="1276"/>
    <cellStyle name="쉼표 [0] 25 4 2" xfId="18734"/>
    <cellStyle name="쉼표 [0] 25 5" xfId="1277"/>
    <cellStyle name="쉼표 [0] 25 5 2" xfId="19209"/>
    <cellStyle name="쉼표 [0] 25 6" xfId="1278"/>
    <cellStyle name="쉼표 [0] 25 6 2" xfId="19333"/>
    <cellStyle name="쉼표 [0] 25 7" xfId="1279"/>
    <cellStyle name="쉼표 [0] 25 7 2" xfId="19316"/>
    <cellStyle name="쉼표 [0] 25 8" xfId="1280"/>
    <cellStyle name="쉼표 [0] 25 8 2" xfId="19430"/>
    <cellStyle name="쉼표 [0] 25 9" xfId="19846"/>
    <cellStyle name="쉼표 [0] 26" xfId="1281"/>
    <cellStyle name="쉼표 [0] 26 10" xfId="20098"/>
    <cellStyle name="쉼표 [0] 26 11" xfId="19971"/>
    <cellStyle name="쉼표 [0] 26 12" xfId="20146"/>
    <cellStyle name="쉼표 [0] 26 13" xfId="18742"/>
    <cellStyle name="쉼표 [0] 26 2" xfId="1282"/>
    <cellStyle name="쉼표 [0] 26 2 2" xfId="10570"/>
    <cellStyle name="쉼표 [0] 26 2 2 2" xfId="10571"/>
    <cellStyle name="쉼표 [0] 26 2 2 2 2" xfId="10572"/>
    <cellStyle name="쉼표 [0] 26 2 3" xfId="10573"/>
    <cellStyle name="쉼표 [0] 26 2 3 2" xfId="10574"/>
    <cellStyle name="쉼표 [0] 26 2 4" xfId="19147"/>
    <cellStyle name="쉼표 [0] 26 3" xfId="1283"/>
    <cellStyle name="쉼표 [0] 26 3 2" xfId="10575"/>
    <cellStyle name="쉼표 [0] 26 3 2 2" xfId="10576"/>
    <cellStyle name="쉼표 [0] 26 3 2 2 2" xfId="10577"/>
    <cellStyle name="쉼표 [0] 26 3 3" xfId="10578"/>
    <cellStyle name="쉼표 [0] 26 3 3 2" xfId="10579"/>
    <cellStyle name="쉼표 [0] 26 3 4" xfId="19322"/>
    <cellStyle name="쉼표 [0] 26 4" xfId="1284"/>
    <cellStyle name="쉼표 [0] 26 4 2" xfId="10580"/>
    <cellStyle name="쉼표 [0] 26 4 2 2" xfId="10581"/>
    <cellStyle name="쉼표 [0] 26 4 2 2 2" xfId="10582"/>
    <cellStyle name="쉼표 [0] 26 4 3" xfId="10583"/>
    <cellStyle name="쉼표 [0] 26 4 3 2" xfId="10584"/>
    <cellStyle name="쉼표 [0] 26 4 4" xfId="19256"/>
    <cellStyle name="쉼표 [0] 26 5" xfId="1285"/>
    <cellStyle name="쉼표 [0] 26 5 2" xfId="10585"/>
    <cellStyle name="쉼표 [0] 26 5 2 2" xfId="10586"/>
    <cellStyle name="쉼표 [0] 26 5 3" xfId="19419"/>
    <cellStyle name="쉼표 [0] 26 6" xfId="1286"/>
    <cellStyle name="쉼표 [0] 26 6 2" xfId="10587"/>
    <cellStyle name="쉼표 [0] 26 6 3" xfId="19405"/>
    <cellStyle name="쉼표 [0] 26 7" xfId="1287"/>
    <cellStyle name="쉼표 [0] 26 7 2" xfId="19114"/>
    <cellStyle name="쉼표 [0] 26 8" xfId="19855"/>
    <cellStyle name="쉼표 [0] 26 9" xfId="19766"/>
    <cellStyle name="쉼표 [0] 27" xfId="1288"/>
    <cellStyle name="쉼표 [0] 27 10" xfId="20034"/>
    <cellStyle name="쉼표 [0] 27 11" xfId="19979"/>
    <cellStyle name="쉼표 [0] 27 12" xfId="18771"/>
    <cellStyle name="쉼표 [0] 27 2" xfId="1289"/>
    <cellStyle name="쉼표 [0] 27 2 2" xfId="10588"/>
    <cellStyle name="쉼표 [0] 27 2 2 2" xfId="10589"/>
    <cellStyle name="쉼표 [0] 27 2 3" xfId="18913"/>
    <cellStyle name="쉼표 [0] 27 3" xfId="1290"/>
    <cellStyle name="쉼표 [0] 27 3 2" xfId="10590"/>
    <cellStyle name="쉼표 [0] 27 3 3" xfId="18776"/>
    <cellStyle name="쉼표 [0] 27 4" xfId="1291"/>
    <cellStyle name="쉼표 [0] 27 4 2" xfId="19415"/>
    <cellStyle name="쉼표 [0] 27 5" xfId="1292"/>
    <cellStyle name="쉼표 [0] 27 5 2" xfId="18719"/>
    <cellStyle name="쉼표 [0] 27 6" xfId="1293"/>
    <cellStyle name="쉼표 [0] 27 6 2" xfId="19426"/>
    <cellStyle name="쉼표 [0] 27 7" xfId="19757"/>
    <cellStyle name="쉼표 [0] 27 8" xfId="19709"/>
    <cellStyle name="쉼표 [0] 27 9" xfId="19903"/>
    <cellStyle name="쉼표 [0] 28" xfId="1294"/>
    <cellStyle name="쉼표 [0] 28 10" xfId="20111"/>
    <cellStyle name="쉼표 [0] 28 11" xfId="19041"/>
    <cellStyle name="쉼표 [0] 28 2" xfId="1295"/>
    <cellStyle name="쉼표 [0] 28 2 2" xfId="10591"/>
    <cellStyle name="쉼표 [0] 28 2 2 2" xfId="10592"/>
    <cellStyle name="쉼표 [0] 28 2 3" xfId="19253"/>
    <cellStyle name="쉼표 [0] 28 3" xfId="1296"/>
    <cellStyle name="쉼표 [0] 28 3 2" xfId="10593"/>
    <cellStyle name="쉼표 [0] 28 3 3" xfId="18991"/>
    <cellStyle name="쉼표 [0] 28 4" xfId="1297"/>
    <cellStyle name="쉼표 [0] 28 4 2" xfId="19250"/>
    <cellStyle name="쉼표 [0] 28 5" xfId="1298"/>
    <cellStyle name="쉼표 [0] 28 5 2" xfId="19455"/>
    <cellStyle name="쉼표 [0] 28 6" xfId="19861"/>
    <cellStyle name="쉼표 [0] 28 7" xfId="19867"/>
    <cellStyle name="쉼표 [0] 28 8" xfId="20113"/>
    <cellStyle name="쉼표 [0] 28 9" xfId="19926"/>
    <cellStyle name="쉼표 [0] 29" xfId="1299"/>
    <cellStyle name="쉼표 [0] 29 10" xfId="18982"/>
    <cellStyle name="쉼표 [0] 29 2" xfId="1300"/>
    <cellStyle name="쉼표 [0] 29 2 2" xfId="10594"/>
    <cellStyle name="쉼표 [0] 29 2 2 2" xfId="10595"/>
    <cellStyle name="쉼표 [0] 29 2 3" xfId="19040"/>
    <cellStyle name="쉼표 [0] 29 3" xfId="1301"/>
    <cellStyle name="쉼표 [0] 29 3 2" xfId="10596"/>
    <cellStyle name="쉼표 [0] 29 3 3" xfId="19326"/>
    <cellStyle name="쉼표 [0] 29 4" xfId="1302"/>
    <cellStyle name="쉼표 [0] 29 4 2" xfId="19388"/>
    <cellStyle name="쉼표 [0] 29 5" xfId="19840"/>
    <cellStyle name="쉼표 [0] 29 6" xfId="19806"/>
    <cellStyle name="쉼표 [0] 29 7" xfId="19997"/>
    <cellStyle name="쉼표 [0] 29 8" xfId="20101"/>
    <cellStyle name="쉼표 [0] 29 9" xfId="20135"/>
    <cellStyle name="쉼표 [0] 3" xfId="1303"/>
    <cellStyle name="쉼표 [0] 3 10" xfId="10597"/>
    <cellStyle name="쉼표 [0] 3 10 2" xfId="10598"/>
    <cellStyle name="쉼표 [0] 3 10 2 2" xfId="10599"/>
    <cellStyle name="쉼표 [0] 3 10 2 2 2" xfId="10600"/>
    <cellStyle name="쉼표 [0] 3 10 2 2 2 2" xfId="10601"/>
    <cellStyle name="쉼표 [0] 3 10 2 3" xfId="10602"/>
    <cellStyle name="쉼표 [0] 3 10 2 3 2" xfId="10603"/>
    <cellStyle name="쉼표 [0] 3 10 3" xfId="10604"/>
    <cellStyle name="쉼표 [0] 3 10 3 2" xfId="10605"/>
    <cellStyle name="쉼표 [0] 3 10 3 2 2" xfId="10606"/>
    <cellStyle name="쉼표 [0] 3 10 3 2 2 2" xfId="10607"/>
    <cellStyle name="쉼표 [0] 3 10 3 3" xfId="10608"/>
    <cellStyle name="쉼표 [0] 3 10 3 3 2" xfId="10609"/>
    <cellStyle name="쉼표 [0] 3 10 4" xfId="10610"/>
    <cellStyle name="쉼표 [0] 3 10 4 2" xfId="10611"/>
    <cellStyle name="쉼표 [0] 3 10 4 2 2" xfId="10612"/>
    <cellStyle name="쉼표 [0] 3 10 4 2 2 2" xfId="10613"/>
    <cellStyle name="쉼표 [0] 3 10 4 3" xfId="10614"/>
    <cellStyle name="쉼표 [0] 3 10 4 3 2" xfId="10615"/>
    <cellStyle name="쉼표 [0] 3 10 5" xfId="10616"/>
    <cellStyle name="쉼표 [0] 3 10 5 2" xfId="10617"/>
    <cellStyle name="쉼표 [0] 3 10 5 2 2" xfId="10618"/>
    <cellStyle name="쉼표 [0] 3 10 5 2 2 2" xfId="10619"/>
    <cellStyle name="쉼표 [0] 3 10 5 3" xfId="10620"/>
    <cellStyle name="쉼표 [0] 3 10 5 3 2" xfId="10621"/>
    <cellStyle name="쉼표 [0] 3 10 6" xfId="10622"/>
    <cellStyle name="쉼표 [0] 3 10 6 2" xfId="10623"/>
    <cellStyle name="쉼표 [0] 3 10 6 2 2" xfId="10624"/>
    <cellStyle name="쉼표 [0] 3 10 6 2 2 2" xfId="10625"/>
    <cellStyle name="쉼표 [0] 3 10 6 3" xfId="10626"/>
    <cellStyle name="쉼표 [0] 3 10 6 3 2" xfId="10627"/>
    <cellStyle name="쉼표 [0] 3 10 7" xfId="10628"/>
    <cellStyle name="쉼표 [0] 3 10 7 2" xfId="10629"/>
    <cellStyle name="쉼표 [0] 3 10 7 2 2" xfId="10630"/>
    <cellStyle name="쉼표 [0] 3 10 8" xfId="10631"/>
    <cellStyle name="쉼표 [0] 3 10 8 2" xfId="10632"/>
    <cellStyle name="쉼표 [0] 3 11" xfId="10633"/>
    <cellStyle name="쉼표 [0] 3 11 2" xfId="10634"/>
    <cellStyle name="쉼표 [0] 3 11 2 2" xfId="10635"/>
    <cellStyle name="쉼표 [0] 3 11 2 2 2" xfId="10636"/>
    <cellStyle name="쉼표 [0] 3 11 2 2 2 2" xfId="10637"/>
    <cellStyle name="쉼표 [0] 3 11 2 3" xfId="10638"/>
    <cellStyle name="쉼표 [0] 3 11 2 3 2" xfId="10639"/>
    <cellStyle name="쉼표 [0] 3 11 3" xfId="10640"/>
    <cellStyle name="쉼표 [0] 3 11 3 2" xfId="10641"/>
    <cellStyle name="쉼표 [0] 3 11 3 2 2" xfId="10642"/>
    <cellStyle name="쉼표 [0] 3 11 3 2 2 2" xfId="10643"/>
    <cellStyle name="쉼표 [0] 3 11 3 3" xfId="10644"/>
    <cellStyle name="쉼표 [0] 3 11 3 3 2" xfId="10645"/>
    <cellStyle name="쉼표 [0] 3 11 4" xfId="10646"/>
    <cellStyle name="쉼표 [0] 3 11 4 2" xfId="10647"/>
    <cellStyle name="쉼표 [0] 3 11 4 2 2" xfId="10648"/>
    <cellStyle name="쉼표 [0] 3 11 4 2 2 2" xfId="10649"/>
    <cellStyle name="쉼표 [0] 3 11 4 3" xfId="10650"/>
    <cellStyle name="쉼표 [0] 3 11 4 3 2" xfId="10651"/>
    <cellStyle name="쉼표 [0] 3 11 5" xfId="10652"/>
    <cellStyle name="쉼표 [0] 3 11 5 2" xfId="10653"/>
    <cellStyle name="쉼표 [0] 3 11 5 2 2" xfId="10654"/>
    <cellStyle name="쉼표 [0] 3 11 5 2 2 2" xfId="10655"/>
    <cellStyle name="쉼표 [0] 3 11 5 3" xfId="10656"/>
    <cellStyle name="쉼표 [0] 3 11 5 3 2" xfId="10657"/>
    <cellStyle name="쉼표 [0] 3 11 6" xfId="10658"/>
    <cellStyle name="쉼표 [0] 3 11 6 2" xfId="10659"/>
    <cellStyle name="쉼표 [0] 3 11 6 2 2" xfId="10660"/>
    <cellStyle name="쉼표 [0] 3 11 6 2 2 2" xfId="10661"/>
    <cellStyle name="쉼표 [0] 3 11 6 3" xfId="10662"/>
    <cellStyle name="쉼표 [0] 3 11 6 3 2" xfId="10663"/>
    <cellStyle name="쉼표 [0] 3 11 7" xfId="10664"/>
    <cellStyle name="쉼표 [0] 3 11 7 2" xfId="10665"/>
    <cellStyle name="쉼표 [0] 3 11 7 2 2" xfId="10666"/>
    <cellStyle name="쉼표 [0] 3 11 8" xfId="10667"/>
    <cellStyle name="쉼표 [0] 3 11 8 2" xfId="10668"/>
    <cellStyle name="쉼표 [0] 3 12" xfId="10669"/>
    <cellStyle name="쉼표 [0] 3 12 2" xfId="10670"/>
    <cellStyle name="쉼표 [0] 3 12 2 2" xfId="10671"/>
    <cellStyle name="쉼표 [0] 3 12 2 2 2" xfId="10672"/>
    <cellStyle name="쉼표 [0] 3 12 2 2 2 2" xfId="10673"/>
    <cellStyle name="쉼표 [0] 3 12 2 3" xfId="10674"/>
    <cellStyle name="쉼표 [0] 3 12 2 3 2" xfId="10675"/>
    <cellStyle name="쉼표 [0] 3 12 3" xfId="10676"/>
    <cellStyle name="쉼표 [0] 3 12 3 2" xfId="10677"/>
    <cellStyle name="쉼표 [0] 3 12 3 2 2" xfId="10678"/>
    <cellStyle name="쉼표 [0] 3 12 3 2 2 2" xfId="10679"/>
    <cellStyle name="쉼표 [0] 3 12 3 3" xfId="10680"/>
    <cellStyle name="쉼표 [0] 3 12 3 3 2" xfId="10681"/>
    <cellStyle name="쉼표 [0] 3 12 4" xfId="10682"/>
    <cellStyle name="쉼표 [0] 3 12 4 2" xfId="10683"/>
    <cellStyle name="쉼표 [0] 3 12 4 2 2" xfId="10684"/>
    <cellStyle name="쉼표 [0] 3 12 4 2 2 2" xfId="10685"/>
    <cellStyle name="쉼표 [0] 3 12 4 3" xfId="10686"/>
    <cellStyle name="쉼표 [0] 3 12 4 3 2" xfId="10687"/>
    <cellStyle name="쉼표 [0] 3 12 5" xfId="10688"/>
    <cellStyle name="쉼표 [0] 3 12 5 2" xfId="10689"/>
    <cellStyle name="쉼표 [0] 3 12 5 2 2" xfId="10690"/>
    <cellStyle name="쉼표 [0] 3 12 5 2 2 2" xfId="10691"/>
    <cellStyle name="쉼표 [0] 3 12 5 3" xfId="10692"/>
    <cellStyle name="쉼표 [0] 3 12 5 3 2" xfId="10693"/>
    <cellStyle name="쉼표 [0] 3 12 6" xfId="10694"/>
    <cellStyle name="쉼표 [0] 3 12 6 2" xfId="10695"/>
    <cellStyle name="쉼표 [0] 3 12 6 2 2" xfId="10696"/>
    <cellStyle name="쉼표 [0] 3 12 6 2 2 2" xfId="10697"/>
    <cellStyle name="쉼표 [0] 3 12 6 3" xfId="10698"/>
    <cellStyle name="쉼표 [0] 3 12 6 3 2" xfId="10699"/>
    <cellStyle name="쉼표 [0] 3 12 7" xfId="10700"/>
    <cellStyle name="쉼표 [0] 3 12 7 2" xfId="10701"/>
    <cellStyle name="쉼표 [0] 3 12 7 2 2" xfId="10702"/>
    <cellStyle name="쉼표 [0] 3 12 8" xfId="10703"/>
    <cellStyle name="쉼표 [0] 3 12 8 2" xfId="10704"/>
    <cellStyle name="쉼표 [0] 3 13" xfId="10705"/>
    <cellStyle name="쉼표 [0] 3 13 2" xfId="10706"/>
    <cellStyle name="쉼표 [0] 3 13 2 2" xfId="10707"/>
    <cellStyle name="쉼표 [0] 3 13 2 2 2" xfId="10708"/>
    <cellStyle name="쉼표 [0] 3 13 2 2 2 2" xfId="10709"/>
    <cellStyle name="쉼표 [0] 3 13 2 3" xfId="10710"/>
    <cellStyle name="쉼표 [0] 3 13 2 3 2" xfId="10711"/>
    <cellStyle name="쉼표 [0] 3 13 3" xfId="10712"/>
    <cellStyle name="쉼표 [0] 3 13 3 2" xfId="10713"/>
    <cellStyle name="쉼표 [0] 3 13 3 2 2" xfId="10714"/>
    <cellStyle name="쉼표 [0] 3 13 3 2 2 2" xfId="10715"/>
    <cellStyle name="쉼표 [0] 3 13 3 3" xfId="10716"/>
    <cellStyle name="쉼표 [0] 3 13 3 3 2" xfId="10717"/>
    <cellStyle name="쉼표 [0] 3 13 4" xfId="10718"/>
    <cellStyle name="쉼표 [0] 3 13 4 2" xfId="10719"/>
    <cellStyle name="쉼표 [0] 3 13 4 2 2" xfId="10720"/>
    <cellStyle name="쉼표 [0] 3 13 4 2 2 2" xfId="10721"/>
    <cellStyle name="쉼표 [0] 3 13 4 3" xfId="10722"/>
    <cellStyle name="쉼표 [0] 3 13 4 3 2" xfId="10723"/>
    <cellStyle name="쉼표 [0] 3 13 5" xfId="10724"/>
    <cellStyle name="쉼표 [0] 3 13 5 2" xfId="10725"/>
    <cellStyle name="쉼표 [0] 3 13 5 2 2" xfId="10726"/>
    <cellStyle name="쉼표 [0] 3 13 5 2 2 2" xfId="10727"/>
    <cellStyle name="쉼표 [0] 3 13 5 3" xfId="10728"/>
    <cellStyle name="쉼표 [0] 3 13 5 3 2" xfId="10729"/>
    <cellStyle name="쉼표 [0] 3 13 6" xfId="10730"/>
    <cellStyle name="쉼표 [0] 3 13 6 2" xfId="10731"/>
    <cellStyle name="쉼표 [0] 3 13 6 2 2" xfId="10732"/>
    <cellStyle name="쉼표 [0] 3 13 6 2 2 2" xfId="10733"/>
    <cellStyle name="쉼표 [0] 3 13 6 3" xfId="10734"/>
    <cellStyle name="쉼표 [0] 3 13 6 3 2" xfId="10735"/>
    <cellStyle name="쉼표 [0] 3 13 7" xfId="10736"/>
    <cellStyle name="쉼표 [0] 3 13 7 2" xfId="10737"/>
    <cellStyle name="쉼표 [0] 3 13 7 2 2" xfId="10738"/>
    <cellStyle name="쉼표 [0] 3 13 8" xfId="10739"/>
    <cellStyle name="쉼표 [0] 3 13 8 2" xfId="10740"/>
    <cellStyle name="쉼표 [0] 3 14" xfId="10741"/>
    <cellStyle name="쉼표 [0] 3 14 2" xfId="10742"/>
    <cellStyle name="쉼표 [0] 3 14 2 2" xfId="10743"/>
    <cellStyle name="쉼표 [0] 3 14 2 2 2" xfId="10744"/>
    <cellStyle name="쉼표 [0] 3 14 2 2 2 2" xfId="10745"/>
    <cellStyle name="쉼표 [0] 3 14 2 3" xfId="10746"/>
    <cellStyle name="쉼표 [0] 3 14 2 3 2" xfId="10747"/>
    <cellStyle name="쉼표 [0] 3 14 3" xfId="10748"/>
    <cellStyle name="쉼표 [0] 3 14 3 2" xfId="10749"/>
    <cellStyle name="쉼표 [0] 3 14 3 2 2" xfId="10750"/>
    <cellStyle name="쉼표 [0] 3 14 3 2 2 2" xfId="10751"/>
    <cellStyle name="쉼표 [0] 3 14 3 3" xfId="10752"/>
    <cellStyle name="쉼표 [0] 3 14 3 3 2" xfId="10753"/>
    <cellStyle name="쉼표 [0] 3 14 4" xfId="10754"/>
    <cellStyle name="쉼표 [0] 3 14 4 2" xfId="10755"/>
    <cellStyle name="쉼표 [0] 3 14 4 2 2" xfId="10756"/>
    <cellStyle name="쉼표 [0] 3 14 4 2 2 2" xfId="10757"/>
    <cellStyle name="쉼표 [0] 3 14 4 3" xfId="10758"/>
    <cellStyle name="쉼표 [0] 3 14 4 3 2" xfId="10759"/>
    <cellStyle name="쉼표 [0] 3 14 5" xfId="10760"/>
    <cellStyle name="쉼표 [0] 3 14 5 2" xfId="10761"/>
    <cellStyle name="쉼표 [0] 3 14 5 2 2" xfId="10762"/>
    <cellStyle name="쉼표 [0] 3 14 5 2 2 2" xfId="10763"/>
    <cellStyle name="쉼표 [0] 3 14 5 3" xfId="10764"/>
    <cellStyle name="쉼표 [0] 3 14 5 3 2" xfId="10765"/>
    <cellStyle name="쉼표 [0] 3 14 6" xfId="10766"/>
    <cellStyle name="쉼표 [0] 3 14 6 2" xfId="10767"/>
    <cellStyle name="쉼표 [0] 3 14 6 2 2" xfId="10768"/>
    <cellStyle name="쉼표 [0] 3 14 6 2 2 2" xfId="10769"/>
    <cellStyle name="쉼표 [0] 3 14 6 3" xfId="10770"/>
    <cellStyle name="쉼표 [0] 3 14 6 3 2" xfId="10771"/>
    <cellStyle name="쉼표 [0] 3 14 7" xfId="10772"/>
    <cellStyle name="쉼표 [0] 3 14 7 2" xfId="10773"/>
    <cellStyle name="쉼표 [0] 3 14 7 2 2" xfId="10774"/>
    <cellStyle name="쉼표 [0] 3 14 8" xfId="10775"/>
    <cellStyle name="쉼표 [0] 3 14 8 2" xfId="10776"/>
    <cellStyle name="쉼표 [0] 3 15" xfId="10777"/>
    <cellStyle name="쉼표 [0] 3 15 2" xfId="10778"/>
    <cellStyle name="쉼표 [0] 3 15 2 2" xfId="10779"/>
    <cellStyle name="쉼표 [0] 3 15 2 2 2" xfId="10780"/>
    <cellStyle name="쉼표 [0] 3 15 2 2 2 2" xfId="10781"/>
    <cellStyle name="쉼표 [0] 3 15 2 3" xfId="10782"/>
    <cellStyle name="쉼표 [0] 3 15 2 3 2" xfId="10783"/>
    <cellStyle name="쉼표 [0] 3 15 3" xfId="10784"/>
    <cellStyle name="쉼표 [0] 3 15 3 2" xfId="10785"/>
    <cellStyle name="쉼표 [0] 3 15 3 2 2" xfId="10786"/>
    <cellStyle name="쉼표 [0] 3 15 3 2 2 2" xfId="10787"/>
    <cellStyle name="쉼표 [0] 3 15 3 3" xfId="10788"/>
    <cellStyle name="쉼표 [0] 3 15 3 3 2" xfId="10789"/>
    <cellStyle name="쉼표 [0] 3 15 4" xfId="10790"/>
    <cellStyle name="쉼표 [0] 3 15 4 2" xfId="10791"/>
    <cellStyle name="쉼표 [0] 3 15 4 2 2" xfId="10792"/>
    <cellStyle name="쉼표 [0] 3 15 4 2 2 2" xfId="10793"/>
    <cellStyle name="쉼표 [0] 3 15 4 3" xfId="10794"/>
    <cellStyle name="쉼표 [0] 3 15 4 3 2" xfId="10795"/>
    <cellStyle name="쉼표 [0] 3 15 5" xfId="10796"/>
    <cellStyle name="쉼표 [0] 3 15 5 2" xfId="10797"/>
    <cellStyle name="쉼표 [0] 3 15 5 2 2" xfId="10798"/>
    <cellStyle name="쉼표 [0] 3 15 5 2 2 2" xfId="10799"/>
    <cellStyle name="쉼표 [0] 3 15 5 3" xfId="10800"/>
    <cellStyle name="쉼표 [0] 3 15 5 3 2" xfId="10801"/>
    <cellStyle name="쉼표 [0] 3 15 6" xfId="10802"/>
    <cellStyle name="쉼표 [0] 3 15 6 2" xfId="10803"/>
    <cellStyle name="쉼표 [0] 3 15 6 2 2" xfId="10804"/>
    <cellStyle name="쉼표 [0] 3 15 6 2 2 2" xfId="10805"/>
    <cellStyle name="쉼표 [0] 3 15 6 3" xfId="10806"/>
    <cellStyle name="쉼표 [0] 3 15 6 3 2" xfId="10807"/>
    <cellStyle name="쉼표 [0] 3 15 7" xfId="10808"/>
    <cellStyle name="쉼표 [0] 3 15 7 2" xfId="10809"/>
    <cellStyle name="쉼표 [0] 3 15 7 2 2" xfId="10810"/>
    <cellStyle name="쉼표 [0] 3 15 8" xfId="10811"/>
    <cellStyle name="쉼표 [0] 3 15 8 2" xfId="10812"/>
    <cellStyle name="쉼표 [0] 3 16" xfId="10813"/>
    <cellStyle name="쉼표 [0] 3 16 2" xfId="10814"/>
    <cellStyle name="쉼표 [0] 3 16 2 2" xfId="10815"/>
    <cellStyle name="쉼표 [0] 3 16 2 2 2" xfId="10816"/>
    <cellStyle name="쉼표 [0] 3 16 2 2 2 2" xfId="10817"/>
    <cellStyle name="쉼표 [0] 3 16 2 3" xfId="10818"/>
    <cellStyle name="쉼표 [0] 3 16 2 3 2" xfId="10819"/>
    <cellStyle name="쉼표 [0] 3 16 3" xfId="10820"/>
    <cellStyle name="쉼표 [0] 3 16 3 2" xfId="10821"/>
    <cellStyle name="쉼표 [0] 3 16 3 2 2" xfId="10822"/>
    <cellStyle name="쉼표 [0] 3 16 3 2 2 2" xfId="10823"/>
    <cellStyle name="쉼표 [0] 3 16 3 3" xfId="10824"/>
    <cellStyle name="쉼표 [0] 3 16 3 3 2" xfId="10825"/>
    <cellStyle name="쉼표 [0] 3 16 4" xfId="10826"/>
    <cellStyle name="쉼표 [0] 3 16 4 2" xfId="10827"/>
    <cellStyle name="쉼표 [0] 3 16 4 2 2" xfId="10828"/>
    <cellStyle name="쉼표 [0] 3 16 4 2 2 2" xfId="10829"/>
    <cellStyle name="쉼표 [0] 3 16 4 3" xfId="10830"/>
    <cellStyle name="쉼표 [0] 3 16 4 3 2" xfId="10831"/>
    <cellStyle name="쉼표 [0] 3 16 5" xfId="10832"/>
    <cellStyle name="쉼표 [0] 3 16 5 2" xfId="10833"/>
    <cellStyle name="쉼표 [0] 3 16 5 2 2" xfId="10834"/>
    <cellStyle name="쉼표 [0] 3 16 5 2 2 2" xfId="10835"/>
    <cellStyle name="쉼표 [0] 3 16 5 3" xfId="10836"/>
    <cellStyle name="쉼표 [0] 3 16 5 3 2" xfId="10837"/>
    <cellStyle name="쉼표 [0] 3 16 6" xfId="10838"/>
    <cellStyle name="쉼표 [0] 3 16 6 2" xfId="10839"/>
    <cellStyle name="쉼표 [0] 3 16 6 2 2" xfId="10840"/>
    <cellStyle name="쉼표 [0] 3 16 6 2 2 2" xfId="10841"/>
    <cellStyle name="쉼표 [0] 3 16 6 3" xfId="10842"/>
    <cellStyle name="쉼표 [0] 3 16 6 3 2" xfId="10843"/>
    <cellStyle name="쉼표 [0] 3 16 7" xfId="10844"/>
    <cellStyle name="쉼표 [0] 3 16 7 2" xfId="10845"/>
    <cellStyle name="쉼표 [0] 3 16 7 2 2" xfId="10846"/>
    <cellStyle name="쉼표 [0] 3 16 8" xfId="10847"/>
    <cellStyle name="쉼표 [0] 3 16 8 2" xfId="10848"/>
    <cellStyle name="쉼표 [0] 3 17" xfId="10849"/>
    <cellStyle name="쉼표 [0] 3 17 2" xfId="10850"/>
    <cellStyle name="쉼표 [0] 3 17 2 2" xfId="10851"/>
    <cellStyle name="쉼표 [0] 3 17 2 2 2" xfId="10852"/>
    <cellStyle name="쉼표 [0] 3 17 2 2 2 2" xfId="10853"/>
    <cellStyle name="쉼표 [0] 3 17 2 3" xfId="10854"/>
    <cellStyle name="쉼표 [0] 3 17 2 3 2" xfId="10855"/>
    <cellStyle name="쉼표 [0] 3 17 3" xfId="10856"/>
    <cellStyle name="쉼표 [0] 3 17 3 2" xfId="10857"/>
    <cellStyle name="쉼표 [0] 3 17 3 2 2" xfId="10858"/>
    <cellStyle name="쉼표 [0] 3 17 3 2 2 2" xfId="10859"/>
    <cellStyle name="쉼표 [0] 3 17 3 3" xfId="10860"/>
    <cellStyle name="쉼표 [0] 3 17 3 3 2" xfId="10861"/>
    <cellStyle name="쉼표 [0] 3 17 4" xfId="10862"/>
    <cellStyle name="쉼표 [0] 3 17 4 2" xfId="10863"/>
    <cellStyle name="쉼표 [0] 3 17 4 2 2" xfId="10864"/>
    <cellStyle name="쉼표 [0] 3 17 4 2 2 2" xfId="10865"/>
    <cellStyle name="쉼표 [0] 3 17 4 3" xfId="10866"/>
    <cellStyle name="쉼표 [0] 3 17 4 3 2" xfId="10867"/>
    <cellStyle name="쉼표 [0] 3 17 5" xfId="10868"/>
    <cellStyle name="쉼표 [0] 3 17 5 2" xfId="10869"/>
    <cellStyle name="쉼표 [0] 3 17 5 2 2" xfId="10870"/>
    <cellStyle name="쉼표 [0] 3 17 5 2 2 2" xfId="10871"/>
    <cellStyle name="쉼표 [0] 3 17 5 3" xfId="10872"/>
    <cellStyle name="쉼표 [0] 3 17 5 3 2" xfId="10873"/>
    <cellStyle name="쉼표 [0] 3 17 6" xfId="10874"/>
    <cellStyle name="쉼표 [0] 3 17 6 2" xfId="10875"/>
    <cellStyle name="쉼표 [0] 3 17 6 2 2" xfId="10876"/>
    <cellStyle name="쉼표 [0] 3 17 6 2 2 2" xfId="10877"/>
    <cellStyle name="쉼표 [0] 3 17 6 3" xfId="10878"/>
    <cellStyle name="쉼표 [0] 3 17 6 3 2" xfId="10879"/>
    <cellStyle name="쉼표 [0] 3 17 7" xfId="10880"/>
    <cellStyle name="쉼표 [0] 3 17 7 2" xfId="10881"/>
    <cellStyle name="쉼표 [0] 3 17 7 2 2" xfId="10882"/>
    <cellStyle name="쉼표 [0] 3 17 8" xfId="10883"/>
    <cellStyle name="쉼표 [0] 3 17 8 2" xfId="10884"/>
    <cellStyle name="쉼표 [0] 3 18" xfId="10885"/>
    <cellStyle name="쉼표 [0] 3 18 2" xfId="10886"/>
    <cellStyle name="쉼표 [0] 3 18 2 2" xfId="10887"/>
    <cellStyle name="쉼표 [0] 3 18 2 2 2" xfId="10888"/>
    <cellStyle name="쉼표 [0] 3 18 2 2 2 2" xfId="10889"/>
    <cellStyle name="쉼표 [0] 3 18 2 3" xfId="10890"/>
    <cellStyle name="쉼표 [0] 3 18 2 3 2" xfId="10891"/>
    <cellStyle name="쉼표 [0] 3 18 3" xfId="10892"/>
    <cellStyle name="쉼표 [0] 3 18 3 2" xfId="10893"/>
    <cellStyle name="쉼표 [0] 3 18 3 2 2" xfId="10894"/>
    <cellStyle name="쉼표 [0] 3 18 3 2 2 2" xfId="10895"/>
    <cellStyle name="쉼표 [0] 3 18 3 3" xfId="10896"/>
    <cellStyle name="쉼표 [0] 3 18 3 3 2" xfId="10897"/>
    <cellStyle name="쉼표 [0] 3 18 4" xfId="10898"/>
    <cellStyle name="쉼표 [0] 3 18 4 2" xfId="10899"/>
    <cellStyle name="쉼표 [0] 3 18 4 2 2" xfId="10900"/>
    <cellStyle name="쉼표 [0] 3 18 4 2 2 2" xfId="10901"/>
    <cellStyle name="쉼표 [0] 3 18 4 3" xfId="10902"/>
    <cellStyle name="쉼표 [0] 3 18 4 3 2" xfId="10903"/>
    <cellStyle name="쉼표 [0] 3 18 5" xfId="10904"/>
    <cellStyle name="쉼표 [0] 3 18 5 2" xfId="10905"/>
    <cellStyle name="쉼표 [0] 3 18 5 2 2" xfId="10906"/>
    <cellStyle name="쉼표 [0] 3 18 5 2 2 2" xfId="10907"/>
    <cellStyle name="쉼표 [0] 3 18 5 3" xfId="10908"/>
    <cellStyle name="쉼표 [0] 3 18 5 3 2" xfId="10909"/>
    <cellStyle name="쉼표 [0] 3 18 6" xfId="10910"/>
    <cellStyle name="쉼표 [0] 3 18 6 2" xfId="10911"/>
    <cellStyle name="쉼표 [0] 3 18 6 2 2" xfId="10912"/>
    <cellStyle name="쉼표 [0] 3 18 6 2 2 2" xfId="10913"/>
    <cellStyle name="쉼표 [0] 3 18 6 3" xfId="10914"/>
    <cellStyle name="쉼표 [0] 3 18 6 3 2" xfId="10915"/>
    <cellStyle name="쉼표 [0] 3 18 7" xfId="10916"/>
    <cellStyle name="쉼표 [0] 3 18 7 2" xfId="10917"/>
    <cellStyle name="쉼표 [0] 3 18 7 2 2" xfId="10918"/>
    <cellStyle name="쉼표 [0] 3 18 8" xfId="10919"/>
    <cellStyle name="쉼표 [0] 3 18 8 2" xfId="10920"/>
    <cellStyle name="쉼표 [0] 3 19" xfId="10921"/>
    <cellStyle name="쉼표 [0] 3 19 2" xfId="10922"/>
    <cellStyle name="쉼표 [0] 3 19 2 2" xfId="10923"/>
    <cellStyle name="쉼표 [0] 3 19 2 2 2" xfId="10924"/>
    <cellStyle name="쉼표 [0] 3 19 2 2 2 2" xfId="10925"/>
    <cellStyle name="쉼표 [0] 3 19 2 3" xfId="10926"/>
    <cellStyle name="쉼표 [0] 3 19 2 3 2" xfId="10927"/>
    <cellStyle name="쉼표 [0] 3 19 3" xfId="10928"/>
    <cellStyle name="쉼표 [0] 3 19 3 2" xfId="10929"/>
    <cellStyle name="쉼표 [0] 3 19 3 2 2" xfId="10930"/>
    <cellStyle name="쉼표 [0] 3 19 3 2 2 2" xfId="10931"/>
    <cellStyle name="쉼표 [0] 3 19 3 3" xfId="10932"/>
    <cellStyle name="쉼표 [0] 3 19 3 3 2" xfId="10933"/>
    <cellStyle name="쉼표 [0] 3 19 4" xfId="10934"/>
    <cellStyle name="쉼표 [0] 3 19 4 2" xfId="10935"/>
    <cellStyle name="쉼표 [0] 3 19 4 2 2" xfId="10936"/>
    <cellStyle name="쉼표 [0] 3 19 4 2 2 2" xfId="10937"/>
    <cellStyle name="쉼표 [0] 3 19 4 3" xfId="10938"/>
    <cellStyle name="쉼표 [0] 3 19 4 3 2" xfId="10939"/>
    <cellStyle name="쉼표 [0] 3 19 5" xfId="10940"/>
    <cellStyle name="쉼표 [0] 3 19 5 2" xfId="10941"/>
    <cellStyle name="쉼표 [0] 3 19 5 2 2" xfId="10942"/>
    <cellStyle name="쉼표 [0] 3 19 5 2 2 2" xfId="10943"/>
    <cellStyle name="쉼표 [0] 3 19 5 3" xfId="10944"/>
    <cellStyle name="쉼표 [0] 3 19 5 3 2" xfId="10945"/>
    <cellStyle name="쉼표 [0] 3 19 6" xfId="10946"/>
    <cellStyle name="쉼표 [0] 3 19 6 2" xfId="10947"/>
    <cellStyle name="쉼표 [0] 3 19 6 2 2" xfId="10948"/>
    <cellStyle name="쉼표 [0] 3 19 6 2 2 2" xfId="10949"/>
    <cellStyle name="쉼표 [0] 3 19 6 3" xfId="10950"/>
    <cellStyle name="쉼표 [0] 3 19 6 3 2" xfId="10951"/>
    <cellStyle name="쉼표 [0] 3 19 7" xfId="10952"/>
    <cellStyle name="쉼표 [0] 3 19 7 2" xfId="10953"/>
    <cellStyle name="쉼표 [0] 3 19 7 2 2" xfId="10954"/>
    <cellStyle name="쉼표 [0] 3 19 8" xfId="10955"/>
    <cellStyle name="쉼표 [0] 3 19 8 2" xfId="10956"/>
    <cellStyle name="쉼표 [0] 3 2" xfId="10957"/>
    <cellStyle name="쉼표 [0] 3 2 10" xfId="10958"/>
    <cellStyle name="쉼표 [0] 3 2 10 2" xfId="10959"/>
    <cellStyle name="쉼표 [0] 3 2 10 2 2" xfId="10960"/>
    <cellStyle name="쉼표 [0] 3 2 11" xfId="10961"/>
    <cellStyle name="쉼표 [0] 3 2 12" xfId="10962"/>
    <cellStyle name="쉼표 [0] 3 2 13" xfId="19889"/>
    <cellStyle name="쉼표 [0] 3 2 2" xfId="10963"/>
    <cellStyle name="쉼표 [0] 3 2 2 2" xfId="10964"/>
    <cellStyle name="쉼표 [0] 3 2 2 2 2" xfId="22201"/>
    <cellStyle name="쉼표 [0] 3 2 2 2 2 2" xfId="22202"/>
    <cellStyle name="쉼표 [0] 3 2 2 2 2 2 2" xfId="22203"/>
    <cellStyle name="쉼표 [0] 3 2 2 2 2 2 2 2" xfId="22204"/>
    <cellStyle name="쉼표 [0] 3 2 2 2 2 2 3" xfId="22205"/>
    <cellStyle name="쉼표 [0] 3 2 2 2 2 2 3 2" xfId="22206"/>
    <cellStyle name="쉼표 [0] 3 2 2 2 2 2 4" xfId="22207"/>
    <cellStyle name="쉼표 [0] 3 2 2 2 2 3" xfId="22208"/>
    <cellStyle name="쉼표 [0] 3 2 2 2 2 3 2" xfId="22209"/>
    <cellStyle name="쉼표 [0] 3 2 2 2 2 4" xfId="22210"/>
    <cellStyle name="쉼표 [0] 3 2 2 2 2 4 2" xfId="22211"/>
    <cellStyle name="쉼표 [0] 3 2 2 2 2 5" xfId="22212"/>
    <cellStyle name="쉼표 [0] 3 2 2 2 3" xfId="22213"/>
    <cellStyle name="쉼표 [0] 3 2 2 2 3 2" xfId="22214"/>
    <cellStyle name="쉼표 [0] 3 2 2 2 3 2 2" xfId="22215"/>
    <cellStyle name="쉼표 [0] 3 2 2 2 3 3" xfId="22216"/>
    <cellStyle name="쉼표 [0] 3 2 2 2 3 3 2" xfId="22217"/>
    <cellStyle name="쉼표 [0] 3 2 2 2 3 4" xfId="22218"/>
    <cellStyle name="쉼표 [0] 3 2 2 2 4" xfId="22219"/>
    <cellStyle name="쉼표 [0] 3 2 2 2 4 2" xfId="22220"/>
    <cellStyle name="쉼표 [0] 3 2 2 2 5" xfId="22221"/>
    <cellStyle name="쉼표 [0] 3 2 2 2 5 2" xfId="22222"/>
    <cellStyle name="쉼표 [0] 3 2 2 2 6" xfId="22223"/>
    <cellStyle name="쉼표 [0] 3 2 2 3" xfId="10965"/>
    <cellStyle name="쉼표 [0] 3 2 2 3 2" xfId="10966"/>
    <cellStyle name="쉼표 [0] 3 2 2 3 2 2" xfId="10967"/>
    <cellStyle name="쉼표 [0] 3 2 2 3 2 2 2" xfId="22224"/>
    <cellStyle name="쉼표 [0] 3 2 2 3 2 3" xfId="22225"/>
    <cellStyle name="쉼표 [0] 3 2 2 3 2 3 2" xfId="22226"/>
    <cellStyle name="쉼표 [0] 3 2 2 3 2 4" xfId="22227"/>
    <cellStyle name="쉼표 [0] 3 2 2 3 3" xfId="22228"/>
    <cellStyle name="쉼표 [0] 3 2 2 3 3 2" xfId="22229"/>
    <cellStyle name="쉼표 [0] 3 2 2 3 4" xfId="22230"/>
    <cellStyle name="쉼표 [0] 3 2 2 3 4 2" xfId="22231"/>
    <cellStyle name="쉼표 [0] 3 2 2 3 5" xfId="22232"/>
    <cellStyle name="쉼표 [0] 3 2 2 4" xfId="10968"/>
    <cellStyle name="쉼표 [0] 3 2 2 4 2" xfId="10969"/>
    <cellStyle name="쉼표 [0] 3 2 2 4 2 2" xfId="10970"/>
    <cellStyle name="쉼표 [0] 3 2 2 4 3" xfId="22233"/>
    <cellStyle name="쉼표 [0] 3 2 2 4 3 2" xfId="22234"/>
    <cellStyle name="쉼표 [0] 3 2 2 4 4" xfId="22235"/>
    <cellStyle name="쉼표 [0] 3 2 2 5" xfId="20174"/>
    <cellStyle name="쉼표 [0] 3 2 2 5 2" xfId="22236"/>
    <cellStyle name="쉼표 [0] 3 2 2 6" xfId="22237"/>
    <cellStyle name="쉼표 [0] 3 2 2 6 2" xfId="22238"/>
    <cellStyle name="쉼표 [0] 3 2 2 7" xfId="22239"/>
    <cellStyle name="쉼표 [0] 3 2 3" xfId="10971"/>
    <cellStyle name="쉼표 [0] 3 2 3 2" xfId="10972"/>
    <cellStyle name="쉼표 [0] 3 2 3 2 2" xfId="10973"/>
    <cellStyle name="쉼표 [0] 3 2 3 2 2 2" xfId="22240"/>
    <cellStyle name="쉼표 [0] 3 2 3 2 2 2 2" xfId="22241"/>
    <cellStyle name="쉼표 [0] 3 2 3 2 2 3" xfId="22242"/>
    <cellStyle name="쉼표 [0] 3 2 3 2 2 3 2" xfId="22243"/>
    <cellStyle name="쉼표 [0] 3 2 3 2 2 4" xfId="22244"/>
    <cellStyle name="쉼표 [0] 3 2 3 2 3" xfId="22245"/>
    <cellStyle name="쉼표 [0] 3 2 3 2 3 2" xfId="22246"/>
    <cellStyle name="쉼표 [0] 3 2 3 2 4" xfId="22247"/>
    <cellStyle name="쉼표 [0] 3 2 3 2 4 2" xfId="22248"/>
    <cellStyle name="쉼표 [0] 3 2 3 2 5" xfId="22249"/>
    <cellStyle name="쉼표 [0] 3 2 3 3" xfId="10974"/>
    <cellStyle name="쉼표 [0] 3 2 3 3 2" xfId="10975"/>
    <cellStyle name="쉼표 [0] 3 2 3 3 2 2" xfId="10976"/>
    <cellStyle name="쉼표 [0] 3 2 3 3 3" xfId="22250"/>
    <cellStyle name="쉼표 [0] 3 2 3 3 3 2" xfId="22251"/>
    <cellStyle name="쉼표 [0] 3 2 3 3 4" xfId="22252"/>
    <cellStyle name="쉼표 [0] 3 2 3 4" xfId="10977"/>
    <cellStyle name="쉼표 [0] 3 2 3 4 2" xfId="10978"/>
    <cellStyle name="쉼표 [0] 3 2 3 5" xfId="20416"/>
    <cellStyle name="쉼표 [0] 3 2 3 5 2" xfId="22253"/>
    <cellStyle name="쉼표 [0] 3 2 3 6" xfId="22254"/>
    <cellStyle name="쉼표 [0] 3 2 4" xfId="10979"/>
    <cellStyle name="쉼표 [0] 3 2 4 2" xfId="10980"/>
    <cellStyle name="쉼표 [0] 3 2 4 2 2" xfId="10981"/>
    <cellStyle name="쉼표 [0] 3 2 4 2 2 2" xfId="10982"/>
    <cellStyle name="쉼표 [0] 3 2 4 2 3" xfId="22255"/>
    <cellStyle name="쉼표 [0] 3 2 4 2 3 2" xfId="22256"/>
    <cellStyle name="쉼표 [0] 3 2 4 2 4" xfId="22257"/>
    <cellStyle name="쉼표 [0] 3 2 4 3" xfId="10983"/>
    <cellStyle name="쉼표 [0] 3 2 4 3 2" xfId="10984"/>
    <cellStyle name="쉼표 [0] 3 2 4 4" xfId="22258"/>
    <cellStyle name="쉼표 [0] 3 2 4 4 2" xfId="22259"/>
    <cellStyle name="쉼표 [0] 3 2 4 5" xfId="22260"/>
    <cellStyle name="쉼표 [0] 3 2 5" xfId="10985"/>
    <cellStyle name="쉼표 [0] 3 2 5 2" xfId="10986"/>
    <cellStyle name="쉼표 [0] 3 2 5 2 2" xfId="10987"/>
    <cellStyle name="쉼표 [0] 3 2 5 2 2 2" xfId="10988"/>
    <cellStyle name="쉼표 [0] 3 2 5 3" xfId="10989"/>
    <cellStyle name="쉼표 [0] 3 2 5 3 2" xfId="10990"/>
    <cellStyle name="쉼표 [0] 3 2 5 4" xfId="22261"/>
    <cellStyle name="쉼표 [0] 3 2 6" xfId="10991"/>
    <cellStyle name="쉼표 [0] 3 2 6 2" xfId="22262"/>
    <cellStyle name="쉼표 [0] 3 2 7" xfId="10992"/>
    <cellStyle name="쉼표 [0] 3 2 7 2" xfId="10993"/>
    <cellStyle name="쉼표 [0] 3 2 8" xfId="10994"/>
    <cellStyle name="쉼표 [0] 3 2 8 2" xfId="10995"/>
    <cellStyle name="쉼표 [0] 3 2 8 2 2" xfId="10996"/>
    <cellStyle name="쉼표 [0] 3 2 8 2 2 2" xfId="10997"/>
    <cellStyle name="쉼표 [0] 3 2 8 3" xfId="10998"/>
    <cellStyle name="쉼표 [0] 3 2 8 3 2" xfId="10999"/>
    <cellStyle name="쉼표 [0] 3 2 9" xfId="11000"/>
    <cellStyle name="쉼표 [0] 3 2 9 2" xfId="11001"/>
    <cellStyle name="쉼표 [0] 3 2 9 2 2" xfId="11002"/>
    <cellStyle name="쉼표 [0] 3 20" xfId="11003"/>
    <cellStyle name="쉼표 [0] 3 20 2" xfId="11004"/>
    <cellStyle name="쉼표 [0] 3 20 2 2" xfId="11005"/>
    <cellStyle name="쉼표 [0] 3 20 2 2 2" xfId="11006"/>
    <cellStyle name="쉼표 [0] 3 20 2 2 2 2" xfId="11007"/>
    <cellStyle name="쉼표 [0] 3 20 2 3" xfId="11008"/>
    <cellStyle name="쉼표 [0] 3 20 2 3 2" xfId="11009"/>
    <cellStyle name="쉼표 [0] 3 20 3" xfId="11010"/>
    <cellStyle name="쉼표 [0] 3 20 3 2" xfId="11011"/>
    <cellStyle name="쉼표 [0] 3 20 3 2 2" xfId="11012"/>
    <cellStyle name="쉼표 [0] 3 20 3 2 2 2" xfId="11013"/>
    <cellStyle name="쉼표 [0] 3 20 3 3" xfId="11014"/>
    <cellStyle name="쉼표 [0] 3 20 3 3 2" xfId="11015"/>
    <cellStyle name="쉼표 [0] 3 20 4" xfId="11016"/>
    <cellStyle name="쉼표 [0] 3 20 4 2" xfId="11017"/>
    <cellStyle name="쉼표 [0] 3 20 4 2 2" xfId="11018"/>
    <cellStyle name="쉼표 [0] 3 20 4 2 2 2" xfId="11019"/>
    <cellStyle name="쉼표 [0] 3 20 4 3" xfId="11020"/>
    <cellStyle name="쉼표 [0] 3 20 4 3 2" xfId="11021"/>
    <cellStyle name="쉼표 [0] 3 20 5" xfId="11022"/>
    <cellStyle name="쉼표 [0] 3 20 5 2" xfId="11023"/>
    <cellStyle name="쉼표 [0] 3 20 5 2 2" xfId="11024"/>
    <cellStyle name="쉼표 [0] 3 20 5 2 2 2" xfId="11025"/>
    <cellStyle name="쉼표 [0] 3 20 5 3" xfId="11026"/>
    <cellStyle name="쉼표 [0] 3 20 5 3 2" xfId="11027"/>
    <cellStyle name="쉼표 [0] 3 20 6" xfId="11028"/>
    <cellStyle name="쉼표 [0] 3 20 6 2" xfId="11029"/>
    <cellStyle name="쉼표 [0] 3 20 6 2 2" xfId="11030"/>
    <cellStyle name="쉼표 [0] 3 20 6 2 2 2" xfId="11031"/>
    <cellStyle name="쉼표 [0] 3 20 6 3" xfId="11032"/>
    <cellStyle name="쉼표 [0] 3 20 6 3 2" xfId="11033"/>
    <cellStyle name="쉼표 [0] 3 20 7" xfId="11034"/>
    <cellStyle name="쉼표 [0] 3 20 7 2" xfId="11035"/>
    <cellStyle name="쉼표 [0] 3 20 7 2 2" xfId="11036"/>
    <cellStyle name="쉼표 [0] 3 20 8" xfId="11037"/>
    <cellStyle name="쉼표 [0] 3 20 8 2" xfId="11038"/>
    <cellStyle name="쉼표 [0] 3 21" xfId="11039"/>
    <cellStyle name="쉼표 [0] 3 21 2" xfId="11040"/>
    <cellStyle name="쉼표 [0] 3 21 2 2" xfId="11041"/>
    <cellStyle name="쉼표 [0] 3 21 2 2 2" xfId="11042"/>
    <cellStyle name="쉼표 [0] 3 21 2 2 2 2" xfId="11043"/>
    <cellStyle name="쉼표 [0] 3 21 2 3" xfId="11044"/>
    <cellStyle name="쉼표 [0] 3 21 2 3 2" xfId="11045"/>
    <cellStyle name="쉼표 [0] 3 21 3" xfId="11046"/>
    <cellStyle name="쉼표 [0] 3 21 3 2" xfId="11047"/>
    <cellStyle name="쉼표 [0] 3 21 3 2 2" xfId="11048"/>
    <cellStyle name="쉼표 [0] 3 21 3 2 2 2" xfId="11049"/>
    <cellStyle name="쉼표 [0] 3 21 3 3" xfId="11050"/>
    <cellStyle name="쉼표 [0] 3 21 3 3 2" xfId="11051"/>
    <cellStyle name="쉼표 [0] 3 21 4" xfId="11052"/>
    <cellStyle name="쉼표 [0] 3 21 4 2" xfId="11053"/>
    <cellStyle name="쉼표 [0] 3 21 4 2 2" xfId="11054"/>
    <cellStyle name="쉼표 [0] 3 21 4 2 2 2" xfId="11055"/>
    <cellStyle name="쉼표 [0] 3 21 4 3" xfId="11056"/>
    <cellStyle name="쉼표 [0] 3 21 4 3 2" xfId="11057"/>
    <cellStyle name="쉼표 [0] 3 21 5" xfId="11058"/>
    <cellStyle name="쉼표 [0] 3 21 5 2" xfId="11059"/>
    <cellStyle name="쉼표 [0] 3 21 5 2 2" xfId="11060"/>
    <cellStyle name="쉼표 [0] 3 21 5 2 2 2" xfId="11061"/>
    <cellStyle name="쉼표 [0] 3 21 5 3" xfId="11062"/>
    <cellStyle name="쉼표 [0] 3 21 5 3 2" xfId="11063"/>
    <cellStyle name="쉼표 [0] 3 21 6" xfId="11064"/>
    <cellStyle name="쉼표 [0] 3 21 6 2" xfId="11065"/>
    <cellStyle name="쉼표 [0] 3 21 6 2 2" xfId="11066"/>
    <cellStyle name="쉼표 [0] 3 21 6 2 2 2" xfId="11067"/>
    <cellStyle name="쉼표 [0] 3 21 6 3" xfId="11068"/>
    <cellStyle name="쉼표 [0] 3 21 6 3 2" xfId="11069"/>
    <cellStyle name="쉼표 [0] 3 21 7" xfId="11070"/>
    <cellStyle name="쉼표 [0] 3 21 7 2" xfId="11071"/>
    <cellStyle name="쉼표 [0] 3 21 7 2 2" xfId="11072"/>
    <cellStyle name="쉼표 [0] 3 21 8" xfId="11073"/>
    <cellStyle name="쉼표 [0] 3 21 8 2" xfId="11074"/>
    <cellStyle name="쉼표 [0] 3 22" xfId="11075"/>
    <cellStyle name="쉼표 [0] 3 22 2" xfId="11076"/>
    <cellStyle name="쉼표 [0] 3 22 2 2" xfId="11077"/>
    <cellStyle name="쉼표 [0] 3 22 2 2 2" xfId="11078"/>
    <cellStyle name="쉼표 [0] 3 22 2 2 2 2" xfId="11079"/>
    <cellStyle name="쉼표 [0] 3 22 2 3" xfId="11080"/>
    <cellStyle name="쉼표 [0] 3 22 2 3 2" xfId="11081"/>
    <cellStyle name="쉼표 [0] 3 22 3" xfId="11082"/>
    <cellStyle name="쉼표 [0] 3 22 3 2" xfId="11083"/>
    <cellStyle name="쉼표 [0] 3 22 3 2 2" xfId="11084"/>
    <cellStyle name="쉼표 [0] 3 22 3 2 2 2" xfId="11085"/>
    <cellStyle name="쉼표 [0] 3 22 3 3" xfId="11086"/>
    <cellStyle name="쉼표 [0] 3 22 3 3 2" xfId="11087"/>
    <cellStyle name="쉼표 [0] 3 22 4" xfId="11088"/>
    <cellStyle name="쉼표 [0] 3 22 4 2" xfId="11089"/>
    <cellStyle name="쉼표 [0] 3 22 4 2 2" xfId="11090"/>
    <cellStyle name="쉼표 [0] 3 22 4 2 2 2" xfId="11091"/>
    <cellStyle name="쉼표 [0] 3 22 4 3" xfId="11092"/>
    <cellStyle name="쉼표 [0] 3 22 4 3 2" xfId="11093"/>
    <cellStyle name="쉼표 [0] 3 22 5" xfId="11094"/>
    <cellStyle name="쉼표 [0] 3 22 5 2" xfId="11095"/>
    <cellStyle name="쉼표 [0] 3 22 5 2 2" xfId="11096"/>
    <cellStyle name="쉼표 [0] 3 22 5 2 2 2" xfId="11097"/>
    <cellStyle name="쉼표 [0] 3 22 5 3" xfId="11098"/>
    <cellStyle name="쉼표 [0] 3 22 5 3 2" xfId="11099"/>
    <cellStyle name="쉼표 [0] 3 22 6" xfId="11100"/>
    <cellStyle name="쉼표 [0] 3 22 6 2" xfId="11101"/>
    <cellStyle name="쉼표 [0] 3 22 6 2 2" xfId="11102"/>
    <cellStyle name="쉼표 [0] 3 22 6 2 2 2" xfId="11103"/>
    <cellStyle name="쉼표 [0] 3 22 6 3" xfId="11104"/>
    <cellStyle name="쉼표 [0] 3 22 6 3 2" xfId="11105"/>
    <cellStyle name="쉼표 [0] 3 22 7" xfId="11106"/>
    <cellStyle name="쉼표 [0] 3 22 7 2" xfId="11107"/>
    <cellStyle name="쉼표 [0] 3 22 7 2 2" xfId="11108"/>
    <cellStyle name="쉼표 [0] 3 22 8" xfId="11109"/>
    <cellStyle name="쉼표 [0] 3 22 8 2" xfId="11110"/>
    <cellStyle name="쉼표 [0] 3 23" xfId="11111"/>
    <cellStyle name="쉼표 [0] 3 23 2" xfId="11112"/>
    <cellStyle name="쉼표 [0] 3 23 2 2" xfId="11113"/>
    <cellStyle name="쉼표 [0] 3 23 2 2 2" xfId="11114"/>
    <cellStyle name="쉼표 [0] 3 23 3" xfId="11115"/>
    <cellStyle name="쉼표 [0] 3 23 3 2" xfId="11116"/>
    <cellStyle name="쉼표 [0] 3 24" xfId="11117"/>
    <cellStyle name="쉼표 [0] 3 24 2" xfId="11118"/>
    <cellStyle name="쉼표 [0] 3 24 2 2" xfId="11119"/>
    <cellStyle name="쉼표 [0] 3 24 2 2 2" xfId="11120"/>
    <cellStyle name="쉼표 [0] 3 24 3" xfId="11121"/>
    <cellStyle name="쉼표 [0] 3 24 3 2" xfId="11122"/>
    <cellStyle name="쉼표 [0] 3 25" xfId="11123"/>
    <cellStyle name="쉼표 [0] 3 25 2" xfId="11124"/>
    <cellStyle name="쉼표 [0] 3 25 2 2" xfId="11125"/>
    <cellStyle name="쉼표 [0] 3 25 2 2 2" xfId="11126"/>
    <cellStyle name="쉼표 [0] 3 25 3" xfId="11127"/>
    <cellStyle name="쉼표 [0] 3 25 3 2" xfId="11128"/>
    <cellStyle name="쉼표 [0] 3 26" xfId="11129"/>
    <cellStyle name="쉼표 [0] 3 26 2" xfId="11130"/>
    <cellStyle name="쉼표 [0] 3 26 2 2" xfId="11131"/>
    <cellStyle name="쉼표 [0] 3 26 2 2 2" xfId="11132"/>
    <cellStyle name="쉼표 [0] 3 26 3" xfId="11133"/>
    <cellStyle name="쉼표 [0] 3 26 3 2" xfId="11134"/>
    <cellStyle name="쉼표 [0] 3 27" xfId="11135"/>
    <cellStyle name="쉼표 [0] 3 27 2" xfId="11136"/>
    <cellStyle name="쉼표 [0] 3 27 2 2" xfId="11137"/>
    <cellStyle name="쉼표 [0] 3 27 2 2 2" xfId="11138"/>
    <cellStyle name="쉼표 [0] 3 27 3" xfId="11139"/>
    <cellStyle name="쉼표 [0] 3 27 3 2" xfId="11140"/>
    <cellStyle name="쉼표 [0] 3 28" xfId="11141"/>
    <cellStyle name="쉼표 [0] 3 28 2" xfId="11142"/>
    <cellStyle name="쉼표 [0] 3 28 2 2" xfId="11143"/>
    <cellStyle name="쉼표 [0] 3 28 2 2 2" xfId="11144"/>
    <cellStyle name="쉼표 [0] 3 28 3" xfId="11145"/>
    <cellStyle name="쉼표 [0] 3 28 3 2" xfId="11146"/>
    <cellStyle name="쉼표 [0] 3 29" xfId="11147"/>
    <cellStyle name="쉼표 [0] 3 29 2" xfId="11148"/>
    <cellStyle name="쉼표 [0] 3 29 2 2" xfId="11149"/>
    <cellStyle name="쉼표 [0] 3 29 2 2 2" xfId="11150"/>
    <cellStyle name="쉼표 [0] 3 29 3" xfId="11151"/>
    <cellStyle name="쉼표 [0] 3 29 3 2" xfId="11152"/>
    <cellStyle name="쉼표 [0] 3 3" xfId="11153"/>
    <cellStyle name="쉼표 [0] 3 3 10" xfId="11154"/>
    <cellStyle name="쉼표 [0] 3 3 11" xfId="20417"/>
    <cellStyle name="쉼표 [0] 3 3 2" xfId="11155"/>
    <cellStyle name="쉼표 [0] 3 3 2 2" xfId="11156"/>
    <cellStyle name="쉼표 [0] 3 3 2 2 2" xfId="22263"/>
    <cellStyle name="쉼표 [0] 3 3 2 2 2 2" xfId="22264"/>
    <cellStyle name="쉼표 [0] 3 3 2 2 2 2 2" xfId="22265"/>
    <cellStyle name="쉼표 [0] 3 3 2 2 2 3" xfId="22266"/>
    <cellStyle name="쉼표 [0] 3 3 2 2 2 3 2" xfId="22267"/>
    <cellStyle name="쉼표 [0] 3 3 2 2 2 4" xfId="22268"/>
    <cellStyle name="쉼표 [0] 3 3 2 2 3" xfId="22269"/>
    <cellStyle name="쉼표 [0] 3 3 2 2 3 2" xfId="22270"/>
    <cellStyle name="쉼표 [0] 3 3 2 2 4" xfId="22271"/>
    <cellStyle name="쉼표 [0] 3 3 2 2 4 2" xfId="22272"/>
    <cellStyle name="쉼표 [0] 3 3 2 2 5" xfId="22273"/>
    <cellStyle name="쉼표 [0] 3 3 2 3" xfId="11157"/>
    <cellStyle name="쉼표 [0] 3 3 2 3 2" xfId="11158"/>
    <cellStyle name="쉼표 [0] 3 3 2 3 2 2" xfId="11159"/>
    <cellStyle name="쉼표 [0] 3 3 2 3 3" xfId="22274"/>
    <cellStyle name="쉼표 [0] 3 3 2 3 3 2" xfId="22275"/>
    <cellStyle name="쉼표 [0] 3 3 2 3 4" xfId="22276"/>
    <cellStyle name="쉼표 [0] 3 3 2 4" xfId="11160"/>
    <cellStyle name="쉼표 [0] 3 3 2 4 2" xfId="22277"/>
    <cellStyle name="쉼표 [0] 3 3 2 5" xfId="11161"/>
    <cellStyle name="쉼표 [0] 3 3 2 5 2" xfId="11162"/>
    <cellStyle name="쉼표 [0] 3 3 2 6" xfId="22278"/>
    <cellStyle name="쉼표 [0] 3 3 3" xfId="11163"/>
    <cellStyle name="쉼표 [0] 3 3 3 2" xfId="11164"/>
    <cellStyle name="쉼표 [0] 3 3 3 2 2" xfId="11165"/>
    <cellStyle name="쉼표 [0] 3 3 3 2 2 2" xfId="11166"/>
    <cellStyle name="쉼표 [0] 3 3 3 2 3" xfId="22279"/>
    <cellStyle name="쉼표 [0] 3 3 3 2 3 2" xfId="22280"/>
    <cellStyle name="쉼표 [0] 3 3 3 2 4" xfId="22281"/>
    <cellStyle name="쉼표 [0] 3 3 3 3" xfId="11167"/>
    <cellStyle name="쉼표 [0] 3 3 3 3 2" xfId="11168"/>
    <cellStyle name="쉼표 [0] 3 3 3 4" xfId="22282"/>
    <cellStyle name="쉼표 [0] 3 3 3 4 2" xfId="22283"/>
    <cellStyle name="쉼표 [0] 3 3 3 5" xfId="22284"/>
    <cellStyle name="쉼표 [0] 3 3 4" xfId="11169"/>
    <cellStyle name="쉼표 [0] 3 3 4 2" xfId="11170"/>
    <cellStyle name="쉼표 [0] 3 3 4 2 2" xfId="11171"/>
    <cellStyle name="쉼표 [0] 3 3 4 2 2 2" xfId="11172"/>
    <cellStyle name="쉼표 [0] 3 3 4 3" xfId="11173"/>
    <cellStyle name="쉼표 [0] 3 3 4 3 2" xfId="11174"/>
    <cellStyle name="쉼표 [0] 3 3 4 4" xfId="22285"/>
    <cellStyle name="쉼표 [0] 3 3 5" xfId="11175"/>
    <cellStyle name="쉼표 [0] 3 3 5 2" xfId="11176"/>
    <cellStyle name="쉼표 [0] 3 3 5 2 2" xfId="11177"/>
    <cellStyle name="쉼표 [0] 3 3 5 2 2 2" xfId="11178"/>
    <cellStyle name="쉼표 [0] 3 3 5 3" xfId="11179"/>
    <cellStyle name="쉼표 [0] 3 3 5 3 2" xfId="11180"/>
    <cellStyle name="쉼표 [0] 3 3 6" xfId="11181"/>
    <cellStyle name="쉼표 [0] 3 3 6 2" xfId="22286"/>
    <cellStyle name="쉼표 [0] 3 3 7" xfId="11182"/>
    <cellStyle name="쉼표 [0] 3 3 7 2" xfId="11183"/>
    <cellStyle name="쉼표 [0] 3 3 7 2 2" xfId="11184"/>
    <cellStyle name="쉼표 [0] 3 3 7 2 2 2" xfId="11185"/>
    <cellStyle name="쉼표 [0] 3 3 7 3" xfId="11186"/>
    <cellStyle name="쉼표 [0] 3 3 7 3 2" xfId="11187"/>
    <cellStyle name="쉼표 [0] 3 3 8" xfId="11188"/>
    <cellStyle name="쉼표 [0] 3 3 8 2" xfId="11189"/>
    <cellStyle name="쉼표 [0] 3 3 8 2 2" xfId="11190"/>
    <cellStyle name="쉼표 [0] 3 3 9" xfId="11191"/>
    <cellStyle name="쉼표 [0] 3 3 9 2" xfId="11192"/>
    <cellStyle name="쉼표 [0] 3 3 9 2 2" xfId="11193"/>
    <cellStyle name="쉼표 [0] 3 30" xfId="11194"/>
    <cellStyle name="쉼표 [0] 3 30 2" xfId="11195"/>
    <cellStyle name="쉼표 [0] 3 30 2 2" xfId="11196"/>
    <cellStyle name="쉼표 [0] 3 30 2 2 2" xfId="11197"/>
    <cellStyle name="쉼표 [0] 3 30 3" xfId="11198"/>
    <cellStyle name="쉼표 [0] 3 30 3 2" xfId="11199"/>
    <cellStyle name="쉼표 [0] 3 31" xfId="11200"/>
    <cellStyle name="쉼표 [0] 3 31 2" xfId="11201"/>
    <cellStyle name="쉼표 [0] 3 31 2 2" xfId="11202"/>
    <cellStyle name="쉼표 [0] 3 31 2 2 2" xfId="11203"/>
    <cellStyle name="쉼표 [0] 3 31 3" xfId="11204"/>
    <cellStyle name="쉼표 [0] 3 31 3 2" xfId="11205"/>
    <cellStyle name="쉼표 [0] 3 32" xfId="11206"/>
    <cellStyle name="쉼표 [0] 3 32 2" xfId="11207"/>
    <cellStyle name="쉼표 [0] 3 32 2 2" xfId="11208"/>
    <cellStyle name="쉼표 [0] 3 32 2 2 2" xfId="11209"/>
    <cellStyle name="쉼표 [0] 3 32 3" xfId="11210"/>
    <cellStyle name="쉼표 [0] 3 32 3 2" xfId="11211"/>
    <cellStyle name="쉼표 [0] 3 33" xfId="11212"/>
    <cellStyle name="쉼표 [0] 3 33 2" xfId="11213"/>
    <cellStyle name="쉼표 [0] 3 33 2 2" xfId="11214"/>
    <cellStyle name="쉼표 [0] 3 33 2 2 2" xfId="11215"/>
    <cellStyle name="쉼표 [0] 3 33 3" xfId="11216"/>
    <cellStyle name="쉼표 [0] 3 33 3 2" xfId="11217"/>
    <cellStyle name="쉼표 [0] 3 34" xfId="11218"/>
    <cellStyle name="쉼표 [0] 3 34 2" xfId="11219"/>
    <cellStyle name="쉼표 [0] 3 34 2 2" xfId="11220"/>
    <cellStyle name="쉼표 [0] 3 34 2 2 2" xfId="11221"/>
    <cellStyle name="쉼표 [0] 3 34 3" xfId="11222"/>
    <cellStyle name="쉼표 [0] 3 34 3 2" xfId="11223"/>
    <cellStyle name="쉼표 [0] 3 35" xfId="11224"/>
    <cellStyle name="쉼표 [0] 3 35 2" xfId="11225"/>
    <cellStyle name="쉼표 [0] 3 35 2 2" xfId="11226"/>
    <cellStyle name="쉼표 [0] 3 35 2 2 2" xfId="11227"/>
    <cellStyle name="쉼표 [0] 3 35 3" xfId="11228"/>
    <cellStyle name="쉼표 [0] 3 35 3 2" xfId="11229"/>
    <cellStyle name="쉼표 [0] 3 36" xfId="11230"/>
    <cellStyle name="쉼표 [0] 3 36 2" xfId="11231"/>
    <cellStyle name="쉼표 [0] 3 36 2 2" xfId="11232"/>
    <cellStyle name="쉼표 [0] 3 37" xfId="11233"/>
    <cellStyle name="쉼표 [0] 3 38" xfId="11234"/>
    <cellStyle name="쉼표 [0] 3 38 2" xfId="11235"/>
    <cellStyle name="쉼표 [0] 3 38 2 2" xfId="11236"/>
    <cellStyle name="쉼표 [0] 3 38 3" xfId="11237"/>
    <cellStyle name="쉼표 [0] 3 39" xfId="11238"/>
    <cellStyle name="쉼표 [0] 3 4" xfId="11239"/>
    <cellStyle name="쉼표 [0] 3 4 10" xfId="11240"/>
    <cellStyle name="쉼표 [0] 3 4 11" xfId="11241"/>
    <cellStyle name="쉼표 [0] 3 4 12" xfId="20415"/>
    <cellStyle name="쉼표 [0] 3 4 2" xfId="11242"/>
    <cellStyle name="쉼표 [0] 3 4 2 2" xfId="11243"/>
    <cellStyle name="쉼표 [0] 3 4 2 2 2" xfId="11244"/>
    <cellStyle name="쉼표 [0] 3 4 2 2 2 2" xfId="22287"/>
    <cellStyle name="쉼표 [0] 3 4 2 2 3" xfId="22288"/>
    <cellStyle name="쉼표 [0] 3 4 2 2 3 2" xfId="22289"/>
    <cellStyle name="쉼표 [0] 3 4 2 2 4" xfId="22290"/>
    <cellStyle name="쉼표 [0] 3 4 2 3" xfId="11245"/>
    <cellStyle name="쉼표 [0] 3 4 2 3 2" xfId="11246"/>
    <cellStyle name="쉼표 [0] 3 4 2 3 2 2" xfId="11247"/>
    <cellStyle name="쉼표 [0] 3 4 2 4" xfId="11248"/>
    <cellStyle name="쉼표 [0] 3 4 2 4 2" xfId="11249"/>
    <cellStyle name="쉼표 [0] 3 4 2 5" xfId="22291"/>
    <cellStyle name="쉼표 [0] 3 4 3" xfId="11250"/>
    <cellStyle name="쉼표 [0] 3 4 3 2" xfId="11251"/>
    <cellStyle name="쉼표 [0] 3 4 3 2 2" xfId="11252"/>
    <cellStyle name="쉼표 [0] 3 4 3 2 2 2" xfId="11253"/>
    <cellStyle name="쉼표 [0] 3 4 3 3" xfId="11254"/>
    <cellStyle name="쉼표 [0] 3 4 3 3 2" xfId="11255"/>
    <cellStyle name="쉼표 [0] 3 4 3 4" xfId="22292"/>
    <cellStyle name="쉼표 [0] 3 4 4" xfId="11256"/>
    <cellStyle name="쉼표 [0] 3 4 4 2" xfId="11257"/>
    <cellStyle name="쉼표 [0] 3 4 4 2 2" xfId="11258"/>
    <cellStyle name="쉼표 [0] 3 4 4 2 2 2" xfId="11259"/>
    <cellStyle name="쉼표 [0] 3 4 4 3" xfId="11260"/>
    <cellStyle name="쉼표 [0] 3 4 4 3 2" xfId="11261"/>
    <cellStyle name="쉼표 [0] 3 4 5" xfId="11262"/>
    <cellStyle name="쉼표 [0] 3 4 5 2" xfId="11263"/>
    <cellStyle name="쉼표 [0] 3 4 5 2 2" xfId="11264"/>
    <cellStyle name="쉼표 [0] 3 4 5 2 2 2" xfId="11265"/>
    <cellStyle name="쉼표 [0] 3 4 5 3" xfId="11266"/>
    <cellStyle name="쉼표 [0] 3 4 5 3 2" xfId="11267"/>
    <cellStyle name="쉼표 [0] 3 4 6" xfId="11268"/>
    <cellStyle name="쉼표 [0] 3 4 6 2" xfId="11269"/>
    <cellStyle name="쉼표 [0] 3 4 7" xfId="11270"/>
    <cellStyle name="쉼표 [0] 3 4 7 2" xfId="11271"/>
    <cellStyle name="쉼표 [0] 3 4 7 2 2" xfId="11272"/>
    <cellStyle name="쉼표 [0] 3 4 7 2 2 2" xfId="11273"/>
    <cellStyle name="쉼표 [0] 3 4 7 3" xfId="11274"/>
    <cellStyle name="쉼표 [0] 3 4 7 3 2" xfId="11275"/>
    <cellStyle name="쉼표 [0] 3 4 8" xfId="11276"/>
    <cellStyle name="쉼표 [0] 3 4 8 2" xfId="11277"/>
    <cellStyle name="쉼표 [0] 3 4 8 2 2" xfId="11278"/>
    <cellStyle name="쉼표 [0] 3 4 9" xfId="11279"/>
    <cellStyle name="쉼표 [0] 3 4 9 2" xfId="11280"/>
    <cellStyle name="쉼표 [0] 3 4 9 2 2" xfId="11281"/>
    <cellStyle name="쉼표 [0] 3 40" xfId="11282"/>
    <cellStyle name="쉼표 [0] 3 40 2" xfId="11283"/>
    <cellStyle name="쉼표 [0] 3 40 2 2" xfId="11284"/>
    <cellStyle name="쉼표 [0] 3 40 2 3" xfId="11285"/>
    <cellStyle name="쉼표 [0] 3 40 3" xfId="11286"/>
    <cellStyle name="쉼표 [0] 3 40 4" xfId="11287"/>
    <cellStyle name="쉼표 [0] 3 41" xfId="11288"/>
    <cellStyle name="쉼표 [0] 3 42" xfId="11289"/>
    <cellStyle name="쉼표 [0] 3 43" xfId="18249"/>
    <cellStyle name="쉼표 [0] 3 5" xfId="11290"/>
    <cellStyle name="쉼표 [0] 3 5 2" xfId="11291"/>
    <cellStyle name="쉼표 [0] 3 5 2 2" xfId="11292"/>
    <cellStyle name="쉼표 [0] 3 5 2 2 2" xfId="11293"/>
    <cellStyle name="쉼표 [0] 3 5 2 2 2 2" xfId="11294"/>
    <cellStyle name="쉼표 [0] 3 5 2 3" xfId="11295"/>
    <cellStyle name="쉼표 [0] 3 5 2 3 2" xfId="11296"/>
    <cellStyle name="쉼표 [0] 3 5 2 3 2 2" xfId="11297"/>
    <cellStyle name="쉼표 [0] 3 5 2 4" xfId="11298"/>
    <cellStyle name="쉼표 [0] 3 5 2 4 2" xfId="11299"/>
    <cellStyle name="쉼표 [0] 3 5 3" xfId="11300"/>
    <cellStyle name="쉼표 [0] 3 5 3 2" xfId="11301"/>
    <cellStyle name="쉼표 [0] 3 5 3 2 2" xfId="11302"/>
    <cellStyle name="쉼표 [0] 3 5 3 2 2 2" xfId="11303"/>
    <cellStyle name="쉼표 [0] 3 5 3 3" xfId="11304"/>
    <cellStyle name="쉼표 [0] 3 5 3 3 2" xfId="11305"/>
    <cellStyle name="쉼표 [0] 3 5 4" xfId="11306"/>
    <cellStyle name="쉼표 [0] 3 5 4 2" xfId="11307"/>
    <cellStyle name="쉼표 [0] 3 5 4 2 2" xfId="11308"/>
    <cellStyle name="쉼표 [0] 3 5 4 2 2 2" xfId="11309"/>
    <cellStyle name="쉼표 [0] 3 5 4 3" xfId="11310"/>
    <cellStyle name="쉼표 [0] 3 5 4 3 2" xfId="11311"/>
    <cellStyle name="쉼표 [0] 3 5 5" xfId="11312"/>
    <cellStyle name="쉼표 [0] 3 5 5 2" xfId="11313"/>
    <cellStyle name="쉼표 [0] 3 5 5 2 2" xfId="11314"/>
    <cellStyle name="쉼표 [0] 3 5 5 2 2 2" xfId="11315"/>
    <cellStyle name="쉼표 [0] 3 5 5 3" xfId="11316"/>
    <cellStyle name="쉼표 [0] 3 5 5 3 2" xfId="11317"/>
    <cellStyle name="쉼표 [0] 3 5 6" xfId="11318"/>
    <cellStyle name="쉼표 [0] 3 5 7" xfId="11319"/>
    <cellStyle name="쉼표 [0] 3 5 7 2" xfId="11320"/>
    <cellStyle name="쉼표 [0] 3 5 7 2 2" xfId="11321"/>
    <cellStyle name="쉼표 [0] 3 5 7 2 2 2" xfId="11322"/>
    <cellStyle name="쉼표 [0] 3 5 7 3" xfId="11323"/>
    <cellStyle name="쉼표 [0] 3 5 7 3 2" xfId="11324"/>
    <cellStyle name="쉼표 [0] 3 5 8" xfId="11325"/>
    <cellStyle name="쉼표 [0] 3 5 8 2" xfId="11326"/>
    <cellStyle name="쉼표 [0] 3 5 8 2 2" xfId="11327"/>
    <cellStyle name="쉼표 [0] 3 5 9" xfId="11328"/>
    <cellStyle name="쉼표 [0] 3 5 9 2" xfId="11329"/>
    <cellStyle name="쉼표 [0] 3 5 9 2 2" xfId="11330"/>
    <cellStyle name="쉼표 [0] 3 6" xfId="11331"/>
    <cellStyle name="쉼표 [0] 3 6 10" xfId="11332"/>
    <cellStyle name="쉼표 [0] 3 6 2" xfId="11333"/>
    <cellStyle name="쉼표 [0] 3 6 2 2" xfId="11334"/>
    <cellStyle name="쉼표 [0] 3 6 2 2 2" xfId="11335"/>
    <cellStyle name="쉼표 [0] 3 6 2 2 2 2" xfId="11336"/>
    <cellStyle name="쉼표 [0] 3 6 2 3" xfId="11337"/>
    <cellStyle name="쉼표 [0] 3 6 2 3 2" xfId="11338"/>
    <cellStyle name="쉼표 [0] 3 6 3" xfId="11339"/>
    <cellStyle name="쉼표 [0] 3 6 3 2" xfId="11340"/>
    <cellStyle name="쉼표 [0] 3 6 3 2 2" xfId="11341"/>
    <cellStyle name="쉼표 [0] 3 6 3 2 2 2" xfId="11342"/>
    <cellStyle name="쉼표 [0] 3 6 3 3" xfId="11343"/>
    <cellStyle name="쉼표 [0] 3 6 3 3 2" xfId="11344"/>
    <cellStyle name="쉼표 [0] 3 6 4" xfId="11345"/>
    <cellStyle name="쉼표 [0] 3 6 4 2" xfId="11346"/>
    <cellStyle name="쉼표 [0] 3 6 4 2 2" xfId="11347"/>
    <cellStyle name="쉼표 [0] 3 6 4 2 2 2" xfId="11348"/>
    <cellStyle name="쉼표 [0] 3 6 4 3" xfId="11349"/>
    <cellStyle name="쉼표 [0] 3 6 4 3 2" xfId="11350"/>
    <cellStyle name="쉼표 [0] 3 6 5" xfId="11351"/>
    <cellStyle name="쉼표 [0] 3 6 5 2" xfId="11352"/>
    <cellStyle name="쉼표 [0] 3 6 5 2 2" xfId="11353"/>
    <cellStyle name="쉼표 [0] 3 6 5 2 2 2" xfId="11354"/>
    <cellStyle name="쉼표 [0] 3 6 5 3" xfId="11355"/>
    <cellStyle name="쉼표 [0] 3 6 5 3 2" xfId="11356"/>
    <cellStyle name="쉼표 [0] 3 6 6" xfId="11357"/>
    <cellStyle name="쉼표 [0] 3 6 6 2" xfId="11358"/>
    <cellStyle name="쉼표 [0] 3 6 6 2 2" xfId="11359"/>
    <cellStyle name="쉼표 [0] 3 6 6 2 2 2" xfId="11360"/>
    <cellStyle name="쉼표 [0] 3 6 6 3" xfId="11361"/>
    <cellStyle name="쉼표 [0] 3 6 6 3 2" xfId="11362"/>
    <cellStyle name="쉼표 [0] 3 6 7" xfId="11363"/>
    <cellStyle name="쉼표 [0] 3 6 7 2" xfId="11364"/>
    <cellStyle name="쉼표 [0] 3 6 7 2 2" xfId="11365"/>
    <cellStyle name="쉼표 [0] 3 6 8" xfId="11366"/>
    <cellStyle name="쉼표 [0] 3 6 8 2" xfId="11367"/>
    <cellStyle name="쉼표 [0] 3 6 9" xfId="11368"/>
    <cellStyle name="쉼표 [0] 3 6 9 2" xfId="11369"/>
    <cellStyle name="쉼표 [0] 3 7" xfId="11370"/>
    <cellStyle name="쉼표 [0] 3 7 2" xfId="11371"/>
    <cellStyle name="쉼표 [0] 3 7 2 2" xfId="11372"/>
    <cellStyle name="쉼표 [0] 3 7 2 2 2" xfId="11373"/>
    <cellStyle name="쉼표 [0] 3 7 2 2 2 2" xfId="11374"/>
    <cellStyle name="쉼표 [0] 3 7 2 3" xfId="11375"/>
    <cellStyle name="쉼표 [0] 3 7 2 3 2" xfId="11376"/>
    <cellStyle name="쉼표 [0] 3 7 3" xfId="11377"/>
    <cellStyle name="쉼표 [0] 3 7 3 2" xfId="11378"/>
    <cellStyle name="쉼표 [0] 3 7 3 2 2" xfId="11379"/>
    <cellStyle name="쉼표 [0] 3 7 3 2 2 2" xfId="11380"/>
    <cellStyle name="쉼표 [0] 3 7 3 3" xfId="11381"/>
    <cellStyle name="쉼표 [0] 3 7 3 3 2" xfId="11382"/>
    <cellStyle name="쉼표 [0] 3 7 4" xfId="11383"/>
    <cellStyle name="쉼표 [0] 3 7 4 2" xfId="11384"/>
    <cellStyle name="쉼표 [0] 3 7 4 2 2" xfId="11385"/>
    <cellStyle name="쉼표 [0] 3 7 4 2 2 2" xfId="11386"/>
    <cellStyle name="쉼표 [0] 3 7 4 3" xfId="11387"/>
    <cellStyle name="쉼표 [0] 3 7 4 3 2" xfId="11388"/>
    <cellStyle name="쉼표 [0] 3 7 5" xfId="11389"/>
    <cellStyle name="쉼표 [0] 3 7 5 2" xfId="11390"/>
    <cellStyle name="쉼표 [0] 3 7 5 2 2" xfId="11391"/>
    <cellStyle name="쉼표 [0] 3 7 5 2 2 2" xfId="11392"/>
    <cellStyle name="쉼표 [0] 3 7 5 3" xfId="11393"/>
    <cellStyle name="쉼표 [0] 3 7 5 3 2" xfId="11394"/>
    <cellStyle name="쉼표 [0] 3 7 6" xfId="11395"/>
    <cellStyle name="쉼표 [0] 3 7 6 2" xfId="11396"/>
    <cellStyle name="쉼표 [0] 3 7 6 2 2" xfId="11397"/>
    <cellStyle name="쉼표 [0] 3 7 6 2 2 2" xfId="11398"/>
    <cellStyle name="쉼표 [0] 3 7 6 3" xfId="11399"/>
    <cellStyle name="쉼표 [0] 3 7 6 3 2" xfId="11400"/>
    <cellStyle name="쉼표 [0] 3 7 7" xfId="11401"/>
    <cellStyle name="쉼표 [0] 3 7 7 2" xfId="11402"/>
    <cellStyle name="쉼표 [0] 3 7 7 2 2" xfId="11403"/>
    <cellStyle name="쉼표 [0] 3 7 8" xfId="11404"/>
    <cellStyle name="쉼표 [0] 3 7 8 2" xfId="11405"/>
    <cellStyle name="쉼표 [0] 3 8" xfId="11406"/>
    <cellStyle name="쉼표 [0] 3 8 2" xfId="11407"/>
    <cellStyle name="쉼표 [0] 3 8 2 2" xfId="11408"/>
    <cellStyle name="쉼표 [0] 3 8 2 2 2" xfId="11409"/>
    <cellStyle name="쉼표 [0] 3 8 2 2 2 2" xfId="11410"/>
    <cellStyle name="쉼표 [0] 3 8 2 3" xfId="11411"/>
    <cellStyle name="쉼표 [0] 3 8 2 3 2" xfId="11412"/>
    <cellStyle name="쉼표 [0] 3 8 3" xfId="11413"/>
    <cellStyle name="쉼표 [0] 3 8 3 2" xfId="11414"/>
    <cellStyle name="쉼표 [0] 3 8 3 2 2" xfId="11415"/>
    <cellStyle name="쉼표 [0] 3 8 3 2 2 2" xfId="11416"/>
    <cellStyle name="쉼표 [0] 3 8 3 3" xfId="11417"/>
    <cellStyle name="쉼표 [0] 3 8 3 3 2" xfId="11418"/>
    <cellStyle name="쉼표 [0] 3 8 4" xfId="11419"/>
    <cellStyle name="쉼표 [0] 3 8 4 2" xfId="11420"/>
    <cellStyle name="쉼표 [0] 3 8 4 2 2" xfId="11421"/>
    <cellStyle name="쉼표 [0] 3 8 4 2 2 2" xfId="11422"/>
    <cellStyle name="쉼표 [0] 3 8 4 3" xfId="11423"/>
    <cellStyle name="쉼표 [0] 3 8 4 3 2" xfId="11424"/>
    <cellStyle name="쉼표 [0] 3 8 5" xfId="11425"/>
    <cellStyle name="쉼표 [0] 3 8 5 2" xfId="11426"/>
    <cellStyle name="쉼표 [0] 3 8 5 2 2" xfId="11427"/>
    <cellStyle name="쉼표 [0] 3 8 5 2 2 2" xfId="11428"/>
    <cellStyle name="쉼표 [0] 3 8 5 3" xfId="11429"/>
    <cellStyle name="쉼표 [0] 3 8 5 3 2" xfId="11430"/>
    <cellStyle name="쉼표 [0] 3 8 6" xfId="11431"/>
    <cellStyle name="쉼표 [0] 3 8 6 2" xfId="11432"/>
    <cellStyle name="쉼표 [0] 3 8 6 2 2" xfId="11433"/>
    <cellStyle name="쉼표 [0] 3 8 6 2 2 2" xfId="11434"/>
    <cellStyle name="쉼표 [0] 3 8 6 3" xfId="11435"/>
    <cellStyle name="쉼표 [0] 3 8 6 3 2" xfId="11436"/>
    <cellStyle name="쉼표 [0] 3 8 7" xfId="11437"/>
    <cellStyle name="쉼표 [0] 3 8 7 2" xfId="11438"/>
    <cellStyle name="쉼표 [0] 3 8 7 2 2" xfId="11439"/>
    <cellStyle name="쉼표 [0] 3 8 8" xfId="11440"/>
    <cellStyle name="쉼표 [0] 3 8 8 2" xfId="11441"/>
    <cellStyle name="쉼표 [0] 3 9" xfId="11442"/>
    <cellStyle name="쉼표 [0] 3 9 2" xfId="11443"/>
    <cellStyle name="쉼표 [0] 3 9 2 2" xfId="11444"/>
    <cellStyle name="쉼표 [0] 3 9 2 2 2" xfId="11445"/>
    <cellStyle name="쉼표 [0] 3 9 2 2 2 2" xfId="11446"/>
    <cellStyle name="쉼표 [0] 3 9 2 3" xfId="11447"/>
    <cellStyle name="쉼표 [0] 3 9 2 3 2" xfId="11448"/>
    <cellStyle name="쉼표 [0] 3 9 3" xfId="11449"/>
    <cellStyle name="쉼표 [0] 3 9 3 2" xfId="11450"/>
    <cellStyle name="쉼표 [0] 3 9 3 2 2" xfId="11451"/>
    <cellStyle name="쉼표 [0] 3 9 3 2 2 2" xfId="11452"/>
    <cellStyle name="쉼표 [0] 3 9 3 3" xfId="11453"/>
    <cellStyle name="쉼표 [0] 3 9 3 3 2" xfId="11454"/>
    <cellStyle name="쉼표 [0] 3 9 4" xfId="11455"/>
    <cellStyle name="쉼표 [0] 3 9 4 2" xfId="11456"/>
    <cellStyle name="쉼표 [0] 3 9 4 2 2" xfId="11457"/>
    <cellStyle name="쉼표 [0] 3 9 4 2 2 2" xfId="11458"/>
    <cellStyle name="쉼표 [0] 3 9 4 3" xfId="11459"/>
    <cellStyle name="쉼표 [0] 3 9 4 3 2" xfId="11460"/>
    <cellStyle name="쉼표 [0] 3 9 5" xfId="11461"/>
    <cellStyle name="쉼표 [0] 3 9 5 2" xfId="11462"/>
    <cellStyle name="쉼표 [0] 3 9 5 2 2" xfId="11463"/>
    <cellStyle name="쉼표 [0] 3 9 5 2 2 2" xfId="11464"/>
    <cellStyle name="쉼표 [0] 3 9 5 3" xfId="11465"/>
    <cellStyle name="쉼표 [0] 3 9 5 3 2" xfId="11466"/>
    <cellStyle name="쉼표 [0] 3 9 6" xfId="11467"/>
    <cellStyle name="쉼표 [0] 3 9 6 2" xfId="11468"/>
    <cellStyle name="쉼표 [0] 3 9 6 2 2" xfId="11469"/>
    <cellStyle name="쉼표 [0] 3 9 6 2 2 2" xfId="11470"/>
    <cellStyle name="쉼표 [0] 3 9 6 3" xfId="11471"/>
    <cellStyle name="쉼표 [0] 3 9 6 3 2" xfId="11472"/>
    <cellStyle name="쉼표 [0] 3 9 7" xfId="11473"/>
    <cellStyle name="쉼표 [0] 3 9 7 2" xfId="11474"/>
    <cellStyle name="쉼표 [0] 3 9 7 2 2" xfId="11475"/>
    <cellStyle name="쉼표 [0] 3 9 8" xfId="11476"/>
    <cellStyle name="쉼표 [0] 3 9 8 2" xfId="11477"/>
    <cellStyle name="쉼표 [0] 30" xfId="1304"/>
    <cellStyle name="쉼표 [0] 30 2" xfId="1305"/>
    <cellStyle name="쉼표 [0] 30 2 2" xfId="11478"/>
    <cellStyle name="쉼표 [0] 30 2 2 2" xfId="11479"/>
    <cellStyle name="쉼표 [0] 30 2 3" xfId="19399"/>
    <cellStyle name="쉼표 [0] 30 3" xfId="1306"/>
    <cellStyle name="쉼표 [0] 30 3 2" xfId="11480"/>
    <cellStyle name="쉼표 [0] 30 3 3" xfId="19459"/>
    <cellStyle name="쉼표 [0] 30 4" xfId="19736"/>
    <cellStyle name="쉼표 [0] 30 5" xfId="19863"/>
    <cellStyle name="쉼표 [0] 30 6" xfId="20093"/>
    <cellStyle name="쉼표 [0] 30 7" xfId="20136"/>
    <cellStyle name="쉼표 [0] 30 8" xfId="19951"/>
    <cellStyle name="쉼표 [0] 30 9" xfId="19179"/>
    <cellStyle name="쉼표 [0] 31" xfId="1307"/>
    <cellStyle name="쉼표 [0] 31 2" xfId="1308"/>
    <cellStyle name="쉼표 [0] 31 2 2" xfId="11481"/>
    <cellStyle name="쉼표 [0] 31 2 2 2" xfId="11482"/>
    <cellStyle name="쉼표 [0] 31 2 3" xfId="19508"/>
    <cellStyle name="쉼표 [0] 31 3" xfId="1309"/>
    <cellStyle name="쉼표 [0] 31 3 2" xfId="11483"/>
    <cellStyle name="쉼표 [0] 31 3 3" xfId="19592"/>
    <cellStyle name="쉼표 [0] 31 4" xfId="19823"/>
    <cellStyle name="쉼표 [0] 31 5" xfId="19764"/>
    <cellStyle name="쉼표 [0] 31 6" xfId="19961"/>
    <cellStyle name="쉼표 [0] 31 7" xfId="19924"/>
    <cellStyle name="쉼표 [0] 31 8" xfId="19921"/>
    <cellStyle name="쉼표 [0] 31 9" xfId="19357"/>
    <cellStyle name="쉼표 [0] 32" xfId="1310"/>
    <cellStyle name="쉼표 [0] 32 2" xfId="11484"/>
    <cellStyle name="쉼표 [0] 32 2 2" xfId="11485"/>
    <cellStyle name="쉼표 [0] 32 2 2 2" xfId="11486"/>
    <cellStyle name="쉼표 [0] 32 2 3" xfId="19810"/>
    <cellStyle name="쉼표 [0] 32 3" xfId="11487"/>
    <cellStyle name="쉼표 [0] 32 3 2" xfId="11488"/>
    <cellStyle name="쉼표 [0] 32 3 3" xfId="19767"/>
    <cellStyle name="쉼표 [0] 32 4" xfId="19898"/>
    <cellStyle name="쉼표 [0] 32 5" xfId="19987"/>
    <cellStyle name="쉼표 [0] 32 6" xfId="20090"/>
    <cellStyle name="쉼표 [0] 32 7" xfId="19947"/>
    <cellStyle name="쉼표 [0] 32 8" xfId="18885"/>
    <cellStyle name="쉼표 [0] 33" xfId="11489"/>
    <cellStyle name="쉼표 [0] 33 2" xfId="11490"/>
    <cellStyle name="쉼표 [0] 33 2 2" xfId="11491"/>
    <cellStyle name="쉼표 [0] 33 2 2 2" xfId="11492"/>
    <cellStyle name="쉼표 [0] 33 2 3" xfId="19781"/>
    <cellStyle name="쉼표 [0] 33 3" xfId="11493"/>
    <cellStyle name="쉼표 [0] 33 3 2" xfId="11494"/>
    <cellStyle name="쉼표 [0] 33 3 3" xfId="20019"/>
    <cellStyle name="쉼표 [0] 33 4" xfId="19929"/>
    <cellStyle name="쉼표 [0] 33 5" xfId="20096"/>
    <cellStyle name="쉼표 [0] 33 6" xfId="19770"/>
    <cellStyle name="쉼표 [0] 34" xfId="11495"/>
    <cellStyle name="쉼표 [0] 34 2" xfId="11496"/>
    <cellStyle name="쉼표 [0] 34 2 2" xfId="11497"/>
    <cellStyle name="쉼표 [0] 34 2 2 2" xfId="11498"/>
    <cellStyle name="쉼표 [0] 34 2 3" xfId="20114"/>
    <cellStyle name="쉼표 [0] 34 3" xfId="11499"/>
    <cellStyle name="쉼표 [0] 34 3 2" xfId="11500"/>
    <cellStyle name="쉼표 [0] 34 3 3" xfId="20125"/>
    <cellStyle name="쉼표 [0] 34 4" xfId="20106"/>
    <cellStyle name="쉼표 [0] 34 5" xfId="19734"/>
    <cellStyle name="쉼표 [0] 35" xfId="11501"/>
    <cellStyle name="쉼표 [0] 35 2" xfId="11502"/>
    <cellStyle name="쉼표 [0] 35 2 2" xfId="11503"/>
    <cellStyle name="쉼표 [0] 35 2 2 2" xfId="11504"/>
    <cellStyle name="쉼표 [0] 35 2 3" xfId="20116"/>
    <cellStyle name="쉼표 [0] 35 3" xfId="11505"/>
    <cellStyle name="쉼표 [0] 35 3 2" xfId="11506"/>
    <cellStyle name="쉼표 [0] 35 3 3" xfId="20042"/>
    <cellStyle name="쉼표 [0] 35 4" xfId="19938"/>
    <cellStyle name="쉼표 [0] 36" xfId="11507"/>
    <cellStyle name="쉼표 [0] 36 2" xfId="19954"/>
    <cellStyle name="쉼표 [0] 36 3" xfId="19907"/>
    <cellStyle name="쉼표 [0] 37" xfId="11508"/>
    <cellStyle name="쉼표 [0] 37 2" xfId="11509"/>
    <cellStyle name="쉼표 [0] 37 3" xfId="20031"/>
    <cellStyle name="쉼표 [0] 38" xfId="11510"/>
    <cellStyle name="쉼표 [0] 38 2" xfId="20677"/>
    <cellStyle name="쉼표 [0] 38 3" xfId="20639"/>
    <cellStyle name="쉼표 [0] 39" xfId="18201"/>
    <cellStyle name="쉼표 [0] 4" xfId="1311"/>
    <cellStyle name="쉼표 [0] 4 10" xfId="1312"/>
    <cellStyle name="쉼표 [0] 4 10 2" xfId="18368"/>
    <cellStyle name="쉼표 [0] 4 11" xfId="1313"/>
    <cellStyle name="쉼표 [0] 4 11 2" xfId="11511"/>
    <cellStyle name="쉼표 [0] 4 11 3" xfId="11512"/>
    <cellStyle name="쉼표 [0] 4 11 4" xfId="18513"/>
    <cellStyle name="쉼표 [0] 4 12" xfId="1314"/>
    <cellStyle name="쉼표 [0] 4 12 2" xfId="11513"/>
    <cellStyle name="쉼표 [0] 4 12 2 2" xfId="20418"/>
    <cellStyle name="쉼표 [0] 4 12 3" xfId="11514"/>
    <cellStyle name="쉼표 [0] 4 12 4" xfId="18454"/>
    <cellStyle name="쉼표 [0] 4 13" xfId="1315"/>
    <cellStyle name="쉼표 [0] 4 13 2" xfId="11515"/>
    <cellStyle name="쉼표 [0] 4 13 3" xfId="11516"/>
    <cellStyle name="쉼표 [0] 4 13 4" xfId="18416"/>
    <cellStyle name="쉼표 [0] 4 14" xfId="1316"/>
    <cellStyle name="쉼표 [0] 4 14 2" xfId="18415"/>
    <cellStyle name="쉼표 [0] 4 15" xfId="1317"/>
    <cellStyle name="쉼표 [0] 4 15 2" xfId="18579"/>
    <cellStyle name="쉼표 [0] 4 16" xfId="1318"/>
    <cellStyle name="쉼표 [0] 4 16 2" xfId="18652"/>
    <cellStyle name="쉼표 [0] 4 17" xfId="1319"/>
    <cellStyle name="쉼표 [0] 4 17 2" xfId="18582"/>
    <cellStyle name="쉼표 [0] 4 18" xfId="1320"/>
    <cellStyle name="쉼표 [0] 4 18 2" xfId="18525"/>
    <cellStyle name="쉼표 [0] 4 19" xfId="1321"/>
    <cellStyle name="쉼표 [0] 4 19 2" xfId="20178"/>
    <cellStyle name="쉼표 [0] 4 19 3" xfId="18533"/>
    <cellStyle name="쉼표 [0] 4 2" xfId="1322"/>
    <cellStyle name="쉼표 [0] 4 2 10" xfId="18255"/>
    <cellStyle name="쉼표 [0] 4 2 2" xfId="11517"/>
    <cellStyle name="쉼표 [0] 4 2 2 2" xfId="11518"/>
    <cellStyle name="쉼표 [0] 4 2 2 2 2" xfId="11519"/>
    <cellStyle name="쉼표 [0] 4 2 2 2 2 2" xfId="11520"/>
    <cellStyle name="쉼표 [0] 4 2 2 2 2 2 2" xfId="11521"/>
    <cellStyle name="쉼표 [0] 4 2 2 2 2 2 2 2" xfId="22293"/>
    <cellStyle name="쉼표 [0] 4 2 2 2 2 3" xfId="22294"/>
    <cellStyle name="쉼표 [0] 4 2 2 2 2 3 2" xfId="22295"/>
    <cellStyle name="쉼표 [0] 4 2 2 2 2 4" xfId="22296"/>
    <cellStyle name="쉼표 [0] 4 2 2 2 3" xfId="11522"/>
    <cellStyle name="쉼표 [0] 4 2 2 2 3 2" xfId="22297"/>
    <cellStyle name="쉼표 [0] 4 2 2 2 4" xfId="22298"/>
    <cellStyle name="쉼표 [0] 4 2 2 2 4 2" xfId="22299"/>
    <cellStyle name="쉼표 [0] 4 2 2 2 5" xfId="22300"/>
    <cellStyle name="쉼표 [0] 4 2 2 3" xfId="11523"/>
    <cellStyle name="쉼표 [0] 4 2 2 3 2" xfId="11524"/>
    <cellStyle name="쉼표 [0] 4 2 2 3 2 2" xfId="22301"/>
    <cellStyle name="쉼표 [0] 4 2 2 3 3" xfId="22302"/>
    <cellStyle name="쉼표 [0] 4 2 2 3 3 2" xfId="22303"/>
    <cellStyle name="쉼표 [0] 4 2 2 3 4" xfId="22304"/>
    <cellStyle name="쉼표 [0] 4 2 2 4" xfId="20419"/>
    <cellStyle name="쉼표 [0] 4 2 2 4 2" xfId="22305"/>
    <cellStyle name="쉼표 [0] 4 2 2 5" xfId="22306"/>
    <cellStyle name="쉼표 [0] 4 2 2 5 2" xfId="22307"/>
    <cellStyle name="쉼표 [0] 4 2 2 6" xfId="22308"/>
    <cellStyle name="쉼표 [0] 4 2 3" xfId="11525"/>
    <cellStyle name="쉼표 [0] 4 2 3 2" xfId="11526"/>
    <cellStyle name="쉼표 [0] 4 2 3 2 2" xfId="11527"/>
    <cellStyle name="쉼표 [0] 4 2 3 2 2 2" xfId="22309"/>
    <cellStyle name="쉼표 [0] 4 2 3 2 3" xfId="22310"/>
    <cellStyle name="쉼표 [0] 4 2 3 2 3 2" xfId="22311"/>
    <cellStyle name="쉼표 [0] 4 2 3 2 4" xfId="22312"/>
    <cellStyle name="쉼표 [0] 4 2 3 3" xfId="22313"/>
    <cellStyle name="쉼표 [0] 4 2 3 3 2" xfId="22314"/>
    <cellStyle name="쉼표 [0] 4 2 3 4" xfId="22315"/>
    <cellStyle name="쉼표 [0] 4 2 3 4 2" xfId="22316"/>
    <cellStyle name="쉼표 [0] 4 2 3 5" xfId="22317"/>
    <cellStyle name="쉼표 [0] 4 2 4" xfId="11528"/>
    <cellStyle name="쉼표 [0] 4 2 4 2" xfId="11529"/>
    <cellStyle name="쉼표 [0] 4 2 4 2 2" xfId="11530"/>
    <cellStyle name="쉼표 [0] 4 2 4 3" xfId="22318"/>
    <cellStyle name="쉼표 [0] 4 2 4 3 2" xfId="22319"/>
    <cellStyle name="쉼표 [0] 4 2 4 4" xfId="22320"/>
    <cellStyle name="쉼표 [0] 4 2 5" xfId="11531"/>
    <cellStyle name="쉼표 [0] 4 2 5 2" xfId="22321"/>
    <cellStyle name="쉼표 [0] 4 2 6" xfId="11532"/>
    <cellStyle name="쉼표 [0] 4 2 6 2" xfId="11533"/>
    <cellStyle name="쉼표 [0] 4 2 7" xfId="11534"/>
    <cellStyle name="쉼표 [0] 4 2 8" xfId="11535"/>
    <cellStyle name="쉼표 [0] 4 2 9" xfId="11536"/>
    <cellStyle name="쉼표 [0] 4 20" xfId="1323"/>
    <cellStyle name="쉼표 [0] 4 20 2" xfId="18573"/>
    <cellStyle name="쉼표 [0] 4 21" xfId="1324"/>
    <cellStyle name="쉼표 [0] 4 21 2" xfId="18763"/>
    <cellStyle name="쉼표 [0] 4 22" xfId="1325"/>
    <cellStyle name="쉼표 [0] 4 22 2" xfId="18478"/>
    <cellStyle name="쉼표 [0] 4 23" xfId="1326"/>
    <cellStyle name="쉼표 [0] 4 23 2" xfId="18565"/>
    <cellStyle name="쉼표 [0] 4 24" xfId="1327"/>
    <cellStyle name="쉼표 [0] 4 24 2" xfId="18600"/>
    <cellStyle name="쉼표 [0] 4 25" xfId="1328"/>
    <cellStyle name="쉼표 [0] 4 25 2" xfId="18717"/>
    <cellStyle name="쉼표 [0] 4 26" xfId="1329"/>
    <cellStyle name="쉼표 [0] 4 26 2" xfId="18837"/>
    <cellStyle name="쉼표 [0] 4 27" xfId="1330"/>
    <cellStyle name="쉼표 [0] 4 27 2" xfId="19032"/>
    <cellStyle name="쉼표 [0] 4 28" xfId="1331"/>
    <cellStyle name="쉼표 [0] 4 28 2" xfId="19320"/>
    <cellStyle name="쉼표 [0] 4 29" xfId="1332"/>
    <cellStyle name="쉼표 [0] 4 29 2" xfId="20179"/>
    <cellStyle name="쉼표 [0] 4 29 3" xfId="18929"/>
    <cellStyle name="쉼표 [0] 4 3" xfId="1333"/>
    <cellStyle name="쉼표 [0] 4 3 2" xfId="11537"/>
    <cellStyle name="쉼표 [0] 4 3 2 2" xfId="20420"/>
    <cellStyle name="쉼표 [0] 4 3 2 2 2" xfId="22322"/>
    <cellStyle name="쉼표 [0] 4 3 2 2 2 2" xfId="22323"/>
    <cellStyle name="쉼표 [0] 4 3 2 2 3" xfId="22324"/>
    <cellStyle name="쉼표 [0] 4 3 2 2 3 2" xfId="22325"/>
    <cellStyle name="쉼표 [0] 4 3 2 2 4" xfId="22326"/>
    <cellStyle name="쉼표 [0] 4 3 2 3" xfId="22327"/>
    <cellStyle name="쉼표 [0] 4 3 2 3 2" xfId="22328"/>
    <cellStyle name="쉼표 [0] 4 3 2 4" xfId="22329"/>
    <cellStyle name="쉼표 [0] 4 3 2 4 2" xfId="22330"/>
    <cellStyle name="쉼표 [0] 4 3 2 5" xfId="22331"/>
    <cellStyle name="쉼표 [0] 4 3 3" xfId="11538"/>
    <cellStyle name="쉼표 [0] 4 3 3 2" xfId="11539"/>
    <cellStyle name="쉼표 [0] 4 3 3 2 2" xfId="11540"/>
    <cellStyle name="쉼표 [0] 4 3 3 3" xfId="22332"/>
    <cellStyle name="쉼표 [0] 4 3 3 3 2" xfId="22333"/>
    <cellStyle name="쉼표 [0] 4 3 3 4" xfId="22334"/>
    <cellStyle name="쉼표 [0] 4 3 4" xfId="11541"/>
    <cellStyle name="쉼표 [0] 4 3 4 2" xfId="11542"/>
    <cellStyle name="쉼표 [0] 4 3 5" xfId="18261"/>
    <cellStyle name="쉼표 [0] 4 3 5 2" xfId="22335"/>
    <cellStyle name="쉼표 [0] 4 3 6" xfId="22336"/>
    <cellStyle name="쉼표 [0] 4 30" xfId="11543"/>
    <cellStyle name="쉼표 [0] 4 30 2" xfId="20176"/>
    <cellStyle name="쉼표 [0] 4 30 3" xfId="19765"/>
    <cellStyle name="쉼표 [0] 4 30 4" xfId="19657"/>
    <cellStyle name="쉼표 [0] 4 31" xfId="11544"/>
    <cellStyle name="쉼표 [0] 4 31 2" xfId="20177"/>
    <cellStyle name="쉼표 [0] 4 31 3" xfId="19718"/>
    <cellStyle name="쉼표 [0] 4 32" xfId="11545"/>
    <cellStyle name="쉼표 [0] 4 32 2" xfId="19699"/>
    <cellStyle name="쉼표 [0] 4 33" xfId="11546"/>
    <cellStyle name="쉼표 [0] 4 33 2" xfId="19991"/>
    <cellStyle name="쉼표 [0] 4 34" xfId="11547"/>
    <cellStyle name="쉼표 [0] 4 34 2" xfId="20180"/>
    <cellStyle name="쉼표 [0] 4 34 3" xfId="19977"/>
    <cellStyle name="쉼표 [0] 4 35" xfId="11548"/>
    <cellStyle name="쉼표 [0] 4 35 2" xfId="20181"/>
    <cellStyle name="쉼표 [0] 4 36" xfId="11549"/>
    <cellStyle name="쉼표 [0] 4 37" xfId="11550"/>
    <cellStyle name="쉼표 [0] 4 38" xfId="11551"/>
    <cellStyle name="쉼표 [0] 4 39" xfId="11552"/>
    <cellStyle name="쉼표 [0] 4 4" xfId="1334"/>
    <cellStyle name="쉼표 [0] 4 4 2" xfId="11553"/>
    <cellStyle name="쉼표 [0] 4 4 2 2" xfId="11554"/>
    <cellStyle name="쉼표 [0] 4 4 2 2 2" xfId="11555"/>
    <cellStyle name="쉼표 [0] 4 4 2 3" xfId="22337"/>
    <cellStyle name="쉼표 [0] 4 4 2 3 2" xfId="22338"/>
    <cellStyle name="쉼표 [0] 4 4 2 4" xfId="22339"/>
    <cellStyle name="쉼표 [0] 4 4 3" xfId="11556"/>
    <cellStyle name="쉼표 [0] 4 4 3 2" xfId="11557"/>
    <cellStyle name="쉼표 [0] 4 4 4" xfId="18276"/>
    <cellStyle name="쉼표 [0] 4 4 4 2" xfId="22340"/>
    <cellStyle name="쉼표 [0] 4 4 5" xfId="22341"/>
    <cellStyle name="쉼표 [0] 4 40" xfId="11558"/>
    <cellStyle name="쉼표 [0] 4 40 2" xfId="11559"/>
    <cellStyle name="쉼표 [0] 4 41" xfId="18250"/>
    <cellStyle name="쉼표 [0] 4 42" xfId="20502"/>
    <cellStyle name="쉼표 [0] 4 5" xfId="1335"/>
    <cellStyle name="쉼표 [0] 4 5 2" xfId="11560"/>
    <cellStyle name="쉼표 [0] 4 5 2 2" xfId="11561"/>
    <cellStyle name="쉼표 [0] 4 5 2 2 2" xfId="11562"/>
    <cellStyle name="쉼표 [0] 4 5 3" xfId="11563"/>
    <cellStyle name="쉼표 [0] 4 5 3 2" xfId="11564"/>
    <cellStyle name="쉼표 [0] 4 5 4" xfId="18290"/>
    <cellStyle name="쉼표 [0] 4 6" xfId="1336"/>
    <cellStyle name="쉼표 [0] 4 6 2" xfId="18322"/>
    <cellStyle name="쉼표 [0] 4 7" xfId="1337"/>
    <cellStyle name="쉼표 [0] 4 7 2" xfId="11565"/>
    <cellStyle name="쉼표 [0] 4 7 2 2" xfId="11566"/>
    <cellStyle name="쉼표 [0] 4 7 2 2 2" xfId="11567"/>
    <cellStyle name="쉼표 [0] 4 7 3" xfId="11568"/>
    <cellStyle name="쉼표 [0] 4 7 3 2" xfId="11569"/>
    <cellStyle name="쉼표 [0] 4 7 4" xfId="18278"/>
    <cellStyle name="쉼표 [0] 4 8" xfId="1338"/>
    <cellStyle name="쉼표 [0] 4 8 2" xfId="11570"/>
    <cellStyle name="쉼표 [0] 4 8 2 2" xfId="11571"/>
    <cellStyle name="쉼표 [0] 4 8 3" xfId="18355"/>
    <cellStyle name="쉼표 [0] 4 9" xfId="1339"/>
    <cellStyle name="쉼표 [0] 4 9 2" xfId="11572"/>
    <cellStyle name="쉼표 [0] 4 9 2 2" xfId="11573"/>
    <cellStyle name="쉼표 [0] 4 9 3" xfId="18354"/>
    <cellStyle name="쉼표 [0] 40" xfId="18238"/>
    <cellStyle name="쉼표 [0] 41" xfId="18242"/>
    <cellStyle name="쉼표 [0] 42" xfId="23066"/>
    <cellStyle name="쉼표 [0] 43" xfId="23072"/>
    <cellStyle name="쉼표 [0] 44" xfId="23074"/>
    <cellStyle name="쉼표 [0] 5" xfId="1340"/>
    <cellStyle name="쉼표 [0] 5 10" xfId="1341"/>
    <cellStyle name="쉼표 [0] 5 10 2" xfId="18389"/>
    <cellStyle name="쉼표 [0] 5 11" xfId="1342"/>
    <cellStyle name="쉼표 [0] 5 11 2" xfId="20421"/>
    <cellStyle name="쉼표 [0] 5 11 3" xfId="18382"/>
    <cellStyle name="쉼표 [0] 5 12" xfId="1343"/>
    <cellStyle name="쉼표 [0] 5 12 2" xfId="18447"/>
    <cellStyle name="쉼표 [0] 5 13" xfId="1344"/>
    <cellStyle name="쉼표 [0] 5 13 2" xfId="18429"/>
    <cellStyle name="쉼표 [0] 5 14" xfId="1345"/>
    <cellStyle name="쉼표 [0] 5 14 2" xfId="18393"/>
    <cellStyle name="쉼표 [0] 5 15" xfId="1346"/>
    <cellStyle name="쉼표 [0] 5 15 2" xfId="18577"/>
    <cellStyle name="쉼표 [0] 5 16" xfId="1347"/>
    <cellStyle name="쉼표 [0] 5 16 2" xfId="18601"/>
    <cellStyle name="쉼표 [0] 5 17" xfId="1348"/>
    <cellStyle name="쉼표 [0] 5 17 2" xfId="18592"/>
    <cellStyle name="쉼표 [0] 5 18" xfId="1349"/>
    <cellStyle name="쉼표 [0] 5 18 2" xfId="18710"/>
    <cellStyle name="쉼표 [0] 5 19" xfId="1350"/>
    <cellStyle name="쉼표 [0] 5 19 2" xfId="18511"/>
    <cellStyle name="쉼표 [0] 5 2" xfId="1351"/>
    <cellStyle name="쉼표 [0] 5 2 2" xfId="11574"/>
    <cellStyle name="쉼표 [0] 5 2 2 2" xfId="11575"/>
    <cellStyle name="쉼표 [0] 5 2 2 2 2" xfId="22342"/>
    <cellStyle name="쉼표 [0] 5 2 2 2 2 2" xfId="22343"/>
    <cellStyle name="쉼표 [0] 5 2 2 2 3" xfId="22344"/>
    <cellStyle name="쉼표 [0] 5 2 2 2 3 2" xfId="22345"/>
    <cellStyle name="쉼표 [0] 5 2 2 2 4" xfId="22346"/>
    <cellStyle name="쉼표 [0] 5 2 2 3" xfId="20423"/>
    <cellStyle name="쉼표 [0] 5 2 2 3 2" xfId="22347"/>
    <cellStyle name="쉼표 [0] 5 2 2 4" xfId="22348"/>
    <cellStyle name="쉼표 [0] 5 2 2 4 2" xfId="22349"/>
    <cellStyle name="쉼표 [0] 5 2 2 5" xfId="22350"/>
    <cellStyle name="쉼표 [0] 5 2 3" xfId="11576"/>
    <cellStyle name="쉼표 [0] 5 2 3 2" xfId="11577"/>
    <cellStyle name="쉼표 [0] 5 2 3 2 2" xfId="11578"/>
    <cellStyle name="쉼표 [0] 5 2 3 3" xfId="20422"/>
    <cellStyle name="쉼표 [0] 5 2 3 3 2" xfId="22351"/>
    <cellStyle name="쉼표 [0] 5 2 3 4" xfId="22352"/>
    <cellStyle name="쉼표 [0] 5 2 4" xfId="11579"/>
    <cellStyle name="쉼표 [0] 5 2 4 2" xfId="11580"/>
    <cellStyle name="쉼표 [0] 5 2 4 2 2" xfId="11581"/>
    <cellStyle name="쉼표 [0] 5 2 5" xfId="11582"/>
    <cellStyle name="쉼표 [0] 5 2 5 2" xfId="22353"/>
    <cellStyle name="쉼표 [0] 5 2 6" xfId="11583"/>
    <cellStyle name="쉼표 [0] 5 2 6 2" xfId="11584"/>
    <cellStyle name="쉼표 [0] 5 2 7" xfId="18266"/>
    <cellStyle name="쉼표 [0] 5 20" xfId="1352"/>
    <cellStyle name="쉼표 [0] 5 20 2" xfId="18932"/>
    <cellStyle name="쉼표 [0] 5 21" xfId="1353"/>
    <cellStyle name="쉼표 [0] 5 21 2" xfId="18757"/>
    <cellStyle name="쉼표 [0] 5 22" xfId="1354"/>
    <cellStyle name="쉼표 [0] 5 22 2" xfId="18995"/>
    <cellStyle name="쉼표 [0] 5 23" xfId="1355"/>
    <cellStyle name="쉼표 [0] 5 23 2" xfId="18884"/>
    <cellStyle name="쉼표 [0] 5 24" xfId="1356"/>
    <cellStyle name="쉼표 [0] 5 24 2" xfId="19113"/>
    <cellStyle name="쉼표 [0] 5 25" xfId="1357"/>
    <cellStyle name="쉼표 [0] 5 25 2" xfId="19062"/>
    <cellStyle name="쉼표 [0] 5 26" xfId="1358"/>
    <cellStyle name="쉼표 [0] 5 26 2" xfId="19227"/>
    <cellStyle name="쉼표 [0] 5 27" xfId="1359"/>
    <cellStyle name="쉼표 [0] 5 27 2" xfId="19187"/>
    <cellStyle name="쉼표 [0] 5 28" xfId="1360"/>
    <cellStyle name="쉼표 [0] 5 28 2" xfId="19353"/>
    <cellStyle name="쉼표 [0] 5 29" xfId="11585"/>
    <cellStyle name="쉼표 [0] 5 29 2" xfId="19714"/>
    <cellStyle name="쉼표 [0] 5 3" xfId="1361"/>
    <cellStyle name="쉼표 [0] 5 3 2" xfId="11586"/>
    <cellStyle name="쉼표 [0] 5 3 2 2" xfId="11587"/>
    <cellStyle name="쉼표 [0] 5 3 2 2 2" xfId="22354"/>
    <cellStyle name="쉼표 [0] 5 3 2 3" xfId="22355"/>
    <cellStyle name="쉼표 [0] 5 3 2 3 2" xfId="22356"/>
    <cellStyle name="쉼표 [0] 5 3 2 4" xfId="22357"/>
    <cellStyle name="쉼표 [0] 5 3 3" xfId="11588"/>
    <cellStyle name="쉼표 [0] 5 3 3 2" xfId="11589"/>
    <cellStyle name="쉼표 [0] 5 3 3 2 2" xfId="11590"/>
    <cellStyle name="쉼표 [0] 5 3 4" xfId="11591"/>
    <cellStyle name="쉼표 [0] 5 3 4 2" xfId="11592"/>
    <cellStyle name="쉼표 [0] 5 3 4 2 2" xfId="11593"/>
    <cellStyle name="쉼표 [0] 5 3 5" xfId="11594"/>
    <cellStyle name="쉼표 [0] 5 3 6" xfId="11595"/>
    <cellStyle name="쉼표 [0] 5 3 6 2" xfId="11596"/>
    <cellStyle name="쉼표 [0] 5 3 7" xfId="18280"/>
    <cellStyle name="쉼표 [0] 5 30" xfId="11597"/>
    <cellStyle name="쉼표 [0] 5 30 2" xfId="19751"/>
    <cellStyle name="쉼표 [0] 5 31" xfId="11598"/>
    <cellStyle name="쉼표 [0] 5 31 2" xfId="19703"/>
    <cellStyle name="쉼표 [0] 5 32" xfId="11599"/>
    <cellStyle name="쉼표 [0] 5 32 2" xfId="19982"/>
    <cellStyle name="쉼표 [0] 5 32 3" xfId="19701"/>
    <cellStyle name="쉼표 [0] 5 33" xfId="11600"/>
    <cellStyle name="쉼표 [0] 5 33 2" xfId="19943"/>
    <cellStyle name="쉼표 [0] 5 34" xfId="11601"/>
    <cellStyle name="쉼표 [0] 5 34 2" xfId="19698"/>
    <cellStyle name="쉼표 [0] 5 35" xfId="11602"/>
    <cellStyle name="쉼표 [0] 5 36" xfId="11603"/>
    <cellStyle name="쉼표 [0] 5 37" xfId="11604"/>
    <cellStyle name="쉼표 [0] 5 38" xfId="11605"/>
    <cellStyle name="쉼표 [0] 5 39" xfId="11606"/>
    <cellStyle name="쉼표 [0] 5 4" xfId="1362"/>
    <cellStyle name="쉼표 [0] 5 4 2" xfId="11607"/>
    <cellStyle name="쉼표 [0] 5 4 2 2" xfId="11608"/>
    <cellStyle name="쉼표 [0] 5 4 3" xfId="11609"/>
    <cellStyle name="쉼표 [0] 5 4 3 2" xfId="11610"/>
    <cellStyle name="쉼표 [0] 5 4 3 2 2" xfId="11611"/>
    <cellStyle name="쉼표 [0] 5 4 4" xfId="11612"/>
    <cellStyle name="쉼표 [0] 5 4 4 2" xfId="11613"/>
    <cellStyle name="쉼표 [0] 5 4 4 2 2" xfId="11614"/>
    <cellStyle name="쉼표 [0] 5 4 5" xfId="11615"/>
    <cellStyle name="쉼표 [0] 5 4 6" xfId="18287"/>
    <cellStyle name="쉼표 [0] 5 40" xfId="11616"/>
    <cellStyle name="쉼표 [0] 5 40 2" xfId="11617"/>
    <cellStyle name="쉼표 [0] 5 41" xfId="11618"/>
    <cellStyle name="쉼표 [0] 5 42" xfId="18253"/>
    <cellStyle name="쉼표 [0] 5 5" xfId="1363"/>
    <cellStyle name="쉼표 [0] 5 5 2" xfId="11619"/>
    <cellStyle name="쉼표 [0] 5 5 3" xfId="11620"/>
    <cellStyle name="쉼표 [0] 5 5 3 2" xfId="11621"/>
    <cellStyle name="쉼표 [0] 5 5 3 2 2" xfId="11622"/>
    <cellStyle name="쉼표 [0] 5 5 4" xfId="11623"/>
    <cellStyle name="쉼표 [0] 5 5 4 2" xfId="11624"/>
    <cellStyle name="쉼표 [0] 5 5 5" xfId="18288"/>
    <cellStyle name="쉼표 [0] 5 6" xfId="1364"/>
    <cellStyle name="쉼표 [0] 5 6 2" xfId="18364"/>
    <cellStyle name="쉼표 [0] 5 7" xfId="1365"/>
    <cellStyle name="쉼표 [0] 5 7 2" xfId="11625"/>
    <cellStyle name="쉼표 [0] 5 7 2 2" xfId="11626"/>
    <cellStyle name="쉼표 [0] 5 7 2 2 2" xfId="11627"/>
    <cellStyle name="쉼표 [0] 5 7 3" xfId="11628"/>
    <cellStyle name="쉼표 [0] 5 7 3 2" xfId="11629"/>
    <cellStyle name="쉼표 [0] 5 7 4" xfId="18421"/>
    <cellStyle name="쉼표 [0] 5 8" xfId="1366"/>
    <cellStyle name="쉼표 [0] 5 8 2" xfId="11630"/>
    <cellStyle name="쉼표 [0] 5 8 2 2" xfId="11631"/>
    <cellStyle name="쉼표 [0] 5 8 3" xfId="18477"/>
    <cellStyle name="쉼표 [0] 5 9" xfId="1367"/>
    <cellStyle name="쉼표 [0] 5 9 2" xfId="11632"/>
    <cellStyle name="쉼표 [0] 5 9 2 2" xfId="11633"/>
    <cellStyle name="쉼표 [0] 5 9 3" xfId="18410"/>
    <cellStyle name="쉼표 [0] 6" xfId="1368"/>
    <cellStyle name="쉼표 [0] 6 10" xfId="1369"/>
    <cellStyle name="쉼표 [0] 6 10 2" xfId="11634"/>
    <cellStyle name="쉼표 [0] 6 10 2 2" xfId="11635"/>
    <cellStyle name="쉼표 [0] 6 10 2 2 2" xfId="22358"/>
    <cellStyle name="쉼표 [0] 6 10 2 3" xfId="20424"/>
    <cellStyle name="쉼표 [0] 6 10 3" xfId="11636"/>
    <cellStyle name="쉼표 [0] 6 10 4" xfId="18537"/>
    <cellStyle name="쉼표 [0] 6 11" xfId="1370"/>
    <cellStyle name="쉼표 [0] 6 11 2" xfId="18490"/>
    <cellStyle name="쉼표 [0] 6 12" xfId="1371"/>
    <cellStyle name="쉼표 [0] 6 12 2" xfId="18622"/>
    <cellStyle name="쉼표 [0] 6 13" xfId="1372"/>
    <cellStyle name="쉼표 [0] 6 13 2" xfId="18670"/>
    <cellStyle name="쉼표 [0] 6 14" xfId="1373"/>
    <cellStyle name="쉼표 [0] 6 14 2" xfId="18576"/>
    <cellStyle name="쉼표 [0] 6 15" xfId="1374"/>
    <cellStyle name="쉼표 [0] 6 15 2" xfId="18756"/>
    <cellStyle name="쉼표 [0] 6 16" xfId="1375"/>
    <cellStyle name="쉼표 [0] 6 16 2" xfId="18530"/>
    <cellStyle name="쉼표 [0] 6 17" xfId="1376"/>
    <cellStyle name="쉼표 [0] 6 17 2" xfId="18660"/>
    <cellStyle name="쉼표 [0] 6 18" xfId="1377"/>
    <cellStyle name="쉼표 [0] 6 18 2" xfId="18993"/>
    <cellStyle name="쉼표 [0] 6 19" xfId="1378"/>
    <cellStyle name="쉼표 [0] 6 19 2" xfId="18546"/>
    <cellStyle name="쉼표 [0] 6 2" xfId="1379"/>
    <cellStyle name="쉼표 [0] 6 2 2" xfId="11637"/>
    <cellStyle name="쉼표 [0] 6 2 2 2" xfId="11638"/>
    <cellStyle name="쉼표 [0] 6 2 2 2 2" xfId="22359"/>
    <cellStyle name="쉼표 [0] 6 2 2 3" xfId="20425"/>
    <cellStyle name="쉼표 [0] 6 2 2 3 2" xfId="22360"/>
    <cellStyle name="쉼표 [0] 6 2 2 4" xfId="22361"/>
    <cellStyle name="쉼표 [0] 6 2 3" xfId="11639"/>
    <cellStyle name="쉼표 [0] 6 2 3 2" xfId="11640"/>
    <cellStyle name="쉼표 [0] 6 2 3 2 2" xfId="11641"/>
    <cellStyle name="쉼표 [0] 6 2 4" xfId="11642"/>
    <cellStyle name="쉼표 [0] 6 2 4 2" xfId="11643"/>
    <cellStyle name="쉼표 [0] 6 2 4 2 2" xfId="11644"/>
    <cellStyle name="쉼표 [0] 6 2 5" xfId="11645"/>
    <cellStyle name="쉼표 [0] 6 2 6" xfId="11646"/>
    <cellStyle name="쉼표 [0] 6 2 7" xfId="18298"/>
    <cellStyle name="쉼표 [0] 6 20" xfId="1380"/>
    <cellStyle name="쉼표 [0] 6 20 2" xfId="19015"/>
    <cellStyle name="쉼표 [0] 6 21" xfId="1381"/>
    <cellStyle name="쉼표 [0] 6 21 2" xfId="19086"/>
    <cellStyle name="쉼표 [0] 6 22" xfId="1382"/>
    <cellStyle name="쉼표 [0] 6 22 2" xfId="18896"/>
    <cellStyle name="쉼표 [0] 6 23" xfId="1383"/>
    <cellStyle name="쉼표 [0] 6 23 2" xfId="19172"/>
    <cellStyle name="쉼표 [0] 6 24" xfId="1384"/>
    <cellStyle name="쉼표 [0] 6 24 2" xfId="19308"/>
    <cellStyle name="쉼표 [0] 6 25" xfId="1385"/>
    <cellStyle name="쉼표 [0] 6 25 2" xfId="19351"/>
    <cellStyle name="쉼표 [0] 6 26" xfId="1386"/>
    <cellStyle name="쉼표 [0] 6 26 2" xfId="19379"/>
    <cellStyle name="쉼표 [0] 6 27" xfId="1387"/>
    <cellStyle name="쉼표 [0] 6 27 2" xfId="19398"/>
    <cellStyle name="쉼표 [0] 6 28" xfId="11647"/>
    <cellStyle name="쉼표 [0] 6 28 2" xfId="19824"/>
    <cellStyle name="쉼표 [0] 6 29" xfId="11648"/>
    <cellStyle name="쉼표 [0] 6 29 2" xfId="19760"/>
    <cellStyle name="쉼표 [0] 6 3" xfId="1388"/>
    <cellStyle name="쉼표 [0] 6 3 2" xfId="11649"/>
    <cellStyle name="쉼표 [0] 6 3 2 2" xfId="22362"/>
    <cellStyle name="쉼표 [0] 6 3 3" xfId="11650"/>
    <cellStyle name="쉼표 [0] 6 3 3 2" xfId="11651"/>
    <cellStyle name="쉼표 [0] 6 3 3 2 2" xfId="11652"/>
    <cellStyle name="쉼표 [0] 6 3 4" xfId="11653"/>
    <cellStyle name="쉼표 [0] 6 3 4 2" xfId="11654"/>
    <cellStyle name="쉼표 [0] 6 3 5" xfId="18310"/>
    <cellStyle name="쉼표 [0] 6 30" xfId="11655"/>
    <cellStyle name="쉼표 [0] 6 30 2" xfId="19707"/>
    <cellStyle name="쉼표 [0] 6 31" xfId="11656"/>
    <cellStyle name="쉼표 [0] 6 31 2" xfId="19925"/>
    <cellStyle name="쉼표 [0] 6 32" xfId="11657"/>
    <cellStyle name="쉼표 [0] 6 32 2" xfId="20109"/>
    <cellStyle name="쉼표 [0] 6 33" xfId="11658"/>
    <cellStyle name="쉼표 [0] 6 33 2" xfId="19702"/>
    <cellStyle name="쉼표 [0] 6 34" xfId="11659"/>
    <cellStyle name="쉼표 [0] 6 35" xfId="11660"/>
    <cellStyle name="쉼표 [0] 6 36" xfId="11661"/>
    <cellStyle name="쉼표 [0] 6 37" xfId="11662"/>
    <cellStyle name="쉼표 [0] 6 38" xfId="11663"/>
    <cellStyle name="쉼표 [0] 6 39" xfId="11664"/>
    <cellStyle name="쉼표 [0] 6 4" xfId="1389"/>
    <cellStyle name="쉼표 [0] 6 4 2" xfId="11665"/>
    <cellStyle name="쉼표 [0] 6 4 2 2" xfId="11666"/>
    <cellStyle name="쉼표 [0] 6 4 2 2 2" xfId="11667"/>
    <cellStyle name="쉼표 [0] 6 4 3" xfId="11668"/>
    <cellStyle name="쉼표 [0] 6 4 3 2" xfId="11669"/>
    <cellStyle name="쉼표 [0] 6 4 4" xfId="18319"/>
    <cellStyle name="쉼표 [0] 6 40" xfId="11670"/>
    <cellStyle name="쉼표 [0] 6 40 2" xfId="11671"/>
    <cellStyle name="쉼표 [0] 6 41" xfId="18264"/>
    <cellStyle name="쉼표 [0] 6 5" xfId="1390"/>
    <cellStyle name="쉼표 [0] 6 5 2" xfId="11672"/>
    <cellStyle name="쉼표 [0] 6 5 2 2" xfId="11673"/>
    <cellStyle name="쉼표 [0] 6 5 2 2 2" xfId="11674"/>
    <cellStyle name="쉼표 [0] 6 5 3" xfId="11675"/>
    <cellStyle name="쉼표 [0] 6 5 3 2" xfId="11676"/>
    <cellStyle name="쉼표 [0] 6 5 4" xfId="18275"/>
    <cellStyle name="쉼표 [0] 6 6" xfId="1391"/>
    <cellStyle name="쉼표 [0] 6 6 2" xfId="11677"/>
    <cellStyle name="쉼표 [0] 6 6 2 2" xfId="11678"/>
    <cellStyle name="쉼표 [0] 6 6 3" xfId="11679"/>
    <cellStyle name="쉼표 [0] 6 6 4" xfId="18360"/>
    <cellStyle name="쉼표 [0] 6 7" xfId="1392"/>
    <cellStyle name="쉼표 [0] 6 7 2" xfId="11680"/>
    <cellStyle name="쉼표 [0] 6 7 2 2" xfId="11681"/>
    <cellStyle name="쉼표 [0] 6 7 2 2 2" xfId="11682"/>
    <cellStyle name="쉼표 [0] 6 7 3" xfId="11683"/>
    <cellStyle name="쉼표 [0] 6 7 3 2" xfId="11684"/>
    <cellStyle name="쉼표 [0] 6 7 4" xfId="18328"/>
    <cellStyle name="쉼표 [0] 6 8" xfId="1393"/>
    <cellStyle name="쉼표 [0] 6 8 2" xfId="11685"/>
    <cellStyle name="쉼표 [0] 6 8 2 2" xfId="11686"/>
    <cellStyle name="쉼표 [0] 6 8 3" xfId="18512"/>
    <cellStyle name="쉼표 [0] 6 9" xfId="1394"/>
    <cellStyle name="쉼표 [0] 6 9 2" xfId="11687"/>
    <cellStyle name="쉼표 [0] 6 9 2 2" xfId="11688"/>
    <cellStyle name="쉼표 [0] 6 9 3" xfId="18457"/>
    <cellStyle name="쉼표 [0] 7" xfId="1395"/>
    <cellStyle name="쉼표 [0] 7 10" xfId="1396"/>
    <cellStyle name="쉼표 [0] 7 10 2" xfId="11689"/>
    <cellStyle name="쉼표 [0] 7 10 2 2" xfId="11690"/>
    <cellStyle name="쉼표 [0] 7 10 3" xfId="11691"/>
    <cellStyle name="쉼표 [0] 7 10 4" xfId="18539"/>
    <cellStyle name="쉼표 [0] 7 11" xfId="1397"/>
    <cellStyle name="쉼표 [0] 7 11 2" xfId="18448"/>
    <cellStyle name="쉼표 [0] 7 12" xfId="1398"/>
    <cellStyle name="쉼표 [0] 7 12 2" xfId="18739"/>
    <cellStyle name="쉼표 [0] 7 13" xfId="1399"/>
    <cellStyle name="쉼표 [0] 7 13 2" xfId="18606"/>
    <cellStyle name="쉼표 [0] 7 14" xfId="1400"/>
    <cellStyle name="쉼표 [0] 7 14 2" xfId="18315"/>
    <cellStyle name="쉼표 [0] 7 15" xfId="1401"/>
    <cellStyle name="쉼표 [0] 7 15 2" xfId="18425"/>
    <cellStyle name="쉼표 [0] 7 16" xfId="1402"/>
    <cellStyle name="쉼표 [0] 7 16 2" xfId="18901"/>
    <cellStyle name="쉼표 [0] 7 17" xfId="1403"/>
    <cellStyle name="쉼표 [0] 7 17 2" xfId="18894"/>
    <cellStyle name="쉼표 [0] 7 18" xfId="1404"/>
    <cellStyle name="쉼표 [0] 7 18 2" xfId="18946"/>
    <cellStyle name="쉼표 [0] 7 19" xfId="1405"/>
    <cellStyle name="쉼표 [0] 7 19 2" xfId="18411"/>
    <cellStyle name="쉼표 [0] 7 2" xfId="1406"/>
    <cellStyle name="쉼표 [0] 7 2 10" xfId="18333"/>
    <cellStyle name="쉼표 [0] 7 2 2" xfId="11692"/>
    <cellStyle name="쉼표 [0] 7 2 2 2" xfId="11693"/>
    <cellStyle name="쉼표 [0] 7 2 2 2 2" xfId="11694"/>
    <cellStyle name="쉼표 [0] 7 2 2 2 2 2" xfId="11695"/>
    <cellStyle name="쉼표 [0] 7 2 2 2 2 2 2" xfId="11696"/>
    <cellStyle name="쉼표 [0] 7 2 2 2 3" xfId="11697"/>
    <cellStyle name="쉼표 [0] 7 2 2 2 3 2" xfId="11698"/>
    <cellStyle name="쉼표 [0] 7 2 2 3" xfId="11699"/>
    <cellStyle name="쉼표 [0] 7 2 2 3 2" xfId="11700"/>
    <cellStyle name="쉼표 [0] 7 2 2 3 2 2" xfId="11701"/>
    <cellStyle name="쉼표 [0] 7 2 2 3 2 2 2" xfId="11702"/>
    <cellStyle name="쉼표 [0] 7 2 2 3 3" xfId="11703"/>
    <cellStyle name="쉼표 [0] 7 2 2 3 3 2" xfId="11704"/>
    <cellStyle name="쉼표 [0] 7 2 2 4" xfId="11705"/>
    <cellStyle name="쉼표 [0] 7 2 2 4 2" xfId="11706"/>
    <cellStyle name="쉼표 [0] 7 2 2 4 2 2" xfId="11707"/>
    <cellStyle name="쉼표 [0] 7 2 2 4 2 2 2" xfId="11708"/>
    <cellStyle name="쉼표 [0] 7 2 2 4 3" xfId="11709"/>
    <cellStyle name="쉼표 [0] 7 2 2 4 3 2" xfId="11710"/>
    <cellStyle name="쉼표 [0] 7 2 2 5" xfId="11711"/>
    <cellStyle name="쉼표 [0] 7 2 2 5 2" xfId="11712"/>
    <cellStyle name="쉼표 [0] 7 2 2 5 2 2" xfId="11713"/>
    <cellStyle name="쉼표 [0] 7 2 2 6" xfId="11714"/>
    <cellStyle name="쉼표 [0] 7 2 2 6 2" xfId="11715"/>
    <cellStyle name="쉼표 [0] 7 2 2 7" xfId="20427"/>
    <cellStyle name="쉼표 [0] 7 2 3" xfId="11716"/>
    <cellStyle name="쉼표 [0] 7 2 3 2" xfId="11717"/>
    <cellStyle name="쉼표 [0] 7 2 3 2 2" xfId="11718"/>
    <cellStyle name="쉼표 [0] 7 2 3 2 2 2" xfId="11719"/>
    <cellStyle name="쉼표 [0] 7 2 3 3" xfId="11720"/>
    <cellStyle name="쉼표 [0] 7 2 3 3 2" xfId="11721"/>
    <cellStyle name="쉼표 [0] 7 2 4" xfId="11722"/>
    <cellStyle name="쉼표 [0] 7 2 4 2" xfId="11723"/>
    <cellStyle name="쉼표 [0] 7 2 4 2 2" xfId="11724"/>
    <cellStyle name="쉼표 [0] 7 2 4 2 2 2" xfId="11725"/>
    <cellStyle name="쉼표 [0] 7 2 4 3" xfId="11726"/>
    <cellStyle name="쉼표 [0] 7 2 4 3 2" xfId="11727"/>
    <cellStyle name="쉼표 [0] 7 2 5" xfId="11728"/>
    <cellStyle name="쉼표 [0] 7 2 5 2" xfId="11729"/>
    <cellStyle name="쉼표 [0] 7 2 5 2 2" xfId="11730"/>
    <cellStyle name="쉼표 [0] 7 2 5 2 2 2" xfId="11731"/>
    <cellStyle name="쉼표 [0] 7 2 5 3" xfId="11732"/>
    <cellStyle name="쉼표 [0] 7 2 5 3 2" xfId="11733"/>
    <cellStyle name="쉼표 [0] 7 2 6" xfId="11734"/>
    <cellStyle name="쉼표 [0] 7 2 6 2" xfId="11735"/>
    <cellStyle name="쉼표 [0] 7 2 6 2 2" xfId="11736"/>
    <cellStyle name="쉼표 [0] 7 2 6 2 2 2" xfId="11737"/>
    <cellStyle name="쉼표 [0] 7 2 6 3" xfId="11738"/>
    <cellStyle name="쉼표 [0] 7 2 6 3 2" xfId="11739"/>
    <cellStyle name="쉼표 [0] 7 2 7" xfId="11740"/>
    <cellStyle name="쉼표 [0] 7 2 7 2" xfId="11741"/>
    <cellStyle name="쉼표 [0] 7 2 7 2 2" xfId="11742"/>
    <cellStyle name="쉼표 [0] 7 2 8" xfId="11743"/>
    <cellStyle name="쉼표 [0] 7 2 9" xfId="11744"/>
    <cellStyle name="쉼표 [0] 7 2 9 2" xfId="11745"/>
    <cellStyle name="쉼표 [0] 7 20" xfId="1407"/>
    <cellStyle name="쉼표 [0] 7 20 2" xfId="18721"/>
    <cellStyle name="쉼표 [0] 7 21" xfId="1408"/>
    <cellStyle name="쉼표 [0] 7 21 2" xfId="19171"/>
    <cellStyle name="쉼표 [0] 7 22" xfId="1409"/>
    <cellStyle name="쉼표 [0] 7 22 2" xfId="18928"/>
    <cellStyle name="쉼표 [0] 7 23" xfId="1410"/>
    <cellStyle name="쉼표 [0] 7 23 2" xfId="18746"/>
    <cellStyle name="쉼표 [0] 7 24" xfId="1411"/>
    <cellStyle name="쉼표 [0] 7 24 2" xfId="19240"/>
    <cellStyle name="쉼표 [0] 7 25" xfId="1412"/>
    <cellStyle name="쉼표 [0] 7 25 2" xfId="19070"/>
    <cellStyle name="쉼표 [0] 7 26" xfId="1413"/>
    <cellStyle name="쉼표 [0] 7 26 2" xfId="19452"/>
    <cellStyle name="쉼표 [0] 7 27" xfId="11746"/>
    <cellStyle name="쉼표 [0] 7 27 2" xfId="19752"/>
    <cellStyle name="쉼표 [0] 7 28" xfId="11747"/>
    <cellStyle name="쉼표 [0] 7 28 2" xfId="19756"/>
    <cellStyle name="쉼표 [0] 7 29" xfId="11748"/>
    <cellStyle name="쉼표 [0] 7 29 2" xfId="19916"/>
    <cellStyle name="쉼표 [0] 7 29 3" xfId="19882"/>
    <cellStyle name="쉼표 [0] 7 3" xfId="1414"/>
    <cellStyle name="쉼표 [0] 7 3 2" xfId="11749"/>
    <cellStyle name="쉼표 [0] 7 3 2 2" xfId="11750"/>
    <cellStyle name="쉼표 [0] 7 3 2 2 2" xfId="11751"/>
    <cellStyle name="쉼표 [0] 7 3 2 2 2 2" xfId="11752"/>
    <cellStyle name="쉼표 [0] 7 3 2 3" xfId="11753"/>
    <cellStyle name="쉼표 [0] 7 3 2 3 2" xfId="11754"/>
    <cellStyle name="쉼표 [0] 7 3 3" xfId="11755"/>
    <cellStyle name="쉼표 [0] 7 3 3 2" xfId="11756"/>
    <cellStyle name="쉼표 [0] 7 3 3 2 2" xfId="11757"/>
    <cellStyle name="쉼표 [0] 7 3 3 2 2 2" xfId="11758"/>
    <cellStyle name="쉼표 [0] 7 3 3 3" xfId="11759"/>
    <cellStyle name="쉼표 [0] 7 3 3 3 2" xfId="11760"/>
    <cellStyle name="쉼표 [0] 7 3 4" xfId="11761"/>
    <cellStyle name="쉼표 [0] 7 3 4 2" xfId="11762"/>
    <cellStyle name="쉼표 [0] 7 3 4 2 2" xfId="11763"/>
    <cellStyle name="쉼표 [0] 7 3 4 2 2 2" xfId="11764"/>
    <cellStyle name="쉼표 [0] 7 3 4 3" xfId="11765"/>
    <cellStyle name="쉼표 [0] 7 3 4 3 2" xfId="11766"/>
    <cellStyle name="쉼표 [0] 7 3 5" xfId="11767"/>
    <cellStyle name="쉼표 [0] 7 3 5 2" xfId="11768"/>
    <cellStyle name="쉼표 [0] 7 3 5 2 2" xfId="11769"/>
    <cellStyle name="쉼표 [0] 7 3 5 2 2 2" xfId="11770"/>
    <cellStyle name="쉼표 [0] 7 3 5 3" xfId="11771"/>
    <cellStyle name="쉼표 [0] 7 3 5 3 2" xfId="11772"/>
    <cellStyle name="쉼표 [0] 7 3 6" xfId="11773"/>
    <cellStyle name="쉼표 [0] 7 3 6 2" xfId="11774"/>
    <cellStyle name="쉼표 [0] 7 3 6 2 2" xfId="11775"/>
    <cellStyle name="쉼표 [0] 7 3 7" xfId="11776"/>
    <cellStyle name="쉼표 [0] 7 3 7 2" xfId="11777"/>
    <cellStyle name="쉼표 [0] 7 3 8" xfId="18357"/>
    <cellStyle name="쉼표 [0] 7 30" xfId="11778"/>
    <cellStyle name="쉼표 [0] 7 30 2" xfId="19948"/>
    <cellStyle name="쉼표 [0] 7 31" xfId="11779"/>
    <cellStyle name="쉼표 [0] 7 31 2" xfId="20157"/>
    <cellStyle name="쉼표 [0] 7 32" xfId="11780"/>
    <cellStyle name="쉼표 [0] 7 33" xfId="11781"/>
    <cellStyle name="쉼표 [0] 7 34" xfId="11782"/>
    <cellStyle name="쉼표 [0] 7 35" xfId="11783"/>
    <cellStyle name="쉼표 [0] 7 36" xfId="11784"/>
    <cellStyle name="쉼표 [0] 7 37" xfId="11785"/>
    <cellStyle name="쉼표 [0] 7 38" xfId="11786"/>
    <cellStyle name="쉼표 [0] 7 39" xfId="11787"/>
    <cellStyle name="쉼표 [0] 7 4" xfId="1415"/>
    <cellStyle name="쉼표 [0] 7 4 2" xfId="11788"/>
    <cellStyle name="쉼표 [0] 7 4 2 2" xfId="11789"/>
    <cellStyle name="쉼표 [0] 7 4 2 2 2" xfId="11790"/>
    <cellStyle name="쉼표 [0] 7 4 2 2 2 2" xfId="11791"/>
    <cellStyle name="쉼표 [0] 7 4 2 3" xfId="11792"/>
    <cellStyle name="쉼표 [0] 7 4 2 3 2" xfId="11793"/>
    <cellStyle name="쉼표 [0] 7 4 3" xfId="11794"/>
    <cellStyle name="쉼표 [0] 7 4 3 2" xfId="11795"/>
    <cellStyle name="쉼표 [0] 7 4 3 2 2" xfId="11796"/>
    <cellStyle name="쉼표 [0] 7 4 3 2 2 2" xfId="11797"/>
    <cellStyle name="쉼표 [0] 7 4 3 3" xfId="11798"/>
    <cellStyle name="쉼표 [0] 7 4 3 3 2" xfId="11799"/>
    <cellStyle name="쉼표 [0] 7 4 4" xfId="11800"/>
    <cellStyle name="쉼표 [0] 7 4 4 2" xfId="11801"/>
    <cellStyle name="쉼표 [0] 7 4 4 2 2" xfId="11802"/>
    <cellStyle name="쉼표 [0] 7 4 4 2 2 2" xfId="11803"/>
    <cellStyle name="쉼표 [0] 7 4 4 3" xfId="11804"/>
    <cellStyle name="쉼표 [0] 7 4 4 3 2" xfId="11805"/>
    <cellStyle name="쉼표 [0] 7 4 5" xfId="11806"/>
    <cellStyle name="쉼표 [0] 7 4 5 2" xfId="11807"/>
    <cellStyle name="쉼표 [0] 7 4 5 2 2" xfId="11808"/>
    <cellStyle name="쉼표 [0] 7 4 5 2 2 2" xfId="11809"/>
    <cellStyle name="쉼표 [0] 7 4 5 3" xfId="11810"/>
    <cellStyle name="쉼표 [0] 7 4 5 3 2" xfId="11811"/>
    <cellStyle name="쉼표 [0] 7 4 6" xfId="11812"/>
    <cellStyle name="쉼표 [0] 7 4 6 2" xfId="11813"/>
    <cellStyle name="쉼표 [0] 7 4 6 2 2" xfId="11814"/>
    <cellStyle name="쉼표 [0] 7 4 7" xfId="11815"/>
    <cellStyle name="쉼표 [0] 7 4 7 2" xfId="11816"/>
    <cellStyle name="쉼표 [0] 7 4 8" xfId="18318"/>
    <cellStyle name="쉼표 [0] 7 40" xfId="11817"/>
    <cellStyle name="쉼표 [0] 7 40 2" xfId="11818"/>
    <cellStyle name="쉼표 [0] 7 41" xfId="18283"/>
    <cellStyle name="쉼표 [0] 7 5" xfId="1416"/>
    <cellStyle name="쉼표 [0] 7 5 2" xfId="11819"/>
    <cellStyle name="쉼표 [0] 7 5 2 2" xfId="11820"/>
    <cellStyle name="쉼표 [0] 7 5 3" xfId="11821"/>
    <cellStyle name="쉼표 [0] 7 5 3 2" xfId="11822"/>
    <cellStyle name="쉼표 [0] 7 5 3 2 2" xfId="11823"/>
    <cellStyle name="쉼표 [0] 7 5 4" xfId="11824"/>
    <cellStyle name="쉼표 [0] 7 5 4 2" xfId="11825"/>
    <cellStyle name="쉼표 [0] 7 5 5" xfId="18352"/>
    <cellStyle name="쉼표 [0] 7 6" xfId="1417"/>
    <cellStyle name="쉼표 [0] 7 6 2" xfId="11826"/>
    <cellStyle name="쉼표 [0] 7 6 3" xfId="18442"/>
    <cellStyle name="쉼표 [0] 7 7" xfId="1418"/>
    <cellStyle name="쉼표 [0] 7 7 2" xfId="11827"/>
    <cellStyle name="쉼표 [0] 7 7 2 2" xfId="11828"/>
    <cellStyle name="쉼표 [0] 7 7 2 2 2" xfId="11829"/>
    <cellStyle name="쉼표 [0] 7 7 3" xfId="11830"/>
    <cellStyle name="쉼표 [0] 7 7 3 2" xfId="11831"/>
    <cellStyle name="쉼표 [0] 7 7 4" xfId="18432"/>
    <cellStyle name="쉼표 [0] 7 8" xfId="1419"/>
    <cellStyle name="쉼표 [0] 7 8 2" xfId="11832"/>
    <cellStyle name="쉼표 [0] 7 8 2 2" xfId="11833"/>
    <cellStyle name="쉼표 [0] 7 8 3" xfId="18488"/>
    <cellStyle name="쉼표 [0] 7 9" xfId="1420"/>
    <cellStyle name="쉼표 [0] 7 9 2" xfId="20426"/>
    <cellStyle name="쉼표 [0] 7 9 3" xfId="18536"/>
    <cellStyle name="쉼표 [0] 8" xfId="1421"/>
    <cellStyle name="쉼표 [0] 8 10" xfId="11834"/>
    <cellStyle name="쉼표 [0] 8 11" xfId="11835"/>
    <cellStyle name="쉼표 [0] 8 12" xfId="11836"/>
    <cellStyle name="쉼표 [0] 8 13" xfId="11837"/>
    <cellStyle name="쉼표 [0] 8 14" xfId="11838"/>
    <cellStyle name="쉼표 [0] 8 15" xfId="11839"/>
    <cellStyle name="쉼표 [0] 8 16" xfId="11840"/>
    <cellStyle name="쉼표 [0] 8 17" xfId="11841"/>
    <cellStyle name="쉼표 [0] 8 18" xfId="11842"/>
    <cellStyle name="쉼표 [0] 8 19" xfId="11843"/>
    <cellStyle name="쉼표 [0] 8 2" xfId="11844"/>
    <cellStyle name="쉼표 [0] 8 2 10" xfId="11845"/>
    <cellStyle name="쉼표 [0] 8 2 11" xfId="20429"/>
    <cellStyle name="쉼표 [0] 8 2 2" xfId="11846"/>
    <cellStyle name="쉼표 [0] 8 2 2 2" xfId="11847"/>
    <cellStyle name="쉼표 [0] 8 2 2 2 2" xfId="11848"/>
    <cellStyle name="쉼표 [0] 8 2 2 3" xfId="11849"/>
    <cellStyle name="쉼표 [0] 8 2 2 3 2" xfId="11850"/>
    <cellStyle name="쉼표 [0] 8 2 2 3 2 2" xfId="11851"/>
    <cellStyle name="쉼표 [0] 8 2 2 4" xfId="11852"/>
    <cellStyle name="쉼표 [0] 8 2 2 4 2" xfId="11853"/>
    <cellStyle name="쉼표 [0] 8 2 3" xfId="11854"/>
    <cellStyle name="쉼표 [0] 8 2 3 2" xfId="11855"/>
    <cellStyle name="쉼표 [0] 8 2 3 2 2" xfId="11856"/>
    <cellStyle name="쉼표 [0] 8 2 3 2 2 2" xfId="11857"/>
    <cellStyle name="쉼표 [0] 8 2 3 3" xfId="11858"/>
    <cellStyle name="쉼표 [0] 8 2 3 3 2" xfId="11859"/>
    <cellStyle name="쉼표 [0] 8 2 4" xfId="11860"/>
    <cellStyle name="쉼표 [0] 8 2 4 2" xfId="11861"/>
    <cellStyle name="쉼표 [0] 8 2 4 2 2" xfId="11862"/>
    <cellStyle name="쉼표 [0] 8 2 4 2 2 2" xfId="11863"/>
    <cellStyle name="쉼표 [0] 8 2 4 3" xfId="11864"/>
    <cellStyle name="쉼표 [0] 8 2 4 3 2" xfId="11865"/>
    <cellStyle name="쉼표 [0] 8 2 5" xfId="11866"/>
    <cellStyle name="쉼표 [0] 8 2 5 2" xfId="11867"/>
    <cellStyle name="쉼표 [0] 8 2 6" xfId="11868"/>
    <cellStyle name="쉼표 [0] 8 2 6 2" xfId="11869"/>
    <cellStyle name="쉼표 [0] 8 2 6 2 2" xfId="11870"/>
    <cellStyle name="쉼표 [0] 8 2 6 2 2 2" xfId="11871"/>
    <cellStyle name="쉼표 [0] 8 2 6 3" xfId="11872"/>
    <cellStyle name="쉼표 [0] 8 2 6 3 2" xfId="11873"/>
    <cellStyle name="쉼표 [0] 8 2 7" xfId="11874"/>
    <cellStyle name="쉼표 [0] 8 2 7 2" xfId="11875"/>
    <cellStyle name="쉼표 [0] 8 2 7 2 2" xfId="11876"/>
    <cellStyle name="쉼표 [0] 8 2 8" xfId="11877"/>
    <cellStyle name="쉼표 [0] 8 2 8 2" xfId="11878"/>
    <cellStyle name="쉼표 [0] 8 2 8 2 2" xfId="11879"/>
    <cellStyle name="쉼표 [0] 8 2 9" xfId="11880"/>
    <cellStyle name="쉼표 [0] 8 20" xfId="11881"/>
    <cellStyle name="쉼표 [0] 8 21" xfId="11882"/>
    <cellStyle name="쉼표 [0] 8 22" xfId="11883"/>
    <cellStyle name="쉼표 [0] 8 23" xfId="11884"/>
    <cellStyle name="쉼표 [0] 8 24" xfId="11885"/>
    <cellStyle name="쉼표 [0] 8 25" xfId="11886"/>
    <cellStyle name="쉼표 [0] 8 26" xfId="11887"/>
    <cellStyle name="쉼표 [0] 8 27" xfId="11888"/>
    <cellStyle name="쉼표 [0] 8 28" xfId="11889"/>
    <cellStyle name="쉼표 [0] 8 29" xfId="11890"/>
    <cellStyle name="쉼표 [0] 8 3" xfId="11891"/>
    <cellStyle name="쉼표 [0] 8 3 2" xfId="11892"/>
    <cellStyle name="쉼표 [0] 8 3 3" xfId="11893"/>
    <cellStyle name="쉼표 [0] 8 3 4" xfId="20430"/>
    <cellStyle name="쉼표 [0] 8 30" xfId="11894"/>
    <cellStyle name="쉼표 [0] 8 31" xfId="11895"/>
    <cellStyle name="쉼표 [0] 8 32" xfId="11896"/>
    <cellStyle name="쉼표 [0] 8 33" xfId="11897"/>
    <cellStyle name="쉼표 [0] 8 34" xfId="11898"/>
    <cellStyle name="쉼표 [0] 8 35" xfId="11899"/>
    <cellStyle name="쉼표 [0] 8 36" xfId="11900"/>
    <cellStyle name="쉼표 [0] 8 37" xfId="11901"/>
    <cellStyle name="쉼표 [0] 8 38" xfId="11902"/>
    <cellStyle name="쉼표 [0] 8 39" xfId="11903"/>
    <cellStyle name="쉼표 [0] 8 4" xfId="11904"/>
    <cellStyle name="쉼표 [0] 8 4 2" xfId="11905"/>
    <cellStyle name="쉼표 [0] 8 4 2 2" xfId="11906"/>
    <cellStyle name="쉼표 [0] 8 4 2 2 2" xfId="22363"/>
    <cellStyle name="쉼표 [0] 8 4 3" xfId="11907"/>
    <cellStyle name="쉼표 [0] 8 4 4" xfId="20428"/>
    <cellStyle name="쉼표 [0] 8 40" xfId="11908"/>
    <cellStyle name="쉼표 [0] 8 40 2" xfId="11909"/>
    <cellStyle name="쉼표 [0] 8 41" xfId="18340"/>
    <cellStyle name="쉼표 [0] 8 5" xfId="11910"/>
    <cellStyle name="쉼표 [0] 8 5 2" xfId="11911"/>
    <cellStyle name="쉼표 [0] 8 5 2 2" xfId="11912"/>
    <cellStyle name="쉼표 [0] 8 6" xfId="11913"/>
    <cellStyle name="쉼표 [0] 8 6 2" xfId="11914"/>
    <cellStyle name="쉼표 [0] 8 6 2 2" xfId="11915"/>
    <cellStyle name="쉼표 [0] 8 7" xfId="11916"/>
    <cellStyle name="쉼표 [0] 8 7 2" xfId="11917"/>
    <cellStyle name="쉼표 [0] 8 7 2 2" xfId="11918"/>
    <cellStyle name="쉼표 [0] 8 7 3" xfId="11919"/>
    <cellStyle name="쉼표 [0] 8 8" xfId="11920"/>
    <cellStyle name="쉼표 [0] 8 9" xfId="11921"/>
    <cellStyle name="쉼표 [0] 9" xfId="1422"/>
    <cellStyle name="쉼표 [0] 9 10" xfId="1423"/>
    <cellStyle name="쉼표 [0] 9 10 2" xfId="18366"/>
    <cellStyle name="쉼표 [0] 9 11" xfId="1424"/>
    <cellStyle name="쉼표 [0] 9 11 2" xfId="18612"/>
    <cellStyle name="쉼표 [0] 9 12" xfId="1425"/>
    <cellStyle name="쉼표 [0] 9 12 2" xfId="18695"/>
    <cellStyle name="쉼표 [0] 9 13" xfId="1426"/>
    <cellStyle name="쉼표 [0] 9 13 2" xfId="18836"/>
    <cellStyle name="쉼표 [0] 9 14" xfId="1427"/>
    <cellStyle name="쉼표 [0] 9 14 2" xfId="18722"/>
    <cellStyle name="쉼표 [0] 9 15" xfId="1428"/>
    <cellStyle name="쉼표 [0] 9 15 2" xfId="18680"/>
    <cellStyle name="쉼표 [0] 9 16" xfId="1429"/>
    <cellStyle name="쉼표 [0] 9 16 2" xfId="18803"/>
    <cellStyle name="쉼표 [0] 9 17" xfId="1430"/>
    <cellStyle name="쉼표 [0] 9 17 2" xfId="18462"/>
    <cellStyle name="쉼표 [0] 9 18" xfId="1431"/>
    <cellStyle name="쉼표 [0] 9 18 2" xfId="18814"/>
    <cellStyle name="쉼표 [0] 9 19" xfId="1432"/>
    <cellStyle name="쉼표 [0] 9 19 2" xfId="19115"/>
    <cellStyle name="쉼표 [0] 9 2" xfId="1433"/>
    <cellStyle name="쉼표 [0] 9 2 10" xfId="11922"/>
    <cellStyle name="쉼표 [0] 9 2 11" xfId="18394"/>
    <cellStyle name="쉼표 [0] 9 2 2" xfId="11923"/>
    <cellStyle name="쉼표 [0] 9 2 2 2" xfId="11924"/>
    <cellStyle name="쉼표 [0] 9 2 2 2 2" xfId="11925"/>
    <cellStyle name="쉼표 [0] 9 2 2 3" xfId="11926"/>
    <cellStyle name="쉼표 [0] 9 2 2 3 2" xfId="11927"/>
    <cellStyle name="쉼표 [0] 9 2 2 3 2 2" xfId="11928"/>
    <cellStyle name="쉼표 [0] 9 2 2 4" xfId="11929"/>
    <cellStyle name="쉼표 [0] 9 2 2 4 2" xfId="11930"/>
    <cellStyle name="쉼표 [0] 9 2 2 5" xfId="20432"/>
    <cellStyle name="쉼표 [0] 9 2 3" xfId="11931"/>
    <cellStyle name="쉼표 [0] 9 2 3 2" xfId="11932"/>
    <cellStyle name="쉼표 [0] 9 2 3 2 2" xfId="11933"/>
    <cellStyle name="쉼표 [0] 9 2 3 2 2 2" xfId="11934"/>
    <cellStyle name="쉼표 [0] 9 2 3 3" xfId="11935"/>
    <cellStyle name="쉼표 [0] 9 2 3 3 2" xfId="11936"/>
    <cellStyle name="쉼표 [0] 9 2 4" xfId="11937"/>
    <cellStyle name="쉼표 [0] 9 2 4 2" xfId="11938"/>
    <cellStyle name="쉼표 [0] 9 2 4 2 2" xfId="11939"/>
    <cellStyle name="쉼표 [0] 9 2 4 2 2 2" xfId="11940"/>
    <cellStyle name="쉼표 [0] 9 2 4 3" xfId="11941"/>
    <cellStyle name="쉼표 [0] 9 2 4 3 2" xfId="11942"/>
    <cellStyle name="쉼표 [0] 9 2 5" xfId="11943"/>
    <cellStyle name="쉼표 [0] 9 2 5 2" xfId="11944"/>
    <cellStyle name="쉼표 [0] 9 2 6" xfId="11945"/>
    <cellStyle name="쉼표 [0] 9 2 6 2" xfId="11946"/>
    <cellStyle name="쉼표 [0] 9 2 6 2 2" xfId="11947"/>
    <cellStyle name="쉼표 [0] 9 2 6 2 2 2" xfId="11948"/>
    <cellStyle name="쉼표 [0] 9 2 6 3" xfId="11949"/>
    <cellStyle name="쉼표 [0] 9 2 6 3 2" xfId="11950"/>
    <cellStyle name="쉼표 [0] 9 2 7" xfId="11951"/>
    <cellStyle name="쉼표 [0] 9 2 7 2" xfId="11952"/>
    <cellStyle name="쉼표 [0] 9 2 7 2 2" xfId="11953"/>
    <cellStyle name="쉼표 [0] 9 2 8" xfId="11954"/>
    <cellStyle name="쉼표 [0] 9 2 8 2" xfId="11955"/>
    <cellStyle name="쉼표 [0] 9 2 8 2 2" xfId="11956"/>
    <cellStyle name="쉼표 [0] 9 2 9" xfId="11957"/>
    <cellStyle name="쉼표 [0] 9 20" xfId="1434"/>
    <cellStyle name="쉼표 [0] 9 20 2" xfId="19169"/>
    <cellStyle name="쉼표 [0] 9 21" xfId="1435"/>
    <cellStyle name="쉼표 [0] 9 21 2" xfId="19033"/>
    <cellStyle name="쉼표 [0] 9 22" xfId="1436"/>
    <cellStyle name="쉼표 [0] 9 22 2" xfId="19151"/>
    <cellStyle name="쉼표 [0] 9 23" xfId="1437"/>
    <cellStyle name="쉼표 [0] 9 23 2" xfId="19356"/>
    <cellStyle name="쉼표 [0] 9 24" xfId="1438"/>
    <cellStyle name="쉼표 [0] 9 24 2" xfId="19387"/>
    <cellStyle name="쉼표 [0] 9 25" xfId="1439"/>
    <cellStyle name="쉼표 [0] 9 25 2" xfId="19436"/>
    <cellStyle name="쉼표 [0] 9 26" xfId="19819"/>
    <cellStyle name="쉼표 [0] 9 27" xfId="19836"/>
    <cellStyle name="쉼표 [0] 9 28" xfId="20065"/>
    <cellStyle name="쉼표 [0] 9 29" xfId="19913"/>
    <cellStyle name="쉼표 [0] 9 3" xfId="1440"/>
    <cellStyle name="쉼표 [0] 9 3 2" xfId="11958"/>
    <cellStyle name="쉼표 [0] 9 3 2 2" xfId="11959"/>
    <cellStyle name="쉼표 [0] 9 3 3" xfId="11960"/>
    <cellStyle name="쉼표 [0] 9 3 4" xfId="18409"/>
    <cellStyle name="쉼표 [0] 9 30" xfId="20009"/>
    <cellStyle name="쉼표 [0] 9 31" xfId="18312"/>
    <cellStyle name="쉼표 [0] 9 4" xfId="1441"/>
    <cellStyle name="쉼표 [0] 9 4 2" xfId="11961"/>
    <cellStyle name="쉼표 [0] 9 4 3" xfId="18356"/>
    <cellStyle name="쉼표 [0] 9 5" xfId="1442"/>
    <cellStyle name="쉼표 [0] 9 5 2" xfId="11962"/>
    <cellStyle name="쉼표 [0] 9 5 2 2" xfId="11963"/>
    <cellStyle name="쉼표 [0] 9 5 3" xfId="18387"/>
    <cellStyle name="쉼표 [0] 9 6" xfId="1443"/>
    <cellStyle name="쉼표 [0] 9 6 2" xfId="11964"/>
    <cellStyle name="쉼표 [0] 9 6 2 2" xfId="11965"/>
    <cellStyle name="쉼표 [0] 9 6 3" xfId="18519"/>
    <cellStyle name="쉼표 [0] 9 7" xfId="1444"/>
    <cellStyle name="쉼표 [0] 9 7 2" xfId="18463"/>
    <cellStyle name="쉼표 [0] 9 8" xfId="1445"/>
    <cellStyle name="쉼표 [0] 9 8 2" xfId="20431"/>
    <cellStyle name="쉼표 [0] 9 8 3" xfId="18472"/>
    <cellStyle name="쉼표 [0] 9 9" xfId="1446"/>
    <cellStyle name="쉼표 [0] 9 9 2" xfId="18526"/>
    <cellStyle name="쉼표 2" xfId="23067"/>
    <cellStyle name="쉼표 3" xfId="23077"/>
    <cellStyle name="스타일 1" xfId="11966"/>
    <cellStyle name="스타일 1 2" xfId="20501"/>
    <cellStyle name="스타일 10" xfId="20500"/>
    <cellStyle name="스타일 11" xfId="20499"/>
    <cellStyle name="스타일 12" xfId="20498"/>
    <cellStyle name="스타일 13" xfId="20497"/>
    <cellStyle name="스타일 2" xfId="19658"/>
    <cellStyle name="스타일 3" xfId="20496"/>
    <cellStyle name="스타일 4" xfId="20495"/>
    <cellStyle name="스타일 5" xfId="20494"/>
    <cellStyle name="스타일 6" xfId="20493"/>
    <cellStyle name="스타일 7" xfId="20492"/>
    <cellStyle name="스타일 8" xfId="20491"/>
    <cellStyle name="스타일 9" xfId="20488"/>
    <cellStyle name="연결된 셀" xfId="12" builtinId="24" customBuiltin="1"/>
    <cellStyle name="연결된 셀 10" xfId="11967"/>
    <cellStyle name="연결된 셀 10 2" xfId="11968"/>
    <cellStyle name="연결된 셀 10 3" xfId="11969"/>
    <cellStyle name="연결된 셀 10 3 2" xfId="11970"/>
    <cellStyle name="연결된 셀 10 4" xfId="11971"/>
    <cellStyle name="연결된 셀 11" xfId="11972"/>
    <cellStyle name="연결된 셀 11 2" xfId="11973"/>
    <cellStyle name="연결된 셀 11 2 2" xfId="11974"/>
    <cellStyle name="연결된 셀 11 2 2 2" xfId="11975"/>
    <cellStyle name="연결된 셀 11 2 3" xfId="11976"/>
    <cellStyle name="연결된 셀 11 3" xfId="11977"/>
    <cellStyle name="연결된 셀 11 3 2" xfId="11978"/>
    <cellStyle name="연결된 셀 11 4" xfId="11979"/>
    <cellStyle name="연결된 셀 11 5" xfId="11980"/>
    <cellStyle name="연결된 셀 12" xfId="11981"/>
    <cellStyle name="연결된 셀 12 2" xfId="11982"/>
    <cellStyle name="연결된 셀 12 2 2" xfId="11983"/>
    <cellStyle name="연결된 셀 12 2 2 2" xfId="11984"/>
    <cellStyle name="연결된 셀 12 2 3" xfId="11985"/>
    <cellStyle name="연결된 셀 12 3" xfId="11986"/>
    <cellStyle name="연결된 셀 12 3 2" xfId="11987"/>
    <cellStyle name="연결된 셀 12 4" xfId="11988"/>
    <cellStyle name="연결된 셀 12 5" xfId="11989"/>
    <cellStyle name="연결된 셀 13" xfId="11990"/>
    <cellStyle name="연결된 셀 13 2" xfId="11991"/>
    <cellStyle name="연결된 셀 13 2 2" xfId="11992"/>
    <cellStyle name="연결된 셀 13 2 2 2" xfId="11993"/>
    <cellStyle name="연결된 셀 13 2 2 2 2" xfId="22364"/>
    <cellStyle name="연결된 셀 13 2 3" xfId="11994"/>
    <cellStyle name="연결된 셀 13 3" xfId="11995"/>
    <cellStyle name="연결된 셀 13 3 2" xfId="11996"/>
    <cellStyle name="연결된 셀 13 3 2 2" xfId="11997"/>
    <cellStyle name="연결된 셀 13 3 3" xfId="11998"/>
    <cellStyle name="연결된 셀 13 4" xfId="11999"/>
    <cellStyle name="연결된 셀 13 4 2" xfId="12000"/>
    <cellStyle name="연결된 셀 13 5" xfId="12001"/>
    <cellStyle name="연결된 셀 14" xfId="12002"/>
    <cellStyle name="연결된 셀 14 2" xfId="12003"/>
    <cellStyle name="연결된 셀 14 3" xfId="12004"/>
    <cellStyle name="연결된 셀 14 4" xfId="12005"/>
    <cellStyle name="연결된 셀 14 5" xfId="12006"/>
    <cellStyle name="연결된 셀 15" xfId="12007"/>
    <cellStyle name="연결된 셀 15 2" xfId="12008"/>
    <cellStyle name="연결된 셀 15 3" xfId="12009"/>
    <cellStyle name="연결된 셀 15 4" xfId="12010"/>
    <cellStyle name="연결된 셀 15 5" xfId="12011"/>
    <cellStyle name="연결된 셀 16" xfId="12012"/>
    <cellStyle name="연결된 셀 16 2" xfId="12013"/>
    <cellStyle name="연결된 셀 16 3" xfId="12014"/>
    <cellStyle name="연결된 셀 16 4" xfId="12015"/>
    <cellStyle name="연결된 셀 16 5" xfId="12016"/>
    <cellStyle name="연결된 셀 17" xfId="12017"/>
    <cellStyle name="연결된 셀 17 2" xfId="12018"/>
    <cellStyle name="연결된 셀 17 2 2" xfId="22365"/>
    <cellStyle name="연결된 셀 17 3" xfId="12019"/>
    <cellStyle name="연결된 셀 17 4" xfId="12020"/>
    <cellStyle name="연결된 셀 17 5" xfId="12021"/>
    <cellStyle name="연결된 셀 17 6" xfId="20654"/>
    <cellStyle name="연결된 셀 18" xfId="12022"/>
    <cellStyle name="연결된 셀 18 2" xfId="12023"/>
    <cellStyle name="연결된 셀 18 3" xfId="12024"/>
    <cellStyle name="연결된 셀 18 4" xfId="12025"/>
    <cellStyle name="연결된 셀 18 5" xfId="12026"/>
    <cellStyle name="연결된 셀 19" xfId="12027"/>
    <cellStyle name="연결된 셀 19 2" xfId="12028"/>
    <cellStyle name="연결된 셀 19 3" xfId="12029"/>
    <cellStyle name="연결된 셀 19 4" xfId="12030"/>
    <cellStyle name="연결된 셀 19 5" xfId="12031"/>
    <cellStyle name="연결된 셀 2" xfId="12032"/>
    <cellStyle name="연결된 셀 2 10" xfId="12033"/>
    <cellStyle name="연결된 셀 2 11" xfId="12034"/>
    <cellStyle name="연결된 셀 2 2" xfId="12035"/>
    <cellStyle name="연결된 셀 2 2 2" xfId="12036"/>
    <cellStyle name="연결된 셀 2 2 2 2" xfId="12037"/>
    <cellStyle name="연결된 셀 2 2 2 3" xfId="12038"/>
    <cellStyle name="연결된 셀 2 2 3" xfId="12039"/>
    <cellStyle name="연결된 셀 2 2 4" xfId="12040"/>
    <cellStyle name="연결된 셀 2 2 5" xfId="20433"/>
    <cellStyle name="연결된 셀 2 3" xfId="12041"/>
    <cellStyle name="연결된 셀 2 3 2" xfId="12042"/>
    <cellStyle name="연결된 셀 2 3 2 2" xfId="12043"/>
    <cellStyle name="연결된 셀 2 3 2 2 2" xfId="12044"/>
    <cellStyle name="연결된 셀 2 3 2 2 2 2" xfId="22366"/>
    <cellStyle name="연결된 셀 2 3 2 3" xfId="12045"/>
    <cellStyle name="연결된 셀 2 3 3" xfId="12046"/>
    <cellStyle name="연결된 셀 2 3 3 2" xfId="12047"/>
    <cellStyle name="연결된 셀 2 3 4" xfId="12048"/>
    <cellStyle name="연결된 셀 2 3 5" xfId="20434"/>
    <cellStyle name="연결된 셀 2 4" xfId="12049"/>
    <cellStyle name="연결된 셀 2 4 2" xfId="20435"/>
    <cellStyle name="연결된 셀 2 5" xfId="12050"/>
    <cellStyle name="연결된 셀 2 6" xfId="12051"/>
    <cellStyle name="연결된 셀 2 6 2" xfId="20436"/>
    <cellStyle name="연결된 셀 2 7" xfId="12052"/>
    <cellStyle name="연결된 셀 2 7 2" xfId="20437"/>
    <cellStyle name="연결된 셀 2 8" xfId="12053"/>
    <cellStyle name="연결된 셀 2 9" xfId="12054"/>
    <cellStyle name="연결된 셀 20" xfId="12055"/>
    <cellStyle name="연결된 셀 20 2" xfId="12056"/>
    <cellStyle name="연결된 셀 20 3" xfId="12057"/>
    <cellStyle name="연결된 셀 20 4" xfId="12058"/>
    <cellStyle name="연결된 셀 20 5" xfId="12059"/>
    <cellStyle name="연결된 셀 21" xfId="12060"/>
    <cellStyle name="연결된 셀 21 2" xfId="12061"/>
    <cellStyle name="연결된 셀 21 3" xfId="12062"/>
    <cellStyle name="연결된 셀 21 4" xfId="12063"/>
    <cellStyle name="연결된 셀 21 5" xfId="12064"/>
    <cellStyle name="연결된 셀 22" xfId="12065"/>
    <cellStyle name="연결된 셀 22 2" xfId="12066"/>
    <cellStyle name="연결된 셀 22 3" xfId="12067"/>
    <cellStyle name="연결된 셀 22 4" xfId="12068"/>
    <cellStyle name="연결된 셀 22 5" xfId="12069"/>
    <cellStyle name="연결된 셀 23" xfId="12070"/>
    <cellStyle name="연결된 셀 23 2" xfId="12071"/>
    <cellStyle name="연결된 셀 24" xfId="12072"/>
    <cellStyle name="연결된 셀 24 2" xfId="12073"/>
    <cellStyle name="연결된 셀 25" xfId="12074"/>
    <cellStyle name="연결된 셀 26" xfId="12075"/>
    <cellStyle name="연결된 셀 27" xfId="18208"/>
    <cellStyle name="연결된 셀 3" xfId="12076"/>
    <cellStyle name="연결된 셀 3 2" xfId="12077"/>
    <cellStyle name="연결된 셀 3 2 2" xfId="12078"/>
    <cellStyle name="연결된 셀 3 2 2 2" xfId="12079"/>
    <cellStyle name="연결된 셀 3 2 2 3" xfId="12080"/>
    <cellStyle name="연결된 셀 3 2 3" xfId="12081"/>
    <cellStyle name="연결된 셀 3 2 4" xfId="12082"/>
    <cellStyle name="연결된 셀 3 3" xfId="12083"/>
    <cellStyle name="연결된 셀 3 3 2" xfId="20438"/>
    <cellStyle name="연결된 셀 3 4" xfId="12084"/>
    <cellStyle name="연결된 셀 3 4 2" xfId="12085"/>
    <cellStyle name="연결된 셀 3 4 3" xfId="12086"/>
    <cellStyle name="연결된 셀 3 4 4" xfId="20439"/>
    <cellStyle name="연결된 셀 3 5" xfId="12087"/>
    <cellStyle name="연결된 셀 4" xfId="12088"/>
    <cellStyle name="연결된 셀 4 2" xfId="12089"/>
    <cellStyle name="연결된 셀 4 3" xfId="12090"/>
    <cellStyle name="연결된 셀 5" xfId="12091"/>
    <cellStyle name="연결된 셀 5 2" xfId="12092"/>
    <cellStyle name="연결된 셀 5 2 2" xfId="12093"/>
    <cellStyle name="연결된 셀 5 2 2 2" xfId="12094"/>
    <cellStyle name="연결된 셀 5 2 3" xfId="12095"/>
    <cellStyle name="연결된 셀 6" xfId="12096"/>
    <cellStyle name="연결된 셀 6 2" xfId="12097"/>
    <cellStyle name="연결된 셀 6 2 2" xfId="12098"/>
    <cellStyle name="연결된 셀 6 2 2 2" xfId="12099"/>
    <cellStyle name="연결된 셀 6 2 3" xfId="12100"/>
    <cellStyle name="연결된 셀 7" xfId="12101"/>
    <cellStyle name="연결된 셀 7 2" xfId="12102"/>
    <cellStyle name="연결된 셀 7 2 2" xfId="12103"/>
    <cellStyle name="연결된 셀 7 2 2 2" xfId="12104"/>
    <cellStyle name="연결된 셀 7 2 3" xfId="12105"/>
    <cellStyle name="연결된 셀 8" xfId="12106"/>
    <cellStyle name="연결된 셀 8 2" xfId="12107"/>
    <cellStyle name="연결된 셀 8 2 2" xfId="12108"/>
    <cellStyle name="연결된 셀 8 2 2 2" xfId="12109"/>
    <cellStyle name="연결된 셀 8 2 3" xfId="12110"/>
    <cellStyle name="연결된 셀 9" xfId="12111"/>
    <cellStyle name="연결된 셀 9 2" xfId="12112"/>
    <cellStyle name="연결된 셀 9 2 2" xfId="12113"/>
    <cellStyle name="연결된 셀 9 2 2 2" xfId="12114"/>
    <cellStyle name="연결된 셀 9 2 2 2 2" xfId="22367"/>
    <cellStyle name="연결된 셀 9 2 3" xfId="12115"/>
    <cellStyle name="연결된 셀 9 2 4" xfId="12116"/>
    <cellStyle name="연결된 셀 9 3" xfId="12117"/>
    <cellStyle name="연결된 셀 9 4" xfId="12118"/>
    <cellStyle name="열어 본 하이퍼링크" xfId="20627" builtinId="9" customBuiltin="1"/>
    <cellStyle name="요약" xfId="17" builtinId="25" customBuiltin="1"/>
    <cellStyle name="요약 10" xfId="12119"/>
    <cellStyle name="요약 10 2" xfId="12120"/>
    <cellStyle name="요약 10 3" xfId="12121"/>
    <cellStyle name="요약 10 3 2" xfId="12122"/>
    <cellStyle name="요약 10 3 3" xfId="20838"/>
    <cellStyle name="요약 10 3 3 2" xfId="22368"/>
    <cellStyle name="요약 10 3 3 3" xfId="22369"/>
    <cellStyle name="요약 10 3 4" xfId="22370"/>
    <cellStyle name="요약 10 3 5" xfId="22371"/>
    <cellStyle name="요약 10 4" xfId="12123"/>
    <cellStyle name="요약 11" xfId="12124"/>
    <cellStyle name="요약 11 2" xfId="12125"/>
    <cellStyle name="요약 11 2 2" xfId="12126"/>
    <cellStyle name="요약 11 2 2 2" xfId="12127"/>
    <cellStyle name="요약 11 2 2 3" xfId="20839"/>
    <cellStyle name="요약 11 2 2 3 2" xfId="22372"/>
    <cellStyle name="요약 11 2 2 3 3" xfId="22373"/>
    <cellStyle name="요약 11 2 2 4" xfId="22374"/>
    <cellStyle name="요약 11 2 2 5" xfId="22375"/>
    <cellStyle name="요약 11 2 3" xfId="12128"/>
    <cellStyle name="요약 11 3" xfId="12129"/>
    <cellStyle name="요약 11 3 2" xfId="12130"/>
    <cellStyle name="요약 11 3 3" xfId="20840"/>
    <cellStyle name="요약 11 3 3 2" xfId="22376"/>
    <cellStyle name="요약 11 3 3 3" xfId="22377"/>
    <cellStyle name="요약 11 3 4" xfId="22378"/>
    <cellStyle name="요약 11 3 5" xfId="22379"/>
    <cellStyle name="요약 11 4" xfId="12131"/>
    <cellStyle name="요약 11 5" xfId="12132"/>
    <cellStyle name="요약 12" xfId="12133"/>
    <cellStyle name="요약 12 2" xfId="12134"/>
    <cellStyle name="요약 12 2 2" xfId="12135"/>
    <cellStyle name="요약 12 2 2 2" xfId="12136"/>
    <cellStyle name="요약 12 2 2 3" xfId="20841"/>
    <cellStyle name="요약 12 2 2 3 2" xfId="22380"/>
    <cellStyle name="요약 12 2 2 3 3" xfId="22381"/>
    <cellStyle name="요약 12 2 2 4" xfId="22382"/>
    <cellStyle name="요약 12 2 2 5" xfId="22383"/>
    <cellStyle name="요약 12 2 3" xfId="12137"/>
    <cellStyle name="요약 12 3" xfId="12138"/>
    <cellStyle name="요약 12 3 2" xfId="12139"/>
    <cellStyle name="요약 12 3 3" xfId="20842"/>
    <cellStyle name="요약 12 3 3 2" xfId="22384"/>
    <cellStyle name="요약 12 3 3 3" xfId="22385"/>
    <cellStyle name="요약 12 3 4" xfId="22386"/>
    <cellStyle name="요약 12 3 5" xfId="22387"/>
    <cellStyle name="요약 12 4" xfId="12140"/>
    <cellStyle name="요약 12 5" xfId="12141"/>
    <cellStyle name="요약 13" xfId="12142"/>
    <cellStyle name="요약 13 2" xfId="12143"/>
    <cellStyle name="요약 13 2 2" xfId="12144"/>
    <cellStyle name="요약 13 2 2 2" xfId="12145"/>
    <cellStyle name="요약 13 2 2 2 2" xfId="22388"/>
    <cellStyle name="요약 13 2 2 3" xfId="20844"/>
    <cellStyle name="요약 13 2 2 3 2" xfId="22389"/>
    <cellStyle name="요약 13 2 2 3 3" xfId="22390"/>
    <cellStyle name="요약 13 2 2 4" xfId="22391"/>
    <cellStyle name="요약 13 2 2 5" xfId="22392"/>
    <cellStyle name="요약 13 2 3" xfId="12146"/>
    <cellStyle name="요약 13 3" xfId="12147"/>
    <cellStyle name="요약 13 3 2" xfId="12148"/>
    <cellStyle name="요약 13 3 2 2" xfId="12149"/>
    <cellStyle name="요약 13 3 2 3" xfId="20845"/>
    <cellStyle name="요약 13 3 2 3 2" xfId="22393"/>
    <cellStyle name="요약 13 3 2 3 3" xfId="22394"/>
    <cellStyle name="요약 13 3 2 4" xfId="22395"/>
    <cellStyle name="요약 13 3 2 5" xfId="22396"/>
    <cellStyle name="요약 13 3 3" xfId="12150"/>
    <cellStyle name="요약 13 4" xfId="12151"/>
    <cellStyle name="요약 13 4 2" xfId="12152"/>
    <cellStyle name="요약 13 4 2 2" xfId="20847"/>
    <cellStyle name="요약 13 4 2 2 2" xfId="22397"/>
    <cellStyle name="요약 13 4 2 2 3" xfId="22398"/>
    <cellStyle name="요약 13 4 2 3" xfId="22399"/>
    <cellStyle name="요약 13 4 2 4" xfId="22400"/>
    <cellStyle name="요약 13 4 3" xfId="20846"/>
    <cellStyle name="요약 13 4 3 2" xfId="22401"/>
    <cellStyle name="요약 13 4 3 3" xfId="22402"/>
    <cellStyle name="요약 13 4 4" xfId="22403"/>
    <cellStyle name="요약 13 4 5" xfId="22404"/>
    <cellStyle name="요약 13 5" xfId="12153"/>
    <cellStyle name="요약 13 5 2" xfId="20848"/>
    <cellStyle name="요약 13 5 2 2" xfId="22405"/>
    <cellStyle name="요약 13 5 2 3" xfId="22406"/>
    <cellStyle name="요약 13 5 3" xfId="22407"/>
    <cellStyle name="요약 13 5 4" xfId="22408"/>
    <cellStyle name="요약 13 6" xfId="20843"/>
    <cellStyle name="요약 13 6 2" xfId="22409"/>
    <cellStyle name="요약 13 6 3" xfId="22410"/>
    <cellStyle name="요약 13 7" xfId="22411"/>
    <cellStyle name="요약 13 8" xfId="22412"/>
    <cellStyle name="요약 14" xfId="12154"/>
    <cellStyle name="요약 14 2" xfId="12155"/>
    <cellStyle name="요약 14 2 2" xfId="20849"/>
    <cellStyle name="요약 14 2 2 2" xfId="22413"/>
    <cellStyle name="요약 14 2 2 3" xfId="22414"/>
    <cellStyle name="요약 14 2 3" xfId="22415"/>
    <cellStyle name="요약 14 2 4" xfId="22416"/>
    <cellStyle name="요약 14 3" xfId="12156"/>
    <cellStyle name="요약 14 4" xfId="12157"/>
    <cellStyle name="요약 14 5" xfId="12158"/>
    <cellStyle name="요약 15" xfId="12159"/>
    <cellStyle name="요약 15 2" xfId="12160"/>
    <cellStyle name="요약 15 2 2" xfId="20850"/>
    <cellStyle name="요약 15 2 2 2" xfId="22417"/>
    <cellStyle name="요약 15 2 2 3" xfId="22418"/>
    <cellStyle name="요약 15 2 3" xfId="22419"/>
    <cellStyle name="요약 15 2 4" xfId="22420"/>
    <cellStyle name="요약 15 3" xfId="12161"/>
    <cellStyle name="요약 15 4" xfId="12162"/>
    <cellStyle name="요약 15 5" xfId="12163"/>
    <cellStyle name="요약 16" xfId="12164"/>
    <cellStyle name="요약 16 2" xfId="12165"/>
    <cellStyle name="요약 16 2 2" xfId="20851"/>
    <cellStyle name="요약 16 2 2 2" xfId="22421"/>
    <cellStyle name="요약 16 2 2 3" xfId="22422"/>
    <cellStyle name="요약 16 2 3" xfId="22423"/>
    <cellStyle name="요약 16 2 4" xfId="22424"/>
    <cellStyle name="요약 16 3" xfId="12166"/>
    <cellStyle name="요약 16 4" xfId="12167"/>
    <cellStyle name="요약 16 5" xfId="12168"/>
    <cellStyle name="요약 17" xfId="12169"/>
    <cellStyle name="요약 17 2" xfId="12170"/>
    <cellStyle name="요약 17 2 2" xfId="20852"/>
    <cellStyle name="요약 17 2 2 2" xfId="22425"/>
    <cellStyle name="요약 17 2 2 3" xfId="22426"/>
    <cellStyle name="요약 17 2 3" xfId="22427"/>
    <cellStyle name="요약 17 2 4" xfId="22428"/>
    <cellStyle name="요약 17 3" xfId="12171"/>
    <cellStyle name="요약 17 4" xfId="12172"/>
    <cellStyle name="요약 17 5" xfId="12173"/>
    <cellStyle name="요약 17 6" xfId="20658"/>
    <cellStyle name="요약 18" xfId="12174"/>
    <cellStyle name="요약 18 2" xfId="12175"/>
    <cellStyle name="요약 18 2 2" xfId="20853"/>
    <cellStyle name="요약 18 2 2 2" xfId="22429"/>
    <cellStyle name="요약 18 2 2 3" xfId="22430"/>
    <cellStyle name="요약 18 2 3" xfId="22431"/>
    <cellStyle name="요약 18 2 4" xfId="22432"/>
    <cellStyle name="요약 18 3" xfId="12176"/>
    <cellStyle name="요약 18 4" xfId="12177"/>
    <cellStyle name="요약 18 5" xfId="12178"/>
    <cellStyle name="요약 19" xfId="12179"/>
    <cellStyle name="요약 19 2" xfId="12180"/>
    <cellStyle name="요약 19 2 2" xfId="20854"/>
    <cellStyle name="요약 19 2 2 2" xfId="22433"/>
    <cellStyle name="요약 19 2 2 3" xfId="22434"/>
    <cellStyle name="요약 19 2 3" xfId="22435"/>
    <cellStyle name="요약 19 2 4" xfId="22436"/>
    <cellStyle name="요약 19 3" xfId="12181"/>
    <cellStyle name="요약 19 4" xfId="12182"/>
    <cellStyle name="요약 19 5" xfId="12183"/>
    <cellStyle name="요약 2" xfId="12184"/>
    <cellStyle name="요약 2 10" xfId="12185"/>
    <cellStyle name="요약 2 11" xfId="12186"/>
    <cellStyle name="요약 2 11 2" xfId="20855"/>
    <cellStyle name="요약 2 11 2 2" xfId="22437"/>
    <cellStyle name="요약 2 11 2 3" xfId="22438"/>
    <cellStyle name="요약 2 11 3" xfId="22439"/>
    <cellStyle name="요약 2 11 4" xfId="22440"/>
    <cellStyle name="요약 2 2" xfId="12187"/>
    <cellStyle name="요약 2 2 2" xfId="12188"/>
    <cellStyle name="요약 2 2 2 2" xfId="12189"/>
    <cellStyle name="요약 2 2 2 3" xfId="12190"/>
    <cellStyle name="요약 2 2 2 3 2" xfId="20856"/>
    <cellStyle name="요약 2 2 2 3 2 2" xfId="22441"/>
    <cellStyle name="요약 2 2 2 3 2 3" xfId="22442"/>
    <cellStyle name="요약 2 2 2 3 3" xfId="22443"/>
    <cellStyle name="요약 2 2 2 3 4" xfId="22444"/>
    <cellStyle name="요약 2 2 3" xfId="12191"/>
    <cellStyle name="요약 2 2 3 2" xfId="20857"/>
    <cellStyle name="요약 2 2 3 2 2" xfId="22445"/>
    <cellStyle name="요약 2 2 3 2 3" xfId="22446"/>
    <cellStyle name="요약 2 2 3 3" xfId="22447"/>
    <cellStyle name="요약 2 2 3 4" xfId="22448"/>
    <cellStyle name="요약 2 2 4" xfId="12192"/>
    <cellStyle name="요약 2 2 4 2" xfId="20858"/>
    <cellStyle name="요약 2 2 4 2 2" xfId="22449"/>
    <cellStyle name="요약 2 2 4 2 3" xfId="22450"/>
    <cellStyle name="요약 2 2 4 3" xfId="22451"/>
    <cellStyle name="요약 2 2 4 4" xfId="22452"/>
    <cellStyle name="요약 2 2 5" xfId="20440"/>
    <cellStyle name="요약 2 2 5 2" xfId="20992"/>
    <cellStyle name="요약 2 2 5 2 2" xfId="22453"/>
    <cellStyle name="요약 2 2 5 2 3" xfId="22454"/>
    <cellStyle name="요약 2 2 5 3" xfId="22455"/>
    <cellStyle name="요약 2 2 5 4" xfId="22456"/>
    <cellStyle name="요약 2 3" xfId="12193"/>
    <cellStyle name="요약 2 3 2" xfId="12194"/>
    <cellStyle name="요약 2 3 2 2" xfId="12195"/>
    <cellStyle name="요약 2 3 2 2 2" xfId="20860"/>
    <cellStyle name="요약 2 3 2 2 2 2" xfId="22457"/>
    <cellStyle name="요약 2 3 2 2 2 3" xfId="22458"/>
    <cellStyle name="요약 2 3 2 2 3" xfId="22459"/>
    <cellStyle name="요약 2 3 2 2 4" xfId="22460"/>
    <cellStyle name="요약 2 3 2 3" xfId="12196"/>
    <cellStyle name="요약 2 3 2 3 2" xfId="12197"/>
    <cellStyle name="요약 2 3 2 3 2 2" xfId="20861"/>
    <cellStyle name="요약 2 3 2 3 2 2 2" xfId="22461"/>
    <cellStyle name="요약 2 3 2 3 2 2 3" xfId="22462"/>
    <cellStyle name="요약 2 3 2 3 2 3" xfId="22463"/>
    <cellStyle name="요약 2 3 2 3 2 4" xfId="22464"/>
    <cellStyle name="요약 2 3 2 4" xfId="20859"/>
    <cellStyle name="요약 2 3 2 4 2" xfId="22465"/>
    <cellStyle name="요약 2 3 2 4 3" xfId="22466"/>
    <cellStyle name="요약 2 3 2 5" xfId="22467"/>
    <cellStyle name="요약 2 3 2 6" xfId="22468"/>
    <cellStyle name="요약 2 3 3" xfId="12198"/>
    <cellStyle name="요약 2 3 3 2" xfId="20862"/>
    <cellStyle name="요약 2 3 3 2 2" xfId="22469"/>
    <cellStyle name="요약 2 3 3 2 3" xfId="22470"/>
    <cellStyle name="요약 2 3 3 3" xfId="22471"/>
    <cellStyle name="요약 2 3 3 4" xfId="22472"/>
    <cellStyle name="요약 2 3 4" xfId="12199"/>
    <cellStyle name="요약 2 3 4 2" xfId="20863"/>
    <cellStyle name="요약 2 3 4 2 2" xfId="22473"/>
    <cellStyle name="요약 2 3 4 2 3" xfId="22474"/>
    <cellStyle name="요약 2 3 4 3" xfId="22475"/>
    <cellStyle name="요약 2 3 4 4" xfId="22476"/>
    <cellStyle name="요약 2 3 5" xfId="12200"/>
    <cellStyle name="요약 2 3 5 2" xfId="12201"/>
    <cellStyle name="요약 2 3 5 3" xfId="20864"/>
    <cellStyle name="요약 2 3 5 3 2" xfId="22477"/>
    <cellStyle name="요약 2 3 5 3 3" xfId="22478"/>
    <cellStyle name="요약 2 3 5 4" xfId="22479"/>
    <cellStyle name="요약 2 3 5 5" xfId="22480"/>
    <cellStyle name="요약 2 3 6" xfId="12202"/>
    <cellStyle name="요약 2 3 7" xfId="20441"/>
    <cellStyle name="요약 2 3 7 2" xfId="20993"/>
    <cellStyle name="요약 2 3 7 2 2" xfId="22481"/>
    <cellStyle name="요약 2 3 7 2 3" xfId="22482"/>
    <cellStyle name="요약 2 3 7 3" xfId="22483"/>
    <cellStyle name="요약 2 3 7 4" xfId="22484"/>
    <cellStyle name="요약 2 4" xfId="12203"/>
    <cellStyle name="요약 2 4 2" xfId="12204"/>
    <cellStyle name="요약 2 4 2 2" xfId="20865"/>
    <cellStyle name="요약 2 4 2 2 2" xfId="22485"/>
    <cellStyle name="요약 2 4 2 2 3" xfId="22486"/>
    <cellStyle name="요약 2 4 2 3" xfId="22487"/>
    <cellStyle name="요약 2 4 2 4" xfId="22488"/>
    <cellStyle name="요약 2 4 3" xfId="12205"/>
    <cellStyle name="요약 2 4 3 2" xfId="20866"/>
    <cellStyle name="요약 2 4 3 2 2" xfId="22489"/>
    <cellStyle name="요약 2 4 3 2 3" xfId="22490"/>
    <cellStyle name="요약 2 4 3 3" xfId="22491"/>
    <cellStyle name="요약 2 4 3 4" xfId="22492"/>
    <cellStyle name="요약 2 4 4" xfId="20442"/>
    <cellStyle name="요약 2 4 4 2" xfId="20994"/>
    <cellStyle name="요약 2 4 4 2 2" xfId="22493"/>
    <cellStyle name="요약 2 4 4 2 3" xfId="22494"/>
    <cellStyle name="요약 2 4 4 3" xfId="22495"/>
    <cellStyle name="요약 2 4 4 4" xfId="22496"/>
    <cellStyle name="요약 2 5" xfId="12206"/>
    <cellStyle name="요약 2 5 2" xfId="12207"/>
    <cellStyle name="요약 2 5 2 2" xfId="20867"/>
    <cellStyle name="요약 2 5 2 2 2" xfId="22497"/>
    <cellStyle name="요약 2 5 2 2 3" xfId="22498"/>
    <cellStyle name="요약 2 5 2 3" xfId="22499"/>
    <cellStyle name="요약 2 5 2 4" xfId="22500"/>
    <cellStyle name="요약 2 6" xfId="12208"/>
    <cellStyle name="요약 2 6 2" xfId="20443"/>
    <cellStyle name="요약 2 6 2 2" xfId="20995"/>
    <cellStyle name="요약 2 6 2 2 2" xfId="22501"/>
    <cellStyle name="요약 2 6 2 2 3" xfId="22502"/>
    <cellStyle name="요약 2 6 2 3" xfId="22503"/>
    <cellStyle name="요약 2 6 2 4" xfId="22504"/>
    <cellStyle name="요약 2 7" xfId="12209"/>
    <cellStyle name="요약 2 7 2" xfId="20444"/>
    <cellStyle name="요약 2 7 2 2" xfId="20996"/>
    <cellStyle name="요약 2 7 2 2 2" xfId="22505"/>
    <cellStyle name="요약 2 7 2 2 3" xfId="22506"/>
    <cellStyle name="요약 2 7 2 3" xfId="22507"/>
    <cellStyle name="요약 2 7 2 4" xfId="22508"/>
    <cellStyle name="요약 2 8" xfId="12210"/>
    <cellStyle name="요약 2 9" xfId="12211"/>
    <cellStyle name="요약 20" xfId="12212"/>
    <cellStyle name="요약 20 2" xfId="12213"/>
    <cellStyle name="요약 20 2 2" xfId="20868"/>
    <cellStyle name="요약 20 2 2 2" xfId="22509"/>
    <cellStyle name="요약 20 2 2 3" xfId="22510"/>
    <cellStyle name="요약 20 2 3" xfId="22511"/>
    <cellStyle name="요약 20 2 4" xfId="22512"/>
    <cellStyle name="요약 20 3" xfId="12214"/>
    <cellStyle name="요약 20 4" xfId="12215"/>
    <cellStyle name="요약 20 5" xfId="12216"/>
    <cellStyle name="요약 21" xfId="12217"/>
    <cellStyle name="요약 21 2" xfId="12218"/>
    <cellStyle name="요약 21 2 2" xfId="20869"/>
    <cellStyle name="요약 21 2 2 2" xfId="22513"/>
    <cellStyle name="요약 21 2 2 3" xfId="22514"/>
    <cellStyle name="요약 21 2 3" xfId="22515"/>
    <cellStyle name="요약 21 2 4" xfId="22516"/>
    <cellStyle name="요약 21 3" xfId="12219"/>
    <cellStyle name="요약 21 4" xfId="12220"/>
    <cellStyle name="요약 21 5" xfId="12221"/>
    <cellStyle name="요약 22" xfId="12222"/>
    <cellStyle name="요약 22 2" xfId="12223"/>
    <cellStyle name="요약 22 2 2" xfId="20870"/>
    <cellStyle name="요약 22 2 2 2" xfId="22517"/>
    <cellStyle name="요약 22 2 2 3" xfId="22518"/>
    <cellStyle name="요약 22 2 3" xfId="22519"/>
    <cellStyle name="요약 22 2 4" xfId="22520"/>
    <cellStyle name="요약 22 3" xfId="12224"/>
    <cellStyle name="요약 22 4" xfId="12225"/>
    <cellStyle name="요약 22 5" xfId="12226"/>
    <cellStyle name="요약 23" xfId="12227"/>
    <cellStyle name="요약 23 2" xfId="12228"/>
    <cellStyle name="요약 23 2 2" xfId="20872"/>
    <cellStyle name="요약 23 2 2 2" xfId="22521"/>
    <cellStyle name="요약 23 2 2 3" xfId="22522"/>
    <cellStyle name="요약 23 2 3" xfId="22523"/>
    <cellStyle name="요약 23 2 4" xfId="22524"/>
    <cellStyle name="요약 23 3" xfId="20871"/>
    <cellStyle name="요약 23 3 2" xfId="22525"/>
    <cellStyle name="요약 23 3 3" xfId="22526"/>
    <cellStyle name="요약 23 4" xfId="22527"/>
    <cellStyle name="요약 23 5" xfId="22528"/>
    <cellStyle name="요약 24" xfId="12229"/>
    <cellStyle name="요약 24 2" xfId="12230"/>
    <cellStyle name="요약 24 2 2" xfId="20874"/>
    <cellStyle name="요약 24 2 2 2" xfId="22529"/>
    <cellStyle name="요약 24 2 2 3" xfId="22530"/>
    <cellStyle name="요약 24 2 3" xfId="22531"/>
    <cellStyle name="요약 24 2 4" xfId="22532"/>
    <cellStyle name="요약 24 3" xfId="20873"/>
    <cellStyle name="요약 24 3 2" xfId="22533"/>
    <cellStyle name="요약 24 3 3" xfId="22534"/>
    <cellStyle name="요약 24 4" xfId="22535"/>
    <cellStyle name="요약 24 5" xfId="22536"/>
    <cellStyle name="요약 25" xfId="12231"/>
    <cellStyle name="요약 26" xfId="12232"/>
    <cellStyle name="요약 26 2" xfId="20875"/>
    <cellStyle name="요약 26 2 2" xfId="22537"/>
    <cellStyle name="요약 26 2 3" xfId="22538"/>
    <cellStyle name="요약 26 3" xfId="22539"/>
    <cellStyle name="요약 26 4" xfId="22540"/>
    <cellStyle name="요약 27" xfId="18213"/>
    <cellStyle name="요약 3" xfId="12233"/>
    <cellStyle name="요약 3 2" xfId="12234"/>
    <cellStyle name="요약 3 2 2" xfId="12235"/>
    <cellStyle name="요약 3 2 2 2" xfId="12236"/>
    <cellStyle name="요약 3 2 2 3" xfId="12237"/>
    <cellStyle name="요약 3 2 2 3 2" xfId="20876"/>
    <cellStyle name="요약 3 2 2 3 2 2" xfId="22541"/>
    <cellStyle name="요약 3 2 2 3 2 3" xfId="22542"/>
    <cellStyle name="요약 3 2 2 3 3" xfId="22543"/>
    <cellStyle name="요약 3 2 2 3 4" xfId="22544"/>
    <cellStyle name="요약 3 2 3" xfId="12238"/>
    <cellStyle name="요약 3 2 3 2" xfId="20877"/>
    <cellStyle name="요약 3 2 3 2 2" xfId="22545"/>
    <cellStyle name="요약 3 2 3 2 3" xfId="22546"/>
    <cellStyle name="요약 3 2 3 3" xfId="22547"/>
    <cellStyle name="요약 3 2 3 4" xfId="22548"/>
    <cellStyle name="요약 3 2 4" xfId="12239"/>
    <cellStyle name="요약 3 2 4 2" xfId="20878"/>
    <cellStyle name="요약 3 2 4 2 2" xfId="22549"/>
    <cellStyle name="요약 3 2 4 2 3" xfId="22550"/>
    <cellStyle name="요약 3 2 4 3" xfId="22551"/>
    <cellStyle name="요약 3 2 4 4" xfId="22552"/>
    <cellStyle name="요약 3 3" xfId="12240"/>
    <cellStyle name="요약 3 3 2" xfId="20445"/>
    <cellStyle name="요약 3 3 2 2" xfId="20997"/>
    <cellStyle name="요약 3 3 2 2 2" xfId="22553"/>
    <cellStyle name="요약 3 3 2 2 3" xfId="22554"/>
    <cellStyle name="요약 3 3 2 3" xfId="22555"/>
    <cellStyle name="요약 3 3 2 4" xfId="22556"/>
    <cellStyle name="요약 3 3 3" xfId="20879"/>
    <cellStyle name="요약 3 3 3 2" xfId="22557"/>
    <cellStyle name="요약 3 3 3 3" xfId="22558"/>
    <cellStyle name="요약 3 3 4" xfId="22559"/>
    <cellStyle name="요약 3 3 5" xfId="22560"/>
    <cellStyle name="요약 3 4" xfId="12241"/>
    <cellStyle name="요약 3 4 2" xfId="12242"/>
    <cellStyle name="요약 3 4 3" xfId="12243"/>
    <cellStyle name="요약 3 4 3 2" xfId="20880"/>
    <cellStyle name="요약 3 4 3 2 2" xfId="22561"/>
    <cellStyle name="요약 3 4 3 2 3" xfId="22562"/>
    <cellStyle name="요약 3 4 3 3" xfId="22563"/>
    <cellStyle name="요약 3 4 3 4" xfId="22564"/>
    <cellStyle name="요약 3 4 4" xfId="20446"/>
    <cellStyle name="요약 3 4 4 2" xfId="20998"/>
    <cellStyle name="요약 3 4 4 2 2" xfId="22565"/>
    <cellStyle name="요약 3 4 4 2 3" xfId="22566"/>
    <cellStyle name="요약 3 4 4 3" xfId="22567"/>
    <cellStyle name="요약 3 4 4 4" xfId="22568"/>
    <cellStyle name="요약 3 5" xfId="12244"/>
    <cellStyle name="요약 3 5 2" xfId="20881"/>
    <cellStyle name="요약 3 5 2 2" xfId="22569"/>
    <cellStyle name="요약 3 5 2 3" xfId="22570"/>
    <cellStyle name="요약 3 5 3" xfId="22571"/>
    <cellStyle name="요약 3 5 4" xfId="22572"/>
    <cellStyle name="요약 4" xfId="12245"/>
    <cellStyle name="요약 4 2" xfId="12246"/>
    <cellStyle name="요약 4 3" xfId="12247"/>
    <cellStyle name="요약 4 3 2" xfId="20882"/>
    <cellStyle name="요약 4 3 2 2" xfId="22573"/>
    <cellStyle name="요약 4 3 2 3" xfId="22574"/>
    <cellStyle name="요약 4 3 3" xfId="22575"/>
    <cellStyle name="요약 4 3 4" xfId="22576"/>
    <cellStyle name="요약 5" xfId="12248"/>
    <cellStyle name="요약 5 2" xfId="12249"/>
    <cellStyle name="요약 5 2 2" xfId="12250"/>
    <cellStyle name="요약 5 2 2 2" xfId="12251"/>
    <cellStyle name="요약 5 2 2 3" xfId="20883"/>
    <cellStyle name="요약 5 2 2 3 2" xfId="22577"/>
    <cellStyle name="요약 5 2 2 3 3" xfId="22578"/>
    <cellStyle name="요약 5 2 2 4" xfId="22579"/>
    <cellStyle name="요약 5 2 2 5" xfId="22580"/>
    <cellStyle name="요약 5 2 3" xfId="12252"/>
    <cellStyle name="요약 6" xfId="12253"/>
    <cellStyle name="요약 6 2" xfId="12254"/>
    <cellStyle name="요약 6 2 2" xfId="12255"/>
    <cellStyle name="요약 6 2 2 2" xfId="12256"/>
    <cellStyle name="요약 6 2 2 3" xfId="20884"/>
    <cellStyle name="요약 6 2 2 3 2" xfId="22581"/>
    <cellStyle name="요약 6 2 2 3 3" xfId="22582"/>
    <cellStyle name="요약 6 2 2 4" xfId="22583"/>
    <cellStyle name="요약 6 2 2 5" xfId="22584"/>
    <cellStyle name="요약 6 2 3" xfId="12257"/>
    <cellStyle name="요약 7" xfId="12258"/>
    <cellStyle name="요약 7 2" xfId="12259"/>
    <cellStyle name="요약 7 2 2" xfId="12260"/>
    <cellStyle name="요약 7 2 2 2" xfId="12261"/>
    <cellStyle name="요약 7 2 2 3" xfId="20885"/>
    <cellStyle name="요약 7 2 2 3 2" xfId="22585"/>
    <cellStyle name="요약 7 2 2 3 3" xfId="22586"/>
    <cellStyle name="요약 7 2 2 4" xfId="22587"/>
    <cellStyle name="요약 7 2 2 5" xfId="22588"/>
    <cellStyle name="요약 7 2 3" xfId="12262"/>
    <cellStyle name="요약 8" xfId="12263"/>
    <cellStyle name="요약 8 2" xfId="12264"/>
    <cellStyle name="요약 8 2 2" xfId="12265"/>
    <cellStyle name="요약 8 2 2 2" xfId="12266"/>
    <cellStyle name="요약 8 2 2 3" xfId="20886"/>
    <cellStyle name="요약 8 2 2 3 2" xfId="22589"/>
    <cellStyle name="요약 8 2 2 3 3" xfId="22590"/>
    <cellStyle name="요약 8 2 2 4" xfId="22591"/>
    <cellStyle name="요약 8 2 2 5" xfId="22592"/>
    <cellStyle name="요약 8 2 3" xfId="12267"/>
    <cellStyle name="요약 9" xfId="12268"/>
    <cellStyle name="요약 9 2" xfId="12269"/>
    <cellStyle name="요약 9 2 2" xfId="12270"/>
    <cellStyle name="요약 9 2 2 2" xfId="12271"/>
    <cellStyle name="요약 9 2 2 2 2" xfId="22593"/>
    <cellStyle name="요약 9 2 2 3" xfId="20887"/>
    <cellStyle name="요약 9 2 2 3 2" xfId="22594"/>
    <cellStyle name="요약 9 2 2 3 3" xfId="22595"/>
    <cellStyle name="요약 9 2 2 4" xfId="22596"/>
    <cellStyle name="요약 9 2 2 5" xfId="22597"/>
    <cellStyle name="요약 9 2 3" xfId="12272"/>
    <cellStyle name="요약 9 2 4" xfId="12273"/>
    <cellStyle name="요약 9 3" xfId="12274"/>
    <cellStyle name="요약 9 4" xfId="12275"/>
    <cellStyle name="원" xfId="20487"/>
    <cellStyle name="입력" xfId="9" builtinId="20" customBuiltin="1"/>
    <cellStyle name="입력 10" xfId="12276"/>
    <cellStyle name="입력 10 2" xfId="12277"/>
    <cellStyle name="입력 10 3" xfId="12278"/>
    <cellStyle name="입력 10 3 2" xfId="12279"/>
    <cellStyle name="입력 10 3 3" xfId="20888"/>
    <cellStyle name="입력 10 3 3 2" xfId="22598"/>
    <cellStyle name="입력 10 3 3 3" xfId="22599"/>
    <cellStyle name="입력 10 3 4" xfId="22600"/>
    <cellStyle name="입력 10 3 5" xfId="22601"/>
    <cellStyle name="입력 10 4" xfId="12280"/>
    <cellStyle name="입력 11" xfId="12281"/>
    <cellStyle name="입력 11 2" xfId="12282"/>
    <cellStyle name="입력 11 2 2" xfId="12283"/>
    <cellStyle name="입력 11 2 2 2" xfId="12284"/>
    <cellStyle name="입력 11 2 2 3" xfId="20889"/>
    <cellStyle name="입력 11 2 2 3 2" xfId="22602"/>
    <cellStyle name="입력 11 2 2 3 3" xfId="22603"/>
    <cellStyle name="입력 11 2 2 4" xfId="22604"/>
    <cellStyle name="입력 11 2 2 5" xfId="22605"/>
    <cellStyle name="입력 11 2 3" xfId="12285"/>
    <cellStyle name="입력 11 3" xfId="12286"/>
    <cellStyle name="입력 11 3 2" xfId="12287"/>
    <cellStyle name="입력 11 3 3" xfId="20890"/>
    <cellStyle name="입력 11 3 3 2" xfId="22606"/>
    <cellStyle name="입력 11 3 3 3" xfId="22607"/>
    <cellStyle name="입력 11 3 4" xfId="22608"/>
    <cellStyle name="입력 11 3 5" xfId="22609"/>
    <cellStyle name="입력 11 4" xfId="12288"/>
    <cellStyle name="입력 11 5" xfId="12289"/>
    <cellStyle name="입력 12" xfId="12290"/>
    <cellStyle name="입력 12 2" xfId="12291"/>
    <cellStyle name="입력 12 2 2" xfId="12292"/>
    <cellStyle name="입력 12 2 2 2" xfId="12293"/>
    <cellStyle name="입력 12 2 2 3" xfId="20891"/>
    <cellStyle name="입력 12 2 2 3 2" xfId="22610"/>
    <cellStyle name="입력 12 2 2 3 3" xfId="22611"/>
    <cellStyle name="입력 12 2 2 4" xfId="22612"/>
    <cellStyle name="입력 12 2 2 5" xfId="22613"/>
    <cellStyle name="입력 12 2 3" xfId="12294"/>
    <cellStyle name="입력 12 3" xfId="12295"/>
    <cellStyle name="입력 12 3 2" xfId="12296"/>
    <cellStyle name="입력 12 3 3" xfId="20892"/>
    <cellStyle name="입력 12 3 3 2" xfId="22614"/>
    <cellStyle name="입력 12 3 3 3" xfId="22615"/>
    <cellStyle name="입력 12 3 4" xfId="22616"/>
    <cellStyle name="입력 12 3 5" xfId="22617"/>
    <cellStyle name="입력 12 4" xfId="12297"/>
    <cellStyle name="입력 12 5" xfId="12298"/>
    <cellStyle name="입력 13" xfId="12299"/>
    <cellStyle name="입력 13 2" xfId="12300"/>
    <cellStyle name="입력 13 2 2" xfId="12301"/>
    <cellStyle name="입력 13 2 2 2" xfId="12302"/>
    <cellStyle name="입력 13 2 2 2 2" xfId="22618"/>
    <cellStyle name="입력 13 2 2 3" xfId="20894"/>
    <cellStyle name="입력 13 2 2 3 2" xfId="22619"/>
    <cellStyle name="입력 13 2 2 3 3" xfId="22620"/>
    <cellStyle name="입력 13 2 2 4" xfId="22621"/>
    <cellStyle name="입력 13 2 2 5" xfId="22622"/>
    <cellStyle name="입력 13 2 3" xfId="12303"/>
    <cellStyle name="입력 13 3" xfId="12304"/>
    <cellStyle name="입력 13 3 2" xfId="12305"/>
    <cellStyle name="입력 13 3 2 2" xfId="12306"/>
    <cellStyle name="입력 13 3 2 3" xfId="20895"/>
    <cellStyle name="입력 13 3 2 3 2" xfId="22623"/>
    <cellStyle name="입력 13 3 2 3 3" xfId="22624"/>
    <cellStyle name="입력 13 3 2 4" xfId="22625"/>
    <cellStyle name="입력 13 3 2 5" xfId="22626"/>
    <cellStyle name="입력 13 3 3" xfId="12307"/>
    <cellStyle name="입력 13 4" xfId="12308"/>
    <cellStyle name="입력 13 4 2" xfId="12309"/>
    <cellStyle name="입력 13 4 2 2" xfId="20897"/>
    <cellStyle name="입력 13 4 2 2 2" xfId="22627"/>
    <cellStyle name="입력 13 4 2 2 3" xfId="22628"/>
    <cellStyle name="입력 13 4 2 3" xfId="22629"/>
    <cellStyle name="입력 13 4 2 4" xfId="22630"/>
    <cellStyle name="입력 13 4 3" xfId="20896"/>
    <cellStyle name="입력 13 4 3 2" xfId="22631"/>
    <cellStyle name="입력 13 4 3 3" xfId="22632"/>
    <cellStyle name="입력 13 4 4" xfId="22633"/>
    <cellStyle name="입력 13 4 5" xfId="22634"/>
    <cellStyle name="입력 13 5" xfId="12310"/>
    <cellStyle name="입력 13 5 2" xfId="20898"/>
    <cellStyle name="입력 13 5 2 2" xfId="22635"/>
    <cellStyle name="입력 13 5 2 3" xfId="22636"/>
    <cellStyle name="입력 13 5 3" xfId="22637"/>
    <cellStyle name="입력 13 5 4" xfId="22638"/>
    <cellStyle name="입력 13 6" xfId="20893"/>
    <cellStyle name="입력 13 6 2" xfId="22639"/>
    <cellStyle name="입력 13 6 3" xfId="22640"/>
    <cellStyle name="입력 13 7" xfId="22641"/>
    <cellStyle name="입력 13 8" xfId="22642"/>
    <cellStyle name="입력 14" xfId="12311"/>
    <cellStyle name="입력 14 2" xfId="12312"/>
    <cellStyle name="입력 14 2 2" xfId="20899"/>
    <cellStyle name="입력 14 2 2 2" xfId="22643"/>
    <cellStyle name="입력 14 2 2 3" xfId="22644"/>
    <cellStyle name="입력 14 2 3" xfId="22645"/>
    <cellStyle name="입력 14 2 4" xfId="22646"/>
    <cellStyle name="입력 14 3" xfId="12313"/>
    <cellStyle name="입력 14 4" xfId="12314"/>
    <cellStyle name="입력 14 5" xfId="12315"/>
    <cellStyle name="입력 15" xfId="12316"/>
    <cellStyle name="입력 15 2" xfId="12317"/>
    <cellStyle name="입력 15 2 2" xfId="20900"/>
    <cellStyle name="입력 15 2 2 2" xfId="22647"/>
    <cellStyle name="입력 15 2 2 3" xfId="22648"/>
    <cellStyle name="입력 15 2 3" xfId="22649"/>
    <cellStyle name="입력 15 2 4" xfId="22650"/>
    <cellStyle name="입력 15 3" xfId="12318"/>
    <cellStyle name="입력 15 4" xfId="12319"/>
    <cellStyle name="입력 15 5" xfId="12320"/>
    <cellStyle name="입력 16" xfId="12321"/>
    <cellStyle name="입력 16 2" xfId="12322"/>
    <cellStyle name="입력 16 2 2" xfId="20901"/>
    <cellStyle name="입력 16 2 2 2" xfId="22651"/>
    <cellStyle name="입력 16 2 2 3" xfId="22652"/>
    <cellStyle name="입력 16 2 3" xfId="22653"/>
    <cellStyle name="입력 16 2 4" xfId="22654"/>
    <cellStyle name="입력 16 3" xfId="12323"/>
    <cellStyle name="입력 16 4" xfId="12324"/>
    <cellStyle name="입력 16 5" xfId="12325"/>
    <cellStyle name="입력 17" xfId="12326"/>
    <cellStyle name="입력 17 2" xfId="12327"/>
    <cellStyle name="입력 17 2 2" xfId="20902"/>
    <cellStyle name="입력 17 2 2 2" xfId="22655"/>
    <cellStyle name="입력 17 2 2 3" xfId="22656"/>
    <cellStyle name="입력 17 2 3" xfId="22657"/>
    <cellStyle name="입력 17 2 4" xfId="22658"/>
    <cellStyle name="입력 17 3" xfId="12328"/>
    <cellStyle name="입력 17 4" xfId="12329"/>
    <cellStyle name="입력 17 5" xfId="12330"/>
    <cellStyle name="입력 17 6" xfId="20651"/>
    <cellStyle name="입력 18" xfId="12331"/>
    <cellStyle name="입력 18 2" xfId="12332"/>
    <cellStyle name="입력 18 2 2" xfId="20903"/>
    <cellStyle name="입력 18 2 2 2" xfId="22659"/>
    <cellStyle name="입력 18 2 2 3" xfId="22660"/>
    <cellStyle name="입력 18 2 3" xfId="22661"/>
    <cellStyle name="입력 18 2 4" xfId="22662"/>
    <cellStyle name="입력 18 3" xfId="12333"/>
    <cellStyle name="입력 18 4" xfId="12334"/>
    <cellStyle name="입력 18 5" xfId="12335"/>
    <cellStyle name="입력 19" xfId="12336"/>
    <cellStyle name="입력 19 2" xfId="12337"/>
    <cellStyle name="입력 19 2 2" xfId="20904"/>
    <cellStyle name="입력 19 2 2 2" xfId="22663"/>
    <cellStyle name="입력 19 2 2 3" xfId="22664"/>
    <cellStyle name="입력 19 2 3" xfId="22665"/>
    <cellStyle name="입력 19 2 4" xfId="22666"/>
    <cellStyle name="입력 19 3" xfId="12338"/>
    <cellStyle name="입력 19 4" xfId="12339"/>
    <cellStyle name="입력 19 5" xfId="12340"/>
    <cellStyle name="입력 2" xfId="12341"/>
    <cellStyle name="입력 2 10" xfId="12342"/>
    <cellStyle name="입력 2 11" xfId="12343"/>
    <cellStyle name="입력 2 11 2" xfId="20905"/>
    <cellStyle name="입력 2 11 2 2" xfId="22667"/>
    <cellStyle name="입력 2 11 2 3" xfId="22668"/>
    <cellStyle name="입력 2 11 3" xfId="22669"/>
    <cellStyle name="입력 2 11 4" xfId="22670"/>
    <cellStyle name="입력 2 12" xfId="19691"/>
    <cellStyle name="입력 2 12 2" xfId="20990"/>
    <cellStyle name="입력 2 12 2 2" xfId="22671"/>
    <cellStyle name="입력 2 12 2 3" xfId="22672"/>
    <cellStyle name="입력 2 12 3" xfId="22673"/>
    <cellStyle name="입력 2 12 4" xfId="22674"/>
    <cellStyle name="입력 2 13" xfId="20480"/>
    <cellStyle name="입력 2 13 2" xfId="22675"/>
    <cellStyle name="입력 2 13 3" xfId="22676"/>
    <cellStyle name="입력 2 13 4" xfId="22677"/>
    <cellStyle name="입력 2 2" xfId="12344"/>
    <cellStyle name="입력 2 2 2" xfId="12345"/>
    <cellStyle name="입력 2 2 2 2" xfId="12346"/>
    <cellStyle name="입력 2 2 2 3" xfId="12347"/>
    <cellStyle name="입력 2 2 2 3 2" xfId="20906"/>
    <cellStyle name="입력 2 2 2 3 2 2" xfId="22678"/>
    <cellStyle name="입력 2 2 2 3 2 3" xfId="22679"/>
    <cellStyle name="입력 2 2 2 3 3" xfId="22680"/>
    <cellStyle name="입력 2 2 2 3 4" xfId="22681"/>
    <cellStyle name="입력 2 2 3" xfId="12348"/>
    <cellStyle name="입력 2 2 3 2" xfId="20907"/>
    <cellStyle name="입력 2 2 3 2 2" xfId="22682"/>
    <cellStyle name="입력 2 2 3 2 3" xfId="22683"/>
    <cellStyle name="입력 2 2 3 3" xfId="22684"/>
    <cellStyle name="입력 2 2 3 4" xfId="22685"/>
    <cellStyle name="입력 2 2 4" xfId="12349"/>
    <cellStyle name="입력 2 2 4 2" xfId="20908"/>
    <cellStyle name="입력 2 2 4 2 2" xfId="22686"/>
    <cellStyle name="입력 2 2 4 2 3" xfId="22687"/>
    <cellStyle name="입력 2 2 4 3" xfId="22688"/>
    <cellStyle name="입력 2 2 4 4" xfId="22689"/>
    <cellStyle name="입력 2 2 5" xfId="20447"/>
    <cellStyle name="입력 2 3" xfId="12350"/>
    <cellStyle name="입력 2 3 2" xfId="12351"/>
    <cellStyle name="입력 2 3 2 2" xfId="12352"/>
    <cellStyle name="입력 2 3 2 2 2" xfId="20910"/>
    <cellStyle name="입력 2 3 2 2 2 2" xfId="22690"/>
    <cellStyle name="입력 2 3 2 2 2 3" xfId="22691"/>
    <cellStyle name="입력 2 3 2 2 3" xfId="22692"/>
    <cellStyle name="입력 2 3 2 2 4" xfId="22693"/>
    <cellStyle name="입력 2 3 2 3" xfId="12353"/>
    <cellStyle name="입력 2 3 2 3 2" xfId="12354"/>
    <cellStyle name="입력 2 3 2 3 2 2" xfId="20911"/>
    <cellStyle name="입력 2 3 2 3 2 2 2" xfId="22694"/>
    <cellStyle name="입력 2 3 2 3 2 2 3" xfId="22695"/>
    <cellStyle name="입력 2 3 2 3 2 3" xfId="22696"/>
    <cellStyle name="입력 2 3 2 3 2 4" xfId="22697"/>
    <cellStyle name="입력 2 3 2 4" xfId="20909"/>
    <cellStyle name="입력 2 3 2 4 2" xfId="22698"/>
    <cellStyle name="입력 2 3 2 4 3" xfId="22699"/>
    <cellStyle name="입력 2 3 2 5" xfId="22700"/>
    <cellStyle name="입력 2 3 2 6" xfId="22701"/>
    <cellStyle name="입력 2 3 3" xfId="12355"/>
    <cellStyle name="입력 2 3 3 2" xfId="20912"/>
    <cellStyle name="입력 2 3 3 2 2" xfId="22702"/>
    <cellStyle name="입력 2 3 3 2 3" xfId="22703"/>
    <cellStyle name="입력 2 3 3 3" xfId="22704"/>
    <cellStyle name="입력 2 3 3 4" xfId="22705"/>
    <cellStyle name="입력 2 3 4" xfId="12356"/>
    <cellStyle name="입력 2 3 4 2" xfId="20913"/>
    <cellStyle name="입력 2 3 4 2 2" xfId="22706"/>
    <cellStyle name="입력 2 3 4 2 3" xfId="22707"/>
    <cellStyle name="입력 2 3 4 3" xfId="22708"/>
    <cellStyle name="입력 2 3 4 4" xfId="22709"/>
    <cellStyle name="입력 2 3 5" xfId="12357"/>
    <cellStyle name="입력 2 3 5 2" xfId="12358"/>
    <cellStyle name="입력 2 3 5 3" xfId="20914"/>
    <cellStyle name="입력 2 3 5 3 2" xfId="22710"/>
    <cellStyle name="입력 2 3 5 3 3" xfId="22711"/>
    <cellStyle name="입력 2 3 5 4" xfId="22712"/>
    <cellStyle name="입력 2 3 5 5" xfId="22713"/>
    <cellStyle name="입력 2 3 6" xfId="12359"/>
    <cellStyle name="입력 2 3 7" xfId="20448"/>
    <cellStyle name="입력 2 4" xfId="12360"/>
    <cellStyle name="입력 2 4 2" xfId="12361"/>
    <cellStyle name="입력 2 4 2 2" xfId="20915"/>
    <cellStyle name="입력 2 4 2 2 2" xfId="22714"/>
    <cellStyle name="입력 2 4 2 2 3" xfId="22715"/>
    <cellStyle name="입력 2 4 2 3" xfId="22716"/>
    <cellStyle name="입력 2 4 2 4" xfId="22717"/>
    <cellStyle name="입력 2 4 3" xfId="12362"/>
    <cellStyle name="입력 2 4 3 2" xfId="20916"/>
    <cellStyle name="입력 2 4 3 2 2" xfId="22718"/>
    <cellStyle name="입력 2 4 3 2 3" xfId="22719"/>
    <cellStyle name="입력 2 4 3 3" xfId="22720"/>
    <cellStyle name="입력 2 4 3 4" xfId="22721"/>
    <cellStyle name="입력 2 4 4" xfId="20449"/>
    <cellStyle name="입력 2 5" xfId="12363"/>
    <cellStyle name="입력 2 5 2" xfId="12364"/>
    <cellStyle name="입력 2 5 2 2" xfId="20917"/>
    <cellStyle name="입력 2 5 2 2 2" xfId="22722"/>
    <cellStyle name="입력 2 5 2 2 3" xfId="22723"/>
    <cellStyle name="입력 2 5 2 3" xfId="22724"/>
    <cellStyle name="입력 2 5 2 4" xfId="22725"/>
    <cellStyle name="입력 2 6" xfId="12365"/>
    <cellStyle name="입력 2 6 2" xfId="20450"/>
    <cellStyle name="입력 2 7" xfId="12366"/>
    <cellStyle name="입력 2 7 2" xfId="20451"/>
    <cellStyle name="입력 2 8" xfId="12367"/>
    <cellStyle name="입력 2 9" xfId="12368"/>
    <cellStyle name="입력 20" xfId="12369"/>
    <cellStyle name="입력 20 2" xfId="12370"/>
    <cellStyle name="입력 20 2 2" xfId="20918"/>
    <cellStyle name="입력 20 2 2 2" xfId="22726"/>
    <cellStyle name="입력 20 2 2 3" xfId="22727"/>
    <cellStyle name="입력 20 2 3" xfId="22728"/>
    <cellStyle name="입력 20 2 4" xfId="22729"/>
    <cellStyle name="입력 20 3" xfId="12371"/>
    <cellStyle name="입력 20 4" xfId="12372"/>
    <cellStyle name="입력 20 5" xfId="12373"/>
    <cellStyle name="입력 21" xfId="12374"/>
    <cellStyle name="입력 21 2" xfId="12375"/>
    <cellStyle name="입력 21 2 2" xfId="20919"/>
    <cellStyle name="입력 21 2 2 2" xfId="22730"/>
    <cellStyle name="입력 21 2 2 3" xfId="22731"/>
    <cellStyle name="입력 21 2 3" xfId="22732"/>
    <cellStyle name="입력 21 2 4" xfId="22733"/>
    <cellStyle name="입력 21 3" xfId="12376"/>
    <cellStyle name="입력 21 4" xfId="12377"/>
    <cellStyle name="입력 21 5" xfId="12378"/>
    <cellStyle name="입력 22" xfId="12379"/>
    <cellStyle name="입력 22 2" xfId="12380"/>
    <cellStyle name="입력 22 2 2" xfId="20920"/>
    <cellStyle name="입력 22 2 2 2" xfId="22734"/>
    <cellStyle name="입력 22 2 2 3" xfId="22735"/>
    <cellStyle name="입력 22 2 3" xfId="22736"/>
    <cellStyle name="입력 22 2 4" xfId="22737"/>
    <cellStyle name="입력 22 3" xfId="12381"/>
    <cellStyle name="입력 22 4" xfId="12382"/>
    <cellStyle name="입력 22 5" xfId="12383"/>
    <cellStyle name="입력 23" xfId="12384"/>
    <cellStyle name="입력 23 2" xfId="12385"/>
    <cellStyle name="입력 23 2 2" xfId="20922"/>
    <cellStyle name="입력 23 2 2 2" xfId="22738"/>
    <cellStyle name="입력 23 2 2 3" xfId="22739"/>
    <cellStyle name="입력 23 2 3" xfId="22740"/>
    <cellStyle name="입력 23 2 4" xfId="22741"/>
    <cellStyle name="입력 23 3" xfId="20921"/>
    <cellStyle name="입력 23 3 2" xfId="22742"/>
    <cellStyle name="입력 23 3 3" xfId="22743"/>
    <cellStyle name="입력 23 4" xfId="22744"/>
    <cellStyle name="입력 23 5" xfId="22745"/>
    <cellStyle name="입력 24" xfId="12386"/>
    <cellStyle name="입력 24 2" xfId="12387"/>
    <cellStyle name="입력 24 2 2" xfId="20924"/>
    <cellStyle name="입력 24 2 2 2" xfId="22746"/>
    <cellStyle name="입력 24 2 2 3" xfId="22747"/>
    <cellStyle name="입력 24 2 3" xfId="22748"/>
    <cellStyle name="입력 24 2 4" xfId="22749"/>
    <cellStyle name="입력 24 3" xfId="20923"/>
    <cellStyle name="입력 24 3 2" xfId="22750"/>
    <cellStyle name="입력 24 3 3" xfId="22751"/>
    <cellStyle name="입력 24 4" xfId="22752"/>
    <cellStyle name="입력 24 5" xfId="22753"/>
    <cellStyle name="입력 25" xfId="12388"/>
    <cellStyle name="입력 26" xfId="12389"/>
    <cellStyle name="입력 26 2" xfId="20925"/>
    <cellStyle name="입력 26 2 2" xfId="22754"/>
    <cellStyle name="입력 26 2 3" xfId="22755"/>
    <cellStyle name="입력 26 3" xfId="22756"/>
    <cellStyle name="입력 26 4" xfId="22757"/>
    <cellStyle name="입력 27" xfId="18205"/>
    <cellStyle name="입력 3" xfId="12390"/>
    <cellStyle name="입력 3 2" xfId="12391"/>
    <cellStyle name="입력 3 2 2" xfId="12392"/>
    <cellStyle name="입력 3 2 2 2" xfId="12393"/>
    <cellStyle name="입력 3 2 2 3" xfId="12394"/>
    <cellStyle name="입력 3 2 2 3 2" xfId="20926"/>
    <cellStyle name="입력 3 2 2 3 2 2" xfId="22758"/>
    <cellStyle name="입력 3 2 2 3 2 3" xfId="22759"/>
    <cellStyle name="입력 3 2 2 3 3" xfId="22760"/>
    <cellStyle name="입력 3 2 2 3 4" xfId="22761"/>
    <cellStyle name="입력 3 2 3" xfId="12395"/>
    <cellStyle name="입력 3 2 3 2" xfId="20927"/>
    <cellStyle name="입력 3 2 3 2 2" xfId="22762"/>
    <cellStyle name="입력 3 2 3 2 3" xfId="22763"/>
    <cellStyle name="입력 3 2 3 3" xfId="22764"/>
    <cellStyle name="입력 3 2 3 4" xfId="22765"/>
    <cellStyle name="입력 3 2 4" xfId="12396"/>
    <cellStyle name="입력 3 2 4 2" xfId="20928"/>
    <cellStyle name="입력 3 2 4 2 2" xfId="22766"/>
    <cellStyle name="입력 3 2 4 2 3" xfId="22767"/>
    <cellStyle name="입력 3 2 4 3" xfId="22768"/>
    <cellStyle name="입력 3 2 4 4" xfId="22769"/>
    <cellStyle name="입력 3 3" xfId="12397"/>
    <cellStyle name="입력 3 3 2" xfId="20452"/>
    <cellStyle name="입력 3 3 3" xfId="20929"/>
    <cellStyle name="입력 3 3 3 2" xfId="22770"/>
    <cellStyle name="입력 3 3 3 3" xfId="22771"/>
    <cellStyle name="입력 3 3 4" xfId="22772"/>
    <cellStyle name="입력 3 3 5" xfId="22773"/>
    <cellStyle name="입력 3 4" xfId="12398"/>
    <cellStyle name="입력 3 4 2" xfId="12399"/>
    <cellStyle name="입력 3 4 3" xfId="12400"/>
    <cellStyle name="입력 3 4 3 2" xfId="20930"/>
    <cellStyle name="입력 3 4 3 2 2" xfId="22774"/>
    <cellStyle name="입력 3 4 3 2 3" xfId="22775"/>
    <cellStyle name="입력 3 4 3 3" xfId="22776"/>
    <cellStyle name="입력 3 4 3 4" xfId="22777"/>
    <cellStyle name="입력 3 4 4" xfId="20453"/>
    <cellStyle name="입력 3 5" xfId="12401"/>
    <cellStyle name="입력 3 5 2" xfId="20931"/>
    <cellStyle name="입력 3 5 2 2" xfId="22778"/>
    <cellStyle name="입력 3 5 2 3" xfId="22779"/>
    <cellStyle name="입력 3 5 3" xfId="22780"/>
    <cellStyle name="입력 3 5 4" xfId="22781"/>
    <cellStyle name="입력 4" xfId="12402"/>
    <cellStyle name="입력 4 2" xfId="12403"/>
    <cellStyle name="입력 4 3" xfId="12404"/>
    <cellStyle name="입력 4 3 2" xfId="20932"/>
    <cellStyle name="입력 4 3 2 2" xfId="22782"/>
    <cellStyle name="입력 4 3 2 3" xfId="22783"/>
    <cellStyle name="입력 4 3 3" xfId="22784"/>
    <cellStyle name="입력 4 3 4" xfId="22785"/>
    <cellStyle name="입력 5" xfId="12405"/>
    <cellStyle name="입력 5 2" xfId="12406"/>
    <cellStyle name="입력 5 2 2" xfId="12407"/>
    <cellStyle name="입력 5 2 2 2" xfId="12408"/>
    <cellStyle name="입력 5 2 2 3" xfId="20933"/>
    <cellStyle name="입력 5 2 2 3 2" xfId="22786"/>
    <cellStyle name="입력 5 2 2 3 3" xfId="22787"/>
    <cellStyle name="입력 5 2 2 4" xfId="22788"/>
    <cellStyle name="입력 5 2 2 5" xfId="22789"/>
    <cellStyle name="입력 5 2 3" xfId="12409"/>
    <cellStyle name="입력 6" xfId="12410"/>
    <cellStyle name="입력 6 2" xfId="12411"/>
    <cellStyle name="입력 6 2 2" xfId="12412"/>
    <cellStyle name="입력 6 2 2 2" xfId="12413"/>
    <cellStyle name="입력 6 2 2 3" xfId="20934"/>
    <cellStyle name="입력 6 2 2 3 2" xfId="22790"/>
    <cellStyle name="입력 6 2 2 3 3" xfId="22791"/>
    <cellStyle name="입력 6 2 2 4" xfId="22792"/>
    <cellStyle name="입력 6 2 2 5" xfId="22793"/>
    <cellStyle name="입력 6 2 3" xfId="12414"/>
    <cellStyle name="입력 7" xfId="12415"/>
    <cellStyle name="입력 7 2" xfId="12416"/>
    <cellStyle name="입력 7 2 2" xfId="12417"/>
    <cellStyle name="입력 7 2 2 2" xfId="12418"/>
    <cellStyle name="입력 7 2 2 3" xfId="20935"/>
    <cellStyle name="입력 7 2 2 3 2" xfId="22794"/>
    <cellStyle name="입력 7 2 2 3 3" xfId="22795"/>
    <cellStyle name="입력 7 2 2 4" xfId="22796"/>
    <cellStyle name="입력 7 2 2 5" xfId="22797"/>
    <cellStyle name="입력 7 2 3" xfId="12419"/>
    <cellStyle name="입력 8" xfId="12420"/>
    <cellStyle name="입력 8 2" xfId="12421"/>
    <cellStyle name="입력 8 2 2" xfId="12422"/>
    <cellStyle name="입력 8 2 2 2" xfId="12423"/>
    <cellStyle name="입력 8 2 2 3" xfId="20936"/>
    <cellStyle name="입력 8 2 2 3 2" xfId="22798"/>
    <cellStyle name="입력 8 2 2 3 3" xfId="22799"/>
    <cellStyle name="입력 8 2 2 4" xfId="22800"/>
    <cellStyle name="입력 8 2 2 5" xfId="22801"/>
    <cellStyle name="입력 8 2 3" xfId="12424"/>
    <cellStyle name="입력 9" xfId="12425"/>
    <cellStyle name="입력 9 2" xfId="12426"/>
    <cellStyle name="입력 9 2 2" xfId="12427"/>
    <cellStyle name="입력 9 2 2 2" xfId="12428"/>
    <cellStyle name="입력 9 2 2 2 2" xfId="22802"/>
    <cellStyle name="입력 9 2 2 3" xfId="20937"/>
    <cellStyle name="입력 9 2 2 3 2" xfId="22803"/>
    <cellStyle name="입력 9 2 2 3 3" xfId="22804"/>
    <cellStyle name="입력 9 2 2 4" xfId="22805"/>
    <cellStyle name="입력 9 2 2 5" xfId="22806"/>
    <cellStyle name="입력 9 2 3" xfId="12429"/>
    <cellStyle name="입력 9 2 4" xfId="12430"/>
    <cellStyle name="입력 9 3" xfId="12431"/>
    <cellStyle name="입력 9 4" xfId="12432"/>
    <cellStyle name="자리수" xfId="20484"/>
    <cellStyle name="자리수0" xfId="19694"/>
    <cellStyle name="제목" xfId="1" builtinId="15" customBuiltin="1"/>
    <cellStyle name="제목 1" xfId="2" builtinId="16" customBuiltin="1"/>
    <cellStyle name="제목 1 1" xfId="12433"/>
    <cellStyle name="제목 1 10" xfId="12434"/>
    <cellStyle name="제목 1 10 2" xfId="12435"/>
    <cellStyle name="제목 1 10 3" xfId="12436"/>
    <cellStyle name="제목 1 10 3 2" xfId="12437"/>
    <cellStyle name="제목 1 10 4" xfId="12438"/>
    <cellStyle name="제목 1 11" xfId="12439"/>
    <cellStyle name="제목 1 11 2" xfId="12440"/>
    <cellStyle name="제목 1 11 2 2" xfId="12441"/>
    <cellStyle name="제목 1 11 2 2 2" xfId="12442"/>
    <cellStyle name="제목 1 11 2 3" xfId="12443"/>
    <cellStyle name="제목 1 11 3" xfId="12444"/>
    <cellStyle name="제목 1 11 3 2" xfId="12445"/>
    <cellStyle name="제목 1 11 4" xfId="12446"/>
    <cellStyle name="제목 1 11 5" xfId="12447"/>
    <cellStyle name="제목 1 12" xfId="12448"/>
    <cellStyle name="제목 1 12 2" xfId="12449"/>
    <cellStyle name="제목 1 12 2 2" xfId="12450"/>
    <cellStyle name="제목 1 12 2 2 2" xfId="12451"/>
    <cellStyle name="제목 1 12 2 3" xfId="12452"/>
    <cellStyle name="제목 1 12 3" xfId="12453"/>
    <cellStyle name="제목 1 12 3 2" xfId="12454"/>
    <cellStyle name="제목 1 12 4" xfId="12455"/>
    <cellStyle name="제목 1 12 5" xfId="12456"/>
    <cellStyle name="제목 1 13" xfId="12457"/>
    <cellStyle name="제목 1 13 2" xfId="12458"/>
    <cellStyle name="제목 1 13 2 2" xfId="12459"/>
    <cellStyle name="제목 1 13 2 2 2" xfId="12460"/>
    <cellStyle name="제목 1 13 2 2 2 2" xfId="22807"/>
    <cellStyle name="제목 1 13 2 3" xfId="12461"/>
    <cellStyle name="제목 1 13 3" xfId="12462"/>
    <cellStyle name="제목 1 13 3 2" xfId="12463"/>
    <cellStyle name="제목 1 13 3 2 2" xfId="12464"/>
    <cellStyle name="제목 1 13 3 3" xfId="12465"/>
    <cellStyle name="제목 1 13 4" xfId="12466"/>
    <cellStyle name="제목 1 13 4 2" xfId="12467"/>
    <cellStyle name="제목 1 13 5" xfId="12468"/>
    <cellStyle name="제목 1 14" xfId="12469"/>
    <cellStyle name="제목 1 14 2" xfId="12470"/>
    <cellStyle name="제목 1 14 3" xfId="12471"/>
    <cellStyle name="제목 1 14 4" xfId="12472"/>
    <cellStyle name="제목 1 14 5" xfId="12473"/>
    <cellStyle name="제목 1 15" xfId="12474"/>
    <cellStyle name="제목 1 15 2" xfId="12475"/>
    <cellStyle name="제목 1 15 3" xfId="12476"/>
    <cellStyle name="제목 1 15 4" xfId="12477"/>
    <cellStyle name="제목 1 15 5" xfId="12478"/>
    <cellStyle name="제목 1 16" xfId="12479"/>
    <cellStyle name="제목 1 16 2" xfId="12480"/>
    <cellStyle name="제목 1 16 3" xfId="12481"/>
    <cellStyle name="제목 1 16 4" xfId="12482"/>
    <cellStyle name="제목 1 16 5" xfId="12483"/>
    <cellStyle name="제목 1 17" xfId="12484"/>
    <cellStyle name="제목 1 17 2" xfId="12485"/>
    <cellStyle name="제목 1 17 2 2" xfId="22808"/>
    <cellStyle name="제목 1 17 3" xfId="12486"/>
    <cellStyle name="제목 1 17 4" xfId="12487"/>
    <cellStyle name="제목 1 17 5" xfId="12488"/>
    <cellStyle name="제목 1 17 6" xfId="20644"/>
    <cellStyle name="제목 1 18" xfId="12489"/>
    <cellStyle name="제목 1 18 2" xfId="12490"/>
    <cellStyle name="제목 1 18 3" xfId="12491"/>
    <cellStyle name="제목 1 18 4" xfId="12492"/>
    <cellStyle name="제목 1 18 5" xfId="12493"/>
    <cellStyle name="제목 1 19" xfId="12494"/>
    <cellStyle name="제목 1 19 2" xfId="12495"/>
    <cellStyle name="제목 1 19 3" xfId="12496"/>
    <cellStyle name="제목 1 19 4" xfId="12497"/>
    <cellStyle name="제목 1 19 5" xfId="12498"/>
    <cellStyle name="제목 1 2" xfId="12499"/>
    <cellStyle name="제목 1 2 10" xfId="12500"/>
    <cellStyle name="제목 1 2 11" xfId="12501"/>
    <cellStyle name="제목 1 2 2" xfId="12502"/>
    <cellStyle name="제목 1 2 2 2" xfId="12503"/>
    <cellStyle name="제목 1 2 2 2 2" xfId="12504"/>
    <cellStyle name="제목 1 2 2 2 3" xfId="12505"/>
    <cellStyle name="제목 1 2 2 3" xfId="12506"/>
    <cellStyle name="제목 1 2 2 4" xfId="12507"/>
    <cellStyle name="제목 1 2 2 5" xfId="20458"/>
    <cellStyle name="제목 1 2 3" xfId="12508"/>
    <cellStyle name="제목 1 2 3 2" xfId="12509"/>
    <cellStyle name="제목 1 2 3 2 2" xfId="12510"/>
    <cellStyle name="제목 1 2 3 2 2 2" xfId="12511"/>
    <cellStyle name="제목 1 2 3 2 2 2 2" xfId="22809"/>
    <cellStyle name="제목 1 2 3 2 3" xfId="12512"/>
    <cellStyle name="제목 1 2 3 3" xfId="12513"/>
    <cellStyle name="제목 1 2 3 3 2" xfId="12514"/>
    <cellStyle name="제목 1 2 3 4" xfId="12515"/>
    <cellStyle name="제목 1 2 3 5" xfId="20459"/>
    <cellStyle name="제목 1 2 4" xfId="12516"/>
    <cellStyle name="제목 1 2 4 2" xfId="20460"/>
    <cellStyle name="제목 1 2 5" xfId="12517"/>
    <cellStyle name="제목 1 2 6" xfId="12518"/>
    <cellStyle name="제목 1 2 6 2" xfId="20462"/>
    <cellStyle name="제목 1 2 7" xfId="12519"/>
    <cellStyle name="제목 1 2 7 2" xfId="20463"/>
    <cellStyle name="제목 1 2 8" xfId="12520"/>
    <cellStyle name="제목 1 2 9" xfId="12521"/>
    <cellStyle name="제목 1 20" xfId="12522"/>
    <cellStyle name="제목 1 20 2" xfId="12523"/>
    <cellStyle name="제목 1 20 3" xfId="12524"/>
    <cellStyle name="제목 1 20 4" xfId="12525"/>
    <cellStyle name="제목 1 20 5" xfId="12526"/>
    <cellStyle name="제목 1 21" xfId="12527"/>
    <cellStyle name="제목 1 21 2" xfId="12528"/>
    <cellStyle name="제목 1 21 3" xfId="12529"/>
    <cellStyle name="제목 1 21 4" xfId="12530"/>
    <cellStyle name="제목 1 21 5" xfId="12531"/>
    <cellStyle name="제목 1 22" xfId="12532"/>
    <cellStyle name="제목 1 22 2" xfId="12533"/>
    <cellStyle name="제목 1 22 3" xfId="12534"/>
    <cellStyle name="제목 1 22 4" xfId="12535"/>
    <cellStyle name="제목 1 22 5" xfId="12536"/>
    <cellStyle name="제목 1 23" xfId="12537"/>
    <cellStyle name="제목 1 23 2" xfId="12538"/>
    <cellStyle name="제목 1 24" xfId="12539"/>
    <cellStyle name="제목 1 24 2" xfId="12540"/>
    <cellStyle name="제목 1 25" xfId="12541"/>
    <cellStyle name="제목 1 26" xfId="12542"/>
    <cellStyle name="제목 1 3" xfId="12543"/>
    <cellStyle name="제목 1 3 2" xfId="12544"/>
    <cellStyle name="제목 1 3 2 2" xfId="12545"/>
    <cellStyle name="제목 1 3 2 2 2" xfId="12546"/>
    <cellStyle name="제목 1 3 2 2 3" xfId="12547"/>
    <cellStyle name="제목 1 3 2 3" xfId="12548"/>
    <cellStyle name="제목 1 3 2 4" xfId="12549"/>
    <cellStyle name="제목 1 3 3" xfId="12550"/>
    <cellStyle name="제목 1 3 3 2" xfId="20465"/>
    <cellStyle name="제목 1 3 4" xfId="12551"/>
    <cellStyle name="제목 1 3 4 2" xfId="12552"/>
    <cellStyle name="제목 1 3 4 3" xfId="12553"/>
    <cellStyle name="제목 1 3 4 4" xfId="20466"/>
    <cellStyle name="제목 1 3 5" xfId="12554"/>
    <cellStyle name="제목 1 4" xfId="12555"/>
    <cellStyle name="제목 1 4 2" xfId="12556"/>
    <cellStyle name="제목 1 4 3" xfId="12557"/>
    <cellStyle name="제목 1 5" xfId="12558"/>
    <cellStyle name="제목 1 5 2" xfId="12559"/>
    <cellStyle name="제목 1 5 2 2" xfId="12560"/>
    <cellStyle name="제목 1 5 2 2 2" xfId="12561"/>
    <cellStyle name="제목 1 5 2 3" xfId="12562"/>
    <cellStyle name="제목 1 6" xfId="12563"/>
    <cellStyle name="제목 1 6 2" xfId="12564"/>
    <cellStyle name="제목 1 6 2 2" xfId="12565"/>
    <cellStyle name="제목 1 6 2 2 2" xfId="12566"/>
    <cellStyle name="제목 1 6 2 3" xfId="12567"/>
    <cellStyle name="제목 1 7" xfId="12568"/>
    <cellStyle name="제목 1 7 2" xfId="12569"/>
    <cellStyle name="제목 1 7 2 2" xfId="12570"/>
    <cellStyle name="제목 1 7 2 2 2" xfId="12571"/>
    <cellStyle name="제목 1 7 2 3" xfId="12572"/>
    <cellStyle name="제목 1 8" xfId="12573"/>
    <cellStyle name="제목 1 8 2" xfId="12574"/>
    <cellStyle name="제목 1 8 2 2" xfId="12575"/>
    <cellStyle name="제목 1 8 2 2 2" xfId="12576"/>
    <cellStyle name="제목 1 8 2 3" xfId="12577"/>
    <cellStyle name="제목 1 9" xfId="12578"/>
    <cellStyle name="제목 1 9 2" xfId="12579"/>
    <cellStyle name="제목 1 9 2 2" xfId="12580"/>
    <cellStyle name="제목 1 9 2 2 2" xfId="12581"/>
    <cellStyle name="제목 1 9 2 2 2 2" xfId="22810"/>
    <cellStyle name="제목 1 9 2 3" xfId="12582"/>
    <cellStyle name="제목 1 9 2 4" xfId="12583"/>
    <cellStyle name="제목 1 9 3" xfId="12584"/>
    <cellStyle name="제목 1 9 4" xfId="12585"/>
    <cellStyle name="제목 10" xfId="12586"/>
    <cellStyle name="제목 10 2" xfId="12587"/>
    <cellStyle name="제목 10 2 2" xfId="12588"/>
    <cellStyle name="제목 10 2 2 2" xfId="12589"/>
    <cellStyle name="제목 10 2 3" xfId="12590"/>
    <cellStyle name="제목 11" xfId="12591"/>
    <cellStyle name="제목 11 2" xfId="12592"/>
    <cellStyle name="제목 11 2 2" xfId="12593"/>
    <cellStyle name="제목 11 2 2 2" xfId="12594"/>
    <cellStyle name="제목 11 2 3" xfId="12595"/>
    <cellStyle name="제목 12" xfId="12596"/>
    <cellStyle name="제목 12 2" xfId="12597"/>
    <cellStyle name="제목 12 2 2" xfId="12598"/>
    <cellStyle name="제목 12 2 2 2" xfId="12599"/>
    <cellStyle name="제목 12 2 2 2 2" xfId="22811"/>
    <cellStyle name="제목 12 2 3" xfId="12600"/>
    <cellStyle name="제목 12 2 4" xfId="12601"/>
    <cellStyle name="제목 12 3" xfId="12602"/>
    <cellStyle name="제목 12 4" xfId="12603"/>
    <cellStyle name="제목 13" xfId="12604"/>
    <cellStyle name="제목 13 2" xfId="12605"/>
    <cellStyle name="제목 13 3" xfId="12606"/>
    <cellStyle name="제목 13 3 2" xfId="12607"/>
    <cellStyle name="제목 13 4" xfId="12608"/>
    <cellStyle name="제목 14" xfId="12609"/>
    <cellStyle name="제목 14 2" xfId="12610"/>
    <cellStyle name="제목 14 2 2" xfId="12611"/>
    <cellStyle name="제목 14 2 2 2" xfId="12612"/>
    <cellStyle name="제목 14 2 3" xfId="12613"/>
    <cellStyle name="제목 14 3" xfId="12614"/>
    <cellStyle name="제목 14 3 2" xfId="12615"/>
    <cellStyle name="제목 14 4" xfId="12616"/>
    <cellStyle name="제목 14 5" xfId="12617"/>
    <cellStyle name="제목 15" xfId="12618"/>
    <cellStyle name="제목 15 2" xfId="12619"/>
    <cellStyle name="제목 15 2 2" xfId="12620"/>
    <cellStyle name="제목 15 2 2 2" xfId="12621"/>
    <cellStyle name="제목 15 2 3" xfId="12622"/>
    <cellStyle name="제목 15 3" xfId="12623"/>
    <cellStyle name="제목 15 3 2" xfId="12624"/>
    <cellStyle name="제목 15 4" xfId="12625"/>
    <cellStyle name="제목 15 5" xfId="12626"/>
    <cellStyle name="제목 16" xfId="12627"/>
    <cellStyle name="제목 16 2" xfId="12628"/>
    <cellStyle name="제목 16 2 2" xfId="12629"/>
    <cellStyle name="제목 16 2 2 2" xfId="12630"/>
    <cellStyle name="제목 16 2 3" xfId="12631"/>
    <cellStyle name="제목 16 3" xfId="12632"/>
    <cellStyle name="제목 16 3 2" xfId="12633"/>
    <cellStyle name="제목 16 4" xfId="12634"/>
    <cellStyle name="제목 16 5" xfId="12635"/>
    <cellStyle name="제목 17" xfId="12636"/>
    <cellStyle name="제목 17 2" xfId="12637"/>
    <cellStyle name="제목 17 3" xfId="12638"/>
    <cellStyle name="제목 17 4" xfId="12639"/>
    <cellStyle name="제목 17 5" xfId="12640"/>
    <cellStyle name="제목 18" xfId="12641"/>
    <cellStyle name="제목 18 2" xfId="12642"/>
    <cellStyle name="제목 18 3" xfId="12643"/>
    <cellStyle name="제목 18 4" xfId="12644"/>
    <cellStyle name="제목 18 5" xfId="12645"/>
    <cellStyle name="제목 19" xfId="12646"/>
    <cellStyle name="제목 19 2" xfId="12647"/>
    <cellStyle name="제목 19 3" xfId="12648"/>
    <cellStyle name="제목 19 4" xfId="12649"/>
    <cellStyle name="제목 19 5" xfId="12650"/>
    <cellStyle name="제목 2" xfId="3" builtinId="17" customBuiltin="1"/>
    <cellStyle name="제목 2 10" xfId="12651"/>
    <cellStyle name="제목 2 10 2" xfId="12652"/>
    <cellStyle name="제목 2 10 3" xfId="12653"/>
    <cellStyle name="제목 2 10 3 2" xfId="12654"/>
    <cellStyle name="제목 2 10 4" xfId="12655"/>
    <cellStyle name="제목 2 11" xfId="12656"/>
    <cellStyle name="제목 2 11 2" xfId="12657"/>
    <cellStyle name="제목 2 11 2 2" xfId="12658"/>
    <cellStyle name="제목 2 11 2 2 2" xfId="12659"/>
    <cellStyle name="제목 2 11 2 3" xfId="12660"/>
    <cellStyle name="제목 2 11 3" xfId="12661"/>
    <cellStyle name="제목 2 11 3 2" xfId="12662"/>
    <cellStyle name="제목 2 11 4" xfId="12663"/>
    <cellStyle name="제목 2 11 5" xfId="12664"/>
    <cellStyle name="제목 2 12" xfId="12665"/>
    <cellStyle name="제목 2 12 2" xfId="12666"/>
    <cellStyle name="제목 2 12 2 2" xfId="12667"/>
    <cellStyle name="제목 2 12 2 2 2" xfId="12668"/>
    <cellStyle name="제목 2 12 2 3" xfId="12669"/>
    <cellStyle name="제목 2 12 3" xfId="12670"/>
    <cellStyle name="제목 2 12 3 2" xfId="12671"/>
    <cellStyle name="제목 2 12 4" xfId="12672"/>
    <cellStyle name="제목 2 12 5" xfId="12673"/>
    <cellStyle name="제목 2 13" xfId="12674"/>
    <cellStyle name="제목 2 13 2" xfId="12675"/>
    <cellStyle name="제목 2 13 2 2" xfId="12676"/>
    <cellStyle name="제목 2 13 2 2 2" xfId="12677"/>
    <cellStyle name="제목 2 13 2 2 2 2" xfId="22812"/>
    <cellStyle name="제목 2 13 2 3" xfId="12678"/>
    <cellStyle name="제목 2 13 3" xfId="12679"/>
    <cellStyle name="제목 2 13 3 2" xfId="12680"/>
    <cellStyle name="제목 2 13 3 2 2" xfId="12681"/>
    <cellStyle name="제목 2 13 3 3" xfId="12682"/>
    <cellStyle name="제목 2 13 4" xfId="12683"/>
    <cellStyle name="제목 2 13 4 2" xfId="12684"/>
    <cellStyle name="제목 2 13 5" xfId="12685"/>
    <cellStyle name="제목 2 14" xfId="12686"/>
    <cellStyle name="제목 2 14 2" xfId="12687"/>
    <cellStyle name="제목 2 14 3" xfId="12688"/>
    <cellStyle name="제목 2 14 4" xfId="12689"/>
    <cellStyle name="제목 2 14 5" xfId="12690"/>
    <cellStyle name="제목 2 15" xfId="12691"/>
    <cellStyle name="제목 2 15 2" xfId="12692"/>
    <cellStyle name="제목 2 15 3" xfId="12693"/>
    <cellStyle name="제목 2 15 4" xfId="12694"/>
    <cellStyle name="제목 2 15 5" xfId="12695"/>
    <cellStyle name="제목 2 16" xfId="12696"/>
    <cellStyle name="제목 2 16 2" xfId="12697"/>
    <cellStyle name="제목 2 16 3" xfId="12698"/>
    <cellStyle name="제목 2 16 4" xfId="12699"/>
    <cellStyle name="제목 2 16 5" xfId="12700"/>
    <cellStyle name="제목 2 17" xfId="12701"/>
    <cellStyle name="제목 2 17 2" xfId="12702"/>
    <cellStyle name="제목 2 17 2 2" xfId="22813"/>
    <cellStyle name="제목 2 17 3" xfId="12703"/>
    <cellStyle name="제목 2 17 4" xfId="12704"/>
    <cellStyle name="제목 2 17 5" xfId="12705"/>
    <cellStyle name="제목 2 17 6" xfId="20645"/>
    <cellStyle name="제목 2 18" xfId="12706"/>
    <cellStyle name="제목 2 18 2" xfId="12707"/>
    <cellStyle name="제목 2 18 3" xfId="12708"/>
    <cellStyle name="제목 2 18 4" xfId="12709"/>
    <cellStyle name="제목 2 18 5" xfId="12710"/>
    <cellStyle name="제목 2 19" xfId="12711"/>
    <cellStyle name="제목 2 19 2" xfId="12712"/>
    <cellStyle name="제목 2 19 3" xfId="12713"/>
    <cellStyle name="제목 2 19 4" xfId="12714"/>
    <cellStyle name="제목 2 19 5" xfId="12715"/>
    <cellStyle name="제목 2 2" xfId="12716"/>
    <cellStyle name="제목 2 2 10" xfId="12717"/>
    <cellStyle name="제목 2 2 11" xfId="12718"/>
    <cellStyle name="제목 2 2 2" xfId="12719"/>
    <cellStyle name="제목 2 2 2 2" xfId="12720"/>
    <cellStyle name="제목 2 2 2 2 2" xfId="12721"/>
    <cellStyle name="제목 2 2 2 2 3" xfId="12722"/>
    <cellStyle name="제목 2 2 2 3" xfId="12723"/>
    <cellStyle name="제목 2 2 2 4" xfId="12724"/>
    <cellStyle name="제목 2 2 2 5" xfId="20481"/>
    <cellStyle name="제목 2 2 3" xfId="12725"/>
    <cellStyle name="제목 2 2 3 2" xfId="12726"/>
    <cellStyle name="제목 2 2 3 2 2" xfId="12727"/>
    <cellStyle name="제목 2 2 3 2 2 2" xfId="12728"/>
    <cellStyle name="제목 2 2 3 2 2 2 2" xfId="22814"/>
    <cellStyle name="제목 2 2 3 2 3" xfId="12729"/>
    <cellStyle name="제목 2 2 3 3" xfId="12730"/>
    <cellStyle name="제목 2 2 3 3 2" xfId="12731"/>
    <cellStyle name="제목 2 2 3 4" xfId="12732"/>
    <cellStyle name="제목 2 2 3 5" xfId="20482"/>
    <cellStyle name="제목 2 2 4" xfId="12733"/>
    <cellStyle name="제목 2 2 4 2" xfId="20483"/>
    <cellStyle name="제목 2 2 5" xfId="12734"/>
    <cellStyle name="제목 2 2 6" xfId="12735"/>
    <cellStyle name="제목 2 2 6 2" xfId="20485"/>
    <cellStyle name="제목 2 2 7" xfId="12736"/>
    <cellStyle name="제목 2 2 7 2" xfId="20486"/>
    <cellStyle name="제목 2 2 8" xfId="12737"/>
    <cellStyle name="제목 2 2 9" xfId="12738"/>
    <cellStyle name="제목 2 20" xfId="12739"/>
    <cellStyle name="제목 2 20 2" xfId="12740"/>
    <cellStyle name="제목 2 20 3" xfId="12741"/>
    <cellStyle name="제목 2 20 4" xfId="12742"/>
    <cellStyle name="제목 2 20 5" xfId="12743"/>
    <cellStyle name="제목 2 21" xfId="12744"/>
    <cellStyle name="제목 2 21 2" xfId="12745"/>
    <cellStyle name="제목 2 21 3" xfId="12746"/>
    <cellStyle name="제목 2 21 4" xfId="12747"/>
    <cellStyle name="제목 2 21 5" xfId="12748"/>
    <cellStyle name="제목 2 22" xfId="12749"/>
    <cellStyle name="제목 2 22 2" xfId="12750"/>
    <cellStyle name="제목 2 22 3" xfId="12751"/>
    <cellStyle name="제목 2 22 4" xfId="12752"/>
    <cellStyle name="제목 2 22 5" xfId="12753"/>
    <cellStyle name="제목 2 23" xfId="12754"/>
    <cellStyle name="제목 2 23 2" xfId="12755"/>
    <cellStyle name="제목 2 24" xfId="12756"/>
    <cellStyle name="제목 2 24 2" xfId="12757"/>
    <cellStyle name="제목 2 25" xfId="12758"/>
    <cellStyle name="제목 2 26" xfId="12759"/>
    <cellStyle name="제목 2 3" xfId="12760"/>
    <cellStyle name="제목 2 3 2" xfId="12761"/>
    <cellStyle name="제목 2 3 2 2" xfId="12762"/>
    <cellStyle name="제목 2 3 2 2 2" xfId="12763"/>
    <cellStyle name="제목 2 3 2 2 3" xfId="12764"/>
    <cellStyle name="제목 2 3 2 3" xfId="12765"/>
    <cellStyle name="제목 2 3 2 4" xfId="12766"/>
    <cellStyle name="제목 2 3 3" xfId="12767"/>
    <cellStyle name="제목 2 3 3 2" xfId="20489"/>
    <cellStyle name="제목 2 3 4" xfId="12768"/>
    <cellStyle name="제목 2 3 4 2" xfId="12769"/>
    <cellStyle name="제목 2 3 4 3" xfId="12770"/>
    <cellStyle name="제목 2 3 4 4" xfId="20490"/>
    <cellStyle name="제목 2 3 5" xfId="12771"/>
    <cellStyle name="제목 2 4" xfId="12772"/>
    <cellStyle name="제목 2 4 2" xfId="12773"/>
    <cellStyle name="제목 2 4 3" xfId="12774"/>
    <cellStyle name="제목 2 5" xfId="12775"/>
    <cellStyle name="제목 2 5 2" xfId="12776"/>
    <cellStyle name="제목 2 5 2 2" xfId="12777"/>
    <cellStyle name="제목 2 5 2 2 2" xfId="12778"/>
    <cellStyle name="제목 2 5 2 3" xfId="12779"/>
    <cellStyle name="제목 2 6" xfId="12780"/>
    <cellStyle name="제목 2 6 2" xfId="12781"/>
    <cellStyle name="제목 2 6 2 2" xfId="12782"/>
    <cellStyle name="제목 2 6 2 2 2" xfId="12783"/>
    <cellStyle name="제목 2 6 2 3" xfId="12784"/>
    <cellStyle name="제목 2 7" xfId="12785"/>
    <cellStyle name="제목 2 7 2" xfId="12786"/>
    <cellStyle name="제목 2 7 2 2" xfId="12787"/>
    <cellStyle name="제목 2 7 2 2 2" xfId="12788"/>
    <cellStyle name="제목 2 7 2 3" xfId="12789"/>
    <cellStyle name="제목 2 8" xfId="12790"/>
    <cellStyle name="제목 2 8 2" xfId="12791"/>
    <cellStyle name="제목 2 8 2 2" xfId="12792"/>
    <cellStyle name="제목 2 8 2 2 2" xfId="12793"/>
    <cellStyle name="제목 2 8 2 3" xfId="12794"/>
    <cellStyle name="제목 2 9" xfId="12795"/>
    <cellStyle name="제목 2 9 2" xfId="12796"/>
    <cellStyle name="제목 2 9 2 2" xfId="12797"/>
    <cellStyle name="제목 2 9 2 2 2" xfId="12798"/>
    <cellStyle name="제목 2 9 2 2 2 2" xfId="22815"/>
    <cellStyle name="제목 2 9 2 3" xfId="12799"/>
    <cellStyle name="제목 2 9 2 4" xfId="12800"/>
    <cellStyle name="제목 2 9 3" xfId="12801"/>
    <cellStyle name="제목 2 9 4" xfId="12802"/>
    <cellStyle name="제목 20" xfId="12803"/>
    <cellStyle name="제목 20 2" xfId="12804"/>
    <cellStyle name="제목 20 2 2" xfId="22816"/>
    <cellStyle name="제목 20 3" xfId="12805"/>
    <cellStyle name="제목 20 4" xfId="12806"/>
    <cellStyle name="제목 20 5" xfId="12807"/>
    <cellStyle name="제목 20 6" xfId="20643"/>
    <cellStyle name="제목 21" xfId="12808"/>
    <cellStyle name="제목 21 2" xfId="12809"/>
    <cellStyle name="제목 21 3" xfId="12810"/>
    <cellStyle name="제목 21 4" xfId="12811"/>
    <cellStyle name="제목 21 5" xfId="12812"/>
    <cellStyle name="제목 22" xfId="12813"/>
    <cellStyle name="제목 22 2" xfId="12814"/>
    <cellStyle name="제목 22 3" xfId="12815"/>
    <cellStyle name="제목 22 4" xfId="12816"/>
    <cellStyle name="제목 22 5" xfId="12817"/>
    <cellStyle name="제목 23" xfId="12818"/>
    <cellStyle name="제목 23 2" xfId="12819"/>
    <cellStyle name="제목 23 3" xfId="12820"/>
    <cellStyle name="제목 23 4" xfId="12821"/>
    <cellStyle name="제목 23 5" xfId="12822"/>
    <cellStyle name="제목 24" xfId="12823"/>
    <cellStyle name="제목 24 2" xfId="12824"/>
    <cellStyle name="제목 24 3" xfId="12825"/>
    <cellStyle name="제목 24 4" xfId="12826"/>
    <cellStyle name="제목 24 5" xfId="12827"/>
    <cellStyle name="제목 25" xfId="12828"/>
    <cellStyle name="제목 25 2" xfId="12829"/>
    <cellStyle name="제목 25 3" xfId="12830"/>
    <cellStyle name="제목 25 4" xfId="12831"/>
    <cellStyle name="제목 26" xfId="12832"/>
    <cellStyle name="제목 26 2" xfId="12833"/>
    <cellStyle name="제목 27" xfId="12834"/>
    <cellStyle name="제목 27 2" xfId="12835"/>
    <cellStyle name="제목 28" xfId="12836"/>
    <cellStyle name="제목 29" xfId="23073"/>
    <cellStyle name="제목 3" xfId="4" builtinId="18" customBuiltin="1"/>
    <cellStyle name="제목 3 10" xfId="12837"/>
    <cellStyle name="제목 3 10 2" xfId="12838"/>
    <cellStyle name="제목 3 10 3" xfId="12839"/>
    <cellStyle name="제목 3 10 3 2" xfId="12840"/>
    <cellStyle name="제목 3 10 4" xfId="12841"/>
    <cellStyle name="제목 3 11" xfId="12842"/>
    <cellStyle name="제목 3 11 2" xfId="12843"/>
    <cellStyle name="제목 3 11 2 2" xfId="12844"/>
    <cellStyle name="제목 3 11 2 2 2" xfId="12845"/>
    <cellStyle name="제목 3 11 2 3" xfId="12846"/>
    <cellStyle name="제목 3 11 3" xfId="12847"/>
    <cellStyle name="제목 3 11 3 2" xfId="12848"/>
    <cellStyle name="제목 3 11 4" xfId="12849"/>
    <cellStyle name="제목 3 11 5" xfId="12850"/>
    <cellStyle name="제목 3 12" xfId="12851"/>
    <cellStyle name="제목 3 12 2" xfId="12852"/>
    <cellStyle name="제목 3 12 2 2" xfId="12853"/>
    <cellStyle name="제목 3 12 2 2 2" xfId="12854"/>
    <cellStyle name="제목 3 12 2 3" xfId="12855"/>
    <cellStyle name="제목 3 12 3" xfId="12856"/>
    <cellStyle name="제목 3 12 3 2" xfId="12857"/>
    <cellStyle name="제목 3 12 4" xfId="12858"/>
    <cellStyle name="제목 3 12 5" xfId="12859"/>
    <cellStyle name="제목 3 13" xfId="12860"/>
    <cellStyle name="제목 3 13 2" xfId="12861"/>
    <cellStyle name="제목 3 13 2 2" xfId="12862"/>
    <cellStyle name="제목 3 13 2 2 2" xfId="12863"/>
    <cellStyle name="제목 3 13 2 2 2 2" xfId="22817"/>
    <cellStyle name="제목 3 13 2 3" xfId="12864"/>
    <cellStyle name="제목 3 13 3" xfId="12865"/>
    <cellStyle name="제목 3 13 3 2" xfId="12866"/>
    <cellStyle name="제목 3 13 3 2 2" xfId="12867"/>
    <cellStyle name="제목 3 13 3 3" xfId="12868"/>
    <cellStyle name="제목 3 13 4" xfId="12869"/>
    <cellStyle name="제목 3 13 4 2" xfId="12870"/>
    <cellStyle name="제목 3 13 5" xfId="12871"/>
    <cellStyle name="제목 3 14" xfId="12872"/>
    <cellStyle name="제목 3 14 2" xfId="12873"/>
    <cellStyle name="제목 3 14 3" xfId="12874"/>
    <cellStyle name="제목 3 14 4" xfId="12875"/>
    <cellStyle name="제목 3 14 5" xfId="12876"/>
    <cellStyle name="제목 3 15" xfId="12877"/>
    <cellStyle name="제목 3 15 2" xfId="12878"/>
    <cellStyle name="제목 3 15 3" xfId="12879"/>
    <cellStyle name="제목 3 15 4" xfId="12880"/>
    <cellStyle name="제목 3 15 5" xfId="12881"/>
    <cellStyle name="제목 3 16" xfId="12882"/>
    <cellStyle name="제목 3 16 2" xfId="12883"/>
    <cellStyle name="제목 3 16 3" xfId="12884"/>
    <cellStyle name="제목 3 16 4" xfId="12885"/>
    <cellStyle name="제목 3 16 5" xfId="12886"/>
    <cellStyle name="제목 3 17" xfId="12887"/>
    <cellStyle name="제목 3 17 2" xfId="12888"/>
    <cellStyle name="제목 3 17 2 2" xfId="22818"/>
    <cellStyle name="제목 3 17 3" xfId="12889"/>
    <cellStyle name="제목 3 17 4" xfId="12890"/>
    <cellStyle name="제목 3 17 5" xfId="12891"/>
    <cellStyle name="제목 3 17 6" xfId="20646"/>
    <cellStyle name="제목 3 18" xfId="12892"/>
    <cellStyle name="제목 3 18 2" xfId="12893"/>
    <cellStyle name="제목 3 18 3" xfId="12894"/>
    <cellStyle name="제목 3 18 4" xfId="12895"/>
    <cellStyle name="제목 3 18 5" xfId="12896"/>
    <cellStyle name="제목 3 19" xfId="12897"/>
    <cellStyle name="제목 3 19 2" xfId="12898"/>
    <cellStyle name="제목 3 19 3" xfId="12899"/>
    <cellStyle name="제목 3 19 4" xfId="12900"/>
    <cellStyle name="제목 3 19 5" xfId="12901"/>
    <cellStyle name="제목 3 2" xfId="12902"/>
    <cellStyle name="제목 3 2 10" xfId="12903"/>
    <cellStyle name="제목 3 2 11" xfId="12904"/>
    <cellStyle name="제목 3 2 2" xfId="12905"/>
    <cellStyle name="제목 3 2 2 2" xfId="12906"/>
    <cellStyle name="제목 3 2 2 2 2" xfId="12907"/>
    <cellStyle name="제목 3 2 2 2 3" xfId="12908"/>
    <cellStyle name="제목 3 2 2 3" xfId="12909"/>
    <cellStyle name="제목 3 2 2 4" xfId="12910"/>
    <cellStyle name="제목 3 2 2 5" xfId="20504"/>
    <cellStyle name="제목 3 2 3" xfId="12911"/>
    <cellStyle name="제목 3 2 3 2" xfId="12912"/>
    <cellStyle name="제목 3 2 3 2 2" xfId="12913"/>
    <cellStyle name="제목 3 2 3 2 2 2" xfId="12914"/>
    <cellStyle name="제목 3 2 3 2 2 2 2" xfId="22819"/>
    <cellStyle name="제목 3 2 3 2 3" xfId="12915"/>
    <cellStyle name="제목 3 2 3 3" xfId="12916"/>
    <cellStyle name="제목 3 2 3 3 2" xfId="12917"/>
    <cellStyle name="제목 3 2 3 4" xfId="12918"/>
    <cellStyle name="제목 3 2 3 5" xfId="20505"/>
    <cellStyle name="제목 3 2 4" xfId="12919"/>
    <cellStyle name="제목 3 2 4 2" xfId="20506"/>
    <cellStyle name="제목 3 2 5" xfId="12920"/>
    <cellStyle name="제목 3 2 6" xfId="12921"/>
    <cellStyle name="제목 3 2 6 2" xfId="20508"/>
    <cellStyle name="제목 3 2 7" xfId="12922"/>
    <cellStyle name="제목 3 2 7 2" xfId="20509"/>
    <cellStyle name="제목 3 2 8" xfId="12923"/>
    <cellStyle name="제목 3 2 9" xfId="12924"/>
    <cellStyle name="제목 3 20" xfId="12925"/>
    <cellStyle name="제목 3 20 2" xfId="12926"/>
    <cellStyle name="제목 3 20 3" xfId="12927"/>
    <cellStyle name="제목 3 20 4" xfId="12928"/>
    <cellStyle name="제목 3 20 5" xfId="12929"/>
    <cellStyle name="제목 3 21" xfId="12930"/>
    <cellStyle name="제목 3 21 2" xfId="12931"/>
    <cellStyle name="제목 3 21 3" xfId="12932"/>
    <cellStyle name="제목 3 21 4" xfId="12933"/>
    <cellStyle name="제목 3 21 5" xfId="12934"/>
    <cellStyle name="제목 3 22" xfId="12935"/>
    <cellStyle name="제목 3 22 2" xfId="12936"/>
    <cellStyle name="제목 3 22 3" xfId="12937"/>
    <cellStyle name="제목 3 22 4" xfId="12938"/>
    <cellStyle name="제목 3 22 5" xfId="12939"/>
    <cellStyle name="제목 3 23" xfId="12940"/>
    <cellStyle name="제목 3 23 2" xfId="12941"/>
    <cellStyle name="제목 3 24" xfId="12942"/>
    <cellStyle name="제목 3 24 2" xfId="12943"/>
    <cellStyle name="제목 3 25" xfId="12944"/>
    <cellStyle name="제목 3 26" xfId="12945"/>
    <cellStyle name="제목 3 3" xfId="12946"/>
    <cellStyle name="제목 3 3 2" xfId="12947"/>
    <cellStyle name="제목 3 3 2 2" xfId="12948"/>
    <cellStyle name="제목 3 3 2 2 2" xfId="12949"/>
    <cellStyle name="제목 3 3 2 2 3" xfId="12950"/>
    <cellStyle name="제목 3 3 2 3" xfId="12951"/>
    <cellStyle name="제목 3 3 2 4" xfId="12952"/>
    <cellStyle name="제목 3 3 3" xfId="12953"/>
    <cellStyle name="제목 3 3 3 2" xfId="20512"/>
    <cellStyle name="제목 3 3 4" xfId="12954"/>
    <cellStyle name="제목 3 3 4 2" xfId="12955"/>
    <cellStyle name="제목 3 3 4 3" xfId="12956"/>
    <cellStyle name="제목 3 3 4 4" xfId="20513"/>
    <cellStyle name="제목 3 3 5" xfId="12957"/>
    <cellStyle name="제목 3 4" xfId="12958"/>
    <cellStyle name="제목 3 4 2" xfId="12959"/>
    <cellStyle name="제목 3 4 3" xfId="12960"/>
    <cellStyle name="제목 3 5" xfId="12961"/>
    <cellStyle name="제목 3 5 2" xfId="12962"/>
    <cellStyle name="제목 3 5 2 2" xfId="12963"/>
    <cellStyle name="제목 3 5 2 2 2" xfId="12964"/>
    <cellStyle name="제목 3 5 2 3" xfId="12965"/>
    <cellStyle name="제목 3 6" xfId="12966"/>
    <cellStyle name="제목 3 6 2" xfId="12967"/>
    <cellStyle name="제목 3 6 2 2" xfId="12968"/>
    <cellStyle name="제목 3 6 2 2 2" xfId="12969"/>
    <cellStyle name="제목 3 6 2 3" xfId="12970"/>
    <cellStyle name="제목 3 7" xfId="12971"/>
    <cellStyle name="제목 3 7 2" xfId="12972"/>
    <cellStyle name="제목 3 7 2 2" xfId="12973"/>
    <cellStyle name="제목 3 7 2 2 2" xfId="12974"/>
    <cellStyle name="제목 3 7 2 3" xfId="12975"/>
    <cellStyle name="제목 3 8" xfId="12976"/>
    <cellStyle name="제목 3 8 2" xfId="12977"/>
    <cellStyle name="제목 3 8 2 2" xfId="12978"/>
    <cellStyle name="제목 3 8 2 2 2" xfId="12979"/>
    <cellStyle name="제목 3 8 2 3" xfId="12980"/>
    <cellStyle name="제목 3 9" xfId="12981"/>
    <cellStyle name="제목 3 9 2" xfId="12982"/>
    <cellStyle name="제목 3 9 2 2" xfId="12983"/>
    <cellStyle name="제목 3 9 2 2 2" xfId="12984"/>
    <cellStyle name="제목 3 9 2 2 2 2" xfId="22820"/>
    <cellStyle name="제목 3 9 2 3" xfId="12985"/>
    <cellStyle name="제목 3 9 2 4" xfId="12986"/>
    <cellStyle name="제목 3 9 3" xfId="12987"/>
    <cellStyle name="제목 3 9 4" xfId="12988"/>
    <cellStyle name="제목 4" xfId="5" builtinId="19" customBuiltin="1"/>
    <cellStyle name="제목 4 10" xfId="12989"/>
    <cellStyle name="제목 4 10 2" xfId="12990"/>
    <cellStyle name="제목 4 10 3" xfId="12991"/>
    <cellStyle name="제목 4 10 3 2" xfId="12992"/>
    <cellStyle name="제목 4 10 4" xfId="12993"/>
    <cellStyle name="제목 4 11" xfId="12994"/>
    <cellStyle name="제목 4 11 2" xfId="12995"/>
    <cellStyle name="제목 4 11 2 2" xfId="12996"/>
    <cellStyle name="제목 4 11 2 2 2" xfId="12997"/>
    <cellStyle name="제목 4 11 2 3" xfId="12998"/>
    <cellStyle name="제목 4 11 3" xfId="12999"/>
    <cellStyle name="제목 4 11 3 2" xfId="13000"/>
    <cellStyle name="제목 4 11 4" xfId="13001"/>
    <cellStyle name="제목 4 11 5" xfId="13002"/>
    <cellStyle name="제목 4 12" xfId="13003"/>
    <cellStyle name="제목 4 12 2" xfId="13004"/>
    <cellStyle name="제목 4 12 2 2" xfId="13005"/>
    <cellStyle name="제목 4 12 2 2 2" xfId="13006"/>
    <cellStyle name="제목 4 12 2 3" xfId="13007"/>
    <cellStyle name="제목 4 12 3" xfId="13008"/>
    <cellStyle name="제목 4 12 3 2" xfId="13009"/>
    <cellStyle name="제목 4 12 4" xfId="13010"/>
    <cellStyle name="제목 4 12 5" xfId="13011"/>
    <cellStyle name="제목 4 13" xfId="13012"/>
    <cellStyle name="제목 4 13 2" xfId="13013"/>
    <cellStyle name="제목 4 13 2 2" xfId="13014"/>
    <cellStyle name="제목 4 13 2 2 2" xfId="13015"/>
    <cellStyle name="제목 4 13 2 2 2 2" xfId="22821"/>
    <cellStyle name="제목 4 13 2 3" xfId="13016"/>
    <cellStyle name="제목 4 13 3" xfId="13017"/>
    <cellStyle name="제목 4 13 3 2" xfId="13018"/>
    <cellStyle name="제목 4 13 3 2 2" xfId="13019"/>
    <cellStyle name="제목 4 13 3 3" xfId="13020"/>
    <cellStyle name="제목 4 13 4" xfId="13021"/>
    <cellStyle name="제목 4 13 4 2" xfId="13022"/>
    <cellStyle name="제목 4 13 5" xfId="13023"/>
    <cellStyle name="제목 4 14" xfId="13024"/>
    <cellStyle name="제목 4 14 2" xfId="13025"/>
    <cellStyle name="제목 4 14 3" xfId="13026"/>
    <cellStyle name="제목 4 14 4" xfId="13027"/>
    <cellStyle name="제목 4 14 5" xfId="13028"/>
    <cellStyle name="제목 4 15" xfId="13029"/>
    <cellStyle name="제목 4 15 2" xfId="13030"/>
    <cellStyle name="제목 4 15 3" xfId="13031"/>
    <cellStyle name="제목 4 15 4" xfId="13032"/>
    <cellStyle name="제목 4 15 5" xfId="13033"/>
    <cellStyle name="제목 4 16" xfId="13034"/>
    <cellStyle name="제목 4 16 2" xfId="13035"/>
    <cellStyle name="제목 4 16 3" xfId="13036"/>
    <cellStyle name="제목 4 16 4" xfId="13037"/>
    <cellStyle name="제목 4 16 5" xfId="13038"/>
    <cellStyle name="제목 4 17" xfId="13039"/>
    <cellStyle name="제목 4 17 2" xfId="13040"/>
    <cellStyle name="제목 4 17 2 2" xfId="22822"/>
    <cellStyle name="제목 4 17 3" xfId="13041"/>
    <cellStyle name="제목 4 17 4" xfId="13042"/>
    <cellStyle name="제목 4 17 5" xfId="13043"/>
    <cellStyle name="제목 4 17 6" xfId="20647"/>
    <cellStyle name="제목 4 18" xfId="13044"/>
    <cellStyle name="제목 4 18 2" xfId="13045"/>
    <cellStyle name="제목 4 18 3" xfId="13046"/>
    <cellStyle name="제목 4 18 4" xfId="13047"/>
    <cellStyle name="제목 4 18 5" xfId="13048"/>
    <cellStyle name="제목 4 19" xfId="13049"/>
    <cellStyle name="제목 4 19 2" xfId="13050"/>
    <cellStyle name="제목 4 19 3" xfId="13051"/>
    <cellStyle name="제목 4 19 4" xfId="13052"/>
    <cellStyle name="제목 4 19 5" xfId="13053"/>
    <cellStyle name="제목 4 2" xfId="13054"/>
    <cellStyle name="제목 4 2 10" xfId="13055"/>
    <cellStyle name="제목 4 2 11" xfId="13056"/>
    <cellStyle name="제목 4 2 2" xfId="13057"/>
    <cellStyle name="제목 4 2 2 2" xfId="13058"/>
    <cellStyle name="제목 4 2 2 2 2" xfId="13059"/>
    <cellStyle name="제목 4 2 2 2 3" xfId="13060"/>
    <cellStyle name="제목 4 2 2 3" xfId="13061"/>
    <cellStyle name="제목 4 2 2 4" xfId="13062"/>
    <cellStyle name="제목 4 2 2 5" xfId="20529"/>
    <cellStyle name="제목 4 2 3" xfId="13063"/>
    <cellStyle name="제목 4 2 3 2" xfId="13064"/>
    <cellStyle name="제목 4 2 3 2 2" xfId="13065"/>
    <cellStyle name="제목 4 2 3 2 2 2" xfId="13066"/>
    <cellStyle name="제목 4 2 3 2 2 2 2" xfId="22823"/>
    <cellStyle name="제목 4 2 3 2 3" xfId="13067"/>
    <cellStyle name="제목 4 2 3 3" xfId="13068"/>
    <cellStyle name="제목 4 2 3 3 2" xfId="13069"/>
    <cellStyle name="제목 4 2 3 4" xfId="13070"/>
    <cellStyle name="제목 4 2 3 5" xfId="20530"/>
    <cellStyle name="제목 4 2 4" xfId="13071"/>
    <cellStyle name="제목 4 2 4 2" xfId="20531"/>
    <cellStyle name="제목 4 2 5" xfId="13072"/>
    <cellStyle name="제목 4 2 6" xfId="13073"/>
    <cellStyle name="제목 4 2 6 2" xfId="20533"/>
    <cellStyle name="제목 4 2 7" xfId="13074"/>
    <cellStyle name="제목 4 2 7 2" xfId="20534"/>
    <cellStyle name="제목 4 2 8" xfId="13075"/>
    <cellStyle name="제목 4 2 9" xfId="13076"/>
    <cellStyle name="제목 4 20" xfId="13077"/>
    <cellStyle name="제목 4 20 2" xfId="13078"/>
    <cellStyle name="제목 4 20 3" xfId="13079"/>
    <cellStyle name="제목 4 20 4" xfId="13080"/>
    <cellStyle name="제목 4 20 5" xfId="13081"/>
    <cellStyle name="제목 4 21" xfId="13082"/>
    <cellStyle name="제목 4 21 2" xfId="13083"/>
    <cellStyle name="제목 4 21 3" xfId="13084"/>
    <cellStyle name="제목 4 21 4" xfId="13085"/>
    <cellStyle name="제목 4 21 5" xfId="13086"/>
    <cellStyle name="제목 4 22" xfId="13087"/>
    <cellStyle name="제목 4 22 2" xfId="13088"/>
    <cellStyle name="제목 4 22 3" xfId="13089"/>
    <cellStyle name="제목 4 22 4" xfId="13090"/>
    <cellStyle name="제목 4 22 5" xfId="13091"/>
    <cellStyle name="제목 4 23" xfId="13092"/>
    <cellStyle name="제목 4 23 2" xfId="13093"/>
    <cellStyle name="제목 4 24" xfId="13094"/>
    <cellStyle name="제목 4 24 2" xfId="13095"/>
    <cellStyle name="제목 4 25" xfId="13096"/>
    <cellStyle name="제목 4 26" xfId="13097"/>
    <cellStyle name="제목 4 3" xfId="13098"/>
    <cellStyle name="제목 4 3 2" xfId="13099"/>
    <cellStyle name="제목 4 3 2 2" xfId="13100"/>
    <cellStyle name="제목 4 3 2 2 2" xfId="13101"/>
    <cellStyle name="제목 4 3 2 2 3" xfId="13102"/>
    <cellStyle name="제목 4 3 2 3" xfId="13103"/>
    <cellStyle name="제목 4 3 2 4" xfId="13104"/>
    <cellStyle name="제목 4 3 3" xfId="13105"/>
    <cellStyle name="제목 4 3 3 2" xfId="20537"/>
    <cellStyle name="제목 4 3 4" xfId="13106"/>
    <cellStyle name="제목 4 3 4 2" xfId="13107"/>
    <cellStyle name="제목 4 3 4 3" xfId="13108"/>
    <cellStyle name="제목 4 3 4 4" xfId="20538"/>
    <cellStyle name="제목 4 3 5" xfId="13109"/>
    <cellStyle name="제목 4 4" xfId="13110"/>
    <cellStyle name="제목 4 4 2" xfId="13111"/>
    <cellStyle name="제목 4 4 3" xfId="13112"/>
    <cellStyle name="제목 4 5" xfId="13113"/>
    <cellStyle name="제목 4 5 2" xfId="13114"/>
    <cellStyle name="제목 4 5 2 2" xfId="13115"/>
    <cellStyle name="제목 4 5 2 2 2" xfId="13116"/>
    <cellStyle name="제목 4 5 2 3" xfId="13117"/>
    <cellStyle name="제목 4 6" xfId="13118"/>
    <cellStyle name="제목 4 6 2" xfId="13119"/>
    <cellStyle name="제목 4 6 2 2" xfId="13120"/>
    <cellStyle name="제목 4 6 2 2 2" xfId="13121"/>
    <cellStyle name="제목 4 6 2 3" xfId="13122"/>
    <cellStyle name="제목 4 7" xfId="13123"/>
    <cellStyle name="제목 4 7 2" xfId="13124"/>
    <cellStyle name="제목 4 7 2 2" xfId="13125"/>
    <cellStyle name="제목 4 7 2 2 2" xfId="13126"/>
    <cellStyle name="제목 4 7 2 3" xfId="13127"/>
    <cellStyle name="제목 4 8" xfId="13128"/>
    <cellStyle name="제목 4 8 2" xfId="13129"/>
    <cellStyle name="제목 4 8 2 2" xfId="13130"/>
    <cellStyle name="제목 4 8 2 2 2" xfId="13131"/>
    <cellStyle name="제목 4 8 2 3" xfId="13132"/>
    <cellStyle name="제목 4 9" xfId="13133"/>
    <cellStyle name="제목 4 9 2" xfId="13134"/>
    <cellStyle name="제목 4 9 2 2" xfId="13135"/>
    <cellStyle name="제목 4 9 2 2 2" xfId="13136"/>
    <cellStyle name="제목 4 9 2 2 2 2" xfId="22824"/>
    <cellStyle name="제목 4 9 2 3" xfId="13137"/>
    <cellStyle name="제목 4 9 2 4" xfId="13138"/>
    <cellStyle name="제목 4 9 3" xfId="13139"/>
    <cellStyle name="제목 4 9 4" xfId="13140"/>
    <cellStyle name="제목 5" xfId="13141"/>
    <cellStyle name="제목 5 10" xfId="13142"/>
    <cellStyle name="제목 5 11" xfId="13143"/>
    <cellStyle name="제목 5 2" xfId="13144"/>
    <cellStyle name="제목 5 2 2" xfId="13145"/>
    <cellStyle name="제목 5 2 2 2" xfId="13146"/>
    <cellStyle name="제목 5 2 2 3" xfId="13147"/>
    <cellStyle name="제목 5 2 3" xfId="13148"/>
    <cellStyle name="제목 5 2 4" xfId="13149"/>
    <cellStyle name="제목 5 2 5" xfId="20545"/>
    <cellStyle name="제목 5 3" xfId="13150"/>
    <cellStyle name="제목 5 3 2" xfId="13151"/>
    <cellStyle name="제목 5 3 2 2" xfId="13152"/>
    <cellStyle name="제목 5 3 2 2 2" xfId="13153"/>
    <cellStyle name="제목 5 3 2 2 2 2" xfId="22825"/>
    <cellStyle name="제목 5 3 2 3" xfId="13154"/>
    <cellStyle name="제목 5 3 3" xfId="13155"/>
    <cellStyle name="제목 5 3 3 2" xfId="13156"/>
    <cellStyle name="제목 5 3 4" xfId="13157"/>
    <cellStyle name="제목 5 3 5" xfId="20546"/>
    <cellStyle name="제목 5 4" xfId="13158"/>
    <cellStyle name="제목 5 4 2" xfId="20547"/>
    <cellStyle name="제목 5 5" xfId="13159"/>
    <cellStyle name="제목 5 6" xfId="13160"/>
    <cellStyle name="제목 5 6 2" xfId="20549"/>
    <cellStyle name="제목 5 7" xfId="13161"/>
    <cellStyle name="제목 5 7 2" xfId="20550"/>
    <cellStyle name="제목 5 8" xfId="13162"/>
    <cellStyle name="제목 5 9" xfId="13163"/>
    <cellStyle name="제목 6" xfId="13164"/>
    <cellStyle name="제목 6 2" xfId="13165"/>
    <cellStyle name="제목 6 2 2" xfId="13166"/>
    <cellStyle name="제목 6 2 2 2" xfId="13167"/>
    <cellStyle name="제목 6 2 2 3" xfId="13168"/>
    <cellStyle name="제목 6 2 3" xfId="13169"/>
    <cellStyle name="제목 6 2 4" xfId="13170"/>
    <cellStyle name="제목 6 3" xfId="13171"/>
    <cellStyle name="제목 6 3 2" xfId="20553"/>
    <cellStyle name="제목 6 4" xfId="13172"/>
    <cellStyle name="제목 6 4 2" xfId="13173"/>
    <cellStyle name="제목 6 4 3" xfId="13174"/>
    <cellStyle name="제목 6 4 4" xfId="20554"/>
    <cellStyle name="제목 6 5" xfId="13175"/>
    <cellStyle name="제목 7" xfId="13176"/>
    <cellStyle name="제목 7 2" xfId="13177"/>
    <cellStyle name="제목 7 3" xfId="13178"/>
    <cellStyle name="제목 8" xfId="13179"/>
    <cellStyle name="제목 8 2" xfId="13180"/>
    <cellStyle name="제목 8 2 2" xfId="13181"/>
    <cellStyle name="제목 8 2 2 2" xfId="13182"/>
    <cellStyle name="제목 8 2 3" xfId="13183"/>
    <cellStyle name="제목 9" xfId="13184"/>
    <cellStyle name="제목 9 2" xfId="13185"/>
    <cellStyle name="제목 9 2 2" xfId="13186"/>
    <cellStyle name="제목 9 2 2 2" xfId="13187"/>
    <cellStyle name="제목 9 2 3" xfId="13188"/>
    <cellStyle name="좋음" xfId="6" builtinId="26" customBuiltin="1"/>
    <cellStyle name="좋음 10" xfId="13189"/>
    <cellStyle name="좋음 10 2" xfId="13190"/>
    <cellStyle name="좋음 10 3" xfId="13191"/>
    <cellStyle name="좋음 10 3 2" xfId="13192"/>
    <cellStyle name="좋음 10 4" xfId="13193"/>
    <cellStyle name="좋음 11" xfId="13194"/>
    <cellStyle name="좋음 11 2" xfId="13195"/>
    <cellStyle name="좋음 11 2 2" xfId="13196"/>
    <cellStyle name="좋음 11 2 2 2" xfId="13197"/>
    <cellStyle name="좋음 11 2 3" xfId="13198"/>
    <cellStyle name="좋음 11 3" xfId="13199"/>
    <cellStyle name="좋음 11 3 2" xfId="13200"/>
    <cellStyle name="좋음 11 4" xfId="13201"/>
    <cellStyle name="좋음 11 5" xfId="13202"/>
    <cellStyle name="좋음 12" xfId="13203"/>
    <cellStyle name="좋음 12 2" xfId="13204"/>
    <cellStyle name="좋음 12 2 2" xfId="13205"/>
    <cellStyle name="좋음 12 2 2 2" xfId="13206"/>
    <cellStyle name="좋음 12 2 3" xfId="13207"/>
    <cellStyle name="좋음 12 3" xfId="13208"/>
    <cellStyle name="좋음 12 3 2" xfId="13209"/>
    <cellStyle name="좋음 12 4" xfId="13210"/>
    <cellStyle name="좋음 12 5" xfId="13211"/>
    <cellStyle name="좋음 13" xfId="13212"/>
    <cellStyle name="좋음 13 2" xfId="13213"/>
    <cellStyle name="좋음 13 2 2" xfId="13214"/>
    <cellStyle name="좋음 13 2 2 2" xfId="13215"/>
    <cellStyle name="좋음 13 2 2 2 2" xfId="22826"/>
    <cellStyle name="좋음 13 2 3" xfId="13216"/>
    <cellStyle name="좋음 13 3" xfId="13217"/>
    <cellStyle name="좋음 13 3 2" xfId="13218"/>
    <cellStyle name="좋음 13 3 2 2" xfId="13219"/>
    <cellStyle name="좋음 13 3 3" xfId="13220"/>
    <cellStyle name="좋음 13 4" xfId="13221"/>
    <cellStyle name="좋음 13 4 2" xfId="13222"/>
    <cellStyle name="좋음 13 5" xfId="13223"/>
    <cellStyle name="좋음 14" xfId="13224"/>
    <cellStyle name="좋음 14 2" xfId="13225"/>
    <cellStyle name="좋음 14 3" xfId="13226"/>
    <cellStyle name="좋음 14 4" xfId="13227"/>
    <cellStyle name="좋음 14 5" xfId="13228"/>
    <cellStyle name="좋음 15" xfId="13229"/>
    <cellStyle name="좋음 15 2" xfId="13230"/>
    <cellStyle name="좋음 15 3" xfId="13231"/>
    <cellStyle name="좋음 15 4" xfId="13232"/>
    <cellStyle name="좋음 15 5" xfId="13233"/>
    <cellStyle name="좋음 16" xfId="13234"/>
    <cellStyle name="좋음 16 2" xfId="13235"/>
    <cellStyle name="좋음 16 3" xfId="13236"/>
    <cellStyle name="좋음 16 4" xfId="13237"/>
    <cellStyle name="좋음 16 5" xfId="13238"/>
    <cellStyle name="좋음 17" xfId="13239"/>
    <cellStyle name="좋음 17 2" xfId="13240"/>
    <cellStyle name="좋음 17 2 2" xfId="22827"/>
    <cellStyle name="좋음 17 3" xfId="13241"/>
    <cellStyle name="좋음 17 4" xfId="13242"/>
    <cellStyle name="좋음 17 5" xfId="13243"/>
    <cellStyle name="좋음 17 6" xfId="20648"/>
    <cellStyle name="좋음 18" xfId="13244"/>
    <cellStyle name="좋음 18 2" xfId="13245"/>
    <cellStyle name="좋음 18 3" xfId="13246"/>
    <cellStyle name="좋음 18 4" xfId="13247"/>
    <cellStyle name="좋음 18 5" xfId="13248"/>
    <cellStyle name="좋음 19" xfId="13249"/>
    <cellStyle name="좋음 19 2" xfId="13250"/>
    <cellStyle name="좋음 19 3" xfId="13251"/>
    <cellStyle name="좋음 19 4" xfId="13252"/>
    <cellStyle name="좋음 19 5" xfId="13253"/>
    <cellStyle name="좋음 2" xfId="13254"/>
    <cellStyle name="좋음 2 10" xfId="13255"/>
    <cellStyle name="좋음 2 11" xfId="13256"/>
    <cellStyle name="좋음 2 12" xfId="19696"/>
    <cellStyle name="좋음 2 2" xfId="13257"/>
    <cellStyle name="좋음 2 2 2" xfId="13258"/>
    <cellStyle name="좋음 2 2 2 2" xfId="13259"/>
    <cellStyle name="좋음 2 2 2 3" xfId="13260"/>
    <cellStyle name="좋음 2 2 3" xfId="13261"/>
    <cellStyle name="좋음 2 2 4" xfId="13262"/>
    <cellStyle name="좋음 2 2 5" xfId="20567"/>
    <cellStyle name="좋음 2 3" xfId="13263"/>
    <cellStyle name="좋음 2 3 2" xfId="13264"/>
    <cellStyle name="좋음 2 3 2 2" xfId="13265"/>
    <cellStyle name="좋음 2 3 2 2 2" xfId="13266"/>
    <cellStyle name="좋음 2 3 2 2 2 2" xfId="22828"/>
    <cellStyle name="좋음 2 3 2 3" xfId="13267"/>
    <cellStyle name="좋음 2 3 3" xfId="13268"/>
    <cellStyle name="좋음 2 3 3 2" xfId="13269"/>
    <cellStyle name="좋음 2 3 4" xfId="13270"/>
    <cellStyle name="좋음 2 3 5" xfId="20568"/>
    <cellStyle name="좋음 2 4" xfId="13271"/>
    <cellStyle name="좋음 2 4 2" xfId="20569"/>
    <cellStyle name="좋음 2 5" xfId="13272"/>
    <cellStyle name="좋음 2 6" xfId="13273"/>
    <cellStyle name="좋음 2 6 2" xfId="20571"/>
    <cellStyle name="좋음 2 7" xfId="13274"/>
    <cellStyle name="좋음 2 7 2" xfId="20572"/>
    <cellStyle name="좋음 2 8" xfId="13275"/>
    <cellStyle name="좋음 2 9" xfId="13276"/>
    <cellStyle name="좋음 20" xfId="13277"/>
    <cellStyle name="좋음 20 2" xfId="13278"/>
    <cellStyle name="좋음 20 3" xfId="13279"/>
    <cellStyle name="좋음 20 4" xfId="13280"/>
    <cellStyle name="좋음 20 5" xfId="13281"/>
    <cellStyle name="좋음 21" xfId="13282"/>
    <cellStyle name="좋음 21 2" xfId="13283"/>
    <cellStyle name="좋음 21 3" xfId="13284"/>
    <cellStyle name="좋음 21 4" xfId="13285"/>
    <cellStyle name="좋음 21 5" xfId="13286"/>
    <cellStyle name="좋음 22" xfId="13287"/>
    <cellStyle name="좋음 22 2" xfId="13288"/>
    <cellStyle name="좋음 22 3" xfId="13289"/>
    <cellStyle name="좋음 22 4" xfId="13290"/>
    <cellStyle name="좋음 22 5" xfId="13291"/>
    <cellStyle name="좋음 23" xfId="13292"/>
    <cellStyle name="좋음 23 2" xfId="13293"/>
    <cellStyle name="좋음 24" xfId="13294"/>
    <cellStyle name="좋음 24 2" xfId="13295"/>
    <cellStyle name="좋음 25" xfId="13296"/>
    <cellStyle name="좋음 26" xfId="13297"/>
    <cellStyle name="좋음 27" xfId="18202"/>
    <cellStyle name="좋음 3" xfId="13298"/>
    <cellStyle name="좋음 3 2" xfId="13299"/>
    <cellStyle name="좋음 3 2 2" xfId="13300"/>
    <cellStyle name="좋음 3 2 2 2" xfId="13301"/>
    <cellStyle name="좋음 3 2 2 3" xfId="13302"/>
    <cellStyle name="좋음 3 2 3" xfId="13303"/>
    <cellStyle name="좋음 3 2 4" xfId="13304"/>
    <cellStyle name="좋음 3 3" xfId="13305"/>
    <cellStyle name="좋음 3 3 2" xfId="20575"/>
    <cellStyle name="좋음 3 4" xfId="13306"/>
    <cellStyle name="좋음 3 4 2" xfId="13307"/>
    <cellStyle name="좋음 3 4 3" xfId="13308"/>
    <cellStyle name="좋음 3 4 4" xfId="20576"/>
    <cellStyle name="좋음 3 5" xfId="13309"/>
    <cellStyle name="좋음 4" xfId="13310"/>
    <cellStyle name="좋음 4 2" xfId="13311"/>
    <cellStyle name="좋음 4 3" xfId="13312"/>
    <cellStyle name="좋음 5" xfId="13313"/>
    <cellStyle name="좋음 5 2" xfId="13314"/>
    <cellStyle name="좋음 5 2 2" xfId="13315"/>
    <cellStyle name="좋음 5 2 2 2" xfId="13316"/>
    <cellStyle name="좋음 5 2 3" xfId="13317"/>
    <cellStyle name="좋음 6" xfId="13318"/>
    <cellStyle name="좋음 6 2" xfId="13319"/>
    <cellStyle name="좋음 6 2 2" xfId="13320"/>
    <cellStyle name="좋음 6 2 2 2" xfId="13321"/>
    <cellStyle name="좋음 6 2 3" xfId="13322"/>
    <cellStyle name="좋음 7" xfId="13323"/>
    <cellStyle name="좋음 7 2" xfId="13324"/>
    <cellStyle name="좋음 7 2 2" xfId="13325"/>
    <cellStyle name="좋음 7 2 2 2" xfId="13326"/>
    <cellStyle name="좋음 7 2 3" xfId="13327"/>
    <cellStyle name="좋음 8" xfId="13328"/>
    <cellStyle name="좋음 8 2" xfId="13329"/>
    <cellStyle name="좋음 8 2 2" xfId="13330"/>
    <cellStyle name="좋음 8 2 2 2" xfId="13331"/>
    <cellStyle name="좋음 8 2 3" xfId="13332"/>
    <cellStyle name="좋음 9" xfId="13333"/>
    <cellStyle name="좋음 9 2" xfId="13334"/>
    <cellStyle name="좋음 9 2 2" xfId="13335"/>
    <cellStyle name="좋음 9 2 2 2" xfId="13336"/>
    <cellStyle name="좋음 9 2 2 2 2" xfId="22829"/>
    <cellStyle name="좋음 9 2 3" xfId="13337"/>
    <cellStyle name="좋음 9 2 4" xfId="13338"/>
    <cellStyle name="좋음 9 3" xfId="13339"/>
    <cellStyle name="좋음 9 4" xfId="13340"/>
    <cellStyle name="지정되지 않음" xfId="20479"/>
    <cellStyle name="출력" xfId="10" builtinId="21" customBuiltin="1"/>
    <cellStyle name="출력 10" xfId="13341"/>
    <cellStyle name="출력 10 2" xfId="13342"/>
    <cellStyle name="출력 10 3" xfId="13343"/>
    <cellStyle name="출력 10 3 2" xfId="13344"/>
    <cellStyle name="출력 10 3 3" xfId="20938"/>
    <cellStyle name="출력 10 3 3 2" xfId="22830"/>
    <cellStyle name="출력 10 3 3 3" xfId="22831"/>
    <cellStyle name="출력 10 3 4" xfId="22832"/>
    <cellStyle name="출력 10 3 5" xfId="22833"/>
    <cellStyle name="출력 10 4" xfId="13345"/>
    <cellStyle name="출력 11" xfId="13346"/>
    <cellStyle name="출력 11 2" xfId="13347"/>
    <cellStyle name="출력 11 2 2" xfId="13348"/>
    <cellStyle name="출력 11 2 2 2" xfId="13349"/>
    <cellStyle name="출력 11 2 2 3" xfId="20939"/>
    <cellStyle name="출력 11 2 2 3 2" xfId="22834"/>
    <cellStyle name="출력 11 2 2 3 3" xfId="22835"/>
    <cellStyle name="출력 11 2 2 4" xfId="22836"/>
    <cellStyle name="출력 11 2 2 5" xfId="22837"/>
    <cellStyle name="출력 11 2 3" xfId="13350"/>
    <cellStyle name="출력 11 3" xfId="13351"/>
    <cellStyle name="출력 11 3 2" xfId="13352"/>
    <cellStyle name="출력 11 3 3" xfId="20940"/>
    <cellStyle name="출력 11 3 3 2" xfId="22838"/>
    <cellStyle name="출력 11 3 3 3" xfId="22839"/>
    <cellStyle name="출력 11 3 4" xfId="22840"/>
    <cellStyle name="출력 11 3 5" xfId="22841"/>
    <cellStyle name="출력 11 4" xfId="13353"/>
    <cellStyle name="출력 11 5" xfId="13354"/>
    <cellStyle name="출력 12" xfId="13355"/>
    <cellStyle name="출력 12 2" xfId="13356"/>
    <cellStyle name="출력 12 2 2" xfId="13357"/>
    <cellStyle name="출력 12 2 2 2" xfId="13358"/>
    <cellStyle name="출력 12 2 2 3" xfId="20941"/>
    <cellStyle name="출력 12 2 2 3 2" xfId="22842"/>
    <cellStyle name="출력 12 2 2 3 3" xfId="22843"/>
    <cellStyle name="출력 12 2 2 4" xfId="22844"/>
    <cellStyle name="출력 12 2 2 5" xfId="22845"/>
    <cellStyle name="출력 12 2 3" xfId="13359"/>
    <cellStyle name="출력 12 3" xfId="13360"/>
    <cellStyle name="출력 12 3 2" xfId="13361"/>
    <cellStyle name="출력 12 3 3" xfId="20942"/>
    <cellStyle name="출력 12 3 3 2" xfId="22846"/>
    <cellStyle name="출력 12 3 3 3" xfId="22847"/>
    <cellStyle name="출력 12 3 4" xfId="22848"/>
    <cellStyle name="출력 12 3 5" xfId="22849"/>
    <cellStyle name="출력 12 4" xfId="13362"/>
    <cellStyle name="출력 12 5" xfId="13363"/>
    <cellStyle name="출력 13" xfId="13364"/>
    <cellStyle name="출력 13 2" xfId="13365"/>
    <cellStyle name="출력 13 2 2" xfId="13366"/>
    <cellStyle name="출력 13 2 2 2" xfId="13367"/>
    <cellStyle name="출력 13 2 2 2 2" xfId="22850"/>
    <cellStyle name="출력 13 2 2 3" xfId="20944"/>
    <cellStyle name="출력 13 2 2 3 2" xfId="22851"/>
    <cellStyle name="출력 13 2 2 3 3" xfId="22852"/>
    <cellStyle name="출력 13 2 2 4" xfId="22853"/>
    <cellStyle name="출력 13 2 2 5" xfId="22854"/>
    <cellStyle name="출력 13 2 3" xfId="13368"/>
    <cellStyle name="출력 13 3" xfId="13369"/>
    <cellStyle name="출력 13 3 2" xfId="13370"/>
    <cellStyle name="출력 13 3 2 2" xfId="13371"/>
    <cellStyle name="출력 13 3 2 3" xfId="20945"/>
    <cellStyle name="출력 13 3 2 3 2" xfId="22855"/>
    <cellStyle name="출력 13 3 2 3 3" xfId="22856"/>
    <cellStyle name="출력 13 3 2 4" xfId="22857"/>
    <cellStyle name="출력 13 3 2 5" xfId="22858"/>
    <cellStyle name="출력 13 3 3" xfId="13372"/>
    <cellStyle name="출력 13 4" xfId="13373"/>
    <cellStyle name="출력 13 4 2" xfId="13374"/>
    <cellStyle name="출력 13 4 2 2" xfId="20947"/>
    <cellStyle name="출력 13 4 2 2 2" xfId="22859"/>
    <cellStyle name="출력 13 4 2 2 3" xfId="22860"/>
    <cellStyle name="출력 13 4 2 3" xfId="22861"/>
    <cellStyle name="출력 13 4 2 4" xfId="22862"/>
    <cellStyle name="출력 13 4 3" xfId="20946"/>
    <cellStyle name="출력 13 4 3 2" xfId="22863"/>
    <cellStyle name="출력 13 4 3 3" xfId="22864"/>
    <cellStyle name="출력 13 4 4" xfId="22865"/>
    <cellStyle name="출력 13 4 5" xfId="22866"/>
    <cellStyle name="출력 13 5" xfId="13375"/>
    <cellStyle name="출력 13 5 2" xfId="20948"/>
    <cellStyle name="출력 13 5 2 2" xfId="22867"/>
    <cellStyle name="출력 13 5 2 3" xfId="22868"/>
    <cellStyle name="출력 13 5 3" xfId="22869"/>
    <cellStyle name="출력 13 5 4" xfId="22870"/>
    <cellStyle name="출력 13 6" xfId="20943"/>
    <cellStyle name="출력 13 6 2" xfId="22871"/>
    <cellStyle name="출력 13 6 3" xfId="22872"/>
    <cellStyle name="출력 13 7" xfId="22873"/>
    <cellStyle name="출력 13 8" xfId="22874"/>
    <cellStyle name="출력 14" xfId="13376"/>
    <cellStyle name="출력 14 2" xfId="13377"/>
    <cellStyle name="출력 14 2 2" xfId="20949"/>
    <cellStyle name="출력 14 2 2 2" xfId="22875"/>
    <cellStyle name="출력 14 2 2 3" xfId="22876"/>
    <cellStyle name="출력 14 2 3" xfId="22877"/>
    <cellStyle name="출력 14 2 4" xfId="22878"/>
    <cellStyle name="출력 14 3" xfId="13378"/>
    <cellStyle name="출력 14 4" xfId="13379"/>
    <cellStyle name="출력 14 5" xfId="13380"/>
    <cellStyle name="출력 15" xfId="13381"/>
    <cellStyle name="출력 15 2" xfId="13382"/>
    <cellStyle name="출력 15 2 2" xfId="20950"/>
    <cellStyle name="출력 15 2 2 2" xfId="22879"/>
    <cellStyle name="출력 15 2 2 3" xfId="22880"/>
    <cellStyle name="출력 15 2 3" xfId="22881"/>
    <cellStyle name="출력 15 2 4" xfId="22882"/>
    <cellStyle name="출력 15 3" xfId="13383"/>
    <cellStyle name="출력 15 4" xfId="13384"/>
    <cellStyle name="출력 15 5" xfId="13385"/>
    <cellStyle name="출력 16" xfId="13386"/>
    <cellStyle name="출력 16 2" xfId="13387"/>
    <cellStyle name="출력 16 2 2" xfId="20951"/>
    <cellStyle name="출력 16 2 2 2" xfId="22883"/>
    <cellStyle name="출력 16 2 2 3" xfId="22884"/>
    <cellStyle name="출력 16 2 3" xfId="22885"/>
    <cellStyle name="출력 16 2 4" xfId="22886"/>
    <cellStyle name="출력 16 3" xfId="13388"/>
    <cellStyle name="출력 16 4" xfId="13389"/>
    <cellStyle name="출력 16 5" xfId="13390"/>
    <cellStyle name="출력 17" xfId="13391"/>
    <cellStyle name="출력 17 2" xfId="13392"/>
    <cellStyle name="출력 17 2 2" xfId="20952"/>
    <cellStyle name="출력 17 2 2 2" xfId="22887"/>
    <cellStyle name="출력 17 2 2 3" xfId="22888"/>
    <cellStyle name="출력 17 2 3" xfId="22889"/>
    <cellStyle name="출력 17 2 4" xfId="22890"/>
    <cellStyle name="출력 17 3" xfId="13393"/>
    <cellStyle name="출력 17 4" xfId="13394"/>
    <cellStyle name="출력 17 5" xfId="13395"/>
    <cellStyle name="출력 17 6" xfId="20652"/>
    <cellStyle name="출력 18" xfId="13396"/>
    <cellStyle name="출력 18 2" xfId="13397"/>
    <cellStyle name="출력 18 2 2" xfId="20953"/>
    <cellStyle name="출력 18 2 2 2" xfId="22891"/>
    <cellStyle name="출력 18 2 2 3" xfId="22892"/>
    <cellStyle name="출력 18 2 3" xfId="22893"/>
    <cellStyle name="출력 18 2 4" xfId="22894"/>
    <cellStyle name="출력 18 3" xfId="13398"/>
    <cellStyle name="출력 18 4" xfId="13399"/>
    <cellStyle name="출력 18 5" xfId="13400"/>
    <cellStyle name="출력 19" xfId="13401"/>
    <cellStyle name="출력 19 2" xfId="13402"/>
    <cellStyle name="출력 19 2 2" xfId="20954"/>
    <cellStyle name="출력 19 2 2 2" xfId="22895"/>
    <cellStyle name="출력 19 2 2 3" xfId="22896"/>
    <cellStyle name="출력 19 2 3" xfId="22897"/>
    <cellStyle name="출력 19 2 4" xfId="22898"/>
    <cellStyle name="출력 19 3" xfId="13403"/>
    <cellStyle name="출력 19 4" xfId="13404"/>
    <cellStyle name="출력 19 5" xfId="13405"/>
    <cellStyle name="출력 2" xfId="13406"/>
    <cellStyle name="출력 2 10" xfId="13407"/>
    <cellStyle name="출력 2 11" xfId="13408"/>
    <cellStyle name="출력 2 11 2" xfId="20955"/>
    <cellStyle name="출력 2 11 2 2" xfId="22899"/>
    <cellStyle name="출력 2 11 2 3" xfId="22900"/>
    <cellStyle name="출력 2 11 3" xfId="22901"/>
    <cellStyle name="출력 2 11 4" xfId="22902"/>
    <cellStyle name="출력 2 12" xfId="19697"/>
    <cellStyle name="출력 2 12 2" xfId="20991"/>
    <cellStyle name="출력 2 12 2 2" xfId="22903"/>
    <cellStyle name="출력 2 12 2 3" xfId="22904"/>
    <cellStyle name="출력 2 12 3" xfId="22905"/>
    <cellStyle name="출력 2 12 4" xfId="22906"/>
    <cellStyle name="출력 2 2" xfId="13409"/>
    <cellStyle name="출력 2 2 2" xfId="13410"/>
    <cellStyle name="출력 2 2 2 2" xfId="13411"/>
    <cellStyle name="출력 2 2 2 3" xfId="13412"/>
    <cellStyle name="출력 2 2 2 3 2" xfId="20956"/>
    <cellStyle name="출력 2 2 2 3 2 2" xfId="22907"/>
    <cellStyle name="출력 2 2 2 3 2 3" xfId="22908"/>
    <cellStyle name="출력 2 2 2 3 3" xfId="22909"/>
    <cellStyle name="출력 2 2 2 3 4" xfId="22910"/>
    <cellStyle name="출력 2 2 3" xfId="13413"/>
    <cellStyle name="출력 2 2 3 2" xfId="20957"/>
    <cellStyle name="출력 2 2 3 2 2" xfId="22911"/>
    <cellStyle name="출력 2 2 3 2 3" xfId="22912"/>
    <cellStyle name="출력 2 2 3 3" xfId="22913"/>
    <cellStyle name="출력 2 2 3 4" xfId="22914"/>
    <cellStyle name="출력 2 2 4" xfId="13414"/>
    <cellStyle name="출력 2 2 4 2" xfId="20958"/>
    <cellStyle name="출력 2 2 4 2 2" xfId="22915"/>
    <cellStyle name="출력 2 2 4 2 3" xfId="22916"/>
    <cellStyle name="출력 2 2 4 3" xfId="22917"/>
    <cellStyle name="출력 2 2 4 4" xfId="22918"/>
    <cellStyle name="출력 2 2 5" xfId="20589"/>
    <cellStyle name="출력 2 3" xfId="13415"/>
    <cellStyle name="출력 2 3 2" xfId="13416"/>
    <cellStyle name="출력 2 3 2 2" xfId="13417"/>
    <cellStyle name="출력 2 3 2 2 2" xfId="20960"/>
    <cellStyle name="출력 2 3 2 2 2 2" xfId="22919"/>
    <cellStyle name="출력 2 3 2 2 2 3" xfId="22920"/>
    <cellStyle name="출력 2 3 2 2 3" xfId="22921"/>
    <cellStyle name="출력 2 3 2 2 4" xfId="22922"/>
    <cellStyle name="출력 2 3 2 3" xfId="13418"/>
    <cellStyle name="출력 2 3 2 3 2" xfId="13419"/>
    <cellStyle name="출력 2 3 2 3 2 2" xfId="20961"/>
    <cellStyle name="출력 2 3 2 3 2 2 2" xfId="22923"/>
    <cellStyle name="출력 2 3 2 3 2 2 3" xfId="22924"/>
    <cellStyle name="출력 2 3 2 3 2 3" xfId="22925"/>
    <cellStyle name="출력 2 3 2 3 2 4" xfId="22926"/>
    <cellStyle name="출력 2 3 2 4" xfId="20959"/>
    <cellStyle name="출력 2 3 2 4 2" xfId="22927"/>
    <cellStyle name="출력 2 3 2 4 3" xfId="22928"/>
    <cellStyle name="출력 2 3 2 5" xfId="22929"/>
    <cellStyle name="출력 2 3 2 6" xfId="22930"/>
    <cellStyle name="출력 2 3 3" xfId="13420"/>
    <cellStyle name="출력 2 3 3 2" xfId="20962"/>
    <cellStyle name="출력 2 3 3 2 2" xfId="22931"/>
    <cellStyle name="출력 2 3 3 2 3" xfId="22932"/>
    <cellStyle name="출력 2 3 3 3" xfId="22933"/>
    <cellStyle name="출력 2 3 3 4" xfId="22934"/>
    <cellStyle name="출력 2 3 4" xfId="13421"/>
    <cellStyle name="출력 2 3 4 2" xfId="20963"/>
    <cellStyle name="출력 2 3 4 2 2" xfId="22935"/>
    <cellStyle name="출력 2 3 4 2 3" xfId="22936"/>
    <cellStyle name="출력 2 3 4 3" xfId="22937"/>
    <cellStyle name="출력 2 3 4 4" xfId="22938"/>
    <cellStyle name="출력 2 3 5" xfId="13422"/>
    <cellStyle name="출력 2 3 5 2" xfId="13423"/>
    <cellStyle name="출력 2 3 5 3" xfId="20964"/>
    <cellStyle name="출력 2 3 5 3 2" xfId="22939"/>
    <cellStyle name="출력 2 3 5 3 3" xfId="22940"/>
    <cellStyle name="출력 2 3 5 4" xfId="22941"/>
    <cellStyle name="출력 2 3 5 5" xfId="22942"/>
    <cellStyle name="출력 2 3 6" xfId="13424"/>
    <cellStyle name="출력 2 3 7" xfId="20590"/>
    <cellStyle name="출력 2 4" xfId="13425"/>
    <cellStyle name="출력 2 4 2" xfId="13426"/>
    <cellStyle name="출력 2 4 2 2" xfId="20965"/>
    <cellStyle name="출력 2 4 2 2 2" xfId="22943"/>
    <cellStyle name="출력 2 4 2 2 3" xfId="22944"/>
    <cellStyle name="출력 2 4 2 3" xfId="22945"/>
    <cellStyle name="출력 2 4 2 4" xfId="22946"/>
    <cellStyle name="출력 2 4 3" xfId="13427"/>
    <cellStyle name="출력 2 4 3 2" xfId="20966"/>
    <cellStyle name="출력 2 4 3 2 2" xfId="22947"/>
    <cellStyle name="출력 2 4 3 2 3" xfId="22948"/>
    <cellStyle name="출력 2 4 3 3" xfId="22949"/>
    <cellStyle name="출력 2 4 3 4" xfId="22950"/>
    <cellStyle name="출력 2 4 4" xfId="20591"/>
    <cellStyle name="출력 2 5" xfId="13428"/>
    <cellStyle name="출력 2 5 2" xfId="13429"/>
    <cellStyle name="출력 2 5 2 2" xfId="20967"/>
    <cellStyle name="출력 2 5 2 2 2" xfId="22951"/>
    <cellStyle name="출력 2 5 2 2 3" xfId="22952"/>
    <cellStyle name="출력 2 5 2 3" xfId="22953"/>
    <cellStyle name="출력 2 5 2 4" xfId="22954"/>
    <cellStyle name="출력 2 6" xfId="13430"/>
    <cellStyle name="출력 2 6 2" xfId="20593"/>
    <cellStyle name="출력 2 7" xfId="13431"/>
    <cellStyle name="출력 2 7 2" xfId="20594"/>
    <cellStyle name="출력 2 8" xfId="13432"/>
    <cellStyle name="출력 2 9" xfId="13433"/>
    <cellStyle name="출력 20" xfId="13434"/>
    <cellStyle name="출력 20 2" xfId="13435"/>
    <cellStyle name="출력 20 2 2" xfId="20968"/>
    <cellStyle name="출력 20 2 2 2" xfId="22955"/>
    <cellStyle name="출력 20 2 2 3" xfId="22956"/>
    <cellStyle name="출력 20 2 3" xfId="22957"/>
    <cellStyle name="출력 20 2 4" xfId="22958"/>
    <cellStyle name="출력 20 3" xfId="13436"/>
    <cellStyle name="출력 20 4" xfId="13437"/>
    <cellStyle name="출력 20 5" xfId="13438"/>
    <cellStyle name="출력 21" xfId="13439"/>
    <cellStyle name="출력 21 2" xfId="13440"/>
    <cellStyle name="출력 21 2 2" xfId="20969"/>
    <cellStyle name="출력 21 2 2 2" xfId="22959"/>
    <cellStyle name="출력 21 2 2 3" xfId="22960"/>
    <cellStyle name="출력 21 2 3" xfId="22961"/>
    <cellStyle name="출력 21 2 4" xfId="22962"/>
    <cellStyle name="출력 21 3" xfId="13441"/>
    <cellStyle name="출력 21 4" xfId="13442"/>
    <cellStyle name="출력 21 5" xfId="13443"/>
    <cellStyle name="출력 22" xfId="13444"/>
    <cellStyle name="출력 22 2" xfId="13445"/>
    <cellStyle name="출력 22 2 2" xfId="20970"/>
    <cellStyle name="출력 22 2 2 2" xfId="22963"/>
    <cellStyle name="출력 22 2 2 3" xfId="22964"/>
    <cellStyle name="출력 22 2 3" xfId="22965"/>
    <cellStyle name="출력 22 2 4" xfId="22966"/>
    <cellStyle name="출력 22 3" xfId="13446"/>
    <cellStyle name="출력 22 4" xfId="13447"/>
    <cellStyle name="출력 22 5" xfId="13448"/>
    <cellStyle name="출력 23" xfId="13449"/>
    <cellStyle name="출력 23 2" xfId="13450"/>
    <cellStyle name="출력 23 2 2" xfId="20972"/>
    <cellStyle name="출력 23 2 2 2" xfId="22967"/>
    <cellStyle name="출력 23 2 2 3" xfId="22968"/>
    <cellStyle name="출력 23 2 3" xfId="22969"/>
    <cellStyle name="출력 23 2 4" xfId="22970"/>
    <cellStyle name="출력 23 3" xfId="20971"/>
    <cellStyle name="출력 23 3 2" xfId="22971"/>
    <cellStyle name="출력 23 3 3" xfId="22972"/>
    <cellStyle name="출력 23 4" xfId="22973"/>
    <cellStyle name="출력 23 5" xfId="22974"/>
    <cellStyle name="출력 24" xfId="13451"/>
    <cellStyle name="출력 24 2" xfId="13452"/>
    <cellStyle name="출력 24 2 2" xfId="20974"/>
    <cellStyle name="출력 24 2 2 2" xfId="22975"/>
    <cellStyle name="출력 24 2 2 3" xfId="22976"/>
    <cellStyle name="출력 24 2 3" xfId="22977"/>
    <cellStyle name="출력 24 2 4" xfId="22978"/>
    <cellStyle name="출력 24 3" xfId="20973"/>
    <cellStyle name="출력 24 3 2" xfId="22979"/>
    <cellStyle name="출력 24 3 3" xfId="22980"/>
    <cellStyle name="출력 24 4" xfId="22981"/>
    <cellStyle name="출력 24 5" xfId="22982"/>
    <cellStyle name="출력 25" xfId="13453"/>
    <cellStyle name="출력 26" xfId="13454"/>
    <cellStyle name="출력 26 2" xfId="20975"/>
    <cellStyle name="출력 26 2 2" xfId="22983"/>
    <cellStyle name="출력 26 2 3" xfId="22984"/>
    <cellStyle name="출력 26 3" xfId="22985"/>
    <cellStyle name="출력 26 4" xfId="22986"/>
    <cellStyle name="출력 27" xfId="18206"/>
    <cellStyle name="출력 3" xfId="13455"/>
    <cellStyle name="출력 3 2" xfId="13456"/>
    <cellStyle name="출력 3 2 2" xfId="13457"/>
    <cellStyle name="출력 3 2 2 2" xfId="13458"/>
    <cellStyle name="출력 3 2 2 3" xfId="13459"/>
    <cellStyle name="출력 3 2 2 3 2" xfId="20976"/>
    <cellStyle name="출력 3 2 2 3 2 2" xfId="22987"/>
    <cellStyle name="출력 3 2 2 3 2 3" xfId="22988"/>
    <cellStyle name="출력 3 2 2 3 3" xfId="22989"/>
    <cellStyle name="출력 3 2 2 3 4" xfId="22990"/>
    <cellStyle name="출력 3 2 3" xfId="13460"/>
    <cellStyle name="출력 3 2 3 2" xfId="20977"/>
    <cellStyle name="출력 3 2 3 2 2" xfId="22991"/>
    <cellStyle name="출력 3 2 3 2 3" xfId="22992"/>
    <cellStyle name="출력 3 2 3 3" xfId="22993"/>
    <cellStyle name="출력 3 2 3 4" xfId="22994"/>
    <cellStyle name="출력 3 2 4" xfId="13461"/>
    <cellStyle name="출력 3 2 4 2" xfId="20978"/>
    <cellStyle name="출력 3 2 4 2 2" xfId="22995"/>
    <cellStyle name="출력 3 2 4 2 3" xfId="22996"/>
    <cellStyle name="출력 3 2 4 3" xfId="22997"/>
    <cellStyle name="출력 3 2 4 4" xfId="22998"/>
    <cellStyle name="출력 3 3" xfId="13462"/>
    <cellStyle name="출력 3 3 2" xfId="20597"/>
    <cellStyle name="출력 3 3 3" xfId="20979"/>
    <cellStyle name="출력 3 3 3 2" xfId="22999"/>
    <cellStyle name="출력 3 3 3 3" xfId="23000"/>
    <cellStyle name="출력 3 3 4" xfId="23001"/>
    <cellStyle name="출력 3 3 5" xfId="23002"/>
    <cellStyle name="출력 3 4" xfId="13463"/>
    <cellStyle name="출력 3 4 2" xfId="13464"/>
    <cellStyle name="출력 3 4 3" xfId="13465"/>
    <cellStyle name="출력 3 4 3 2" xfId="20980"/>
    <cellStyle name="출력 3 4 3 2 2" xfId="23003"/>
    <cellStyle name="출력 3 4 3 2 3" xfId="23004"/>
    <cellStyle name="출력 3 4 3 3" xfId="23005"/>
    <cellStyle name="출력 3 4 3 4" xfId="23006"/>
    <cellStyle name="출력 3 4 4" xfId="20598"/>
    <cellStyle name="출력 3 5" xfId="13466"/>
    <cellStyle name="출력 3 5 2" xfId="20981"/>
    <cellStyle name="출력 3 5 2 2" xfId="23007"/>
    <cellStyle name="출력 3 5 2 3" xfId="23008"/>
    <cellStyle name="출력 3 5 3" xfId="23009"/>
    <cellStyle name="출력 3 5 4" xfId="23010"/>
    <cellStyle name="출력 4" xfId="13467"/>
    <cellStyle name="출력 4 2" xfId="13468"/>
    <cellStyle name="출력 4 3" xfId="13469"/>
    <cellStyle name="출력 4 3 2" xfId="20982"/>
    <cellStyle name="출력 4 3 2 2" xfId="23011"/>
    <cellStyle name="출력 4 3 2 3" xfId="23012"/>
    <cellStyle name="출력 4 3 3" xfId="23013"/>
    <cellStyle name="출력 4 3 4" xfId="23014"/>
    <cellStyle name="출력 5" xfId="13470"/>
    <cellStyle name="출력 5 2" xfId="13471"/>
    <cellStyle name="출력 5 2 2" xfId="13472"/>
    <cellStyle name="출력 5 2 2 2" xfId="13473"/>
    <cellStyle name="출력 5 2 2 3" xfId="20983"/>
    <cellStyle name="출력 5 2 2 3 2" xfId="23015"/>
    <cellStyle name="출력 5 2 2 3 3" xfId="23016"/>
    <cellStyle name="출력 5 2 2 4" xfId="23017"/>
    <cellStyle name="출력 5 2 2 5" xfId="23018"/>
    <cellStyle name="출력 5 2 3" xfId="13474"/>
    <cellStyle name="출력 6" xfId="13475"/>
    <cellStyle name="출력 6 2" xfId="13476"/>
    <cellStyle name="출력 6 2 2" xfId="13477"/>
    <cellStyle name="출력 6 2 2 2" xfId="13478"/>
    <cellStyle name="출력 6 2 2 3" xfId="20984"/>
    <cellStyle name="출력 6 2 2 3 2" xfId="23019"/>
    <cellStyle name="출력 6 2 2 3 3" xfId="23020"/>
    <cellStyle name="출력 6 2 2 4" xfId="23021"/>
    <cellStyle name="출력 6 2 2 5" xfId="23022"/>
    <cellStyle name="출력 6 2 3" xfId="13479"/>
    <cellStyle name="출력 7" xfId="13480"/>
    <cellStyle name="출력 7 2" xfId="13481"/>
    <cellStyle name="출력 7 2 2" xfId="13482"/>
    <cellStyle name="출력 7 2 2 2" xfId="13483"/>
    <cellStyle name="출력 7 2 2 3" xfId="20985"/>
    <cellStyle name="출력 7 2 2 3 2" xfId="23023"/>
    <cellStyle name="출력 7 2 2 3 3" xfId="23024"/>
    <cellStyle name="출력 7 2 2 4" xfId="23025"/>
    <cellStyle name="출력 7 2 2 5" xfId="23026"/>
    <cellStyle name="출력 7 2 3" xfId="13484"/>
    <cellStyle name="출력 8" xfId="13485"/>
    <cellStyle name="출력 8 2" xfId="13486"/>
    <cellStyle name="출력 8 2 2" xfId="13487"/>
    <cellStyle name="출력 8 2 2 2" xfId="13488"/>
    <cellStyle name="출력 8 2 2 3" xfId="20986"/>
    <cellStyle name="출력 8 2 2 3 2" xfId="23027"/>
    <cellStyle name="출력 8 2 2 3 3" xfId="23028"/>
    <cellStyle name="출력 8 2 2 4" xfId="23029"/>
    <cellStyle name="출력 8 2 2 5" xfId="23030"/>
    <cellStyle name="출력 8 2 3" xfId="13489"/>
    <cellStyle name="출력 9" xfId="13490"/>
    <cellStyle name="출력 9 2" xfId="13491"/>
    <cellStyle name="출력 9 2 2" xfId="13492"/>
    <cellStyle name="출력 9 2 2 2" xfId="13493"/>
    <cellStyle name="출력 9 2 2 2 2" xfId="23031"/>
    <cellStyle name="출력 9 2 2 3" xfId="20987"/>
    <cellStyle name="출력 9 2 2 3 2" xfId="23032"/>
    <cellStyle name="출력 9 2 2 3 3" xfId="23033"/>
    <cellStyle name="출력 9 2 2 4" xfId="23034"/>
    <cellStyle name="출력 9 2 2 5" xfId="23035"/>
    <cellStyle name="출력 9 2 3" xfId="13494"/>
    <cellStyle name="출력 9 2 4" xfId="13495"/>
    <cellStyle name="출력 9 3" xfId="13496"/>
    <cellStyle name="출력 9 4" xfId="13497"/>
    <cellStyle name="콤마 [0]_  종  합  " xfId="20478"/>
    <cellStyle name="콤마_  종  합  " xfId="20477"/>
    <cellStyle name="통화 [0] 2" xfId="1483"/>
    <cellStyle name="통화 [0] 2 2" xfId="13498"/>
    <cellStyle name="통화 [0] 2 3" xfId="13499"/>
    <cellStyle name="통화 [0] 2 3 2" xfId="13500"/>
    <cellStyle name="통화 [0] 2 4" xfId="13501"/>
    <cellStyle name="통화 [0] 2 4 2" xfId="13502"/>
    <cellStyle name="통화 [0] 2 4 3" xfId="13503"/>
    <cellStyle name="통화 [0] 2 5" xfId="13504"/>
    <cellStyle name="통화 [0] 2 6" xfId="13505"/>
    <cellStyle name="통화 [0] 3" xfId="13506"/>
    <cellStyle name="통화 [0] 4" xfId="13507"/>
    <cellStyle name="통화 [0] 4 2" xfId="13508"/>
    <cellStyle name="퍼센트" xfId="20476"/>
    <cellStyle name="표준" xfId="0" builtinId="0"/>
    <cellStyle name="표준 10" xfId="13509"/>
    <cellStyle name="표준 10 10" xfId="13510"/>
    <cellStyle name="표준 10 10 2" xfId="13511"/>
    <cellStyle name="표준 10 11" xfId="13512"/>
    <cellStyle name="표준 10 12" xfId="13513"/>
    <cellStyle name="표준 10 13" xfId="13514"/>
    <cellStyle name="표준 10 14" xfId="13515"/>
    <cellStyle name="표준 10 15" xfId="13516"/>
    <cellStyle name="표준 10 16" xfId="13517"/>
    <cellStyle name="표준 10 17" xfId="13518"/>
    <cellStyle name="표준 10 18" xfId="13519"/>
    <cellStyle name="표준 10 19" xfId="13520"/>
    <cellStyle name="표준 10 2" xfId="13521"/>
    <cellStyle name="표준 10 2 2" xfId="13522"/>
    <cellStyle name="표준 10 2 2 2" xfId="13523"/>
    <cellStyle name="표준 10 2 2 2 2" xfId="13524"/>
    <cellStyle name="표준 10 2 2 2 2 2" xfId="23036"/>
    <cellStyle name="표준 10 2 3" xfId="13525"/>
    <cellStyle name="표준 10 2 4" xfId="13526"/>
    <cellStyle name="표준 10 20" xfId="13527"/>
    <cellStyle name="표준 10 21" xfId="13528"/>
    <cellStyle name="표준 10 22" xfId="13529"/>
    <cellStyle name="표준 10 23" xfId="13530"/>
    <cellStyle name="표준 10 24" xfId="13531"/>
    <cellStyle name="표준 10 25" xfId="13532"/>
    <cellStyle name="표준 10 26" xfId="13533"/>
    <cellStyle name="표준 10 27" xfId="13534"/>
    <cellStyle name="표준 10 28" xfId="13535"/>
    <cellStyle name="표준 10 29" xfId="13536"/>
    <cellStyle name="표준 10 3" xfId="13537"/>
    <cellStyle name="표준 10 3 2" xfId="13538"/>
    <cellStyle name="표준 10 3 2 2" xfId="13539"/>
    <cellStyle name="표준 10 3 2 2 2" xfId="13540"/>
    <cellStyle name="표준 10 3 3" xfId="13541"/>
    <cellStyle name="표준 10 3 4" xfId="13542"/>
    <cellStyle name="표준 10 3 4 2" xfId="13543"/>
    <cellStyle name="표준 10 3 4 2 2" xfId="13544"/>
    <cellStyle name="표준 10 3 5" xfId="13545"/>
    <cellStyle name="표준 10 3 5 2" xfId="13546"/>
    <cellStyle name="표준 10 3 5 2 2" xfId="13547"/>
    <cellStyle name="표준 10 3 6" xfId="13548"/>
    <cellStyle name="표준 10 30" xfId="13549"/>
    <cellStyle name="표준 10 31" xfId="13550"/>
    <cellStyle name="표준 10 32" xfId="13551"/>
    <cellStyle name="표준 10 33" xfId="13552"/>
    <cellStyle name="표준 10 34" xfId="13553"/>
    <cellStyle name="표준 10 35" xfId="13554"/>
    <cellStyle name="표준 10 36" xfId="13555"/>
    <cellStyle name="표준 10 37" xfId="13556"/>
    <cellStyle name="표준 10 38" xfId="13557"/>
    <cellStyle name="표준 10 39" xfId="13558"/>
    <cellStyle name="표준 10 4" xfId="13559"/>
    <cellStyle name="표준 10 4 2" xfId="13560"/>
    <cellStyle name="표준 10 4 2 2" xfId="13561"/>
    <cellStyle name="표준 10 4 2 3" xfId="13562"/>
    <cellStyle name="표준 10 4 3" xfId="13563"/>
    <cellStyle name="표준 10 4 3 2" xfId="13564"/>
    <cellStyle name="표준 10 4 3 3" xfId="13565"/>
    <cellStyle name="표준 10 4 4" xfId="13566"/>
    <cellStyle name="표준 10 4 4 2" xfId="13567"/>
    <cellStyle name="표준 10 4 4 2 2" xfId="13568"/>
    <cellStyle name="표준 10 4 5" xfId="13569"/>
    <cellStyle name="표준 10 4 5 2" xfId="13570"/>
    <cellStyle name="표준 10 4 5 2 2" xfId="13571"/>
    <cellStyle name="표준 10 4 6" xfId="13572"/>
    <cellStyle name="표준 10 4 7" xfId="13573"/>
    <cellStyle name="표준 10 4 8" xfId="13574"/>
    <cellStyle name="표준 10 4 8 2" xfId="13575"/>
    <cellStyle name="표준 10 40" xfId="13576"/>
    <cellStyle name="표준 10 41" xfId="13577"/>
    <cellStyle name="표준 10 42" xfId="20475"/>
    <cellStyle name="표준 10 5" xfId="13578"/>
    <cellStyle name="표준 10 5 2" xfId="13579"/>
    <cellStyle name="표준 10 5 2 2" xfId="13580"/>
    <cellStyle name="표준 10 5 2 2 2" xfId="13581"/>
    <cellStyle name="표준 10 5 2 2 2 2" xfId="13582"/>
    <cellStyle name="표준 10 5 2 3" xfId="13583"/>
    <cellStyle name="표준 10 5 2 3 2" xfId="13584"/>
    <cellStyle name="표준 10 5 3" xfId="13585"/>
    <cellStyle name="표준 10 5 3 2" xfId="13586"/>
    <cellStyle name="표준 10 5 3 2 2" xfId="13587"/>
    <cellStyle name="표준 10 5 4" xfId="13588"/>
    <cellStyle name="표준 10 5 4 2" xfId="13589"/>
    <cellStyle name="표준 10 6" xfId="13590"/>
    <cellStyle name="표준 10 6 2" xfId="13591"/>
    <cellStyle name="표준 10 6 2 2" xfId="13592"/>
    <cellStyle name="표준 10 6 2 2 2" xfId="13593"/>
    <cellStyle name="표준 10 6 3" xfId="13594"/>
    <cellStyle name="표준 10 6 3 2" xfId="13595"/>
    <cellStyle name="표준 10 7" xfId="13596"/>
    <cellStyle name="표준 10 7 2" xfId="13597"/>
    <cellStyle name="표준 10 7 2 2" xfId="13598"/>
    <cellStyle name="표준 10 7 2 2 2" xfId="13599"/>
    <cellStyle name="표준 10 7 3" xfId="13600"/>
    <cellStyle name="표준 10 7 3 2" xfId="13601"/>
    <cellStyle name="표준 10 8" xfId="13602"/>
    <cellStyle name="표준 10 8 2" xfId="13603"/>
    <cellStyle name="표준 10 8 2 2" xfId="13604"/>
    <cellStyle name="표준 10 9" xfId="13605"/>
    <cellStyle name="표준 10 9 2" xfId="13606"/>
    <cellStyle name="표준 10 9 2 2" xfId="13607"/>
    <cellStyle name="표준 10 9 3" xfId="13608"/>
    <cellStyle name="표준 100" xfId="13609"/>
    <cellStyle name="표준 100 10" xfId="13610"/>
    <cellStyle name="표준 100 11" xfId="13611"/>
    <cellStyle name="표준 100 12" xfId="13612"/>
    <cellStyle name="표준 100 13" xfId="13613"/>
    <cellStyle name="표준 100 2" xfId="13614"/>
    <cellStyle name="표준 100 3" xfId="13615"/>
    <cellStyle name="표준 100 4" xfId="13616"/>
    <cellStyle name="표준 100 5" xfId="13617"/>
    <cellStyle name="표준 100 6" xfId="13618"/>
    <cellStyle name="표준 100 7" xfId="13619"/>
    <cellStyle name="표준 100 8" xfId="13620"/>
    <cellStyle name="표준 100 9" xfId="13621"/>
    <cellStyle name="표준 101" xfId="13622"/>
    <cellStyle name="표준 101 10" xfId="13623"/>
    <cellStyle name="표준 101 11" xfId="13624"/>
    <cellStyle name="표준 101 12" xfId="13625"/>
    <cellStyle name="표준 101 13" xfId="13626"/>
    <cellStyle name="표준 101 2" xfId="13627"/>
    <cellStyle name="표준 101 3" xfId="13628"/>
    <cellStyle name="표준 101 4" xfId="13629"/>
    <cellStyle name="표준 101 5" xfId="13630"/>
    <cellStyle name="표준 101 6" xfId="13631"/>
    <cellStyle name="표준 101 7" xfId="13632"/>
    <cellStyle name="표준 101 8" xfId="13633"/>
    <cellStyle name="표준 101 9" xfId="13634"/>
    <cellStyle name="표준 103" xfId="13635"/>
    <cellStyle name="표준 103 10" xfId="13636"/>
    <cellStyle name="표준 103 11" xfId="13637"/>
    <cellStyle name="표준 103 12" xfId="13638"/>
    <cellStyle name="표준 103 13" xfId="13639"/>
    <cellStyle name="표준 103 2" xfId="13640"/>
    <cellStyle name="표준 103 3" xfId="13641"/>
    <cellStyle name="표준 103 4" xfId="13642"/>
    <cellStyle name="표준 103 5" xfId="13643"/>
    <cellStyle name="표준 103 6" xfId="13644"/>
    <cellStyle name="표준 103 7" xfId="13645"/>
    <cellStyle name="표준 103 8" xfId="13646"/>
    <cellStyle name="표준 103 9" xfId="13647"/>
    <cellStyle name="표준 104" xfId="13648"/>
    <cellStyle name="표준 104 10" xfId="13649"/>
    <cellStyle name="표준 104 11" xfId="13650"/>
    <cellStyle name="표준 104 12" xfId="13651"/>
    <cellStyle name="표준 104 13" xfId="13652"/>
    <cellStyle name="표준 104 2" xfId="13653"/>
    <cellStyle name="표준 104 3" xfId="13654"/>
    <cellStyle name="표준 104 4" xfId="13655"/>
    <cellStyle name="표준 104 5" xfId="13656"/>
    <cellStyle name="표준 104 6" xfId="13657"/>
    <cellStyle name="표준 104 7" xfId="13658"/>
    <cellStyle name="표준 104 8" xfId="13659"/>
    <cellStyle name="표준 104 9" xfId="13660"/>
    <cellStyle name="표준 105" xfId="13661"/>
    <cellStyle name="표준 105 10" xfId="13662"/>
    <cellStyle name="표준 105 11" xfId="13663"/>
    <cellStyle name="표준 105 12" xfId="13664"/>
    <cellStyle name="표준 105 13" xfId="13665"/>
    <cellStyle name="표준 105 2" xfId="13666"/>
    <cellStyle name="표준 105 3" xfId="13667"/>
    <cellStyle name="표준 105 4" xfId="13668"/>
    <cellStyle name="표준 105 5" xfId="13669"/>
    <cellStyle name="표준 105 6" xfId="13670"/>
    <cellStyle name="표준 105 7" xfId="13671"/>
    <cellStyle name="표준 105 8" xfId="13672"/>
    <cellStyle name="표준 105 9" xfId="13673"/>
    <cellStyle name="표준 106" xfId="13674"/>
    <cellStyle name="표준 106 10" xfId="13675"/>
    <cellStyle name="표준 106 11" xfId="13676"/>
    <cellStyle name="표준 106 12" xfId="13677"/>
    <cellStyle name="표준 106 13" xfId="13678"/>
    <cellStyle name="표준 106 2" xfId="13679"/>
    <cellStyle name="표준 106 3" xfId="13680"/>
    <cellStyle name="표준 106 4" xfId="13681"/>
    <cellStyle name="표준 106 5" xfId="13682"/>
    <cellStyle name="표준 106 6" xfId="13683"/>
    <cellStyle name="표준 106 7" xfId="13684"/>
    <cellStyle name="표준 106 8" xfId="13685"/>
    <cellStyle name="표준 106 9" xfId="13686"/>
    <cellStyle name="표준 107" xfId="13687"/>
    <cellStyle name="표준 107 10" xfId="13688"/>
    <cellStyle name="표준 107 11" xfId="13689"/>
    <cellStyle name="표준 107 12" xfId="13690"/>
    <cellStyle name="표준 107 13" xfId="13691"/>
    <cellStyle name="표준 107 2" xfId="13692"/>
    <cellStyle name="표준 107 3" xfId="13693"/>
    <cellStyle name="표준 107 4" xfId="13694"/>
    <cellStyle name="표준 107 5" xfId="13695"/>
    <cellStyle name="표준 107 6" xfId="13696"/>
    <cellStyle name="표준 107 7" xfId="13697"/>
    <cellStyle name="표준 107 8" xfId="13698"/>
    <cellStyle name="표준 107 9" xfId="13699"/>
    <cellStyle name="표준 108" xfId="13700"/>
    <cellStyle name="표준 108 10" xfId="13701"/>
    <cellStyle name="표준 108 11" xfId="13702"/>
    <cellStyle name="표준 108 12" xfId="13703"/>
    <cellStyle name="표준 108 13" xfId="13704"/>
    <cellStyle name="표준 108 2" xfId="13705"/>
    <cellStyle name="표준 108 3" xfId="13706"/>
    <cellStyle name="표준 108 4" xfId="13707"/>
    <cellStyle name="표준 108 5" xfId="13708"/>
    <cellStyle name="표준 108 6" xfId="13709"/>
    <cellStyle name="표준 108 7" xfId="13710"/>
    <cellStyle name="표준 108 8" xfId="13711"/>
    <cellStyle name="표준 108 9" xfId="13712"/>
    <cellStyle name="표준 109" xfId="13713"/>
    <cellStyle name="표준 109 10" xfId="13714"/>
    <cellStyle name="표준 109 11" xfId="13715"/>
    <cellStyle name="표준 109 12" xfId="13716"/>
    <cellStyle name="표준 109 13" xfId="13717"/>
    <cellStyle name="표준 109 2" xfId="13718"/>
    <cellStyle name="표준 109 3" xfId="13719"/>
    <cellStyle name="표준 109 4" xfId="13720"/>
    <cellStyle name="표준 109 5" xfId="13721"/>
    <cellStyle name="표준 109 6" xfId="13722"/>
    <cellStyle name="표준 109 7" xfId="13723"/>
    <cellStyle name="표준 109 8" xfId="13724"/>
    <cellStyle name="표준 109 9" xfId="13725"/>
    <cellStyle name="표준 11" xfId="13726"/>
    <cellStyle name="표준 11 10" xfId="13727"/>
    <cellStyle name="표준 11 11" xfId="13728"/>
    <cellStyle name="표준 11 12" xfId="13729"/>
    <cellStyle name="표준 11 13" xfId="13730"/>
    <cellStyle name="표준 11 14" xfId="13731"/>
    <cellStyle name="표준 11 15" xfId="13732"/>
    <cellStyle name="표준 11 16" xfId="13733"/>
    <cellStyle name="표준 11 17" xfId="13734"/>
    <cellStyle name="표준 11 18" xfId="13735"/>
    <cellStyle name="표준 11 19" xfId="13736"/>
    <cellStyle name="표준 11 2" xfId="13737"/>
    <cellStyle name="표준 11 2 10" xfId="13738"/>
    <cellStyle name="표준 11 2 2" xfId="13739"/>
    <cellStyle name="표준 11 2 2 2" xfId="13740"/>
    <cellStyle name="표준 11 2 2 2 2" xfId="23037"/>
    <cellStyle name="표준 11 2 2 3" xfId="13741"/>
    <cellStyle name="표준 11 2 2 3 2" xfId="13742"/>
    <cellStyle name="표준 11 2 2 3 2 2" xfId="13743"/>
    <cellStyle name="표준 11 2 2 4" xfId="13744"/>
    <cellStyle name="표준 11 2 2 4 2" xfId="13745"/>
    <cellStyle name="표준 11 2 2 4 2 2" xfId="13746"/>
    <cellStyle name="표준 11 2 2 5" xfId="13747"/>
    <cellStyle name="표준 11 2 3" xfId="13748"/>
    <cellStyle name="표준 11 2 3 2" xfId="13749"/>
    <cellStyle name="표준 11 2 3 3" xfId="13750"/>
    <cellStyle name="표준 11 2 3 3 2" xfId="13751"/>
    <cellStyle name="표준 11 2 3 3 2 2" xfId="13752"/>
    <cellStyle name="표준 11 2 3 4" xfId="13753"/>
    <cellStyle name="표준 11 2 3 4 2" xfId="13754"/>
    <cellStyle name="표준 11 2 3 4 2 2" xfId="13755"/>
    <cellStyle name="표준 11 2 3 5" xfId="13756"/>
    <cellStyle name="표준 11 2 4" xfId="13757"/>
    <cellStyle name="표준 11 2 4 2" xfId="13758"/>
    <cellStyle name="표준 11 2 4 2 2" xfId="13759"/>
    <cellStyle name="표준 11 2 4 2 2 2" xfId="13760"/>
    <cellStyle name="표준 11 2 4 3" xfId="13761"/>
    <cellStyle name="표준 11 2 4 3 2" xfId="13762"/>
    <cellStyle name="표준 11 2 5" xfId="13763"/>
    <cellStyle name="표준 11 2 6" xfId="13764"/>
    <cellStyle name="표준 11 2 6 2" xfId="13765"/>
    <cellStyle name="표준 11 2 6 2 2" xfId="13766"/>
    <cellStyle name="표준 11 2 6 2 2 2" xfId="13767"/>
    <cellStyle name="표준 11 2 6 3" xfId="13768"/>
    <cellStyle name="표준 11 2 6 3 2" xfId="13769"/>
    <cellStyle name="표준 11 2 7" xfId="13770"/>
    <cellStyle name="표준 11 2 7 2" xfId="13771"/>
    <cellStyle name="표준 11 2 7 2 2" xfId="13772"/>
    <cellStyle name="표준 11 2 8" xfId="13773"/>
    <cellStyle name="표준 11 2 8 2" xfId="13774"/>
    <cellStyle name="표준 11 2 8 2 2" xfId="13775"/>
    <cellStyle name="표준 11 2 9" xfId="13776"/>
    <cellStyle name="표준 11 2 9 2" xfId="13777"/>
    <cellStyle name="표준 11 20" xfId="13778"/>
    <cellStyle name="표준 11 21" xfId="13779"/>
    <cellStyle name="표준 11 22" xfId="13780"/>
    <cellStyle name="표준 11 23" xfId="13781"/>
    <cellStyle name="표준 11 24" xfId="13782"/>
    <cellStyle name="표준 11 25" xfId="13783"/>
    <cellStyle name="표준 11 26" xfId="13784"/>
    <cellStyle name="표준 11 27" xfId="13785"/>
    <cellStyle name="표준 11 28" xfId="13786"/>
    <cellStyle name="표준 11 28 2" xfId="13787"/>
    <cellStyle name="표준 11 28 2 2" xfId="13788"/>
    <cellStyle name="표준 11 29" xfId="13789"/>
    <cellStyle name="표준 11 29 2" xfId="13790"/>
    <cellStyle name="표준 11 29 2 2" xfId="13791"/>
    <cellStyle name="표준 11 29 2 2 2" xfId="13792"/>
    <cellStyle name="표준 11 29 3" xfId="13793"/>
    <cellStyle name="표준 11 3" xfId="13794"/>
    <cellStyle name="표준 11 3 2" xfId="13795"/>
    <cellStyle name="표준 11 3 2 2" xfId="13796"/>
    <cellStyle name="표준 11 3 3" xfId="13797"/>
    <cellStyle name="표준 11 3 3 2" xfId="13798"/>
    <cellStyle name="표준 11 3 3 2 2" xfId="13799"/>
    <cellStyle name="표준 11 3 3 3" xfId="13800"/>
    <cellStyle name="표준 11 3 4" xfId="13801"/>
    <cellStyle name="표준 11 3 4 2" xfId="13802"/>
    <cellStyle name="표준 11 3 4 2 2" xfId="13803"/>
    <cellStyle name="표준 11 3 4 3" xfId="13804"/>
    <cellStyle name="표준 11 3 5" xfId="13805"/>
    <cellStyle name="표준 11 3 5 2" xfId="13806"/>
    <cellStyle name="표준 11 3 6" xfId="13807"/>
    <cellStyle name="표준 11 30" xfId="13808"/>
    <cellStyle name="표준 11 30 2" xfId="13809"/>
    <cellStyle name="표준 11 30 2 2" xfId="13810"/>
    <cellStyle name="표준 11 30 3" xfId="13811"/>
    <cellStyle name="표준 11 30 4" xfId="13812"/>
    <cellStyle name="표준 11 30 4 2" xfId="13813"/>
    <cellStyle name="표준 11 31" xfId="13814"/>
    <cellStyle name="표준 11 31 2" xfId="13815"/>
    <cellStyle name="표준 11 32" xfId="13816"/>
    <cellStyle name="표준 11 32 2" xfId="13817"/>
    <cellStyle name="표준 11 33" xfId="13818"/>
    <cellStyle name="표준 11 34" xfId="13819"/>
    <cellStyle name="표준 11 35" xfId="13820"/>
    <cellStyle name="표준 11 36" xfId="13821"/>
    <cellStyle name="표준 11 37" xfId="13822"/>
    <cellStyle name="표준 11 38" xfId="13823"/>
    <cellStyle name="표준 11 39" xfId="13824"/>
    <cellStyle name="표준 11 4" xfId="13825"/>
    <cellStyle name="표준 11 40" xfId="13826"/>
    <cellStyle name="표준 11 41" xfId="13827"/>
    <cellStyle name="표준 11 42" xfId="13828"/>
    <cellStyle name="표준 11 43" xfId="13829"/>
    <cellStyle name="표준 11 44" xfId="13830"/>
    <cellStyle name="표준 11 45" xfId="13831"/>
    <cellStyle name="표준 11 46" xfId="13832"/>
    <cellStyle name="표준 11 47" xfId="13833"/>
    <cellStyle name="표준 11 48" xfId="13834"/>
    <cellStyle name="표준 11 49" xfId="13835"/>
    <cellStyle name="표준 11 5" xfId="13836"/>
    <cellStyle name="표준 11 5 2" xfId="13837"/>
    <cellStyle name="표준 11 5 3" xfId="13838"/>
    <cellStyle name="표준 11 5 3 2" xfId="13839"/>
    <cellStyle name="표준 11 50" xfId="13840"/>
    <cellStyle name="표준 11 51" xfId="13841"/>
    <cellStyle name="표준 11 52" xfId="13842"/>
    <cellStyle name="표준 11 53" xfId="13843"/>
    <cellStyle name="표준 11 54" xfId="13844"/>
    <cellStyle name="표준 11 6" xfId="13845"/>
    <cellStyle name="표준 11 6 2" xfId="13846"/>
    <cellStyle name="표준 11 6 3" xfId="13847"/>
    <cellStyle name="표준 11 6 3 2" xfId="13848"/>
    <cellStyle name="표준 11 7" xfId="13849"/>
    <cellStyle name="표준 11 8" xfId="13850"/>
    <cellStyle name="표준 11 9" xfId="13851"/>
    <cellStyle name="표준 110" xfId="13852"/>
    <cellStyle name="표준 110 10" xfId="13853"/>
    <cellStyle name="표준 110 11" xfId="13854"/>
    <cellStyle name="표준 110 12" xfId="13855"/>
    <cellStyle name="표준 110 13" xfId="13856"/>
    <cellStyle name="표준 110 2" xfId="13857"/>
    <cellStyle name="표준 110 3" xfId="13858"/>
    <cellStyle name="표준 110 4" xfId="13859"/>
    <cellStyle name="표준 110 5" xfId="13860"/>
    <cellStyle name="표준 110 6" xfId="13861"/>
    <cellStyle name="표준 110 7" xfId="13862"/>
    <cellStyle name="표준 110 8" xfId="13863"/>
    <cellStyle name="표준 110 9" xfId="13864"/>
    <cellStyle name="표준 111" xfId="13865"/>
    <cellStyle name="표준 111 10" xfId="13866"/>
    <cellStyle name="표준 111 11" xfId="13867"/>
    <cellStyle name="표준 111 12" xfId="13868"/>
    <cellStyle name="표준 111 13" xfId="13869"/>
    <cellStyle name="표준 111 2" xfId="13870"/>
    <cellStyle name="표준 111 3" xfId="13871"/>
    <cellStyle name="표준 111 4" xfId="13872"/>
    <cellStyle name="표준 111 5" xfId="13873"/>
    <cellStyle name="표준 111 6" xfId="13874"/>
    <cellStyle name="표준 111 7" xfId="13875"/>
    <cellStyle name="표준 111 8" xfId="13876"/>
    <cellStyle name="표준 111 9" xfId="13877"/>
    <cellStyle name="표준 112" xfId="13878"/>
    <cellStyle name="표준 112 10" xfId="13879"/>
    <cellStyle name="표준 112 11" xfId="13880"/>
    <cellStyle name="표준 112 12" xfId="13881"/>
    <cellStyle name="표준 112 13" xfId="13882"/>
    <cellStyle name="표준 112 2" xfId="13883"/>
    <cellStyle name="표준 112 3" xfId="13884"/>
    <cellStyle name="표준 112 4" xfId="13885"/>
    <cellStyle name="표준 112 5" xfId="13886"/>
    <cellStyle name="표준 112 6" xfId="13887"/>
    <cellStyle name="표준 112 7" xfId="13888"/>
    <cellStyle name="표준 112 8" xfId="13889"/>
    <cellStyle name="표준 112 9" xfId="13890"/>
    <cellStyle name="표준 113" xfId="13891"/>
    <cellStyle name="표준 113 10" xfId="13892"/>
    <cellStyle name="표준 113 11" xfId="13893"/>
    <cellStyle name="표준 113 12" xfId="13894"/>
    <cellStyle name="표준 113 13" xfId="13895"/>
    <cellStyle name="표준 113 2" xfId="13896"/>
    <cellStyle name="표준 113 3" xfId="13897"/>
    <cellStyle name="표준 113 4" xfId="13898"/>
    <cellStyle name="표준 113 5" xfId="13899"/>
    <cellStyle name="표준 113 6" xfId="13900"/>
    <cellStyle name="표준 113 7" xfId="13901"/>
    <cellStyle name="표준 113 8" xfId="13902"/>
    <cellStyle name="표준 113 9" xfId="13903"/>
    <cellStyle name="표준 117" xfId="13904"/>
    <cellStyle name="표준 117 10" xfId="13905"/>
    <cellStyle name="표준 117 11" xfId="13906"/>
    <cellStyle name="표준 117 12" xfId="13907"/>
    <cellStyle name="표준 117 13" xfId="13908"/>
    <cellStyle name="표준 117 2" xfId="13909"/>
    <cellStyle name="표준 117 3" xfId="13910"/>
    <cellStyle name="표준 117 4" xfId="13911"/>
    <cellStyle name="표준 117 5" xfId="13912"/>
    <cellStyle name="표준 117 6" xfId="13913"/>
    <cellStyle name="표준 117 7" xfId="13914"/>
    <cellStyle name="표준 117 8" xfId="13915"/>
    <cellStyle name="표준 117 9" xfId="13916"/>
    <cellStyle name="표준 12" xfId="13917"/>
    <cellStyle name="표준 12 10" xfId="13918"/>
    <cellStyle name="표준 12 11" xfId="13919"/>
    <cellStyle name="표준 12 12" xfId="13920"/>
    <cellStyle name="표준 12 13" xfId="13921"/>
    <cellStyle name="표준 12 14" xfId="13922"/>
    <cellStyle name="표준 12 15" xfId="13923"/>
    <cellStyle name="표준 12 16" xfId="13924"/>
    <cellStyle name="표준 12 17" xfId="13925"/>
    <cellStyle name="표준 12 18" xfId="13926"/>
    <cellStyle name="표준 12 19" xfId="13927"/>
    <cellStyle name="표준 12 2" xfId="13928"/>
    <cellStyle name="표준 12 2 2" xfId="13929"/>
    <cellStyle name="표준 12 2 2 2" xfId="13930"/>
    <cellStyle name="표준 12 2 2 2 2" xfId="23038"/>
    <cellStyle name="표준 12 2 2 3" xfId="20610"/>
    <cellStyle name="표준 12 2 3" xfId="13931"/>
    <cellStyle name="표준 12 2 4" xfId="13932"/>
    <cellStyle name="표준 12 2 4 2" xfId="13933"/>
    <cellStyle name="표준 12 2 4 2 2" xfId="13934"/>
    <cellStyle name="표준 12 2 5" xfId="13935"/>
    <cellStyle name="표준 12 2 5 2" xfId="13936"/>
    <cellStyle name="표준 12 2 5 2 2" xfId="13937"/>
    <cellStyle name="표준 12 20" xfId="13938"/>
    <cellStyle name="표준 12 21" xfId="13939"/>
    <cellStyle name="표준 12 22" xfId="13940"/>
    <cellStyle name="표준 12 23" xfId="13941"/>
    <cellStyle name="표준 12 24" xfId="13942"/>
    <cellStyle name="표준 12 25" xfId="13943"/>
    <cellStyle name="표준 12 26" xfId="13944"/>
    <cellStyle name="표준 12 27" xfId="13945"/>
    <cellStyle name="표준 12 28" xfId="13946"/>
    <cellStyle name="표준 12 29" xfId="13947"/>
    <cellStyle name="표준 12 3" xfId="13948"/>
    <cellStyle name="표준 12 3 2" xfId="13949"/>
    <cellStyle name="표준 12 3 2 2" xfId="13950"/>
    <cellStyle name="표준 12 3 2 2 2" xfId="13951"/>
    <cellStyle name="표준 12 3 2 2 2 2" xfId="13952"/>
    <cellStyle name="표준 12 3 2 2 2 2 2" xfId="23039"/>
    <cellStyle name="표준 12 3 2 2 3" xfId="13953"/>
    <cellStyle name="표준 12 3 2 3" xfId="13954"/>
    <cellStyle name="표준 12 3 2 3 2" xfId="13955"/>
    <cellStyle name="표준 12 3 3" xfId="13956"/>
    <cellStyle name="표준 12 3 4" xfId="13957"/>
    <cellStyle name="표준 12 3 4 2" xfId="13958"/>
    <cellStyle name="표준 12 3 4 2 2" xfId="13959"/>
    <cellStyle name="표준 12 3 5" xfId="13960"/>
    <cellStyle name="표준 12 3 5 2" xfId="13961"/>
    <cellStyle name="표준 12 3 5 2 2" xfId="13962"/>
    <cellStyle name="표준 12 3 6" xfId="13963"/>
    <cellStyle name="표준 12 3 6 2" xfId="13964"/>
    <cellStyle name="표준 12 30" xfId="13965"/>
    <cellStyle name="표준 12 31" xfId="13966"/>
    <cellStyle name="표준 12 32" xfId="13967"/>
    <cellStyle name="표준 12 33" xfId="13968"/>
    <cellStyle name="표준 12 34" xfId="13969"/>
    <cellStyle name="표준 12 35" xfId="13970"/>
    <cellStyle name="표준 12 36" xfId="13971"/>
    <cellStyle name="표준 12 37" xfId="13972"/>
    <cellStyle name="표준 12 38" xfId="13973"/>
    <cellStyle name="표준 12 39" xfId="13974"/>
    <cellStyle name="표준 12 4" xfId="13975"/>
    <cellStyle name="표준 12 4 2" xfId="13976"/>
    <cellStyle name="표준 12 4 3" xfId="13977"/>
    <cellStyle name="표준 12 4 3 2" xfId="13978"/>
    <cellStyle name="표준 12 4 3 2 2" xfId="13979"/>
    <cellStyle name="표준 12 4 4" xfId="13980"/>
    <cellStyle name="표준 12 4 4 2" xfId="13981"/>
    <cellStyle name="표준 12 4 4 2 2" xfId="13982"/>
    <cellStyle name="표준 12 4 5" xfId="13983"/>
    <cellStyle name="표준 12 4 5 2" xfId="13984"/>
    <cellStyle name="표준 12 5" xfId="13985"/>
    <cellStyle name="표준 12 5 2" xfId="13986"/>
    <cellStyle name="표준 12 5 2 2" xfId="13987"/>
    <cellStyle name="표준 12 5 2 2 2" xfId="13988"/>
    <cellStyle name="표준 12 5 3" xfId="13989"/>
    <cellStyle name="표준 12 5 3 2" xfId="13990"/>
    <cellStyle name="표준 12 6" xfId="13991"/>
    <cellStyle name="표준 12 6 2" xfId="13992"/>
    <cellStyle name="표준 12 6 2 2" xfId="13993"/>
    <cellStyle name="표준 12 6 2 2 2" xfId="13994"/>
    <cellStyle name="표준 12 6 3" xfId="13995"/>
    <cellStyle name="표준 12 6 3 2" xfId="13996"/>
    <cellStyle name="표준 12 7" xfId="13997"/>
    <cellStyle name="표준 12 7 2" xfId="13998"/>
    <cellStyle name="표준 12 7 2 2" xfId="13999"/>
    <cellStyle name="표준 12 8" xfId="14000"/>
    <cellStyle name="표준 12 8 2" xfId="14001"/>
    <cellStyle name="표준 12 8 2 2" xfId="14002"/>
    <cellStyle name="표준 12 9" xfId="14003"/>
    <cellStyle name="표준 12 9 2" xfId="14004"/>
    <cellStyle name="표준 12 9 2 2" xfId="14005"/>
    <cellStyle name="표준 12 9 3" xfId="14006"/>
    <cellStyle name="표준 122" xfId="14007"/>
    <cellStyle name="표준 122 10" xfId="14008"/>
    <cellStyle name="표준 122 11" xfId="14009"/>
    <cellStyle name="표준 122 12" xfId="14010"/>
    <cellStyle name="표준 122 13" xfId="14011"/>
    <cellStyle name="표준 122 2" xfId="14012"/>
    <cellStyle name="표준 122 3" xfId="14013"/>
    <cellStyle name="표준 122 4" xfId="14014"/>
    <cellStyle name="표준 122 5" xfId="14015"/>
    <cellStyle name="표준 122 6" xfId="14016"/>
    <cellStyle name="표준 122 7" xfId="14017"/>
    <cellStyle name="표준 122 8" xfId="14018"/>
    <cellStyle name="표준 122 9" xfId="14019"/>
    <cellStyle name="표준 127" xfId="14020"/>
    <cellStyle name="표준 127 10" xfId="14021"/>
    <cellStyle name="표준 127 11" xfId="14022"/>
    <cellStyle name="표준 127 12" xfId="14023"/>
    <cellStyle name="표준 127 13" xfId="14024"/>
    <cellStyle name="표준 127 2" xfId="14025"/>
    <cellStyle name="표준 127 3" xfId="14026"/>
    <cellStyle name="표준 127 4" xfId="14027"/>
    <cellStyle name="표준 127 5" xfId="14028"/>
    <cellStyle name="표준 127 6" xfId="14029"/>
    <cellStyle name="표준 127 7" xfId="14030"/>
    <cellStyle name="표준 127 8" xfId="14031"/>
    <cellStyle name="표준 127 9" xfId="14032"/>
    <cellStyle name="표준 128" xfId="14033"/>
    <cellStyle name="표준 128 10" xfId="14034"/>
    <cellStyle name="표준 128 11" xfId="14035"/>
    <cellStyle name="표준 128 12" xfId="14036"/>
    <cellStyle name="표준 128 13" xfId="14037"/>
    <cellStyle name="표준 128 2" xfId="14038"/>
    <cellStyle name="표준 128 3" xfId="14039"/>
    <cellStyle name="표준 128 4" xfId="14040"/>
    <cellStyle name="표준 128 5" xfId="14041"/>
    <cellStyle name="표준 128 6" xfId="14042"/>
    <cellStyle name="표준 128 7" xfId="14043"/>
    <cellStyle name="표준 128 8" xfId="14044"/>
    <cellStyle name="표준 128 9" xfId="14045"/>
    <cellStyle name="표준 129 10" xfId="14046"/>
    <cellStyle name="표준 129 11" xfId="14047"/>
    <cellStyle name="표준 129 12" xfId="14048"/>
    <cellStyle name="표준 129 13" xfId="14049"/>
    <cellStyle name="표준 129 2" xfId="14050"/>
    <cellStyle name="표준 129 3" xfId="14051"/>
    <cellStyle name="표준 129 4" xfId="14052"/>
    <cellStyle name="표준 129 5" xfId="14053"/>
    <cellStyle name="표준 129 6" xfId="14054"/>
    <cellStyle name="표준 129 7" xfId="14055"/>
    <cellStyle name="표준 129 8" xfId="14056"/>
    <cellStyle name="표준 129 9" xfId="14057"/>
    <cellStyle name="표준 13" xfId="14058"/>
    <cellStyle name="표준 13 10" xfId="14059"/>
    <cellStyle name="표준 13 10 2" xfId="14060"/>
    <cellStyle name="표준 13 10 2 2" xfId="14061"/>
    <cellStyle name="표준 13 10 3" xfId="14062"/>
    <cellStyle name="표준 13 11" xfId="14063"/>
    <cellStyle name="표준 13 12" xfId="14064"/>
    <cellStyle name="표준 13 13" xfId="14065"/>
    <cellStyle name="표준 13 14" xfId="14066"/>
    <cellStyle name="표준 13 15" xfId="14067"/>
    <cellStyle name="표준 13 16" xfId="14068"/>
    <cellStyle name="표준 13 17" xfId="14069"/>
    <cellStyle name="표준 13 18" xfId="14070"/>
    <cellStyle name="표준 13 19" xfId="14071"/>
    <cellStyle name="표준 13 2" xfId="14072"/>
    <cellStyle name="표준 13 2 2" xfId="14073"/>
    <cellStyle name="표준 13 2 3" xfId="14074"/>
    <cellStyle name="표준 13 2 3 2" xfId="14075"/>
    <cellStyle name="표준 13 2 3 2 2" xfId="14076"/>
    <cellStyle name="표준 13 2 4" xfId="14077"/>
    <cellStyle name="표준 13 2 4 2" xfId="14078"/>
    <cellStyle name="표준 13 2 4 2 2" xfId="14079"/>
    <cellStyle name="표준 13 20" xfId="14080"/>
    <cellStyle name="표준 13 21" xfId="14081"/>
    <cellStyle name="표준 13 22" xfId="14082"/>
    <cellStyle name="표준 13 23" xfId="14083"/>
    <cellStyle name="표준 13 24" xfId="14084"/>
    <cellStyle name="표준 13 25" xfId="14085"/>
    <cellStyle name="표준 13 26" xfId="14086"/>
    <cellStyle name="표준 13 27" xfId="14087"/>
    <cellStyle name="표준 13 28" xfId="14088"/>
    <cellStyle name="표준 13 29" xfId="14089"/>
    <cellStyle name="표준 13 3" xfId="14090"/>
    <cellStyle name="표준 13 3 2" xfId="14091"/>
    <cellStyle name="표준 13 3 3" xfId="14092"/>
    <cellStyle name="표준 13 3 4" xfId="14093"/>
    <cellStyle name="표준 13 3 4 2" xfId="14094"/>
    <cellStyle name="표준 13 3 4 2 2" xfId="14095"/>
    <cellStyle name="표준 13 3 5" xfId="14096"/>
    <cellStyle name="표준 13 3 5 2" xfId="14097"/>
    <cellStyle name="표준 13 3 5 2 2" xfId="14098"/>
    <cellStyle name="표준 13 3 6" xfId="14099"/>
    <cellStyle name="표준 13 3 6 2" xfId="14100"/>
    <cellStyle name="표준 13 30" xfId="14101"/>
    <cellStyle name="표준 13 31" xfId="14102"/>
    <cellStyle name="표준 13 32" xfId="14103"/>
    <cellStyle name="표준 13 33" xfId="14104"/>
    <cellStyle name="표준 13 34" xfId="14105"/>
    <cellStyle name="표준 13 35" xfId="14106"/>
    <cellStyle name="표준 13 36" xfId="14107"/>
    <cellStyle name="표준 13 37" xfId="14108"/>
    <cellStyle name="표준 13 38" xfId="14109"/>
    <cellStyle name="표준 13 39" xfId="14110"/>
    <cellStyle name="표준 13 4" xfId="14111"/>
    <cellStyle name="표준 13 4 2" xfId="14112"/>
    <cellStyle name="표준 13 4 3" xfId="14113"/>
    <cellStyle name="표준 13 4 3 2" xfId="14114"/>
    <cellStyle name="표준 13 4 3 2 2" xfId="14115"/>
    <cellStyle name="표준 13 4 4" xfId="14116"/>
    <cellStyle name="표준 13 4 4 2" xfId="14117"/>
    <cellStyle name="표준 13 4 4 2 2" xfId="14118"/>
    <cellStyle name="표준 13 4 5" xfId="14119"/>
    <cellStyle name="표준 13 4 5 2" xfId="14120"/>
    <cellStyle name="표준 13 5" xfId="14121"/>
    <cellStyle name="표준 13 5 2" xfId="14122"/>
    <cellStyle name="표준 13 5 2 2" xfId="14123"/>
    <cellStyle name="표준 13 5 2 2 2" xfId="14124"/>
    <cellStyle name="표준 13 5 3" xfId="14125"/>
    <cellStyle name="표준 13 5 3 2" xfId="14126"/>
    <cellStyle name="표준 13 6" xfId="14127"/>
    <cellStyle name="표준 13 6 2" xfId="14128"/>
    <cellStyle name="표준 13 6 2 2" xfId="14129"/>
    <cellStyle name="표준 13 6 3" xfId="14130"/>
    <cellStyle name="표준 13 7" xfId="14131"/>
    <cellStyle name="표준 13 7 2" xfId="14132"/>
    <cellStyle name="표준 13 7 2 2" xfId="14133"/>
    <cellStyle name="표준 13 7 2 2 2" xfId="14134"/>
    <cellStyle name="표준 13 7 3" xfId="14135"/>
    <cellStyle name="표준 13 7 3 2" xfId="14136"/>
    <cellStyle name="표준 13 8" xfId="14137"/>
    <cellStyle name="표준 13 8 2" xfId="14138"/>
    <cellStyle name="표준 13 8 2 2" xfId="14139"/>
    <cellStyle name="표준 13 8 2 2 2" xfId="14140"/>
    <cellStyle name="표준 13 8 3" xfId="14141"/>
    <cellStyle name="표준 13 8 3 2" xfId="14142"/>
    <cellStyle name="표준 13 9" xfId="14143"/>
    <cellStyle name="표준 13 9 2" xfId="14144"/>
    <cellStyle name="표준 13 9 2 2" xfId="14145"/>
    <cellStyle name="표준 130 10" xfId="14146"/>
    <cellStyle name="표준 130 11" xfId="14147"/>
    <cellStyle name="표준 130 12" xfId="14148"/>
    <cellStyle name="표준 130 13" xfId="14149"/>
    <cellStyle name="표준 130 2" xfId="14150"/>
    <cellStyle name="표준 130 3" xfId="14151"/>
    <cellStyle name="표준 130 4" xfId="14152"/>
    <cellStyle name="표준 130 5" xfId="14153"/>
    <cellStyle name="표준 130 6" xfId="14154"/>
    <cellStyle name="표준 130 7" xfId="14155"/>
    <cellStyle name="표준 130 8" xfId="14156"/>
    <cellStyle name="표준 130 9" xfId="14157"/>
    <cellStyle name="표준 131 10" xfId="14158"/>
    <cellStyle name="표준 131 11" xfId="14159"/>
    <cellStyle name="표준 131 12" xfId="14160"/>
    <cellStyle name="표준 131 13" xfId="14161"/>
    <cellStyle name="표준 131 2" xfId="14162"/>
    <cellStyle name="표준 131 3" xfId="14163"/>
    <cellStyle name="표준 131 4" xfId="14164"/>
    <cellStyle name="표준 131 5" xfId="14165"/>
    <cellStyle name="표준 131 6" xfId="14166"/>
    <cellStyle name="표준 131 7" xfId="14167"/>
    <cellStyle name="표준 131 8" xfId="14168"/>
    <cellStyle name="표준 131 9" xfId="14169"/>
    <cellStyle name="표준 132 10" xfId="14170"/>
    <cellStyle name="표준 132 11" xfId="14171"/>
    <cellStyle name="표준 132 12" xfId="14172"/>
    <cellStyle name="표준 132 13" xfId="14173"/>
    <cellStyle name="표준 132 2" xfId="14174"/>
    <cellStyle name="표준 132 3" xfId="14175"/>
    <cellStyle name="표준 132 4" xfId="14176"/>
    <cellStyle name="표준 132 5" xfId="14177"/>
    <cellStyle name="표준 132 6" xfId="14178"/>
    <cellStyle name="표준 132 7" xfId="14179"/>
    <cellStyle name="표준 132 8" xfId="14180"/>
    <cellStyle name="표준 132 9" xfId="14181"/>
    <cellStyle name="표준 14" xfId="46"/>
    <cellStyle name="표준 14 10" xfId="14182"/>
    <cellStyle name="표준 14 11" xfId="14183"/>
    <cellStyle name="표준 14 12" xfId="14184"/>
    <cellStyle name="표준 14 13" xfId="14185"/>
    <cellStyle name="표준 14 14" xfId="14186"/>
    <cellStyle name="표준 14 15" xfId="14187"/>
    <cellStyle name="표준 14 16" xfId="14188"/>
    <cellStyle name="표준 14 17" xfId="14189"/>
    <cellStyle name="표준 14 18" xfId="14190"/>
    <cellStyle name="표준 14 19" xfId="14191"/>
    <cellStyle name="표준 14 2" xfId="14192"/>
    <cellStyle name="표준 14 2 2" xfId="14193"/>
    <cellStyle name="표준 14 2 3" xfId="14194"/>
    <cellStyle name="표준 14 2 3 2" xfId="14195"/>
    <cellStyle name="표준 14 2 3 2 2" xfId="14196"/>
    <cellStyle name="표준 14 2 4" xfId="14197"/>
    <cellStyle name="표준 14 2 4 2" xfId="14198"/>
    <cellStyle name="표준 14 2 4 2 2" xfId="14199"/>
    <cellStyle name="표준 14 20" xfId="14200"/>
    <cellStyle name="표준 14 21" xfId="14201"/>
    <cellStyle name="표준 14 22" xfId="14202"/>
    <cellStyle name="표준 14 23" xfId="14203"/>
    <cellStyle name="표준 14 24" xfId="14204"/>
    <cellStyle name="표준 14 25" xfId="14205"/>
    <cellStyle name="표준 14 26" xfId="14206"/>
    <cellStyle name="표준 14 27" xfId="14207"/>
    <cellStyle name="표준 14 28" xfId="14208"/>
    <cellStyle name="표준 14 29" xfId="14209"/>
    <cellStyle name="표준 14 3" xfId="14210"/>
    <cellStyle name="표준 14 3 2" xfId="14211"/>
    <cellStyle name="표준 14 3 2 2" xfId="14212"/>
    <cellStyle name="표준 14 3 2 2 2" xfId="14213"/>
    <cellStyle name="표준 14 3 2 2 2 2" xfId="23040"/>
    <cellStyle name="표준 14 3 2 3" xfId="14214"/>
    <cellStyle name="표준 14 3 3" xfId="14215"/>
    <cellStyle name="표준 14 3 4" xfId="14216"/>
    <cellStyle name="표준 14 3 4 2" xfId="14217"/>
    <cellStyle name="표준 14 3 4 2 2" xfId="14218"/>
    <cellStyle name="표준 14 3 5" xfId="14219"/>
    <cellStyle name="표준 14 3 5 2" xfId="14220"/>
    <cellStyle name="표준 14 3 5 2 2" xfId="14221"/>
    <cellStyle name="표준 14 3 6" xfId="14222"/>
    <cellStyle name="표준 14 3 6 2" xfId="14223"/>
    <cellStyle name="표준 14 30" xfId="14224"/>
    <cellStyle name="표준 14 31" xfId="14225"/>
    <cellStyle name="표준 14 32" xfId="14226"/>
    <cellStyle name="표준 14 33" xfId="14227"/>
    <cellStyle name="표준 14 34" xfId="14228"/>
    <cellStyle name="표준 14 35" xfId="14229"/>
    <cellStyle name="표준 14 36" xfId="14230"/>
    <cellStyle name="표준 14 37" xfId="14231"/>
    <cellStyle name="표준 14 38" xfId="14232"/>
    <cellStyle name="표준 14 39" xfId="14233"/>
    <cellStyle name="표준 14 4" xfId="14234"/>
    <cellStyle name="표준 14 4 2" xfId="14235"/>
    <cellStyle name="표준 14 4 3" xfId="14236"/>
    <cellStyle name="표준 14 4 3 2" xfId="14237"/>
    <cellStyle name="표준 14 4 3 2 2" xfId="14238"/>
    <cellStyle name="표준 14 4 4" xfId="14239"/>
    <cellStyle name="표준 14 4 4 2" xfId="14240"/>
    <cellStyle name="표준 14 4 4 2 2" xfId="14241"/>
    <cellStyle name="표준 14 4 5" xfId="14242"/>
    <cellStyle name="표준 14 4 5 2" xfId="14243"/>
    <cellStyle name="표준 14 5" xfId="14244"/>
    <cellStyle name="표준 14 5 2" xfId="14245"/>
    <cellStyle name="표준 14 5 2 2" xfId="14246"/>
    <cellStyle name="표준 14 5 2 2 2" xfId="14247"/>
    <cellStyle name="표준 14 5 3" xfId="14248"/>
    <cellStyle name="표준 14 5 3 2" xfId="14249"/>
    <cellStyle name="표준 14 6" xfId="14250"/>
    <cellStyle name="표준 14 6 2" xfId="14251"/>
    <cellStyle name="표준 14 6 2 2" xfId="14252"/>
    <cellStyle name="표준 14 6 2 2 2" xfId="14253"/>
    <cellStyle name="표준 14 6 3" xfId="14254"/>
    <cellStyle name="표준 14 6 3 2" xfId="14255"/>
    <cellStyle name="표준 14 7" xfId="14256"/>
    <cellStyle name="표준 14 7 2" xfId="14257"/>
    <cellStyle name="표준 14 7 2 2" xfId="14258"/>
    <cellStyle name="표준 14 8" xfId="14259"/>
    <cellStyle name="표준 14 9" xfId="14260"/>
    <cellStyle name="표준 14 9 2" xfId="14261"/>
    <cellStyle name="표준 14 9 2 2" xfId="14262"/>
    <cellStyle name="표준 14 9 3" xfId="14263"/>
    <cellStyle name="표준 140" xfId="14264"/>
    <cellStyle name="표준 140 10" xfId="14265"/>
    <cellStyle name="표준 140 11" xfId="14266"/>
    <cellStyle name="표준 140 12" xfId="14267"/>
    <cellStyle name="표준 140 13" xfId="14268"/>
    <cellStyle name="표준 140 2" xfId="14269"/>
    <cellStyle name="표준 140 3" xfId="14270"/>
    <cellStyle name="표준 140 4" xfId="14271"/>
    <cellStyle name="표준 140 5" xfId="14272"/>
    <cellStyle name="표준 140 6" xfId="14273"/>
    <cellStyle name="표준 140 7" xfId="14274"/>
    <cellStyle name="표준 140 8" xfId="14275"/>
    <cellStyle name="표준 140 9" xfId="14276"/>
    <cellStyle name="표준 141" xfId="14277"/>
    <cellStyle name="표준 141 10" xfId="14278"/>
    <cellStyle name="표준 141 11" xfId="14279"/>
    <cellStyle name="표준 141 12" xfId="14280"/>
    <cellStyle name="표준 141 13" xfId="14281"/>
    <cellStyle name="표준 141 2" xfId="14282"/>
    <cellStyle name="표준 141 3" xfId="14283"/>
    <cellStyle name="표준 141 4" xfId="14284"/>
    <cellStyle name="표준 141 5" xfId="14285"/>
    <cellStyle name="표준 141 6" xfId="14286"/>
    <cellStyle name="표준 141 7" xfId="14287"/>
    <cellStyle name="표준 141 8" xfId="14288"/>
    <cellStyle name="표준 141 9" xfId="14289"/>
    <cellStyle name="표준 142" xfId="14290"/>
    <cellStyle name="표준 142 2" xfId="14291"/>
    <cellStyle name="표준 143" xfId="14292"/>
    <cellStyle name="표준 143 2" xfId="14293"/>
    <cellStyle name="표준 146" xfId="14294"/>
    <cellStyle name="표준 146 2" xfId="14295"/>
    <cellStyle name="표준 148" xfId="14296"/>
    <cellStyle name="표준 148 2" xfId="14297"/>
    <cellStyle name="표준 15" xfId="47"/>
    <cellStyle name="표준 15 10" xfId="14298"/>
    <cellStyle name="표준 15 11" xfId="14299"/>
    <cellStyle name="표준 15 12" xfId="14300"/>
    <cellStyle name="표준 15 13" xfId="14301"/>
    <cellStyle name="표준 15 14" xfId="14302"/>
    <cellStyle name="표준 15 15" xfId="14303"/>
    <cellStyle name="표준 15 16" xfId="14304"/>
    <cellStyle name="표준 15 17" xfId="14305"/>
    <cellStyle name="표준 15 18" xfId="14306"/>
    <cellStyle name="표준 15 19" xfId="14307"/>
    <cellStyle name="표준 15 2" xfId="14308"/>
    <cellStyle name="표준 15 2 2" xfId="14309"/>
    <cellStyle name="표준 15 2 2 2" xfId="14310"/>
    <cellStyle name="표준 15 2 2 2 2" xfId="14311"/>
    <cellStyle name="표준 15 2 2 3" xfId="14312"/>
    <cellStyle name="표준 15 2 2 4" xfId="14313"/>
    <cellStyle name="표준 15 2 3" xfId="14314"/>
    <cellStyle name="표준 15 2 3 2" xfId="14315"/>
    <cellStyle name="표준 15 2 3 2 2" xfId="14316"/>
    <cellStyle name="표준 15 2 3 3" xfId="14317"/>
    <cellStyle name="표준 15 2 3 4" xfId="14318"/>
    <cellStyle name="표준 15 2 4" xfId="14319"/>
    <cellStyle name="표준 15 2 4 2" xfId="14320"/>
    <cellStyle name="표준 15 2 4 2 2" xfId="14321"/>
    <cellStyle name="표준 15 2 4 3" xfId="14322"/>
    <cellStyle name="표준 15 2 4 4" xfId="14323"/>
    <cellStyle name="표준 15 2 5" xfId="14324"/>
    <cellStyle name="표준 15 2 5 2" xfId="14325"/>
    <cellStyle name="표준 15 2 6" xfId="14326"/>
    <cellStyle name="표준 15 20" xfId="14327"/>
    <cellStyle name="표준 15 21" xfId="14328"/>
    <cellStyle name="표준 15 22" xfId="14329"/>
    <cellStyle name="표준 15 23" xfId="14330"/>
    <cellStyle name="표준 15 24" xfId="14331"/>
    <cellStyle name="표준 15 25" xfId="14332"/>
    <cellStyle name="표준 15 26" xfId="14333"/>
    <cellStyle name="표준 15 27" xfId="14334"/>
    <cellStyle name="표준 15 28" xfId="14335"/>
    <cellStyle name="표준 15 29" xfId="14336"/>
    <cellStyle name="표준 15 3" xfId="14337"/>
    <cellStyle name="표준 15 3 2" xfId="14338"/>
    <cellStyle name="표준 15 3 2 2" xfId="14339"/>
    <cellStyle name="표준 15 3 2 2 2" xfId="14340"/>
    <cellStyle name="표준 15 3 2 2 2 2" xfId="14341"/>
    <cellStyle name="표준 15 3 2 2 3" xfId="14342"/>
    <cellStyle name="표준 15 3 2 3" xfId="14343"/>
    <cellStyle name="표준 15 3 2 3 2" xfId="14344"/>
    <cellStyle name="표준 15 3 3" xfId="14345"/>
    <cellStyle name="표준 15 3 3 2" xfId="14346"/>
    <cellStyle name="표준 15 30" xfId="14347"/>
    <cellStyle name="표준 15 31" xfId="14348"/>
    <cellStyle name="표준 15 32" xfId="14349"/>
    <cellStyle name="표준 15 33" xfId="14350"/>
    <cellStyle name="표준 15 34" xfId="14351"/>
    <cellStyle name="표준 15 35" xfId="14352"/>
    <cellStyle name="표준 15 36" xfId="14353"/>
    <cellStyle name="표준 15 37" xfId="14354"/>
    <cellStyle name="표준 15 38" xfId="14355"/>
    <cellStyle name="표준 15 39" xfId="14356"/>
    <cellStyle name="표준 15 4" xfId="14357"/>
    <cellStyle name="표준 15 4 2" xfId="14358"/>
    <cellStyle name="표준 15 4 2 2" xfId="14359"/>
    <cellStyle name="표준 15 4 2 2 2" xfId="14360"/>
    <cellStyle name="표준 15 4 2 2 2 2" xfId="14361"/>
    <cellStyle name="표준 15 4 2 2 2 2 2" xfId="23041"/>
    <cellStyle name="표준 15 4 2 2 3" xfId="14362"/>
    <cellStyle name="표준 15 4 2 3" xfId="14363"/>
    <cellStyle name="표준 15 4 2 3 2" xfId="14364"/>
    <cellStyle name="표준 15 4 3" xfId="14365"/>
    <cellStyle name="표준 15 4 3 2" xfId="14366"/>
    <cellStyle name="표준 15 4 4" xfId="14367"/>
    <cellStyle name="표준 15 4 5" xfId="14368"/>
    <cellStyle name="표준 15 40" xfId="14369"/>
    <cellStyle name="표준 15 41" xfId="14370"/>
    <cellStyle name="표준 15 42" xfId="14371"/>
    <cellStyle name="표준 15 43" xfId="14372"/>
    <cellStyle name="표준 15 44" xfId="14373"/>
    <cellStyle name="표준 15 45" xfId="14374"/>
    <cellStyle name="표준 15 46" xfId="14375"/>
    <cellStyle name="표준 15 47" xfId="14376"/>
    <cellStyle name="표준 15 48" xfId="14377"/>
    <cellStyle name="표준 15 49" xfId="14378"/>
    <cellStyle name="표준 15 5" xfId="14379"/>
    <cellStyle name="표준 15 5 2" xfId="14380"/>
    <cellStyle name="표준 15 5 2 2" xfId="14381"/>
    <cellStyle name="표준 15 5 2 2 2" xfId="14382"/>
    <cellStyle name="표준 15 5 3" xfId="14383"/>
    <cellStyle name="표준 15 5 3 2" xfId="14384"/>
    <cellStyle name="표준 15 5 4" xfId="14385"/>
    <cellStyle name="표준 15 5 4 2" xfId="14386"/>
    <cellStyle name="표준 15 50" xfId="14387"/>
    <cellStyle name="표준 15 51" xfId="14388"/>
    <cellStyle name="표준 15 52" xfId="14389"/>
    <cellStyle name="표준 15 53" xfId="14390"/>
    <cellStyle name="표준 15 54" xfId="14391"/>
    <cellStyle name="표준 15 6" xfId="14392"/>
    <cellStyle name="표준 15 6 2" xfId="14393"/>
    <cellStyle name="표준 15 6 2 2" xfId="14394"/>
    <cellStyle name="표준 15 6 2 2 2" xfId="14395"/>
    <cellStyle name="표준 15 6 3" xfId="14396"/>
    <cellStyle name="표준 15 6 3 2" xfId="14397"/>
    <cellStyle name="표준 15 6 4" xfId="14398"/>
    <cellStyle name="표준 15 6 4 2" xfId="14399"/>
    <cellStyle name="표준 15 7" xfId="14400"/>
    <cellStyle name="표준 15 7 2" xfId="14401"/>
    <cellStyle name="표준 15 7 2 2" xfId="14402"/>
    <cellStyle name="표준 15 7 2 2 2" xfId="14403"/>
    <cellStyle name="표준 15 7 2 3" xfId="14404"/>
    <cellStyle name="표준 15 7 3" xfId="14405"/>
    <cellStyle name="표준 15 7 3 2" xfId="14406"/>
    <cellStyle name="표준 15 8" xfId="14407"/>
    <cellStyle name="표준 15 8 2" xfId="14408"/>
    <cellStyle name="표준 15 8 2 2" xfId="14409"/>
    <cellStyle name="표준 15 8 3" xfId="14410"/>
    <cellStyle name="표준 15 9" xfId="14411"/>
    <cellStyle name="표준 15 9 2" xfId="14412"/>
    <cellStyle name="표준 151" xfId="14413"/>
    <cellStyle name="표준 151 2" xfId="14414"/>
    <cellStyle name="표준 153" xfId="14415"/>
    <cellStyle name="표준 153 2" xfId="14416"/>
    <cellStyle name="표준 155" xfId="14417"/>
    <cellStyle name="표준 155 2" xfId="14418"/>
    <cellStyle name="표준 159" xfId="14419"/>
    <cellStyle name="표준 159 2" xfId="14420"/>
    <cellStyle name="표준 16" xfId="14421"/>
    <cellStyle name="표준 16 10" xfId="14422"/>
    <cellStyle name="표준 16 10 2" xfId="14423"/>
    <cellStyle name="표준 16 11" xfId="14424"/>
    <cellStyle name="표준 16 12" xfId="20621"/>
    <cellStyle name="표준 16 13" xfId="20454"/>
    <cellStyle name="표준 16 2" xfId="14425"/>
    <cellStyle name="표준 16 2 2" xfId="14426"/>
    <cellStyle name="표준 16 2 2 2" xfId="14427"/>
    <cellStyle name="표준 16 2 2 3" xfId="14428"/>
    <cellStyle name="표준 16 2 3" xfId="14429"/>
    <cellStyle name="표준 16 2 3 2" xfId="14430"/>
    <cellStyle name="표준 16 2 3 2 2" xfId="14431"/>
    <cellStyle name="표준 16 2 3 3" xfId="14432"/>
    <cellStyle name="표준 16 2 3 4" xfId="14433"/>
    <cellStyle name="표준 16 2 4" xfId="14434"/>
    <cellStyle name="표준 16 2 4 2" xfId="14435"/>
    <cellStyle name="표준 16 2 5" xfId="14436"/>
    <cellStyle name="표준 16 2 6" xfId="14437"/>
    <cellStyle name="표준 16 2 6 2" xfId="14438"/>
    <cellStyle name="표준 16 3" xfId="14439"/>
    <cellStyle name="표준 16 3 2" xfId="14440"/>
    <cellStyle name="표준 16 3 2 2" xfId="14441"/>
    <cellStyle name="표준 16 3 2 2 2" xfId="14442"/>
    <cellStyle name="표준 16 3 3" xfId="14443"/>
    <cellStyle name="표준 16 3 3 2" xfId="14444"/>
    <cellStyle name="표준 16 4" xfId="14445"/>
    <cellStyle name="표준 16 4 2" xfId="14446"/>
    <cellStyle name="표준 16 4 2 2" xfId="14447"/>
    <cellStyle name="표준 16 4 2 2 2" xfId="14448"/>
    <cellStyle name="표준 16 4 3" xfId="14449"/>
    <cellStyle name="표준 16 4 3 2" xfId="14450"/>
    <cellStyle name="표준 16 4 4" xfId="14451"/>
    <cellStyle name="표준 16 4 5" xfId="14452"/>
    <cellStyle name="표준 16 5" xfId="14453"/>
    <cellStyle name="표준 16 5 2" xfId="14454"/>
    <cellStyle name="표준 16 5 2 2" xfId="14455"/>
    <cellStyle name="표준 16 5 2 2 2" xfId="14456"/>
    <cellStyle name="표준 16 5 3" xfId="14457"/>
    <cellStyle name="표준 16 5 3 2" xfId="14458"/>
    <cellStyle name="표준 16 6" xfId="14459"/>
    <cellStyle name="표준 16 7" xfId="14460"/>
    <cellStyle name="표준 16 7 2" xfId="14461"/>
    <cellStyle name="표준 16 7 2 2" xfId="14462"/>
    <cellStyle name="표준 16 7 2 2 2" xfId="14463"/>
    <cellStyle name="표준 16 7 3" xfId="14464"/>
    <cellStyle name="표준 16 7 3 2" xfId="14465"/>
    <cellStyle name="표준 16 8" xfId="14466"/>
    <cellStyle name="표준 16 8 2" xfId="14467"/>
    <cellStyle name="표준 16 8 2 2" xfId="14468"/>
    <cellStyle name="표준 16 9" xfId="14469"/>
    <cellStyle name="표준 16 9 2" xfId="14470"/>
    <cellStyle name="표준 16 9 2 2" xfId="14471"/>
    <cellStyle name="표준 161" xfId="14472"/>
    <cellStyle name="표준 161 2" xfId="14473"/>
    <cellStyle name="표준 163" xfId="14474"/>
    <cellStyle name="표준 164" xfId="14475"/>
    <cellStyle name="표준 17" xfId="14476"/>
    <cellStyle name="표준 17 10" xfId="14477"/>
    <cellStyle name="표준 17 10 2" xfId="14478"/>
    <cellStyle name="표준 17 11" xfId="14479"/>
    <cellStyle name="표준 17 12" xfId="20624"/>
    <cellStyle name="표준 17 2" xfId="14480"/>
    <cellStyle name="표준 17 2 2" xfId="14481"/>
    <cellStyle name="표준 17 2 2 2" xfId="14482"/>
    <cellStyle name="표준 17 2 2 3" xfId="14483"/>
    <cellStyle name="표준 17 2 3" xfId="14484"/>
    <cellStyle name="표준 17 2 3 2" xfId="14485"/>
    <cellStyle name="표준 17 2 3 2 2" xfId="14486"/>
    <cellStyle name="표준 17 2 4" xfId="14487"/>
    <cellStyle name="표준 17 2 4 2" xfId="14488"/>
    <cellStyle name="표준 17 2 5" xfId="14489"/>
    <cellStyle name="표준 17 2 6" xfId="14490"/>
    <cellStyle name="표준 17 2 6 2" xfId="14491"/>
    <cellStyle name="표준 17 3" xfId="14492"/>
    <cellStyle name="표준 17 3 2" xfId="14493"/>
    <cellStyle name="표준 17 3 2 2" xfId="14494"/>
    <cellStyle name="표준 17 3 2 2 2" xfId="14495"/>
    <cellStyle name="표준 17 3 3" xfId="14496"/>
    <cellStyle name="표준 17 3 3 2" xfId="14497"/>
    <cellStyle name="표준 17 4" xfId="14498"/>
    <cellStyle name="표준 17 4 2" xfId="14499"/>
    <cellStyle name="표준 17 4 2 2" xfId="14500"/>
    <cellStyle name="표준 17 4 2 2 2" xfId="14501"/>
    <cellStyle name="표준 17 4 3" xfId="14502"/>
    <cellStyle name="표준 17 4 3 2" xfId="14503"/>
    <cellStyle name="표준 17 4 4" xfId="14504"/>
    <cellStyle name="표준 17 4 5" xfId="14505"/>
    <cellStyle name="표준 17 5" xfId="14506"/>
    <cellStyle name="표준 17 5 2" xfId="14507"/>
    <cellStyle name="표준 17 5 2 2" xfId="14508"/>
    <cellStyle name="표준 17 5 2 2 2" xfId="14509"/>
    <cellStyle name="표준 17 5 3" xfId="14510"/>
    <cellStyle name="표준 17 5 3 2" xfId="14511"/>
    <cellStyle name="표준 17 6" xfId="14512"/>
    <cellStyle name="표준 17 7" xfId="14513"/>
    <cellStyle name="표준 17 7 2" xfId="14514"/>
    <cellStyle name="표준 17 7 2 2" xfId="14515"/>
    <cellStyle name="표준 17 7 2 2 2" xfId="14516"/>
    <cellStyle name="표준 17 7 3" xfId="14517"/>
    <cellStyle name="표준 17 7 3 2" xfId="14518"/>
    <cellStyle name="표준 17 8" xfId="14519"/>
    <cellStyle name="표준 17 8 2" xfId="14520"/>
    <cellStyle name="표준 17 8 2 2" xfId="14521"/>
    <cellStyle name="표준 17 9" xfId="14522"/>
    <cellStyle name="표준 17 9 2" xfId="14523"/>
    <cellStyle name="표준 17 9 2 2" xfId="14524"/>
    <cellStyle name="표준 18" xfId="14525"/>
    <cellStyle name="표준 18 2" xfId="14526"/>
    <cellStyle name="표준 18 2 2" xfId="14527"/>
    <cellStyle name="표준 18 2 2 2" xfId="14528"/>
    <cellStyle name="표준 18 2 2 3" xfId="14529"/>
    <cellStyle name="표준 18 2 2 3 2" xfId="14530"/>
    <cellStyle name="표준 18 2 3" xfId="14531"/>
    <cellStyle name="표준 18 2 4" xfId="14532"/>
    <cellStyle name="표준 18 2 4 2" xfId="14533"/>
    <cellStyle name="표준 18 3" xfId="14534"/>
    <cellStyle name="표준 18 3 2" xfId="14535"/>
    <cellStyle name="표준 18 3 3" xfId="14536"/>
    <cellStyle name="표준 18 4" xfId="14537"/>
    <cellStyle name="표준 18 4 2" xfId="14538"/>
    <cellStyle name="표준 18 4 3" xfId="14539"/>
    <cellStyle name="표준 18 4 3 2" xfId="14540"/>
    <cellStyle name="표준 18 5" xfId="14541"/>
    <cellStyle name="표준 18 6" xfId="14542"/>
    <cellStyle name="표준 18 6 2" xfId="14543"/>
    <cellStyle name="표준 18 7" xfId="14544"/>
    <cellStyle name="표준 19" xfId="14545"/>
    <cellStyle name="표준 19 2" xfId="14546"/>
    <cellStyle name="표준 19 2 2" xfId="14547"/>
    <cellStyle name="표준 19 2 3" xfId="14548"/>
    <cellStyle name="표준 19 2 3 2" xfId="14549"/>
    <cellStyle name="표준 19 2 3 2 2" xfId="14550"/>
    <cellStyle name="표준 19 2 4" xfId="14551"/>
    <cellStyle name="표준 19 2 4 2" xfId="14552"/>
    <cellStyle name="표준 19 3" xfId="14553"/>
    <cellStyle name="표준 19 3 2" xfId="14554"/>
    <cellStyle name="표준 19 3 2 2" xfId="14555"/>
    <cellStyle name="표준 19 3 2 2 2" xfId="14556"/>
    <cellStyle name="표준 19 3 3" xfId="14557"/>
    <cellStyle name="표준 19 3 3 2" xfId="14558"/>
    <cellStyle name="표준 19 4" xfId="14559"/>
    <cellStyle name="표준 19 4 2" xfId="14560"/>
    <cellStyle name="표준 19 4 2 2" xfId="14561"/>
    <cellStyle name="표준 19 4 2 2 2" xfId="14562"/>
    <cellStyle name="표준 19 4 3" xfId="14563"/>
    <cellStyle name="표준 19 4 3 2" xfId="14564"/>
    <cellStyle name="표준 19 5" xfId="14565"/>
    <cellStyle name="표준 19 5 2" xfId="14566"/>
    <cellStyle name="표준 19 5 2 2" xfId="14567"/>
    <cellStyle name="표준 19 5 2 2 2" xfId="14568"/>
    <cellStyle name="표준 19 5 3" xfId="14569"/>
    <cellStyle name="표준 19 5 3 2" xfId="14570"/>
    <cellStyle name="표준 19 6" xfId="14571"/>
    <cellStyle name="표준 19 7" xfId="14572"/>
    <cellStyle name="표준 19 7 2" xfId="14573"/>
    <cellStyle name="표준 19 7 2 2" xfId="14574"/>
    <cellStyle name="표준 19 7 2 2 2" xfId="14575"/>
    <cellStyle name="표준 19 7 3" xfId="14576"/>
    <cellStyle name="표준 19 7 3 2" xfId="14577"/>
    <cellStyle name="표준 19 8" xfId="14578"/>
    <cellStyle name="표준 19 8 2" xfId="14579"/>
    <cellStyle name="표준 19 8 2 2" xfId="14580"/>
    <cellStyle name="표준 19 9" xfId="14581"/>
    <cellStyle name="표준 19 9 2" xfId="14582"/>
    <cellStyle name="표준 19 9 2 2" xfId="14583"/>
    <cellStyle name="표준 2" xfId="42"/>
    <cellStyle name="표준 2 10" xfId="1447"/>
    <cellStyle name="표준 2 10 2" xfId="14584"/>
    <cellStyle name="표준 2 10 2 2" xfId="14585"/>
    <cellStyle name="표준 2 10 2 2 2" xfId="14586"/>
    <cellStyle name="표준 2 10 2 2 2 2" xfId="14587"/>
    <cellStyle name="표준 2 10 2 2 2 2 2" xfId="14588"/>
    <cellStyle name="표준 2 10 2 2 3" xfId="14589"/>
    <cellStyle name="표준 2 10 2 3" xfId="14590"/>
    <cellStyle name="표준 2 10 2 4" xfId="14591"/>
    <cellStyle name="표준 2 10 3" xfId="14592"/>
    <cellStyle name="표준 2 10 4" xfId="14593"/>
    <cellStyle name="표준 2 10 4 2" xfId="14594"/>
    <cellStyle name="표준 2 10 5" xfId="14595"/>
    <cellStyle name="표준 2 10 6" xfId="14596"/>
    <cellStyle name="표준 2 11" xfId="1448"/>
    <cellStyle name="표준 2 11 2" xfId="14597"/>
    <cellStyle name="표준 2 11 3" xfId="14598"/>
    <cellStyle name="표준 2 11 3 2" xfId="14599"/>
    <cellStyle name="표준 2 11 3 3" xfId="14600"/>
    <cellStyle name="표준 2 11 4" xfId="14601"/>
    <cellStyle name="표준 2 11 4 2" xfId="14602"/>
    <cellStyle name="표준 2 11 5" xfId="14603"/>
    <cellStyle name="표준 2 11 6" xfId="14604"/>
    <cellStyle name="표준 2 12" xfId="1449"/>
    <cellStyle name="표준 2 12 10" xfId="14605"/>
    <cellStyle name="표준 2 12 11" xfId="14606"/>
    <cellStyle name="표준 2 12 12" xfId="14607"/>
    <cellStyle name="표준 2 12 13" xfId="14608"/>
    <cellStyle name="표준 2 12 14" xfId="14609"/>
    <cellStyle name="표준 2 12 15" xfId="14610"/>
    <cellStyle name="표준 2 12 16" xfId="14611"/>
    <cellStyle name="표준 2 12 17" xfId="14612"/>
    <cellStyle name="표준 2 12 18" xfId="14613"/>
    <cellStyle name="표준 2 12 19" xfId="14614"/>
    <cellStyle name="표준 2 12 2" xfId="14615"/>
    <cellStyle name="표준 2 12 2 2" xfId="14616"/>
    <cellStyle name="표준 2 12 2 2 2" xfId="23042"/>
    <cellStyle name="표준 2 12 2 3" xfId="14617"/>
    <cellStyle name="표준 2 12 2 4" xfId="20187"/>
    <cellStyle name="표준 2 12 20" xfId="14618"/>
    <cellStyle name="표준 2 12 3" xfId="14619"/>
    <cellStyle name="표준 2 12 3 2" xfId="14620"/>
    <cellStyle name="표준 2 12 3 2 2" xfId="14621"/>
    <cellStyle name="표준 2 12 3 2 2 2" xfId="14622"/>
    <cellStyle name="표준 2 12 3 3" xfId="14623"/>
    <cellStyle name="표준 2 12 4" xfId="14624"/>
    <cellStyle name="표준 2 12 4 2" xfId="14625"/>
    <cellStyle name="표준 2 12 4 2 2" xfId="14626"/>
    <cellStyle name="표준 2 12 5" xfId="14627"/>
    <cellStyle name="표준 2 12 6" xfId="14628"/>
    <cellStyle name="표준 2 12 7" xfId="14629"/>
    <cellStyle name="표준 2 12 8" xfId="14630"/>
    <cellStyle name="표준 2 12 9" xfId="14631"/>
    <cellStyle name="표준 2 13" xfId="1450"/>
    <cellStyle name="표준 2 13 10" xfId="14632"/>
    <cellStyle name="표준 2 13 11" xfId="14633"/>
    <cellStyle name="표준 2 13 12" xfId="14634"/>
    <cellStyle name="표준 2 13 13" xfId="14635"/>
    <cellStyle name="표준 2 13 14" xfId="14636"/>
    <cellStyle name="표준 2 13 15" xfId="14637"/>
    <cellStyle name="표준 2 13 16" xfId="14638"/>
    <cellStyle name="표준 2 13 17" xfId="14639"/>
    <cellStyle name="표준 2 13 18" xfId="14640"/>
    <cellStyle name="표준 2 13 2" xfId="14641"/>
    <cellStyle name="표준 2 13 2 2" xfId="14642"/>
    <cellStyle name="표준 2 13 2 2 2" xfId="14643"/>
    <cellStyle name="표준 2 13 2 3" xfId="14644"/>
    <cellStyle name="표준 2 13 2 4" xfId="14645"/>
    <cellStyle name="표준 2 13 3" xfId="14646"/>
    <cellStyle name="표준 2 13 4" xfId="14647"/>
    <cellStyle name="표준 2 13 5" xfId="14648"/>
    <cellStyle name="표준 2 13 6" xfId="14649"/>
    <cellStyle name="표준 2 13 7" xfId="14650"/>
    <cellStyle name="표준 2 13 8" xfId="14651"/>
    <cellStyle name="표준 2 13 9" xfId="14652"/>
    <cellStyle name="표준 2 14" xfId="1451"/>
    <cellStyle name="표준 2 14 2" xfId="14653"/>
    <cellStyle name="표준 2 14 2 2" xfId="14654"/>
    <cellStyle name="표준 2 15" xfId="1452"/>
    <cellStyle name="표준 2 15 2" xfId="14655"/>
    <cellStyle name="표준 2 15 2 2" xfId="14656"/>
    <cellStyle name="표준 2 16" xfId="1453"/>
    <cellStyle name="표준 2 16 2" xfId="14657"/>
    <cellStyle name="표준 2 16 2 2" xfId="14658"/>
    <cellStyle name="표준 2 16 2 2 2" xfId="14659"/>
    <cellStyle name="표준 2 16 2 2 2 2" xfId="14660"/>
    <cellStyle name="표준 2 16 2 2 3" xfId="14661"/>
    <cellStyle name="표준 2 16 2 2 4" xfId="14662"/>
    <cellStyle name="표준 2 16 2 3" xfId="14663"/>
    <cellStyle name="표준 2 16 2 3 2" xfId="14664"/>
    <cellStyle name="표준 2 16 2 4" xfId="14665"/>
    <cellStyle name="표준 2 16 3" xfId="14666"/>
    <cellStyle name="표준 2 17" xfId="1454"/>
    <cellStyle name="표준 2 17 2" xfId="14667"/>
    <cellStyle name="표준 2 17 2 2" xfId="14668"/>
    <cellStyle name="표준 2 178" xfId="14669"/>
    <cellStyle name="표준 2 179" xfId="14670"/>
    <cellStyle name="표준 2 18" xfId="1455"/>
    <cellStyle name="표준 2 18 2" xfId="14671"/>
    <cellStyle name="표준 2 18 2 2" xfId="14672"/>
    <cellStyle name="표준 2 180" xfId="14673"/>
    <cellStyle name="표준 2 181" xfId="14674"/>
    <cellStyle name="표준 2 182" xfId="14675"/>
    <cellStyle name="표준 2 183" xfId="14676"/>
    <cellStyle name="표준 2 184" xfId="14677"/>
    <cellStyle name="표준 2 185" xfId="14678"/>
    <cellStyle name="표준 2 186" xfId="14679"/>
    <cellStyle name="표준 2 19" xfId="1456"/>
    <cellStyle name="표준 2 19 2" xfId="14680"/>
    <cellStyle name="표준 2 19 2 2" xfId="14681"/>
    <cellStyle name="표준 2 19 2 2 2" xfId="14682"/>
    <cellStyle name="표준 2 19 2 2 2 2" xfId="14683"/>
    <cellStyle name="표준 2 19 2 2 3" xfId="14684"/>
    <cellStyle name="표준 2 19 2 2 4" xfId="14685"/>
    <cellStyle name="표준 2 19 2 3" xfId="14686"/>
    <cellStyle name="표준 2 19 2 3 2" xfId="14687"/>
    <cellStyle name="표준 2 19 2 4" xfId="14688"/>
    <cellStyle name="표준 2 19 3" xfId="14689"/>
    <cellStyle name="표준 2 2" xfId="1457"/>
    <cellStyle name="標準 2 2" xfId="20372"/>
    <cellStyle name="표준 2 2 10" xfId="14690"/>
    <cellStyle name="표준 2 2 11" xfId="14691"/>
    <cellStyle name="표준 2 2 12" xfId="14692"/>
    <cellStyle name="표준 2 2 13" xfId="14693"/>
    <cellStyle name="표준 2 2 14" xfId="14694"/>
    <cellStyle name="표준 2 2 15" xfId="14695"/>
    <cellStyle name="표준 2 2 16" xfId="20629"/>
    <cellStyle name="표준 2 2 2" xfId="14696"/>
    <cellStyle name="표준 2 2 2 10" xfId="14697"/>
    <cellStyle name="표준 2 2 2 11" xfId="14698"/>
    <cellStyle name="표준 2 2 2 12" xfId="14699"/>
    <cellStyle name="표준 2 2 2 13" xfId="14700"/>
    <cellStyle name="표준 2 2 2 14" xfId="14701"/>
    <cellStyle name="표준 2 2 2 2" xfId="14702"/>
    <cellStyle name="표준 2 2 2 2 10" xfId="14703"/>
    <cellStyle name="표준 2 2 2 2 11" xfId="14704"/>
    <cellStyle name="표준 2 2 2 2 12" xfId="14705"/>
    <cellStyle name="표준 2 2 2 2 2" xfId="14706"/>
    <cellStyle name="표준 2 2 2 2 2 10" xfId="14707"/>
    <cellStyle name="표준 2 2 2 2 2 2" xfId="14708"/>
    <cellStyle name="표준 2 2 2 2 2 2 10" xfId="14709"/>
    <cellStyle name="표준 2 2 2 2 2 2 2" xfId="14710"/>
    <cellStyle name="표준 2 2 2 2 2 2 2 10" xfId="14711"/>
    <cellStyle name="표준 2 2 2 2 2 2 2 2" xfId="14712"/>
    <cellStyle name="표준 2 2 2 2 2 2 2 2 2" xfId="14713"/>
    <cellStyle name="표준 2 2 2 2 2 2 2 2 2 2" xfId="14714"/>
    <cellStyle name="표준 2 2 2 2 2 2 2 2 2 2 2" xfId="14715"/>
    <cellStyle name="표준 2 2 2 2 2 2 2 2 2 2 2 2" xfId="14716"/>
    <cellStyle name="표준 2 2 2 2 2 2 2 2 2 2 2 2 2" xfId="14717"/>
    <cellStyle name="표준 2 2 2 2 2 2 2 2 2 3" xfId="14718"/>
    <cellStyle name="표준 2 2 2 2 2 2 2 2 2 4" xfId="14719"/>
    <cellStyle name="표준 2 2 2 2 2 2 2 2 2 5" xfId="14720"/>
    <cellStyle name="표준 2 2 2 2 2 2 2 2 3" xfId="14721"/>
    <cellStyle name="표준 2 2 2 2 2 2 2 2 4" xfId="14722"/>
    <cellStyle name="표준 2 2 2 2 2 2 2 2 5" xfId="14723"/>
    <cellStyle name="표준 2 2 2 2 2 2 2 3" xfId="14724"/>
    <cellStyle name="표준 2 2 2 2 2 2 2 4" xfId="14725"/>
    <cellStyle name="표준 2 2 2 2 2 2 2 5" xfId="14726"/>
    <cellStyle name="표준 2 2 2 2 2 2 2 6" xfId="14727"/>
    <cellStyle name="표준 2 2 2 2 2 2 2 7" xfId="14728"/>
    <cellStyle name="표준 2 2 2 2 2 2 2 8" xfId="14729"/>
    <cellStyle name="표준 2 2 2 2 2 2 2 9" xfId="14730"/>
    <cellStyle name="표준 2 2 2 2 2 2 3" xfId="14731"/>
    <cellStyle name="표준 2 2 2 2 2 2 3 2" xfId="14732"/>
    <cellStyle name="표준 2 2 2 2 2 2 4" xfId="14733"/>
    <cellStyle name="표준 2 2 2 2 2 2 5" xfId="14734"/>
    <cellStyle name="표준 2 2 2 2 2 2 6" xfId="14735"/>
    <cellStyle name="표준 2 2 2 2 2 2 7" xfId="14736"/>
    <cellStyle name="표준 2 2 2 2 2 2 8" xfId="14737"/>
    <cellStyle name="표준 2 2 2 2 2 2 9" xfId="14738"/>
    <cellStyle name="표준 2 2 2 2 2 3" xfId="14739"/>
    <cellStyle name="표준 2 2 2 2 2 3 2" xfId="14740"/>
    <cellStyle name="표준 2 2 2 2 2 4" xfId="14741"/>
    <cellStyle name="표준 2 2 2 2 2 5" xfId="14742"/>
    <cellStyle name="표준 2 2 2 2 2 6" xfId="14743"/>
    <cellStyle name="표준 2 2 2 2 2 7" xfId="14744"/>
    <cellStyle name="표준 2 2 2 2 2 8" xfId="14745"/>
    <cellStyle name="표준 2 2 2 2 2 9" xfId="14746"/>
    <cellStyle name="표준 2 2 2 2 3" xfId="14747"/>
    <cellStyle name="표준 2 2 2 2 4" xfId="14748"/>
    <cellStyle name="표준 2 2 2 2 5" xfId="14749"/>
    <cellStyle name="표준 2 2 2 2 5 2" xfId="14750"/>
    <cellStyle name="표준 2 2 2 2 6" xfId="14751"/>
    <cellStyle name="표준 2 2 2 2 7" xfId="14752"/>
    <cellStyle name="표준 2 2 2 2 8" xfId="14753"/>
    <cellStyle name="표준 2 2 2 2 9" xfId="14754"/>
    <cellStyle name="표준 2 2 2 3" xfId="14755"/>
    <cellStyle name="표준 2 2 2 3 2" xfId="14756"/>
    <cellStyle name="표준 2 2 2 3 2 2" xfId="14757"/>
    <cellStyle name="표준 2 2 2 3 2 3" xfId="14758"/>
    <cellStyle name="표준 2 2 2 3 3" xfId="14759"/>
    <cellStyle name="표준 2 2 2 3 4" xfId="14760"/>
    <cellStyle name="표준 2 2 2 3 4 2" xfId="14761"/>
    <cellStyle name="표준 2 2 2 4" xfId="14762"/>
    <cellStyle name="표준 2 2 2 4 2" xfId="14763"/>
    <cellStyle name="표준 2 2 2 4 3" xfId="14764"/>
    <cellStyle name="표준 2 2 2 4 4" xfId="14765"/>
    <cellStyle name="표준 2 2 2 5" xfId="14766"/>
    <cellStyle name="표준 2 2 2 5 2" xfId="14767"/>
    <cellStyle name="표준 2 2 2 5 2 2" xfId="14768"/>
    <cellStyle name="표준 2 2 2 5 3" xfId="14769"/>
    <cellStyle name="표준 2 2 2 6" xfId="14770"/>
    <cellStyle name="표준 2 2 2 6 2" xfId="14771"/>
    <cellStyle name="표준 2 2 2 6 2 2" xfId="14772"/>
    <cellStyle name="표준 2 2 2 7" xfId="14773"/>
    <cellStyle name="표준 2 2 2 8" xfId="14774"/>
    <cellStyle name="표준 2 2 2 9" xfId="14775"/>
    <cellStyle name="표준 2 2 3" xfId="14776"/>
    <cellStyle name="표준 2 2 3 2" xfId="14777"/>
    <cellStyle name="표준 2 2 3 2 2" xfId="14778"/>
    <cellStyle name="표준 2 2 3 2 2 2" xfId="14779"/>
    <cellStyle name="표준 2 2 3 2 2 2 2" xfId="14780"/>
    <cellStyle name="표준 2 2 3 2 3" xfId="14781"/>
    <cellStyle name="표준 2 2 4" xfId="14782"/>
    <cellStyle name="표준 2 2 4 2" xfId="14783"/>
    <cellStyle name="표준 2 2 4 2 2" xfId="14784"/>
    <cellStyle name="표준 2 2 4 2 3" xfId="14785"/>
    <cellStyle name="표준 2 2 4 2 3 2" xfId="14786"/>
    <cellStyle name="표준 2 2 4 3" xfId="14787"/>
    <cellStyle name="표준 2 2 4 3 2" xfId="14788"/>
    <cellStyle name="표준 2 2 4 4" xfId="14789"/>
    <cellStyle name="표준 2 2 4 5" xfId="14790"/>
    <cellStyle name="표준 2 2 5" xfId="14791"/>
    <cellStyle name="표준 2 2 5 2" xfId="14792"/>
    <cellStyle name="표준 2 2 5 2 2" xfId="14793"/>
    <cellStyle name="표준 2 2 5 3" xfId="14794"/>
    <cellStyle name="표준 2 2 6" xfId="14795"/>
    <cellStyle name="표준 2 2 6 2" xfId="14796"/>
    <cellStyle name="표준 2 2 7" xfId="14797"/>
    <cellStyle name="표준 2 2 8" xfId="14798"/>
    <cellStyle name="표준 2 2 9" xfId="14799"/>
    <cellStyle name="표준 2 20" xfId="1458"/>
    <cellStyle name="표준 2 20 2" xfId="14800"/>
    <cellStyle name="표준 2 20 2 2" xfId="14801"/>
    <cellStyle name="표준 2 21" xfId="1459"/>
    <cellStyle name="표준 2 21 2" xfId="14802"/>
    <cellStyle name="표준 2 21 2 2" xfId="14803"/>
    <cellStyle name="표준 2 22" xfId="1460"/>
    <cellStyle name="표준 2 22 2" xfId="14804"/>
    <cellStyle name="표준 2 22 2 2" xfId="14805"/>
    <cellStyle name="표준 2 23" xfId="1461"/>
    <cellStyle name="표준 2 23 2" xfId="14806"/>
    <cellStyle name="표준 2 23 2 2" xfId="14807"/>
    <cellStyle name="표준 2 23 2 2 2" xfId="14808"/>
    <cellStyle name="표준 2 24" xfId="1462"/>
    <cellStyle name="표준 2 24 2" xfId="14809"/>
    <cellStyle name="표준 2 24 2 2" xfId="14810"/>
    <cellStyle name="표준 2 24 2 2 2" xfId="14811"/>
    <cellStyle name="표준 2 25" xfId="1463"/>
    <cellStyle name="표준 2 25 2" xfId="14812"/>
    <cellStyle name="표준 2 25 2 2" xfId="14813"/>
    <cellStyle name="표준 2 25 2 2 2" xfId="14814"/>
    <cellStyle name="표준 2 26" xfId="1464"/>
    <cellStyle name="표준 2 26 2" xfId="14815"/>
    <cellStyle name="표준 2 26 2 2" xfId="14816"/>
    <cellStyle name="표준 2 26 2 2 2" xfId="14817"/>
    <cellStyle name="표준 2 27" xfId="1465"/>
    <cellStyle name="표준 2 27 2" xfId="14818"/>
    <cellStyle name="표준 2 27 2 2" xfId="14819"/>
    <cellStyle name="표준 2 27 2 2 2" xfId="14820"/>
    <cellStyle name="표준 2 28" xfId="1466"/>
    <cellStyle name="표준 2 29" xfId="14821"/>
    <cellStyle name="표준 2 29 2" xfId="14822"/>
    <cellStyle name="표준 2 29 2 2" xfId="23043"/>
    <cellStyle name="표준 2 29 3" xfId="14823"/>
    <cellStyle name="표준 2 29 4" xfId="14824"/>
    <cellStyle name="표준 2 29 4 2" xfId="14825"/>
    <cellStyle name="표준 2 29 5" xfId="14826"/>
    <cellStyle name="표준 2 29 5 2" xfId="14827"/>
    <cellStyle name="표준 2 29 6" xfId="14828"/>
    <cellStyle name="표준 2 29 7" xfId="19848"/>
    <cellStyle name="표준 2 3" xfId="1467"/>
    <cellStyle name="표준 2 3 2" xfId="14829"/>
    <cellStyle name="표준 2 3 2 2" xfId="14830"/>
    <cellStyle name="표준 2 3 2 2 2" xfId="14831"/>
    <cellStyle name="표준 2 3 2 2 2 2" xfId="14832"/>
    <cellStyle name="표준 2 3 2 2 2 2 2" xfId="14833"/>
    <cellStyle name="표준 2 3 2 2 2 2 2 2" xfId="23044"/>
    <cellStyle name="표준 2 3 2 2 3" xfId="14834"/>
    <cellStyle name="표준 2 3 3" xfId="14835"/>
    <cellStyle name="표준 2 3 3 2" xfId="14836"/>
    <cellStyle name="표준 2 3 3 2 2" xfId="23045"/>
    <cellStyle name="표준 2 3 4" xfId="14837"/>
    <cellStyle name="표준 2 3 4 2" xfId="14838"/>
    <cellStyle name="표준 2 3 4 3" xfId="14839"/>
    <cellStyle name="표준 2 3 5" xfId="14840"/>
    <cellStyle name="표준 2 3 5 2" xfId="14841"/>
    <cellStyle name="표준 2 3 6" xfId="14842"/>
    <cellStyle name="표준 2 3 7" xfId="14843"/>
    <cellStyle name="표준 2 30" xfId="14844"/>
    <cellStyle name="표준 2 30 2" xfId="14845"/>
    <cellStyle name="표준 2 30 2 2" xfId="23046"/>
    <cellStyle name="표준 2 30 3" xfId="14846"/>
    <cellStyle name="표준 2 30 4" xfId="19875"/>
    <cellStyle name="표준 2 31" xfId="14847"/>
    <cellStyle name="표준 2 31 2" xfId="14848"/>
    <cellStyle name="표준 2 31 2 2" xfId="14849"/>
    <cellStyle name="표준 2 31 2 2 2" xfId="23047"/>
    <cellStyle name="표준 2 31 3" xfId="14850"/>
    <cellStyle name="표준 2 31 4" xfId="14851"/>
    <cellStyle name="표준 2 31 5" xfId="20103"/>
    <cellStyle name="표준 2 32" xfId="14852"/>
    <cellStyle name="표준 2 32 2" xfId="20129"/>
    <cellStyle name="표준 2 33" xfId="14853"/>
    <cellStyle name="표준 2 33 2" xfId="14854"/>
    <cellStyle name="표준 2 33 2 2" xfId="14855"/>
    <cellStyle name="표준 2 33 2 2 2" xfId="23048"/>
    <cellStyle name="표준 2 33 3" xfId="14856"/>
    <cellStyle name="표준 2 33 4" xfId="14857"/>
    <cellStyle name="표준 2 33 5" xfId="20152"/>
    <cellStyle name="표준 2 34" xfId="14858"/>
    <cellStyle name="표준 2 34 2" xfId="14859"/>
    <cellStyle name="표준 2 34 2 2" xfId="23049"/>
    <cellStyle name="표준 2 34 3" xfId="14860"/>
    <cellStyle name="표준 2 34 4" xfId="14861"/>
    <cellStyle name="표준 2 34 5" xfId="20640"/>
    <cellStyle name="표준 2 35" xfId="14862"/>
    <cellStyle name="표준 2 35 2" xfId="20678"/>
    <cellStyle name="표준 2 36" xfId="14863"/>
    <cellStyle name="표준 2 36 2" xfId="23050"/>
    <cellStyle name="표준 2 37" xfId="14864"/>
    <cellStyle name="표준 2 38" xfId="14865"/>
    <cellStyle name="표준 2 39" xfId="14866"/>
    <cellStyle name="표준 2 4" xfId="1468"/>
    <cellStyle name="표준 2 4 2" xfId="14867"/>
    <cellStyle name="표준 2 4 2 2" xfId="14868"/>
    <cellStyle name="표준 2 4 2 2 2" xfId="14869"/>
    <cellStyle name="표준 2 4 2 2 2 2" xfId="14870"/>
    <cellStyle name="표준 2 4 2 2 2 2 2" xfId="23051"/>
    <cellStyle name="표준 2 4 2 3" xfId="14871"/>
    <cellStyle name="표준 2 4 2 4" xfId="14872"/>
    <cellStyle name="표준 2 4 3" xfId="14873"/>
    <cellStyle name="표준 2 4 3 2" xfId="14874"/>
    <cellStyle name="표준 2 4 3 2 2" xfId="14875"/>
    <cellStyle name="표준 2 4 3 2 3" xfId="14876"/>
    <cellStyle name="표준 2 4 3 2 3 2" xfId="14877"/>
    <cellStyle name="표준 2 4 3 3" xfId="14878"/>
    <cellStyle name="표준 2 4 3 3 2" xfId="14879"/>
    <cellStyle name="표준 2 4 3 4" xfId="14880"/>
    <cellStyle name="표준 2 4 3 5" xfId="14881"/>
    <cellStyle name="표준 2 4 4" xfId="14882"/>
    <cellStyle name="표준 2 4 4 2" xfId="14883"/>
    <cellStyle name="표준 2 4 4 3" xfId="14884"/>
    <cellStyle name="표준 2 4 5" xfId="14885"/>
    <cellStyle name="표준 2 4 5 2" xfId="14886"/>
    <cellStyle name="표준 2 4 6" xfId="14887"/>
    <cellStyle name="표준 2 4 7" xfId="14888"/>
    <cellStyle name="표준 2 40" xfId="14889"/>
    <cellStyle name="표준 2 41" xfId="14890"/>
    <cellStyle name="표준 2 42" xfId="14891"/>
    <cellStyle name="표준 2 43" xfId="14892"/>
    <cellStyle name="표준 2 44" xfId="14893"/>
    <cellStyle name="표준 2 45" xfId="18239"/>
    <cellStyle name="표준 2 46" xfId="21000"/>
    <cellStyle name="표준 2 5" xfId="1469"/>
    <cellStyle name="표준 2 5 2" xfId="14894"/>
    <cellStyle name="표준 2 5 2 2" xfId="14895"/>
    <cellStyle name="표준 2 5 2 2 2" xfId="14896"/>
    <cellStyle name="표준 2 5 2 2 2 2" xfId="14897"/>
    <cellStyle name="표준 2 5 2 2 2 2 2" xfId="23052"/>
    <cellStyle name="표준 2 5 2 3" xfId="14898"/>
    <cellStyle name="표준 2 5 2 4" xfId="14899"/>
    <cellStyle name="표준 2 5 3" xfId="14900"/>
    <cellStyle name="표준 2 5 3 2" xfId="14901"/>
    <cellStyle name="표준 2 5 3 3" xfId="14902"/>
    <cellStyle name="표준 2 5 4" xfId="14903"/>
    <cellStyle name="표준 2 5 5" xfId="14904"/>
    <cellStyle name="표준 2 5 5 2" xfId="14905"/>
    <cellStyle name="표준 2 5 6" xfId="14906"/>
    <cellStyle name="표준 2 6" xfId="45"/>
    <cellStyle name="표준 2 6 2" xfId="14907"/>
    <cellStyle name="표준 2 6 2 2" xfId="14908"/>
    <cellStyle name="표준 2 6 2 2 2" xfId="14909"/>
    <cellStyle name="표준 2 6 2 2 2 2" xfId="14910"/>
    <cellStyle name="표준 2 6 2 2 2 2 2" xfId="23053"/>
    <cellStyle name="표준 2 6 2 3" xfId="14911"/>
    <cellStyle name="표준 2 6 2 4" xfId="14912"/>
    <cellStyle name="표준 2 6 2 5" xfId="20630"/>
    <cellStyle name="표준 2 6 3" xfId="14913"/>
    <cellStyle name="표준 2 6 3 2" xfId="14914"/>
    <cellStyle name="표준 2 6 3 3" xfId="14915"/>
    <cellStyle name="표준 2 6 4" xfId="14916"/>
    <cellStyle name="표준 2 6 5" xfId="14917"/>
    <cellStyle name="표준 2 6 5 2" xfId="14918"/>
    <cellStyle name="표준 2 6 6" xfId="14919"/>
    <cellStyle name="표준 2 6 7" xfId="18295"/>
    <cellStyle name="표준 2 7" xfId="1470"/>
    <cellStyle name="표준 2 7 2" xfId="14920"/>
    <cellStyle name="표준 2 7 2 2" xfId="14921"/>
    <cellStyle name="표준 2 7 2 2 2" xfId="14922"/>
    <cellStyle name="표준 2 7 2 2 2 2" xfId="14923"/>
    <cellStyle name="표준 2 7 2 2 2 2 2" xfId="23054"/>
    <cellStyle name="표준 2 7 2 3" xfId="14924"/>
    <cellStyle name="표준 2 7 2 4" xfId="14925"/>
    <cellStyle name="표준 2 7 2 5" xfId="20631"/>
    <cellStyle name="표준 2 7 3" xfId="14926"/>
    <cellStyle name="표준 2 7 3 2" xfId="14927"/>
    <cellStyle name="표준 2 7 3 3" xfId="14928"/>
    <cellStyle name="표준 2 7 4" xfId="14929"/>
    <cellStyle name="표준 2 7 5" xfId="14930"/>
    <cellStyle name="표준 2 7 5 2" xfId="14931"/>
    <cellStyle name="표준 2 7 6" xfId="14932"/>
    <cellStyle name="표준 2 8" xfId="1471"/>
    <cellStyle name="표준 2 8 2" xfId="14933"/>
    <cellStyle name="표준 2 8 2 2" xfId="14934"/>
    <cellStyle name="표준 2 8 2 2 2" xfId="14935"/>
    <cellStyle name="표준 2 8 2 2 2 2" xfId="14936"/>
    <cellStyle name="표준 2 8 2 2 2 2 2" xfId="23055"/>
    <cellStyle name="표준 2 8 2 2 3" xfId="20632"/>
    <cellStyle name="표준 2 8 2 3" xfId="14937"/>
    <cellStyle name="표준 2 8 2 3 2" xfId="23056"/>
    <cellStyle name="표준 2 8 2 4" xfId="14938"/>
    <cellStyle name="표준 2 8 2 5" xfId="19888"/>
    <cellStyle name="표준 2 8 3" xfId="14939"/>
    <cellStyle name="표준 2 8 3 2" xfId="14940"/>
    <cellStyle name="표준 2 8 3 3" xfId="14941"/>
    <cellStyle name="표준 2 8 4" xfId="14942"/>
    <cellStyle name="표준 2 8 5" xfId="14943"/>
    <cellStyle name="표준 2 8 5 2" xfId="14944"/>
    <cellStyle name="표준 2 8 6" xfId="14945"/>
    <cellStyle name="표준 2 8 7" xfId="20455"/>
    <cellStyle name="표준 2 9" xfId="1472"/>
    <cellStyle name="표준 2 9 2" xfId="14946"/>
    <cellStyle name="표준 2 9 2 2" xfId="14947"/>
    <cellStyle name="표준 2 9 2 2 2" xfId="14948"/>
    <cellStyle name="표준 2 9 2 2 2 2" xfId="14949"/>
    <cellStyle name="표준 2 9 2 2 2 2 2" xfId="23057"/>
    <cellStyle name="표준 2 9 2 3" xfId="14950"/>
    <cellStyle name="표준 2 9 2 4" xfId="14951"/>
    <cellStyle name="표준 2 9 2 5" xfId="19887"/>
    <cellStyle name="표준 2 9 3" xfId="14952"/>
    <cellStyle name="표준 2 9 3 2" xfId="14953"/>
    <cellStyle name="표준 2 9 3 3" xfId="14954"/>
    <cellStyle name="표준 2 9 4" xfId="14955"/>
    <cellStyle name="표준 2 9 5" xfId="14956"/>
    <cellStyle name="표준 2 9 5 2" xfId="14957"/>
    <cellStyle name="표준 2 9 6" xfId="14958"/>
    <cellStyle name="표준 20" xfId="14959"/>
    <cellStyle name="표준 20 10" xfId="20633"/>
    <cellStyle name="표준 20 2" xfId="14960"/>
    <cellStyle name="표준 20 2 2" xfId="14961"/>
    <cellStyle name="표준 20 2 3" xfId="14962"/>
    <cellStyle name="표준 20 2 3 2" xfId="14963"/>
    <cellStyle name="표준 20 2 3 2 2" xfId="14964"/>
    <cellStyle name="표준 20 2 4" xfId="14965"/>
    <cellStyle name="표준 20 2 4 2" xfId="14966"/>
    <cellStyle name="표준 20 3" xfId="14967"/>
    <cellStyle name="표준 20 3 2" xfId="14968"/>
    <cellStyle name="표준 20 3 2 2" xfId="14969"/>
    <cellStyle name="표준 20 3 2 2 2" xfId="14970"/>
    <cellStyle name="표준 20 3 3" xfId="14971"/>
    <cellStyle name="표준 20 3 3 2" xfId="14972"/>
    <cellStyle name="표준 20 4" xfId="14973"/>
    <cellStyle name="표준 20 4 2" xfId="14974"/>
    <cellStyle name="표준 20 4 2 2" xfId="14975"/>
    <cellStyle name="표준 20 4 2 2 2" xfId="14976"/>
    <cellStyle name="표준 20 4 3" xfId="14977"/>
    <cellStyle name="표준 20 4 3 2" xfId="14978"/>
    <cellStyle name="표준 20 5" xfId="14979"/>
    <cellStyle name="표준 20 5 2" xfId="14980"/>
    <cellStyle name="표준 20 5 2 2" xfId="14981"/>
    <cellStyle name="표준 20 5 2 2 2" xfId="14982"/>
    <cellStyle name="표준 20 5 3" xfId="14983"/>
    <cellStyle name="표준 20 5 3 2" xfId="14984"/>
    <cellStyle name="표준 20 6" xfId="14985"/>
    <cellStyle name="표준 20 7" xfId="14986"/>
    <cellStyle name="표준 20 7 2" xfId="14987"/>
    <cellStyle name="표준 20 7 2 2" xfId="14988"/>
    <cellStyle name="표준 20 7 2 2 2" xfId="14989"/>
    <cellStyle name="표준 20 7 3" xfId="14990"/>
    <cellStyle name="표준 20 7 3 2" xfId="14991"/>
    <cellStyle name="표준 20 8" xfId="14992"/>
    <cellStyle name="표준 20 8 2" xfId="14993"/>
    <cellStyle name="표준 20 8 2 2" xfId="14994"/>
    <cellStyle name="표준 20 9" xfId="14995"/>
    <cellStyle name="표준 20 9 2" xfId="14996"/>
    <cellStyle name="표준 20 9 2 2" xfId="14997"/>
    <cellStyle name="표준 21" xfId="14998"/>
    <cellStyle name="표준 21 10" xfId="14999"/>
    <cellStyle name="표준 21 11" xfId="15000"/>
    <cellStyle name="표준 21 12" xfId="15001"/>
    <cellStyle name="표준 21 13" xfId="15002"/>
    <cellStyle name="표준 21 14" xfId="20634"/>
    <cellStyle name="표준 21 2" xfId="15003"/>
    <cellStyle name="표준 21 2 2" xfId="15004"/>
    <cellStyle name="표준 21 2 3" xfId="15005"/>
    <cellStyle name="표준 21 2 3 2" xfId="15006"/>
    <cellStyle name="표준 21 2 3 2 2" xfId="15007"/>
    <cellStyle name="표준 21 2 4" xfId="15008"/>
    <cellStyle name="표준 21 2 4 2" xfId="15009"/>
    <cellStyle name="표준 21 3" xfId="15010"/>
    <cellStyle name="표준 21 3 2" xfId="15011"/>
    <cellStyle name="표준 21 3 2 2" xfId="15012"/>
    <cellStyle name="표준 21 3 2 2 2" xfId="15013"/>
    <cellStyle name="표준 21 3 3" xfId="15014"/>
    <cellStyle name="표준 21 3 3 2" xfId="15015"/>
    <cellStyle name="표준 21 4" xfId="15016"/>
    <cellStyle name="표준 21 4 2" xfId="15017"/>
    <cellStyle name="표준 21 4 2 2" xfId="15018"/>
    <cellStyle name="표준 21 4 2 2 2" xfId="15019"/>
    <cellStyle name="표준 21 4 3" xfId="15020"/>
    <cellStyle name="표준 21 4 3 2" xfId="15021"/>
    <cellStyle name="표준 21 5" xfId="15022"/>
    <cellStyle name="표준 21 5 2" xfId="15023"/>
    <cellStyle name="표준 21 5 2 2" xfId="15024"/>
    <cellStyle name="표준 21 5 2 2 2" xfId="15025"/>
    <cellStyle name="표준 21 5 3" xfId="15026"/>
    <cellStyle name="표준 21 5 3 2" xfId="15027"/>
    <cellStyle name="표준 21 6" xfId="15028"/>
    <cellStyle name="표준 21 7" xfId="15029"/>
    <cellStyle name="표준 21 7 2" xfId="15030"/>
    <cellStyle name="표준 21 7 2 2" xfId="15031"/>
    <cellStyle name="표준 21 7 2 2 2" xfId="15032"/>
    <cellStyle name="표준 21 7 3" xfId="15033"/>
    <cellStyle name="표준 21 7 3 2" xfId="15034"/>
    <cellStyle name="표준 21 8" xfId="15035"/>
    <cellStyle name="표준 21 8 2" xfId="15036"/>
    <cellStyle name="표준 21 8 2 2" xfId="15037"/>
    <cellStyle name="표준 21 9" xfId="15038"/>
    <cellStyle name="표준 21 9 2" xfId="15039"/>
    <cellStyle name="표준 21 9 2 2" xfId="15040"/>
    <cellStyle name="표준 22" xfId="15041"/>
    <cellStyle name="표준 22 10" xfId="20635"/>
    <cellStyle name="표준 22 2" xfId="15042"/>
    <cellStyle name="표준 22 2 2" xfId="15043"/>
    <cellStyle name="표준 22 2 3" xfId="15044"/>
    <cellStyle name="표준 22 2 3 2" xfId="15045"/>
    <cellStyle name="표준 22 2 3 2 2" xfId="15046"/>
    <cellStyle name="표준 22 2 4" xfId="15047"/>
    <cellStyle name="표준 22 2 4 2" xfId="15048"/>
    <cellStyle name="표준 22 3" xfId="15049"/>
    <cellStyle name="표준 22 3 2" xfId="15050"/>
    <cellStyle name="표준 22 3 2 2" xfId="15051"/>
    <cellStyle name="표준 22 3 2 2 2" xfId="15052"/>
    <cellStyle name="표준 22 3 3" xfId="15053"/>
    <cellStyle name="표준 22 3 3 2" xfId="15054"/>
    <cellStyle name="표준 22 4" xfId="15055"/>
    <cellStyle name="표준 22 4 2" xfId="15056"/>
    <cellStyle name="표준 22 4 2 2" xfId="15057"/>
    <cellStyle name="표준 22 4 2 2 2" xfId="15058"/>
    <cellStyle name="표준 22 4 3" xfId="15059"/>
    <cellStyle name="표준 22 4 3 2" xfId="15060"/>
    <cellStyle name="표준 22 5" xfId="15061"/>
    <cellStyle name="표준 22 5 2" xfId="15062"/>
    <cellStyle name="표준 22 5 2 2" xfId="15063"/>
    <cellStyle name="표준 22 5 2 2 2" xfId="15064"/>
    <cellStyle name="표준 22 5 3" xfId="15065"/>
    <cellStyle name="표준 22 5 3 2" xfId="15066"/>
    <cellStyle name="표준 22 6" xfId="15067"/>
    <cellStyle name="표준 22 7" xfId="15068"/>
    <cellStyle name="표준 22 7 2" xfId="15069"/>
    <cellStyle name="표준 22 7 2 2" xfId="15070"/>
    <cellStyle name="표준 22 7 2 2 2" xfId="15071"/>
    <cellStyle name="표준 22 7 3" xfId="15072"/>
    <cellStyle name="표준 22 7 3 2" xfId="15073"/>
    <cellStyle name="표준 22 8" xfId="15074"/>
    <cellStyle name="표준 22 8 2" xfId="15075"/>
    <cellStyle name="표준 22 8 2 2" xfId="15076"/>
    <cellStyle name="표준 22 9" xfId="15077"/>
    <cellStyle name="표준 22 9 2" xfId="15078"/>
    <cellStyle name="표준 22 9 2 2" xfId="15079"/>
    <cellStyle name="표준 23" xfId="15080"/>
    <cellStyle name="표준 23 2" xfId="15081"/>
    <cellStyle name="표준 23 2 2" xfId="15082"/>
    <cellStyle name="표준 23 2 3" xfId="15083"/>
    <cellStyle name="표준 23 2 3 2" xfId="15084"/>
    <cellStyle name="표준 23 2 3 2 2" xfId="15085"/>
    <cellStyle name="표준 23 2 4" xfId="15086"/>
    <cellStyle name="표준 23 2 4 2" xfId="15087"/>
    <cellStyle name="표준 23 3" xfId="15088"/>
    <cellStyle name="표준 23 3 2" xfId="15089"/>
    <cellStyle name="표준 23 3 2 2" xfId="15090"/>
    <cellStyle name="표준 23 3 2 2 2" xfId="15091"/>
    <cellStyle name="표준 23 3 3" xfId="15092"/>
    <cellStyle name="표준 23 3 3 2" xfId="15093"/>
    <cellStyle name="표준 23 4" xfId="15094"/>
    <cellStyle name="표준 23 4 2" xfId="15095"/>
    <cellStyle name="표준 23 4 2 2" xfId="15096"/>
    <cellStyle name="표준 23 4 2 2 2" xfId="15097"/>
    <cellStyle name="표준 23 4 3" xfId="15098"/>
    <cellStyle name="표준 23 4 3 2" xfId="15099"/>
    <cellStyle name="표준 23 5" xfId="15100"/>
    <cellStyle name="표준 23 5 2" xfId="15101"/>
    <cellStyle name="표준 23 5 2 2" xfId="15102"/>
    <cellStyle name="표준 23 5 2 2 2" xfId="15103"/>
    <cellStyle name="표준 23 5 3" xfId="15104"/>
    <cellStyle name="표준 23 5 3 2" xfId="15105"/>
    <cellStyle name="표준 23 6" xfId="15106"/>
    <cellStyle name="표준 23 7" xfId="15107"/>
    <cellStyle name="표준 23 7 2" xfId="15108"/>
    <cellStyle name="표준 23 7 2 2" xfId="15109"/>
    <cellStyle name="표준 23 7 2 2 2" xfId="15110"/>
    <cellStyle name="표준 23 7 3" xfId="15111"/>
    <cellStyle name="표준 23 7 3 2" xfId="15112"/>
    <cellStyle name="표준 23 8" xfId="15113"/>
    <cellStyle name="표준 23 8 2" xfId="15114"/>
    <cellStyle name="표준 23 8 2 2" xfId="15115"/>
    <cellStyle name="표준 23 9" xfId="15116"/>
    <cellStyle name="표준 23 9 2" xfId="15117"/>
    <cellStyle name="표준 23 9 2 2" xfId="15118"/>
    <cellStyle name="표준 24" xfId="15119"/>
    <cellStyle name="표준 24 2" xfId="15120"/>
    <cellStyle name="표준 24 2 2" xfId="15121"/>
    <cellStyle name="표준 24 2 3" xfId="15122"/>
    <cellStyle name="표준 24 2 3 2" xfId="15123"/>
    <cellStyle name="표준 24 2 3 2 2" xfId="15124"/>
    <cellStyle name="표준 24 2 4" xfId="15125"/>
    <cellStyle name="표준 24 2 4 2" xfId="15126"/>
    <cellStyle name="표준 24 3" xfId="15127"/>
    <cellStyle name="표준 24 3 2" xfId="15128"/>
    <cellStyle name="표준 24 3 2 2" xfId="15129"/>
    <cellStyle name="표준 24 3 2 2 2" xfId="15130"/>
    <cellStyle name="표준 24 3 3" xfId="15131"/>
    <cellStyle name="표준 24 3 3 2" xfId="15132"/>
    <cellStyle name="표준 24 4" xfId="15133"/>
    <cellStyle name="표준 24 4 2" xfId="15134"/>
    <cellStyle name="표준 24 4 2 2" xfId="15135"/>
    <cellStyle name="표준 24 4 2 2 2" xfId="15136"/>
    <cellStyle name="표준 24 4 3" xfId="15137"/>
    <cellStyle name="표준 24 4 3 2" xfId="15138"/>
    <cellStyle name="표준 24 5" xfId="15139"/>
    <cellStyle name="표준 24 5 2" xfId="15140"/>
    <cellStyle name="표준 24 5 2 2" xfId="15141"/>
    <cellStyle name="표준 24 5 2 2 2" xfId="15142"/>
    <cellStyle name="표준 24 5 3" xfId="15143"/>
    <cellStyle name="표준 24 5 3 2" xfId="15144"/>
    <cellStyle name="표준 24 6" xfId="15145"/>
    <cellStyle name="표준 24 7" xfId="15146"/>
    <cellStyle name="표준 24 7 2" xfId="15147"/>
    <cellStyle name="표준 24 7 2 2" xfId="15148"/>
    <cellStyle name="표준 24 7 2 2 2" xfId="15149"/>
    <cellStyle name="표준 24 7 3" xfId="15150"/>
    <cellStyle name="표준 24 7 3 2" xfId="15151"/>
    <cellStyle name="표준 24 8" xfId="15152"/>
    <cellStyle name="표준 24 8 2" xfId="15153"/>
    <cellStyle name="표준 24 8 2 2" xfId="15154"/>
    <cellStyle name="표준 24 9" xfId="15155"/>
    <cellStyle name="표준 24 9 2" xfId="15156"/>
    <cellStyle name="표준 24 9 2 2" xfId="15157"/>
    <cellStyle name="표준 25" xfId="15158"/>
    <cellStyle name="표준 25 10" xfId="20185"/>
    <cellStyle name="표준 25 2" xfId="15159"/>
    <cellStyle name="표준 25 2 2" xfId="15160"/>
    <cellStyle name="표준 25 2 3" xfId="15161"/>
    <cellStyle name="표준 25 2 3 2" xfId="15162"/>
    <cellStyle name="표준 25 2 3 2 2" xfId="15163"/>
    <cellStyle name="표준 25 2 4" xfId="15164"/>
    <cellStyle name="표준 25 2 4 2" xfId="15165"/>
    <cellStyle name="표준 25 3" xfId="15166"/>
    <cellStyle name="표준 25 3 2" xfId="15167"/>
    <cellStyle name="표준 25 3 2 2" xfId="15168"/>
    <cellStyle name="표준 25 3 2 2 2" xfId="15169"/>
    <cellStyle name="표준 25 3 3" xfId="15170"/>
    <cellStyle name="표준 25 3 3 2" xfId="15171"/>
    <cellStyle name="표준 25 4" xfId="15172"/>
    <cellStyle name="표준 25 4 2" xfId="15173"/>
    <cellStyle name="표준 25 4 2 2" xfId="15174"/>
    <cellStyle name="표준 25 4 2 2 2" xfId="15175"/>
    <cellStyle name="표준 25 4 3" xfId="15176"/>
    <cellStyle name="표준 25 4 3 2" xfId="15177"/>
    <cellStyle name="표준 25 5" xfId="15178"/>
    <cellStyle name="표준 25 5 2" xfId="15179"/>
    <cellStyle name="표준 25 5 2 2" xfId="15180"/>
    <cellStyle name="표준 25 5 2 2 2" xfId="15181"/>
    <cellStyle name="표준 25 5 3" xfId="15182"/>
    <cellStyle name="표준 25 5 3 2" xfId="15183"/>
    <cellStyle name="표준 25 6" xfId="15184"/>
    <cellStyle name="표준 25 7" xfId="15185"/>
    <cellStyle name="표준 25 7 2" xfId="15186"/>
    <cellStyle name="표준 25 7 2 2" xfId="15187"/>
    <cellStyle name="표준 25 7 2 2 2" xfId="15188"/>
    <cellStyle name="표준 25 7 3" xfId="15189"/>
    <cellStyle name="표준 25 7 3 2" xfId="15190"/>
    <cellStyle name="표준 25 8" xfId="15191"/>
    <cellStyle name="표준 25 8 2" xfId="15192"/>
    <cellStyle name="표준 25 8 2 2" xfId="15193"/>
    <cellStyle name="표준 25 9" xfId="15194"/>
    <cellStyle name="표준 25 9 2" xfId="15195"/>
    <cellStyle name="표준 25 9 2 2" xfId="15196"/>
    <cellStyle name="표준 26" xfId="15197"/>
    <cellStyle name="표준 26 2" xfId="15198"/>
    <cellStyle name="표준 26 3" xfId="15199"/>
    <cellStyle name="표준 26 3 2" xfId="15200"/>
    <cellStyle name="표준 26 3 2 2" xfId="15201"/>
    <cellStyle name="표준 26 4" xfId="15202"/>
    <cellStyle name="표준 26 4 2" xfId="15203"/>
    <cellStyle name="표준 26 4 2 2" xfId="15204"/>
    <cellStyle name="표준 27" xfId="15205"/>
    <cellStyle name="표준 27 10" xfId="15206"/>
    <cellStyle name="표준 27 11" xfId="15207"/>
    <cellStyle name="표준 27 12" xfId="15208"/>
    <cellStyle name="표준 27 13" xfId="15209"/>
    <cellStyle name="표준 27 2" xfId="15210"/>
    <cellStyle name="표준 27 2 2" xfId="15211"/>
    <cellStyle name="표준 27 2 2 2" xfId="15212"/>
    <cellStyle name="표준 27 2 2 2 2" xfId="15213"/>
    <cellStyle name="표준 27 2 2 2 2 2" xfId="15214"/>
    <cellStyle name="표준 27 2 2 3" xfId="15215"/>
    <cellStyle name="표준 27 2 2 3 2" xfId="15216"/>
    <cellStyle name="표준 27 2 3" xfId="15217"/>
    <cellStyle name="표준 27 2 3 2" xfId="15218"/>
    <cellStyle name="표준 27 2 3 2 2" xfId="15219"/>
    <cellStyle name="표준 27 2 4" xfId="15220"/>
    <cellStyle name="표준 27 2 4 2" xfId="15221"/>
    <cellStyle name="표준 27 3" xfId="15222"/>
    <cellStyle name="표준 27 3 2" xfId="15223"/>
    <cellStyle name="표준 27 3 3" xfId="15224"/>
    <cellStyle name="표준 27 3 3 2" xfId="15225"/>
    <cellStyle name="표준 27 3 3 2 2" xfId="15226"/>
    <cellStyle name="표준 27 3 4" xfId="15227"/>
    <cellStyle name="표준 27 3 4 2" xfId="15228"/>
    <cellStyle name="표준 27 4" xfId="15229"/>
    <cellStyle name="표준 27 5" xfId="15230"/>
    <cellStyle name="표준 27 5 2" xfId="15231"/>
    <cellStyle name="표준 27 5 2 2" xfId="15232"/>
    <cellStyle name="표준 27 5 2 2 2" xfId="15233"/>
    <cellStyle name="표준 27 5 3" xfId="15234"/>
    <cellStyle name="표준 27 5 3 2" xfId="15235"/>
    <cellStyle name="표준 27 6" xfId="15236"/>
    <cellStyle name="표준 27 6 2" xfId="15237"/>
    <cellStyle name="표준 27 6 2 2" xfId="15238"/>
    <cellStyle name="표준 27 6 2 2 2" xfId="15239"/>
    <cellStyle name="표준 27 6 3" xfId="15240"/>
    <cellStyle name="표준 27 6 3 2" xfId="15241"/>
    <cellStyle name="표준 27 7" xfId="15242"/>
    <cellStyle name="표준 27 7 2" xfId="15243"/>
    <cellStyle name="표준 27 7 2 2" xfId="15244"/>
    <cellStyle name="표준 27 8" xfId="15245"/>
    <cellStyle name="표준 27 9" xfId="15246"/>
    <cellStyle name="표준 28" xfId="15247"/>
    <cellStyle name="표준 28 2" xfId="15248"/>
    <cellStyle name="표준 28 3" xfId="15249"/>
    <cellStyle name="표준 28 3 2" xfId="15250"/>
    <cellStyle name="표준 28 3 2 2" xfId="15251"/>
    <cellStyle name="표준 28 4" xfId="15252"/>
    <cellStyle name="표준 28 4 2" xfId="15253"/>
    <cellStyle name="표준 28 4 2 2" xfId="15254"/>
    <cellStyle name="표준 29" xfId="15255"/>
    <cellStyle name="표준 29 2" xfId="15256"/>
    <cellStyle name="표준 29 3" xfId="15257"/>
    <cellStyle name="표준 29 3 2" xfId="15258"/>
    <cellStyle name="표준 29 3 2 2" xfId="15259"/>
    <cellStyle name="표준 29 3 3" xfId="15260"/>
    <cellStyle name="표준 29 3 4" xfId="15261"/>
    <cellStyle name="표준 29 4" xfId="15262"/>
    <cellStyle name="표준 29 4 2" xfId="15263"/>
    <cellStyle name="표준 29 4 2 2" xfId="15264"/>
    <cellStyle name="표준 29 5" xfId="15265"/>
    <cellStyle name="표준 29 5 2" xfId="15266"/>
    <cellStyle name="표준 29 6" xfId="15267"/>
    <cellStyle name="표준 3" xfId="43"/>
    <cellStyle name="표준 3 10" xfId="15268"/>
    <cellStyle name="표준 3 100" xfId="15269"/>
    <cellStyle name="표준 3 101" xfId="15270"/>
    <cellStyle name="표준 3 102" xfId="15271"/>
    <cellStyle name="표준 3 103" xfId="15272"/>
    <cellStyle name="표준 3 104" xfId="15273"/>
    <cellStyle name="표준 3 105" xfId="15274"/>
    <cellStyle name="표준 3 106" xfId="15275"/>
    <cellStyle name="표준 3 107" xfId="15276"/>
    <cellStyle name="표준 3 108" xfId="15277"/>
    <cellStyle name="표준 3 109" xfId="15278"/>
    <cellStyle name="표준 3 11" xfId="15279"/>
    <cellStyle name="표준 3 11 2" xfId="15280"/>
    <cellStyle name="표준 3 11 3" xfId="15281"/>
    <cellStyle name="표준 3 110" xfId="15282"/>
    <cellStyle name="표준 3 111" xfId="15283"/>
    <cellStyle name="표준 3 112" xfId="15284"/>
    <cellStyle name="표준 3 113" xfId="15285"/>
    <cellStyle name="표준 3 114" xfId="15286"/>
    <cellStyle name="표준 3 115" xfId="15287"/>
    <cellStyle name="표준 3 116" xfId="15288"/>
    <cellStyle name="표준 3 117" xfId="15289"/>
    <cellStyle name="표준 3 118" xfId="15290"/>
    <cellStyle name="표준 3 119" xfId="15291"/>
    <cellStyle name="표준 3 12" xfId="15292"/>
    <cellStyle name="표준 3 12 2" xfId="15293"/>
    <cellStyle name="표준 3 12 2 2" xfId="15294"/>
    <cellStyle name="표준 3 120" xfId="15295"/>
    <cellStyle name="표준 3 121" xfId="15296"/>
    <cellStyle name="표준 3 122" xfId="15297"/>
    <cellStyle name="표준 3 123" xfId="15298"/>
    <cellStyle name="표준 3 124" xfId="15299"/>
    <cellStyle name="표준 3 125" xfId="15300"/>
    <cellStyle name="표준 3 126" xfId="15301"/>
    <cellStyle name="표준 3 127" xfId="15302"/>
    <cellStyle name="표준 3 128" xfId="15303"/>
    <cellStyle name="표준 3 129" xfId="15304"/>
    <cellStyle name="표준 3 13" xfId="15305"/>
    <cellStyle name="표준 3 13 2" xfId="15306"/>
    <cellStyle name="표준 3 130" xfId="15307"/>
    <cellStyle name="표준 3 131" xfId="15308"/>
    <cellStyle name="표준 3 132" xfId="15309"/>
    <cellStyle name="표준 3 133" xfId="15310"/>
    <cellStyle name="표준 3 134" xfId="15311"/>
    <cellStyle name="표준 3 135" xfId="15312"/>
    <cellStyle name="표준 3 136" xfId="15313"/>
    <cellStyle name="표준 3 137" xfId="15314"/>
    <cellStyle name="표준 3 138" xfId="15315"/>
    <cellStyle name="표준 3 139" xfId="15316"/>
    <cellStyle name="표준 3 14" xfId="15317"/>
    <cellStyle name="표준 3 140" xfId="15318"/>
    <cellStyle name="표준 3 141" xfId="15319"/>
    <cellStyle name="표준 3 142" xfId="15320"/>
    <cellStyle name="표준 3 143" xfId="15321"/>
    <cellStyle name="표준 3 144" xfId="15322"/>
    <cellStyle name="표준 3 145" xfId="15323"/>
    <cellStyle name="표준 3 146" xfId="15324"/>
    <cellStyle name="표준 3 146 2" xfId="15325"/>
    <cellStyle name="표준 3 146 3" xfId="15326"/>
    <cellStyle name="표준 3 147" xfId="15327"/>
    <cellStyle name="표준 3 147 2" xfId="15328"/>
    <cellStyle name="표준 3 147 3" xfId="15329"/>
    <cellStyle name="표준 3 148" xfId="15330"/>
    <cellStyle name="표준 3 148 2" xfId="15331"/>
    <cellStyle name="표준 3 148 3" xfId="15332"/>
    <cellStyle name="표준 3 149" xfId="15333"/>
    <cellStyle name="표준 3 149 2" xfId="15334"/>
    <cellStyle name="표준 3 149 3" xfId="15335"/>
    <cellStyle name="표준 3 15" xfId="15336"/>
    <cellStyle name="표준 3 150" xfId="15337"/>
    <cellStyle name="표준 3 150 2" xfId="15338"/>
    <cellStyle name="표준 3 150 3" xfId="15339"/>
    <cellStyle name="표준 3 151" xfId="15340"/>
    <cellStyle name="표준 3 151 2" xfId="15341"/>
    <cellStyle name="표준 3 152" xfId="15342"/>
    <cellStyle name="표준 3 152 2" xfId="15343"/>
    <cellStyle name="표준 3 153" xfId="15344"/>
    <cellStyle name="표준 3 153 2" xfId="15345"/>
    <cellStyle name="표준 3 154" xfId="15346"/>
    <cellStyle name="표준 3 154 2" xfId="15347"/>
    <cellStyle name="표준 3 155" xfId="15348"/>
    <cellStyle name="표준 3 155 2" xfId="15349"/>
    <cellStyle name="표준 3 156" xfId="15350"/>
    <cellStyle name="표준 3 157" xfId="15351"/>
    <cellStyle name="표준 3 158" xfId="15352"/>
    <cellStyle name="표준 3 159" xfId="15353"/>
    <cellStyle name="표준 3 16" xfId="15354"/>
    <cellStyle name="표준 3 160" xfId="15355"/>
    <cellStyle name="표준 3 161" xfId="15356"/>
    <cellStyle name="표준 3 162" xfId="18248"/>
    <cellStyle name="표준 3 17" xfId="15357"/>
    <cellStyle name="표준 3 18" xfId="15358"/>
    <cellStyle name="표준 3 19" xfId="15359"/>
    <cellStyle name="표준 3 2" xfId="15360"/>
    <cellStyle name="표준 3 2 2" xfId="15361"/>
    <cellStyle name="표준 3 2 2 2" xfId="15362"/>
    <cellStyle name="표준 3 2 2 2 2" xfId="15363"/>
    <cellStyle name="표준 3 2 2 2 2 2" xfId="23058"/>
    <cellStyle name="표준 3 2 2 2 3" xfId="20195"/>
    <cellStyle name="표준 3 2 2 3" xfId="15364"/>
    <cellStyle name="표준 3 2 2 4" xfId="20194"/>
    <cellStyle name="표준 3 2 3" xfId="15365"/>
    <cellStyle name="표준 3 2 3 2" xfId="15366"/>
    <cellStyle name="표준 3 2 3 3" xfId="15367"/>
    <cellStyle name="표준 3 2 3 4" xfId="15368"/>
    <cellStyle name="표준 3 2 3 4 2" xfId="15369"/>
    <cellStyle name="표준 3 2 3 5" xfId="20189"/>
    <cellStyle name="표준 3 2 4" xfId="15370"/>
    <cellStyle name="표준 3 2 4 2" xfId="20674"/>
    <cellStyle name="표준 3 2 5" xfId="19886"/>
    <cellStyle name="표준 3 2 6" xfId="20473"/>
    <cellStyle name="표준 3 20" xfId="15371"/>
    <cellStyle name="표준 3 21" xfId="15372"/>
    <cellStyle name="표준 3 22" xfId="15373"/>
    <cellStyle name="표준 3 23" xfId="15374"/>
    <cellStyle name="표준 3 24" xfId="15375"/>
    <cellStyle name="표준 3 25" xfId="15376"/>
    <cellStyle name="표준 3 26" xfId="15377"/>
    <cellStyle name="표준 3 27" xfId="15378"/>
    <cellStyle name="표준 3 28" xfId="15379"/>
    <cellStyle name="표준 3 29" xfId="15380"/>
    <cellStyle name="표준 3 3" xfId="15381"/>
    <cellStyle name="표준 3 3 2" xfId="15382"/>
    <cellStyle name="표준 3 3 2 2" xfId="15383"/>
    <cellStyle name="표준 3 3 2 2 2" xfId="15384"/>
    <cellStyle name="표준 3 3 2 2 2 2" xfId="15385"/>
    <cellStyle name="표준 3 3 2 2 2 2 2" xfId="15386"/>
    <cellStyle name="표준 3 3 2 2 3" xfId="15387"/>
    <cellStyle name="표준 3 3 2 3" xfId="15388"/>
    <cellStyle name="표준 3 3 2 4" xfId="15389"/>
    <cellStyle name="표준 3 3 3" xfId="15390"/>
    <cellStyle name="표준 3 3 3 2" xfId="23059"/>
    <cellStyle name="표준 3 3 4" xfId="15391"/>
    <cellStyle name="표준 3 3 5" xfId="19884"/>
    <cellStyle name="표준 3 3 6" xfId="20472"/>
    <cellStyle name="표준 3 30" xfId="15392"/>
    <cellStyle name="표준 3 31" xfId="15393"/>
    <cellStyle name="표준 3 32" xfId="15394"/>
    <cellStyle name="표준 3 33" xfId="15395"/>
    <cellStyle name="표준 3 34" xfId="15396"/>
    <cellStyle name="표준 3 35" xfId="15397"/>
    <cellStyle name="표준 3 36" xfId="15398"/>
    <cellStyle name="표준 3 37" xfId="15399"/>
    <cellStyle name="표준 3 38" xfId="15400"/>
    <cellStyle name="표준 3 39" xfId="15401"/>
    <cellStyle name="표준 3 4" xfId="15402"/>
    <cellStyle name="표준 3 4 2" xfId="15403"/>
    <cellStyle name="표준 3 4 2 2" xfId="15404"/>
    <cellStyle name="표준 3 4 2 2 2" xfId="23060"/>
    <cellStyle name="표준 3 4 2 3" xfId="15405"/>
    <cellStyle name="표준 3 4 2 4" xfId="15406"/>
    <cellStyle name="표준 3 4 2 5" xfId="15407"/>
    <cellStyle name="표준 3 4 3" xfId="15408"/>
    <cellStyle name="표준 3 4 4" xfId="15409"/>
    <cellStyle name="표준 3 4 5" xfId="15410"/>
    <cellStyle name="표준 3 4 5 2" xfId="15411"/>
    <cellStyle name="표준 3 4 6" xfId="15412"/>
    <cellStyle name="표준 3 4 7" xfId="20191"/>
    <cellStyle name="표준 3 4 8" xfId="20474"/>
    <cellStyle name="표준 3 40" xfId="15413"/>
    <cellStyle name="표준 3 41" xfId="15414"/>
    <cellStyle name="표준 3 42" xfId="15415"/>
    <cellStyle name="표준 3 43" xfId="15416"/>
    <cellStyle name="표준 3 44" xfId="15417"/>
    <cellStyle name="표준 3 45" xfId="15418"/>
    <cellStyle name="표준 3 46" xfId="15419"/>
    <cellStyle name="표준 3 47" xfId="15420"/>
    <cellStyle name="표준 3 48" xfId="15421"/>
    <cellStyle name="표준 3 49" xfId="15422"/>
    <cellStyle name="표준 3 5" xfId="15423"/>
    <cellStyle name="표준 3 5 2" xfId="20642"/>
    <cellStyle name="표준 3 50" xfId="15424"/>
    <cellStyle name="표준 3 51" xfId="15425"/>
    <cellStyle name="표준 3 52" xfId="15426"/>
    <cellStyle name="표준 3 53" xfId="15427"/>
    <cellStyle name="표준 3 54" xfId="15428"/>
    <cellStyle name="표준 3 55" xfId="15429"/>
    <cellStyle name="표준 3 56" xfId="15430"/>
    <cellStyle name="표준 3 57" xfId="15431"/>
    <cellStyle name="표준 3 58" xfId="15432"/>
    <cellStyle name="표준 3 59" xfId="15433"/>
    <cellStyle name="표준 3 6" xfId="15434"/>
    <cellStyle name="표준 3 6 2" xfId="23061"/>
    <cellStyle name="표준 3 60" xfId="15435"/>
    <cellStyle name="표준 3 61" xfId="15436"/>
    <cellStyle name="표준 3 62" xfId="15437"/>
    <cellStyle name="표준 3 63" xfId="15438"/>
    <cellStyle name="표준 3 64" xfId="15439"/>
    <cellStyle name="표준 3 65" xfId="15440"/>
    <cellStyle name="표준 3 66" xfId="15441"/>
    <cellStyle name="표준 3 67" xfId="15442"/>
    <cellStyle name="표준 3 68" xfId="15443"/>
    <cellStyle name="표준 3 69" xfId="15444"/>
    <cellStyle name="표준 3 7" xfId="15445"/>
    <cellStyle name="표준 3 70" xfId="15446"/>
    <cellStyle name="표준 3 71" xfId="15447"/>
    <cellStyle name="표준 3 72" xfId="15448"/>
    <cellStyle name="표준 3 73" xfId="15449"/>
    <cellStyle name="표준 3 74" xfId="15450"/>
    <cellStyle name="표준 3 75" xfId="15451"/>
    <cellStyle name="표준 3 76" xfId="15452"/>
    <cellStyle name="표준 3 77" xfId="15453"/>
    <cellStyle name="표준 3 78" xfId="15454"/>
    <cellStyle name="표준 3 79" xfId="15455"/>
    <cellStyle name="표준 3 8" xfId="15456"/>
    <cellStyle name="표준 3 80" xfId="15457"/>
    <cellStyle name="표준 3 81" xfId="15458"/>
    <cellStyle name="표준 3 82" xfId="15459"/>
    <cellStyle name="표준 3 83" xfId="15460"/>
    <cellStyle name="표준 3 84" xfId="15461"/>
    <cellStyle name="표준 3 85" xfId="15462"/>
    <cellStyle name="표준 3 86" xfId="15463"/>
    <cellStyle name="표준 3 87" xfId="15464"/>
    <cellStyle name="표준 3 88" xfId="15465"/>
    <cellStyle name="표준 3 89" xfId="15466"/>
    <cellStyle name="표준 3 9" xfId="15467"/>
    <cellStyle name="표준 3 9 2" xfId="15468"/>
    <cellStyle name="표준 3 9 2 2" xfId="15469"/>
    <cellStyle name="표준 3 9 3" xfId="15470"/>
    <cellStyle name="표준 3 9 4" xfId="15471"/>
    <cellStyle name="표준 3 90" xfId="15472"/>
    <cellStyle name="표준 3 91" xfId="15473"/>
    <cellStyle name="표준 3 92" xfId="15474"/>
    <cellStyle name="표준 3 93" xfId="15475"/>
    <cellStyle name="표준 3 94" xfId="15476"/>
    <cellStyle name="표준 3 95" xfId="15477"/>
    <cellStyle name="표준 3 96" xfId="15478"/>
    <cellStyle name="표준 3 97" xfId="15479"/>
    <cellStyle name="표준 3 98" xfId="15480"/>
    <cellStyle name="표준 3 99" xfId="15481"/>
    <cellStyle name="표준 30" xfId="15482"/>
    <cellStyle name="표준 30 2" xfId="15483"/>
    <cellStyle name="표준 30 2 2" xfId="15484"/>
    <cellStyle name="표준 30 3" xfId="15485"/>
    <cellStyle name="표준 30 3 2" xfId="15486"/>
    <cellStyle name="표준 30 3 2 2" xfId="15487"/>
    <cellStyle name="표준 30 3 3" xfId="15488"/>
    <cellStyle name="표준 30 3 4" xfId="15489"/>
    <cellStyle name="표준 30 4" xfId="15490"/>
    <cellStyle name="표준 30 4 2" xfId="15491"/>
    <cellStyle name="표준 30 4 2 2" xfId="15492"/>
    <cellStyle name="표준 30 5" xfId="15493"/>
    <cellStyle name="표준 30 5 2" xfId="15494"/>
    <cellStyle name="표준 30 6" xfId="15495"/>
    <cellStyle name="표준 31" xfId="15496"/>
    <cellStyle name="표준 31 2" xfId="15497"/>
    <cellStyle name="표준 31 3" xfId="15498"/>
    <cellStyle name="표준 31 3 2" xfId="15499"/>
    <cellStyle name="표준 31 3 2 2" xfId="15500"/>
    <cellStyle name="표준 31 4" xfId="15501"/>
    <cellStyle name="표준 31 4 2" xfId="15502"/>
    <cellStyle name="표준 31 4 2 2" xfId="15503"/>
    <cellStyle name="표준 31 5" xfId="15504"/>
    <cellStyle name="표준 31 5 2" xfId="15505"/>
    <cellStyle name="표준 31 6" xfId="15506"/>
    <cellStyle name="표준 32" xfId="15507"/>
    <cellStyle name="표준 32 2" xfId="15508"/>
    <cellStyle name="표준 32 3" xfId="15509"/>
    <cellStyle name="표준 32 3 2" xfId="15510"/>
    <cellStyle name="표준 32 3 2 2" xfId="15511"/>
    <cellStyle name="표준 32 4" xfId="15512"/>
    <cellStyle name="표준 32 5" xfId="15513"/>
    <cellStyle name="표준 32 5 2" xfId="15514"/>
    <cellStyle name="표준 33" xfId="15515"/>
    <cellStyle name="표준 33 2" xfId="15516"/>
    <cellStyle name="표준 33 2 2" xfId="15517"/>
    <cellStyle name="표준 33 2 2 2" xfId="15518"/>
    <cellStyle name="표준 33 3" xfId="15519"/>
    <cellStyle name="표준 33 4" xfId="15520"/>
    <cellStyle name="표준 33 4 2" xfId="15521"/>
    <cellStyle name="표준 33 5" xfId="15522"/>
    <cellStyle name="표준 33 5 2" xfId="15523"/>
    <cellStyle name="표준 33 6" xfId="15524"/>
    <cellStyle name="표준 34" xfId="15525"/>
    <cellStyle name="표준 34 10" xfId="15526"/>
    <cellStyle name="표준 34 11" xfId="15527"/>
    <cellStyle name="표준 34 12" xfId="15528"/>
    <cellStyle name="표준 34 13" xfId="15529"/>
    <cellStyle name="표준 34 2" xfId="15530"/>
    <cellStyle name="표준 34 2 2" xfId="15531"/>
    <cellStyle name="표준 34 2 2 2" xfId="15532"/>
    <cellStyle name="표준 34 3" xfId="15533"/>
    <cellStyle name="표준 34 4" xfId="15534"/>
    <cellStyle name="표준 34 4 2" xfId="15535"/>
    <cellStyle name="표준 34 4 2 2" xfId="15536"/>
    <cellStyle name="표준 34 4 3" xfId="15537"/>
    <cellStyle name="표준 34 5" xfId="15538"/>
    <cellStyle name="표준 34 6" xfId="15539"/>
    <cellStyle name="표준 34 7" xfId="15540"/>
    <cellStyle name="표준 34 8" xfId="15541"/>
    <cellStyle name="표준 34 9" xfId="15542"/>
    <cellStyle name="표준 35" xfId="15543"/>
    <cellStyle name="표준 35 2" xfId="15544"/>
    <cellStyle name="표준 35 2 2" xfId="15545"/>
    <cellStyle name="표준 35 2 2 2" xfId="15546"/>
    <cellStyle name="표준 35 3" xfId="15547"/>
    <cellStyle name="표준 35 4" xfId="15548"/>
    <cellStyle name="표준 35 4 2" xfId="15549"/>
    <cellStyle name="표준 35 5" xfId="15550"/>
    <cellStyle name="표준 35 5 2" xfId="15551"/>
    <cellStyle name="표준 35 6" xfId="15552"/>
    <cellStyle name="표준 36" xfId="15553"/>
    <cellStyle name="표준 36 2" xfId="15554"/>
    <cellStyle name="표준 36 2 2" xfId="15555"/>
    <cellStyle name="표준 36 2 2 2" xfId="15556"/>
    <cellStyle name="표준 36 2 2 2 2" xfId="15557"/>
    <cellStyle name="표준 36 2 3" xfId="15558"/>
    <cellStyle name="표준 36 2 3 2" xfId="15559"/>
    <cellStyle name="표준 36 3" xfId="15560"/>
    <cellStyle name="표준 36 3 2" xfId="15561"/>
    <cellStyle name="표준 36 3 2 2" xfId="15562"/>
    <cellStyle name="표준 36 4" xfId="15563"/>
    <cellStyle name="표준 36 5" xfId="15564"/>
    <cellStyle name="표준 36 5 2" xfId="15565"/>
    <cellStyle name="표준 37" xfId="15566"/>
    <cellStyle name="표준 37 10" xfId="15567"/>
    <cellStyle name="표준 37 11" xfId="15568"/>
    <cellStyle name="표준 37 12" xfId="15569"/>
    <cellStyle name="표준 37 13" xfId="15570"/>
    <cellStyle name="표준 37 2" xfId="15571"/>
    <cellStyle name="표준 37 2 2" xfId="15572"/>
    <cellStyle name="표준 37 2 2 2" xfId="15573"/>
    <cellStyle name="표준 37 3" xfId="15574"/>
    <cellStyle name="표준 37 4" xfId="15575"/>
    <cellStyle name="표준 37 4 2" xfId="15576"/>
    <cellStyle name="표준 37 4 2 2" xfId="15577"/>
    <cellStyle name="표준 37 4 3" xfId="15578"/>
    <cellStyle name="표준 37 5" xfId="15579"/>
    <cellStyle name="표준 37 6" xfId="15580"/>
    <cellStyle name="표준 37 7" xfId="15581"/>
    <cellStyle name="표준 37 8" xfId="15582"/>
    <cellStyle name="표준 37 9" xfId="15583"/>
    <cellStyle name="표준 38" xfId="15584"/>
    <cellStyle name="표준 38 10" xfId="15585"/>
    <cellStyle name="표준 38 11" xfId="15586"/>
    <cellStyle name="표준 38 12" xfId="15587"/>
    <cellStyle name="표준 38 13" xfId="15588"/>
    <cellStyle name="표준 38 2" xfId="15589"/>
    <cellStyle name="표준 38 2 2" xfId="15590"/>
    <cellStyle name="표준 38 2 2 2" xfId="15591"/>
    <cellStyle name="표준 38 3" xfId="15592"/>
    <cellStyle name="표준 38 4" xfId="15593"/>
    <cellStyle name="표준 38 4 2" xfId="15594"/>
    <cellStyle name="표준 38 4 2 2" xfId="15595"/>
    <cellStyle name="표준 38 4 3" xfId="15596"/>
    <cellStyle name="표준 38 5" xfId="15597"/>
    <cellStyle name="표준 38 6" xfId="15598"/>
    <cellStyle name="표준 38 7" xfId="15599"/>
    <cellStyle name="표준 38 8" xfId="15600"/>
    <cellStyle name="표준 38 9" xfId="15601"/>
    <cellStyle name="표준 39" xfId="15602"/>
    <cellStyle name="표준 39 2" xfId="15603"/>
    <cellStyle name="표준 39 2 2" xfId="15604"/>
    <cellStyle name="표준 39 2 2 2" xfId="15605"/>
    <cellStyle name="표준 39 3" xfId="15606"/>
    <cellStyle name="표준 39 4" xfId="15607"/>
    <cellStyle name="표준 39 4 2" xfId="15608"/>
    <cellStyle name="표준 4" xfId="15609"/>
    <cellStyle name="표준 4 10" xfId="15610"/>
    <cellStyle name="표준 4 10 2" xfId="15611"/>
    <cellStyle name="표준 4 10 2 2" xfId="15612"/>
    <cellStyle name="표준 4 10 2 2 2" xfId="15613"/>
    <cellStyle name="표준 4 10 2 2 2 2" xfId="15614"/>
    <cellStyle name="표준 4 10 2 3" xfId="15615"/>
    <cellStyle name="표준 4 10 2 3 2" xfId="15616"/>
    <cellStyle name="표준 4 10 3" xfId="15617"/>
    <cellStyle name="표준 4 10 3 2" xfId="15618"/>
    <cellStyle name="표준 4 10 3 2 2" xfId="15619"/>
    <cellStyle name="표준 4 10 3 2 2 2" xfId="15620"/>
    <cellStyle name="표준 4 10 3 3" xfId="15621"/>
    <cellStyle name="표준 4 10 3 3 2" xfId="15622"/>
    <cellStyle name="표준 4 10 4" xfId="15623"/>
    <cellStyle name="표준 4 10 4 2" xfId="15624"/>
    <cellStyle name="표준 4 10 4 2 2" xfId="15625"/>
    <cellStyle name="표준 4 10 4 2 2 2" xfId="15626"/>
    <cellStyle name="표준 4 10 4 3" xfId="15627"/>
    <cellStyle name="표준 4 10 4 3 2" xfId="15628"/>
    <cellStyle name="표준 4 10 5" xfId="15629"/>
    <cellStyle name="표준 4 10 5 2" xfId="15630"/>
    <cellStyle name="표준 4 10 5 2 2" xfId="15631"/>
    <cellStyle name="표준 4 10 5 2 2 2" xfId="15632"/>
    <cellStyle name="표준 4 10 5 3" xfId="15633"/>
    <cellStyle name="표준 4 10 5 3 2" xfId="15634"/>
    <cellStyle name="표준 4 10 6" xfId="15635"/>
    <cellStyle name="표준 4 10 6 2" xfId="15636"/>
    <cellStyle name="표준 4 10 6 2 2" xfId="15637"/>
    <cellStyle name="표준 4 10 6 2 2 2" xfId="15638"/>
    <cellStyle name="표준 4 10 6 3" xfId="15639"/>
    <cellStyle name="표준 4 10 6 3 2" xfId="15640"/>
    <cellStyle name="표준 4 10 7" xfId="15641"/>
    <cellStyle name="표준 4 10 7 2" xfId="15642"/>
    <cellStyle name="표준 4 10 7 2 2" xfId="15643"/>
    <cellStyle name="표준 4 10 8" xfId="15644"/>
    <cellStyle name="표준 4 10 8 2" xfId="15645"/>
    <cellStyle name="표준 4 11" xfId="15646"/>
    <cellStyle name="표준 4 11 2" xfId="15647"/>
    <cellStyle name="표준 4 11 2 2" xfId="15648"/>
    <cellStyle name="표준 4 11 2 2 2" xfId="15649"/>
    <cellStyle name="표준 4 11 2 2 2 2" xfId="15650"/>
    <cellStyle name="표준 4 11 2 3" xfId="15651"/>
    <cellStyle name="표준 4 11 2 3 2" xfId="15652"/>
    <cellStyle name="표준 4 11 3" xfId="15653"/>
    <cellStyle name="표준 4 11 3 2" xfId="15654"/>
    <cellStyle name="표준 4 11 3 2 2" xfId="15655"/>
    <cellStyle name="표준 4 11 3 2 2 2" xfId="15656"/>
    <cellStyle name="표준 4 11 3 3" xfId="15657"/>
    <cellStyle name="표준 4 11 3 3 2" xfId="15658"/>
    <cellStyle name="표준 4 11 4" xfId="15659"/>
    <cellStyle name="표준 4 11 4 2" xfId="15660"/>
    <cellStyle name="표준 4 11 4 2 2" xfId="15661"/>
    <cellStyle name="표준 4 11 4 2 2 2" xfId="15662"/>
    <cellStyle name="표준 4 11 4 3" xfId="15663"/>
    <cellStyle name="표준 4 11 4 3 2" xfId="15664"/>
    <cellStyle name="표준 4 11 5" xfId="15665"/>
    <cellStyle name="표준 4 11 5 2" xfId="15666"/>
    <cellStyle name="표준 4 11 5 2 2" xfId="15667"/>
    <cellStyle name="표준 4 11 5 2 2 2" xfId="15668"/>
    <cellStyle name="표준 4 11 5 3" xfId="15669"/>
    <cellStyle name="표준 4 11 5 3 2" xfId="15670"/>
    <cellStyle name="표준 4 11 6" xfId="15671"/>
    <cellStyle name="표준 4 11 6 2" xfId="15672"/>
    <cellStyle name="표준 4 11 6 2 2" xfId="15673"/>
    <cellStyle name="표준 4 11 6 2 2 2" xfId="15674"/>
    <cellStyle name="표준 4 11 6 3" xfId="15675"/>
    <cellStyle name="표준 4 11 6 3 2" xfId="15676"/>
    <cellStyle name="표준 4 11 7" xfId="15677"/>
    <cellStyle name="표준 4 11 7 2" xfId="15678"/>
    <cellStyle name="표준 4 11 7 2 2" xfId="15679"/>
    <cellStyle name="표준 4 11 8" xfId="15680"/>
    <cellStyle name="표준 4 11 8 2" xfId="15681"/>
    <cellStyle name="표준 4 12" xfId="15682"/>
    <cellStyle name="표준 4 12 2" xfId="15683"/>
    <cellStyle name="표준 4 12 2 2" xfId="15684"/>
    <cellStyle name="표준 4 12 2 2 2" xfId="15685"/>
    <cellStyle name="표준 4 12 2 2 2 2" xfId="15686"/>
    <cellStyle name="표준 4 12 2 3" xfId="15687"/>
    <cellStyle name="표준 4 12 2 3 2" xfId="15688"/>
    <cellStyle name="표준 4 12 3" xfId="15689"/>
    <cellStyle name="표준 4 12 3 2" xfId="15690"/>
    <cellStyle name="표준 4 12 3 2 2" xfId="15691"/>
    <cellStyle name="표준 4 12 3 2 2 2" xfId="15692"/>
    <cellStyle name="표준 4 12 3 3" xfId="15693"/>
    <cellStyle name="표준 4 12 3 3 2" xfId="15694"/>
    <cellStyle name="표준 4 12 4" xfId="15695"/>
    <cellStyle name="표준 4 12 4 2" xfId="15696"/>
    <cellStyle name="표준 4 12 4 2 2" xfId="15697"/>
    <cellStyle name="표준 4 12 4 2 2 2" xfId="15698"/>
    <cellStyle name="표준 4 12 4 3" xfId="15699"/>
    <cellStyle name="표준 4 12 4 3 2" xfId="15700"/>
    <cellStyle name="표준 4 12 5" xfId="15701"/>
    <cellStyle name="표준 4 12 5 2" xfId="15702"/>
    <cellStyle name="표준 4 12 5 2 2" xfId="15703"/>
    <cellStyle name="표준 4 12 5 2 2 2" xfId="15704"/>
    <cellStyle name="표준 4 12 5 3" xfId="15705"/>
    <cellStyle name="표준 4 12 5 3 2" xfId="15706"/>
    <cellStyle name="표준 4 12 6" xfId="15707"/>
    <cellStyle name="표준 4 12 6 2" xfId="15708"/>
    <cellStyle name="표준 4 12 6 2 2" xfId="15709"/>
    <cellStyle name="표준 4 12 6 2 2 2" xfId="15710"/>
    <cellStyle name="표준 4 12 6 3" xfId="15711"/>
    <cellStyle name="표준 4 12 6 3 2" xfId="15712"/>
    <cellStyle name="표준 4 12 7" xfId="15713"/>
    <cellStyle name="표준 4 12 7 2" xfId="15714"/>
    <cellStyle name="표준 4 12 7 2 2" xfId="15715"/>
    <cellStyle name="표준 4 12 8" xfId="15716"/>
    <cellStyle name="표준 4 12 8 2" xfId="15717"/>
    <cellStyle name="표준 4 13" xfId="15718"/>
    <cellStyle name="표준 4 13 2" xfId="15719"/>
    <cellStyle name="표준 4 13 2 2" xfId="15720"/>
    <cellStyle name="표준 4 13 2 2 2" xfId="15721"/>
    <cellStyle name="표준 4 13 2 2 2 2" xfId="15722"/>
    <cellStyle name="표준 4 13 2 3" xfId="15723"/>
    <cellStyle name="표준 4 13 2 3 2" xfId="15724"/>
    <cellStyle name="표준 4 13 3" xfId="15725"/>
    <cellStyle name="표준 4 13 3 2" xfId="15726"/>
    <cellStyle name="표준 4 13 3 2 2" xfId="15727"/>
    <cellStyle name="표준 4 13 3 2 2 2" xfId="15728"/>
    <cellStyle name="표준 4 13 3 3" xfId="15729"/>
    <cellStyle name="표준 4 13 3 3 2" xfId="15730"/>
    <cellStyle name="표준 4 13 4" xfId="15731"/>
    <cellStyle name="표준 4 13 4 2" xfId="15732"/>
    <cellStyle name="표준 4 13 4 2 2" xfId="15733"/>
    <cellStyle name="표준 4 13 4 2 2 2" xfId="15734"/>
    <cellStyle name="표준 4 13 4 3" xfId="15735"/>
    <cellStyle name="표준 4 13 4 3 2" xfId="15736"/>
    <cellStyle name="표준 4 13 5" xfId="15737"/>
    <cellStyle name="표준 4 13 5 2" xfId="15738"/>
    <cellStyle name="표준 4 13 5 2 2" xfId="15739"/>
    <cellStyle name="표준 4 13 5 2 2 2" xfId="15740"/>
    <cellStyle name="표준 4 13 5 3" xfId="15741"/>
    <cellStyle name="표준 4 13 5 3 2" xfId="15742"/>
    <cellStyle name="표준 4 13 6" xfId="15743"/>
    <cellStyle name="표준 4 13 6 2" xfId="15744"/>
    <cellStyle name="표준 4 13 6 2 2" xfId="15745"/>
    <cellStyle name="표준 4 13 6 2 2 2" xfId="15746"/>
    <cellStyle name="표준 4 13 6 3" xfId="15747"/>
    <cellStyle name="표준 4 13 6 3 2" xfId="15748"/>
    <cellStyle name="표준 4 13 7" xfId="15749"/>
    <cellStyle name="표준 4 13 7 2" xfId="15750"/>
    <cellStyle name="표준 4 13 7 2 2" xfId="15751"/>
    <cellStyle name="표준 4 13 8" xfId="15752"/>
    <cellStyle name="표준 4 13 8 2" xfId="15753"/>
    <cellStyle name="표준 4 14" xfId="15754"/>
    <cellStyle name="표준 4 14 2" xfId="15755"/>
    <cellStyle name="표준 4 14 2 2" xfId="15756"/>
    <cellStyle name="표준 4 14 2 2 2" xfId="15757"/>
    <cellStyle name="표준 4 14 2 2 2 2" xfId="15758"/>
    <cellStyle name="표준 4 14 2 3" xfId="15759"/>
    <cellStyle name="표준 4 14 2 3 2" xfId="15760"/>
    <cellStyle name="표준 4 14 3" xfId="15761"/>
    <cellStyle name="표준 4 14 3 2" xfId="15762"/>
    <cellStyle name="표준 4 14 3 2 2" xfId="15763"/>
    <cellStyle name="표준 4 14 3 2 2 2" xfId="15764"/>
    <cellStyle name="표준 4 14 3 3" xfId="15765"/>
    <cellStyle name="표준 4 14 3 3 2" xfId="15766"/>
    <cellStyle name="표준 4 14 4" xfId="15767"/>
    <cellStyle name="표준 4 14 4 2" xfId="15768"/>
    <cellStyle name="표준 4 14 4 2 2" xfId="15769"/>
    <cellStyle name="표준 4 14 4 2 2 2" xfId="15770"/>
    <cellStyle name="표준 4 14 4 3" xfId="15771"/>
    <cellStyle name="표준 4 14 4 3 2" xfId="15772"/>
    <cellStyle name="표준 4 14 5" xfId="15773"/>
    <cellStyle name="표준 4 14 5 2" xfId="15774"/>
    <cellStyle name="표준 4 14 5 2 2" xfId="15775"/>
    <cellStyle name="표준 4 14 5 2 2 2" xfId="15776"/>
    <cellStyle name="표준 4 14 5 3" xfId="15777"/>
    <cellStyle name="표준 4 14 5 3 2" xfId="15778"/>
    <cellStyle name="표준 4 14 6" xfId="15779"/>
    <cellStyle name="표준 4 14 6 2" xfId="15780"/>
    <cellStyle name="표준 4 14 6 2 2" xfId="15781"/>
    <cellStyle name="표준 4 14 6 2 2 2" xfId="15782"/>
    <cellStyle name="표준 4 14 6 3" xfId="15783"/>
    <cellStyle name="표준 4 14 6 3 2" xfId="15784"/>
    <cellStyle name="표준 4 14 7" xfId="15785"/>
    <cellStyle name="표준 4 14 7 2" xfId="15786"/>
    <cellStyle name="표준 4 14 7 2 2" xfId="15787"/>
    <cellStyle name="표준 4 14 8" xfId="15788"/>
    <cellStyle name="표준 4 14 8 2" xfId="15789"/>
    <cellStyle name="표준 4 15" xfId="15790"/>
    <cellStyle name="표준 4 15 2" xfId="15791"/>
    <cellStyle name="표준 4 15 2 2" xfId="15792"/>
    <cellStyle name="표준 4 15 2 2 2" xfId="15793"/>
    <cellStyle name="표준 4 15 2 2 2 2" xfId="15794"/>
    <cellStyle name="표준 4 15 2 3" xfId="15795"/>
    <cellStyle name="표준 4 15 2 3 2" xfId="15796"/>
    <cellStyle name="표준 4 15 3" xfId="15797"/>
    <cellStyle name="표준 4 15 3 2" xfId="15798"/>
    <cellStyle name="표준 4 15 3 2 2" xfId="15799"/>
    <cellStyle name="표준 4 15 3 2 2 2" xfId="15800"/>
    <cellStyle name="표준 4 15 3 3" xfId="15801"/>
    <cellStyle name="표준 4 15 3 3 2" xfId="15802"/>
    <cellStyle name="표준 4 15 4" xfId="15803"/>
    <cellStyle name="표준 4 15 4 2" xfId="15804"/>
    <cellStyle name="표준 4 15 4 2 2" xfId="15805"/>
    <cellStyle name="표준 4 15 4 2 2 2" xfId="15806"/>
    <cellStyle name="표준 4 15 4 3" xfId="15807"/>
    <cellStyle name="표준 4 15 4 3 2" xfId="15808"/>
    <cellStyle name="표준 4 15 5" xfId="15809"/>
    <cellStyle name="표준 4 15 5 2" xfId="15810"/>
    <cellStyle name="표준 4 15 5 2 2" xfId="15811"/>
    <cellStyle name="표준 4 15 5 2 2 2" xfId="15812"/>
    <cellStyle name="표준 4 15 5 3" xfId="15813"/>
    <cellStyle name="표준 4 15 5 3 2" xfId="15814"/>
    <cellStyle name="표준 4 15 6" xfId="15815"/>
    <cellStyle name="표준 4 15 6 2" xfId="15816"/>
    <cellStyle name="표준 4 15 6 2 2" xfId="15817"/>
    <cellStyle name="표준 4 15 6 2 2 2" xfId="15818"/>
    <cellStyle name="표준 4 15 6 3" xfId="15819"/>
    <cellStyle name="표준 4 15 6 3 2" xfId="15820"/>
    <cellStyle name="표준 4 15 7" xfId="15821"/>
    <cellStyle name="표준 4 15 7 2" xfId="15822"/>
    <cellStyle name="표준 4 15 7 2 2" xfId="15823"/>
    <cellStyle name="표준 4 15 8" xfId="15824"/>
    <cellStyle name="표준 4 15 8 2" xfId="15825"/>
    <cellStyle name="표준 4 16" xfId="15826"/>
    <cellStyle name="표준 4 16 2" xfId="15827"/>
    <cellStyle name="표준 4 16 2 2" xfId="15828"/>
    <cellStyle name="표준 4 16 2 2 2" xfId="15829"/>
    <cellStyle name="표준 4 16 2 2 2 2" xfId="15830"/>
    <cellStyle name="표준 4 16 2 3" xfId="15831"/>
    <cellStyle name="표준 4 16 2 3 2" xfId="15832"/>
    <cellStyle name="표준 4 16 3" xfId="15833"/>
    <cellStyle name="표준 4 16 3 2" xfId="15834"/>
    <cellStyle name="표준 4 16 3 2 2" xfId="15835"/>
    <cellStyle name="표준 4 16 3 2 2 2" xfId="15836"/>
    <cellStyle name="표준 4 16 3 3" xfId="15837"/>
    <cellStyle name="표준 4 16 3 3 2" xfId="15838"/>
    <cellStyle name="표준 4 16 4" xfId="15839"/>
    <cellStyle name="표준 4 16 4 2" xfId="15840"/>
    <cellStyle name="표준 4 16 4 2 2" xfId="15841"/>
    <cellStyle name="표준 4 16 4 2 2 2" xfId="15842"/>
    <cellStyle name="표준 4 16 4 3" xfId="15843"/>
    <cellStyle name="표준 4 16 4 3 2" xfId="15844"/>
    <cellStyle name="표준 4 16 5" xfId="15845"/>
    <cellStyle name="표준 4 16 5 2" xfId="15846"/>
    <cellStyle name="표준 4 16 5 2 2" xfId="15847"/>
    <cellStyle name="표준 4 16 5 2 2 2" xfId="15848"/>
    <cellStyle name="표준 4 16 5 3" xfId="15849"/>
    <cellStyle name="표준 4 16 5 3 2" xfId="15850"/>
    <cellStyle name="표준 4 16 6" xfId="15851"/>
    <cellStyle name="표준 4 16 6 2" xfId="15852"/>
    <cellStyle name="표준 4 16 6 2 2" xfId="15853"/>
    <cellStyle name="표준 4 16 6 2 2 2" xfId="15854"/>
    <cellStyle name="표준 4 16 6 3" xfId="15855"/>
    <cellStyle name="표준 4 16 6 3 2" xfId="15856"/>
    <cellStyle name="표준 4 16 7" xfId="15857"/>
    <cellStyle name="표준 4 16 7 2" xfId="15858"/>
    <cellStyle name="표준 4 16 7 2 2" xfId="15859"/>
    <cellStyle name="표준 4 16 8" xfId="15860"/>
    <cellStyle name="표준 4 16 8 2" xfId="15861"/>
    <cellStyle name="표준 4 17" xfId="15862"/>
    <cellStyle name="표준 4 17 2" xfId="15863"/>
    <cellStyle name="표준 4 17 2 2" xfId="15864"/>
    <cellStyle name="표준 4 17 2 2 2" xfId="15865"/>
    <cellStyle name="표준 4 17 2 2 2 2" xfId="15866"/>
    <cellStyle name="표준 4 17 2 3" xfId="15867"/>
    <cellStyle name="표준 4 17 2 3 2" xfId="15868"/>
    <cellStyle name="표준 4 17 3" xfId="15869"/>
    <cellStyle name="표준 4 17 3 2" xfId="15870"/>
    <cellStyle name="표준 4 17 3 2 2" xfId="15871"/>
    <cellStyle name="표준 4 17 3 2 2 2" xfId="15872"/>
    <cellStyle name="표준 4 17 3 3" xfId="15873"/>
    <cellStyle name="표준 4 17 3 3 2" xfId="15874"/>
    <cellStyle name="표준 4 17 4" xfId="15875"/>
    <cellStyle name="표준 4 17 4 2" xfId="15876"/>
    <cellStyle name="표준 4 17 4 2 2" xfId="15877"/>
    <cellStyle name="표준 4 17 4 2 2 2" xfId="15878"/>
    <cellStyle name="표준 4 17 4 3" xfId="15879"/>
    <cellStyle name="표준 4 17 4 3 2" xfId="15880"/>
    <cellStyle name="표준 4 17 5" xfId="15881"/>
    <cellStyle name="표준 4 17 5 2" xfId="15882"/>
    <cellStyle name="표준 4 17 5 2 2" xfId="15883"/>
    <cellStyle name="표준 4 17 5 2 2 2" xfId="15884"/>
    <cellStyle name="표준 4 17 5 3" xfId="15885"/>
    <cellStyle name="표준 4 17 5 3 2" xfId="15886"/>
    <cellStyle name="표준 4 17 6" xfId="15887"/>
    <cellStyle name="표준 4 17 6 2" xfId="15888"/>
    <cellStyle name="표준 4 17 6 2 2" xfId="15889"/>
    <cellStyle name="표준 4 17 6 2 2 2" xfId="15890"/>
    <cellStyle name="표준 4 17 6 3" xfId="15891"/>
    <cellStyle name="표준 4 17 6 3 2" xfId="15892"/>
    <cellStyle name="표준 4 17 7" xfId="15893"/>
    <cellStyle name="표준 4 17 7 2" xfId="15894"/>
    <cellStyle name="표준 4 17 7 2 2" xfId="15895"/>
    <cellStyle name="표준 4 17 8" xfId="15896"/>
    <cellStyle name="표준 4 17 8 2" xfId="15897"/>
    <cellStyle name="표준 4 18" xfId="15898"/>
    <cellStyle name="표준 4 18 2" xfId="15899"/>
    <cellStyle name="표준 4 18 2 2" xfId="15900"/>
    <cellStyle name="표준 4 18 2 2 2" xfId="15901"/>
    <cellStyle name="표준 4 18 2 2 2 2" xfId="15902"/>
    <cellStyle name="표준 4 18 2 3" xfId="15903"/>
    <cellStyle name="표준 4 18 2 3 2" xfId="15904"/>
    <cellStyle name="표준 4 18 3" xfId="15905"/>
    <cellStyle name="표준 4 18 3 2" xfId="15906"/>
    <cellStyle name="표준 4 18 3 2 2" xfId="15907"/>
    <cellStyle name="표준 4 18 3 2 2 2" xfId="15908"/>
    <cellStyle name="표준 4 18 3 3" xfId="15909"/>
    <cellStyle name="표준 4 18 3 3 2" xfId="15910"/>
    <cellStyle name="표준 4 18 4" xfId="15911"/>
    <cellStyle name="표준 4 18 4 2" xfId="15912"/>
    <cellStyle name="표준 4 18 4 2 2" xfId="15913"/>
    <cellStyle name="표준 4 18 4 2 2 2" xfId="15914"/>
    <cellStyle name="표준 4 18 4 3" xfId="15915"/>
    <cellStyle name="표준 4 18 4 3 2" xfId="15916"/>
    <cellStyle name="표준 4 18 5" xfId="15917"/>
    <cellStyle name="표준 4 18 5 2" xfId="15918"/>
    <cellStyle name="표준 4 18 5 2 2" xfId="15919"/>
    <cellStyle name="표준 4 18 5 2 2 2" xfId="15920"/>
    <cellStyle name="표준 4 18 5 3" xfId="15921"/>
    <cellStyle name="표준 4 18 5 3 2" xfId="15922"/>
    <cellStyle name="표준 4 18 6" xfId="15923"/>
    <cellStyle name="표준 4 18 6 2" xfId="15924"/>
    <cellStyle name="표준 4 18 6 2 2" xfId="15925"/>
    <cellStyle name="표준 4 18 6 2 2 2" xfId="15926"/>
    <cellStyle name="표준 4 18 6 3" xfId="15927"/>
    <cellStyle name="표준 4 18 6 3 2" xfId="15928"/>
    <cellStyle name="표준 4 18 7" xfId="15929"/>
    <cellStyle name="표준 4 18 7 2" xfId="15930"/>
    <cellStyle name="표준 4 18 7 2 2" xfId="15931"/>
    <cellStyle name="표준 4 18 8" xfId="15932"/>
    <cellStyle name="표준 4 18 8 2" xfId="15933"/>
    <cellStyle name="표준 4 19" xfId="15934"/>
    <cellStyle name="표준 4 19 2" xfId="15935"/>
    <cellStyle name="표준 4 19 2 2" xfId="15936"/>
    <cellStyle name="표준 4 19 2 2 2" xfId="15937"/>
    <cellStyle name="표준 4 19 2 2 2 2" xfId="15938"/>
    <cellStyle name="표준 4 19 2 3" xfId="15939"/>
    <cellStyle name="표준 4 19 2 3 2" xfId="15940"/>
    <cellStyle name="표준 4 19 3" xfId="15941"/>
    <cellStyle name="표준 4 19 3 2" xfId="15942"/>
    <cellStyle name="표준 4 19 3 2 2" xfId="15943"/>
    <cellStyle name="표준 4 19 3 2 2 2" xfId="15944"/>
    <cellStyle name="표준 4 19 3 3" xfId="15945"/>
    <cellStyle name="표준 4 19 3 3 2" xfId="15946"/>
    <cellStyle name="표준 4 19 4" xfId="15947"/>
    <cellStyle name="표준 4 19 4 2" xfId="15948"/>
    <cellStyle name="표준 4 19 4 2 2" xfId="15949"/>
    <cellStyle name="표준 4 19 4 2 2 2" xfId="15950"/>
    <cellStyle name="표준 4 19 4 3" xfId="15951"/>
    <cellStyle name="표준 4 19 4 3 2" xfId="15952"/>
    <cellStyle name="표준 4 19 5" xfId="15953"/>
    <cellStyle name="표준 4 19 5 2" xfId="15954"/>
    <cellStyle name="표준 4 19 5 2 2" xfId="15955"/>
    <cellStyle name="표준 4 19 5 2 2 2" xfId="15956"/>
    <cellStyle name="표준 4 19 5 3" xfId="15957"/>
    <cellStyle name="표준 4 19 5 3 2" xfId="15958"/>
    <cellStyle name="표준 4 19 6" xfId="15959"/>
    <cellStyle name="표준 4 19 6 2" xfId="15960"/>
    <cellStyle name="표준 4 19 6 2 2" xfId="15961"/>
    <cellStyle name="표준 4 19 6 2 2 2" xfId="15962"/>
    <cellStyle name="표준 4 19 6 3" xfId="15963"/>
    <cellStyle name="표준 4 19 6 3 2" xfId="15964"/>
    <cellStyle name="표준 4 19 7" xfId="15965"/>
    <cellStyle name="표준 4 19 7 2" xfId="15966"/>
    <cellStyle name="표준 4 19 7 2 2" xfId="15967"/>
    <cellStyle name="표준 4 19 8" xfId="15968"/>
    <cellStyle name="표준 4 19 8 2" xfId="15969"/>
    <cellStyle name="표준 4 2" xfId="1473"/>
    <cellStyle name="표준 4 2 10" xfId="15970"/>
    <cellStyle name="표준 4 2 10 2" xfId="15971"/>
    <cellStyle name="표준 4 2 10 2 2" xfId="15972"/>
    <cellStyle name="표준 4 2 10 2 2 2" xfId="15973"/>
    <cellStyle name="표준 4 2 10 2 2 2 2" xfId="15974"/>
    <cellStyle name="표준 4 2 10 2 3" xfId="15975"/>
    <cellStyle name="표준 4 2 10 2 3 2" xfId="15976"/>
    <cellStyle name="표준 4 2 10 3" xfId="15977"/>
    <cellStyle name="표준 4 2 10 3 2" xfId="15978"/>
    <cellStyle name="표준 4 2 10 3 2 2" xfId="15979"/>
    <cellStyle name="표준 4 2 10 3 2 2 2" xfId="15980"/>
    <cellStyle name="표준 4 2 10 3 3" xfId="15981"/>
    <cellStyle name="표준 4 2 10 3 3 2" xfId="15982"/>
    <cellStyle name="표준 4 2 10 4" xfId="15983"/>
    <cellStyle name="표준 4 2 10 4 2" xfId="15984"/>
    <cellStyle name="표준 4 2 10 4 2 2" xfId="15985"/>
    <cellStyle name="표준 4 2 10 4 2 2 2" xfId="15986"/>
    <cellStyle name="표준 4 2 10 4 3" xfId="15987"/>
    <cellStyle name="표준 4 2 10 4 3 2" xfId="15988"/>
    <cellStyle name="표준 4 2 10 5" xfId="15989"/>
    <cellStyle name="표준 4 2 10 5 2" xfId="15990"/>
    <cellStyle name="표준 4 2 10 5 2 2" xfId="15991"/>
    <cellStyle name="표준 4 2 10 5 2 2 2" xfId="15992"/>
    <cellStyle name="표준 4 2 10 5 3" xfId="15993"/>
    <cellStyle name="표준 4 2 10 5 3 2" xfId="15994"/>
    <cellStyle name="표준 4 2 10 6" xfId="15995"/>
    <cellStyle name="표준 4 2 10 6 2" xfId="15996"/>
    <cellStyle name="표준 4 2 10 6 2 2" xfId="15997"/>
    <cellStyle name="표준 4 2 10 6 2 2 2" xfId="15998"/>
    <cellStyle name="표준 4 2 10 6 3" xfId="15999"/>
    <cellStyle name="표준 4 2 10 6 3 2" xfId="16000"/>
    <cellStyle name="표준 4 2 10 7" xfId="16001"/>
    <cellStyle name="표준 4 2 10 7 2" xfId="16002"/>
    <cellStyle name="표준 4 2 10 7 2 2" xfId="16003"/>
    <cellStyle name="표준 4 2 10 8" xfId="16004"/>
    <cellStyle name="표준 4 2 10 8 2" xfId="16005"/>
    <cellStyle name="표준 4 2 11" xfId="16006"/>
    <cellStyle name="표준 4 2 11 2" xfId="16007"/>
    <cellStyle name="표준 4 2 11 2 2" xfId="16008"/>
    <cellStyle name="표준 4 2 11 2 2 2" xfId="16009"/>
    <cellStyle name="표준 4 2 11 2 2 2 2" xfId="16010"/>
    <cellStyle name="표준 4 2 11 2 3" xfId="16011"/>
    <cellStyle name="표준 4 2 11 2 3 2" xfId="16012"/>
    <cellStyle name="표준 4 2 11 3" xfId="16013"/>
    <cellStyle name="표준 4 2 11 3 2" xfId="16014"/>
    <cellStyle name="표준 4 2 11 3 2 2" xfId="16015"/>
    <cellStyle name="표준 4 2 11 3 2 2 2" xfId="16016"/>
    <cellStyle name="표준 4 2 11 3 3" xfId="16017"/>
    <cellStyle name="표준 4 2 11 3 3 2" xfId="16018"/>
    <cellStyle name="표준 4 2 11 4" xfId="16019"/>
    <cellStyle name="표준 4 2 11 4 2" xfId="16020"/>
    <cellStyle name="표준 4 2 11 4 2 2" xfId="16021"/>
    <cellStyle name="표준 4 2 11 4 2 2 2" xfId="16022"/>
    <cellStyle name="표준 4 2 11 4 3" xfId="16023"/>
    <cellStyle name="표준 4 2 11 4 3 2" xfId="16024"/>
    <cellStyle name="표준 4 2 11 5" xfId="16025"/>
    <cellStyle name="표준 4 2 11 5 2" xfId="16026"/>
    <cellStyle name="표준 4 2 11 5 2 2" xfId="16027"/>
    <cellStyle name="표준 4 2 11 5 2 2 2" xfId="16028"/>
    <cellStyle name="표준 4 2 11 5 3" xfId="16029"/>
    <cellStyle name="표준 4 2 11 5 3 2" xfId="16030"/>
    <cellStyle name="표준 4 2 11 6" xfId="16031"/>
    <cellStyle name="표준 4 2 11 6 2" xfId="16032"/>
    <cellStyle name="표준 4 2 11 6 2 2" xfId="16033"/>
    <cellStyle name="표준 4 2 11 6 2 2 2" xfId="16034"/>
    <cellStyle name="표준 4 2 11 6 3" xfId="16035"/>
    <cellStyle name="표준 4 2 11 6 3 2" xfId="16036"/>
    <cellStyle name="표준 4 2 11 7" xfId="16037"/>
    <cellStyle name="표준 4 2 11 7 2" xfId="16038"/>
    <cellStyle name="표준 4 2 11 7 2 2" xfId="16039"/>
    <cellStyle name="표준 4 2 11 8" xfId="16040"/>
    <cellStyle name="표준 4 2 11 8 2" xfId="16041"/>
    <cellStyle name="표준 4 2 12" xfId="16042"/>
    <cellStyle name="표준 4 2 12 2" xfId="16043"/>
    <cellStyle name="표준 4 2 12 2 2" xfId="16044"/>
    <cellStyle name="표준 4 2 12 2 2 2" xfId="16045"/>
    <cellStyle name="표준 4 2 12 2 2 2 2" xfId="16046"/>
    <cellStyle name="표준 4 2 12 2 3" xfId="16047"/>
    <cellStyle name="표준 4 2 12 2 3 2" xfId="16048"/>
    <cellStyle name="표준 4 2 12 3" xfId="16049"/>
    <cellStyle name="표준 4 2 12 3 2" xfId="16050"/>
    <cellStyle name="표준 4 2 12 3 2 2" xfId="16051"/>
    <cellStyle name="표준 4 2 12 3 2 2 2" xfId="16052"/>
    <cellStyle name="표준 4 2 12 3 3" xfId="16053"/>
    <cellStyle name="표준 4 2 12 3 3 2" xfId="16054"/>
    <cellStyle name="표준 4 2 12 4" xfId="16055"/>
    <cellStyle name="표준 4 2 12 4 2" xfId="16056"/>
    <cellStyle name="표준 4 2 12 4 2 2" xfId="16057"/>
    <cellStyle name="표준 4 2 12 4 2 2 2" xfId="16058"/>
    <cellStyle name="표준 4 2 12 4 3" xfId="16059"/>
    <cellStyle name="표준 4 2 12 4 3 2" xfId="16060"/>
    <cellStyle name="표준 4 2 12 5" xfId="16061"/>
    <cellStyle name="표준 4 2 12 5 2" xfId="16062"/>
    <cellStyle name="표준 4 2 12 5 2 2" xfId="16063"/>
    <cellStyle name="표준 4 2 12 5 2 2 2" xfId="16064"/>
    <cellStyle name="표준 4 2 12 5 3" xfId="16065"/>
    <cellStyle name="표준 4 2 12 5 3 2" xfId="16066"/>
    <cellStyle name="표준 4 2 12 6" xfId="16067"/>
    <cellStyle name="표준 4 2 12 6 2" xfId="16068"/>
    <cellStyle name="표준 4 2 12 6 2 2" xfId="16069"/>
    <cellStyle name="표준 4 2 12 6 2 2 2" xfId="16070"/>
    <cellStyle name="표준 4 2 12 6 3" xfId="16071"/>
    <cellStyle name="표준 4 2 12 6 3 2" xfId="16072"/>
    <cellStyle name="표준 4 2 12 7" xfId="16073"/>
    <cellStyle name="표준 4 2 12 7 2" xfId="16074"/>
    <cellStyle name="표준 4 2 12 7 2 2" xfId="16075"/>
    <cellStyle name="표준 4 2 12 8" xfId="16076"/>
    <cellStyle name="표준 4 2 12 8 2" xfId="16077"/>
    <cellStyle name="표준 4 2 13" xfId="16078"/>
    <cellStyle name="표준 4 2 13 2" xfId="16079"/>
    <cellStyle name="표준 4 2 13 2 2" xfId="16080"/>
    <cellStyle name="표준 4 2 13 2 2 2" xfId="16081"/>
    <cellStyle name="표준 4 2 13 3" xfId="16082"/>
    <cellStyle name="표준 4 2 13 3 2" xfId="16083"/>
    <cellStyle name="표준 4 2 14" xfId="16084"/>
    <cellStyle name="표준 4 2 14 2" xfId="16085"/>
    <cellStyle name="표준 4 2 14 2 2" xfId="16086"/>
    <cellStyle name="표준 4 2 14 2 2 2" xfId="16087"/>
    <cellStyle name="표준 4 2 14 3" xfId="16088"/>
    <cellStyle name="표준 4 2 14 3 2" xfId="16089"/>
    <cellStyle name="표준 4 2 15" xfId="16090"/>
    <cellStyle name="표준 4 2 15 2" xfId="16091"/>
    <cellStyle name="표준 4 2 15 2 2" xfId="16092"/>
    <cellStyle name="표준 4 2 15 2 2 2" xfId="16093"/>
    <cellStyle name="표준 4 2 15 3" xfId="16094"/>
    <cellStyle name="표준 4 2 15 3 2" xfId="16095"/>
    <cellStyle name="표준 4 2 16" xfId="16096"/>
    <cellStyle name="표준 4 2 16 2" xfId="16097"/>
    <cellStyle name="표준 4 2 16 2 2" xfId="16098"/>
    <cellStyle name="표준 4 2 16 2 2 2" xfId="16099"/>
    <cellStyle name="표준 4 2 16 3" xfId="16100"/>
    <cellStyle name="표준 4 2 16 3 2" xfId="16101"/>
    <cellStyle name="표준 4 2 17" xfId="16102"/>
    <cellStyle name="표준 4 2 17 2" xfId="16103"/>
    <cellStyle name="표준 4 2 17 2 2" xfId="16104"/>
    <cellStyle name="표준 4 2 17 2 2 2" xfId="16105"/>
    <cellStyle name="표준 4 2 17 3" xfId="16106"/>
    <cellStyle name="표준 4 2 17 3 2" xfId="16107"/>
    <cellStyle name="표준 4 2 18" xfId="16108"/>
    <cellStyle name="표준 4 2 18 2" xfId="16109"/>
    <cellStyle name="표준 4 2 18 2 2" xfId="16110"/>
    <cellStyle name="표준 4 2 18 2 2 2" xfId="16111"/>
    <cellStyle name="표준 4 2 18 3" xfId="16112"/>
    <cellStyle name="표준 4 2 18 3 2" xfId="16113"/>
    <cellStyle name="표준 4 2 19" xfId="16114"/>
    <cellStyle name="표준 4 2 19 2" xfId="16115"/>
    <cellStyle name="표준 4 2 19 2 2" xfId="16116"/>
    <cellStyle name="표준 4 2 19 2 2 2" xfId="16117"/>
    <cellStyle name="표준 4 2 19 3" xfId="16118"/>
    <cellStyle name="표준 4 2 19 3 2" xfId="16119"/>
    <cellStyle name="표준 4 2 2" xfId="16120"/>
    <cellStyle name="표준 4 2 2 2" xfId="16121"/>
    <cellStyle name="표준 4 2 2 2 2" xfId="16122"/>
    <cellStyle name="표준 4 2 2 2 3" xfId="16123"/>
    <cellStyle name="표준 4 2 2 2 3 2" xfId="16124"/>
    <cellStyle name="표준 4 2 2 2 3 2 2" xfId="16125"/>
    <cellStyle name="표준 4 2 2 2 4" xfId="16126"/>
    <cellStyle name="표준 4 2 2 2 4 2" xfId="16127"/>
    <cellStyle name="표준 4 2 2 3" xfId="16128"/>
    <cellStyle name="표준 4 2 2 3 2" xfId="16129"/>
    <cellStyle name="표준 4 2 2 3 2 2" xfId="16130"/>
    <cellStyle name="표준 4 2 2 3 2 2 2" xfId="16131"/>
    <cellStyle name="표준 4 2 2 3 3" xfId="16132"/>
    <cellStyle name="표준 4 2 2 3 3 2" xfId="16133"/>
    <cellStyle name="표준 4 2 2 4" xfId="16134"/>
    <cellStyle name="표준 4 2 2 4 2" xfId="16135"/>
    <cellStyle name="표준 4 2 2 4 2 2" xfId="16136"/>
    <cellStyle name="표준 4 2 2 4 2 2 2" xfId="16137"/>
    <cellStyle name="표준 4 2 2 4 3" xfId="16138"/>
    <cellStyle name="표준 4 2 2 4 3 2" xfId="16139"/>
    <cellStyle name="표준 4 2 2 5" xfId="16140"/>
    <cellStyle name="표준 4 2 2 5 2" xfId="16141"/>
    <cellStyle name="표준 4 2 2 5 2 2" xfId="16142"/>
    <cellStyle name="표준 4 2 2 5 2 2 2" xfId="16143"/>
    <cellStyle name="표준 4 2 2 5 3" xfId="16144"/>
    <cellStyle name="표준 4 2 2 5 3 2" xfId="16145"/>
    <cellStyle name="표준 4 2 2 6" xfId="16146"/>
    <cellStyle name="표준 4 2 2 7" xfId="16147"/>
    <cellStyle name="표준 4 2 2 7 2" xfId="16148"/>
    <cellStyle name="표준 4 2 2 7 2 2" xfId="16149"/>
    <cellStyle name="표준 4 2 2 7 2 2 2" xfId="16150"/>
    <cellStyle name="표준 4 2 2 7 3" xfId="16151"/>
    <cellStyle name="표준 4 2 2 7 3 2" xfId="16152"/>
    <cellStyle name="표준 4 2 2 8" xfId="16153"/>
    <cellStyle name="표준 4 2 2 8 2" xfId="16154"/>
    <cellStyle name="표준 4 2 2 8 2 2" xfId="16155"/>
    <cellStyle name="표준 4 2 2 9" xfId="16156"/>
    <cellStyle name="표준 4 2 2 9 2" xfId="16157"/>
    <cellStyle name="표준 4 2 2 9 2 2" xfId="16158"/>
    <cellStyle name="표준 4 2 20" xfId="16159"/>
    <cellStyle name="표준 4 2 20 2" xfId="16160"/>
    <cellStyle name="표준 4 2 20 2 2" xfId="16161"/>
    <cellStyle name="표준 4 2 20 2 2 2" xfId="16162"/>
    <cellStyle name="표준 4 2 20 3" xfId="16163"/>
    <cellStyle name="표준 4 2 20 3 2" xfId="16164"/>
    <cellStyle name="표준 4 2 21" xfId="16165"/>
    <cellStyle name="표준 4 2 21 2" xfId="16166"/>
    <cellStyle name="표준 4 2 21 2 2" xfId="16167"/>
    <cellStyle name="표준 4 2 21 2 2 2" xfId="16168"/>
    <cellStyle name="표준 4 2 21 3" xfId="16169"/>
    <cellStyle name="표준 4 2 21 3 2" xfId="16170"/>
    <cellStyle name="표준 4 2 22" xfId="16171"/>
    <cellStyle name="표준 4 2 22 2" xfId="16172"/>
    <cellStyle name="표준 4 2 22 2 2" xfId="16173"/>
    <cellStyle name="표준 4 2 22 2 2 2" xfId="16174"/>
    <cellStyle name="표준 4 2 22 3" xfId="16175"/>
    <cellStyle name="표준 4 2 22 3 2" xfId="16176"/>
    <cellStyle name="표준 4 2 23" xfId="16177"/>
    <cellStyle name="표준 4 2 23 2" xfId="16178"/>
    <cellStyle name="표준 4 2 23 2 2" xfId="16179"/>
    <cellStyle name="표준 4 2 23 2 2 2" xfId="16180"/>
    <cellStyle name="표준 4 2 23 3" xfId="16181"/>
    <cellStyle name="표준 4 2 23 3 2" xfId="16182"/>
    <cellStyle name="표준 4 2 24" xfId="16183"/>
    <cellStyle name="표준 4 2 24 2" xfId="16184"/>
    <cellStyle name="표준 4 2 24 2 2" xfId="16185"/>
    <cellStyle name="표준 4 2 24 2 2 2" xfId="16186"/>
    <cellStyle name="표준 4 2 24 3" xfId="16187"/>
    <cellStyle name="표준 4 2 24 3 2" xfId="16188"/>
    <cellStyle name="표준 4 2 25" xfId="16189"/>
    <cellStyle name="표준 4 2 25 2" xfId="16190"/>
    <cellStyle name="표준 4 2 25 2 2" xfId="16191"/>
    <cellStyle name="표준 4 2 25 2 2 2" xfId="16192"/>
    <cellStyle name="표준 4 2 25 3" xfId="16193"/>
    <cellStyle name="표준 4 2 25 3 2" xfId="16194"/>
    <cellStyle name="표준 4 2 26" xfId="16195"/>
    <cellStyle name="표준 4 2 26 2" xfId="16196"/>
    <cellStyle name="표준 4 2 26 2 2" xfId="16197"/>
    <cellStyle name="표준 4 2 27" xfId="16198"/>
    <cellStyle name="표준 4 2 28" xfId="16199"/>
    <cellStyle name="표준 4 2 28 2" xfId="16200"/>
    <cellStyle name="표준 4 2 29" xfId="20470"/>
    <cellStyle name="표준 4 2 3" xfId="16201"/>
    <cellStyle name="표준 4 2 3 10" xfId="16202"/>
    <cellStyle name="표준 4 2 3 2" xfId="16203"/>
    <cellStyle name="표준 4 2 3 2 2" xfId="16204"/>
    <cellStyle name="표준 4 2 3 2 2 2" xfId="16205"/>
    <cellStyle name="표준 4 2 3 2 3" xfId="16206"/>
    <cellStyle name="표준 4 2 3 2 3 2" xfId="16207"/>
    <cellStyle name="표준 4 2 3 2 3 2 2" xfId="16208"/>
    <cellStyle name="표준 4 2 3 2 4" xfId="16209"/>
    <cellStyle name="표준 4 2 3 2 4 2" xfId="16210"/>
    <cellStyle name="표준 4 2 3 3" xfId="16211"/>
    <cellStyle name="표준 4 2 3 3 2" xfId="16212"/>
    <cellStyle name="표준 4 2 3 3 2 2" xfId="16213"/>
    <cellStyle name="표준 4 2 3 3 2 2 2" xfId="16214"/>
    <cellStyle name="표준 4 2 3 3 3" xfId="16215"/>
    <cellStyle name="표준 4 2 3 3 3 2" xfId="16216"/>
    <cellStyle name="표준 4 2 3 4" xfId="16217"/>
    <cellStyle name="표준 4 2 3 4 2" xfId="16218"/>
    <cellStyle name="표준 4 2 3 4 2 2" xfId="16219"/>
    <cellStyle name="표준 4 2 3 4 2 2 2" xfId="16220"/>
    <cellStyle name="표준 4 2 3 4 3" xfId="16221"/>
    <cellStyle name="표준 4 2 3 4 3 2" xfId="16222"/>
    <cellStyle name="표준 4 2 3 5" xfId="16223"/>
    <cellStyle name="표준 4 2 3 5 2" xfId="16224"/>
    <cellStyle name="표준 4 2 3 5 2 2" xfId="16225"/>
    <cellStyle name="표준 4 2 3 5 2 2 2" xfId="16226"/>
    <cellStyle name="표준 4 2 3 5 3" xfId="16227"/>
    <cellStyle name="표준 4 2 3 5 3 2" xfId="16228"/>
    <cellStyle name="표준 4 2 3 6" xfId="16229"/>
    <cellStyle name="표준 4 2 3 6 2" xfId="16230"/>
    <cellStyle name="표준 4 2 3 7" xfId="16231"/>
    <cellStyle name="표준 4 2 3 7 2" xfId="16232"/>
    <cellStyle name="표준 4 2 3 7 2 2" xfId="16233"/>
    <cellStyle name="표준 4 2 3 7 2 2 2" xfId="16234"/>
    <cellStyle name="표준 4 2 3 7 3" xfId="16235"/>
    <cellStyle name="표준 4 2 3 7 3 2" xfId="16236"/>
    <cellStyle name="표준 4 2 3 8" xfId="16237"/>
    <cellStyle name="표준 4 2 3 8 2" xfId="16238"/>
    <cellStyle name="표준 4 2 3 8 2 2" xfId="16239"/>
    <cellStyle name="표준 4 2 3 9" xfId="16240"/>
    <cellStyle name="표준 4 2 3 9 2" xfId="16241"/>
    <cellStyle name="표준 4 2 3 9 2 2" xfId="16242"/>
    <cellStyle name="표준 4 2 4" xfId="16243"/>
    <cellStyle name="표준 4 2 4 2" xfId="16244"/>
    <cellStyle name="표준 4 2 4 2 2" xfId="16245"/>
    <cellStyle name="표준 4 2 4 2 2 2" xfId="16246"/>
    <cellStyle name="표준 4 2 4 2 2 2 2" xfId="16247"/>
    <cellStyle name="표준 4 2 4 2 3" xfId="16248"/>
    <cellStyle name="표준 4 2 4 2 3 2" xfId="16249"/>
    <cellStyle name="표준 4 2 4 3" xfId="16250"/>
    <cellStyle name="표준 4 2 4 3 2" xfId="16251"/>
    <cellStyle name="표준 4 2 4 3 2 2" xfId="16252"/>
    <cellStyle name="표준 4 2 4 3 2 2 2" xfId="16253"/>
    <cellStyle name="표준 4 2 4 3 3" xfId="16254"/>
    <cellStyle name="표준 4 2 4 3 3 2" xfId="16255"/>
    <cellStyle name="표준 4 2 4 4" xfId="16256"/>
    <cellStyle name="표준 4 2 4 4 2" xfId="16257"/>
    <cellStyle name="표준 4 2 4 4 2 2" xfId="16258"/>
    <cellStyle name="표준 4 2 4 4 2 2 2" xfId="16259"/>
    <cellStyle name="표준 4 2 4 4 3" xfId="16260"/>
    <cellStyle name="표준 4 2 4 4 3 2" xfId="16261"/>
    <cellStyle name="표준 4 2 4 5" xfId="16262"/>
    <cellStyle name="표준 4 2 4 5 2" xfId="16263"/>
    <cellStyle name="표준 4 2 4 5 2 2" xfId="16264"/>
    <cellStyle name="표준 4 2 4 5 2 2 2" xfId="16265"/>
    <cellStyle name="표준 4 2 4 5 3" xfId="16266"/>
    <cellStyle name="표준 4 2 4 5 3 2" xfId="16267"/>
    <cellStyle name="표준 4 2 4 6" xfId="16268"/>
    <cellStyle name="표준 4 2 4 6 2" xfId="16269"/>
    <cellStyle name="표준 4 2 4 6 2 2" xfId="16270"/>
    <cellStyle name="표준 4 2 4 6 2 2 2" xfId="16271"/>
    <cellStyle name="표준 4 2 4 6 3" xfId="16272"/>
    <cellStyle name="표준 4 2 4 6 3 2" xfId="16273"/>
    <cellStyle name="표준 4 2 4 7" xfId="16274"/>
    <cellStyle name="표준 4 2 4 7 2" xfId="16275"/>
    <cellStyle name="표준 4 2 4 7 2 2" xfId="16276"/>
    <cellStyle name="표준 4 2 4 8" xfId="16277"/>
    <cellStyle name="표준 4 2 4 8 2" xfId="16278"/>
    <cellStyle name="표준 4 2 5" xfId="16279"/>
    <cellStyle name="표준 4 2 5 2" xfId="16280"/>
    <cellStyle name="표준 4 2 5 2 2" xfId="16281"/>
    <cellStyle name="표준 4 2 5 2 2 2" xfId="16282"/>
    <cellStyle name="표준 4 2 5 2 2 2 2" xfId="16283"/>
    <cellStyle name="표준 4 2 5 2 3" xfId="16284"/>
    <cellStyle name="표준 4 2 5 2 3 2" xfId="16285"/>
    <cellStyle name="표준 4 2 5 3" xfId="16286"/>
    <cellStyle name="표준 4 2 5 3 2" xfId="16287"/>
    <cellStyle name="표준 4 2 5 3 2 2" xfId="16288"/>
    <cellStyle name="표준 4 2 5 3 2 2 2" xfId="16289"/>
    <cellStyle name="표준 4 2 5 3 3" xfId="16290"/>
    <cellStyle name="표준 4 2 5 3 3 2" xfId="16291"/>
    <cellStyle name="표준 4 2 5 4" xfId="16292"/>
    <cellStyle name="표준 4 2 5 4 2" xfId="16293"/>
    <cellStyle name="표준 4 2 5 4 2 2" xfId="16294"/>
    <cellStyle name="표준 4 2 5 4 2 2 2" xfId="16295"/>
    <cellStyle name="표준 4 2 5 4 3" xfId="16296"/>
    <cellStyle name="표준 4 2 5 4 3 2" xfId="16297"/>
    <cellStyle name="표준 4 2 5 5" xfId="16298"/>
    <cellStyle name="표준 4 2 5 5 2" xfId="16299"/>
    <cellStyle name="표준 4 2 5 5 2 2" xfId="16300"/>
    <cellStyle name="표준 4 2 5 5 2 2 2" xfId="16301"/>
    <cellStyle name="표준 4 2 5 5 3" xfId="16302"/>
    <cellStyle name="표준 4 2 5 5 3 2" xfId="16303"/>
    <cellStyle name="표준 4 2 5 6" xfId="16304"/>
    <cellStyle name="표준 4 2 5 6 2" xfId="16305"/>
    <cellStyle name="표준 4 2 5 6 2 2" xfId="16306"/>
    <cellStyle name="표준 4 2 5 6 2 2 2" xfId="16307"/>
    <cellStyle name="표준 4 2 5 6 3" xfId="16308"/>
    <cellStyle name="표준 4 2 5 6 3 2" xfId="16309"/>
    <cellStyle name="표준 4 2 5 7" xfId="16310"/>
    <cellStyle name="표준 4 2 5 7 2" xfId="16311"/>
    <cellStyle name="표준 4 2 5 7 2 2" xfId="16312"/>
    <cellStyle name="표준 4 2 5 8" xfId="16313"/>
    <cellStyle name="표준 4 2 5 8 2" xfId="16314"/>
    <cellStyle name="표준 4 2 6" xfId="16315"/>
    <cellStyle name="표준 4 2 6 2" xfId="16316"/>
    <cellStyle name="표준 4 2 6 2 2" xfId="16317"/>
    <cellStyle name="표준 4 2 6 2 2 2" xfId="16318"/>
    <cellStyle name="표준 4 2 6 2 2 2 2" xfId="16319"/>
    <cellStyle name="표준 4 2 6 2 3" xfId="16320"/>
    <cellStyle name="표준 4 2 6 2 3 2" xfId="16321"/>
    <cellStyle name="표준 4 2 6 3" xfId="16322"/>
    <cellStyle name="표준 4 2 6 3 2" xfId="16323"/>
    <cellStyle name="표준 4 2 6 3 2 2" xfId="16324"/>
    <cellStyle name="표준 4 2 6 3 2 2 2" xfId="16325"/>
    <cellStyle name="표준 4 2 6 3 3" xfId="16326"/>
    <cellStyle name="표준 4 2 6 3 3 2" xfId="16327"/>
    <cellStyle name="표준 4 2 6 4" xfId="16328"/>
    <cellStyle name="표준 4 2 6 4 2" xfId="16329"/>
    <cellStyle name="표준 4 2 6 4 2 2" xfId="16330"/>
    <cellStyle name="표준 4 2 6 4 2 2 2" xfId="16331"/>
    <cellStyle name="표준 4 2 6 4 3" xfId="16332"/>
    <cellStyle name="표준 4 2 6 4 3 2" xfId="16333"/>
    <cellStyle name="표준 4 2 6 5" xfId="16334"/>
    <cellStyle name="표준 4 2 6 5 2" xfId="16335"/>
    <cellStyle name="표준 4 2 6 5 2 2" xfId="16336"/>
    <cellStyle name="표준 4 2 6 5 2 2 2" xfId="16337"/>
    <cellStyle name="표준 4 2 6 5 3" xfId="16338"/>
    <cellStyle name="표준 4 2 6 5 3 2" xfId="16339"/>
    <cellStyle name="표준 4 2 6 6" xfId="16340"/>
    <cellStyle name="표준 4 2 6 6 2" xfId="16341"/>
    <cellStyle name="표준 4 2 6 6 2 2" xfId="16342"/>
    <cellStyle name="표준 4 2 6 6 2 2 2" xfId="16343"/>
    <cellStyle name="표준 4 2 6 6 3" xfId="16344"/>
    <cellStyle name="표준 4 2 6 6 3 2" xfId="16345"/>
    <cellStyle name="표준 4 2 6 7" xfId="16346"/>
    <cellStyle name="표준 4 2 6 7 2" xfId="16347"/>
    <cellStyle name="표준 4 2 6 7 2 2" xfId="16348"/>
    <cellStyle name="표준 4 2 6 8" xfId="16349"/>
    <cellStyle name="표준 4 2 6 8 2" xfId="16350"/>
    <cellStyle name="표준 4 2 7" xfId="16351"/>
    <cellStyle name="표준 4 2 7 2" xfId="16352"/>
    <cellStyle name="표준 4 2 7 2 2" xfId="16353"/>
    <cellStyle name="표준 4 2 7 2 2 2" xfId="16354"/>
    <cellStyle name="표준 4 2 7 2 2 2 2" xfId="16355"/>
    <cellStyle name="표준 4 2 7 2 3" xfId="16356"/>
    <cellStyle name="표준 4 2 7 2 3 2" xfId="16357"/>
    <cellStyle name="표준 4 2 7 3" xfId="16358"/>
    <cellStyle name="표준 4 2 7 3 2" xfId="16359"/>
    <cellStyle name="표준 4 2 7 3 2 2" xfId="16360"/>
    <cellStyle name="표준 4 2 7 3 2 2 2" xfId="16361"/>
    <cellStyle name="표준 4 2 7 3 3" xfId="16362"/>
    <cellStyle name="표준 4 2 7 3 3 2" xfId="16363"/>
    <cellStyle name="표준 4 2 7 4" xfId="16364"/>
    <cellStyle name="표준 4 2 7 4 2" xfId="16365"/>
    <cellStyle name="표준 4 2 7 4 2 2" xfId="16366"/>
    <cellStyle name="표준 4 2 7 4 2 2 2" xfId="16367"/>
    <cellStyle name="표준 4 2 7 4 3" xfId="16368"/>
    <cellStyle name="표준 4 2 7 4 3 2" xfId="16369"/>
    <cellStyle name="표준 4 2 7 5" xfId="16370"/>
    <cellStyle name="표준 4 2 7 5 2" xfId="16371"/>
    <cellStyle name="표준 4 2 7 5 2 2" xfId="16372"/>
    <cellStyle name="표준 4 2 7 5 2 2 2" xfId="16373"/>
    <cellStyle name="표준 4 2 7 5 3" xfId="16374"/>
    <cellStyle name="표준 4 2 7 5 3 2" xfId="16375"/>
    <cellStyle name="표준 4 2 7 6" xfId="16376"/>
    <cellStyle name="표준 4 2 7 6 2" xfId="16377"/>
    <cellStyle name="표준 4 2 7 6 2 2" xfId="16378"/>
    <cellStyle name="표준 4 2 7 6 2 2 2" xfId="16379"/>
    <cellStyle name="표준 4 2 7 6 3" xfId="16380"/>
    <cellStyle name="표준 4 2 7 6 3 2" xfId="16381"/>
    <cellStyle name="표준 4 2 7 7" xfId="16382"/>
    <cellStyle name="표준 4 2 7 7 2" xfId="16383"/>
    <cellStyle name="표준 4 2 7 7 2 2" xfId="16384"/>
    <cellStyle name="표준 4 2 7 8" xfId="16385"/>
    <cellStyle name="표준 4 2 7 8 2" xfId="16386"/>
    <cellStyle name="표준 4 2 8" xfId="16387"/>
    <cellStyle name="표준 4 2 8 2" xfId="16388"/>
    <cellStyle name="표준 4 2 8 2 2" xfId="16389"/>
    <cellStyle name="표준 4 2 8 2 2 2" xfId="16390"/>
    <cellStyle name="표준 4 2 8 2 2 2 2" xfId="16391"/>
    <cellStyle name="표준 4 2 8 2 3" xfId="16392"/>
    <cellStyle name="표준 4 2 8 2 3 2" xfId="16393"/>
    <cellStyle name="표준 4 2 8 3" xfId="16394"/>
    <cellStyle name="표준 4 2 8 3 2" xfId="16395"/>
    <cellStyle name="표준 4 2 8 3 2 2" xfId="16396"/>
    <cellStyle name="표준 4 2 8 3 2 2 2" xfId="16397"/>
    <cellStyle name="표준 4 2 8 3 3" xfId="16398"/>
    <cellStyle name="표준 4 2 8 3 3 2" xfId="16399"/>
    <cellStyle name="표준 4 2 8 4" xfId="16400"/>
    <cellStyle name="표준 4 2 8 4 2" xfId="16401"/>
    <cellStyle name="표준 4 2 8 4 2 2" xfId="16402"/>
    <cellStyle name="표준 4 2 8 4 2 2 2" xfId="16403"/>
    <cellStyle name="표준 4 2 8 4 3" xfId="16404"/>
    <cellStyle name="표준 4 2 8 4 3 2" xfId="16405"/>
    <cellStyle name="표준 4 2 8 5" xfId="16406"/>
    <cellStyle name="표준 4 2 8 5 2" xfId="16407"/>
    <cellStyle name="표준 4 2 8 5 2 2" xfId="16408"/>
    <cellStyle name="표준 4 2 8 5 2 2 2" xfId="16409"/>
    <cellStyle name="표준 4 2 8 5 3" xfId="16410"/>
    <cellStyle name="표준 4 2 8 5 3 2" xfId="16411"/>
    <cellStyle name="표준 4 2 8 6" xfId="16412"/>
    <cellStyle name="표준 4 2 8 6 2" xfId="16413"/>
    <cellStyle name="표준 4 2 8 6 2 2" xfId="16414"/>
    <cellStyle name="표준 4 2 8 6 2 2 2" xfId="16415"/>
    <cellStyle name="표준 4 2 8 6 3" xfId="16416"/>
    <cellStyle name="표준 4 2 8 6 3 2" xfId="16417"/>
    <cellStyle name="표준 4 2 8 7" xfId="16418"/>
    <cellStyle name="표준 4 2 8 7 2" xfId="16419"/>
    <cellStyle name="표준 4 2 8 7 2 2" xfId="16420"/>
    <cellStyle name="표준 4 2 8 8" xfId="16421"/>
    <cellStyle name="표준 4 2 8 8 2" xfId="16422"/>
    <cellStyle name="표준 4 2 9" xfId="16423"/>
    <cellStyle name="표준 4 2 9 2" xfId="16424"/>
    <cellStyle name="표준 4 2 9 2 2" xfId="16425"/>
    <cellStyle name="표준 4 2 9 2 2 2" xfId="16426"/>
    <cellStyle name="표준 4 2 9 2 2 2 2" xfId="16427"/>
    <cellStyle name="표준 4 2 9 2 3" xfId="16428"/>
    <cellStyle name="표준 4 2 9 2 3 2" xfId="16429"/>
    <cellStyle name="표준 4 2 9 3" xfId="16430"/>
    <cellStyle name="표준 4 2 9 3 2" xfId="16431"/>
    <cellStyle name="표준 4 2 9 3 2 2" xfId="16432"/>
    <cellStyle name="표준 4 2 9 3 2 2 2" xfId="16433"/>
    <cellStyle name="표준 4 2 9 3 3" xfId="16434"/>
    <cellStyle name="표준 4 2 9 3 3 2" xfId="16435"/>
    <cellStyle name="표준 4 2 9 4" xfId="16436"/>
    <cellStyle name="표준 4 2 9 4 2" xfId="16437"/>
    <cellStyle name="표준 4 2 9 4 2 2" xfId="16438"/>
    <cellStyle name="표준 4 2 9 4 2 2 2" xfId="16439"/>
    <cellStyle name="표준 4 2 9 4 3" xfId="16440"/>
    <cellStyle name="표준 4 2 9 4 3 2" xfId="16441"/>
    <cellStyle name="표준 4 2 9 5" xfId="16442"/>
    <cellStyle name="표준 4 2 9 5 2" xfId="16443"/>
    <cellStyle name="표준 4 2 9 5 2 2" xfId="16444"/>
    <cellStyle name="표준 4 2 9 5 2 2 2" xfId="16445"/>
    <cellStyle name="표준 4 2 9 5 3" xfId="16446"/>
    <cellStyle name="표준 4 2 9 5 3 2" xfId="16447"/>
    <cellStyle name="표준 4 2 9 6" xfId="16448"/>
    <cellStyle name="표준 4 2 9 6 2" xfId="16449"/>
    <cellStyle name="표준 4 2 9 6 2 2" xfId="16450"/>
    <cellStyle name="표준 4 2 9 6 2 2 2" xfId="16451"/>
    <cellStyle name="표준 4 2 9 6 3" xfId="16452"/>
    <cellStyle name="표준 4 2 9 6 3 2" xfId="16453"/>
    <cellStyle name="표준 4 2 9 7" xfId="16454"/>
    <cellStyle name="표준 4 2 9 7 2" xfId="16455"/>
    <cellStyle name="표준 4 2 9 7 2 2" xfId="16456"/>
    <cellStyle name="표준 4 2 9 8" xfId="16457"/>
    <cellStyle name="표준 4 2 9 8 2" xfId="16458"/>
    <cellStyle name="표준 4 20" xfId="16459"/>
    <cellStyle name="표준 4 20 2" xfId="16460"/>
    <cellStyle name="표준 4 20 2 2" xfId="16461"/>
    <cellStyle name="표준 4 20 2 2 2" xfId="16462"/>
    <cellStyle name="표준 4 20 2 2 2 2" xfId="16463"/>
    <cellStyle name="표준 4 20 2 3" xfId="16464"/>
    <cellStyle name="표준 4 20 2 3 2" xfId="16465"/>
    <cellStyle name="표준 4 20 3" xfId="16466"/>
    <cellStyle name="표준 4 20 3 2" xfId="16467"/>
    <cellStyle name="표준 4 20 3 2 2" xfId="16468"/>
    <cellStyle name="표준 4 20 3 2 2 2" xfId="16469"/>
    <cellStyle name="표준 4 20 3 3" xfId="16470"/>
    <cellStyle name="표준 4 20 3 3 2" xfId="16471"/>
    <cellStyle name="표준 4 20 4" xfId="16472"/>
    <cellStyle name="표준 4 20 4 2" xfId="16473"/>
    <cellStyle name="표준 4 20 4 2 2" xfId="16474"/>
    <cellStyle name="표준 4 20 4 2 2 2" xfId="16475"/>
    <cellStyle name="표준 4 20 4 3" xfId="16476"/>
    <cellStyle name="표준 4 20 4 3 2" xfId="16477"/>
    <cellStyle name="표준 4 20 5" xfId="16478"/>
    <cellStyle name="표준 4 20 5 2" xfId="16479"/>
    <cellStyle name="표준 4 20 5 2 2" xfId="16480"/>
    <cellStyle name="표준 4 20 5 2 2 2" xfId="16481"/>
    <cellStyle name="표준 4 20 5 3" xfId="16482"/>
    <cellStyle name="표준 4 20 5 3 2" xfId="16483"/>
    <cellStyle name="표준 4 20 6" xfId="16484"/>
    <cellStyle name="표준 4 20 6 2" xfId="16485"/>
    <cellStyle name="표준 4 20 6 2 2" xfId="16486"/>
    <cellStyle name="표준 4 20 6 2 2 2" xfId="16487"/>
    <cellStyle name="표준 4 20 6 3" xfId="16488"/>
    <cellStyle name="표준 4 20 6 3 2" xfId="16489"/>
    <cellStyle name="표준 4 20 7" xfId="16490"/>
    <cellStyle name="표준 4 20 7 2" xfId="16491"/>
    <cellStyle name="표준 4 20 7 2 2" xfId="16492"/>
    <cellStyle name="표준 4 20 8" xfId="16493"/>
    <cellStyle name="표준 4 20 8 2" xfId="16494"/>
    <cellStyle name="표준 4 21" xfId="16495"/>
    <cellStyle name="표준 4 21 2" xfId="16496"/>
    <cellStyle name="표준 4 21 2 2" xfId="16497"/>
    <cellStyle name="표준 4 21 2 2 2" xfId="16498"/>
    <cellStyle name="표준 4 21 2 2 2 2" xfId="16499"/>
    <cellStyle name="표준 4 21 2 3" xfId="16500"/>
    <cellStyle name="표준 4 21 2 3 2" xfId="16501"/>
    <cellStyle name="표준 4 21 3" xfId="16502"/>
    <cellStyle name="표준 4 21 3 2" xfId="16503"/>
    <cellStyle name="표준 4 21 3 2 2" xfId="16504"/>
    <cellStyle name="표준 4 21 3 2 2 2" xfId="16505"/>
    <cellStyle name="표준 4 21 3 3" xfId="16506"/>
    <cellStyle name="표준 4 21 3 3 2" xfId="16507"/>
    <cellStyle name="표준 4 21 4" xfId="16508"/>
    <cellStyle name="표준 4 21 4 2" xfId="16509"/>
    <cellStyle name="표준 4 21 4 2 2" xfId="16510"/>
    <cellStyle name="표준 4 21 4 2 2 2" xfId="16511"/>
    <cellStyle name="표준 4 21 4 3" xfId="16512"/>
    <cellStyle name="표준 4 21 4 3 2" xfId="16513"/>
    <cellStyle name="표준 4 21 5" xfId="16514"/>
    <cellStyle name="표준 4 21 5 2" xfId="16515"/>
    <cellStyle name="표준 4 21 5 2 2" xfId="16516"/>
    <cellStyle name="표준 4 21 5 2 2 2" xfId="16517"/>
    <cellStyle name="표준 4 21 5 3" xfId="16518"/>
    <cellStyle name="표준 4 21 5 3 2" xfId="16519"/>
    <cellStyle name="표준 4 21 6" xfId="16520"/>
    <cellStyle name="표준 4 21 6 2" xfId="16521"/>
    <cellStyle name="표준 4 21 6 2 2" xfId="16522"/>
    <cellStyle name="표준 4 21 6 2 2 2" xfId="16523"/>
    <cellStyle name="표준 4 21 6 3" xfId="16524"/>
    <cellStyle name="표준 4 21 6 3 2" xfId="16525"/>
    <cellStyle name="표준 4 21 7" xfId="16526"/>
    <cellStyle name="표준 4 21 7 2" xfId="16527"/>
    <cellStyle name="표준 4 21 7 2 2" xfId="16528"/>
    <cellStyle name="표준 4 21 8" xfId="16529"/>
    <cellStyle name="표준 4 21 8 2" xfId="16530"/>
    <cellStyle name="표준 4 22" xfId="16531"/>
    <cellStyle name="표준 4 22 2" xfId="16532"/>
    <cellStyle name="표준 4 22 2 2" xfId="16533"/>
    <cellStyle name="표준 4 22 2 2 2" xfId="16534"/>
    <cellStyle name="표준 4 22 2 2 2 2" xfId="16535"/>
    <cellStyle name="표준 4 22 2 3" xfId="16536"/>
    <cellStyle name="표준 4 22 2 3 2" xfId="16537"/>
    <cellStyle name="표준 4 22 3" xfId="16538"/>
    <cellStyle name="표준 4 22 3 2" xfId="16539"/>
    <cellStyle name="표준 4 22 3 2 2" xfId="16540"/>
    <cellStyle name="표준 4 22 3 2 2 2" xfId="16541"/>
    <cellStyle name="표준 4 22 3 3" xfId="16542"/>
    <cellStyle name="표준 4 22 3 3 2" xfId="16543"/>
    <cellStyle name="표준 4 22 4" xfId="16544"/>
    <cellStyle name="표준 4 22 4 2" xfId="16545"/>
    <cellStyle name="표준 4 22 4 2 2" xfId="16546"/>
    <cellStyle name="표준 4 22 4 2 2 2" xfId="16547"/>
    <cellStyle name="표준 4 22 4 3" xfId="16548"/>
    <cellStyle name="표준 4 22 4 3 2" xfId="16549"/>
    <cellStyle name="표준 4 22 5" xfId="16550"/>
    <cellStyle name="표준 4 22 5 2" xfId="16551"/>
    <cellStyle name="표준 4 22 5 2 2" xfId="16552"/>
    <cellStyle name="표준 4 22 5 2 2 2" xfId="16553"/>
    <cellStyle name="표준 4 22 5 3" xfId="16554"/>
    <cellStyle name="표준 4 22 5 3 2" xfId="16555"/>
    <cellStyle name="표준 4 22 6" xfId="16556"/>
    <cellStyle name="표준 4 22 6 2" xfId="16557"/>
    <cellStyle name="표준 4 22 6 2 2" xfId="16558"/>
    <cellStyle name="표준 4 22 6 2 2 2" xfId="16559"/>
    <cellStyle name="표준 4 22 6 3" xfId="16560"/>
    <cellStyle name="표준 4 22 6 3 2" xfId="16561"/>
    <cellStyle name="표준 4 22 7" xfId="16562"/>
    <cellStyle name="표준 4 22 7 2" xfId="16563"/>
    <cellStyle name="표준 4 22 7 2 2" xfId="16564"/>
    <cellStyle name="표준 4 22 8" xfId="16565"/>
    <cellStyle name="표준 4 22 8 2" xfId="16566"/>
    <cellStyle name="표준 4 23" xfId="16567"/>
    <cellStyle name="표준 4 23 2" xfId="16568"/>
    <cellStyle name="표준 4 23 2 2" xfId="16569"/>
    <cellStyle name="표준 4 23 2 2 2" xfId="16570"/>
    <cellStyle name="표준 4 23 3" xfId="16571"/>
    <cellStyle name="표준 4 23 3 2" xfId="16572"/>
    <cellStyle name="표준 4 24" xfId="16573"/>
    <cellStyle name="표준 4 24 2" xfId="16574"/>
    <cellStyle name="표준 4 24 2 2" xfId="16575"/>
    <cellStyle name="표준 4 24 2 2 2" xfId="16576"/>
    <cellStyle name="표준 4 24 3" xfId="16577"/>
    <cellStyle name="표준 4 24 3 2" xfId="16578"/>
    <cellStyle name="표준 4 25" xfId="16579"/>
    <cellStyle name="표준 4 25 2" xfId="16580"/>
    <cellStyle name="표준 4 25 2 2" xfId="16581"/>
    <cellStyle name="표준 4 25 2 2 2" xfId="16582"/>
    <cellStyle name="표준 4 25 3" xfId="16583"/>
    <cellStyle name="표준 4 25 3 2" xfId="16584"/>
    <cellStyle name="표준 4 26" xfId="16585"/>
    <cellStyle name="표준 4 26 2" xfId="16586"/>
    <cellStyle name="표준 4 26 2 2" xfId="16587"/>
    <cellStyle name="표준 4 26 2 2 2" xfId="16588"/>
    <cellStyle name="표준 4 26 3" xfId="16589"/>
    <cellStyle name="표준 4 26 3 2" xfId="16590"/>
    <cellStyle name="표준 4 27" xfId="16591"/>
    <cellStyle name="표준 4 27 2" xfId="16592"/>
    <cellStyle name="표준 4 27 2 2" xfId="16593"/>
    <cellStyle name="표준 4 27 2 2 2" xfId="16594"/>
    <cellStyle name="표준 4 27 3" xfId="16595"/>
    <cellStyle name="표준 4 27 3 2" xfId="16596"/>
    <cellStyle name="표준 4 28" xfId="16597"/>
    <cellStyle name="표준 4 28 2" xfId="16598"/>
    <cellStyle name="표준 4 28 2 2" xfId="16599"/>
    <cellStyle name="표준 4 28 2 2 2" xfId="16600"/>
    <cellStyle name="표준 4 28 3" xfId="16601"/>
    <cellStyle name="표준 4 28 3 2" xfId="16602"/>
    <cellStyle name="표준 4 29" xfId="16603"/>
    <cellStyle name="표준 4 29 2" xfId="16604"/>
    <cellStyle name="표준 4 29 2 2" xfId="16605"/>
    <cellStyle name="표준 4 29 2 2 2" xfId="16606"/>
    <cellStyle name="표준 4 29 3" xfId="16607"/>
    <cellStyle name="표준 4 29 3 2" xfId="16608"/>
    <cellStyle name="표준 4 3" xfId="1474"/>
    <cellStyle name="표준 4 3 10" xfId="16609"/>
    <cellStyle name="표준 4 3 10 2" xfId="16610"/>
    <cellStyle name="표준 4 3 10 2 2" xfId="16611"/>
    <cellStyle name="표준 4 3 11" xfId="16612"/>
    <cellStyle name="표준 4 3 12" xfId="16613"/>
    <cellStyle name="표준 4 3 2" xfId="16614"/>
    <cellStyle name="표준 4 3 2 2" xfId="16615"/>
    <cellStyle name="표준 4 3 2 2 2" xfId="16616"/>
    <cellStyle name="표준 4 3 2 3" xfId="16617"/>
    <cellStyle name="표준 4 3 2 3 2" xfId="16618"/>
    <cellStyle name="표준 4 3 2 3 2 2" xfId="16619"/>
    <cellStyle name="표준 4 3 2 4" xfId="16620"/>
    <cellStyle name="표준 4 3 2 4 2" xfId="16621"/>
    <cellStyle name="표준 4 3 2 4 2 2" xfId="16622"/>
    <cellStyle name="표준 4 3 2 5" xfId="16623"/>
    <cellStyle name="표준 4 3 3" xfId="16624"/>
    <cellStyle name="표준 4 3 3 2" xfId="16625"/>
    <cellStyle name="표준 4 3 3 2 2" xfId="16626"/>
    <cellStyle name="표준 4 3 3 3" xfId="16627"/>
    <cellStyle name="표준 4 3 3 3 2" xfId="16628"/>
    <cellStyle name="표준 4 3 3 3 2 2" xfId="16629"/>
    <cellStyle name="표준 4 3 3 4" xfId="16630"/>
    <cellStyle name="표준 4 3 3 4 2" xfId="16631"/>
    <cellStyle name="표준 4 3 4" xfId="16632"/>
    <cellStyle name="표준 4 3 4 2" xfId="16633"/>
    <cellStyle name="표준 4 3 4 2 2" xfId="16634"/>
    <cellStyle name="표준 4 3 4 2 2 2" xfId="16635"/>
    <cellStyle name="표준 4 3 4 3" xfId="16636"/>
    <cellStyle name="표준 4 3 4 3 2" xfId="16637"/>
    <cellStyle name="표준 4 3 5" xfId="16638"/>
    <cellStyle name="표준 4 3 5 2" xfId="16639"/>
    <cellStyle name="표준 4 3 5 2 2" xfId="16640"/>
    <cellStyle name="표준 4 3 5 2 2 2" xfId="16641"/>
    <cellStyle name="표준 4 3 5 3" xfId="16642"/>
    <cellStyle name="표준 4 3 5 3 2" xfId="16643"/>
    <cellStyle name="표준 4 3 6" xfId="16644"/>
    <cellStyle name="표준 4 3 6 2" xfId="16645"/>
    <cellStyle name="표준 4 3 7" xfId="16646"/>
    <cellStyle name="표준 4 3 7 2" xfId="16647"/>
    <cellStyle name="표준 4 3 8" xfId="16648"/>
    <cellStyle name="표준 4 3 8 2" xfId="16649"/>
    <cellStyle name="표준 4 3 8 2 2" xfId="16650"/>
    <cellStyle name="표준 4 3 8 2 2 2" xfId="16651"/>
    <cellStyle name="표준 4 3 8 3" xfId="16652"/>
    <cellStyle name="표준 4 3 8 3 2" xfId="16653"/>
    <cellStyle name="표준 4 3 9" xfId="16654"/>
    <cellStyle name="표준 4 3 9 2" xfId="16655"/>
    <cellStyle name="표준 4 3 9 2 2" xfId="16656"/>
    <cellStyle name="표준 4 30" xfId="16657"/>
    <cellStyle name="표준 4 30 2" xfId="16658"/>
    <cellStyle name="표준 4 30 2 2" xfId="16659"/>
    <cellStyle name="표준 4 30 2 2 2" xfId="16660"/>
    <cellStyle name="표준 4 30 3" xfId="16661"/>
    <cellStyle name="표준 4 30 3 2" xfId="16662"/>
    <cellStyle name="표준 4 31" xfId="16663"/>
    <cellStyle name="표준 4 31 2" xfId="16664"/>
    <cellStyle name="표준 4 31 2 2" xfId="16665"/>
    <cellStyle name="표준 4 31 2 2 2" xfId="16666"/>
    <cellStyle name="표준 4 31 3" xfId="16667"/>
    <cellStyle name="표준 4 31 3 2" xfId="16668"/>
    <cellStyle name="표준 4 32" xfId="16669"/>
    <cellStyle name="표준 4 32 2" xfId="16670"/>
    <cellStyle name="표준 4 32 2 2" xfId="16671"/>
    <cellStyle name="표준 4 32 2 2 2" xfId="16672"/>
    <cellStyle name="표준 4 32 3" xfId="16673"/>
    <cellStyle name="표준 4 32 3 2" xfId="16674"/>
    <cellStyle name="표준 4 33" xfId="16675"/>
    <cellStyle name="표준 4 33 2" xfId="16676"/>
    <cellStyle name="표준 4 33 2 2" xfId="16677"/>
    <cellStyle name="표준 4 33 2 2 2" xfId="16678"/>
    <cellStyle name="표준 4 33 3" xfId="16679"/>
    <cellStyle name="표준 4 33 3 2" xfId="16680"/>
    <cellStyle name="표준 4 34" xfId="16681"/>
    <cellStyle name="표준 4 34 2" xfId="16682"/>
    <cellStyle name="표준 4 34 2 2" xfId="16683"/>
    <cellStyle name="표준 4 34 2 2 2" xfId="16684"/>
    <cellStyle name="표준 4 34 3" xfId="16685"/>
    <cellStyle name="표준 4 34 3 2" xfId="16686"/>
    <cellStyle name="표준 4 35" xfId="16687"/>
    <cellStyle name="표준 4 35 2" xfId="16688"/>
    <cellStyle name="표준 4 35 2 2" xfId="16689"/>
    <cellStyle name="표준 4 35 2 2 2" xfId="16690"/>
    <cellStyle name="표준 4 35 3" xfId="16691"/>
    <cellStyle name="표준 4 35 3 2" xfId="16692"/>
    <cellStyle name="표준 4 36" xfId="16693"/>
    <cellStyle name="표준 4 36 2" xfId="16694"/>
    <cellStyle name="표준 4 36 2 2" xfId="16695"/>
    <cellStyle name="표준 4 37" xfId="16696"/>
    <cellStyle name="표준 4 38" xfId="16697"/>
    <cellStyle name="표준 4 39" xfId="16698"/>
    <cellStyle name="표준 4 39 2" xfId="16699"/>
    <cellStyle name="표준 4 39 2 2" xfId="16700"/>
    <cellStyle name="표준 4 39 3" xfId="16701"/>
    <cellStyle name="표준 4 4" xfId="1475"/>
    <cellStyle name="표준 4 4 10" xfId="16702"/>
    <cellStyle name="표준 4 4 11" xfId="16703"/>
    <cellStyle name="표준 4 4 2" xfId="16704"/>
    <cellStyle name="표준 4 4 2 2" xfId="16705"/>
    <cellStyle name="표준 4 4 2 2 2" xfId="16706"/>
    <cellStyle name="표준 4 4 2 3" xfId="16707"/>
    <cellStyle name="표준 4 4 2 3 2" xfId="16708"/>
    <cellStyle name="표준 4 4 2 3 2 2" xfId="16709"/>
    <cellStyle name="표준 4 4 2 4" xfId="16710"/>
    <cellStyle name="표준 4 4 2 4 2" xfId="16711"/>
    <cellStyle name="표준 4 4 3" xfId="16712"/>
    <cellStyle name="표준 4 4 3 2" xfId="16713"/>
    <cellStyle name="표준 4 4 3 2 2" xfId="16714"/>
    <cellStyle name="표준 4 4 3 2 2 2" xfId="16715"/>
    <cellStyle name="표준 4 4 3 3" xfId="16716"/>
    <cellStyle name="표준 4 4 3 3 2" xfId="16717"/>
    <cellStyle name="표준 4 4 4" xfId="16718"/>
    <cellStyle name="표준 4 4 4 2" xfId="16719"/>
    <cellStyle name="표준 4 4 4 2 2" xfId="16720"/>
    <cellStyle name="표준 4 4 4 2 2 2" xfId="16721"/>
    <cellStyle name="표준 4 4 4 3" xfId="16722"/>
    <cellStyle name="표준 4 4 4 3 2" xfId="16723"/>
    <cellStyle name="표준 4 4 5" xfId="16724"/>
    <cellStyle name="표준 4 4 5 2" xfId="16725"/>
    <cellStyle name="표준 4 4 5 2 2" xfId="16726"/>
    <cellStyle name="표준 4 4 5 2 2 2" xfId="16727"/>
    <cellStyle name="표준 4 4 5 3" xfId="16728"/>
    <cellStyle name="표준 4 4 5 3 2" xfId="16729"/>
    <cellStyle name="표준 4 4 6" xfId="16730"/>
    <cellStyle name="표준 4 4 6 2" xfId="16731"/>
    <cellStyle name="표준 4 4 7" xfId="16732"/>
    <cellStyle name="표준 4 4 7 2" xfId="16733"/>
    <cellStyle name="표준 4 4 7 2 2" xfId="16734"/>
    <cellStyle name="표준 4 4 7 2 2 2" xfId="16735"/>
    <cellStyle name="표준 4 4 7 3" xfId="16736"/>
    <cellStyle name="표준 4 4 7 3 2" xfId="16737"/>
    <cellStyle name="표준 4 4 8" xfId="16738"/>
    <cellStyle name="표준 4 4 8 2" xfId="16739"/>
    <cellStyle name="표준 4 4 8 2 2" xfId="16740"/>
    <cellStyle name="표준 4 4 9" xfId="16741"/>
    <cellStyle name="표준 4 4 9 2" xfId="16742"/>
    <cellStyle name="표준 4 4 9 2 2" xfId="16743"/>
    <cellStyle name="표준 4 40" xfId="16744"/>
    <cellStyle name="표준 4 40 2" xfId="16745"/>
    <cellStyle name="표준 4 40 2 2" xfId="16746"/>
    <cellStyle name="표준 4 40 3" xfId="16747"/>
    <cellStyle name="표준 4 41" xfId="16748"/>
    <cellStyle name="표준 4 41 2" xfId="16749"/>
    <cellStyle name="표준 4 41 2 2" xfId="16750"/>
    <cellStyle name="표준 4 41 3" xfId="16751"/>
    <cellStyle name="표준 4 42" xfId="16752"/>
    <cellStyle name="표준 4 42 2" xfId="16753"/>
    <cellStyle name="표준 4 42 3" xfId="16754"/>
    <cellStyle name="표준 4 43" xfId="16755"/>
    <cellStyle name="표준 4 44" xfId="16756"/>
    <cellStyle name="표준 4 45" xfId="16757"/>
    <cellStyle name="표준 4 46" xfId="16758"/>
    <cellStyle name="표준 4 47" xfId="16759"/>
    <cellStyle name="표준 4 48" xfId="16760"/>
    <cellStyle name="표준 4 49" xfId="16761"/>
    <cellStyle name="표준 4 5" xfId="1476"/>
    <cellStyle name="표준 4 5 2" xfId="16762"/>
    <cellStyle name="표준 4 5 2 2" xfId="16763"/>
    <cellStyle name="표준 4 5 2 2 2" xfId="16764"/>
    <cellStyle name="표준 4 5 2 2 2 2" xfId="16765"/>
    <cellStyle name="표준 4 5 2 3" xfId="16766"/>
    <cellStyle name="표준 4 5 2 3 2" xfId="16767"/>
    <cellStyle name="표준 4 5 3" xfId="16768"/>
    <cellStyle name="표준 4 5 3 2" xfId="16769"/>
    <cellStyle name="표준 4 5 3 2 2" xfId="16770"/>
    <cellStyle name="표준 4 5 3 2 2 2" xfId="16771"/>
    <cellStyle name="표준 4 5 3 3" xfId="16772"/>
    <cellStyle name="표준 4 5 3 3 2" xfId="16773"/>
    <cellStyle name="표준 4 5 4" xfId="16774"/>
    <cellStyle name="표준 4 5 4 2" xfId="16775"/>
    <cellStyle name="표준 4 5 4 2 2" xfId="16776"/>
    <cellStyle name="표준 4 5 4 2 2 2" xfId="16777"/>
    <cellStyle name="표준 4 5 4 3" xfId="16778"/>
    <cellStyle name="표준 4 5 4 3 2" xfId="16779"/>
    <cellStyle name="표준 4 5 5" xfId="16780"/>
    <cellStyle name="표준 4 5 5 2" xfId="16781"/>
    <cellStyle name="표준 4 5 5 2 2" xfId="16782"/>
    <cellStyle name="표준 4 5 5 2 2 2" xfId="16783"/>
    <cellStyle name="표준 4 5 5 3" xfId="16784"/>
    <cellStyle name="표준 4 5 5 3 2" xfId="16785"/>
    <cellStyle name="표준 4 5 6" xfId="16786"/>
    <cellStyle name="표준 4 5 6 2" xfId="16787"/>
    <cellStyle name="표준 4 5 6 2 2" xfId="16788"/>
    <cellStyle name="표준 4 5 6 2 2 2" xfId="16789"/>
    <cellStyle name="표준 4 5 6 3" xfId="16790"/>
    <cellStyle name="표준 4 5 6 3 2" xfId="16791"/>
    <cellStyle name="표준 4 5 7" xfId="16792"/>
    <cellStyle name="표준 4 5 7 2" xfId="16793"/>
    <cellStyle name="표준 4 5 7 2 2" xfId="16794"/>
    <cellStyle name="표준 4 5 8" xfId="16795"/>
    <cellStyle name="표준 4 5 9" xfId="16796"/>
    <cellStyle name="표준 4 5 9 2" xfId="16797"/>
    <cellStyle name="표준 4 50" xfId="16798"/>
    <cellStyle name="표준 4 51" xfId="16799"/>
    <cellStyle name="표준 4 52" xfId="16800"/>
    <cellStyle name="표준 4 53" xfId="16801"/>
    <cellStyle name="표준 4 54" xfId="20471"/>
    <cellStyle name="표준 4 6" xfId="1477"/>
    <cellStyle name="표준 4 6 2" xfId="16802"/>
    <cellStyle name="표준 4 6 2 2" xfId="16803"/>
    <cellStyle name="표준 4 6 2 2 2" xfId="16804"/>
    <cellStyle name="표준 4 6 2 2 2 2" xfId="16805"/>
    <cellStyle name="표준 4 6 2 3" xfId="16806"/>
    <cellStyle name="표준 4 6 2 3 2" xfId="16807"/>
    <cellStyle name="표준 4 6 3" xfId="16808"/>
    <cellStyle name="표준 4 6 3 2" xfId="16809"/>
    <cellStyle name="표준 4 6 3 2 2" xfId="16810"/>
    <cellStyle name="표준 4 6 3 2 2 2" xfId="16811"/>
    <cellStyle name="표준 4 6 3 3" xfId="16812"/>
    <cellStyle name="표준 4 6 3 3 2" xfId="16813"/>
    <cellStyle name="표준 4 6 4" xfId="16814"/>
    <cellStyle name="표준 4 6 4 2" xfId="16815"/>
    <cellStyle name="표준 4 6 4 2 2" xfId="16816"/>
    <cellStyle name="표준 4 6 4 2 2 2" xfId="16817"/>
    <cellStyle name="표준 4 6 4 3" xfId="16818"/>
    <cellStyle name="표준 4 6 4 3 2" xfId="16819"/>
    <cellStyle name="표준 4 6 5" xfId="16820"/>
    <cellStyle name="표준 4 6 5 2" xfId="16821"/>
    <cellStyle name="표준 4 6 5 2 2" xfId="16822"/>
    <cellStyle name="표준 4 6 5 2 2 2" xfId="16823"/>
    <cellStyle name="표준 4 6 5 3" xfId="16824"/>
    <cellStyle name="표준 4 6 5 3 2" xfId="16825"/>
    <cellStyle name="표준 4 6 6" xfId="16826"/>
    <cellStyle name="표준 4 6 6 2" xfId="16827"/>
    <cellStyle name="표준 4 6 6 2 2" xfId="16828"/>
    <cellStyle name="표준 4 6 6 2 2 2" xfId="16829"/>
    <cellStyle name="표준 4 6 6 3" xfId="16830"/>
    <cellStyle name="표준 4 6 6 3 2" xfId="16831"/>
    <cellStyle name="표준 4 6 7" xfId="16832"/>
    <cellStyle name="표준 4 6 7 2" xfId="16833"/>
    <cellStyle name="표준 4 6 7 2 2" xfId="16834"/>
    <cellStyle name="표준 4 6 8" xfId="16835"/>
    <cellStyle name="표준 4 6 9" xfId="16836"/>
    <cellStyle name="표준 4 6 9 2" xfId="16837"/>
    <cellStyle name="표준 4 7" xfId="1478"/>
    <cellStyle name="표준 4 7 2" xfId="16838"/>
    <cellStyle name="표준 4 7 2 2" xfId="16839"/>
    <cellStyle name="표준 4 7 2 2 2" xfId="16840"/>
    <cellStyle name="표준 4 7 2 2 2 2" xfId="16841"/>
    <cellStyle name="표준 4 7 2 3" xfId="16842"/>
    <cellStyle name="표준 4 7 2 3 2" xfId="16843"/>
    <cellStyle name="표준 4 7 2 4" xfId="20636"/>
    <cellStyle name="표준 4 7 3" xfId="16844"/>
    <cellStyle name="표준 4 7 3 2" xfId="16845"/>
    <cellStyle name="표준 4 7 3 2 2" xfId="16846"/>
    <cellStyle name="표준 4 7 3 2 2 2" xfId="16847"/>
    <cellStyle name="표준 4 7 3 3" xfId="16848"/>
    <cellStyle name="표준 4 7 3 3 2" xfId="16849"/>
    <cellStyle name="표준 4 7 4" xfId="16850"/>
    <cellStyle name="표준 4 7 4 2" xfId="16851"/>
    <cellStyle name="표준 4 7 4 2 2" xfId="16852"/>
    <cellStyle name="표준 4 7 4 2 2 2" xfId="16853"/>
    <cellStyle name="표준 4 7 4 3" xfId="16854"/>
    <cellStyle name="표준 4 7 4 3 2" xfId="16855"/>
    <cellStyle name="표준 4 7 5" xfId="16856"/>
    <cellStyle name="표준 4 7 5 2" xfId="16857"/>
    <cellStyle name="표준 4 7 5 2 2" xfId="16858"/>
    <cellStyle name="표준 4 7 5 2 2 2" xfId="16859"/>
    <cellStyle name="표준 4 7 5 3" xfId="16860"/>
    <cellStyle name="표준 4 7 5 3 2" xfId="16861"/>
    <cellStyle name="표준 4 7 6" xfId="16862"/>
    <cellStyle name="표준 4 7 6 2" xfId="16863"/>
    <cellStyle name="표준 4 7 6 2 2" xfId="16864"/>
    <cellStyle name="표준 4 7 6 2 2 2" xfId="16865"/>
    <cellStyle name="표준 4 7 6 3" xfId="16866"/>
    <cellStyle name="표준 4 7 6 3 2" xfId="16867"/>
    <cellStyle name="표준 4 7 7" xfId="16868"/>
    <cellStyle name="표준 4 7 7 2" xfId="16869"/>
    <cellStyle name="표준 4 7 7 2 2" xfId="16870"/>
    <cellStyle name="표준 4 7 8" xfId="16871"/>
    <cellStyle name="표준 4 7 9" xfId="16872"/>
    <cellStyle name="표준 4 7 9 2" xfId="16873"/>
    <cellStyle name="표준 4 8" xfId="1479"/>
    <cellStyle name="표준 4 8 2" xfId="16874"/>
    <cellStyle name="표준 4 8 2 2" xfId="16875"/>
    <cellStyle name="표준 4 8 2 2 2" xfId="16876"/>
    <cellStyle name="표준 4 8 2 2 2 2" xfId="16877"/>
    <cellStyle name="표준 4 8 2 3" xfId="16878"/>
    <cellStyle name="표준 4 8 2 3 2" xfId="16879"/>
    <cellStyle name="표준 4 8 3" xfId="16880"/>
    <cellStyle name="표준 4 8 3 2" xfId="16881"/>
    <cellStyle name="표준 4 8 3 2 2" xfId="16882"/>
    <cellStyle name="표준 4 8 3 2 2 2" xfId="16883"/>
    <cellStyle name="표준 4 8 3 3" xfId="16884"/>
    <cellStyle name="표준 4 8 3 3 2" xfId="16885"/>
    <cellStyle name="표준 4 8 4" xfId="16886"/>
    <cellStyle name="표준 4 8 4 2" xfId="16887"/>
    <cellStyle name="표준 4 8 4 2 2" xfId="16888"/>
    <cellStyle name="표준 4 8 4 2 2 2" xfId="16889"/>
    <cellStyle name="표준 4 8 4 3" xfId="16890"/>
    <cellStyle name="표준 4 8 4 3 2" xfId="16891"/>
    <cellStyle name="표준 4 8 5" xfId="16892"/>
    <cellStyle name="표준 4 8 5 2" xfId="16893"/>
    <cellStyle name="표준 4 8 5 2 2" xfId="16894"/>
    <cellStyle name="표준 4 8 5 2 2 2" xfId="16895"/>
    <cellStyle name="표준 4 8 5 3" xfId="16896"/>
    <cellStyle name="표준 4 8 5 3 2" xfId="16897"/>
    <cellStyle name="표준 4 8 6" xfId="16898"/>
    <cellStyle name="표준 4 8 6 2" xfId="16899"/>
    <cellStyle name="표준 4 8 6 2 2" xfId="16900"/>
    <cellStyle name="표준 4 8 6 2 2 2" xfId="16901"/>
    <cellStyle name="표준 4 8 6 3" xfId="16902"/>
    <cellStyle name="표준 4 8 6 3 2" xfId="16903"/>
    <cellStyle name="표준 4 8 7" xfId="16904"/>
    <cellStyle name="표준 4 8 7 2" xfId="16905"/>
    <cellStyle name="표준 4 8 7 2 2" xfId="16906"/>
    <cellStyle name="표준 4 8 8" xfId="16907"/>
    <cellStyle name="표준 4 8 9" xfId="16908"/>
    <cellStyle name="표준 4 8 9 2" xfId="16909"/>
    <cellStyle name="표준 4 9" xfId="16910"/>
    <cellStyle name="표준 4 9 10" xfId="16911"/>
    <cellStyle name="표준 4 9 2" xfId="16912"/>
    <cellStyle name="표준 4 9 2 2" xfId="16913"/>
    <cellStyle name="표준 4 9 2 2 2" xfId="16914"/>
    <cellStyle name="표준 4 9 2 2 2 2" xfId="16915"/>
    <cellStyle name="표준 4 9 2 3" xfId="16916"/>
    <cellStyle name="표준 4 9 2 3 2" xfId="16917"/>
    <cellStyle name="표준 4 9 3" xfId="16918"/>
    <cellStyle name="표준 4 9 3 2" xfId="16919"/>
    <cellStyle name="표준 4 9 3 2 2" xfId="16920"/>
    <cellStyle name="표준 4 9 3 2 2 2" xfId="16921"/>
    <cellStyle name="표준 4 9 3 3" xfId="16922"/>
    <cellStyle name="표준 4 9 3 3 2" xfId="16923"/>
    <cellStyle name="표준 4 9 4" xfId="16924"/>
    <cellStyle name="표준 4 9 4 2" xfId="16925"/>
    <cellStyle name="표준 4 9 4 2 2" xfId="16926"/>
    <cellStyle name="표준 4 9 4 2 2 2" xfId="16927"/>
    <cellStyle name="표준 4 9 4 3" xfId="16928"/>
    <cellStyle name="표준 4 9 4 3 2" xfId="16929"/>
    <cellStyle name="표준 4 9 5" xfId="16930"/>
    <cellStyle name="표준 4 9 5 2" xfId="16931"/>
    <cellStyle name="표준 4 9 5 2 2" xfId="16932"/>
    <cellStyle name="표준 4 9 5 2 2 2" xfId="16933"/>
    <cellStyle name="표준 4 9 5 3" xfId="16934"/>
    <cellStyle name="표준 4 9 5 3 2" xfId="16935"/>
    <cellStyle name="표준 4 9 6" xfId="16936"/>
    <cellStyle name="표준 4 9 6 2" xfId="16937"/>
    <cellStyle name="표준 4 9 6 2 2" xfId="16938"/>
    <cellStyle name="표준 4 9 6 2 2 2" xfId="16939"/>
    <cellStyle name="표준 4 9 6 3" xfId="16940"/>
    <cellStyle name="표준 4 9 6 3 2" xfId="16941"/>
    <cellStyle name="표준 4 9 7" xfId="16942"/>
    <cellStyle name="표준 4 9 7 2" xfId="16943"/>
    <cellStyle name="표준 4 9 7 2 2" xfId="16944"/>
    <cellStyle name="표준 4 9 8" xfId="16945"/>
    <cellStyle name="표준 4 9 8 2" xfId="16946"/>
    <cellStyle name="표준 4 9 9" xfId="16947"/>
    <cellStyle name="표준 4 9 9 2" xfId="16948"/>
    <cellStyle name="표준 40" xfId="16949"/>
    <cellStyle name="표준 40 2" xfId="16950"/>
    <cellStyle name="표준 40 5" xfId="16951"/>
    <cellStyle name="표준 41" xfId="16952"/>
    <cellStyle name="표준 42" xfId="16953"/>
    <cellStyle name="표준 42 10" xfId="16954"/>
    <cellStyle name="표준 42 11" xfId="16955"/>
    <cellStyle name="표준 42 12" xfId="16956"/>
    <cellStyle name="표준 42 13" xfId="16957"/>
    <cellStyle name="표준 42 14" xfId="16958"/>
    <cellStyle name="표준 42 15" xfId="16959"/>
    <cellStyle name="표준 42 2" xfId="16960"/>
    <cellStyle name="표준 42 3" xfId="16961"/>
    <cellStyle name="표준 42 3 2" xfId="16962"/>
    <cellStyle name="표준 42 4" xfId="16963"/>
    <cellStyle name="표준 42 5" xfId="16964"/>
    <cellStyle name="표준 42 6" xfId="16965"/>
    <cellStyle name="표준 42 7" xfId="16966"/>
    <cellStyle name="표준 42 8" xfId="16967"/>
    <cellStyle name="표준 42 9" xfId="16968"/>
    <cellStyle name="표준 43" xfId="16969"/>
    <cellStyle name="표준 44" xfId="16970"/>
    <cellStyle name="표준 44 10" xfId="16971"/>
    <cellStyle name="표준 44 11" xfId="16972"/>
    <cellStyle name="표준 44 12" xfId="16973"/>
    <cellStyle name="표준 44 13" xfId="16974"/>
    <cellStyle name="표준 44 2" xfId="16975"/>
    <cellStyle name="표준 44 3" xfId="16976"/>
    <cellStyle name="표준 44 4" xfId="16977"/>
    <cellStyle name="표준 44 5" xfId="16978"/>
    <cellStyle name="표준 44 6" xfId="16979"/>
    <cellStyle name="표준 44 7" xfId="16980"/>
    <cellStyle name="표준 44 8" xfId="16981"/>
    <cellStyle name="표준 44 9" xfId="16982"/>
    <cellStyle name="표준 45" xfId="16983"/>
    <cellStyle name="표준 46" xfId="16984"/>
    <cellStyle name="표준 47" xfId="16985"/>
    <cellStyle name="표준 48" xfId="16986"/>
    <cellStyle name="표준 49" xfId="16987"/>
    <cellStyle name="표준 49 2" xfId="16988"/>
    <cellStyle name="표준 49 3" xfId="16989"/>
    <cellStyle name="표준 5" xfId="16990"/>
    <cellStyle name="표준 5 10" xfId="16991"/>
    <cellStyle name="표준 5 10 2" xfId="16992"/>
    <cellStyle name="표준 5 10 2 2" xfId="16993"/>
    <cellStyle name="표준 5 10 2 2 2" xfId="16994"/>
    <cellStyle name="표준 5 10 3" xfId="16995"/>
    <cellStyle name="표준 5 10 4" xfId="16996"/>
    <cellStyle name="표준 5 10 4 2" xfId="16997"/>
    <cellStyle name="표준 5 10 5" xfId="16998"/>
    <cellStyle name="표준 5 10 5 2" xfId="16999"/>
    <cellStyle name="표준 5 10 6" xfId="17000"/>
    <cellStyle name="표준 5 11" xfId="17001"/>
    <cellStyle name="표준 5 11 2" xfId="17002"/>
    <cellStyle name="표준 5 11 2 2" xfId="17003"/>
    <cellStyle name="표준 5 11 2 2 2" xfId="17004"/>
    <cellStyle name="표준 5 11 2 3" xfId="17005"/>
    <cellStyle name="표준 5 11 3" xfId="17006"/>
    <cellStyle name="표준 5 11 3 2" xfId="17007"/>
    <cellStyle name="표준 5 12" xfId="17008"/>
    <cellStyle name="표준 5 12 2" xfId="17009"/>
    <cellStyle name="표준 5 12 2 2" xfId="17010"/>
    <cellStyle name="표준 5 12 3" xfId="17011"/>
    <cellStyle name="표준 5 13" xfId="17012"/>
    <cellStyle name="표준 5 13 2" xfId="17013"/>
    <cellStyle name="표준 5 13 3" xfId="17014"/>
    <cellStyle name="표준 5 14" xfId="17015"/>
    <cellStyle name="표준 5 14 2" xfId="17016"/>
    <cellStyle name="표준 5 14 3" xfId="17017"/>
    <cellStyle name="표준 5 15" xfId="17018"/>
    <cellStyle name="표준 5 16" xfId="17019"/>
    <cellStyle name="표준 5 17" xfId="17020"/>
    <cellStyle name="표준 5 18" xfId="17021"/>
    <cellStyle name="표준 5 19" xfId="17022"/>
    <cellStyle name="표준 5 2" xfId="1480"/>
    <cellStyle name="표준 5 2 2" xfId="17023"/>
    <cellStyle name="표준 5 2 2 2" xfId="17024"/>
    <cellStyle name="표준 5 2 2 2 2" xfId="17025"/>
    <cellStyle name="표준 5 2 2 2 2 2" xfId="17026"/>
    <cellStyle name="표준 5 2 2 2 3" xfId="17027"/>
    <cellStyle name="표준 5 2 2 2 4" xfId="17028"/>
    <cellStyle name="표준 5 2 2 2 4 2" xfId="17029"/>
    <cellStyle name="표준 5 2 2 3" xfId="17030"/>
    <cellStyle name="표준 5 2 2 4" xfId="17031"/>
    <cellStyle name="표준 5 2 2 4 2" xfId="17032"/>
    <cellStyle name="표준 5 2 2 5" xfId="17033"/>
    <cellStyle name="표준 5 2 3" xfId="17034"/>
    <cellStyle name="표준 5 2 3 2" xfId="17035"/>
    <cellStyle name="표준 5 2 3 3" xfId="17036"/>
    <cellStyle name="표준 5 2 3 3 2" xfId="17037"/>
    <cellStyle name="표준 5 2 4" xfId="17038"/>
    <cellStyle name="표준 5 2 4 2" xfId="17039"/>
    <cellStyle name="표준 5 2 4 2 2" xfId="17040"/>
    <cellStyle name="표준 5 2 4 2 2 2" xfId="17041"/>
    <cellStyle name="표준 5 2 4 2 3" xfId="17042"/>
    <cellStyle name="표준 5 2 4 2 3 2" xfId="17043"/>
    <cellStyle name="표준 5 2 4 3" xfId="17044"/>
    <cellStyle name="표준 5 2 4 4" xfId="17045"/>
    <cellStyle name="표준 5 2 4 4 2" xfId="17046"/>
    <cellStyle name="표준 5 2 5" xfId="17047"/>
    <cellStyle name="표준 5 2 5 2" xfId="17048"/>
    <cellStyle name="표준 5 2 5 2 2" xfId="17049"/>
    <cellStyle name="표준 5 2 6" xfId="17050"/>
    <cellStyle name="표준 5 2 6 2" xfId="17051"/>
    <cellStyle name="표준 5 2 7" xfId="17052"/>
    <cellStyle name="표준 5 2 8" xfId="20468"/>
    <cellStyle name="표준 5 20" xfId="17053"/>
    <cellStyle name="표준 5 21" xfId="17054"/>
    <cellStyle name="표준 5 22" xfId="17055"/>
    <cellStyle name="표준 5 23" xfId="17056"/>
    <cellStyle name="표준 5 24" xfId="17057"/>
    <cellStyle name="표준 5 25" xfId="17058"/>
    <cellStyle name="표준 5 26" xfId="17059"/>
    <cellStyle name="표준 5 27" xfId="17060"/>
    <cellStyle name="표준 5 28" xfId="17061"/>
    <cellStyle name="표준 5 29" xfId="17062"/>
    <cellStyle name="표준 5 3" xfId="1481"/>
    <cellStyle name="표준 5 3 2" xfId="17063"/>
    <cellStyle name="표준 5 3 2 2" xfId="17064"/>
    <cellStyle name="표준 5 3 2 3" xfId="17065"/>
    <cellStyle name="표준 5 3 3" xfId="17066"/>
    <cellStyle name="표준 5 3 3 2" xfId="17067"/>
    <cellStyle name="표준 5 3 3 3" xfId="17068"/>
    <cellStyle name="표준 5 3 3 4" xfId="17069"/>
    <cellStyle name="표준 5 3 4" xfId="17070"/>
    <cellStyle name="표준 5 3 4 2" xfId="17071"/>
    <cellStyle name="표준 5 3 4 2 2" xfId="17072"/>
    <cellStyle name="표준 5 3 4 2 2 2" xfId="17073"/>
    <cellStyle name="표준 5 3 4 2 3" xfId="17074"/>
    <cellStyle name="표준 5 3 4 2 3 2" xfId="17075"/>
    <cellStyle name="표준 5 3 4 3" xfId="17076"/>
    <cellStyle name="표준 5 3 4 4" xfId="17077"/>
    <cellStyle name="표준 5 3 4 4 2" xfId="17078"/>
    <cellStyle name="표준 5 3 5" xfId="17079"/>
    <cellStyle name="표준 5 3 5 2" xfId="17080"/>
    <cellStyle name="표준 5 3 5 3" xfId="17081"/>
    <cellStyle name="표준 5 3 5 3 2" xfId="17082"/>
    <cellStyle name="표준 5 3 5 4" xfId="17083"/>
    <cellStyle name="표준 5 3 5 4 2" xfId="17084"/>
    <cellStyle name="표준 5 3 5 5" xfId="17085"/>
    <cellStyle name="표준 5 3 6" xfId="17086"/>
    <cellStyle name="표준 5 3 7" xfId="17087"/>
    <cellStyle name="표준 5 3 8" xfId="17088"/>
    <cellStyle name="표준 5 3 8 2" xfId="17089"/>
    <cellStyle name="표준 5 3 9" xfId="17090"/>
    <cellStyle name="표준 5 30" xfId="17091"/>
    <cellStyle name="표준 5 31" xfId="17092"/>
    <cellStyle name="표준 5 32" xfId="17093"/>
    <cellStyle name="표준 5 33" xfId="17094"/>
    <cellStyle name="표준 5 34" xfId="17095"/>
    <cellStyle name="표준 5 35" xfId="17096"/>
    <cellStyle name="표준 5 36" xfId="17097"/>
    <cellStyle name="표준 5 37" xfId="17098"/>
    <cellStyle name="표준 5 38" xfId="17099"/>
    <cellStyle name="표준 5 39" xfId="17100"/>
    <cellStyle name="표준 5 4" xfId="17101"/>
    <cellStyle name="표준 5 4 10" xfId="20184"/>
    <cellStyle name="표준 5 4 2" xfId="17102"/>
    <cellStyle name="표준 5 4 2 2" xfId="17103"/>
    <cellStyle name="표준 5 4 2 2 2" xfId="17104"/>
    <cellStyle name="표준 5 4 2 2 2 2" xfId="23062"/>
    <cellStyle name="표준 5 4 2 3" xfId="17105"/>
    <cellStyle name="표준 5 4 2 4" xfId="17106"/>
    <cellStyle name="표준 5 4 3" xfId="17107"/>
    <cellStyle name="표준 5 4 3 2" xfId="17108"/>
    <cellStyle name="표준 5 4 3 3" xfId="17109"/>
    <cellStyle name="표준 5 4 3 4" xfId="17110"/>
    <cellStyle name="표준 5 4 4" xfId="17111"/>
    <cellStyle name="표준 5 4 4 2" xfId="17112"/>
    <cellStyle name="표준 5 4 4 2 2" xfId="17113"/>
    <cellStyle name="표준 5 4 4 3" xfId="17114"/>
    <cellStyle name="표준 5 4 4 4" xfId="17115"/>
    <cellStyle name="표준 5 4 5" xfId="17116"/>
    <cellStyle name="표준 5 4 5 2" xfId="17117"/>
    <cellStyle name="표준 5 4 5 2 2" xfId="17118"/>
    <cellStyle name="표준 5 4 6" xfId="17119"/>
    <cellStyle name="표준 5 4 7" xfId="17120"/>
    <cellStyle name="표준 5 4 8" xfId="17121"/>
    <cellStyle name="표준 5 4 8 2" xfId="17122"/>
    <cellStyle name="표준 5 4 9" xfId="17123"/>
    <cellStyle name="표준 5 40" xfId="17124"/>
    <cellStyle name="표준 5 41" xfId="17125"/>
    <cellStyle name="표준 5 42" xfId="17126"/>
    <cellStyle name="표준 5 43" xfId="17127"/>
    <cellStyle name="표준 5 44" xfId="17128"/>
    <cellStyle name="표준 5 45" xfId="17129"/>
    <cellStyle name="표준 5 46" xfId="17130"/>
    <cellStyle name="표준 5 47" xfId="17131"/>
    <cellStyle name="표준 5 48" xfId="17132"/>
    <cellStyle name="표준 5 49" xfId="17133"/>
    <cellStyle name="표준 5 5" xfId="17134"/>
    <cellStyle name="표준 5 5 2" xfId="17135"/>
    <cellStyle name="표준 5 5 2 2" xfId="17136"/>
    <cellStyle name="표준 5 5 2 2 2" xfId="17137"/>
    <cellStyle name="표준 5 5 2 3" xfId="17138"/>
    <cellStyle name="표준 5 5 3" xfId="17139"/>
    <cellStyle name="표준 5 5 3 2" xfId="17140"/>
    <cellStyle name="표준 5 5 3 2 2" xfId="17141"/>
    <cellStyle name="표준 5 5 4" xfId="17142"/>
    <cellStyle name="표준 5 5 4 2" xfId="17143"/>
    <cellStyle name="표준 5 5 4 2 2" xfId="17144"/>
    <cellStyle name="표준 5 50" xfId="17145"/>
    <cellStyle name="표준 5 51" xfId="17146"/>
    <cellStyle name="표준 5 52" xfId="17147"/>
    <cellStyle name="표준 5 53" xfId="20469"/>
    <cellStyle name="표준 5 6" xfId="17148"/>
    <cellStyle name="표준 5 6 10" xfId="17149"/>
    <cellStyle name="표준 5 6 2" xfId="17150"/>
    <cellStyle name="표준 5 6 2 2" xfId="17151"/>
    <cellStyle name="표준 5 6 2 2 2" xfId="17152"/>
    <cellStyle name="표준 5 6 2 2 2 2" xfId="17153"/>
    <cellStyle name="표준 5 6 2 2 2 2 2" xfId="17154"/>
    <cellStyle name="표준 5 6 2 2 3" xfId="17155"/>
    <cellStyle name="표준 5 6 2 2 3 2" xfId="17156"/>
    <cellStyle name="표준 5 6 2 3" xfId="17157"/>
    <cellStyle name="표준 5 6 2 3 2" xfId="17158"/>
    <cellStyle name="표준 5 6 2 3 2 2" xfId="17159"/>
    <cellStyle name="표준 5 6 2 3 2 2 2" xfId="17160"/>
    <cellStyle name="표준 5 6 2 3 3" xfId="17161"/>
    <cellStyle name="표준 5 6 2 3 3 2" xfId="17162"/>
    <cellStyle name="표준 5 6 2 4" xfId="17163"/>
    <cellStyle name="표준 5 6 2 4 2" xfId="17164"/>
    <cellStyle name="표준 5 6 2 4 2 2" xfId="17165"/>
    <cellStyle name="표준 5 6 2 4 2 2 2" xfId="17166"/>
    <cellStyle name="표준 5 6 2 4 3" xfId="17167"/>
    <cellStyle name="표준 5 6 2 4 3 2" xfId="17168"/>
    <cellStyle name="표준 5 6 2 5" xfId="17169"/>
    <cellStyle name="표준 5 6 2 5 2" xfId="17170"/>
    <cellStyle name="표준 5 6 2 5 2 2" xfId="17171"/>
    <cellStyle name="표준 5 6 2 6" xfId="17172"/>
    <cellStyle name="표준 5 6 2 6 2" xfId="17173"/>
    <cellStyle name="표준 5 6 3" xfId="17174"/>
    <cellStyle name="표준 5 6 3 2" xfId="17175"/>
    <cellStyle name="표준 5 6 3 2 2" xfId="17176"/>
    <cellStyle name="표준 5 6 3 2 2 2" xfId="17177"/>
    <cellStyle name="표준 5 6 3 3" xfId="17178"/>
    <cellStyle name="표준 5 6 3 3 2" xfId="17179"/>
    <cellStyle name="표준 5 6 4" xfId="17180"/>
    <cellStyle name="표준 5 6 4 2" xfId="17181"/>
    <cellStyle name="표준 5 6 4 2 2" xfId="17182"/>
    <cellStyle name="표준 5 6 4 2 2 2" xfId="17183"/>
    <cellStyle name="표준 5 6 4 3" xfId="17184"/>
    <cellStyle name="표준 5 6 4 3 2" xfId="17185"/>
    <cellStyle name="표준 5 6 5" xfId="17186"/>
    <cellStyle name="표준 5 6 5 2" xfId="17187"/>
    <cellStyle name="표준 5 6 5 2 2" xfId="17188"/>
    <cellStyle name="표준 5 6 5 2 2 2" xfId="17189"/>
    <cellStyle name="표준 5 6 5 3" xfId="17190"/>
    <cellStyle name="표준 5 6 5 3 2" xfId="17191"/>
    <cellStyle name="표준 5 6 6" xfId="17192"/>
    <cellStyle name="표준 5 6 6 2" xfId="17193"/>
    <cellStyle name="표준 5 6 6 2 2" xfId="17194"/>
    <cellStyle name="표준 5 6 7" xfId="17195"/>
    <cellStyle name="표준 5 6 8" xfId="17196"/>
    <cellStyle name="표준 5 6 8 2" xfId="17197"/>
    <cellStyle name="표준 5 6 9" xfId="17198"/>
    <cellStyle name="표준 5 6 9 2" xfId="17199"/>
    <cellStyle name="표준 5 7" xfId="17200"/>
    <cellStyle name="표준 5 7 2" xfId="17201"/>
    <cellStyle name="표준 5 7 2 2" xfId="17202"/>
    <cellStyle name="표준 5 7 2 2 2" xfId="17203"/>
    <cellStyle name="표준 5 7 2 2 2 2" xfId="17204"/>
    <cellStyle name="표준 5 7 2 3" xfId="17205"/>
    <cellStyle name="표준 5 7 2 3 2" xfId="17206"/>
    <cellStyle name="표준 5 7 3" xfId="17207"/>
    <cellStyle name="표준 5 7 3 2" xfId="17208"/>
    <cellStyle name="표준 5 7 3 2 2" xfId="17209"/>
    <cellStyle name="표준 5 7 3 2 2 2" xfId="17210"/>
    <cellStyle name="표준 5 7 3 3" xfId="17211"/>
    <cellStyle name="표준 5 7 3 3 2" xfId="17212"/>
    <cellStyle name="표준 5 7 4" xfId="17213"/>
    <cellStyle name="표준 5 7 4 2" xfId="17214"/>
    <cellStyle name="표준 5 7 4 2 2" xfId="17215"/>
    <cellStyle name="표준 5 7 4 2 2 2" xfId="17216"/>
    <cellStyle name="표준 5 7 4 3" xfId="17217"/>
    <cellStyle name="표준 5 7 4 3 2" xfId="17218"/>
    <cellStyle name="표준 5 7 5" xfId="17219"/>
    <cellStyle name="표준 5 7 5 2" xfId="17220"/>
    <cellStyle name="표준 5 7 5 2 2" xfId="17221"/>
    <cellStyle name="표준 5 7 6" xfId="17222"/>
    <cellStyle name="표준 5 7 7" xfId="17223"/>
    <cellStyle name="표준 5 7 7 2" xfId="17224"/>
    <cellStyle name="표준 5 7 8" xfId="17225"/>
    <cellStyle name="표준 5 7 8 2" xfId="17226"/>
    <cellStyle name="표준 5 7 9" xfId="17227"/>
    <cellStyle name="표준 5 8" xfId="17228"/>
    <cellStyle name="표준 5 8 2" xfId="17229"/>
    <cellStyle name="표준 5 8 2 2" xfId="17230"/>
    <cellStyle name="표준 5 8 2 2 2" xfId="17231"/>
    <cellStyle name="표준 5 8 2 2 2 2" xfId="17232"/>
    <cellStyle name="표준 5 8 2 3" xfId="17233"/>
    <cellStyle name="표준 5 8 2 3 2" xfId="17234"/>
    <cellStyle name="표준 5 8 3" xfId="17235"/>
    <cellStyle name="표준 5 8 3 2" xfId="17236"/>
    <cellStyle name="표준 5 8 3 2 2" xfId="17237"/>
    <cellStyle name="표준 5 8 3 2 2 2" xfId="17238"/>
    <cellStyle name="표준 5 8 3 3" xfId="17239"/>
    <cellStyle name="표준 5 8 3 3 2" xfId="17240"/>
    <cellStyle name="표준 5 8 4" xfId="17241"/>
    <cellStyle name="표준 5 8 4 2" xfId="17242"/>
    <cellStyle name="표준 5 8 4 2 2" xfId="17243"/>
    <cellStyle name="표준 5 8 4 2 2 2" xfId="17244"/>
    <cellStyle name="표준 5 8 4 3" xfId="17245"/>
    <cellStyle name="표준 5 8 4 3 2" xfId="17246"/>
    <cellStyle name="표준 5 8 5" xfId="17247"/>
    <cellStyle name="표준 5 8 5 2" xfId="17248"/>
    <cellStyle name="표준 5 8 5 2 2" xfId="17249"/>
    <cellStyle name="표준 5 8 6" xfId="17250"/>
    <cellStyle name="표준 5 8 7" xfId="17251"/>
    <cellStyle name="표준 5 8 7 2" xfId="17252"/>
    <cellStyle name="표준 5 8 8" xfId="17253"/>
    <cellStyle name="표준 5 8 8 2" xfId="17254"/>
    <cellStyle name="표준 5 8 9" xfId="17255"/>
    <cellStyle name="표준 5 9" xfId="17256"/>
    <cellStyle name="표준 5 9 2" xfId="17257"/>
    <cellStyle name="표준 5 9 3" xfId="17258"/>
    <cellStyle name="표준 5 9 3 2" xfId="17259"/>
    <cellStyle name="표준 5 9 4" xfId="17260"/>
    <cellStyle name="표준 50" xfId="17261"/>
    <cellStyle name="표준 50 2" xfId="17262"/>
    <cellStyle name="표준 50 3" xfId="17263"/>
    <cellStyle name="표준 51" xfId="17264"/>
    <cellStyle name="표준 51 2" xfId="17265"/>
    <cellStyle name="표준 51 3" xfId="17266"/>
    <cellStyle name="표준 52" xfId="17267"/>
    <cellStyle name="표준 52 2" xfId="17268"/>
    <cellStyle name="표준 52 3" xfId="17269"/>
    <cellStyle name="표준 53" xfId="17270"/>
    <cellStyle name="표준 53 2" xfId="17271"/>
    <cellStyle name="표준 53 3" xfId="17272"/>
    <cellStyle name="표준 54" xfId="17273"/>
    <cellStyle name="표준 54 2" xfId="17274"/>
    <cellStyle name="표준 54 3" xfId="17275"/>
    <cellStyle name="표준 55" xfId="17276"/>
    <cellStyle name="표준 55 2" xfId="17277"/>
    <cellStyle name="표준 55 3" xfId="17278"/>
    <cellStyle name="표준 56" xfId="17279"/>
    <cellStyle name="표준 56 2" xfId="17280"/>
    <cellStyle name="표준 56 3" xfId="17281"/>
    <cellStyle name="표준 57" xfId="17282"/>
    <cellStyle name="표준 57 2" xfId="17283"/>
    <cellStyle name="표준 57 3" xfId="17284"/>
    <cellStyle name="표준 58" xfId="17285"/>
    <cellStyle name="표준 58 2" xfId="17286"/>
    <cellStyle name="표준 58 3" xfId="17287"/>
    <cellStyle name="표준 59" xfId="17288"/>
    <cellStyle name="표준 59 2" xfId="17289"/>
    <cellStyle name="표준 59 3" xfId="17290"/>
    <cellStyle name="표준 6" xfId="17291"/>
    <cellStyle name="표준 6 10" xfId="17292"/>
    <cellStyle name="표준 6 11" xfId="17293"/>
    <cellStyle name="표준 6 12" xfId="17294"/>
    <cellStyle name="표준 6 13" xfId="17295"/>
    <cellStyle name="표준 6 14" xfId="17296"/>
    <cellStyle name="표준 6 15" xfId="17297"/>
    <cellStyle name="표준 6 16" xfId="17298"/>
    <cellStyle name="표준 6 17" xfId="17299"/>
    <cellStyle name="표준 6 18" xfId="17300"/>
    <cellStyle name="표준 6 19" xfId="17301"/>
    <cellStyle name="표준 6 2" xfId="17302"/>
    <cellStyle name="표준 6 2 10" xfId="20467"/>
    <cellStyle name="표준 6 2 2" xfId="17303"/>
    <cellStyle name="표준 6 2 2 2" xfId="17304"/>
    <cellStyle name="표준 6 2 2 2 2" xfId="23063"/>
    <cellStyle name="표준 6 2 2 3" xfId="17305"/>
    <cellStyle name="표준 6 2 2 4" xfId="17306"/>
    <cellStyle name="표준 6 2 2 5" xfId="20637"/>
    <cellStyle name="표준 6 2 3" xfId="17307"/>
    <cellStyle name="표준 6 2 3 2" xfId="17308"/>
    <cellStyle name="표준 6 2 3 3" xfId="17309"/>
    <cellStyle name="표준 6 2 3 4" xfId="17310"/>
    <cellStyle name="표준 6 2 3 4 2" xfId="17311"/>
    <cellStyle name="표준 6 2 3 5" xfId="17312"/>
    <cellStyle name="표준 6 2 4" xfId="17313"/>
    <cellStyle name="표준 6 2 4 2" xfId="17314"/>
    <cellStyle name="표준 6 2 4 3" xfId="17315"/>
    <cellStyle name="표준 6 2 4 3 2" xfId="17316"/>
    <cellStyle name="표준 6 2 5" xfId="17317"/>
    <cellStyle name="표준 6 2 5 2" xfId="17318"/>
    <cellStyle name="표준 6 2 5 2 2" xfId="17319"/>
    <cellStyle name="표준 6 2 5 3" xfId="17320"/>
    <cellStyle name="표준 6 2 5 4" xfId="17321"/>
    <cellStyle name="표준 6 2 6" xfId="17322"/>
    <cellStyle name="표준 6 2 7" xfId="17323"/>
    <cellStyle name="표준 6 2 8" xfId="17324"/>
    <cellStyle name="표준 6 2 9" xfId="20183"/>
    <cellStyle name="표준 6 20" xfId="17325"/>
    <cellStyle name="표준 6 21" xfId="17326"/>
    <cellStyle name="표준 6 22" xfId="17327"/>
    <cellStyle name="표준 6 23" xfId="17328"/>
    <cellStyle name="표준 6 24" xfId="17329"/>
    <cellStyle name="표준 6 25" xfId="17330"/>
    <cellStyle name="표준 6 26" xfId="17331"/>
    <cellStyle name="표준 6 27" xfId="17332"/>
    <cellStyle name="표준 6 28" xfId="17333"/>
    <cellStyle name="표준 6 29" xfId="17334"/>
    <cellStyle name="표준 6 3" xfId="17335"/>
    <cellStyle name="표준 6 3 2" xfId="17336"/>
    <cellStyle name="표준 6 3 2 2" xfId="17337"/>
    <cellStyle name="표준 6 3 3" xfId="17338"/>
    <cellStyle name="표준 6 3 3 2" xfId="17339"/>
    <cellStyle name="표준 6 3 4" xfId="17340"/>
    <cellStyle name="표준 6 3 4 2" xfId="17341"/>
    <cellStyle name="표준 6 3 4 2 2" xfId="17342"/>
    <cellStyle name="표준 6 3 5" xfId="17343"/>
    <cellStyle name="표준 6 3 5 2" xfId="17344"/>
    <cellStyle name="표준 6 3 5 2 2" xfId="17345"/>
    <cellStyle name="표준 6 3 6" xfId="17346"/>
    <cellStyle name="표준 6 3 7" xfId="17347"/>
    <cellStyle name="표준 6 30" xfId="17348"/>
    <cellStyle name="표준 6 31" xfId="17349"/>
    <cellStyle name="표준 6 32" xfId="17350"/>
    <cellStyle name="표준 6 33" xfId="17351"/>
    <cellStyle name="표준 6 34" xfId="17352"/>
    <cellStyle name="표준 6 35" xfId="17353"/>
    <cellStyle name="표준 6 36" xfId="17354"/>
    <cellStyle name="표준 6 37" xfId="17355"/>
    <cellStyle name="표준 6 38" xfId="17356"/>
    <cellStyle name="표준 6 39" xfId="17357"/>
    <cellStyle name="표준 6 4" xfId="17358"/>
    <cellStyle name="표준 6 4 2" xfId="17359"/>
    <cellStyle name="표준 6 4 3" xfId="17360"/>
    <cellStyle name="표준 6 4 3 2" xfId="17361"/>
    <cellStyle name="표준 6 4 4" xfId="17362"/>
    <cellStyle name="표준 6 4 4 2" xfId="17363"/>
    <cellStyle name="표준 6 4 4 2 2" xfId="17364"/>
    <cellStyle name="표준 6 4 5" xfId="17365"/>
    <cellStyle name="표준 6 4 5 2" xfId="17366"/>
    <cellStyle name="표준 6 4 5 2 2" xfId="17367"/>
    <cellStyle name="표준 6 4 6" xfId="17368"/>
    <cellStyle name="표준 6 4 7" xfId="17369"/>
    <cellStyle name="표준 6 40" xfId="17370"/>
    <cellStyle name="표준 6 41" xfId="17371"/>
    <cellStyle name="표준 6 42" xfId="17372"/>
    <cellStyle name="표준 6 43" xfId="17373"/>
    <cellStyle name="표준 6 44" xfId="17374"/>
    <cellStyle name="표준 6 45" xfId="17375"/>
    <cellStyle name="표준 6 46" xfId="17376"/>
    <cellStyle name="표준 6 47" xfId="17377"/>
    <cellStyle name="표준 6 48" xfId="17378"/>
    <cellStyle name="표준 6 49" xfId="17379"/>
    <cellStyle name="표준 6 5" xfId="17380"/>
    <cellStyle name="표준 6 5 2" xfId="17381"/>
    <cellStyle name="표준 6 5 3" xfId="17382"/>
    <cellStyle name="표준 6 5 3 2" xfId="17383"/>
    <cellStyle name="표준 6 5 3 2 2" xfId="17384"/>
    <cellStyle name="표준 6 5 4" xfId="17385"/>
    <cellStyle name="표준 6 5 5" xfId="17386"/>
    <cellStyle name="표준 6 5 5 2" xfId="17387"/>
    <cellStyle name="표준 6 50" xfId="17388"/>
    <cellStyle name="표준 6 51" xfId="17389"/>
    <cellStyle name="표준 6 52" xfId="20182"/>
    <cellStyle name="표준 6 6" xfId="17390"/>
    <cellStyle name="표준 6 7" xfId="17391"/>
    <cellStyle name="표준 6 7 2" xfId="17392"/>
    <cellStyle name="표준 6 7 2 2" xfId="17393"/>
    <cellStyle name="표준 6 7 2 2 2" xfId="17394"/>
    <cellStyle name="표준 6 7 3" xfId="17395"/>
    <cellStyle name="표준 6 7 4" xfId="17396"/>
    <cellStyle name="표준 6 7 4 2" xfId="17397"/>
    <cellStyle name="표준 6 8" xfId="17398"/>
    <cellStyle name="표준 6 8 2" xfId="17399"/>
    <cellStyle name="표준 6 8 3" xfId="17400"/>
    <cellStyle name="표준 6 8 3 2" xfId="17401"/>
    <cellStyle name="표준 6 9" xfId="17402"/>
    <cellStyle name="표준 6 9 2" xfId="17403"/>
    <cellStyle name="표준 6 9 2 2" xfId="17404"/>
    <cellStyle name="표준 6 9 3" xfId="17405"/>
    <cellStyle name="표준 6 9 4" xfId="17406"/>
    <cellStyle name="표준 60" xfId="17407"/>
    <cellStyle name="표준 60 2" xfId="17408"/>
    <cellStyle name="표준 60 3" xfId="17409"/>
    <cellStyle name="표준 61" xfId="17410"/>
    <cellStyle name="표준 61 2" xfId="17411"/>
    <cellStyle name="표준 61 3" xfId="17412"/>
    <cellStyle name="표준 62" xfId="17413"/>
    <cellStyle name="표준 62 2" xfId="17414"/>
    <cellStyle name="표준 62 3" xfId="17415"/>
    <cellStyle name="표준 62 3 2" xfId="17416"/>
    <cellStyle name="표준 62 4" xfId="17417"/>
    <cellStyle name="표준 63" xfId="17418"/>
    <cellStyle name="표준 63 11" xfId="17419"/>
    <cellStyle name="표준 63 15" xfId="17420"/>
    <cellStyle name="표준 63 16" xfId="17421"/>
    <cellStyle name="표준 63 4" xfId="17422"/>
    <cellStyle name="표준 63 6" xfId="17423"/>
    <cellStyle name="표준 63 8" xfId="17424"/>
    <cellStyle name="표준 63 9" xfId="17425"/>
    <cellStyle name="표준 64" xfId="17426"/>
    <cellStyle name="표준 64 10" xfId="17427"/>
    <cellStyle name="표준 64 12" xfId="17428"/>
    <cellStyle name="표준 64 13" xfId="17429"/>
    <cellStyle name="표준 64 14" xfId="17430"/>
    <cellStyle name="표준 64 15" xfId="17431"/>
    <cellStyle name="표준 64 16" xfId="17432"/>
    <cellStyle name="표준 64 17" xfId="17433"/>
    <cellStyle name="표준 64 18" xfId="17434"/>
    <cellStyle name="표준 64 2" xfId="17435"/>
    <cellStyle name="표준 64 3" xfId="17436"/>
    <cellStyle name="표준 64 4" xfId="17437"/>
    <cellStyle name="표준 64 5" xfId="17438"/>
    <cellStyle name="표준 64 6" xfId="17439"/>
    <cellStyle name="표준 64 7" xfId="17440"/>
    <cellStyle name="표준 64 8" xfId="17441"/>
    <cellStyle name="표준 65" xfId="17442"/>
    <cellStyle name="표준 66" xfId="17443"/>
    <cellStyle name="표준 67" xfId="17444"/>
    <cellStyle name="표준 68" xfId="17445"/>
    <cellStyle name="표준 69" xfId="17446"/>
    <cellStyle name="표준 69 2" xfId="17447"/>
    <cellStyle name="표준 69 2 2" xfId="17448"/>
    <cellStyle name="표준 69 3" xfId="17449"/>
    <cellStyle name="표준 7" xfId="17450"/>
    <cellStyle name="표준 7 10" xfId="17451"/>
    <cellStyle name="표준 7 11" xfId="17452"/>
    <cellStyle name="표준 7 11 2" xfId="17453"/>
    <cellStyle name="표준 7 11 2 2" xfId="17454"/>
    <cellStyle name="표준 7 11 3" xfId="17455"/>
    <cellStyle name="표준 7 12" xfId="17456"/>
    <cellStyle name="표준 7 12 2" xfId="17457"/>
    <cellStyle name="표준 7 13" xfId="17458"/>
    <cellStyle name="표준 7 14" xfId="17459"/>
    <cellStyle name="표준 7 15" xfId="17460"/>
    <cellStyle name="표준 7 16" xfId="17461"/>
    <cellStyle name="표준 7 17" xfId="17462"/>
    <cellStyle name="표준 7 18" xfId="17463"/>
    <cellStyle name="표준 7 19" xfId="17464"/>
    <cellStyle name="표준 7 2" xfId="17465"/>
    <cellStyle name="표준 7 2 2" xfId="17466"/>
    <cellStyle name="표준 7 2 2 2" xfId="17467"/>
    <cellStyle name="표준 7 2 2 3" xfId="17468"/>
    <cellStyle name="표준 7 2 2 3 2" xfId="17469"/>
    <cellStyle name="표준 7 2 2 4" xfId="17470"/>
    <cellStyle name="표준 7 2 3" xfId="17471"/>
    <cellStyle name="표준 7 2 3 2" xfId="17472"/>
    <cellStyle name="표준 7 2 3 3" xfId="17473"/>
    <cellStyle name="표준 7 2 3 3 2" xfId="17474"/>
    <cellStyle name="표준 7 2 4" xfId="17475"/>
    <cellStyle name="표준 7 2 4 2" xfId="17476"/>
    <cellStyle name="표준 7 2 4 2 2" xfId="17477"/>
    <cellStyle name="표준 7 2 5" xfId="17478"/>
    <cellStyle name="표준 7 20" xfId="17479"/>
    <cellStyle name="표준 7 21" xfId="17480"/>
    <cellStyle name="표준 7 22" xfId="17481"/>
    <cellStyle name="표준 7 23" xfId="17482"/>
    <cellStyle name="표준 7 24" xfId="17483"/>
    <cellStyle name="표준 7 25" xfId="17484"/>
    <cellStyle name="표준 7 26" xfId="17485"/>
    <cellStyle name="표준 7 27" xfId="17486"/>
    <cellStyle name="표준 7 28" xfId="17487"/>
    <cellStyle name="표준 7 29" xfId="17488"/>
    <cellStyle name="표준 7 3" xfId="17489"/>
    <cellStyle name="표준 7 3 2" xfId="17490"/>
    <cellStyle name="표준 7 3 3" xfId="17491"/>
    <cellStyle name="표준 7 3 3 2" xfId="17492"/>
    <cellStyle name="표준 7 3 4" xfId="17493"/>
    <cellStyle name="표준 7 3 4 2" xfId="17494"/>
    <cellStyle name="표준 7 3 4 2 2" xfId="17495"/>
    <cellStyle name="표준 7 3 5" xfId="17496"/>
    <cellStyle name="표준 7 3 5 2" xfId="17497"/>
    <cellStyle name="표준 7 3 5 2 2" xfId="17498"/>
    <cellStyle name="표준 7 3 6" xfId="17499"/>
    <cellStyle name="표준 7 3 7" xfId="17500"/>
    <cellStyle name="표준 7 3 8" xfId="17501"/>
    <cellStyle name="표준 7 30" xfId="17502"/>
    <cellStyle name="표준 7 31" xfId="17503"/>
    <cellStyle name="표준 7 32" xfId="17504"/>
    <cellStyle name="표준 7 33" xfId="17505"/>
    <cellStyle name="표준 7 34" xfId="17506"/>
    <cellStyle name="표준 7 35" xfId="17507"/>
    <cellStyle name="표준 7 36" xfId="17508"/>
    <cellStyle name="표준 7 37" xfId="17509"/>
    <cellStyle name="표준 7 38" xfId="17510"/>
    <cellStyle name="표준 7 39" xfId="17511"/>
    <cellStyle name="표준 7 4" xfId="17512"/>
    <cellStyle name="표준 7 4 2" xfId="17513"/>
    <cellStyle name="표준 7 4 2 2" xfId="17514"/>
    <cellStyle name="표준 7 4 2 3" xfId="17515"/>
    <cellStyle name="표준 7 4 2 4" xfId="17516"/>
    <cellStyle name="표준 7 4 3" xfId="17517"/>
    <cellStyle name="표준 7 4 3 2" xfId="17518"/>
    <cellStyle name="표준 7 4 3 3" xfId="17519"/>
    <cellStyle name="표준 7 4 3 4" xfId="17520"/>
    <cellStyle name="표준 7 4 4" xfId="17521"/>
    <cellStyle name="표준 7 4 4 2" xfId="17522"/>
    <cellStyle name="표준 7 4 4 2 2" xfId="17523"/>
    <cellStyle name="표준 7 4 5" xfId="17524"/>
    <cellStyle name="표준 7 4 5 2" xfId="17525"/>
    <cellStyle name="표준 7 4 5 2 2" xfId="17526"/>
    <cellStyle name="표준 7 4 6" xfId="17527"/>
    <cellStyle name="표준 7 4 7" xfId="17528"/>
    <cellStyle name="표준 7 4 8" xfId="17529"/>
    <cellStyle name="표준 7 4 9" xfId="17530"/>
    <cellStyle name="표준 7 4 9 2" xfId="17531"/>
    <cellStyle name="표준 7 40" xfId="17532"/>
    <cellStyle name="표준 7 41" xfId="17533"/>
    <cellStyle name="표준 7 42" xfId="17534"/>
    <cellStyle name="표준 7 42 10" xfId="17535"/>
    <cellStyle name="표준 7 42 11" xfId="17536"/>
    <cellStyle name="표준 7 42 12" xfId="17537"/>
    <cellStyle name="표준 7 42 13" xfId="17538"/>
    <cellStyle name="표준 7 42 14" xfId="17539"/>
    <cellStyle name="표준 7 42 2" xfId="17540"/>
    <cellStyle name="표준 7 42 3" xfId="17541"/>
    <cellStyle name="표준 7 42 4" xfId="17542"/>
    <cellStyle name="표준 7 42 5" xfId="17543"/>
    <cellStyle name="표준 7 42 6" xfId="17544"/>
    <cellStyle name="표준 7 42 7" xfId="17545"/>
    <cellStyle name="표준 7 42 8" xfId="17546"/>
    <cellStyle name="표준 7 42 9" xfId="17547"/>
    <cellStyle name="표준 7 43" xfId="17548"/>
    <cellStyle name="표준 7 44" xfId="17549"/>
    <cellStyle name="표준 7 44 2" xfId="17550"/>
    <cellStyle name="표준 7 45" xfId="17551"/>
    <cellStyle name="표준 7 45 2" xfId="17552"/>
    <cellStyle name="표준 7 46" xfId="17553"/>
    <cellStyle name="표준 7 46 2" xfId="17554"/>
    <cellStyle name="표준 7 47" xfId="17555"/>
    <cellStyle name="표준 7 47 2" xfId="17556"/>
    <cellStyle name="표준 7 48" xfId="17557"/>
    <cellStyle name="표준 7 48 2" xfId="17558"/>
    <cellStyle name="표준 7 49" xfId="17559"/>
    <cellStyle name="표준 7 49 2" xfId="17560"/>
    <cellStyle name="표준 7 5" xfId="17561"/>
    <cellStyle name="표준 7 5 2" xfId="17562"/>
    <cellStyle name="표준 7 5 2 2" xfId="17563"/>
    <cellStyle name="표준 7 5 3" xfId="17564"/>
    <cellStyle name="표준 7 5 3 2" xfId="17565"/>
    <cellStyle name="표준 7 5 3 2 2" xfId="17566"/>
    <cellStyle name="표준 7 5 4" xfId="17567"/>
    <cellStyle name="표준 7 5 4 2" xfId="17568"/>
    <cellStyle name="표준 7 50" xfId="17569"/>
    <cellStyle name="표준 7 50 2" xfId="17570"/>
    <cellStyle name="표준 7 51" xfId="17571"/>
    <cellStyle name="표준 7 51 2" xfId="17572"/>
    <cellStyle name="표준 7 52" xfId="17573"/>
    <cellStyle name="표준 7 52 2" xfId="17574"/>
    <cellStyle name="표준 7 53" xfId="17575"/>
    <cellStyle name="표준 7 53 2" xfId="17576"/>
    <cellStyle name="표준 7 54" xfId="17577"/>
    <cellStyle name="표준 7 54 2" xfId="17578"/>
    <cellStyle name="표준 7 55" xfId="17579"/>
    <cellStyle name="표준 7 56" xfId="17580"/>
    <cellStyle name="표준 7 57" xfId="17581"/>
    <cellStyle name="표준 7 58" xfId="20464"/>
    <cellStyle name="표준 7 6" xfId="17582"/>
    <cellStyle name="표준 7 6 2" xfId="17583"/>
    <cellStyle name="표준 7 6 3" xfId="17584"/>
    <cellStyle name="표준 7 6 3 2" xfId="17585"/>
    <cellStyle name="표준 7 6 4" xfId="17586"/>
    <cellStyle name="표준 7 7" xfId="17587"/>
    <cellStyle name="표준 7 7 2" xfId="17588"/>
    <cellStyle name="표준 7 7 2 2" xfId="17589"/>
    <cellStyle name="표준 7 7 2 2 2" xfId="17590"/>
    <cellStyle name="표준 7 7 3" xfId="17591"/>
    <cellStyle name="표준 7 7 3 2" xfId="17592"/>
    <cellStyle name="표준 7 8" xfId="17593"/>
    <cellStyle name="표준 7 8 2" xfId="17594"/>
    <cellStyle name="표준 7 8 2 2" xfId="17595"/>
    <cellStyle name="표준 7 9" xfId="17596"/>
    <cellStyle name="표준 7 9 2" xfId="17597"/>
    <cellStyle name="표준 7 9 2 2" xfId="17598"/>
    <cellStyle name="표준 70" xfId="17599"/>
    <cellStyle name="표준 70 10" xfId="17600"/>
    <cellStyle name="표준 70 11" xfId="17601"/>
    <cellStyle name="표준 70 12" xfId="17602"/>
    <cellStyle name="표준 70 13" xfId="17603"/>
    <cellStyle name="표준 70 2" xfId="17604"/>
    <cellStyle name="표준 70 3" xfId="17605"/>
    <cellStyle name="표준 70 4" xfId="17606"/>
    <cellStyle name="표준 70 5" xfId="17607"/>
    <cellStyle name="표준 70 6" xfId="17608"/>
    <cellStyle name="표준 70 7" xfId="17609"/>
    <cellStyle name="표준 70 8" xfId="17610"/>
    <cellStyle name="표준 70 9" xfId="17611"/>
    <cellStyle name="표준 71" xfId="17612"/>
    <cellStyle name="표준 71 10" xfId="17613"/>
    <cellStyle name="표준 71 11" xfId="17614"/>
    <cellStyle name="표준 71 12" xfId="17615"/>
    <cellStyle name="표준 71 13" xfId="17616"/>
    <cellStyle name="표준 71 2" xfId="17617"/>
    <cellStyle name="표준 71 3" xfId="17618"/>
    <cellStyle name="표준 71 4" xfId="17619"/>
    <cellStyle name="표준 71 5" xfId="17620"/>
    <cellStyle name="표준 71 6" xfId="17621"/>
    <cellStyle name="표준 71 7" xfId="17622"/>
    <cellStyle name="표준 71 8" xfId="17623"/>
    <cellStyle name="표준 71 9" xfId="17624"/>
    <cellStyle name="표준 72" xfId="17625"/>
    <cellStyle name="표준 72 10" xfId="17626"/>
    <cellStyle name="표준 72 11" xfId="17627"/>
    <cellStyle name="표준 72 12" xfId="17628"/>
    <cellStyle name="표준 72 13" xfId="17629"/>
    <cellStyle name="표준 72 14" xfId="17630"/>
    <cellStyle name="표준 72 15" xfId="17631"/>
    <cellStyle name="표준 72 2" xfId="17632"/>
    <cellStyle name="표준 72 2 2" xfId="17633"/>
    <cellStyle name="표준 72 2 3" xfId="17634"/>
    <cellStyle name="표준 72 3" xfId="17635"/>
    <cellStyle name="표준 72 4" xfId="17636"/>
    <cellStyle name="표준 72 5" xfId="17637"/>
    <cellStyle name="표준 72 6" xfId="17638"/>
    <cellStyle name="표준 72 7" xfId="17639"/>
    <cellStyle name="표준 72 8" xfId="17640"/>
    <cellStyle name="표준 72 9" xfId="17641"/>
    <cellStyle name="표준 73" xfId="17642"/>
    <cellStyle name="표준 73 10" xfId="17643"/>
    <cellStyle name="표준 73 11" xfId="17644"/>
    <cellStyle name="표준 73 12" xfId="17645"/>
    <cellStyle name="표준 73 13" xfId="17646"/>
    <cellStyle name="표준 73 14" xfId="17647"/>
    <cellStyle name="표준 73 2" xfId="17648"/>
    <cellStyle name="표준 73 2 2" xfId="17649"/>
    <cellStyle name="표준 73 2 2 2" xfId="17650"/>
    <cellStyle name="표준 73 2 3" xfId="17651"/>
    <cellStyle name="표준 73 3" xfId="17652"/>
    <cellStyle name="표준 73 4" xfId="17653"/>
    <cellStyle name="표준 73 5" xfId="17654"/>
    <cellStyle name="표준 73 6" xfId="17655"/>
    <cellStyle name="표준 73 7" xfId="17656"/>
    <cellStyle name="표준 73 8" xfId="17657"/>
    <cellStyle name="표준 73 9" xfId="17658"/>
    <cellStyle name="표준 74" xfId="17659"/>
    <cellStyle name="표준 74 10" xfId="17660"/>
    <cellStyle name="표준 74 11" xfId="17661"/>
    <cellStyle name="표준 74 12" xfId="17662"/>
    <cellStyle name="표준 74 13" xfId="17663"/>
    <cellStyle name="표준 74 2" xfId="17664"/>
    <cellStyle name="표준 74 3" xfId="17665"/>
    <cellStyle name="표준 74 4" xfId="17666"/>
    <cellStyle name="표준 74 5" xfId="17667"/>
    <cellStyle name="표준 74 6" xfId="17668"/>
    <cellStyle name="표준 74 7" xfId="17669"/>
    <cellStyle name="표준 74 8" xfId="17670"/>
    <cellStyle name="표준 74 9" xfId="17671"/>
    <cellStyle name="표준 75" xfId="17672"/>
    <cellStyle name="표준 75 10" xfId="17673"/>
    <cellStyle name="표준 75 11" xfId="17674"/>
    <cellStyle name="표준 75 12" xfId="17675"/>
    <cellStyle name="표준 75 13" xfId="17676"/>
    <cellStyle name="표준 75 14" xfId="17677"/>
    <cellStyle name="표준 75 15" xfId="17678"/>
    <cellStyle name="표준 75 2" xfId="17679"/>
    <cellStyle name="표준 75 2 2" xfId="17680"/>
    <cellStyle name="표준 75 2 3" xfId="17681"/>
    <cellStyle name="표준 75 3" xfId="17682"/>
    <cellStyle name="표준 75 4" xfId="17683"/>
    <cellStyle name="표준 75 5" xfId="17684"/>
    <cellStyle name="표준 75 6" xfId="17685"/>
    <cellStyle name="표준 75 7" xfId="17686"/>
    <cellStyle name="표준 75 8" xfId="17687"/>
    <cellStyle name="표준 75 9" xfId="17688"/>
    <cellStyle name="표준 76" xfId="17689"/>
    <cellStyle name="표준 76 10" xfId="17690"/>
    <cellStyle name="표준 76 11" xfId="17691"/>
    <cellStyle name="표준 76 12" xfId="17692"/>
    <cellStyle name="표준 76 13" xfId="17693"/>
    <cellStyle name="표준 76 14" xfId="17694"/>
    <cellStyle name="표준 76 15" xfId="17695"/>
    <cellStyle name="표준 76 2" xfId="17696"/>
    <cellStyle name="표준 76 2 2" xfId="17697"/>
    <cellStyle name="표준 76 2 3" xfId="17698"/>
    <cellStyle name="표준 76 3" xfId="17699"/>
    <cellStyle name="표준 76 4" xfId="17700"/>
    <cellStyle name="표준 76 5" xfId="17701"/>
    <cellStyle name="표준 76 6" xfId="17702"/>
    <cellStyle name="표준 76 7" xfId="17703"/>
    <cellStyle name="표준 76 8" xfId="17704"/>
    <cellStyle name="표준 76 9" xfId="17705"/>
    <cellStyle name="표준 77" xfId="17706"/>
    <cellStyle name="표준 77 10" xfId="17707"/>
    <cellStyle name="표준 77 11" xfId="17708"/>
    <cellStyle name="표준 77 12" xfId="17709"/>
    <cellStyle name="표준 77 13" xfId="17710"/>
    <cellStyle name="표준 77 14" xfId="17711"/>
    <cellStyle name="표준 77 15" xfId="17712"/>
    <cellStyle name="표준 77 2" xfId="17713"/>
    <cellStyle name="표준 77 2 2" xfId="17714"/>
    <cellStyle name="표준 77 2 3" xfId="17715"/>
    <cellStyle name="표준 77 3" xfId="17716"/>
    <cellStyle name="표준 77 4" xfId="17717"/>
    <cellStyle name="표준 77 5" xfId="17718"/>
    <cellStyle name="표준 77 6" xfId="17719"/>
    <cellStyle name="표준 77 7" xfId="17720"/>
    <cellStyle name="표준 77 8" xfId="17721"/>
    <cellStyle name="표준 77 9" xfId="17722"/>
    <cellStyle name="표준 78" xfId="17723"/>
    <cellStyle name="표준 78 10" xfId="17724"/>
    <cellStyle name="표준 78 11" xfId="17725"/>
    <cellStyle name="표준 78 12" xfId="17726"/>
    <cellStyle name="표준 78 13" xfId="17727"/>
    <cellStyle name="표준 78 2" xfId="17728"/>
    <cellStyle name="표준 78 3" xfId="17729"/>
    <cellStyle name="표준 78 4" xfId="17730"/>
    <cellStyle name="표준 78 5" xfId="17731"/>
    <cellStyle name="표준 78 6" xfId="17732"/>
    <cellStyle name="표준 78 7" xfId="17733"/>
    <cellStyle name="표준 78 8" xfId="17734"/>
    <cellStyle name="표준 78 9" xfId="17735"/>
    <cellStyle name="표준 79" xfId="17736"/>
    <cellStyle name="표준 79 2" xfId="17737"/>
    <cellStyle name="표준 8" xfId="17738"/>
    <cellStyle name="표준 8 10" xfId="17739"/>
    <cellStyle name="표준 8 11" xfId="17740"/>
    <cellStyle name="표준 8 11 2" xfId="17741"/>
    <cellStyle name="표준 8 11 2 2" xfId="17742"/>
    <cellStyle name="표준 8 11 3" xfId="17743"/>
    <cellStyle name="표준 8 12" xfId="17744"/>
    <cellStyle name="표준 8 12 2" xfId="17745"/>
    <cellStyle name="표준 8 13" xfId="17746"/>
    <cellStyle name="표준 8 14" xfId="17747"/>
    <cellStyle name="표준 8 15" xfId="17748"/>
    <cellStyle name="표준 8 16" xfId="17749"/>
    <cellStyle name="표준 8 17" xfId="17750"/>
    <cellStyle name="표준 8 18" xfId="17751"/>
    <cellStyle name="표준 8 19" xfId="17752"/>
    <cellStyle name="표준 8 2" xfId="17753"/>
    <cellStyle name="표준 8 2 2" xfId="17754"/>
    <cellStyle name="표준 8 2 2 2" xfId="17755"/>
    <cellStyle name="표준 8 2 2 2 2" xfId="17756"/>
    <cellStyle name="표준 8 2 2 2 2 2" xfId="17757"/>
    <cellStyle name="표준 8 2 2 2 2 2 2" xfId="17758"/>
    <cellStyle name="표준 8 2 2 2 3" xfId="17759"/>
    <cellStyle name="표준 8 2 2 2 3 2" xfId="17760"/>
    <cellStyle name="표준 8 2 2 3" xfId="17761"/>
    <cellStyle name="표준 8 2 2 3 2" xfId="17762"/>
    <cellStyle name="표준 8 2 2 3 2 2" xfId="17763"/>
    <cellStyle name="표준 8 2 2 4" xfId="17764"/>
    <cellStyle name="표준 8 2 2 4 2" xfId="17765"/>
    <cellStyle name="표준 8 2 3" xfId="17766"/>
    <cellStyle name="표준 8 2 3 2" xfId="17767"/>
    <cellStyle name="표준 8 2 3 3" xfId="17768"/>
    <cellStyle name="표준 8 2 3 3 2" xfId="17769"/>
    <cellStyle name="표준 8 2 3 3 2 2" xfId="17770"/>
    <cellStyle name="표준 8 2 3 4" xfId="17771"/>
    <cellStyle name="표준 8 2 3 4 2" xfId="17772"/>
    <cellStyle name="표준 8 2 4" xfId="17773"/>
    <cellStyle name="표준 8 2 5" xfId="17774"/>
    <cellStyle name="표준 8 2 5 2" xfId="17775"/>
    <cellStyle name="표준 8 2 5 2 2" xfId="17776"/>
    <cellStyle name="표준 8 2 5 2 2 2" xfId="17777"/>
    <cellStyle name="표준 8 2 5 3" xfId="17778"/>
    <cellStyle name="표준 8 2 5 3 2" xfId="17779"/>
    <cellStyle name="표준 8 2 6" xfId="17780"/>
    <cellStyle name="표준 8 2 6 2" xfId="17781"/>
    <cellStyle name="표준 8 2 6 2 2" xfId="17782"/>
    <cellStyle name="표준 8 2 6 2 2 2" xfId="17783"/>
    <cellStyle name="표준 8 2 6 3" xfId="17784"/>
    <cellStyle name="표준 8 2 6 3 2" xfId="17785"/>
    <cellStyle name="표준 8 2 7" xfId="17786"/>
    <cellStyle name="표준 8 2 7 2" xfId="17787"/>
    <cellStyle name="표준 8 2 7 2 2" xfId="17788"/>
    <cellStyle name="표준 8 20" xfId="17789"/>
    <cellStyle name="표준 8 21" xfId="17790"/>
    <cellStyle name="표준 8 22" xfId="17791"/>
    <cellStyle name="표준 8 23" xfId="17792"/>
    <cellStyle name="표준 8 24" xfId="17793"/>
    <cellStyle name="표준 8 25" xfId="17794"/>
    <cellStyle name="표준 8 26" xfId="17795"/>
    <cellStyle name="표준 8 27" xfId="17796"/>
    <cellStyle name="표준 8 28" xfId="17797"/>
    <cellStyle name="표준 8 29" xfId="17798"/>
    <cellStyle name="표준 8 3" xfId="17799"/>
    <cellStyle name="표준 8 3 10" xfId="17800"/>
    <cellStyle name="표준 8 3 11" xfId="17801"/>
    <cellStyle name="표준 8 3 11 2" xfId="17802"/>
    <cellStyle name="표준 8 3 2" xfId="17803"/>
    <cellStyle name="표준 8 3 2 2" xfId="17804"/>
    <cellStyle name="표준 8 3 2 2 2" xfId="17805"/>
    <cellStyle name="표준 8 3 2 2 2 2" xfId="17806"/>
    <cellStyle name="표준 8 3 2 2 2 2 2" xfId="17807"/>
    <cellStyle name="표준 8 3 2 2 3" xfId="17808"/>
    <cellStyle name="표준 8 3 2 2 3 2" xfId="17809"/>
    <cellStyle name="표준 8 3 2 3" xfId="17810"/>
    <cellStyle name="표준 8 3 2 3 2" xfId="17811"/>
    <cellStyle name="표준 8 3 2 3 2 2" xfId="17812"/>
    <cellStyle name="표준 8 3 2 4" xfId="17813"/>
    <cellStyle name="표준 8 3 2 4 2" xfId="17814"/>
    <cellStyle name="표준 8 3 2 5" xfId="17815"/>
    <cellStyle name="표준 8 3 2 6" xfId="17816"/>
    <cellStyle name="표준 8 3 3" xfId="17817"/>
    <cellStyle name="표준 8 3 3 2" xfId="17818"/>
    <cellStyle name="표준 8 3 3 2 2" xfId="17819"/>
    <cellStyle name="표준 8 3 3 3" xfId="17820"/>
    <cellStyle name="표준 8 3 3 3 2" xfId="17821"/>
    <cellStyle name="표준 8 3 3 3 2 2" xfId="17822"/>
    <cellStyle name="표준 8 3 3 4" xfId="17823"/>
    <cellStyle name="표준 8 3 3 4 2" xfId="17824"/>
    <cellStyle name="표준 8 3 3 5" xfId="17825"/>
    <cellStyle name="표준 8 3 3 6" xfId="17826"/>
    <cellStyle name="표준 8 3 4" xfId="17827"/>
    <cellStyle name="표준 8 3 4 2" xfId="17828"/>
    <cellStyle name="표준 8 3 5" xfId="17829"/>
    <cellStyle name="표준 8 3 5 2" xfId="17830"/>
    <cellStyle name="표준 8 3 5 2 2" xfId="17831"/>
    <cellStyle name="표준 8 3 5 2 2 2" xfId="17832"/>
    <cellStyle name="표준 8 3 5 3" xfId="17833"/>
    <cellStyle name="표준 8 3 5 3 2" xfId="17834"/>
    <cellStyle name="표준 8 3 6" xfId="17835"/>
    <cellStyle name="표준 8 3 6 2" xfId="17836"/>
    <cellStyle name="표준 8 3 6 2 2" xfId="17837"/>
    <cellStyle name="표준 8 3 6 2 2 2" xfId="17838"/>
    <cellStyle name="표준 8 3 6 3" xfId="17839"/>
    <cellStyle name="표준 8 3 6 3 2" xfId="17840"/>
    <cellStyle name="표준 8 3 7" xfId="17841"/>
    <cellStyle name="표준 8 3 7 2" xfId="17842"/>
    <cellStyle name="표준 8 3 7 2 2" xfId="17843"/>
    <cellStyle name="표준 8 3 8" xfId="17844"/>
    <cellStyle name="표준 8 3 9" xfId="17845"/>
    <cellStyle name="표준 8 30" xfId="17846"/>
    <cellStyle name="표준 8 31" xfId="17847"/>
    <cellStyle name="표준 8 32" xfId="17848"/>
    <cellStyle name="표준 8 33" xfId="17849"/>
    <cellStyle name="표준 8 34" xfId="17850"/>
    <cellStyle name="표준 8 35" xfId="17851"/>
    <cellStyle name="표준 8 36" xfId="17852"/>
    <cellStyle name="표준 8 37" xfId="17853"/>
    <cellStyle name="표준 8 38" xfId="17854"/>
    <cellStyle name="표준 8 39" xfId="17855"/>
    <cellStyle name="표준 8 4" xfId="17856"/>
    <cellStyle name="표준 8 4 2" xfId="17857"/>
    <cellStyle name="표준 8 4 2 2" xfId="17858"/>
    <cellStyle name="표준 8 4 3" xfId="17859"/>
    <cellStyle name="표준 8 4 3 2" xfId="17860"/>
    <cellStyle name="표준 8 4 4" xfId="17861"/>
    <cellStyle name="표준 8 4 4 2" xfId="17862"/>
    <cellStyle name="표준 8 4 4 2 2" xfId="17863"/>
    <cellStyle name="표준 8 4 5" xfId="17864"/>
    <cellStyle name="표준 8 4 5 2" xfId="17865"/>
    <cellStyle name="표준 8 4 5 2 2" xfId="17866"/>
    <cellStyle name="표준 8 4 6" xfId="17867"/>
    <cellStyle name="표준 8 4 7" xfId="17868"/>
    <cellStyle name="표준 8 4 8" xfId="17869"/>
    <cellStyle name="표준 8 40" xfId="17870"/>
    <cellStyle name="표준 8 41" xfId="17871"/>
    <cellStyle name="표준 8 42" xfId="17872"/>
    <cellStyle name="표준 8 43" xfId="17873"/>
    <cellStyle name="표준 8 44" xfId="17874"/>
    <cellStyle name="표준 8 45" xfId="17875"/>
    <cellStyle name="표준 8 46" xfId="17876"/>
    <cellStyle name="표준 8 47" xfId="17877"/>
    <cellStyle name="표준 8 48" xfId="17878"/>
    <cellStyle name="표준 8 49" xfId="17879"/>
    <cellStyle name="표준 8 5" xfId="17880"/>
    <cellStyle name="표준 8 5 2" xfId="17881"/>
    <cellStyle name="표준 8 5 2 2" xfId="17882"/>
    <cellStyle name="표준 8 5 2 2 2" xfId="17883"/>
    <cellStyle name="표준 8 5 3" xfId="17884"/>
    <cellStyle name="표준 8 5 3 2" xfId="17885"/>
    <cellStyle name="표준 8 50" xfId="17886"/>
    <cellStyle name="표준 8 51" xfId="17887"/>
    <cellStyle name="표준 8 52" xfId="17888"/>
    <cellStyle name="표준 8 53" xfId="17889"/>
    <cellStyle name="표준 8 6" xfId="17890"/>
    <cellStyle name="표준 8 6 2" xfId="17891"/>
    <cellStyle name="표준 8 7" xfId="17892"/>
    <cellStyle name="표준 8 7 2" xfId="17893"/>
    <cellStyle name="표준 8 7 2 2" xfId="17894"/>
    <cellStyle name="표준 8 7 2 2 2" xfId="17895"/>
    <cellStyle name="표준 8 7 3" xfId="17896"/>
    <cellStyle name="표준 8 7 3 2" xfId="17897"/>
    <cellStyle name="표준 8 8" xfId="17898"/>
    <cellStyle name="표준 8 8 2" xfId="17899"/>
    <cellStyle name="표준 8 8 2 2" xfId="17900"/>
    <cellStyle name="표준 8 9" xfId="17901"/>
    <cellStyle name="표준 80" xfId="17902"/>
    <cellStyle name="표준 80 2" xfId="17903"/>
    <cellStyle name="표준 81" xfId="17904"/>
    <cellStyle name="표준 82" xfId="17905"/>
    <cellStyle name="표준 83" xfId="18200"/>
    <cellStyle name="표준 84" xfId="17906"/>
    <cellStyle name="표준 85" xfId="17907"/>
    <cellStyle name="표준 86" xfId="17908"/>
    <cellStyle name="표준 87" xfId="20679"/>
    <cellStyle name="표준 88" xfId="23064"/>
    <cellStyle name="표준 89" xfId="23065"/>
    <cellStyle name="표준 9" xfId="17909"/>
    <cellStyle name="표준 9 10" xfId="17910"/>
    <cellStyle name="표준 9 10 2" xfId="17911"/>
    <cellStyle name="표준 9 11" xfId="17912"/>
    <cellStyle name="표준 9 11 2" xfId="17913"/>
    <cellStyle name="표준 9 12" xfId="17914"/>
    <cellStyle name="표준 9 13" xfId="17915"/>
    <cellStyle name="표준 9 14" xfId="17916"/>
    <cellStyle name="표준 9 15" xfId="17917"/>
    <cellStyle name="표준 9 16" xfId="17918"/>
    <cellStyle name="표준 9 17" xfId="17919"/>
    <cellStyle name="표준 9 18" xfId="17920"/>
    <cellStyle name="표준 9 19" xfId="17921"/>
    <cellStyle name="표준 9 2" xfId="17922"/>
    <cellStyle name="표준 9 2 2" xfId="17923"/>
    <cellStyle name="표준 9 2 2 2" xfId="17924"/>
    <cellStyle name="표준 9 2 2 3" xfId="17925"/>
    <cellStyle name="표준 9 2 2 3 2" xfId="17926"/>
    <cellStyle name="표준 9 2 2 4" xfId="17927"/>
    <cellStyle name="표준 9 2 3" xfId="17928"/>
    <cellStyle name="표준 9 2 3 2" xfId="17929"/>
    <cellStyle name="표준 9 2 3 3" xfId="17930"/>
    <cellStyle name="표준 9 2 3 3 2" xfId="17931"/>
    <cellStyle name="표준 9 2 4" xfId="17932"/>
    <cellStyle name="표준 9 2 4 2" xfId="17933"/>
    <cellStyle name="표준 9 2 4 2 2" xfId="17934"/>
    <cellStyle name="표준 9 2 5" xfId="17935"/>
    <cellStyle name="표준 9 20" xfId="17936"/>
    <cellStyle name="표준 9 21" xfId="17937"/>
    <cellStyle name="표준 9 22" xfId="17938"/>
    <cellStyle name="표준 9 23" xfId="17939"/>
    <cellStyle name="표준 9 24" xfId="17940"/>
    <cellStyle name="표준 9 25" xfId="17941"/>
    <cellStyle name="표준 9 26" xfId="17942"/>
    <cellStyle name="표준 9 27" xfId="17943"/>
    <cellStyle name="표준 9 28" xfId="17944"/>
    <cellStyle name="표준 9 29" xfId="17945"/>
    <cellStyle name="표준 9 3" xfId="17946"/>
    <cellStyle name="표준 9 3 2" xfId="17947"/>
    <cellStyle name="표준 9 3 2 2" xfId="17948"/>
    <cellStyle name="표준 9 3 2 3" xfId="17949"/>
    <cellStyle name="표준 9 3 3" xfId="17950"/>
    <cellStyle name="표준 9 3 3 2" xfId="17951"/>
    <cellStyle name="표준 9 3 3 2 2" xfId="17952"/>
    <cellStyle name="표준 9 3 4" xfId="17953"/>
    <cellStyle name="표준 9 3 4 2" xfId="17954"/>
    <cellStyle name="표준 9 3 4 2 2" xfId="17955"/>
    <cellStyle name="표준 9 3 5" xfId="17956"/>
    <cellStyle name="표준 9 3 6" xfId="17957"/>
    <cellStyle name="표준 9 3 7" xfId="17958"/>
    <cellStyle name="표준 9 30" xfId="17959"/>
    <cellStyle name="표준 9 31" xfId="17960"/>
    <cellStyle name="표준 9 32" xfId="17961"/>
    <cellStyle name="표준 9 33" xfId="17962"/>
    <cellStyle name="표준 9 34" xfId="17963"/>
    <cellStyle name="표준 9 35" xfId="17964"/>
    <cellStyle name="표준 9 36" xfId="17965"/>
    <cellStyle name="표준 9 37" xfId="17966"/>
    <cellStyle name="표준 9 38" xfId="17967"/>
    <cellStyle name="표준 9 39" xfId="17968"/>
    <cellStyle name="표준 9 4" xfId="17969"/>
    <cellStyle name="표준 9 4 2" xfId="17970"/>
    <cellStyle name="표준 9 4 2 2" xfId="17971"/>
    <cellStyle name="표준 9 4 2 3" xfId="17972"/>
    <cellStyle name="표준 9 4 3" xfId="17973"/>
    <cellStyle name="표준 9 4 3 2" xfId="17974"/>
    <cellStyle name="표준 9 4 3 2 2" xfId="17975"/>
    <cellStyle name="표준 9 4 3 3" xfId="17976"/>
    <cellStyle name="표준 9 4 3 4" xfId="17977"/>
    <cellStyle name="표준 9 4 4" xfId="17978"/>
    <cellStyle name="표준 9 4 4 2" xfId="17979"/>
    <cellStyle name="표준 9 4 4 2 2" xfId="17980"/>
    <cellStyle name="표준 9 4 4 3" xfId="17981"/>
    <cellStyle name="표준 9 4 4 4" xfId="17982"/>
    <cellStyle name="표준 9 4 5" xfId="17983"/>
    <cellStyle name="표준 9 4 6" xfId="17984"/>
    <cellStyle name="표준 9 4 7" xfId="17985"/>
    <cellStyle name="표준 9 4 7 2" xfId="17986"/>
    <cellStyle name="표준 9 4 8" xfId="17987"/>
    <cellStyle name="표준 9 40" xfId="17988"/>
    <cellStyle name="표준 9 41" xfId="17989"/>
    <cellStyle name="표준 9 42" xfId="17990"/>
    <cellStyle name="표준 9 43" xfId="17991"/>
    <cellStyle name="표준 9 44" xfId="17992"/>
    <cellStyle name="표준 9 45" xfId="17993"/>
    <cellStyle name="표준 9 46" xfId="17994"/>
    <cellStyle name="표준 9 47" xfId="17995"/>
    <cellStyle name="표준 9 48" xfId="17996"/>
    <cellStyle name="표준 9 49" xfId="17997"/>
    <cellStyle name="표준 9 5" xfId="17998"/>
    <cellStyle name="표준 9 5 2" xfId="17999"/>
    <cellStyle name="표준 9 5 2 2" xfId="18000"/>
    <cellStyle name="표준 9 5 2 2 2" xfId="18001"/>
    <cellStyle name="표준 9 5 3" xfId="18002"/>
    <cellStyle name="표준 9 5 4" xfId="18003"/>
    <cellStyle name="표준 9 5 4 2" xfId="18004"/>
    <cellStyle name="표준 9 50" xfId="18005"/>
    <cellStyle name="표준 9 51" xfId="18006"/>
    <cellStyle name="표준 9 52" xfId="18007"/>
    <cellStyle name="표준 9 53" xfId="18008"/>
    <cellStyle name="표준 9 54" xfId="20457"/>
    <cellStyle name="표준 9 6" xfId="18009"/>
    <cellStyle name="표준 9 7" xfId="18010"/>
    <cellStyle name="표준 9 7 2" xfId="18011"/>
    <cellStyle name="표준 9 7 2 2" xfId="18012"/>
    <cellStyle name="표준 9 7 2 2 2" xfId="18013"/>
    <cellStyle name="표준 9 7 3" xfId="18014"/>
    <cellStyle name="표준 9 7 4" xfId="18015"/>
    <cellStyle name="표준 9 7 4 2" xfId="18016"/>
    <cellStyle name="표준 9 8" xfId="18017"/>
    <cellStyle name="표준 9 8 2" xfId="18018"/>
    <cellStyle name="표준 9 8 3" xfId="18019"/>
    <cellStyle name="표준 9 8 3 2" xfId="18020"/>
    <cellStyle name="표준 9 9" xfId="18021"/>
    <cellStyle name="표준 9 9 2" xfId="18022"/>
    <cellStyle name="표준 9 9 3" xfId="18023"/>
    <cellStyle name="표준 9 9 3 2" xfId="18024"/>
    <cellStyle name="표준 9 9 4" xfId="18025"/>
    <cellStyle name="표준 9 9 4 2" xfId="18026"/>
    <cellStyle name="표준 9 9 5" xfId="18027"/>
    <cellStyle name="표준 90" xfId="18028"/>
    <cellStyle name="표준 90 10" xfId="18029"/>
    <cellStyle name="표준 90 11" xfId="18030"/>
    <cellStyle name="표준 90 12" xfId="18031"/>
    <cellStyle name="표준 90 13" xfId="18032"/>
    <cellStyle name="표준 90 2" xfId="18033"/>
    <cellStyle name="표준 90 3" xfId="18034"/>
    <cellStyle name="표준 90 4" xfId="18035"/>
    <cellStyle name="표준 90 5" xfId="18036"/>
    <cellStyle name="표준 90 6" xfId="18037"/>
    <cellStyle name="표준 90 7" xfId="18038"/>
    <cellStyle name="표준 90 8" xfId="18039"/>
    <cellStyle name="표준 90 9" xfId="18040"/>
    <cellStyle name="표준 91" xfId="18041"/>
    <cellStyle name="표준 91 10" xfId="18042"/>
    <cellStyle name="표준 91 11" xfId="18043"/>
    <cellStyle name="표준 91 12" xfId="18044"/>
    <cellStyle name="표준 91 13" xfId="18045"/>
    <cellStyle name="표준 91 2" xfId="18046"/>
    <cellStyle name="표준 91 3" xfId="18047"/>
    <cellStyle name="표준 91 4" xfId="18048"/>
    <cellStyle name="표준 91 5" xfId="18049"/>
    <cellStyle name="표준 91 6" xfId="18050"/>
    <cellStyle name="표준 91 7" xfId="18051"/>
    <cellStyle name="표준 91 8" xfId="18052"/>
    <cellStyle name="표준 91 9" xfId="18053"/>
    <cellStyle name="표준 92" xfId="18054"/>
    <cellStyle name="표준 92 10" xfId="18055"/>
    <cellStyle name="표준 92 11" xfId="18056"/>
    <cellStyle name="표준 92 12" xfId="18057"/>
    <cellStyle name="표준 92 13" xfId="18058"/>
    <cellStyle name="표준 92 2" xfId="18059"/>
    <cellStyle name="표준 92 3" xfId="18060"/>
    <cellStyle name="표준 92 4" xfId="18061"/>
    <cellStyle name="표준 92 5" xfId="18062"/>
    <cellStyle name="표준 92 6" xfId="18063"/>
    <cellStyle name="표준 92 7" xfId="18064"/>
    <cellStyle name="표준 92 8" xfId="18065"/>
    <cellStyle name="표준 92 9" xfId="18066"/>
    <cellStyle name="표준 93" xfId="18067"/>
    <cellStyle name="표준 93 10" xfId="18068"/>
    <cellStyle name="표준 93 11" xfId="18069"/>
    <cellStyle name="표준 93 12" xfId="18070"/>
    <cellStyle name="표준 93 13" xfId="18071"/>
    <cellStyle name="표준 93 2" xfId="18072"/>
    <cellStyle name="표준 93 3" xfId="18073"/>
    <cellStyle name="표준 93 4" xfId="18074"/>
    <cellStyle name="표준 93 5" xfId="18075"/>
    <cellStyle name="표준 93 6" xfId="18076"/>
    <cellStyle name="표준 93 7" xfId="18077"/>
    <cellStyle name="표준 93 8" xfId="18078"/>
    <cellStyle name="표준 93 9" xfId="18079"/>
    <cellStyle name="표준 94" xfId="18080"/>
    <cellStyle name="표준 94 10" xfId="18081"/>
    <cellStyle name="표준 94 11" xfId="18082"/>
    <cellStyle name="표준 94 12" xfId="18083"/>
    <cellStyle name="표준 94 13" xfId="18084"/>
    <cellStyle name="표준 94 2" xfId="18085"/>
    <cellStyle name="표준 94 3" xfId="18086"/>
    <cellStyle name="표준 94 4" xfId="18087"/>
    <cellStyle name="표준 94 5" xfId="18088"/>
    <cellStyle name="표준 94 6" xfId="18089"/>
    <cellStyle name="표준 94 7" xfId="18090"/>
    <cellStyle name="표준 94 8" xfId="18091"/>
    <cellStyle name="표준 94 9" xfId="18092"/>
    <cellStyle name="표준 95" xfId="18093"/>
    <cellStyle name="표준 95 10" xfId="18094"/>
    <cellStyle name="표준 95 11" xfId="18095"/>
    <cellStyle name="표준 95 12" xfId="18096"/>
    <cellStyle name="표준 95 13" xfId="18097"/>
    <cellStyle name="표준 95 2" xfId="18098"/>
    <cellStyle name="표준 95 3" xfId="18099"/>
    <cellStyle name="표준 95 4" xfId="18100"/>
    <cellStyle name="표준 95 5" xfId="18101"/>
    <cellStyle name="표준 95 6" xfId="18102"/>
    <cellStyle name="표준 95 7" xfId="18103"/>
    <cellStyle name="표준 95 8" xfId="18104"/>
    <cellStyle name="표준 95 9" xfId="18105"/>
    <cellStyle name="표준 96" xfId="18106"/>
    <cellStyle name="표준 96 10" xfId="18107"/>
    <cellStyle name="표준 96 11" xfId="18108"/>
    <cellStyle name="표준 96 12" xfId="18109"/>
    <cellStyle name="표준 96 13" xfId="18110"/>
    <cellStyle name="표준 96 2" xfId="18111"/>
    <cellStyle name="표준 96 3" xfId="18112"/>
    <cellStyle name="표준 96 4" xfId="18113"/>
    <cellStyle name="표준 96 5" xfId="18114"/>
    <cellStyle name="표준 96 6" xfId="18115"/>
    <cellStyle name="표준 96 7" xfId="18116"/>
    <cellStyle name="표준 96 8" xfId="18117"/>
    <cellStyle name="표준 96 9" xfId="18118"/>
    <cellStyle name="표준 97" xfId="18119"/>
    <cellStyle name="표준 97 10" xfId="18120"/>
    <cellStyle name="표준 97 11" xfId="18121"/>
    <cellStyle name="표준 97 12" xfId="18122"/>
    <cellStyle name="표준 97 13" xfId="18123"/>
    <cellStyle name="표준 97 2" xfId="18124"/>
    <cellStyle name="표준 97 3" xfId="18125"/>
    <cellStyle name="표준 97 4" xfId="18126"/>
    <cellStyle name="표준 97 5" xfId="18127"/>
    <cellStyle name="표준 97 6" xfId="18128"/>
    <cellStyle name="표준 97 7" xfId="18129"/>
    <cellStyle name="표준 97 8" xfId="18130"/>
    <cellStyle name="표준 97 9" xfId="18131"/>
    <cellStyle name="표준 98" xfId="18132"/>
    <cellStyle name="표준 98 10" xfId="18133"/>
    <cellStyle name="표준 98 11" xfId="18134"/>
    <cellStyle name="표준 98 12" xfId="18135"/>
    <cellStyle name="표준 98 13" xfId="18136"/>
    <cellStyle name="표준 98 2" xfId="18137"/>
    <cellStyle name="표준 98 3" xfId="18138"/>
    <cellStyle name="표준 98 4" xfId="18139"/>
    <cellStyle name="표준 98 5" xfId="18140"/>
    <cellStyle name="표준 98 6" xfId="18141"/>
    <cellStyle name="표준 98 7" xfId="18142"/>
    <cellStyle name="표준 98 8" xfId="18143"/>
    <cellStyle name="표준 98 9" xfId="18144"/>
    <cellStyle name="표준 99" xfId="18145"/>
    <cellStyle name="표준 99 10" xfId="18146"/>
    <cellStyle name="표준 99 11" xfId="18147"/>
    <cellStyle name="표준 99 12" xfId="18148"/>
    <cellStyle name="표준 99 13" xfId="18149"/>
    <cellStyle name="표준 99 2" xfId="18150"/>
    <cellStyle name="표준 99 3" xfId="18151"/>
    <cellStyle name="표준 99 4" xfId="18152"/>
    <cellStyle name="표준 99 5" xfId="18153"/>
    <cellStyle name="표준 99 6" xfId="18154"/>
    <cellStyle name="표준 99 7" xfId="18155"/>
    <cellStyle name="표준 99 8" xfId="18156"/>
    <cellStyle name="표준 99 9" xfId="18157"/>
    <cellStyle name="標準_Sheet1" xfId="18158"/>
    <cellStyle name="하이퍼링크" xfId="18246" builtinId="8" customBuiltin="1"/>
    <cellStyle name="하이퍼링크 2" xfId="1482"/>
    <cellStyle name="하이퍼링크 2 10" xfId="18159"/>
    <cellStyle name="하이퍼링크 2 11" xfId="18160"/>
    <cellStyle name="하이퍼링크 2 12" xfId="18161"/>
    <cellStyle name="하이퍼링크 2 13" xfId="18162"/>
    <cellStyle name="하이퍼링크 2 14" xfId="18163"/>
    <cellStyle name="하이퍼링크 2 15" xfId="18164"/>
    <cellStyle name="하이퍼링크 2 16" xfId="18165"/>
    <cellStyle name="하이퍼링크 2 17" xfId="18166"/>
    <cellStyle name="하이퍼링크 2 18" xfId="18167"/>
    <cellStyle name="하이퍼링크 2 19" xfId="18168"/>
    <cellStyle name="하이퍼링크 2 2" xfId="18169"/>
    <cellStyle name="하이퍼링크 2 20" xfId="18170"/>
    <cellStyle name="하이퍼링크 2 21" xfId="18171"/>
    <cellStyle name="하이퍼링크 2 22" xfId="18172"/>
    <cellStyle name="하이퍼링크 2 23" xfId="18173"/>
    <cellStyle name="하이퍼링크 2 24" xfId="18174"/>
    <cellStyle name="하이퍼링크 2 25" xfId="18175"/>
    <cellStyle name="하이퍼링크 2 26" xfId="18176"/>
    <cellStyle name="하이퍼링크 2 27" xfId="18177"/>
    <cellStyle name="하이퍼링크 2 28" xfId="18178"/>
    <cellStyle name="하이퍼링크 2 29" xfId="18179"/>
    <cellStyle name="하이퍼링크 2 3" xfId="18180"/>
    <cellStyle name="하이퍼링크 2 30" xfId="18181"/>
    <cellStyle name="하이퍼링크 2 31" xfId="18182"/>
    <cellStyle name="하이퍼링크 2 32" xfId="18183"/>
    <cellStyle name="하이퍼링크 2 33" xfId="18184"/>
    <cellStyle name="하이퍼링크 2 34" xfId="18185"/>
    <cellStyle name="하이퍼링크 2 35" xfId="18186"/>
    <cellStyle name="하이퍼링크 2 36" xfId="18187"/>
    <cellStyle name="하이퍼링크 2 37" xfId="18188"/>
    <cellStyle name="하이퍼링크 2 38" xfId="18189"/>
    <cellStyle name="하이퍼링크 2 39" xfId="18190"/>
    <cellStyle name="하이퍼링크 2 4" xfId="18191"/>
    <cellStyle name="하이퍼링크 2 5" xfId="18192"/>
    <cellStyle name="하이퍼링크 2 6" xfId="18193"/>
    <cellStyle name="하이퍼링크 2 7" xfId="18194"/>
    <cellStyle name="하이퍼링크 2 8" xfId="18195"/>
    <cellStyle name="하이퍼링크 2 9" xfId="18196"/>
    <cellStyle name="하이퍼링크 3" xfId="18197"/>
    <cellStyle name="하이퍼링크 3 2" xfId="18198"/>
    <cellStyle name="하이퍼링크 3 3" xfId="18199"/>
    <cellStyle name="합산" xfId="20461"/>
    <cellStyle name="桁区切り 2 2" xfId="20373"/>
    <cellStyle name="화폐기호" xfId="19693"/>
    <cellStyle name="화폐기호0" xfId="20456"/>
  </cellStyles>
  <dxfs count="12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4F00"/>
      </font>
    </dxf>
    <dxf>
      <font>
        <b/>
        <i val="0"/>
        <color theme="4"/>
      </font>
    </dxf>
    <dxf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4"/>
  <sheetViews>
    <sheetView tabSelected="1" workbookViewId="0">
      <selection activeCell="F2" sqref="F2"/>
    </sheetView>
  </sheetViews>
  <sheetFormatPr defaultColWidth="8.69921875" defaultRowHeight="17.399999999999999"/>
  <cols>
    <col min="1" max="1" width="4.09765625" style="1" customWidth="1"/>
    <col min="2" max="2" width="20.296875" style="1" customWidth="1"/>
    <col min="3" max="3" width="14.09765625" style="1" customWidth="1"/>
    <col min="4" max="4" width="12.5" style="1" customWidth="1"/>
    <col min="5" max="5" width="14.09765625" style="1" customWidth="1"/>
    <col min="6" max="6" width="16.3984375" style="1" customWidth="1"/>
    <col min="7" max="7" width="15.09765625" style="1" customWidth="1"/>
    <col min="8" max="8" width="26.796875" style="1" customWidth="1"/>
    <col min="9" max="9" width="1.59765625" style="1" customWidth="1"/>
    <col min="10" max="10" width="16.3984375" style="1" bestFit="1" customWidth="1"/>
    <col min="11" max="11" width="17" style="1" customWidth="1"/>
    <col min="12" max="16384" width="8.69921875" style="1"/>
  </cols>
  <sheetData>
    <row r="1" spans="1:11" ht="13.95" customHeight="1">
      <c r="A1" s="3"/>
      <c r="B1" s="3"/>
      <c r="C1" s="3"/>
      <c r="D1" s="3"/>
      <c r="E1" s="3"/>
      <c r="F1" s="3"/>
      <c r="G1" s="3"/>
      <c r="H1" s="4"/>
      <c r="I1" s="5"/>
      <c r="J1" s="5"/>
      <c r="K1" s="5"/>
    </row>
    <row r="2" spans="1:11" ht="21">
      <c r="A2" s="3"/>
      <c r="B2" s="6" t="s">
        <v>122</v>
      </c>
      <c r="C2" s="7"/>
      <c r="D2" s="7"/>
      <c r="E2" s="7"/>
      <c r="F2" s="8"/>
      <c r="G2" s="5"/>
      <c r="H2" s="9"/>
      <c r="I2" s="5"/>
      <c r="J2" s="5"/>
      <c r="K2" s="5"/>
    </row>
    <row r="3" spans="1:11" ht="18" thickBot="1">
      <c r="A3" s="3"/>
      <c r="B3" s="10"/>
      <c r="C3" s="10"/>
      <c r="D3" s="10"/>
      <c r="E3" s="10"/>
      <c r="F3" s="10"/>
      <c r="G3" s="10"/>
      <c r="H3" s="5"/>
      <c r="I3" s="5"/>
      <c r="J3" s="5"/>
      <c r="K3" s="5"/>
    </row>
    <row r="4" spans="1:11" ht="18" thickBot="1">
      <c r="A4" s="3"/>
      <c r="B4" s="11" t="s">
        <v>63</v>
      </c>
      <c r="C4" s="12" t="s">
        <v>64</v>
      </c>
      <c r="D4" s="12" t="s">
        <v>65</v>
      </c>
      <c r="E4" s="12" t="s">
        <v>123</v>
      </c>
      <c r="F4" s="12" t="s">
        <v>124</v>
      </c>
      <c r="G4" s="12" t="s">
        <v>66</v>
      </c>
      <c r="H4" s="13" t="s">
        <v>67</v>
      </c>
      <c r="I4" s="5"/>
      <c r="J4" s="14" t="s">
        <v>68</v>
      </c>
      <c r="K4" s="15">
        <f>250000000+7945000+513560000</f>
        <v>771505000</v>
      </c>
    </row>
    <row r="5" spans="1:11" ht="18" thickBot="1">
      <c r="A5" s="3"/>
      <c r="B5" s="16" t="s">
        <v>238</v>
      </c>
      <c r="C5" s="17">
        <f>SUM('네이버 11월'!AT8)</f>
        <v>5000</v>
      </c>
      <c r="D5" s="17">
        <f>SUM(C5*0.3)</f>
        <v>1500</v>
      </c>
      <c r="E5" s="18">
        <f>SUM(C5-D5)</f>
        <v>3500</v>
      </c>
      <c r="F5" s="19">
        <f>E5*20%</f>
        <v>700</v>
      </c>
      <c r="G5" s="20">
        <f>E5*80%</f>
        <v>2800</v>
      </c>
      <c r="H5" s="21"/>
      <c r="I5" s="5"/>
      <c r="J5" s="22" t="s">
        <v>69</v>
      </c>
      <c r="K5" s="23">
        <f>330000000+7945000+513560000+144110000</f>
        <v>995615000</v>
      </c>
    </row>
    <row r="6" spans="1:11" ht="18" thickBot="1">
      <c r="A6" s="3"/>
      <c r="B6" s="16" t="s">
        <v>239</v>
      </c>
      <c r="C6" s="24">
        <v>0</v>
      </c>
      <c r="D6" s="24">
        <f>SUM(C6*0.4)</f>
        <v>0</v>
      </c>
      <c r="E6" s="18">
        <f t="shared" ref="E6:E8" si="0">SUM(C6-D6)</f>
        <v>0</v>
      </c>
      <c r="F6" s="19">
        <f t="shared" ref="F6:F27" si="1">E6*20%</f>
        <v>0</v>
      </c>
      <c r="G6" s="20">
        <f t="shared" ref="G6:G27" si="2">E6*80%</f>
        <v>0</v>
      </c>
      <c r="H6" s="25"/>
      <c r="I6" s="5"/>
      <c r="J6" s="113" t="s">
        <v>125</v>
      </c>
      <c r="K6" s="114"/>
    </row>
    <row r="7" spans="1:11">
      <c r="A7" s="3"/>
      <c r="B7" s="26" t="s">
        <v>240</v>
      </c>
      <c r="C7" s="24">
        <f>SUM(미스터블루_11월!AJ9)</f>
        <v>400</v>
      </c>
      <c r="D7" s="24">
        <f>SUM(C7*0.4)</f>
        <v>160</v>
      </c>
      <c r="E7" s="18">
        <f t="shared" si="0"/>
        <v>240</v>
      </c>
      <c r="F7" s="19">
        <f t="shared" si="1"/>
        <v>48</v>
      </c>
      <c r="G7" s="20">
        <f t="shared" si="2"/>
        <v>192</v>
      </c>
      <c r="H7" s="25"/>
      <c r="I7" s="5"/>
      <c r="J7" s="27" t="s">
        <v>70</v>
      </c>
      <c r="K7" s="28">
        <v>3039189</v>
      </c>
    </row>
    <row r="8" spans="1:11" ht="18" thickBot="1">
      <c r="A8" s="3"/>
      <c r="B8" s="26" t="s">
        <v>241</v>
      </c>
      <c r="C8" s="24">
        <f>SUM(원스토어_11월!W4)</f>
        <v>1000</v>
      </c>
      <c r="D8" s="17">
        <f>SUM(C8*0.3)</f>
        <v>300</v>
      </c>
      <c r="E8" s="18">
        <f t="shared" si="0"/>
        <v>700</v>
      </c>
      <c r="F8" s="19">
        <f t="shared" si="1"/>
        <v>140</v>
      </c>
      <c r="G8" s="20">
        <f t="shared" si="2"/>
        <v>560</v>
      </c>
      <c r="H8" s="25"/>
      <c r="I8" s="5"/>
      <c r="J8" s="29" t="s">
        <v>71</v>
      </c>
      <c r="K8" s="30">
        <v>4024753</v>
      </c>
    </row>
    <row r="9" spans="1:11" ht="18" thickBot="1">
      <c r="A9" s="3"/>
      <c r="B9" s="26" t="s">
        <v>242</v>
      </c>
      <c r="C9" s="24">
        <v>0</v>
      </c>
      <c r="D9" s="24">
        <v>0</v>
      </c>
      <c r="E9" s="18">
        <v>0</v>
      </c>
      <c r="F9" s="19">
        <f t="shared" si="1"/>
        <v>0</v>
      </c>
      <c r="G9" s="20">
        <f t="shared" si="2"/>
        <v>0</v>
      </c>
      <c r="H9" s="25"/>
      <c r="I9" s="5"/>
      <c r="J9" s="14" t="s">
        <v>72</v>
      </c>
      <c r="K9" s="31">
        <f>SUM(K7:K8)</f>
        <v>7063942</v>
      </c>
    </row>
    <row r="10" spans="1:11">
      <c r="A10" s="3"/>
      <c r="B10" s="26" t="s">
        <v>243</v>
      </c>
      <c r="C10" s="24">
        <f>SUM(리디_11월!O14,리디_11월!L14)</f>
        <v>1000</v>
      </c>
      <c r="D10" s="17">
        <f>SUM(C10*0.3)</f>
        <v>300</v>
      </c>
      <c r="E10" s="18">
        <f>SUM(C10-D10)</f>
        <v>700</v>
      </c>
      <c r="F10" s="19">
        <f t="shared" si="1"/>
        <v>140</v>
      </c>
      <c r="G10" s="20">
        <f t="shared" si="2"/>
        <v>560</v>
      </c>
      <c r="H10" s="25"/>
      <c r="I10" s="5"/>
      <c r="J10" s="32" t="s">
        <v>73</v>
      </c>
      <c r="K10" s="33">
        <v>3785763</v>
      </c>
    </row>
    <row r="11" spans="1:11">
      <c r="A11" s="3"/>
      <c r="B11" s="34" t="s">
        <v>244</v>
      </c>
      <c r="C11" s="35">
        <v>0</v>
      </c>
      <c r="D11" s="24">
        <f>SUM(C11-E11)</f>
        <v>0</v>
      </c>
      <c r="E11" s="18">
        <f>SUM(C11*0.55)</f>
        <v>0</v>
      </c>
      <c r="F11" s="19">
        <f t="shared" si="1"/>
        <v>0</v>
      </c>
      <c r="G11" s="20">
        <f t="shared" si="2"/>
        <v>0</v>
      </c>
      <c r="H11" s="36"/>
      <c r="I11" s="5"/>
      <c r="J11" s="27" t="s">
        <v>74</v>
      </c>
      <c r="K11" s="28">
        <v>2479364</v>
      </c>
    </row>
    <row r="12" spans="1:11">
      <c r="A12" s="3"/>
      <c r="B12" s="42" t="s">
        <v>253</v>
      </c>
      <c r="C12" s="35">
        <v>0</v>
      </c>
      <c r="D12" s="24">
        <f>SUM(C12-E12)</f>
        <v>0</v>
      </c>
      <c r="E12" s="18">
        <v>0</v>
      </c>
      <c r="F12" s="19">
        <f t="shared" si="1"/>
        <v>0</v>
      </c>
      <c r="G12" s="20">
        <f t="shared" si="2"/>
        <v>0</v>
      </c>
      <c r="H12" s="43"/>
      <c r="I12" s="37"/>
      <c r="J12" s="27" t="s">
        <v>75</v>
      </c>
      <c r="K12" s="28">
        <v>1382094</v>
      </c>
    </row>
    <row r="13" spans="1:11">
      <c r="A13" s="3"/>
      <c r="B13" s="42" t="s">
        <v>252</v>
      </c>
      <c r="C13" s="49">
        <f>SUM(알라딘_11월!F5)</f>
        <v>4000</v>
      </c>
      <c r="D13" s="17">
        <f>SUM(C13*0.3)</f>
        <v>1200</v>
      </c>
      <c r="E13" s="50">
        <f t="shared" ref="E13" si="3">SUM(C13-D13)</f>
        <v>2800</v>
      </c>
      <c r="F13" s="19">
        <f t="shared" si="1"/>
        <v>560</v>
      </c>
      <c r="G13" s="20">
        <f t="shared" si="2"/>
        <v>2240</v>
      </c>
      <c r="H13" s="51"/>
      <c r="I13" s="5"/>
      <c r="J13" s="27" t="s">
        <v>103</v>
      </c>
      <c r="K13" s="28">
        <v>836219</v>
      </c>
    </row>
    <row r="14" spans="1:11">
      <c r="A14" s="3"/>
      <c r="B14" s="42" t="s">
        <v>121</v>
      </c>
      <c r="C14" s="35"/>
      <c r="D14" s="24"/>
      <c r="E14" s="55">
        <f>'카카오페이지 SW 1월'!AP10+'카카오페이지 SW 1월'!AP18</f>
        <v>3517155</v>
      </c>
      <c r="F14" s="19">
        <f t="shared" si="1"/>
        <v>703431</v>
      </c>
      <c r="G14" s="20">
        <f t="shared" si="2"/>
        <v>2813724</v>
      </c>
      <c r="H14" s="51" t="s">
        <v>126</v>
      </c>
      <c r="I14" s="5"/>
      <c r="J14" s="27" t="s">
        <v>104</v>
      </c>
      <c r="K14" s="28">
        <v>292844</v>
      </c>
    </row>
    <row r="15" spans="1:11" s="79" customFormat="1">
      <c r="A15" s="3"/>
      <c r="B15" s="95" t="s">
        <v>220</v>
      </c>
      <c r="C15" s="49"/>
      <c r="D15" s="17"/>
      <c r="E15" s="60">
        <f>'카카오페이지(회귀) SW 1월'!C16</f>
        <v>12948514.949999999</v>
      </c>
      <c r="F15" s="19">
        <f t="shared" si="1"/>
        <v>2589702.9900000002</v>
      </c>
      <c r="G15" s="20">
        <f t="shared" si="2"/>
        <v>10358811.960000001</v>
      </c>
      <c r="H15" s="51" t="s">
        <v>126</v>
      </c>
      <c r="I15" s="5"/>
      <c r="J15" s="27" t="s">
        <v>76</v>
      </c>
      <c r="K15" s="28">
        <v>317230</v>
      </c>
    </row>
    <row r="16" spans="1:11" s="79" customFormat="1">
      <c r="A16" s="3"/>
      <c r="B16" s="95" t="s">
        <v>398</v>
      </c>
      <c r="C16" s="49"/>
      <c r="D16" s="17"/>
      <c r="E16" s="60">
        <f>'카카오웹툰(동시연재)SW 1월'!Z4</f>
        <v>1862306</v>
      </c>
      <c r="F16" s="19">
        <f t="shared" si="1"/>
        <v>372461.2</v>
      </c>
      <c r="G16" s="20">
        <f t="shared" ref="G16" si="4">E16*80%</f>
        <v>1489844.8</v>
      </c>
      <c r="H16" s="51" t="s">
        <v>126</v>
      </c>
      <c r="I16" s="5"/>
      <c r="J16" s="27" t="s">
        <v>77</v>
      </c>
      <c r="K16" s="28">
        <v>237412</v>
      </c>
    </row>
    <row r="17" spans="1:11" s="47" customFormat="1">
      <c r="A17" s="3"/>
      <c r="B17" s="58" t="s">
        <v>159</v>
      </c>
      <c r="C17" s="78"/>
      <c r="D17" s="17"/>
      <c r="E17" s="59">
        <f>'네이버시리즈 SW 1월'!AW16</f>
        <v>742300.6</v>
      </c>
      <c r="F17" s="19">
        <f t="shared" si="1"/>
        <v>148460.12</v>
      </c>
      <c r="G17" s="20">
        <f t="shared" si="2"/>
        <v>593840.48</v>
      </c>
      <c r="H17" s="51" t="s">
        <v>126</v>
      </c>
      <c r="I17" s="5"/>
      <c r="J17" s="27" t="s">
        <v>78</v>
      </c>
      <c r="K17" s="48">
        <v>179948</v>
      </c>
    </row>
    <row r="18" spans="1:11" s="79" customFormat="1">
      <c r="A18" s="3"/>
      <c r="B18" s="95" t="s">
        <v>221</v>
      </c>
      <c r="C18" s="49"/>
      <c r="D18" s="17"/>
      <c r="E18" s="60">
        <f>'네이버(북미)SW 01월'!C7</f>
        <v>481595.45454545453</v>
      </c>
      <c r="F18" s="19">
        <f t="shared" si="1"/>
        <v>96319.090909090912</v>
      </c>
      <c r="G18" s="20">
        <f t="shared" si="2"/>
        <v>385276.36363636365</v>
      </c>
      <c r="H18" s="51" t="s">
        <v>126</v>
      </c>
      <c r="I18" s="5"/>
      <c r="J18" s="27" t="s">
        <v>79</v>
      </c>
      <c r="K18" s="48">
        <v>125662</v>
      </c>
    </row>
    <row r="19" spans="1:11" s="47" customFormat="1">
      <c r="A19" s="3"/>
      <c r="B19" s="58" t="s">
        <v>161</v>
      </c>
      <c r="C19" s="49"/>
      <c r="D19" s="17">
        <f t="shared" ref="D19" si="5">SUM(C19*0.3)</f>
        <v>0</v>
      </c>
      <c r="E19" s="59">
        <f>'콰이칸(마딸)SW 01월'!D17</f>
        <v>6604665.6515796594</v>
      </c>
      <c r="F19" s="19">
        <f t="shared" si="1"/>
        <v>1320933.130315932</v>
      </c>
      <c r="G19" s="20">
        <f t="shared" si="2"/>
        <v>5283732.5212637279</v>
      </c>
      <c r="H19" s="51" t="s">
        <v>126</v>
      </c>
      <c r="I19" s="5"/>
      <c r="J19" s="27" t="s">
        <v>80</v>
      </c>
      <c r="K19" s="48">
        <v>522544</v>
      </c>
    </row>
    <row r="20" spans="1:11" s="47" customFormat="1">
      <c r="A20" s="3"/>
      <c r="B20" s="58" t="s">
        <v>160</v>
      </c>
      <c r="C20" s="49"/>
      <c r="D20" s="17"/>
      <c r="E20" s="60">
        <f>'콰이칸(옹주)SW 01월'!D15</f>
        <v>28600.980943553332</v>
      </c>
      <c r="F20" s="19">
        <f t="shared" si="1"/>
        <v>5720.1961887106663</v>
      </c>
      <c r="G20" s="20">
        <f t="shared" si="2"/>
        <v>22880.784754842665</v>
      </c>
      <c r="H20" s="51" t="s">
        <v>126</v>
      </c>
      <c r="I20" s="5"/>
      <c r="J20" s="27" t="s">
        <v>81</v>
      </c>
      <c r="K20" s="48">
        <v>622018</v>
      </c>
    </row>
    <row r="21" spans="1:11" s="47" customFormat="1" ht="18" thickBot="1">
      <c r="A21" s="3"/>
      <c r="B21" s="42" t="s">
        <v>131</v>
      </c>
      <c r="C21" s="35"/>
      <c r="D21" s="24"/>
      <c r="E21" s="55">
        <f>'태국코미코SW 01월'!D14</f>
        <v>1609908.5948899998</v>
      </c>
      <c r="F21" s="19">
        <f t="shared" si="1"/>
        <v>321981.71897799999</v>
      </c>
      <c r="G21" s="20">
        <f t="shared" si="2"/>
        <v>1287926.875912</v>
      </c>
      <c r="H21" s="51" t="s">
        <v>126</v>
      </c>
      <c r="I21" s="5"/>
      <c r="J21" s="29">
        <v>2019.12</v>
      </c>
      <c r="K21" s="30">
        <v>102649273</v>
      </c>
    </row>
    <row r="22" spans="1:11" s="79" customFormat="1" ht="18" thickBot="1">
      <c r="A22" s="3"/>
      <c r="B22" s="58" t="s">
        <v>132</v>
      </c>
      <c r="C22" s="49"/>
      <c r="D22" s="17">
        <f t="shared" ref="D22" si="6">SUM(C22*0.3)</f>
        <v>0</v>
      </c>
      <c r="E22" s="60">
        <f>'태피툰SW 01월'!C5</f>
        <v>10430820</v>
      </c>
      <c r="F22" s="19">
        <f t="shared" si="1"/>
        <v>2086164</v>
      </c>
      <c r="G22" s="20">
        <f t="shared" si="2"/>
        <v>8344656</v>
      </c>
      <c r="H22" s="72" t="s">
        <v>136</v>
      </c>
      <c r="I22" s="5"/>
      <c r="J22" s="14" t="s">
        <v>82</v>
      </c>
      <c r="K22" s="31">
        <f>SUM(K10:K21)</f>
        <v>113430371</v>
      </c>
    </row>
    <row r="23" spans="1:11" s="47" customFormat="1">
      <c r="A23" s="3"/>
      <c r="B23" s="42" t="s">
        <v>133</v>
      </c>
      <c r="C23" s="35"/>
      <c r="D23" s="24"/>
      <c r="E23" s="60">
        <f>'델리툰(프)SW 01월'!C8</f>
        <v>0</v>
      </c>
      <c r="F23" s="19">
        <f t="shared" si="1"/>
        <v>0</v>
      </c>
      <c r="G23" s="20">
        <f t="shared" si="2"/>
        <v>0</v>
      </c>
      <c r="H23" s="72" t="s">
        <v>136</v>
      </c>
      <c r="I23" s="5"/>
      <c r="J23" s="32" t="s">
        <v>83</v>
      </c>
      <c r="K23" s="33">
        <v>27480766</v>
      </c>
    </row>
    <row r="24" spans="1:11" s="47" customFormat="1">
      <c r="A24" s="3"/>
      <c r="B24" s="42" t="s">
        <v>134</v>
      </c>
      <c r="C24" s="49"/>
      <c r="D24" s="17">
        <f t="shared" ref="D24" si="7">SUM(C24*0.3)</f>
        <v>0</v>
      </c>
      <c r="E24" s="55">
        <f>'델리툰(독)SW 01월'!C7</f>
        <v>472861</v>
      </c>
      <c r="F24" s="19">
        <f t="shared" si="1"/>
        <v>94572.200000000012</v>
      </c>
      <c r="G24" s="20">
        <f t="shared" si="2"/>
        <v>378288.80000000005</v>
      </c>
      <c r="H24" s="72" t="s">
        <v>136</v>
      </c>
      <c r="I24" s="5"/>
      <c r="J24" s="27" t="s">
        <v>84</v>
      </c>
      <c r="K24" s="28">
        <v>16627659</v>
      </c>
    </row>
    <row r="25" spans="1:11" s="47" customFormat="1">
      <c r="A25" s="3"/>
      <c r="B25" s="58" t="s">
        <v>164</v>
      </c>
      <c r="C25" s="78"/>
      <c r="D25" s="24"/>
      <c r="E25" s="59">
        <f>'코믹툰(베트남)SW 01월'!C6</f>
        <v>0</v>
      </c>
      <c r="F25" s="19">
        <f t="shared" si="1"/>
        <v>0</v>
      </c>
      <c r="G25" s="20">
        <f t="shared" si="2"/>
        <v>0</v>
      </c>
      <c r="H25" s="72" t="s">
        <v>136</v>
      </c>
      <c r="I25" s="5"/>
      <c r="J25" s="27" t="s">
        <v>85</v>
      </c>
      <c r="K25" s="28">
        <v>14851424</v>
      </c>
    </row>
    <row r="26" spans="1:11" s="79" customFormat="1">
      <c r="A26" s="3"/>
      <c r="B26" s="95" t="s">
        <v>1123</v>
      </c>
      <c r="C26" s="49"/>
      <c r="D26" s="24"/>
      <c r="E26" s="60">
        <f>'카카페_회귀(타파스)SW 01월'!C6</f>
        <v>8500000</v>
      </c>
      <c r="F26" s="19">
        <f t="shared" si="1"/>
        <v>1700000</v>
      </c>
      <c r="G26" s="20">
        <f t="shared" ref="G26" si="8">E26*80%</f>
        <v>6800000</v>
      </c>
      <c r="H26" s="72" t="s">
        <v>136</v>
      </c>
      <c r="I26" s="5"/>
      <c r="J26" s="27" t="s">
        <v>86</v>
      </c>
      <c r="K26" s="28">
        <v>62781192</v>
      </c>
    </row>
    <row r="27" spans="1:11" s="79" customFormat="1" ht="18" thickBot="1">
      <c r="A27" s="3"/>
      <c r="B27" s="44" t="s">
        <v>135</v>
      </c>
      <c r="C27" s="45"/>
      <c r="D27" s="45">
        <v>0</v>
      </c>
      <c r="E27" s="52">
        <f>'카카페(인니)SW 01월'!C6</f>
        <v>244488</v>
      </c>
      <c r="F27" s="19">
        <f t="shared" si="1"/>
        <v>48897.600000000006</v>
      </c>
      <c r="G27" s="20">
        <f t="shared" si="2"/>
        <v>195590.40000000002</v>
      </c>
      <c r="H27" s="72" t="s">
        <v>136</v>
      </c>
      <c r="I27" s="5"/>
      <c r="J27" s="27" t="s">
        <v>87</v>
      </c>
      <c r="K27" s="28">
        <v>17087690</v>
      </c>
    </row>
    <row r="28" spans="1:11" ht="18" thickBot="1">
      <c r="A28" s="3"/>
      <c r="B28" s="65" t="s">
        <v>0</v>
      </c>
      <c r="C28" s="38">
        <f>SUM(C5:C27)</f>
        <v>11400</v>
      </c>
      <c r="D28" s="38">
        <f>SUM(D5:D27)</f>
        <v>3460</v>
      </c>
      <c r="E28" s="38">
        <f>SUM(E5:E13)</f>
        <v>7940</v>
      </c>
      <c r="F28" s="38">
        <f>ROUND(SUM(F5:F27),0)</f>
        <v>9490231</v>
      </c>
      <c r="G28" s="38">
        <f>ROUND(SUM(G5:G27),0)</f>
        <v>37960925</v>
      </c>
      <c r="H28" s="39"/>
      <c r="I28" s="5"/>
      <c r="J28" s="27" t="s">
        <v>88</v>
      </c>
      <c r="K28" s="28">
        <v>31215077</v>
      </c>
    </row>
    <row r="29" spans="1:11" ht="18" thickBot="1">
      <c r="A29" s="3"/>
      <c r="B29" s="5"/>
      <c r="C29" s="5"/>
      <c r="D29" s="5"/>
      <c r="E29" s="5"/>
      <c r="F29" s="5"/>
      <c r="G29" s="5"/>
      <c r="H29" s="5"/>
      <c r="I29" s="5"/>
      <c r="J29" s="27" t="s">
        <v>89</v>
      </c>
      <c r="K29" s="28">
        <v>8348200</v>
      </c>
    </row>
    <row r="30" spans="1:11" s="47" customFormat="1">
      <c r="A30" s="3"/>
      <c r="B30" s="121" t="s">
        <v>142</v>
      </c>
      <c r="C30" s="122"/>
      <c r="D30" s="69" t="s">
        <v>143</v>
      </c>
      <c r="E30" s="69" t="s">
        <v>144</v>
      </c>
      <c r="F30" s="70" t="s">
        <v>146</v>
      </c>
      <c r="G30" s="10"/>
      <c r="H30" s="40"/>
      <c r="I30" s="5"/>
      <c r="J30" s="27" t="s">
        <v>90</v>
      </c>
      <c r="K30" s="28">
        <v>37449637</v>
      </c>
    </row>
    <row r="31" spans="1:11" s="47" customFormat="1">
      <c r="A31" s="3"/>
      <c r="B31" s="115" t="s">
        <v>139</v>
      </c>
      <c r="C31" s="116"/>
      <c r="D31" s="61">
        <f>E28</f>
        <v>7940</v>
      </c>
      <c r="E31" s="61">
        <v>0</v>
      </c>
      <c r="F31" s="62">
        <f>D31</f>
        <v>7940</v>
      </c>
      <c r="G31" s="10"/>
      <c r="H31" s="40"/>
      <c r="I31" s="5"/>
      <c r="J31" s="27" t="s">
        <v>91</v>
      </c>
      <c r="K31" s="28">
        <v>20076116</v>
      </c>
    </row>
    <row r="32" spans="1:11" s="47" customFormat="1">
      <c r="A32" s="3"/>
      <c r="B32" s="117" t="s">
        <v>140</v>
      </c>
      <c r="C32" s="118"/>
      <c r="D32" s="66">
        <f>G28-G22-G23-G27-G24-G25-G26</f>
        <v>22242389.800000001</v>
      </c>
      <c r="E32" s="66">
        <v>0</v>
      </c>
      <c r="F32" s="67">
        <f>D32</f>
        <v>22242389.800000001</v>
      </c>
      <c r="G32" s="10"/>
      <c r="H32" s="40"/>
      <c r="I32" s="5"/>
      <c r="J32" s="27" t="s">
        <v>92</v>
      </c>
      <c r="K32" s="28">
        <v>12892628</v>
      </c>
    </row>
    <row r="33" spans="1:11" s="47" customFormat="1">
      <c r="A33" s="3"/>
      <c r="B33" s="117" t="s">
        <v>165</v>
      </c>
      <c r="C33" s="118"/>
      <c r="D33" s="66">
        <f>G22+G23+G27+G24+G25+G26</f>
        <v>15718535.200000001</v>
      </c>
      <c r="E33" s="68">
        <f>ROUND(D33*10%,0)</f>
        <v>1571854</v>
      </c>
      <c r="F33" s="67">
        <f>D33+E33</f>
        <v>17290389.200000003</v>
      </c>
      <c r="G33" s="10"/>
      <c r="H33" s="40"/>
      <c r="I33" s="5"/>
      <c r="J33" s="27" t="s">
        <v>93</v>
      </c>
      <c r="K33" s="28">
        <v>29886560</v>
      </c>
    </row>
    <row r="34" spans="1:11" s="47" customFormat="1" ht="18" thickBot="1">
      <c r="A34" s="3"/>
      <c r="B34" s="119" t="s">
        <v>141</v>
      </c>
      <c r="C34" s="120"/>
      <c r="D34" s="63">
        <f>D32+D33-D31</f>
        <v>37952985</v>
      </c>
      <c r="E34" s="63">
        <f>SUM(E31:E33)</f>
        <v>1571854</v>
      </c>
      <c r="F34" s="64">
        <f>D34+E34</f>
        <v>39524839</v>
      </c>
      <c r="G34" s="5"/>
      <c r="H34" s="5"/>
      <c r="I34" s="5"/>
      <c r="J34" s="27" t="s">
        <v>94</v>
      </c>
      <c r="K34" s="28">
        <v>10414396</v>
      </c>
    </row>
    <row r="35" spans="1:11" ht="15.6" customHeight="1" thickBot="1">
      <c r="A35" s="3"/>
      <c r="B35" s="5"/>
      <c r="C35" s="5"/>
      <c r="D35" s="5"/>
      <c r="E35" s="5"/>
      <c r="F35" s="5"/>
      <c r="G35" s="5"/>
      <c r="H35" s="5"/>
      <c r="I35" s="5"/>
      <c r="J35" s="14" t="s">
        <v>95</v>
      </c>
      <c r="K35" s="31">
        <f>SUM(K23:K34)</f>
        <v>289111345</v>
      </c>
    </row>
    <row r="36" spans="1:11">
      <c r="A36" s="3"/>
      <c r="B36" s="5"/>
      <c r="C36" s="5"/>
      <c r="D36" s="71"/>
      <c r="E36" s="5"/>
      <c r="F36" s="71"/>
      <c r="G36" s="5"/>
      <c r="H36" s="5"/>
      <c r="I36" s="5"/>
      <c r="J36" s="32">
        <v>2021.01</v>
      </c>
      <c r="K36" s="33">
        <v>15631969</v>
      </c>
    </row>
    <row r="37" spans="1:11">
      <c r="A37" s="3"/>
      <c r="B37" s="5"/>
      <c r="C37" s="5"/>
      <c r="D37" s="5"/>
      <c r="E37" s="5"/>
      <c r="F37" s="5"/>
      <c r="G37" s="5"/>
      <c r="H37" s="3"/>
      <c r="I37" s="5"/>
      <c r="J37" s="96">
        <v>2021.02</v>
      </c>
      <c r="K37" s="97">
        <v>32703460</v>
      </c>
    </row>
    <row r="38" spans="1:11">
      <c r="A38" s="3"/>
      <c r="B38" s="5"/>
      <c r="C38" s="5"/>
      <c r="D38" s="5"/>
      <c r="E38" s="5"/>
      <c r="F38" s="5"/>
      <c r="G38" s="71"/>
      <c r="H38" s="5"/>
      <c r="I38" s="5"/>
      <c r="J38" s="96">
        <v>2021.03</v>
      </c>
      <c r="K38" s="97">
        <v>21027429</v>
      </c>
    </row>
    <row r="39" spans="1:11">
      <c r="A39" s="3"/>
      <c r="B39" s="5"/>
      <c r="C39" s="5"/>
      <c r="D39" s="5"/>
      <c r="E39" s="5"/>
      <c r="F39" s="5"/>
      <c r="G39" s="5"/>
      <c r="H39" s="5"/>
      <c r="I39" s="5"/>
      <c r="J39" s="96">
        <v>2021.04</v>
      </c>
      <c r="K39" s="97">
        <v>16592104</v>
      </c>
    </row>
    <row r="40" spans="1:11">
      <c r="A40" s="3"/>
      <c r="B40" s="5"/>
      <c r="C40" s="5"/>
      <c r="D40" s="5"/>
      <c r="E40" s="5"/>
      <c r="F40" s="5"/>
      <c r="G40" s="5"/>
      <c r="H40" s="5"/>
      <c r="I40" s="5"/>
      <c r="J40" s="96">
        <v>2021.05</v>
      </c>
      <c r="K40" s="97">
        <v>32166481</v>
      </c>
    </row>
    <row r="41" spans="1:11">
      <c r="A41" s="3"/>
      <c r="B41" s="5"/>
      <c r="C41" s="5"/>
      <c r="D41" s="5"/>
      <c r="E41" s="5"/>
      <c r="F41" s="5"/>
      <c r="G41" s="5"/>
      <c r="H41" s="5"/>
      <c r="I41" s="5"/>
      <c r="J41" s="96">
        <v>2021.06</v>
      </c>
      <c r="K41" s="97">
        <v>26127277</v>
      </c>
    </row>
    <row r="42" spans="1:11">
      <c r="A42" s="3"/>
      <c r="B42" s="5"/>
      <c r="C42" s="5"/>
      <c r="D42" s="5"/>
      <c r="E42" s="5"/>
      <c r="F42" s="5"/>
      <c r="G42" s="5"/>
      <c r="H42" s="5"/>
      <c r="I42" s="5"/>
      <c r="J42" s="96">
        <v>2021.07</v>
      </c>
      <c r="K42" s="97">
        <v>23416928</v>
      </c>
    </row>
    <row r="43" spans="1:11">
      <c r="A43" s="3"/>
      <c r="B43" s="5"/>
      <c r="C43" s="5"/>
      <c r="D43" s="5"/>
      <c r="E43" s="5"/>
      <c r="F43" s="5"/>
      <c r="G43" s="5"/>
      <c r="H43" s="5"/>
      <c r="I43" s="5"/>
      <c r="J43" s="96">
        <v>2021.08</v>
      </c>
      <c r="K43" s="97">
        <v>34026064</v>
      </c>
    </row>
    <row r="44" spans="1:11" s="47" customFormat="1">
      <c r="A44" s="3"/>
      <c r="B44" s="5"/>
      <c r="C44" s="5"/>
      <c r="D44" s="5"/>
      <c r="E44" s="5"/>
      <c r="F44" s="5"/>
      <c r="G44" s="5"/>
      <c r="H44" s="5"/>
      <c r="I44" s="5"/>
      <c r="J44" s="98">
        <v>2021.09</v>
      </c>
      <c r="K44" s="99">
        <v>19642645</v>
      </c>
    </row>
    <row r="45" spans="1:11" s="47" customFormat="1">
      <c r="A45" s="3"/>
      <c r="B45" s="5"/>
      <c r="C45" s="5"/>
      <c r="D45" s="5"/>
      <c r="E45" s="5"/>
      <c r="F45" s="5"/>
      <c r="G45" s="5"/>
      <c r="H45" s="5"/>
      <c r="I45" s="5"/>
      <c r="J45" s="98" t="s">
        <v>205</v>
      </c>
      <c r="K45" s="99">
        <v>29173296</v>
      </c>
    </row>
    <row r="46" spans="1:11" s="79" customFormat="1">
      <c r="A46" s="3"/>
      <c r="B46" s="5"/>
      <c r="C46" s="5"/>
      <c r="D46" s="5"/>
      <c r="E46" s="5"/>
      <c r="F46" s="5"/>
      <c r="G46" s="5"/>
      <c r="H46" s="5"/>
      <c r="I46" s="5"/>
      <c r="J46" s="105">
        <v>2021.11</v>
      </c>
      <c r="K46" s="106">
        <v>56771752</v>
      </c>
    </row>
    <row r="47" spans="1:11" s="79" customFormat="1" ht="18" thickBot="1">
      <c r="A47" s="3"/>
      <c r="B47" s="5"/>
      <c r="C47" s="5"/>
      <c r="D47" s="5"/>
      <c r="E47" s="5"/>
      <c r="F47" s="5"/>
      <c r="G47" s="5"/>
      <c r="H47" s="5"/>
      <c r="I47" s="5"/>
      <c r="J47" s="112">
        <v>2021.12</v>
      </c>
      <c r="K47" s="48">
        <v>40065313</v>
      </c>
    </row>
    <row r="48" spans="1:11" s="79" customFormat="1" ht="18" thickBot="1">
      <c r="A48" s="3"/>
      <c r="B48" s="5"/>
      <c r="C48" s="5"/>
      <c r="D48" s="5"/>
      <c r="E48" s="5"/>
      <c r="F48" s="5"/>
      <c r="G48" s="5"/>
      <c r="H48" s="5"/>
      <c r="I48" s="5"/>
      <c r="J48" s="14" t="s">
        <v>137</v>
      </c>
      <c r="K48" s="31">
        <f>SUM(K36:K47)</f>
        <v>347344718</v>
      </c>
    </row>
    <row r="49" spans="1:11" s="79" customFormat="1" ht="18" thickBot="1">
      <c r="A49" s="3"/>
      <c r="B49" s="5"/>
      <c r="C49" s="5"/>
      <c r="D49" s="5"/>
      <c r="E49" s="5"/>
      <c r="F49" s="5"/>
      <c r="G49" s="5"/>
      <c r="H49" s="5"/>
      <c r="I49" s="5"/>
      <c r="J49" s="107">
        <v>2022.01</v>
      </c>
      <c r="K49" s="30">
        <v>14554624</v>
      </c>
    </row>
    <row r="50" spans="1:11" s="79" customFormat="1" ht="18" thickBot="1">
      <c r="A50" s="3"/>
      <c r="B50" s="5"/>
      <c r="C50" s="5"/>
      <c r="D50" s="5"/>
      <c r="E50" s="5"/>
      <c r="F50" s="5"/>
      <c r="G50" s="5"/>
      <c r="H50" s="5"/>
      <c r="I50" s="5"/>
      <c r="J50" s="14" t="s">
        <v>96</v>
      </c>
      <c r="K50" s="31">
        <f>SUM(K4-K9-K22-K35-K48-K49)</f>
        <v>0</v>
      </c>
    </row>
    <row r="51" spans="1:11" s="79" customFormat="1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s="79" customFormat="1">
      <c r="A52" s="3"/>
      <c r="B52" s="5"/>
      <c r="C52" s="5"/>
      <c r="D52" s="5"/>
      <c r="E52" s="5"/>
      <c r="F52" s="5"/>
      <c r="G52" s="5"/>
      <c r="H52" s="5"/>
      <c r="I52" s="5"/>
      <c r="J52" s="1"/>
      <c r="K52" s="74"/>
    </row>
    <row r="53" spans="1:11" s="79" customFormat="1">
      <c r="A53" s="3"/>
      <c r="B53" s="5"/>
      <c r="C53" s="5"/>
      <c r="D53" s="5"/>
      <c r="E53" s="5"/>
      <c r="F53" s="5"/>
      <c r="G53" s="5"/>
      <c r="H53" s="5"/>
      <c r="I53" s="5"/>
      <c r="J53" s="1"/>
      <c r="K53" s="1"/>
    </row>
    <row r="54" spans="1:11" s="47" customFormat="1">
      <c r="A54" s="3"/>
      <c r="B54" s="5"/>
      <c r="C54" s="5"/>
      <c r="D54" s="5"/>
      <c r="E54" s="5"/>
      <c r="F54" s="5"/>
      <c r="G54" s="5"/>
      <c r="H54" s="5"/>
      <c r="I54" s="5"/>
      <c r="J54" s="1"/>
      <c r="K54" s="1"/>
    </row>
    <row r="55" spans="1:11" s="47" customFormat="1">
      <c r="A55" s="3"/>
      <c r="B55" s="5"/>
      <c r="C55" s="5"/>
      <c r="D55" s="5"/>
      <c r="E55" s="5"/>
      <c r="F55" s="5"/>
      <c r="G55" s="5"/>
      <c r="H55" s="5"/>
      <c r="I55" s="5"/>
      <c r="J55" s="1"/>
      <c r="K55" s="74"/>
    </row>
    <row r="56" spans="1:11" s="47" customFormat="1">
      <c r="A56" s="3"/>
      <c r="B56" s="5"/>
      <c r="C56" s="5"/>
      <c r="D56" s="5"/>
      <c r="E56" s="5"/>
      <c r="F56" s="5"/>
      <c r="G56" s="5"/>
      <c r="H56" s="5"/>
      <c r="I56" s="5"/>
      <c r="J56" s="1"/>
      <c r="K56" s="1"/>
    </row>
    <row r="57" spans="1:11" s="47" customFormat="1">
      <c r="A57" s="3"/>
      <c r="B57" s="5"/>
      <c r="C57" s="5"/>
      <c r="D57" s="5"/>
      <c r="E57" s="5"/>
      <c r="F57" s="5"/>
      <c r="G57" s="5"/>
      <c r="H57" s="5"/>
      <c r="I57" s="5"/>
      <c r="J57" s="1"/>
      <c r="K57" s="1"/>
    </row>
    <row r="58" spans="1:11">
      <c r="A58" s="3"/>
      <c r="B58" s="5"/>
      <c r="C58" s="5"/>
      <c r="D58" s="5"/>
      <c r="E58" s="5"/>
      <c r="F58" s="5"/>
      <c r="G58" s="5"/>
      <c r="H58" s="5"/>
      <c r="I58" s="5"/>
    </row>
    <row r="59" spans="1:11">
      <c r="A59" s="3"/>
      <c r="B59" s="5"/>
      <c r="C59" s="5"/>
      <c r="D59" s="5"/>
      <c r="E59" s="5"/>
      <c r="F59" s="5"/>
      <c r="G59" s="5"/>
      <c r="H59" s="5"/>
      <c r="I59" s="5"/>
    </row>
    <row r="60" spans="1:11">
      <c r="A60" s="3"/>
      <c r="G60" s="5"/>
      <c r="H60" s="5"/>
      <c r="I60" s="5"/>
      <c r="J60" s="5"/>
      <c r="K60" s="5"/>
    </row>
    <row r="61" spans="1:11">
      <c r="A61" s="3"/>
      <c r="G61" s="5"/>
      <c r="H61" s="5"/>
      <c r="I61" s="41"/>
    </row>
    <row r="62" spans="1:11">
      <c r="A62" s="3"/>
      <c r="G62" s="5"/>
      <c r="H62" s="5"/>
      <c r="I62" s="41"/>
    </row>
    <row r="63" spans="1:11">
      <c r="A63" s="3"/>
      <c r="G63" s="5"/>
      <c r="H63" s="5"/>
      <c r="I63" s="41"/>
    </row>
    <row r="64" spans="1:11">
      <c r="A64" s="3"/>
      <c r="I64" s="41"/>
    </row>
    <row r="65" spans="9:9">
      <c r="I65" s="5"/>
    </row>
    <row r="74" spans="9:9">
      <c r="I74" s="5"/>
    </row>
  </sheetData>
  <mergeCells count="6">
    <mergeCell ref="J6:K6"/>
    <mergeCell ref="B31:C31"/>
    <mergeCell ref="B32:C32"/>
    <mergeCell ref="B33:C33"/>
    <mergeCell ref="B34:C34"/>
    <mergeCell ref="B30:C30"/>
  </mergeCells>
  <phoneticPr fontId="2" type="noConversion"/>
  <pageMargins left="0.7" right="0.7" top="0.75" bottom="0.75" header="0.3" footer="0.3"/>
  <pageSetup paperSize="9" orientation="portrait" r:id="rId1"/>
  <ignoredErrors>
    <ignoredError sqref="F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AP18"/>
  <sheetViews>
    <sheetView topLeftCell="U1" zoomScale="85" zoomScaleNormal="85" workbookViewId="0">
      <selection activeCell="U13" sqref="A13:XFD17"/>
    </sheetView>
  </sheetViews>
  <sheetFormatPr defaultRowHeight="17.399999999999999"/>
  <cols>
    <col min="1" max="16" width="8.796875" style="79"/>
    <col min="17" max="17" width="12.59765625" style="79" customWidth="1"/>
    <col min="18" max="18" width="11.59765625" style="79" customWidth="1"/>
    <col min="19" max="19" width="8.796875" style="79"/>
    <col min="20" max="20" width="9.8984375" style="79" customWidth="1"/>
    <col min="21" max="21" width="12" style="79" customWidth="1"/>
    <col min="22" max="29" width="8.796875" style="79"/>
    <col min="30" max="30" width="13" style="79" customWidth="1"/>
    <col min="31" max="38" width="8.796875" style="79"/>
    <col min="39" max="39" width="15" style="79" customWidth="1"/>
    <col min="40" max="40" width="12.3984375" style="79" customWidth="1"/>
    <col min="41" max="41" width="7.69921875" style="79" customWidth="1"/>
    <col min="42" max="42" width="12.796875" style="79" customWidth="1"/>
    <col min="43" max="16384" width="8.796875" style="79"/>
  </cols>
  <sheetData>
    <row r="1" spans="1:42" ht="18" thickBot="1">
      <c r="A1" s="145" t="s">
        <v>259</v>
      </c>
      <c r="B1" s="145" t="s">
        <v>260</v>
      </c>
      <c r="C1" s="145" t="s">
        <v>261</v>
      </c>
      <c r="D1" s="145" t="s">
        <v>262</v>
      </c>
      <c r="E1" s="145" t="s">
        <v>263</v>
      </c>
      <c r="F1" s="145" t="s">
        <v>264</v>
      </c>
      <c r="G1" s="145" t="s">
        <v>265</v>
      </c>
      <c r="H1" s="145" t="s">
        <v>266</v>
      </c>
      <c r="I1" s="145" t="s">
        <v>145</v>
      </c>
      <c r="J1" s="145" t="s">
        <v>267</v>
      </c>
      <c r="K1" s="145" t="s">
        <v>35</v>
      </c>
      <c r="L1" s="145" t="s">
        <v>268</v>
      </c>
      <c r="M1" s="145" t="s">
        <v>269</v>
      </c>
      <c r="N1" s="146" t="s">
        <v>20</v>
      </c>
      <c r="O1" s="145" t="s">
        <v>270</v>
      </c>
      <c r="P1" s="146" t="s">
        <v>271</v>
      </c>
      <c r="Q1" s="145" t="s">
        <v>272</v>
      </c>
      <c r="R1" s="145" t="s">
        <v>273</v>
      </c>
      <c r="S1" s="145" t="s">
        <v>274</v>
      </c>
      <c r="T1" s="145" t="s">
        <v>276</v>
      </c>
      <c r="U1" s="145" t="s">
        <v>277</v>
      </c>
      <c r="V1" s="145" t="s">
        <v>278</v>
      </c>
      <c r="W1" s="145" t="s">
        <v>279</v>
      </c>
      <c r="X1" s="145" t="s">
        <v>280</v>
      </c>
      <c r="Y1" s="145" t="s">
        <v>281</v>
      </c>
      <c r="Z1" s="145" t="s">
        <v>282</v>
      </c>
      <c r="AA1" s="145" t="s">
        <v>283</v>
      </c>
      <c r="AB1" s="145" t="s">
        <v>284</v>
      </c>
      <c r="AC1" s="145" t="s">
        <v>285</v>
      </c>
      <c r="AD1" s="146" t="s">
        <v>286</v>
      </c>
      <c r="AE1" s="145" t="s">
        <v>288</v>
      </c>
      <c r="AF1" s="145" t="s">
        <v>289</v>
      </c>
      <c r="AG1" s="145" t="s">
        <v>290</v>
      </c>
      <c r="AH1" s="145" t="s">
        <v>291</v>
      </c>
      <c r="AI1" s="145" t="s">
        <v>292</v>
      </c>
      <c r="AJ1" s="145" t="s">
        <v>293</v>
      </c>
      <c r="AK1" s="145" t="s">
        <v>294</v>
      </c>
      <c r="AL1" s="145" t="s">
        <v>295</v>
      </c>
      <c r="AM1" s="145" t="s">
        <v>296</v>
      </c>
      <c r="AN1" s="145" t="s">
        <v>297</v>
      </c>
      <c r="AO1" s="145" t="s">
        <v>298</v>
      </c>
      <c r="AP1" s="146" t="s">
        <v>299</v>
      </c>
    </row>
    <row r="2" spans="1:42" ht="18" thickTop="1">
      <c r="A2" s="147" t="s">
        <v>300</v>
      </c>
      <c r="B2" s="147" t="s">
        <v>301</v>
      </c>
      <c r="C2" s="147" t="s">
        <v>302</v>
      </c>
      <c r="D2" s="147" t="s">
        <v>303</v>
      </c>
      <c r="E2" s="147" t="s">
        <v>304</v>
      </c>
      <c r="F2" s="147" t="s">
        <v>305</v>
      </c>
      <c r="G2" s="147" t="s">
        <v>306</v>
      </c>
      <c r="H2" s="147" t="s">
        <v>307</v>
      </c>
      <c r="I2" s="147" t="s">
        <v>17</v>
      </c>
      <c r="J2" s="147">
        <v>53361105</v>
      </c>
      <c r="K2" s="147" t="s">
        <v>308</v>
      </c>
      <c r="L2" s="147"/>
      <c r="M2" s="147"/>
      <c r="N2" s="147" t="s">
        <v>309</v>
      </c>
      <c r="O2" s="147" t="s">
        <v>310</v>
      </c>
      <c r="P2" s="147">
        <v>0.55000000000000004</v>
      </c>
      <c r="Q2" s="147">
        <v>0.55000000000000004</v>
      </c>
      <c r="R2" s="148" t="s">
        <v>311</v>
      </c>
      <c r="S2" s="148">
        <v>400</v>
      </c>
      <c r="T2" s="148">
        <v>126400</v>
      </c>
      <c r="U2" s="148">
        <v>93100</v>
      </c>
      <c r="V2" s="148">
        <v>0</v>
      </c>
      <c r="W2" s="148">
        <v>0</v>
      </c>
      <c r="X2" s="148">
        <v>0</v>
      </c>
      <c r="Y2" s="148">
        <v>0</v>
      </c>
      <c r="Z2" s="148">
        <v>4800</v>
      </c>
      <c r="AA2" s="148">
        <v>0</v>
      </c>
      <c r="AB2" s="148">
        <v>0</v>
      </c>
      <c r="AC2" s="148">
        <v>28500</v>
      </c>
      <c r="AD2" s="148">
        <v>126880</v>
      </c>
      <c r="AE2" s="148">
        <v>93100</v>
      </c>
      <c r="AF2" s="148">
        <v>0</v>
      </c>
      <c r="AG2" s="148">
        <v>0</v>
      </c>
      <c r="AH2" s="148">
        <v>0</v>
      </c>
      <c r="AI2" s="148">
        <v>0</v>
      </c>
      <c r="AJ2" s="148">
        <v>5280</v>
      </c>
      <c r="AK2" s="148">
        <v>0</v>
      </c>
      <c r="AL2" s="148">
        <v>0</v>
      </c>
      <c r="AM2" s="148">
        <v>28500</v>
      </c>
      <c r="AN2" s="148">
        <v>69784</v>
      </c>
      <c r="AO2" s="148">
        <v>0</v>
      </c>
      <c r="AP2" s="148">
        <v>69784</v>
      </c>
    </row>
    <row r="3" spans="1:42">
      <c r="A3" s="147" t="s">
        <v>300</v>
      </c>
      <c r="B3" s="147" t="s">
        <v>301</v>
      </c>
      <c r="C3" s="147" t="s">
        <v>302</v>
      </c>
      <c r="D3" s="147" t="s">
        <v>303</v>
      </c>
      <c r="E3" s="147" t="s">
        <v>304</v>
      </c>
      <c r="F3" s="147" t="s">
        <v>305</v>
      </c>
      <c r="G3" s="147" t="s">
        <v>306</v>
      </c>
      <c r="H3" s="147" t="s">
        <v>307</v>
      </c>
      <c r="I3" s="147" t="s">
        <v>17</v>
      </c>
      <c r="J3" s="147">
        <v>53361105</v>
      </c>
      <c r="K3" s="147" t="s">
        <v>308</v>
      </c>
      <c r="L3" s="147"/>
      <c r="M3" s="147"/>
      <c r="N3" s="147" t="s">
        <v>309</v>
      </c>
      <c r="O3" s="147" t="s">
        <v>310</v>
      </c>
      <c r="P3" s="147">
        <v>0.55000000000000004</v>
      </c>
      <c r="Q3" s="147">
        <v>0.55000000000000004</v>
      </c>
      <c r="R3" s="148" t="s">
        <v>312</v>
      </c>
      <c r="S3" s="148">
        <v>3600</v>
      </c>
      <c r="T3" s="148">
        <v>97200</v>
      </c>
      <c r="U3" s="148">
        <v>73600</v>
      </c>
      <c r="V3" s="148">
        <v>0</v>
      </c>
      <c r="W3" s="148">
        <v>0</v>
      </c>
      <c r="X3" s="148">
        <v>0</v>
      </c>
      <c r="Y3" s="148">
        <v>0</v>
      </c>
      <c r="Z3" s="148">
        <v>10800</v>
      </c>
      <c r="AA3" s="148">
        <v>0</v>
      </c>
      <c r="AB3" s="148">
        <v>0</v>
      </c>
      <c r="AC3" s="148">
        <v>12800</v>
      </c>
      <c r="AD3" s="148">
        <v>98280</v>
      </c>
      <c r="AE3" s="148">
        <v>73600</v>
      </c>
      <c r="AF3" s="148">
        <v>0</v>
      </c>
      <c r="AG3" s="148">
        <v>0</v>
      </c>
      <c r="AH3" s="148">
        <v>0</v>
      </c>
      <c r="AI3" s="148">
        <v>0</v>
      </c>
      <c r="AJ3" s="148">
        <v>11880</v>
      </c>
      <c r="AK3" s="148">
        <v>0</v>
      </c>
      <c r="AL3" s="148">
        <v>0</v>
      </c>
      <c r="AM3" s="148">
        <v>12800</v>
      </c>
      <c r="AN3" s="148">
        <v>54054</v>
      </c>
      <c r="AO3" s="148">
        <v>0</v>
      </c>
      <c r="AP3" s="148">
        <v>54054</v>
      </c>
    </row>
    <row r="4" spans="1:42">
      <c r="A4" s="147" t="s">
        <v>300</v>
      </c>
      <c r="B4" s="147" t="s">
        <v>301</v>
      </c>
      <c r="C4" s="147" t="s">
        <v>302</v>
      </c>
      <c r="D4" s="147" t="s">
        <v>303</v>
      </c>
      <c r="E4" s="147" t="s">
        <v>304</v>
      </c>
      <c r="F4" s="147" t="s">
        <v>305</v>
      </c>
      <c r="G4" s="147" t="s">
        <v>306</v>
      </c>
      <c r="H4" s="147" t="s">
        <v>307</v>
      </c>
      <c r="I4" s="147" t="s">
        <v>17</v>
      </c>
      <c r="J4" s="147">
        <v>53361105</v>
      </c>
      <c r="K4" s="147" t="s">
        <v>308</v>
      </c>
      <c r="L4" s="147"/>
      <c r="M4" s="147"/>
      <c r="N4" s="147" t="s">
        <v>309</v>
      </c>
      <c r="O4" s="147" t="s">
        <v>310</v>
      </c>
      <c r="P4" s="147">
        <v>0.55000000000000004</v>
      </c>
      <c r="Q4" s="147">
        <v>0.55000000000000004</v>
      </c>
      <c r="R4" s="148" t="s">
        <v>312</v>
      </c>
      <c r="S4" s="148">
        <v>10800</v>
      </c>
      <c r="T4" s="148">
        <v>54000</v>
      </c>
      <c r="U4" s="148">
        <v>21100</v>
      </c>
      <c r="V4" s="148">
        <v>0</v>
      </c>
      <c r="W4" s="148">
        <v>0</v>
      </c>
      <c r="X4" s="148">
        <v>0</v>
      </c>
      <c r="Y4" s="148">
        <v>0</v>
      </c>
      <c r="Z4" s="148">
        <v>32400</v>
      </c>
      <c r="AA4" s="148">
        <v>0</v>
      </c>
      <c r="AB4" s="148">
        <v>0</v>
      </c>
      <c r="AC4" s="148">
        <v>500</v>
      </c>
      <c r="AD4" s="148">
        <v>57240</v>
      </c>
      <c r="AE4" s="148">
        <v>21100</v>
      </c>
      <c r="AF4" s="148">
        <v>0</v>
      </c>
      <c r="AG4" s="148">
        <v>0</v>
      </c>
      <c r="AH4" s="148">
        <v>0</v>
      </c>
      <c r="AI4" s="148">
        <v>0</v>
      </c>
      <c r="AJ4" s="148">
        <v>35640</v>
      </c>
      <c r="AK4" s="148">
        <v>0</v>
      </c>
      <c r="AL4" s="148">
        <v>0</v>
      </c>
      <c r="AM4" s="148">
        <v>500</v>
      </c>
      <c r="AN4" s="148">
        <v>31482</v>
      </c>
      <c r="AO4" s="148">
        <v>0</v>
      </c>
      <c r="AP4" s="148">
        <v>31482</v>
      </c>
    </row>
    <row r="5" spans="1:42">
      <c r="A5" s="147" t="s">
        <v>300</v>
      </c>
      <c r="B5" s="147" t="s">
        <v>301</v>
      </c>
      <c r="C5" s="147" t="s">
        <v>302</v>
      </c>
      <c r="D5" s="147" t="s">
        <v>303</v>
      </c>
      <c r="E5" s="147" t="s">
        <v>304</v>
      </c>
      <c r="F5" s="147" t="s">
        <v>305</v>
      </c>
      <c r="G5" s="147" t="s">
        <v>306</v>
      </c>
      <c r="H5" s="147" t="s">
        <v>307</v>
      </c>
      <c r="I5" s="147" t="s">
        <v>17</v>
      </c>
      <c r="J5" s="147">
        <v>53361105</v>
      </c>
      <c r="K5" s="147" t="s">
        <v>308</v>
      </c>
      <c r="L5" s="147"/>
      <c r="M5" s="147"/>
      <c r="N5" s="147" t="s">
        <v>309</v>
      </c>
      <c r="O5" s="147" t="s">
        <v>310</v>
      </c>
      <c r="P5" s="147">
        <v>0.55000000000000004</v>
      </c>
      <c r="Q5" s="147">
        <v>0.55000000000000004</v>
      </c>
      <c r="R5" s="148" t="s">
        <v>312</v>
      </c>
      <c r="S5" s="148">
        <v>18000</v>
      </c>
      <c r="T5" s="148">
        <v>75200</v>
      </c>
      <c r="U5" s="148">
        <v>62200</v>
      </c>
      <c r="V5" s="148">
        <v>0</v>
      </c>
      <c r="W5" s="148">
        <v>0</v>
      </c>
      <c r="X5" s="148">
        <v>0</v>
      </c>
      <c r="Y5" s="148">
        <v>0</v>
      </c>
      <c r="Z5" s="148">
        <v>0</v>
      </c>
      <c r="AA5" s="148">
        <v>0</v>
      </c>
      <c r="AB5" s="148">
        <v>0</v>
      </c>
      <c r="AC5" s="148">
        <v>13000</v>
      </c>
      <c r="AD5" s="148">
        <v>75200</v>
      </c>
      <c r="AE5" s="148">
        <v>62200</v>
      </c>
      <c r="AF5" s="148">
        <v>0</v>
      </c>
      <c r="AG5" s="148">
        <v>0</v>
      </c>
      <c r="AH5" s="148">
        <v>0</v>
      </c>
      <c r="AI5" s="148">
        <v>0</v>
      </c>
      <c r="AJ5" s="148">
        <v>0</v>
      </c>
      <c r="AK5" s="148">
        <v>0</v>
      </c>
      <c r="AL5" s="148">
        <v>0</v>
      </c>
      <c r="AM5" s="148">
        <v>13000</v>
      </c>
      <c r="AN5" s="148">
        <v>41360</v>
      </c>
      <c r="AO5" s="148">
        <v>0</v>
      </c>
      <c r="AP5" s="148">
        <v>41360</v>
      </c>
    </row>
    <row r="6" spans="1:42">
      <c r="A6" s="147" t="s">
        <v>300</v>
      </c>
      <c r="B6" s="147" t="s">
        <v>301</v>
      </c>
      <c r="C6" s="147" t="s">
        <v>302</v>
      </c>
      <c r="D6" s="147" t="s">
        <v>303</v>
      </c>
      <c r="E6" s="147" t="s">
        <v>304</v>
      </c>
      <c r="F6" s="147" t="s">
        <v>305</v>
      </c>
      <c r="G6" s="147" t="s">
        <v>306</v>
      </c>
      <c r="H6" s="147" t="s">
        <v>307</v>
      </c>
      <c r="I6" s="147" t="s">
        <v>17</v>
      </c>
      <c r="J6" s="147">
        <v>53361105</v>
      </c>
      <c r="K6" s="147" t="s">
        <v>308</v>
      </c>
      <c r="L6" s="147"/>
      <c r="M6" s="147"/>
      <c r="N6" s="147" t="s">
        <v>309</v>
      </c>
      <c r="O6" s="147" t="s">
        <v>310</v>
      </c>
      <c r="P6" s="147">
        <v>0.55000000000000004</v>
      </c>
      <c r="Q6" s="147">
        <v>0.55000000000000004</v>
      </c>
      <c r="R6" s="148" t="s">
        <v>313</v>
      </c>
      <c r="S6" s="148">
        <v>200</v>
      </c>
      <c r="T6" s="148">
        <v>2843400</v>
      </c>
      <c r="U6" s="148">
        <v>1296300</v>
      </c>
      <c r="V6" s="148">
        <v>0</v>
      </c>
      <c r="W6" s="148">
        <v>0</v>
      </c>
      <c r="X6" s="148">
        <v>0</v>
      </c>
      <c r="Y6" s="148">
        <v>70370</v>
      </c>
      <c r="Z6" s="148">
        <v>96130</v>
      </c>
      <c r="AA6" s="148">
        <v>0</v>
      </c>
      <c r="AB6" s="148">
        <v>0</v>
      </c>
      <c r="AC6" s="148">
        <v>1380600</v>
      </c>
      <c r="AD6" s="148">
        <v>2867087</v>
      </c>
      <c r="AE6" s="148">
        <v>1296300</v>
      </c>
      <c r="AF6" s="148">
        <v>0</v>
      </c>
      <c r="AG6" s="148">
        <v>0</v>
      </c>
      <c r="AH6" s="148">
        <v>0</v>
      </c>
      <c r="AI6" s="148">
        <v>84444</v>
      </c>
      <c r="AJ6" s="148">
        <v>105743</v>
      </c>
      <c r="AK6" s="148">
        <v>0</v>
      </c>
      <c r="AL6" s="148">
        <v>0</v>
      </c>
      <c r="AM6" s="148">
        <v>1380600</v>
      </c>
      <c r="AN6" s="148">
        <v>1576898</v>
      </c>
      <c r="AO6" s="148">
        <v>0</v>
      </c>
      <c r="AP6" s="148">
        <v>1576898</v>
      </c>
    </row>
    <row r="7" spans="1:42">
      <c r="A7" s="147" t="s">
        <v>300</v>
      </c>
      <c r="B7" s="147" t="s">
        <v>301</v>
      </c>
      <c r="C7" s="147" t="s">
        <v>302</v>
      </c>
      <c r="D7" s="147" t="s">
        <v>303</v>
      </c>
      <c r="E7" s="147" t="s">
        <v>304</v>
      </c>
      <c r="F7" s="147" t="s">
        <v>305</v>
      </c>
      <c r="G7" s="147" t="s">
        <v>306</v>
      </c>
      <c r="H7" s="147" t="s">
        <v>307</v>
      </c>
      <c r="I7" s="147" t="s">
        <v>17</v>
      </c>
      <c r="J7" s="147">
        <v>53361105</v>
      </c>
      <c r="K7" s="147" t="s">
        <v>308</v>
      </c>
      <c r="L7" s="147"/>
      <c r="M7" s="147"/>
      <c r="N7" s="147" t="s">
        <v>309</v>
      </c>
      <c r="O7" s="147" t="s">
        <v>310</v>
      </c>
      <c r="P7" s="147">
        <v>0.55000000000000004</v>
      </c>
      <c r="Q7" s="147">
        <v>0.55000000000000004</v>
      </c>
      <c r="R7" s="148" t="s">
        <v>314</v>
      </c>
      <c r="S7" s="148">
        <v>1800</v>
      </c>
      <c r="T7" s="148">
        <v>1451000</v>
      </c>
      <c r="U7" s="148">
        <v>1088400</v>
      </c>
      <c r="V7" s="148">
        <v>0</v>
      </c>
      <c r="W7" s="148">
        <v>0</v>
      </c>
      <c r="X7" s="148">
        <v>0</v>
      </c>
      <c r="Y7" s="148">
        <v>16100</v>
      </c>
      <c r="Z7" s="148">
        <v>160400</v>
      </c>
      <c r="AA7" s="148">
        <v>0</v>
      </c>
      <c r="AB7" s="148">
        <v>0</v>
      </c>
      <c r="AC7" s="148">
        <v>186100</v>
      </c>
      <c r="AD7" s="148">
        <v>1470260</v>
      </c>
      <c r="AE7" s="148">
        <v>1088400</v>
      </c>
      <c r="AF7" s="148">
        <v>0</v>
      </c>
      <c r="AG7" s="148">
        <v>0</v>
      </c>
      <c r="AH7" s="148">
        <v>0</v>
      </c>
      <c r="AI7" s="148">
        <v>19320</v>
      </c>
      <c r="AJ7" s="148">
        <v>176440</v>
      </c>
      <c r="AK7" s="148">
        <v>0</v>
      </c>
      <c r="AL7" s="148">
        <v>0</v>
      </c>
      <c r="AM7" s="148">
        <v>186100</v>
      </c>
      <c r="AN7" s="148">
        <v>808643</v>
      </c>
      <c r="AO7" s="148">
        <v>0</v>
      </c>
      <c r="AP7" s="148">
        <v>808643</v>
      </c>
    </row>
    <row r="8" spans="1:42">
      <c r="A8" s="147" t="s">
        <v>300</v>
      </c>
      <c r="B8" s="147" t="s">
        <v>301</v>
      </c>
      <c r="C8" s="147" t="s">
        <v>302</v>
      </c>
      <c r="D8" s="147" t="s">
        <v>303</v>
      </c>
      <c r="E8" s="147" t="s">
        <v>304</v>
      </c>
      <c r="F8" s="147" t="s">
        <v>305</v>
      </c>
      <c r="G8" s="147" t="s">
        <v>306</v>
      </c>
      <c r="H8" s="147" t="s">
        <v>307</v>
      </c>
      <c r="I8" s="147" t="s">
        <v>17</v>
      </c>
      <c r="J8" s="147">
        <v>53361105</v>
      </c>
      <c r="K8" s="147" t="s">
        <v>308</v>
      </c>
      <c r="L8" s="147"/>
      <c r="M8" s="147"/>
      <c r="N8" s="147" t="s">
        <v>309</v>
      </c>
      <c r="O8" s="147" t="s">
        <v>310</v>
      </c>
      <c r="P8" s="147">
        <v>0.55000000000000004</v>
      </c>
      <c r="Q8" s="147">
        <v>0.55000000000000004</v>
      </c>
      <c r="R8" s="148" t="s">
        <v>314</v>
      </c>
      <c r="S8" s="148">
        <v>5400</v>
      </c>
      <c r="T8" s="148">
        <v>562800</v>
      </c>
      <c r="U8" s="148">
        <v>488300</v>
      </c>
      <c r="V8" s="148">
        <v>0</v>
      </c>
      <c r="W8" s="148">
        <v>0</v>
      </c>
      <c r="X8" s="148">
        <v>0</v>
      </c>
      <c r="Y8" s="148">
        <v>-4200</v>
      </c>
      <c r="Z8" s="148">
        <v>24800</v>
      </c>
      <c r="AA8" s="148">
        <v>0</v>
      </c>
      <c r="AB8" s="148">
        <v>0</v>
      </c>
      <c r="AC8" s="148">
        <v>53900</v>
      </c>
      <c r="AD8" s="148">
        <v>564440</v>
      </c>
      <c r="AE8" s="148">
        <v>488300</v>
      </c>
      <c r="AF8" s="148">
        <v>0</v>
      </c>
      <c r="AG8" s="148">
        <v>0</v>
      </c>
      <c r="AH8" s="148">
        <v>0</v>
      </c>
      <c r="AI8" s="148">
        <v>-5040</v>
      </c>
      <c r="AJ8" s="148">
        <v>27280</v>
      </c>
      <c r="AK8" s="148">
        <v>0</v>
      </c>
      <c r="AL8" s="148">
        <v>0</v>
      </c>
      <c r="AM8" s="148">
        <v>53900</v>
      </c>
      <c r="AN8" s="148">
        <v>310442</v>
      </c>
      <c r="AO8" s="148">
        <v>0</v>
      </c>
      <c r="AP8" s="148">
        <v>310442</v>
      </c>
    </row>
    <row r="9" spans="1:42">
      <c r="A9" s="147" t="s">
        <v>300</v>
      </c>
      <c r="B9" s="147" t="s">
        <v>301</v>
      </c>
      <c r="C9" s="147" t="s">
        <v>302</v>
      </c>
      <c r="D9" s="147" t="s">
        <v>303</v>
      </c>
      <c r="E9" s="147" t="s">
        <v>304</v>
      </c>
      <c r="F9" s="147" t="s">
        <v>305</v>
      </c>
      <c r="G9" s="147" t="s">
        <v>306</v>
      </c>
      <c r="H9" s="147" t="s">
        <v>307</v>
      </c>
      <c r="I9" s="147" t="s">
        <v>17</v>
      </c>
      <c r="J9" s="147">
        <v>53361105</v>
      </c>
      <c r="K9" s="147" t="s">
        <v>308</v>
      </c>
      <c r="L9" s="147"/>
      <c r="M9" s="147"/>
      <c r="N9" s="147" t="s">
        <v>309</v>
      </c>
      <c r="O9" s="147" t="s">
        <v>310</v>
      </c>
      <c r="P9" s="147">
        <v>0.55000000000000004</v>
      </c>
      <c r="Q9" s="147">
        <v>0.55000000000000004</v>
      </c>
      <c r="R9" s="148" t="s">
        <v>314</v>
      </c>
      <c r="S9" s="148">
        <v>9000</v>
      </c>
      <c r="T9" s="148">
        <v>678600</v>
      </c>
      <c r="U9" s="148">
        <v>484300</v>
      </c>
      <c r="V9" s="148">
        <v>0</v>
      </c>
      <c r="W9" s="148">
        <v>0</v>
      </c>
      <c r="X9" s="148">
        <v>0</v>
      </c>
      <c r="Y9" s="148">
        <v>600</v>
      </c>
      <c r="Z9" s="148">
        <v>172200</v>
      </c>
      <c r="AA9" s="148">
        <v>0</v>
      </c>
      <c r="AB9" s="148">
        <v>0</v>
      </c>
      <c r="AC9" s="148">
        <v>21500</v>
      </c>
      <c r="AD9" s="148">
        <v>695940</v>
      </c>
      <c r="AE9" s="148">
        <v>484300</v>
      </c>
      <c r="AF9" s="148">
        <v>0</v>
      </c>
      <c r="AG9" s="148">
        <v>0</v>
      </c>
      <c r="AH9" s="148">
        <v>0</v>
      </c>
      <c r="AI9" s="148">
        <v>720</v>
      </c>
      <c r="AJ9" s="148">
        <v>189420</v>
      </c>
      <c r="AK9" s="148">
        <v>0</v>
      </c>
      <c r="AL9" s="148">
        <v>0</v>
      </c>
      <c r="AM9" s="148">
        <v>21500</v>
      </c>
      <c r="AN9" s="148">
        <v>382767</v>
      </c>
      <c r="AO9" s="148">
        <v>0</v>
      </c>
      <c r="AP9" s="148">
        <v>382767</v>
      </c>
    </row>
    <row r="10" spans="1:42" s="149" customFormat="1">
      <c r="AD10" s="149">
        <f>SUM(AD2:AD9)</f>
        <v>5955327</v>
      </c>
      <c r="AP10" s="150">
        <f>SUM(AP2:AP9)</f>
        <v>3275430</v>
      </c>
    </row>
    <row r="12" spans="1:42" ht="18" thickBot="1">
      <c r="A12" s="145" t="s">
        <v>259</v>
      </c>
      <c r="B12" s="145" t="s">
        <v>260</v>
      </c>
      <c r="C12" s="145" t="s">
        <v>261</v>
      </c>
      <c r="D12" s="145" t="s">
        <v>262</v>
      </c>
      <c r="E12" s="145" t="s">
        <v>263</v>
      </c>
      <c r="F12" s="145" t="s">
        <v>264</v>
      </c>
      <c r="G12" s="145" t="s">
        <v>265</v>
      </c>
      <c r="H12" s="145" t="s">
        <v>266</v>
      </c>
      <c r="I12" s="145" t="s">
        <v>145</v>
      </c>
      <c r="J12" s="145" t="s">
        <v>267</v>
      </c>
      <c r="K12" s="145" t="s">
        <v>35</v>
      </c>
      <c r="L12" s="145" t="s">
        <v>315</v>
      </c>
      <c r="M12" s="145" t="s">
        <v>316</v>
      </c>
      <c r="N12" s="146" t="s">
        <v>20</v>
      </c>
      <c r="O12" s="145" t="s">
        <v>270</v>
      </c>
      <c r="P12" s="146" t="s">
        <v>271</v>
      </c>
      <c r="Q12" s="145" t="s">
        <v>272</v>
      </c>
      <c r="R12" s="145" t="s">
        <v>273</v>
      </c>
      <c r="S12" s="145" t="s">
        <v>274</v>
      </c>
      <c r="T12" s="145" t="s">
        <v>275</v>
      </c>
      <c r="U12" s="145" t="s">
        <v>277</v>
      </c>
      <c r="V12" s="145" t="s">
        <v>278</v>
      </c>
      <c r="W12" s="145" t="s">
        <v>279</v>
      </c>
      <c r="X12" s="145" t="s">
        <v>280</v>
      </c>
      <c r="Y12" s="145" t="s">
        <v>281</v>
      </c>
      <c r="Z12" s="145" t="s">
        <v>282</v>
      </c>
      <c r="AA12" s="145" t="s">
        <v>283</v>
      </c>
      <c r="AB12" s="145" t="s">
        <v>284</v>
      </c>
      <c r="AC12" s="145" t="s">
        <v>285</v>
      </c>
      <c r="AD12" s="146" t="s">
        <v>286</v>
      </c>
      <c r="AE12" s="145" t="s">
        <v>287</v>
      </c>
      <c r="AF12" s="145" t="s">
        <v>289</v>
      </c>
      <c r="AG12" s="145" t="s">
        <v>290</v>
      </c>
      <c r="AH12" s="145" t="s">
        <v>291</v>
      </c>
      <c r="AI12" s="145" t="s">
        <v>292</v>
      </c>
      <c r="AJ12" s="145" t="s">
        <v>293</v>
      </c>
      <c r="AK12" s="145" t="s">
        <v>317</v>
      </c>
      <c r="AL12" s="145" t="s">
        <v>295</v>
      </c>
      <c r="AM12" s="145" t="s">
        <v>296</v>
      </c>
      <c r="AN12" s="145" t="s">
        <v>297</v>
      </c>
      <c r="AO12" s="145" t="s">
        <v>298</v>
      </c>
      <c r="AP12" s="146" t="s">
        <v>299</v>
      </c>
    </row>
    <row r="13" spans="1:42" ht="18" thickTop="1">
      <c r="A13" s="147" t="s">
        <v>300</v>
      </c>
      <c r="B13" s="147" t="s">
        <v>301</v>
      </c>
      <c r="C13" s="147" t="s">
        <v>302</v>
      </c>
      <c r="D13" s="147" t="s">
        <v>303</v>
      </c>
      <c r="E13" s="147" t="s">
        <v>304</v>
      </c>
      <c r="F13" s="147" t="s">
        <v>305</v>
      </c>
      <c r="G13" s="147" t="s">
        <v>306</v>
      </c>
      <c r="H13" s="147" t="s">
        <v>307</v>
      </c>
      <c r="I13" s="147" t="s">
        <v>17</v>
      </c>
      <c r="J13" s="147">
        <v>53361778</v>
      </c>
      <c r="K13" s="147" t="s">
        <v>318</v>
      </c>
      <c r="L13" s="147"/>
      <c r="M13" s="147"/>
      <c r="N13" s="147" t="s">
        <v>319</v>
      </c>
      <c r="O13" s="147" t="s">
        <v>310</v>
      </c>
      <c r="P13" s="147">
        <v>0.55000000000000004</v>
      </c>
      <c r="Q13" s="147">
        <v>0.55000000000000004</v>
      </c>
      <c r="R13" s="148" t="s">
        <v>311</v>
      </c>
      <c r="S13" s="148">
        <v>400</v>
      </c>
      <c r="T13" s="148">
        <v>800</v>
      </c>
      <c r="U13" s="148">
        <v>300</v>
      </c>
      <c r="V13" s="148">
        <v>0</v>
      </c>
      <c r="W13" s="148">
        <v>0</v>
      </c>
      <c r="X13" s="148">
        <v>0</v>
      </c>
      <c r="Y13" s="148">
        <v>0</v>
      </c>
      <c r="Z13" s="148">
        <v>0</v>
      </c>
      <c r="AA13" s="148">
        <v>0</v>
      </c>
      <c r="AB13" s="148">
        <v>0</v>
      </c>
      <c r="AC13" s="148">
        <v>500</v>
      </c>
      <c r="AD13" s="148">
        <v>800</v>
      </c>
      <c r="AE13" s="148">
        <v>300</v>
      </c>
      <c r="AF13" s="148">
        <v>0</v>
      </c>
      <c r="AG13" s="148">
        <v>0</v>
      </c>
      <c r="AH13" s="148">
        <v>0</v>
      </c>
      <c r="AI13" s="148">
        <v>0</v>
      </c>
      <c r="AJ13" s="148">
        <v>0</v>
      </c>
      <c r="AK13" s="148">
        <v>0</v>
      </c>
      <c r="AL13" s="148">
        <v>0</v>
      </c>
      <c r="AM13" s="148">
        <v>500</v>
      </c>
      <c r="AN13" s="148">
        <v>440</v>
      </c>
      <c r="AO13" s="148">
        <v>0</v>
      </c>
      <c r="AP13" s="148">
        <v>440</v>
      </c>
    </row>
    <row r="14" spans="1:42">
      <c r="A14" s="147" t="s">
        <v>300</v>
      </c>
      <c r="B14" s="147" t="s">
        <v>301</v>
      </c>
      <c r="C14" s="147" t="s">
        <v>302</v>
      </c>
      <c r="D14" s="147" t="s">
        <v>303</v>
      </c>
      <c r="E14" s="147" t="s">
        <v>304</v>
      </c>
      <c r="F14" s="147" t="s">
        <v>305</v>
      </c>
      <c r="G14" s="147" t="s">
        <v>306</v>
      </c>
      <c r="H14" s="147" t="s">
        <v>307</v>
      </c>
      <c r="I14" s="147" t="s">
        <v>17</v>
      </c>
      <c r="J14" s="147">
        <v>53361778</v>
      </c>
      <c r="K14" s="147" t="s">
        <v>318</v>
      </c>
      <c r="L14" s="147"/>
      <c r="M14" s="147"/>
      <c r="N14" s="147" t="s">
        <v>319</v>
      </c>
      <c r="O14" s="147" t="s">
        <v>310</v>
      </c>
      <c r="P14" s="147">
        <v>0.55000000000000004</v>
      </c>
      <c r="Q14" s="147">
        <v>0.55000000000000004</v>
      </c>
      <c r="R14" s="148" t="s">
        <v>313</v>
      </c>
      <c r="S14" s="148">
        <v>200</v>
      </c>
      <c r="T14" s="148">
        <v>193400</v>
      </c>
      <c r="U14" s="148">
        <v>74650</v>
      </c>
      <c r="V14" s="148">
        <v>0</v>
      </c>
      <c r="W14" s="148">
        <v>0</v>
      </c>
      <c r="X14" s="148">
        <v>0</v>
      </c>
      <c r="Y14" s="148">
        <v>0</v>
      </c>
      <c r="Z14" s="148">
        <v>2200</v>
      </c>
      <c r="AA14" s="148">
        <v>0</v>
      </c>
      <c r="AB14" s="148">
        <v>0</v>
      </c>
      <c r="AC14" s="148">
        <v>116550</v>
      </c>
      <c r="AD14" s="148">
        <v>193620</v>
      </c>
      <c r="AE14" s="148">
        <v>74650</v>
      </c>
      <c r="AF14" s="148">
        <v>0</v>
      </c>
      <c r="AG14" s="148">
        <v>0</v>
      </c>
      <c r="AH14" s="148">
        <v>0</v>
      </c>
      <c r="AI14" s="148">
        <v>0</v>
      </c>
      <c r="AJ14" s="148">
        <v>2420</v>
      </c>
      <c r="AK14" s="148">
        <v>0</v>
      </c>
      <c r="AL14" s="148">
        <v>0</v>
      </c>
      <c r="AM14" s="148">
        <v>116550</v>
      </c>
      <c r="AN14" s="148">
        <v>106491</v>
      </c>
      <c r="AO14" s="148">
        <v>0</v>
      </c>
      <c r="AP14" s="148">
        <v>106491</v>
      </c>
    </row>
    <row r="15" spans="1:42">
      <c r="A15" s="147" t="s">
        <v>300</v>
      </c>
      <c r="B15" s="147" t="s">
        <v>301</v>
      </c>
      <c r="C15" s="147" t="s">
        <v>302</v>
      </c>
      <c r="D15" s="147" t="s">
        <v>303</v>
      </c>
      <c r="E15" s="147" t="s">
        <v>304</v>
      </c>
      <c r="F15" s="147" t="s">
        <v>305</v>
      </c>
      <c r="G15" s="147" t="s">
        <v>306</v>
      </c>
      <c r="H15" s="147" t="s">
        <v>307</v>
      </c>
      <c r="I15" s="147" t="s">
        <v>17</v>
      </c>
      <c r="J15" s="147">
        <v>53361778</v>
      </c>
      <c r="K15" s="147" t="s">
        <v>318</v>
      </c>
      <c r="L15" s="147"/>
      <c r="M15" s="147"/>
      <c r="N15" s="147" t="s">
        <v>319</v>
      </c>
      <c r="O15" s="147" t="s">
        <v>310</v>
      </c>
      <c r="P15" s="147">
        <v>0.55000000000000004</v>
      </c>
      <c r="Q15" s="147">
        <v>0.55000000000000004</v>
      </c>
      <c r="R15" s="148" t="s">
        <v>314</v>
      </c>
      <c r="S15" s="148">
        <v>1800</v>
      </c>
      <c r="T15" s="148">
        <v>177600</v>
      </c>
      <c r="U15" s="148">
        <v>150300</v>
      </c>
      <c r="V15" s="148">
        <v>0</v>
      </c>
      <c r="W15" s="148">
        <v>0</v>
      </c>
      <c r="X15" s="148">
        <v>0</v>
      </c>
      <c r="Y15" s="148">
        <v>0</v>
      </c>
      <c r="Z15" s="148">
        <v>10800</v>
      </c>
      <c r="AA15" s="148">
        <v>0</v>
      </c>
      <c r="AB15" s="148">
        <v>0</v>
      </c>
      <c r="AC15" s="148">
        <v>16500</v>
      </c>
      <c r="AD15" s="148">
        <v>178680</v>
      </c>
      <c r="AE15" s="148">
        <v>150300</v>
      </c>
      <c r="AF15" s="148">
        <v>0</v>
      </c>
      <c r="AG15" s="148">
        <v>0</v>
      </c>
      <c r="AH15" s="148">
        <v>0</v>
      </c>
      <c r="AI15" s="148">
        <v>0</v>
      </c>
      <c r="AJ15" s="148">
        <v>11880</v>
      </c>
      <c r="AK15" s="148">
        <v>0</v>
      </c>
      <c r="AL15" s="148">
        <v>0</v>
      </c>
      <c r="AM15" s="148">
        <v>16500</v>
      </c>
      <c r="AN15" s="148">
        <v>98274</v>
      </c>
      <c r="AO15" s="148">
        <v>0</v>
      </c>
      <c r="AP15" s="148">
        <v>98274</v>
      </c>
    </row>
    <row r="16" spans="1:42">
      <c r="A16" s="147" t="s">
        <v>300</v>
      </c>
      <c r="B16" s="147" t="s">
        <v>301</v>
      </c>
      <c r="C16" s="147" t="s">
        <v>302</v>
      </c>
      <c r="D16" s="147" t="s">
        <v>303</v>
      </c>
      <c r="E16" s="147" t="s">
        <v>304</v>
      </c>
      <c r="F16" s="147" t="s">
        <v>305</v>
      </c>
      <c r="G16" s="147" t="s">
        <v>306</v>
      </c>
      <c r="H16" s="147" t="s">
        <v>307</v>
      </c>
      <c r="I16" s="147" t="s">
        <v>17</v>
      </c>
      <c r="J16" s="147">
        <v>53361778</v>
      </c>
      <c r="K16" s="147" t="s">
        <v>318</v>
      </c>
      <c r="L16" s="147"/>
      <c r="M16" s="147"/>
      <c r="N16" s="147" t="s">
        <v>319</v>
      </c>
      <c r="O16" s="147" t="s">
        <v>310</v>
      </c>
      <c r="P16" s="147">
        <v>0.55000000000000004</v>
      </c>
      <c r="Q16" s="147">
        <v>0.55000000000000004</v>
      </c>
      <c r="R16" s="148" t="s">
        <v>314</v>
      </c>
      <c r="S16" s="148">
        <v>5400</v>
      </c>
      <c r="T16" s="148">
        <v>48400</v>
      </c>
      <c r="U16" s="148">
        <v>48100</v>
      </c>
      <c r="V16" s="148">
        <v>0</v>
      </c>
      <c r="W16" s="148">
        <v>0</v>
      </c>
      <c r="X16" s="148">
        <v>0</v>
      </c>
      <c r="Y16" s="148">
        <v>0</v>
      </c>
      <c r="Z16" s="148">
        <v>0</v>
      </c>
      <c r="AA16" s="148">
        <v>0</v>
      </c>
      <c r="AB16" s="148">
        <v>0</v>
      </c>
      <c r="AC16" s="148">
        <v>300</v>
      </c>
      <c r="AD16" s="148">
        <v>48400</v>
      </c>
      <c r="AE16" s="148">
        <v>48100</v>
      </c>
      <c r="AF16" s="148">
        <v>0</v>
      </c>
      <c r="AG16" s="148">
        <v>0</v>
      </c>
      <c r="AH16" s="148">
        <v>0</v>
      </c>
      <c r="AI16" s="148">
        <v>0</v>
      </c>
      <c r="AJ16" s="148">
        <v>0</v>
      </c>
      <c r="AK16" s="148">
        <v>0</v>
      </c>
      <c r="AL16" s="148">
        <v>0</v>
      </c>
      <c r="AM16" s="148">
        <v>300</v>
      </c>
      <c r="AN16" s="148">
        <v>26620</v>
      </c>
      <c r="AO16" s="148">
        <v>0</v>
      </c>
      <c r="AP16" s="148">
        <v>26620</v>
      </c>
    </row>
    <row r="17" spans="1:42">
      <c r="A17" s="147" t="s">
        <v>300</v>
      </c>
      <c r="B17" s="147" t="s">
        <v>301</v>
      </c>
      <c r="C17" s="147" t="s">
        <v>302</v>
      </c>
      <c r="D17" s="147" t="s">
        <v>303</v>
      </c>
      <c r="E17" s="147" t="s">
        <v>304</v>
      </c>
      <c r="F17" s="147" t="s">
        <v>305</v>
      </c>
      <c r="G17" s="147" t="s">
        <v>306</v>
      </c>
      <c r="H17" s="147" t="s">
        <v>307</v>
      </c>
      <c r="I17" s="147" t="s">
        <v>17</v>
      </c>
      <c r="J17" s="147">
        <v>53361778</v>
      </c>
      <c r="K17" s="147" t="s">
        <v>318</v>
      </c>
      <c r="L17" s="147"/>
      <c r="M17" s="147"/>
      <c r="N17" s="147" t="s">
        <v>319</v>
      </c>
      <c r="O17" s="147" t="s">
        <v>310</v>
      </c>
      <c r="P17" s="147">
        <v>0.55000000000000004</v>
      </c>
      <c r="Q17" s="147">
        <v>0.55000000000000004</v>
      </c>
      <c r="R17" s="148" t="s">
        <v>314</v>
      </c>
      <c r="S17" s="148">
        <v>9000</v>
      </c>
      <c r="T17" s="148">
        <v>18000</v>
      </c>
      <c r="U17" s="148">
        <v>17300</v>
      </c>
      <c r="V17" s="148">
        <v>0</v>
      </c>
      <c r="W17" s="148">
        <v>0</v>
      </c>
      <c r="X17" s="148">
        <v>0</v>
      </c>
      <c r="Y17" s="148">
        <v>0</v>
      </c>
      <c r="Z17" s="148">
        <v>0</v>
      </c>
      <c r="AA17" s="148">
        <v>0</v>
      </c>
      <c r="AB17" s="148">
        <v>0</v>
      </c>
      <c r="AC17" s="148">
        <v>700</v>
      </c>
      <c r="AD17" s="148">
        <v>18000</v>
      </c>
      <c r="AE17" s="148">
        <v>17300</v>
      </c>
      <c r="AF17" s="148">
        <v>0</v>
      </c>
      <c r="AG17" s="148">
        <v>0</v>
      </c>
      <c r="AH17" s="148">
        <v>0</v>
      </c>
      <c r="AI17" s="148">
        <v>0</v>
      </c>
      <c r="AJ17" s="148">
        <v>0</v>
      </c>
      <c r="AK17" s="148">
        <v>0</v>
      </c>
      <c r="AL17" s="148">
        <v>0</v>
      </c>
      <c r="AM17" s="148">
        <v>700</v>
      </c>
      <c r="AN17" s="148">
        <v>9900</v>
      </c>
      <c r="AO17" s="148">
        <v>0</v>
      </c>
      <c r="AP17" s="148">
        <v>9900</v>
      </c>
    </row>
    <row r="18" spans="1:42">
      <c r="AP18" s="151">
        <f>SUM(AP13:AP17)</f>
        <v>241725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P29"/>
  <sheetViews>
    <sheetView zoomScale="55" zoomScaleNormal="55" workbookViewId="0">
      <selection activeCell="A26" sqref="A26"/>
    </sheetView>
  </sheetViews>
  <sheetFormatPr defaultRowHeight="17.399999999999999"/>
  <cols>
    <col min="1" max="1" width="13.296875" style="154" customWidth="1"/>
    <col min="2" max="2" width="22.5" style="154" customWidth="1"/>
    <col min="3" max="3" width="19.3984375" style="154" customWidth="1"/>
    <col min="4" max="4" width="17.8984375" style="154" customWidth="1"/>
    <col min="5" max="5" width="4.796875" style="154" customWidth="1"/>
    <col min="6" max="6" width="5.796875" style="154" customWidth="1"/>
    <col min="7" max="7" width="4.796875" style="154" customWidth="1"/>
    <col min="8" max="8" width="3.69921875" style="154" customWidth="1"/>
    <col min="9" max="9" width="5.59765625" style="154" customWidth="1"/>
    <col min="10" max="10" width="7.8984375" style="154" customWidth="1"/>
    <col min="11" max="11" width="23.296875" style="154" bestFit="1" customWidth="1"/>
    <col min="12" max="13" width="2" style="154" customWidth="1"/>
    <col min="14" max="14" width="6.796875" style="154" bestFit="1" customWidth="1"/>
    <col min="15" max="15" width="2.69921875" style="154" customWidth="1"/>
    <col min="16" max="16" width="30" style="154" bestFit="1" customWidth="1"/>
    <col min="17" max="17" width="11.69921875" style="154" customWidth="1"/>
    <col min="18" max="18" width="19.59765625" style="154" bestFit="1" customWidth="1"/>
    <col min="19" max="19" width="11.09765625" style="154" bestFit="1" customWidth="1"/>
    <col min="20" max="20" width="9.3984375" style="154" bestFit="1" customWidth="1"/>
    <col min="21" max="29" width="1.69921875" style="154" customWidth="1"/>
    <col min="30" max="30" width="10.69921875" style="154" bestFit="1" customWidth="1"/>
    <col min="31" max="39" width="1.69921875" style="154" customWidth="1"/>
    <col min="40" max="40" width="9.19921875" style="154" bestFit="1" customWidth="1"/>
    <col min="41" max="41" width="9.09765625" style="154" customWidth="1"/>
    <col min="42" max="42" width="13.19921875" style="154" bestFit="1" customWidth="1"/>
    <col min="43" max="16384" width="8.796875" style="154"/>
  </cols>
  <sheetData>
    <row r="1" spans="1:42" ht="18" thickBot="1">
      <c r="A1" s="152" t="s">
        <v>259</v>
      </c>
      <c r="B1" s="152" t="s">
        <v>260</v>
      </c>
      <c r="C1" s="152" t="s">
        <v>261</v>
      </c>
      <c r="D1" s="152" t="s">
        <v>262</v>
      </c>
      <c r="E1" s="152" t="s">
        <v>263</v>
      </c>
      <c r="F1" s="152" t="s">
        <v>264</v>
      </c>
      <c r="G1" s="152" t="s">
        <v>265</v>
      </c>
      <c r="H1" s="152" t="s">
        <v>266</v>
      </c>
      <c r="I1" s="152" t="s">
        <v>145</v>
      </c>
      <c r="J1" s="152" t="s">
        <v>267</v>
      </c>
      <c r="K1" s="152" t="s">
        <v>35</v>
      </c>
      <c r="L1" s="152" t="s">
        <v>320</v>
      </c>
      <c r="M1" s="152" t="s">
        <v>316</v>
      </c>
      <c r="N1" s="153" t="s">
        <v>20</v>
      </c>
      <c r="O1" s="152" t="s">
        <v>270</v>
      </c>
      <c r="P1" s="153" t="s">
        <v>271</v>
      </c>
      <c r="Q1" s="152" t="s">
        <v>272</v>
      </c>
      <c r="R1" s="152" t="s">
        <v>273</v>
      </c>
      <c r="S1" s="152" t="s">
        <v>274</v>
      </c>
      <c r="T1" s="152" t="s">
        <v>275</v>
      </c>
      <c r="U1" s="152" t="s">
        <v>277</v>
      </c>
      <c r="V1" s="152" t="s">
        <v>278</v>
      </c>
      <c r="W1" s="152" t="s">
        <v>279</v>
      </c>
      <c r="X1" s="152" t="s">
        <v>280</v>
      </c>
      <c r="Y1" s="152" t="s">
        <v>281</v>
      </c>
      <c r="Z1" s="152" t="s">
        <v>282</v>
      </c>
      <c r="AA1" s="152" t="s">
        <v>283</v>
      </c>
      <c r="AB1" s="152" t="s">
        <v>284</v>
      </c>
      <c r="AC1" s="152" t="s">
        <v>285</v>
      </c>
      <c r="AD1" s="153" t="s">
        <v>286</v>
      </c>
      <c r="AE1" s="152" t="s">
        <v>287</v>
      </c>
      <c r="AF1" s="152" t="s">
        <v>289</v>
      </c>
      <c r="AG1" s="152" t="s">
        <v>290</v>
      </c>
      <c r="AH1" s="152" t="s">
        <v>291</v>
      </c>
      <c r="AI1" s="152" t="s">
        <v>292</v>
      </c>
      <c r="AJ1" s="152" t="s">
        <v>293</v>
      </c>
      <c r="AK1" s="152" t="s">
        <v>294</v>
      </c>
      <c r="AL1" s="152" t="s">
        <v>295</v>
      </c>
      <c r="AM1" s="152" t="s">
        <v>296</v>
      </c>
      <c r="AN1" s="152" t="s">
        <v>297</v>
      </c>
      <c r="AO1" s="152" t="s">
        <v>298</v>
      </c>
      <c r="AP1" s="153" t="s">
        <v>299</v>
      </c>
    </row>
    <row r="2" spans="1:42" s="79" customFormat="1" ht="18" thickTop="1">
      <c r="A2" s="147" t="s">
        <v>300</v>
      </c>
      <c r="B2" s="147" t="s">
        <v>301</v>
      </c>
      <c r="C2" s="147" t="s">
        <v>302</v>
      </c>
      <c r="D2" s="147" t="s">
        <v>303</v>
      </c>
      <c r="E2" s="147" t="s">
        <v>321</v>
      </c>
      <c r="F2" s="147" t="s">
        <v>305</v>
      </c>
      <c r="G2" s="147" t="s">
        <v>306</v>
      </c>
      <c r="H2" s="147" t="s">
        <v>307</v>
      </c>
      <c r="I2" s="147" t="s">
        <v>17</v>
      </c>
      <c r="J2" s="147">
        <v>57928448</v>
      </c>
      <c r="K2" s="147" t="s">
        <v>322</v>
      </c>
      <c r="L2" s="147"/>
      <c r="M2" s="147"/>
      <c r="N2" s="147" t="s">
        <v>323</v>
      </c>
      <c r="O2" s="147" t="s">
        <v>310</v>
      </c>
      <c r="P2" s="147">
        <v>0.55000000000000004</v>
      </c>
      <c r="Q2" s="147">
        <v>0.55000000000000004</v>
      </c>
      <c r="R2" s="148" t="s">
        <v>311</v>
      </c>
      <c r="S2" s="148">
        <v>400</v>
      </c>
      <c r="T2" s="148">
        <v>382800</v>
      </c>
      <c r="U2" s="148">
        <v>273700</v>
      </c>
      <c r="V2" s="148">
        <v>0</v>
      </c>
      <c r="W2" s="148">
        <v>0</v>
      </c>
      <c r="X2" s="148">
        <v>0</v>
      </c>
      <c r="Y2" s="148">
        <v>400</v>
      </c>
      <c r="Z2" s="148">
        <v>14400</v>
      </c>
      <c r="AA2" s="148">
        <v>0</v>
      </c>
      <c r="AB2" s="148">
        <v>0</v>
      </c>
      <c r="AC2" s="148">
        <v>94300</v>
      </c>
      <c r="AD2" s="148">
        <v>384320</v>
      </c>
      <c r="AE2" s="148">
        <v>273700</v>
      </c>
      <c r="AF2" s="148">
        <v>0</v>
      </c>
      <c r="AG2" s="148">
        <v>0</v>
      </c>
      <c r="AH2" s="148">
        <v>0</v>
      </c>
      <c r="AI2" s="148">
        <v>480</v>
      </c>
      <c r="AJ2" s="148">
        <v>15840</v>
      </c>
      <c r="AK2" s="148">
        <v>0</v>
      </c>
      <c r="AL2" s="148">
        <v>0</v>
      </c>
      <c r="AM2" s="148">
        <v>94300</v>
      </c>
      <c r="AN2" s="148">
        <v>211376</v>
      </c>
      <c r="AO2" s="148">
        <v>0</v>
      </c>
      <c r="AP2" s="148">
        <v>211376</v>
      </c>
    </row>
    <row r="3" spans="1:42" s="79" customFormat="1">
      <c r="A3" s="147" t="s">
        <v>300</v>
      </c>
      <c r="B3" s="147" t="s">
        <v>301</v>
      </c>
      <c r="C3" s="147" t="s">
        <v>302</v>
      </c>
      <c r="D3" s="147" t="s">
        <v>303</v>
      </c>
      <c r="E3" s="147" t="s">
        <v>321</v>
      </c>
      <c r="F3" s="147" t="s">
        <v>305</v>
      </c>
      <c r="G3" s="147" t="s">
        <v>306</v>
      </c>
      <c r="H3" s="147" t="s">
        <v>307</v>
      </c>
      <c r="I3" s="147" t="s">
        <v>17</v>
      </c>
      <c r="J3" s="147">
        <v>57928448</v>
      </c>
      <c r="K3" s="147" t="s">
        <v>322</v>
      </c>
      <c r="L3" s="147"/>
      <c r="M3" s="147"/>
      <c r="N3" s="147" t="s">
        <v>323</v>
      </c>
      <c r="O3" s="147" t="s">
        <v>310</v>
      </c>
      <c r="P3" s="147">
        <v>0.55000000000000004</v>
      </c>
      <c r="Q3" s="147">
        <v>0.55000000000000004</v>
      </c>
      <c r="R3" s="148" t="s">
        <v>312</v>
      </c>
      <c r="S3" s="148">
        <v>3600</v>
      </c>
      <c r="T3" s="148">
        <v>414800</v>
      </c>
      <c r="U3" s="148">
        <v>342600</v>
      </c>
      <c r="V3" s="148">
        <v>0</v>
      </c>
      <c r="W3" s="148">
        <v>0</v>
      </c>
      <c r="X3" s="148">
        <v>0</v>
      </c>
      <c r="Y3" s="148">
        <v>0</v>
      </c>
      <c r="Z3" s="148">
        <v>14400</v>
      </c>
      <c r="AA3" s="148">
        <v>0</v>
      </c>
      <c r="AB3" s="148">
        <v>0</v>
      </c>
      <c r="AC3" s="148">
        <v>57800</v>
      </c>
      <c r="AD3" s="148">
        <v>416240</v>
      </c>
      <c r="AE3" s="148">
        <v>342600</v>
      </c>
      <c r="AF3" s="148">
        <v>0</v>
      </c>
      <c r="AG3" s="148">
        <v>0</v>
      </c>
      <c r="AH3" s="148">
        <v>0</v>
      </c>
      <c r="AI3" s="148">
        <v>0</v>
      </c>
      <c r="AJ3" s="148">
        <v>15840</v>
      </c>
      <c r="AK3" s="148">
        <v>0</v>
      </c>
      <c r="AL3" s="148">
        <v>0</v>
      </c>
      <c r="AM3" s="148">
        <v>57800</v>
      </c>
      <c r="AN3" s="148">
        <v>228932</v>
      </c>
      <c r="AO3" s="148">
        <v>0</v>
      </c>
      <c r="AP3" s="148">
        <v>228932</v>
      </c>
    </row>
    <row r="4" spans="1:42" s="79" customFormat="1">
      <c r="A4" s="147" t="s">
        <v>300</v>
      </c>
      <c r="B4" s="147" t="s">
        <v>301</v>
      </c>
      <c r="C4" s="147" t="s">
        <v>302</v>
      </c>
      <c r="D4" s="147" t="s">
        <v>303</v>
      </c>
      <c r="E4" s="147" t="s">
        <v>321</v>
      </c>
      <c r="F4" s="147" t="s">
        <v>305</v>
      </c>
      <c r="G4" s="147" t="s">
        <v>306</v>
      </c>
      <c r="H4" s="147" t="s">
        <v>307</v>
      </c>
      <c r="I4" s="147" t="s">
        <v>17</v>
      </c>
      <c r="J4" s="147">
        <v>57928448</v>
      </c>
      <c r="K4" s="147" t="s">
        <v>322</v>
      </c>
      <c r="L4" s="147"/>
      <c r="M4" s="147"/>
      <c r="N4" s="147" t="s">
        <v>323</v>
      </c>
      <c r="O4" s="147" t="s">
        <v>310</v>
      </c>
      <c r="P4" s="147">
        <v>0.55000000000000004</v>
      </c>
      <c r="Q4" s="147">
        <v>0.55000000000000004</v>
      </c>
      <c r="R4" s="148" t="s">
        <v>312</v>
      </c>
      <c r="S4" s="148">
        <v>10800</v>
      </c>
      <c r="T4" s="148">
        <v>248400</v>
      </c>
      <c r="U4" s="148">
        <v>234500</v>
      </c>
      <c r="V4" s="148">
        <v>0</v>
      </c>
      <c r="W4" s="148">
        <v>0</v>
      </c>
      <c r="X4" s="148">
        <v>0</v>
      </c>
      <c r="Y4" s="148">
        <v>0</v>
      </c>
      <c r="Z4" s="148">
        <v>10800</v>
      </c>
      <c r="AA4" s="148">
        <v>0</v>
      </c>
      <c r="AB4" s="148">
        <v>0</v>
      </c>
      <c r="AC4" s="148">
        <v>3100</v>
      </c>
      <c r="AD4" s="148">
        <v>249480</v>
      </c>
      <c r="AE4" s="148">
        <v>234500</v>
      </c>
      <c r="AF4" s="148">
        <v>0</v>
      </c>
      <c r="AG4" s="148">
        <v>0</v>
      </c>
      <c r="AH4" s="148">
        <v>0</v>
      </c>
      <c r="AI4" s="148">
        <v>0</v>
      </c>
      <c r="AJ4" s="148">
        <v>11880</v>
      </c>
      <c r="AK4" s="148">
        <v>0</v>
      </c>
      <c r="AL4" s="148">
        <v>0</v>
      </c>
      <c r="AM4" s="148">
        <v>3100</v>
      </c>
      <c r="AN4" s="148">
        <v>137214</v>
      </c>
      <c r="AO4" s="148">
        <v>0</v>
      </c>
      <c r="AP4" s="148">
        <v>137214</v>
      </c>
    </row>
    <row r="5" spans="1:42" s="79" customFormat="1">
      <c r="A5" s="147" t="s">
        <v>300</v>
      </c>
      <c r="B5" s="147" t="s">
        <v>301</v>
      </c>
      <c r="C5" s="147" t="s">
        <v>302</v>
      </c>
      <c r="D5" s="147" t="s">
        <v>303</v>
      </c>
      <c r="E5" s="147" t="s">
        <v>321</v>
      </c>
      <c r="F5" s="147" t="s">
        <v>305</v>
      </c>
      <c r="G5" s="147" t="s">
        <v>306</v>
      </c>
      <c r="H5" s="147" t="s">
        <v>307</v>
      </c>
      <c r="I5" s="147" t="s">
        <v>17</v>
      </c>
      <c r="J5" s="147">
        <v>57928448</v>
      </c>
      <c r="K5" s="147" t="s">
        <v>322</v>
      </c>
      <c r="L5" s="147"/>
      <c r="M5" s="147"/>
      <c r="N5" s="147" t="s">
        <v>323</v>
      </c>
      <c r="O5" s="147" t="s">
        <v>310</v>
      </c>
      <c r="P5" s="147">
        <v>0.55000000000000004</v>
      </c>
      <c r="Q5" s="147">
        <v>0.55000000000000004</v>
      </c>
      <c r="R5" s="148" t="s">
        <v>312</v>
      </c>
      <c r="S5" s="148">
        <v>18000</v>
      </c>
      <c r="T5" s="148">
        <v>316400</v>
      </c>
      <c r="U5" s="148">
        <v>284900</v>
      </c>
      <c r="V5" s="148">
        <v>0</v>
      </c>
      <c r="W5" s="148">
        <v>0</v>
      </c>
      <c r="X5" s="148">
        <v>0</v>
      </c>
      <c r="Y5" s="148">
        <v>600</v>
      </c>
      <c r="Z5" s="148">
        <v>17400</v>
      </c>
      <c r="AA5" s="148">
        <v>0</v>
      </c>
      <c r="AB5" s="148">
        <v>0</v>
      </c>
      <c r="AC5" s="148">
        <v>13500</v>
      </c>
      <c r="AD5" s="148">
        <v>318260</v>
      </c>
      <c r="AE5" s="148">
        <v>284900</v>
      </c>
      <c r="AF5" s="148">
        <v>0</v>
      </c>
      <c r="AG5" s="148">
        <v>0</v>
      </c>
      <c r="AH5" s="148">
        <v>0</v>
      </c>
      <c r="AI5" s="148">
        <v>720</v>
      </c>
      <c r="AJ5" s="148">
        <v>19140</v>
      </c>
      <c r="AK5" s="148">
        <v>0</v>
      </c>
      <c r="AL5" s="148">
        <v>0</v>
      </c>
      <c r="AM5" s="148">
        <v>13500</v>
      </c>
      <c r="AN5" s="148">
        <v>175043</v>
      </c>
      <c r="AO5" s="148">
        <v>0</v>
      </c>
      <c r="AP5" s="148">
        <v>175043</v>
      </c>
    </row>
    <row r="6" spans="1:42" s="79" customFormat="1">
      <c r="A6" s="147" t="s">
        <v>300</v>
      </c>
      <c r="B6" s="147" t="s">
        <v>301</v>
      </c>
      <c r="C6" s="147" t="s">
        <v>302</v>
      </c>
      <c r="D6" s="147" t="s">
        <v>303</v>
      </c>
      <c r="E6" s="147" t="s">
        <v>321</v>
      </c>
      <c r="F6" s="147" t="s">
        <v>305</v>
      </c>
      <c r="G6" s="147" t="s">
        <v>306</v>
      </c>
      <c r="H6" s="147" t="s">
        <v>307</v>
      </c>
      <c r="I6" s="147" t="s">
        <v>17</v>
      </c>
      <c r="J6" s="147">
        <v>57928448</v>
      </c>
      <c r="K6" s="147" t="s">
        <v>322</v>
      </c>
      <c r="L6" s="147"/>
      <c r="M6" s="147"/>
      <c r="N6" s="147" t="s">
        <v>323</v>
      </c>
      <c r="O6" s="147" t="s">
        <v>310</v>
      </c>
      <c r="P6" s="147">
        <v>0.55000000000000004</v>
      </c>
      <c r="Q6" s="147">
        <v>0.55000000000000004</v>
      </c>
      <c r="R6" s="148" t="s">
        <v>313</v>
      </c>
      <c r="S6" s="148">
        <v>200</v>
      </c>
      <c r="T6" s="148">
        <v>13236800</v>
      </c>
      <c r="U6" s="148">
        <v>7197060</v>
      </c>
      <c r="V6" s="148">
        <v>0</v>
      </c>
      <c r="W6" s="148">
        <v>0</v>
      </c>
      <c r="X6" s="148">
        <v>1200</v>
      </c>
      <c r="Y6" s="148">
        <v>140950</v>
      </c>
      <c r="Z6" s="148">
        <v>486790</v>
      </c>
      <c r="AA6" s="148">
        <v>0</v>
      </c>
      <c r="AB6" s="148">
        <v>0</v>
      </c>
      <c r="AC6" s="148">
        <v>5410800</v>
      </c>
      <c r="AD6" s="148">
        <v>13314030.7651</v>
      </c>
      <c r="AE6" s="148">
        <v>7197060</v>
      </c>
      <c r="AF6" s="148">
        <v>0</v>
      </c>
      <c r="AG6" s="148">
        <v>0</v>
      </c>
      <c r="AH6" s="148">
        <v>1561.7651000000001</v>
      </c>
      <c r="AI6" s="148">
        <v>169140</v>
      </c>
      <c r="AJ6" s="148">
        <v>535469</v>
      </c>
      <c r="AK6" s="148">
        <v>0</v>
      </c>
      <c r="AL6" s="148">
        <v>0</v>
      </c>
      <c r="AM6" s="148">
        <v>5410800</v>
      </c>
      <c r="AN6" s="148">
        <v>7322717</v>
      </c>
      <c r="AO6" s="148">
        <v>0</v>
      </c>
      <c r="AP6" s="148">
        <v>7322717</v>
      </c>
    </row>
    <row r="7" spans="1:42" s="79" customFormat="1">
      <c r="A7" s="147" t="s">
        <v>300</v>
      </c>
      <c r="B7" s="147" t="s">
        <v>301</v>
      </c>
      <c r="C7" s="147" t="s">
        <v>302</v>
      </c>
      <c r="D7" s="147" t="s">
        <v>303</v>
      </c>
      <c r="E7" s="147" t="s">
        <v>321</v>
      </c>
      <c r="F7" s="147" t="s">
        <v>305</v>
      </c>
      <c r="G7" s="147" t="s">
        <v>306</v>
      </c>
      <c r="H7" s="147" t="s">
        <v>307</v>
      </c>
      <c r="I7" s="147" t="s">
        <v>17</v>
      </c>
      <c r="J7" s="147">
        <v>57928448</v>
      </c>
      <c r="K7" s="147" t="s">
        <v>322</v>
      </c>
      <c r="L7" s="147"/>
      <c r="M7" s="147"/>
      <c r="N7" s="147" t="s">
        <v>323</v>
      </c>
      <c r="O7" s="147" t="s">
        <v>310</v>
      </c>
      <c r="P7" s="147">
        <v>0.55000000000000004</v>
      </c>
      <c r="Q7" s="147">
        <v>0.55000000000000004</v>
      </c>
      <c r="R7" s="148" t="s">
        <v>314</v>
      </c>
      <c r="S7" s="148">
        <v>1800</v>
      </c>
      <c r="T7" s="148">
        <v>9405800</v>
      </c>
      <c r="U7" s="148">
        <v>7393700</v>
      </c>
      <c r="V7" s="148">
        <v>0</v>
      </c>
      <c r="W7" s="148">
        <v>0</v>
      </c>
      <c r="X7" s="148">
        <v>0</v>
      </c>
      <c r="Y7" s="148">
        <v>34370</v>
      </c>
      <c r="Z7" s="148">
        <v>571180</v>
      </c>
      <c r="AA7" s="148">
        <v>0</v>
      </c>
      <c r="AB7" s="148">
        <v>0</v>
      </c>
      <c r="AC7" s="148">
        <v>1406550</v>
      </c>
      <c r="AD7" s="148">
        <v>9469792</v>
      </c>
      <c r="AE7" s="148">
        <v>7393700</v>
      </c>
      <c r="AF7" s="148">
        <v>0</v>
      </c>
      <c r="AG7" s="148">
        <v>0</v>
      </c>
      <c r="AH7" s="148">
        <v>0</v>
      </c>
      <c r="AI7" s="148">
        <v>41244</v>
      </c>
      <c r="AJ7" s="148">
        <v>628298</v>
      </c>
      <c r="AK7" s="148">
        <v>0</v>
      </c>
      <c r="AL7" s="148">
        <v>0</v>
      </c>
      <c r="AM7" s="148">
        <v>1406550</v>
      </c>
      <c r="AN7" s="148">
        <v>5208386</v>
      </c>
      <c r="AO7" s="148">
        <v>0</v>
      </c>
      <c r="AP7" s="148">
        <v>5208386</v>
      </c>
    </row>
    <row r="8" spans="1:42" s="79" customFormat="1">
      <c r="A8" s="147" t="s">
        <v>300</v>
      </c>
      <c r="B8" s="147" t="s">
        <v>301</v>
      </c>
      <c r="C8" s="147" t="s">
        <v>302</v>
      </c>
      <c r="D8" s="147" t="s">
        <v>303</v>
      </c>
      <c r="E8" s="147" t="s">
        <v>321</v>
      </c>
      <c r="F8" s="147" t="s">
        <v>305</v>
      </c>
      <c r="G8" s="147" t="s">
        <v>306</v>
      </c>
      <c r="H8" s="147" t="s">
        <v>307</v>
      </c>
      <c r="I8" s="147" t="s">
        <v>17</v>
      </c>
      <c r="J8" s="147">
        <v>57928448</v>
      </c>
      <c r="K8" s="147" t="s">
        <v>322</v>
      </c>
      <c r="L8" s="147"/>
      <c r="M8" s="147"/>
      <c r="N8" s="147" t="s">
        <v>323</v>
      </c>
      <c r="O8" s="147" t="s">
        <v>310</v>
      </c>
      <c r="P8" s="147">
        <v>0.55000000000000004</v>
      </c>
      <c r="Q8" s="147">
        <v>0.55000000000000004</v>
      </c>
      <c r="R8" s="148" t="s">
        <v>314</v>
      </c>
      <c r="S8" s="148">
        <v>5400</v>
      </c>
      <c r="T8" s="148">
        <v>2573200</v>
      </c>
      <c r="U8" s="148">
        <v>2163350</v>
      </c>
      <c r="V8" s="148">
        <v>0</v>
      </c>
      <c r="W8" s="148">
        <v>0</v>
      </c>
      <c r="X8" s="148">
        <v>0</v>
      </c>
      <c r="Y8" s="148">
        <v>24400</v>
      </c>
      <c r="Z8" s="148">
        <v>227350</v>
      </c>
      <c r="AA8" s="148">
        <v>0</v>
      </c>
      <c r="AB8" s="148">
        <v>0</v>
      </c>
      <c r="AC8" s="148">
        <v>158100</v>
      </c>
      <c r="AD8" s="148">
        <v>2600815</v>
      </c>
      <c r="AE8" s="148">
        <v>2163350</v>
      </c>
      <c r="AF8" s="148">
        <v>0</v>
      </c>
      <c r="AG8" s="148">
        <v>0</v>
      </c>
      <c r="AH8" s="148">
        <v>0</v>
      </c>
      <c r="AI8" s="148">
        <v>29280</v>
      </c>
      <c r="AJ8" s="148">
        <v>250085</v>
      </c>
      <c r="AK8" s="148">
        <v>0</v>
      </c>
      <c r="AL8" s="148">
        <v>0</v>
      </c>
      <c r="AM8" s="148">
        <v>158100</v>
      </c>
      <c r="AN8" s="148">
        <v>1430448</v>
      </c>
      <c r="AO8" s="148">
        <v>0</v>
      </c>
      <c r="AP8" s="148">
        <v>1430448</v>
      </c>
    </row>
    <row r="9" spans="1:42" s="79" customFormat="1">
      <c r="A9" s="147" t="s">
        <v>300</v>
      </c>
      <c r="B9" s="147" t="s">
        <v>301</v>
      </c>
      <c r="C9" s="147" t="s">
        <v>302</v>
      </c>
      <c r="D9" s="147" t="s">
        <v>303</v>
      </c>
      <c r="E9" s="147" t="s">
        <v>321</v>
      </c>
      <c r="F9" s="147" t="s">
        <v>305</v>
      </c>
      <c r="G9" s="147" t="s">
        <v>306</v>
      </c>
      <c r="H9" s="147" t="s">
        <v>307</v>
      </c>
      <c r="I9" s="147" t="s">
        <v>17</v>
      </c>
      <c r="J9" s="147">
        <v>57928448</v>
      </c>
      <c r="K9" s="147" t="s">
        <v>322</v>
      </c>
      <c r="L9" s="147"/>
      <c r="M9" s="147"/>
      <c r="N9" s="147" t="s">
        <v>323</v>
      </c>
      <c r="O9" s="147" t="s">
        <v>310</v>
      </c>
      <c r="P9" s="147">
        <v>0.55000000000000004</v>
      </c>
      <c r="Q9" s="147">
        <v>0.55000000000000004</v>
      </c>
      <c r="R9" s="148" t="s">
        <v>314</v>
      </c>
      <c r="S9" s="148">
        <v>9000</v>
      </c>
      <c r="T9" s="148">
        <v>934400</v>
      </c>
      <c r="U9" s="148">
        <v>806400</v>
      </c>
      <c r="V9" s="148">
        <v>0</v>
      </c>
      <c r="W9" s="148">
        <v>0</v>
      </c>
      <c r="X9" s="148">
        <v>0</v>
      </c>
      <c r="Y9" s="148">
        <v>9000</v>
      </c>
      <c r="Z9" s="148">
        <v>82200</v>
      </c>
      <c r="AA9" s="148">
        <v>0</v>
      </c>
      <c r="AB9" s="148">
        <v>0</v>
      </c>
      <c r="AC9" s="148">
        <v>36800</v>
      </c>
      <c r="AD9" s="148">
        <v>944420</v>
      </c>
      <c r="AE9" s="148">
        <v>806400</v>
      </c>
      <c r="AF9" s="148">
        <v>0</v>
      </c>
      <c r="AG9" s="148">
        <v>0</v>
      </c>
      <c r="AH9" s="148">
        <v>0</v>
      </c>
      <c r="AI9" s="148">
        <v>10800</v>
      </c>
      <c r="AJ9" s="148">
        <v>90420</v>
      </c>
      <c r="AK9" s="148">
        <v>0</v>
      </c>
      <c r="AL9" s="148">
        <v>0</v>
      </c>
      <c r="AM9" s="148">
        <v>36800</v>
      </c>
      <c r="AN9" s="148">
        <v>519431</v>
      </c>
      <c r="AO9" s="148">
        <v>0</v>
      </c>
      <c r="AP9" s="148">
        <v>519431</v>
      </c>
    </row>
    <row r="10" spans="1:42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7">
        <f>SUM(AP2:AP9)</f>
        <v>15233547</v>
      </c>
    </row>
    <row r="11" spans="1:42">
      <c r="A11" s="158" t="s">
        <v>324</v>
      </c>
      <c r="B11" s="158" t="s">
        <v>325</v>
      </c>
      <c r="C11" s="158" t="s">
        <v>326</v>
      </c>
    </row>
    <row r="12" spans="1:42">
      <c r="A12" s="159">
        <v>202109</v>
      </c>
      <c r="B12" s="160">
        <v>83595</v>
      </c>
      <c r="C12" s="161">
        <f>B12*85%</f>
        <v>71055.75</v>
      </c>
    </row>
    <row r="13" spans="1:42">
      <c r="A13" s="159">
        <v>202110</v>
      </c>
      <c r="B13" s="160">
        <v>46964380</v>
      </c>
      <c r="C13" s="162">
        <f>B13*85%</f>
        <v>39919723</v>
      </c>
    </row>
    <row r="14" spans="1:42">
      <c r="A14" s="159">
        <v>202111</v>
      </c>
      <c r="B14" s="160">
        <v>12173136</v>
      </c>
      <c r="C14" s="162">
        <f>B14*85%</f>
        <v>10347165.6</v>
      </c>
    </row>
    <row r="15" spans="1:42">
      <c r="A15" s="159">
        <v>202112</v>
      </c>
      <c r="B15" s="160">
        <v>16953709</v>
      </c>
      <c r="C15" s="162">
        <f>B15*85%</f>
        <v>14410652.65</v>
      </c>
    </row>
    <row r="16" spans="1:42">
      <c r="A16" s="159">
        <v>202201</v>
      </c>
      <c r="B16" s="160">
        <f>AP10</f>
        <v>15233547</v>
      </c>
      <c r="C16" s="162">
        <f>B16*85%</f>
        <v>12948514.949999999</v>
      </c>
    </row>
    <row r="17" spans="1:4">
      <c r="A17" s="159"/>
      <c r="B17" s="160"/>
      <c r="C17" s="160"/>
    </row>
    <row r="18" spans="1:4">
      <c r="A18" s="159"/>
      <c r="B18" s="160"/>
      <c r="C18" s="160"/>
    </row>
    <row r="19" spans="1:4">
      <c r="A19" s="159"/>
      <c r="B19" s="160"/>
      <c r="C19" s="163"/>
    </row>
    <row r="20" spans="1:4">
      <c r="A20" s="159"/>
      <c r="B20" s="160"/>
      <c r="C20" s="163"/>
    </row>
    <row r="21" spans="1:4">
      <c r="A21" s="159"/>
      <c r="B21" s="160"/>
      <c r="C21" s="163"/>
    </row>
    <row r="22" spans="1:4">
      <c r="A22" s="159"/>
      <c r="B22" s="164"/>
      <c r="C22" s="163"/>
    </row>
    <row r="23" spans="1:4">
      <c r="A23" s="165" t="s">
        <v>327</v>
      </c>
      <c r="B23" s="166">
        <f>SUM(B12:B22)</f>
        <v>91408367</v>
      </c>
      <c r="C23" s="166">
        <f>SUM(C12:C22)</f>
        <v>77697111.950000003</v>
      </c>
    </row>
    <row r="25" spans="1:4">
      <c r="A25" s="167" t="s">
        <v>328</v>
      </c>
    </row>
    <row r="26" spans="1:4">
      <c r="A26" s="167" t="s">
        <v>329</v>
      </c>
    </row>
    <row r="27" spans="1:4">
      <c r="A27" s="167"/>
    </row>
    <row r="28" spans="1:4">
      <c r="A28" s="168"/>
      <c r="B28" s="169"/>
      <c r="C28" s="169"/>
      <c r="D28" s="170"/>
    </row>
    <row r="29" spans="1:4">
      <c r="A29" s="169"/>
      <c r="B29" s="169"/>
      <c r="C29" s="169"/>
      <c r="D29" s="17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Z4"/>
  <sheetViews>
    <sheetView zoomScale="83" zoomScaleNormal="83" workbookViewId="0">
      <selection activeCell="W13" sqref="W13"/>
    </sheetView>
  </sheetViews>
  <sheetFormatPr defaultRowHeight="13.2"/>
  <cols>
    <col min="1" max="1" width="3.8984375" style="56" customWidth="1"/>
    <col min="2" max="2" width="8" style="56" customWidth="1"/>
    <col min="3" max="3" width="4.69921875" style="56" customWidth="1"/>
    <col min="4" max="4" width="8.8984375" style="56" customWidth="1"/>
    <col min="5" max="5" width="6.09765625" style="56" customWidth="1"/>
    <col min="6" max="6" width="16.5" style="56" customWidth="1"/>
    <col min="7" max="7" width="8.19921875" style="56" customWidth="1"/>
    <col min="8" max="8" width="6.3984375" style="56" customWidth="1"/>
    <col min="9" max="9" width="10.09765625" style="56" customWidth="1"/>
    <col min="10" max="10" width="8.796875" style="56" customWidth="1"/>
    <col min="11" max="11" width="6.59765625" style="56" customWidth="1"/>
    <col min="12" max="24" width="8.796875" style="56"/>
    <col min="25" max="25" width="10.8984375" style="56" bestFit="1" customWidth="1"/>
    <col min="26" max="16384" width="8.796875" style="56"/>
  </cols>
  <sheetData>
    <row r="1" spans="1:26">
      <c r="A1" s="187" t="s">
        <v>343</v>
      </c>
      <c r="B1" s="188"/>
      <c r="C1" s="188"/>
      <c r="D1" s="188"/>
      <c r="E1" s="188"/>
      <c r="F1" s="188"/>
      <c r="G1" s="188"/>
      <c r="H1" s="188"/>
      <c r="I1" s="189"/>
      <c r="J1" s="190" t="s">
        <v>344</v>
      </c>
      <c r="K1" s="191"/>
      <c r="L1" s="192"/>
      <c r="M1" s="192"/>
      <c r="N1" s="192"/>
      <c r="O1" s="192"/>
      <c r="P1" s="191"/>
      <c r="Q1" s="191"/>
      <c r="R1" s="193"/>
      <c r="S1" s="194" t="s">
        <v>345</v>
      </c>
      <c r="T1" s="194"/>
      <c r="U1" s="194"/>
      <c r="V1" s="195"/>
      <c r="W1" s="196" t="s">
        <v>346</v>
      </c>
      <c r="X1" s="197"/>
      <c r="Y1" s="197"/>
      <c r="Z1" s="195"/>
    </row>
    <row r="2" spans="1:26">
      <c r="A2" s="198"/>
      <c r="B2" s="199"/>
      <c r="C2" s="199"/>
      <c r="D2" s="200"/>
      <c r="E2" s="200"/>
      <c r="F2" s="200"/>
      <c r="G2" s="201"/>
      <c r="H2" s="201"/>
      <c r="I2" s="202"/>
      <c r="J2" s="203"/>
      <c r="K2" s="204"/>
      <c r="L2" s="204"/>
      <c r="M2" s="204"/>
      <c r="N2" s="204"/>
      <c r="O2" s="204"/>
      <c r="P2" s="205" t="s">
        <v>347</v>
      </c>
      <c r="Q2" s="205" t="s">
        <v>348</v>
      </c>
      <c r="R2" s="206" t="s">
        <v>349</v>
      </c>
      <c r="S2" s="207"/>
      <c r="T2" s="207"/>
      <c r="U2" s="207"/>
      <c r="V2" s="208"/>
      <c r="W2" s="209"/>
      <c r="X2" s="210" t="s">
        <v>350</v>
      </c>
      <c r="Y2" s="210" t="s">
        <v>350</v>
      </c>
      <c r="Z2" s="211" t="s">
        <v>351</v>
      </c>
    </row>
    <row r="3" spans="1:26" ht="69.599999999999994">
      <c r="A3" s="212" t="s">
        <v>352</v>
      </c>
      <c r="B3" s="213" t="s">
        <v>353</v>
      </c>
      <c r="C3" s="213" t="s">
        <v>354</v>
      </c>
      <c r="D3" s="214" t="s">
        <v>355</v>
      </c>
      <c r="E3" s="214" t="s">
        <v>356</v>
      </c>
      <c r="F3" s="215" t="s">
        <v>357</v>
      </c>
      <c r="G3" s="214" t="s">
        <v>358</v>
      </c>
      <c r="H3" s="216" t="s">
        <v>359</v>
      </c>
      <c r="I3" s="217" t="s">
        <v>360</v>
      </c>
      <c r="J3" s="212" t="s">
        <v>361</v>
      </c>
      <c r="K3" s="218" t="s">
        <v>362</v>
      </c>
      <c r="L3" s="213" t="s">
        <v>363</v>
      </c>
      <c r="M3" s="213" t="s">
        <v>364</v>
      </c>
      <c r="N3" s="213" t="s">
        <v>365</v>
      </c>
      <c r="O3" s="213" t="s">
        <v>366</v>
      </c>
      <c r="P3" s="219" t="s">
        <v>367</v>
      </c>
      <c r="Q3" s="220" t="s">
        <v>368</v>
      </c>
      <c r="R3" s="221" t="s">
        <v>369</v>
      </c>
      <c r="S3" s="222" t="s">
        <v>370</v>
      </c>
      <c r="T3" s="222" t="s">
        <v>371</v>
      </c>
      <c r="U3" s="222" t="s">
        <v>372</v>
      </c>
      <c r="V3" s="223" t="s">
        <v>373</v>
      </c>
      <c r="W3" s="224" t="s">
        <v>374</v>
      </c>
      <c r="X3" s="225" t="s">
        <v>375</v>
      </c>
      <c r="Y3" s="225" t="s">
        <v>376</v>
      </c>
      <c r="Z3" s="226" t="s">
        <v>377</v>
      </c>
    </row>
    <row r="4" spans="1:26" ht="39.6" customHeight="1">
      <c r="A4" s="231">
        <v>1</v>
      </c>
      <c r="B4" s="232" t="s">
        <v>17</v>
      </c>
      <c r="C4" s="232" t="s">
        <v>380</v>
      </c>
      <c r="D4" s="172">
        <v>2527</v>
      </c>
      <c r="E4" s="172">
        <v>53361105</v>
      </c>
      <c r="F4" s="243" t="s">
        <v>308</v>
      </c>
      <c r="G4" s="227" t="s">
        <v>309</v>
      </c>
      <c r="H4" s="233" t="s">
        <v>381</v>
      </c>
      <c r="I4" s="234" t="s">
        <v>379</v>
      </c>
      <c r="J4" s="235">
        <v>44449</v>
      </c>
      <c r="K4" s="236" t="s">
        <v>382</v>
      </c>
      <c r="L4" s="237">
        <v>1417500</v>
      </c>
      <c r="M4" s="237">
        <v>279700</v>
      </c>
      <c r="N4" s="237">
        <v>523084</v>
      </c>
      <c r="O4" s="237">
        <v>1165728</v>
      </c>
      <c r="P4" s="238">
        <v>3386012</v>
      </c>
      <c r="Q4" s="238">
        <v>608475</v>
      </c>
      <c r="R4" s="239">
        <v>2777537</v>
      </c>
      <c r="S4" s="240" t="s">
        <v>305</v>
      </c>
      <c r="T4" s="228">
        <v>1944</v>
      </c>
      <c r="U4" s="229" t="s">
        <v>378</v>
      </c>
      <c r="V4" s="230" t="s">
        <v>306</v>
      </c>
      <c r="W4" s="241" t="s">
        <v>383</v>
      </c>
      <c r="X4" s="242">
        <v>0.55000000000000004</v>
      </c>
      <c r="Y4" s="242">
        <v>0.55000000000000004</v>
      </c>
      <c r="Z4" s="239">
        <v>1862306</v>
      </c>
    </row>
  </sheetData>
  <phoneticPr fontId="2" type="noConversion"/>
  <conditionalFormatting sqref="I4">
    <cfRule type="containsBlanks" dxfId="121" priority="5">
      <formula>LEN(TRIM(I4))=0</formula>
    </cfRule>
  </conditionalFormatting>
  <conditionalFormatting sqref="S1:S4">
    <cfRule type="cellIs" dxfId="120" priority="4" operator="equal">
      <formula>"선투자"</formula>
    </cfRule>
  </conditionalFormatting>
  <conditionalFormatting sqref="V1:V4">
    <cfRule type="cellIs" dxfId="119" priority="3" operator="equal">
      <formula>"과세"</formula>
    </cfRule>
  </conditionalFormatting>
  <dataValidations count="4">
    <dataValidation type="list" allowBlank="1" showInputMessage="1" showErrorMessage="1" sqref="S4">
      <formula1>"선투자, 웹툰 선투자 직계약"</formula1>
    </dataValidation>
    <dataValidation type="list" allowBlank="1" showInputMessage="1" showErrorMessage="1" sqref="V4">
      <formula1>"면세, 과세"</formula1>
    </dataValidation>
    <dataValidation type="list" allowBlank="1" showInputMessage="1" showErrorMessage="1" sqref="H4">
      <formula1>"해당, 해당없음"</formula1>
    </dataValidation>
    <dataValidation type="list" allowBlank="1" showInputMessage="1" showErrorMessage="1" sqref="W4">
      <formula1>"플랫폼거래액, KW_순매출"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W16"/>
  <sheetViews>
    <sheetView topLeftCell="Y7" zoomScale="83" zoomScaleNormal="83" workbookViewId="0">
      <selection activeCell="AW16" sqref="AW16"/>
    </sheetView>
  </sheetViews>
  <sheetFormatPr defaultRowHeight="17.399999999999999"/>
  <cols>
    <col min="1" max="47" width="8.796875" style="79"/>
    <col min="48" max="48" width="9.796875" style="79" bestFit="1" customWidth="1"/>
    <col min="49" max="49" width="10.69921875" style="79" bestFit="1" customWidth="1"/>
    <col min="50" max="16384" width="8.796875" style="79"/>
  </cols>
  <sheetData>
    <row r="1" spans="1:49" ht="19.2">
      <c r="A1" s="173" t="s">
        <v>330</v>
      </c>
      <c r="B1" s="174" t="s">
        <v>3</v>
      </c>
      <c r="C1" s="174" t="s">
        <v>6</v>
      </c>
      <c r="D1" s="174" t="s">
        <v>29</v>
      </c>
      <c r="E1" s="175" t="s">
        <v>4</v>
      </c>
      <c r="F1" s="174" t="s">
        <v>20</v>
      </c>
      <c r="G1" s="174" t="s">
        <v>1</v>
      </c>
      <c r="H1" s="174" t="s">
        <v>7</v>
      </c>
      <c r="I1" s="174" t="s">
        <v>8</v>
      </c>
      <c r="J1" s="111" t="s">
        <v>5</v>
      </c>
      <c r="K1" s="111" t="s">
        <v>39</v>
      </c>
      <c r="L1" s="111" t="s">
        <v>40</v>
      </c>
      <c r="M1" s="111" t="s">
        <v>41</v>
      </c>
      <c r="N1" s="111" t="s">
        <v>42</v>
      </c>
      <c r="O1" s="111" t="s">
        <v>43</v>
      </c>
      <c r="P1" s="111" t="s">
        <v>44</v>
      </c>
      <c r="Q1" s="111" t="s">
        <v>149</v>
      </c>
      <c r="R1" s="111" t="s">
        <v>150</v>
      </c>
      <c r="S1" s="111" t="s">
        <v>5</v>
      </c>
      <c r="T1" s="111" t="s">
        <v>39</v>
      </c>
      <c r="U1" s="111" t="s">
        <v>40</v>
      </c>
      <c r="V1" s="111" t="s">
        <v>41</v>
      </c>
      <c r="W1" s="111" t="s">
        <v>42</v>
      </c>
      <c r="X1" s="111" t="s">
        <v>43</v>
      </c>
      <c r="Y1" s="111" t="s">
        <v>44</v>
      </c>
      <c r="Z1" s="111" t="s">
        <v>149</v>
      </c>
      <c r="AA1" s="111" t="s">
        <v>150</v>
      </c>
      <c r="AB1" s="111" t="s">
        <v>5</v>
      </c>
      <c r="AC1" s="111" t="s">
        <v>23</v>
      </c>
      <c r="AD1" s="111" t="s">
        <v>24</v>
      </c>
      <c r="AE1" s="111" t="s">
        <v>5</v>
      </c>
      <c r="AF1" s="111" t="s">
        <v>23</v>
      </c>
      <c r="AG1" s="111" t="s">
        <v>24</v>
      </c>
      <c r="AH1" s="111" t="s">
        <v>5</v>
      </c>
      <c r="AI1" s="111" t="s">
        <v>23</v>
      </c>
      <c r="AJ1" s="111" t="s">
        <v>24</v>
      </c>
      <c r="AK1" s="111" t="s">
        <v>5</v>
      </c>
      <c r="AL1" s="111" t="s">
        <v>23</v>
      </c>
      <c r="AM1" s="111" t="s">
        <v>24</v>
      </c>
      <c r="AN1" s="176" t="s">
        <v>38</v>
      </c>
      <c r="AO1" s="111" t="s">
        <v>5</v>
      </c>
      <c r="AP1" s="111" t="s">
        <v>23</v>
      </c>
      <c r="AQ1" s="111" t="s">
        <v>24</v>
      </c>
      <c r="AR1" s="111" t="s">
        <v>5</v>
      </c>
      <c r="AS1" s="111" t="s">
        <v>23</v>
      </c>
      <c r="AT1" s="111" t="s">
        <v>24</v>
      </c>
      <c r="AU1" s="177" t="s">
        <v>0</v>
      </c>
      <c r="AV1" s="111" t="s">
        <v>331</v>
      </c>
      <c r="AW1" s="111" t="s">
        <v>332</v>
      </c>
    </row>
    <row r="2" spans="1:49" s="181" customFormat="1" ht="28.8">
      <c r="A2" s="178" t="s">
        <v>384</v>
      </c>
      <c r="B2" s="80" t="s">
        <v>334</v>
      </c>
      <c r="C2" s="80">
        <v>423644</v>
      </c>
      <c r="D2" s="81"/>
      <c r="E2" s="80" t="s">
        <v>335</v>
      </c>
      <c r="F2" s="80" t="s">
        <v>336</v>
      </c>
      <c r="G2" s="80" t="s">
        <v>337</v>
      </c>
      <c r="H2" s="82" t="s">
        <v>338</v>
      </c>
      <c r="I2" s="82" t="s">
        <v>385</v>
      </c>
      <c r="J2" s="82">
        <v>0</v>
      </c>
      <c r="K2" s="82">
        <v>613</v>
      </c>
      <c r="L2" s="82">
        <v>0</v>
      </c>
      <c r="M2" s="82">
        <v>0</v>
      </c>
      <c r="N2" s="82">
        <v>0</v>
      </c>
      <c r="O2" s="82">
        <v>0</v>
      </c>
      <c r="P2" s="82">
        <v>0</v>
      </c>
      <c r="Q2" s="82">
        <v>0</v>
      </c>
      <c r="R2" s="82">
        <v>0</v>
      </c>
      <c r="S2" s="82">
        <v>0</v>
      </c>
      <c r="T2" s="82">
        <v>0</v>
      </c>
      <c r="U2" s="82">
        <v>0</v>
      </c>
      <c r="V2" s="82">
        <v>0</v>
      </c>
      <c r="W2" s="82">
        <v>0</v>
      </c>
      <c r="X2" s="82">
        <v>0</v>
      </c>
      <c r="Y2" s="82">
        <v>0</v>
      </c>
      <c r="Z2" s="82">
        <v>0</v>
      </c>
      <c r="AA2" s="82">
        <v>0</v>
      </c>
      <c r="AB2" s="83">
        <v>1015</v>
      </c>
      <c r="AC2" s="83">
        <v>151000</v>
      </c>
      <c r="AD2" s="83">
        <v>51600</v>
      </c>
      <c r="AE2" s="82">
        <v>19</v>
      </c>
      <c r="AF2" s="83">
        <v>2500</v>
      </c>
      <c r="AG2" s="83">
        <v>5100</v>
      </c>
      <c r="AH2" s="82">
        <v>1</v>
      </c>
      <c r="AI2" s="82">
        <v>0</v>
      </c>
      <c r="AJ2" s="82">
        <v>200</v>
      </c>
      <c r="AK2" s="82">
        <v>0</v>
      </c>
      <c r="AL2" s="82">
        <v>0</v>
      </c>
      <c r="AM2" s="82">
        <v>0</v>
      </c>
      <c r="AN2" s="82">
        <v>0</v>
      </c>
      <c r="AO2" s="82">
        <v>152</v>
      </c>
      <c r="AP2" s="83">
        <v>29600</v>
      </c>
      <c r="AQ2" s="82">
        <v>400</v>
      </c>
      <c r="AR2" s="82">
        <v>1</v>
      </c>
      <c r="AS2" s="82">
        <v>400</v>
      </c>
      <c r="AT2" s="82">
        <v>0</v>
      </c>
      <c r="AU2" s="57">
        <v>240800</v>
      </c>
      <c r="AV2" s="179">
        <f>AU2-AN2</f>
        <v>240800</v>
      </c>
      <c r="AW2" s="180">
        <f>AV2*60%</f>
        <v>144480</v>
      </c>
    </row>
    <row r="3" spans="1:49" s="181" customFormat="1" ht="28.8">
      <c r="A3" s="178" t="s">
        <v>386</v>
      </c>
      <c r="B3" s="80" t="s">
        <v>334</v>
      </c>
      <c r="C3" s="80">
        <v>423644</v>
      </c>
      <c r="D3" s="81"/>
      <c r="E3" s="80" t="s">
        <v>335</v>
      </c>
      <c r="F3" s="80" t="s">
        <v>336</v>
      </c>
      <c r="G3" s="80" t="s">
        <v>337</v>
      </c>
      <c r="H3" s="82" t="s">
        <v>338</v>
      </c>
      <c r="I3" s="82" t="s">
        <v>385</v>
      </c>
      <c r="J3" s="82">
        <v>0</v>
      </c>
      <c r="K3" s="82">
        <v>389</v>
      </c>
      <c r="L3" s="82">
        <v>0</v>
      </c>
      <c r="M3" s="82">
        <v>0</v>
      </c>
      <c r="N3" s="82">
        <v>0</v>
      </c>
      <c r="O3" s="82">
        <v>0</v>
      </c>
      <c r="P3" s="82">
        <v>0</v>
      </c>
      <c r="Q3" s="82">
        <v>0</v>
      </c>
      <c r="R3" s="82">
        <v>0</v>
      </c>
      <c r="S3" s="82">
        <v>0</v>
      </c>
      <c r="T3" s="82">
        <v>0</v>
      </c>
      <c r="U3" s="82">
        <v>0</v>
      </c>
      <c r="V3" s="82">
        <v>0</v>
      </c>
      <c r="W3" s="82">
        <v>0</v>
      </c>
      <c r="X3" s="82">
        <v>0</v>
      </c>
      <c r="Y3" s="82">
        <v>0</v>
      </c>
      <c r="Z3" s="82">
        <v>0</v>
      </c>
      <c r="AA3" s="82">
        <v>0</v>
      </c>
      <c r="AB3" s="82">
        <v>532</v>
      </c>
      <c r="AC3" s="83">
        <v>76200</v>
      </c>
      <c r="AD3" s="83">
        <v>30000</v>
      </c>
      <c r="AE3" s="82">
        <v>28</v>
      </c>
      <c r="AF3" s="83">
        <v>10800</v>
      </c>
      <c r="AG3" s="82">
        <v>400</v>
      </c>
      <c r="AH3" s="82">
        <v>0</v>
      </c>
      <c r="AI3" s="82">
        <v>0</v>
      </c>
      <c r="AJ3" s="82">
        <v>0</v>
      </c>
      <c r="AK3" s="82">
        <v>0</v>
      </c>
      <c r="AL3" s="82">
        <v>0</v>
      </c>
      <c r="AM3" s="82">
        <v>0</v>
      </c>
      <c r="AN3" s="82">
        <v>0</v>
      </c>
      <c r="AO3" s="82">
        <v>54</v>
      </c>
      <c r="AP3" s="83">
        <v>10600</v>
      </c>
      <c r="AQ3" s="82">
        <v>0</v>
      </c>
      <c r="AR3" s="82">
        <v>0</v>
      </c>
      <c r="AS3" s="82">
        <v>0</v>
      </c>
      <c r="AT3" s="82">
        <v>0</v>
      </c>
      <c r="AU3" s="57">
        <v>128000</v>
      </c>
      <c r="AV3" s="179">
        <f t="shared" ref="AV3:AV6" si="0">AU3-AN3</f>
        <v>128000</v>
      </c>
      <c r="AW3" s="180">
        <f t="shared" ref="AW3:AW6" si="1">AV3*60%</f>
        <v>76800</v>
      </c>
    </row>
    <row r="4" spans="1:49" s="181" customFormat="1" ht="28.8">
      <c r="A4" s="178" t="s">
        <v>387</v>
      </c>
      <c r="B4" s="80" t="s">
        <v>334</v>
      </c>
      <c r="C4" s="80">
        <v>423644</v>
      </c>
      <c r="D4" s="81"/>
      <c r="E4" s="80" t="s">
        <v>335</v>
      </c>
      <c r="F4" s="80" t="s">
        <v>336</v>
      </c>
      <c r="G4" s="80" t="s">
        <v>337</v>
      </c>
      <c r="H4" s="82" t="s">
        <v>338</v>
      </c>
      <c r="I4" s="82" t="s">
        <v>385</v>
      </c>
      <c r="J4" s="82">
        <v>0</v>
      </c>
      <c r="K4" s="82">
        <v>165</v>
      </c>
      <c r="L4" s="82">
        <v>0</v>
      </c>
      <c r="M4" s="82">
        <v>0</v>
      </c>
      <c r="N4" s="82">
        <v>0</v>
      </c>
      <c r="O4" s="82">
        <v>0</v>
      </c>
      <c r="P4" s="82">
        <v>0</v>
      </c>
      <c r="Q4" s="82">
        <v>0</v>
      </c>
      <c r="R4" s="82">
        <v>0</v>
      </c>
      <c r="S4" s="82">
        <v>0</v>
      </c>
      <c r="T4" s="82">
        <v>0</v>
      </c>
      <c r="U4" s="82">
        <v>0</v>
      </c>
      <c r="V4" s="82">
        <v>0</v>
      </c>
      <c r="W4" s="82">
        <v>0</v>
      </c>
      <c r="X4" s="82">
        <v>0</v>
      </c>
      <c r="Y4" s="82">
        <v>0</v>
      </c>
      <c r="Z4" s="82">
        <v>0</v>
      </c>
      <c r="AA4" s="82">
        <v>0</v>
      </c>
      <c r="AB4" s="82">
        <v>141</v>
      </c>
      <c r="AC4" s="83">
        <v>24800</v>
      </c>
      <c r="AD4" s="83">
        <v>2700</v>
      </c>
      <c r="AE4" s="82">
        <v>1</v>
      </c>
      <c r="AF4" s="82">
        <v>400</v>
      </c>
      <c r="AG4" s="82">
        <v>0</v>
      </c>
      <c r="AH4" s="82">
        <v>164</v>
      </c>
      <c r="AI4" s="83">
        <v>17760</v>
      </c>
      <c r="AJ4" s="83">
        <v>17200</v>
      </c>
      <c r="AK4" s="82">
        <v>0</v>
      </c>
      <c r="AL4" s="82">
        <v>0</v>
      </c>
      <c r="AM4" s="82">
        <v>0</v>
      </c>
      <c r="AN4" s="183">
        <v>5328</v>
      </c>
      <c r="AO4" s="82">
        <v>36</v>
      </c>
      <c r="AP4" s="83">
        <v>7100</v>
      </c>
      <c r="AQ4" s="82">
        <v>0</v>
      </c>
      <c r="AR4" s="82">
        <v>0</v>
      </c>
      <c r="AS4" s="82">
        <v>0</v>
      </c>
      <c r="AT4" s="82">
        <v>0</v>
      </c>
      <c r="AU4" s="57">
        <v>69960</v>
      </c>
      <c r="AV4" s="179">
        <f t="shared" si="0"/>
        <v>64632</v>
      </c>
      <c r="AW4" s="180">
        <f t="shared" si="1"/>
        <v>38779.199999999997</v>
      </c>
    </row>
    <row r="5" spans="1:49" s="181" customFormat="1" ht="28.8">
      <c r="A5" s="178" t="s">
        <v>388</v>
      </c>
      <c r="B5" s="80" t="s">
        <v>334</v>
      </c>
      <c r="C5" s="80">
        <v>423644</v>
      </c>
      <c r="D5" s="81"/>
      <c r="E5" s="80" t="s">
        <v>335</v>
      </c>
      <c r="F5" s="80" t="s">
        <v>336</v>
      </c>
      <c r="G5" s="80" t="s">
        <v>337</v>
      </c>
      <c r="H5" s="82" t="s">
        <v>338</v>
      </c>
      <c r="I5" s="82" t="s">
        <v>385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Z5" s="82">
        <v>0</v>
      </c>
      <c r="AA5" s="82">
        <v>0</v>
      </c>
      <c r="AB5" s="82">
        <v>1</v>
      </c>
      <c r="AC5" s="82">
        <v>0</v>
      </c>
      <c r="AD5" s="82">
        <v>200</v>
      </c>
      <c r="AE5" s="82">
        <v>0</v>
      </c>
      <c r="AF5" s="82">
        <v>0</v>
      </c>
      <c r="AG5" s="82">
        <v>0</v>
      </c>
      <c r="AH5" s="82">
        <v>0</v>
      </c>
      <c r="AI5" s="82">
        <v>0</v>
      </c>
      <c r="AJ5" s="82">
        <v>0</v>
      </c>
      <c r="AK5" s="82">
        <v>0</v>
      </c>
      <c r="AL5" s="82">
        <v>0</v>
      </c>
      <c r="AM5" s="82">
        <v>0</v>
      </c>
      <c r="AN5" s="82">
        <v>0</v>
      </c>
      <c r="AO5" s="82">
        <v>0</v>
      </c>
      <c r="AP5" s="82">
        <v>0</v>
      </c>
      <c r="AQ5" s="82">
        <v>0</v>
      </c>
      <c r="AR5" s="82">
        <v>0</v>
      </c>
      <c r="AS5" s="82">
        <v>0</v>
      </c>
      <c r="AT5" s="82">
        <v>0</v>
      </c>
      <c r="AU5" s="100">
        <v>200</v>
      </c>
      <c r="AV5" s="179">
        <f t="shared" si="0"/>
        <v>200</v>
      </c>
      <c r="AW5" s="180">
        <f t="shared" si="1"/>
        <v>120</v>
      </c>
    </row>
    <row r="6" spans="1:49" s="181" customFormat="1" ht="28.8">
      <c r="A6" s="178" t="s">
        <v>389</v>
      </c>
      <c r="B6" s="80" t="s">
        <v>334</v>
      </c>
      <c r="C6" s="80">
        <v>423644</v>
      </c>
      <c r="D6" s="81"/>
      <c r="E6" s="80" t="s">
        <v>335</v>
      </c>
      <c r="F6" s="80" t="s">
        <v>336</v>
      </c>
      <c r="G6" s="80" t="s">
        <v>337</v>
      </c>
      <c r="H6" s="82" t="s">
        <v>338</v>
      </c>
      <c r="I6" s="82" t="s">
        <v>385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0</v>
      </c>
      <c r="Z6" s="82">
        <v>0</v>
      </c>
      <c r="AA6" s="82">
        <v>0</v>
      </c>
      <c r="AB6" s="82">
        <v>0</v>
      </c>
      <c r="AC6" s="82">
        <v>0</v>
      </c>
      <c r="AD6" s="82">
        <v>0</v>
      </c>
      <c r="AE6" s="82">
        <v>1</v>
      </c>
      <c r="AF6" s="82">
        <v>400</v>
      </c>
      <c r="AG6" s="82">
        <v>0</v>
      </c>
      <c r="AH6" s="82">
        <v>0</v>
      </c>
      <c r="AI6" s="82">
        <v>0</v>
      </c>
      <c r="AJ6" s="82">
        <v>0</v>
      </c>
      <c r="AK6" s="82">
        <v>0</v>
      </c>
      <c r="AL6" s="82">
        <v>0</v>
      </c>
      <c r="AM6" s="82">
        <v>0</v>
      </c>
      <c r="AN6" s="82">
        <v>0</v>
      </c>
      <c r="AO6" s="82">
        <v>0</v>
      </c>
      <c r="AP6" s="82">
        <v>0</v>
      </c>
      <c r="AQ6" s="82">
        <v>0</v>
      </c>
      <c r="AR6" s="82">
        <v>0</v>
      </c>
      <c r="AS6" s="82">
        <v>0</v>
      </c>
      <c r="AT6" s="82">
        <v>0</v>
      </c>
      <c r="AU6" s="100">
        <v>400</v>
      </c>
      <c r="AV6" s="179">
        <f t="shared" si="0"/>
        <v>400</v>
      </c>
      <c r="AW6" s="180">
        <f t="shared" si="1"/>
        <v>240</v>
      </c>
    </row>
    <row r="7" spans="1:49" ht="19.2">
      <c r="A7" s="182" t="s">
        <v>333</v>
      </c>
      <c r="B7" s="80" t="s">
        <v>339</v>
      </c>
      <c r="C7" s="80">
        <v>448747</v>
      </c>
      <c r="D7" s="81"/>
      <c r="E7" s="80" t="s">
        <v>340</v>
      </c>
      <c r="F7" s="80" t="s">
        <v>341</v>
      </c>
      <c r="G7" s="80" t="s">
        <v>337</v>
      </c>
      <c r="H7" s="82" t="s">
        <v>338</v>
      </c>
      <c r="I7" s="82" t="s">
        <v>342</v>
      </c>
      <c r="J7" s="82">
        <v>0</v>
      </c>
      <c r="K7" s="82">
        <v>845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Z7" s="82">
        <v>0</v>
      </c>
      <c r="AA7" s="82">
        <v>0</v>
      </c>
      <c r="AB7" s="82">
        <v>194</v>
      </c>
      <c r="AC7" s="83">
        <v>27300</v>
      </c>
      <c r="AD7" s="83">
        <v>11500</v>
      </c>
      <c r="AE7" s="82">
        <v>0</v>
      </c>
      <c r="AF7" s="82">
        <v>0</v>
      </c>
      <c r="AG7" s="82">
        <v>0</v>
      </c>
      <c r="AH7" s="82">
        <v>1</v>
      </c>
      <c r="AI7" s="82">
        <v>0</v>
      </c>
      <c r="AJ7" s="82">
        <v>200</v>
      </c>
      <c r="AK7" s="82">
        <v>0</v>
      </c>
      <c r="AL7" s="82">
        <v>0</v>
      </c>
      <c r="AM7" s="82">
        <v>0</v>
      </c>
      <c r="AN7" s="82">
        <v>0</v>
      </c>
      <c r="AO7" s="82">
        <v>0</v>
      </c>
      <c r="AP7" s="82">
        <v>0</v>
      </c>
      <c r="AQ7" s="82">
        <v>0</v>
      </c>
      <c r="AR7" s="82">
        <v>0</v>
      </c>
      <c r="AS7" s="82">
        <v>0</v>
      </c>
      <c r="AT7" s="82">
        <v>0</v>
      </c>
      <c r="AU7" s="57">
        <v>39000</v>
      </c>
      <c r="AV7" s="180">
        <v>39000</v>
      </c>
      <c r="AW7" s="180">
        <v>27300</v>
      </c>
    </row>
    <row r="8" spans="1:49" ht="19.2">
      <c r="A8" s="182" t="s">
        <v>390</v>
      </c>
      <c r="B8" s="80" t="s">
        <v>339</v>
      </c>
      <c r="C8" s="80">
        <v>448747</v>
      </c>
      <c r="D8" s="81"/>
      <c r="E8" s="80" t="s">
        <v>340</v>
      </c>
      <c r="F8" s="80" t="s">
        <v>341</v>
      </c>
      <c r="G8" s="80" t="s">
        <v>337</v>
      </c>
      <c r="H8" s="82" t="s">
        <v>338</v>
      </c>
      <c r="I8" s="82" t="s">
        <v>342</v>
      </c>
      <c r="J8" s="82">
        <v>0</v>
      </c>
      <c r="K8" s="82">
        <v>623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2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Z8" s="82">
        <v>0</v>
      </c>
      <c r="AA8" s="82">
        <v>0</v>
      </c>
      <c r="AB8" s="82">
        <v>50</v>
      </c>
      <c r="AC8" s="83">
        <v>2000</v>
      </c>
      <c r="AD8" s="83">
        <v>8000</v>
      </c>
      <c r="AE8" s="82">
        <v>20</v>
      </c>
      <c r="AF8" s="83">
        <v>3100</v>
      </c>
      <c r="AG8" s="83">
        <v>4900</v>
      </c>
      <c r="AH8" s="82">
        <v>0</v>
      </c>
      <c r="AI8" s="82">
        <v>0</v>
      </c>
      <c r="AJ8" s="82">
        <v>0</v>
      </c>
      <c r="AK8" s="82">
        <v>0</v>
      </c>
      <c r="AL8" s="82">
        <v>0</v>
      </c>
      <c r="AM8" s="82">
        <v>0</v>
      </c>
      <c r="AN8" s="82">
        <v>0</v>
      </c>
      <c r="AO8" s="82">
        <v>0</v>
      </c>
      <c r="AP8" s="82">
        <v>0</v>
      </c>
      <c r="AQ8" s="82">
        <v>0</v>
      </c>
      <c r="AR8" s="82">
        <v>0</v>
      </c>
      <c r="AS8" s="82">
        <v>0</v>
      </c>
      <c r="AT8" s="82">
        <v>0</v>
      </c>
      <c r="AU8" s="57">
        <v>18000</v>
      </c>
      <c r="AV8" s="180">
        <v>18000</v>
      </c>
      <c r="AW8" s="180">
        <v>12600</v>
      </c>
    </row>
    <row r="9" spans="1:49" ht="19.2">
      <c r="A9" s="182" t="s">
        <v>391</v>
      </c>
      <c r="B9" s="80" t="s">
        <v>339</v>
      </c>
      <c r="C9" s="80">
        <v>448747</v>
      </c>
      <c r="D9" s="81"/>
      <c r="E9" s="80" t="s">
        <v>340</v>
      </c>
      <c r="F9" s="80" t="s">
        <v>341</v>
      </c>
      <c r="G9" s="80" t="s">
        <v>337</v>
      </c>
      <c r="H9" s="82" t="s">
        <v>338</v>
      </c>
      <c r="I9" s="82" t="s">
        <v>342</v>
      </c>
      <c r="J9" s="82">
        <v>0</v>
      </c>
      <c r="K9" s="82">
        <v>164</v>
      </c>
      <c r="L9" s="82">
        <v>0</v>
      </c>
      <c r="M9" s="82">
        <v>0</v>
      </c>
      <c r="N9" s="82">
        <v>0</v>
      </c>
      <c r="O9" s="82">
        <v>0</v>
      </c>
      <c r="P9" s="82">
        <v>0</v>
      </c>
      <c r="Q9" s="82">
        <v>0</v>
      </c>
      <c r="R9" s="82">
        <v>0</v>
      </c>
      <c r="S9" s="82">
        <v>0</v>
      </c>
      <c r="T9" s="82">
        <v>6</v>
      </c>
      <c r="U9" s="82">
        <v>0</v>
      </c>
      <c r="V9" s="82">
        <v>0</v>
      </c>
      <c r="W9" s="82">
        <v>0</v>
      </c>
      <c r="X9" s="82">
        <v>0</v>
      </c>
      <c r="Y9" s="82">
        <v>0</v>
      </c>
      <c r="Z9" s="82">
        <v>0</v>
      </c>
      <c r="AA9" s="82">
        <v>0</v>
      </c>
      <c r="AB9" s="82">
        <v>1</v>
      </c>
      <c r="AC9" s="82">
        <v>0</v>
      </c>
      <c r="AD9" s="82">
        <v>100</v>
      </c>
      <c r="AE9" s="82">
        <v>51</v>
      </c>
      <c r="AF9" s="83">
        <v>20400</v>
      </c>
      <c r="AG9" s="82">
        <v>0</v>
      </c>
      <c r="AH9" s="82">
        <v>86</v>
      </c>
      <c r="AI9" s="83">
        <v>19560</v>
      </c>
      <c r="AJ9" s="82">
        <v>800</v>
      </c>
      <c r="AK9" s="82">
        <v>3</v>
      </c>
      <c r="AL9" s="82">
        <v>0</v>
      </c>
      <c r="AM9" s="83">
        <v>1200</v>
      </c>
      <c r="AN9" s="183">
        <v>5868</v>
      </c>
      <c r="AO9" s="82">
        <v>0</v>
      </c>
      <c r="AP9" s="82">
        <v>0</v>
      </c>
      <c r="AQ9" s="82">
        <v>0</v>
      </c>
      <c r="AR9" s="82">
        <v>0</v>
      </c>
      <c r="AS9" s="82">
        <v>0</v>
      </c>
      <c r="AT9" s="82">
        <v>0</v>
      </c>
      <c r="AU9" s="57">
        <v>42060</v>
      </c>
      <c r="AV9" s="180">
        <v>36192</v>
      </c>
      <c r="AW9" s="180">
        <v>25334.399999999998</v>
      </c>
    </row>
    <row r="10" spans="1:49" ht="19.2">
      <c r="A10" s="182" t="s">
        <v>392</v>
      </c>
      <c r="B10" s="80" t="s">
        <v>339</v>
      </c>
      <c r="C10" s="80">
        <v>448747</v>
      </c>
      <c r="D10" s="81"/>
      <c r="E10" s="80" t="s">
        <v>340</v>
      </c>
      <c r="F10" s="80" t="s">
        <v>341</v>
      </c>
      <c r="G10" s="80" t="s">
        <v>337</v>
      </c>
      <c r="H10" s="82" t="s">
        <v>338</v>
      </c>
      <c r="I10" s="82" t="s">
        <v>342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Z10" s="82">
        <v>0</v>
      </c>
      <c r="AA10" s="82">
        <v>0</v>
      </c>
      <c r="AB10" s="82">
        <v>32</v>
      </c>
      <c r="AC10" s="83">
        <v>1500</v>
      </c>
      <c r="AD10" s="83">
        <v>4900</v>
      </c>
      <c r="AE10" s="82">
        <v>0</v>
      </c>
      <c r="AF10" s="82">
        <v>0</v>
      </c>
      <c r="AG10" s="82">
        <v>0</v>
      </c>
      <c r="AH10" s="82">
        <v>0</v>
      </c>
      <c r="AI10" s="82">
        <v>0</v>
      </c>
      <c r="AJ10" s="82">
        <v>0</v>
      </c>
      <c r="AK10" s="82">
        <v>0</v>
      </c>
      <c r="AL10" s="82">
        <v>0</v>
      </c>
      <c r="AM10" s="82">
        <v>0</v>
      </c>
      <c r="AN10" s="82">
        <v>0</v>
      </c>
      <c r="AO10" s="82">
        <v>0</v>
      </c>
      <c r="AP10" s="82">
        <v>0</v>
      </c>
      <c r="AQ10" s="82">
        <v>0</v>
      </c>
      <c r="AR10" s="82">
        <v>0</v>
      </c>
      <c r="AS10" s="82">
        <v>0</v>
      </c>
      <c r="AT10" s="82">
        <v>0</v>
      </c>
      <c r="AU10" s="57">
        <v>6400</v>
      </c>
      <c r="AV10" s="180">
        <v>6400</v>
      </c>
      <c r="AW10" s="180">
        <v>4480</v>
      </c>
    </row>
    <row r="11" spans="1:49" ht="19.2">
      <c r="A11" s="184" t="s">
        <v>393</v>
      </c>
      <c r="B11" s="80" t="s">
        <v>339</v>
      </c>
      <c r="C11" s="80">
        <v>448747</v>
      </c>
      <c r="D11" s="81"/>
      <c r="E11" s="80" t="s">
        <v>340</v>
      </c>
      <c r="F11" s="80" t="s">
        <v>341</v>
      </c>
      <c r="G11" s="80" t="s">
        <v>337</v>
      </c>
      <c r="H11" s="82" t="s">
        <v>338</v>
      </c>
      <c r="I11" s="82" t="s">
        <v>342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Z11" s="82">
        <v>0</v>
      </c>
      <c r="AA11" s="82">
        <v>0</v>
      </c>
      <c r="AB11" s="82">
        <v>2</v>
      </c>
      <c r="AC11" s="82">
        <v>400</v>
      </c>
      <c r="AD11" s="82">
        <v>0</v>
      </c>
      <c r="AE11" s="82">
        <v>13</v>
      </c>
      <c r="AF11" s="82">
        <v>0</v>
      </c>
      <c r="AG11" s="83">
        <v>4900</v>
      </c>
      <c r="AH11" s="82">
        <v>0</v>
      </c>
      <c r="AI11" s="82">
        <v>0</v>
      </c>
      <c r="AJ11" s="82">
        <v>0</v>
      </c>
      <c r="AK11" s="82">
        <v>0</v>
      </c>
      <c r="AL11" s="82">
        <v>0</v>
      </c>
      <c r="AM11" s="82">
        <v>0</v>
      </c>
      <c r="AN11" s="82">
        <v>0</v>
      </c>
      <c r="AO11" s="82">
        <v>0</v>
      </c>
      <c r="AP11" s="82">
        <v>0</v>
      </c>
      <c r="AQ11" s="82">
        <v>0</v>
      </c>
      <c r="AR11" s="82">
        <v>77</v>
      </c>
      <c r="AS11" s="83">
        <v>30700</v>
      </c>
      <c r="AT11" s="82">
        <v>0</v>
      </c>
      <c r="AU11" s="57">
        <v>36000</v>
      </c>
      <c r="AV11" s="185">
        <v>36000</v>
      </c>
      <c r="AW11" s="186">
        <v>25200</v>
      </c>
    </row>
    <row r="12" spans="1:49" ht="19.2">
      <c r="A12" s="182" t="s">
        <v>394</v>
      </c>
      <c r="B12" s="80" t="s">
        <v>339</v>
      </c>
      <c r="C12" s="80">
        <v>448747</v>
      </c>
      <c r="D12" s="81"/>
      <c r="E12" s="80" t="s">
        <v>340</v>
      </c>
      <c r="F12" s="80" t="s">
        <v>341</v>
      </c>
      <c r="G12" s="80" t="s">
        <v>337</v>
      </c>
      <c r="H12" s="82" t="s">
        <v>338</v>
      </c>
      <c r="I12" s="82" t="s">
        <v>342</v>
      </c>
      <c r="J12" s="82">
        <v>0</v>
      </c>
      <c r="K12" s="83">
        <v>14463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v>0</v>
      </c>
      <c r="Y12" s="82">
        <v>0</v>
      </c>
      <c r="Z12" s="82">
        <v>0</v>
      </c>
      <c r="AA12" s="82">
        <v>0</v>
      </c>
      <c r="AB12" s="83">
        <v>1495</v>
      </c>
      <c r="AC12" s="83">
        <v>219700</v>
      </c>
      <c r="AD12" s="83">
        <v>79200</v>
      </c>
      <c r="AE12" s="82">
        <v>0</v>
      </c>
      <c r="AF12" s="82">
        <v>0</v>
      </c>
      <c r="AG12" s="82">
        <v>0</v>
      </c>
      <c r="AH12" s="82">
        <v>10</v>
      </c>
      <c r="AI12" s="82">
        <v>120</v>
      </c>
      <c r="AJ12" s="83">
        <v>1800</v>
      </c>
      <c r="AK12" s="82">
        <v>0</v>
      </c>
      <c r="AL12" s="82">
        <v>0</v>
      </c>
      <c r="AM12" s="82">
        <v>0</v>
      </c>
      <c r="AN12" s="82">
        <v>36</v>
      </c>
      <c r="AO12" s="82">
        <v>120</v>
      </c>
      <c r="AP12" s="83">
        <v>23400</v>
      </c>
      <c r="AQ12" s="82">
        <v>600</v>
      </c>
      <c r="AR12" s="82">
        <v>0</v>
      </c>
      <c r="AS12" s="82">
        <v>0</v>
      </c>
      <c r="AT12" s="82">
        <v>0</v>
      </c>
      <c r="AU12" s="57">
        <v>324820</v>
      </c>
      <c r="AV12" s="180">
        <v>324784</v>
      </c>
      <c r="AW12" s="180">
        <v>227348.8</v>
      </c>
    </row>
    <row r="13" spans="1:49" ht="19.2">
      <c r="A13" s="182" t="s">
        <v>395</v>
      </c>
      <c r="B13" s="80" t="s">
        <v>339</v>
      </c>
      <c r="C13" s="80">
        <v>448747</v>
      </c>
      <c r="D13" s="81"/>
      <c r="E13" s="80" t="s">
        <v>340</v>
      </c>
      <c r="F13" s="80" t="s">
        <v>341</v>
      </c>
      <c r="G13" s="80" t="s">
        <v>337</v>
      </c>
      <c r="H13" s="82" t="s">
        <v>338</v>
      </c>
      <c r="I13" s="82" t="s">
        <v>342</v>
      </c>
      <c r="J13" s="82">
        <v>0</v>
      </c>
      <c r="K13" s="83">
        <v>6597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2">
        <v>0</v>
      </c>
      <c r="Z13" s="82">
        <v>0</v>
      </c>
      <c r="AA13" s="82">
        <v>0</v>
      </c>
      <c r="AB13" s="82">
        <v>743</v>
      </c>
      <c r="AC13" s="83">
        <v>124700</v>
      </c>
      <c r="AD13" s="83">
        <v>23300</v>
      </c>
      <c r="AE13" s="82">
        <v>0</v>
      </c>
      <c r="AF13" s="82">
        <v>0</v>
      </c>
      <c r="AG13" s="82">
        <v>0</v>
      </c>
      <c r="AH13" s="82">
        <v>409</v>
      </c>
      <c r="AI13" s="83">
        <v>70180</v>
      </c>
      <c r="AJ13" s="83">
        <v>22700</v>
      </c>
      <c r="AK13" s="82">
        <v>0</v>
      </c>
      <c r="AL13" s="82">
        <v>0</v>
      </c>
      <c r="AM13" s="82">
        <v>0</v>
      </c>
      <c r="AN13" s="183">
        <v>21054</v>
      </c>
      <c r="AO13" s="82">
        <v>17</v>
      </c>
      <c r="AP13" s="83">
        <v>3400</v>
      </c>
      <c r="AQ13" s="82">
        <v>0</v>
      </c>
      <c r="AR13" s="82">
        <v>0</v>
      </c>
      <c r="AS13" s="82">
        <v>0</v>
      </c>
      <c r="AT13" s="82">
        <v>0</v>
      </c>
      <c r="AU13" s="57">
        <v>244280</v>
      </c>
      <c r="AV13" s="185">
        <v>223226</v>
      </c>
      <c r="AW13" s="186">
        <v>156258.19999999998</v>
      </c>
    </row>
    <row r="14" spans="1:49" ht="19.2">
      <c r="A14" s="184" t="s">
        <v>396</v>
      </c>
      <c r="B14" s="80" t="s">
        <v>339</v>
      </c>
      <c r="C14" s="80">
        <v>448747</v>
      </c>
      <c r="D14" s="81"/>
      <c r="E14" s="80" t="s">
        <v>340</v>
      </c>
      <c r="F14" s="80" t="s">
        <v>341</v>
      </c>
      <c r="G14" s="80" t="s">
        <v>337</v>
      </c>
      <c r="H14" s="82" t="s">
        <v>338</v>
      </c>
      <c r="I14" s="82" t="s">
        <v>342</v>
      </c>
      <c r="J14" s="82">
        <v>0</v>
      </c>
      <c r="K14" s="82">
        <v>171</v>
      </c>
      <c r="L14" s="82">
        <v>0</v>
      </c>
      <c r="M14" s="82">
        <v>0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82">
        <v>0</v>
      </c>
      <c r="U14" s="82">
        <v>0</v>
      </c>
      <c r="V14" s="82">
        <v>0</v>
      </c>
      <c r="W14" s="82">
        <v>0</v>
      </c>
      <c r="X14" s="82">
        <v>0</v>
      </c>
      <c r="Y14" s="82">
        <v>0</v>
      </c>
      <c r="Z14" s="82">
        <v>0</v>
      </c>
      <c r="AA14" s="82">
        <v>0</v>
      </c>
      <c r="AB14" s="82">
        <v>1</v>
      </c>
      <c r="AC14" s="82">
        <v>200</v>
      </c>
      <c r="AD14" s="82">
        <v>0</v>
      </c>
      <c r="AE14" s="82">
        <v>1</v>
      </c>
      <c r="AF14" s="82">
        <v>400</v>
      </c>
      <c r="AG14" s="82">
        <v>0</v>
      </c>
      <c r="AH14" s="82">
        <v>0</v>
      </c>
      <c r="AI14" s="82">
        <v>0</v>
      </c>
      <c r="AJ14" s="82">
        <v>0</v>
      </c>
      <c r="AK14" s="82">
        <v>0</v>
      </c>
      <c r="AL14" s="82">
        <v>0</v>
      </c>
      <c r="AM14" s="82">
        <v>0</v>
      </c>
      <c r="AN14" s="82">
        <v>0</v>
      </c>
      <c r="AO14" s="82">
        <v>0</v>
      </c>
      <c r="AP14" s="82">
        <v>0</v>
      </c>
      <c r="AQ14" s="82">
        <v>0</v>
      </c>
      <c r="AR14" s="82">
        <v>0</v>
      </c>
      <c r="AS14" s="82">
        <v>0</v>
      </c>
      <c r="AT14" s="82">
        <v>0</v>
      </c>
      <c r="AU14" s="100">
        <v>600</v>
      </c>
      <c r="AV14" s="185">
        <v>600</v>
      </c>
      <c r="AW14" s="186">
        <v>420</v>
      </c>
    </row>
    <row r="15" spans="1:49" s="181" customFormat="1" ht="19.2">
      <c r="A15" s="184" t="s">
        <v>397</v>
      </c>
      <c r="B15" s="80" t="s">
        <v>339</v>
      </c>
      <c r="C15" s="80">
        <v>448747</v>
      </c>
      <c r="D15" s="81"/>
      <c r="E15" s="80" t="s">
        <v>340</v>
      </c>
      <c r="F15" s="80" t="s">
        <v>341</v>
      </c>
      <c r="G15" s="80" t="s">
        <v>337</v>
      </c>
      <c r="H15" s="82" t="s">
        <v>338</v>
      </c>
      <c r="I15" s="82" t="s">
        <v>342</v>
      </c>
      <c r="J15" s="82">
        <v>0</v>
      </c>
      <c r="K15" s="82">
        <v>8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0</v>
      </c>
      <c r="Z15" s="82">
        <v>0</v>
      </c>
      <c r="AA15" s="82">
        <v>0</v>
      </c>
      <c r="AB15" s="82">
        <v>21</v>
      </c>
      <c r="AC15" s="83">
        <v>4000</v>
      </c>
      <c r="AD15" s="82">
        <v>200</v>
      </c>
      <c r="AE15" s="82">
        <v>0</v>
      </c>
      <c r="AF15" s="82">
        <v>0</v>
      </c>
      <c r="AG15" s="82">
        <v>0</v>
      </c>
      <c r="AH15" s="82">
        <v>0</v>
      </c>
      <c r="AI15" s="82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0</v>
      </c>
      <c r="AO15" s="82">
        <v>0</v>
      </c>
      <c r="AP15" s="82">
        <v>0</v>
      </c>
      <c r="AQ15" s="82">
        <v>0</v>
      </c>
      <c r="AR15" s="82">
        <v>0</v>
      </c>
      <c r="AS15" s="82">
        <v>0</v>
      </c>
      <c r="AT15" s="82">
        <v>0</v>
      </c>
      <c r="AU15" s="57">
        <v>4200</v>
      </c>
      <c r="AV15" s="185">
        <v>4200</v>
      </c>
      <c r="AW15" s="186">
        <v>2940</v>
      </c>
    </row>
    <row r="16" spans="1:49">
      <c r="AW16" s="244">
        <f>SUM(AW2:AW15)</f>
        <v>742300.6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E20"/>
  <sheetViews>
    <sheetView workbookViewId="0">
      <selection activeCell="D23" sqref="D23"/>
    </sheetView>
  </sheetViews>
  <sheetFormatPr defaultColWidth="8.69921875" defaultRowHeight="17.399999999999999"/>
  <cols>
    <col min="1" max="1" width="2.3984375" style="246" customWidth="1"/>
    <col min="2" max="2" width="39.09765625" style="246" customWidth="1"/>
    <col min="3" max="3" width="13.09765625" style="246" customWidth="1"/>
    <col min="4" max="4" width="24.09765625" style="246" customWidth="1"/>
    <col min="5" max="5" width="13.19921875" style="246" bestFit="1" customWidth="1"/>
    <col min="6" max="6" width="11.296875" style="246" bestFit="1" customWidth="1"/>
    <col min="7" max="7" width="13.69921875" style="246" bestFit="1" customWidth="1"/>
    <col min="8" max="8" width="12" style="246" bestFit="1" customWidth="1"/>
    <col min="9" max="9" width="4.69921875" style="246" bestFit="1" customWidth="1"/>
    <col min="10" max="10" width="7.796875" style="246" bestFit="1" customWidth="1"/>
    <col min="11" max="16384" width="8.69921875" style="246"/>
  </cols>
  <sheetData>
    <row r="2" spans="2:5" ht="18" thickBot="1">
      <c r="B2" s="245" t="s">
        <v>399</v>
      </c>
      <c r="C2" s="2"/>
      <c r="D2" s="2"/>
    </row>
    <row r="3" spans="2:5">
      <c r="B3" s="247" t="s">
        <v>400</v>
      </c>
      <c r="C3" s="248">
        <v>1</v>
      </c>
      <c r="D3" s="249" t="s">
        <v>401</v>
      </c>
    </row>
    <row r="4" spans="2:5">
      <c r="B4" s="250" t="s">
        <v>402</v>
      </c>
      <c r="C4" s="251" t="s">
        <v>403</v>
      </c>
      <c r="D4" s="252" t="s">
        <v>404</v>
      </c>
    </row>
    <row r="5" spans="2:5">
      <c r="B5" s="253" t="s">
        <v>405</v>
      </c>
      <c r="C5" s="254">
        <f>C20</f>
        <v>481595.45454545453</v>
      </c>
      <c r="D5" s="255"/>
    </row>
    <row r="6" spans="2:5">
      <c r="B6" s="256"/>
      <c r="C6" s="257"/>
      <c r="D6" s="255"/>
    </row>
    <row r="7" spans="2:5" ht="18" thickBot="1">
      <c r="B7" s="258" t="s">
        <v>406</v>
      </c>
      <c r="C7" s="259">
        <f>SUM(C5:C6)</f>
        <v>481595.45454545453</v>
      </c>
      <c r="D7" s="260"/>
    </row>
    <row r="8" spans="2:5" s="264" customFormat="1">
      <c r="B8" s="261"/>
      <c r="C8" s="262"/>
      <c r="D8" s="263"/>
    </row>
    <row r="9" spans="2:5" s="264" customFormat="1">
      <c r="B9" s="261"/>
      <c r="C9" s="262"/>
      <c r="D9" s="263"/>
    </row>
    <row r="10" spans="2:5">
      <c r="B10" s="265" t="s">
        <v>407</v>
      </c>
    </row>
    <row r="11" spans="2:5">
      <c r="B11" s="266" t="s">
        <v>408</v>
      </c>
      <c r="C11" s="267" t="s">
        <v>409</v>
      </c>
      <c r="D11" s="266"/>
    </row>
    <row r="12" spans="2:5">
      <c r="B12" s="266" t="s">
        <v>410</v>
      </c>
      <c r="C12" s="268" t="s">
        <v>411</v>
      </c>
      <c r="D12" s="269"/>
      <c r="E12" s="270"/>
    </row>
    <row r="13" spans="2:5">
      <c r="B13" s="266" t="s">
        <v>412</v>
      </c>
      <c r="C13" s="271">
        <v>2021.07</v>
      </c>
      <c r="D13" s="270"/>
    </row>
    <row r="14" spans="2:5">
      <c r="B14" s="272"/>
    </row>
    <row r="15" spans="2:5">
      <c r="B15" s="273" t="s">
        <v>413</v>
      </c>
      <c r="C15" s="273" t="s">
        <v>190</v>
      </c>
      <c r="D15" s="273" t="s">
        <v>67</v>
      </c>
    </row>
    <row r="16" spans="2:5">
      <c r="B16" s="274" t="s">
        <v>414</v>
      </c>
      <c r="C16" s="275">
        <v>52193</v>
      </c>
      <c r="D16" s="276"/>
    </row>
    <row r="17" spans="2:4">
      <c r="B17" s="274" t="s">
        <v>415</v>
      </c>
      <c r="C17" s="275">
        <v>4385.454545454545</v>
      </c>
      <c r="D17" s="276"/>
    </row>
    <row r="18" spans="2:4">
      <c r="B18" s="274" t="s">
        <v>416</v>
      </c>
      <c r="C18" s="275">
        <v>366427</v>
      </c>
      <c r="D18" s="276"/>
    </row>
    <row r="19" spans="2:4">
      <c r="B19" s="274" t="s">
        <v>417</v>
      </c>
      <c r="C19" s="275">
        <v>58590</v>
      </c>
      <c r="D19" s="276"/>
    </row>
    <row r="20" spans="2:4">
      <c r="B20" s="273" t="s">
        <v>418</v>
      </c>
      <c r="C20" s="277">
        <f>SUM(C16:C19)</f>
        <v>481595.45454545453</v>
      </c>
      <c r="D20" s="278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1:F721"/>
  <sheetViews>
    <sheetView zoomScale="65" zoomScaleNormal="65" workbookViewId="0">
      <pane ySplit="26" topLeftCell="A657" activePane="bottomLeft" state="frozen"/>
      <selection activeCell="D23" sqref="D23"/>
      <selection pane="bottomLeft" activeCell="D23" sqref="D23"/>
    </sheetView>
  </sheetViews>
  <sheetFormatPr defaultColWidth="8.69921875" defaultRowHeight="15.6"/>
  <cols>
    <col min="1" max="1" width="3.59765625" style="2" customWidth="1"/>
    <col min="2" max="2" width="13.19921875" style="2" customWidth="1"/>
    <col min="3" max="3" width="14.19921875" style="2" customWidth="1"/>
    <col min="4" max="4" width="13.69921875" style="2" customWidth="1"/>
    <col min="5" max="5" width="15.8984375" style="2" customWidth="1"/>
    <col min="6" max="6" width="13.59765625" style="2" customWidth="1"/>
    <col min="7" max="7" width="13.69921875" style="2" customWidth="1"/>
    <col min="8" max="8" width="13.3984375" style="2" customWidth="1"/>
    <col min="9" max="10" width="12.5" style="2" customWidth="1"/>
    <col min="11" max="11" width="18.3984375" style="2" bestFit="1" customWidth="1"/>
    <col min="12" max="12" width="12.5" style="2" bestFit="1" customWidth="1"/>
    <col min="13" max="13" width="12" style="2" customWidth="1"/>
    <col min="14" max="15" width="7.796875" style="2" bestFit="1" customWidth="1"/>
    <col min="16" max="16" width="4.5" style="2" bestFit="1" customWidth="1"/>
    <col min="17" max="17" width="7.59765625" style="2" bestFit="1" customWidth="1"/>
    <col min="18" max="18" width="10" style="2" bestFit="1" customWidth="1"/>
    <col min="19" max="19" width="9" style="2" bestFit="1" customWidth="1"/>
    <col min="20" max="20" width="10" style="2" bestFit="1" customWidth="1"/>
    <col min="21" max="21" width="14" style="2" customWidth="1"/>
    <col min="22" max="22" width="10.19921875" style="2" customWidth="1"/>
    <col min="23" max="23" width="7.59765625" style="2" bestFit="1" customWidth="1"/>
    <col min="24" max="24" width="9" style="2" bestFit="1" customWidth="1"/>
    <col min="25" max="25" width="12.59765625" style="2" bestFit="1" customWidth="1"/>
    <col min="26" max="26" width="13.69921875" style="2" bestFit="1" customWidth="1"/>
    <col min="27" max="27" width="11.09765625" style="2" bestFit="1" customWidth="1"/>
    <col min="28" max="28" width="10" style="2" bestFit="1" customWidth="1"/>
    <col min="29" max="29" width="11.09765625" style="2" bestFit="1" customWidth="1"/>
    <col min="30" max="30" width="12.59765625" style="2" bestFit="1" customWidth="1"/>
    <col min="31" max="31" width="13.69921875" style="2" bestFit="1" customWidth="1"/>
    <col min="32" max="33" width="12.59765625" style="2" customWidth="1"/>
    <col min="34" max="35" width="8.296875" style="2" bestFit="1" customWidth="1"/>
    <col min="36" max="36" width="10" style="2" bestFit="1" customWidth="1"/>
    <col min="37" max="37" width="9.69921875" style="2" customWidth="1"/>
    <col min="38" max="38" width="5.8984375" style="2" customWidth="1"/>
    <col min="39" max="39" width="13.796875" style="2" customWidth="1"/>
    <col min="40" max="40" width="12.5" style="2" customWidth="1"/>
    <col min="41" max="41" width="16.19921875" style="2" customWidth="1"/>
    <col min="42" max="42" width="11.8984375" style="2" bestFit="1" customWidth="1"/>
    <col min="43" max="43" width="12.19921875" style="2" customWidth="1"/>
    <col min="44" max="44" width="13.19921875" style="2" customWidth="1"/>
    <col min="45" max="45" width="10.09765625" style="2" customWidth="1"/>
    <col min="46" max="46" width="10.59765625" style="2" customWidth="1"/>
    <col min="47" max="47" width="10.19921875" style="2" customWidth="1"/>
    <col min="48" max="48" width="8.69921875" style="2" customWidth="1"/>
    <col min="49" max="16384" width="8.69921875" style="2"/>
  </cols>
  <sheetData>
    <row r="1" spans="2:6" ht="18" thickBot="1">
      <c r="B1" s="245" t="s">
        <v>419</v>
      </c>
      <c r="C1" s="2" t="s">
        <v>420</v>
      </c>
    </row>
    <row r="2" spans="2:6">
      <c r="B2" s="247" t="s">
        <v>421</v>
      </c>
      <c r="C2" s="248">
        <v>1</v>
      </c>
      <c r="D2" s="248" t="s">
        <v>422</v>
      </c>
      <c r="E2" s="279"/>
      <c r="F2" s="280" t="s">
        <v>423</v>
      </c>
    </row>
    <row r="3" spans="2:6" ht="17.55" customHeight="1">
      <c r="B3" s="281" t="s">
        <v>424</v>
      </c>
      <c r="C3" s="282" t="s">
        <v>425</v>
      </c>
      <c r="D3" s="282" t="s">
        <v>426</v>
      </c>
      <c r="E3" s="282" t="s">
        <v>427</v>
      </c>
      <c r="F3" s="252" t="s">
        <v>428</v>
      </c>
    </row>
    <row r="4" spans="2:6">
      <c r="B4" s="256" t="s">
        <v>429</v>
      </c>
      <c r="C4" s="283">
        <f>D702</f>
        <v>12500</v>
      </c>
      <c r="D4" s="283">
        <f>D703</f>
        <v>1886.79</v>
      </c>
      <c r="E4" s="284">
        <f>D704</f>
        <v>10613.21</v>
      </c>
      <c r="F4" s="285" t="s">
        <v>430</v>
      </c>
    </row>
    <row r="5" spans="2:6">
      <c r="B5" s="256" t="s">
        <v>431</v>
      </c>
      <c r="C5" s="283">
        <f>D665</f>
        <v>9354.4600000000009</v>
      </c>
      <c r="D5" s="283">
        <f>D666</f>
        <v>1412</v>
      </c>
      <c r="E5" s="283">
        <f>D667</f>
        <v>7942.4600000000009</v>
      </c>
      <c r="F5" s="255"/>
    </row>
    <row r="6" spans="2:6">
      <c r="B6" s="256" t="s">
        <v>432</v>
      </c>
      <c r="C6" s="283">
        <f>D692</f>
        <v>7481.62</v>
      </c>
      <c r="D6" s="283">
        <f>D693</f>
        <v>1129.3</v>
      </c>
      <c r="E6" s="283">
        <f>D694</f>
        <v>6352.32</v>
      </c>
      <c r="F6" s="255"/>
    </row>
    <row r="7" spans="2:6">
      <c r="B7" s="256" t="s">
        <v>433</v>
      </c>
      <c r="C7" s="283">
        <f>D719</f>
        <v>12258.83</v>
      </c>
      <c r="D7" s="283">
        <f>D720</f>
        <v>1850.39</v>
      </c>
      <c r="E7" s="283">
        <f>D721</f>
        <v>10408.44</v>
      </c>
      <c r="F7" s="255"/>
    </row>
    <row r="8" spans="2:6">
      <c r="B8" s="281" t="s">
        <v>0</v>
      </c>
      <c r="C8" s="286">
        <f>SUM(C4:C7)</f>
        <v>41594.909999999996</v>
      </c>
      <c r="D8" s="286">
        <f>SUM(D4:D7)</f>
        <v>6278.4800000000005</v>
      </c>
      <c r="E8" s="286">
        <f>SUM(E4:E7)</f>
        <v>35316.43</v>
      </c>
      <c r="F8" s="255"/>
    </row>
    <row r="9" spans="2:6">
      <c r="B9" s="287"/>
      <c r="C9" s="288"/>
      <c r="D9" s="288"/>
      <c r="E9" s="288"/>
      <c r="F9" s="289"/>
    </row>
    <row r="10" spans="2:6">
      <c r="B10" s="290"/>
      <c r="C10" s="288"/>
      <c r="D10" s="291" t="s">
        <v>434</v>
      </c>
      <c r="E10" s="288"/>
      <c r="F10" s="289"/>
    </row>
    <row r="11" spans="2:6">
      <c r="B11" s="292" t="s">
        <v>435</v>
      </c>
      <c r="C11" s="293"/>
      <c r="D11" s="294" t="s">
        <v>436</v>
      </c>
      <c r="E11" s="288"/>
      <c r="F11" s="289"/>
    </row>
    <row r="12" spans="2:6">
      <c r="B12" s="295" t="s">
        <v>437</v>
      </c>
      <c r="C12" s="296" t="s">
        <v>438</v>
      </c>
      <c r="D12" s="297">
        <f>C4</f>
        <v>12500</v>
      </c>
      <c r="E12" s="288"/>
      <c r="F12" s="289"/>
    </row>
    <row r="13" spans="2:6">
      <c r="B13" s="298"/>
      <c r="C13" s="296" t="s">
        <v>439</v>
      </c>
      <c r="D13" s="297">
        <f>SUM(C5:C7)</f>
        <v>29094.910000000003</v>
      </c>
      <c r="E13" s="288"/>
      <c r="F13" s="289"/>
    </row>
    <row r="14" spans="2:6">
      <c r="B14" s="299" t="s">
        <v>440</v>
      </c>
      <c r="C14" s="300"/>
      <c r="D14" s="301">
        <f>D8</f>
        <v>6278.4800000000005</v>
      </c>
      <c r="E14" s="288"/>
      <c r="F14" s="289"/>
    </row>
    <row r="15" spans="2:6">
      <c r="B15" s="299" t="s">
        <v>441</v>
      </c>
      <c r="C15" s="300"/>
      <c r="D15" s="301">
        <f>E8</f>
        <v>35316.43</v>
      </c>
      <c r="E15" s="288"/>
      <c r="F15" s="289"/>
    </row>
    <row r="16" spans="2:6">
      <c r="B16" s="299" t="s">
        <v>442</v>
      </c>
      <c r="C16" s="300"/>
      <c r="D16" s="301">
        <f>D15</f>
        <v>35316.43</v>
      </c>
      <c r="E16" s="288"/>
      <c r="F16" s="289"/>
    </row>
    <row r="17" spans="2:6">
      <c r="B17" s="299" t="s">
        <v>443</v>
      </c>
      <c r="C17" s="300"/>
      <c r="D17" s="302">
        <f>(D16/$E$20*100)*F20</f>
        <v>6604665.6515796594</v>
      </c>
      <c r="E17" s="288"/>
      <c r="F17" s="289"/>
    </row>
    <row r="18" spans="2:6">
      <c r="B18" s="303" t="s">
        <v>444</v>
      </c>
      <c r="C18" s="288"/>
      <c r="D18" s="288"/>
      <c r="E18" s="288"/>
      <c r="F18" s="289"/>
    </row>
    <row r="19" spans="2:6">
      <c r="B19" s="290"/>
      <c r="C19" s="288"/>
      <c r="D19" s="288"/>
      <c r="E19" s="304" t="s">
        <v>445</v>
      </c>
      <c r="F19" s="289" t="s">
        <v>446</v>
      </c>
    </row>
    <row r="20" spans="2:6">
      <c r="B20" s="305" t="s">
        <v>447</v>
      </c>
      <c r="C20" s="288"/>
      <c r="D20" s="288"/>
      <c r="E20" s="288">
        <v>636.53</v>
      </c>
      <c r="F20" s="289">
        <v>1190.4000000000001</v>
      </c>
    </row>
    <row r="21" spans="2:6" ht="16.2" thickBot="1">
      <c r="B21" s="306" t="s">
        <v>448</v>
      </c>
      <c r="C21" s="307"/>
      <c r="D21" s="307"/>
      <c r="E21" s="307"/>
      <c r="F21" s="308"/>
    </row>
    <row r="22" spans="2:6">
      <c r="B22" s="309"/>
    </row>
    <row r="23" spans="2:6" ht="17.399999999999999">
      <c r="B23" s="310" t="s">
        <v>449</v>
      </c>
    </row>
    <row r="24" spans="2:6">
      <c r="B24" s="311" t="s">
        <v>450</v>
      </c>
      <c r="C24" s="312" t="s">
        <v>451</v>
      </c>
      <c r="D24" s="311"/>
    </row>
    <row r="25" spans="2:6">
      <c r="B25" s="311" t="s">
        <v>452</v>
      </c>
      <c r="C25" s="313" t="s">
        <v>453</v>
      </c>
      <c r="D25" s="314" t="s">
        <v>454</v>
      </c>
    </row>
    <row r="26" spans="2:6">
      <c r="B26" s="311" t="s">
        <v>455</v>
      </c>
      <c r="C26" s="315" t="s">
        <v>456</v>
      </c>
      <c r="D26" s="314"/>
    </row>
    <row r="27" spans="2:6" ht="25.2">
      <c r="B27" s="316" t="s">
        <v>457</v>
      </c>
      <c r="C27" s="317"/>
      <c r="D27" s="317"/>
      <c r="E27" s="318"/>
      <c r="F27" s="317"/>
    </row>
    <row r="28" spans="2:6">
      <c r="B28" s="319" t="s">
        <v>458</v>
      </c>
      <c r="C28" s="320"/>
      <c r="D28" s="321" t="s">
        <v>459</v>
      </c>
      <c r="E28" s="322"/>
      <c r="F28" s="323"/>
    </row>
    <row r="29" spans="2:6">
      <c r="B29" s="324"/>
      <c r="C29" s="325"/>
      <c r="D29" s="326" t="s">
        <v>460</v>
      </c>
      <c r="E29" s="327" t="s">
        <v>461</v>
      </c>
      <c r="F29" s="326" t="s">
        <v>428</v>
      </c>
    </row>
    <row r="30" spans="2:6">
      <c r="B30" s="328" t="s">
        <v>452</v>
      </c>
      <c r="C30" s="296" t="s">
        <v>462</v>
      </c>
      <c r="D30" s="329">
        <v>17</v>
      </c>
      <c r="E30" s="330"/>
      <c r="F30" s="331" t="s">
        <v>463</v>
      </c>
    </row>
    <row r="31" spans="2:6">
      <c r="B31" s="332"/>
      <c r="C31" s="296" t="s">
        <v>464</v>
      </c>
      <c r="D31" s="333">
        <v>2500</v>
      </c>
      <c r="E31" s="334">
        <f>D31*180</f>
        <v>450000</v>
      </c>
      <c r="F31" s="331"/>
    </row>
    <row r="32" spans="2:6">
      <c r="B32" s="332"/>
      <c r="C32" s="296" t="s">
        <v>465</v>
      </c>
      <c r="D32" s="333">
        <v>100</v>
      </c>
      <c r="E32" s="334">
        <f>D32*180</f>
        <v>18000</v>
      </c>
      <c r="F32" s="331"/>
    </row>
    <row r="33" spans="2:6">
      <c r="B33" s="332"/>
      <c r="C33" s="335" t="s">
        <v>466</v>
      </c>
      <c r="D33" s="336">
        <f>(D31*D30)+D32</f>
        <v>42600</v>
      </c>
      <c r="E33" s="337">
        <f>D33*180</f>
        <v>7668000</v>
      </c>
      <c r="F33" s="338"/>
    </row>
    <row r="34" spans="2:6">
      <c r="B34" s="332"/>
      <c r="C34" s="296" t="s">
        <v>467</v>
      </c>
      <c r="D34" s="333">
        <f>ROUND(D33/(1+0.06)*16.72%,2)</f>
        <v>6719.55</v>
      </c>
      <c r="E34" s="334">
        <f>D34*180</f>
        <v>1209519</v>
      </c>
      <c r="F34" s="331"/>
    </row>
    <row r="35" spans="2:6">
      <c r="B35" s="332"/>
      <c r="C35" s="339" t="s">
        <v>468</v>
      </c>
      <c r="D35" s="336">
        <f>D33-D34</f>
        <v>35880.449999999997</v>
      </c>
      <c r="E35" s="337">
        <f>D35*180</f>
        <v>6458480.9999999991</v>
      </c>
      <c r="F35" s="338"/>
    </row>
    <row r="36" spans="2:6">
      <c r="B36" s="340"/>
      <c r="C36" s="321" t="s">
        <v>469</v>
      </c>
      <c r="D36" s="322"/>
      <c r="E36" s="322"/>
      <c r="F36" s="323"/>
    </row>
    <row r="37" spans="2:6">
      <c r="B37" s="341" t="s">
        <v>458</v>
      </c>
      <c r="C37" s="341"/>
      <c r="D37" s="342" t="s">
        <v>308</v>
      </c>
      <c r="E37" s="343"/>
      <c r="F37" s="344"/>
    </row>
    <row r="38" spans="2:6">
      <c r="B38" s="345"/>
      <c r="C38" s="345"/>
      <c r="D38" s="345" t="s">
        <v>470</v>
      </c>
      <c r="E38" s="346" t="s">
        <v>461</v>
      </c>
      <c r="F38" s="345" t="s">
        <v>67</v>
      </c>
    </row>
    <row r="39" spans="2:6">
      <c r="B39" s="347" t="s">
        <v>471</v>
      </c>
      <c r="C39" s="348" t="s">
        <v>472</v>
      </c>
      <c r="D39" s="349">
        <v>94951.85</v>
      </c>
      <c r="E39" s="334">
        <f>D39*180</f>
        <v>17091333</v>
      </c>
      <c r="F39" s="331"/>
    </row>
    <row r="40" spans="2:6">
      <c r="B40" s="350"/>
      <c r="C40" s="348" t="s">
        <v>473</v>
      </c>
      <c r="D40" s="351">
        <v>-24721.63</v>
      </c>
      <c r="E40" s="334">
        <f t="shared" ref="E40:E47" si="0">D40*180</f>
        <v>-4449893.4000000004</v>
      </c>
      <c r="F40" s="331"/>
    </row>
    <row r="41" spans="2:6">
      <c r="B41" s="350"/>
      <c r="C41" s="348" t="s">
        <v>474</v>
      </c>
      <c r="D41" s="349">
        <f>D39+D40</f>
        <v>70230.22</v>
      </c>
      <c r="E41" s="334">
        <f t="shared" si="0"/>
        <v>12641439.6</v>
      </c>
      <c r="F41" s="331"/>
    </row>
    <row r="42" spans="2:6">
      <c r="B42" s="350"/>
      <c r="C42" s="348" t="s">
        <v>475</v>
      </c>
      <c r="D42" s="349">
        <v>41324.559999999998</v>
      </c>
      <c r="E42" s="334">
        <f t="shared" si="0"/>
        <v>7438420.7999999998</v>
      </c>
      <c r="F42" s="331"/>
    </row>
    <row r="43" spans="2:6">
      <c r="B43" s="350"/>
      <c r="C43" s="348" t="s">
        <v>476</v>
      </c>
      <c r="D43" s="349">
        <v>0</v>
      </c>
      <c r="E43" s="334">
        <f t="shared" si="0"/>
        <v>0</v>
      </c>
      <c r="F43" s="331"/>
    </row>
    <row r="44" spans="2:6">
      <c r="B44" s="350"/>
      <c r="C44" s="348" t="s">
        <v>477</v>
      </c>
      <c r="D44" s="349">
        <v>0</v>
      </c>
      <c r="E44" s="334">
        <f t="shared" si="0"/>
        <v>0</v>
      </c>
      <c r="F44" s="331"/>
    </row>
    <row r="45" spans="2:6">
      <c r="B45" s="350"/>
      <c r="C45" s="348" t="s">
        <v>478</v>
      </c>
      <c r="D45" s="349">
        <f>SUM(D41:D44)</f>
        <v>111554.78</v>
      </c>
      <c r="E45" s="334">
        <f t="shared" si="0"/>
        <v>20079860.399999999</v>
      </c>
      <c r="F45" s="331"/>
    </row>
    <row r="46" spans="2:6">
      <c r="B46" s="350"/>
      <c r="C46" s="348" t="s">
        <v>479</v>
      </c>
      <c r="D46" s="333">
        <f>(D45*50%)-(D31*D30)</f>
        <v>13277.39</v>
      </c>
      <c r="E46" s="334">
        <f t="shared" si="0"/>
        <v>2389930.1999999997</v>
      </c>
      <c r="F46" s="331"/>
    </row>
    <row r="47" spans="2:6">
      <c r="B47" s="350"/>
      <c r="C47" s="348" t="s">
        <v>480</v>
      </c>
      <c r="D47" s="349">
        <v>0</v>
      </c>
      <c r="E47" s="334">
        <f t="shared" si="0"/>
        <v>0</v>
      </c>
      <c r="F47" s="331"/>
    </row>
    <row r="48" spans="2:6">
      <c r="B48" s="350"/>
      <c r="C48" s="352" t="s">
        <v>481</v>
      </c>
      <c r="D48" s="336">
        <f>SUM(D46:D47)</f>
        <v>13277.39</v>
      </c>
      <c r="E48" s="337">
        <f>D48*180</f>
        <v>2389930.1999999997</v>
      </c>
      <c r="F48" s="338"/>
    </row>
    <row r="49" spans="2:6">
      <c r="B49" s="350"/>
      <c r="C49" s="348" t="s">
        <v>467</v>
      </c>
      <c r="D49" s="349">
        <f>IF(D48&gt;0,ROUND(D48/(1+0.06)*16.72%,2),0)</f>
        <v>2094.3200000000002</v>
      </c>
      <c r="E49" s="334">
        <f>D49*180</f>
        <v>376977.60000000003</v>
      </c>
      <c r="F49" s="331"/>
    </row>
    <row r="50" spans="2:6">
      <c r="B50" s="353"/>
      <c r="C50" s="354" t="s">
        <v>482</v>
      </c>
      <c r="D50" s="349">
        <f>D48-D49</f>
        <v>11183.07</v>
      </c>
      <c r="E50" s="337">
        <f>D50*180</f>
        <v>2012952.5999999999</v>
      </c>
      <c r="F50" s="331"/>
    </row>
    <row r="53" spans="2:6" ht="25.2">
      <c r="B53" s="316" t="s">
        <v>483</v>
      </c>
      <c r="C53" s="317"/>
      <c r="D53" s="317"/>
      <c r="E53" s="318"/>
      <c r="F53" s="317"/>
    </row>
    <row r="54" spans="2:6">
      <c r="B54" s="319" t="s">
        <v>484</v>
      </c>
      <c r="C54" s="320"/>
      <c r="D54" s="321" t="s">
        <v>459</v>
      </c>
      <c r="E54" s="322"/>
      <c r="F54" s="323"/>
    </row>
    <row r="55" spans="2:6">
      <c r="B55" s="324"/>
      <c r="C55" s="325"/>
      <c r="D55" s="326" t="s">
        <v>460</v>
      </c>
      <c r="E55" s="327" t="s">
        <v>461</v>
      </c>
      <c r="F55" s="326" t="s">
        <v>428</v>
      </c>
    </row>
    <row r="56" spans="2:6">
      <c r="B56" s="328" t="s">
        <v>485</v>
      </c>
      <c r="C56" s="296" t="s">
        <v>486</v>
      </c>
      <c r="D56" s="329">
        <v>8</v>
      </c>
      <c r="E56" s="330"/>
      <c r="F56" s="331" t="s">
        <v>487</v>
      </c>
    </row>
    <row r="57" spans="2:6">
      <c r="B57" s="332"/>
      <c r="C57" s="296" t="s">
        <v>464</v>
      </c>
      <c r="D57" s="333">
        <v>2500</v>
      </c>
      <c r="E57" s="334">
        <f>D57*180</f>
        <v>450000</v>
      </c>
      <c r="F57" s="331"/>
    </row>
    <row r="58" spans="2:6">
      <c r="B58" s="332"/>
      <c r="C58" s="296" t="s">
        <v>488</v>
      </c>
      <c r="D58" s="333">
        <v>0</v>
      </c>
      <c r="E58" s="334">
        <f>D58*180</f>
        <v>0</v>
      </c>
      <c r="F58" s="331"/>
    </row>
    <row r="59" spans="2:6">
      <c r="B59" s="332"/>
      <c r="C59" s="335" t="s">
        <v>466</v>
      </c>
      <c r="D59" s="336">
        <f>(D57*D56)+D58</f>
        <v>20000</v>
      </c>
      <c r="E59" s="337">
        <f>D59*180</f>
        <v>3600000</v>
      </c>
      <c r="F59" s="338"/>
    </row>
    <row r="60" spans="2:6">
      <c r="B60" s="332"/>
      <c r="C60" s="296" t="s">
        <v>489</v>
      </c>
      <c r="D60" s="333">
        <f>ROUND(D59/(1+0.06)*16.72%,2)</f>
        <v>3154.72</v>
      </c>
      <c r="E60" s="334">
        <f>D60*180</f>
        <v>567849.6</v>
      </c>
      <c r="F60" s="331"/>
    </row>
    <row r="61" spans="2:6">
      <c r="B61" s="332"/>
      <c r="C61" s="339" t="s">
        <v>468</v>
      </c>
      <c r="D61" s="336">
        <f>D59-D60</f>
        <v>16845.28</v>
      </c>
      <c r="E61" s="337">
        <f>D61*180</f>
        <v>3032150.4</v>
      </c>
      <c r="F61" s="338"/>
    </row>
    <row r="62" spans="2:6">
      <c r="B62" s="340"/>
      <c r="C62" s="321" t="s">
        <v>490</v>
      </c>
      <c r="D62" s="322"/>
      <c r="E62" s="322"/>
      <c r="F62" s="323"/>
    </row>
    <row r="63" spans="2:6">
      <c r="B63" s="341" t="s">
        <v>458</v>
      </c>
      <c r="C63" s="341"/>
      <c r="D63" s="342" t="s">
        <v>308</v>
      </c>
      <c r="E63" s="343"/>
      <c r="F63" s="344"/>
    </row>
    <row r="64" spans="2:6">
      <c r="B64" s="345"/>
      <c r="C64" s="345"/>
      <c r="D64" s="345" t="s">
        <v>470</v>
      </c>
      <c r="E64" s="346" t="s">
        <v>491</v>
      </c>
      <c r="F64" s="345" t="s">
        <v>67</v>
      </c>
    </row>
    <row r="65" spans="2:6">
      <c r="B65" s="347" t="s">
        <v>492</v>
      </c>
      <c r="C65" s="348" t="s">
        <v>493</v>
      </c>
      <c r="D65" s="349">
        <v>130220.29</v>
      </c>
      <c r="E65" s="334">
        <f>D65*180</f>
        <v>23439652.199999999</v>
      </c>
      <c r="F65" s="331"/>
    </row>
    <row r="66" spans="2:6">
      <c r="B66" s="350"/>
      <c r="C66" s="348" t="s">
        <v>494</v>
      </c>
      <c r="D66" s="351">
        <v>-33942.480000000003</v>
      </c>
      <c r="E66" s="334">
        <f t="shared" ref="E66:E73" si="1">D66*180</f>
        <v>-6109646.4000000004</v>
      </c>
      <c r="F66" s="331"/>
    </row>
    <row r="67" spans="2:6">
      <c r="B67" s="350"/>
      <c r="C67" s="348" t="s">
        <v>495</v>
      </c>
      <c r="D67" s="349">
        <f>D65+D66</f>
        <v>96277.81</v>
      </c>
      <c r="E67" s="334">
        <f t="shared" si="1"/>
        <v>17330005.800000001</v>
      </c>
      <c r="F67" s="331"/>
    </row>
    <row r="68" spans="2:6">
      <c r="B68" s="350"/>
      <c r="C68" s="348" t="s">
        <v>496</v>
      </c>
      <c r="D68" s="349">
        <v>78015.990000000005</v>
      </c>
      <c r="E68" s="334">
        <f t="shared" si="1"/>
        <v>14042878.200000001</v>
      </c>
      <c r="F68" s="331"/>
    </row>
    <row r="69" spans="2:6">
      <c r="B69" s="350"/>
      <c r="C69" s="348" t="s">
        <v>497</v>
      </c>
      <c r="D69" s="349">
        <v>0</v>
      </c>
      <c r="E69" s="334">
        <f t="shared" si="1"/>
        <v>0</v>
      </c>
      <c r="F69" s="331"/>
    </row>
    <row r="70" spans="2:6">
      <c r="B70" s="350"/>
      <c r="C70" s="348" t="s">
        <v>498</v>
      </c>
      <c r="D70" s="349">
        <v>0</v>
      </c>
      <c r="E70" s="334">
        <f t="shared" si="1"/>
        <v>0</v>
      </c>
      <c r="F70" s="331"/>
    </row>
    <row r="71" spans="2:6">
      <c r="B71" s="350"/>
      <c r="C71" s="348" t="s">
        <v>499</v>
      </c>
      <c r="D71" s="349">
        <f>SUM(D67:D70)</f>
        <v>174293.8</v>
      </c>
      <c r="E71" s="334">
        <f t="shared" si="1"/>
        <v>31372883.999999996</v>
      </c>
      <c r="F71" s="331"/>
    </row>
    <row r="72" spans="2:6">
      <c r="B72" s="350"/>
      <c r="C72" s="348" t="s">
        <v>500</v>
      </c>
      <c r="D72" s="333">
        <f>(D71*50%)-(D57*D56)</f>
        <v>67146.899999999994</v>
      </c>
      <c r="E72" s="334">
        <f t="shared" si="1"/>
        <v>12086441.999999998</v>
      </c>
      <c r="F72" s="331"/>
    </row>
    <row r="73" spans="2:6">
      <c r="B73" s="350"/>
      <c r="C73" s="348" t="s">
        <v>501</v>
      </c>
      <c r="D73" s="349">
        <v>0</v>
      </c>
      <c r="E73" s="334">
        <f t="shared" si="1"/>
        <v>0</v>
      </c>
      <c r="F73" s="331"/>
    </row>
    <row r="74" spans="2:6">
      <c r="B74" s="350"/>
      <c r="C74" s="352" t="s">
        <v>502</v>
      </c>
      <c r="D74" s="336">
        <f>SUM(D72:D73)</f>
        <v>67146.899999999994</v>
      </c>
      <c r="E74" s="337">
        <f>D74*180</f>
        <v>12086441.999999998</v>
      </c>
      <c r="F74" s="338"/>
    </row>
    <row r="75" spans="2:6">
      <c r="B75" s="350"/>
      <c r="C75" s="348" t="s">
        <v>489</v>
      </c>
      <c r="D75" s="349">
        <f>IF(D74&gt;0,ROUND(D74/(1+0.06)*16.72%,2),0)</f>
        <v>10591.47</v>
      </c>
      <c r="E75" s="334">
        <f>D75*180</f>
        <v>1906464.5999999999</v>
      </c>
      <c r="F75" s="331"/>
    </row>
    <row r="76" spans="2:6">
      <c r="B76" s="353"/>
      <c r="C76" s="354" t="s">
        <v>503</v>
      </c>
      <c r="D76" s="349">
        <f>D74-D75</f>
        <v>56555.429999999993</v>
      </c>
      <c r="E76" s="337">
        <f>D76*180</f>
        <v>10179977.399999999</v>
      </c>
      <c r="F76" s="331"/>
    </row>
    <row r="78" spans="2:6" ht="25.2">
      <c r="B78" s="316" t="s">
        <v>504</v>
      </c>
      <c r="C78" s="317"/>
      <c r="D78" s="317"/>
      <c r="E78" s="318"/>
      <c r="F78" s="317"/>
    </row>
    <row r="79" spans="2:6">
      <c r="B79" s="319" t="s">
        <v>505</v>
      </c>
      <c r="C79" s="320"/>
      <c r="D79" s="321" t="s">
        <v>506</v>
      </c>
      <c r="E79" s="322"/>
      <c r="F79" s="323"/>
    </row>
    <row r="80" spans="2:6">
      <c r="B80" s="324"/>
      <c r="C80" s="325"/>
      <c r="D80" s="326" t="s">
        <v>507</v>
      </c>
      <c r="E80" s="327" t="s">
        <v>461</v>
      </c>
      <c r="F80" s="326" t="s">
        <v>428</v>
      </c>
    </row>
    <row r="81" spans="2:6">
      <c r="B81" s="328" t="s">
        <v>508</v>
      </c>
      <c r="C81" s="296" t="s">
        <v>509</v>
      </c>
      <c r="D81" s="329">
        <v>10</v>
      </c>
      <c r="E81" s="330"/>
      <c r="F81" s="331" t="s">
        <v>510</v>
      </c>
    </row>
    <row r="82" spans="2:6">
      <c r="B82" s="332"/>
      <c r="C82" s="296" t="s">
        <v>464</v>
      </c>
      <c r="D82" s="333">
        <v>2500</v>
      </c>
      <c r="E82" s="334">
        <f>D82*180</f>
        <v>450000</v>
      </c>
      <c r="F82" s="331"/>
    </row>
    <row r="83" spans="2:6">
      <c r="B83" s="332"/>
      <c r="C83" s="296" t="s">
        <v>465</v>
      </c>
      <c r="D83" s="333">
        <v>0</v>
      </c>
      <c r="E83" s="334">
        <f>D83*180</f>
        <v>0</v>
      </c>
      <c r="F83" s="331"/>
    </row>
    <row r="84" spans="2:6">
      <c r="B84" s="332"/>
      <c r="C84" s="335" t="s">
        <v>466</v>
      </c>
      <c r="D84" s="336">
        <f>(D82*D81)+D83</f>
        <v>25000</v>
      </c>
      <c r="E84" s="337">
        <f>D84*180</f>
        <v>4500000</v>
      </c>
      <c r="F84" s="338"/>
    </row>
    <row r="85" spans="2:6">
      <c r="B85" s="332"/>
      <c r="C85" s="296" t="s">
        <v>489</v>
      </c>
      <c r="D85" s="333">
        <f>ROUND(D84/(1+0.06)*16.72%,2)</f>
        <v>3943.4</v>
      </c>
      <c r="E85" s="334">
        <f>D85*180</f>
        <v>709812</v>
      </c>
      <c r="F85" s="331"/>
    </row>
    <row r="86" spans="2:6">
      <c r="B86" s="332"/>
      <c r="C86" s="339" t="s">
        <v>468</v>
      </c>
      <c r="D86" s="336">
        <f>D84-D85</f>
        <v>21056.6</v>
      </c>
      <c r="E86" s="337">
        <f>D86*180</f>
        <v>3790187.9999999995</v>
      </c>
      <c r="F86" s="338"/>
    </row>
    <row r="87" spans="2:6">
      <c r="B87" s="340"/>
      <c r="C87" s="321" t="s">
        <v>490</v>
      </c>
      <c r="D87" s="322"/>
      <c r="E87" s="322"/>
      <c r="F87" s="323"/>
    </row>
    <row r="88" spans="2:6">
      <c r="B88" s="341" t="s">
        <v>458</v>
      </c>
      <c r="C88" s="341"/>
      <c r="D88" s="342" t="s">
        <v>308</v>
      </c>
      <c r="E88" s="343"/>
      <c r="F88" s="344"/>
    </row>
    <row r="89" spans="2:6">
      <c r="B89" s="345"/>
      <c r="C89" s="345"/>
      <c r="D89" s="345" t="s">
        <v>470</v>
      </c>
      <c r="E89" s="346" t="s">
        <v>461</v>
      </c>
      <c r="F89" s="345" t="s">
        <v>67</v>
      </c>
    </row>
    <row r="90" spans="2:6">
      <c r="B90" s="347" t="s">
        <v>511</v>
      </c>
      <c r="C90" s="348" t="s">
        <v>512</v>
      </c>
      <c r="D90" s="349">
        <v>185134.35</v>
      </c>
      <c r="E90" s="334">
        <f>D90*180</f>
        <v>33324183</v>
      </c>
      <c r="F90" s="331"/>
    </row>
    <row r="91" spans="2:6">
      <c r="B91" s="350"/>
      <c r="C91" s="348" t="s">
        <v>473</v>
      </c>
      <c r="D91" s="351">
        <v>-48365.31</v>
      </c>
      <c r="E91" s="334">
        <f t="shared" ref="E91:E98" si="2">D91*180</f>
        <v>-8705755.7999999989</v>
      </c>
      <c r="F91" s="331"/>
    </row>
    <row r="92" spans="2:6">
      <c r="B92" s="350"/>
      <c r="C92" s="348" t="s">
        <v>513</v>
      </c>
      <c r="D92" s="349">
        <f>D90+D91</f>
        <v>136769.04</v>
      </c>
      <c r="E92" s="334">
        <f t="shared" si="2"/>
        <v>24618427.200000003</v>
      </c>
      <c r="F92" s="331"/>
    </row>
    <row r="93" spans="2:6">
      <c r="B93" s="350"/>
      <c r="C93" s="348" t="s">
        <v>496</v>
      </c>
      <c r="D93" s="349">
        <v>100461.82</v>
      </c>
      <c r="E93" s="334">
        <f t="shared" si="2"/>
        <v>18083127.600000001</v>
      </c>
      <c r="F93" s="331"/>
    </row>
    <row r="94" spans="2:6">
      <c r="B94" s="350"/>
      <c r="C94" s="348" t="s">
        <v>514</v>
      </c>
      <c r="D94" s="349">
        <v>0</v>
      </c>
      <c r="E94" s="334">
        <f t="shared" si="2"/>
        <v>0</v>
      </c>
      <c r="F94" s="331"/>
    </row>
    <row r="95" spans="2:6">
      <c r="B95" s="350"/>
      <c r="C95" s="348" t="s">
        <v>515</v>
      </c>
      <c r="D95" s="349">
        <v>0</v>
      </c>
      <c r="E95" s="334">
        <f t="shared" si="2"/>
        <v>0</v>
      </c>
      <c r="F95" s="331"/>
    </row>
    <row r="96" spans="2:6">
      <c r="B96" s="350"/>
      <c r="C96" s="348" t="s">
        <v>516</v>
      </c>
      <c r="D96" s="349">
        <f>SUM(D92:D95)</f>
        <v>237230.86000000002</v>
      </c>
      <c r="E96" s="334">
        <f t="shared" si="2"/>
        <v>42701554.800000004</v>
      </c>
      <c r="F96" s="331"/>
    </row>
    <row r="97" spans="2:6">
      <c r="B97" s="350"/>
      <c r="C97" s="348" t="s">
        <v>500</v>
      </c>
      <c r="D97" s="333">
        <f>(D96*50%)-(D82*D81)</f>
        <v>93615.430000000008</v>
      </c>
      <c r="E97" s="334">
        <f t="shared" si="2"/>
        <v>16850777.400000002</v>
      </c>
      <c r="F97" s="331"/>
    </row>
    <row r="98" spans="2:6">
      <c r="B98" s="350"/>
      <c r="C98" s="348" t="s">
        <v>517</v>
      </c>
      <c r="D98" s="349">
        <v>0</v>
      </c>
      <c r="E98" s="334">
        <f t="shared" si="2"/>
        <v>0</v>
      </c>
      <c r="F98" s="331"/>
    </row>
    <row r="99" spans="2:6">
      <c r="B99" s="350"/>
      <c r="C99" s="352" t="s">
        <v>502</v>
      </c>
      <c r="D99" s="336">
        <f>SUM(D97:D98)</f>
        <v>93615.430000000008</v>
      </c>
      <c r="E99" s="337">
        <f>D99*180</f>
        <v>16850777.400000002</v>
      </c>
      <c r="F99" s="338"/>
    </row>
    <row r="100" spans="2:6">
      <c r="B100" s="350"/>
      <c r="C100" s="348" t="s">
        <v>518</v>
      </c>
      <c r="D100" s="349">
        <f>IF(D99&gt;0,ROUND(D99/(1+0.06)*16.72%,2),0)</f>
        <v>14766.51</v>
      </c>
      <c r="E100" s="334">
        <f>D100*180</f>
        <v>2657971.7999999998</v>
      </c>
      <c r="F100" s="331"/>
    </row>
    <row r="101" spans="2:6">
      <c r="B101" s="353"/>
      <c r="C101" s="354" t="s">
        <v>503</v>
      </c>
      <c r="D101" s="349">
        <f>D99-D100</f>
        <v>78848.920000000013</v>
      </c>
      <c r="E101" s="337">
        <f>D101*180</f>
        <v>14192805.600000001</v>
      </c>
      <c r="F101" s="331"/>
    </row>
    <row r="104" spans="2:6" ht="25.2">
      <c r="B104" s="316" t="s">
        <v>519</v>
      </c>
      <c r="C104" s="317"/>
      <c r="D104" s="317"/>
      <c r="E104" s="318"/>
      <c r="F104" s="317"/>
    </row>
    <row r="105" spans="2:6">
      <c r="B105" s="319" t="s">
        <v>458</v>
      </c>
      <c r="C105" s="320"/>
      <c r="D105" s="321" t="s">
        <v>459</v>
      </c>
      <c r="E105" s="322"/>
      <c r="F105" s="323"/>
    </row>
    <row r="106" spans="2:6">
      <c r="B106" s="324"/>
      <c r="C106" s="325"/>
      <c r="D106" s="326" t="s">
        <v>460</v>
      </c>
      <c r="E106" s="327" t="s">
        <v>491</v>
      </c>
      <c r="F106" s="326" t="s">
        <v>428</v>
      </c>
    </row>
    <row r="107" spans="2:6">
      <c r="B107" s="328" t="s">
        <v>520</v>
      </c>
      <c r="C107" s="296" t="s">
        <v>462</v>
      </c>
      <c r="D107" s="329">
        <v>8</v>
      </c>
      <c r="E107" s="330"/>
      <c r="F107" s="331" t="s">
        <v>521</v>
      </c>
    </row>
    <row r="108" spans="2:6">
      <c r="B108" s="332"/>
      <c r="C108" s="296" t="s">
        <v>522</v>
      </c>
      <c r="D108" s="333">
        <v>2500</v>
      </c>
      <c r="E108" s="334">
        <f>D108*180</f>
        <v>450000</v>
      </c>
      <c r="F108" s="331"/>
    </row>
    <row r="109" spans="2:6">
      <c r="B109" s="332"/>
      <c r="C109" s="296" t="s">
        <v>465</v>
      </c>
      <c r="D109" s="333">
        <v>500</v>
      </c>
      <c r="E109" s="334">
        <f>D109*180</f>
        <v>90000</v>
      </c>
      <c r="F109" s="331"/>
    </row>
    <row r="110" spans="2:6">
      <c r="B110" s="332"/>
      <c r="C110" s="335" t="s">
        <v>523</v>
      </c>
      <c r="D110" s="336">
        <f>(D108*D107)+D109</f>
        <v>20500</v>
      </c>
      <c r="E110" s="337">
        <f>D110*180</f>
        <v>3690000</v>
      </c>
      <c r="F110" s="338"/>
    </row>
    <row r="111" spans="2:6">
      <c r="B111" s="332"/>
      <c r="C111" s="296" t="s">
        <v>518</v>
      </c>
      <c r="D111" s="333">
        <f>ROUND(D110/(1+0.06)*16.72%,2)</f>
        <v>3233.58</v>
      </c>
      <c r="E111" s="334">
        <f>D111*180</f>
        <v>582044.4</v>
      </c>
      <c r="F111" s="331"/>
    </row>
    <row r="112" spans="2:6">
      <c r="B112" s="332"/>
      <c r="C112" s="339" t="s">
        <v>468</v>
      </c>
      <c r="D112" s="336">
        <f>D110-D111</f>
        <v>17266.419999999998</v>
      </c>
      <c r="E112" s="337">
        <f>D112*180</f>
        <v>3107955.5999999996</v>
      </c>
      <c r="F112" s="338"/>
    </row>
    <row r="113" spans="2:6">
      <c r="B113" s="340"/>
      <c r="C113" s="321" t="s">
        <v>490</v>
      </c>
      <c r="D113" s="322"/>
      <c r="E113" s="322"/>
      <c r="F113" s="323"/>
    </row>
    <row r="114" spans="2:6">
      <c r="B114" s="341" t="s">
        <v>505</v>
      </c>
      <c r="C114" s="341"/>
      <c r="D114" s="342" t="s">
        <v>308</v>
      </c>
      <c r="E114" s="343"/>
      <c r="F114" s="344"/>
    </row>
    <row r="115" spans="2:6">
      <c r="B115" s="345"/>
      <c r="C115" s="345"/>
      <c r="D115" s="345" t="s">
        <v>470</v>
      </c>
      <c r="E115" s="346" t="s">
        <v>461</v>
      </c>
      <c r="F115" s="345" t="s">
        <v>67</v>
      </c>
    </row>
    <row r="116" spans="2:6">
      <c r="B116" s="347" t="s">
        <v>524</v>
      </c>
      <c r="C116" s="348" t="s">
        <v>512</v>
      </c>
      <c r="D116" s="349">
        <v>248997.12</v>
      </c>
      <c r="E116" s="334">
        <f>D116*180</f>
        <v>44819481.600000001</v>
      </c>
      <c r="F116" s="331"/>
    </row>
    <row r="117" spans="2:6">
      <c r="B117" s="350"/>
      <c r="C117" s="348" t="s">
        <v>473</v>
      </c>
      <c r="D117" s="351">
        <v>-64369.06</v>
      </c>
      <c r="E117" s="334">
        <f t="shared" ref="E117:E124" si="3">D117*180</f>
        <v>-11586430.799999999</v>
      </c>
      <c r="F117" s="331"/>
    </row>
    <row r="118" spans="2:6">
      <c r="B118" s="350"/>
      <c r="C118" s="348" t="s">
        <v>495</v>
      </c>
      <c r="D118" s="349">
        <f>D116+D117</f>
        <v>184628.06</v>
      </c>
      <c r="E118" s="334">
        <f t="shared" si="3"/>
        <v>33233050.800000001</v>
      </c>
      <c r="F118" s="331"/>
    </row>
    <row r="119" spans="2:6">
      <c r="B119" s="350"/>
      <c r="C119" s="348" t="s">
        <v>496</v>
      </c>
      <c r="D119" s="349">
        <v>106652.13</v>
      </c>
      <c r="E119" s="334">
        <f t="shared" si="3"/>
        <v>19197383.400000002</v>
      </c>
      <c r="F119" s="331"/>
    </row>
    <row r="120" spans="2:6">
      <c r="B120" s="350"/>
      <c r="C120" s="348" t="s">
        <v>497</v>
      </c>
      <c r="D120" s="349">
        <v>0</v>
      </c>
      <c r="E120" s="334">
        <f t="shared" si="3"/>
        <v>0</v>
      </c>
      <c r="F120" s="331"/>
    </row>
    <row r="121" spans="2:6">
      <c r="B121" s="350"/>
      <c r="C121" s="348" t="s">
        <v>515</v>
      </c>
      <c r="D121" s="349">
        <v>1742.1</v>
      </c>
      <c r="E121" s="334">
        <f t="shared" si="3"/>
        <v>313578</v>
      </c>
      <c r="F121" s="331"/>
    </row>
    <row r="122" spans="2:6">
      <c r="B122" s="350"/>
      <c r="C122" s="348" t="s">
        <v>516</v>
      </c>
      <c r="D122" s="349">
        <f>SUM(D118:D121)</f>
        <v>293022.28999999998</v>
      </c>
      <c r="E122" s="334">
        <f t="shared" si="3"/>
        <v>52744012.199999996</v>
      </c>
      <c r="F122" s="331"/>
    </row>
    <row r="123" spans="2:6">
      <c r="B123" s="350"/>
      <c r="C123" s="348" t="s">
        <v>525</v>
      </c>
      <c r="D123" s="333">
        <f>(D122*50%)-(D108*D107)</f>
        <v>126511.14499999999</v>
      </c>
      <c r="E123" s="334">
        <f t="shared" si="3"/>
        <v>22772006.099999998</v>
      </c>
      <c r="F123" s="331"/>
    </row>
    <row r="124" spans="2:6">
      <c r="B124" s="350"/>
      <c r="C124" s="348" t="s">
        <v>517</v>
      </c>
      <c r="D124" s="349">
        <v>0</v>
      </c>
      <c r="E124" s="334">
        <f t="shared" si="3"/>
        <v>0</v>
      </c>
      <c r="F124" s="331"/>
    </row>
    <row r="125" spans="2:6">
      <c r="B125" s="350"/>
      <c r="C125" s="352" t="s">
        <v>526</v>
      </c>
      <c r="D125" s="336">
        <f>SUM(D123:D124)</f>
        <v>126511.14499999999</v>
      </c>
      <c r="E125" s="337">
        <f>D125*180</f>
        <v>22772006.099999998</v>
      </c>
      <c r="F125" s="338"/>
    </row>
    <row r="126" spans="2:6">
      <c r="B126" s="350"/>
      <c r="C126" s="348" t="s">
        <v>489</v>
      </c>
      <c r="D126" s="349">
        <f>IF(D125&gt;0,ROUND(D125/(1+0.06)*16.72%,2),0)</f>
        <v>19955.34</v>
      </c>
      <c r="E126" s="334">
        <f>D126*180</f>
        <v>3591961.2</v>
      </c>
      <c r="F126" s="331"/>
    </row>
    <row r="127" spans="2:6">
      <c r="B127" s="353"/>
      <c r="C127" s="354" t="s">
        <v>527</v>
      </c>
      <c r="D127" s="349">
        <f>D125-D126</f>
        <v>106555.80499999999</v>
      </c>
      <c r="E127" s="337">
        <f>D127*180</f>
        <v>19180044.899999999</v>
      </c>
      <c r="F127" s="331"/>
    </row>
    <row r="130" spans="2:6" ht="25.2">
      <c r="B130" s="316" t="s">
        <v>528</v>
      </c>
      <c r="C130" s="317"/>
      <c r="D130" s="317"/>
      <c r="E130" s="318"/>
      <c r="F130" s="317"/>
    </row>
    <row r="131" spans="2:6">
      <c r="B131" s="319" t="s">
        <v>458</v>
      </c>
      <c r="C131" s="320"/>
      <c r="D131" s="321" t="s">
        <v>529</v>
      </c>
      <c r="E131" s="322"/>
      <c r="F131" s="323"/>
    </row>
    <row r="132" spans="2:6">
      <c r="B132" s="324"/>
      <c r="C132" s="325"/>
      <c r="D132" s="326" t="s">
        <v>460</v>
      </c>
      <c r="E132" s="327" t="s">
        <v>530</v>
      </c>
      <c r="F132" s="326" t="s">
        <v>428</v>
      </c>
    </row>
    <row r="133" spans="2:6">
      <c r="B133" s="328" t="s">
        <v>508</v>
      </c>
      <c r="C133" s="296" t="s">
        <v>462</v>
      </c>
      <c r="D133" s="329">
        <v>8</v>
      </c>
      <c r="E133" s="330"/>
      <c r="F133" s="331" t="s">
        <v>531</v>
      </c>
    </row>
    <row r="134" spans="2:6">
      <c r="B134" s="332"/>
      <c r="C134" s="296" t="s">
        <v>532</v>
      </c>
      <c r="D134" s="333">
        <v>2500</v>
      </c>
      <c r="E134" s="334">
        <f>D134*180</f>
        <v>450000</v>
      </c>
      <c r="F134" s="331"/>
    </row>
    <row r="135" spans="2:6">
      <c r="B135" s="332"/>
      <c r="C135" s="296" t="s">
        <v>465</v>
      </c>
      <c r="D135" s="333">
        <v>300</v>
      </c>
      <c r="E135" s="334">
        <f>D135*180</f>
        <v>54000</v>
      </c>
      <c r="F135" s="331"/>
    </row>
    <row r="136" spans="2:6">
      <c r="B136" s="332"/>
      <c r="C136" s="335" t="s">
        <v>523</v>
      </c>
      <c r="D136" s="336">
        <f>(D134*D133)+D135</f>
        <v>20300</v>
      </c>
      <c r="E136" s="337">
        <f>D136*180</f>
        <v>3654000</v>
      </c>
      <c r="F136" s="338"/>
    </row>
    <row r="137" spans="2:6">
      <c r="B137" s="332"/>
      <c r="C137" s="296" t="s">
        <v>533</v>
      </c>
      <c r="D137" s="333">
        <f>ROUND(D136/(1+0.06)*16.72%,2)</f>
        <v>3202.04</v>
      </c>
      <c r="E137" s="334">
        <f>D137*180</f>
        <v>576367.19999999995</v>
      </c>
      <c r="F137" s="331"/>
    </row>
    <row r="138" spans="2:6">
      <c r="B138" s="332"/>
      <c r="C138" s="339" t="s">
        <v>534</v>
      </c>
      <c r="D138" s="336">
        <f>D136-D137</f>
        <v>17097.96</v>
      </c>
      <c r="E138" s="337">
        <f>D138*180</f>
        <v>3077632.8</v>
      </c>
      <c r="F138" s="338"/>
    </row>
    <row r="139" spans="2:6">
      <c r="B139" s="340"/>
      <c r="C139" s="321" t="s">
        <v>535</v>
      </c>
      <c r="D139" s="322"/>
      <c r="E139" s="322"/>
      <c r="F139" s="323"/>
    </row>
    <row r="140" spans="2:6">
      <c r="B140" s="341" t="s">
        <v>505</v>
      </c>
      <c r="C140" s="341"/>
      <c r="D140" s="342" t="s">
        <v>308</v>
      </c>
      <c r="E140" s="343"/>
      <c r="F140" s="344"/>
    </row>
    <row r="141" spans="2:6">
      <c r="B141" s="345"/>
      <c r="C141" s="345"/>
      <c r="D141" s="345" t="s">
        <v>470</v>
      </c>
      <c r="E141" s="346" t="s">
        <v>536</v>
      </c>
      <c r="F141" s="345" t="s">
        <v>67</v>
      </c>
    </row>
    <row r="142" spans="2:6">
      <c r="B142" s="347" t="s">
        <v>524</v>
      </c>
      <c r="C142" s="348" t="s">
        <v>512</v>
      </c>
      <c r="D142" s="349">
        <v>196016.66</v>
      </c>
      <c r="E142" s="334">
        <f>D142*180</f>
        <v>35282998.799999997</v>
      </c>
      <c r="F142" s="331"/>
    </row>
    <row r="143" spans="2:6">
      <c r="B143" s="350"/>
      <c r="C143" s="348" t="s">
        <v>473</v>
      </c>
      <c r="D143" s="351">
        <v>-50873.760000000002</v>
      </c>
      <c r="E143" s="334">
        <f t="shared" ref="E143:E150" si="4">D143*180</f>
        <v>-9157276.8000000007</v>
      </c>
      <c r="F143" s="331"/>
    </row>
    <row r="144" spans="2:6">
      <c r="B144" s="350"/>
      <c r="C144" s="348" t="s">
        <v>495</v>
      </c>
      <c r="D144" s="349">
        <f>D142+D143</f>
        <v>145142.9</v>
      </c>
      <c r="E144" s="334">
        <f t="shared" si="4"/>
        <v>26125722</v>
      </c>
      <c r="F144" s="331"/>
    </row>
    <row r="145" spans="2:6">
      <c r="B145" s="350"/>
      <c r="C145" s="348" t="s">
        <v>537</v>
      </c>
      <c r="D145" s="349">
        <v>75493.17</v>
      </c>
      <c r="E145" s="334">
        <f t="shared" si="4"/>
        <v>13588770.6</v>
      </c>
      <c r="F145" s="331"/>
    </row>
    <row r="146" spans="2:6">
      <c r="B146" s="350"/>
      <c r="C146" s="348" t="s">
        <v>497</v>
      </c>
      <c r="D146" s="349">
        <v>0</v>
      </c>
      <c r="E146" s="334">
        <f t="shared" si="4"/>
        <v>0</v>
      </c>
      <c r="F146" s="331"/>
    </row>
    <row r="147" spans="2:6">
      <c r="B147" s="350"/>
      <c r="C147" s="348" t="s">
        <v>515</v>
      </c>
      <c r="D147" s="349">
        <v>2193.16</v>
      </c>
      <c r="E147" s="334">
        <f t="shared" si="4"/>
        <v>394768.8</v>
      </c>
      <c r="F147" s="331"/>
    </row>
    <row r="148" spans="2:6">
      <c r="B148" s="350"/>
      <c r="C148" s="348" t="s">
        <v>516</v>
      </c>
      <c r="D148" s="349">
        <f>SUM(D144:D147)</f>
        <v>222829.23</v>
      </c>
      <c r="E148" s="334">
        <f t="shared" si="4"/>
        <v>40109261.399999999</v>
      </c>
      <c r="F148" s="331"/>
    </row>
    <row r="149" spans="2:6">
      <c r="B149" s="350"/>
      <c r="C149" s="348" t="s">
        <v>500</v>
      </c>
      <c r="D149" s="333">
        <f>(D148*50%)-(D134*D133)</f>
        <v>91414.615000000005</v>
      </c>
      <c r="E149" s="334">
        <f t="shared" si="4"/>
        <v>16454630.700000001</v>
      </c>
      <c r="F149" s="331"/>
    </row>
    <row r="150" spans="2:6">
      <c r="B150" s="350"/>
      <c r="C150" s="348" t="s">
        <v>517</v>
      </c>
      <c r="D150" s="349">
        <v>0</v>
      </c>
      <c r="E150" s="334">
        <f t="shared" si="4"/>
        <v>0</v>
      </c>
      <c r="F150" s="331"/>
    </row>
    <row r="151" spans="2:6">
      <c r="B151" s="350"/>
      <c r="C151" s="352" t="s">
        <v>502</v>
      </c>
      <c r="D151" s="336">
        <f>SUM(D149:D150)</f>
        <v>91414.615000000005</v>
      </c>
      <c r="E151" s="337">
        <f>D151*180</f>
        <v>16454630.700000001</v>
      </c>
      <c r="F151" s="338"/>
    </row>
    <row r="152" spans="2:6">
      <c r="B152" s="350"/>
      <c r="C152" s="348" t="s">
        <v>489</v>
      </c>
      <c r="D152" s="349">
        <f>IF(D151&gt;0,ROUND(D151/(1+0.06)*16.72%,2),0)</f>
        <v>14419.36</v>
      </c>
      <c r="E152" s="334">
        <f>D152*180</f>
        <v>2595484.8000000003</v>
      </c>
      <c r="F152" s="331"/>
    </row>
    <row r="153" spans="2:6">
      <c r="B153" s="353"/>
      <c r="C153" s="354" t="s">
        <v>503</v>
      </c>
      <c r="D153" s="349">
        <f>D151-D152</f>
        <v>76995.255000000005</v>
      </c>
      <c r="E153" s="337">
        <f>D153*180</f>
        <v>13859145.9</v>
      </c>
      <c r="F153" s="331"/>
    </row>
    <row r="156" spans="2:6" ht="25.2">
      <c r="B156" s="316" t="s">
        <v>538</v>
      </c>
      <c r="C156" s="317"/>
      <c r="D156" s="317"/>
      <c r="E156" s="318"/>
      <c r="F156" s="317"/>
    </row>
    <row r="157" spans="2:6">
      <c r="B157" s="319" t="s">
        <v>505</v>
      </c>
      <c r="C157" s="320"/>
      <c r="D157" s="321" t="s">
        <v>459</v>
      </c>
      <c r="E157" s="322"/>
      <c r="F157" s="323"/>
    </row>
    <row r="158" spans="2:6">
      <c r="B158" s="324"/>
      <c r="C158" s="325"/>
      <c r="D158" s="326" t="s">
        <v>460</v>
      </c>
      <c r="E158" s="327" t="s">
        <v>461</v>
      </c>
      <c r="F158" s="326" t="s">
        <v>428</v>
      </c>
    </row>
    <row r="159" spans="2:6">
      <c r="B159" s="328" t="s">
        <v>452</v>
      </c>
      <c r="C159" s="296" t="s">
        <v>462</v>
      </c>
      <c r="D159" s="329">
        <v>8</v>
      </c>
      <c r="E159" s="330"/>
      <c r="F159" s="331" t="s">
        <v>539</v>
      </c>
    </row>
    <row r="160" spans="2:6">
      <c r="B160" s="332"/>
      <c r="C160" s="296" t="s">
        <v>464</v>
      </c>
      <c r="D160" s="333">
        <v>2500</v>
      </c>
      <c r="E160" s="334">
        <f>D160*180</f>
        <v>450000</v>
      </c>
      <c r="F160" s="331"/>
    </row>
    <row r="161" spans="2:6">
      <c r="B161" s="332"/>
      <c r="C161" s="296" t="s">
        <v>488</v>
      </c>
      <c r="D161" s="333">
        <v>100</v>
      </c>
      <c r="E161" s="334">
        <f>D161*180</f>
        <v>18000</v>
      </c>
      <c r="F161" s="331"/>
    </row>
    <row r="162" spans="2:6">
      <c r="B162" s="332"/>
      <c r="C162" s="339" t="s">
        <v>466</v>
      </c>
      <c r="D162" s="336">
        <f>(D160*D159)+D161</f>
        <v>20100</v>
      </c>
      <c r="E162" s="337">
        <f>D162*180</f>
        <v>3618000</v>
      </c>
      <c r="F162" s="338"/>
    </row>
    <row r="163" spans="2:6">
      <c r="B163" s="332"/>
      <c r="C163" s="296" t="s">
        <v>540</v>
      </c>
      <c r="D163" s="333">
        <f>ROUND(D162/(1+0.06)*16.72%,2)</f>
        <v>3170.49</v>
      </c>
      <c r="E163" s="334">
        <f>D163*180</f>
        <v>570688.19999999995</v>
      </c>
      <c r="F163" s="331"/>
    </row>
    <row r="164" spans="2:6">
      <c r="B164" s="332"/>
      <c r="C164" s="339" t="s">
        <v>468</v>
      </c>
      <c r="D164" s="336">
        <f>D162-D163</f>
        <v>16929.510000000002</v>
      </c>
      <c r="E164" s="337">
        <f>D164*180</f>
        <v>3047311.8000000003</v>
      </c>
      <c r="F164" s="338"/>
    </row>
    <row r="165" spans="2:6">
      <c r="B165" s="340"/>
      <c r="C165" s="321" t="s">
        <v>490</v>
      </c>
      <c r="D165" s="322"/>
      <c r="E165" s="322"/>
      <c r="F165" s="323"/>
    </row>
    <row r="166" spans="2:6">
      <c r="B166" s="341" t="s">
        <v>484</v>
      </c>
      <c r="C166" s="341"/>
      <c r="D166" s="342" t="s">
        <v>308</v>
      </c>
      <c r="E166" s="343"/>
      <c r="F166" s="344"/>
    </row>
    <row r="167" spans="2:6">
      <c r="B167" s="345"/>
      <c r="C167" s="345"/>
      <c r="D167" s="345" t="s">
        <v>470</v>
      </c>
      <c r="E167" s="346" t="s">
        <v>530</v>
      </c>
      <c r="F167" s="345" t="s">
        <v>67</v>
      </c>
    </row>
    <row r="168" spans="2:6">
      <c r="B168" s="347" t="s">
        <v>541</v>
      </c>
      <c r="C168" s="348" t="s">
        <v>512</v>
      </c>
      <c r="D168" s="349">
        <v>155365.72</v>
      </c>
      <c r="E168" s="334">
        <f>D168*180</f>
        <v>27965829.600000001</v>
      </c>
      <c r="F168" s="331"/>
    </row>
    <row r="169" spans="2:6">
      <c r="B169" s="350"/>
      <c r="C169" s="348" t="s">
        <v>473</v>
      </c>
      <c r="D169" s="351">
        <v>-40485.040000000001</v>
      </c>
      <c r="E169" s="334">
        <f t="shared" ref="E169:E176" si="5">D169*180</f>
        <v>-7287307.2000000002</v>
      </c>
      <c r="F169" s="331"/>
    </row>
    <row r="170" spans="2:6">
      <c r="B170" s="350"/>
      <c r="C170" s="348" t="s">
        <v>513</v>
      </c>
      <c r="D170" s="349">
        <f>D168+D169</f>
        <v>114880.68</v>
      </c>
      <c r="E170" s="334">
        <f t="shared" si="5"/>
        <v>20678522.399999999</v>
      </c>
      <c r="F170" s="331"/>
    </row>
    <row r="171" spans="2:6">
      <c r="B171" s="350"/>
      <c r="C171" s="348" t="s">
        <v>496</v>
      </c>
      <c r="D171" s="349">
        <v>82705.13</v>
      </c>
      <c r="E171" s="334">
        <f t="shared" si="5"/>
        <v>14886923.4</v>
      </c>
      <c r="F171" s="331"/>
    </row>
    <row r="172" spans="2:6">
      <c r="B172" s="350"/>
      <c r="C172" s="348" t="s">
        <v>514</v>
      </c>
      <c r="D172" s="349">
        <v>7013.81</v>
      </c>
      <c r="E172" s="334">
        <f t="shared" si="5"/>
        <v>1262485.8</v>
      </c>
      <c r="F172" s="331"/>
    </row>
    <row r="173" spans="2:6">
      <c r="B173" s="350"/>
      <c r="C173" s="348" t="s">
        <v>542</v>
      </c>
      <c r="D173" s="349">
        <v>1801.42</v>
      </c>
      <c r="E173" s="334">
        <f t="shared" si="5"/>
        <v>324255.60000000003</v>
      </c>
      <c r="F173" s="331"/>
    </row>
    <row r="174" spans="2:6">
      <c r="B174" s="350"/>
      <c r="C174" s="348" t="s">
        <v>516</v>
      </c>
      <c r="D174" s="349">
        <f>SUM(D170:D173)</f>
        <v>206401.04</v>
      </c>
      <c r="E174" s="334">
        <f t="shared" si="5"/>
        <v>37152187.200000003</v>
      </c>
      <c r="F174" s="331"/>
    </row>
    <row r="175" spans="2:6">
      <c r="B175" s="350"/>
      <c r="C175" s="348" t="s">
        <v>500</v>
      </c>
      <c r="D175" s="333">
        <f>(D174*50%)-(D160*D159)</f>
        <v>83200.52</v>
      </c>
      <c r="E175" s="334">
        <f t="shared" si="5"/>
        <v>14976093.600000001</v>
      </c>
      <c r="F175" s="331"/>
    </row>
    <row r="176" spans="2:6">
      <c r="B176" s="350"/>
      <c r="C176" s="348" t="s">
        <v>517</v>
      </c>
      <c r="D176" s="349">
        <v>0</v>
      </c>
      <c r="E176" s="334">
        <f t="shared" si="5"/>
        <v>0</v>
      </c>
      <c r="F176" s="331"/>
    </row>
    <row r="177" spans="2:6">
      <c r="B177" s="350"/>
      <c r="C177" s="355" t="s">
        <v>502</v>
      </c>
      <c r="D177" s="336">
        <f>SUM(D175:D176)</f>
        <v>83200.52</v>
      </c>
      <c r="E177" s="337">
        <f>D177*180</f>
        <v>14976093.600000001</v>
      </c>
      <c r="F177" s="338"/>
    </row>
    <row r="178" spans="2:6">
      <c r="B178" s="350"/>
      <c r="C178" s="348" t="s">
        <v>489</v>
      </c>
      <c r="D178" s="349">
        <f>IF(D177&gt;0,ROUND(D177/(1+0.06)*16.72%,2),0)</f>
        <v>13123.7</v>
      </c>
      <c r="E178" s="334">
        <f>D178*180</f>
        <v>2362266</v>
      </c>
      <c r="F178" s="331"/>
    </row>
    <row r="179" spans="2:6">
      <c r="B179" s="353"/>
      <c r="C179" s="354" t="s">
        <v>503</v>
      </c>
      <c r="D179" s="349">
        <f>D177-D178</f>
        <v>70076.820000000007</v>
      </c>
      <c r="E179" s="337">
        <f>D179*180</f>
        <v>12613827.600000001</v>
      </c>
      <c r="F179" s="331"/>
    </row>
    <row r="182" spans="2:6" ht="25.2">
      <c r="B182" s="316" t="s">
        <v>543</v>
      </c>
      <c r="C182" s="317"/>
      <c r="D182" s="317"/>
      <c r="E182" s="318"/>
      <c r="F182" s="317"/>
    </row>
    <row r="183" spans="2:6">
      <c r="B183" s="319" t="s">
        <v>505</v>
      </c>
      <c r="C183" s="320"/>
      <c r="D183" s="321" t="s">
        <v>544</v>
      </c>
      <c r="E183" s="322"/>
      <c r="F183" s="323"/>
    </row>
    <row r="184" spans="2:6">
      <c r="B184" s="324"/>
      <c r="C184" s="325"/>
      <c r="D184" s="326" t="s">
        <v>460</v>
      </c>
      <c r="E184" s="327" t="s">
        <v>461</v>
      </c>
      <c r="F184" s="326" t="s">
        <v>428</v>
      </c>
    </row>
    <row r="185" spans="2:6">
      <c r="B185" s="328" t="s">
        <v>452</v>
      </c>
      <c r="C185" s="296" t="s">
        <v>462</v>
      </c>
      <c r="D185" s="329">
        <v>8</v>
      </c>
      <c r="E185" s="330"/>
      <c r="F185" s="331" t="s">
        <v>545</v>
      </c>
    </row>
    <row r="186" spans="2:6">
      <c r="B186" s="332"/>
      <c r="C186" s="296" t="s">
        <v>464</v>
      </c>
      <c r="D186" s="333">
        <v>2500</v>
      </c>
      <c r="E186" s="334">
        <f>D186*180</f>
        <v>450000</v>
      </c>
      <c r="F186" s="331"/>
    </row>
    <row r="187" spans="2:6">
      <c r="B187" s="332"/>
      <c r="C187" s="296" t="s">
        <v>465</v>
      </c>
      <c r="D187" s="333">
        <v>0</v>
      </c>
      <c r="E187" s="334">
        <f>D187*180</f>
        <v>0</v>
      </c>
      <c r="F187" s="331"/>
    </row>
    <row r="188" spans="2:6">
      <c r="B188" s="332"/>
      <c r="C188" s="339" t="s">
        <v>523</v>
      </c>
      <c r="D188" s="336">
        <f>(D186*D185)+D187</f>
        <v>20000</v>
      </c>
      <c r="E188" s="337">
        <f>D188*180</f>
        <v>3600000</v>
      </c>
      <c r="F188" s="338"/>
    </row>
    <row r="189" spans="2:6">
      <c r="B189" s="332"/>
      <c r="C189" s="296" t="s">
        <v>467</v>
      </c>
      <c r="D189" s="333">
        <f>ROUND(D188/(1+0.06)*16.72%,2)</f>
        <v>3154.72</v>
      </c>
      <c r="E189" s="334">
        <f>D189*180</f>
        <v>567849.6</v>
      </c>
      <c r="F189" s="331"/>
    </row>
    <row r="190" spans="2:6">
      <c r="B190" s="332"/>
      <c r="C190" s="339" t="s">
        <v>534</v>
      </c>
      <c r="D190" s="336">
        <f>D188-D189</f>
        <v>16845.28</v>
      </c>
      <c r="E190" s="337">
        <f>D190*180</f>
        <v>3032150.4</v>
      </c>
      <c r="F190" s="338"/>
    </row>
    <row r="191" spans="2:6">
      <c r="B191" s="340"/>
      <c r="C191" s="321" t="s">
        <v>490</v>
      </c>
      <c r="D191" s="322"/>
      <c r="E191" s="322"/>
      <c r="F191" s="323"/>
    </row>
    <row r="192" spans="2:6">
      <c r="B192" s="341" t="s">
        <v>505</v>
      </c>
      <c r="C192" s="341"/>
      <c r="D192" s="342" t="s">
        <v>308</v>
      </c>
      <c r="E192" s="343"/>
      <c r="F192" s="344"/>
    </row>
    <row r="193" spans="2:6">
      <c r="B193" s="345"/>
      <c r="C193" s="345"/>
      <c r="D193" s="345" t="s">
        <v>470</v>
      </c>
      <c r="E193" s="346" t="s">
        <v>461</v>
      </c>
      <c r="F193" s="345" t="s">
        <v>67</v>
      </c>
    </row>
    <row r="194" spans="2:6">
      <c r="B194" s="347" t="s">
        <v>524</v>
      </c>
      <c r="C194" s="348" t="s">
        <v>512</v>
      </c>
      <c r="D194" s="349">
        <v>166686.97</v>
      </c>
      <c r="E194" s="334">
        <f t="shared" ref="E194:E205" si="6">D194*180</f>
        <v>30003654.600000001</v>
      </c>
      <c r="F194" s="331"/>
    </row>
    <row r="195" spans="2:6">
      <c r="B195" s="350"/>
      <c r="C195" s="348" t="s">
        <v>473</v>
      </c>
      <c r="D195" s="351">
        <v>-43529.11</v>
      </c>
      <c r="E195" s="334">
        <f t="shared" si="6"/>
        <v>-7835239.7999999998</v>
      </c>
      <c r="F195" s="331"/>
    </row>
    <row r="196" spans="2:6">
      <c r="B196" s="350"/>
      <c r="C196" s="348" t="s">
        <v>513</v>
      </c>
      <c r="D196" s="349">
        <f>D194+D195</f>
        <v>123157.86</v>
      </c>
      <c r="E196" s="334">
        <f t="shared" si="6"/>
        <v>22168414.800000001</v>
      </c>
      <c r="F196" s="331"/>
    </row>
    <row r="197" spans="2:6">
      <c r="B197" s="350"/>
      <c r="C197" s="348" t="s">
        <v>496</v>
      </c>
      <c r="D197" s="349">
        <v>74854.34</v>
      </c>
      <c r="E197" s="334">
        <f t="shared" si="6"/>
        <v>13473781.199999999</v>
      </c>
      <c r="F197" s="331"/>
    </row>
    <row r="198" spans="2:6">
      <c r="B198" s="350"/>
      <c r="C198" s="348" t="s">
        <v>497</v>
      </c>
      <c r="D198" s="349">
        <v>1424.04</v>
      </c>
      <c r="E198" s="334">
        <f t="shared" si="6"/>
        <v>256327.19999999998</v>
      </c>
      <c r="F198" s="331"/>
    </row>
    <row r="199" spans="2:6">
      <c r="B199" s="350"/>
      <c r="C199" s="348" t="s">
        <v>515</v>
      </c>
      <c r="D199" s="349">
        <v>1531.76</v>
      </c>
      <c r="E199" s="334">
        <f t="shared" si="6"/>
        <v>275716.8</v>
      </c>
      <c r="F199" s="331"/>
    </row>
    <row r="200" spans="2:6">
      <c r="B200" s="350"/>
      <c r="C200" s="348" t="s">
        <v>516</v>
      </c>
      <c r="D200" s="349">
        <f>SUM(D196:D199)</f>
        <v>200968.00000000003</v>
      </c>
      <c r="E200" s="334">
        <f t="shared" si="6"/>
        <v>36174240.000000007</v>
      </c>
      <c r="F200" s="331"/>
    </row>
    <row r="201" spans="2:6">
      <c r="B201" s="350"/>
      <c r="C201" s="348" t="s">
        <v>546</v>
      </c>
      <c r="D201" s="333">
        <f>(D200*50%)-(D186*D185)</f>
        <v>80484.000000000015</v>
      </c>
      <c r="E201" s="334">
        <f t="shared" si="6"/>
        <v>14487120.000000002</v>
      </c>
      <c r="F201" s="331"/>
    </row>
    <row r="202" spans="2:6">
      <c r="B202" s="350"/>
      <c r="C202" s="348" t="s">
        <v>517</v>
      </c>
      <c r="D202" s="349">
        <v>0</v>
      </c>
      <c r="E202" s="334">
        <f t="shared" si="6"/>
        <v>0</v>
      </c>
      <c r="F202" s="331"/>
    </row>
    <row r="203" spans="2:6">
      <c r="B203" s="350"/>
      <c r="C203" s="355" t="s">
        <v>502</v>
      </c>
      <c r="D203" s="336">
        <f>SUM(D201:D202)</f>
        <v>80484.000000000015</v>
      </c>
      <c r="E203" s="337">
        <f t="shared" si="6"/>
        <v>14487120.000000002</v>
      </c>
      <c r="F203" s="338"/>
    </row>
    <row r="204" spans="2:6">
      <c r="B204" s="350"/>
      <c r="C204" s="348" t="s">
        <v>489</v>
      </c>
      <c r="D204" s="349">
        <f>IF(D203&gt;0,ROUND(D203/(1+0.06)*16.72%,2),0)</f>
        <v>12695.21</v>
      </c>
      <c r="E204" s="334">
        <f t="shared" si="6"/>
        <v>2285137.7999999998</v>
      </c>
      <c r="F204" s="331"/>
    </row>
    <row r="205" spans="2:6">
      <c r="B205" s="353"/>
      <c r="C205" s="354" t="s">
        <v>503</v>
      </c>
      <c r="D205" s="349">
        <f>D203-D204</f>
        <v>67788.790000000008</v>
      </c>
      <c r="E205" s="337">
        <f t="shared" si="6"/>
        <v>12201982.200000001</v>
      </c>
      <c r="F205" s="331"/>
    </row>
    <row r="208" spans="2:6" ht="25.2">
      <c r="B208" s="316" t="s">
        <v>547</v>
      </c>
      <c r="C208" s="317"/>
      <c r="D208" s="317"/>
      <c r="E208" s="318"/>
      <c r="F208" s="317"/>
    </row>
    <row r="209" spans="2:6">
      <c r="B209" s="319" t="s">
        <v>505</v>
      </c>
      <c r="C209" s="320"/>
      <c r="D209" s="321" t="s">
        <v>544</v>
      </c>
      <c r="E209" s="322"/>
      <c r="F209" s="323"/>
    </row>
    <row r="210" spans="2:6">
      <c r="B210" s="324"/>
      <c r="C210" s="325"/>
      <c r="D210" s="326" t="s">
        <v>460</v>
      </c>
      <c r="E210" s="327" t="s">
        <v>461</v>
      </c>
      <c r="F210" s="326" t="s">
        <v>428</v>
      </c>
    </row>
    <row r="211" spans="2:6">
      <c r="B211" s="328" t="s">
        <v>452</v>
      </c>
      <c r="C211" s="296" t="s">
        <v>462</v>
      </c>
      <c r="D211" s="329">
        <v>3</v>
      </c>
      <c r="E211" s="330"/>
      <c r="F211" s="331" t="s">
        <v>548</v>
      </c>
    </row>
    <row r="212" spans="2:6">
      <c r="B212" s="332"/>
      <c r="C212" s="296" t="s">
        <v>464</v>
      </c>
      <c r="D212" s="333">
        <v>2500</v>
      </c>
      <c r="E212" s="334">
        <f>D212*180</f>
        <v>450000</v>
      </c>
      <c r="F212" s="331"/>
    </row>
    <row r="213" spans="2:6">
      <c r="B213" s="332"/>
      <c r="C213" s="296" t="s">
        <v>488</v>
      </c>
      <c r="D213" s="333">
        <v>300</v>
      </c>
      <c r="E213" s="334">
        <f>D213*180</f>
        <v>54000</v>
      </c>
      <c r="F213" s="331"/>
    </row>
    <row r="214" spans="2:6">
      <c r="B214" s="332"/>
      <c r="C214" s="339" t="s">
        <v>466</v>
      </c>
      <c r="D214" s="336">
        <f>(D212*D211)+D213</f>
        <v>7800</v>
      </c>
      <c r="E214" s="337">
        <f>D214*180</f>
        <v>1404000</v>
      </c>
      <c r="F214" s="338"/>
    </row>
    <row r="215" spans="2:6">
      <c r="B215" s="332"/>
      <c r="C215" s="296" t="s">
        <v>549</v>
      </c>
      <c r="D215" s="333">
        <f>ROUND(D214/(1+0.06)*16.72%,2)</f>
        <v>1230.3399999999999</v>
      </c>
      <c r="E215" s="334">
        <f>D215*180</f>
        <v>221461.19999999998</v>
      </c>
      <c r="F215" s="331"/>
    </row>
    <row r="216" spans="2:6">
      <c r="B216" s="332"/>
      <c r="C216" s="339" t="s">
        <v>534</v>
      </c>
      <c r="D216" s="336">
        <f>D214-D215</f>
        <v>6569.66</v>
      </c>
      <c r="E216" s="337">
        <f>D216*180</f>
        <v>1182538.8</v>
      </c>
      <c r="F216" s="338"/>
    </row>
    <row r="217" spans="2:6">
      <c r="B217" s="340"/>
      <c r="C217" s="321" t="s">
        <v>490</v>
      </c>
      <c r="D217" s="322"/>
      <c r="E217" s="322"/>
      <c r="F217" s="323"/>
    </row>
    <row r="218" spans="2:6">
      <c r="B218" s="341" t="s">
        <v>505</v>
      </c>
      <c r="C218" s="341"/>
      <c r="D218" s="342" t="s">
        <v>308</v>
      </c>
      <c r="E218" s="343"/>
      <c r="F218" s="344"/>
    </row>
    <row r="219" spans="2:6">
      <c r="B219" s="345"/>
      <c r="C219" s="345"/>
      <c r="D219" s="345" t="s">
        <v>470</v>
      </c>
      <c r="E219" s="346" t="s">
        <v>550</v>
      </c>
      <c r="F219" s="345" t="s">
        <v>67</v>
      </c>
    </row>
    <row r="220" spans="2:6">
      <c r="B220" s="347" t="s">
        <v>524</v>
      </c>
      <c r="C220" s="348" t="s">
        <v>512</v>
      </c>
      <c r="D220" s="349">
        <v>102885.5</v>
      </c>
      <c r="E220" s="334">
        <f>D220*180</f>
        <v>18519390</v>
      </c>
      <c r="F220" s="331"/>
    </row>
    <row r="221" spans="2:6">
      <c r="B221" s="350"/>
      <c r="C221" s="348" t="s">
        <v>551</v>
      </c>
      <c r="D221" s="351">
        <v>-26987.11</v>
      </c>
      <c r="E221" s="334">
        <f t="shared" ref="E221:E228" si="7">D221*180</f>
        <v>-4857679.8</v>
      </c>
      <c r="F221" s="331"/>
    </row>
    <row r="222" spans="2:6">
      <c r="B222" s="350"/>
      <c r="C222" s="348" t="s">
        <v>513</v>
      </c>
      <c r="D222" s="349">
        <f>D220+D221</f>
        <v>75898.39</v>
      </c>
      <c r="E222" s="334">
        <f t="shared" si="7"/>
        <v>13661710.199999999</v>
      </c>
      <c r="F222" s="331"/>
    </row>
    <row r="223" spans="2:6">
      <c r="B223" s="350"/>
      <c r="C223" s="348" t="s">
        <v>537</v>
      </c>
      <c r="D223" s="349">
        <v>49433</v>
      </c>
      <c r="E223" s="334">
        <f t="shared" si="7"/>
        <v>8897940</v>
      </c>
      <c r="F223" s="331"/>
    </row>
    <row r="224" spans="2:6">
      <c r="B224" s="350"/>
      <c r="C224" s="348" t="s">
        <v>552</v>
      </c>
      <c r="D224" s="349">
        <v>829.39</v>
      </c>
      <c r="E224" s="334">
        <f t="shared" si="7"/>
        <v>149290.20000000001</v>
      </c>
      <c r="F224" s="331"/>
    </row>
    <row r="225" spans="2:6">
      <c r="B225" s="350"/>
      <c r="C225" s="348" t="s">
        <v>553</v>
      </c>
      <c r="D225" s="349">
        <v>1253.4100000000001</v>
      </c>
      <c r="E225" s="334">
        <f t="shared" si="7"/>
        <v>225613.80000000002</v>
      </c>
      <c r="F225" s="331"/>
    </row>
    <row r="226" spans="2:6">
      <c r="B226" s="350"/>
      <c r="C226" s="348" t="s">
        <v>554</v>
      </c>
      <c r="D226" s="349">
        <f>SUM(D222:D225)</f>
        <v>127414.19</v>
      </c>
      <c r="E226" s="334">
        <f t="shared" si="7"/>
        <v>22934554.199999999</v>
      </c>
      <c r="F226" s="331"/>
    </row>
    <row r="227" spans="2:6">
      <c r="B227" s="350"/>
      <c r="C227" s="348" t="s">
        <v>555</v>
      </c>
      <c r="D227" s="333">
        <f>(D226*50%)-(D212*D211)</f>
        <v>56207.095000000001</v>
      </c>
      <c r="E227" s="334">
        <f t="shared" si="7"/>
        <v>10117277.1</v>
      </c>
      <c r="F227" s="331"/>
    </row>
    <row r="228" spans="2:6">
      <c r="B228" s="350"/>
      <c r="C228" s="348" t="s">
        <v>556</v>
      </c>
      <c r="D228" s="349">
        <v>0</v>
      </c>
      <c r="E228" s="334">
        <f t="shared" si="7"/>
        <v>0</v>
      </c>
      <c r="F228" s="331"/>
    </row>
    <row r="229" spans="2:6">
      <c r="B229" s="350"/>
      <c r="C229" s="355" t="s">
        <v>557</v>
      </c>
      <c r="D229" s="336">
        <f>SUM(D227:D228)</f>
        <v>56207.095000000001</v>
      </c>
      <c r="E229" s="337">
        <f>D229*180</f>
        <v>10117277.1</v>
      </c>
      <c r="F229" s="338"/>
    </row>
    <row r="230" spans="2:6">
      <c r="B230" s="350"/>
      <c r="C230" s="348" t="s">
        <v>489</v>
      </c>
      <c r="D230" s="349">
        <f>IF(D229&gt;0,ROUND(D229/(1+0.06)*16.72%,2),0)</f>
        <v>8865.8700000000008</v>
      </c>
      <c r="E230" s="334">
        <f>D230*180</f>
        <v>1595856.6</v>
      </c>
      <c r="F230" s="331"/>
    </row>
    <row r="231" spans="2:6">
      <c r="B231" s="353"/>
      <c r="C231" s="354" t="s">
        <v>527</v>
      </c>
      <c r="D231" s="349">
        <f>D229-D230</f>
        <v>47341.224999999999</v>
      </c>
      <c r="E231" s="337">
        <f>D231*180</f>
        <v>8521420.5</v>
      </c>
      <c r="F231" s="331"/>
    </row>
    <row r="234" spans="2:6" ht="25.2">
      <c r="B234" s="316" t="s">
        <v>558</v>
      </c>
      <c r="C234" s="317"/>
      <c r="D234" s="317"/>
      <c r="E234" s="318"/>
      <c r="F234" s="317"/>
    </row>
    <row r="235" spans="2:6">
      <c r="B235" s="319" t="s">
        <v>559</v>
      </c>
      <c r="C235" s="320"/>
      <c r="D235" s="321" t="s">
        <v>459</v>
      </c>
      <c r="E235" s="322"/>
      <c r="F235" s="323"/>
    </row>
    <row r="236" spans="2:6">
      <c r="B236" s="324"/>
      <c r="C236" s="325"/>
      <c r="D236" s="326" t="s">
        <v>460</v>
      </c>
      <c r="E236" s="327" t="s">
        <v>530</v>
      </c>
      <c r="F236" s="326" t="s">
        <v>428</v>
      </c>
    </row>
    <row r="237" spans="2:6">
      <c r="B237" s="328" t="s">
        <v>508</v>
      </c>
      <c r="C237" s="296" t="s">
        <v>462</v>
      </c>
      <c r="D237" s="329">
        <v>0</v>
      </c>
      <c r="E237" s="330"/>
      <c r="F237" s="331" t="s">
        <v>560</v>
      </c>
    </row>
    <row r="238" spans="2:6">
      <c r="B238" s="332"/>
      <c r="C238" s="296" t="s">
        <v>464</v>
      </c>
      <c r="D238" s="333">
        <v>2500</v>
      </c>
      <c r="E238" s="334">
        <f>D238*180</f>
        <v>450000</v>
      </c>
      <c r="F238" s="331"/>
    </row>
    <row r="239" spans="2:6">
      <c r="B239" s="332"/>
      <c r="C239" s="296" t="s">
        <v>488</v>
      </c>
      <c r="D239" s="333">
        <v>0</v>
      </c>
      <c r="E239" s="334">
        <f>D239*180</f>
        <v>0</v>
      </c>
      <c r="F239" s="331"/>
    </row>
    <row r="240" spans="2:6">
      <c r="B240" s="332"/>
      <c r="C240" s="339" t="s">
        <v>523</v>
      </c>
      <c r="D240" s="336">
        <f>(D238*D237)+D239</f>
        <v>0</v>
      </c>
      <c r="E240" s="337">
        <f>D240*180</f>
        <v>0</v>
      </c>
      <c r="F240" s="338"/>
    </row>
    <row r="241" spans="2:6">
      <c r="B241" s="332"/>
      <c r="C241" s="296" t="s">
        <v>549</v>
      </c>
      <c r="D241" s="333">
        <f>ROUND(D240/(1+0.06)*16.72%,2)</f>
        <v>0</v>
      </c>
      <c r="E241" s="334">
        <f>D241*180</f>
        <v>0</v>
      </c>
      <c r="F241" s="331"/>
    </row>
    <row r="242" spans="2:6">
      <c r="B242" s="332"/>
      <c r="C242" s="339" t="s">
        <v>534</v>
      </c>
      <c r="D242" s="336">
        <f>D240-D241</f>
        <v>0</v>
      </c>
      <c r="E242" s="337">
        <f>D242*180</f>
        <v>0</v>
      </c>
      <c r="F242" s="338"/>
    </row>
    <row r="243" spans="2:6">
      <c r="B243" s="340"/>
      <c r="C243" s="321" t="s">
        <v>535</v>
      </c>
      <c r="D243" s="322"/>
      <c r="E243" s="322"/>
      <c r="F243" s="323"/>
    </row>
    <row r="244" spans="2:6">
      <c r="B244" s="341" t="s">
        <v>458</v>
      </c>
      <c r="C244" s="341"/>
      <c r="D244" s="342" t="s">
        <v>308</v>
      </c>
      <c r="E244" s="343"/>
      <c r="F244" s="344"/>
    </row>
    <row r="245" spans="2:6">
      <c r="B245" s="345"/>
      <c r="C245" s="345"/>
      <c r="D245" s="345" t="s">
        <v>470</v>
      </c>
      <c r="E245" s="346" t="s">
        <v>550</v>
      </c>
      <c r="F245" s="345" t="s">
        <v>67</v>
      </c>
    </row>
    <row r="246" spans="2:6">
      <c r="B246" s="347" t="s">
        <v>561</v>
      </c>
      <c r="C246" s="348" t="s">
        <v>562</v>
      </c>
      <c r="D246" s="349">
        <v>61537.89</v>
      </c>
      <c r="E246" s="334">
        <f>D246*180</f>
        <v>11076820.199999999</v>
      </c>
      <c r="F246" s="331"/>
    </row>
    <row r="247" spans="2:6">
      <c r="B247" s="350"/>
      <c r="C247" s="348" t="s">
        <v>551</v>
      </c>
      <c r="D247" s="351">
        <v>-16077.15</v>
      </c>
      <c r="E247" s="334">
        <f t="shared" ref="E247:E254" si="8">D247*180</f>
        <v>-2893887</v>
      </c>
      <c r="F247" s="331"/>
    </row>
    <row r="248" spans="2:6">
      <c r="B248" s="350"/>
      <c r="C248" s="348" t="s">
        <v>495</v>
      </c>
      <c r="D248" s="349">
        <f>D246+D247</f>
        <v>45460.74</v>
      </c>
      <c r="E248" s="334">
        <f t="shared" si="8"/>
        <v>8182933.1999999993</v>
      </c>
      <c r="F248" s="331"/>
    </row>
    <row r="249" spans="2:6">
      <c r="B249" s="350"/>
      <c r="C249" s="348" t="s">
        <v>563</v>
      </c>
      <c r="D249" s="349">
        <v>35473.769999999997</v>
      </c>
      <c r="E249" s="334">
        <f t="shared" si="8"/>
        <v>6385278.5999999996</v>
      </c>
      <c r="F249" s="331"/>
    </row>
    <row r="250" spans="2:6">
      <c r="B250" s="350"/>
      <c r="C250" s="348" t="s">
        <v>514</v>
      </c>
      <c r="D250" s="349">
        <v>809.86</v>
      </c>
      <c r="E250" s="334">
        <f t="shared" si="8"/>
        <v>145774.79999999999</v>
      </c>
      <c r="F250" s="331"/>
    </row>
    <row r="251" spans="2:6">
      <c r="B251" s="350"/>
      <c r="C251" s="348" t="s">
        <v>515</v>
      </c>
      <c r="D251" s="349">
        <v>699.64</v>
      </c>
      <c r="E251" s="334">
        <f t="shared" si="8"/>
        <v>125935.2</v>
      </c>
      <c r="F251" s="331"/>
    </row>
    <row r="252" spans="2:6">
      <c r="B252" s="350"/>
      <c r="C252" s="348" t="s">
        <v>516</v>
      </c>
      <c r="D252" s="349">
        <f>SUM(D248:D251)</f>
        <v>82444.009999999995</v>
      </c>
      <c r="E252" s="334">
        <f t="shared" si="8"/>
        <v>14839921.799999999</v>
      </c>
      <c r="F252" s="331"/>
    </row>
    <row r="253" spans="2:6">
      <c r="B253" s="350"/>
      <c r="C253" s="348" t="s">
        <v>546</v>
      </c>
      <c r="D253" s="333">
        <f>(D252*50%)-(D238*D237)</f>
        <v>41222.004999999997</v>
      </c>
      <c r="E253" s="334">
        <f t="shared" si="8"/>
        <v>7419960.8999999994</v>
      </c>
      <c r="F253" s="331"/>
    </row>
    <row r="254" spans="2:6">
      <c r="B254" s="350"/>
      <c r="C254" s="348" t="s">
        <v>501</v>
      </c>
      <c r="D254" s="349">
        <v>0</v>
      </c>
      <c r="E254" s="334">
        <f t="shared" si="8"/>
        <v>0</v>
      </c>
      <c r="F254" s="331"/>
    </row>
    <row r="255" spans="2:6">
      <c r="B255" s="350"/>
      <c r="C255" s="355" t="s">
        <v>502</v>
      </c>
      <c r="D255" s="336">
        <f>SUM(D253:D254)</f>
        <v>41222.004999999997</v>
      </c>
      <c r="E255" s="337">
        <f>D255*180</f>
        <v>7419960.8999999994</v>
      </c>
      <c r="F255" s="338"/>
    </row>
    <row r="256" spans="2:6">
      <c r="B256" s="350"/>
      <c r="C256" s="348" t="s">
        <v>467</v>
      </c>
      <c r="D256" s="349">
        <f>IF(D255&gt;0,ROUND(D255/(1+0.06)*16.72%,2),0)</f>
        <v>6502.19</v>
      </c>
      <c r="E256" s="334">
        <f>D256*180</f>
        <v>1170394.2</v>
      </c>
      <c r="F256" s="331"/>
    </row>
    <row r="257" spans="2:6">
      <c r="B257" s="353"/>
      <c r="C257" s="354" t="s">
        <v>564</v>
      </c>
      <c r="D257" s="349">
        <f>D255-D256</f>
        <v>34719.814999999995</v>
      </c>
      <c r="E257" s="337">
        <f>D257*180</f>
        <v>6249566.6999999993</v>
      </c>
      <c r="F257" s="331"/>
    </row>
    <row r="260" spans="2:6" ht="25.2">
      <c r="B260" s="316" t="s">
        <v>565</v>
      </c>
      <c r="C260" s="317"/>
      <c r="D260" s="317"/>
      <c r="E260" s="318"/>
      <c r="F260" s="317"/>
    </row>
    <row r="261" spans="2:6">
      <c r="B261" s="319" t="s">
        <v>505</v>
      </c>
      <c r="C261" s="320"/>
      <c r="D261" s="321" t="s">
        <v>566</v>
      </c>
      <c r="E261" s="322"/>
      <c r="F261" s="323"/>
    </row>
    <row r="262" spans="2:6">
      <c r="B262" s="324"/>
      <c r="C262" s="325"/>
      <c r="D262" s="326" t="s">
        <v>460</v>
      </c>
      <c r="E262" s="327" t="s">
        <v>550</v>
      </c>
      <c r="F262" s="326" t="s">
        <v>567</v>
      </c>
    </row>
    <row r="263" spans="2:6">
      <c r="B263" s="328" t="s">
        <v>568</v>
      </c>
      <c r="C263" s="296" t="s">
        <v>569</v>
      </c>
      <c r="D263" s="329">
        <v>5</v>
      </c>
      <c r="E263" s="330"/>
      <c r="F263" s="331" t="s">
        <v>570</v>
      </c>
    </row>
    <row r="264" spans="2:6">
      <c r="B264" s="332"/>
      <c r="C264" s="296" t="s">
        <v>571</v>
      </c>
      <c r="D264" s="333">
        <v>2500</v>
      </c>
      <c r="E264" s="334">
        <f>D264*180</f>
        <v>450000</v>
      </c>
      <c r="F264" s="331"/>
    </row>
    <row r="265" spans="2:6">
      <c r="B265" s="332"/>
      <c r="C265" s="296" t="s">
        <v>572</v>
      </c>
      <c r="D265" s="333">
        <v>200</v>
      </c>
      <c r="E265" s="334">
        <f>D265*180</f>
        <v>36000</v>
      </c>
      <c r="F265" s="331"/>
    </row>
    <row r="266" spans="2:6">
      <c r="B266" s="332"/>
      <c r="C266" s="339" t="s">
        <v>573</v>
      </c>
      <c r="D266" s="336">
        <f>(D264*D263)+D265</f>
        <v>12700</v>
      </c>
      <c r="E266" s="337">
        <f>D266*180</f>
        <v>2286000</v>
      </c>
      <c r="F266" s="338"/>
    </row>
    <row r="267" spans="2:6">
      <c r="B267" s="332"/>
      <c r="C267" s="296" t="s">
        <v>549</v>
      </c>
      <c r="D267" s="333">
        <f>ROUND(D266/(1+0.06)*16.72%,2)</f>
        <v>2003.25</v>
      </c>
      <c r="E267" s="334">
        <f>D267*180</f>
        <v>360585</v>
      </c>
      <c r="F267" s="331"/>
    </row>
    <row r="268" spans="2:6">
      <c r="B268" s="332"/>
      <c r="C268" s="339" t="s">
        <v>574</v>
      </c>
      <c r="D268" s="336">
        <f>D266-D267</f>
        <v>10696.75</v>
      </c>
      <c r="E268" s="337">
        <f>D268*180</f>
        <v>1925415</v>
      </c>
      <c r="F268" s="338"/>
    </row>
    <row r="269" spans="2:6">
      <c r="B269" s="340"/>
      <c r="C269" s="321" t="s">
        <v>490</v>
      </c>
      <c r="D269" s="322"/>
      <c r="E269" s="322"/>
      <c r="F269" s="323"/>
    </row>
    <row r="270" spans="2:6">
      <c r="B270" s="341" t="s">
        <v>559</v>
      </c>
      <c r="C270" s="341"/>
      <c r="D270" s="342" t="s">
        <v>308</v>
      </c>
      <c r="E270" s="343"/>
      <c r="F270" s="344"/>
    </row>
    <row r="271" spans="2:6">
      <c r="B271" s="345"/>
      <c r="C271" s="345"/>
      <c r="D271" s="345" t="s">
        <v>470</v>
      </c>
      <c r="E271" s="346" t="s">
        <v>550</v>
      </c>
      <c r="F271" s="345" t="s">
        <v>67</v>
      </c>
    </row>
    <row r="272" spans="2:6">
      <c r="B272" s="347" t="s">
        <v>561</v>
      </c>
      <c r="C272" s="348" t="s">
        <v>575</v>
      </c>
      <c r="D272" s="349">
        <v>152912.84</v>
      </c>
      <c r="E272" s="334">
        <f>D272*180</f>
        <v>27524311.199999999</v>
      </c>
      <c r="F272" s="331"/>
    </row>
    <row r="273" spans="2:6">
      <c r="B273" s="350"/>
      <c r="C273" s="348" t="s">
        <v>551</v>
      </c>
      <c r="D273" s="351">
        <v>-39818.699999999997</v>
      </c>
      <c r="E273" s="334">
        <f t="shared" ref="E273:E280" si="9">D273*180</f>
        <v>-7167365.9999999991</v>
      </c>
      <c r="F273" s="331"/>
    </row>
    <row r="274" spans="2:6">
      <c r="B274" s="350"/>
      <c r="C274" s="348" t="s">
        <v>495</v>
      </c>
      <c r="D274" s="349">
        <f>D272+D273</f>
        <v>113094.14</v>
      </c>
      <c r="E274" s="334">
        <f t="shared" si="9"/>
        <v>20356945.199999999</v>
      </c>
      <c r="F274" s="331"/>
    </row>
    <row r="275" spans="2:6">
      <c r="B275" s="350"/>
      <c r="C275" s="348" t="s">
        <v>496</v>
      </c>
      <c r="D275" s="349">
        <v>74029.89</v>
      </c>
      <c r="E275" s="334">
        <f t="shared" si="9"/>
        <v>13325380.199999999</v>
      </c>
      <c r="F275" s="331"/>
    </row>
    <row r="276" spans="2:6">
      <c r="B276" s="350"/>
      <c r="C276" s="348" t="s">
        <v>497</v>
      </c>
      <c r="D276" s="349">
        <v>900.22</v>
      </c>
      <c r="E276" s="334">
        <f t="shared" si="9"/>
        <v>162039.6</v>
      </c>
      <c r="F276" s="331"/>
    </row>
    <row r="277" spans="2:6">
      <c r="B277" s="350"/>
      <c r="C277" s="348" t="s">
        <v>515</v>
      </c>
      <c r="D277" s="349">
        <v>2148.09</v>
      </c>
      <c r="E277" s="334">
        <f t="shared" si="9"/>
        <v>386656.2</v>
      </c>
      <c r="F277" s="331"/>
    </row>
    <row r="278" spans="2:6">
      <c r="B278" s="350"/>
      <c r="C278" s="348" t="s">
        <v>516</v>
      </c>
      <c r="D278" s="349">
        <f>SUM(D274:D277)</f>
        <v>190172.34</v>
      </c>
      <c r="E278" s="334">
        <f t="shared" si="9"/>
        <v>34231021.200000003</v>
      </c>
      <c r="F278" s="331"/>
    </row>
    <row r="279" spans="2:6">
      <c r="B279" s="350"/>
      <c r="C279" s="348" t="s">
        <v>546</v>
      </c>
      <c r="D279" s="333">
        <f>(D278*50%)-(D264*D263)</f>
        <v>82586.17</v>
      </c>
      <c r="E279" s="334">
        <f t="shared" si="9"/>
        <v>14865510.6</v>
      </c>
      <c r="F279" s="331"/>
    </row>
    <row r="280" spans="2:6">
      <c r="B280" s="350"/>
      <c r="C280" s="348" t="s">
        <v>517</v>
      </c>
      <c r="D280" s="349">
        <v>0</v>
      </c>
      <c r="E280" s="334">
        <f t="shared" si="9"/>
        <v>0</v>
      </c>
      <c r="F280" s="331"/>
    </row>
    <row r="281" spans="2:6">
      <c r="B281" s="350"/>
      <c r="C281" s="355" t="s">
        <v>502</v>
      </c>
      <c r="D281" s="336">
        <f>SUM(D279:D280)</f>
        <v>82586.17</v>
      </c>
      <c r="E281" s="337">
        <f>D281*180</f>
        <v>14865510.6</v>
      </c>
      <c r="F281" s="338"/>
    </row>
    <row r="282" spans="2:6">
      <c r="B282" s="350"/>
      <c r="C282" s="348" t="s">
        <v>549</v>
      </c>
      <c r="D282" s="349">
        <f>IF(D281&gt;0,ROUND(D281/(1+0.06)*16.72%,2),0)</f>
        <v>13026.8</v>
      </c>
      <c r="E282" s="334">
        <f>D282*180</f>
        <v>2344824</v>
      </c>
      <c r="F282" s="331"/>
    </row>
    <row r="283" spans="2:6">
      <c r="B283" s="353"/>
      <c r="C283" s="354" t="s">
        <v>564</v>
      </c>
      <c r="D283" s="336">
        <f>D281-D282</f>
        <v>69559.37</v>
      </c>
      <c r="E283" s="337">
        <f>D283*180</f>
        <v>12520686.6</v>
      </c>
      <c r="F283" s="331"/>
    </row>
    <row r="286" spans="2:6" ht="25.2">
      <c r="B286" s="316" t="s">
        <v>576</v>
      </c>
      <c r="C286" s="317"/>
      <c r="D286" s="317"/>
      <c r="E286" s="318"/>
      <c r="F286" s="317"/>
    </row>
    <row r="287" spans="2:6">
      <c r="B287" s="319" t="s">
        <v>505</v>
      </c>
      <c r="C287" s="320"/>
      <c r="D287" s="321" t="s">
        <v>544</v>
      </c>
      <c r="E287" s="322"/>
      <c r="F287" s="323"/>
    </row>
    <row r="288" spans="2:6">
      <c r="B288" s="324"/>
      <c r="C288" s="325"/>
      <c r="D288" s="326" t="s">
        <v>460</v>
      </c>
      <c r="E288" s="327" t="s">
        <v>461</v>
      </c>
      <c r="F288" s="326" t="s">
        <v>428</v>
      </c>
    </row>
    <row r="289" spans="2:6">
      <c r="B289" s="328" t="s">
        <v>452</v>
      </c>
      <c r="C289" s="296" t="s">
        <v>462</v>
      </c>
      <c r="D289" s="329">
        <v>4</v>
      </c>
      <c r="E289" s="330"/>
      <c r="F289" s="331" t="s">
        <v>577</v>
      </c>
    </row>
    <row r="290" spans="2:6">
      <c r="B290" s="332"/>
      <c r="C290" s="296" t="s">
        <v>464</v>
      </c>
      <c r="D290" s="333">
        <v>2500</v>
      </c>
      <c r="E290" s="334">
        <f>D290*180</f>
        <v>450000</v>
      </c>
      <c r="F290" s="331"/>
    </row>
    <row r="291" spans="2:6">
      <c r="B291" s="332"/>
      <c r="C291" s="296" t="s">
        <v>465</v>
      </c>
      <c r="D291" s="333">
        <v>200</v>
      </c>
      <c r="E291" s="334">
        <f>D291*180</f>
        <v>36000</v>
      </c>
      <c r="F291" s="331"/>
    </row>
    <row r="292" spans="2:6">
      <c r="B292" s="332"/>
      <c r="C292" s="339" t="s">
        <v>573</v>
      </c>
      <c r="D292" s="336">
        <f>(D290*D289)+D291</f>
        <v>10200</v>
      </c>
      <c r="E292" s="337">
        <f>D292*180</f>
        <v>1836000</v>
      </c>
      <c r="F292" s="338"/>
    </row>
    <row r="293" spans="2:6">
      <c r="B293" s="332"/>
      <c r="C293" s="296" t="s">
        <v>518</v>
      </c>
      <c r="D293" s="333">
        <f>ROUND(D292/(1+0.06)*16.72%,2)</f>
        <v>1608.91</v>
      </c>
      <c r="E293" s="334">
        <f>D293*180</f>
        <v>289603.8</v>
      </c>
      <c r="F293" s="331"/>
    </row>
    <row r="294" spans="2:6">
      <c r="B294" s="332"/>
      <c r="C294" s="339" t="s">
        <v>578</v>
      </c>
      <c r="D294" s="336">
        <f>D292-D293</f>
        <v>8591.09</v>
      </c>
      <c r="E294" s="337">
        <f>D294*180</f>
        <v>1546396.2</v>
      </c>
      <c r="F294" s="338"/>
    </row>
    <row r="295" spans="2:6">
      <c r="B295" s="340"/>
      <c r="C295" s="321" t="s">
        <v>579</v>
      </c>
      <c r="D295" s="322"/>
      <c r="E295" s="322"/>
      <c r="F295" s="323"/>
    </row>
    <row r="296" spans="2:6">
      <c r="B296" s="341" t="s">
        <v>484</v>
      </c>
      <c r="C296" s="341"/>
      <c r="D296" s="342" t="s">
        <v>308</v>
      </c>
      <c r="E296" s="343"/>
      <c r="F296" s="344"/>
    </row>
    <row r="297" spans="2:6">
      <c r="B297" s="345"/>
      <c r="C297" s="345"/>
      <c r="D297" s="345" t="s">
        <v>470</v>
      </c>
      <c r="E297" s="346" t="s">
        <v>461</v>
      </c>
      <c r="F297" s="345" t="s">
        <v>67</v>
      </c>
    </row>
    <row r="298" spans="2:6">
      <c r="B298" s="347" t="s">
        <v>580</v>
      </c>
      <c r="C298" s="348" t="s">
        <v>512</v>
      </c>
      <c r="D298" s="349">
        <v>95223.76</v>
      </c>
      <c r="E298" s="334">
        <f>D298*180</f>
        <v>17140276.800000001</v>
      </c>
      <c r="F298" s="331"/>
    </row>
    <row r="299" spans="2:6">
      <c r="B299" s="350"/>
      <c r="C299" s="348" t="s">
        <v>494</v>
      </c>
      <c r="D299" s="351">
        <v>-25014.82</v>
      </c>
      <c r="E299" s="334">
        <f t="shared" ref="E299:E306" si="10">D299*180</f>
        <v>-4502667.5999999996</v>
      </c>
      <c r="F299" s="331"/>
    </row>
    <row r="300" spans="2:6">
      <c r="B300" s="350"/>
      <c r="C300" s="348" t="s">
        <v>581</v>
      </c>
      <c r="D300" s="349">
        <f>D298+D299</f>
        <v>70208.94</v>
      </c>
      <c r="E300" s="334">
        <f t="shared" si="10"/>
        <v>12637609.200000001</v>
      </c>
      <c r="F300" s="331"/>
    </row>
    <row r="301" spans="2:6">
      <c r="B301" s="350"/>
      <c r="C301" s="348" t="s">
        <v>496</v>
      </c>
      <c r="D301" s="349">
        <v>52680.12</v>
      </c>
      <c r="E301" s="334">
        <f t="shared" si="10"/>
        <v>9482421.5999999996</v>
      </c>
      <c r="F301" s="331"/>
    </row>
    <row r="302" spans="2:6">
      <c r="B302" s="350"/>
      <c r="C302" s="348" t="s">
        <v>582</v>
      </c>
      <c r="D302" s="349">
        <v>497.91</v>
      </c>
      <c r="E302" s="334">
        <f t="shared" si="10"/>
        <v>89623.8</v>
      </c>
      <c r="F302" s="331"/>
    </row>
    <row r="303" spans="2:6">
      <c r="B303" s="350"/>
      <c r="C303" s="348" t="s">
        <v>498</v>
      </c>
      <c r="D303" s="349">
        <v>988.15</v>
      </c>
      <c r="E303" s="334">
        <f t="shared" si="10"/>
        <v>177867</v>
      </c>
      <c r="F303" s="331"/>
    </row>
    <row r="304" spans="2:6">
      <c r="B304" s="350"/>
      <c r="C304" s="348" t="s">
        <v>554</v>
      </c>
      <c r="D304" s="349">
        <f>SUM(D300:D303)</f>
        <v>124375.12</v>
      </c>
      <c r="E304" s="334">
        <f t="shared" si="10"/>
        <v>22387521.599999998</v>
      </c>
      <c r="F304" s="331"/>
    </row>
    <row r="305" spans="2:6">
      <c r="B305" s="350"/>
      <c r="C305" s="348" t="s">
        <v>583</v>
      </c>
      <c r="D305" s="333">
        <f>(D304*50%)-(D290*D289)</f>
        <v>52187.56</v>
      </c>
      <c r="E305" s="334">
        <f t="shared" si="10"/>
        <v>9393760.7999999989</v>
      </c>
      <c r="F305" s="331"/>
    </row>
    <row r="306" spans="2:6">
      <c r="B306" s="350"/>
      <c r="C306" s="348" t="s">
        <v>584</v>
      </c>
      <c r="D306" s="349">
        <v>0</v>
      </c>
      <c r="E306" s="334">
        <f t="shared" si="10"/>
        <v>0</v>
      </c>
      <c r="F306" s="331"/>
    </row>
    <row r="307" spans="2:6">
      <c r="B307" s="350"/>
      <c r="C307" s="355" t="s">
        <v>585</v>
      </c>
      <c r="D307" s="336">
        <f>SUM(D305:D306)</f>
        <v>52187.56</v>
      </c>
      <c r="E307" s="337">
        <f>D307*180</f>
        <v>9393760.7999999989</v>
      </c>
      <c r="F307" s="338"/>
    </row>
    <row r="308" spans="2:6">
      <c r="B308" s="350"/>
      <c r="C308" s="348" t="s">
        <v>518</v>
      </c>
      <c r="D308" s="349">
        <f>IF(D307&gt;0,ROUND(D307/(1+0.06)*16.72%,2),0)</f>
        <v>8231.85</v>
      </c>
      <c r="E308" s="334">
        <f>D308*180</f>
        <v>1481733</v>
      </c>
      <c r="F308" s="331"/>
    </row>
    <row r="309" spans="2:6">
      <c r="B309" s="353"/>
      <c r="C309" s="354" t="s">
        <v>482</v>
      </c>
      <c r="D309" s="336">
        <f>D307-D308</f>
        <v>43955.71</v>
      </c>
      <c r="E309" s="337">
        <f>D309*180</f>
        <v>7912027.7999999998</v>
      </c>
      <c r="F309" s="331"/>
    </row>
    <row r="312" spans="2:6" ht="25.2">
      <c r="B312" s="316" t="s">
        <v>586</v>
      </c>
      <c r="C312" s="317"/>
      <c r="D312" s="317"/>
      <c r="E312" s="318"/>
      <c r="F312" s="317"/>
    </row>
    <row r="313" spans="2:6">
      <c r="B313" s="319" t="s">
        <v>505</v>
      </c>
      <c r="C313" s="320"/>
      <c r="D313" s="321" t="s">
        <v>587</v>
      </c>
      <c r="E313" s="322"/>
      <c r="F313" s="323"/>
    </row>
    <row r="314" spans="2:6">
      <c r="B314" s="324"/>
      <c r="C314" s="325"/>
      <c r="D314" s="326" t="s">
        <v>588</v>
      </c>
      <c r="E314" s="327" t="s">
        <v>589</v>
      </c>
      <c r="F314" s="326" t="s">
        <v>590</v>
      </c>
    </row>
    <row r="315" spans="2:6">
      <c r="B315" s="328" t="s">
        <v>520</v>
      </c>
      <c r="C315" s="296" t="s">
        <v>509</v>
      </c>
      <c r="D315" s="329">
        <v>5</v>
      </c>
      <c r="E315" s="330"/>
      <c r="F315" s="331" t="s">
        <v>591</v>
      </c>
    </row>
    <row r="316" spans="2:6">
      <c r="B316" s="332"/>
      <c r="C316" s="296" t="s">
        <v>532</v>
      </c>
      <c r="D316" s="333">
        <v>2500</v>
      </c>
      <c r="E316" s="334">
        <f>D316*180</f>
        <v>450000</v>
      </c>
      <c r="F316" s="331"/>
    </row>
    <row r="317" spans="2:6">
      <c r="B317" s="332"/>
      <c r="C317" s="296" t="s">
        <v>592</v>
      </c>
      <c r="D317" s="333">
        <v>0</v>
      </c>
      <c r="E317" s="334">
        <f>D317*180</f>
        <v>0</v>
      </c>
      <c r="F317" s="331"/>
    </row>
    <row r="318" spans="2:6">
      <c r="B318" s="332"/>
      <c r="C318" s="339" t="s">
        <v>593</v>
      </c>
      <c r="D318" s="336">
        <f>(D316*D315)+D317</f>
        <v>12500</v>
      </c>
      <c r="E318" s="337">
        <f>D318*180</f>
        <v>2250000</v>
      </c>
      <c r="F318" s="338"/>
    </row>
    <row r="319" spans="2:6">
      <c r="B319" s="332"/>
      <c r="C319" s="296" t="s">
        <v>540</v>
      </c>
      <c r="D319" s="333">
        <f>ROUND(D318/(1+0.06)*16.72%,2)</f>
        <v>1971.7</v>
      </c>
      <c r="E319" s="334">
        <f>D319*180</f>
        <v>354906</v>
      </c>
      <c r="F319" s="331"/>
    </row>
    <row r="320" spans="2:6">
      <c r="B320" s="332"/>
      <c r="C320" s="339" t="s">
        <v>578</v>
      </c>
      <c r="D320" s="336">
        <f>D318-D319</f>
        <v>10528.3</v>
      </c>
      <c r="E320" s="337">
        <f>D320*180</f>
        <v>1895093.9999999998</v>
      </c>
      <c r="F320" s="338"/>
    </row>
    <row r="321" spans="2:6">
      <c r="B321" s="340"/>
      <c r="C321" s="321" t="s">
        <v>490</v>
      </c>
      <c r="D321" s="322"/>
      <c r="E321" s="322"/>
      <c r="F321" s="323"/>
    </row>
    <row r="322" spans="2:6">
      <c r="B322" s="341" t="s">
        <v>594</v>
      </c>
      <c r="C322" s="341"/>
      <c r="D322" s="342" t="s">
        <v>308</v>
      </c>
      <c r="E322" s="343"/>
      <c r="F322" s="344"/>
    </row>
    <row r="323" spans="2:6">
      <c r="B323" s="345"/>
      <c r="C323" s="345"/>
      <c r="D323" s="345" t="s">
        <v>470</v>
      </c>
      <c r="E323" s="346" t="s">
        <v>491</v>
      </c>
      <c r="F323" s="345" t="s">
        <v>67</v>
      </c>
    </row>
    <row r="324" spans="2:6">
      <c r="B324" s="347" t="s">
        <v>524</v>
      </c>
      <c r="C324" s="348" t="s">
        <v>512</v>
      </c>
      <c r="D324" s="349">
        <v>80844.960000000006</v>
      </c>
      <c r="E324" s="334">
        <f>D324*180</f>
        <v>14552092.800000001</v>
      </c>
      <c r="F324" s="331"/>
    </row>
    <row r="325" spans="2:6">
      <c r="B325" s="350"/>
      <c r="C325" s="348" t="s">
        <v>473</v>
      </c>
      <c r="D325" s="351">
        <v>-21184.85</v>
      </c>
      <c r="E325" s="334">
        <f t="shared" ref="E325:E332" si="11">D325*180</f>
        <v>-3813272.9999999995</v>
      </c>
      <c r="F325" s="331"/>
    </row>
    <row r="326" spans="2:6">
      <c r="B326" s="350"/>
      <c r="C326" s="348" t="s">
        <v>513</v>
      </c>
      <c r="D326" s="349">
        <f>D324+D325</f>
        <v>59660.110000000008</v>
      </c>
      <c r="E326" s="334">
        <f t="shared" si="11"/>
        <v>10738819.800000001</v>
      </c>
      <c r="F326" s="331"/>
    </row>
    <row r="327" spans="2:6">
      <c r="B327" s="350"/>
      <c r="C327" s="348" t="s">
        <v>595</v>
      </c>
      <c r="D327" s="349">
        <v>49827.82</v>
      </c>
      <c r="E327" s="334">
        <f t="shared" si="11"/>
        <v>8969007.5999999996</v>
      </c>
      <c r="F327" s="331"/>
    </row>
    <row r="328" spans="2:6">
      <c r="B328" s="350"/>
      <c r="C328" s="348" t="s">
        <v>596</v>
      </c>
      <c r="D328" s="349">
        <v>556.98</v>
      </c>
      <c r="E328" s="334">
        <f t="shared" si="11"/>
        <v>100256.40000000001</v>
      </c>
      <c r="F328" s="331"/>
    </row>
    <row r="329" spans="2:6">
      <c r="B329" s="350"/>
      <c r="C329" s="348" t="s">
        <v>498</v>
      </c>
      <c r="D329" s="349">
        <v>1379.63</v>
      </c>
      <c r="E329" s="334">
        <f t="shared" si="11"/>
        <v>248333.40000000002</v>
      </c>
      <c r="F329" s="331"/>
    </row>
    <row r="330" spans="2:6">
      <c r="B330" s="350"/>
      <c r="C330" s="348" t="s">
        <v>499</v>
      </c>
      <c r="D330" s="349">
        <f>SUM(D326:D329)</f>
        <v>111424.54000000001</v>
      </c>
      <c r="E330" s="334">
        <f t="shared" si="11"/>
        <v>20056417.200000003</v>
      </c>
      <c r="F330" s="331"/>
    </row>
    <row r="331" spans="2:6">
      <c r="B331" s="350"/>
      <c r="C331" s="348" t="s">
        <v>583</v>
      </c>
      <c r="D331" s="333">
        <f>(D330*50%)-(D316*D315)</f>
        <v>43212.270000000004</v>
      </c>
      <c r="E331" s="334">
        <f t="shared" si="11"/>
        <v>7778208.6000000006</v>
      </c>
      <c r="F331" s="331"/>
    </row>
    <row r="332" spans="2:6">
      <c r="B332" s="350"/>
      <c r="C332" s="348" t="s">
        <v>597</v>
      </c>
      <c r="D332" s="349">
        <v>0</v>
      </c>
      <c r="E332" s="334">
        <f t="shared" si="11"/>
        <v>0</v>
      </c>
      <c r="F332" s="331"/>
    </row>
    <row r="333" spans="2:6">
      <c r="B333" s="350"/>
      <c r="C333" s="355" t="s">
        <v>585</v>
      </c>
      <c r="D333" s="336">
        <f>SUM(D331:D332)</f>
        <v>43212.270000000004</v>
      </c>
      <c r="E333" s="337">
        <f>D333*180</f>
        <v>7778208.6000000006</v>
      </c>
      <c r="F333" s="338"/>
    </row>
    <row r="334" spans="2:6">
      <c r="B334" s="350"/>
      <c r="C334" s="348" t="s">
        <v>518</v>
      </c>
      <c r="D334" s="349">
        <f>IF(D333&gt;0,ROUND(D333/(1+0.06)*16.72%,2),0)</f>
        <v>6816.12</v>
      </c>
      <c r="E334" s="334">
        <f>D334*180</f>
        <v>1226901.6000000001</v>
      </c>
      <c r="F334" s="331"/>
    </row>
    <row r="335" spans="2:6">
      <c r="B335" s="353"/>
      <c r="C335" s="354" t="s">
        <v>598</v>
      </c>
      <c r="D335" s="336">
        <f>D333-D334</f>
        <v>36396.15</v>
      </c>
      <c r="E335" s="337">
        <f>D335*180</f>
        <v>6551307</v>
      </c>
      <c r="F335" s="331"/>
    </row>
    <row r="338" spans="2:6" ht="25.2">
      <c r="B338" s="316" t="s">
        <v>599</v>
      </c>
      <c r="C338" s="317"/>
      <c r="D338" s="317"/>
      <c r="E338" s="318"/>
      <c r="F338" s="317"/>
    </row>
    <row r="339" spans="2:6">
      <c r="B339" s="319" t="s">
        <v>484</v>
      </c>
      <c r="C339" s="320"/>
      <c r="D339" s="321" t="s">
        <v>506</v>
      </c>
      <c r="E339" s="322"/>
      <c r="F339" s="323"/>
    </row>
    <row r="340" spans="2:6">
      <c r="B340" s="324"/>
      <c r="C340" s="325"/>
      <c r="D340" s="326" t="s">
        <v>588</v>
      </c>
      <c r="E340" s="327" t="s">
        <v>550</v>
      </c>
      <c r="F340" s="326" t="s">
        <v>600</v>
      </c>
    </row>
    <row r="341" spans="2:6">
      <c r="B341" s="328" t="s">
        <v>452</v>
      </c>
      <c r="C341" s="296" t="s">
        <v>601</v>
      </c>
      <c r="D341" s="329">
        <v>4</v>
      </c>
      <c r="E341" s="330"/>
      <c r="F341" s="331" t="s">
        <v>602</v>
      </c>
    </row>
    <row r="342" spans="2:6">
      <c r="B342" s="332"/>
      <c r="C342" s="296" t="s">
        <v>522</v>
      </c>
      <c r="D342" s="333">
        <v>2500</v>
      </c>
      <c r="E342" s="334">
        <f>D342*180</f>
        <v>450000</v>
      </c>
      <c r="F342" s="331"/>
    </row>
    <row r="343" spans="2:6">
      <c r="B343" s="332"/>
      <c r="C343" s="296" t="s">
        <v>603</v>
      </c>
      <c r="D343" s="333">
        <v>0</v>
      </c>
      <c r="E343" s="334">
        <f>D343*180</f>
        <v>0</v>
      </c>
      <c r="F343" s="331"/>
    </row>
    <row r="344" spans="2:6">
      <c r="B344" s="332"/>
      <c r="C344" s="339" t="s">
        <v>593</v>
      </c>
      <c r="D344" s="336">
        <f>(D342*D341)+D343</f>
        <v>10000</v>
      </c>
      <c r="E344" s="337">
        <f>D344*180</f>
        <v>1800000</v>
      </c>
      <c r="F344" s="338"/>
    </row>
    <row r="345" spans="2:6">
      <c r="B345" s="332"/>
      <c r="C345" s="296" t="s">
        <v>518</v>
      </c>
      <c r="D345" s="333">
        <f>ROUND(D344/(1+0.06)*16.72%,2)</f>
        <v>1577.36</v>
      </c>
      <c r="E345" s="334">
        <f>D345*180</f>
        <v>283924.8</v>
      </c>
      <c r="F345" s="331"/>
    </row>
    <row r="346" spans="2:6">
      <c r="B346" s="332"/>
      <c r="C346" s="339" t="s">
        <v>578</v>
      </c>
      <c r="D346" s="336">
        <f>D344-D345</f>
        <v>8422.64</v>
      </c>
      <c r="E346" s="337">
        <f>D346*180</f>
        <v>1516075.2</v>
      </c>
      <c r="F346" s="338"/>
    </row>
    <row r="347" spans="2:6">
      <c r="B347" s="340"/>
      <c r="C347" s="321" t="s">
        <v>604</v>
      </c>
      <c r="D347" s="322"/>
      <c r="E347" s="322"/>
      <c r="F347" s="323"/>
    </row>
    <row r="348" spans="2:6">
      <c r="B348" s="341" t="s">
        <v>605</v>
      </c>
      <c r="C348" s="341"/>
      <c r="D348" s="342" t="s">
        <v>308</v>
      </c>
      <c r="E348" s="343"/>
      <c r="F348" s="344"/>
    </row>
    <row r="349" spans="2:6">
      <c r="B349" s="345"/>
      <c r="C349" s="345"/>
      <c r="D349" s="345" t="s">
        <v>470</v>
      </c>
      <c r="E349" s="346" t="s">
        <v>536</v>
      </c>
      <c r="F349" s="345" t="s">
        <v>67</v>
      </c>
    </row>
    <row r="350" spans="2:6">
      <c r="B350" s="347" t="s">
        <v>471</v>
      </c>
      <c r="C350" s="348" t="s">
        <v>606</v>
      </c>
      <c r="D350" s="349">
        <v>64307.98</v>
      </c>
      <c r="E350" s="334">
        <f>D350*180</f>
        <v>11575436.4</v>
      </c>
      <c r="F350" s="331"/>
    </row>
    <row r="351" spans="2:6">
      <c r="B351" s="350"/>
      <c r="C351" s="348" t="s">
        <v>607</v>
      </c>
      <c r="D351" s="351">
        <v>-16938.73</v>
      </c>
      <c r="E351" s="334">
        <f t="shared" ref="E351:E359" si="12">D351*180</f>
        <v>-3048971.4</v>
      </c>
      <c r="F351" s="331"/>
    </row>
    <row r="352" spans="2:6">
      <c r="B352" s="350"/>
      <c r="C352" s="348" t="s">
        <v>581</v>
      </c>
      <c r="D352" s="349">
        <f>D350+D351</f>
        <v>47369.25</v>
      </c>
      <c r="E352" s="334">
        <f t="shared" si="12"/>
        <v>8526465</v>
      </c>
      <c r="F352" s="331"/>
    </row>
    <row r="353" spans="2:6">
      <c r="B353" s="350"/>
      <c r="C353" s="348" t="s">
        <v>608</v>
      </c>
      <c r="D353" s="349">
        <v>40145.839999999997</v>
      </c>
      <c r="E353" s="334">
        <f t="shared" si="12"/>
        <v>7226251.1999999993</v>
      </c>
      <c r="F353" s="331"/>
    </row>
    <row r="354" spans="2:6">
      <c r="B354" s="350"/>
      <c r="C354" s="348" t="s">
        <v>596</v>
      </c>
      <c r="D354" s="349">
        <v>302.75</v>
      </c>
      <c r="E354" s="334">
        <f t="shared" si="12"/>
        <v>54495</v>
      </c>
      <c r="F354" s="331"/>
    </row>
    <row r="355" spans="2:6">
      <c r="B355" s="350"/>
      <c r="C355" s="348" t="s">
        <v>498</v>
      </c>
      <c r="D355" s="349">
        <v>1057.44</v>
      </c>
      <c r="E355" s="334">
        <f t="shared" si="12"/>
        <v>190339.20000000001</v>
      </c>
      <c r="F355" s="331"/>
    </row>
    <row r="356" spans="2:6">
      <c r="B356" s="350"/>
      <c r="C356" s="348" t="s">
        <v>499</v>
      </c>
      <c r="D356" s="349">
        <f>SUM(D352:D355)</f>
        <v>88875.28</v>
      </c>
      <c r="E356" s="334">
        <f t="shared" si="12"/>
        <v>15997550.4</v>
      </c>
      <c r="F356" s="331"/>
    </row>
    <row r="357" spans="2:6">
      <c r="B357" s="350"/>
      <c r="C357" s="348" t="s">
        <v>525</v>
      </c>
      <c r="D357" s="333">
        <f>(D356*50%)-(D342*D341)</f>
        <v>34437.64</v>
      </c>
      <c r="E357" s="334">
        <f t="shared" si="12"/>
        <v>6198775.2000000002</v>
      </c>
      <c r="F357" s="331"/>
    </row>
    <row r="358" spans="2:6">
      <c r="B358" s="350"/>
      <c r="C358" s="348" t="s">
        <v>609</v>
      </c>
      <c r="D358" s="349">
        <v>0</v>
      </c>
      <c r="E358" s="334">
        <f t="shared" si="12"/>
        <v>0</v>
      </c>
      <c r="F358" s="331"/>
    </row>
    <row r="359" spans="2:6">
      <c r="B359" s="350"/>
      <c r="C359" s="348" t="s">
        <v>610</v>
      </c>
      <c r="D359" s="349">
        <v>12.89</v>
      </c>
      <c r="E359" s="334">
        <f t="shared" si="12"/>
        <v>2320.2000000000003</v>
      </c>
      <c r="F359" s="331"/>
    </row>
    <row r="360" spans="2:6">
      <c r="B360" s="350"/>
      <c r="C360" s="355" t="s">
        <v>557</v>
      </c>
      <c r="D360" s="336">
        <f>SUM(D357:D359)</f>
        <v>34450.53</v>
      </c>
      <c r="E360" s="337">
        <f>D360*180</f>
        <v>6201095.3999999994</v>
      </c>
      <c r="F360" s="338"/>
    </row>
    <row r="361" spans="2:6">
      <c r="B361" s="350"/>
      <c r="C361" s="348" t="s">
        <v>533</v>
      </c>
      <c r="D361" s="349">
        <f>IF(D360&gt;0,ROUND(D360/(1+0.06)*16.72%,2),0)</f>
        <v>5434.08</v>
      </c>
      <c r="E361" s="334">
        <f>D361*180</f>
        <v>978134.4</v>
      </c>
      <c r="F361" s="331"/>
    </row>
    <row r="362" spans="2:6">
      <c r="B362" s="353"/>
      <c r="C362" s="354" t="s">
        <v>598</v>
      </c>
      <c r="D362" s="336">
        <f>D360-D361</f>
        <v>29016.449999999997</v>
      </c>
      <c r="E362" s="337">
        <f>D362*180</f>
        <v>5222960.9999999991</v>
      </c>
      <c r="F362" s="331"/>
    </row>
    <row r="365" spans="2:6" ht="25.2">
      <c r="B365" s="316" t="s">
        <v>611</v>
      </c>
      <c r="C365" s="317"/>
      <c r="D365" s="317"/>
      <c r="E365" s="318"/>
      <c r="F365" s="317"/>
    </row>
    <row r="366" spans="2:6">
      <c r="B366" s="319" t="s">
        <v>605</v>
      </c>
      <c r="C366" s="320"/>
      <c r="D366" s="321" t="s">
        <v>529</v>
      </c>
      <c r="E366" s="322"/>
      <c r="F366" s="323"/>
    </row>
    <row r="367" spans="2:6">
      <c r="B367" s="324"/>
      <c r="C367" s="325"/>
      <c r="D367" s="326" t="s">
        <v>612</v>
      </c>
      <c r="E367" s="327" t="s">
        <v>589</v>
      </c>
      <c r="F367" s="326" t="s">
        <v>590</v>
      </c>
    </row>
    <row r="368" spans="2:6">
      <c r="B368" s="328" t="s">
        <v>568</v>
      </c>
      <c r="C368" s="296" t="s">
        <v>509</v>
      </c>
      <c r="D368" s="329">
        <v>4</v>
      </c>
      <c r="E368" s="330"/>
      <c r="F368" s="331" t="s">
        <v>613</v>
      </c>
    </row>
    <row r="369" spans="2:6">
      <c r="B369" s="332"/>
      <c r="C369" s="296" t="s">
        <v>614</v>
      </c>
      <c r="D369" s="333">
        <v>2500</v>
      </c>
      <c r="E369" s="334">
        <f>D369*180</f>
        <v>450000</v>
      </c>
      <c r="F369" s="331"/>
    </row>
    <row r="370" spans="2:6">
      <c r="B370" s="332"/>
      <c r="C370" s="296" t="s">
        <v>603</v>
      </c>
      <c r="D370" s="333">
        <v>0</v>
      </c>
      <c r="E370" s="334">
        <f>D370*180</f>
        <v>0</v>
      </c>
      <c r="F370" s="331"/>
    </row>
    <row r="371" spans="2:6">
      <c r="B371" s="332"/>
      <c r="C371" s="339" t="s">
        <v>615</v>
      </c>
      <c r="D371" s="336">
        <f>(D369*D368)+D370</f>
        <v>10000</v>
      </c>
      <c r="E371" s="337">
        <f>D371*180</f>
        <v>1800000</v>
      </c>
      <c r="F371" s="338"/>
    </row>
    <row r="372" spans="2:6">
      <c r="B372" s="332"/>
      <c r="C372" s="296" t="s">
        <v>533</v>
      </c>
      <c r="D372" s="333">
        <f>ROUND(D371/(1+0.06)*16.72%,2)</f>
        <v>1577.36</v>
      </c>
      <c r="E372" s="334">
        <f>D372*180</f>
        <v>283924.8</v>
      </c>
      <c r="F372" s="331"/>
    </row>
    <row r="373" spans="2:6">
      <c r="B373" s="332"/>
      <c r="C373" s="339" t="s">
        <v>616</v>
      </c>
      <c r="D373" s="336">
        <f>D371-D372</f>
        <v>8422.64</v>
      </c>
      <c r="E373" s="337">
        <f>D373*180</f>
        <v>1516075.2</v>
      </c>
      <c r="F373" s="338"/>
    </row>
    <row r="374" spans="2:6">
      <c r="B374" s="340"/>
      <c r="C374" s="321" t="s">
        <v>579</v>
      </c>
      <c r="D374" s="322"/>
      <c r="E374" s="322"/>
      <c r="F374" s="323"/>
    </row>
    <row r="375" spans="2:6">
      <c r="B375" s="341" t="s">
        <v>594</v>
      </c>
      <c r="C375" s="341"/>
      <c r="D375" s="342" t="s">
        <v>308</v>
      </c>
      <c r="E375" s="343"/>
      <c r="F375" s="344"/>
    </row>
    <row r="376" spans="2:6">
      <c r="B376" s="345"/>
      <c r="C376" s="345"/>
      <c r="D376" s="345" t="s">
        <v>470</v>
      </c>
      <c r="E376" s="346" t="s">
        <v>461</v>
      </c>
      <c r="F376" s="345" t="s">
        <v>67</v>
      </c>
    </row>
    <row r="377" spans="2:6">
      <c r="B377" s="347" t="s">
        <v>580</v>
      </c>
      <c r="C377" s="348" t="s">
        <v>472</v>
      </c>
      <c r="D377" s="349">
        <v>60598.21</v>
      </c>
      <c r="E377" s="334">
        <f>D377*180</f>
        <v>10907677.800000001</v>
      </c>
      <c r="F377" s="331"/>
    </row>
    <row r="378" spans="2:6">
      <c r="B378" s="350"/>
      <c r="C378" s="348" t="s">
        <v>607</v>
      </c>
      <c r="D378" s="351">
        <v>-15886.67</v>
      </c>
      <c r="E378" s="334">
        <f t="shared" ref="E378:E387" si="13">D378*180</f>
        <v>-2859600.6</v>
      </c>
      <c r="F378" s="331"/>
    </row>
    <row r="379" spans="2:6">
      <c r="B379" s="350"/>
      <c r="C379" s="348" t="s">
        <v>513</v>
      </c>
      <c r="D379" s="349">
        <f>D377+D378</f>
        <v>44711.54</v>
      </c>
      <c r="E379" s="334">
        <f t="shared" si="13"/>
        <v>8048077.2000000002</v>
      </c>
      <c r="F379" s="331"/>
    </row>
    <row r="380" spans="2:6">
      <c r="B380" s="350"/>
      <c r="C380" s="348" t="s">
        <v>496</v>
      </c>
      <c r="D380" s="349">
        <v>38475.18</v>
      </c>
      <c r="E380" s="334">
        <f t="shared" si="13"/>
        <v>6925532.4000000004</v>
      </c>
      <c r="F380" s="331"/>
    </row>
    <row r="381" spans="2:6">
      <c r="B381" s="350"/>
      <c r="C381" s="348" t="s">
        <v>497</v>
      </c>
      <c r="D381" s="349">
        <v>394.46</v>
      </c>
      <c r="E381" s="334">
        <f t="shared" si="13"/>
        <v>71002.8</v>
      </c>
      <c r="F381" s="331"/>
    </row>
    <row r="382" spans="2:6">
      <c r="B382" s="350"/>
      <c r="C382" s="348" t="s">
        <v>617</v>
      </c>
      <c r="D382" s="349">
        <v>1328.76</v>
      </c>
      <c r="E382" s="334">
        <f t="shared" si="13"/>
        <v>239176.8</v>
      </c>
      <c r="F382" s="331"/>
    </row>
    <row r="383" spans="2:6">
      <c r="B383" s="350"/>
      <c r="C383" s="348" t="s">
        <v>618</v>
      </c>
      <c r="D383" s="349">
        <f>SUM(D379:D382)</f>
        <v>84909.94</v>
      </c>
      <c r="E383" s="334">
        <f t="shared" si="13"/>
        <v>15283789.200000001</v>
      </c>
      <c r="F383" s="331"/>
    </row>
    <row r="384" spans="2:6">
      <c r="B384" s="350"/>
      <c r="C384" s="348" t="s">
        <v>619</v>
      </c>
      <c r="D384" s="333">
        <f>(D383*50%)-(D369*D368)</f>
        <v>32454.97</v>
      </c>
      <c r="E384" s="334">
        <f t="shared" si="13"/>
        <v>5841894.6000000006</v>
      </c>
      <c r="F384" s="331"/>
    </row>
    <row r="385" spans="2:6">
      <c r="B385" s="350"/>
      <c r="C385" s="348" t="s">
        <v>517</v>
      </c>
      <c r="D385" s="349">
        <v>0</v>
      </c>
      <c r="E385" s="334">
        <f t="shared" si="13"/>
        <v>0</v>
      </c>
      <c r="F385" s="331"/>
    </row>
    <row r="386" spans="2:6">
      <c r="B386" s="350"/>
      <c r="C386" s="348" t="s">
        <v>620</v>
      </c>
      <c r="D386" s="349">
        <v>19.59</v>
      </c>
      <c r="E386" s="334">
        <f t="shared" si="13"/>
        <v>3526.2</v>
      </c>
      <c r="F386" s="331"/>
    </row>
    <row r="387" spans="2:6">
      <c r="B387" s="350"/>
      <c r="C387" s="348" t="s">
        <v>621</v>
      </c>
      <c r="D387" s="349">
        <v>95.31</v>
      </c>
      <c r="E387" s="334">
        <f t="shared" si="13"/>
        <v>17155.8</v>
      </c>
      <c r="F387" s="331"/>
    </row>
    <row r="388" spans="2:6">
      <c r="B388" s="350"/>
      <c r="C388" s="355" t="s">
        <v>585</v>
      </c>
      <c r="D388" s="336">
        <f>SUM(D384:D387)</f>
        <v>32569.870000000003</v>
      </c>
      <c r="E388" s="337">
        <f>D388*180</f>
        <v>5862576.6000000006</v>
      </c>
      <c r="F388" s="338"/>
    </row>
    <row r="389" spans="2:6">
      <c r="B389" s="350"/>
      <c r="C389" s="348" t="s">
        <v>489</v>
      </c>
      <c r="D389" s="349">
        <v>5137.43</v>
      </c>
      <c r="E389" s="334">
        <f>D389*180</f>
        <v>924737.4</v>
      </c>
      <c r="F389" s="331"/>
    </row>
    <row r="390" spans="2:6">
      <c r="B390" s="353"/>
      <c r="C390" s="354" t="s">
        <v>503</v>
      </c>
      <c r="D390" s="336">
        <f>D388-D389</f>
        <v>27432.440000000002</v>
      </c>
      <c r="E390" s="337">
        <f>D390*180</f>
        <v>4937839.2</v>
      </c>
      <c r="F390" s="331"/>
    </row>
    <row r="393" spans="2:6" ht="25.2">
      <c r="B393" s="316" t="s">
        <v>622</v>
      </c>
      <c r="C393" s="317"/>
      <c r="D393" s="317"/>
      <c r="E393" s="318"/>
      <c r="F393" s="317"/>
    </row>
    <row r="394" spans="2:6">
      <c r="B394" s="319" t="s">
        <v>484</v>
      </c>
      <c r="C394" s="320"/>
      <c r="D394" s="321" t="s">
        <v>529</v>
      </c>
      <c r="E394" s="322"/>
      <c r="F394" s="323"/>
    </row>
    <row r="395" spans="2:6">
      <c r="B395" s="324"/>
      <c r="C395" s="325"/>
      <c r="D395" s="326" t="s">
        <v>612</v>
      </c>
      <c r="E395" s="327" t="s">
        <v>461</v>
      </c>
      <c r="F395" s="326" t="s">
        <v>428</v>
      </c>
    </row>
    <row r="396" spans="2:6">
      <c r="B396" s="328" t="s">
        <v>520</v>
      </c>
      <c r="C396" s="296" t="s">
        <v>601</v>
      </c>
      <c r="D396" s="329">
        <v>5</v>
      </c>
      <c r="E396" s="330"/>
      <c r="F396" s="331" t="s">
        <v>623</v>
      </c>
    </row>
    <row r="397" spans="2:6">
      <c r="B397" s="332"/>
      <c r="C397" s="296" t="s">
        <v>614</v>
      </c>
      <c r="D397" s="333">
        <v>2500</v>
      </c>
      <c r="E397" s="334">
        <f>D397*180</f>
        <v>450000</v>
      </c>
      <c r="F397" s="331"/>
    </row>
    <row r="398" spans="2:6">
      <c r="B398" s="332"/>
      <c r="C398" s="296" t="s">
        <v>624</v>
      </c>
      <c r="D398" s="333">
        <v>0</v>
      </c>
      <c r="E398" s="334">
        <f>D398*180</f>
        <v>0</v>
      </c>
      <c r="F398" s="331"/>
    </row>
    <row r="399" spans="2:6">
      <c r="B399" s="332"/>
      <c r="C399" s="339" t="s">
        <v>615</v>
      </c>
      <c r="D399" s="336">
        <f>(D397*D396)+D398</f>
        <v>12500</v>
      </c>
      <c r="E399" s="337">
        <f>D399*180</f>
        <v>2250000</v>
      </c>
      <c r="F399" s="338"/>
    </row>
    <row r="400" spans="2:6">
      <c r="B400" s="332"/>
      <c r="C400" s="296" t="s">
        <v>489</v>
      </c>
      <c r="D400" s="333">
        <f>ROUND(D399/(1+0.06)*16.72%,2)</f>
        <v>1971.7</v>
      </c>
      <c r="E400" s="334">
        <f>D400*180</f>
        <v>354906</v>
      </c>
      <c r="F400" s="331"/>
    </row>
    <row r="401" spans="2:6">
      <c r="B401" s="332"/>
      <c r="C401" s="339" t="s">
        <v>578</v>
      </c>
      <c r="D401" s="336">
        <f>D399-D400</f>
        <v>10528.3</v>
      </c>
      <c r="E401" s="337">
        <f>D401*180</f>
        <v>1895093.9999999998</v>
      </c>
      <c r="F401" s="338"/>
    </row>
    <row r="402" spans="2:6">
      <c r="B402" s="340"/>
      <c r="C402" s="321" t="s">
        <v>604</v>
      </c>
      <c r="D402" s="322"/>
      <c r="E402" s="322"/>
      <c r="F402" s="323"/>
    </row>
    <row r="403" spans="2:6">
      <c r="B403" s="341" t="s">
        <v>605</v>
      </c>
      <c r="C403" s="341"/>
      <c r="D403" s="342" t="s">
        <v>308</v>
      </c>
      <c r="E403" s="343"/>
      <c r="F403" s="344"/>
    </row>
    <row r="404" spans="2:6">
      <c r="B404" s="345"/>
      <c r="C404" s="345"/>
      <c r="D404" s="345" t="s">
        <v>470</v>
      </c>
      <c r="E404" s="346" t="s">
        <v>461</v>
      </c>
      <c r="F404" s="345" t="s">
        <v>67</v>
      </c>
    </row>
    <row r="405" spans="2:6">
      <c r="B405" s="347" t="s">
        <v>580</v>
      </c>
      <c r="C405" s="348" t="s">
        <v>512</v>
      </c>
      <c r="D405" s="349">
        <v>83464.97</v>
      </c>
      <c r="E405" s="334">
        <f>D405*180</f>
        <v>15023694.6</v>
      </c>
      <c r="F405" s="331"/>
    </row>
    <row r="406" spans="2:6">
      <c r="B406" s="350"/>
      <c r="C406" s="348" t="s">
        <v>607</v>
      </c>
      <c r="D406" s="351">
        <v>-21943.68</v>
      </c>
      <c r="E406" s="334">
        <f t="shared" ref="E406:E415" si="14">D406*180</f>
        <v>-3949862.4</v>
      </c>
      <c r="F406" s="331"/>
    </row>
    <row r="407" spans="2:6">
      <c r="B407" s="350"/>
      <c r="C407" s="348" t="s">
        <v>625</v>
      </c>
      <c r="D407" s="349">
        <f>D405+D406</f>
        <v>61521.29</v>
      </c>
      <c r="E407" s="334">
        <f t="shared" si="14"/>
        <v>11073832.199999999</v>
      </c>
      <c r="F407" s="331"/>
    </row>
    <row r="408" spans="2:6">
      <c r="B408" s="350"/>
      <c r="C408" s="348" t="s">
        <v>608</v>
      </c>
      <c r="D408" s="349">
        <v>32624.05</v>
      </c>
      <c r="E408" s="334">
        <f t="shared" si="14"/>
        <v>5872329</v>
      </c>
      <c r="F408" s="331"/>
    </row>
    <row r="409" spans="2:6">
      <c r="B409" s="350"/>
      <c r="C409" s="348" t="s">
        <v>582</v>
      </c>
      <c r="D409" s="349">
        <v>402.53</v>
      </c>
      <c r="E409" s="334">
        <f t="shared" si="14"/>
        <v>72455.399999999994</v>
      </c>
      <c r="F409" s="331"/>
    </row>
    <row r="410" spans="2:6">
      <c r="B410" s="350"/>
      <c r="C410" s="348" t="s">
        <v>498</v>
      </c>
      <c r="D410" s="349">
        <v>1784.18</v>
      </c>
      <c r="E410" s="334">
        <f t="shared" si="14"/>
        <v>321152.40000000002</v>
      </c>
      <c r="F410" s="331"/>
    </row>
    <row r="411" spans="2:6">
      <c r="B411" s="350"/>
      <c r="C411" s="348" t="s">
        <v>516</v>
      </c>
      <c r="D411" s="349">
        <f>SUM(D407:D410)</f>
        <v>96332.049999999988</v>
      </c>
      <c r="E411" s="334">
        <f t="shared" si="14"/>
        <v>17339768.999999996</v>
      </c>
      <c r="F411" s="331"/>
    </row>
    <row r="412" spans="2:6">
      <c r="B412" s="350"/>
      <c r="C412" s="348" t="s">
        <v>583</v>
      </c>
      <c r="D412" s="333">
        <f>(D411*50%)-(D397*D396)</f>
        <v>35666.024999999994</v>
      </c>
      <c r="E412" s="334">
        <f t="shared" si="14"/>
        <v>6419884.4999999991</v>
      </c>
      <c r="F412" s="331"/>
    </row>
    <row r="413" spans="2:6">
      <c r="B413" s="350"/>
      <c r="C413" s="348" t="s">
        <v>609</v>
      </c>
      <c r="D413" s="349">
        <v>0</v>
      </c>
      <c r="E413" s="334">
        <f t="shared" si="14"/>
        <v>0</v>
      </c>
      <c r="F413" s="331"/>
    </row>
    <row r="414" spans="2:6">
      <c r="B414" s="350"/>
      <c r="C414" s="348" t="s">
        <v>626</v>
      </c>
      <c r="D414" s="349">
        <v>16.39</v>
      </c>
      <c r="E414" s="334">
        <f t="shared" si="14"/>
        <v>2950.2000000000003</v>
      </c>
      <c r="F414" s="331"/>
    </row>
    <row r="415" spans="2:6">
      <c r="B415" s="350"/>
      <c r="C415" s="348" t="s">
        <v>621</v>
      </c>
      <c r="D415" s="349">
        <v>60.18</v>
      </c>
      <c r="E415" s="334">
        <f t="shared" si="14"/>
        <v>10832.4</v>
      </c>
      <c r="F415" s="331"/>
    </row>
    <row r="416" spans="2:6">
      <c r="B416" s="350"/>
      <c r="C416" s="355" t="s">
        <v>627</v>
      </c>
      <c r="D416" s="336">
        <f>SUM(D412:D415)</f>
        <v>35742.594999999994</v>
      </c>
      <c r="E416" s="337">
        <f>D416*180</f>
        <v>6433667.0999999987</v>
      </c>
      <c r="F416" s="338"/>
    </row>
    <row r="417" spans="2:6">
      <c r="B417" s="350"/>
      <c r="C417" s="348" t="s">
        <v>518</v>
      </c>
      <c r="D417" s="349">
        <v>5637.89</v>
      </c>
      <c r="E417" s="334">
        <f>D417*180</f>
        <v>1014820.2000000001</v>
      </c>
      <c r="F417" s="331"/>
    </row>
    <row r="418" spans="2:6">
      <c r="B418" s="353"/>
      <c r="C418" s="354" t="s">
        <v>503</v>
      </c>
      <c r="D418" s="336">
        <f>D416-D417</f>
        <v>30104.704999999994</v>
      </c>
      <c r="E418" s="337">
        <f>D418*180</f>
        <v>5418846.8999999994</v>
      </c>
      <c r="F418" s="331"/>
    </row>
    <row r="421" spans="2:6" ht="25.2">
      <c r="B421" s="316" t="s">
        <v>628</v>
      </c>
      <c r="C421" s="317"/>
      <c r="D421" s="317"/>
      <c r="E421" s="318"/>
      <c r="F421" s="317"/>
    </row>
    <row r="422" spans="2:6">
      <c r="B422" s="319" t="s">
        <v>505</v>
      </c>
      <c r="C422" s="320"/>
      <c r="D422" s="321" t="s">
        <v>529</v>
      </c>
      <c r="E422" s="322"/>
      <c r="F422" s="323"/>
    </row>
    <row r="423" spans="2:6">
      <c r="B423" s="324"/>
      <c r="C423" s="325"/>
      <c r="D423" s="326" t="s">
        <v>460</v>
      </c>
      <c r="E423" s="327" t="s">
        <v>491</v>
      </c>
      <c r="F423" s="326" t="s">
        <v>600</v>
      </c>
    </row>
    <row r="424" spans="2:6">
      <c r="B424" s="328" t="s">
        <v>520</v>
      </c>
      <c r="C424" s="296" t="s">
        <v>486</v>
      </c>
      <c r="D424" s="329">
        <v>3</v>
      </c>
      <c r="E424" s="330"/>
      <c r="F424" s="331" t="s">
        <v>629</v>
      </c>
    </row>
    <row r="425" spans="2:6">
      <c r="B425" s="332"/>
      <c r="C425" s="296" t="s">
        <v>614</v>
      </c>
      <c r="D425" s="333">
        <v>2500</v>
      </c>
      <c r="E425" s="334">
        <f>D425*180</f>
        <v>450000</v>
      </c>
      <c r="F425" s="331"/>
    </row>
    <row r="426" spans="2:6">
      <c r="B426" s="332"/>
      <c r="C426" s="296" t="s">
        <v>624</v>
      </c>
      <c r="D426" s="333">
        <v>0</v>
      </c>
      <c r="E426" s="334">
        <f t="shared" ref="E426:E429" si="15">D426*180</f>
        <v>0</v>
      </c>
      <c r="F426" s="331"/>
    </row>
    <row r="427" spans="2:6">
      <c r="B427" s="332"/>
      <c r="C427" s="339" t="s">
        <v>466</v>
      </c>
      <c r="D427" s="336">
        <f>(D425*D424)+D426</f>
        <v>7500</v>
      </c>
      <c r="E427" s="337">
        <f t="shared" si="15"/>
        <v>1350000</v>
      </c>
      <c r="F427" s="338"/>
    </row>
    <row r="428" spans="2:6">
      <c r="B428" s="332"/>
      <c r="C428" s="296" t="s">
        <v>533</v>
      </c>
      <c r="D428" s="333">
        <f>ROUND(D427/(1+0.06)*16.72%,2)</f>
        <v>1183.02</v>
      </c>
      <c r="E428" s="334">
        <f t="shared" si="15"/>
        <v>212943.6</v>
      </c>
      <c r="F428" s="331"/>
    </row>
    <row r="429" spans="2:6">
      <c r="B429" s="332"/>
      <c r="C429" s="339" t="s">
        <v>468</v>
      </c>
      <c r="D429" s="336">
        <f>D427-D428</f>
        <v>6316.98</v>
      </c>
      <c r="E429" s="337">
        <f t="shared" si="15"/>
        <v>1137056.3999999999</v>
      </c>
      <c r="F429" s="338"/>
    </row>
    <row r="430" spans="2:6">
      <c r="B430" s="340"/>
      <c r="C430" s="321" t="s">
        <v>490</v>
      </c>
      <c r="D430" s="322"/>
      <c r="E430" s="322"/>
      <c r="F430" s="323"/>
    </row>
    <row r="431" spans="2:6">
      <c r="B431" s="341" t="s">
        <v>605</v>
      </c>
      <c r="C431" s="341"/>
      <c r="D431" s="342" t="s">
        <v>308</v>
      </c>
      <c r="E431" s="343"/>
      <c r="F431" s="344"/>
    </row>
    <row r="432" spans="2:6">
      <c r="B432" s="345"/>
      <c r="C432" s="345"/>
      <c r="D432" s="345" t="s">
        <v>470</v>
      </c>
      <c r="E432" s="346" t="s">
        <v>536</v>
      </c>
      <c r="F432" s="345" t="s">
        <v>67</v>
      </c>
    </row>
    <row r="433" spans="2:6">
      <c r="B433" s="347" t="s">
        <v>580</v>
      </c>
      <c r="C433" s="348" t="s">
        <v>512</v>
      </c>
      <c r="D433" s="349">
        <v>74858.91</v>
      </c>
      <c r="E433" s="334">
        <f>D433*180</f>
        <v>13474603.800000001</v>
      </c>
      <c r="F433" s="331"/>
    </row>
    <row r="434" spans="2:6">
      <c r="B434" s="350"/>
      <c r="C434" s="348" t="s">
        <v>473</v>
      </c>
      <c r="D434" s="351">
        <v>-19522.13</v>
      </c>
      <c r="E434" s="334">
        <f t="shared" ref="E434:E443" si="16">D434*180</f>
        <v>-3513983.4000000004</v>
      </c>
      <c r="F434" s="331"/>
    </row>
    <row r="435" spans="2:6">
      <c r="B435" s="350"/>
      <c r="C435" s="348" t="s">
        <v>625</v>
      </c>
      <c r="D435" s="349">
        <f>D433+D434</f>
        <v>55336.78</v>
      </c>
      <c r="E435" s="334">
        <f t="shared" si="16"/>
        <v>9960620.4000000004</v>
      </c>
      <c r="F435" s="331"/>
    </row>
    <row r="436" spans="2:6">
      <c r="B436" s="350"/>
      <c r="C436" s="348" t="s">
        <v>608</v>
      </c>
      <c r="D436" s="349">
        <v>23640.28</v>
      </c>
      <c r="E436" s="334">
        <f t="shared" si="16"/>
        <v>4255250.3999999994</v>
      </c>
      <c r="F436" s="331"/>
    </row>
    <row r="437" spans="2:6">
      <c r="B437" s="350"/>
      <c r="C437" s="348" t="s">
        <v>497</v>
      </c>
      <c r="D437" s="349">
        <v>440.58</v>
      </c>
      <c r="E437" s="334">
        <f t="shared" si="16"/>
        <v>79304.399999999994</v>
      </c>
      <c r="F437" s="331"/>
    </row>
    <row r="438" spans="2:6">
      <c r="B438" s="350"/>
      <c r="C438" s="348" t="s">
        <v>515</v>
      </c>
      <c r="D438" s="349">
        <v>2580.33</v>
      </c>
      <c r="E438" s="334">
        <f t="shared" si="16"/>
        <v>464459.39999999997</v>
      </c>
      <c r="F438" s="331"/>
    </row>
    <row r="439" spans="2:6">
      <c r="B439" s="350"/>
      <c r="C439" s="348" t="s">
        <v>516</v>
      </c>
      <c r="D439" s="349">
        <f>SUM(D435:D438)</f>
        <v>81997.97</v>
      </c>
      <c r="E439" s="334">
        <f t="shared" si="16"/>
        <v>14759634.6</v>
      </c>
      <c r="F439" s="331"/>
    </row>
    <row r="440" spans="2:6">
      <c r="B440" s="350"/>
      <c r="C440" s="348" t="s">
        <v>546</v>
      </c>
      <c r="D440" s="333">
        <f>(D439*50%)-(D425*D424)</f>
        <v>33498.985000000001</v>
      </c>
      <c r="E440" s="334">
        <f t="shared" si="16"/>
        <v>6029817.2999999998</v>
      </c>
      <c r="F440" s="331"/>
    </row>
    <row r="441" spans="2:6">
      <c r="B441" s="350"/>
      <c r="C441" s="348" t="s">
        <v>517</v>
      </c>
      <c r="D441" s="349">
        <v>0</v>
      </c>
      <c r="E441" s="334">
        <f t="shared" si="16"/>
        <v>0</v>
      </c>
      <c r="F441" s="331"/>
    </row>
    <row r="442" spans="2:6">
      <c r="B442" s="350"/>
      <c r="C442" s="348" t="s">
        <v>620</v>
      </c>
      <c r="D442" s="349">
        <v>0.26</v>
      </c>
      <c r="E442" s="334">
        <f t="shared" si="16"/>
        <v>46.800000000000004</v>
      </c>
      <c r="F442" s="331"/>
    </row>
    <row r="443" spans="2:6">
      <c r="B443" s="350"/>
      <c r="C443" s="348" t="s">
        <v>621</v>
      </c>
      <c r="D443" s="349">
        <v>20.49</v>
      </c>
      <c r="E443" s="334">
        <f t="shared" si="16"/>
        <v>3688.2</v>
      </c>
      <c r="F443" s="331"/>
    </row>
    <row r="444" spans="2:6">
      <c r="B444" s="350"/>
      <c r="C444" s="355" t="s">
        <v>627</v>
      </c>
      <c r="D444" s="336">
        <f>SUM(D440:D443)</f>
        <v>33519.735000000001</v>
      </c>
      <c r="E444" s="337">
        <f>D444*180</f>
        <v>6033552.2999999998</v>
      </c>
      <c r="F444" s="338"/>
    </row>
    <row r="445" spans="2:6">
      <c r="B445" s="350"/>
      <c r="C445" s="348" t="s">
        <v>518</v>
      </c>
      <c r="D445" s="349">
        <v>5287.26</v>
      </c>
      <c r="E445" s="334">
        <f>D445*180</f>
        <v>951706.8</v>
      </c>
      <c r="F445" s="331"/>
    </row>
    <row r="446" spans="2:6">
      <c r="B446" s="353"/>
      <c r="C446" s="354" t="s">
        <v>503</v>
      </c>
      <c r="D446" s="336">
        <f>D444-D445</f>
        <v>28232.474999999999</v>
      </c>
      <c r="E446" s="337">
        <f t="shared" ref="E446" si="17">D446*180</f>
        <v>5081845.5</v>
      </c>
      <c r="F446" s="331"/>
    </row>
    <row r="449" spans="2:6" ht="25.2">
      <c r="B449" s="316" t="s">
        <v>630</v>
      </c>
      <c r="C449" s="317"/>
      <c r="D449" s="317"/>
      <c r="E449" s="318"/>
      <c r="F449" s="317"/>
    </row>
    <row r="450" spans="2:6">
      <c r="B450" s="319" t="s">
        <v>605</v>
      </c>
      <c r="C450" s="320"/>
      <c r="D450" s="321" t="s">
        <v>506</v>
      </c>
      <c r="E450" s="322"/>
      <c r="F450" s="323"/>
    </row>
    <row r="451" spans="2:6">
      <c r="B451" s="324"/>
      <c r="C451" s="325"/>
      <c r="D451" s="326" t="s">
        <v>460</v>
      </c>
      <c r="E451" s="327" t="s">
        <v>461</v>
      </c>
      <c r="F451" s="326" t="s">
        <v>590</v>
      </c>
    </row>
    <row r="452" spans="2:6">
      <c r="B452" s="328" t="s">
        <v>452</v>
      </c>
      <c r="C452" s="296" t="s">
        <v>601</v>
      </c>
      <c r="D452" s="329">
        <v>3</v>
      </c>
      <c r="E452" s="330"/>
      <c r="F452" s="331" t="s">
        <v>631</v>
      </c>
    </row>
    <row r="453" spans="2:6">
      <c r="B453" s="332"/>
      <c r="C453" s="296" t="s">
        <v>464</v>
      </c>
      <c r="D453" s="356">
        <v>2500</v>
      </c>
      <c r="E453" s="334">
        <f>D453*180</f>
        <v>450000</v>
      </c>
      <c r="F453" s="331"/>
    </row>
    <row r="454" spans="2:6">
      <c r="B454" s="332"/>
      <c r="C454" s="296" t="s">
        <v>624</v>
      </c>
      <c r="D454" s="356">
        <v>0</v>
      </c>
      <c r="E454" s="334">
        <f t="shared" ref="E454:E457" si="18">D454*180</f>
        <v>0</v>
      </c>
      <c r="F454" s="331"/>
    </row>
    <row r="455" spans="2:6">
      <c r="B455" s="332"/>
      <c r="C455" s="339" t="s">
        <v>632</v>
      </c>
      <c r="D455" s="357">
        <f>(D453*D452)+D454</f>
        <v>7500</v>
      </c>
      <c r="E455" s="337">
        <f t="shared" si="18"/>
        <v>1350000</v>
      </c>
      <c r="F455" s="338"/>
    </row>
    <row r="456" spans="2:6">
      <c r="B456" s="332"/>
      <c r="C456" s="296" t="s">
        <v>489</v>
      </c>
      <c r="D456" s="356">
        <f>ROUND(D455/(1+0.06)*16.72%,2)</f>
        <v>1183.02</v>
      </c>
      <c r="E456" s="334">
        <f t="shared" si="18"/>
        <v>212943.6</v>
      </c>
      <c r="F456" s="331"/>
    </row>
    <row r="457" spans="2:6">
      <c r="B457" s="332"/>
      <c r="C457" s="339" t="s">
        <v>468</v>
      </c>
      <c r="D457" s="357">
        <f>D455-D456</f>
        <v>6316.98</v>
      </c>
      <c r="E457" s="337">
        <f t="shared" si="18"/>
        <v>1137056.3999999999</v>
      </c>
      <c r="F457" s="338"/>
    </row>
    <row r="458" spans="2:6">
      <c r="B458" s="340"/>
      <c r="C458" s="321" t="s">
        <v>579</v>
      </c>
      <c r="D458" s="322"/>
      <c r="E458" s="322"/>
      <c r="F458" s="323"/>
    </row>
    <row r="459" spans="2:6">
      <c r="B459" s="341" t="s">
        <v>505</v>
      </c>
      <c r="C459" s="341"/>
      <c r="D459" s="342" t="s">
        <v>308</v>
      </c>
      <c r="E459" s="343"/>
      <c r="F459" s="344"/>
    </row>
    <row r="460" spans="2:6">
      <c r="B460" s="345"/>
      <c r="C460" s="345"/>
      <c r="D460" s="345" t="s">
        <v>470</v>
      </c>
      <c r="E460" s="346" t="s">
        <v>461</v>
      </c>
      <c r="F460" s="345" t="s">
        <v>67</v>
      </c>
    </row>
    <row r="461" spans="2:6">
      <c r="B461" s="347" t="s">
        <v>524</v>
      </c>
      <c r="C461" s="348" t="s">
        <v>512</v>
      </c>
      <c r="D461" s="358">
        <v>49594.06</v>
      </c>
      <c r="E461" s="334">
        <f>D461*180</f>
        <v>8926930.7999999989</v>
      </c>
      <c r="F461" s="331"/>
    </row>
    <row r="462" spans="2:6">
      <c r="B462" s="350"/>
      <c r="C462" s="348" t="s">
        <v>473</v>
      </c>
      <c r="D462" s="359">
        <v>-13037.76</v>
      </c>
      <c r="E462" s="334">
        <f t="shared" ref="E462:E471" si="19">D462*180</f>
        <v>-2346796.7999999998</v>
      </c>
      <c r="F462" s="331"/>
    </row>
    <row r="463" spans="2:6">
      <c r="B463" s="350"/>
      <c r="C463" s="348" t="s">
        <v>513</v>
      </c>
      <c r="D463" s="358">
        <f>D461+D462</f>
        <v>36556.299999999996</v>
      </c>
      <c r="E463" s="334">
        <f t="shared" si="19"/>
        <v>6580133.9999999991</v>
      </c>
      <c r="F463" s="331"/>
    </row>
    <row r="464" spans="2:6">
      <c r="B464" s="350"/>
      <c r="C464" s="348" t="s">
        <v>496</v>
      </c>
      <c r="D464" s="358">
        <v>22934.959999999999</v>
      </c>
      <c r="E464" s="334">
        <f t="shared" si="19"/>
        <v>4128292.8</v>
      </c>
      <c r="F464" s="331"/>
    </row>
    <row r="465" spans="2:6">
      <c r="B465" s="350"/>
      <c r="C465" s="348" t="s">
        <v>582</v>
      </c>
      <c r="D465" s="358">
        <v>261.85000000000002</v>
      </c>
      <c r="E465" s="334">
        <f t="shared" si="19"/>
        <v>47133.000000000007</v>
      </c>
      <c r="F465" s="331"/>
    </row>
    <row r="466" spans="2:6">
      <c r="B466" s="350"/>
      <c r="C466" s="348" t="s">
        <v>515</v>
      </c>
      <c r="D466" s="358">
        <v>1679.82</v>
      </c>
      <c r="E466" s="334">
        <f t="shared" si="19"/>
        <v>302367.59999999998</v>
      </c>
      <c r="F466" s="331"/>
    </row>
    <row r="467" spans="2:6">
      <c r="B467" s="350"/>
      <c r="C467" s="348" t="s">
        <v>516</v>
      </c>
      <c r="D467" s="358">
        <f>SUM(D463:D466)</f>
        <v>61432.929999999993</v>
      </c>
      <c r="E467" s="334">
        <f t="shared" si="19"/>
        <v>11057927.399999999</v>
      </c>
      <c r="F467" s="331"/>
    </row>
    <row r="468" spans="2:6">
      <c r="B468" s="350"/>
      <c r="C468" s="348" t="s">
        <v>546</v>
      </c>
      <c r="D468" s="356">
        <f>(D467*50%)-(D453*D452)</f>
        <v>23216.464999999997</v>
      </c>
      <c r="E468" s="334">
        <f t="shared" si="19"/>
        <v>4178963.6999999993</v>
      </c>
      <c r="F468" s="331"/>
    </row>
    <row r="469" spans="2:6">
      <c r="B469" s="350"/>
      <c r="C469" s="348" t="s">
        <v>517</v>
      </c>
      <c r="D469" s="358">
        <v>0</v>
      </c>
      <c r="E469" s="334">
        <f t="shared" si="19"/>
        <v>0</v>
      </c>
      <c r="F469" s="331"/>
    </row>
    <row r="470" spans="2:6">
      <c r="B470" s="350"/>
      <c r="C470" s="348" t="s">
        <v>620</v>
      </c>
      <c r="D470" s="358">
        <v>0.18</v>
      </c>
      <c r="E470" s="334">
        <f t="shared" si="19"/>
        <v>32.4</v>
      </c>
      <c r="F470" s="360" t="s">
        <v>633</v>
      </c>
    </row>
    <row r="471" spans="2:6">
      <c r="B471" s="350"/>
      <c r="C471" s="348" t="s">
        <v>634</v>
      </c>
      <c r="D471" s="358">
        <v>12.12</v>
      </c>
      <c r="E471" s="334">
        <f t="shared" si="19"/>
        <v>2181.6</v>
      </c>
      <c r="F471" s="360" t="s">
        <v>633</v>
      </c>
    </row>
    <row r="472" spans="2:6">
      <c r="B472" s="350"/>
      <c r="C472" s="355" t="s">
        <v>627</v>
      </c>
      <c r="D472" s="357">
        <f>SUM(D468:D471)</f>
        <v>23228.764999999996</v>
      </c>
      <c r="E472" s="337">
        <f>D472*180</f>
        <v>4181177.6999999993</v>
      </c>
      <c r="F472" s="338"/>
    </row>
    <row r="473" spans="2:6">
      <c r="B473" s="350"/>
      <c r="C473" s="348" t="s">
        <v>489</v>
      </c>
      <c r="D473" s="358">
        <v>3664.01</v>
      </c>
      <c r="E473" s="334">
        <f>D473*180</f>
        <v>659521.80000000005</v>
      </c>
      <c r="F473" s="331"/>
    </row>
    <row r="474" spans="2:6">
      <c r="B474" s="353"/>
      <c r="C474" s="354" t="s">
        <v>503</v>
      </c>
      <c r="D474" s="357">
        <f>D472-D473</f>
        <v>19564.754999999997</v>
      </c>
      <c r="E474" s="337">
        <f t="shared" ref="E474" si="20">D474*180</f>
        <v>3521655.8999999994</v>
      </c>
      <c r="F474" s="331"/>
    </row>
    <row r="477" spans="2:6" ht="25.2">
      <c r="B477" s="316" t="s">
        <v>635</v>
      </c>
      <c r="C477" s="317"/>
      <c r="D477" s="317"/>
      <c r="E477" s="318"/>
      <c r="F477" s="317"/>
    </row>
    <row r="478" spans="2:6">
      <c r="B478" s="319" t="s">
        <v>505</v>
      </c>
      <c r="C478" s="320"/>
      <c r="D478" s="321" t="s">
        <v>544</v>
      </c>
      <c r="E478" s="322"/>
      <c r="F478" s="323"/>
    </row>
    <row r="479" spans="2:6">
      <c r="B479" s="324"/>
      <c r="C479" s="325"/>
      <c r="D479" s="326" t="s">
        <v>460</v>
      </c>
      <c r="E479" s="327" t="s">
        <v>461</v>
      </c>
      <c r="F479" s="326" t="s">
        <v>428</v>
      </c>
    </row>
    <row r="480" spans="2:6">
      <c r="B480" s="328" t="s">
        <v>452</v>
      </c>
      <c r="C480" s="296" t="s">
        <v>462</v>
      </c>
      <c r="D480" s="361">
        <v>5</v>
      </c>
      <c r="E480" s="330"/>
      <c r="F480" s="331" t="s">
        <v>636</v>
      </c>
    </row>
    <row r="481" spans="2:6">
      <c r="B481" s="332"/>
      <c r="C481" s="296" t="s">
        <v>464</v>
      </c>
      <c r="D481" s="356">
        <v>2500</v>
      </c>
      <c r="E481" s="334">
        <f>D481*180</f>
        <v>450000</v>
      </c>
      <c r="F481" s="331"/>
    </row>
    <row r="482" spans="2:6">
      <c r="B482" s="332"/>
      <c r="C482" s="296" t="s">
        <v>624</v>
      </c>
      <c r="D482" s="356">
        <v>0</v>
      </c>
      <c r="E482" s="334">
        <f t="shared" ref="E482:E485" si="21">D482*180</f>
        <v>0</v>
      </c>
      <c r="F482" s="331"/>
    </row>
    <row r="483" spans="2:6">
      <c r="B483" s="332"/>
      <c r="C483" s="339" t="s">
        <v>573</v>
      </c>
      <c r="D483" s="357">
        <f>(D481*D480)+D482</f>
        <v>12500</v>
      </c>
      <c r="E483" s="337">
        <f t="shared" si="21"/>
        <v>2250000</v>
      </c>
      <c r="F483" s="338"/>
    </row>
    <row r="484" spans="2:6">
      <c r="B484" s="332"/>
      <c r="C484" s="296" t="s">
        <v>549</v>
      </c>
      <c r="D484" s="356">
        <f>ROUND(D483/(1+0.06)*16.72%,2)</f>
        <v>1971.7</v>
      </c>
      <c r="E484" s="334">
        <f t="shared" si="21"/>
        <v>354906</v>
      </c>
      <c r="F484" s="331"/>
    </row>
    <row r="485" spans="2:6">
      <c r="B485" s="332"/>
      <c r="C485" s="339" t="s">
        <v>616</v>
      </c>
      <c r="D485" s="357">
        <f>D483-D484</f>
        <v>10528.3</v>
      </c>
      <c r="E485" s="337">
        <f t="shared" si="21"/>
        <v>1895093.9999999998</v>
      </c>
      <c r="F485" s="338"/>
    </row>
    <row r="486" spans="2:6">
      <c r="B486" s="340"/>
      <c r="C486" s="321" t="s">
        <v>579</v>
      </c>
      <c r="D486" s="322"/>
      <c r="E486" s="322"/>
      <c r="F486" s="323"/>
    </row>
    <row r="487" spans="2:6">
      <c r="B487" s="341" t="s">
        <v>458</v>
      </c>
      <c r="C487" s="341"/>
      <c r="D487" s="342" t="s">
        <v>308</v>
      </c>
      <c r="E487" s="343"/>
      <c r="F487" s="344"/>
    </row>
    <row r="488" spans="2:6">
      <c r="B488" s="345"/>
      <c r="C488" s="345"/>
      <c r="D488" s="345" t="s">
        <v>470</v>
      </c>
      <c r="E488" s="346" t="s">
        <v>530</v>
      </c>
      <c r="F488" s="345" t="s">
        <v>67</v>
      </c>
    </row>
    <row r="489" spans="2:6">
      <c r="B489" s="347" t="s">
        <v>580</v>
      </c>
      <c r="C489" s="348" t="s">
        <v>575</v>
      </c>
      <c r="D489" s="358">
        <v>65576.37</v>
      </c>
      <c r="E489" s="334">
        <f>D489*180</f>
        <v>11803746.6</v>
      </c>
      <c r="F489" s="331"/>
    </row>
    <row r="490" spans="2:6">
      <c r="B490" s="350"/>
      <c r="C490" s="348" t="s">
        <v>637</v>
      </c>
      <c r="D490" s="359">
        <v>-17449.310000000001</v>
      </c>
      <c r="E490" s="334">
        <f t="shared" ref="E490:E499" si="22">D490*180</f>
        <v>-3140875.8000000003</v>
      </c>
      <c r="F490" s="331"/>
    </row>
    <row r="491" spans="2:6">
      <c r="B491" s="350"/>
      <c r="C491" s="348" t="s">
        <v>625</v>
      </c>
      <c r="D491" s="358">
        <f>D489+D490</f>
        <v>48127.06</v>
      </c>
      <c r="E491" s="334">
        <f t="shared" si="22"/>
        <v>8662870.7999999989</v>
      </c>
      <c r="F491" s="331"/>
    </row>
    <row r="492" spans="2:6">
      <c r="B492" s="350"/>
      <c r="C492" s="348" t="s">
        <v>537</v>
      </c>
      <c r="D492" s="358">
        <v>23951.66</v>
      </c>
      <c r="E492" s="334">
        <f t="shared" si="22"/>
        <v>4311298.8</v>
      </c>
      <c r="F492" s="331"/>
    </row>
    <row r="493" spans="2:6">
      <c r="B493" s="350"/>
      <c r="C493" s="348" t="s">
        <v>582</v>
      </c>
      <c r="D493" s="358">
        <v>240.09</v>
      </c>
      <c r="E493" s="334">
        <f t="shared" si="22"/>
        <v>43216.2</v>
      </c>
      <c r="F493" s="331"/>
    </row>
    <row r="494" spans="2:6">
      <c r="B494" s="350"/>
      <c r="C494" s="348" t="s">
        <v>542</v>
      </c>
      <c r="D494" s="358">
        <v>1795.26</v>
      </c>
      <c r="E494" s="334">
        <f t="shared" si="22"/>
        <v>323146.8</v>
      </c>
      <c r="F494" s="331"/>
    </row>
    <row r="495" spans="2:6">
      <c r="B495" s="350"/>
      <c r="C495" s="348" t="s">
        <v>638</v>
      </c>
      <c r="D495" s="358">
        <f>SUM(D491:D494)</f>
        <v>74114.069999999992</v>
      </c>
      <c r="E495" s="334">
        <f t="shared" si="22"/>
        <v>13340532.599999998</v>
      </c>
      <c r="F495" s="331"/>
    </row>
    <row r="496" spans="2:6">
      <c r="B496" s="350"/>
      <c r="C496" s="348" t="s">
        <v>555</v>
      </c>
      <c r="D496" s="356">
        <f>(D495*50%)-(D481*D480)</f>
        <v>24557.034999999996</v>
      </c>
      <c r="E496" s="334">
        <f t="shared" si="22"/>
        <v>4420266.2999999989</v>
      </c>
      <c r="F496" s="331"/>
    </row>
    <row r="497" spans="2:6">
      <c r="B497" s="350"/>
      <c r="C497" s="348" t="s">
        <v>556</v>
      </c>
      <c r="D497" s="358">
        <v>0</v>
      </c>
      <c r="E497" s="334">
        <f t="shared" si="22"/>
        <v>0</v>
      </c>
      <c r="F497" s="331"/>
    </row>
    <row r="498" spans="2:6">
      <c r="B498" s="350"/>
      <c r="C498" s="348" t="s">
        <v>626</v>
      </c>
      <c r="D498" s="358">
        <v>1.08</v>
      </c>
      <c r="E498" s="334">
        <f t="shared" si="22"/>
        <v>194.4</v>
      </c>
      <c r="F498" s="360" t="s">
        <v>639</v>
      </c>
    </row>
    <row r="499" spans="2:6">
      <c r="B499" s="350"/>
      <c r="C499" s="348" t="s">
        <v>640</v>
      </c>
      <c r="D499" s="358">
        <v>15.64</v>
      </c>
      <c r="E499" s="334">
        <f t="shared" si="22"/>
        <v>2815.2000000000003</v>
      </c>
      <c r="F499" s="360" t="s">
        <v>639</v>
      </c>
    </row>
    <row r="500" spans="2:6">
      <c r="B500" s="350"/>
      <c r="C500" s="355" t="s">
        <v>585</v>
      </c>
      <c r="D500" s="357">
        <f>SUM(D496:D499)</f>
        <v>24573.754999999997</v>
      </c>
      <c r="E500" s="337">
        <f>D500*180</f>
        <v>4423275.8999999994</v>
      </c>
      <c r="F500" s="338"/>
    </row>
    <row r="501" spans="2:6">
      <c r="B501" s="350"/>
      <c r="C501" s="348" t="s">
        <v>533</v>
      </c>
      <c r="D501" s="358">
        <v>3876.17</v>
      </c>
      <c r="E501" s="334">
        <f>D501*180</f>
        <v>697710.6</v>
      </c>
      <c r="F501" s="331"/>
    </row>
    <row r="502" spans="2:6">
      <c r="B502" s="353"/>
      <c r="C502" s="354" t="s">
        <v>564</v>
      </c>
      <c r="D502" s="357">
        <f>D500-D501</f>
        <v>20697.584999999999</v>
      </c>
      <c r="E502" s="337">
        <f t="shared" ref="E502" si="23">D502*180</f>
        <v>3725565.3</v>
      </c>
      <c r="F502" s="331"/>
    </row>
    <row r="505" spans="2:6" ht="25.2">
      <c r="B505" s="316" t="s">
        <v>641</v>
      </c>
      <c r="C505" s="317"/>
      <c r="D505" s="317"/>
      <c r="E505" s="318"/>
      <c r="F505" s="317"/>
    </row>
    <row r="506" spans="2:6">
      <c r="B506" s="319" t="s">
        <v>559</v>
      </c>
      <c r="C506" s="320"/>
      <c r="D506" s="321" t="s">
        <v>529</v>
      </c>
      <c r="E506" s="322"/>
      <c r="F506" s="323"/>
    </row>
    <row r="507" spans="2:6">
      <c r="B507" s="324"/>
      <c r="C507" s="325"/>
      <c r="D507" s="326" t="s">
        <v>642</v>
      </c>
      <c r="E507" s="327" t="s">
        <v>536</v>
      </c>
      <c r="F507" s="326" t="s">
        <v>590</v>
      </c>
    </row>
    <row r="508" spans="2:6">
      <c r="B508" s="328" t="s">
        <v>643</v>
      </c>
      <c r="C508" s="296" t="s">
        <v>569</v>
      </c>
      <c r="D508" s="361">
        <v>4</v>
      </c>
      <c r="E508" s="330"/>
      <c r="F508" s="331" t="s">
        <v>644</v>
      </c>
    </row>
    <row r="509" spans="2:6">
      <c r="B509" s="332"/>
      <c r="C509" s="296" t="s">
        <v>571</v>
      </c>
      <c r="D509" s="356">
        <v>2500</v>
      </c>
      <c r="E509" s="334">
        <f>D509*180</f>
        <v>450000</v>
      </c>
      <c r="F509" s="331"/>
    </row>
    <row r="510" spans="2:6">
      <c r="B510" s="332"/>
      <c r="C510" s="296" t="s">
        <v>624</v>
      </c>
      <c r="D510" s="356">
        <v>0</v>
      </c>
      <c r="E510" s="334">
        <f t="shared" ref="E510:E513" si="24">D510*180</f>
        <v>0</v>
      </c>
      <c r="F510" s="331"/>
    </row>
    <row r="511" spans="2:6">
      <c r="B511" s="332"/>
      <c r="C511" s="339" t="s">
        <v>615</v>
      </c>
      <c r="D511" s="357">
        <f>(D509*D508)+D510</f>
        <v>10000</v>
      </c>
      <c r="E511" s="337">
        <f t="shared" si="24"/>
        <v>1800000</v>
      </c>
      <c r="F511" s="338"/>
    </row>
    <row r="512" spans="2:6">
      <c r="B512" s="332"/>
      <c r="C512" s="296" t="s">
        <v>549</v>
      </c>
      <c r="D512" s="356">
        <f>ROUND(D511/(1+0.06)*16.72%,2)</f>
        <v>1577.36</v>
      </c>
      <c r="E512" s="334">
        <f t="shared" si="24"/>
        <v>283924.8</v>
      </c>
      <c r="F512" s="331"/>
    </row>
    <row r="513" spans="2:6">
      <c r="B513" s="332"/>
      <c r="C513" s="339" t="s">
        <v>574</v>
      </c>
      <c r="D513" s="357">
        <f>D511-D512</f>
        <v>8422.64</v>
      </c>
      <c r="E513" s="337">
        <f t="shared" si="24"/>
        <v>1516075.2</v>
      </c>
      <c r="F513" s="338"/>
    </row>
    <row r="514" spans="2:6">
      <c r="B514" s="340"/>
      <c r="C514" s="321" t="s">
        <v>579</v>
      </c>
      <c r="D514" s="322"/>
      <c r="E514" s="322"/>
      <c r="F514" s="323"/>
    </row>
    <row r="515" spans="2:6">
      <c r="B515" s="341" t="s">
        <v>559</v>
      </c>
      <c r="C515" s="341"/>
      <c r="D515" s="342" t="s">
        <v>308</v>
      </c>
      <c r="E515" s="343"/>
      <c r="F515" s="344"/>
    </row>
    <row r="516" spans="2:6">
      <c r="B516" s="345"/>
      <c r="C516" s="345"/>
      <c r="D516" s="345" t="s">
        <v>470</v>
      </c>
      <c r="E516" s="346" t="s">
        <v>536</v>
      </c>
      <c r="F516" s="345" t="s">
        <v>67</v>
      </c>
    </row>
    <row r="517" spans="2:6">
      <c r="B517" s="347" t="s">
        <v>524</v>
      </c>
      <c r="C517" s="348" t="s">
        <v>606</v>
      </c>
      <c r="D517" s="358">
        <v>62009.35</v>
      </c>
      <c r="E517" s="334">
        <f>D517*180</f>
        <v>11161683</v>
      </c>
      <c r="F517" s="331"/>
    </row>
    <row r="518" spans="2:6">
      <c r="B518" s="350"/>
      <c r="C518" s="348" t="s">
        <v>645</v>
      </c>
      <c r="D518" s="359">
        <v>-16432.14</v>
      </c>
      <c r="E518" s="334">
        <f t="shared" ref="E518:E527" si="25">D518*180</f>
        <v>-2957785.1999999997</v>
      </c>
      <c r="F518" s="331"/>
    </row>
    <row r="519" spans="2:6">
      <c r="B519" s="350"/>
      <c r="C519" s="348" t="s">
        <v>625</v>
      </c>
      <c r="D519" s="358">
        <f>D517+D518</f>
        <v>45577.21</v>
      </c>
      <c r="E519" s="334">
        <f t="shared" si="25"/>
        <v>8203897.7999999998</v>
      </c>
      <c r="F519" s="331"/>
    </row>
    <row r="520" spans="2:6">
      <c r="B520" s="350"/>
      <c r="C520" s="348" t="s">
        <v>537</v>
      </c>
      <c r="D520" s="358">
        <v>22390.01</v>
      </c>
      <c r="E520" s="334">
        <f t="shared" si="25"/>
        <v>4030201.8</v>
      </c>
      <c r="F520" s="331"/>
    </row>
    <row r="521" spans="2:6">
      <c r="B521" s="350"/>
      <c r="C521" s="348" t="s">
        <v>514</v>
      </c>
      <c r="D521" s="358">
        <v>179.45</v>
      </c>
      <c r="E521" s="334">
        <f t="shared" si="25"/>
        <v>32300.999999999996</v>
      </c>
      <c r="F521" s="331"/>
    </row>
    <row r="522" spans="2:6">
      <c r="B522" s="350"/>
      <c r="C522" s="348" t="s">
        <v>646</v>
      </c>
      <c r="D522" s="358">
        <v>1639.56</v>
      </c>
      <c r="E522" s="334">
        <f t="shared" si="25"/>
        <v>295120.8</v>
      </c>
      <c r="F522" s="331"/>
    </row>
    <row r="523" spans="2:6">
      <c r="B523" s="350"/>
      <c r="C523" s="348" t="s">
        <v>618</v>
      </c>
      <c r="D523" s="358">
        <f>SUM(D519:D522)</f>
        <v>69786.23</v>
      </c>
      <c r="E523" s="334">
        <f t="shared" si="25"/>
        <v>12561521.399999999</v>
      </c>
      <c r="F523" s="331"/>
    </row>
    <row r="524" spans="2:6">
      <c r="B524" s="350"/>
      <c r="C524" s="348" t="s">
        <v>525</v>
      </c>
      <c r="D524" s="356">
        <f>(D523*50%)-(D509*D508)</f>
        <v>24893.114999999998</v>
      </c>
      <c r="E524" s="334">
        <f t="shared" si="25"/>
        <v>4480760.6999999993</v>
      </c>
      <c r="F524" s="331"/>
    </row>
    <row r="525" spans="2:6">
      <c r="B525" s="350"/>
      <c r="C525" s="348" t="s">
        <v>501</v>
      </c>
      <c r="D525" s="358">
        <v>0</v>
      </c>
      <c r="E525" s="334">
        <f t="shared" si="25"/>
        <v>0</v>
      </c>
      <c r="F525" s="331"/>
    </row>
    <row r="526" spans="2:6">
      <c r="B526" s="350"/>
      <c r="C526" s="348" t="s">
        <v>626</v>
      </c>
      <c r="D526" s="358">
        <v>3.26</v>
      </c>
      <c r="E526" s="334">
        <f t="shared" si="25"/>
        <v>586.79999999999995</v>
      </c>
      <c r="F526" s="360" t="s">
        <v>639</v>
      </c>
    </row>
    <row r="527" spans="2:6">
      <c r="B527" s="350"/>
      <c r="C527" s="348" t="s">
        <v>640</v>
      </c>
      <c r="D527" s="358">
        <v>10.49</v>
      </c>
      <c r="E527" s="334">
        <f t="shared" si="25"/>
        <v>1888.2</v>
      </c>
      <c r="F527" s="360" t="s">
        <v>647</v>
      </c>
    </row>
    <row r="528" spans="2:6">
      <c r="B528" s="350"/>
      <c r="C528" s="355" t="s">
        <v>627</v>
      </c>
      <c r="D528" s="357">
        <f>SUM(D524:D527)</f>
        <v>24906.864999999998</v>
      </c>
      <c r="E528" s="337">
        <f>D528*180</f>
        <v>4483235.6999999993</v>
      </c>
      <c r="F528" s="338"/>
    </row>
    <row r="529" spans="2:6">
      <c r="B529" s="350"/>
      <c r="C529" s="348" t="s">
        <v>549</v>
      </c>
      <c r="D529" s="358">
        <v>3928.7</v>
      </c>
      <c r="E529" s="334">
        <f>D529*180</f>
        <v>707166</v>
      </c>
      <c r="F529" s="331"/>
    </row>
    <row r="530" spans="2:6">
      <c r="B530" s="353"/>
      <c r="C530" s="354" t="s">
        <v>564</v>
      </c>
      <c r="D530" s="357">
        <f>D528-D529</f>
        <v>20978.164999999997</v>
      </c>
      <c r="E530" s="337">
        <f t="shared" ref="E530" si="26">D530*180</f>
        <v>3776069.6999999997</v>
      </c>
      <c r="F530" s="331"/>
    </row>
    <row r="533" spans="2:6" ht="25.2">
      <c r="B533" s="316" t="s">
        <v>648</v>
      </c>
      <c r="C533" s="317"/>
      <c r="D533" s="317"/>
      <c r="E533" s="318"/>
      <c r="F533" s="317"/>
    </row>
    <row r="534" spans="2:6">
      <c r="B534" s="319" t="s">
        <v>605</v>
      </c>
      <c r="C534" s="320"/>
      <c r="D534" s="321" t="s">
        <v>529</v>
      </c>
      <c r="E534" s="322"/>
      <c r="F534" s="323"/>
    </row>
    <row r="535" spans="2:6">
      <c r="B535" s="324"/>
      <c r="C535" s="325"/>
      <c r="D535" s="326" t="s">
        <v>612</v>
      </c>
      <c r="E535" s="327" t="s">
        <v>536</v>
      </c>
      <c r="F535" s="326" t="s">
        <v>567</v>
      </c>
    </row>
    <row r="536" spans="2:6">
      <c r="B536" s="328" t="s">
        <v>568</v>
      </c>
      <c r="C536" s="296" t="s">
        <v>569</v>
      </c>
      <c r="D536" s="361">
        <v>4</v>
      </c>
      <c r="E536" s="330"/>
      <c r="F536" s="331" t="s">
        <v>649</v>
      </c>
    </row>
    <row r="537" spans="2:6">
      <c r="B537" s="332"/>
      <c r="C537" s="296" t="s">
        <v>532</v>
      </c>
      <c r="D537" s="356">
        <v>2500</v>
      </c>
      <c r="E537" s="334">
        <f>D537*180</f>
        <v>450000</v>
      </c>
      <c r="F537" s="331"/>
    </row>
    <row r="538" spans="2:6">
      <c r="B538" s="332"/>
      <c r="C538" s="296" t="s">
        <v>488</v>
      </c>
      <c r="D538" s="356">
        <v>0</v>
      </c>
      <c r="E538" s="334">
        <f t="shared" ref="E538:E541" si="27">D538*180</f>
        <v>0</v>
      </c>
      <c r="F538" s="331"/>
    </row>
    <row r="539" spans="2:6">
      <c r="B539" s="332"/>
      <c r="C539" s="339" t="s">
        <v>615</v>
      </c>
      <c r="D539" s="357">
        <f>(D537*D536)+D538</f>
        <v>10000</v>
      </c>
      <c r="E539" s="337">
        <f t="shared" si="27"/>
        <v>1800000</v>
      </c>
      <c r="F539" s="338"/>
    </row>
    <row r="540" spans="2:6">
      <c r="B540" s="332"/>
      <c r="C540" s="296" t="s">
        <v>549</v>
      </c>
      <c r="D540" s="356">
        <f>ROUND(D539/(1+0.06)*16.72%,2)</f>
        <v>1577.36</v>
      </c>
      <c r="E540" s="334">
        <f t="shared" si="27"/>
        <v>283924.8</v>
      </c>
      <c r="F540" s="331"/>
    </row>
    <row r="541" spans="2:6">
      <c r="B541" s="332"/>
      <c r="C541" s="339" t="s">
        <v>468</v>
      </c>
      <c r="D541" s="357">
        <f>D539-D540</f>
        <v>8422.64</v>
      </c>
      <c r="E541" s="337">
        <f t="shared" si="27"/>
        <v>1516075.2</v>
      </c>
      <c r="F541" s="338"/>
    </row>
    <row r="542" spans="2:6">
      <c r="B542" s="340"/>
      <c r="C542" s="321" t="s">
        <v>579</v>
      </c>
      <c r="D542" s="322"/>
      <c r="E542" s="322"/>
      <c r="F542" s="323"/>
    </row>
    <row r="543" spans="2:6">
      <c r="B543" s="341" t="s">
        <v>559</v>
      </c>
      <c r="C543" s="341"/>
      <c r="D543" s="342" t="s">
        <v>308</v>
      </c>
      <c r="E543" s="343"/>
      <c r="F543" s="344"/>
    </row>
    <row r="544" spans="2:6">
      <c r="B544" s="345"/>
      <c r="C544" s="345"/>
      <c r="D544" s="345" t="s">
        <v>470</v>
      </c>
      <c r="E544" s="346" t="s">
        <v>530</v>
      </c>
      <c r="F544" s="345" t="s">
        <v>67</v>
      </c>
    </row>
    <row r="545" spans="2:6">
      <c r="B545" s="347" t="s">
        <v>471</v>
      </c>
      <c r="C545" s="348" t="s">
        <v>562</v>
      </c>
      <c r="D545" s="358">
        <v>72612.009999999995</v>
      </c>
      <c r="E545" s="334">
        <f>D545*180</f>
        <v>13070161.799999999</v>
      </c>
      <c r="F545" s="331"/>
    </row>
    <row r="546" spans="2:6">
      <c r="B546" s="350"/>
      <c r="C546" s="348" t="s">
        <v>645</v>
      </c>
      <c r="D546" s="359">
        <v>-19147.63</v>
      </c>
      <c r="E546" s="334">
        <f t="shared" ref="E546:E555" si="28">D546*180</f>
        <v>-3446573.4000000004</v>
      </c>
      <c r="F546" s="331"/>
    </row>
    <row r="547" spans="2:6">
      <c r="B547" s="350"/>
      <c r="C547" s="348" t="s">
        <v>650</v>
      </c>
      <c r="D547" s="358">
        <f>D545+D546</f>
        <v>53464.37999999999</v>
      </c>
      <c r="E547" s="334">
        <f t="shared" si="28"/>
        <v>9623588.3999999985</v>
      </c>
      <c r="F547" s="331"/>
    </row>
    <row r="548" spans="2:6">
      <c r="B548" s="350"/>
      <c r="C548" s="348" t="s">
        <v>608</v>
      </c>
      <c r="D548" s="358">
        <v>24644.959999999999</v>
      </c>
      <c r="E548" s="334">
        <f t="shared" si="28"/>
        <v>4436092.8</v>
      </c>
      <c r="F548" s="331"/>
    </row>
    <row r="549" spans="2:6">
      <c r="B549" s="350"/>
      <c r="C549" s="348" t="s">
        <v>596</v>
      </c>
      <c r="D549" s="358">
        <v>175.89</v>
      </c>
      <c r="E549" s="334">
        <f t="shared" si="28"/>
        <v>31660.199999999997</v>
      </c>
      <c r="F549" s="331"/>
    </row>
    <row r="550" spans="2:6">
      <c r="B550" s="350"/>
      <c r="C550" s="348" t="s">
        <v>646</v>
      </c>
      <c r="D550" s="358">
        <v>1626.41</v>
      </c>
      <c r="E550" s="334">
        <f t="shared" si="28"/>
        <v>292753.8</v>
      </c>
      <c r="F550" s="331"/>
    </row>
    <row r="551" spans="2:6">
      <c r="B551" s="350"/>
      <c r="C551" s="348" t="s">
        <v>499</v>
      </c>
      <c r="D551" s="358">
        <f>SUM(D547:D550)</f>
        <v>79911.64</v>
      </c>
      <c r="E551" s="334">
        <f t="shared" si="28"/>
        <v>14384095.199999999</v>
      </c>
      <c r="F551" s="331"/>
    </row>
    <row r="552" spans="2:6">
      <c r="B552" s="350"/>
      <c r="C552" s="348" t="s">
        <v>500</v>
      </c>
      <c r="D552" s="356">
        <f>(D551*50%)-(D537*D536)</f>
        <v>29955.82</v>
      </c>
      <c r="E552" s="334">
        <f t="shared" si="28"/>
        <v>5392047.5999999996</v>
      </c>
      <c r="F552" s="331"/>
    </row>
    <row r="553" spans="2:6">
      <c r="B553" s="350"/>
      <c r="C553" s="348" t="s">
        <v>556</v>
      </c>
      <c r="D553" s="358">
        <v>0</v>
      </c>
      <c r="E553" s="334">
        <f t="shared" si="28"/>
        <v>0</v>
      </c>
      <c r="F553" s="331"/>
    </row>
    <row r="554" spans="2:6">
      <c r="B554" s="350"/>
      <c r="C554" s="348" t="s">
        <v>620</v>
      </c>
      <c r="D554" s="358">
        <v>2.81</v>
      </c>
      <c r="E554" s="334">
        <f t="shared" si="28"/>
        <v>505.8</v>
      </c>
      <c r="F554" s="360" t="s">
        <v>647</v>
      </c>
    </row>
    <row r="555" spans="2:6">
      <c r="B555" s="350"/>
      <c r="C555" s="348" t="s">
        <v>640</v>
      </c>
      <c r="D555" s="358">
        <v>35.82</v>
      </c>
      <c r="E555" s="334">
        <f t="shared" si="28"/>
        <v>6447.6</v>
      </c>
      <c r="F555" s="360" t="s">
        <v>651</v>
      </c>
    </row>
    <row r="556" spans="2:6">
      <c r="B556" s="350"/>
      <c r="C556" s="355" t="s">
        <v>585</v>
      </c>
      <c r="D556" s="357">
        <f>SUM(D552:D555)</f>
        <v>29994.45</v>
      </c>
      <c r="E556" s="337">
        <f>D556*180</f>
        <v>5399001</v>
      </c>
      <c r="F556" s="338"/>
    </row>
    <row r="557" spans="2:6">
      <c r="B557" s="350"/>
      <c r="C557" s="348" t="s">
        <v>549</v>
      </c>
      <c r="D557" s="358">
        <v>4731.2</v>
      </c>
      <c r="E557" s="334">
        <f>D557*180</f>
        <v>851616</v>
      </c>
      <c r="F557" s="331"/>
    </row>
    <row r="558" spans="2:6">
      <c r="B558" s="353"/>
      <c r="C558" s="354" t="s">
        <v>652</v>
      </c>
      <c r="D558" s="357">
        <f>D556-D557</f>
        <v>25263.25</v>
      </c>
      <c r="E558" s="337">
        <f t="shared" ref="E558" si="29">D558*180</f>
        <v>4547385</v>
      </c>
      <c r="F558" s="331"/>
    </row>
    <row r="561" spans="2:6" ht="25.2">
      <c r="B561" s="316" t="s">
        <v>653</v>
      </c>
    </row>
    <row r="562" spans="2:6">
      <c r="B562" s="319" t="s">
        <v>458</v>
      </c>
      <c r="C562" s="320"/>
      <c r="D562" s="321" t="s">
        <v>529</v>
      </c>
      <c r="E562" s="322"/>
      <c r="F562" s="323"/>
    </row>
    <row r="563" spans="2:6">
      <c r="B563" s="324"/>
      <c r="C563" s="325"/>
      <c r="D563" s="326" t="s">
        <v>612</v>
      </c>
      <c r="E563" s="327" t="s">
        <v>536</v>
      </c>
      <c r="F563" s="326" t="s">
        <v>600</v>
      </c>
    </row>
    <row r="564" spans="2:6">
      <c r="B564" s="328" t="s">
        <v>643</v>
      </c>
      <c r="C564" s="296" t="s">
        <v>569</v>
      </c>
      <c r="D564" s="361">
        <v>4</v>
      </c>
      <c r="E564" s="330"/>
      <c r="F564" s="331" t="s">
        <v>654</v>
      </c>
    </row>
    <row r="565" spans="2:6">
      <c r="B565" s="332"/>
      <c r="C565" s="296" t="s">
        <v>571</v>
      </c>
      <c r="D565" s="356">
        <v>2500</v>
      </c>
      <c r="E565" s="334">
        <f>D565*180</f>
        <v>450000</v>
      </c>
      <c r="F565" s="331"/>
    </row>
    <row r="566" spans="2:6">
      <c r="B566" s="332"/>
      <c r="C566" s="296" t="s">
        <v>624</v>
      </c>
      <c r="D566" s="356">
        <v>0</v>
      </c>
      <c r="E566" s="334">
        <f t="shared" ref="E566:E569" si="30">D566*180</f>
        <v>0</v>
      </c>
      <c r="F566" s="331"/>
    </row>
    <row r="567" spans="2:6">
      <c r="B567" s="332"/>
      <c r="C567" s="339" t="s">
        <v>615</v>
      </c>
      <c r="D567" s="357">
        <f>(D565*D564)+D566</f>
        <v>10000</v>
      </c>
      <c r="E567" s="337">
        <f t="shared" si="30"/>
        <v>1800000</v>
      </c>
      <c r="F567" s="338"/>
    </row>
    <row r="568" spans="2:6">
      <c r="B568" s="332"/>
      <c r="C568" s="296" t="s">
        <v>533</v>
      </c>
      <c r="D568" s="356">
        <f>ROUND(D567/(1+0.06)*16.72%,2)</f>
        <v>1577.36</v>
      </c>
      <c r="E568" s="334">
        <f t="shared" si="30"/>
        <v>283924.8</v>
      </c>
      <c r="F568" s="331"/>
    </row>
    <row r="569" spans="2:6">
      <c r="B569" s="332"/>
      <c r="C569" s="339" t="s">
        <v>534</v>
      </c>
      <c r="D569" s="357">
        <f>D567-D568</f>
        <v>8422.64</v>
      </c>
      <c r="E569" s="337">
        <f t="shared" si="30"/>
        <v>1516075.2</v>
      </c>
      <c r="F569" s="338"/>
    </row>
    <row r="570" spans="2:6">
      <c r="B570" s="340"/>
      <c r="C570" s="321" t="s">
        <v>655</v>
      </c>
      <c r="D570" s="322"/>
      <c r="E570" s="322"/>
      <c r="F570" s="323"/>
    </row>
    <row r="571" spans="2:6">
      <c r="B571" s="341" t="s">
        <v>559</v>
      </c>
      <c r="C571" s="341"/>
      <c r="D571" s="342" t="s">
        <v>308</v>
      </c>
      <c r="E571" s="343"/>
      <c r="F571" s="344"/>
    </row>
    <row r="572" spans="2:6">
      <c r="B572" s="345"/>
      <c r="C572" s="345"/>
      <c r="D572" s="345" t="s">
        <v>470</v>
      </c>
      <c r="E572" s="346" t="s">
        <v>530</v>
      </c>
      <c r="F572" s="345" t="s">
        <v>67</v>
      </c>
    </row>
    <row r="573" spans="2:6">
      <c r="B573" s="347" t="s">
        <v>524</v>
      </c>
      <c r="C573" s="348" t="s">
        <v>606</v>
      </c>
      <c r="D573" s="358">
        <v>83522.289999999994</v>
      </c>
      <c r="E573" s="334">
        <f>D573*180</f>
        <v>15034012.199999999</v>
      </c>
      <c r="F573" s="331"/>
    </row>
    <row r="574" spans="2:6">
      <c r="B574" s="350"/>
      <c r="C574" s="348" t="s">
        <v>637</v>
      </c>
      <c r="D574" s="359">
        <v>-22048.58</v>
      </c>
      <c r="E574" s="334">
        <f t="shared" ref="E574:E583" si="31">D574*180</f>
        <v>-3968744.4000000004</v>
      </c>
      <c r="F574" s="331"/>
    </row>
    <row r="575" spans="2:6">
      <c r="B575" s="350"/>
      <c r="C575" s="348" t="s">
        <v>625</v>
      </c>
      <c r="D575" s="358">
        <f>D573+D574</f>
        <v>61473.709999999992</v>
      </c>
      <c r="E575" s="334">
        <f t="shared" si="31"/>
        <v>11065267.799999999</v>
      </c>
      <c r="F575" s="331"/>
    </row>
    <row r="576" spans="2:6">
      <c r="B576" s="350"/>
      <c r="C576" s="348" t="s">
        <v>656</v>
      </c>
      <c r="D576" s="358">
        <v>20179.16</v>
      </c>
      <c r="E576" s="334">
        <f t="shared" si="31"/>
        <v>3632248.8</v>
      </c>
      <c r="F576" s="331"/>
    </row>
    <row r="577" spans="2:6">
      <c r="B577" s="350"/>
      <c r="C577" s="348" t="s">
        <v>497</v>
      </c>
      <c r="D577" s="358">
        <v>204.34</v>
      </c>
      <c r="E577" s="334">
        <f t="shared" si="31"/>
        <v>36781.199999999997</v>
      </c>
      <c r="F577" s="331"/>
    </row>
    <row r="578" spans="2:6">
      <c r="B578" s="350"/>
      <c r="C578" s="348" t="s">
        <v>646</v>
      </c>
      <c r="D578" s="358">
        <v>2145.9</v>
      </c>
      <c r="E578" s="334">
        <f t="shared" si="31"/>
        <v>386262</v>
      </c>
      <c r="F578" s="331"/>
    </row>
    <row r="579" spans="2:6">
      <c r="B579" s="350"/>
      <c r="C579" s="348" t="s">
        <v>499</v>
      </c>
      <c r="D579" s="358">
        <f>SUM(D575:D578)</f>
        <v>84003.109999999986</v>
      </c>
      <c r="E579" s="334">
        <f t="shared" si="31"/>
        <v>15120559.799999997</v>
      </c>
      <c r="F579" s="331"/>
    </row>
    <row r="580" spans="2:6">
      <c r="B580" s="350"/>
      <c r="C580" s="348" t="s">
        <v>555</v>
      </c>
      <c r="D580" s="356">
        <f>(D579*50%)-(D565*D564)</f>
        <v>32001.554999999993</v>
      </c>
      <c r="E580" s="334">
        <f t="shared" si="31"/>
        <v>5760279.8999999985</v>
      </c>
      <c r="F580" s="331"/>
    </row>
    <row r="581" spans="2:6">
      <c r="B581" s="350"/>
      <c r="C581" s="348" t="s">
        <v>556</v>
      </c>
      <c r="D581" s="358">
        <v>0</v>
      </c>
      <c r="E581" s="334">
        <f t="shared" si="31"/>
        <v>0</v>
      </c>
      <c r="F581" s="331"/>
    </row>
    <row r="582" spans="2:6">
      <c r="B582" s="350"/>
      <c r="C582" s="348" t="s">
        <v>657</v>
      </c>
      <c r="D582" s="358">
        <v>0</v>
      </c>
      <c r="E582" s="334">
        <f t="shared" si="31"/>
        <v>0</v>
      </c>
      <c r="F582" s="360" t="s">
        <v>647</v>
      </c>
    </row>
    <row r="583" spans="2:6">
      <c r="B583" s="350"/>
      <c r="C583" s="348" t="s">
        <v>634</v>
      </c>
      <c r="D583" s="358">
        <v>209.99</v>
      </c>
      <c r="E583" s="334">
        <f t="shared" si="31"/>
        <v>37798.200000000004</v>
      </c>
      <c r="F583" s="360" t="s">
        <v>639</v>
      </c>
    </row>
    <row r="584" spans="2:6">
      <c r="B584" s="350"/>
      <c r="C584" s="355" t="s">
        <v>627</v>
      </c>
      <c r="D584" s="357">
        <f>SUM(D580:D583)</f>
        <v>32211.544999999995</v>
      </c>
      <c r="E584" s="337">
        <f>D584*180</f>
        <v>5798078.0999999987</v>
      </c>
      <c r="F584" s="338"/>
    </row>
    <row r="585" spans="2:6">
      <c r="B585" s="350"/>
      <c r="C585" s="348" t="s">
        <v>489</v>
      </c>
      <c r="D585" s="358">
        <v>4862.12</v>
      </c>
      <c r="E585" s="334">
        <f>D585*180</f>
        <v>875181.6</v>
      </c>
      <c r="F585" s="331"/>
    </row>
    <row r="586" spans="2:6">
      <c r="B586" s="353"/>
      <c r="C586" s="354" t="s">
        <v>598</v>
      </c>
      <c r="D586" s="357">
        <f>D584-D585</f>
        <v>27349.424999999996</v>
      </c>
      <c r="E586" s="337">
        <f t="shared" ref="E586" si="32">D586*180</f>
        <v>4922896.4999999991</v>
      </c>
      <c r="F586" s="331"/>
    </row>
    <row r="588" spans="2:6" ht="25.2">
      <c r="B588" s="316" t="s">
        <v>658</v>
      </c>
    </row>
    <row r="589" spans="2:6">
      <c r="B589" s="319" t="s">
        <v>559</v>
      </c>
      <c r="C589" s="320"/>
      <c r="D589" s="321" t="s">
        <v>566</v>
      </c>
      <c r="E589" s="322"/>
      <c r="F589" s="323"/>
    </row>
    <row r="590" spans="2:6">
      <c r="B590" s="324"/>
      <c r="C590" s="325"/>
      <c r="D590" s="326" t="s">
        <v>460</v>
      </c>
      <c r="E590" s="327" t="s">
        <v>550</v>
      </c>
      <c r="F590" s="326" t="s">
        <v>600</v>
      </c>
    </row>
    <row r="591" spans="2:6">
      <c r="B591" s="328" t="s">
        <v>568</v>
      </c>
      <c r="C591" s="296" t="s">
        <v>601</v>
      </c>
      <c r="D591" s="329">
        <v>0</v>
      </c>
      <c r="E591" s="330"/>
      <c r="F591" s="331" t="s">
        <v>659</v>
      </c>
    </row>
    <row r="592" spans="2:6">
      <c r="B592" s="332"/>
      <c r="C592" s="296" t="s">
        <v>614</v>
      </c>
      <c r="D592" s="356">
        <v>2500</v>
      </c>
      <c r="E592" s="334">
        <f>D592*180</f>
        <v>450000</v>
      </c>
      <c r="F592" s="331"/>
    </row>
    <row r="593" spans="2:6">
      <c r="B593" s="332"/>
      <c r="C593" s="296" t="s">
        <v>624</v>
      </c>
      <c r="D593" s="356">
        <v>0</v>
      </c>
      <c r="E593" s="334">
        <f t="shared" ref="E593:E596" si="33">D593*180</f>
        <v>0</v>
      </c>
      <c r="F593" s="331"/>
    </row>
    <row r="594" spans="2:6">
      <c r="B594" s="332"/>
      <c r="C594" s="339" t="s">
        <v>615</v>
      </c>
      <c r="D594" s="357">
        <f>(D592*D591)+D593</f>
        <v>0</v>
      </c>
      <c r="E594" s="337">
        <f t="shared" si="33"/>
        <v>0</v>
      </c>
      <c r="F594" s="338"/>
    </row>
    <row r="595" spans="2:6">
      <c r="B595" s="332"/>
      <c r="C595" s="296" t="s">
        <v>549</v>
      </c>
      <c r="D595" s="356">
        <f>ROUND(D594/(1+0.06)*16.72%,2)</f>
        <v>0</v>
      </c>
      <c r="E595" s="334">
        <f t="shared" si="33"/>
        <v>0</v>
      </c>
      <c r="F595" s="331"/>
    </row>
    <row r="596" spans="2:6">
      <c r="B596" s="332"/>
      <c r="C596" s="339" t="s">
        <v>616</v>
      </c>
      <c r="D596" s="357">
        <f>D594-D595</f>
        <v>0</v>
      </c>
      <c r="E596" s="337">
        <f t="shared" si="33"/>
        <v>0</v>
      </c>
      <c r="F596" s="338"/>
    </row>
    <row r="597" spans="2:6">
      <c r="B597" s="340"/>
      <c r="C597" s="321" t="s">
        <v>655</v>
      </c>
      <c r="D597" s="322"/>
      <c r="E597" s="322"/>
      <c r="F597" s="323"/>
    </row>
    <row r="598" spans="2:6">
      <c r="B598" s="341" t="s">
        <v>605</v>
      </c>
      <c r="C598" s="341"/>
      <c r="D598" s="342" t="s">
        <v>308</v>
      </c>
      <c r="E598" s="343"/>
      <c r="F598" s="344"/>
    </row>
    <row r="599" spans="2:6">
      <c r="B599" s="345"/>
      <c r="C599" s="345"/>
      <c r="D599" s="345" t="s">
        <v>470</v>
      </c>
      <c r="E599" s="346" t="s">
        <v>536</v>
      </c>
      <c r="F599" s="345" t="s">
        <v>67</v>
      </c>
    </row>
    <row r="600" spans="2:6">
      <c r="B600" s="347" t="s">
        <v>561</v>
      </c>
      <c r="C600" s="348" t="s">
        <v>575</v>
      </c>
      <c r="D600" s="358">
        <v>52437.75</v>
      </c>
      <c r="E600" s="334">
        <f>D600*180</f>
        <v>9438795</v>
      </c>
      <c r="F600" s="331"/>
    </row>
    <row r="601" spans="2:6">
      <c r="B601" s="350"/>
      <c r="C601" s="348" t="s">
        <v>637</v>
      </c>
      <c r="D601" s="359">
        <v>-13745.42</v>
      </c>
      <c r="E601" s="334">
        <f t="shared" ref="E601:E610" si="34">D601*180</f>
        <v>-2474175.6</v>
      </c>
      <c r="F601" s="331"/>
    </row>
    <row r="602" spans="2:6">
      <c r="B602" s="350"/>
      <c r="C602" s="348" t="s">
        <v>513</v>
      </c>
      <c r="D602" s="358">
        <f>D600+D601</f>
        <v>38692.33</v>
      </c>
      <c r="E602" s="334">
        <f t="shared" si="34"/>
        <v>6964619.4000000004</v>
      </c>
      <c r="F602" s="331"/>
    </row>
    <row r="603" spans="2:6">
      <c r="B603" s="350"/>
      <c r="C603" s="348" t="s">
        <v>496</v>
      </c>
      <c r="D603" s="358">
        <v>7844.7</v>
      </c>
      <c r="E603" s="334">
        <f t="shared" si="34"/>
        <v>1412046</v>
      </c>
      <c r="F603" s="331"/>
    </row>
    <row r="604" spans="2:6">
      <c r="B604" s="350"/>
      <c r="C604" s="348" t="s">
        <v>497</v>
      </c>
      <c r="D604" s="358">
        <v>109.69</v>
      </c>
      <c r="E604" s="334">
        <f t="shared" si="34"/>
        <v>19744.2</v>
      </c>
      <c r="F604" s="331"/>
    </row>
    <row r="605" spans="2:6">
      <c r="B605" s="350"/>
      <c r="C605" s="348" t="s">
        <v>515</v>
      </c>
      <c r="D605" s="358">
        <v>1607.92</v>
      </c>
      <c r="E605" s="334">
        <f t="shared" si="34"/>
        <v>289425.60000000003</v>
      </c>
      <c r="F605" s="331"/>
    </row>
    <row r="606" spans="2:6">
      <c r="B606" s="350"/>
      <c r="C606" s="348" t="s">
        <v>516</v>
      </c>
      <c r="D606" s="358">
        <f>SUM(D602:D605)</f>
        <v>48254.64</v>
      </c>
      <c r="E606" s="334">
        <f t="shared" si="34"/>
        <v>8685835.1999999993</v>
      </c>
      <c r="F606" s="331"/>
    </row>
    <row r="607" spans="2:6">
      <c r="B607" s="350"/>
      <c r="C607" s="348" t="s">
        <v>546</v>
      </c>
      <c r="D607" s="356">
        <f>(D606*50%)-(D592*D591)</f>
        <v>24127.32</v>
      </c>
      <c r="E607" s="334">
        <f t="shared" si="34"/>
        <v>4342917.5999999996</v>
      </c>
      <c r="F607" s="331"/>
    </row>
    <row r="608" spans="2:6">
      <c r="B608" s="350"/>
      <c r="C608" s="348" t="s">
        <v>517</v>
      </c>
      <c r="D608" s="358">
        <v>0</v>
      </c>
      <c r="E608" s="334">
        <f t="shared" si="34"/>
        <v>0</v>
      </c>
      <c r="F608" s="331"/>
    </row>
    <row r="609" spans="2:6">
      <c r="B609" s="350"/>
      <c r="C609" s="348" t="s">
        <v>620</v>
      </c>
      <c r="D609" s="358">
        <v>0</v>
      </c>
      <c r="E609" s="334">
        <f t="shared" si="34"/>
        <v>0</v>
      </c>
      <c r="F609" s="360" t="s">
        <v>633</v>
      </c>
    </row>
    <row r="610" spans="2:6">
      <c r="B610" s="350"/>
      <c r="C610" s="348" t="s">
        <v>621</v>
      </c>
      <c r="D610" s="358">
        <v>33.590000000000003</v>
      </c>
      <c r="E610" s="334">
        <f t="shared" si="34"/>
        <v>6046.2000000000007</v>
      </c>
      <c r="F610" s="360" t="s">
        <v>639</v>
      </c>
    </row>
    <row r="611" spans="2:6">
      <c r="B611" s="350"/>
      <c r="C611" s="355" t="s">
        <v>502</v>
      </c>
      <c r="D611" s="357">
        <f>SUM(D607:D610)</f>
        <v>24160.91</v>
      </c>
      <c r="E611" s="337">
        <f>D611*180</f>
        <v>4348963.8</v>
      </c>
      <c r="F611" s="338"/>
    </row>
    <row r="612" spans="2:6">
      <c r="B612" s="350"/>
      <c r="C612" s="348" t="s">
        <v>549</v>
      </c>
      <c r="D612" s="358">
        <v>3646.93</v>
      </c>
      <c r="E612" s="334">
        <f>D612*180</f>
        <v>656447.4</v>
      </c>
      <c r="F612" s="331"/>
    </row>
    <row r="613" spans="2:6">
      <c r="B613" s="353"/>
      <c r="C613" s="354" t="s">
        <v>564</v>
      </c>
      <c r="D613" s="357">
        <f>D611-D612</f>
        <v>20513.98</v>
      </c>
      <c r="E613" s="337">
        <f t="shared" ref="E613" si="35">D613*180</f>
        <v>3692516.4</v>
      </c>
      <c r="F613" s="331"/>
    </row>
    <row r="615" spans="2:6" ht="25.2">
      <c r="B615" s="316" t="s">
        <v>660</v>
      </c>
    </row>
    <row r="616" spans="2:6">
      <c r="B616" s="319" t="s">
        <v>559</v>
      </c>
      <c r="C616" s="320"/>
      <c r="D616" s="321" t="s">
        <v>566</v>
      </c>
      <c r="E616" s="322"/>
      <c r="F616" s="323"/>
    </row>
    <row r="617" spans="2:6">
      <c r="B617" s="324"/>
      <c r="C617" s="325"/>
      <c r="D617" s="326" t="s">
        <v>642</v>
      </c>
      <c r="E617" s="327" t="s">
        <v>550</v>
      </c>
      <c r="F617" s="326" t="s">
        <v>567</v>
      </c>
    </row>
    <row r="618" spans="2:6">
      <c r="B618" s="328" t="s">
        <v>568</v>
      </c>
      <c r="C618" s="296" t="s">
        <v>569</v>
      </c>
      <c r="D618" s="329" t="s">
        <v>661</v>
      </c>
      <c r="E618" s="330"/>
      <c r="F618" s="331" t="s">
        <v>662</v>
      </c>
    </row>
    <row r="619" spans="2:6">
      <c r="B619" s="332"/>
      <c r="C619" s="296" t="s">
        <v>571</v>
      </c>
      <c r="D619" s="356">
        <v>2500</v>
      </c>
      <c r="E619" s="334">
        <v>450000</v>
      </c>
      <c r="F619" s="331"/>
    </row>
    <row r="620" spans="2:6">
      <c r="B620" s="332"/>
      <c r="C620" s="296" t="s">
        <v>572</v>
      </c>
      <c r="D620" s="356">
        <v>0</v>
      </c>
      <c r="E620" s="334">
        <v>0</v>
      </c>
      <c r="F620" s="331"/>
    </row>
    <row r="621" spans="2:6">
      <c r="B621" s="332"/>
      <c r="C621" s="339" t="s">
        <v>573</v>
      </c>
      <c r="D621" s="357">
        <v>5000</v>
      </c>
      <c r="E621" s="337">
        <v>900000</v>
      </c>
      <c r="F621" s="338"/>
    </row>
    <row r="622" spans="2:6">
      <c r="B622" s="332"/>
      <c r="C622" s="296" t="s">
        <v>549</v>
      </c>
      <c r="D622" s="356">
        <v>754.72</v>
      </c>
      <c r="E622" s="334">
        <v>135849.60000000001</v>
      </c>
      <c r="F622" s="331"/>
    </row>
    <row r="623" spans="2:6">
      <c r="B623" s="332"/>
      <c r="C623" s="339" t="s">
        <v>574</v>
      </c>
      <c r="D623" s="357">
        <v>4245.28</v>
      </c>
      <c r="E623" s="337">
        <v>764150.39999999991</v>
      </c>
      <c r="F623" s="338"/>
    </row>
    <row r="624" spans="2:6">
      <c r="B624" s="340"/>
      <c r="C624" s="321" t="s">
        <v>655</v>
      </c>
      <c r="D624" s="322"/>
      <c r="E624" s="322"/>
      <c r="F624" s="323"/>
    </row>
    <row r="625" spans="2:6">
      <c r="B625" s="341" t="s">
        <v>559</v>
      </c>
      <c r="C625" s="341"/>
      <c r="D625" s="342" t="s">
        <v>308</v>
      </c>
      <c r="E625" s="343"/>
      <c r="F625" s="344"/>
    </row>
    <row r="626" spans="2:6">
      <c r="B626" s="345"/>
      <c r="C626" s="345"/>
      <c r="D626" s="345" t="s">
        <v>470</v>
      </c>
      <c r="E626" s="346" t="s">
        <v>550</v>
      </c>
      <c r="F626" s="345" t="s">
        <v>67</v>
      </c>
    </row>
    <row r="627" spans="2:6">
      <c r="B627" s="347" t="s">
        <v>561</v>
      </c>
      <c r="C627" s="348" t="s">
        <v>575</v>
      </c>
      <c r="D627" s="358">
        <v>35708.42</v>
      </c>
      <c r="E627" s="334">
        <v>6427515.5999999996</v>
      </c>
      <c r="F627" s="331"/>
    </row>
    <row r="628" spans="2:6">
      <c r="B628" s="350"/>
      <c r="C628" s="348" t="s">
        <v>645</v>
      </c>
      <c r="D628" s="359">
        <v>-9480.83</v>
      </c>
      <c r="E628" s="334">
        <v>-1706549.4</v>
      </c>
      <c r="F628" s="331"/>
    </row>
    <row r="629" spans="2:6">
      <c r="B629" s="350"/>
      <c r="C629" s="348" t="s">
        <v>650</v>
      </c>
      <c r="D629" s="358">
        <v>26227.589999999997</v>
      </c>
      <c r="E629" s="334">
        <v>4720966.1999999993</v>
      </c>
      <c r="F629" s="331"/>
    </row>
    <row r="630" spans="2:6">
      <c r="B630" s="350"/>
      <c r="C630" s="348" t="s">
        <v>563</v>
      </c>
      <c r="D630" s="358">
        <v>8351.59</v>
      </c>
      <c r="E630" s="334">
        <v>1503286.2</v>
      </c>
      <c r="F630" s="331"/>
    </row>
    <row r="631" spans="2:6">
      <c r="B631" s="350"/>
      <c r="C631" s="348" t="s">
        <v>552</v>
      </c>
      <c r="D631" s="358">
        <v>67.95</v>
      </c>
      <c r="E631" s="334">
        <v>12231</v>
      </c>
      <c r="F631" s="331"/>
    </row>
    <row r="632" spans="2:6">
      <c r="B632" s="350"/>
      <c r="C632" s="348" t="s">
        <v>553</v>
      </c>
      <c r="D632" s="358">
        <v>752.99</v>
      </c>
      <c r="E632" s="334">
        <v>135538.20000000001</v>
      </c>
      <c r="F632" s="331"/>
    </row>
    <row r="633" spans="2:6">
      <c r="B633" s="350"/>
      <c r="C633" s="348" t="s">
        <v>638</v>
      </c>
      <c r="D633" s="358">
        <v>35400.119999999988</v>
      </c>
      <c r="E633" s="334">
        <v>6372021.5999999978</v>
      </c>
      <c r="F633" s="331"/>
    </row>
    <row r="634" spans="2:6">
      <c r="B634" s="350"/>
      <c r="C634" s="348" t="s">
        <v>555</v>
      </c>
      <c r="D634" s="356">
        <v>12700.059999999994</v>
      </c>
      <c r="E634" s="334">
        <v>2286010.7999999989</v>
      </c>
      <c r="F634" s="331"/>
    </row>
    <row r="635" spans="2:6">
      <c r="B635" s="350"/>
      <c r="C635" s="348" t="s">
        <v>556</v>
      </c>
      <c r="D635" s="358">
        <v>0</v>
      </c>
      <c r="E635" s="334">
        <v>0</v>
      </c>
      <c r="F635" s="331"/>
    </row>
    <row r="636" spans="2:6">
      <c r="B636" s="350"/>
      <c r="C636" s="348" t="s">
        <v>663</v>
      </c>
      <c r="D636" s="358">
        <v>0</v>
      </c>
      <c r="E636" s="334">
        <v>0</v>
      </c>
      <c r="F636" s="360" t="s">
        <v>664</v>
      </c>
    </row>
    <row r="637" spans="2:6">
      <c r="B637" s="350"/>
      <c r="C637" s="348" t="s">
        <v>640</v>
      </c>
      <c r="D637" s="358">
        <v>6.72</v>
      </c>
      <c r="E637" s="334">
        <v>1209.5999999999999</v>
      </c>
      <c r="F637" s="360" t="s">
        <v>664</v>
      </c>
    </row>
    <row r="638" spans="2:6">
      <c r="B638" s="350"/>
      <c r="C638" s="355" t="s">
        <v>557</v>
      </c>
      <c r="D638" s="357">
        <v>12706.779999999993</v>
      </c>
      <c r="E638" s="337">
        <v>2287220.399999999</v>
      </c>
      <c r="F638" s="338"/>
    </row>
    <row r="639" spans="2:6">
      <c r="B639" s="350"/>
      <c r="C639" s="348" t="s">
        <v>549</v>
      </c>
      <c r="D639" s="358">
        <v>1918</v>
      </c>
      <c r="E639" s="334">
        <v>345240</v>
      </c>
      <c r="F639" s="331"/>
    </row>
    <row r="640" spans="2:6">
      <c r="B640" s="353"/>
      <c r="C640" s="354" t="s">
        <v>564</v>
      </c>
      <c r="D640" s="357">
        <v>10788.779999999993</v>
      </c>
      <c r="E640" s="337">
        <v>1941980.3999999987</v>
      </c>
      <c r="F640" s="331"/>
    </row>
    <row r="642" spans="2:6" ht="25.2">
      <c r="B642" s="316" t="s">
        <v>665</v>
      </c>
    </row>
    <row r="643" spans="2:6">
      <c r="B643" s="319" t="s">
        <v>559</v>
      </c>
      <c r="C643" s="320"/>
      <c r="D643" s="321" t="s">
        <v>566</v>
      </c>
      <c r="E643" s="322"/>
      <c r="F643" s="323"/>
    </row>
    <row r="644" spans="2:6">
      <c r="B644" s="324"/>
      <c r="C644" s="325"/>
      <c r="D644" s="326" t="s">
        <v>642</v>
      </c>
      <c r="E644" s="327" t="s">
        <v>550</v>
      </c>
      <c r="F644" s="326" t="s">
        <v>567</v>
      </c>
    </row>
    <row r="645" spans="2:6">
      <c r="B645" s="328" t="s">
        <v>568</v>
      </c>
      <c r="C645" s="296" t="s">
        <v>569</v>
      </c>
      <c r="D645" s="362" t="s">
        <v>666</v>
      </c>
      <c r="E645" s="330"/>
      <c r="F645" s="331"/>
    </row>
    <row r="646" spans="2:6">
      <c r="B646" s="332"/>
      <c r="C646" s="296" t="s">
        <v>571</v>
      </c>
      <c r="D646" s="356">
        <v>2500</v>
      </c>
      <c r="E646" s="334">
        <f>D646*180</f>
        <v>450000</v>
      </c>
      <c r="F646" s="331"/>
    </row>
    <row r="647" spans="2:6">
      <c r="B647" s="332"/>
      <c r="C647" s="296" t="s">
        <v>572</v>
      </c>
      <c r="D647" s="356">
        <v>0</v>
      </c>
      <c r="E647" s="334">
        <f t="shared" ref="E647:E650" si="36">D647*180</f>
        <v>0</v>
      </c>
      <c r="F647" s="331"/>
    </row>
    <row r="648" spans="2:6">
      <c r="B648" s="332"/>
      <c r="C648" s="339" t="s">
        <v>573</v>
      </c>
      <c r="D648" s="357">
        <f>(D646*D645)+D647</f>
        <v>12500</v>
      </c>
      <c r="E648" s="337">
        <f t="shared" si="36"/>
        <v>2250000</v>
      </c>
      <c r="F648" s="338"/>
    </row>
    <row r="649" spans="2:6">
      <c r="B649" s="332"/>
      <c r="C649" s="296" t="s">
        <v>549</v>
      </c>
      <c r="D649" s="356">
        <f>ROUND(D648/(1+0.06)*16%,2)</f>
        <v>1886.79</v>
      </c>
      <c r="E649" s="334">
        <f t="shared" si="36"/>
        <v>339622.2</v>
      </c>
      <c r="F649" s="331"/>
    </row>
    <row r="650" spans="2:6">
      <c r="B650" s="332"/>
      <c r="C650" s="339" t="s">
        <v>574</v>
      </c>
      <c r="D650" s="357">
        <f>D648-D649</f>
        <v>10613.21</v>
      </c>
      <c r="E650" s="337">
        <f t="shared" si="36"/>
        <v>1910377.7999999998</v>
      </c>
      <c r="F650" s="338"/>
    </row>
    <row r="651" spans="2:6">
      <c r="B651" s="340"/>
      <c r="C651" s="321" t="s">
        <v>655</v>
      </c>
      <c r="D651" s="322"/>
      <c r="E651" s="322"/>
      <c r="F651" s="323"/>
    </row>
    <row r="652" spans="2:6">
      <c r="B652" s="341" t="s">
        <v>559</v>
      </c>
      <c r="C652" s="341"/>
      <c r="D652" s="342" t="s">
        <v>308</v>
      </c>
      <c r="E652" s="343"/>
      <c r="F652" s="344"/>
    </row>
    <row r="653" spans="2:6">
      <c r="B653" s="345"/>
      <c r="C653" s="345"/>
      <c r="D653" s="345" t="s">
        <v>470</v>
      </c>
      <c r="E653" s="346" t="s">
        <v>550</v>
      </c>
      <c r="F653" s="345" t="s">
        <v>67</v>
      </c>
    </row>
    <row r="654" spans="2:6">
      <c r="B654" s="347" t="s">
        <v>561</v>
      </c>
      <c r="C654" s="348" t="s">
        <v>575</v>
      </c>
      <c r="D654" s="358">
        <v>42530.48</v>
      </c>
      <c r="E654" s="334">
        <f>D654*180</f>
        <v>7655486.4000000004</v>
      </c>
      <c r="F654" s="331"/>
    </row>
    <row r="655" spans="2:6">
      <c r="B655" s="350"/>
      <c r="C655" s="348" t="s">
        <v>645</v>
      </c>
      <c r="D655" s="359">
        <v>11288.18</v>
      </c>
      <c r="E655" s="334">
        <f t="shared" ref="E655:E664" si="37">D655*180</f>
        <v>2031872.4000000001</v>
      </c>
      <c r="F655" s="331"/>
    </row>
    <row r="656" spans="2:6">
      <c r="B656" s="350"/>
      <c r="C656" s="348" t="s">
        <v>650</v>
      </c>
      <c r="D656" s="358">
        <v>31242.3</v>
      </c>
      <c r="E656" s="334">
        <f t="shared" si="37"/>
        <v>5623614</v>
      </c>
      <c r="F656" s="331"/>
    </row>
    <row r="657" spans="2:6">
      <c r="B657" s="350"/>
      <c r="C657" s="348" t="s">
        <v>563</v>
      </c>
      <c r="D657" s="358">
        <v>11746.87</v>
      </c>
      <c r="E657" s="334">
        <f t="shared" si="37"/>
        <v>2114436.6</v>
      </c>
      <c r="F657" s="331"/>
    </row>
    <row r="658" spans="2:6">
      <c r="B658" s="350"/>
      <c r="C658" s="348" t="s">
        <v>552</v>
      </c>
      <c r="D658" s="358">
        <v>84.16</v>
      </c>
      <c r="E658" s="334">
        <f t="shared" si="37"/>
        <v>15148.8</v>
      </c>
      <c r="F658" s="331"/>
    </row>
    <row r="659" spans="2:6">
      <c r="B659" s="350"/>
      <c r="C659" s="348" t="s">
        <v>553</v>
      </c>
      <c r="D659" s="358">
        <v>611.89</v>
      </c>
      <c r="E659" s="334">
        <f t="shared" si="37"/>
        <v>110140.2</v>
      </c>
      <c r="F659" s="331"/>
    </row>
    <row r="660" spans="2:6">
      <c r="B660" s="350"/>
      <c r="C660" s="348" t="s">
        <v>638</v>
      </c>
      <c r="D660" s="358">
        <f>SUM(D656:D659)</f>
        <v>43685.22</v>
      </c>
      <c r="E660" s="334">
        <f t="shared" si="37"/>
        <v>7863339.6000000006</v>
      </c>
      <c r="F660" s="331"/>
    </row>
    <row r="661" spans="2:6">
      <c r="B661" s="350"/>
      <c r="C661" s="348" t="s">
        <v>555</v>
      </c>
      <c r="D661" s="356">
        <v>9342.61</v>
      </c>
      <c r="E661" s="334">
        <f t="shared" si="37"/>
        <v>1681669.8</v>
      </c>
      <c r="F661" s="331"/>
    </row>
    <row r="662" spans="2:6">
      <c r="B662" s="350"/>
      <c r="C662" s="348" t="s">
        <v>556</v>
      </c>
      <c r="D662" s="358">
        <v>0</v>
      </c>
      <c r="E662" s="334">
        <f t="shared" si="37"/>
        <v>0</v>
      </c>
      <c r="F662" s="331"/>
    </row>
    <row r="663" spans="2:6">
      <c r="B663" s="350"/>
      <c r="C663" s="348" t="s">
        <v>663</v>
      </c>
      <c r="D663" s="358"/>
      <c r="E663" s="334">
        <f t="shared" si="37"/>
        <v>0</v>
      </c>
      <c r="F663" s="360" t="s">
        <v>664</v>
      </c>
    </row>
    <row r="664" spans="2:6">
      <c r="B664" s="350"/>
      <c r="C664" s="348" t="s">
        <v>640</v>
      </c>
      <c r="D664" s="358">
        <v>11.85</v>
      </c>
      <c r="E664" s="334">
        <f t="shared" si="37"/>
        <v>2133</v>
      </c>
      <c r="F664" s="360" t="s">
        <v>664</v>
      </c>
    </row>
    <row r="665" spans="2:6">
      <c r="B665" s="350"/>
      <c r="C665" s="355" t="s">
        <v>557</v>
      </c>
      <c r="D665" s="357">
        <f>SUM(D661:D664)</f>
        <v>9354.4600000000009</v>
      </c>
      <c r="E665" s="337">
        <f>D665*180</f>
        <v>1683802.8000000003</v>
      </c>
      <c r="F665" s="338"/>
    </row>
    <row r="666" spans="2:6">
      <c r="B666" s="350"/>
      <c r="C666" s="348" t="s">
        <v>549</v>
      </c>
      <c r="D666" s="358">
        <v>1412</v>
      </c>
      <c r="E666" s="334">
        <f>D666*180</f>
        <v>254160</v>
      </c>
      <c r="F666" s="331"/>
    </row>
    <row r="667" spans="2:6">
      <c r="B667" s="353"/>
      <c r="C667" s="354" t="s">
        <v>564</v>
      </c>
      <c r="D667" s="357">
        <f>D665-D666</f>
        <v>7942.4600000000009</v>
      </c>
      <c r="E667" s="337">
        <f t="shared" ref="E667" si="38">D667*180</f>
        <v>1429642.8000000003</v>
      </c>
      <c r="F667" s="331"/>
    </row>
    <row r="669" spans="2:6" ht="25.2">
      <c r="B669" s="316" t="s">
        <v>667</v>
      </c>
    </row>
    <row r="670" spans="2:6">
      <c r="B670" s="319" t="s">
        <v>559</v>
      </c>
      <c r="C670" s="320"/>
      <c r="D670" s="321" t="s">
        <v>566</v>
      </c>
      <c r="E670" s="322"/>
      <c r="F670" s="323"/>
    </row>
    <row r="671" spans="2:6">
      <c r="B671" s="324"/>
      <c r="C671" s="325"/>
      <c r="D671" s="326" t="s">
        <v>642</v>
      </c>
      <c r="E671" s="327" t="s">
        <v>550</v>
      </c>
      <c r="F671" s="326" t="s">
        <v>567</v>
      </c>
    </row>
    <row r="672" spans="2:6">
      <c r="B672" s="328" t="s">
        <v>568</v>
      </c>
      <c r="C672" s="296" t="s">
        <v>569</v>
      </c>
      <c r="D672" s="362" t="s">
        <v>668</v>
      </c>
      <c r="E672" s="330"/>
      <c r="F672" s="331"/>
    </row>
    <row r="673" spans="2:6">
      <c r="B673" s="332"/>
      <c r="C673" s="296" t="s">
        <v>571</v>
      </c>
      <c r="D673" s="356">
        <v>2500</v>
      </c>
      <c r="E673" s="334">
        <v>450000</v>
      </c>
      <c r="F673" s="331"/>
    </row>
    <row r="674" spans="2:6">
      <c r="B674" s="332"/>
      <c r="C674" s="296" t="s">
        <v>572</v>
      </c>
      <c r="D674" s="356">
        <v>0</v>
      </c>
      <c r="E674" s="334">
        <v>0</v>
      </c>
      <c r="F674" s="331"/>
    </row>
    <row r="675" spans="2:6">
      <c r="B675" s="332"/>
      <c r="C675" s="339" t="s">
        <v>573</v>
      </c>
      <c r="D675" s="357">
        <v>10000</v>
      </c>
      <c r="E675" s="337">
        <v>1800000</v>
      </c>
      <c r="F675" s="338"/>
    </row>
    <row r="676" spans="2:6">
      <c r="B676" s="332"/>
      <c r="C676" s="296" t="s">
        <v>549</v>
      </c>
      <c r="D676" s="356">
        <v>1509.43</v>
      </c>
      <c r="E676" s="334">
        <v>271697.40000000002</v>
      </c>
      <c r="F676" s="331"/>
    </row>
    <row r="677" spans="2:6">
      <c r="B677" s="332"/>
      <c r="C677" s="339" t="s">
        <v>574</v>
      </c>
      <c r="D677" s="357">
        <v>8490.57</v>
      </c>
      <c r="E677" s="337">
        <v>1528302.5999999999</v>
      </c>
      <c r="F677" s="338"/>
    </row>
    <row r="678" spans="2:6">
      <c r="B678" s="340"/>
      <c r="C678" s="321" t="s">
        <v>655</v>
      </c>
      <c r="D678" s="322"/>
      <c r="E678" s="322"/>
      <c r="F678" s="323"/>
    </row>
    <row r="679" spans="2:6">
      <c r="B679" s="341" t="s">
        <v>559</v>
      </c>
      <c r="C679" s="341"/>
      <c r="D679" s="342" t="s">
        <v>308</v>
      </c>
      <c r="E679" s="343"/>
      <c r="F679" s="344"/>
    </row>
    <row r="680" spans="2:6">
      <c r="B680" s="345"/>
      <c r="C680" s="345"/>
      <c r="D680" s="345" t="s">
        <v>470</v>
      </c>
      <c r="E680" s="346" t="s">
        <v>550</v>
      </c>
      <c r="F680" s="345" t="s">
        <v>67</v>
      </c>
    </row>
    <row r="681" spans="2:6">
      <c r="B681" s="347" t="s">
        <v>561</v>
      </c>
      <c r="C681" s="348" t="s">
        <v>575</v>
      </c>
      <c r="D681" s="358">
        <v>36196.410000000003</v>
      </c>
      <c r="E681" s="334">
        <f>D681*180</f>
        <v>6515353.8000000007</v>
      </c>
      <c r="F681" s="331"/>
    </row>
    <row r="682" spans="2:6">
      <c r="B682" s="350"/>
      <c r="C682" s="348" t="s">
        <v>645</v>
      </c>
      <c r="D682" s="359">
        <v>9671.93</v>
      </c>
      <c r="E682" s="334">
        <f t="shared" ref="E682:E691" si="39">D682*180</f>
        <v>1740947.4000000001</v>
      </c>
      <c r="F682" s="331"/>
    </row>
    <row r="683" spans="2:6">
      <c r="B683" s="350"/>
      <c r="C683" s="348" t="s">
        <v>650</v>
      </c>
      <c r="D683" s="358">
        <v>26524.48</v>
      </c>
      <c r="E683" s="334">
        <f t="shared" si="39"/>
        <v>4774406.4000000004</v>
      </c>
      <c r="F683" s="331"/>
    </row>
    <row r="684" spans="2:6">
      <c r="B684" s="350"/>
      <c r="C684" s="348" t="s">
        <v>563</v>
      </c>
      <c r="D684" s="358">
        <v>7734.73</v>
      </c>
      <c r="E684" s="334">
        <f t="shared" si="39"/>
        <v>1392251.4</v>
      </c>
      <c r="F684" s="331"/>
    </row>
    <row r="685" spans="2:6">
      <c r="B685" s="350"/>
      <c r="C685" s="348" t="s">
        <v>552</v>
      </c>
      <c r="D685" s="358">
        <v>71.39</v>
      </c>
      <c r="E685" s="334">
        <f t="shared" si="39"/>
        <v>12850.2</v>
      </c>
      <c r="F685" s="331"/>
    </row>
    <row r="686" spans="2:6">
      <c r="B686" s="350"/>
      <c r="C686" s="348" t="s">
        <v>553</v>
      </c>
      <c r="D686" s="358">
        <v>616.45000000000005</v>
      </c>
      <c r="E686" s="334">
        <f t="shared" si="39"/>
        <v>110961.00000000001</v>
      </c>
      <c r="F686" s="331"/>
    </row>
    <row r="687" spans="2:6">
      <c r="B687" s="350"/>
      <c r="C687" s="348" t="s">
        <v>638</v>
      </c>
      <c r="D687" s="358">
        <f>SUM(D683:D686)</f>
        <v>34947.049999999996</v>
      </c>
      <c r="E687" s="334">
        <f t="shared" si="39"/>
        <v>6290468.9999999991</v>
      </c>
      <c r="F687" s="331"/>
    </row>
    <row r="688" spans="2:6">
      <c r="B688" s="350"/>
      <c r="C688" s="348" t="s">
        <v>555</v>
      </c>
      <c r="D688" s="356">
        <v>7473.53</v>
      </c>
      <c r="E688" s="334">
        <f t="shared" si="39"/>
        <v>1345235.4</v>
      </c>
      <c r="F688" s="331"/>
    </row>
    <row r="689" spans="2:6">
      <c r="B689" s="350"/>
      <c r="C689" s="348" t="s">
        <v>556</v>
      </c>
      <c r="D689" s="358">
        <v>0</v>
      </c>
      <c r="E689" s="334">
        <f t="shared" si="39"/>
        <v>0</v>
      </c>
      <c r="F689" s="331"/>
    </row>
    <row r="690" spans="2:6">
      <c r="B690" s="350"/>
      <c r="C690" s="348" t="s">
        <v>663</v>
      </c>
      <c r="D690" s="358"/>
      <c r="E690" s="334">
        <f t="shared" si="39"/>
        <v>0</v>
      </c>
      <c r="F690" s="360" t="s">
        <v>664</v>
      </c>
    </row>
    <row r="691" spans="2:6">
      <c r="B691" s="350"/>
      <c r="C691" s="348" t="s">
        <v>640</v>
      </c>
      <c r="D691" s="358">
        <v>8.09</v>
      </c>
      <c r="E691" s="334">
        <f t="shared" si="39"/>
        <v>1456.2</v>
      </c>
      <c r="F691" s="360" t="s">
        <v>664</v>
      </c>
    </row>
    <row r="692" spans="2:6">
      <c r="B692" s="350"/>
      <c r="C692" s="355" t="s">
        <v>557</v>
      </c>
      <c r="D692" s="357">
        <f>SUM(D688:D691)</f>
        <v>7481.62</v>
      </c>
      <c r="E692" s="337">
        <f>D692*180</f>
        <v>1346691.6</v>
      </c>
      <c r="F692" s="338"/>
    </row>
    <row r="693" spans="2:6">
      <c r="B693" s="350"/>
      <c r="C693" s="348" t="s">
        <v>549</v>
      </c>
      <c r="D693" s="358">
        <v>1129.3</v>
      </c>
      <c r="E693" s="334">
        <f>D693*180</f>
        <v>203274</v>
      </c>
      <c r="F693" s="331"/>
    </row>
    <row r="694" spans="2:6">
      <c r="B694" s="353"/>
      <c r="C694" s="354" t="s">
        <v>564</v>
      </c>
      <c r="D694" s="357">
        <f>D692-D693</f>
        <v>6352.32</v>
      </c>
      <c r="E694" s="337">
        <f t="shared" ref="E694" si="40">D694*180</f>
        <v>1143417.5999999999</v>
      </c>
      <c r="F694" s="331"/>
    </row>
    <row r="696" spans="2:6" ht="25.2">
      <c r="B696" s="316" t="s">
        <v>669</v>
      </c>
    </row>
    <row r="697" spans="2:6">
      <c r="B697" s="319" t="s">
        <v>559</v>
      </c>
      <c r="C697" s="320"/>
      <c r="D697" s="321" t="s">
        <v>566</v>
      </c>
      <c r="E697" s="322"/>
      <c r="F697" s="323"/>
    </row>
    <row r="698" spans="2:6">
      <c r="B698" s="324"/>
      <c r="C698" s="325"/>
      <c r="D698" s="326" t="s">
        <v>642</v>
      </c>
      <c r="E698" s="327" t="s">
        <v>550</v>
      </c>
      <c r="F698" s="326" t="s">
        <v>567</v>
      </c>
    </row>
    <row r="699" spans="2:6">
      <c r="B699" s="328" t="s">
        <v>568</v>
      </c>
      <c r="C699" s="296" t="s">
        <v>569</v>
      </c>
      <c r="D699" s="362">
        <v>5</v>
      </c>
      <c r="E699" s="330"/>
      <c r="F699" s="331"/>
    </row>
    <row r="700" spans="2:6">
      <c r="B700" s="332"/>
      <c r="C700" s="296" t="s">
        <v>571</v>
      </c>
      <c r="D700" s="356">
        <v>2500</v>
      </c>
      <c r="E700" s="334">
        <v>450000</v>
      </c>
      <c r="F700" s="331"/>
    </row>
    <row r="701" spans="2:6">
      <c r="B701" s="332"/>
      <c r="C701" s="296" t="s">
        <v>572</v>
      </c>
      <c r="D701" s="356">
        <v>0</v>
      </c>
      <c r="E701" s="334">
        <v>0</v>
      </c>
      <c r="F701" s="331"/>
    </row>
    <row r="702" spans="2:6">
      <c r="B702" s="332"/>
      <c r="C702" s="339" t="s">
        <v>573</v>
      </c>
      <c r="D702" s="357">
        <v>12500</v>
      </c>
      <c r="E702" s="337">
        <v>2250000</v>
      </c>
      <c r="F702" s="338"/>
    </row>
    <row r="703" spans="2:6">
      <c r="B703" s="332"/>
      <c r="C703" s="296" t="s">
        <v>549</v>
      </c>
      <c r="D703" s="356">
        <v>1886.79</v>
      </c>
      <c r="E703" s="334">
        <v>339622.2</v>
      </c>
      <c r="F703" s="331"/>
    </row>
    <row r="704" spans="2:6">
      <c r="B704" s="332"/>
      <c r="C704" s="339" t="s">
        <v>574</v>
      </c>
      <c r="D704" s="357">
        <v>10613.21</v>
      </c>
      <c r="E704" s="337">
        <v>1910377.7999999998</v>
      </c>
      <c r="F704" s="338"/>
    </row>
    <row r="705" spans="2:6">
      <c r="B705" s="340"/>
      <c r="C705" s="321" t="s">
        <v>655</v>
      </c>
      <c r="D705" s="322"/>
      <c r="E705" s="322"/>
      <c r="F705" s="323"/>
    </row>
    <row r="706" spans="2:6">
      <c r="B706" s="341" t="s">
        <v>559</v>
      </c>
      <c r="C706" s="341"/>
      <c r="D706" s="342" t="s">
        <v>308</v>
      </c>
      <c r="E706" s="343"/>
      <c r="F706" s="344"/>
    </row>
    <row r="707" spans="2:6">
      <c r="B707" s="345"/>
      <c r="C707" s="345"/>
      <c r="D707" s="345" t="s">
        <v>470</v>
      </c>
      <c r="E707" s="346" t="s">
        <v>550</v>
      </c>
      <c r="F707" s="345" t="s">
        <v>67</v>
      </c>
    </row>
    <row r="708" spans="2:6">
      <c r="B708" s="347" t="s">
        <v>561</v>
      </c>
      <c r="C708" s="348" t="s">
        <v>575</v>
      </c>
      <c r="D708" s="358">
        <v>52784.99</v>
      </c>
      <c r="E708" s="334">
        <v>9501298.1999999993</v>
      </c>
      <c r="F708" s="331"/>
    </row>
    <row r="709" spans="2:6">
      <c r="B709" s="350"/>
      <c r="C709" s="348" t="s">
        <v>645</v>
      </c>
      <c r="D709" s="359">
        <v>14159.29</v>
      </c>
      <c r="E709" s="334">
        <v>2548672.2000000002</v>
      </c>
      <c r="F709" s="331"/>
    </row>
    <row r="710" spans="2:6">
      <c r="B710" s="350"/>
      <c r="C710" s="348" t="s">
        <v>650</v>
      </c>
      <c r="D710" s="358">
        <v>38625.699999999997</v>
      </c>
      <c r="E710" s="334">
        <v>6952625.9999999991</v>
      </c>
      <c r="F710" s="331"/>
    </row>
    <row r="711" spans="2:6">
      <c r="B711" s="350"/>
      <c r="C711" s="348" t="s">
        <v>563</v>
      </c>
      <c r="D711" s="358">
        <v>10045.82</v>
      </c>
      <c r="E711" s="334">
        <v>1808247.5999999999</v>
      </c>
      <c r="F711" s="331"/>
    </row>
    <row r="712" spans="2:6">
      <c r="B712" s="350"/>
      <c r="C712" s="348" t="s">
        <v>552</v>
      </c>
      <c r="D712" s="358">
        <v>75.98</v>
      </c>
      <c r="E712" s="334">
        <v>13676.400000000001</v>
      </c>
      <c r="F712" s="331"/>
    </row>
    <row r="713" spans="2:6">
      <c r="B713" s="350"/>
      <c r="C713" s="348" t="s">
        <v>553</v>
      </c>
      <c r="D713" s="358">
        <v>757.45</v>
      </c>
      <c r="E713" s="334">
        <v>136341</v>
      </c>
      <c r="F713" s="331"/>
    </row>
    <row r="714" spans="2:6">
      <c r="B714" s="350"/>
      <c r="C714" s="348" t="s">
        <v>638</v>
      </c>
      <c r="D714" s="358">
        <v>49504.95</v>
      </c>
      <c r="E714" s="334">
        <v>8910891</v>
      </c>
      <c r="F714" s="331"/>
    </row>
    <row r="715" spans="2:6">
      <c r="B715" s="350"/>
      <c r="C715" s="348" t="s">
        <v>555</v>
      </c>
      <c r="D715" s="356">
        <v>12252.48</v>
      </c>
      <c r="E715" s="334">
        <v>2205446.4</v>
      </c>
      <c r="F715" s="331"/>
    </row>
    <row r="716" spans="2:6">
      <c r="B716" s="350"/>
      <c r="C716" s="348" t="s">
        <v>556</v>
      </c>
      <c r="D716" s="358">
        <v>0</v>
      </c>
      <c r="E716" s="334">
        <v>0</v>
      </c>
      <c r="F716" s="331"/>
    </row>
    <row r="717" spans="2:6">
      <c r="B717" s="350"/>
      <c r="C717" s="348" t="s">
        <v>663</v>
      </c>
      <c r="D717" s="358"/>
      <c r="E717" s="334">
        <v>0</v>
      </c>
      <c r="F717" s="360" t="s">
        <v>664</v>
      </c>
    </row>
    <row r="718" spans="2:6">
      <c r="B718" s="350"/>
      <c r="C718" s="348" t="s">
        <v>640</v>
      </c>
      <c r="D718" s="358">
        <v>6.35</v>
      </c>
      <c r="E718" s="334">
        <v>1143</v>
      </c>
      <c r="F718" s="360" t="s">
        <v>664</v>
      </c>
    </row>
    <row r="719" spans="2:6">
      <c r="B719" s="350"/>
      <c r="C719" s="355" t="s">
        <v>557</v>
      </c>
      <c r="D719" s="357">
        <v>12258.83</v>
      </c>
      <c r="E719" s="337">
        <v>2206589.4</v>
      </c>
      <c r="F719" s="338"/>
    </row>
    <row r="720" spans="2:6">
      <c r="B720" s="350"/>
      <c r="C720" s="348" t="s">
        <v>549</v>
      </c>
      <c r="D720" s="358">
        <v>1850.39</v>
      </c>
      <c r="E720" s="334">
        <v>333070.2</v>
      </c>
      <c r="F720" s="331"/>
    </row>
    <row r="721" spans="2:6">
      <c r="B721" s="353"/>
      <c r="C721" s="354" t="s">
        <v>564</v>
      </c>
      <c r="D721" s="357">
        <v>10408.44</v>
      </c>
      <c r="E721" s="337">
        <v>1873519.2000000002</v>
      </c>
      <c r="F721" s="331"/>
    </row>
  </sheetData>
  <mergeCells count="188">
    <mergeCell ref="B708:B721"/>
    <mergeCell ref="B681:B694"/>
    <mergeCell ref="B697:C698"/>
    <mergeCell ref="D697:F697"/>
    <mergeCell ref="B699:B705"/>
    <mergeCell ref="C705:F705"/>
    <mergeCell ref="B706:C706"/>
    <mergeCell ref="D706:F706"/>
    <mergeCell ref="B654:B667"/>
    <mergeCell ref="B670:C671"/>
    <mergeCell ref="D670:F670"/>
    <mergeCell ref="B672:B678"/>
    <mergeCell ref="C678:F678"/>
    <mergeCell ref="B679:C679"/>
    <mergeCell ref="D679:F679"/>
    <mergeCell ref="B627:B640"/>
    <mergeCell ref="B643:C644"/>
    <mergeCell ref="D643:F643"/>
    <mergeCell ref="B645:B651"/>
    <mergeCell ref="C651:F651"/>
    <mergeCell ref="B652:C652"/>
    <mergeCell ref="D652:F652"/>
    <mergeCell ref="B600:B613"/>
    <mergeCell ref="B616:C617"/>
    <mergeCell ref="D616:F616"/>
    <mergeCell ref="B618:B624"/>
    <mergeCell ref="C624:F624"/>
    <mergeCell ref="B625:C625"/>
    <mergeCell ref="D625:F625"/>
    <mergeCell ref="B573:B586"/>
    <mergeCell ref="B589:C590"/>
    <mergeCell ref="D589:F589"/>
    <mergeCell ref="B591:B597"/>
    <mergeCell ref="C597:F597"/>
    <mergeCell ref="B598:C598"/>
    <mergeCell ref="D598:F598"/>
    <mergeCell ref="B545:B558"/>
    <mergeCell ref="B562:C563"/>
    <mergeCell ref="D562:F562"/>
    <mergeCell ref="B564:B570"/>
    <mergeCell ref="C570:F570"/>
    <mergeCell ref="B571:C571"/>
    <mergeCell ref="D571:F571"/>
    <mergeCell ref="B517:B530"/>
    <mergeCell ref="B534:C535"/>
    <mergeCell ref="D534:F534"/>
    <mergeCell ref="B536:B542"/>
    <mergeCell ref="C542:F542"/>
    <mergeCell ref="B543:C543"/>
    <mergeCell ref="D543:F543"/>
    <mergeCell ref="B489:B502"/>
    <mergeCell ref="B506:C507"/>
    <mergeCell ref="D506:F506"/>
    <mergeCell ref="B508:B514"/>
    <mergeCell ref="C514:F514"/>
    <mergeCell ref="B515:C515"/>
    <mergeCell ref="D515:F515"/>
    <mergeCell ref="B461:B474"/>
    <mergeCell ref="B478:C479"/>
    <mergeCell ref="D478:F478"/>
    <mergeCell ref="B480:B486"/>
    <mergeCell ref="C486:F486"/>
    <mergeCell ref="B487:C487"/>
    <mergeCell ref="D487:F487"/>
    <mergeCell ref="B433:B446"/>
    <mergeCell ref="B450:C451"/>
    <mergeCell ref="D450:F450"/>
    <mergeCell ref="B452:B458"/>
    <mergeCell ref="C458:F458"/>
    <mergeCell ref="B459:C459"/>
    <mergeCell ref="D459:F459"/>
    <mergeCell ref="B405:B418"/>
    <mergeCell ref="B422:C423"/>
    <mergeCell ref="D422:F422"/>
    <mergeCell ref="B424:B430"/>
    <mergeCell ref="C430:F430"/>
    <mergeCell ref="B431:C431"/>
    <mergeCell ref="D431:F431"/>
    <mergeCell ref="B377:B390"/>
    <mergeCell ref="B394:C395"/>
    <mergeCell ref="D394:F394"/>
    <mergeCell ref="B396:B402"/>
    <mergeCell ref="C402:F402"/>
    <mergeCell ref="B403:C403"/>
    <mergeCell ref="D403:F403"/>
    <mergeCell ref="B350:B362"/>
    <mergeCell ref="B366:C367"/>
    <mergeCell ref="D366:F366"/>
    <mergeCell ref="B368:B374"/>
    <mergeCell ref="C374:F374"/>
    <mergeCell ref="B375:C375"/>
    <mergeCell ref="D375:F375"/>
    <mergeCell ref="B324:B335"/>
    <mergeCell ref="B339:C340"/>
    <mergeCell ref="D339:F339"/>
    <mergeCell ref="B341:B347"/>
    <mergeCell ref="C347:F347"/>
    <mergeCell ref="B348:C348"/>
    <mergeCell ref="D348:F348"/>
    <mergeCell ref="B298:B309"/>
    <mergeCell ref="B313:C314"/>
    <mergeCell ref="D313:F313"/>
    <mergeCell ref="B315:B321"/>
    <mergeCell ref="C321:F321"/>
    <mergeCell ref="B322:C322"/>
    <mergeCell ref="D322:F322"/>
    <mergeCell ref="B272:B283"/>
    <mergeCell ref="B287:C288"/>
    <mergeCell ref="D287:F287"/>
    <mergeCell ref="B289:B295"/>
    <mergeCell ref="C295:F295"/>
    <mergeCell ref="B296:C296"/>
    <mergeCell ref="D296:F296"/>
    <mergeCell ref="B246:B257"/>
    <mergeCell ref="B261:C262"/>
    <mergeCell ref="D261:F261"/>
    <mergeCell ref="B263:B269"/>
    <mergeCell ref="C269:F269"/>
    <mergeCell ref="B270:C270"/>
    <mergeCell ref="D270:F270"/>
    <mergeCell ref="B220:B231"/>
    <mergeCell ref="B235:C236"/>
    <mergeCell ref="D235:F235"/>
    <mergeCell ref="B237:B243"/>
    <mergeCell ref="C243:F243"/>
    <mergeCell ref="B244:C244"/>
    <mergeCell ref="D244:F244"/>
    <mergeCell ref="B194:B205"/>
    <mergeCell ref="B209:C210"/>
    <mergeCell ref="D209:F209"/>
    <mergeCell ref="B211:B217"/>
    <mergeCell ref="C217:F217"/>
    <mergeCell ref="B218:C218"/>
    <mergeCell ref="D218:F218"/>
    <mergeCell ref="B168:B179"/>
    <mergeCell ref="B183:C184"/>
    <mergeCell ref="D183:F183"/>
    <mergeCell ref="B185:B191"/>
    <mergeCell ref="C191:F191"/>
    <mergeCell ref="B192:C192"/>
    <mergeCell ref="D192:F192"/>
    <mergeCell ref="B142:B153"/>
    <mergeCell ref="B157:C158"/>
    <mergeCell ref="D157:F157"/>
    <mergeCell ref="B159:B165"/>
    <mergeCell ref="C165:F165"/>
    <mergeCell ref="B166:C166"/>
    <mergeCell ref="D166:F166"/>
    <mergeCell ref="B116:B127"/>
    <mergeCell ref="B131:C132"/>
    <mergeCell ref="D131:F131"/>
    <mergeCell ref="B133:B139"/>
    <mergeCell ref="C139:F139"/>
    <mergeCell ref="B140:C140"/>
    <mergeCell ref="D140:F140"/>
    <mergeCell ref="B90:B101"/>
    <mergeCell ref="B105:C106"/>
    <mergeCell ref="D105:F105"/>
    <mergeCell ref="B107:B113"/>
    <mergeCell ref="C113:F113"/>
    <mergeCell ref="B114:C114"/>
    <mergeCell ref="D114:F114"/>
    <mergeCell ref="B65:B76"/>
    <mergeCell ref="B79:C80"/>
    <mergeCell ref="D79:F79"/>
    <mergeCell ref="B81:B87"/>
    <mergeCell ref="C87:F87"/>
    <mergeCell ref="B88:C88"/>
    <mergeCell ref="D88:F88"/>
    <mergeCell ref="B39:B50"/>
    <mergeCell ref="B54:C55"/>
    <mergeCell ref="D54:F54"/>
    <mergeCell ref="B56:B62"/>
    <mergeCell ref="C62:F62"/>
    <mergeCell ref="B63:C63"/>
    <mergeCell ref="D63:F63"/>
    <mergeCell ref="B28:C29"/>
    <mergeCell ref="D28:F28"/>
    <mergeCell ref="B30:B36"/>
    <mergeCell ref="C36:F36"/>
    <mergeCell ref="B37:C37"/>
    <mergeCell ref="D37:F37"/>
    <mergeCell ref="B11:C11"/>
    <mergeCell ref="B12:B13"/>
    <mergeCell ref="B14:C14"/>
    <mergeCell ref="B15:C15"/>
    <mergeCell ref="B16:C16"/>
    <mergeCell ref="B17:C17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1:H578"/>
  <sheetViews>
    <sheetView zoomScale="72" zoomScaleNormal="72" workbookViewId="0">
      <pane ySplit="24" topLeftCell="A326" activePane="bottomLeft" state="frozen"/>
      <selection activeCell="D23" sqref="D23"/>
      <selection pane="bottomLeft" activeCell="D23" sqref="D23"/>
    </sheetView>
  </sheetViews>
  <sheetFormatPr defaultRowHeight="17.399999999999999"/>
  <cols>
    <col min="1" max="1" width="8.796875" style="79"/>
    <col min="2" max="2" width="18.296875" style="79" customWidth="1"/>
    <col min="3" max="3" width="15.19921875" style="79" customWidth="1"/>
    <col min="4" max="4" width="13.69921875" style="79" bestFit="1" customWidth="1"/>
    <col min="5" max="5" width="10.69921875" style="79" customWidth="1"/>
    <col min="6" max="6" width="12.796875" style="79" customWidth="1"/>
    <col min="7" max="16384" width="8.796875" style="79"/>
  </cols>
  <sheetData>
    <row r="1" spans="2:8" ht="18" thickBot="1">
      <c r="B1" s="245" t="s">
        <v>670</v>
      </c>
      <c r="C1" s="2" t="s">
        <v>671</v>
      </c>
    </row>
    <row r="2" spans="2:8">
      <c r="B2" s="247" t="s">
        <v>672</v>
      </c>
      <c r="C2" s="248">
        <v>1</v>
      </c>
      <c r="D2" s="248" t="s">
        <v>422</v>
      </c>
      <c r="E2" s="279"/>
      <c r="F2" s="279"/>
      <c r="G2" s="279"/>
      <c r="H2" s="280" t="s">
        <v>423</v>
      </c>
    </row>
    <row r="3" spans="2:8">
      <c r="B3" s="281" t="s">
        <v>424</v>
      </c>
      <c r="C3" s="282" t="s">
        <v>425</v>
      </c>
      <c r="D3" s="282" t="s">
        <v>673</v>
      </c>
      <c r="E3" s="282" t="s">
        <v>427</v>
      </c>
      <c r="F3" s="282" t="s">
        <v>674</v>
      </c>
      <c r="G3" s="363"/>
      <c r="H3" s="364"/>
    </row>
    <row r="4" spans="2:8">
      <c r="B4" s="256" t="s">
        <v>675</v>
      </c>
      <c r="C4" s="283">
        <f>D295</f>
        <v>70.314999999999998</v>
      </c>
      <c r="D4" s="283">
        <f>D296</f>
        <v>10.61</v>
      </c>
      <c r="E4" s="283">
        <f>D297</f>
        <v>59.704999999999998</v>
      </c>
      <c r="F4" s="296"/>
      <c r="G4" s="363"/>
      <c r="H4" s="364"/>
    </row>
    <row r="5" spans="2:8">
      <c r="B5" s="256" t="s">
        <v>676</v>
      </c>
      <c r="C5" s="283">
        <f>D313</f>
        <v>62.594999999999999</v>
      </c>
      <c r="D5" s="283">
        <f>D314</f>
        <v>9.4499999999999993</v>
      </c>
      <c r="E5" s="283">
        <f>D315</f>
        <v>53.144999999999996</v>
      </c>
      <c r="F5" s="296"/>
      <c r="G5" s="363"/>
      <c r="H5" s="364"/>
    </row>
    <row r="6" spans="2:8">
      <c r="B6" s="256" t="s">
        <v>677</v>
      </c>
      <c r="C6" s="283">
        <f>D331</f>
        <v>47.215000000000003</v>
      </c>
      <c r="D6" s="283">
        <f>D332</f>
        <v>7.13</v>
      </c>
      <c r="E6" s="283">
        <f>D333</f>
        <v>40.085000000000001</v>
      </c>
      <c r="F6" s="296"/>
      <c r="G6" s="363"/>
      <c r="H6" s="364"/>
    </row>
    <row r="7" spans="2:8">
      <c r="B7" s="281" t="s">
        <v>0</v>
      </c>
      <c r="C7" s="286">
        <f>SUM(C4:C6)</f>
        <v>180.125</v>
      </c>
      <c r="D7" s="286">
        <f t="shared" ref="D7:E7" si="0">SUM(D4:D6)</f>
        <v>27.189999999999998</v>
      </c>
      <c r="E7" s="286">
        <f t="shared" si="0"/>
        <v>152.935</v>
      </c>
      <c r="F7" s="296"/>
      <c r="G7" s="363"/>
      <c r="H7" s="364"/>
    </row>
    <row r="8" spans="2:8">
      <c r="B8" s="287"/>
      <c r="C8" s="288"/>
      <c r="D8" s="288"/>
      <c r="E8" s="288"/>
      <c r="F8" s="288"/>
      <c r="G8" s="288"/>
      <c r="H8" s="289"/>
    </row>
    <row r="9" spans="2:8">
      <c r="B9" s="290"/>
      <c r="C9" s="288"/>
      <c r="D9" s="291" t="s">
        <v>678</v>
      </c>
      <c r="E9" s="288"/>
      <c r="F9" s="288"/>
      <c r="G9" s="288"/>
      <c r="H9" s="289"/>
    </row>
    <row r="10" spans="2:8">
      <c r="B10" s="365" t="s">
        <v>679</v>
      </c>
      <c r="C10" s="294"/>
      <c r="D10" s="294" t="s">
        <v>680</v>
      </c>
      <c r="E10" s="288"/>
      <c r="F10" s="288"/>
      <c r="G10" s="288"/>
      <c r="H10" s="289"/>
    </row>
    <row r="11" spans="2:8">
      <c r="B11" s="366" t="s">
        <v>681</v>
      </c>
      <c r="C11" s="296" t="s">
        <v>682</v>
      </c>
      <c r="D11" s="297">
        <f>C7</f>
        <v>180.125</v>
      </c>
      <c r="E11" s="288"/>
      <c r="F11" s="288"/>
      <c r="G11" s="288"/>
      <c r="H11" s="289"/>
    </row>
    <row r="12" spans="2:8">
      <c r="B12" s="299" t="s">
        <v>683</v>
      </c>
      <c r="C12" s="300"/>
      <c r="D12" s="301">
        <f>D7</f>
        <v>27.189999999999998</v>
      </c>
      <c r="E12" s="367"/>
      <c r="F12" s="288"/>
      <c r="G12" s="288"/>
      <c r="H12" s="289"/>
    </row>
    <row r="13" spans="2:8">
      <c r="B13" s="299" t="s">
        <v>684</v>
      </c>
      <c r="C13" s="300"/>
      <c r="D13" s="301">
        <f>E7</f>
        <v>152.935</v>
      </c>
      <c r="E13" s="288"/>
      <c r="F13" s="288"/>
      <c r="G13" s="288"/>
      <c r="H13" s="289"/>
    </row>
    <row r="14" spans="2:8">
      <c r="B14" s="299" t="s">
        <v>685</v>
      </c>
      <c r="C14" s="300"/>
      <c r="D14" s="301">
        <f>D13</f>
        <v>152.935</v>
      </c>
      <c r="E14" s="288"/>
      <c r="F14" s="288"/>
      <c r="G14" s="288"/>
      <c r="H14" s="289"/>
    </row>
    <row r="15" spans="2:8">
      <c r="B15" s="299" t="s">
        <v>686</v>
      </c>
      <c r="C15" s="300"/>
      <c r="D15" s="302">
        <f>D14/$E$18*100*$F$18</f>
        <v>28600.980943553332</v>
      </c>
      <c r="E15" s="288"/>
      <c r="F15" s="288"/>
      <c r="G15" s="288"/>
      <c r="H15" s="289"/>
    </row>
    <row r="16" spans="2:8">
      <c r="B16" s="303" t="s">
        <v>687</v>
      </c>
      <c r="C16" s="368"/>
      <c r="D16" s="369"/>
      <c r="E16" s="288"/>
      <c r="F16" s="288"/>
      <c r="G16" s="288"/>
      <c r="H16" s="289"/>
    </row>
    <row r="17" spans="2:8">
      <c r="B17" s="290"/>
      <c r="C17" s="288"/>
      <c r="D17" s="288"/>
      <c r="E17" s="304" t="s">
        <v>688</v>
      </c>
      <c r="F17" s="304" t="s">
        <v>689</v>
      </c>
      <c r="G17" s="288"/>
      <c r="H17" s="289"/>
    </row>
    <row r="18" spans="2:8">
      <c r="B18" s="305" t="s">
        <v>690</v>
      </c>
      <c r="C18" s="288"/>
      <c r="D18" s="288"/>
      <c r="E18" s="288">
        <v>636.53</v>
      </c>
      <c r="F18" s="288">
        <v>1190.4000000000001</v>
      </c>
      <c r="G18" s="288"/>
      <c r="H18" s="289"/>
    </row>
    <row r="19" spans="2:8" ht="18" thickBot="1">
      <c r="B19" s="306" t="s">
        <v>691</v>
      </c>
      <c r="C19" s="307"/>
      <c r="D19" s="307"/>
      <c r="E19" s="307"/>
      <c r="F19" s="307"/>
      <c r="G19" s="307"/>
      <c r="H19" s="308"/>
    </row>
    <row r="20" spans="2:8">
      <c r="B20" s="309"/>
    </row>
    <row r="21" spans="2:8">
      <c r="B21" s="310" t="s">
        <v>692</v>
      </c>
    </row>
    <row r="22" spans="2:8">
      <c r="B22" s="311" t="s">
        <v>693</v>
      </c>
      <c r="C22" s="312" t="s">
        <v>694</v>
      </c>
      <c r="D22" s="311"/>
    </row>
    <row r="23" spans="2:8" ht="16.5" customHeight="1">
      <c r="B23" s="311" t="s">
        <v>695</v>
      </c>
      <c r="C23" s="313" t="s">
        <v>696</v>
      </c>
      <c r="D23" s="314"/>
    </row>
    <row r="24" spans="2:8">
      <c r="B24" s="311" t="s">
        <v>697</v>
      </c>
      <c r="C24" s="315" t="s">
        <v>698</v>
      </c>
      <c r="D24" s="314"/>
    </row>
    <row r="25" spans="2:8" ht="25.2">
      <c r="B25" s="316" t="s">
        <v>699</v>
      </c>
      <c r="C25" s="317"/>
      <c r="D25" s="317"/>
      <c r="E25" s="318"/>
      <c r="F25" s="317"/>
    </row>
    <row r="26" spans="2:8">
      <c r="B26" s="370" t="s">
        <v>700</v>
      </c>
      <c r="C26" s="342" t="s">
        <v>702</v>
      </c>
      <c r="D26" s="343"/>
      <c r="E26" s="343"/>
      <c r="F26" s="344"/>
    </row>
    <row r="27" spans="2:8">
      <c r="B27" s="371"/>
      <c r="C27" s="345"/>
      <c r="D27" s="345" t="s">
        <v>470</v>
      </c>
      <c r="E27" s="346" t="s">
        <v>703</v>
      </c>
      <c r="F27" s="345" t="s">
        <v>67</v>
      </c>
    </row>
    <row r="28" spans="2:8">
      <c r="B28" s="347" t="s">
        <v>704</v>
      </c>
      <c r="C28" s="348" t="s">
        <v>705</v>
      </c>
      <c r="D28" s="349">
        <v>2287.7399999999998</v>
      </c>
      <c r="E28" s="334">
        <f>D28*180</f>
        <v>411793.19999999995</v>
      </c>
      <c r="F28" s="360"/>
    </row>
    <row r="29" spans="2:8">
      <c r="B29" s="350"/>
      <c r="C29" s="348" t="s">
        <v>706</v>
      </c>
      <c r="D29" s="351">
        <v>-622.11</v>
      </c>
      <c r="E29" s="334">
        <f t="shared" ref="E29:E37" si="1">D29*180</f>
        <v>-111979.8</v>
      </c>
      <c r="F29" s="360"/>
    </row>
    <row r="30" spans="2:8">
      <c r="B30" s="350"/>
      <c r="C30" s="348" t="s">
        <v>707</v>
      </c>
      <c r="D30" s="349">
        <f>D28+D29</f>
        <v>1665.6299999999997</v>
      </c>
      <c r="E30" s="334">
        <f t="shared" si="1"/>
        <v>299813.39999999997</v>
      </c>
      <c r="F30" s="360"/>
    </row>
    <row r="31" spans="2:8">
      <c r="B31" s="350"/>
      <c r="C31" s="348" t="s">
        <v>708</v>
      </c>
      <c r="D31" s="349">
        <v>1311.15</v>
      </c>
      <c r="E31" s="334">
        <f t="shared" si="1"/>
        <v>236007.00000000003</v>
      </c>
      <c r="F31" s="360"/>
    </row>
    <row r="32" spans="2:8">
      <c r="B32" s="350"/>
      <c r="C32" s="348" t="s">
        <v>709</v>
      </c>
      <c r="D32" s="349">
        <v>0</v>
      </c>
      <c r="E32" s="334">
        <f t="shared" si="1"/>
        <v>0</v>
      </c>
      <c r="F32" s="360"/>
    </row>
    <row r="33" spans="2:6">
      <c r="B33" s="350"/>
      <c r="C33" s="348" t="s">
        <v>710</v>
      </c>
      <c r="D33" s="349">
        <v>12.07</v>
      </c>
      <c r="E33" s="334">
        <f t="shared" si="1"/>
        <v>2172.6</v>
      </c>
      <c r="F33" s="360"/>
    </row>
    <row r="34" spans="2:6">
      <c r="B34" s="350"/>
      <c r="C34" s="348" t="s">
        <v>712</v>
      </c>
      <c r="D34" s="349">
        <f>SUM(D30:D33)</f>
        <v>2988.85</v>
      </c>
      <c r="E34" s="334">
        <f t="shared" si="1"/>
        <v>537993</v>
      </c>
      <c r="F34" s="360"/>
    </row>
    <row r="35" spans="2:6">
      <c r="B35" s="350"/>
      <c r="C35" s="348" t="s">
        <v>713</v>
      </c>
      <c r="D35" s="372">
        <f>(D34*50%)-(D19*D20)</f>
        <v>1494.425</v>
      </c>
      <c r="E35" s="334">
        <f t="shared" si="1"/>
        <v>268996.5</v>
      </c>
      <c r="F35" s="360"/>
    </row>
    <row r="36" spans="2:6">
      <c r="B36" s="350"/>
      <c r="C36" s="348" t="s">
        <v>715</v>
      </c>
      <c r="D36" s="351">
        <v>0</v>
      </c>
      <c r="E36" s="334">
        <f t="shared" si="1"/>
        <v>0</v>
      </c>
      <c r="F36" s="360"/>
    </row>
    <row r="37" spans="2:6">
      <c r="B37" s="350"/>
      <c r="C37" s="355" t="s">
        <v>716</v>
      </c>
      <c r="D37" s="373">
        <f>SUM(D35:D36)</f>
        <v>1494.425</v>
      </c>
      <c r="E37" s="337">
        <f t="shared" si="1"/>
        <v>268996.5</v>
      </c>
      <c r="F37" s="374"/>
    </row>
    <row r="38" spans="2:6">
      <c r="B38" s="350"/>
      <c r="C38" s="348" t="s">
        <v>717</v>
      </c>
      <c r="D38" s="349">
        <v>235.73</v>
      </c>
      <c r="E38" s="334">
        <f>D38*180</f>
        <v>42431.4</v>
      </c>
      <c r="F38" s="360"/>
    </row>
    <row r="39" spans="2:6">
      <c r="B39" s="353"/>
      <c r="C39" s="354" t="s">
        <v>718</v>
      </c>
      <c r="D39" s="373">
        <f>D37-D38</f>
        <v>1258.6949999999999</v>
      </c>
      <c r="E39" s="337">
        <f t="shared" ref="E39" si="2">D39*180</f>
        <v>226565.09999999998</v>
      </c>
      <c r="F39" s="360"/>
    </row>
    <row r="42" spans="2:6" ht="25.2">
      <c r="B42" s="316" t="s">
        <v>719</v>
      </c>
      <c r="C42" s="317"/>
      <c r="D42" s="317"/>
      <c r="E42" s="318"/>
      <c r="F42" s="317"/>
    </row>
    <row r="43" spans="2:6">
      <c r="B43" s="370" t="s">
        <v>700</v>
      </c>
      <c r="C43" s="342" t="s">
        <v>702</v>
      </c>
      <c r="D43" s="343"/>
      <c r="E43" s="343"/>
      <c r="F43" s="344"/>
    </row>
    <row r="44" spans="2:6">
      <c r="B44" s="371"/>
      <c r="C44" s="345"/>
      <c r="D44" s="345" t="s">
        <v>470</v>
      </c>
      <c r="E44" s="346" t="s">
        <v>720</v>
      </c>
      <c r="F44" s="345" t="s">
        <v>67</v>
      </c>
    </row>
    <row r="45" spans="2:6">
      <c r="B45" s="347" t="s">
        <v>721</v>
      </c>
      <c r="C45" s="348" t="s">
        <v>705</v>
      </c>
      <c r="D45" s="349">
        <v>1225.99</v>
      </c>
      <c r="E45" s="334">
        <f>D45*180</f>
        <v>220678.2</v>
      </c>
      <c r="F45" s="360"/>
    </row>
    <row r="46" spans="2:6">
      <c r="B46" s="350"/>
      <c r="C46" s="348" t="s">
        <v>722</v>
      </c>
      <c r="D46" s="351">
        <v>-335.1</v>
      </c>
      <c r="E46" s="334">
        <f t="shared" ref="E46:E54" si="3">D46*180</f>
        <v>-60318.000000000007</v>
      </c>
      <c r="F46" s="360"/>
    </row>
    <row r="47" spans="2:6">
      <c r="B47" s="350"/>
      <c r="C47" s="348" t="s">
        <v>707</v>
      </c>
      <c r="D47" s="349">
        <f>D45+D46</f>
        <v>890.89</v>
      </c>
      <c r="E47" s="334">
        <f t="shared" si="3"/>
        <v>160360.20000000001</v>
      </c>
      <c r="F47" s="360"/>
    </row>
    <row r="48" spans="2:6">
      <c r="B48" s="350"/>
      <c r="C48" s="348" t="s">
        <v>724</v>
      </c>
      <c r="D48" s="349">
        <v>778.6</v>
      </c>
      <c r="E48" s="334">
        <f t="shared" si="3"/>
        <v>140148</v>
      </c>
      <c r="F48" s="360"/>
    </row>
    <row r="49" spans="2:6">
      <c r="B49" s="350"/>
      <c r="C49" s="348" t="s">
        <v>709</v>
      </c>
      <c r="D49" s="349">
        <v>0</v>
      </c>
      <c r="E49" s="334">
        <f t="shared" si="3"/>
        <v>0</v>
      </c>
      <c r="F49" s="360"/>
    </row>
    <row r="50" spans="2:6">
      <c r="B50" s="350"/>
      <c r="C50" s="348" t="s">
        <v>710</v>
      </c>
      <c r="D50" s="349">
        <v>12.74</v>
      </c>
      <c r="E50" s="334">
        <f t="shared" si="3"/>
        <v>2293.1999999999998</v>
      </c>
      <c r="F50" s="360"/>
    </row>
    <row r="51" spans="2:6">
      <c r="B51" s="350"/>
      <c r="C51" s="348" t="s">
        <v>711</v>
      </c>
      <c r="D51" s="349">
        <f>SUM(D47:D50)</f>
        <v>1682.23</v>
      </c>
      <c r="E51" s="334">
        <f t="shared" si="3"/>
        <v>302801.40000000002</v>
      </c>
      <c r="F51" s="360"/>
    </row>
    <row r="52" spans="2:6">
      <c r="B52" s="350"/>
      <c r="C52" s="348" t="s">
        <v>726</v>
      </c>
      <c r="D52" s="372">
        <f>(D51*50%)-(D36*D37)</f>
        <v>841.11500000000001</v>
      </c>
      <c r="E52" s="334">
        <f t="shared" si="3"/>
        <v>151400.70000000001</v>
      </c>
      <c r="F52" s="360"/>
    </row>
    <row r="53" spans="2:6">
      <c r="B53" s="350"/>
      <c r="C53" s="348" t="s">
        <v>714</v>
      </c>
      <c r="D53" s="351">
        <v>0</v>
      </c>
      <c r="E53" s="334">
        <f t="shared" si="3"/>
        <v>0</v>
      </c>
      <c r="F53" s="360"/>
    </row>
    <row r="54" spans="2:6">
      <c r="B54" s="350"/>
      <c r="C54" s="355" t="s">
        <v>727</v>
      </c>
      <c r="D54" s="373">
        <f>SUM(D52:D53)</f>
        <v>841.11500000000001</v>
      </c>
      <c r="E54" s="337">
        <f t="shared" si="3"/>
        <v>151400.70000000001</v>
      </c>
      <c r="F54" s="374"/>
    </row>
    <row r="55" spans="2:6">
      <c r="B55" s="350"/>
      <c r="C55" s="348" t="s">
        <v>717</v>
      </c>
      <c r="D55" s="349">
        <f>IF(D54&gt;0,ROUND(D54/(1+0.06)*16.72%,2),0)</f>
        <v>132.66999999999999</v>
      </c>
      <c r="E55" s="334">
        <f>D55*180</f>
        <v>23880.6</v>
      </c>
      <c r="F55" s="360"/>
    </row>
    <row r="56" spans="2:6">
      <c r="B56" s="353"/>
      <c r="C56" s="354" t="s">
        <v>728</v>
      </c>
      <c r="D56" s="373">
        <f>D54-D55</f>
        <v>708.44500000000005</v>
      </c>
      <c r="E56" s="337">
        <f t="shared" ref="E56" si="4">D56*180</f>
        <v>127520.1</v>
      </c>
      <c r="F56" s="360"/>
    </row>
    <row r="59" spans="2:6" ht="25.2">
      <c r="B59" s="316" t="s">
        <v>729</v>
      </c>
      <c r="C59" s="317"/>
      <c r="D59" s="317"/>
      <c r="E59" s="318"/>
      <c r="F59" s="317"/>
    </row>
    <row r="60" spans="2:6">
      <c r="B60" s="370" t="s">
        <v>730</v>
      </c>
      <c r="C60" s="342" t="s">
        <v>701</v>
      </c>
      <c r="D60" s="343"/>
      <c r="E60" s="343"/>
      <c r="F60" s="344"/>
    </row>
    <row r="61" spans="2:6">
      <c r="B61" s="371"/>
      <c r="C61" s="345"/>
      <c r="D61" s="345" t="s">
        <v>470</v>
      </c>
      <c r="E61" s="346" t="s">
        <v>720</v>
      </c>
      <c r="F61" s="345" t="s">
        <v>67</v>
      </c>
    </row>
    <row r="62" spans="2:6">
      <c r="B62" s="347" t="s">
        <v>721</v>
      </c>
      <c r="C62" s="348" t="s">
        <v>705</v>
      </c>
      <c r="D62" s="349">
        <v>1081.76</v>
      </c>
      <c r="E62" s="334">
        <f>D62*180</f>
        <v>194716.79999999999</v>
      </c>
      <c r="F62" s="360"/>
    </row>
    <row r="63" spans="2:6">
      <c r="B63" s="350"/>
      <c r="C63" s="348" t="s">
        <v>722</v>
      </c>
      <c r="D63" s="351">
        <v>-295.44</v>
      </c>
      <c r="E63" s="334">
        <f t="shared" ref="E63:E71" si="5">D63*180</f>
        <v>-53179.199999999997</v>
      </c>
      <c r="F63" s="360"/>
    </row>
    <row r="64" spans="2:6">
      <c r="B64" s="350"/>
      <c r="C64" s="348" t="s">
        <v>723</v>
      </c>
      <c r="D64" s="349">
        <f>D62+D63</f>
        <v>786.31999999999994</v>
      </c>
      <c r="E64" s="334">
        <f t="shared" si="5"/>
        <v>141537.59999999998</v>
      </c>
      <c r="F64" s="360"/>
    </row>
    <row r="65" spans="2:6">
      <c r="B65" s="350"/>
      <c r="C65" s="348" t="s">
        <v>724</v>
      </c>
      <c r="D65" s="349">
        <v>694.87</v>
      </c>
      <c r="E65" s="334">
        <f t="shared" si="5"/>
        <v>125076.6</v>
      </c>
      <c r="F65" s="360"/>
    </row>
    <row r="66" spans="2:6">
      <c r="B66" s="350"/>
      <c r="C66" s="348" t="s">
        <v>732</v>
      </c>
      <c r="D66" s="349">
        <v>0</v>
      </c>
      <c r="E66" s="334">
        <f t="shared" si="5"/>
        <v>0</v>
      </c>
      <c r="F66" s="360"/>
    </row>
    <row r="67" spans="2:6">
      <c r="B67" s="350"/>
      <c r="C67" s="348" t="s">
        <v>733</v>
      </c>
      <c r="D67" s="349">
        <v>17.07</v>
      </c>
      <c r="E67" s="334">
        <f t="shared" si="5"/>
        <v>3072.6</v>
      </c>
      <c r="F67" s="360"/>
    </row>
    <row r="68" spans="2:6">
      <c r="B68" s="350"/>
      <c r="C68" s="348" t="s">
        <v>712</v>
      </c>
      <c r="D68" s="349">
        <f>SUM(D64:D67)</f>
        <v>1498.26</v>
      </c>
      <c r="E68" s="334">
        <f t="shared" si="5"/>
        <v>269686.8</v>
      </c>
      <c r="F68" s="360"/>
    </row>
    <row r="69" spans="2:6">
      <c r="B69" s="350"/>
      <c r="C69" s="348" t="s">
        <v>713</v>
      </c>
      <c r="D69" s="372">
        <f>(D68*50%)-(D53*D54)</f>
        <v>749.13</v>
      </c>
      <c r="E69" s="334">
        <f t="shared" si="5"/>
        <v>134843.4</v>
      </c>
      <c r="F69" s="360"/>
    </row>
    <row r="70" spans="2:6">
      <c r="B70" s="350"/>
      <c r="C70" s="348" t="s">
        <v>714</v>
      </c>
      <c r="D70" s="351">
        <v>0</v>
      </c>
      <c r="E70" s="334">
        <f t="shared" si="5"/>
        <v>0</v>
      </c>
      <c r="F70" s="360"/>
    </row>
    <row r="71" spans="2:6">
      <c r="B71" s="350"/>
      <c r="C71" s="355" t="s">
        <v>734</v>
      </c>
      <c r="D71" s="373">
        <f>SUM(D69:D70)</f>
        <v>749.13</v>
      </c>
      <c r="E71" s="337">
        <f t="shared" si="5"/>
        <v>134843.4</v>
      </c>
      <c r="F71" s="374"/>
    </row>
    <row r="72" spans="2:6">
      <c r="B72" s="350"/>
      <c r="C72" s="348" t="s">
        <v>735</v>
      </c>
      <c r="D72" s="349">
        <f>IF(D71&gt;0,ROUND(D71/(1+0.06)*16.72%,2),0)</f>
        <v>118.16</v>
      </c>
      <c r="E72" s="334">
        <f>D72*180</f>
        <v>21268.799999999999</v>
      </c>
      <c r="F72" s="360"/>
    </row>
    <row r="73" spans="2:6">
      <c r="B73" s="353"/>
      <c r="C73" s="354" t="s">
        <v>718</v>
      </c>
      <c r="D73" s="373">
        <f>D71-D72</f>
        <v>630.97</v>
      </c>
      <c r="E73" s="337">
        <f t="shared" ref="E73" si="6">D73*180</f>
        <v>113574.6</v>
      </c>
      <c r="F73" s="360"/>
    </row>
    <row r="76" spans="2:6" ht="25.2">
      <c r="B76" s="316" t="s">
        <v>736</v>
      </c>
      <c r="C76" s="317"/>
      <c r="D76" s="317"/>
      <c r="E76" s="318"/>
      <c r="F76" s="317"/>
    </row>
    <row r="77" spans="2:6">
      <c r="B77" s="370" t="s">
        <v>700</v>
      </c>
      <c r="C77" s="342" t="s">
        <v>701</v>
      </c>
      <c r="D77" s="343"/>
      <c r="E77" s="343"/>
      <c r="F77" s="344"/>
    </row>
    <row r="78" spans="2:6">
      <c r="B78" s="371"/>
      <c r="C78" s="345"/>
      <c r="D78" s="345" t="s">
        <v>470</v>
      </c>
      <c r="E78" s="346" t="s">
        <v>703</v>
      </c>
      <c r="F78" s="345" t="s">
        <v>67</v>
      </c>
    </row>
    <row r="79" spans="2:6">
      <c r="B79" s="347" t="s">
        <v>721</v>
      </c>
      <c r="C79" s="348" t="s">
        <v>705</v>
      </c>
      <c r="D79" s="349">
        <v>558.85</v>
      </c>
      <c r="E79" s="334">
        <f>D79*180</f>
        <v>100593</v>
      </c>
      <c r="F79" s="360"/>
    </row>
    <row r="80" spans="2:6">
      <c r="B80" s="350"/>
      <c r="C80" s="348" t="s">
        <v>722</v>
      </c>
      <c r="D80" s="351">
        <v>-153.34</v>
      </c>
      <c r="E80" s="334">
        <f t="shared" ref="E80:E89" si="7">D80*180</f>
        <v>-27601.200000000001</v>
      </c>
      <c r="F80" s="360"/>
    </row>
    <row r="81" spans="2:6">
      <c r="B81" s="350"/>
      <c r="C81" s="348" t="s">
        <v>707</v>
      </c>
      <c r="D81" s="349">
        <f>D79+D80</f>
        <v>405.51</v>
      </c>
      <c r="E81" s="334">
        <f t="shared" si="7"/>
        <v>72991.8</v>
      </c>
      <c r="F81" s="360"/>
    </row>
    <row r="82" spans="2:6">
      <c r="B82" s="350"/>
      <c r="C82" s="348" t="s">
        <v>737</v>
      </c>
      <c r="D82" s="349">
        <v>380.12</v>
      </c>
      <c r="E82" s="334">
        <f t="shared" si="7"/>
        <v>68421.600000000006</v>
      </c>
      <c r="F82" s="360"/>
    </row>
    <row r="83" spans="2:6">
      <c r="B83" s="350"/>
      <c r="C83" s="348" t="s">
        <v>709</v>
      </c>
      <c r="D83" s="349">
        <v>0</v>
      </c>
      <c r="E83" s="334">
        <f t="shared" si="7"/>
        <v>0</v>
      </c>
      <c r="F83" s="360"/>
    </row>
    <row r="84" spans="2:6">
      <c r="B84" s="350"/>
      <c r="C84" s="348" t="s">
        <v>725</v>
      </c>
      <c r="D84" s="349">
        <v>15.88</v>
      </c>
      <c r="E84" s="334">
        <f t="shared" si="7"/>
        <v>2858.4</v>
      </c>
      <c r="F84" s="360"/>
    </row>
    <row r="85" spans="2:6">
      <c r="B85" s="350"/>
      <c r="C85" s="348" t="s">
        <v>711</v>
      </c>
      <c r="D85" s="349">
        <f>SUM(D81:D84)</f>
        <v>801.51</v>
      </c>
      <c r="E85" s="334">
        <f t="shared" si="7"/>
        <v>144271.79999999999</v>
      </c>
      <c r="F85" s="360"/>
    </row>
    <row r="86" spans="2:6">
      <c r="B86" s="350"/>
      <c r="C86" s="348" t="s">
        <v>738</v>
      </c>
      <c r="D86" s="372">
        <f>(D85*50%)-(D70*D71)</f>
        <v>400.755</v>
      </c>
      <c r="E86" s="334">
        <f t="shared" si="7"/>
        <v>72135.899999999994</v>
      </c>
      <c r="F86" s="360"/>
    </row>
    <row r="87" spans="2:6">
      <c r="B87" s="350"/>
      <c r="C87" s="348" t="s">
        <v>714</v>
      </c>
      <c r="D87" s="351">
        <v>0</v>
      </c>
      <c r="E87" s="334">
        <f t="shared" si="7"/>
        <v>0</v>
      </c>
      <c r="F87" s="360"/>
    </row>
    <row r="88" spans="2:6">
      <c r="B88" s="350"/>
      <c r="C88" s="348" t="s">
        <v>739</v>
      </c>
      <c r="D88" s="351"/>
      <c r="E88" s="334"/>
      <c r="F88" s="360"/>
    </row>
    <row r="89" spans="2:6">
      <c r="B89" s="350"/>
      <c r="C89" s="355" t="s">
        <v>734</v>
      </c>
      <c r="D89" s="373">
        <f>SUM(D86:D87)</f>
        <v>400.755</v>
      </c>
      <c r="E89" s="337">
        <f t="shared" si="7"/>
        <v>72135.899999999994</v>
      </c>
      <c r="F89" s="374"/>
    </row>
    <row r="90" spans="2:6">
      <c r="B90" s="350"/>
      <c r="C90" s="348" t="s">
        <v>717</v>
      </c>
      <c r="D90" s="349">
        <f>IF(D89&gt;0,ROUND(D89/(1+0.06)*16.72%,2),0)</f>
        <v>63.21</v>
      </c>
      <c r="E90" s="334">
        <f>D90*180</f>
        <v>11377.8</v>
      </c>
      <c r="F90" s="360"/>
    </row>
    <row r="91" spans="2:6">
      <c r="B91" s="353"/>
      <c r="C91" s="354" t="s">
        <v>728</v>
      </c>
      <c r="D91" s="373">
        <f>D89-D90</f>
        <v>337.54500000000002</v>
      </c>
      <c r="E91" s="337">
        <f t="shared" ref="E91" si="8">D91*180</f>
        <v>60758.100000000006</v>
      </c>
      <c r="F91" s="360"/>
    </row>
    <row r="94" spans="2:6" ht="25.2">
      <c r="B94" s="316" t="s">
        <v>740</v>
      </c>
      <c r="C94" s="317"/>
      <c r="D94" s="317"/>
      <c r="E94" s="318"/>
      <c r="F94" s="317"/>
    </row>
    <row r="95" spans="2:6">
      <c r="B95" s="370" t="s">
        <v>730</v>
      </c>
      <c r="C95" s="342" t="s">
        <v>701</v>
      </c>
      <c r="D95" s="343"/>
      <c r="E95" s="343"/>
      <c r="F95" s="344"/>
    </row>
    <row r="96" spans="2:6">
      <c r="B96" s="371"/>
      <c r="C96" s="345"/>
      <c r="D96" s="345" t="s">
        <v>470</v>
      </c>
      <c r="E96" s="346" t="s">
        <v>720</v>
      </c>
      <c r="F96" s="345" t="s">
        <v>67</v>
      </c>
    </row>
    <row r="97" spans="2:6">
      <c r="B97" s="347" t="s">
        <v>704</v>
      </c>
      <c r="C97" s="348" t="s">
        <v>731</v>
      </c>
      <c r="D97" s="349">
        <v>575.82000000000005</v>
      </c>
      <c r="E97" s="334">
        <f>D97*180</f>
        <v>103647.6</v>
      </c>
      <c r="F97" s="360"/>
    </row>
    <row r="98" spans="2:6">
      <c r="B98" s="350"/>
      <c r="C98" s="348" t="s">
        <v>722</v>
      </c>
      <c r="D98" s="351">
        <v>-155.96</v>
      </c>
      <c r="E98" s="334">
        <f t="shared" ref="E98:E108" si="9">D98*180</f>
        <v>-28072.800000000003</v>
      </c>
      <c r="F98" s="360"/>
    </row>
    <row r="99" spans="2:6">
      <c r="B99" s="350"/>
      <c r="C99" s="348" t="s">
        <v>707</v>
      </c>
      <c r="D99" s="349">
        <f>D97+D98</f>
        <v>419.86</v>
      </c>
      <c r="E99" s="334">
        <f t="shared" si="9"/>
        <v>75574.8</v>
      </c>
      <c r="F99" s="360"/>
    </row>
    <row r="100" spans="2:6">
      <c r="B100" s="350"/>
      <c r="C100" s="348" t="s">
        <v>724</v>
      </c>
      <c r="D100" s="349">
        <v>302.66000000000003</v>
      </c>
      <c r="E100" s="334">
        <f t="shared" si="9"/>
        <v>54478.8</v>
      </c>
      <c r="F100" s="360"/>
    </row>
    <row r="101" spans="2:6">
      <c r="B101" s="350"/>
      <c r="C101" s="348" t="s">
        <v>741</v>
      </c>
      <c r="D101" s="349">
        <v>0</v>
      </c>
      <c r="E101" s="334">
        <f t="shared" si="9"/>
        <v>0</v>
      </c>
      <c r="F101" s="360"/>
    </row>
    <row r="102" spans="2:6">
      <c r="B102" s="350"/>
      <c r="C102" s="348" t="s">
        <v>710</v>
      </c>
      <c r="D102" s="349">
        <v>3.02</v>
      </c>
      <c r="E102" s="334">
        <f t="shared" si="9"/>
        <v>543.6</v>
      </c>
      <c r="F102" s="360"/>
    </row>
    <row r="103" spans="2:6">
      <c r="B103" s="350"/>
      <c r="C103" s="348" t="s">
        <v>712</v>
      </c>
      <c r="D103" s="349">
        <f>SUM(D99:D102)</f>
        <v>725.54</v>
      </c>
      <c r="E103" s="334">
        <f t="shared" si="9"/>
        <v>130597.2</v>
      </c>
      <c r="F103" s="360"/>
    </row>
    <row r="104" spans="2:6">
      <c r="B104" s="350"/>
      <c r="C104" s="348" t="s">
        <v>713</v>
      </c>
      <c r="D104" s="372">
        <f>(D103*50%)-(D88*D89)</f>
        <v>362.77</v>
      </c>
      <c r="E104" s="334">
        <f t="shared" si="9"/>
        <v>65298.6</v>
      </c>
      <c r="F104" s="360"/>
    </row>
    <row r="105" spans="2:6">
      <c r="B105" s="350"/>
      <c r="C105" s="348" t="s">
        <v>715</v>
      </c>
      <c r="D105" s="375">
        <v>0</v>
      </c>
      <c r="E105" s="334">
        <f t="shared" si="9"/>
        <v>0</v>
      </c>
      <c r="F105" s="360"/>
    </row>
    <row r="106" spans="2:6">
      <c r="B106" s="350"/>
      <c r="C106" s="348" t="s">
        <v>742</v>
      </c>
      <c r="D106" s="351">
        <v>0</v>
      </c>
      <c r="E106" s="334">
        <f t="shared" si="9"/>
        <v>0</v>
      </c>
      <c r="F106" s="360"/>
    </row>
    <row r="107" spans="2:6">
      <c r="B107" s="350"/>
      <c r="C107" s="348" t="s">
        <v>743</v>
      </c>
      <c r="D107" s="351">
        <v>0</v>
      </c>
      <c r="E107" s="334">
        <f t="shared" si="9"/>
        <v>0</v>
      </c>
      <c r="F107" s="360"/>
    </row>
    <row r="108" spans="2:6">
      <c r="B108" s="350"/>
      <c r="C108" s="355" t="s">
        <v>727</v>
      </c>
      <c r="D108" s="373">
        <f>SUM(D104:D106)</f>
        <v>362.77</v>
      </c>
      <c r="E108" s="337">
        <f t="shared" si="9"/>
        <v>65298.6</v>
      </c>
      <c r="F108" s="374"/>
    </row>
    <row r="109" spans="2:6">
      <c r="B109" s="350"/>
      <c r="C109" s="348" t="s">
        <v>735</v>
      </c>
      <c r="D109" s="349">
        <f>IF(D108&gt;0,ROUND(D108/(1+0.06)*16.72%,2),0)</f>
        <v>57.22</v>
      </c>
      <c r="E109" s="334">
        <f>D109*180</f>
        <v>10299.6</v>
      </c>
      <c r="F109" s="360"/>
    </row>
    <row r="110" spans="2:6">
      <c r="B110" s="353"/>
      <c r="C110" s="354" t="s">
        <v>728</v>
      </c>
      <c r="D110" s="373">
        <f>D108-D109</f>
        <v>305.54999999999995</v>
      </c>
      <c r="E110" s="337">
        <f t="shared" ref="E110" si="10">D110*180</f>
        <v>54998.999999999993</v>
      </c>
      <c r="F110" s="360"/>
    </row>
    <row r="113" spans="2:6" ht="25.2">
      <c r="B113" s="316" t="s">
        <v>744</v>
      </c>
      <c r="C113" s="317"/>
      <c r="D113" s="317"/>
      <c r="E113" s="318"/>
      <c r="F113" s="317"/>
    </row>
    <row r="114" spans="2:6">
      <c r="B114" s="370" t="s">
        <v>730</v>
      </c>
      <c r="C114" s="342" t="s">
        <v>702</v>
      </c>
      <c r="D114" s="343"/>
      <c r="E114" s="343"/>
      <c r="F114" s="344"/>
    </row>
    <row r="115" spans="2:6">
      <c r="B115" s="371"/>
      <c r="C115" s="345"/>
      <c r="D115" s="345" t="s">
        <v>470</v>
      </c>
      <c r="E115" s="346" t="s">
        <v>720</v>
      </c>
      <c r="F115" s="345" t="s">
        <v>67</v>
      </c>
    </row>
    <row r="116" spans="2:6">
      <c r="B116" s="347" t="s">
        <v>704</v>
      </c>
      <c r="C116" s="348" t="s">
        <v>705</v>
      </c>
      <c r="D116" s="349">
        <v>685.96</v>
      </c>
      <c r="E116" s="334">
        <f>D116*180</f>
        <v>123472.8</v>
      </c>
      <c r="F116" s="360"/>
    </row>
    <row r="117" spans="2:6">
      <c r="B117" s="350"/>
      <c r="C117" s="348" t="s">
        <v>706</v>
      </c>
      <c r="D117" s="351">
        <v>-186.98</v>
      </c>
      <c r="E117" s="334">
        <f t="shared" ref="E117:E127" si="11">D117*180</f>
        <v>-33656.400000000001</v>
      </c>
      <c r="F117" s="360"/>
    </row>
    <row r="118" spans="2:6">
      <c r="B118" s="350"/>
      <c r="C118" s="348" t="s">
        <v>723</v>
      </c>
      <c r="D118" s="349">
        <f>D116+D117</f>
        <v>498.98</v>
      </c>
      <c r="E118" s="334">
        <f t="shared" si="11"/>
        <v>89816.400000000009</v>
      </c>
      <c r="F118" s="360"/>
    </row>
    <row r="119" spans="2:6">
      <c r="B119" s="350"/>
      <c r="C119" s="348" t="s">
        <v>708</v>
      </c>
      <c r="D119" s="349">
        <v>317.75</v>
      </c>
      <c r="E119" s="334">
        <f t="shared" si="11"/>
        <v>57195</v>
      </c>
      <c r="F119" s="360"/>
    </row>
    <row r="120" spans="2:6">
      <c r="B120" s="350"/>
      <c r="C120" s="348" t="s">
        <v>709</v>
      </c>
      <c r="D120" s="349">
        <v>0</v>
      </c>
      <c r="E120" s="334">
        <f t="shared" si="11"/>
        <v>0</v>
      </c>
      <c r="F120" s="360"/>
    </row>
    <row r="121" spans="2:6">
      <c r="B121" s="350"/>
      <c r="C121" s="348" t="s">
        <v>725</v>
      </c>
      <c r="D121" s="349">
        <v>17.23</v>
      </c>
      <c r="E121" s="334">
        <f t="shared" si="11"/>
        <v>3101.4</v>
      </c>
      <c r="F121" s="360"/>
    </row>
    <row r="122" spans="2:6">
      <c r="B122" s="350"/>
      <c r="C122" s="348" t="s">
        <v>712</v>
      </c>
      <c r="D122" s="349">
        <f>SUM(D118:D121)</f>
        <v>833.96</v>
      </c>
      <c r="E122" s="334">
        <f t="shared" si="11"/>
        <v>150112.80000000002</v>
      </c>
      <c r="F122" s="360"/>
    </row>
    <row r="123" spans="2:6">
      <c r="B123" s="350"/>
      <c r="C123" s="348" t="s">
        <v>713</v>
      </c>
      <c r="D123" s="372">
        <f>(D122*50%)</f>
        <v>416.98</v>
      </c>
      <c r="E123" s="334">
        <f t="shared" si="11"/>
        <v>75056.400000000009</v>
      </c>
      <c r="F123" s="360"/>
    </row>
    <row r="124" spans="2:6">
      <c r="B124" s="350"/>
      <c r="C124" s="348" t="s">
        <v>715</v>
      </c>
      <c r="D124" s="375">
        <v>0</v>
      </c>
      <c r="E124" s="334">
        <f t="shared" si="11"/>
        <v>0</v>
      </c>
      <c r="F124" s="360"/>
    </row>
    <row r="125" spans="2:6">
      <c r="B125" s="350"/>
      <c r="C125" s="348" t="s">
        <v>742</v>
      </c>
      <c r="D125" s="351">
        <v>0</v>
      </c>
      <c r="E125" s="334">
        <f t="shared" si="11"/>
        <v>0</v>
      </c>
      <c r="F125" s="360"/>
    </row>
    <row r="126" spans="2:6">
      <c r="B126" s="350"/>
      <c r="C126" s="348" t="s">
        <v>745</v>
      </c>
      <c r="D126" s="351">
        <v>0.01</v>
      </c>
      <c r="E126" s="334">
        <f t="shared" si="11"/>
        <v>1.8</v>
      </c>
      <c r="F126" s="360"/>
    </row>
    <row r="127" spans="2:6">
      <c r="B127" s="350"/>
      <c r="C127" s="355" t="s">
        <v>727</v>
      </c>
      <c r="D127" s="373">
        <f>SUM(D123:D126)</f>
        <v>416.99</v>
      </c>
      <c r="E127" s="337">
        <f t="shared" si="11"/>
        <v>75058.2</v>
      </c>
      <c r="F127" s="374"/>
    </row>
    <row r="128" spans="2:6">
      <c r="B128" s="350"/>
      <c r="C128" s="348" t="s">
        <v>735</v>
      </c>
      <c r="D128" s="349">
        <f>IF(D127&gt;0,ROUND(D127/(1+0.06)*16.72%,2),0)</f>
        <v>65.77</v>
      </c>
      <c r="E128" s="334">
        <f>D128*180</f>
        <v>11838.599999999999</v>
      </c>
      <c r="F128" s="360"/>
    </row>
    <row r="129" spans="2:6">
      <c r="B129" s="353"/>
      <c r="C129" s="354" t="s">
        <v>718</v>
      </c>
      <c r="D129" s="373">
        <f>D127-D128</f>
        <v>351.22</v>
      </c>
      <c r="E129" s="337">
        <f t="shared" ref="E129" si="12">D129*180</f>
        <v>63219.600000000006</v>
      </c>
      <c r="F129" s="360"/>
    </row>
    <row r="132" spans="2:6" ht="25.2">
      <c r="B132" s="316" t="s">
        <v>746</v>
      </c>
      <c r="C132" s="317"/>
      <c r="D132" s="317"/>
      <c r="E132" s="318"/>
      <c r="F132" s="317"/>
    </row>
    <row r="133" spans="2:6">
      <c r="B133" s="370" t="s">
        <v>700</v>
      </c>
      <c r="C133" s="342" t="s">
        <v>702</v>
      </c>
      <c r="D133" s="343"/>
      <c r="E133" s="343"/>
      <c r="F133" s="344"/>
    </row>
    <row r="134" spans="2:6">
      <c r="B134" s="371"/>
      <c r="C134" s="345"/>
      <c r="D134" s="345" t="s">
        <v>470</v>
      </c>
      <c r="E134" s="346" t="s">
        <v>720</v>
      </c>
      <c r="F134" s="345" t="s">
        <v>67</v>
      </c>
    </row>
    <row r="135" spans="2:6">
      <c r="B135" s="347" t="s">
        <v>704</v>
      </c>
      <c r="C135" s="348" t="s">
        <v>705</v>
      </c>
      <c r="D135" s="349">
        <v>332.02</v>
      </c>
      <c r="E135" s="334">
        <f>D135*180</f>
        <v>59763.6</v>
      </c>
      <c r="F135" s="360"/>
    </row>
    <row r="136" spans="2:6">
      <c r="B136" s="350"/>
      <c r="C136" s="348" t="s">
        <v>706</v>
      </c>
      <c r="D136" s="351">
        <v>-90.31</v>
      </c>
      <c r="E136" s="334">
        <f t="shared" ref="E136:E146" si="13">D136*180</f>
        <v>-16255.800000000001</v>
      </c>
      <c r="F136" s="360"/>
    </row>
    <row r="137" spans="2:6">
      <c r="B137" s="350"/>
      <c r="C137" s="348" t="s">
        <v>707</v>
      </c>
      <c r="D137" s="349">
        <f>D135+D136</f>
        <v>241.70999999999998</v>
      </c>
      <c r="E137" s="334">
        <f t="shared" si="13"/>
        <v>43507.799999999996</v>
      </c>
      <c r="F137" s="360"/>
    </row>
    <row r="138" spans="2:6">
      <c r="B138" s="350"/>
      <c r="C138" s="348" t="s">
        <v>708</v>
      </c>
      <c r="D138" s="349">
        <v>218.41</v>
      </c>
      <c r="E138" s="334">
        <f t="shared" si="13"/>
        <v>39313.800000000003</v>
      </c>
      <c r="F138" s="360"/>
    </row>
    <row r="139" spans="2:6">
      <c r="B139" s="350"/>
      <c r="C139" s="348" t="s">
        <v>741</v>
      </c>
      <c r="D139" s="349">
        <v>0</v>
      </c>
      <c r="E139" s="334">
        <f t="shared" si="13"/>
        <v>0</v>
      </c>
      <c r="F139" s="360"/>
    </row>
    <row r="140" spans="2:6">
      <c r="B140" s="350"/>
      <c r="C140" s="348" t="s">
        <v>725</v>
      </c>
      <c r="D140" s="349">
        <v>12.27</v>
      </c>
      <c r="E140" s="334">
        <f t="shared" si="13"/>
        <v>2208.6</v>
      </c>
      <c r="F140" s="360"/>
    </row>
    <row r="141" spans="2:6">
      <c r="B141" s="350"/>
      <c r="C141" s="348" t="s">
        <v>711</v>
      </c>
      <c r="D141" s="349">
        <f>SUM(D137:D140)</f>
        <v>472.39</v>
      </c>
      <c r="E141" s="334">
        <f t="shared" si="13"/>
        <v>85030.2</v>
      </c>
      <c r="F141" s="360"/>
    </row>
    <row r="142" spans="2:6">
      <c r="B142" s="350"/>
      <c r="C142" s="348" t="s">
        <v>726</v>
      </c>
      <c r="D142" s="372">
        <f>(D141*50%)</f>
        <v>236.19499999999999</v>
      </c>
      <c r="E142" s="334">
        <f t="shared" si="13"/>
        <v>42515.1</v>
      </c>
      <c r="F142" s="360"/>
    </row>
    <row r="143" spans="2:6">
      <c r="B143" s="350"/>
      <c r="C143" s="348" t="s">
        <v>715</v>
      </c>
      <c r="D143" s="375">
        <v>0</v>
      </c>
      <c r="E143" s="334">
        <f t="shared" si="13"/>
        <v>0</v>
      </c>
      <c r="F143" s="360"/>
    </row>
    <row r="144" spans="2:6">
      <c r="B144" s="350"/>
      <c r="C144" s="348" t="s">
        <v>739</v>
      </c>
      <c r="D144" s="351">
        <v>0</v>
      </c>
      <c r="E144" s="334">
        <f t="shared" si="13"/>
        <v>0</v>
      </c>
      <c r="F144" s="360"/>
    </row>
    <row r="145" spans="2:6">
      <c r="B145" s="350"/>
      <c r="C145" s="348" t="s">
        <v>743</v>
      </c>
      <c r="D145" s="351">
        <v>0.43</v>
      </c>
      <c r="E145" s="334">
        <f t="shared" si="13"/>
        <v>77.400000000000006</v>
      </c>
      <c r="F145" s="360"/>
    </row>
    <row r="146" spans="2:6">
      <c r="B146" s="350"/>
      <c r="C146" s="355" t="s">
        <v>727</v>
      </c>
      <c r="D146" s="373">
        <f>SUM(D142:D145)</f>
        <v>236.625</v>
      </c>
      <c r="E146" s="337">
        <f t="shared" si="13"/>
        <v>42592.5</v>
      </c>
      <c r="F146" s="374"/>
    </row>
    <row r="147" spans="2:6">
      <c r="B147" s="350"/>
      <c r="C147" s="348" t="s">
        <v>735</v>
      </c>
      <c r="D147" s="349">
        <f>IF(D146&gt;0,ROUND(D146/(1+0.06)*16.72%,2),0)</f>
        <v>37.32</v>
      </c>
      <c r="E147" s="334">
        <f>D147*180</f>
        <v>6717.6</v>
      </c>
      <c r="F147" s="360"/>
    </row>
    <row r="148" spans="2:6">
      <c r="B148" s="353"/>
      <c r="C148" s="354" t="s">
        <v>728</v>
      </c>
      <c r="D148" s="373">
        <v>199.3</v>
      </c>
      <c r="E148" s="337">
        <f t="shared" ref="E148" si="14">D148*180</f>
        <v>35874</v>
      </c>
      <c r="F148" s="360"/>
    </row>
    <row r="151" spans="2:6" ht="25.2">
      <c r="B151" s="316" t="s">
        <v>747</v>
      </c>
      <c r="C151" s="317"/>
      <c r="D151" s="317"/>
      <c r="E151" s="318"/>
      <c r="F151" s="317"/>
    </row>
    <row r="152" spans="2:6">
      <c r="B152" s="370" t="s">
        <v>700</v>
      </c>
      <c r="C152" s="342" t="s">
        <v>702</v>
      </c>
      <c r="D152" s="343"/>
      <c r="E152" s="343"/>
      <c r="F152" s="344"/>
    </row>
    <row r="153" spans="2:6">
      <c r="B153" s="371"/>
      <c r="C153" s="345"/>
      <c r="D153" s="345" t="s">
        <v>470</v>
      </c>
      <c r="E153" s="346" t="s">
        <v>748</v>
      </c>
      <c r="F153" s="345" t="s">
        <v>67</v>
      </c>
    </row>
    <row r="154" spans="2:6">
      <c r="B154" s="347" t="s">
        <v>749</v>
      </c>
      <c r="C154" s="348" t="s">
        <v>705</v>
      </c>
      <c r="D154" s="358">
        <v>194.17</v>
      </c>
      <c r="E154" s="334">
        <f>D154*180</f>
        <v>34950.6</v>
      </c>
      <c r="F154" s="360"/>
    </row>
    <row r="155" spans="2:6">
      <c r="B155" s="350"/>
      <c r="C155" s="348" t="s">
        <v>722</v>
      </c>
      <c r="D155" s="359">
        <v>-56.25</v>
      </c>
      <c r="E155" s="334">
        <f t="shared" ref="E155:E165" si="15">D155*180</f>
        <v>-10125</v>
      </c>
      <c r="F155" s="360"/>
    </row>
    <row r="156" spans="2:6">
      <c r="B156" s="350"/>
      <c r="C156" s="348" t="s">
        <v>707</v>
      </c>
      <c r="D156" s="358">
        <v>137.91999999999999</v>
      </c>
      <c r="E156" s="334">
        <f t="shared" si="15"/>
        <v>24825.599999999999</v>
      </c>
      <c r="F156" s="360"/>
    </row>
    <row r="157" spans="2:6">
      <c r="B157" s="350"/>
      <c r="C157" s="348" t="s">
        <v>724</v>
      </c>
      <c r="D157" s="358">
        <v>125.64</v>
      </c>
      <c r="E157" s="334">
        <f t="shared" si="15"/>
        <v>22615.200000000001</v>
      </c>
      <c r="F157" s="360"/>
    </row>
    <row r="158" spans="2:6">
      <c r="B158" s="350"/>
      <c r="C158" s="348" t="s">
        <v>709</v>
      </c>
      <c r="D158" s="358">
        <v>0</v>
      </c>
      <c r="E158" s="334">
        <f t="shared" si="15"/>
        <v>0</v>
      </c>
      <c r="F158" s="360"/>
    </row>
    <row r="159" spans="2:6">
      <c r="B159" s="350"/>
      <c r="C159" s="348" t="s">
        <v>725</v>
      </c>
      <c r="D159" s="358">
        <v>0.27</v>
      </c>
      <c r="E159" s="334">
        <f t="shared" si="15"/>
        <v>48.6</v>
      </c>
      <c r="F159" s="360"/>
    </row>
    <row r="160" spans="2:6">
      <c r="B160" s="350"/>
      <c r="C160" s="348" t="s">
        <v>712</v>
      </c>
      <c r="D160" s="358">
        <f>SUM(D156:D159)</f>
        <v>263.83</v>
      </c>
      <c r="E160" s="334">
        <f t="shared" si="15"/>
        <v>47489.399999999994</v>
      </c>
      <c r="F160" s="360"/>
    </row>
    <row r="161" spans="2:6">
      <c r="B161" s="350"/>
      <c r="C161" s="348" t="s">
        <v>713</v>
      </c>
      <c r="D161" s="376">
        <f>(D160*50%)</f>
        <v>131.91499999999999</v>
      </c>
      <c r="E161" s="334">
        <f t="shared" si="15"/>
        <v>23744.699999999997</v>
      </c>
      <c r="F161" s="360"/>
    </row>
    <row r="162" spans="2:6">
      <c r="B162" s="350"/>
      <c r="C162" s="348" t="s">
        <v>714</v>
      </c>
      <c r="D162" s="377">
        <v>0</v>
      </c>
      <c r="E162" s="334">
        <f t="shared" si="15"/>
        <v>0</v>
      </c>
      <c r="F162" s="360"/>
    </row>
    <row r="163" spans="2:6">
      <c r="B163" s="350"/>
      <c r="C163" s="348" t="s">
        <v>739</v>
      </c>
      <c r="D163" s="359">
        <v>0</v>
      </c>
      <c r="E163" s="334">
        <f t="shared" si="15"/>
        <v>0</v>
      </c>
      <c r="F163" s="360" t="s">
        <v>750</v>
      </c>
    </row>
    <row r="164" spans="2:6">
      <c r="B164" s="350"/>
      <c r="C164" s="348" t="s">
        <v>743</v>
      </c>
      <c r="D164" s="359">
        <v>0</v>
      </c>
      <c r="E164" s="334">
        <f t="shared" si="15"/>
        <v>0</v>
      </c>
      <c r="F164" s="360" t="s">
        <v>750</v>
      </c>
    </row>
    <row r="165" spans="2:6">
      <c r="B165" s="350"/>
      <c r="C165" s="355" t="s">
        <v>727</v>
      </c>
      <c r="D165" s="378">
        <f>SUM(D161:D164)</f>
        <v>131.91499999999999</v>
      </c>
      <c r="E165" s="337">
        <f t="shared" si="15"/>
        <v>23744.699999999997</v>
      </c>
      <c r="F165" s="374"/>
    </row>
    <row r="166" spans="2:6">
      <c r="B166" s="350"/>
      <c r="C166" s="348" t="s">
        <v>717</v>
      </c>
      <c r="D166" s="358">
        <v>20.81</v>
      </c>
      <c r="E166" s="334">
        <f>D166*180</f>
        <v>3745.7999999999997</v>
      </c>
      <c r="F166" s="360"/>
    </row>
    <row r="167" spans="2:6">
      <c r="B167" s="353"/>
      <c r="C167" s="354" t="s">
        <v>728</v>
      </c>
      <c r="D167" s="378">
        <f>D165-D166</f>
        <v>111.10499999999999</v>
      </c>
      <c r="E167" s="337">
        <f t="shared" ref="E167" si="16">D167*180</f>
        <v>19998.899999999998</v>
      </c>
      <c r="F167" s="360"/>
    </row>
    <row r="170" spans="2:6" ht="25.2">
      <c r="B170" s="316" t="s">
        <v>751</v>
      </c>
      <c r="C170" s="317"/>
      <c r="D170" s="317"/>
      <c r="E170" s="318"/>
      <c r="F170" s="317"/>
    </row>
    <row r="171" spans="2:6">
      <c r="B171" s="370" t="s">
        <v>730</v>
      </c>
      <c r="C171" s="342" t="s">
        <v>701</v>
      </c>
      <c r="D171" s="343"/>
      <c r="E171" s="343"/>
      <c r="F171" s="344"/>
    </row>
    <row r="172" spans="2:6">
      <c r="B172" s="371"/>
      <c r="C172" s="345"/>
      <c r="D172" s="345" t="s">
        <v>470</v>
      </c>
      <c r="E172" s="346" t="s">
        <v>748</v>
      </c>
      <c r="F172" s="345" t="s">
        <v>67</v>
      </c>
    </row>
    <row r="173" spans="2:6">
      <c r="B173" s="347" t="s">
        <v>704</v>
      </c>
      <c r="C173" s="348" t="s">
        <v>705</v>
      </c>
      <c r="D173" s="358">
        <v>206.37</v>
      </c>
      <c r="E173" s="334">
        <f>D173*180</f>
        <v>37146.6</v>
      </c>
      <c r="F173" s="360"/>
    </row>
    <row r="174" spans="2:6">
      <c r="B174" s="350"/>
      <c r="C174" s="348" t="s">
        <v>706</v>
      </c>
      <c r="D174" s="359">
        <v>-58.67</v>
      </c>
      <c r="E174" s="334">
        <f t="shared" ref="E174:E184" si="17">D174*180</f>
        <v>-10560.6</v>
      </c>
      <c r="F174" s="360"/>
    </row>
    <row r="175" spans="2:6">
      <c r="B175" s="350"/>
      <c r="C175" s="348" t="s">
        <v>707</v>
      </c>
      <c r="D175" s="358">
        <f>D173+D174</f>
        <v>147.69999999999999</v>
      </c>
      <c r="E175" s="334">
        <f t="shared" si="17"/>
        <v>26585.999999999996</v>
      </c>
      <c r="F175" s="360"/>
    </row>
    <row r="176" spans="2:6">
      <c r="B176" s="350"/>
      <c r="C176" s="348" t="s">
        <v>724</v>
      </c>
      <c r="D176" s="358">
        <v>141.83000000000001</v>
      </c>
      <c r="E176" s="334">
        <f t="shared" si="17"/>
        <v>25529.4</v>
      </c>
      <c r="F176" s="360"/>
    </row>
    <row r="177" spans="2:6">
      <c r="B177" s="350"/>
      <c r="C177" s="348" t="s">
        <v>741</v>
      </c>
      <c r="D177" s="358">
        <v>0</v>
      </c>
      <c r="E177" s="334">
        <f t="shared" si="17"/>
        <v>0</v>
      </c>
      <c r="F177" s="360"/>
    </row>
    <row r="178" spans="2:6">
      <c r="B178" s="350"/>
      <c r="C178" s="348" t="s">
        <v>725</v>
      </c>
      <c r="D178" s="358">
        <v>0.9</v>
      </c>
      <c r="E178" s="334">
        <f t="shared" si="17"/>
        <v>162</v>
      </c>
      <c r="F178" s="360"/>
    </row>
    <row r="179" spans="2:6">
      <c r="B179" s="350"/>
      <c r="C179" s="348" t="s">
        <v>712</v>
      </c>
      <c r="D179" s="358">
        <f>SUM(D175:D178)</f>
        <v>290.42999999999995</v>
      </c>
      <c r="E179" s="334">
        <f t="shared" si="17"/>
        <v>52277.399999999994</v>
      </c>
      <c r="F179" s="360"/>
    </row>
    <row r="180" spans="2:6">
      <c r="B180" s="350"/>
      <c r="C180" s="348" t="s">
        <v>726</v>
      </c>
      <c r="D180" s="376">
        <f>(D179*50%)</f>
        <v>145.21499999999997</v>
      </c>
      <c r="E180" s="334">
        <f t="shared" si="17"/>
        <v>26138.699999999997</v>
      </c>
      <c r="F180" s="360"/>
    </row>
    <row r="181" spans="2:6">
      <c r="B181" s="350"/>
      <c r="C181" s="348" t="s">
        <v>715</v>
      </c>
      <c r="D181" s="377">
        <v>0</v>
      </c>
      <c r="E181" s="334">
        <f t="shared" si="17"/>
        <v>0</v>
      </c>
      <c r="F181" s="360"/>
    </row>
    <row r="182" spans="2:6">
      <c r="B182" s="350"/>
      <c r="C182" s="348" t="s">
        <v>739</v>
      </c>
      <c r="D182" s="359">
        <v>0</v>
      </c>
      <c r="E182" s="334">
        <f t="shared" si="17"/>
        <v>0</v>
      </c>
      <c r="F182" s="360" t="s">
        <v>752</v>
      </c>
    </row>
    <row r="183" spans="2:6">
      <c r="B183" s="350"/>
      <c r="C183" s="348" t="s">
        <v>743</v>
      </c>
      <c r="D183" s="359">
        <v>0</v>
      </c>
      <c r="E183" s="334">
        <f t="shared" si="17"/>
        <v>0</v>
      </c>
      <c r="F183" s="360" t="s">
        <v>750</v>
      </c>
    </row>
    <row r="184" spans="2:6">
      <c r="B184" s="350"/>
      <c r="C184" s="355" t="s">
        <v>716</v>
      </c>
      <c r="D184" s="378">
        <f>SUM(D180:D183)</f>
        <v>145.21499999999997</v>
      </c>
      <c r="E184" s="337">
        <f t="shared" si="17"/>
        <v>26138.699999999997</v>
      </c>
      <c r="F184" s="374"/>
    </row>
    <row r="185" spans="2:6">
      <c r="B185" s="350"/>
      <c r="C185" s="348" t="s">
        <v>717</v>
      </c>
      <c r="D185" s="358">
        <v>22.91</v>
      </c>
      <c r="E185" s="334">
        <f>D185*180</f>
        <v>4123.8</v>
      </c>
      <c r="F185" s="360"/>
    </row>
    <row r="186" spans="2:6">
      <c r="B186" s="353"/>
      <c r="C186" s="354" t="s">
        <v>728</v>
      </c>
      <c r="D186" s="378">
        <f>D184-D185</f>
        <v>122.30499999999998</v>
      </c>
      <c r="E186" s="337">
        <f t="shared" ref="E186" si="18">D186*180</f>
        <v>22014.899999999998</v>
      </c>
      <c r="F186" s="360"/>
    </row>
    <row r="189" spans="2:6" ht="25.2">
      <c r="B189" s="316" t="s">
        <v>753</v>
      </c>
      <c r="C189" s="317"/>
      <c r="D189" s="317"/>
      <c r="E189" s="318"/>
      <c r="F189" s="317"/>
    </row>
    <row r="190" spans="2:6">
      <c r="B190" s="370" t="s">
        <v>700</v>
      </c>
      <c r="C190" s="342" t="s">
        <v>701</v>
      </c>
      <c r="D190" s="343"/>
      <c r="E190" s="343"/>
      <c r="F190" s="344"/>
    </row>
    <row r="191" spans="2:6">
      <c r="B191" s="371"/>
      <c r="C191" s="345"/>
      <c r="D191" s="345" t="s">
        <v>470</v>
      </c>
      <c r="E191" s="346" t="s">
        <v>748</v>
      </c>
      <c r="F191" s="345" t="s">
        <v>67</v>
      </c>
    </row>
    <row r="192" spans="2:6">
      <c r="B192" s="347" t="s">
        <v>749</v>
      </c>
      <c r="C192" s="348" t="s">
        <v>705</v>
      </c>
      <c r="D192" s="358">
        <v>143.13999999999999</v>
      </c>
      <c r="E192" s="334">
        <f>D192*180</f>
        <v>25765.199999999997</v>
      </c>
      <c r="F192" s="360"/>
    </row>
    <row r="193" spans="2:6">
      <c r="B193" s="350"/>
      <c r="C193" s="348" t="s">
        <v>722</v>
      </c>
      <c r="D193" s="359">
        <v>-39.92</v>
      </c>
      <c r="E193" s="334">
        <f t="shared" ref="E193:E203" si="19">D193*180</f>
        <v>-7185.6</v>
      </c>
      <c r="F193" s="360"/>
    </row>
    <row r="194" spans="2:6">
      <c r="B194" s="350"/>
      <c r="C194" s="348" t="s">
        <v>707</v>
      </c>
      <c r="D194" s="358">
        <f>D192+D193</f>
        <v>103.21999999999998</v>
      </c>
      <c r="E194" s="334">
        <f t="shared" si="19"/>
        <v>18579.599999999999</v>
      </c>
      <c r="F194" s="360"/>
    </row>
    <row r="195" spans="2:6">
      <c r="B195" s="350"/>
      <c r="C195" s="348" t="s">
        <v>708</v>
      </c>
      <c r="D195" s="358">
        <v>126.48</v>
      </c>
      <c r="E195" s="334">
        <f t="shared" si="19"/>
        <v>22766.400000000001</v>
      </c>
      <c r="F195" s="360"/>
    </row>
    <row r="196" spans="2:6">
      <c r="B196" s="350"/>
      <c r="C196" s="348" t="s">
        <v>741</v>
      </c>
      <c r="D196" s="358">
        <v>0</v>
      </c>
      <c r="E196" s="334">
        <f t="shared" si="19"/>
        <v>0</v>
      </c>
      <c r="F196" s="360"/>
    </row>
    <row r="197" spans="2:6">
      <c r="B197" s="350"/>
      <c r="C197" s="348" t="s">
        <v>710</v>
      </c>
      <c r="D197" s="358">
        <v>1.38</v>
      </c>
      <c r="E197" s="334">
        <f t="shared" si="19"/>
        <v>248.39999999999998</v>
      </c>
      <c r="F197" s="360"/>
    </row>
    <row r="198" spans="2:6">
      <c r="B198" s="350"/>
      <c r="C198" s="348" t="s">
        <v>712</v>
      </c>
      <c r="D198" s="358">
        <f>SUM(D194:D197)</f>
        <v>231.07999999999998</v>
      </c>
      <c r="E198" s="334">
        <f t="shared" si="19"/>
        <v>41594.399999999994</v>
      </c>
      <c r="F198" s="360"/>
    </row>
    <row r="199" spans="2:6">
      <c r="B199" s="350"/>
      <c r="C199" s="348" t="s">
        <v>713</v>
      </c>
      <c r="D199" s="376">
        <f>(D198*50%)</f>
        <v>115.53999999999999</v>
      </c>
      <c r="E199" s="334">
        <f t="shared" si="19"/>
        <v>20797.199999999997</v>
      </c>
      <c r="F199" s="360"/>
    </row>
    <row r="200" spans="2:6">
      <c r="B200" s="350"/>
      <c r="C200" s="348" t="s">
        <v>714</v>
      </c>
      <c r="D200" s="377">
        <v>0</v>
      </c>
      <c r="E200" s="334">
        <f t="shared" si="19"/>
        <v>0</v>
      </c>
      <c r="F200" s="360"/>
    </row>
    <row r="201" spans="2:6">
      <c r="B201" s="350"/>
      <c r="C201" s="348" t="s">
        <v>742</v>
      </c>
      <c r="D201" s="359">
        <v>0</v>
      </c>
      <c r="E201" s="334">
        <f t="shared" si="19"/>
        <v>0</v>
      </c>
      <c r="F201" s="360" t="s">
        <v>752</v>
      </c>
    </row>
    <row r="202" spans="2:6">
      <c r="B202" s="350"/>
      <c r="C202" s="348" t="s">
        <v>745</v>
      </c>
      <c r="D202" s="359">
        <v>0</v>
      </c>
      <c r="E202" s="334">
        <f t="shared" si="19"/>
        <v>0</v>
      </c>
      <c r="F202" s="360" t="s">
        <v>750</v>
      </c>
    </row>
    <row r="203" spans="2:6">
      <c r="B203" s="350"/>
      <c r="C203" s="355" t="s">
        <v>727</v>
      </c>
      <c r="D203" s="378">
        <f>SUM(D199:D202)</f>
        <v>115.53999999999999</v>
      </c>
      <c r="E203" s="337">
        <f t="shared" si="19"/>
        <v>20797.199999999997</v>
      </c>
      <c r="F203" s="374"/>
    </row>
    <row r="204" spans="2:6">
      <c r="B204" s="350"/>
      <c r="C204" s="348" t="s">
        <v>735</v>
      </c>
      <c r="D204" s="358">
        <v>18.22</v>
      </c>
      <c r="E204" s="334">
        <f>D204*180</f>
        <v>3279.6</v>
      </c>
      <c r="F204" s="360"/>
    </row>
    <row r="205" spans="2:6">
      <c r="B205" s="353"/>
      <c r="C205" s="354" t="s">
        <v>718</v>
      </c>
      <c r="D205" s="378">
        <f>D203-D204</f>
        <v>97.32</v>
      </c>
      <c r="E205" s="337">
        <f t="shared" ref="E205" si="20">D205*180</f>
        <v>17517.599999999999</v>
      </c>
      <c r="F205" s="360"/>
    </row>
    <row r="208" spans="2:6" ht="25.2">
      <c r="B208" s="316" t="s">
        <v>754</v>
      </c>
      <c r="C208" s="317"/>
      <c r="D208" s="317"/>
      <c r="E208" s="318"/>
      <c r="F208" s="317"/>
    </row>
    <row r="209" spans="2:6">
      <c r="B209" s="370" t="s">
        <v>700</v>
      </c>
      <c r="C209" s="342" t="s">
        <v>701</v>
      </c>
      <c r="D209" s="343"/>
      <c r="E209" s="343"/>
      <c r="F209" s="344"/>
    </row>
    <row r="210" spans="2:6">
      <c r="B210" s="371"/>
      <c r="C210" s="345"/>
      <c r="D210" s="345" t="s">
        <v>470</v>
      </c>
      <c r="E210" s="346" t="s">
        <v>748</v>
      </c>
      <c r="F210" s="345" t="s">
        <v>67</v>
      </c>
    </row>
    <row r="211" spans="2:6">
      <c r="B211" s="347" t="s">
        <v>704</v>
      </c>
      <c r="C211" s="348" t="s">
        <v>731</v>
      </c>
      <c r="D211" s="358">
        <v>176.74</v>
      </c>
      <c r="E211" s="334">
        <f>D211*180</f>
        <v>31813.200000000001</v>
      </c>
      <c r="F211" s="360"/>
    </row>
    <row r="212" spans="2:6">
      <c r="B212" s="350"/>
      <c r="C212" s="348" t="s">
        <v>706</v>
      </c>
      <c r="D212" s="359">
        <v>-50.68</v>
      </c>
      <c r="E212" s="334">
        <f t="shared" ref="E212:E222" si="21">D212*180</f>
        <v>-9122.4</v>
      </c>
      <c r="F212" s="360"/>
    </row>
    <row r="213" spans="2:6">
      <c r="B213" s="350"/>
      <c r="C213" s="348" t="s">
        <v>723</v>
      </c>
      <c r="D213" s="358">
        <f>D211+D212</f>
        <v>126.06</v>
      </c>
      <c r="E213" s="334">
        <f t="shared" si="21"/>
        <v>22690.799999999999</v>
      </c>
      <c r="F213" s="360"/>
    </row>
    <row r="214" spans="2:6">
      <c r="B214" s="350"/>
      <c r="C214" s="348" t="s">
        <v>708</v>
      </c>
      <c r="D214" s="358">
        <v>126.42</v>
      </c>
      <c r="E214" s="334">
        <f t="shared" si="21"/>
        <v>22755.599999999999</v>
      </c>
      <c r="F214" s="360"/>
    </row>
    <row r="215" spans="2:6">
      <c r="B215" s="350"/>
      <c r="C215" s="348" t="s">
        <v>741</v>
      </c>
      <c r="D215" s="358">
        <v>0</v>
      </c>
      <c r="E215" s="334">
        <f t="shared" si="21"/>
        <v>0</v>
      </c>
      <c r="F215" s="360"/>
    </row>
    <row r="216" spans="2:6">
      <c r="B216" s="350"/>
      <c r="C216" s="348" t="s">
        <v>725</v>
      </c>
      <c r="D216" s="358">
        <v>0.34</v>
      </c>
      <c r="E216" s="334">
        <f t="shared" si="21"/>
        <v>61.2</v>
      </c>
      <c r="F216" s="360"/>
    </row>
    <row r="217" spans="2:6">
      <c r="B217" s="350"/>
      <c r="C217" s="348" t="s">
        <v>711</v>
      </c>
      <c r="D217" s="358">
        <f>SUM(D213:D216)</f>
        <v>252.82000000000002</v>
      </c>
      <c r="E217" s="334">
        <f t="shared" si="21"/>
        <v>45507.600000000006</v>
      </c>
      <c r="F217" s="360"/>
    </row>
    <row r="218" spans="2:6">
      <c r="B218" s="350"/>
      <c r="C218" s="348" t="s">
        <v>713</v>
      </c>
      <c r="D218" s="376">
        <f>(D217*50%)</f>
        <v>126.41000000000001</v>
      </c>
      <c r="E218" s="334">
        <f t="shared" si="21"/>
        <v>22753.800000000003</v>
      </c>
      <c r="F218" s="360"/>
    </row>
    <row r="219" spans="2:6">
      <c r="B219" s="350"/>
      <c r="C219" s="348" t="s">
        <v>714</v>
      </c>
      <c r="D219" s="377">
        <v>0</v>
      </c>
      <c r="E219" s="334">
        <f t="shared" si="21"/>
        <v>0</v>
      </c>
      <c r="F219" s="360"/>
    </row>
    <row r="220" spans="2:6">
      <c r="B220" s="350"/>
      <c r="C220" s="348" t="s">
        <v>739</v>
      </c>
      <c r="D220" s="359">
        <v>0</v>
      </c>
      <c r="E220" s="334">
        <f t="shared" si="21"/>
        <v>0</v>
      </c>
      <c r="F220" s="360" t="s">
        <v>752</v>
      </c>
    </row>
    <row r="221" spans="2:6">
      <c r="B221" s="350"/>
      <c r="C221" s="348" t="s">
        <v>743</v>
      </c>
      <c r="D221" s="359">
        <v>0.08</v>
      </c>
      <c r="E221" s="334">
        <f t="shared" si="21"/>
        <v>14.4</v>
      </c>
      <c r="F221" s="360" t="s">
        <v>752</v>
      </c>
    </row>
    <row r="222" spans="2:6">
      <c r="B222" s="350"/>
      <c r="C222" s="355" t="s">
        <v>716</v>
      </c>
      <c r="D222" s="378">
        <f>SUM(D218:D221)</f>
        <v>126.49000000000001</v>
      </c>
      <c r="E222" s="337">
        <f t="shared" si="21"/>
        <v>22768.2</v>
      </c>
      <c r="F222" s="374"/>
    </row>
    <row r="223" spans="2:6">
      <c r="B223" s="350"/>
      <c r="C223" s="348" t="s">
        <v>717</v>
      </c>
      <c r="D223" s="358">
        <v>19.95</v>
      </c>
      <c r="E223" s="334">
        <f>D223*180</f>
        <v>3591</v>
      </c>
      <c r="F223" s="360"/>
    </row>
    <row r="224" spans="2:6">
      <c r="B224" s="353"/>
      <c r="C224" s="354" t="s">
        <v>718</v>
      </c>
      <c r="D224" s="378">
        <f>D222-D223</f>
        <v>106.54</v>
      </c>
      <c r="E224" s="337">
        <f t="shared" ref="E224" si="22">D224*180</f>
        <v>19177.2</v>
      </c>
      <c r="F224" s="360"/>
    </row>
    <row r="227" spans="2:6" ht="25.2">
      <c r="B227" s="316" t="s">
        <v>755</v>
      </c>
      <c r="C227" s="317"/>
      <c r="D227" s="317"/>
      <c r="E227" s="318"/>
      <c r="F227" s="317"/>
    </row>
    <row r="228" spans="2:6">
      <c r="B228" s="370" t="s">
        <v>730</v>
      </c>
      <c r="C228" s="342" t="s">
        <v>702</v>
      </c>
      <c r="D228" s="343"/>
      <c r="E228" s="343"/>
      <c r="F228" s="344"/>
    </row>
    <row r="229" spans="2:6">
      <c r="B229" s="371"/>
      <c r="C229" s="345"/>
      <c r="D229" s="345" t="s">
        <v>470</v>
      </c>
      <c r="E229" s="346" t="s">
        <v>756</v>
      </c>
      <c r="F229" s="345" t="s">
        <v>67</v>
      </c>
    </row>
    <row r="230" spans="2:6">
      <c r="B230" s="347" t="s">
        <v>704</v>
      </c>
      <c r="C230" s="348" t="s">
        <v>731</v>
      </c>
      <c r="D230" s="358">
        <v>142.88</v>
      </c>
      <c r="E230" s="334">
        <f>D230*180</f>
        <v>25718.399999999998</v>
      </c>
      <c r="F230" s="360"/>
    </row>
    <row r="231" spans="2:6">
      <c r="B231" s="350"/>
      <c r="C231" s="348" t="s">
        <v>706</v>
      </c>
      <c r="D231" s="359">
        <v>-39.450000000000003</v>
      </c>
      <c r="E231" s="334">
        <f t="shared" ref="E231:E241" si="23">D231*180</f>
        <v>-7101.0000000000009</v>
      </c>
      <c r="F231" s="360"/>
    </row>
    <row r="232" spans="2:6">
      <c r="B232" s="350"/>
      <c r="C232" s="348" t="s">
        <v>723</v>
      </c>
      <c r="D232" s="358">
        <f>D230+D231</f>
        <v>103.42999999999999</v>
      </c>
      <c r="E232" s="334">
        <f t="shared" si="23"/>
        <v>18617.399999999998</v>
      </c>
      <c r="F232" s="360"/>
    </row>
    <row r="233" spans="2:6">
      <c r="B233" s="350"/>
      <c r="C233" s="348" t="s">
        <v>708</v>
      </c>
      <c r="D233" s="358">
        <v>63.23</v>
      </c>
      <c r="E233" s="334">
        <f t="shared" si="23"/>
        <v>11381.4</v>
      </c>
      <c r="F233" s="360"/>
    </row>
    <row r="234" spans="2:6">
      <c r="B234" s="350"/>
      <c r="C234" s="348" t="s">
        <v>709</v>
      </c>
      <c r="D234" s="358">
        <v>0</v>
      </c>
      <c r="E234" s="334">
        <f t="shared" si="23"/>
        <v>0</v>
      </c>
      <c r="F234" s="360"/>
    </row>
    <row r="235" spans="2:6">
      <c r="B235" s="350"/>
      <c r="C235" s="348" t="s">
        <v>725</v>
      </c>
      <c r="D235" s="358">
        <v>0</v>
      </c>
      <c r="E235" s="334">
        <f t="shared" si="23"/>
        <v>0</v>
      </c>
      <c r="F235" s="360"/>
    </row>
    <row r="236" spans="2:6">
      <c r="B236" s="350"/>
      <c r="C236" s="348" t="s">
        <v>711</v>
      </c>
      <c r="D236" s="358">
        <f>SUM(D232:D235)</f>
        <v>166.66</v>
      </c>
      <c r="E236" s="334">
        <f t="shared" si="23"/>
        <v>29998.799999999999</v>
      </c>
      <c r="F236" s="360"/>
    </row>
    <row r="237" spans="2:6">
      <c r="B237" s="350"/>
      <c r="C237" s="348" t="s">
        <v>726</v>
      </c>
      <c r="D237" s="376">
        <f>(D236*50%)</f>
        <v>83.33</v>
      </c>
      <c r="E237" s="334">
        <f t="shared" si="23"/>
        <v>14999.4</v>
      </c>
      <c r="F237" s="360"/>
    </row>
    <row r="238" spans="2:6">
      <c r="B238" s="350"/>
      <c r="C238" s="348" t="s">
        <v>714</v>
      </c>
      <c r="D238" s="377">
        <v>0</v>
      </c>
      <c r="E238" s="334">
        <f t="shared" si="23"/>
        <v>0</v>
      </c>
      <c r="F238" s="360"/>
    </row>
    <row r="239" spans="2:6">
      <c r="B239" s="350"/>
      <c r="C239" s="348" t="s">
        <v>739</v>
      </c>
      <c r="D239" s="359">
        <v>0</v>
      </c>
      <c r="E239" s="334">
        <f t="shared" si="23"/>
        <v>0</v>
      </c>
      <c r="F239" s="360" t="s">
        <v>752</v>
      </c>
    </row>
    <row r="240" spans="2:6">
      <c r="B240" s="350"/>
      <c r="C240" s="348" t="s">
        <v>743</v>
      </c>
      <c r="D240" s="359">
        <v>0</v>
      </c>
      <c r="E240" s="334">
        <f t="shared" si="23"/>
        <v>0</v>
      </c>
      <c r="F240" s="360" t="s">
        <v>752</v>
      </c>
    </row>
    <row r="241" spans="2:6">
      <c r="B241" s="350"/>
      <c r="C241" s="355" t="s">
        <v>716</v>
      </c>
      <c r="D241" s="378">
        <f>SUM(D237:D240)</f>
        <v>83.33</v>
      </c>
      <c r="E241" s="337">
        <f t="shared" si="23"/>
        <v>14999.4</v>
      </c>
      <c r="F241" s="374"/>
    </row>
    <row r="242" spans="2:6">
      <c r="B242" s="350"/>
      <c r="C242" s="348" t="s">
        <v>717</v>
      </c>
      <c r="D242" s="358">
        <v>12.58</v>
      </c>
      <c r="E242" s="334">
        <f>D242*180</f>
        <v>2264.4</v>
      </c>
      <c r="F242" s="360"/>
    </row>
    <row r="243" spans="2:6">
      <c r="B243" s="353"/>
      <c r="C243" s="354" t="s">
        <v>718</v>
      </c>
      <c r="D243" s="378">
        <f>D241-D242</f>
        <v>70.75</v>
      </c>
      <c r="E243" s="337">
        <f t="shared" ref="E243" si="24">D243*180</f>
        <v>12735</v>
      </c>
      <c r="F243" s="360"/>
    </row>
    <row r="245" spans="2:6" ht="25.2">
      <c r="B245" s="316" t="s">
        <v>757</v>
      </c>
    </row>
    <row r="246" spans="2:6">
      <c r="B246" s="370" t="s">
        <v>700</v>
      </c>
      <c r="C246" s="342" t="s">
        <v>702</v>
      </c>
      <c r="D246" s="343"/>
      <c r="E246" s="343"/>
      <c r="F246" s="344"/>
    </row>
    <row r="247" spans="2:6">
      <c r="B247" s="371"/>
      <c r="C247" s="345"/>
      <c r="D247" s="345" t="s">
        <v>470</v>
      </c>
      <c r="E247" s="346" t="s">
        <v>748</v>
      </c>
      <c r="F247" s="345" t="s">
        <v>67</v>
      </c>
    </row>
    <row r="248" spans="2:6">
      <c r="B248" s="347" t="s">
        <v>704</v>
      </c>
      <c r="C248" s="348" t="s">
        <v>705</v>
      </c>
      <c r="D248" s="358">
        <v>216.64</v>
      </c>
      <c r="E248" s="334">
        <f>D248*180</f>
        <v>38995.199999999997</v>
      </c>
      <c r="F248" s="360"/>
    </row>
    <row r="249" spans="2:6">
      <c r="B249" s="350"/>
      <c r="C249" s="348" t="s">
        <v>722</v>
      </c>
      <c r="D249" s="359">
        <v>-57.77</v>
      </c>
      <c r="E249" s="334">
        <f t="shared" ref="E249:E259" si="25">D249*180</f>
        <v>-10398.6</v>
      </c>
      <c r="F249" s="360"/>
    </row>
    <row r="250" spans="2:6">
      <c r="B250" s="350"/>
      <c r="C250" s="348" t="s">
        <v>723</v>
      </c>
      <c r="D250" s="358">
        <f>D248+D249</f>
        <v>158.86999999999998</v>
      </c>
      <c r="E250" s="334">
        <f t="shared" si="25"/>
        <v>28596.599999999995</v>
      </c>
      <c r="F250" s="360"/>
    </row>
    <row r="251" spans="2:6">
      <c r="B251" s="350"/>
      <c r="C251" s="348" t="s">
        <v>708</v>
      </c>
      <c r="D251" s="358">
        <v>54.06</v>
      </c>
      <c r="E251" s="334">
        <f t="shared" si="25"/>
        <v>9730.8000000000011</v>
      </c>
      <c r="F251" s="360"/>
    </row>
    <row r="252" spans="2:6">
      <c r="B252" s="350"/>
      <c r="C252" s="348" t="s">
        <v>709</v>
      </c>
      <c r="D252" s="358">
        <v>0</v>
      </c>
      <c r="E252" s="334">
        <f t="shared" si="25"/>
        <v>0</v>
      </c>
      <c r="F252" s="360"/>
    </row>
    <row r="253" spans="2:6">
      <c r="B253" s="350"/>
      <c r="C253" s="348" t="s">
        <v>725</v>
      </c>
      <c r="D253" s="358">
        <v>1.1599999999999999</v>
      </c>
      <c r="E253" s="334">
        <f t="shared" si="25"/>
        <v>208.79999999999998</v>
      </c>
      <c r="F253" s="360"/>
    </row>
    <row r="254" spans="2:6">
      <c r="B254" s="350"/>
      <c r="C254" s="348" t="s">
        <v>712</v>
      </c>
      <c r="D254" s="358">
        <f>SUM(D250:D253)</f>
        <v>214.08999999999997</v>
      </c>
      <c r="E254" s="334">
        <f t="shared" si="25"/>
        <v>38536.199999999997</v>
      </c>
      <c r="F254" s="360"/>
    </row>
    <row r="255" spans="2:6">
      <c r="B255" s="350"/>
      <c r="C255" s="348" t="s">
        <v>726</v>
      </c>
      <c r="D255" s="376">
        <f>(D254*50%)-(D239*D240)</f>
        <v>107.04499999999999</v>
      </c>
      <c r="E255" s="334">
        <f t="shared" si="25"/>
        <v>19268.099999999999</v>
      </c>
      <c r="F255" s="360"/>
    </row>
    <row r="256" spans="2:6">
      <c r="B256" s="350"/>
      <c r="C256" s="348" t="s">
        <v>714</v>
      </c>
      <c r="D256" s="377">
        <v>0</v>
      </c>
      <c r="E256" s="334">
        <f t="shared" si="25"/>
        <v>0</v>
      </c>
      <c r="F256" s="360"/>
    </row>
    <row r="257" spans="2:6">
      <c r="B257" s="350"/>
      <c r="C257" s="348" t="s">
        <v>739</v>
      </c>
      <c r="D257" s="358">
        <v>0</v>
      </c>
      <c r="E257" s="334">
        <f t="shared" si="25"/>
        <v>0</v>
      </c>
      <c r="F257" s="360" t="s">
        <v>750</v>
      </c>
    </row>
    <row r="258" spans="2:6">
      <c r="B258" s="350"/>
      <c r="C258" s="348" t="s">
        <v>745</v>
      </c>
      <c r="D258" s="358">
        <v>0</v>
      </c>
      <c r="E258" s="334">
        <f t="shared" si="25"/>
        <v>0</v>
      </c>
      <c r="F258" s="360" t="s">
        <v>750</v>
      </c>
    </row>
    <row r="259" spans="2:6">
      <c r="B259" s="350"/>
      <c r="C259" s="355" t="s">
        <v>727</v>
      </c>
      <c r="D259" s="378">
        <f>SUM(D255:D258)</f>
        <v>107.04499999999999</v>
      </c>
      <c r="E259" s="337">
        <f t="shared" si="25"/>
        <v>19268.099999999999</v>
      </c>
      <c r="F259" s="374"/>
    </row>
    <row r="260" spans="2:6">
      <c r="B260" s="350"/>
      <c r="C260" s="348" t="s">
        <v>735</v>
      </c>
      <c r="D260" s="358">
        <v>16.16</v>
      </c>
      <c r="E260" s="334">
        <f>D260*180</f>
        <v>2908.8</v>
      </c>
      <c r="F260" s="360"/>
    </row>
    <row r="261" spans="2:6">
      <c r="B261" s="353"/>
      <c r="C261" s="354" t="s">
        <v>728</v>
      </c>
      <c r="D261" s="378">
        <f>D259-D260</f>
        <v>90.884999999999991</v>
      </c>
      <c r="E261" s="337">
        <f t="shared" ref="E261" si="26">D261*180</f>
        <v>16359.3</v>
      </c>
      <c r="F261" s="360"/>
    </row>
    <row r="263" spans="2:6" ht="25.2">
      <c r="B263" s="316" t="s">
        <v>758</v>
      </c>
    </row>
    <row r="264" spans="2:6">
      <c r="B264" s="370" t="s">
        <v>730</v>
      </c>
      <c r="C264" s="342" t="s">
        <v>702</v>
      </c>
      <c r="D264" s="343"/>
      <c r="E264" s="343"/>
      <c r="F264" s="344"/>
    </row>
    <row r="265" spans="2:6">
      <c r="B265" s="371"/>
      <c r="C265" s="345"/>
      <c r="D265" s="345" t="s">
        <v>470</v>
      </c>
      <c r="E265" s="346" t="s">
        <v>748</v>
      </c>
      <c r="F265" s="345" t="s">
        <v>67</v>
      </c>
    </row>
    <row r="266" spans="2:6">
      <c r="B266" s="347" t="s">
        <v>749</v>
      </c>
      <c r="C266" s="348" t="s">
        <v>731</v>
      </c>
      <c r="D266" s="358">
        <v>157.93</v>
      </c>
      <c r="E266" s="334">
        <v>28427.4</v>
      </c>
      <c r="F266" s="360"/>
    </row>
    <row r="267" spans="2:6">
      <c r="B267" s="350"/>
      <c r="C267" s="348" t="s">
        <v>722</v>
      </c>
      <c r="D267" s="359">
        <v>-44.2</v>
      </c>
      <c r="E267" s="334">
        <v>-7956.0000000000009</v>
      </c>
      <c r="F267" s="360"/>
    </row>
    <row r="268" spans="2:6">
      <c r="B268" s="350"/>
      <c r="C268" s="348" t="s">
        <v>707</v>
      </c>
      <c r="D268" s="358">
        <v>113.73</v>
      </c>
      <c r="E268" s="334">
        <v>20471.400000000001</v>
      </c>
      <c r="F268" s="360"/>
    </row>
    <row r="269" spans="2:6">
      <c r="B269" s="350"/>
      <c r="C269" s="348" t="s">
        <v>724</v>
      </c>
      <c r="D269" s="358">
        <v>53.4</v>
      </c>
      <c r="E269" s="334">
        <v>9612</v>
      </c>
      <c r="F269" s="360"/>
    </row>
    <row r="270" spans="2:6">
      <c r="B270" s="350"/>
      <c r="C270" s="348" t="s">
        <v>741</v>
      </c>
      <c r="D270" s="358">
        <v>0</v>
      </c>
      <c r="E270" s="334">
        <v>0</v>
      </c>
      <c r="F270" s="360"/>
    </row>
    <row r="271" spans="2:6">
      <c r="B271" s="350"/>
      <c r="C271" s="348" t="s">
        <v>725</v>
      </c>
      <c r="D271" s="358">
        <v>0.56000000000000005</v>
      </c>
      <c r="E271" s="334">
        <v>100.80000000000001</v>
      </c>
      <c r="F271" s="360"/>
    </row>
    <row r="272" spans="2:6">
      <c r="B272" s="350"/>
      <c r="C272" s="348" t="s">
        <v>711</v>
      </c>
      <c r="D272" s="358">
        <v>167.69</v>
      </c>
      <c r="E272" s="334">
        <v>30184.2</v>
      </c>
      <c r="F272" s="360"/>
    </row>
    <row r="273" spans="2:6">
      <c r="B273" s="350"/>
      <c r="C273" s="348" t="s">
        <v>713</v>
      </c>
      <c r="D273" s="376">
        <v>83.844999999999999</v>
      </c>
      <c r="E273" s="334">
        <v>15092.1</v>
      </c>
      <c r="F273" s="360"/>
    </row>
    <row r="274" spans="2:6">
      <c r="B274" s="350"/>
      <c r="C274" s="348" t="s">
        <v>715</v>
      </c>
      <c r="D274" s="377">
        <v>0</v>
      </c>
      <c r="E274" s="334">
        <v>0</v>
      </c>
      <c r="F274" s="360"/>
    </row>
    <row r="275" spans="2:6">
      <c r="B275" s="350"/>
      <c r="C275" s="348" t="s">
        <v>742</v>
      </c>
      <c r="D275" s="358">
        <v>0</v>
      </c>
      <c r="E275" s="334">
        <v>0</v>
      </c>
      <c r="F275" s="360" t="s">
        <v>664</v>
      </c>
    </row>
    <row r="276" spans="2:6">
      <c r="B276" s="350"/>
      <c r="C276" s="348" t="s">
        <v>745</v>
      </c>
      <c r="D276" s="358">
        <v>0</v>
      </c>
      <c r="E276" s="334">
        <v>0</v>
      </c>
      <c r="F276" s="360" t="s">
        <v>664</v>
      </c>
    </row>
    <row r="277" spans="2:6">
      <c r="B277" s="350"/>
      <c r="C277" s="355" t="s">
        <v>727</v>
      </c>
      <c r="D277" s="378">
        <v>83.844999999999999</v>
      </c>
      <c r="E277" s="337">
        <v>15092.1</v>
      </c>
      <c r="F277" s="374"/>
    </row>
    <row r="278" spans="2:6">
      <c r="B278" s="350"/>
      <c r="C278" s="348" t="s">
        <v>735</v>
      </c>
      <c r="D278" s="358">
        <v>12.66</v>
      </c>
      <c r="E278" s="334">
        <v>2278.8000000000002</v>
      </c>
      <c r="F278" s="360"/>
    </row>
    <row r="279" spans="2:6">
      <c r="B279" s="353"/>
      <c r="C279" s="354" t="s">
        <v>728</v>
      </c>
      <c r="D279" s="378">
        <v>71.185000000000002</v>
      </c>
      <c r="E279" s="337">
        <v>12813.300000000001</v>
      </c>
      <c r="F279" s="360"/>
    </row>
    <row r="281" spans="2:6" ht="25.2">
      <c r="B281" s="316" t="s">
        <v>759</v>
      </c>
    </row>
    <row r="282" spans="2:6">
      <c r="B282" s="370" t="s">
        <v>700</v>
      </c>
      <c r="C282" s="342" t="s">
        <v>702</v>
      </c>
      <c r="D282" s="343"/>
      <c r="E282" s="343"/>
      <c r="F282" s="344"/>
    </row>
    <row r="283" spans="2:6">
      <c r="B283" s="371"/>
      <c r="C283" s="345"/>
      <c r="D283" s="345" t="s">
        <v>470</v>
      </c>
      <c r="E283" s="346" t="s">
        <v>748</v>
      </c>
      <c r="F283" s="345" t="s">
        <v>67</v>
      </c>
    </row>
    <row r="284" spans="2:6">
      <c r="B284" s="347" t="s">
        <v>749</v>
      </c>
      <c r="C284" s="348" t="s">
        <v>705</v>
      </c>
      <c r="D284" s="358">
        <v>123.16</v>
      </c>
      <c r="E284" s="334">
        <f>D284*180</f>
        <v>22168.799999999999</v>
      </c>
      <c r="F284" s="360"/>
    </row>
    <row r="285" spans="2:6">
      <c r="B285" s="350"/>
      <c r="C285" s="348" t="s">
        <v>706</v>
      </c>
      <c r="D285" s="359">
        <v>34.47</v>
      </c>
      <c r="E285" s="334">
        <f t="shared" ref="E285:E295" si="27">D285*180</f>
        <v>6204.5999999999995</v>
      </c>
      <c r="F285" s="360"/>
    </row>
    <row r="286" spans="2:6">
      <c r="B286" s="350"/>
      <c r="C286" s="348" t="s">
        <v>707</v>
      </c>
      <c r="D286" s="358">
        <v>88.69</v>
      </c>
      <c r="E286" s="334">
        <f t="shared" si="27"/>
        <v>15964.199999999999</v>
      </c>
      <c r="F286" s="360"/>
    </row>
    <row r="287" spans="2:6">
      <c r="B287" s="350"/>
      <c r="C287" s="348" t="s">
        <v>708</v>
      </c>
      <c r="D287" s="358">
        <v>51.94</v>
      </c>
      <c r="E287" s="334">
        <f t="shared" si="27"/>
        <v>9349.1999999999989</v>
      </c>
      <c r="F287" s="360"/>
    </row>
    <row r="288" spans="2:6">
      <c r="B288" s="350"/>
      <c r="C288" s="348" t="s">
        <v>741</v>
      </c>
      <c r="D288" s="358">
        <v>0</v>
      </c>
      <c r="E288" s="334">
        <f t="shared" si="27"/>
        <v>0</v>
      </c>
      <c r="F288" s="360"/>
    </row>
    <row r="289" spans="2:6">
      <c r="B289" s="350"/>
      <c r="C289" s="348" t="s">
        <v>710</v>
      </c>
      <c r="D289" s="358">
        <v>0.56000000000000005</v>
      </c>
      <c r="E289" s="334">
        <f t="shared" si="27"/>
        <v>100.80000000000001</v>
      </c>
      <c r="F289" s="360"/>
    </row>
    <row r="290" spans="2:6">
      <c r="B290" s="350"/>
      <c r="C290" s="348" t="s">
        <v>712</v>
      </c>
      <c r="D290" s="358">
        <v>140.63</v>
      </c>
      <c r="E290" s="334">
        <f t="shared" si="27"/>
        <v>25313.399999999998</v>
      </c>
      <c r="F290" s="360"/>
    </row>
    <row r="291" spans="2:6">
      <c r="B291" s="350"/>
      <c r="C291" s="348" t="s">
        <v>726</v>
      </c>
      <c r="D291" s="376">
        <f>(D290*50%)-(D275*D276)</f>
        <v>70.314999999999998</v>
      </c>
      <c r="E291" s="334">
        <f t="shared" si="27"/>
        <v>12656.699999999999</v>
      </c>
      <c r="F291" s="360"/>
    </row>
    <row r="292" spans="2:6">
      <c r="B292" s="350"/>
      <c r="C292" s="348" t="s">
        <v>715</v>
      </c>
      <c r="D292" s="377">
        <v>0</v>
      </c>
      <c r="E292" s="334">
        <f t="shared" si="27"/>
        <v>0</v>
      </c>
      <c r="F292" s="360"/>
    </row>
    <row r="293" spans="2:6">
      <c r="B293" s="350"/>
      <c r="C293" s="348" t="s">
        <v>742</v>
      </c>
      <c r="D293" s="358">
        <v>0</v>
      </c>
      <c r="E293" s="334">
        <f t="shared" si="27"/>
        <v>0</v>
      </c>
      <c r="F293" s="360" t="s">
        <v>664</v>
      </c>
    </row>
    <row r="294" spans="2:6">
      <c r="B294" s="350"/>
      <c r="C294" s="348" t="s">
        <v>743</v>
      </c>
      <c r="D294" s="358">
        <v>0</v>
      </c>
      <c r="E294" s="334">
        <f t="shared" si="27"/>
        <v>0</v>
      </c>
      <c r="F294" s="360" t="s">
        <v>664</v>
      </c>
    </row>
    <row r="295" spans="2:6">
      <c r="B295" s="350"/>
      <c r="C295" s="355" t="s">
        <v>716</v>
      </c>
      <c r="D295" s="378">
        <f>SUM(D291:D294)</f>
        <v>70.314999999999998</v>
      </c>
      <c r="E295" s="337">
        <f t="shared" si="27"/>
        <v>12656.699999999999</v>
      </c>
      <c r="F295" s="374"/>
    </row>
    <row r="296" spans="2:6">
      <c r="B296" s="350"/>
      <c r="C296" s="348" t="s">
        <v>735</v>
      </c>
      <c r="D296" s="358">
        <v>10.61</v>
      </c>
      <c r="E296" s="334">
        <f>D296*180</f>
        <v>1909.8</v>
      </c>
      <c r="F296" s="360"/>
    </row>
    <row r="297" spans="2:6">
      <c r="B297" s="353"/>
      <c r="C297" s="354" t="s">
        <v>728</v>
      </c>
      <c r="D297" s="378">
        <f>D295-D296</f>
        <v>59.704999999999998</v>
      </c>
      <c r="E297" s="337">
        <f t="shared" ref="E297" si="28">D297*180</f>
        <v>10746.9</v>
      </c>
      <c r="F297" s="360"/>
    </row>
    <row r="299" spans="2:6" ht="25.2">
      <c r="B299" s="316" t="s">
        <v>760</v>
      </c>
    </row>
    <row r="300" spans="2:6">
      <c r="B300" s="370" t="s">
        <v>730</v>
      </c>
      <c r="C300" s="342" t="s">
        <v>702</v>
      </c>
      <c r="D300" s="343"/>
      <c r="E300" s="343"/>
      <c r="F300" s="344"/>
    </row>
    <row r="301" spans="2:6">
      <c r="B301" s="371"/>
      <c r="C301" s="345"/>
      <c r="D301" s="345" t="s">
        <v>470</v>
      </c>
      <c r="E301" s="346" t="s">
        <v>748</v>
      </c>
      <c r="F301" s="345" t="s">
        <v>67</v>
      </c>
    </row>
    <row r="302" spans="2:6">
      <c r="B302" s="347" t="s">
        <v>749</v>
      </c>
      <c r="C302" s="348" t="s">
        <v>731</v>
      </c>
      <c r="D302" s="358">
        <v>114.75</v>
      </c>
      <c r="E302" s="334">
        <f>D302*180</f>
        <v>20655</v>
      </c>
      <c r="F302" s="360"/>
    </row>
    <row r="303" spans="2:6">
      <c r="B303" s="350"/>
      <c r="C303" s="348" t="s">
        <v>722</v>
      </c>
      <c r="D303" s="359">
        <v>28.85</v>
      </c>
      <c r="E303" s="334">
        <f t="shared" ref="E303:E313" si="29">D303*180</f>
        <v>5193</v>
      </c>
      <c r="F303" s="360"/>
    </row>
    <row r="304" spans="2:6">
      <c r="B304" s="350"/>
      <c r="C304" s="348" t="s">
        <v>707</v>
      </c>
      <c r="D304" s="358">
        <v>85.9</v>
      </c>
      <c r="E304" s="334">
        <f t="shared" si="29"/>
        <v>15462.000000000002</v>
      </c>
      <c r="F304" s="360"/>
    </row>
    <row r="305" spans="2:6">
      <c r="B305" s="350"/>
      <c r="C305" s="348" t="s">
        <v>724</v>
      </c>
      <c r="D305" s="358">
        <v>28.01</v>
      </c>
      <c r="E305" s="334">
        <f t="shared" si="29"/>
        <v>5041.8</v>
      </c>
      <c r="F305" s="360"/>
    </row>
    <row r="306" spans="2:6">
      <c r="B306" s="350"/>
      <c r="C306" s="348" t="s">
        <v>741</v>
      </c>
      <c r="D306" s="358">
        <v>0</v>
      </c>
      <c r="E306" s="334">
        <f t="shared" si="29"/>
        <v>0</v>
      </c>
      <c r="F306" s="360"/>
    </row>
    <row r="307" spans="2:6">
      <c r="B307" s="350"/>
      <c r="C307" s="348" t="s">
        <v>710</v>
      </c>
      <c r="D307" s="358">
        <v>11.28</v>
      </c>
      <c r="E307" s="334">
        <f t="shared" si="29"/>
        <v>2030.3999999999999</v>
      </c>
      <c r="F307" s="360"/>
    </row>
    <row r="308" spans="2:6">
      <c r="B308" s="350"/>
      <c r="C308" s="348" t="s">
        <v>712</v>
      </c>
      <c r="D308" s="358">
        <v>125.19</v>
      </c>
      <c r="E308" s="334">
        <f t="shared" si="29"/>
        <v>22534.2</v>
      </c>
      <c r="F308" s="360"/>
    </row>
    <row r="309" spans="2:6">
      <c r="B309" s="350"/>
      <c r="C309" s="348" t="s">
        <v>713</v>
      </c>
      <c r="D309" s="376">
        <f>(D308*50%)-(D293*D294)</f>
        <v>62.594999999999999</v>
      </c>
      <c r="E309" s="334">
        <f t="shared" si="29"/>
        <v>11267.1</v>
      </c>
      <c r="F309" s="360"/>
    </row>
    <row r="310" spans="2:6">
      <c r="B310" s="350"/>
      <c r="C310" s="348" t="s">
        <v>714</v>
      </c>
      <c r="D310" s="377">
        <v>0</v>
      </c>
      <c r="E310" s="334">
        <f t="shared" si="29"/>
        <v>0</v>
      </c>
      <c r="F310" s="360"/>
    </row>
    <row r="311" spans="2:6">
      <c r="B311" s="350"/>
      <c r="C311" s="348" t="s">
        <v>739</v>
      </c>
      <c r="D311" s="358">
        <v>0</v>
      </c>
      <c r="E311" s="334">
        <f t="shared" si="29"/>
        <v>0</v>
      </c>
      <c r="F311" s="360" t="s">
        <v>664</v>
      </c>
    </row>
    <row r="312" spans="2:6">
      <c r="B312" s="350"/>
      <c r="C312" s="348" t="s">
        <v>745</v>
      </c>
      <c r="D312" s="358">
        <v>0</v>
      </c>
      <c r="E312" s="334">
        <f t="shared" si="29"/>
        <v>0</v>
      </c>
      <c r="F312" s="360" t="s">
        <v>664</v>
      </c>
    </row>
    <row r="313" spans="2:6">
      <c r="B313" s="350"/>
      <c r="C313" s="355" t="s">
        <v>727</v>
      </c>
      <c r="D313" s="378">
        <f>SUM(D309:D312)</f>
        <v>62.594999999999999</v>
      </c>
      <c r="E313" s="337">
        <f t="shared" si="29"/>
        <v>11267.1</v>
      </c>
      <c r="F313" s="374"/>
    </row>
    <row r="314" spans="2:6">
      <c r="B314" s="350"/>
      <c r="C314" s="348" t="s">
        <v>735</v>
      </c>
      <c r="D314" s="358">
        <v>9.4499999999999993</v>
      </c>
      <c r="E314" s="334">
        <f>D314*180</f>
        <v>1700.9999999999998</v>
      </c>
      <c r="F314" s="360"/>
    </row>
    <row r="315" spans="2:6">
      <c r="B315" s="353"/>
      <c r="C315" s="354" t="s">
        <v>718</v>
      </c>
      <c r="D315" s="378">
        <f>D313-D314</f>
        <v>53.144999999999996</v>
      </c>
      <c r="E315" s="337">
        <f t="shared" ref="E315" si="30">D315*180</f>
        <v>9566.0999999999985</v>
      </c>
      <c r="F315" s="360"/>
    </row>
    <row r="317" spans="2:6" ht="25.2">
      <c r="B317" s="316" t="s">
        <v>761</v>
      </c>
    </row>
    <row r="318" spans="2:6">
      <c r="B318" s="370" t="s">
        <v>730</v>
      </c>
      <c r="C318" s="342" t="s">
        <v>702</v>
      </c>
      <c r="D318" s="343"/>
      <c r="E318" s="343"/>
      <c r="F318" s="344"/>
    </row>
    <row r="319" spans="2:6">
      <c r="B319" s="371"/>
      <c r="C319" s="345"/>
      <c r="D319" s="345" t="s">
        <v>470</v>
      </c>
      <c r="E319" s="346" t="s">
        <v>756</v>
      </c>
      <c r="F319" s="345" t="s">
        <v>67</v>
      </c>
    </row>
    <row r="320" spans="2:6">
      <c r="B320" s="347" t="s">
        <v>749</v>
      </c>
      <c r="C320" s="348" t="s">
        <v>705</v>
      </c>
      <c r="D320" s="358">
        <v>116.8</v>
      </c>
      <c r="E320" s="334">
        <f>D320*180</f>
        <v>21024</v>
      </c>
      <c r="F320" s="360"/>
    </row>
    <row r="321" spans="2:6">
      <c r="B321" s="350"/>
      <c r="C321" s="348" t="s">
        <v>722</v>
      </c>
      <c r="D321" s="359">
        <v>32.28</v>
      </c>
      <c r="E321" s="334">
        <f t="shared" ref="E321:E331" si="31">D321*180</f>
        <v>5810.4000000000005</v>
      </c>
      <c r="F321" s="360"/>
    </row>
    <row r="322" spans="2:6">
      <c r="B322" s="350"/>
      <c r="C322" s="348" t="s">
        <v>723</v>
      </c>
      <c r="D322" s="358">
        <f>D320-D321</f>
        <v>84.52</v>
      </c>
      <c r="E322" s="334">
        <f t="shared" si="31"/>
        <v>15213.599999999999</v>
      </c>
      <c r="F322" s="360"/>
    </row>
    <row r="323" spans="2:6">
      <c r="B323" s="350"/>
      <c r="C323" s="348" t="s">
        <v>724</v>
      </c>
      <c r="D323" s="358">
        <v>9.91</v>
      </c>
      <c r="E323" s="334">
        <f t="shared" si="31"/>
        <v>1783.8</v>
      </c>
      <c r="F323" s="360"/>
    </row>
    <row r="324" spans="2:6">
      <c r="B324" s="350"/>
      <c r="C324" s="348" t="s">
        <v>709</v>
      </c>
      <c r="D324" s="358">
        <v>0</v>
      </c>
      <c r="E324" s="334">
        <f t="shared" si="31"/>
        <v>0</v>
      </c>
      <c r="F324" s="360"/>
    </row>
    <row r="325" spans="2:6">
      <c r="B325" s="350"/>
      <c r="C325" s="348" t="s">
        <v>710</v>
      </c>
      <c r="D325" s="358">
        <v>0</v>
      </c>
      <c r="E325" s="334">
        <f t="shared" si="31"/>
        <v>0</v>
      </c>
      <c r="F325" s="360"/>
    </row>
    <row r="326" spans="2:6">
      <c r="B326" s="350"/>
      <c r="C326" s="348" t="s">
        <v>712</v>
      </c>
      <c r="D326" s="358">
        <v>94.43</v>
      </c>
      <c r="E326" s="334">
        <f t="shared" si="31"/>
        <v>16997.400000000001</v>
      </c>
      <c r="F326" s="360"/>
    </row>
    <row r="327" spans="2:6">
      <c r="B327" s="350"/>
      <c r="C327" s="348" t="s">
        <v>726</v>
      </c>
      <c r="D327" s="376">
        <f>(D326*50%)-(D311*D312)</f>
        <v>47.215000000000003</v>
      </c>
      <c r="E327" s="334">
        <f t="shared" si="31"/>
        <v>8498.7000000000007</v>
      </c>
      <c r="F327" s="360"/>
    </row>
    <row r="328" spans="2:6">
      <c r="B328" s="350"/>
      <c r="C328" s="348" t="s">
        <v>715</v>
      </c>
      <c r="D328" s="377">
        <v>0</v>
      </c>
      <c r="E328" s="334">
        <f t="shared" si="31"/>
        <v>0</v>
      </c>
      <c r="F328" s="360"/>
    </row>
    <row r="329" spans="2:6">
      <c r="B329" s="350"/>
      <c r="C329" s="348" t="s">
        <v>742</v>
      </c>
      <c r="D329" s="358">
        <v>0</v>
      </c>
      <c r="E329" s="334">
        <f t="shared" si="31"/>
        <v>0</v>
      </c>
      <c r="F329" s="360" t="s">
        <v>750</v>
      </c>
    </row>
    <row r="330" spans="2:6">
      <c r="B330" s="350"/>
      <c r="C330" s="348" t="s">
        <v>745</v>
      </c>
      <c r="D330" s="358">
        <v>0</v>
      </c>
      <c r="E330" s="334">
        <f t="shared" si="31"/>
        <v>0</v>
      </c>
      <c r="F330" s="360" t="s">
        <v>752</v>
      </c>
    </row>
    <row r="331" spans="2:6">
      <c r="B331" s="350"/>
      <c r="C331" s="355" t="s">
        <v>727</v>
      </c>
      <c r="D331" s="378">
        <f>SUM(D327:D330)</f>
        <v>47.215000000000003</v>
      </c>
      <c r="E331" s="337">
        <f t="shared" si="31"/>
        <v>8498.7000000000007</v>
      </c>
      <c r="F331" s="374"/>
    </row>
    <row r="332" spans="2:6">
      <c r="B332" s="350"/>
      <c r="C332" s="348" t="s">
        <v>717</v>
      </c>
      <c r="D332" s="358">
        <v>7.13</v>
      </c>
      <c r="E332" s="334">
        <f>D332*180</f>
        <v>1283.4000000000001</v>
      </c>
      <c r="F332" s="360"/>
    </row>
    <row r="333" spans="2:6">
      <c r="B333" s="353"/>
      <c r="C333" s="354" t="s">
        <v>728</v>
      </c>
      <c r="D333" s="378">
        <f>D331-D332</f>
        <v>40.085000000000001</v>
      </c>
      <c r="E333" s="337">
        <f t="shared" ref="E333" si="32">D333*180</f>
        <v>7215.3</v>
      </c>
      <c r="F333" s="360"/>
    </row>
    <row r="578" spans="8:8">
      <c r="H578" s="379"/>
    </row>
  </sheetData>
  <mergeCells count="55">
    <mergeCell ref="B320:B333"/>
    <mergeCell ref="B284:B297"/>
    <mergeCell ref="B300:B301"/>
    <mergeCell ref="C300:F300"/>
    <mergeCell ref="B302:B315"/>
    <mergeCell ref="B318:B319"/>
    <mergeCell ref="C318:F318"/>
    <mergeCell ref="B248:B261"/>
    <mergeCell ref="B264:B265"/>
    <mergeCell ref="C264:F264"/>
    <mergeCell ref="B266:B279"/>
    <mergeCell ref="B282:B283"/>
    <mergeCell ref="C282:F282"/>
    <mergeCell ref="B211:B224"/>
    <mergeCell ref="B228:B229"/>
    <mergeCell ref="C228:F228"/>
    <mergeCell ref="B230:B243"/>
    <mergeCell ref="B246:B247"/>
    <mergeCell ref="C246:F246"/>
    <mergeCell ref="B173:B186"/>
    <mergeCell ref="B190:B191"/>
    <mergeCell ref="C190:F190"/>
    <mergeCell ref="B192:B205"/>
    <mergeCell ref="B209:B210"/>
    <mergeCell ref="C209:F209"/>
    <mergeCell ref="B135:B148"/>
    <mergeCell ref="B152:B153"/>
    <mergeCell ref="C152:F152"/>
    <mergeCell ref="B154:B167"/>
    <mergeCell ref="B171:B172"/>
    <mergeCell ref="C171:F171"/>
    <mergeCell ref="B97:B110"/>
    <mergeCell ref="B114:B115"/>
    <mergeCell ref="C114:F114"/>
    <mergeCell ref="B116:B129"/>
    <mergeCell ref="B133:B134"/>
    <mergeCell ref="C133:F133"/>
    <mergeCell ref="B62:B73"/>
    <mergeCell ref="B77:B78"/>
    <mergeCell ref="C77:F77"/>
    <mergeCell ref="B79:B91"/>
    <mergeCell ref="B95:B96"/>
    <mergeCell ref="C95:F95"/>
    <mergeCell ref="B28:B39"/>
    <mergeCell ref="B43:B44"/>
    <mergeCell ref="C43:F43"/>
    <mergeCell ref="B45:B56"/>
    <mergeCell ref="B60:B61"/>
    <mergeCell ref="C60:F60"/>
    <mergeCell ref="B12:C12"/>
    <mergeCell ref="B13:C13"/>
    <mergeCell ref="B14:C14"/>
    <mergeCell ref="B15:C15"/>
    <mergeCell ref="B26:B27"/>
    <mergeCell ref="C26:F26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1:H331"/>
  <sheetViews>
    <sheetView zoomScale="72" zoomScaleNormal="72" workbookViewId="0">
      <pane ySplit="24" topLeftCell="A112" activePane="bottomLeft" state="frozen"/>
      <selection activeCell="D23" sqref="D23"/>
      <selection pane="bottomLeft" activeCell="D23" sqref="D23"/>
    </sheetView>
  </sheetViews>
  <sheetFormatPr defaultRowHeight="17.399999999999999"/>
  <cols>
    <col min="1" max="1" width="8.796875" style="79"/>
    <col min="2" max="2" width="18.296875" style="79" customWidth="1"/>
    <col min="3" max="3" width="15.19921875" style="79" customWidth="1"/>
    <col min="4" max="4" width="17.69921875" style="79" customWidth="1"/>
    <col min="5" max="5" width="15.09765625" style="79" customWidth="1"/>
    <col min="6" max="6" width="12.796875" style="79" customWidth="1"/>
    <col min="7" max="16384" width="8.796875" style="79"/>
  </cols>
  <sheetData>
    <row r="1" spans="2:8" ht="18" thickBot="1">
      <c r="B1" s="245" t="s">
        <v>762</v>
      </c>
      <c r="C1" s="2" t="s">
        <v>763</v>
      </c>
    </row>
    <row r="2" spans="2:8">
      <c r="B2" s="247" t="s">
        <v>764</v>
      </c>
      <c r="C2" s="248">
        <v>1</v>
      </c>
      <c r="D2" s="248" t="s">
        <v>765</v>
      </c>
      <c r="E2" s="279"/>
      <c r="F2" s="279"/>
      <c r="G2" s="279"/>
      <c r="H2" s="280" t="s">
        <v>423</v>
      </c>
    </row>
    <row r="3" spans="2:8">
      <c r="B3" s="281" t="s">
        <v>424</v>
      </c>
      <c r="C3" s="282" t="s">
        <v>425</v>
      </c>
      <c r="D3" s="282" t="s">
        <v>673</v>
      </c>
      <c r="E3" s="282" t="s">
        <v>427</v>
      </c>
      <c r="F3" s="282" t="s">
        <v>766</v>
      </c>
      <c r="G3" s="363"/>
      <c r="H3" s="364"/>
    </row>
    <row r="4" spans="2:8" hidden="1">
      <c r="B4" s="256" t="s">
        <v>767</v>
      </c>
      <c r="C4" s="283"/>
      <c r="D4" s="283"/>
      <c r="E4" s="283"/>
      <c r="F4" s="296"/>
      <c r="G4" s="363"/>
      <c r="H4" s="364"/>
    </row>
    <row r="5" spans="2:8" hidden="1">
      <c r="B5" s="256" t="s">
        <v>768</v>
      </c>
      <c r="C5" s="283"/>
      <c r="D5" s="283"/>
      <c r="E5" s="283"/>
      <c r="F5" s="296"/>
      <c r="G5" s="363"/>
      <c r="H5" s="364"/>
    </row>
    <row r="6" spans="2:8" hidden="1">
      <c r="B6" s="256" t="s">
        <v>769</v>
      </c>
      <c r="C6" s="283"/>
      <c r="D6" s="283"/>
      <c r="E6" s="283"/>
      <c r="F6" s="296"/>
      <c r="G6" s="363"/>
      <c r="H6" s="364"/>
    </row>
    <row r="7" spans="2:8">
      <c r="B7" s="281" t="s">
        <v>0</v>
      </c>
      <c r="C7" s="286">
        <f>D55</f>
        <v>0</v>
      </c>
      <c r="D7" s="286">
        <f>D56</f>
        <v>0</v>
      </c>
      <c r="E7" s="286">
        <f>D57</f>
        <v>0</v>
      </c>
      <c r="F7" s="296"/>
      <c r="G7" s="363"/>
      <c r="H7" s="364"/>
    </row>
    <row r="8" spans="2:8">
      <c r="B8" s="287"/>
      <c r="C8" s="288"/>
      <c r="D8" s="288"/>
      <c r="E8" s="288"/>
      <c r="F8" s="288"/>
      <c r="G8" s="288"/>
      <c r="H8" s="289"/>
    </row>
    <row r="9" spans="2:8">
      <c r="B9" s="290"/>
      <c r="C9" s="288"/>
      <c r="D9" s="291" t="s">
        <v>770</v>
      </c>
      <c r="E9" s="288"/>
      <c r="F9" s="288"/>
      <c r="G9" s="288"/>
      <c r="H9" s="289"/>
    </row>
    <row r="10" spans="2:8">
      <c r="B10" s="365" t="s">
        <v>771</v>
      </c>
      <c r="C10" s="294"/>
      <c r="D10" s="294" t="s">
        <v>772</v>
      </c>
      <c r="E10" s="288"/>
      <c r="F10" s="288"/>
      <c r="G10" s="288"/>
      <c r="H10" s="289"/>
    </row>
    <row r="11" spans="2:8">
      <c r="B11" s="366" t="s">
        <v>773</v>
      </c>
      <c r="C11" s="296" t="s">
        <v>774</v>
      </c>
      <c r="D11" s="297">
        <f>C7</f>
        <v>0</v>
      </c>
      <c r="E11" s="288"/>
      <c r="F11" s="288"/>
      <c r="G11" s="288"/>
      <c r="H11" s="289"/>
    </row>
    <row r="12" spans="2:8">
      <c r="B12" s="299" t="s">
        <v>775</v>
      </c>
      <c r="C12" s="300"/>
      <c r="D12" s="301">
        <f>D7</f>
        <v>0</v>
      </c>
      <c r="E12" s="367"/>
      <c r="F12" s="288"/>
      <c r="H12" s="289"/>
    </row>
    <row r="13" spans="2:8">
      <c r="B13" s="299" t="s">
        <v>776</v>
      </c>
      <c r="C13" s="300"/>
      <c r="D13" s="301">
        <f>E7</f>
        <v>0</v>
      </c>
      <c r="E13" s="288"/>
      <c r="F13" s="288"/>
      <c r="G13" s="288"/>
      <c r="H13" s="289"/>
    </row>
    <row r="14" spans="2:8">
      <c r="B14" s="299" t="s">
        <v>777</v>
      </c>
      <c r="C14" s="300"/>
      <c r="D14" s="301">
        <f>D13</f>
        <v>0</v>
      </c>
      <c r="E14" s="288"/>
      <c r="F14" s="288"/>
      <c r="G14" s="288"/>
      <c r="H14" s="289"/>
    </row>
    <row r="15" spans="2:8">
      <c r="B15" s="299" t="s">
        <v>778</v>
      </c>
      <c r="C15" s="300"/>
      <c r="D15" s="302">
        <f>D14*E18</f>
        <v>0</v>
      </c>
      <c r="E15" s="288"/>
      <c r="F15" s="288"/>
      <c r="G15" s="288"/>
      <c r="H15" s="289"/>
    </row>
    <row r="16" spans="2:8">
      <c r="B16" s="303" t="s">
        <v>779</v>
      </c>
      <c r="C16" s="368"/>
      <c r="D16" s="369"/>
      <c r="E16" s="288"/>
      <c r="F16" s="288"/>
      <c r="G16" s="288"/>
      <c r="H16" s="289"/>
    </row>
    <row r="17" spans="2:8">
      <c r="B17" s="290"/>
      <c r="C17" s="288"/>
      <c r="D17" s="288"/>
      <c r="E17" s="288"/>
      <c r="F17" s="288"/>
      <c r="G17" s="288"/>
      <c r="H17" s="289"/>
    </row>
    <row r="18" spans="2:8">
      <c r="B18" s="380" t="s">
        <v>780</v>
      </c>
      <c r="C18" s="288"/>
      <c r="D18" s="288"/>
      <c r="E18" s="381">
        <v>182.5</v>
      </c>
      <c r="F18" s="288"/>
      <c r="G18" s="288"/>
      <c r="H18" s="289"/>
    </row>
    <row r="19" spans="2:8" ht="18" thickBot="1">
      <c r="B19" s="306" t="s">
        <v>781</v>
      </c>
      <c r="C19" s="307"/>
      <c r="D19" s="307"/>
      <c r="E19" s="307"/>
      <c r="F19" s="307"/>
      <c r="G19" s="307"/>
      <c r="H19" s="308"/>
    </row>
    <row r="20" spans="2:8">
      <c r="B20" s="309"/>
    </row>
    <row r="21" spans="2:8">
      <c r="B21" s="310" t="s">
        <v>782</v>
      </c>
    </row>
    <row r="22" spans="2:8">
      <c r="B22" s="311" t="s">
        <v>783</v>
      </c>
      <c r="C22" s="312" t="s">
        <v>784</v>
      </c>
      <c r="D22" s="311"/>
    </row>
    <row r="23" spans="2:8" ht="16.5" customHeight="1">
      <c r="B23" s="311" t="s">
        <v>785</v>
      </c>
      <c r="C23" s="313">
        <v>10000000</v>
      </c>
      <c r="D23" s="314"/>
    </row>
    <row r="24" spans="2:8">
      <c r="B24" s="311" t="s">
        <v>786</v>
      </c>
      <c r="C24" s="315"/>
      <c r="D24" s="314"/>
    </row>
    <row r="25" spans="2:8" ht="25.2">
      <c r="B25" s="316" t="s">
        <v>787</v>
      </c>
      <c r="C25" s="317"/>
      <c r="D25" s="317"/>
      <c r="E25" s="318"/>
      <c r="F25" s="317"/>
    </row>
    <row r="26" spans="2:8">
      <c r="B26" s="319" t="s">
        <v>788</v>
      </c>
      <c r="C26" s="320"/>
      <c r="D26" s="321" t="s">
        <v>789</v>
      </c>
      <c r="E26" s="322"/>
      <c r="F26" s="323"/>
    </row>
    <row r="27" spans="2:8">
      <c r="B27" s="324"/>
      <c r="C27" s="325"/>
      <c r="D27" s="326" t="s">
        <v>790</v>
      </c>
      <c r="E27" s="327" t="s">
        <v>791</v>
      </c>
      <c r="F27" s="326" t="s">
        <v>792</v>
      </c>
    </row>
    <row r="28" spans="2:8">
      <c r="B28" s="328" t="s">
        <v>793</v>
      </c>
      <c r="C28" s="296" t="s">
        <v>794</v>
      </c>
      <c r="D28" s="382" t="s">
        <v>795</v>
      </c>
      <c r="E28" s="383" t="s">
        <v>795</v>
      </c>
      <c r="F28" s="384" t="s">
        <v>796</v>
      </c>
    </row>
    <row r="29" spans="2:8">
      <c r="B29" s="332"/>
      <c r="C29" s="296" t="s">
        <v>797</v>
      </c>
      <c r="D29" s="385" t="s">
        <v>795</v>
      </c>
      <c r="E29" s="386" t="s">
        <v>795</v>
      </c>
      <c r="F29" s="384"/>
    </row>
    <row r="30" spans="2:8">
      <c r="B30" s="332"/>
      <c r="C30" s="296" t="s">
        <v>798</v>
      </c>
      <c r="D30" s="385" t="s">
        <v>795</v>
      </c>
      <c r="E30" s="386" t="s">
        <v>795</v>
      </c>
      <c r="F30" s="384"/>
    </row>
    <row r="31" spans="2:8">
      <c r="B31" s="332"/>
      <c r="C31" s="339" t="s">
        <v>799</v>
      </c>
      <c r="D31" s="387">
        <v>60000</v>
      </c>
      <c r="E31" s="388">
        <f t="shared" ref="E31:E33" si="0">D31*180</f>
        <v>10800000</v>
      </c>
      <c r="F31" s="389"/>
    </row>
    <row r="32" spans="2:8">
      <c r="B32" s="332"/>
      <c r="C32" s="296" t="s">
        <v>800</v>
      </c>
      <c r="D32" s="390">
        <f>ROUND(D31/(1+0.06)*16.72%,2)</f>
        <v>9464.15</v>
      </c>
      <c r="E32" s="391">
        <f t="shared" si="0"/>
        <v>1703547</v>
      </c>
      <c r="F32" s="384"/>
    </row>
    <row r="33" spans="2:6">
      <c r="B33" s="332"/>
      <c r="C33" s="339" t="s">
        <v>801</v>
      </c>
      <c r="D33" s="387">
        <f>D31-D32</f>
        <v>50535.85</v>
      </c>
      <c r="E33" s="388">
        <f t="shared" si="0"/>
        <v>9096453</v>
      </c>
      <c r="F33" s="389"/>
    </row>
    <row r="34" spans="2:6">
      <c r="B34" s="347" t="s">
        <v>802</v>
      </c>
      <c r="C34" s="348" t="s">
        <v>803</v>
      </c>
      <c r="D34" s="392"/>
      <c r="E34" s="393"/>
      <c r="F34" s="394"/>
    </row>
    <row r="35" spans="2:6">
      <c r="B35" s="350"/>
      <c r="C35" s="348" t="s">
        <v>804</v>
      </c>
      <c r="D35" s="395"/>
      <c r="E35" s="393"/>
      <c r="F35" s="394"/>
    </row>
    <row r="36" spans="2:6">
      <c r="B36" s="350"/>
      <c r="C36" s="348" t="s">
        <v>805</v>
      </c>
      <c r="D36" s="392"/>
      <c r="E36" s="393"/>
      <c r="F36" s="394"/>
    </row>
    <row r="37" spans="2:6">
      <c r="B37" s="350"/>
      <c r="C37" s="348" t="s">
        <v>806</v>
      </c>
      <c r="D37" s="392"/>
      <c r="E37" s="393"/>
      <c r="F37" s="394"/>
    </row>
    <row r="38" spans="2:6">
      <c r="B38" s="350"/>
      <c r="C38" s="348" t="s">
        <v>807</v>
      </c>
      <c r="D38" s="392"/>
      <c r="E38" s="393"/>
      <c r="F38" s="394"/>
    </row>
    <row r="39" spans="2:6">
      <c r="B39" s="350"/>
      <c r="C39" s="348" t="s">
        <v>808</v>
      </c>
      <c r="D39" s="392"/>
      <c r="E39" s="393"/>
      <c r="F39" s="394"/>
    </row>
    <row r="40" spans="2:6">
      <c r="B40" s="350"/>
      <c r="C40" s="348" t="s">
        <v>809</v>
      </c>
      <c r="D40" s="392"/>
      <c r="E40" s="393"/>
      <c r="F40" s="394"/>
    </row>
    <row r="41" spans="2:6">
      <c r="B41" s="350"/>
      <c r="C41" s="348" t="s">
        <v>810</v>
      </c>
      <c r="D41" s="396"/>
      <c r="E41" s="393"/>
      <c r="F41" s="394"/>
    </row>
    <row r="42" spans="2:6">
      <c r="B42" s="350"/>
      <c r="C42" s="348" t="s">
        <v>811</v>
      </c>
      <c r="D42" s="397"/>
      <c r="E42" s="393"/>
      <c r="F42" s="394"/>
    </row>
    <row r="43" spans="2:6">
      <c r="B43" s="350"/>
      <c r="C43" s="348" t="s">
        <v>812</v>
      </c>
      <c r="D43" s="395"/>
      <c r="E43" s="393"/>
      <c r="F43" s="394"/>
    </row>
    <row r="44" spans="2:6">
      <c r="B44" s="350"/>
      <c r="C44" s="348" t="s">
        <v>813</v>
      </c>
      <c r="D44" s="395"/>
      <c r="E44" s="393"/>
      <c r="F44" s="394"/>
    </row>
    <row r="45" spans="2:6">
      <c r="B45" s="350"/>
      <c r="C45" s="355" t="s">
        <v>814</v>
      </c>
      <c r="D45" s="398"/>
      <c r="E45" s="399"/>
      <c r="F45" s="400"/>
    </row>
    <row r="46" spans="2:6">
      <c r="B46" s="350"/>
      <c r="C46" s="348" t="s">
        <v>800</v>
      </c>
      <c r="D46" s="392"/>
      <c r="E46" s="393"/>
      <c r="F46" s="394"/>
    </row>
    <row r="47" spans="2:6">
      <c r="B47" s="353"/>
      <c r="C47" s="354" t="s">
        <v>815</v>
      </c>
      <c r="D47" s="398"/>
      <c r="E47" s="399"/>
      <c r="F47" s="394"/>
    </row>
    <row r="49" spans="2:6" ht="25.2">
      <c r="B49" s="316" t="s">
        <v>816</v>
      </c>
    </row>
    <row r="50" spans="2:6">
      <c r="B50" s="319" t="s">
        <v>788</v>
      </c>
      <c r="C50" s="320"/>
      <c r="D50" s="321" t="s">
        <v>789</v>
      </c>
      <c r="E50" s="322"/>
      <c r="F50" s="323"/>
    </row>
    <row r="51" spans="2:6">
      <c r="B51" s="324"/>
      <c r="C51" s="325"/>
      <c r="D51" s="326" t="s">
        <v>790</v>
      </c>
      <c r="E51" s="327" t="s">
        <v>791</v>
      </c>
      <c r="F51" s="326" t="s">
        <v>792</v>
      </c>
    </row>
    <row r="52" spans="2:6">
      <c r="B52" s="328" t="s">
        <v>793</v>
      </c>
      <c r="C52" s="296" t="s">
        <v>794</v>
      </c>
      <c r="D52" s="382" t="s">
        <v>795</v>
      </c>
      <c r="E52" s="383" t="s">
        <v>795</v>
      </c>
      <c r="F52" s="384" t="s">
        <v>796</v>
      </c>
    </row>
    <row r="53" spans="2:6">
      <c r="B53" s="332"/>
      <c r="C53" s="296" t="s">
        <v>797</v>
      </c>
      <c r="D53" s="385" t="s">
        <v>795</v>
      </c>
      <c r="E53" s="386" t="s">
        <v>795</v>
      </c>
      <c r="F53" s="384"/>
    </row>
    <row r="54" spans="2:6">
      <c r="B54" s="332"/>
      <c r="C54" s="296" t="s">
        <v>798</v>
      </c>
      <c r="D54" s="385" t="s">
        <v>795</v>
      </c>
      <c r="E54" s="386" t="s">
        <v>795</v>
      </c>
      <c r="F54" s="384"/>
    </row>
    <row r="55" spans="2:6">
      <c r="B55" s="332"/>
      <c r="C55" s="339" t="s">
        <v>799</v>
      </c>
      <c r="D55" s="387">
        <v>0</v>
      </c>
      <c r="E55" s="388">
        <f t="shared" ref="E55:E57" si="1">D55*180</f>
        <v>0</v>
      </c>
      <c r="F55" s="389"/>
    </row>
    <row r="56" spans="2:6">
      <c r="B56" s="332"/>
      <c r="C56" s="296" t="s">
        <v>817</v>
      </c>
      <c r="D56" s="390">
        <f>ROUND(D55/(1+0.06)*16.72%,2)</f>
        <v>0</v>
      </c>
      <c r="E56" s="391">
        <f t="shared" si="1"/>
        <v>0</v>
      </c>
      <c r="F56" s="384"/>
    </row>
    <row r="57" spans="2:6">
      <c r="B57" s="332"/>
      <c r="C57" s="339" t="s">
        <v>818</v>
      </c>
      <c r="D57" s="387">
        <f>D55-D56</f>
        <v>0</v>
      </c>
      <c r="E57" s="388">
        <f t="shared" si="1"/>
        <v>0</v>
      </c>
      <c r="F57" s="389"/>
    </row>
    <row r="58" spans="2:6">
      <c r="B58" s="347" t="s">
        <v>819</v>
      </c>
      <c r="C58" s="348" t="s">
        <v>820</v>
      </c>
      <c r="D58" s="392"/>
      <c r="E58" s="393"/>
      <c r="F58" s="394"/>
    </row>
    <row r="59" spans="2:6">
      <c r="B59" s="350"/>
      <c r="C59" s="348" t="s">
        <v>821</v>
      </c>
      <c r="D59" s="395"/>
      <c r="E59" s="393"/>
      <c r="F59" s="394"/>
    </row>
    <row r="60" spans="2:6">
      <c r="B60" s="350"/>
      <c r="C60" s="348" t="s">
        <v>474</v>
      </c>
      <c r="D60" s="392"/>
      <c r="E60" s="393"/>
      <c r="F60" s="394"/>
    </row>
    <row r="61" spans="2:6">
      <c r="B61" s="350"/>
      <c r="C61" s="348" t="s">
        <v>822</v>
      </c>
      <c r="D61" s="392"/>
      <c r="E61" s="393"/>
      <c r="F61" s="394"/>
    </row>
    <row r="62" spans="2:6">
      <c r="B62" s="350"/>
      <c r="C62" s="348" t="s">
        <v>476</v>
      </c>
      <c r="D62" s="392"/>
      <c r="E62" s="393"/>
      <c r="F62" s="394"/>
    </row>
    <row r="63" spans="2:6">
      <c r="B63" s="350"/>
      <c r="C63" s="348" t="s">
        <v>477</v>
      </c>
      <c r="D63" s="392"/>
      <c r="E63" s="393"/>
      <c r="F63" s="394"/>
    </row>
    <row r="64" spans="2:6">
      <c r="B64" s="350"/>
      <c r="C64" s="348" t="s">
        <v>823</v>
      </c>
      <c r="D64" s="392"/>
      <c r="E64" s="393"/>
      <c r="F64" s="394"/>
    </row>
    <row r="65" spans="2:6">
      <c r="B65" s="350"/>
      <c r="C65" s="348" t="s">
        <v>479</v>
      </c>
      <c r="D65" s="396"/>
      <c r="E65" s="393"/>
      <c r="F65" s="394"/>
    </row>
    <row r="66" spans="2:6">
      <c r="B66" s="350"/>
      <c r="C66" s="348" t="s">
        <v>480</v>
      </c>
      <c r="D66" s="397"/>
      <c r="E66" s="393"/>
      <c r="F66" s="394"/>
    </row>
    <row r="67" spans="2:6">
      <c r="B67" s="350"/>
      <c r="C67" s="348" t="s">
        <v>824</v>
      </c>
      <c r="D67" s="395"/>
      <c r="E67" s="393"/>
      <c r="F67" s="394"/>
    </row>
    <row r="68" spans="2:6">
      <c r="B68" s="350"/>
      <c r="C68" s="348" t="s">
        <v>743</v>
      </c>
      <c r="D68" s="395"/>
      <c r="E68" s="393"/>
      <c r="F68" s="394"/>
    </row>
    <row r="69" spans="2:6">
      <c r="B69" s="350"/>
      <c r="C69" s="355" t="s">
        <v>481</v>
      </c>
      <c r="D69" s="398"/>
      <c r="E69" s="399"/>
      <c r="F69" s="400"/>
    </row>
    <row r="70" spans="2:6">
      <c r="B70" s="350"/>
      <c r="C70" s="348" t="s">
        <v>817</v>
      </c>
      <c r="D70" s="392"/>
      <c r="E70" s="393"/>
      <c r="F70" s="394"/>
    </row>
    <row r="71" spans="2:6">
      <c r="B71" s="353"/>
      <c r="C71" s="354" t="s">
        <v>825</v>
      </c>
      <c r="D71" s="398"/>
      <c r="E71" s="399"/>
      <c r="F71" s="394"/>
    </row>
    <row r="73" spans="2:6" ht="25.2">
      <c r="B73" s="316" t="s">
        <v>826</v>
      </c>
    </row>
    <row r="74" spans="2:6">
      <c r="B74" s="319" t="s">
        <v>827</v>
      </c>
      <c r="C74" s="320"/>
      <c r="D74" s="321" t="s">
        <v>828</v>
      </c>
      <c r="E74" s="322"/>
      <c r="F74" s="323"/>
    </row>
    <row r="75" spans="2:6">
      <c r="B75" s="324"/>
      <c r="C75" s="325"/>
      <c r="D75" s="326" t="s">
        <v>829</v>
      </c>
      <c r="E75" s="327" t="s">
        <v>756</v>
      </c>
      <c r="F75" s="326" t="s">
        <v>404</v>
      </c>
    </row>
    <row r="76" spans="2:6">
      <c r="B76" s="328" t="s">
        <v>830</v>
      </c>
      <c r="C76" s="296" t="s">
        <v>831</v>
      </c>
      <c r="D76" s="382" t="s">
        <v>832</v>
      </c>
      <c r="E76" s="383" t="s">
        <v>832</v>
      </c>
      <c r="F76" s="384" t="s">
        <v>833</v>
      </c>
    </row>
    <row r="77" spans="2:6">
      <c r="B77" s="332"/>
      <c r="C77" s="296" t="s">
        <v>834</v>
      </c>
      <c r="D77" s="385" t="s">
        <v>832</v>
      </c>
      <c r="E77" s="386" t="s">
        <v>832</v>
      </c>
      <c r="F77" s="384"/>
    </row>
    <row r="78" spans="2:6">
      <c r="B78" s="332"/>
      <c r="C78" s="296" t="s">
        <v>835</v>
      </c>
      <c r="D78" s="385" t="s">
        <v>832</v>
      </c>
      <c r="E78" s="386" t="s">
        <v>832</v>
      </c>
      <c r="F78" s="384"/>
    </row>
    <row r="79" spans="2:6">
      <c r="B79" s="332"/>
      <c r="C79" s="339" t="s">
        <v>836</v>
      </c>
      <c r="D79" s="387">
        <v>0</v>
      </c>
      <c r="E79" s="388">
        <f t="shared" ref="E79:E81" si="2">D79*180</f>
        <v>0</v>
      </c>
      <c r="F79" s="389"/>
    </row>
    <row r="80" spans="2:6">
      <c r="B80" s="332"/>
      <c r="C80" s="296" t="s">
        <v>817</v>
      </c>
      <c r="D80" s="390">
        <f>ROUND(D79/(1+0.06)*16.72%,2)</f>
        <v>0</v>
      </c>
      <c r="E80" s="391">
        <f t="shared" si="2"/>
        <v>0</v>
      </c>
      <c r="F80" s="384"/>
    </row>
    <row r="81" spans="2:6">
      <c r="B81" s="332"/>
      <c r="C81" s="339" t="s">
        <v>818</v>
      </c>
      <c r="D81" s="387">
        <f>D79-D80</f>
        <v>0</v>
      </c>
      <c r="E81" s="388">
        <f t="shared" si="2"/>
        <v>0</v>
      </c>
      <c r="F81" s="389"/>
    </row>
    <row r="82" spans="2:6">
      <c r="B82" s="347" t="s">
        <v>819</v>
      </c>
      <c r="C82" s="348" t="s">
        <v>820</v>
      </c>
      <c r="D82" s="392"/>
      <c r="E82" s="393"/>
      <c r="F82" s="394"/>
    </row>
    <row r="83" spans="2:6">
      <c r="B83" s="350"/>
      <c r="C83" s="348" t="s">
        <v>821</v>
      </c>
      <c r="D83" s="395"/>
      <c r="E83" s="393"/>
      <c r="F83" s="394"/>
    </row>
    <row r="84" spans="2:6">
      <c r="B84" s="350"/>
      <c r="C84" s="348" t="s">
        <v>474</v>
      </c>
      <c r="D84" s="392"/>
      <c r="E84" s="393"/>
      <c r="F84" s="394"/>
    </row>
    <row r="85" spans="2:6">
      <c r="B85" s="350"/>
      <c r="C85" s="348" t="s">
        <v>822</v>
      </c>
      <c r="D85" s="392"/>
      <c r="E85" s="393"/>
      <c r="F85" s="394"/>
    </row>
    <row r="86" spans="2:6">
      <c r="B86" s="350"/>
      <c r="C86" s="348" t="s">
        <v>476</v>
      </c>
      <c r="D86" s="392"/>
      <c r="E86" s="393"/>
      <c r="F86" s="394"/>
    </row>
    <row r="87" spans="2:6">
      <c r="B87" s="350"/>
      <c r="C87" s="348" t="s">
        <v>477</v>
      </c>
      <c r="D87" s="392"/>
      <c r="E87" s="393"/>
      <c r="F87" s="394"/>
    </row>
    <row r="88" spans="2:6">
      <c r="B88" s="350"/>
      <c r="C88" s="348" t="s">
        <v>823</v>
      </c>
      <c r="D88" s="392"/>
      <c r="E88" s="393"/>
      <c r="F88" s="394"/>
    </row>
    <row r="89" spans="2:6">
      <c r="B89" s="350"/>
      <c r="C89" s="348" t="s">
        <v>479</v>
      </c>
      <c r="D89" s="396"/>
      <c r="E89" s="393"/>
      <c r="F89" s="394"/>
    </row>
    <row r="90" spans="2:6">
      <c r="B90" s="350"/>
      <c r="C90" s="348" t="s">
        <v>480</v>
      </c>
      <c r="D90" s="397"/>
      <c r="E90" s="393"/>
      <c r="F90" s="394"/>
    </row>
    <row r="91" spans="2:6">
      <c r="B91" s="350"/>
      <c r="C91" s="348" t="s">
        <v>824</v>
      </c>
      <c r="D91" s="395"/>
      <c r="E91" s="393"/>
      <c r="F91" s="394"/>
    </row>
    <row r="92" spans="2:6">
      <c r="B92" s="350"/>
      <c r="C92" s="348" t="s">
        <v>743</v>
      </c>
      <c r="D92" s="395"/>
      <c r="E92" s="393"/>
      <c r="F92" s="394"/>
    </row>
    <row r="93" spans="2:6">
      <c r="B93" s="350"/>
      <c r="C93" s="355" t="s">
        <v>481</v>
      </c>
      <c r="D93" s="398"/>
      <c r="E93" s="399"/>
      <c r="F93" s="400"/>
    </row>
    <row r="94" spans="2:6">
      <c r="B94" s="350"/>
      <c r="C94" s="348" t="s">
        <v>817</v>
      </c>
      <c r="D94" s="392"/>
      <c r="E94" s="393"/>
      <c r="F94" s="394"/>
    </row>
    <row r="95" spans="2:6">
      <c r="B95" s="353"/>
      <c r="C95" s="354" t="s">
        <v>825</v>
      </c>
      <c r="D95" s="398"/>
      <c r="E95" s="399"/>
      <c r="F95" s="394"/>
    </row>
    <row r="97" spans="2:6" ht="25.2">
      <c r="B97" s="316" t="s">
        <v>760</v>
      </c>
    </row>
    <row r="98" spans="2:6">
      <c r="B98" s="319" t="s">
        <v>827</v>
      </c>
      <c r="C98" s="320"/>
      <c r="D98" s="321" t="s">
        <v>828</v>
      </c>
      <c r="E98" s="322"/>
      <c r="F98" s="323"/>
    </row>
    <row r="99" spans="2:6">
      <c r="B99" s="324"/>
      <c r="C99" s="325"/>
      <c r="D99" s="326" t="s">
        <v>829</v>
      </c>
      <c r="E99" s="327" t="s">
        <v>756</v>
      </c>
      <c r="F99" s="326" t="s">
        <v>404</v>
      </c>
    </row>
    <row r="100" spans="2:6">
      <c r="B100" s="328" t="s">
        <v>830</v>
      </c>
      <c r="C100" s="296" t="s">
        <v>831</v>
      </c>
      <c r="D100" s="382" t="s">
        <v>832</v>
      </c>
      <c r="E100" s="383" t="s">
        <v>832</v>
      </c>
      <c r="F100" s="384" t="s">
        <v>833</v>
      </c>
    </row>
    <row r="101" spans="2:6">
      <c r="B101" s="332"/>
      <c r="C101" s="296" t="s">
        <v>834</v>
      </c>
      <c r="D101" s="385" t="s">
        <v>832</v>
      </c>
      <c r="E101" s="386" t="s">
        <v>832</v>
      </c>
      <c r="F101" s="384"/>
    </row>
    <row r="102" spans="2:6">
      <c r="B102" s="332"/>
      <c r="C102" s="296" t="s">
        <v>835</v>
      </c>
      <c r="D102" s="385" t="s">
        <v>832</v>
      </c>
      <c r="E102" s="386" t="s">
        <v>832</v>
      </c>
      <c r="F102" s="384"/>
    </row>
    <row r="103" spans="2:6">
      <c r="B103" s="332"/>
      <c r="C103" s="339" t="s">
        <v>836</v>
      </c>
      <c r="D103" s="387">
        <v>0</v>
      </c>
      <c r="E103" s="388">
        <f t="shared" ref="E103:E105" si="3">D103*180</f>
        <v>0</v>
      </c>
      <c r="F103" s="389"/>
    </row>
    <row r="104" spans="2:6">
      <c r="B104" s="332"/>
      <c r="C104" s="296" t="s">
        <v>817</v>
      </c>
      <c r="D104" s="390">
        <f>ROUND(D103/(1+0.06)*16.72%,2)</f>
        <v>0</v>
      </c>
      <c r="E104" s="391">
        <f t="shared" si="3"/>
        <v>0</v>
      </c>
      <c r="F104" s="384"/>
    </row>
    <row r="105" spans="2:6">
      <c r="B105" s="332"/>
      <c r="C105" s="339" t="s">
        <v>818</v>
      </c>
      <c r="D105" s="387">
        <f>D103-D104</f>
        <v>0</v>
      </c>
      <c r="E105" s="388">
        <f t="shared" si="3"/>
        <v>0</v>
      </c>
      <c r="F105" s="389"/>
    </row>
    <row r="106" spans="2:6">
      <c r="B106" s="347" t="s">
        <v>819</v>
      </c>
      <c r="C106" s="348" t="s">
        <v>820</v>
      </c>
      <c r="D106" s="392"/>
      <c r="E106" s="393"/>
      <c r="F106" s="394"/>
    </row>
    <row r="107" spans="2:6">
      <c r="B107" s="350"/>
      <c r="C107" s="348" t="s">
        <v>821</v>
      </c>
      <c r="D107" s="395"/>
      <c r="E107" s="393"/>
      <c r="F107" s="394"/>
    </row>
    <row r="108" spans="2:6">
      <c r="B108" s="350"/>
      <c r="C108" s="348" t="s">
        <v>474</v>
      </c>
      <c r="D108" s="392"/>
      <c r="E108" s="393"/>
      <c r="F108" s="394"/>
    </row>
    <row r="109" spans="2:6">
      <c r="B109" s="350"/>
      <c r="C109" s="348" t="s">
        <v>822</v>
      </c>
      <c r="D109" s="392"/>
      <c r="E109" s="393"/>
      <c r="F109" s="394"/>
    </row>
    <row r="110" spans="2:6">
      <c r="B110" s="350"/>
      <c r="C110" s="348" t="s">
        <v>476</v>
      </c>
      <c r="D110" s="392"/>
      <c r="E110" s="393"/>
      <c r="F110" s="394"/>
    </row>
    <row r="111" spans="2:6">
      <c r="B111" s="350"/>
      <c r="C111" s="348" t="s">
        <v>477</v>
      </c>
      <c r="D111" s="392"/>
      <c r="E111" s="393"/>
      <c r="F111" s="394"/>
    </row>
    <row r="112" spans="2:6">
      <c r="B112" s="350"/>
      <c r="C112" s="348" t="s">
        <v>823</v>
      </c>
      <c r="D112" s="392"/>
      <c r="E112" s="393"/>
      <c r="F112" s="394"/>
    </row>
    <row r="113" spans="2:6">
      <c r="B113" s="350"/>
      <c r="C113" s="348" t="s">
        <v>479</v>
      </c>
      <c r="D113" s="396"/>
      <c r="E113" s="393"/>
      <c r="F113" s="394"/>
    </row>
    <row r="114" spans="2:6">
      <c r="B114" s="350"/>
      <c r="C114" s="348" t="s">
        <v>480</v>
      </c>
      <c r="D114" s="397"/>
      <c r="E114" s="393"/>
      <c r="F114" s="394"/>
    </row>
    <row r="115" spans="2:6">
      <c r="B115" s="350"/>
      <c r="C115" s="348" t="s">
        <v>824</v>
      </c>
      <c r="D115" s="395"/>
      <c r="E115" s="393"/>
      <c r="F115" s="394"/>
    </row>
    <row r="116" spans="2:6">
      <c r="B116" s="350"/>
      <c r="C116" s="348" t="s">
        <v>743</v>
      </c>
      <c r="D116" s="395"/>
      <c r="E116" s="393"/>
      <c r="F116" s="394"/>
    </row>
    <row r="117" spans="2:6">
      <c r="B117" s="350"/>
      <c r="C117" s="355" t="s">
        <v>481</v>
      </c>
      <c r="D117" s="398"/>
      <c r="E117" s="399"/>
      <c r="F117" s="400"/>
    </row>
    <row r="118" spans="2:6">
      <c r="B118" s="350"/>
      <c r="C118" s="348" t="s">
        <v>817</v>
      </c>
      <c r="D118" s="392"/>
      <c r="E118" s="393"/>
      <c r="F118" s="394"/>
    </row>
    <row r="119" spans="2:6">
      <c r="B119" s="353"/>
      <c r="C119" s="354" t="s">
        <v>825</v>
      </c>
      <c r="D119" s="398"/>
      <c r="E119" s="399"/>
      <c r="F119" s="394"/>
    </row>
    <row r="121" spans="2:6" ht="25.2">
      <c r="B121" s="316" t="s">
        <v>761</v>
      </c>
    </row>
    <row r="122" spans="2:6">
      <c r="B122" s="319" t="s">
        <v>827</v>
      </c>
      <c r="C122" s="320"/>
      <c r="D122" s="321" t="s">
        <v>828</v>
      </c>
      <c r="E122" s="322"/>
      <c r="F122" s="323"/>
    </row>
    <row r="123" spans="2:6">
      <c r="B123" s="324"/>
      <c r="C123" s="325"/>
      <c r="D123" s="326" t="s">
        <v>829</v>
      </c>
      <c r="E123" s="327" t="s">
        <v>756</v>
      </c>
      <c r="F123" s="326" t="s">
        <v>404</v>
      </c>
    </row>
    <row r="124" spans="2:6">
      <c r="B124" s="328" t="s">
        <v>830</v>
      </c>
      <c r="C124" s="296" t="s">
        <v>831</v>
      </c>
      <c r="D124" s="382" t="s">
        <v>832</v>
      </c>
      <c r="E124" s="383" t="s">
        <v>832</v>
      </c>
      <c r="F124" s="384" t="s">
        <v>833</v>
      </c>
    </row>
    <row r="125" spans="2:6">
      <c r="B125" s="332"/>
      <c r="C125" s="296" t="s">
        <v>834</v>
      </c>
      <c r="D125" s="385" t="s">
        <v>832</v>
      </c>
      <c r="E125" s="386" t="s">
        <v>832</v>
      </c>
      <c r="F125" s="384"/>
    </row>
    <row r="126" spans="2:6">
      <c r="B126" s="332"/>
      <c r="C126" s="296" t="s">
        <v>835</v>
      </c>
      <c r="D126" s="385" t="s">
        <v>832</v>
      </c>
      <c r="E126" s="386" t="s">
        <v>832</v>
      </c>
      <c r="F126" s="384"/>
    </row>
    <row r="127" spans="2:6">
      <c r="B127" s="332"/>
      <c r="C127" s="339" t="s">
        <v>836</v>
      </c>
      <c r="D127" s="387">
        <v>0</v>
      </c>
      <c r="E127" s="388">
        <f t="shared" ref="E127:E129" si="4">D127*180</f>
        <v>0</v>
      </c>
      <c r="F127" s="389"/>
    </row>
    <row r="128" spans="2:6">
      <c r="B128" s="332"/>
      <c r="C128" s="296" t="s">
        <v>817</v>
      </c>
      <c r="D128" s="390">
        <f>ROUND(D127/(1+0.06)*16.72%,2)</f>
        <v>0</v>
      </c>
      <c r="E128" s="391">
        <f t="shared" si="4"/>
        <v>0</v>
      </c>
      <c r="F128" s="384"/>
    </row>
    <row r="129" spans="2:6">
      <c r="B129" s="332"/>
      <c r="C129" s="339" t="s">
        <v>818</v>
      </c>
      <c r="D129" s="387">
        <f>D127-D128</f>
        <v>0</v>
      </c>
      <c r="E129" s="388">
        <f t="shared" si="4"/>
        <v>0</v>
      </c>
      <c r="F129" s="389"/>
    </row>
    <row r="130" spans="2:6">
      <c r="B130" s="347" t="s">
        <v>819</v>
      </c>
      <c r="C130" s="348" t="s">
        <v>820</v>
      </c>
      <c r="D130" s="392"/>
      <c r="E130" s="393"/>
      <c r="F130" s="394"/>
    </row>
    <row r="131" spans="2:6">
      <c r="B131" s="350"/>
      <c r="C131" s="348" t="s">
        <v>821</v>
      </c>
      <c r="D131" s="395"/>
      <c r="E131" s="393"/>
      <c r="F131" s="394"/>
    </row>
    <row r="132" spans="2:6">
      <c r="B132" s="350"/>
      <c r="C132" s="348" t="s">
        <v>474</v>
      </c>
      <c r="D132" s="392"/>
      <c r="E132" s="393"/>
      <c r="F132" s="394"/>
    </row>
    <row r="133" spans="2:6">
      <c r="B133" s="350"/>
      <c r="C133" s="348" t="s">
        <v>822</v>
      </c>
      <c r="D133" s="392"/>
      <c r="E133" s="393"/>
      <c r="F133" s="394"/>
    </row>
    <row r="134" spans="2:6">
      <c r="B134" s="350"/>
      <c r="C134" s="348" t="s">
        <v>476</v>
      </c>
      <c r="D134" s="392"/>
      <c r="E134" s="393"/>
      <c r="F134" s="394"/>
    </row>
    <row r="135" spans="2:6">
      <c r="B135" s="350"/>
      <c r="C135" s="348" t="s">
        <v>477</v>
      </c>
      <c r="D135" s="392"/>
      <c r="E135" s="393"/>
      <c r="F135" s="394"/>
    </row>
    <row r="136" spans="2:6">
      <c r="B136" s="350"/>
      <c r="C136" s="348" t="s">
        <v>823</v>
      </c>
      <c r="D136" s="392"/>
      <c r="E136" s="393"/>
      <c r="F136" s="394"/>
    </row>
    <row r="137" spans="2:6">
      <c r="B137" s="350"/>
      <c r="C137" s="348" t="s">
        <v>479</v>
      </c>
      <c r="D137" s="396"/>
      <c r="E137" s="393"/>
      <c r="F137" s="394"/>
    </row>
    <row r="138" spans="2:6">
      <c r="B138" s="350"/>
      <c r="C138" s="348" t="s">
        <v>480</v>
      </c>
      <c r="D138" s="397"/>
      <c r="E138" s="393"/>
      <c r="F138" s="394"/>
    </row>
    <row r="139" spans="2:6">
      <c r="B139" s="350"/>
      <c r="C139" s="348" t="s">
        <v>824</v>
      </c>
      <c r="D139" s="395"/>
      <c r="E139" s="393"/>
      <c r="F139" s="394"/>
    </row>
    <row r="140" spans="2:6">
      <c r="B140" s="350"/>
      <c r="C140" s="348" t="s">
        <v>743</v>
      </c>
      <c r="D140" s="395"/>
      <c r="E140" s="393"/>
      <c r="F140" s="394"/>
    </row>
    <row r="141" spans="2:6">
      <c r="B141" s="350"/>
      <c r="C141" s="355" t="s">
        <v>481</v>
      </c>
      <c r="D141" s="398"/>
      <c r="E141" s="399"/>
      <c r="F141" s="400"/>
    </row>
    <row r="142" spans="2:6">
      <c r="B142" s="350"/>
      <c r="C142" s="348" t="s">
        <v>817</v>
      </c>
      <c r="D142" s="392"/>
      <c r="E142" s="393"/>
      <c r="F142" s="394"/>
    </row>
    <row r="143" spans="2:6">
      <c r="B143" s="353"/>
      <c r="C143" s="354" t="s">
        <v>825</v>
      </c>
      <c r="D143" s="398"/>
      <c r="E143" s="399"/>
      <c r="F143" s="394"/>
    </row>
    <row r="331" spans="8:8">
      <c r="H331" s="379"/>
    </row>
  </sheetData>
  <mergeCells count="24">
    <mergeCell ref="B100:B105"/>
    <mergeCell ref="B106:B119"/>
    <mergeCell ref="B122:C123"/>
    <mergeCell ref="D122:F122"/>
    <mergeCell ref="B124:B129"/>
    <mergeCell ref="B130:B143"/>
    <mergeCell ref="B74:C75"/>
    <mergeCell ref="D74:F74"/>
    <mergeCell ref="B76:B81"/>
    <mergeCell ref="B82:B95"/>
    <mergeCell ref="B98:C99"/>
    <mergeCell ref="D98:F98"/>
    <mergeCell ref="B28:B33"/>
    <mergeCell ref="B34:B47"/>
    <mergeCell ref="B50:C51"/>
    <mergeCell ref="D50:F50"/>
    <mergeCell ref="B52:B57"/>
    <mergeCell ref="B58:B71"/>
    <mergeCell ref="B12:C12"/>
    <mergeCell ref="B13:C13"/>
    <mergeCell ref="B14:C14"/>
    <mergeCell ref="B15:C15"/>
    <mergeCell ref="B26:C27"/>
    <mergeCell ref="D26:F26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2:K41"/>
  <sheetViews>
    <sheetView zoomScale="90" zoomScaleNormal="90" workbookViewId="0">
      <selection activeCell="D23" sqref="D23"/>
    </sheetView>
  </sheetViews>
  <sheetFormatPr defaultColWidth="8.69921875" defaultRowHeight="15.6"/>
  <cols>
    <col min="1" max="1" width="5.59765625" style="317" customWidth="1"/>
    <col min="2" max="2" width="16.296875" style="317" customWidth="1"/>
    <col min="3" max="3" width="14.69921875" style="317" customWidth="1"/>
    <col min="4" max="4" width="22.19921875" style="317" customWidth="1"/>
    <col min="5" max="5" width="19.69921875" style="317" bestFit="1" customWidth="1"/>
    <col min="6" max="7" width="17.3984375" style="317" bestFit="1" customWidth="1"/>
    <col min="8" max="8" width="15.796875" style="317" bestFit="1" customWidth="1"/>
    <col min="9" max="9" width="15.69921875" style="317" bestFit="1" customWidth="1"/>
    <col min="10" max="10" width="15.69921875" style="317" customWidth="1"/>
    <col min="11" max="11" width="15.796875" style="317" customWidth="1"/>
    <col min="12" max="16384" width="8.69921875" style="317"/>
  </cols>
  <sheetData>
    <row r="2" spans="2:5" s="2" customFormat="1" ht="18" thickBot="1">
      <c r="B2" s="245" t="s">
        <v>837</v>
      </c>
      <c r="C2" s="2" t="s">
        <v>838</v>
      </c>
    </row>
    <row r="3" spans="2:5" s="2" customFormat="1">
      <c r="B3" s="247" t="s">
        <v>839</v>
      </c>
      <c r="C3" s="248">
        <v>1</v>
      </c>
      <c r="D3" s="401" t="s">
        <v>840</v>
      </c>
      <c r="E3" s="280"/>
    </row>
    <row r="4" spans="2:5" s="2" customFormat="1" ht="18" customHeight="1">
      <c r="B4" s="250" t="s">
        <v>841</v>
      </c>
      <c r="C4" s="251" t="s">
        <v>842</v>
      </c>
      <c r="D4" s="282" t="s">
        <v>843</v>
      </c>
      <c r="E4" s="289"/>
    </row>
    <row r="5" spans="2:5" s="2" customFormat="1">
      <c r="B5" s="253" t="s">
        <v>844</v>
      </c>
      <c r="C5" s="257">
        <f>J37</f>
        <v>47362.789999999994</v>
      </c>
      <c r="D5" s="296"/>
      <c r="E5" s="289"/>
    </row>
    <row r="6" spans="2:5" s="2" customFormat="1">
      <c r="B6" s="256"/>
      <c r="C6" s="257"/>
      <c r="D6" s="296"/>
      <c r="E6" s="289"/>
    </row>
    <row r="7" spans="2:5" s="2" customFormat="1">
      <c r="B7" s="250" t="s">
        <v>845</v>
      </c>
      <c r="C7" s="402">
        <f>SUM(C5:C6)</f>
        <v>47362.789999999994</v>
      </c>
      <c r="D7" s="296"/>
      <c r="E7" s="289"/>
    </row>
    <row r="8" spans="2:5" s="2" customFormat="1">
      <c r="B8" s="287"/>
      <c r="C8" s="288"/>
      <c r="D8" s="288"/>
      <c r="E8" s="289"/>
    </row>
    <row r="9" spans="2:5" s="2" customFormat="1">
      <c r="B9" s="403"/>
      <c r="C9" s="404"/>
      <c r="D9" s="291" t="s">
        <v>846</v>
      </c>
      <c r="E9" s="289"/>
    </row>
    <row r="10" spans="2:5" s="2" customFormat="1">
      <c r="B10" s="292" t="s">
        <v>847</v>
      </c>
      <c r="C10" s="293"/>
      <c r="D10" s="294" t="s">
        <v>848</v>
      </c>
      <c r="E10" s="289"/>
    </row>
    <row r="11" spans="2:5" s="2" customFormat="1">
      <c r="B11" s="405" t="s">
        <v>849</v>
      </c>
      <c r="C11" s="329" t="s">
        <v>819</v>
      </c>
      <c r="D11" s="297">
        <f>C7</f>
        <v>47362.789999999994</v>
      </c>
      <c r="E11" s="289"/>
    </row>
    <row r="12" spans="2:5" s="2" customFormat="1" ht="16.05" customHeight="1">
      <c r="B12" s="299" t="s">
        <v>850</v>
      </c>
      <c r="C12" s="300"/>
      <c r="D12" s="297">
        <f>D11*5%</f>
        <v>2368.1394999999998</v>
      </c>
      <c r="E12" s="289"/>
    </row>
    <row r="13" spans="2:5" s="2" customFormat="1" ht="16.05" customHeight="1">
      <c r="B13" s="299" t="s">
        <v>851</v>
      </c>
      <c r="C13" s="300"/>
      <c r="D13" s="301">
        <f>D11-D12</f>
        <v>44994.650499999996</v>
      </c>
      <c r="E13" s="289"/>
    </row>
    <row r="14" spans="2:5" s="2" customFormat="1" ht="16.05" customHeight="1">
      <c r="B14" s="406" t="s">
        <v>852</v>
      </c>
      <c r="C14" s="407"/>
      <c r="D14" s="302">
        <f>D13*D16</f>
        <v>1609908.5948899998</v>
      </c>
      <c r="E14" s="289"/>
    </row>
    <row r="15" spans="2:5" s="2" customFormat="1" ht="16.05" customHeight="1">
      <c r="B15" s="403"/>
      <c r="C15" s="404"/>
      <c r="D15" s="404"/>
      <c r="E15" s="289"/>
    </row>
    <row r="16" spans="2:5" s="2" customFormat="1" ht="16.05" customHeight="1">
      <c r="B16" s="305" t="s">
        <v>853</v>
      </c>
      <c r="C16" s="404"/>
      <c r="D16" s="408">
        <v>35.78</v>
      </c>
      <c r="E16" s="289"/>
    </row>
    <row r="17" spans="2:11" s="2" customFormat="1" ht="16.05" customHeight="1">
      <c r="B17" s="305" t="s">
        <v>854</v>
      </c>
      <c r="C17" s="404"/>
      <c r="D17" s="404"/>
      <c r="E17" s="289"/>
    </row>
    <row r="18" spans="2:11" s="2" customFormat="1" ht="15" customHeight="1" thickBot="1">
      <c r="B18" s="409" t="s">
        <v>855</v>
      </c>
      <c r="C18" s="307"/>
      <c r="D18" s="307"/>
      <c r="E18" s="308"/>
    </row>
    <row r="19" spans="2:11" s="2" customFormat="1"/>
    <row r="20" spans="2:11" s="2" customFormat="1">
      <c r="B20" s="311" t="s">
        <v>856</v>
      </c>
    </row>
    <row r="21" spans="2:11" s="2" customFormat="1">
      <c r="B21" s="311" t="s">
        <v>857</v>
      </c>
      <c r="C21" s="410" t="s">
        <v>858</v>
      </c>
      <c r="D21" s="311"/>
    </row>
    <row r="22" spans="2:11" s="2" customFormat="1">
      <c r="B22" s="311" t="s">
        <v>859</v>
      </c>
      <c r="C22" s="313">
        <v>1500</v>
      </c>
      <c r="D22" s="411" t="s">
        <v>860</v>
      </c>
      <c r="E22" s="412" t="s">
        <v>861</v>
      </c>
    </row>
    <row r="23" spans="2:11" s="2" customFormat="1" ht="15.45" customHeight="1">
      <c r="B23" s="311" t="s">
        <v>862</v>
      </c>
      <c r="C23" s="315" t="s">
        <v>863</v>
      </c>
      <c r="D23" s="412"/>
    </row>
    <row r="24" spans="2:11" ht="17.399999999999999">
      <c r="B24" s="413" t="s">
        <v>864</v>
      </c>
      <c r="C24" s="414" t="s">
        <v>865</v>
      </c>
      <c r="D24" s="415" t="s">
        <v>866</v>
      </c>
      <c r="E24" s="415" t="s">
        <v>867</v>
      </c>
      <c r="F24" s="415" t="s">
        <v>868</v>
      </c>
      <c r="G24" s="415" t="s">
        <v>869</v>
      </c>
      <c r="H24" s="414" t="s">
        <v>870</v>
      </c>
      <c r="I24" s="416" t="s">
        <v>871</v>
      </c>
      <c r="J24" s="416" t="s">
        <v>872</v>
      </c>
      <c r="K24" s="416" t="s">
        <v>873</v>
      </c>
    </row>
    <row r="25" spans="2:11" ht="17.399999999999999">
      <c r="B25" s="417" t="s">
        <v>874</v>
      </c>
      <c r="C25" s="418">
        <v>47040</v>
      </c>
      <c r="D25" s="419">
        <v>205468.5</v>
      </c>
      <c r="E25" s="419">
        <v>61372.15</v>
      </c>
      <c r="F25" s="419">
        <v>144096.35</v>
      </c>
      <c r="G25" s="419">
        <v>57638.540000000008</v>
      </c>
      <c r="H25" s="419">
        <f>G25-C25</f>
        <v>10598.540000000008</v>
      </c>
      <c r="I25" s="420">
        <f>H25</f>
        <v>10598.540000000008</v>
      </c>
      <c r="J25" s="421">
        <f>SUM(I25:I27)</f>
        <v>94463.35500000001</v>
      </c>
      <c r="K25" s="347" t="s">
        <v>875</v>
      </c>
    </row>
    <row r="26" spans="2:11" ht="17.399999999999999">
      <c r="B26" s="417">
        <v>2020.11</v>
      </c>
      <c r="C26" s="418">
        <v>0</v>
      </c>
      <c r="D26" s="419">
        <v>170942.375</v>
      </c>
      <c r="E26" s="419">
        <v>50980.887500000004</v>
      </c>
      <c r="F26" s="419">
        <v>119961.48749999999</v>
      </c>
      <c r="G26" s="419">
        <v>47984.595000000001</v>
      </c>
      <c r="H26" s="419">
        <f>G26-C26</f>
        <v>47984.595000000001</v>
      </c>
      <c r="I26" s="420">
        <f>H26</f>
        <v>47984.595000000001</v>
      </c>
      <c r="J26" s="422"/>
      <c r="K26" s="350"/>
    </row>
    <row r="27" spans="2:11" ht="17.399999999999999">
      <c r="B27" s="417">
        <v>2020.12</v>
      </c>
      <c r="C27" s="423">
        <v>0</v>
      </c>
      <c r="D27" s="424">
        <v>127926.75</v>
      </c>
      <c r="E27" s="424">
        <v>38226.19</v>
      </c>
      <c r="F27" s="424">
        <v>89700.56</v>
      </c>
      <c r="G27" s="424">
        <v>35880.22</v>
      </c>
      <c r="H27" s="419">
        <f>G27-C27</f>
        <v>35880.22</v>
      </c>
      <c r="I27" s="420">
        <f>H27</f>
        <v>35880.22</v>
      </c>
      <c r="J27" s="425"/>
      <c r="K27" s="353"/>
    </row>
    <row r="28" spans="2:11" ht="17.399999999999999">
      <c r="B28" s="417">
        <v>2021.01</v>
      </c>
      <c r="C28" s="423">
        <v>0</v>
      </c>
      <c r="D28" s="419">
        <v>126933.875</v>
      </c>
      <c r="E28" s="419">
        <v>37958.087500000001</v>
      </c>
      <c r="F28" s="419">
        <v>88975.787500000006</v>
      </c>
      <c r="G28" s="419">
        <v>35590.315000000002</v>
      </c>
      <c r="H28" s="419">
        <f>G28-C28</f>
        <v>35590.315000000002</v>
      </c>
      <c r="I28" s="420">
        <f>ROUND(H28,2)</f>
        <v>35590.32</v>
      </c>
      <c r="J28" s="421">
        <f>SUM(I28:I30)</f>
        <v>83637.2</v>
      </c>
      <c r="K28" s="426" t="s">
        <v>876</v>
      </c>
    </row>
    <row r="29" spans="2:11" ht="17.399999999999999">
      <c r="B29" s="417">
        <v>2021.02</v>
      </c>
      <c r="C29" s="418">
        <v>0</v>
      </c>
      <c r="D29" s="419">
        <v>72882.625</v>
      </c>
      <c r="E29" s="419">
        <v>21745.049999999996</v>
      </c>
      <c r="F29" s="419">
        <v>51137.575000000004</v>
      </c>
      <c r="G29" s="419">
        <v>20455.030000000002</v>
      </c>
      <c r="H29" s="419">
        <f t="shared" ref="H29:H30" si="0">G29-C29</f>
        <v>20455.030000000002</v>
      </c>
      <c r="I29" s="420">
        <f>ROUND(H29,2)</f>
        <v>20455.03</v>
      </c>
      <c r="J29" s="422"/>
      <c r="K29" s="427"/>
    </row>
    <row r="30" spans="2:11" ht="17.399999999999999">
      <c r="B30" s="417">
        <v>2021.03</v>
      </c>
      <c r="C30" s="423">
        <v>0</v>
      </c>
      <c r="D30" s="428">
        <v>98390</v>
      </c>
      <c r="E30" s="428">
        <v>29410.375</v>
      </c>
      <c r="F30" s="428">
        <v>68979.625</v>
      </c>
      <c r="G30" s="428">
        <v>27591.850000000002</v>
      </c>
      <c r="H30" s="428">
        <f t="shared" si="0"/>
        <v>27591.850000000002</v>
      </c>
      <c r="I30" s="429">
        <f>ROUND(H30,2)</f>
        <v>27591.85</v>
      </c>
      <c r="J30" s="425"/>
      <c r="K30" s="430"/>
    </row>
    <row r="31" spans="2:11" ht="17.399999999999999">
      <c r="B31" s="417">
        <v>2021.04</v>
      </c>
      <c r="C31" s="423">
        <v>0</v>
      </c>
      <c r="D31" s="431">
        <v>111033.375</v>
      </c>
      <c r="E31" s="431">
        <v>33225.775000000001</v>
      </c>
      <c r="F31" s="431">
        <v>77807.600000000006</v>
      </c>
      <c r="G31" s="431">
        <v>31123.040000000005</v>
      </c>
      <c r="H31" s="428">
        <v>31123.040000000005</v>
      </c>
      <c r="I31" s="429">
        <v>31123.040000000001</v>
      </c>
      <c r="J31" s="421">
        <v>73105.850000000006</v>
      </c>
      <c r="K31" s="432" t="s">
        <v>877</v>
      </c>
    </row>
    <row r="32" spans="2:11" ht="17.399999999999999">
      <c r="B32" s="417">
        <v>2021.05</v>
      </c>
      <c r="C32" s="423">
        <v>0</v>
      </c>
      <c r="D32" s="419">
        <v>85254.625</v>
      </c>
      <c r="E32" s="419">
        <v>25521.174999999999</v>
      </c>
      <c r="F32" s="419">
        <v>59733.45</v>
      </c>
      <c r="G32" s="419">
        <v>23893.38</v>
      </c>
      <c r="H32" s="419">
        <f t="shared" ref="H32" si="1">G32-C32</f>
        <v>23893.38</v>
      </c>
      <c r="I32" s="420">
        <f>ROUND(H32,2)</f>
        <v>23893.38</v>
      </c>
      <c r="J32" s="422"/>
      <c r="K32" s="427"/>
    </row>
    <row r="33" spans="2:11" ht="17.399999999999999">
      <c r="B33" s="417">
        <v>2021.06</v>
      </c>
      <c r="C33" s="423">
        <v>0</v>
      </c>
      <c r="D33" s="424">
        <v>64526</v>
      </c>
      <c r="E33" s="424">
        <v>19302.439999999999</v>
      </c>
      <c r="F33" s="424">
        <v>45223.56</v>
      </c>
      <c r="G33" s="424">
        <v>18089.43</v>
      </c>
      <c r="H33" s="424">
        <v>18089.43</v>
      </c>
      <c r="I33" s="433">
        <v>18089.43</v>
      </c>
      <c r="J33" s="425"/>
      <c r="K33" s="430"/>
    </row>
    <row r="34" spans="2:11" ht="17.399999999999999">
      <c r="B34" s="417">
        <v>2021.07</v>
      </c>
      <c r="C34" s="418">
        <v>0</v>
      </c>
      <c r="D34" s="419">
        <v>53346.25</v>
      </c>
      <c r="E34" s="419">
        <v>15937.412499999999</v>
      </c>
      <c r="F34" s="419">
        <v>37408.837500000001</v>
      </c>
      <c r="G34" s="419">
        <v>14963.535000000002</v>
      </c>
      <c r="H34" s="419">
        <v>14963.535000000002</v>
      </c>
      <c r="I34" s="433">
        <v>14963.54</v>
      </c>
      <c r="J34" s="421">
        <v>47448.29</v>
      </c>
      <c r="K34" s="432" t="s">
        <v>878</v>
      </c>
    </row>
    <row r="35" spans="2:11" ht="17.399999999999999">
      <c r="B35" s="417">
        <v>2021.08</v>
      </c>
      <c r="C35" s="423"/>
      <c r="D35" s="424">
        <v>55174</v>
      </c>
      <c r="E35" s="424">
        <v>16449.625</v>
      </c>
      <c r="F35" s="424">
        <v>38724.375</v>
      </c>
      <c r="G35" s="424">
        <v>15489.75</v>
      </c>
      <c r="H35" s="424">
        <v>15489.75</v>
      </c>
      <c r="I35" s="433">
        <v>15489.75</v>
      </c>
      <c r="J35" s="422"/>
      <c r="K35" s="427"/>
    </row>
    <row r="36" spans="2:11" ht="16.5" customHeight="1">
      <c r="B36" s="417">
        <v>2021.09</v>
      </c>
      <c r="C36" s="423"/>
      <c r="D36" s="424">
        <v>60624</v>
      </c>
      <c r="E36" s="424">
        <v>18136.512499999997</v>
      </c>
      <c r="F36" s="424">
        <v>42487.487500000003</v>
      </c>
      <c r="G36" s="424">
        <v>16994.995000000003</v>
      </c>
      <c r="H36" s="424">
        <v>16994.995000000003</v>
      </c>
      <c r="I36" s="433">
        <v>16995</v>
      </c>
      <c r="J36" s="425"/>
      <c r="K36" s="430"/>
    </row>
    <row r="37" spans="2:11" ht="16.5" customHeight="1">
      <c r="B37" s="417" t="s">
        <v>879</v>
      </c>
      <c r="C37" s="423"/>
      <c r="D37" s="419">
        <v>68804.125</v>
      </c>
      <c r="E37" s="419">
        <v>20552.1875</v>
      </c>
      <c r="F37" s="419">
        <v>48251.9375</v>
      </c>
      <c r="G37" s="419">
        <v>19300.775000000001</v>
      </c>
      <c r="H37" s="419">
        <f t="shared" ref="H37:H38" si="2">G37-C37</f>
        <v>19300.775000000001</v>
      </c>
      <c r="I37" s="420">
        <f>ROUND(H37,2)</f>
        <v>19300.78</v>
      </c>
      <c r="J37" s="421">
        <v>47362.789999999994</v>
      </c>
      <c r="K37" s="432" t="s">
        <v>880</v>
      </c>
    </row>
    <row r="38" spans="2:11" ht="16.5" customHeight="1">
      <c r="B38" s="417" t="s">
        <v>881</v>
      </c>
      <c r="C38" s="423"/>
      <c r="D38" s="419">
        <v>42695.25</v>
      </c>
      <c r="E38" s="419">
        <v>12712.625</v>
      </c>
      <c r="F38" s="419">
        <v>29982.625</v>
      </c>
      <c r="G38" s="419">
        <v>11993.050000000001</v>
      </c>
      <c r="H38" s="419">
        <f t="shared" si="2"/>
        <v>11993.050000000001</v>
      </c>
      <c r="I38" s="420">
        <f>ROUND(H38,2)</f>
        <v>11993.05</v>
      </c>
      <c r="J38" s="422"/>
      <c r="K38" s="427"/>
    </row>
    <row r="39" spans="2:11" ht="17.399999999999999">
      <c r="B39" s="417">
        <v>2021.12</v>
      </c>
      <c r="C39" s="423"/>
      <c r="D39" s="434">
        <v>57278.75</v>
      </c>
      <c r="E39" s="434">
        <v>17106.362500000003</v>
      </c>
      <c r="F39" s="434">
        <v>40172.387499999997</v>
      </c>
      <c r="G39" s="434">
        <v>16068.955</v>
      </c>
      <c r="H39" s="428">
        <v>16068.955</v>
      </c>
      <c r="I39" s="435">
        <v>16068.96</v>
      </c>
      <c r="J39" s="425"/>
      <c r="K39" s="430"/>
    </row>
    <row r="40" spans="2:11" ht="17.399999999999999">
      <c r="B40" s="436" t="s">
        <v>882</v>
      </c>
      <c r="C40" s="437">
        <f>SUM(C25:C37)</f>
        <v>47040</v>
      </c>
      <c r="D40" s="437">
        <f t="shared" ref="D40:I40" si="3">SUM(D25:D37)</f>
        <v>1301306.5</v>
      </c>
      <c r="E40" s="437">
        <f t="shared" si="3"/>
        <v>388817.86749999999</v>
      </c>
      <c r="F40" s="437">
        <f t="shared" si="3"/>
        <v>912488.63249999995</v>
      </c>
      <c r="G40" s="437">
        <f t="shared" si="3"/>
        <v>364995.45500000002</v>
      </c>
      <c r="H40" s="437">
        <f t="shared" si="3"/>
        <v>317955.45500000002</v>
      </c>
      <c r="I40" s="437">
        <f t="shared" si="3"/>
        <v>317955.47499999998</v>
      </c>
      <c r="J40" s="438"/>
      <c r="K40" s="439"/>
    </row>
    <row r="41" spans="2:11">
      <c r="B41" s="317" t="s">
        <v>883</v>
      </c>
    </row>
  </sheetData>
  <mergeCells count="14">
    <mergeCell ref="J37:J39"/>
    <mergeCell ref="K37:K39"/>
    <mergeCell ref="J28:J30"/>
    <mergeCell ref="K28:K30"/>
    <mergeCell ref="J31:J33"/>
    <mergeCell ref="K31:K33"/>
    <mergeCell ref="J34:J36"/>
    <mergeCell ref="K34:K36"/>
    <mergeCell ref="B10:C10"/>
    <mergeCell ref="B12:C12"/>
    <mergeCell ref="B13:C13"/>
    <mergeCell ref="B14:C14"/>
    <mergeCell ref="J25:J27"/>
    <mergeCell ref="K25:K27"/>
  </mergeCells>
  <phoneticPr fontId="2" type="noConversion"/>
  <conditionalFormatting sqref="H25 H32:H33">
    <cfRule type="cellIs" dxfId="118" priority="10" operator="greaterThan">
      <formula>0</formula>
    </cfRule>
  </conditionalFormatting>
  <conditionalFormatting sqref="H26:H27">
    <cfRule type="cellIs" dxfId="117" priority="9" operator="greaterThan">
      <formula>0</formula>
    </cfRule>
  </conditionalFormatting>
  <conditionalFormatting sqref="H28">
    <cfRule type="cellIs" dxfId="116" priority="8" operator="greaterThan">
      <formula>0</formula>
    </cfRule>
  </conditionalFormatting>
  <conditionalFormatting sqref="H29 H36">
    <cfRule type="cellIs" dxfId="115" priority="7" operator="greaterThan">
      <formula>0</formula>
    </cfRule>
  </conditionalFormatting>
  <conditionalFormatting sqref="H30">
    <cfRule type="cellIs" dxfId="114" priority="6" operator="greaterThan">
      <formula>0</formula>
    </cfRule>
  </conditionalFormatting>
  <conditionalFormatting sqref="H31">
    <cfRule type="cellIs" dxfId="113" priority="5" operator="greaterThan">
      <formula>0</formula>
    </cfRule>
  </conditionalFormatting>
  <conditionalFormatting sqref="H34:H35">
    <cfRule type="cellIs" dxfId="112" priority="4" operator="greaterThan">
      <formula>0</formula>
    </cfRule>
  </conditionalFormatting>
  <conditionalFormatting sqref="H37">
    <cfRule type="cellIs" dxfId="111" priority="3" operator="greaterThan">
      <formula>0</formula>
    </cfRule>
  </conditionalFormatting>
  <conditionalFormatting sqref="H38">
    <cfRule type="cellIs" dxfId="110" priority="2" operator="greaterThan">
      <formula>0</formula>
    </cfRule>
  </conditionalFormatting>
  <conditionalFormatting sqref="H39">
    <cfRule type="cellIs" dxfId="109" priority="1" operator="greaterThan">
      <formula>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1:H29"/>
  <sheetViews>
    <sheetView zoomScale="90" zoomScaleNormal="90" workbookViewId="0">
      <pane ySplit="13" topLeftCell="A20" activePane="bottomLeft" state="frozen"/>
      <selection activeCell="D23" sqref="D23"/>
      <selection pane="bottomLeft" activeCell="D23" sqref="D23"/>
    </sheetView>
  </sheetViews>
  <sheetFormatPr defaultColWidth="8.69921875" defaultRowHeight="15.6"/>
  <cols>
    <col min="1" max="1" width="4.19921875" style="2" customWidth="1"/>
    <col min="2" max="2" width="17.69921875" style="2" customWidth="1"/>
    <col min="3" max="3" width="14" style="2" customWidth="1"/>
    <col min="4" max="4" width="19.69921875" style="2" customWidth="1"/>
    <col min="5" max="5" width="13.296875" style="2" bestFit="1" customWidth="1"/>
    <col min="6" max="6" width="13.59765625" style="2" customWidth="1"/>
    <col min="7" max="7" width="13.296875" style="2" customWidth="1"/>
    <col min="8" max="8" width="16.19921875" style="2" customWidth="1"/>
    <col min="9" max="9" width="12.19921875" style="2" bestFit="1" customWidth="1"/>
    <col min="10" max="10" width="11.19921875" style="2" bestFit="1" customWidth="1"/>
    <col min="11" max="12" width="8.69921875" style="2" bestFit="1" customWidth="1"/>
    <col min="13" max="13" width="8.69921875" style="2"/>
    <col min="14" max="15" width="8.69921875" style="2" bestFit="1" customWidth="1"/>
    <col min="16" max="17" width="13.296875" style="2" bestFit="1" customWidth="1"/>
    <col min="18" max="19" width="12.19921875" style="2" bestFit="1" customWidth="1"/>
    <col min="20" max="16384" width="8.69921875" style="2"/>
  </cols>
  <sheetData>
    <row r="1" spans="2:8" ht="17.399999999999999">
      <c r="B1" s="440"/>
    </row>
    <row r="2" spans="2:8" ht="18" thickBot="1">
      <c r="B2" s="245" t="s">
        <v>884</v>
      </c>
      <c r="C2" s="2" t="s">
        <v>885</v>
      </c>
    </row>
    <row r="3" spans="2:8">
      <c r="B3" s="247" t="s">
        <v>886</v>
      </c>
      <c r="C3" s="248">
        <v>1</v>
      </c>
      <c r="D3" s="280" t="s">
        <v>887</v>
      </c>
    </row>
    <row r="4" spans="2:8" ht="17.55" customHeight="1">
      <c r="B4" s="281" t="s">
        <v>424</v>
      </c>
      <c r="C4" s="282" t="s">
        <v>888</v>
      </c>
      <c r="D4" s="252" t="s">
        <v>404</v>
      </c>
    </row>
    <row r="5" spans="2:8">
      <c r="B5" s="256" t="s">
        <v>889</v>
      </c>
      <c r="C5" s="441">
        <f>G29</f>
        <v>10430820</v>
      </c>
      <c r="D5" s="255" t="s">
        <v>890</v>
      </c>
    </row>
    <row r="6" spans="2:8">
      <c r="B6" s="281" t="s">
        <v>0</v>
      </c>
      <c r="C6" s="442">
        <f>SUM(C5)</f>
        <v>10430820</v>
      </c>
      <c r="D6" s="255"/>
    </row>
    <row r="7" spans="2:8">
      <c r="B7" s="287"/>
      <c r="C7" s="288"/>
      <c r="D7" s="289"/>
    </row>
    <row r="8" spans="2:8" ht="15" customHeight="1" thickBot="1">
      <c r="B8" s="443" t="s">
        <v>891</v>
      </c>
      <c r="C8" s="307"/>
      <c r="D8" s="308"/>
    </row>
    <row r="10" spans="2:8" ht="17.399999999999999">
      <c r="B10" s="310" t="s">
        <v>892</v>
      </c>
    </row>
    <row r="11" spans="2:8">
      <c r="B11" s="311" t="s">
        <v>857</v>
      </c>
      <c r="C11" s="312" t="s">
        <v>893</v>
      </c>
      <c r="D11" s="311"/>
    </row>
    <row r="12" spans="2:8">
      <c r="B12" s="311" t="s">
        <v>830</v>
      </c>
      <c r="C12" s="313">
        <v>10000000</v>
      </c>
      <c r="D12" s="444" t="s">
        <v>756</v>
      </c>
      <c r="E12" s="314" t="s">
        <v>894</v>
      </c>
    </row>
    <row r="13" spans="2:8">
      <c r="B13" s="311" t="s">
        <v>895</v>
      </c>
      <c r="C13" s="315" t="s">
        <v>896</v>
      </c>
      <c r="D13" s="314"/>
    </row>
    <row r="14" spans="2:8">
      <c r="B14" s="445" t="s">
        <v>897</v>
      </c>
      <c r="C14" s="446" t="s">
        <v>898</v>
      </c>
      <c r="D14" s="446" t="s">
        <v>899</v>
      </c>
      <c r="E14" s="446" t="s">
        <v>900</v>
      </c>
      <c r="F14" s="446" t="s">
        <v>901</v>
      </c>
      <c r="G14" s="446" t="s">
        <v>902</v>
      </c>
      <c r="H14" s="447" t="s">
        <v>903</v>
      </c>
    </row>
    <row r="15" spans="2:8">
      <c r="B15" s="448">
        <v>2020.09</v>
      </c>
      <c r="C15" s="254">
        <v>79506</v>
      </c>
      <c r="D15" s="254">
        <v>3577770</v>
      </c>
      <c r="E15" s="254">
        <v>10000000</v>
      </c>
      <c r="F15" s="254">
        <v>6422230</v>
      </c>
      <c r="G15" s="254">
        <v>0</v>
      </c>
      <c r="H15" s="449" t="s">
        <v>832</v>
      </c>
    </row>
    <row r="16" spans="2:8">
      <c r="B16" s="362" t="s">
        <v>874</v>
      </c>
      <c r="C16" s="254">
        <v>209064</v>
      </c>
      <c r="D16" s="254">
        <v>9407880</v>
      </c>
      <c r="E16" s="254">
        <v>6422230</v>
      </c>
      <c r="F16" s="254">
        <v>0</v>
      </c>
      <c r="G16" s="254">
        <v>2985650</v>
      </c>
      <c r="H16" s="449" t="s">
        <v>904</v>
      </c>
    </row>
    <row r="17" spans="2:8">
      <c r="B17" s="362" t="s">
        <v>905</v>
      </c>
      <c r="C17" s="254">
        <v>179784</v>
      </c>
      <c r="D17" s="254">
        <v>8090280</v>
      </c>
      <c r="E17" s="254">
        <f>F16</f>
        <v>0</v>
      </c>
      <c r="F17" s="254">
        <v>0</v>
      </c>
      <c r="G17" s="254">
        <f>D17</f>
        <v>8090280</v>
      </c>
      <c r="H17" s="449" t="s">
        <v>906</v>
      </c>
    </row>
    <row r="18" spans="2:8">
      <c r="B18" s="362" t="s">
        <v>907</v>
      </c>
      <c r="C18" s="254">
        <v>199947</v>
      </c>
      <c r="D18" s="254">
        <v>8997615</v>
      </c>
      <c r="E18" s="254">
        <f>F17</f>
        <v>0</v>
      </c>
      <c r="F18" s="254">
        <v>0</v>
      </c>
      <c r="G18" s="254">
        <f>D18</f>
        <v>8997615</v>
      </c>
      <c r="H18" s="449" t="s">
        <v>908</v>
      </c>
    </row>
    <row r="19" spans="2:8">
      <c r="B19" s="362" t="s">
        <v>909</v>
      </c>
      <c r="C19" s="254">
        <v>308478</v>
      </c>
      <c r="D19" s="254">
        <v>13881510</v>
      </c>
      <c r="E19" s="254">
        <f>F18</f>
        <v>0</v>
      </c>
      <c r="F19" s="254">
        <v>0</v>
      </c>
      <c r="G19" s="254">
        <f>D19</f>
        <v>13881510</v>
      </c>
      <c r="H19" s="449" t="s">
        <v>910</v>
      </c>
    </row>
    <row r="20" spans="2:8">
      <c r="B20" s="362" t="s">
        <v>911</v>
      </c>
      <c r="C20" s="254">
        <v>316608</v>
      </c>
      <c r="D20" s="254">
        <v>14247360</v>
      </c>
      <c r="E20" s="254" t="s">
        <v>912</v>
      </c>
      <c r="F20" s="254" t="s">
        <v>912</v>
      </c>
      <c r="G20" s="254">
        <f>D20</f>
        <v>14247360</v>
      </c>
      <c r="H20" s="450" t="s">
        <v>913</v>
      </c>
    </row>
    <row r="21" spans="2:8">
      <c r="B21" s="362" t="s">
        <v>914</v>
      </c>
      <c r="C21" s="254">
        <v>515324</v>
      </c>
      <c r="D21" s="254">
        <v>23189580</v>
      </c>
      <c r="E21" s="254">
        <v>0</v>
      </c>
      <c r="F21" s="254">
        <v>0</v>
      </c>
      <c r="G21" s="254">
        <v>23189580</v>
      </c>
      <c r="H21" s="451" t="s">
        <v>915</v>
      </c>
    </row>
    <row r="22" spans="2:8">
      <c r="B22" s="362" t="s">
        <v>916</v>
      </c>
      <c r="C22" s="254">
        <v>477255</v>
      </c>
      <c r="D22" s="254">
        <v>21476475</v>
      </c>
      <c r="E22" s="254">
        <v>0</v>
      </c>
      <c r="F22" s="254">
        <v>0</v>
      </c>
      <c r="G22" s="254">
        <v>21476475</v>
      </c>
      <c r="H22" s="451" t="s">
        <v>917</v>
      </c>
    </row>
    <row r="23" spans="2:8">
      <c r="B23" s="362" t="s">
        <v>918</v>
      </c>
      <c r="C23" s="254">
        <v>377721</v>
      </c>
      <c r="D23" s="254">
        <v>22663260</v>
      </c>
      <c r="E23" s="254">
        <v>0</v>
      </c>
      <c r="F23" s="254">
        <v>0</v>
      </c>
      <c r="G23" s="254">
        <v>22663260</v>
      </c>
      <c r="H23" s="451" t="s">
        <v>919</v>
      </c>
    </row>
    <row r="24" spans="2:8">
      <c r="B24" s="452" t="s">
        <v>920</v>
      </c>
      <c r="C24" s="453">
        <v>328518</v>
      </c>
      <c r="D24" s="453">
        <v>19711080</v>
      </c>
      <c r="E24" s="453">
        <v>0</v>
      </c>
      <c r="F24" s="453">
        <v>0</v>
      </c>
      <c r="G24" s="453">
        <v>19711080</v>
      </c>
      <c r="H24" s="454" t="s">
        <v>921</v>
      </c>
    </row>
    <row r="25" spans="2:8">
      <c r="B25" s="362" t="s">
        <v>922</v>
      </c>
      <c r="C25" s="254">
        <v>291069</v>
      </c>
      <c r="D25" s="254">
        <v>17464140</v>
      </c>
      <c r="E25" s="254">
        <v>0</v>
      </c>
      <c r="F25" s="254">
        <v>0</v>
      </c>
      <c r="G25" s="254">
        <v>17464140</v>
      </c>
      <c r="H25" s="451" t="s">
        <v>923</v>
      </c>
    </row>
    <row r="26" spans="2:8">
      <c r="B26" s="362">
        <v>2021.08</v>
      </c>
      <c r="C26" s="254">
        <v>299901</v>
      </c>
      <c r="D26" s="254">
        <v>17994060</v>
      </c>
      <c r="E26" s="254">
        <v>0</v>
      </c>
      <c r="F26" s="254">
        <v>0</v>
      </c>
      <c r="G26" s="254">
        <v>17994060</v>
      </c>
      <c r="H26" s="451" t="s">
        <v>924</v>
      </c>
    </row>
    <row r="27" spans="2:8">
      <c r="B27" s="362">
        <v>2021.09</v>
      </c>
      <c r="C27" s="254">
        <v>232248</v>
      </c>
      <c r="D27" s="254">
        <v>13934880</v>
      </c>
      <c r="E27" s="254">
        <v>0</v>
      </c>
      <c r="F27" s="254">
        <v>0</v>
      </c>
      <c r="G27" s="254">
        <v>13934880</v>
      </c>
      <c r="H27" s="451" t="s">
        <v>925</v>
      </c>
    </row>
    <row r="28" spans="2:8">
      <c r="B28" s="362" t="s">
        <v>926</v>
      </c>
      <c r="C28" s="254">
        <v>172461</v>
      </c>
      <c r="D28" s="254">
        <v>10347660</v>
      </c>
      <c r="E28" s="254"/>
      <c r="F28" s="254"/>
      <c r="G28" s="254">
        <v>10347660</v>
      </c>
      <c r="H28" s="451" t="s">
        <v>927</v>
      </c>
    </row>
    <row r="29" spans="2:8">
      <c r="B29" s="455" t="s">
        <v>928</v>
      </c>
      <c r="C29" s="456">
        <v>173847</v>
      </c>
      <c r="D29" s="456">
        <v>10430820</v>
      </c>
      <c r="E29" s="456"/>
      <c r="F29" s="456"/>
      <c r="G29" s="456">
        <v>10430820</v>
      </c>
      <c r="H29" s="457" t="s">
        <v>929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2:K36"/>
  <sheetViews>
    <sheetView zoomScale="72" zoomScaleNormal="72" workbookViewId="0">
      <selection activeCell="D23" sqref="D23"/>
    </sheetView>
  </sheetViews>
  <sheetFormatPr defaultRowHeight="17.399999999999999"/>
  <cols>
    <col min="1" max="1" width="4.19921875" style="79" customWidth="1"/>
    <col min="2" max="2" width="14.19921875" style="79" customWidth="1"/>
    <col min="3" max="3" width="19.69921875" style="79" customWidth="1"/>
    <col min="4" max="4" width="20" style="79" customWidth="1"/>
    <col min="5" max="5" width="13.296875" style="79" bestFit="1" customWidth="1"/>
    <col min="6" max="6" width="11.3984375" style="79" bestFit="1" customWidth="1"/>
    <col min="7" max="7" width="14.69921875" style="79" customWidth="1"/>
    <col min="8" max="8" width="13.69921875" style="79" bestFit="1" customWidth="1"/>
    <col min="9" max="9" width="12" style="79" bestFit="1" customWidth="1"/>
    <col min="10" max="10" width="12.59765625" style="79" bestFit="1" customWidth="1"/>
    <col min="11" max="11" width="16.59765625" style="79" bestFit="1" customWidth="1"/>
    <col min="12" max="12" width="12.296875" style="79" customWidth="1"/>
    <col min="13" max="13" width="11.69921875" style="79" customWidth="1"/>
    <col min="14" max="14" width="10.296875" style="79" customWidth="1"/>
    <col min="15" max="15" width="12.3984375" style="79" customWidth="1"/>
    <col min="16" max="16" width="14.796875" style="79" customWidth="1"/>
    <col min="17" max="17" width="13.3984375" style="79" customWidth="1"/>
    <col min="18" max="18" width="12.3984375" style="79" customWidth="1"/>
    <col min="19" max="19" width="10.296875" style="79" customWidth="1"/>
    <col min="20" max="16384" width="8.796875" style="79"/>
  </cols>
  <sheetData>
    <row r="2" spans="2:11" s="2" customFormat="1" ht="18" thickBot="1">
      <c r="B2" s="245" t="s">
        <v>930</v>
      </c>
      <c r="C2" s="2" t="s">
        <v>931</v>
      </c>
    </row>
    <row r="3" spans="2:11" s="2" customFormat="1" ht="15.6">
      <c r="B3" s="247" t="s">
        <v>932</v>
      </c>
      <c r="C3" s="248">
        <v>1</v>
      </c>
      <c r="D3" s="280" t="s">
        <v>933</v>
      </c>
    </row>
    <row r="4" spans="2:11" s="2" customFormat="1" ht="17.55" customHeight="1">
      <c r="B4" s="281" t="s">
        <v>424</v>
      </c>
      <c r="C4" s="282" t="s">
        <v>934</v>
      </c>
      <c r="D4" s="252" t="s">
        <v>935</v>
      </c>
    </row>
    <row r="5" spans="2:11" s="2" customFormat="1" ht="15.6">
      <c r="B5" s="256" t="s">
        <v>819</v>
      </c>
      <c r="C5" s="458">
        <v>0</v>
      </c>
      <c r="D5" s="255" t="s">
        <v>936</v>
      </c>
    </row>
    <row r="6" spans="2:11" s="2" customFormat="1" ht="15.6">
      <c r="B6" s="256"/>
      <c r="C6" s="458"/>
      <c r="D6" s="255"/>
    </row>
    <row r="7" spans="2:11" s="2" customFormat="1" ht="15" customHeight="1">
      <c r="B7" s="256"/>
      <c r="C7" s="458"/>
      <c r="D7" s="255"/>
    </row>
    <row r="8" spans="2:11" s="2" customFormat="1" ht="15.6">
      <c r="B8" s="281" t="s">
        <v>0</v>
      </c>
      <c r="C8" s="442">
        <f>SUM(C5:C7)</f>
        <v>0</v>
      </c>
      <c r="D8" s="255"/>
    </row>
    <row r="9" spans="2:11" s="2" customFormat="1" ht="16.2" thickBot="1">
      <c r="B9" s="443" t="s">
        <v>937</v>
      </c>
      <c r="C9" s="307"/>
      <c r="D9" s="308"/>
    </row>
    <row r="10" spans="2:11" s="2" customFormat="1" ht="15.6">
      <c r="B10" s="2" t="s">
        <v>938</v>
      </c>
    </row>
    <row r="11" spans="2:11" s="2" customFormat="1">
      <c r="B11" s="310" t="s">
        <v>939</v>
      </c>
    </row>
    <row r="12" spans="2:11" s="2" customFormat="1" ht="15.6" customHeight="1">
      <c r="B12" s="311" t="s">
        <v>940</v>
      </c>
      <c r="C12" s="312" t="s">
        <v>941</v>
      </c>
      <c r="D12" s="311"/>
    </row>
    <row r="13" spans="2:11" s="2" customFormat="1" ht="15.6">
      <c r="B13" s="311" t="s">
        <v>942</v>
      </c>
      <c r="C13" s="313">
        <v>3000000</v>
      </c>
      <c r="D13" s="444" t="s">
        <v>943</v>
      </c>
      <c r="E13" s="314" t="s">
        <v>944</v>
      </c>
    </row>
    <row r="14" spans="2:11" s="2" customFormat="1" ht="15.6">
      <c r="B14" s="311" t="s">
        <v>945</v>
      </c>
      <c r="C14" s="313">
        <v>4000000</v>
      </c>
      <c r="D14" s="444" t="s">
        <v>946</v>
      </c>
      <c r="E14" s="314" t="s">
        <v>947</v>
      </c>
    </row>
    <row r="15" spans="2:11">
      <c r="B15" s="311" t="s">
        <v>948</v>
      </c>
      <c r="C15" s="315" t="s">
        <v>949</v>
      </c>
      <c r="D15" s="314"/>
      <c r="E15" s="2"/>
      <c r="F15" s="2"/>
      <c r="G15" s="2"/>
      <c r="H15" s="2"/>
      <c r="I15" s="2"/>
      <c r="J15" s="2"/>
      <c r="K15" s="2"/>
    </row>
    <row r="16" spans="2:11">
      <c r="B16" s="459" t="s">
        <v>950</v>
      </c>
      <c r="C16" s="459" t="s">
        <v>951</v>
      </c>
      <c r="D16" s="459" t="s">
        <v>952</v>
      </c>
      <c r="E16" s="459" t="s">
        <v>953</v>
      </c>
      <c r="F16" s="459" t="s">
        <v>954</v>
      </c>
      <c r="G16" s="460" t="s">
        <v>955</v>
      </c>
      <c r="H16" s="460" t="s">
        <v>956</v>
      </c>
      <c r="I16" s="460" t="s">
        <v>957</v>
      </c>
      <c r="J16" s="447" t="s">
        <v>958</v>
      </c>
      <c r="K16" s="2"/>
    </row>
    <row r="17" spans="2:11">
      <c r="B17" s="362">
        <v>2020.12</v>
      </c>
      <c r="C17" s="257">
        <v>2065.4699999999998</v>
      </c>
      <c r="D17" s="254">
        <v>2762380</v>
      </c>
      <c r="E17" s="254">
        <v>3000000</v>
      </c>
      <c r="F17" s="254">
        <v>3000000</v>
      </c>
      <c r="G17" s="461">
        <v>237620</v>
      </c>
      <c r="H17" s="462">
        <v>0</v>
      </c>
      <c r="I17" s="329" t="s">
        <v>382</v>
      </c>
      <c r="J17" s="329" t="s">
        <v>959</v>
      </c>
      <c r="K17" s="2"/>
    </row>
    <row r="18" spans="2:11">
      <c r="B18" s="362">
        <v>2021.01</v>
      </c>
      <c r="C18" s="257">
        <v>1434.2</v>
      </c>
      <c r="D18" s="254">
        <v>1930103</v>
      </c>
      <c r="E18" s="254">
        <v>3000000</v>
      </c>
      <c r="F18" s="254">
        <f>G17</f>
        <v>237620</v>
      </c>
      <c r="G18" s="461">
        <v>0</v>
      </c>
      <c r="H18" s="462">
        <f>D18-F18</f>
        <v>1692483</v>
      </c>
      <c r="I18" s="329" t="s">
        <v>382</v>
      </c>
      <c r="J18" s="449" t="s">
        <v>960</v>
      </c>
    </row>
    <row r="19" spans="2:11">
      <c r="B19" s="362">
        <v>2021.02</v>
      </c>
      <c r="C19" s="257">
        <v>1175.73</v>
      </c>
      <c r="D19" s="254">
        <v>1588893</v>
      </c>
      <c r="E19" s="254">
        <v>3000000</v>
      </c>
      <c r="F19" s="254">
        <v>0</v>
      </c>
      <c r="G19" s="461">
        <v>0</v>
      </c>
      <c r="H19" s="462">
        <v>1588893</v>
      </c>
      <c r="I19" s="329" t="s">
        <v>382</v>
      </c>
      <c r="J19" s="450" t="s">
        <v>961</v>
      </c>
    </row>
    <row r="20" spans="2:11">
      <c r="B20" s="362">
        <v>2021.03</v>
      </c>
      <c r="C20" s="257">
        <v>1287.42</v>
      </c>
      <c r="D20" s="254">
        <v>1727331</v>
      </c>
      <c r="E20" s="254">
        <v>3000000</v>
      </c>
      <c r="F20" s="254">
        <v>0</v>
      </c>
      <c r="G20" s="461">
        <v>0</v>
      </c>
      <c r="H20" s="462">
        <v>1727331</v>
      </c>
      <c r="I20" s="329" t="s">
        <v>382</v>
      </c>
      <c r="J20" s="450" t="s">
        <v>962</v>
      </c>
    </row>
    <row r="21" spans="2:11">
      <c r="B21" s="362">
        <v>2021.04</v>
      </c>
      <c r="C21" s="257">
        <v>901.01</v>
      </c>
      <c r="D21" s="254">
        <v>1230419</v>
      </c>
      <c r="E21" s="254">
        <v>3000000</v>
      </c>
      <c r="F21" s="254">
        <v>0</v>
      </c>
      <c r="G21" s="461">
        <v>0</v>
      </c>
      <c r="H21" s="462">
        <f>D21</f>
        <v>1230419</v>
      </c>
      <c r="I21" s="329" t="s">
        <v>382</v>
      </c>
      <c r="J21" s="450" t="s">
        <v>963</v>
      </c>
    </row>
    <row r="22" spans="2:11">
      <c r="B22" s="362">
        <v>2021.05</v>
      </c>
      <c r="C22" s="257">
        <v>1024.9000000000001</v>
      </c>
      <c r="D22" s="254">
        <v>1386884</v>
      </c>
      <c r="E22" s="254">
        <v>3000000</v>
      </c>
      <c r="F22" s="254">
        <v>0</v>
      </c>
      <c r="G22" s="461">
        <v>0</v>
      </c>
      <c r="H22" s="462">
        <f>D22</f>
        <v>1386884</v>
      </c>
      <c r="I22" s="329" t="s">
        <v>382</v>
      </c>
      <c r="J22" s="450" t="s">
        <v>964</v>
      </c>
    </row>
    <row r="23" spans="2:11">
      <c r="B23" s="362">
        <v>2021.06</v>
      </c>
      <c r="C23" s="257">
        <v>961</v>
      </c>
      <c r="D23" s="254">
        <v>1308507</v>
      </c>
      <c r="E23" s="254">
        <v>3000000</v>
      </c>
      <c r="F23" s="254">
        <v>0</v>
      </c>
      <c r="G23" s="461">
        <v>0</v>
      </c>
      <c r="H23" s="462">
        <f>D23</f>
        <v>1308507</v>
      </c>
      <c r="I23" s="329" t="s">
        <v>382</v>
      </c>
      <c r="J23" s="450" t="s">
        <v>965</v>
      </c>
    </row>
    <row r="24" spans="2:11">
      <c r="B24" s="362">
        <v>2021.07</v>
      </c>
      <c r="C24" s="257">
        <v>1025.5</v>
      </c>
      <c r="D24" s="254">
        <v>1395008</v>
      </c>
      <c r="E24" s="254">
        <v>3000000</v>
      </c>
      <c r="F24" s="254">
        <v>0</v>
      </c>
      <c r="G24" s="461">
        <v>0</v>
      </c>
      <c r="H24" s="462">
        <v>1395008</v>
      </c>
      <c r="I24" s="329" t="s">
        <v>382</v>
      </c>
      <c r="J24" s="463" t="s">
        <v>966</v>
      </c>
    </row>
    <row r="25" spans="2:11">
      <c r="B25" s="362">
        <v>2021.08</v>
      </c>
      <c r="C25" s="257">
        <v>1265.3599999999999</v>
      </c>
      <c r="D25" s="254">
        <v>1750461</v>
      </c>
      <c r="E25" s="254">
        <v>3000000</v>
      </c>
      <c r="F25" s="254">
        <v>0</v>
      </c>
      <c r="G25" s="461">
        <v>0</v>
      </c>
      <c r="H25" s="462">
        <v>1750461</v>
      </c>
      <c r="I25" s="329" t="s">
        <v>382</v>
      </c>
      <c r="J25" s="463" t="s">
        <v>967</v>
      </c>
    </row>
    <row r="26" spans="2:11">
      <c r="B26" s="362">
        <v>2021.09</v>
      </c>
      <c r="C26" s="257">
        <v>1103.21</v>
      </c>
      <c r="D26" s="254">
        <v>1520433</v>
      </c>
      <c r="E26" s="254">
        <v>3000000</v>
      </c>
      <c r="F26" s="254">
        <v>0</v>
      </c>
      <c r="G26" s="461">
        <v>0</v>
      </c>
      <c r="H26" s="462">
        <v>1520433</v>
      </c>
      <c r="I26" s="329" t="s">
        <v>382</v>
      </c>
      <c r="J26" s="463" t="s">
        <v>968</v>
      </c>
    </row>
    <row r="27" spans="2:11">
      <c r="B27" s="362" t="s">
        <v>969</v>
      </c>
      <c r="C27" s="257">
        <v>926.86</v>
      </c>
      <c r="D27" s="254">
        <v>1251150</v>
      </c>
      <c r="E27" s="254">
        <v>3000000</v>
      </c>
      <c r="F27" s="254">
        <v>0</v>
      </c>
      <c r="G27" s="461">
        <v>0</v>
      </c>
      <c r="H27" s="462">
        <v>1251150</v>
      </c>
      <c r="I27" s="329" t="s">
        <v>382</v>
      </c>
      <c r="J27" s="463" t="s">
        <v>970</v>
      </c>
    </row>
    <row r="28" spans="2:11">
      <c r="B28" s="362">
        <v>2021.11</v>
      </c>
      <c r="C28" s="257">
        <v>986.28</v>
      </c>
      <c r="D28" s="254">
        <v>1314100</v>
      </c>
      <c r="E28" s="254">
        <v>3000000</v>
      </c>
      <c r="F28" s="254">
        <v>0</v>
      </c>
      <c r="G28" s="461">
        <v>0</v>
      </c>
      <c r="H28" s="462">
        <v>1314100</v>
      </c>
      <c r="I28" s="329" t="s">
        <v>382</v>
      </c>
      <c r="J28" s="463" t="s">
        <v>971</v>
      </c>
    </row>
    <row r="29" spans="2:11">
      <c r="B29" s="362">
        <v>2021.12</v>
      </c>
      <c r="C29" s="257">
        <v>1398817</v>
      </c>
      <c r="D29" s="254">
        <v>3000000</v>
      </c>
      <c r="E29" s="254">
        <v>7000000</v>
      </c>
      <c r="F29" s="254">
        <v>4000000</v>
      </c>
      <c r="G29" s="461">
        <v>2601183</v>
      </c>
      <c r="H29" s="462"/>
      <c r="I29" s="329" t="s">
        <v>382</v>
      </c>
      <c r="J29" s="463" t="s">
        <v>972</v>
      </c>
    </row>
    <row r="31" spans="2:11">
      <c r="B31" s="311" t="s">
        <v>973</v>
      </c>
      <c r="C31" s="464" t="s">
        <v>974</v>
      </c>
      <c r="D31" s="464"/>
      <c r="E31" s="464"/>
      <c r="F31" s="464"/>
      <c r="G31" s="464"/>
      <c r="H31" s="464"/>
      <c r="I31" s="2"/>
      <c r="J31" s="2"/>
    </row>
    <row r="32" spans="2:11">
      <c r="B32" s="311" t="s">
        <v>942</v>
      </c>
      <c r="C32" s="313">
        <v>5000000</v>
      </c>
      <c r="D32" s="444" t="s">
        <v>975</v>
      </c>
      <c r="E32" s="314" t="s">
        <v>976</v>
      </c>
      <c r="F32" s="2"/>
      <c r="G32" s="2"/>
      <c r="H32" s="2"/>
      <c r="I32" s="2"/>
      <c r="J32" s="2"/>
    </row>
    <row r="33" spans="2:10">
      <c r="B33" s="465" t="s">
        <v>977</v>
      </c>
      <c r="C33" s="313"/>
      <c r="D33" s="444"/>
      <c r="E33" s="314"/>
      <c r="F33" s="2"/>
      <c r="G33" s="2"/>
      <c r="H33" s="2"/>
      <c r="I33" s="2"/>
      <c r="J33" s="2"/>
    </row>
    <row r="34" spans="2:10">
      <c r="B34" s="311" t="s">
        <v>978</v>
      </c>
      <c r="C34" s="315" t="s">
        <v>979</v>
      </c>
      <c r="D34" s="314"/>
      <c r="E34" s="2"/>
      <c r="F34" s="2"/>
      <c r="G34" s="2"/>
      <c r="H34" s="2"/>
      <c r="I34" s="2"/>
      <c r="J34" s="2"/>
    </row>
    <row r="35" spans="2:10">
      <c r="B35" s="459" t="s">
        <v>980</v>
      </c>
      <c r="C35" s="459" t="s">
        <v>951</v>
      </c>
      <c r="D35" s="459" t="s">
        <v>952</v>
      </c>
      <c r="E35" s="459" t="s">
        <v>953</v>
      </c>
      <c r="F35" s="459" t="s">
        <v>954</v>
      </c>
      <c r="G35" s="460" t="s">
        <v>955</v>
      </c>
      <c r="H35" s="460" t="s">
        <v>956</v>
      </c>
      <c r="I35" s="460" t="s">
        <v>957</v>
      </c>
      <c r="J35" s="447" t="s">
        <v>981</v>
      </c>
    </row>
    <row r="36" spans="2:10">
      <c r="B36" s="2"/>
      <c r="C36" s="2"/>
      <c r="D36" s="2"/>
      <c r="E36" s="2"/>
      <c r="F36" s="2"/>
      <c r="G36" s="2"/>
      <c r="H36" s="2"/>
      <c r="I36" s="2"/>
      <c r="J36" s="2"/>
    </row>
  </sheetData>
  <mergeCells count="1">
    <mergeCell ref="C31:H31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2:J29"/>
  <sheetViews>
    <sheetView zoomScale="90" zoomScaleNormal="90" workbookViewId="0">
      <selection activeCell="D23" sqref="D23"/>
    </sheetView>
  </sheetViews>
  <sheetFormatPr defaultRowHeight="17.399999999999999"/>
  <cols>
    <col min="1" max="1" width="4.69921875" style="79" customWidth="1"/>
    <col min="2" max="2" width="14.19921875" style="79" customWidth="1"/>
    <col min="3" max="3" width="16.5" style="79" customWidth="1"/>
    <col min="4" max="4" width="19.296875" style="79" customWidth="1"/>
    <col min="5" max="5" width="15" style="79" bestFit="1" customWidth="1"/>
    <col min="6" max="6" width="13.296875" style="79" customWidth="1"/>
    <col min="7" max="7" width="15.5" style="79" customWidth="1"/>
    <col min="8" max="8" width="13.69921875" style="79" bestFit="1" customWidth="1"/>
    <col min="9" max="9" width="12" style="79" bestFit="1" customWidth="1"/>
    <col min="10" max="10" width="15.09765625" style="79" customWidth="1"/>
    <col min="11" max="16384" width="8.796875" style="79"/>
  </cols>
  <sheetData>
    <row r="2" spans="2:10" s="2" customFormat="1" ht="18" thickBot="1">
      <c r="B2" s="245" t="s">
        <v>982</v>
      </c>
      <c r="C2" s="2" t="s">
        <v>983</v>
      </c>
    </row>
    <row r="3" spans="2:10" s="2" customFormat="1" ht="15.6">
      <c r="B3" s="247" t="s">
        <v>984</v>
      </c>
      <c r="C3" s="248">
        <v>1</v>
      </c>
      <c r="D3" s="280" t="s">
        <v>985</v>
      </c>
    </row>
    <row r="4" spans="2:10" s="2" customFormat="1" ht="17.55" customHeight="1">
      <c r="B4" s="281" t="s">
        <v>424</v>
      </c>
      <c r="C4" s="282" t="s">
        <v>986</v>
      </c>
      <c r="D4" s="252" t="s">
        <v>987</v>
      </c>
    </row>
    <row r="5" spans="2:10" s="2" customFormat="1" ht="15.6">
      <c r="B5" s="256" t="s">
        <v>988</v>
      </c>
      <c r="C5" s="441">
        <f>H22</f>
        <v>472861</v>
      </c>
      <c r="D5" s="255"/>
    </row>
    <row r="6" spans="2:10" s="2" customFormat="1" ht="15.6">
      <c r="B6" s="256"/>
      <c r="C6" s="441"/>
      <c r="D6" s="255"/>
    </row>
    <row r="7" spans="2:10" s="2" customFormat="1" ht="15" customHeight="1">
      <c r="B7" s="281" t="s">
        <v>0</v>
      </c>
      <c r="C7" s="442">
        <f>SUM(C5:C6)</f>
        <v>472861</v>
      </c>
      <c r="D7" s="255"/>
    </row>
    <row r="8" spans="2:10" s="2" customFormat="1" ht="16.2" thickBot="1">
      <c r="B8" s="443" t="s">
        <v>989</v>
      </c>
      <c r="C8" s="307"/>
      <c r="D8" s="308"/>
    </row>
    <row r="9" spans="2:10" s="2" customFormat="1" ht="15.6"/>
    <row r="10" spans="2:10" s="2" customFormat="1">
      <c r="B10" s="310" t="s">
        <v>892</v>
      </c>
    </row>
    <row r="11" spans="2:10" s="2" customFormat="1" ht="15.6">
      <c r="B11" s="311" t="s">
        <v>857</v>
      </c>
      <c r="C11" s="312" t="s">
        <v>990</v>
      </c>
      <c r="D11" s="311"/>
    </row>
    <row r="12" spans="2:10" s="2" customFormat="1" ht="15.6">
      <c r="B12" s="311" t="s">
        <v>830</v>
      </c>
      <c r="C12" s="313">
        <v>2500000</v>
      </c>
      <c r="D12" s="444" t="s">
        <v>756</v>
      </c>
      <c r="E12" s="314" t="s">
        <v>991</v>
      </c>
    </row>
    <row r="13" spans="2:10" s="2" customFormat="1" ht="15.6">
      <c r="B13" s="311" t="s">
        <v>992</v>
      </c>
      <c r="C13" s="466" t="s">
        <v>993</v>
      </c>
      <c r="D13" s="314"/>
    </row>
    <row r="14" spans="2:10" s="2" customFormat="1" ht="15.6">
      <c r="B14" s="459" t="s">
        <v>994</v>
      </c>
      <c r="C14" s="459" t="s">
        <v>951</v>
      </c>
      <c r="D14" s="459" t="s">
        <v>952</v>
      </c>
      <c r="E14" s="459" t="s">
        <v>953</v>
      </c>
      <c r="F14" s="459" t="s">
        <v>954</v>
      </c>
      <c r="G14" s="460" t="s">
        <v>955</v>
      </c>
      <c r="H14" s="460" t="s">
        <v>956</v>
      </c>
      <c r="I14" s="460" t="s">
        <v>957</v>
      </c>
      <c r="J14" s="447" t="s">
        <v>903</v>
      </c>
    </row>
    <row r="15" spans="2:10" s="2" customFormat="1" ht="15.6">
      <c r="B15" s="329">
        <v>2021.05</v>
      </c>
      <c r="C15" s="257">
        <v>674.1</v>
      </c>
      <c r="D15" s="254">
        <v>912185</v>
      </c>
      <c r="E15" s="254">
        <v>2500000</v>
      </c>
      <c r="F15" s="254">
        <v>2500000</v>
      </c>
      <c r="G15" s="461">
        <f>F15-D15</f>
        <v>1587815</v>
      </c>
      <c r="H15" s="361">
        <v>0</v>
      </c>
      <c r="I15" s="329" t="s">
        <v>382</v>
      </c>
      <c r="J15" s="329" t="s">
        <v>832</v>
      </c>
    </row>
    <row r="16" spans="2:10" s="2" customFormat="1" ht="15.6">
      <c r="B16" s="329">
        <v>2021.06</v>
      </c>
      <c r="C16" s="257">
        <v>536.04</v>
      </c>
      <c r="D16" s="254">
        <v>729877</v>
      </c>
      <c r="E16" s="254">
        <v>2500000</v>
      </c>
      <c r="F16" s="254">
        <v>1587815</v>
      </c>
      <c r="G16" s="461">
        <v>857938</v>
      </c>
      <c r="H16" s="361">
        <v>0</v>
      </c>
      <c r="I16" s="329" t="s">
        <v>382</v>
      </c>
      <c r="J16" s="329" t="s">
        <v>995</v>
      </c>
    </row>
    <row r="17" spans="1:10">
      <c r="A17" s="2"/>
      <c r="B17" s="329">
        <v>2021.07</v>
      </c>
      <c r="C17" s="257">
        <v>432.99</v>
      </c>
      <c r="D17" s="254">
        <v>589005</v>
      </c>
      <c r="E17" s="254">
        <v>2500000</v>
      </c>
      <c r="F17" s="254">
        <v>857938</v>
      </c>
      <c r="G17" s="461">
        <v>268933</v>
      </c>
      <c r="H17" s="361">
        <v>0</v>
      </c>
      <c r="I17" s="329" t="s">
        <v>382</v>
      </c>
      <c r="J17" s="329" t="s">
        <v>996</v>
      </c>
    </row>
    <row r="18" spans="1:10">
      <c r="B18" s="329">
        <v>2021.08</v>
      </c>
      <c r="C18" s="257">
        <v>684.88</v>
      </c>
      <c r="D18" s="254">
        <v>947442</v>
      </c>
      <c r="E18" s="254">
        <v>2500000</v>
      </c>
      <c r="F18" s="254">
        <v>268933</v>
      </c>
      <c r="G18" s="461">
        <f>F18-D18</f>
        <v>-678509</v>
      </c>
      <c r="H18" s="361">
        <v>678509</v>
      </c>
      <c r="I18" s="329" t="s">
        <v>382</v>
      </c>
      <c r="J18" s="463" t="s">
        <v>921</v>
      </c>
    </row>
    <row r="19" spans="1:10">
      <c r="B19" s="329">
        <v>2021.09</v>
      </c>
      <c r="C19" s="257">
        <v>589.46</v>
      </c>
      <c r="D19" s="254">
        <v>812388</v>
      </c>
      <c r="E19" s="254">
        <v>2500000</v>
      </c>
      <c r="F19" s="254">
        <v>0</v>
      </c>
      <c r="G19" s="461">
        <v>0</v>
      </c>
      <c r="H19" s="361">
        <v>812388</v>
      </c>
      <c r="I19" s="329" t="s">
        <v>382</v>
      </c>
      <c r="J19" s="463" t="s">
        <v>924</v>
      </c>
    </row>
    <row r="20" spans="1:10">
      <c r="B20" s="362" t="s">
        <v>879</v>
      </c>
      <c r="C20" s="257">
        <v>496.43</v>
      </c>
      <c r="D20" s="254">
        <v>670121</v>
      </c>
      <c r="E20" s="254">
        <v>2500000</v>
      </c>
      <c r="F20" s="254">
        <v>0</v>
      </c>
      <c r="G20" s="461">
        <v>0</v>
      </c>
      <c r="H20" s="361">
        <v>670121</v>
      </c>
      <c r="I20" s="329" t="s">
        <v>382</v>
      </c>
      <c r="J20" s="463" t="s">
        <v>925</v>
      </c>
    </row>
    <row r="21" spans="1:10">
      <c r="B21" s="362">
        <v>2021.11</v>
      </c>
      <c r="C21" s="257">
        <v>405.51</v>
      </c>
      <c r="D21" s="254">
        <v>540293</v>
      </c>
      <c r="E21" s="254">
        <v>2500000</v>
      </c>
      <c r="F21" s="254">
        <v>0</v>
      </c>
      <c r="G21" s="461">
        <v>0</v>
      </c>
      <c r="H21" s="361">
        <v>540293</v>
      </c>
      <c r="I21" s="329" t="s">
        <v>382</v>
      </c>
      <c r="J21" s="463" t="s">
        <v>927</v>
      </c>
    </row>
    <row r="22" spans="1:10">
      <c r="B22" s="362">
        <v>2021.12</v>
      </c>
      <c r="C22" s="257">
        <v>347.37</v>
      </c>
      <c r="D22" s="254">
        <v>472861</v>
      </c>
      <c r="E22" s="254">
        <v>2500000</v>
      </c>
      <c r="F22" s="254">
        <v>0</v>
      </c>
      <c r="G22" s="461">
        <v>0</v>
      </c>
      <c r="H22" s="361">
        <v>472861</v>
      </c>
      <c r="I22" s="329" t="s">
        <v>382</v>
      </c>
      <c r="J22" s="463" t="s">
        <v>997</v>
      </c>
    </row>
    <row r="25" spans="1:10">
      <c r="B25" s="311" t="s">
        <v>857</v>
      </c>
      <c r="C25" s="464" t="s">
        <v>998</v>
      </c>
      <c r="D25" s="464"/>
      <c r="E25" s="464"/>
      <c r="F25" s="2"/>
      <c r="G25" s="2"/>
      <c r="H25" s="2"/>
      <c r="I25" s="2"/>
      <c r="J25" s="2"/>
    </row>
    <row r="26" spans="1:10">
      <c r="B26" s="311" t="s">
        <v>830</v>
      </c>
      <c r="C26" s="313">
        <v>3000000</v>
      </c>
      <c r="D26" s="444" t="s">
        <v>748</v>
      </c>
      <c r="E26" s="314" t="s">
        <v>999</v>
      </c>
      <c r="F26" s="2"/>
      <c r="G26" s="2"/>
      <c r="H26" s="2"/>
      <c r="I26" s="2"/>
      <c r="J26" s="2"/>
    </row>
    <row r="27" spans="1:10">
      <c r="B27" s="465" t="s">
        <v>1000</v>
      </c>
      <c r="C27" s="313"/>
      <c r="D27" s="444"/>
      <c r="E27" s="314"/>
      <c r="F27" s="2"/>
      <c r="G27" s="2"/>
      <c r="H27" s="2"/>
      <c r="I27" s="2"/>
      <c r="J27" s="2"/>
    </row>
    <row r="28" spans="1:10">
      <c r="B28" s="311" t="s">
        <v>1001</v>
      </c>
      <c r="C28" s="466" t="s">
        <v>1002</v>
      </c>
      <c r="D28" s="314"/>
      <c r="E28" s="2"/>
      <c r="F28" s="2"/>
      <c r="G28" s="2"/>
      <c r="H28" s="2"/>
      <c r="I28" s="2"/>
      <c r="J28" s="2"/>
    </row>
    <row r="29" spans="1:10">
      <c r="B29" s="459" t="s">
        <v>1003</v>
      </c>
      <c r="C29" s="459" t="s">
        <v>951</v>
      </c>
      <c r="D29" s="459" t="s">
        <v>952</v>
      </c>
      <c r="E29" s="459" t="s">
        <v>953</v>
      </c>
      <c r="F29" s="459" t="s">
        <v>954</v>
      </c>
      <c r="G29" s="460" t="s">
        <v>955</v>
      </c>
      <c r="H29" s="460" t="s">
        <v>956</v>
      </c>
      <c r="I29" s="460" t="s">
        <v>957</v>
      </c>
      <c r="J29" s="447" t="s">
        <v>1004</v>
      </c>
    </row>
  </sheetData>
  <mergeCells count="1">
    <mergeCell ref="C25:E25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2:N25"/>
  <sheetViews>
    <sheetView zoomScale="90" zoomScaleNormal="90" workbookViewId="0">
      <selection activeCell="D23" sqref="D23"/>
    </sheetView>
  </sheetViews>
  <sheetFormatPr defaultRowHeight="17.399999999999999"/>
  <cols>
    <col min="1" max="1" width="4.09765625" style="79" customWidth="1"/>
    <col min="2" max="2" width="16.3984375" style="79" customWidth="1"/>
    <col min="3" max="3" width="21.19921875" style="79" customWidth="1"/>
    <col min="4" max="4" width="14.5" style="79" customWidth="1"/>
    <col min="5" max="5" width="13.19921875" style="79" bestFit="1" customWidth="1"/>
    <col min="6" max="6" width="13.3984375" style="79" customWidth="1"/>
    <col min="7" max="7" width="11.796875" style="79" customWidth="1"/>
    <col min="8" max="8" width="9.69921875" style="79" customWidth="1"/>
    <col min="9" max="9" width="14.19921875" style="79" customWidth="1"/>
    <col min="10" max="10" width="10.296875" style="79" customWidth="1"/>
    <col min="11" max="11" width="17.69921875" style="79" bestFit="1" customWidth="1"/>
    <col min="12" max="12" width="13.09765625" style="79" customWidth="1"/>
    <col min="13" max="13" width="11.8984375" style="79" bestFit="1" customWidth="1"/>
    <col min="14" max="14" width="13.296875" style="79" bestFit="1" customWidth="1"/>
    <col min="15" max="15" width="12.59765625" style="79" bestFit="1" customWidth="1"/>
    <col min="16" max="16384" width="8.796875" style="79"/>
  </cols>
  <sheetData>
    <row r="2" spans="2:14" s="2" customFormat="1" ht="18" thickBot="1">
      <c r="B2" s="245" t="s">
        <v>1005</v>
      </c>
      <c r="C2" s="467"/>
      <c r="D2" s="467" t="s">
        <v>1006</v>
      </c>
    </row>
    <row r="3" spans="2:14" s="2" customFormat="1" ht="15.6">
      <c r="B3" s="247" t="s">
        <v>1007</v>
      </c>
      <c r="C3" s="248">
        <v>1</v>
      </c>
      <c r="D3" s="280" t="s">
        <v>1008</v>
      </c>
    </row>
    <row r="4" spans="2:14" s="2" customFormat="1" ht="17.55" customHeight="1">
      <c r="B4" s="281" t="s">
        <v>424</v>
      </c>
      <c r="C4" s="282" t="s">
        <v>1009</v>
      </c>
      <c r="D4" s="252" t="s">
        <v>1010</v>
      </c>
    </row>
    <row r="5" spans="2:14" s="2" customFormat="1" ht="15.6">
      <c r="B5" s="256" t="s">
        <v>1011</v>
      </c>
      <c r="C5" s="441">
        <f>L25</f>
        <v>244488</v>
      </c>
      <c r="D5" s="255" t="s">
        <v>1012</v>
      </c>
    </row>
    <row r="6" spans="2:14" s="2" customFormat="1" ht="15.6">
      <c r="B6" s="281" t="s">
        <v>0</v>
      </c>
      <c r="C6" s="442">
        <f>SUM(C5)</f>
        <v>244488</v>
      </c>
      <c r="D6" s="255"/>
    </row>
    <row r="7" spans="2:14" s="2" customFormat="1" ht="15" customHeight="1" thickBot="1">
      <c r="B7" s="443" t="s">
        <v>1013</v>
      </c>
      <c r="C7" s="307"/>
      <c r="D7" s="308"/>
    </row>
    <row r="8" spans="2:14" s="2" customFormat="1" ht="15.6"/>
    <row r="9" spans="2:14" s="2" customFormat="1">
      <c r="B9" s="310" t="s">
        <v>1014</v>
      </c>
    </row>
    <row r="10" spans="2:14" s="2" customFormat="1" ht="15.6">
      <c r="B10" s="311" t="s">
        <v>1015</v>
      </c>
      <c r="C10" s="312" t="s">
        <v>1016</v>
      </c>
      <c r="D10" s="311"/>
    </row>
    <row r="11" spans="2:14" s="2" customFormat="1" ht="15.6">
      <c r="B11" s="311" t="s">
        <v>1017</v>
      </c>
      <c r="C11" s="313">
        <v>6000000</v>
      </c>
      <c r="D11" s="444" t="s">
        <v>1018</v>
      </c>
      <c r="E11" s="314" t="s">
        <v>1019</v>
      </c>
    </row>
    <row r="12" spans="2:14" s="2" customFormat="1" ht="15.6">
      <c r="B12" s="311" t="s">
        <v>1020</v>
      </c>
      <c r="C12" s="466" t="s">
        <v>1021</v>
      </c>
      <c r="D12" s="314"/>
    </row>
    <row r="13" spans="2:14">
      <c r="B13" s="311" t="s">
        <v>1022</v>
      </c>
      <c r="C13" s="468" t="s">
        <v>1023</v>
      </c>
    </row>
    <row r="14" spans="2:14" s="473" customFormat="1" ht="31.2">
      <c r="B14" s="469" t="s">
        <v>1024</v>
      </c>
      <c r="C14" s="470" t="s">
        <v>1025</v>
      </c>
      <c r="D14" s="469" t="s">
        <v>1026</v>
      </c>
      <c r="E14" s="470" t="s">
        <v>1027</v>
      </c>
      <c r="F14" s="469" t="s">
        <v>1028</v>
      </c>
      <c r="G14" s="471" t="s">
        <v>1029</v>
      </c>
      <c r="H14" s="460" t="s">
        <v>1030</v>
      </c>
      <c r="I14" s="471" t="s">
        <v>1031</v>
      </c>
      <c r="J14" s="469" t="s">
        <v>1032</v>
      </c>
      <c r="K14" s="469" t="s">
        <v>1033</v>
      </c>
      <c r="L14" s="472" t="s">
        <v>1034</v>
      </c>
      <c r="M14" s="472" t="s">
        <v>1035</v>
      </c>
      <c r="N14" s="447" t="s">
        <v>903</v>
      </c>
    </row>
    <row r="15" spans="2:14">
      <c r="B15" s="362" t="s">
        <v>1036</v>
      </c>
      <c r="C15" s="461">
        <v>157759459.19999999</v>
      </c>
      <c r="D15" s="474">
        <v>7.8299999999999995E-2</v>
      </c>
      <c r="E15" s="461">
        <v>12352565.655359998</v>
      </c>
      <c r="F15" s="461">
        <v>3705769.696608</v>
      </c>
      <c r="G15" s="475">
        <v>0.5</v>
      </c>
      <c r="H15" s="461">
        <v>4323398</v>
      </c>
      <c r="I15" s="475">
        <v>0.8</v>
      </c>
      <c r="J15" s="461">
        <v>3458718</v>
      </c>
      <c r="K15" s="461">
        <v>3458718</v>
      </c>
      <c r="L15" s="461">
        <v>0</v>
      </c>
      <c r="M15" s="476">
        <f>C11-K15</f>
        <v>2541282</v>
      </c>
      <c r="N15" s="329" t="s">
        <v>995</v>
      </c>
    </row>
    <row r="16" spans="2:14">
      <c r="B16" s="362" t="s">
        <v>1037</v>
      </c>
      <c r="C16" s="461">
        <v>76836556.799999997</v>
      </c>
      <c r="D16" s="474">
        <v>7.9299999999999995E-2</v>
      </c>
      <c r="E16" s="461">
        <v>6093138.9542399999</v>
      </c>
      <c r="F16" s="461">
        <v>1827941.686272</v>
      </c>
      <c r="G16" s="475">
        <v>0.5</v>
      </c>
      <c r="H16" s="461">
        <v>2132599</v>
      </c>
      <c r="I16" s="475">
        <v>0.8</v>
      </c>
      <c r="J16" s="461">
        <v>1706079</v>
      </c>
      <c r="K16" s="461">
        <v>1706079</v>
      </c>
      <c r="L16" s="461"/>
      <c r="M16" s="476">
        <f>M15-K16</f>
        <v>835203</v>
      </c>
      <c r="N16" s="329" t="s">
        <v>1038</v>
      </c>
    </row>
    <row r="17" spans="2:14">
      <c r="B17" s="362" t="s">
        <v>1039</v>
      </c>
      <c r="C17" s="461">
        <v>86974830</v>
      </c>
      <c r="D17" s="474">
        <v>7.8600000000000003E-2</v>
      </c>
      <c r="E17" s="461">
        <v>6836222</v>
      </c>
      <c r="F17" s="461">
        <v>2050866</v>
      </c>
      <c r="G17" s="475">
        <v>0.5</v>
      </c>
      <c r="H17" s="461">
        <v>2392678</v>
      </c>
      <c r="I17" s="475">
        <v>0.8</v>
      </c>
      <c r="J17" s="461">
        <v>1914142</v>
      </c>
      <c r="K17" s="461">
        <v>835203</v>
      </c>
      <c r="L17" s="477">
        <v>1078939</v>
      </c>
      <c r="M17" s="476"/>
      <c r="N17" s="451" t="s">
        <v>1040</v>
      </c>
    </row>
    <row r="18" spans="2:14">
      <c r="B18" s="362" t="s">
        <v>1041</v>
      </c>
      <c r="C18" s="461">
        <v>57607558.799999997</v>
      </c>
      <c r="D18" s="474">
        <v>7.6999999999999999E-2</v>
      </c>
      <c r="E18" s="461">
        <v>4435782.0275999997</v>
      </c>
      <c r="F18" s="461">
        <v>1330734.6082799998</v>
      </c>
      <c r="G18" s="475">
        <v>0.5</v>
      </c>
      <c r="H18" s="461">
        <v>1552524</v>
      </c>
      <c r="I18" s="475">
        <v>0.8</v>
      </c>
      <c r="J18" s="461">
        <v>1242019</v>
      </c>
      <c r="K18" s="461">
        <v>0</v>
      </c>
      <c r="L18" s="477">
        <v>1242019</v>
      </c>
      <c r="M18" s="476"/>
      <c r="N18" s="451" t="s">
        <v>1042</v>
      </c>
    </row>
    <row r="19" spans="2:14">
      <c r="B19" s="362" t="s">
        <v>1043</v>
      </c>
      <c r="C19" s="461">
        <v>53342150</v>
      </c>
      <c r="D19" s="474">
        <v>7.85E-2</v>
      </c>
      <c r="E19" s="461">
        <v>4187359</v>
      </c>
      <c r="F19" s="461">
        <v>1256208</v>
      </c>
      <c r="G19" s="475">
        <v>0.5</v>
      </c>
      <c r="H19" s="461">
        <v>1465576</v>
      </c>
      <c r="I19" s="475">
        <v>0.8</v>
      </c>
      <c r="J19" s="461">
        <v>1172460</v>
      </c>
      <c r="K19" s="461">
        <v>0</v>
      </c>
      <c r="L19" s="477">
        <v>1172460</v>
      </c>
      <c r="M19" s="476"/>
      <c r="N19" s="451" t="s">
        <v>1044</v>
      </c>
    </row>
    <row r="20" spans="2:14">
      <c r="B20" s="362" t="s">
        <v>1045</v>
      </c>
      <c r="C20" s="461">
        <v>44723318.399999999</v>
      </c>
      <c r="D20" s="474">
        <v>7.8299999999999995E-2</v>
      </c>
      <c r="E20" s="461">
        <v>3501835.8307199995</v>
      </c>
      <c r="F20" s="461">
        <v>1050550.7492159999</v>
      </c>
      <c r="G20" s="475">
        <v>0.5</v>
      </c>
      <c r="H20" s="461">
        <v>1225643</v>
      </c>
      <c r="I20" s="475">
        <v>0.8</v>
      </c>
      <c r="J20" s="461">
        <v>980514</v>
      </c>
      <c r="K20" s="461">
        <v>0</v>
      </c>
      <c r="L20" s="477">
        <v>980514</v>
      </c>
      <c r="M20" s="476"/>
      <c r="N20" s="451" t="s">
        <v>1046</v>
      </c>
    </row>
    <row r="21" spans="2:14">
      <c r="B21" s="362" t="s">
        <v>1047</v>
      </c>
      <c r="C21" s="478">
        <v>62816006.399999999</v>
      </c>
      <c r="D21" s="479">
        <v>7.8899999999999998E-2</v>
      </c>
      <c r="E21" s="480">
        <v>3501835.8307199995</v>
      </c>
      <c r="F21" s="481">
        <v>1486854.871488</v>
      </c>
      <c r="G21" s="482">
        <v>0.5</v>
      </c>
      <c r="H21" s="481">
        <v>1734664</v>
      </c>
      <c r="I21" s="482">
        <v>0.8</v>
      </c>
      <c r="J21" s="481">
        <v>1387731</v>
      </c>
      <c r="K21" s="481">
        <v>0</v>
      </c>
      <c r="L21" s="477">
        <v>1387731</v>
      </c>
      <c r="M21" s="476"/>
      <c r="N21" s="451" t="s">
        <v>1048</v>
      </c>
    </row>
    <row r="22" spans="2:14">
      <c r="B22" s="362" t="s">
        <v>1049</v>
      </c>
      <c r="C22" s="478">
        <v>42831348</v>
      </c>
      <c r="D22" s="479">
        <v>8.0600000000000005E-2</v>
      </c>
      <c r="E22" s="480">
        <v>3452206.6488000001</v>
      </c>
      <c r="F22" s="481">
        <v>1035661.9946399999</v>
      </c>
      <c r="G22" s="482">
        <v>0.5</v>
      </c>
      <c r="H22" s="481">
        <v>1208272</v>
      </c>
      <c r="I22" s="482">
        <v>0.8</v>
      </c>
      <c r="J22" s="481">
        <v>966617</v>
      </c>
      <c r="K22" s="481">
        <v>0</v>
      </c>
      <c r="L22" s="477">
        <v>966617</v>
      </c>
      <c r="M22" s="483"/>
      <c r="N22" s="451" t="s">
        <v>1050</v>
      </c>
    </row>
    <row r="23" spans="2:14">
      <c r="B23" s="362" t="s">
        <v>1051</v>
      </c>
      <c r="C23" s="478">
        <v>34779614.399999999</v>
      </c>
      <c r="D23" s="479">
        <v>8.2100000000000006E-2</v>
      </c>
      <c r="E23" s="480">
        <v>2855406.3422400001</v>
      </c>
      <c r="F23" s="481">
        <v>856621.902672</v>
      </c>
      <c r="G23" s="482">
        <v>0.5</v>
      </c>
      <c r="H23" s="481">
        <v>999392</v>
      </c>
      <c r="I23" s="482">
        <v>0.8</v>
      </c>
      <c r="J23" s="481">
        <v>799513</v>
      </c>
      <c r="K23" s="481"/>
      <c r="L23" s="477">
        <v>799513</v>
      </c>
      <c r="M23" s="483"/>
      <c r="N23" s="451" t="s">
        <v>1052</v>
      </c>
    </row>
    <row r="24" spans="2:14">
      <c r="B24" s="362" t="s">
        <v>1053</v>
      </c>
      <c r="C24" s="478">
        <v>23910433.199999999</v>
      </c>
      <c r="D24" s="479">
        <v>8.3499999999999991E-2</v>
      </c>
      <c r="E24" s="480">
        <v>1996521.1721999997</v>
      </c>
      <c r="F24" s="481">
        <v>598956.35165999993</v>
      </c>
      <c r="G24" s="482">
        <v>0.5</v>
      </c>
      <c r="H24" s="481">
        <v>1397564.8205399998</v>
      </c>
      <c r="I24" s="482">
        <v>0.8</v>
      </c>
      <c r="J24" s="481">
        <v>559025</v>
      </c>
      <c r="K24" s="481"/>
      <c r="L24" s="477">
        <v>559025</v>
      </c>
      <c r="M24" s="483"/>
      <c r="N24" s="451" t="s">
        <v>1054</v>
      </c>
    </row>
    <row r="25" spans="2:14">
      <c r="B25" s="362" t="s">
        <v>1055</v>
      </c>
      <c r="C25" s="478">
        <v>10520150.399999999</v>
      </c>
      <c r="D25" s="479">
        <v>8.3000000000000004E-2</v>
      </c>
      <c r="E25" s="480">
        <v>873172.4831999999</v>
      </c>
      <c r="F25" s="481">
        <v>261951.74495999995</v>
      </c>
      <c r="G25" s="482">
        <v>0.5</v>
      </c>
      <c r="H25" s="481">
        <v>305610</v>
      </c>
      <c r="I25" s="482">
        <v>0.8</v>
      </c>
      <c r="J25" s="481">
        <v>244488</v>
      </c>
      <c r="K25" s="481"/>
      <c r="L25" s="477">
        <v>244488</v>
      </c>
      <c r="M25" s="483"/>
      <c r="N25" s="484" t="s">
        <v>1056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2:N13"/>
  <sheetViews>
    <sheetView zoomScale="90" zoomScaleNormal="90" workbookViewId="0">
      <selection activeCell="D18" sqref="D18"/>
    </sheetView>
  </sheetViews>
  <sheetFormatPr defaultRowHeight="17.399999999999999"/>
  <cols>
    <col min="1" max="1" width="4.09765625" style="79" customWidth="1"/>
    <col min="2" max="2" width="16.3984375" style="79" customWidth="1"/>
    <col min="3" max="3" width="21.19921875" style="79" customWidth="1"/>
    <col min="4" max="4" width="18.8984375" style="79" customWidth="1"/>
    <col min="5" max="5" width="13.19921875" style="79" bestFit="1" customWidth="1"/>
    <col min="6" max="6" width="13.3984375" style="79" customWidth="1"/>
    <col min="7" max="7" width="11.796875" style="79" customWidth="1"/>
    <col min="8" max="8" width="9.69921875" style="79" customWidth="1"/>
    <col min="9" max="9" width="14.19921875" style="79" customWidth="1"/>
    <col min="10" max="10" width="10.296875" style="79" customWidth="1"/>
    <col min="11" max="11" width="17.69921875" style="79" bestFit="1" customWidth="1"/>
    <col min="12" max="12" width="13.09765625" style="79" customWidth="1"/>
    <col min="13" max="13" width="11.8984375" style="79" bestFit="1" customWidth="1"/>
    <col min="14" max="14" width="13.296875" style="79" bestFit="1" customWidth="1"/>
    <col min="15" max="15" width="12.59765625" style="79" bestFit="1" customWidth="1"/>
    <col min="16" max="16384" width="8.796875" style="79"/>
  </cols>
  <sheetData>
    <row r="2" spans="2:14" s="2" customFormat="1" ht="18" thickBot="1">
      <c r="B2" s="245" t="s">
        <v>1005</v>
      </c>
      <c r="C2" s="467"/>
      <c r="D2" s="467" t="s">
        <v>1006</v>
      </c>
    </row>
    <row r="3" spans="2:14" s="2" customFormat="1" ht="15.6">
      <c r="B3" s="247" t="s">
        <v>1007</v>
      </c>
      <c r="C3" s="248">
        <v>1</v>
      </c>
      <c r="D3" s="280" t="s">
        <v>1008</v>
      </c>
    </row>
    <row r="4" spans="2:14" s="2" customFormat="1" ht="17.55" customHeight="1">
      <c r="B4" s="281" t="s">
        <v>424</v>
      </c>
      <c r="C4" s="282" t="s">
        <v>1009</v>
      </c>
      <c r="D4" s="252" t="s">
        <v>1010</v>
      </c>
    </row>
    <row r="5" spans="2:14" s="2" customFormat="1" ht="15.6">
      <c r="B5" s="256" t="s">
        <v>793</v>
      </c>
      <c r="C5" s="441">
        <f>C11*85%</f>
        <v>8500000</v>
      </c>
      <c r="D5" s="255" t="s">
        <v>1012</v>
      </c>
    </row>
    <row r="6" spans="2:14" s="2" customFormat="1" ht="15.6">
      <c r="B6" s="281" t="s">
        <v>0</v>
      </c>
      <c r="C6" s="442">
        <f>SUM(C5)</f>
        <v>8500000</v>
      </c>
      <c r="D6" s="255"/>
    </row>
    <row r="7" spans="2:14" s="2" customFormat="1" ht="15" customHeight="1" thickBot="1">
      <c r="B7" s="513" t="s">
        <v>1122</v>
      </c>
      <c r="C7" s="307"/>
      <c r="D7" s="308"/>
    </row>
    <row r="8" spans="2:14" s="2" customFormat="1" ht="15.6"/>
    <row r="9" spans="2:14" s="2" customFormat="1">
      <c r="B9" s="310" t="s">
        <v>1119</v>
      </c>
    </row>
    <row r="10" spans="2:14" s="2" customFormat="1" ht="15.6">
      <c r="B10" s="311" t="s">
        <v>1015</v>
      </c>
      <c r="C10" s="312" t="s">
        <v>1120</v>
      </c>
      <c r="D10" s="311"/>
    </row>
    <row r="11" spans="2:14" s="2" customFormat="1" ht="15.6">
      <c r="B11" s="311" t="s">
        <v>1017</v>
      </c>
      <c r="C11" s="313">
        <v>10000000</v>
      </c>
      <c r="D11" s="444" t="s">
        <v>1018</v>
      </c>
      <c r="E11" s="314" t="s">
        <v>1118</v>
      </c>
    </row>
    <row r="12" spans="2:14" s="2" customFormat="1" ht="15.6">
      <c r="B12" s="311" t="s">
        <v>1020</v>
      </c>
      <c r="C12" s="466" t="s">
        <v>1121</v>
      </c>
      <c r="D12" s="314"/>
    </row>
    <row r="13" spans="2:14" s="473" customFormat="1" ht="31.2">
      <c r="B13" s="469" t="s">
        <v>1024</v>
      </c>
      <c r="C13" s="470" t="s">
        <v>1025</v>
      </c>
      <c r="D13" s="469" t="s">
        <v>1026</v>
      </c>
      <c r="E13" s="470" t="s">
        <v>1027</v>
      </c>
      <c r="F13" s="469" t="s">
        <v>1028</v>
      </c>
      <c r="G13" s="471" t="s">
        <v>1029</v>
      </c>
      <c r="H13" s="460" t="s">
        <v>1030</v>
      </c>
      <c r="I13" s="471" t="s">
        <v>1031</v>
      </c>
      <c r="J13" s="469" t="s">
        <v>1032</v>
      </c>
      <c r="K13" s="469" t="s">
        <v>1033</v>
      </c>
      <c r="L13" s="472" t="s">
        <v>1034</v>
      </c>
      <c r="M13" s="472" t="s">
        <v>1035</v>
      </c>
      <c r="N13" s="447" t="s">
        <v>903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N35"/>
  <sheetViews>
    <sheetView zoomScale="90" zoomScaleNormal="90" workbookViewId="0">
      <selection activeCell="D23" sqref="D23"/>
    </sheetView>
  </sheetViews>
  <sheetFormatPr defaultRowHeight="17.399999999999999"/>
  <cols>
    <col min="1" max="1" width="4.5" style="79" customWidth="1"/>
    <col min="2" max="2" width="20" style="79" customWidth="1"/>
    <col min="3" max="3" width="19.59765625" style="79" customWidth="1"/>
    <col min="4" max="4" width="19.19921875" style="79" customWidth="1"/>
    <col min="5" max="5" width="13.19921875" style="79" bestFit="1" customWidth="1"/>
    <col min="6" max="8" width="8.796875" style="79"/>
    <col min="9" max="9" width="10.19921875" style="79" customWidth="1"/>
    <col min="10" max="10" width="11.19921875" style="79" customWidth="1"/>
    <col min="11" max="11" width="12.3984375" style="79" customWidth="1"/>
    <col min="12" max="12" width="11.19921875" style="79" customWidth="1"/>
    <col min="13" max="13" width="11.8984375" style="79" customWidth="1"/>
    <col min="14" max="14" width="12" style="79" customWidth="1"/>
    <col min="15" max="15" width="9.796875" style="79" customWidth="1"/>
    <col min="16" max="16" width="8.796875" style="79"/>
    <col min="17" max="17" width="14.296875" style="79" customWidth="1"/>
    <col min="18" max="16384" width="8.796875" style="79"/>
  </cols>
  <sheetData>
    <row r="2" spans="2:14" s="2" customFormat="1" ht="18" thickBot="1">
      <c r="B2" s="245" t="s">
        <v>1057</v>
      </c>
      <c r="C2" s="2" t="s">
        <v>1058</v>
      </c>
    </row>
    <row r="3" spans="2:14" s="2" customFormat="1" ht="15.6">
      <c r="B3" s="247" t="s">
        <v>1059</v>
      </c>
      <c r="C3" s="248">
        <v>1</v>
      </c>
      <c r="D3" s="280" t="s">
        <v>1060</v>
      </c>
    </row>
    <row r="4" spans="2:14" s="2" customFormat="1" ht="17.55" customHeight="1">
      <c r="B4" s="281" t="s">
        <v>424</v>
      </c>
      <c r="C4" s="246" t="s">
        <v>1061</v>
      </c>
      <c r="D4" s="252" t="s">
        <v>404</v>
      </c>
    </row>
    <row r="5" spans="2:14" s="2" customFormat="1" ht="15.6">
      <c r="B5" s="256" t="s">
        <v>1062</v>
      </c>
      <c r="C5" s="441">
        <v>0</v>
      </c>
      <c r="D5" s="255"/>
    </row>
    <row r="6" spans="2:14" s="2" customFormat="1" ht="15.6">
      <c r="B6" s="281" t="s">
        <v>0</v>
      </c>
      <c r="C6" s="442">
        <f>SUM(C5)</f>
        <v>0</v>
      </c>
      <c r="D6" s="255"/>
    </row>
    <row r="7" spans="2:14" s="2" customFormat="1" ht="15" customHeight="1" thickBot="1">
      <c r="B7" s="443" t="s">
        <v>1063</v>
      </c>
      <c r="C7" s="307"/>
      <c r="D7" s="308"/>
    </row>
    <row r="8" spans="2:14" s="2" customFormat="1" ht="15.6"/>
    <row r="9" spans="2:14" s="2" customFormat="1">
      <c r="B9" s="310" t="s">
        <v>1064</v>
      </c>
    </row>
    <row r="10" spans="2:14" s="2" customFormat="1" ht="15.6">
      <c r="B10" s="311" t="s">
        <v>1065</v>
      </c>
      <c r="C10" s="312" t="s">
        <v>1066</v>
      </c>
      <c r="D10" s="311"/>
    </row>
    <row r="11" spans="2:14" s="2" customFormat="1" ht="15.6">
      <c r="B11" s="311" t="s">
        <v>1067</v>
      </c>
      <c r="C11" s="313">
        <v>2000000</v>
      </c>
      <c r="D11" s="444" t="s">
        <v>1068</v>
      </c>
      <c r="E11" s="314" t="s">
        <v>1069</v>
      </c>
    </row>
    <row r="12" spans="2:14" s="2" customFormat="1" ht="15.6">
      <c r="B12" s="311" t="s">
        <v>1070</v>
      </c>
      <c r="C12" s="485">
        <v>2021.08</v>
      </c>
      <c r="D12" s="314"/>
    </row>
    <row r="14" spans="2:14" ht="26.4">
      <c r="B14" s="486" t="s">
        <v>1071</v>
      </c>
      <c r="C14" s="486" t="s">
        <v>1072</v>
      </c>
      <c r="D14" s="486" t="s">
        <v>1073</v>
      </c>
      <c r="E14" s="486" t="s">
        <v>1074</v>
      </c>
      <c r="F14" s="487" t="s">
        <v>1075</v>
      </c>
      <c r="G14" s="487" t="s">
        <v>1076</v>
      </c>
      <c r="H14" s="487" t="s">
        <v>1077</v>
      </c>
      <c r="I14" s="488" t="s">
        <v>1078</v>
      </c>
      <c r="J14" s="486" t="s">
        <v>1079</v>
      </c>
      <c r="K14" s="486" t="s">
        <v>1080</v>
      </c>
      <c r="L14" s="487" t="s">
        <v>1081</v>
      </c>
      <c r="M14" s="487" t="s">
        <v>1082</v>
      </c>
      <c r="N14" s="487" t="s">
        <v>1083</v>
      </c>
    </row>
    <row r="15" spans="2:14">
      <c r="B15" s="489" t="s">
        <v>1084</v>
      </c>
      <c r="C15" s="490" t="s">
        <v>1085</v>
      </c>
      <c r="D15" s="490">
        <v>1981</v>
      </c>
      <c r="E15" s="490">
        <v>5943</v>
      </c>
      <c r="F15" s="491">
        <v>5943000</v>
      </c>
      <c r="G15" s="491">
        <v>5943000</v>
      </c>
      <c r="H15" s="491">
        <v>2912070</v>
      </c>
      <c r="I15" s="492">
        <v>0</v>
      </c>
      <c r="J15" s="493" t="s">
        <v>1086</v>
      </c>
      <c r="K15" s="494">
        <v>0.5</v>
      </c>
      <c r="L15" s="491">
        <v>1456035</v>
      </c>
      <c r="M15" s="495">
        <v>73803.752580645159</v>
      </c>
      <c r="N15" s="495">
        <f>C11-M15</f>
        <v>1926196.2474193547</v>
      </c>
    </row>
    <row r="16" spans="2:14">
      <c r="B16" s="489" t="s">
        <v>1087</v>
      </c>
      <c r="C16" s="490" t="s">
        <v>1088</v>
      </c>
      <c r="D16" s="490">
        <v>1477</v>
      </c>
      <c r="E16" s="490">
        <v>4431</v>
      </c>
      <c r="F16" s="491">
        <v>4431000</v>
      </c>
      <c r="G16" s="491">
        <v>4431000</v>
      </c>
      <c r="H16" s="491">
        <v>2171190</v>
      </c>
      <c r="I16" s="492">
        <v>0</v>
      </c>
      <c r="J16" s="493" t="s">
        <v>1086</v>
      </c>
      <c r="K16" s="494">
        <v>0.5</v>
      </c>
      <c r="L16" s="491">
        <v>1085595</v>
      </c>
      <c r="M16" s="495">
        <v>54863.403225806454</v>
      </c>
      <c r="N16" s="495">
        <v>1871332.8441935482</v>
      </c>
    </row>
    <row r="17" spans="2:14">
      <c r="B17" s="489" t="s">
        <v>1089</v>
      </c>
      <c r="C17" s="490" t="s">
        <v>1085</v>
      </c>
      <c r="D17" s="490">
        <v>1480</v>
      </c>
      <c r="E17" s="490">
        <v>4440</v>
      </c>
      <c r="F17" s="491">
        <v>4440000</v>
      </c>
      <c r="G17" s="491">
        <v>4440000</v>
      </c>
      <c r="H17" s="491">
        <v>2175600</v>
      </c>
      <c r="I17" s="492"/>
      <c r="J17" s="493" t="s">
        <v>1086</v>
      </c>
      <c r="K17" s="494">
        <v>0.5</v>
      </c>
      <c r="L17" s="491">
        <v>1087800</v>
      </c>
      <c r="M17" s="495">
        <v>55676.645161290326</v>
      </c>
      <c r="N17" s="495">
        <v>1815656.1990322578</v>
      </c>
    </row>
    <row r="18" spans="2:14">
      <c r="B18" s="489" t="s">
        <v>1090</v>
      </c>
      <c r="C18" s="490" t="s">
        <v>1088</v>
      </c>
      <c r="D18" s="490">
        <v>501</v>
      </c>
      <c r="E18" s="490">
        <v>1503</v>
      </c>
      <c r="F18" s="491">
        <v>1503000</v>
      </c>
      <c r="G18" s="491">
        <v>1503000</v>
      </c>
      <c r="H18" s="491">
        <v>736470</v>
      </c>
      <c r="I18" s="492"/>
      <c r="J18" s="493" t="s">
        <v>1086</v>
      </c>
      <c r="K18" s="494">
        <v>0.5</v>
      </c>
      <c r="L18" s="491">
        <v>368235</v>
      </c>
      <c r="M18" s="495">
        <v>18847.29677419355</v>
      </c>
      <c r="N18" s="495">
        <v>1796808.9022580641</v>
      </c>
    </row>
    <row r="19" spans="2:14">
      <c r="B19" s="489" t="s">
        <v>1091</v>
      </c>
      <c r="C19" s="490" t="s">
        <v>1085</v>
      </c>
      <c r="D19" s="490">
        <v>1712</v>
      </c>
      <c r="E19" s="490">
        <v>5136</v>
      </c>
      <c r="F19" s="491">
        <v>5136000</v>
      </c>
      <c r="G19" s="491">
        <v>5136000</v>
      </c>
      <c r="H19" s="491">
        <v>2516640</v>
      </c>
      <c r="I19" s="492"/>
      <c r="J19" s="493" t="s">
        <v>1086</v>
      </c>
      <c r="K19" s="494">
        <v>0.5</v>
      </c>
      <c r="L19" s="491">
        <v>1258320</v>
      </c>
      <c r="M19" s="495">
        <v>64431.396129032262</v>
      </c>
      <c r="N19" s="495">
        <v>1732377.5061290318</v>
      </c>
    </row>
    <row r="20" spans="2:14">
      <c r="B20" s="489" t="s">
        <v>1092</v>
      </c>
      <c r="C20" s="490" t="s">
        <v>1085</v>
      </c>
      <c r="D20" s="490">
        <v>622</v>
      </c>
      <c r="E20" s="490">
        <v>1866</v>
      </c>
      <c r="F20" s="491">
        <v>1866000</v>
      </c>
      <c r="G20" s="491">
        <v>1866000</v>
      </c>
      <c r="H20" s="491">
        <v>914340</v>
      </c>
      <c r="I20" s="492"/>
      <c r="J20" s="493" t="s">
        <v>1086</v>
      </c>
      <c r="K20" s="494">
        <v>0.5</v>
      </c>
      <c r="L20" s="491">
        <v>457170</v>
      </c>
      <c r="M20" s="495">
        <v>23399.238709677418</v>
      </c>
      <c r="N20" s="495">
        <v>1708978.2674193543</v>
      </c>
    </row>
    <row r="21" spans="2:14">
      <c r="B21" s="496"/>
      <c r="C21" s="497"/>
      <c r="D21" s="497"/>
      <c r="E21" s="497"/>
      <c r="F21" s="498"/>
      <c r="G21" s="498"/>
      <c r="H21" s="498"/>
      <c r="L21" s="498"/>
      <c r="M21" s="499"/>
      <c r="N21" s="499"/>
    </row>
    <row r="23" spans="2:14">
      <c r="B23" s="311" t="s">
        <v>1093</v>
      </c>
      <c r="C23" s="311"/>
      <c r="D23" s="317"/>
      <c r="E23" s="317"/>
      <c r="F23" s="317"/>
      <c r="G23" s="317"/>
      <c r="H23" s="317"/>
      <c r="I23" s="317"/>
      <c r="J23" s="317"/>
      <c r="K23" s="317"/>
      <c r="L23" s="317"/>
    </row>
    <row r="24" spans="2:14">
      <c r="B24" s="311" t="s">
        <v>1094</v>
      </c>
      <c r="C24" s="500" t="s">
        <v>1095</v>
      </c>
      <c r="D24" s="317"/>
      <c r="E24" s="317"/>
      <c r="F24" s="317"/>
      <c r="G24" s="317"/>
      <c r="H24" s="317"/>
      <c r="I24" s="317"/>
      <c r="J24" s="317"/>
      <c r="K24" s="317"/>
      <c r="L24" s="317"/>
    </row>
    <row r="25" spans="2:14">
      <c r="B25" s="311" t="s">
        <v>1096</v>
      </c>
      <c r="C25" s="501">
        <v>1000000</v>
      </c>
      <c r="D25" s="317" t="s">
        <v>382</v>
      </c>
      <c r="E25" s="317" t="s">
        <v>1097</v>
      </c>
      <c r="F25" s="317"/>
      <c r="G25" s="317"/>
      <c r="H25" s="317"/>
      <c r="I25" s="317"/>
      <c r="J25" s="317"/>
      <c r="K25" s="317"/>
      <c r="L25" s="317"/>
    </row>
    <row r="26" spans="2:14">
      <c r="B26" s="311" t="s">
        <v>1098</v>
      </c>
      <c r="C26" s="311">
        <v>2021.06</v>
      </c>
      <c r="D26" s="317"/>
      <c r="E26" s="317"/>
      <c r="F26" s="317"/>
      <c r="G26" s="317"/>
      <c r="H26" s="317"/>
      <c r="I26" s="317"/>
      <c r="J26" s="317"/>
      <c r="K26" s="317"/>
      <c r="L26" s="317"/>
    </row>
    <row r="27" spans="2:14" ht="26.4">
      <c r="B27" s="486" t="s">
        <v>1071</v>
      </c>
      <c r="C27" s="486" t="s">
        <v>1099</v>
      </c>
      <c r="D27" s="486" t="s">
        <v>1073</v>
      </c>
      <c r="E27" s="486" t="s">
        <v>1074</v>
      </c>
      <c r="F27" s="487" t="s">
        <v>1075</v>
      </c>
      <c r="G27" s="487" t="s">
        <v>1076</v>
      </c>
      <c r="H27" s="487" t="s">
        <v>1077</v>
      </c>
      <c r="I27" s="488" t="s">
        <v>1078</v>
      </c>
      <c r="J27" s="486" t="s">
        <v>1079</v>
      </c>
      <c r="K27" s="486" t="s">
        <v>1100</v>
      </c>
      <c r="L27" s="487" t="s">
        <v>1081</v>
      </c>
      <c r="M27" s="487" t="s">
        <v>1082</v>
      </c>
      <c r="N27" s="487" t="s">
        <v>1101</v>
      </c>
    </row>
    <row r="28" spans="2:14">
      <c r="B28" s="493" t="s">
        <v>1102</v>
      </c>
      <c r="C28" s="493" t="s">
        <v>1103</v>
      </c>
      <c r="D28" s="502">
        <v>420</v>
      </c>
      <c r="E28" s="492">
        <v>1260</v>
      </c>
      <c r="F28" s="492">
        <v>1260000</v>
      </c>
      <c r="G28" s="492">
        <v>1260000</v>
      </c>
      <c r="H28" s="492">
        <f>G28*0.49</f>
        <v>617400</v>
      </c>
      <c r="I28" s="492">
        <v>0</v>
      </c>
      <c r="J28" s="493" t="s">
        <v>1086</v>
      </c>
      <c r="K28" s="494">
        <v>0.5</v>
      </c>
      <c r="L28" s="492">
        <f>IF(J28="순매출",ROUND(H28*K28,0),IF(J28="매출액",ROUND(G28*K28,0),""))</f>
        <v>308700</v>
      </c>
      <c r="M28" s="503">
        <f>ROUND(L28/23250*1153.5,0)</f>
        <v>15316</v>
      </c>
      <c r="N28" s="495">
        <f>C25-M28</f>
        <v>984684</v>
      </c>
    </row>
    <row r="29" spans="2:14">
      <c r="B29" s="493" t="s">
        <v>1104</v>
      </c>
      <c r="C29" s="493" t="s">
        <v>1103</v>
      </c>
      <c r="D29" s="502">
        <v>45</v>
      </c>
      <c r="E29" s="492">
        <v>135</v>
      </c>
      <c r="F29" s="492">
        <v>135000</v>
      </c>
      <c r="G29" s="492">
        <v>135000</v>
      </c>
      <c r="H29" s="492">
        <v>66150</v>
      </c>
      <c r="I29" s="492"/>
      <c r="J29" s="493" t="s">
        <v>1086</v>
      </c>
      <c r="K29" s="494">
        <v>0.5</v>
      </c>
      <c r="L29" s="492">
        <v>33075</v>
      </c>
      <c r="M29" s="503">
        <v>1683.6241935483872</v>
      </c>
      <c r="N29" s="495">
        <f>N28-M29</f>
        <v>983000.37580645166</v>
      </c>
    </row>
    <row r="30" spans="2:14">
      <c r="B30" s="493" t="s">
        <v>1084</v>
      </c>
      <c r="C30" s="493" t="s">
        <v>1103</v>
      </c>
      <c r="D30" s="502">
        <v>61</v>
      </c>
      <c r="E30" s="492">
        <v>183</v>
      </c>
      <c r="F30" s="492">
        <v>183000</v>
      </c>
      <c r="G30" s="492">
        <v>183000</v>
      </c>
      <c r="H30" s="492">
        <v>89670</v>
      </c>
      <c r="I30" s="492">
        <v>0</v>
      </c>
      <c r="J30" s="493" t="s">
        <v>1105</v>
      </c>
      <c r="K30" s="494">
        <v>0.5</v>
      </c>
      <c r="L30" s="492">
        <v>44835</v>
      </c>
      <c r="M30" s="503">
        <v>2272.6041935483872</v>
      </c>
      <c r="N30" s="495">
        <f>N29-M30</f>
        <v>980727.77161290322</v>
      </c>
    </row>
    <row r="31" spans="2:14">
      <c r="B31" s="489" t="s">
        <v>1087</v>
      </c>
      <c r="C31" s="493" t="s">
        <v>1103</v>
      </c>
      <c r="D31" s="502">
        <v>73</v>
      </c>
      <c r="E31" s="492">
        <v>219</v>
      </c>
      <c r="F31" s="492">
        <v>219000</v>
      </c>
      <c r="G31" s="492">
        <v>219000</v>
      </c>
      <c r="H31" s="492">
        <v>107310</v>
      </c>
      <c r="I31" s="492">
        <v>0</v>
      </c>
      <c r="J31" s="493" t="s">
        <v>1105</v>
      </c>
      <c r="K31" s="494">
        <v>0.5</v>
      </c>
      <c r="L31" s="492">
        <v>53655</v>
      </c>
      <c r="M31" s="503">
        <v>2711.5967741935483</v>
      </c>
      <c r="N31" s="495">
        <f>N30-M31</f>
        <v>978016.17483870964</v>
      </c>
    </row>
    <row r="32" spans="2:14">
      <c r="B32" s="489" t="s">
        <v>1106</v>
      </c>
      <c r="C32" s="493" t="s">
        <v>1103</v>
      </c>
      <c r="D32" s="502">
        <v>68</v>
      </c>
      <c r="E32" s="492">
        <v>204</v>
      </c>
      <c r="F32" s="492">
        <v>204000</v>
      </c>
      <c r="G32" s="492">
        <v>204000</v>
      </c>
      <c r="H32" s="492">
        <v>99960</v>
      </c>
      <c r="I32" s="492"/>
      <c r="J32" s="493" t="s">
        <v>1086</v>
      </c>
      <c r="K32" s="494">
        <v>0.5</v>
      </c>
      <c r="L32" s="492">
        <v>49980</v>
      </c>
      <c r="M32" s="503">
        <v>2558.1161290322584</v>
      </c>
      <c r="N32" s="495">
        <v>975458.05870967743</v>
      </c>
    </row>
    <row r="33" spans="2:14">
      <c r="B33" s="489" t="s">
        <v>1090</v>
      </c>
      <c r="C33" s="493" t="s">
        <v>1103</v>
      </c>
      <c r="D33" s="502">
        <v>57</v>
      </c>
      <c r="E33" s="492">
        <v>171</v>
      </c>
      <c r="F33" s="492">
        <v>171000</v>
      </c>
      <c r="G33" s="492">
        <v>171000</v>
      </c>
      <c r="H33" s="492">
        <v>83790</v>
      </c>
      <c r="I33" s="492"/>
      <c r="J33" s="493" t="s">
        <v>1086</v>
      </c>
      <c r="K33" s="494">
        <v>0.5</v>
      </c>
      <c r="L33" s="492">
        <v>41895</v>
      </c>
      <c r="M33" s="503">
        <v>2144.3032258064518</v>
      </c>
      <c r="N33" s="495">
        <v>973313.75548387098</v>
      </c>
    </row>
    <row r="34" spans="2:14">
      <c r="B34" s="489" t="s">
        <v>1091</v>
      </c>
      <c r="C34" s="493" t="s">
        <v>1103</v>
      </c>
      <c r="D34" s="502">
        <v>342</v>
      </c>
      <c r="E34" s="492">
        <v>1026</v>
      </c>
      <c r="F34" s="492">
        <v>1026000</v>
      </c>
      <c r="G34" s="492">
        <v>1026000</v>
      </c>
      <c r="H34" s="492">
        <v>502740</v>
      </c>
      <c r="I34" s="492"/>
      <c r="J34" s="493" t="s">
        <v>1086</v>
      </c>
      <c r="K34" s="494">
        <v>0.5</v>
      </c>
      <c r="L34" s="492">
        <v>251370</v>
      </c>
      <c r="M34" s="503">
        <v>12871.225161290324</v>
      </c>
      <c r="N34" s="495">
        <v>960442.5303225806</v>
      </c>
    </row>
    <row r="35" spans="2:14">
      <c r="B35" s="489" t="s">
        <v>1092</v>
      </c>
      <c r="C35" s="493" t="s">
        <v>1103</v>
      </c>
      <c r="D35" s="502">
        <v>-17</v>
      </c>
      <c r="E35" s="492">
        <v>-51</v>
      </c>
      <c r="F35" s="492">
        <v>-51000</v>
      </c>
      <c r="G35" s="492">
        <v>-51000</v>
      </c>
      <c r="H35" s="492">
        <v>-24990</v>
      </c>
      <c r="I35" s="492"/>
      <c r="J35" s="493" t="s">
        <v>1105</v>
      </c>
      <c r="K35" s="494">
        <v>0.5</v>
      </c>
      <c r="L35" s="492">
        <v>-12495</v>
      </c>
      <c r="M35" s="503">
        <v>-639.52903225806472</v>
      </c>
      <c r="N35" s="495">
        <v>961082.05935483868</v>
      </c>
    </row>
  </sheetData>
  <phoneticPr fontId="2" type="noConversion"/>
  <conditionalFormatting sqref="C28:K28">
    <cfRule type="cellIs" dxfId="108" priority="109" operator="equal">
      <formula>0</formula>
    </cfRule>
  </conditionalFormatting>
  <conditionalFormatting sqref="K28">
    <cfRule type="cellIs" dxfId="107" priority="108" operator="equal">
      <formula>0</formula>
    </cfRule>
  </conditionalFormatting>
  <conditionalFormatting sqref="L28">
    <cfRule type="cellIs" dxfId="106" priority="107" operator="equal">
      <formula>0</formula>
    </cfRule>
  </conditionalFormatting>
  <conditionalFormatting sqref="F28">
    <cfRule type="cellIs" dxfId="105" priority="106" operator="equal">
      <formula>0</formula>
    </cfRule>
  </conditionalFormatting>
  <conditionalFormatting sqref="I28">
    <cfRule type="cellIs" dxfId="104" priority="105" operator="equal">
      <formula>0</formula>
    </cfRule>
  </conditionalFormatting>
  <conditionalFormatting sqref="C29:I29">
    <cfRule type="cellIs" dxfId="103" priority="104" operator="equal">
      <formula>0</formula>
    </cfRule>
  </conditionalFormatting>
  <conditionalFormatting sqref="K29">
    <cfRule type="cellIs" dxfId="102" priority="103" operator="equal">
      <formula>0</formula>
    </cfRule>
  </conditionalFormatting>
  <conditionalFormatting sqref="L29">
    <cfRule type="cellIs" dxfId="101" priority="102" operator="equal">
      <formula>0</formula>
    </cfRule>
  </conditionalFormatting>
  <conditionalFormatting sqref="F29">
    <cfRule type="cellIs" dxfId="100" priority="101" operator="equal">
      <formula>0</formula>
    </cfRule>
  </conditionalFormatting>
  <conditionalFormatting sqref="J29">
    <cfRule type="cellIs" dxfId="99" priority="100" operator="equal">
      <formula>0</formula>
    </cfRule>
  </conditionalFormatting>
  <conditionalFormatting sqref="I29">
    <cfRule type="cellIs" dxfId="98" priority="99" operator="equal">
      <formula>0</formula>
    </cfRule>
  </conditionalFormatting>
  <conditionalFormatting sqref="J30">
    <cfRule type="cellIs" dxfId="97" priority="94" operator="equal">
      <formula>0</formula>
    </cfRule>
  </conditionalFormatting>
  <conditionalFormatting sqref="I30">
    <cfRule type="cellIs" dxfId="96" priority="93" operator="equal">
      <formula>0</formula>
    </cfRule>
  </conditionalFormatting>
  <conditionalFormatting sqref="C30:I30">
    <cfRule type="cellIs" dxfId="95" priority="98" operator="equal">
      <formula>0</formula>
    </cfRule>
  </conditionalFormatting>
  <conditionalFormatting sqref="K30">
    <cfRule type="cellIs" dxfId="94" priority="97" operator="equal">
      <formula>0</formula>
    </cfRule>
  </conditionalFormatting>
  <conditionalFormatting sqref="L30">
    <cfRule type="cellIs" dxfId="93" priority="96" operator="equal">
      <formula>0</formula>
    </cfRule>
  </conditionalFormatting>
  <conditionalFormatting sqref="F30">
    <cfRule type="cellIs" dxfId="92" priority="95" operator="equal">
      <formula>0</formula>
    </cfRule>
  </conditionalFormatting>
  <conditionalFormatting sqref="L28">
    <cfRule type="cellIs" dxfId="91" priority="92" operator="equal">
      <formula>0</formula>
    </cfRule>
  </conditionalFormatting>
  <conditionalFormatting sqref="M28">
    <cfRule type="cellIs" dxfId="90" priority="91" operator="equal">
      <formula>0</formula>
    </cfRule>
  </conditionalFormatting>
  <conditionalFormatting sqref="G28">
    <cfRule type="cellIs" dxfId="89" priority="90" operator="equal">
      <formula>0</formula>
    </cfRule>
  </conditionalFormatting>
  <conditionalFormatting sqref="J28">
    <cfRule type="cellIs" dxfId="88" priority="89" operator="equal">
      <formula>0</formula>
    </cfRule>
  </conditionalFormatting>
  <conditionalFormatting sqref="L29">
    <cfRule type="cellIs" dxfId="87" priority="88" operator="equal">
      <formula>0</formula>
    </cfRule>
  </conditionalFormatting>
  <conditionalFormatting sqref="M29">
    <cfRule type="cellIs" dxfId="86" priority="87" operator="equal">
      <formula>0</formula>
    </cfRule>
  </conditionalFormatting>
  <conditionalFormatting sqref="G29">
    <cfRule type="cellIs" dxfId="85" priority="86" operator="equal">
      <formula>0</formula>
    </cfRule>
  </conditionalFormatting>
  <conditionalFormatting sqref="K29">
    <cfRule type="cellIs" dxfId="84" priority="85" operator="equal">
      <formula>0</formula>
    </cfRule>
  </conditionalFormatting>
  <conditionalFormatting sqref="J29">
    <cfRule type="cellIs" dxfId="83" priority="84" operator="equal">
      <formula>0</formula>
    </cfRule>
  </conditionalFormatting>
  <conditionalFormatting sqref="K30">
    <cfRule type="cellIs" dxfId="82" priority="80" operator="equal">
      <formula>0</formula>
    </cfRule>
  </conditionalFormatting>
  <conditionalFormatting sqref="J30">
    <cfRule type="cellIs" dxfId="81" priority="79" operator="equal">
      <formula>0</formula>
    </cfRule>
  </conditionalFormatting>
  <conditionalFormatting sqref="L30">
    <cfRule type="cellIs" dxfId="80" priority="83" operator="equal">
      <formula>0</formula>
    </cfRule>
  </conditionalFormatting>
  <conditionalFormatting sqref="M30">
    <cfRule type="cellIs" dxfId="79" priority="82" operator="equal">
      <formula>0</formula>
    </cfRule>
  </conditionalFormatting>
  <conditionalFormatting sqref="G30">
    <cfRule type="cellIs" dxfId="78" priority="81" operator="equal">
      <formula>0</formula>
    </cfRule>
  </conditionalFormatting>
  <conditionalFormatting sqref="I15:K15">
    <cfRule type="cellIs" dxfId="77" priority="78" operator="equal">
      <formula>0</formula>
    </cfRule>
  </conditionalFormatting>
  <conditionalFormatting sqref="K15">
    <cfRule type="cellIs" dxfId="76" priority="77" operator="equal">
      <formula>0</formula>
    </cfRule>
  </conditionalFormatting>
  <conditionalFormatting sqref="I15">
    <cfRule type="cellIs" dxfId="75" priority="76" operator="equal">
      <formula>0</formula>
    </cfRule>
  </conditionalFormatting>
  <conditionalFormatting sqref="J15">
    <cfRule type="cellIs" dxfId="74" priority="75" operator="equal">
      <formula>0</formula>
    </cfRule>
  </conditionalFormatting>
  <conditionalFormatting sqref="M31">
    <cfRule type="cellIs" dxfId="73" priority="63" operator="equal">
      <formula>0</formula>
    </cfRule>
  </conditionalFormatting>
  <conditionalFormatting sqref="G31">
    <cfRule type="cellIs" dxfId="72" priority="62" operator="equal">
      <formula>0</formula>
    </cfRule>
  </conditionalFormatting>
  <conditionalFormatting sqref="K31:K32">
    <cfRule type="cellIs" dxfId="71" priority="61" operator="equal">
      <formula>0</formula>
    </cfRule>
  </conditionalFormatting>
  <conditionalFormatting sqref="J31:J32">
    <cfRule type="cellIs" dxfId="70" priority="60" operator="equal">
      <formula>0</formula>
    </cfRule>
  </conditionalFormatting>
  <conditionalFormatting sqref="I16:K16">
    <cfRule type="cellIs" dxfId="69" priority="74" operator="equal">
      <formula>0</formula>
    </cfRule>
  </conditionalFormatting>
  <conditionalFormatting sqref="K16">
    <cfRule type="cellIs" dxfId="68" priority="73" operator="equal">
      <formula>0</formula>
    </cfRule>
  </conditionalFormatting>
  <conditionalFormatting sqref="I16">
    <cfRule type="cellIs" dxfId="67" priority="72" operator="equal">
      <formula>0</formula>
    </cfRule>
  </conditionalFormatting>
  <conditionalFormatting sqref="J16">
    <cfRule type="cellIs" dxfId="66" priority="71" operator="equal">
      <formula>0</formula>
    </cfRule>
  </conditionalFormatting>
  <conditionalFormatting sqref="J31:J32">
    <cfRule type="cellIs" dxfId="65" priority="66" operator="equal">
      <formula>0</formula>
    </cfRule>
  </conditionalFormatting>
  <conditionalFormatting sqref="I31">
    <cfRule type="cellIs" dxfId="64" priority="65" operator="equal">
      <formula>0</formula>
    </cfRule>
  </conditionalFormatting>
  <conditionalFormatting sqref="C31:I31 C32">
    <cfRule type="cellIs" dxfId="63" priority="70" operator="equal">
      <formula>0</formula>
    </cfRule>
  </conditionalFormatting>
  <conditionalFormatting sqref="K31:K32">
    <cfRule type="cellIs" dxfId="62" priority="69" operator="equal">
      <formula>0</formula>
    </cfRule>
  </conditionalFormatting>
  <conditionalFormatting sqref="L31">
    <cfRule type="cellIs" dxfId="61" priority="68" operator="equal">
      <formula>0</formula>
    </cfRule>
  </conditionalFormatting>
  <conditionalFormatting sqref="F31">
    <cfRule type="cellIs" dxfId="60" priority="67" operator="equal">
      <formula>0</formula>
    </cfRule>
  </conditionalFormatting>
  <conditionalFormatting sqref="L31">
    <cfRule type="cellIs" dxfId="59" priority="64" operator="equal">
      <formula>0</formula>
    </cfRule>
  </conditionalFormatting>
  <conditionalFormatting sqref="I17:K17">
    <cfRule type="cellIs" dxfId="58" priority="59" operator="equal">
      <formula>0</formula>
    </cfRule>
  </conditionalFormatting>
  <conditionalFormatting sqref="K17">
    <cfRule type="cellIs" dxfId="57" priority="58" operator="equal">
      <formula>0</formula>
    </cfRule>
  </conditionalFormatting>
  <conditionalFormatting sqref="I17">
    <cfRule type="cellIs" dxfId="56" priority="57" operator="equal">
      <formula>0</formula>
    </cfRule>
  </conditionalFormatting>
  <conditionalFormatting sqref="J17">
    <cfRule type="cellIs" dxfId="55" priority="56" operator="equal">
      <formula>0</formula>
    </cfRule>
  </conditionalFormatting>
  <conditionalFormatting sqref="M32">
    <cfRule type="cellIs" dxfId="54" priority="50" operator="equal">
      <formula>0</formula>
    </cfRule>
  </conditionalFormatting>
  <conditionalFormatting sqref="G32">
    <cfRule type="cellIs" dxfId="53" priority="49" operator="equal">
      <formula>0</formula>
    </cfRule>
  </conditionalFormatting>
  <conditionalFormatting sqref="I32">
    <cfRule type="cellIs" dxfId="52" priority="52" operator="equal">
      <formula>0</formula>
    </cfRule>
  </conditionalFormatting>
  <conditionalFormatting sqref="D32:I32">
    <cfRule type="cellIs" dxfId="51" priority="55" operator="equal">
      <formula>0</formula>
    </cfRule>
  </conditionalFormatting>
  <conditionalFormatting sqref="L32">
    <cfRule type="cellIs" dxfId="50" priority="54" operator="equal">
      <formula>0</formula>
    </cfRule>
  </conditionalFormatting>
  <conditionalFormatting sqref="F32">
    <cfRule type="cellIs" dxfId="49" priority="53" operator="equal">
      <formula>0</formula>
    </cfRule>
  </conditionalFormatting>
  <conditionalFormatting sqref="L32">
    <cfRule type="cellIs" dxfId="48" priority="51" operator="equal">
      <formula>0</formula>
    </cfRule>
  </conditionalFormatting>
  <conditionalFormatting sqref="I18:K18">
    <cfRule type="cellIs" dxfId="47" priority="48" operator="equal">
      <formula>0</formula>
    </cfRule>
  </conditionalFormatting>
  <conditionalFormatting sqref="K18">
    <cfRule type="cellIs" dxfId="46" priority="47" operator="equal">
      <formula>0</formula>
    </cfRule>
  </conditionalFormatting>
  <conditionalFormatting sqref="I18">
    <cfRule type="cellIs" dxfId="45" priority="46" operator="equal">
      <formula>0</formula>
    </cfRule>
  </conditionalFormatting>
  <conditionalFormatting sqref="J18">
    <cfRule type="cellIs" dxfId="44" priority="45" operator="equal">
      <formula>0</formula>
    </cfRule>
  </conditionalFormatting>
  <conditionalFormatting sqref="K33">
    <cfRule type="cellIs" dxfId="43" priority="41" operator="equal">
      <formula>0</formula>
    </cfRule>
  </conditionalFormatting>
  <conditionalFormatting sqref="J33">
    <cfRule type="cellIs" dxfId="42" priority="40" operator="equal">
      <formula>0</formula>
    </cfRule>
  </conditionalFormatting>
  <conditionalFormatting sqref="J33">
    <cfRule type="cellIs" dxfId="41" priority="42" operator="equal">
      <formula>0</formula>
    </cfRule>
  </conditionalFormatting>
  <conditionalFormatting sqref="C33">
    <cfRule type="cellIs" dxfId="40" priority="44" operator="equal">
      <formula>0</formula>
    </cfRule>
  </conditionalFormatting>
  <conditionalFormatting sqref="K33">
    <cfRule type="cellIs" dxfId="39" priority="43" operator="equal">
      <formula>0</formula>
    </cfRule>
  </conditionalFormatting>
  <conditionalFormatting sqref="M33">
    <cfRule type="cellIs" dxfId="38" priority="34" operator="equal">
      <formula>0</formula>
    </cfRule>
  </conditionalFormatting>
  <conditionalFormatting sqref="G33">
    <cfRule type="cellIs" dxfId="37" priority="33" operator="equal">
      <formula>0</formula>
    </cfRule>
  </conditionalFormatting>
  <conditionalFormatting sqref="I33">
    <cfRule type="cellIs" dxfId="36" priority="36" operator="equal">
      <formula>0</formula>
    </cfRule>
  </conditionalFormatting>
  <conditionalFormatting sqref="D33:I33">
    <cfRule type="cellIs" dxfId="35" priority="39" operator="equal">
      <formula>0</formula>
    </cfRule>
  </conditionalFormatting>
  <conditionalFormatting sqref="L33">
    <cfRule type="cellIs" dxfId="34" priority="38" operator="equal">
      <formula>0</formula>
    </cfRule>
  </conditionalFormatting>
  <conditionalFormatting sqref="F33">
    <cfRule type="cellIs" dxfId="33" priority="37" operator="equal">
      <formula>0</formula>
    </cfRule>
  </conditionalFormatting>
  <conditionalFormatting sqref="L33">
    <cfRule type="cellIs" dxfId="32" priority="35" operator="equal">
      <formula>0</formula>
    </cfRule>
  </conditionalFormatting>
  <conditionalFormatting sqref="I19:K19">
    <cfRule type="cellIs" dxfId="31" priority="32" operator="equal">
      <formula>0</formula>
    </cfRule>
  </conditionalFormatting>
  <conditionalFormatting sqref="K19">
    <cfRule type="cellIs" dxfId="30" priority="31" operator="equal">
      <formula>0</formula>
    </cfRule>
  </conditionalFormatting>
  <conditionalFormatting sqref="I19">
    <cfRule type="cellIs" dxfId="29" priority="30" operator="equal">
      <formula>0</formula>
    </cfRule>
  </conditionalFormatting>
  <conditionalFormatting sqref="J19">
    <cfRule type="cellIs" dxfId="28" priority="29" operator="equal">
      <formula>0</formula>
    </cfRule>
  </conditionalFormatting>
  <conditionalFormatting sqref="I20:K20">
    <cfRule type="cellIs" dxfId="27" priority="28" operator="equal">
      <formula>0</formula>
    </cfRule>
  </conditionalFormatting>
  <conditionalFormatting sqref="K20">
    <cfRule type="cellIs" dxfId="26" priority="27" operator="equal">
      <formula>0</formula>
    </cfRule>
  </conditionalFormatting>
  <conditionalFormatting sqref="I20">
    <cfRule type="cellIs" dxfId="25" priority="26" operator="equal">
      <formula>0</formula>
    </cfRule>
  </conditionalFormatting>
  <conditionalFormatting sqref="J20">
    <cfRule type="cellIs" dxfId="24" priority="25" operator="equal">
      <formula>0</formula>
    </cfRule>
  </conditionalFormatting>
  <conditionalFormatting sqref="C34">
    <cfRule type="cellIs" dxfId="23" priority="24" operator="equal">
      <formula>0</formula>
    </cfRule>
  </conditionalFormatting>
  <conditionalFormatting sqref="C35">
    <cfRule type="cellIs" dxfId="22" priority="23" operator="equal">
      <formula>0</formula>
    </cfRule>
  </conditionalFormatting>
  <conditionalFormatting sqref="K34">
    <cfRule type="cellIs" dxfId="21" priority="20" operator="equal">
      <formula>0</formula>
    </cfRule>
  </conditionalFormatting>
  <conditionalFormatting sqref="J34">
    <cfRule type="cellIs" dxfId="20" priority="19" operator="equal">
      <formula>0</formula>
    </cfRule>
  </conditionalFormatting>
  <conditionalFormatting sqref="J34">
    <cfRule type="cellIs" dxfId="19" priority="21" operator="equal">
      <formula>0</formula>
    </cfRule>
  </conditionalFormatting>
  <conditionalFormatting sqref="K34">
    <cfRule type="cellIs" dxfId="18" priority="22" operator="equal">
      <formula>0</formula>
    </cfRule>
  </conditionalFormatting>
  <conditionalFormatting sqref="M34">
    <cfRule type="cellIs" dxfId="17" priority="13" operator="equal">
      <formula>0</formula>
    </cfRule>
  </conditionalFormatting>
  <conditionalFormatting sqref="G34">
    <cfRule type="cellIs" dxfId="16" priority="12" operator="equal">
      <formula>0</formula>
    </cfRule>
  </conditionalFormatting>
  <conditionalFormatting sqref="I34">
    <cfRule type="cellIs" dxfId="15" priority="15" operator="equal">
      <formula>0</formula>
    </cfRule>
  </conditionalFormatting>
  <conditionalFormatting sqref="D34:I34">
    <cfRule type="cellIs" dxfId="14" priority="18" operator="equal">
      <formula>0</formula>
    </cfRule>
  </conditionalFormatting>
  <conditionalFormatting sqref="L34">
    <cfRule type="cellIs" dxfId="13" priority="17" operator="equal">
      <formula>0</formula>
    </cfRule>
  </conditionalFormatting>
  <conditionalFormatting sqref="F34">
    <cfRule type="cellIs" dxfId="12" priority="16" operator="equal">
      <formula>0</formula>
    </cfRule>
  </conditionalFormatting>
  <conditionalFormatting sqref="L34">
    <cfRule type="cellIs" dxfId="11" priority="14" operator="equal">
      <formula>0</formula>
    </cfRule>
  </conditionalFormatting>
  <conditionalFormatting sqref="K35">
    <cfRule type="cellIs" dxfId="10" priority="9" operator="equal">
      <formula>0</formula>
    </cfRule>
  </conditionalFormatting>
  <conditionalFormatting sqref="J35">
    <cfRule type="cellIs" dxfId="9" priority="8" operator="equal">
      <formula>0</formula>
    </cfRule>
  </conditionalFormatting>
  <conditionalFormatting sqref="J35">
    <cfRule type="cellIs" dxfId="8" priority="10" operator="equal">
      <formula>0</formula>
    </cfRule>
  </conditionalFormatting>
  <conditionalFormatting sqref="K35">
    <cfRule type="cellIs" dxfId="7" priority="11" operator="equal">
      <formula>0</formula>
    </cfRule>
  </conditionalFormatting>
  <conditionalFormatting sqref="M35">
    <cfRule type="cellIs" dxfId="6" priority="2" operator="equal">
      <formula>0</formula>
    </cfRule>
  </conditionalFormatting>
  <conditionalFormatting sqref="G35">
    <cfRule type="cellIs" dxfId="5" priority="1" operator="equal">
      <formula>0</formula>
    </cfRule>
  </conditionalFormatting>
  <conditionalFormatting sqref="I35">
    <cfRule type="cellIs" dxfId="4" priority="4" operator="equal">
      <formula>0</formula>
    </cfRule>
  </conditionalFormatting>
  <conditionalFormatting sqref="D35:I35">
    <cfRule type="cellIs" dxfId="3" priority="7" operator="equal">
      <formula>0</formula>
    </cfRule>
  </conditionalFormatting>
  <conditionalFormatting sqref="L35">
    <cfRule type="cellIs" dxfId="2" priority="6" operator="equal">
      <formula>0</formula>
    </cfRule>
  </conditionalFormatting>
  <conditionalFormatting sqref="F35">
    <cfRule type="cellIs" dxfId="1" priority="5" operator="equal">
      <formula>0</formula>
    </cfRule>
  </conditionalFormatting>
  <conditionalFormatting sqref="L35">
    <cfRule type="cellIs" dxfId="0" priority="3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E13"/>
  <sheetViews>
    <sheetView workbookViewId="0">
      <selection activeCell="D23" sqref="D23"/>
    </sheetView>
  </sheetViews>
  <sheetFormatPr defaultColWidth="8.69921875" defaultRowHeight="15.6"/>
  <cols>
    <col min="1" max="1" width="4.296875" style="317" customWidth="1"/>
    <col min="2" max="2" width="22.8984375" style="317" customWidth="1"/>
    <col min="3" max="3" width="19.296875" style="317" customWidth="1"/>
    <col min="4" max="4" width="19.8984375" style="317" customWidth="1"/>
    <col min="5" max="5" width="15" style="317" bestFit="1" customWidth="1"/>
    <col min="6" max="16384" width="8.69921875" style="317"/>
  </cols>
  <sheetData>
    <row r="1" spans="2:5" ht="16.2" thickBot="1"/>
    <row r="2" spans="2:5" ht="16.2" thickBot="1">
      <c r="B2" s="504" t="s">
        <v>1107</v>
      </c>
      <c r="C2" s="248" t="s">
        <v>1108</v>
      </c>
      <c r="D2" s="505"/>
    </row>
    <row r="3" spans="2:5">
      <c r="B3" s="247" t="s">
        <v>1109</v>
      </c>
      <c r="C3" s="248">
        <v>1</v>
      </c>
      <c r="D3" s="280" t="s">
        <v>1110</v>
      </c>
    </row>
    <row r="4" spans="2:5">
      <c r="B4" s="365" t="s">
        <v>424</v>
      </c>
      <c r="C4" s="294" t="s">
        <v>1111</v>
      </c>
      <c r="D4" s="506" t="s">
        <v>67</v>
      </c>
    </row>
    <row r="5" spans="2:5">
      <c r="B5" s="507" t="s">
        <v>1112</v>
      </c>
      <c r="C5" s="508"/>
      <c r="D5" s="509" t="s">
        <v>1113</v>
      </c>
    </row>
    <row r="6" spans="2:5">
      <c r="B6" s="365" t="s">
        <v>0</v>
      </c>
      <c r="C6" s="508">
        <f>SUM(C5)</f>
        <v>0</v>
      </c>
      <c r="D6" s="509"/>
    </row>
    <row r="7" spans="2:5" ht="16.2" thickBot="1">
      <c r="B7" s="510" t="s">
        <v>1114</v>
      </c>
      <c r="C7" s="511"/>
      <c r="D7" s="512"/>
    </row>
    <row r="9" spans="2:5">
      <c r="B9" s="311" t="s">
        <v>1093</v>
      </c>
      <c r="C9" s="311"/>
    </row>
    <row r="10" spans="2:5">
      <c r="B10" s="311" t="s">
        <v>1094</v>
      </c>
      <c r="C10" s="500" t="s">
        <v>1115</v>
      </c>
    </row>
    <row r="11" spans="2:5">
      <c r="B11" s="311" t="s">
        <v>1096</v>
      </c>
      <c r="C11" s="501">
        <v>1000000</v>
      </c>
      <c r="D11" s="317" t="s">
        <v>382</v>
      </c>
      <c r="E11" s="317" t="s">
        <v>1116</v>
      </c>
    </row>
    <row r="12" spans="2:5">
      <c r="B12" s="311" t="s">
        <v>1098</v>
      </c>
      <c r="C12" s="311" t="s">
        <v>1117</v>
      </c>
    </row>
    <row r="13" spans="2:5">
      <c r="B13" s="311"/>
      <c r="C13" s="31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T8"/>
  <sheetViews>
    <sheetView showGridLines="0" topLeftCell="O1" workbookViewId="0">
      <selection activeCell="AT9" sqref="AT9"/>
    </sheetView>
  </sheetViews>
  <sheetFormatPr defaultColWidth="8.69921875" defaultRowHeight="17.399999999999999"/>
  <cols>
    <col min="1" max="1" width="24" style="1" bestFit="1" customWidth="1"/>
    <col min="2" max="2" width="6.5" style="1" customWidth="1"/>
    <col min="3" max="3" width="2.59765625" style="1" customWidth="1"/>
    <col min="4" max="4" width="10.59765625" style="1" bestFit="1" customWidth="1"/>
    <col min="5" max="5" width="11.19921875" style="1" bestFit="1" customWidth="1"/>
    <col min="6" max="6" width="19.59765625" style="1" bestFit="1" customWidth="1"/>
    <col min="7" max="7" width="12" style="1" bestFit="1" customWidth="1"/>
    <col min="8" max="8" width="7.3984375" style="1" customWidth="1"/>
    <col min="9" max="9" width="5" style="1" customWidth="1"/>
    <col min="10" max="10" width="4.69921875" style="1" customWidth="1"/>
    <col min="11" max="11" width="7.19921875" style="1" customWidth="1"/>
    <col min="12" max="12" width="6.69921875" style="1" customWidth="1"/>
    <col min="13" max="13" width="6" style="1" customWidth="1"/>
    <col min="14" max="15" width="6.19921875" style="1" customWidth="1"/>
    <col min="16" max="16" width="3.59765625" style="1" customWidth="1"/>
    <col min="17" max="17" width="4.69921875" style="1" customWidth="1"/>
    <col min="18" max="18" width="7.19921875" style="1" customWidth="1"/>
    <col min="19" max="20" width="6" style="1" customWidth="1"/>
    <col min="21" max="34" width="3.19921875" style="1" customWidth="1"/>
    <col min="35" max="35" width="5.59765625" style="1" customWidth="1"/>
    <col min="36" max="36" width="11.19921875" style="1" customWidth="1"/>
    <col min="37" max="45" width="8.69921875" style="1"/>
    <col min="46" max="46" width="9.8984375" style="1" bestFit="1" customWidth="1"/>
    <col min="47" max="16384" width="8.69921875" style="1"/>
  </cols>
  <sheetData>
    <row r="1" spans="1:46" s="79" customFormat="1" ht="15.6" customHeight="1">
      <c r="A1" s="127" t="s">
        <v>120</v>
      </c>
      <c r="B1" s="127"/>
      <c r="C1" s="127"/>
      <c r="D1" s="127"/>
    </row>
    <row r="2" spans="1:46" s="79" customFormat="1"/>
    <row r="3" spans="1:46" s="79" customFormat="1">
      <c r="A3" s="123" t="s">
        <v>3</v>
      </c>
      <c r="B3" s="123" t="s">
        <v>6</v>
      </c>
      <c r="C3" s="126" t="s">
        <v>29</v>
      </c>
      <c r="D3" s="123" t="s">
        <v>4</v>
      </c>
      <c r="E3" s="123" t="s">
        <v>20</v>
      </c>
      <c r="F3" s="123" t="s">
        <v>1</v>
      </c>
      <c r="G3" s="126" t="s">
        <v>7</v>
      </c>
      <c r="H3" s="126" t="s">
        <v>8</v>
      </c>
      <c r="I3" s="124" t="s">
        <v>36</v>
      </c>
      <c r="J3" s="124"/>
      <c r="K3" s="124"/>
      <c r="L3" s="124"/>
      <c r="M3" s="124"/>
      <c r="N3" s="124"/>
      <c r="O3" s="124"/>
      <c r="P3" s="124"/>
      <c r="Q3" s="124"/>
      <c r="R3" s="125" t="s">
        <v>37</v>
      </c>
      <c r="S3" s="125"/>
      <c r="T3" s="125"/>
      <c r="U3" s="125"/>
      <c r="V3" s="125"/>
      <c r="W3" s="125"/>
      <c r="X3" s="125"/>
      <c r="Y3" s="125"/>
      <c r="Z3" s="125"/>
      <c r="AA3" s="124" t="s">
        <v>18</v>
      </c>
      <c r="AB3" s="124"/>
      <c r="AC3" s="124"/>
      <c r="AD3" s="125" t="s">
        <v>19</v>
      </c>
      <c r="AE3" s="125"/>
      <c r="AF3" s="125"/>
      <c r="AG3" s="124" t="s">
        <v>21</v>
      </c>
      <c r="AH3" s="124"/>
      <c r="AI3" s="124"/>
      <c r="AJ3" s="125" t="s">
        <v>22</v>
      </c>
      <c r="AK3" s="125"/>
      <c r="AL3" s="125"/>
      <c r="AM3" s="123" t="s">
        <v>38</v>
      </c>
      <c r="AN3" s="124" t="s">
        <v>147</v>
      </c>
      <c r="AO3" s="124"/>
      <c r="AP3" s="124"/>
      <c r="AQ3" s="125" t="s">
        <v>148</v>
      </c>
      <c r="AR3" s="125"/>
      <c r="AS3" s="125"/>
      <c r="AT3" s="123" t="s">
        <v>0</v>
      </c>
    </row>
    <row r="4" spans="1:46" s="79" customFormat="1" ht="38.4">
      <c r="A4" s="123"/>
      <c r="B4" s="123"/>
      <c r="C4" s="126"/>
      <c r="D4" s="123"/>
      <c r="E4" s="123"/>
      <c r="F4" s="123"/>
      <c r="G4" s="126"/>
      <c r="H4" s="126"/>
      <c r="I4" s="102" t="s">
        <v>5</v>
      </c>
      <c r="J4" s="102" t="s">
        <v>39</v>
      </c>
      <c r="K4" s="102" t="s">
        <v>40</v>
      </c>
      <c r="L4" s="102" t="s">
        <v>41</v>
      </c>
      <c r="M4" s="102" t="s">
        <v>42</v>
      </c>
      <c r="N4" s="102" t="s">
        <v>43</v>
      </c>
      <c r="O4" s="102" t="s">
        <v>44</v>
      </c>
      <c r="P4" s="102" t="s">
        <v>149</v>
      </c>
      <c r="Q4" s="102" t="s">
        <v>150</v>
      </c>
      <c r="R4" s="102" t="s">
        <v>5</v>
      </c>
      <c r="S4" s="102" t="s">
        <v>39</v>
      </c>
      <c r="T4" s="102" t="s">
        <v>40</v>
      </c>
      <c r="U4" s="102" t="s">
        <v>41</v>
      </c>
      <c r="V4" s="102" t="s">
        <v>42</v>
      </c>
      <c r="W4" s="102" t="s">
        <v>43</v>
      </c>
      <c r="X4" s="102" t="s">
        <v>44</v>
      </c>
      <c r="Y4" s="102" t="s">
        <v>149</v>
      </c>
      <c r="Z4" s="102" t="s">
        <v>150</v>
      </c>
      <c r="AA4" s="102" t="s">
        <v>5</v>
      </c>
      <c r="AB4" s="102" t="s">
        <v>23</v>
      </c>
      <c r="AC4" s="102" t="s">
        <v>24</v>
      </c>
      <c r="AD4" s="102" t="s">
        <v>5</v>
      </c>
      <c r="AE4" s="102" t="s">
        <v>23</v>
      </c>
      <c r="AF4" s="102" t="s">
        <v>24</v>
      </c>
      <c r="AG4" s="102" t="s">
        <v>5</v>
      </c>
      <c r="AH4" s="102" t="s">
        <v>23</v>
      </c>
      <c r="AI4" s="102" t="s">
        <v>24</v>
      </c>
      <c r="AJ4" s="102" t="s">
        <v>5</v>
      </c>
      <c r="AK4" s="102" t="s">
        <v>23</v>
      </c>
      <c r="AL4" s="102" t="s">
        <v>24</v>
      </c>
      <c r="AM4" s="123"/>
      <c r="AN4" s="102" t="s">
        <v>5</v>
      </c>
      <c r="AO4" s="102" t="s">
        <v>23</v>
      </c>
      <c r="AP4" s="102" t="s">
        <v>24</v>
      </c>
      <c r="AQ4" s="102" t="s">
        <v>5</v>
      </c>
      <c r="AR4" s="102" t="s">
        <v>23</v>
      </c>
      <c r="AS4" s="102" t="s">
        <v>24</v>
      </c>
      <c r="AT4" s="123"/>
    </row>
    <row r="5" spans="1:46" s="79" customFormat="1">
      <c r="A5" s="80" t="s">
        <v>31</v>
      </c>
      <c r="B5" s="80">
        <v>321933</v>
      </c>
      <c r="C5" s="81"/>
      <c r="D5" s="80" t="s">
        <v>2</v>
      </c>
      <c r="E5" s="80" t="s">
        <v>30</v>
      </c>
      <c r="F5" s="80" t="s">
        <v>15</v>
      </c>
      <c r="G5" s="82" t="s">
        <v>9</v>
      </c>
      <c r="H5" s="82" t="s">
        <v>32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Z5" s="82">
        <v>0</v>
      </c>
      <c r="AA5" s="82">
        <v>1</v>
      </c>
      <c r="AB5" s="82">
        <v>200</v>
      </c>
      <c r="AC5" s="82">
        <v>0</v>
      </c>
      <c r="AD5" s="82">
        <v>0</v>
      </c>
      <c r="AE5" s="82">
        <v>0</v>
      </c>
      <c r="AF5" s="82">
        <v>0</v>
      </c>
      <c r="AG5" s="82">
        <v>0</v>
      </c>
      <c r="AH5" s="82">
        <v>0</v>
      </c>
      <c r="AI5" s="82">
        <v>0</v>
      </c>
      <c r="AJ5" s="82">
        <v>0</v>
      </c>
      <c r="AK5" s="82">
        <v>0</v>
      </c>
      <c r="AL5" s="82">
        <v>0</v>
      </c>
      <c r="AM5" s="82">
        <v>0</v>
      </c>
      <c r="AN5" s="82">
        <v>0</v>
      </c>
      <c r="AO5" s="82">
        <v>0</v>
      </c>
      <c r="AP5" s="82">
        <v>0</v>
      </c>
      <c r="AQ5" s="82">
        <v>0</v>
      </c>
      <c r="AR5" s="82">
        <v>0</v>
      </c>
      <c r="AS5" s="82">
        <v>0</v>
      </c>
      <c r="AT5" s="100">
        <v>200</v>
      </c>
    </row>
    <row r="6" spans="1:46" s="79" customFormat="1">
      <c r="A6" s="80" t="s">
        <v>33</v>
      </c>
      <c r="B6" s="80">
        <v>321835</v>
      </c>
      <c r="C6" s="81"/>
      <c r="D6" s="80" t="s">
        <v>2</v>
      </c>
      <c r="E6" s="80" t="s">
        <v>34</v>
      </c>
      <c r="F6" s="80" t="s">
        <v>15</v>
      </c>
      <c r="G6" s="82" t="s">
        <v>9</v>
      </c>
      <c r="H6" s="82" t="s">
        <v>162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0</v>
      </c>
      <c r="Z6" s="82">
        <v>0</v>
      </c>
      <c r="AA6" s="82">
        <v>12</v>
      </c>
      <c r="AB6" s="83">
        <v>2400</v>
      </c>
      <c r="AC6" s="82">
        <v>0</v>
      </c>
      <c r="AD6" s="82">
        <v>0</v>
      </c>
      <c r="AE6" s="82">
        <v>0</v>
      </c>
      <c r="AF6" s="82">
        <v>0</v>
      </c>
      <c r="AG6" s="82">
        <v>0</v>
      </c>
      <c r="AH6" s="82">
        <v>0</v>
      </c>
      <c r="AI6" s="82">
        <v>0</v>
      </c>
      <c r="AJ6" s="82">
        <v>0</v>
      </c>
      <c r="AK6" s="82">
        <v>0</v>
      </c>
      <c r="AL6" s="82">
        <v>0</v>
      </c>
      <c r="AM6" s="82">
        <v>0</v>
      </c>
      <c r="AN6" s="82">
        <v>0</v>
      </c>
      <c r="AO6" s="82">
        <v>0</v>
      </c>
      <c r="AP6" s="82">
        <v>0</v>
      </c>
      <c r="AQ6" s="82">
        <v>0</v>
      </c>
      <c r="AR6" s="82">
        <v>0</v>
      </c>
      <c r="AS6" s="82">
        <v>0</v>
      </c>
      <c r="AT6" s="57">
        <v>2400</v>
      </c>
    </row>
    <row r="7" spans="1:46" s="79" customFormat="1">
      <c r="A7" s="80" t="s">
        <v>33</v>
      </c>
      <c r="B7" s="80">
        <v>321835</v>
      </c>
      <c r="C7" s="81"/>
      <c r="D7" s="80" t="s">
        <v>2</v>
      </c>
      <c r="E7" s="80" t="s">
        <v>34</v>
      </c>
      <c r="F7" s="80" t="s">
        <v>15</v>
      </c>
      <c r="G7" s="82" t="s">
        <v>9</v>
      </c>
      <c r="H7" s="82" t="s">
        <v>162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Z7" s="82">
        <v>0</v>
      </c>
      <c r="AA7" s="82">
        <v>12</v>
      </c>
      <c r="AB7" s="83">
        <v>2400</v>
      </c>
      <c r="AC7" s="82">
        <v>0</v>
      </c>
      <c r="AD7" s="82">
        <v>0</v>
      </c>
      <c r="AE7" s="82">
        <v>0</v>
      </c>
      <c r="AF7" s="82">
        <v>0</v>
      </c>
      <c r="AG7" s="82">
        <v>0</v>
      </c>
      <c r="AH7" s="82">
        <v>0</v>
      </c>
      <c r="AI7" s="82">
        <v>0</v>
      </c>
      <c r="AJ7" s="82">
        <v>0</v>
      </c>
      <c r="AK7" s="82">
        <v>0</v>
      </c>
      <c r="AL7" s="82">
        <v>0</v>
      </c>
      <c r="AM7" s="82">
        <v>0</v>
      </c>
      <c r="AN7" s="82">
        <v>0</v>
      </c>
      <c r="AO7" s="82">
        <v>0</v>
      </c>
      <c r="AP7" s="82">
        <v>0</v>
      </c>
      <c r="AQ7" s="82">
        <v>0</v>
      </c>
      <c r="AR7" s="82">
        <v>0</v>
      </c>
      <c r="AS7" s="82">
        <v>0</v>
      </c>
      <c r="AT7" s="57">
        <v>2400</v>
      </c>
    </row>
    <row r="8" spans="1:46">
      <c r="AT8" s="85">
        <f>SUM(AT5:AT7)</f>
        <v>5000</v>
      </c>
    </row>
  </sheetData>
  <mergeCells count="19">
    <mergeCell ref="A1:D1"/>
    <mergeCell ref="A3:A4"/>
    <mergeCell ref="B3:B4"/>
    <mergeCell ref="C3:C4"/>
    <mergeCell ref="D3:D4"/>
    <mergeCell ref="E3:E4"/>
    <mergeCell ref="F3:F4"/>
    <mergeCell ref="G3:G4"/>
    <mergeCell ref="H3:H4"/>
    <mergeCell ref="I3:Q3"/>
    <mergeCell ref="AM3:AM4"/>
    <mergeCell ref="AN3:AP3"/>
    <mergeCell ref="AQ3:AS3"/>
    <mergeCell ref="AT3:AT4"/>
    <mergeCell ref="R3:Z3"/>
    <mergeCell ref="AA3:AC3"/>
    <mergeCell ref="AD3:AF3"/>
    <mergeCell ref="AG3:AI3"/>
    <mergeCell ref="AJ3:AL3"/>
  </mergeCells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>
      <selection activeCell="C24" sqref="C24"/>
    </sheetView>
  </sheetViews>
  <sheetFormatPr defaultRowHeight="17.399999999999999"/>
  <cols>
    <col min="1" max="1" width="15.3984375" customWidth="1"/>
    <col min="2" max="2" width="15.5" customWidth="1"/>
  </cols>
  <sheetData>
    <row r="1" spans="1:1">
      <c r="A1" s="79" t="s">
        <v>236</v>
      </c>
    </row>
  </sheetData>
  <sortState ref="A31:X46">
    <sortCondition ref="A31:A46"/>
  </sortState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9"/>
  <sheetViews>
    <sheetView topLeftCell="M1" zoomScale="85" zoomScaleNormal="85" workbookViewId="0">
      <selection activeCell="A11" sqref="A1:XFD11"/>
    </sheetView>
  </sheetViews>
  <sheetFormatPr defaultColWidth="15.5" defaultRowHeight="15.6"/>
  <cols>
    <col min="1" max="1" width="12.19921875" style="2" customWidth="1"/>
    <col min="2" max="2" width="15" style="2" customWidth="1"/>
    <col min="3" max="3" width="11.69921875" style="2" customWidth="1"/>
    <col min="4" max="4" width="6.69921875" style="2" customWidth="1"/>
    <col min="5" max="7" width="4.09765625" style="2" customWidth="1"/>
    <col min="8" max="15" width="7.69921875" style="2" customWidth="1"/>
    <col min="16" max="17" width="11.69921875" style="2" customWidth="1"/>
    <col min="18" max="19" width="14.5" style="2" customWidth="1"/>
    <col min="20" max="32" width="6" style="2" customWidth="1"/>
    <col min="33" max="34" width="8.59765625" style="2" customWidth="1"/>
    <col min="35" max="35" width="6" style="2" customWidth="1"/>
    <col min="36" max="37" width="18.3984375" style="2" customWidth="1"/>
    <col min="38" max="16384" width="15.5" style="2"/>
  </cols>
  <sheetData>
    <row r="1" spans="1:37" s="46" customFormat="1" ht="25.8" thickBot="1">
      <c r="A1" s="108" t="s">
        <v>237</v>
      </c>
    </row>
    <row r="2" spans="1:37" s="46" customFormat="1" ht="15" thickBot="1">
      <c r="A2" s="140" t="s">
        <v>25</v>
      </c>
      <c r="B2" s="140" t="s">
        <v>26</v>
      </c>
      <c r="C2" s="140" t="s">
        <v>20</v>
      </c>
      <c r="D2" s="140" t="s">
        <v>27</v>
      </c>
      <c r="E2" s="128" t="s">
        <v>105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29"/>
      <c r="AJ2" s="128" t="s">
        <v>28</v>
      </c>
      <c r="AK2" s="129"/>
    </row>
    <row r="3" spans="1:37" s="46" customFormat="1" ht="15" thickBot="1">
      <c r="A3" s="141"/>
      <c r="B3" s="141"/>
      <c r="C3" s="141"/>
      <c r="D3" s="141"/>
      <c r="E3" s="130" t="s">
        <v>106</v>
      </c>
      <c r="F3" s="131"/>
      <c r="G3" s="132"/>
      <c r="H3" s="128" t="s">
        <v>10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29"/>
      <c r="AJ3" s="140" t="s">
        <v>11</v>
      </c>
      <c r="AK3" s="140" t="s">
        <v>12</v>
      </c>
    </row>
    <row r="4" spans="1:37" s="46" customFormat="1" ht="15" thickBot="1">
      <c r="A4" s="141"/>
      <c r="B4" s="141"/>
      <c r="C4" s="141"/>
      <c r="D4" s="141"/>
      <c r="E4" s="133"/>
      <c r="F4" s="134"/>
      <c r="G4" s="135"/>
      <c r="H4" s="128" t="s">
        <v>102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29"/>
      <c r="T4" s="128" t="s">
        <v>97</v>
      </c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29"/>
      <c r="AF4" s="130" t="s">
        <v>13</v>
      </c>
      <c r="AG4" s="131"/>
      <c r="AH4" s="131"/>
      <c r="AI4" s="132"/>
      <c r="AJ4" s="141"/>
      <c r="AK4" s="141"/>
    </row>
    <row r="5" spans="1:37" s="46" customFormat="1" ht="15" thickBot="1">
      <c r="A5" s="141"/>
      <c r="B5" s="141"/>
      <c r="C5" s="141"/>
      <c r="D5" s="141"/>
      <c r="E5" s="136"/>
      <c r="F5" s="137"/>
      <c r="G5" s="138"/>
      <c r="H5" s="128" t="s">
        <v>98</v>
      </c>
      <c r="I5" s="139"/>
      <c r="J5" s="129"/>
      <c r="K5" s="128" t="s">
        <v>99</v>
      </c>
      <c r="L5" s="139"/>
      <c r="M5" s="129"/>
      <c r="N5" s="128" t="s">
        <v>100</v>
      </c>
      <c r="O5" s="139"/>
      <c r="P5" s="129"/>
      <c r="Q5" s="128" t="s">
        <v>101</v>
      </c>
      <c r="R5" s="139"/>
      <c r="S5" s="129"/>
      <c r="T5" s="128" t="s">
        <v>98</v>
      </c>
      <c r="U5" s="139"/>
      <c r="V5" s="129"/>
      <c r="W5" s="128" t="s">
        <v>99</v>
      </c>
      <c r="X5" s="139"/>
      <c r="Y5" s="129"/>
      <c r="Z5" s="128" t="s">
        <v>100</v>
      </c>
      <c r="AA5" s="139"/>
      <c r="AB5" s="129"/>
      <c r="AC5" s="128" t="s">
        <v>101</v>
      </c>
      <c r="AD5" s="139"/>
      <c r="AE5" s="129"/>
      <c r="AF5" s="136"/>
      <c r="AG5" s="137"/>
      <c r="AH5" s="137"/>
      <c r="AI5" s="138"/>
      <c r="AJ5" s="141"/>
      <c r="AK5" s="141"/>
    </row>
    <row r="6" spans="1:37" s="46" customFormat="1" ht="43.8" thickBot="1">
      <c r="A6" s="142"/>
      <c r="B6" s="142"/>
      <c r="C6" s="142"/>
      <c r="D6" s="142"/>
      <c r="E6" s="103" t="s">
        <v>5</v>
      </c>
      <c r="F6" s="103" t="s">
        <v>11</v>
      </c>
      <c r="G6" s="103" t="s">
        <v>12</v>
      </c>
      <c r="H6" s="103" t="s">
        <v>5</v>
      </c>
      <c r="I6" s="103" t="s">
        <v>14</v>
      </c>
      <c r="J6" s="103" t="s">
        <v>11</v>
      </c>
      <c r="K6" s="103" t="s">
        <v>5</v>
      </c>
      <c r="L6" s="103" t="s">
        <v>14</v>
      </c>
      <c r="M6" s="103" t="s">
        <v>11</v>
      </c>
      <c r="N6" s="103" t="s">
        <v>5</v>
      </c>
      <c r="O6" s="103" t="s">
        <v>14</v>
      </c>
      <c r="P6" s="103" t="s">
        <v>11</v>
      </c>
      <c r="Q6" s="103" t="s">
        <v>5</v>
      </c>
      <c r="R6" s="103" t="s">
        <v>14</v>
      </c>
      <c r="S6" s="103" t="s">
        <v>11</v>
      </c>
      <c r="T6" s="103" t="s">
        <v>5</v>
      </c>
      <c r="U6" s="103" t="s">
        <v>14</v>
      </c>
      <c r="V6" s="103" t="s">
        <v>11</v>
      </c>
      <c r="W6" s="103" t="s">
        <v>5</v>
      </c>
      <c r="X6" s="103" t="s">
        <v>14</v>
      </c>
      <c r="Y6" s="103" t="s">
        <v>11</v>
      </c>
      <c r="Z6" s="103" t="s">
        <v>5</v>
      </c>
      <c r="AA6" s="103" t="s">
        <v>14</v>
      </c>
      <c r="AB6" s="103" t="s">
        <v>11</v>
      </c>
      <c r="AC6" s="103" t="s">
        <v>5</v>
      </c>
      <c r="AD6" s="103" t="s">
        <v>14</v>
      </c>
      <c r="AE6" s="103" t="s">
        <v>11</v>
      </c>
      <c r="AF6" s="103" t="s">
        <v>5</v>
      </c>
      <c r="AG6" s="103" t="s">
        <v>14</v>
      </c>
      <c r="AH6" s="103" t="s">
        <v>11</v>
      </c>
      <c r="AI6" s="103" t="s">
        <v>12</v>
      </c>
      <c r="AJ6" s="142"/>
      <c r="AK6" s="142"/>
    </row>
    <row r="7" spans="1:37" s="46" customFormat="1" ht="19.8" thickBot="1">
      <c r="A7" s="75" t="s">
        <v>245</v>
      </c>
      <c r="B7" s="76" t="s">
        <v>31</v>
      </c>
      <c r="C7" s="76" t="s">
        <v>166</v>
      </c>
      <c r="D7" s="76" t="s">
        <v>246</v>
      </c>
      <c r="E7" s="77">
        <v>0</v>
      </c>
      <c r="F7" s="77">
        <v>0</v>
      </c>
      <c r="G7" s="77">
        <v>0</v>
      </c>
      <c r="H7" s="77">
        <v>1</v>
      </c>
      <c r="I7" s="77">
        <v>1</v>
      </c>
      <c r="J7" s="77">
        <v>200</v>
      </c>
      <c r="K7" s="77">
        <v>0</v>
      </c>
      <c r="L7" s="77">
        <v>0</v>
      </c>
      <c r="M7" s="77">
        <v>0</v>
      </c>
      <c r="N7" s="77">
        <v>0</v>
      </c>
      <c r="O7" s="77">
        <v>0</v>
      </c>
      <c r="P7" s="77">
        <v>0</v>
      </c>
      <c r="Q7" s="77">
        <v>0</v>
      </c>
      <c r="R7" s="77">
        <v>0</v>
      </c>
      <c r="S7" s="77">
        <v>0</v>
      </c>
      <c r="T7" s="77">
        <v>0</v>
      </c>
      <c r="U7" s="77">
        <v>0</v>
      </c>
      <c r="V7" s="77">
        <v>0</v>
      </c>
      <c r="W7" s="77">
        <v>0</v>
      </c>
      <c r="X7" s="77">
        <v>0</v>
      </c>
      <c r="Y7" s="77">
        <v>0</v>
      </c>
      <c r="Z7" s="77">
        <v>0</v>
      </c>
      <c r="AA7" s="77">
        <v>0</v>
      </c>
      <c r="AB7" s="77">
        <v>0</v>
      </c>
      <c r="AC7" s="77">
        <v>0</v>
      </c>
      <c r="AD7" s="77">
        <v>0</v>
      </c>
      <c r="AE7" s="77">
        <v>0</v>
      </c>
      <c r="AF7" s="77">
        <v>1</v>
      </c>
      <c r="AG7" s="77">
        <v>1</v>
      </c>
      <c r="AH7" s="77">
        <v>200</v>
      </c>
      <c r="AI7" s="77">
        <v>120</v>
      </c>
      <c r="AJ7" s="109">
        <v>200</v>
      </c>
      <c r="AK7" s="110">
        <v>120</v>
      </c>
    </row>
    <row r="8" spans="1:37" s="46" customFormat="1" ht="19.2">
      <c r="A8" s="75" t="s">
        <v>245</v>
      </c>
      <c r="B8" s="76" t="s">
        <v>206</v>
      </c>
      <c r="C8" s="76" t="s">
        <v>166</v>
      </c>
      <c r="D8" s="76" t="s">
        <v>247</v>
      </c>
      <c r="E8" s="77">
        <v>0</v>
      </c>
      <c r="F8" s="77">
        <v>0</v>
      </c>
      <c r="G8" s="77">
        <v>0</v>
      </c>
      <c r="H8" s="77">
        <v>1</v>
      </c>
      <c r="I8" s="77">
        <v>1</v>
      </c>
      <c r="J8" s="77">
        <v>200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  <c r="Z8" s="77">
        <v>0</v>
      </c>
      <c r="AA8" s="77">
        <v>0</v>
      </c>
      <c r="AB8" s="77">
        <v>0</v>
      </c>
      <c r="AC8" s="77">
        <v>0</v>
      </c>
      <c r="AD8" s="77">
        <v>0</v>
      </c>
      <c r="AE8" s="77">
        <v>0</v>
      </c>
      <c r="AF8" s="77">
        <v>1</v>
      </c>
      <c r="AG8" s="77">
        <v>1</v>
      </c>
      <c r="AH8" s="77">
        <v>200</v>
      </c>
      <c r="AI8" s="77">
        <v>120</v>
      </c>
      <c r="AJ8" s="109">
        <v>200</v>
      </c>
      <c r="AK8" s="110">
        <v>120</v>
      </c>
    </row>
    <row r="9" spans="1:37" ht="17.399999999999999">
      <c r="AJ9" s="101">
        <f>SUM(AJ6:AJ8)</f>
        <v>400</v>
      </c>
      <c r="AK9" s="101">
        <f>SUM(AK6:AK8)</f>
        <v>240</v>
      </c>
    </row>
  </sheetData>
  <mergeCells count="21">
    <mergeCell ref="A2:A6"/>
    <mergeCell ref="B2:B6"/>
    <mergeCell ref="C2:C6"/>
    <mergeCell ref="D2:D6"/>
    <mergeCell ref="E2:AI2"/>
    <mergeCell ref="AJ2:AK2"/>
    <mergeCell ref="E3:G5"/>
    <mergeCell ref="H3:AI3"/>
    <mergeCell ref="AJ3:AJ6"/>
    <mergeCell ref="AK3:AK6"/>
    <mergeCell ref="H4:S4"/>
    <mergeCell ref="T4:AE4"/>
    <mergeCell ref="AF4:AI5"/>
    <mergeCell ref="H5:J5"/>
    <mergeCell ref="K5:M5"/>
    <mergeCell ref="N5:P5"/>
    <mergeCell ref="Q5:S5"/>
    <mergeCell ref="T5:V5"/>
    <mergeCell ref="W5:Y5"/>
    <mergeCell ref="Z5:AB5"/>
    <mergeCell ref="AC5:AE5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4"/>
  <sheetViews>
    <sheetView zoomScale="88" zoomScaleNormal="88" workbookViewId="0">
      <selection activeCell="AE7" sqref="AE7"/>
    </sheetView>
  </sheetViews>
  <sheetFormatPr defaultColWidth="8.69921875" defaultRowHeight="15.6"/>
  <cols>
    <col min="1" max="1" width="11.19921875" style="2" customWidth="1"/>
    <col min="2" max="2" width="10.8984375" style="2" customWidth="1"/>
    <col min="3" max="3" width="19.796875" style="2" customWidth="1"/>
    <col min="4" max="4" width="6.8984375" style="2" customWidth="1"/>
    <col min="5" max="5" width="2.19921875" style="2" customWidth="1"/>
    <col min="6" max="7" width="6.8984375" style="2" customWidth="1"/>
    <col min="8" max="8" width="7.69921875" style="2" customWidth="1"/>
    <col min="9" max="10" width="6.8984375" style="2" customWidth="1"/>
    <col min="11" max="11" width="13.296875" style="2" customWidth="1"/>
    <col min="12" max="12" width="13.19921875" style="2" customWidth="1"/>
    <col min="13" max="13" width="14.59765625" style="2" customWidth="1"/>
    <col min="14" max="14" width="5.8984375" style="2" customWidth="1"/>
    <col min="15" max="15" width="8.3984375" style="2" customWidth="1"/>
    <col min="16" max="16" width="7.296875" style="2" customWidth="1"/>
    <col min="17" max="19" width="5.8984375" style="2" customWidth="1"/>
    <col min="20" max="20" width="9" style="2" customWidth="1"/>
    <col min="21" max="21" width="7.59765625" style="2" customWidth="1"/>
    <col min="22" max="24" width="9.19921875" style="2" customWidth="1"/>
    <col min="25" max="27" width="7.19921875" style="2" customWidth="1"/>
    <col min="28" max="28" width="9.19921875" style="2" customWidth="1"/>
    <col min="29" max="29" width="8.09765625" style="2" customWidth="1"/>
    <col min="30" max="30" width="8.69921875" style="2" customWidth="1"/>
    <col min="31" max="31" width="9.09765625" style="2" customWidth="1"/>
    <col min="32" max="36" width="5.19921875" style="2" customWidth="1"/>
    <col min="37" max="37" width="3.69921875" style="2" customWidth="1"/>
    <col min="38" max="38" width="4.19921875" style="2" customWidth="1"/>
    <col min="39" max="16384" width="8.69921875" style="2"/>
  </cols>
  <sheetData>
    <row r="1" spans="1:31" s="53" customFormat="1" ht="13.2">
      <c r="A1" s="144" t="s">
        <v>169</v>
      </c>
      <c r="B1" s="143" t="s">
        <v>170</v>
      </c>
      <c r="C1" s="143" t="s">
        <v>171</v>
      </c>
      <c r="D1" s="143" t="s">
        <v>172</v>
      </c>
      <c r="E1" s="143" t="s">
        <v>173</v>
      </c>
      <c r="F1" s="143" t="s">
        <v>174</v>
      </c>
      <c r="G1" s="143" t="s">
        <v>175</v>
      </c>
      <c r="H1" s="143" t="s">
        <v>176</v>
      </c>
      <c r="I1" s="143" t="s">
        <v>177</v>
      </c>
      <c r="J1" s="143" t="s">
        <v>178</v>
      </c>
      <c r="K1" s="143" t="s">
        <v>145</v>
      </c>
      <c r="L1" s="143" t="s">
        <v>1</v>
      </c>
      <c r="M1" s="143" t="s">
        <v>179</v>
      </c>
      <c r="N1" s="143" t="s">
        <v>180</v>
      </c>
      <c r="O1" s="143" t="s">
        <v>181</v>
      </c>
      <c r="P1" s="143" t="s">
        <v>182</v>
      </c>
      <c r="Q1" s="143" t="s">
        <v>183</v>
      </c>
      <c r="R1" s="143" t="s">
        <v>184</v>
      </c>
      <c r="S1" s="143" t="s">
        <v>138</v>
      </c>
      <c r="T1" s="143" t="s">
        <v>16</v>
      </c>
      <c r="U1" s="143" t="s">
        <v>185</v>
      </c>
      <c r="V1" s="143" t="s">
        <v>16</v>
      </c>
      <c r="W1" s="143" t="s">
        <v>0</v>
      </c>
      <c r="X1" s="143" t="s">
        <v>186</v>
      </c>
      <c r="Y1" s="143" t="s">
        <v>16</v>
      </c>
      <c r="Z1" s="143" t="s">
        <v>16</v>
      </c>
      <c r="AA1" s="143" t="s">
        <v>187</v>
      </c>
      <c r="AB1" s="143" t="s">
        <v>16</v>
      </c>
      <c r="AC1" s="143" t="s">
        <v>16</v>
      </c>
      <c r="AD1" s="143" t="s">
        <v>188</v>
      </c>
      <c r="AE1" s="143" t="s">
        <v>189</v>
      </c>
    </row>
    <row r="2" spans="1:31" s="53" customFormat="1" ht="39.6">
      <c r="A2" s="143" t="s">
        <v>16</v>
      </c>
      <c r="B2" s="143" t="s">
        <v>16</v>
      </c>
      <c r="C2" s="143" t="s">
        <v>16</v>
      </c>
      <c r="D2" s="143" t="s">
        <v>16</v>
      </c>
      <c r="E2" s="143" t="s">
        <v>16</v>
      </c>
      <c r="F2" s="143" t="s">
        <v>16</v>
      </c>
      <c r="G2" s="143" t="s">
        <v>16</v>
      </c>
      <c r="H2" s="143" t="s">
        <v>16</v>
      </c>
      <c r="I2" s="143" t="s">
        <v>16</v>
      </c>
      <c r="J2" s="143" t="s">
        <v>16</v>
      </c>
      <c r="K2" s="143" t="s">
        <v>16</v>
      </c>
      <c r="L2" s="143" t="s">
        <v>16</v>
      </c>
      <c r="M2" s="143" t="s">
        <v>16</v>
      </c>
      <c r="N2" s="143" t="s">
        <v>16</v>
      </c>
      <c r="O2" s="143" t="s">
        <v>16</v>
      </c>
      <c r="P2" s="143" t="s">
        <v>16</v>
      </c>
      <c r="Q2" s="143" t="s">
        <v>16</v>
      </c>
      <c r="R2" s="143" t="s">
        <v>16</v>
      </c>
      <c r="S2" s="104" t="s">
        <v>5</v>
      </c>
      <c r="T2" s="104" t="s">
        <v>190</v>
      </c>
      <c r="U2" s="104" t="s">
        <v>5</v>
      </c>
      <c r="V2" s="104" t="s">
        <v>190</v>
      </c>
      <c r="W2" s="143" t="s">
        <v>16</v>
      </c>
      <c r="X2" s="104" t="s">
        <v>191</v>
      </c>
      <c r="Y2" s="104" t="s">
        <v>192</v>
      </c>
      <c r="Z2" s="104" t="s">
        <v>193</v>
      </c>
      <c r="AA2" s="104" t="s">
        <v>194</v>
      </c>
      <c r="AB2" s="104" t="s">
        <v>193</v>
      </c>
      <c r="AC2" s="104" t="s">
        <v>195</v>
      </c>
      <c r="AD2" s="143" t="s">
        <v>16</v>
      </c>
      <c r="AE2" s="143" t="s">
        <v>16</v>
      </c>
    </row>
    <row r="3" spans="1:31" s="53" customFormat="1" ht="13.2">
      <c r="A3" s="88" t="s">
        <v>196</v>
      </c>
      <c r="B3" s="88" t="s">
        <v>197</v>
      </c>
      <c r="C3" s="88" t="s">
        <v>198</v>
      </c>
      <c r="D3" s="88" t="s">
        <v>248</v>
      </c>
      <c r="E3" s="88" t="s">
        <v>203</v>
      </c>
      <c r="F3" s="88" t="s">
        <v>31</v>
      </c>
      <c r="G3" s="88" t="s">
        <v>222</v>
      </c>
      <c r="H3" s="88" t="s">
        <v>204</v>
      </c>
      <c r="I3" s="88" t="s">
        <v>223</v>
      </c>
      <c r="J3" s="88" t="s">
        <v>199</v>
      </c>
      <c r="K3" s="88" t="s">
        <v>17</v>
      </c>
      <c r="L3" s="88" t="s">
        <v>200</v>
      </c>
      <c r="M3" s="88" t="s">
        <v>30</v>
      </c>
      <c r="N3" s="88" t="s">
        <v>30</v>
      </c>
      <c r="O3" s="88" t="s">
        <v>201</v>
      </c>
      <c r="P3" s="89">
        <v>1</v>
      </c>
      <c r="Q3" s="89">
        <v>0</v>
      </c>
      <c r="R3" s="89">
        <v>0</v>
      </c>
      <c r="S3" s="89">
        <v>1</v>
      </c>
      <c r="T3" s="89">
        <v>1000</v>
      </c>
      <c r="U3" s="89">
        <v>0</v>
      </c>
      <c r="V3" s="89">
        <v>0</v>
      </c>
      <c r="W3" s="89">
        <v>1000</v>
      </c>
      <c r="X3" s="89">
        <v>1000</v>
      </c>
      <c r="Y3" s="89">
        <v>0</v>
      </c>
      <c r="Z3" s="89">
        <v>0</v>
      </c>
      <c r="AA3" s="89">
        <v>300</v>
      </c>
      <c r="AB3" s="89">
        <v>0</v>
      </c>
      <c r="AC3" s="89">
        <v>0</v>
      </c>
      <c r="AD3" s="89">
        <v>700</v>
      </c>
      <c r="AE3" s="88" t="s">
        <v>202</v>
      </c>
    </row>
    <row r="4" spans="1:31">
      <c r="W4" s="86">
        <f>SUM(W3)</f>
        <v>1000</v>
      </c>
      <c r="AD4" s="86">
        <f>SUM(AD3)</f>
        <v>700</v>
      </c>
      <c r="AE4" s="86"/>
    </row>
  </sheetData>
  <sortState ref="A3:AD371">
    <sortCondition ref="P3:P371"/>
  </sortState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T1"/>
    <mergeCell ref="U1:V1"/>
    <mergeCell ref="W1:W2"/>
    <mergeCell ref="X1:Z1"/>
    <mergeCell ref="AA1:AC1"/>
    <mergeCell ref="AD1:AD2"/>
    <mergeCell ref="AE1:AE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1"/>
  <sheetViews>
    <sheetView topLeftCell="N1" workbookViewId="0">
      <selection activeCell="U22" sqref="U22"/>
    </sheetView>
  </sheetViews>
  <sheetFormatPr defaultColWidth="6.69921875" defaultRowHeight="15.6"/>
  <cols>
    <col min="1" max="1" width="5.59765625" style="2" hidden="1" customWidth="1"/>
    <col min="2" max="2" width="6" style="2" customWidth="1"/>
    <col min="3" max="3" width="8.09765625" style="2" customWidth="1"/>
    <col min="4" max="4" width="5.3984375" style="2" customWidth="1"/>
    <col min="5" max="5" width="3.69921875" style="2" customWidth="1"/>
    <col min="6" max="6" width="5" style="2" customWidth="1"/>
    <col min="7" max="10" width="10.19921875" style="2" customWidth="1"/>
    <col min="11" max="17" width="9.69921875" style="2" customWidth="1"/>
    <col min="18" max="18" width="13.59765625" style="2" customWidth="1"/>
    <col min="19" max="19" width="9.5" style="2" customWidth="1"/>
    <col min="20" max="20" width="9.09765625" style="2" customWidth="1"/>
    <col min="21" max="21" width="10.5" style="2" customWidth="1"/>
    <col min="22" max="22" width="10.69921875" style="2" customWidth="1"/>
    <col min="23" max="23" width="9.59765625" style="2" customWidth="1"/>
    <col min="24" max="24" width="6.69921875" style="2" bestFit="1" customWidth="1"/>
    <col min="25" max="25" width="7.5" style="2" bestFit="1" customWidth="1"/>
    <col min="26" max="26" width="9.19921875" style="2" customWidth="1"/>
    <col min="27" max="27" width="9.3984375" style="2" customWidth="1"/>
    <col min="28" max="28" width="8.09765625" style="2" customWidth="1"/>
    <col min="29" max="29" width="8.69921875" style="2" customWidth="1"/>
    <col min="30" max="30" width="12.19921875" style="2" customWidth="1"/>
    <col min="31" max="16384" width="6.69921875" style="2"/>
  </cols>
  <sheetData>
    <row r="1" spans="14:14">
      <c r="N1" s="2" t="s">
        <v>151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Q14"/>
  <sheetViews>
    <sheetView zoomScaleSheetLayoutView="75" workbookViewId="0">
      <selection activeCell="AW8" sqref="AW8"/>
    </sheetView>
  </sheetViews>
  <sheetFormatPr defaultColWidth="8.8984375" defaultRowHeight="10.8"/>
  <cols>
    <col min="1" max="1" width="4" style="87" customWidth="1"/>
    <col min="2" max="2" width="12.09765625" style="87" customWidth="1"/>
    <col min="3" max="3" width="10.796875" style="87" customWidth="1"/>
    <col min="4" max="4" width="21.59765625" style="87" customWidth="1"/>
    <col min="5" max="6" width="4.3984375" style="87" customWidth="1"/>
    <col min="7" max="7" width="3.796875" style="87" customWidth="1"/>
    <col min="8" max="8" width="8.8984375" style="87"/>
    <col min="9" max="9" width="21.09765625" style="87" customWidth="1"/>
    <col min="10" max="10" width="9" style="87" bestFit="1" customWidth="1"/>
    <col min="11" max="12" width="8.8984375" style="87"/>
    <col min="13" max="13" width="9" style="87" bestFit="1" customWidth="1"/>
    <col min="14" max="20" width="8.8984375" style="87"/>
    <col min="21" max="21" width="9" style="87" bestFit="1" customWidth="1"/>
    <col min="22" max="32" width="8.8984375" style="87"/>
    <col min="33" max="33" width="9" style="87" bestFit="1" customWidth="1"/>
    <col min="34" max="38" width="8.8984375" style="87"/>
    <col min="39" max="43" width="8.8984375" style="87" customWidth="1"/>
    <col min="44" max="16384" width="8.8984375" style="87"/>
  </cols>
  <sheetData>
    <row r="1" spans="1:43" s="79" customFormat="1" ht="17.399999999999999">
      <c r="A1" s="54" t="s">
        <v>129</v>
      </c>
      <c r="B1" s="54" t="s">
        <v>117</v>
      </c>
      <c r="C1" s="54" t="s">
        <v>118</v>
      </c>
      <c r="D1" s="54" t="s">
        <v>45</v>
      </c>
      <c r="E1" s="54" t="s">
        <v>46</v>
      </c>
      <c r="F1" s="54" t="s">
        <v>47</v>
      </c>
      <c r="G1" s="54" t="s">
        <v>48</v>
      </c>
      <c r="H1" s="54" t="s">
        <v>49</v>
      </c>
      <c r="I1" s="54" t="s">
        <v>1</v>
      </c>
      <c r="J1" s="54" t="s">
        <v>35</v>
      </c>
      <c r="K1" s="54" t="s">
        <v>50</v>
      </c>
      <c r="L1" s="54" t="s">
        <v>51</v>
      </c>
      <c r="M1" s="54" t="s">
        <v>52</v>
      </c>
      <c r="N1" s="54" t="s">
        <v>53</v>
      </c>
      <c r="O1" s="54" t="s">
        <v>54</v>
      </c>
      <c r="P1" s="54" t="s">
        <v>127</v>
      </c>
      <c r="Q1" s="54" t="s">
        <v>128</v>
      </c>
      <c r="R1" s="54" t="s">
        <v>55</v>
      </c>
      <c r="S1" s="54" t="s">
        <v>56</v>
      </c>
      <c r="T1" s="54" t="s">
        <v>57</v>
      </c>
      <c r="U1" s="54" t="s">
        <v>58</v>
      </c>
      <c r="V1" s="54" t="s">
        <v>59</v>
      </c>
      <c r="W1" s="54" t="s">
        <v>60</v>
      </c>
      <c r="X1" s="54" t="s">
        <v>107</v>
      </c>
      <c r="Y1" s="54" t="s">
        <v>108</v>
      </c>
      <c r="Z1" s="54" t="s">
        <v>109</v>
      </c>
      <c r="AA1" s="54" t="s">
        <v>110</v>
      </c>
      <c r="AB1" s="54" t="s">
        <v>111</v>
      </c>
      <c r="AC1" s="54" t="s">
        <v>112</v>
      </c>
      <c r="AD1" s="54" t="s">
        <v>113</v>
      </c>
      <c r="AE1" s="54" t="s">
        <v>114</v>
      </c>
      <c r="AF1" s="54" t="s">
        <v>115</v>
      </c>
      <c r="AG1" s="54" t="s">
        <v>116</v>
      </c>
      <c r="AH1" s="54" t="s">
        <v>152</v>
      </c>
      <c r="AI1" s="54" t="s">
        <v>153</v>
      </c>
      <c r="AJ1" s="54" t="s">
        <v>61</v>
      </c>
      <c r="AK1" s="54" t="s">
        <v>62</v>
      </c>
      <c r="AL1" s="54" t="s">
        <v>154</v>
      </c>
      <c r="AM1" s="54" t="s">
        <v>155</v>
      </c>
      <c r="AN1" s="54" t="s">
        <v>156</v>
      </c>
      <c r="AO1" s="54" t="s">
        <v>157</v>
      </c>
      <c r="AP1" s="54" t="s">
        <v>158</v>
      </c>
      <c r="AQ1" s="54" t="s">
        <v>12</v>
      </c>
    </row>
    <row r="2" spans="1:43" s="79" customFormat="1" ht="17.399999999999999">
      <c r="A2" s="54" t="s">
        <v>130</v>
      </c>
      <c r="B2" s="54">
        <v>1471003057</v>
      </c>
      <c r="C2" s="54">
        <v>1471003057</v>
      </c>
      <c r="D2" s="54" t="s">
        <v>254</v>
      </c>
      <c r="E2" s="54">
        <v>1</v>
      </c>
      <c r="F2" s="54" t="s">
        <v>30</v>
      </c>
      <c r="G2" s="54"/>
      <c r="H2" s="54"/>
      <c r="I2" s="54" t="s">
        <v>15</v>
      </c>
      <c r="J2" s="54" t="s">
        <v>255</v>
      </c>
      <c r="K2" s="54">
        <v>2000</v>
      </c>
      <c r="L2" s="54">
        <v>0</v>
      </c>
      <c r="M2" s="54">
        <v>0</v>
      </c>
      <c r="N2" s="54">
        <v>0</v>
      </c>
      <c r="O2" s="54">
        <v>1000</v>
      </c>
      <c r="P2" s="54">
        <v>1</v>
      </c>
      <c r="Q2" s="54">
        <v>0</v>
      </c>
      <c r="R2" s="54">
        <v>0</v>
      </c>
      <c r="S2" s="54">
        <v>0</v>
      </c>
      <c r="T2" s="54">
        <v>0</v>
      </c>
      <c r="U2" s="54">
        <v>0</v>
      </c>
      <c r="V2" s="54">
        <v>0</v>
      </c>
      <c r="W2" s="54">
        <v>0</v>
      </c>
      <c r="X2" s="54">
        <v>0</v>
      </c>
      <c r="Y2" s="54">
        <v>0</v>
      </c>
      <c r="Z2" s="54">
        <v>0</v>
      </c>
      <c r="AA2" s="54">
        <v>0</v>
      </c>
      <c r="AB2" s="54">
        <v>0</v>
      </c>
      <c r="AC2" s="54">
        <v>0</v>
      </c>
      <c r="AD2" s="54">
        <v>0</v>
      </c>
      <c r="AE2" s="54">
        <v>0</v>
      </c>
      <c r="AF2" s="54">
        <v>0</v>
      </c>
      <c r="AG2" s="54">
        <v>0</v>
      </c>
      <c r="AH2" s="54">
        <v>1000</v>
      </c>
      <c r="AI2" s="54">
        <v>1</v>
      </c>
      <c r="AJ2" s="54">
        <v>0</v>
      </c>
      <c r="AK2" s="54">
        <v>0</v>
      </c>
      <c r="AL2" s="54">
        <v>1000</v>
      </c>
      <c r="AM2" s="54">
        <v>0</v>
      </c>
      <c r="AN2" s="54">
        <v>0</v>
      </c>
      <c r="AO2" s="54">
        <v>0</v>
      </c>
      <c r="AP2" s="54">
        <v>0</v>
      </c>
      <c r="AQ2" s="54">
        <v>700</v>
      </c>
    </row>
    <row r="3" spans="1:43" s="79" customFormat="1" ht="17.399999999999999">
      <c r="A3" s="54" t="s">
        <v>130</v>
      </c>
      <c r="B3" s="54">
        <v>1471002771</v>
      </c>
      <c r="C3" s="54">
        <v>1471002771</v>
      </c>
      <c r="D3" s="54" t="s">
        <v>224</v>
      </c>
      <c r="E3" s="54">
        <v>1</v>
      </c>
      <c r="F3" s="54" t="s">
        <v>30</v>
      </c>
      <c r="G3" s="54"/>
      <c r="H3" s="54"/>
      <c r="I3" s="54" t="s">
        <v>15</v>
      </c>
      <c r="J3" s="54" t="s">
        <v>31</v>
      </c>
      <c r="K3" s="54">
        <v>500</v>
      </c>
      <c r="L3" s="54">
        <v>0</v>
      </c>
      <c r="M3" s="54">
        <v>0</v>
      </c>
      <c r="N3" s="54">
        <v>0</v>
      </c>
      <c r="O3" s="54">
        <v>0</v>
      </c>
      <c r="P3" s="54">
        <v>0</v>
      </c>
      <c r="Q3" s="54">
        <v>13</v>
      </c>
      <c r="R3" s="54">
        <v>0</v>
      </c>
      <c r="S3" s="54">
        <v>0</v>
      </c>
      <c r="T3" s="54">
        <v>0</v>
      </c>
      <c r="U3" s="54">
        <v>0</v>
      </c>
      <c r="V3" s="54">
        <v>0</v>
      </c>
      <c r="W3" s="54">
        <v>0</v>
      </c>
      <c r="X3" s="54">
        <v>0</v>
      </c>
      <c r="Y3" s="54">
        <v>0</v>
      </c>
      <c r="Z3" s="54">
        <v>0</v>
      </c>
      <c r="AA3" s="54">
        <v>0</v>
      </c>
      <c r="AB3" s="54">
        <v>0</v>
      </c>
      <c r="AC3" s="54">
        <v>0</v>
      </c>
      <c r="AD3" s="54">
        <v>0</v>
      </c>
      <c r="AE3" s="54">
        <v>0</v>
      </c>
      <c r="AF3" s="54">
        <v>0</v>
      </c>
      <c r="AG3" s="54">
        <v>0</v>
      </c>
      <c r="AH3" s="54">
        <v>0</v>
      </c>
      <c r="AI3" s="54">
        <v>13</v>
      </c>
      <c r="AJ3" s="54">
        <v>0</v>
      </c>
      <c r="AK3" s="54">
        <v>0</v>
      </c>
      <c r="AL3" s="54">
        <v>0</v>
      </c>
      <c r="AM3" s="54">
        <v>0</v>
      </c>
      <c r="AN3" s="54">
        <v>0</v>
      </c>
      <c r="AO3" s="54">
        <v>0</v>
      </c>
      <c r="AP3" s="54">
        <v>0</v>
      </c>
      <c r="AQ3" s="54">
        <v>0</v>
      </c>
    </row>
    <row r="4" spans="1:43" s="79" customFormat="1" ht="17.399999999999999">
      <c r="A4" s="54" t="s">
        <v>130</v>
      </c>
      <c r="B4" s="54">
        <v>1471002771</v>
      </c>
      <c r="C4" s="54">
        <v>1471002772</v>
      </c>
      <c r="D4" s="54" t="s">
        <v>225</v>
      </c>
      <c r="E4" s="54">
        <v>2</v>
      </c>
      <c r="F4" s="54" t="s">
        <v>30</v>
      </c>
      <c r="G4" s="54"/>
      <c r="H4" s="54"/>
      <c r="I4" s="54" t="s">
        <v>15</v>
      </c>
      <c r="J4" s="54" t="s">
        <v>31</v>
      </c>
      <c r="K4" s="54">
        <v>500</v>
      </c>
      <c r="L4" s="54">
        <v>0</v>
      </c>
      <c r="M4" s="54">
        <v>0</v>
      </c>
      <c r="N4" s="54">
        <v>0</v>
      </c>
      <c r="O4" s="54">
        <v>0</v>
      </c>
      <c r="P4" s="54">
        <v>0</v>
      </c>
      <c r="Q4" s="54">
        <v>9</v>
      </c>
      <c r="R4" s="54">
        <v>0</v>
      </c>
      <c r="S4" s="54">
        <v>0</v>
      </c>
      <c r="T4" s="54">
        <v>0</v>
      </c>
      <c r="U4" s="54">
        <v>0</v>
      </c>
      <c r="V4" s="54">
        <v>0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v>0</v>
      </c>
      <c r="AF4" s="54">
        <v>0</v>
      </c>
      <c r="AG4" s="54">
        <v>0</v>
      </c>
      <c r="AH4" s="54">
        <v>0</v>
      </c>
      <c r="AI4" s="54">
        <v>9</v>
      </c>
      <c r="AJ4" s="54">
        <v>0</v>
      </c>
      <c r="AK4" s="54">
        <v>0</v>
      </c>
      <c r="AL4" s="54">
        <v>0</v>
      </c>
      <c r="AM4" s="54">
        <v>0</v>
      </c>
      <c r="AN4" s="54">
        <v>0</v>
      </c>
      <c r="AO4" s="54">
        <v>0</v>
      </c>
      <c r="AP4" s="54">
        <v>0</v>
      </c>
      <c r="AQ4" s="54">
        <v>0</v>
      </c>
    </row>
    <row r="5" spans="1:43" s="79" customFormat="1" ht="17.399999999999999">
      <c r="A5" s="54" t="s">
        <v>130</v>
      </c>
      <c r="B5" s="54">
        <v>1471002753</v>
      </c>
      <c r="C5" s="54">
        <v>1471002753</v>
      </c>
      <c r="D5" s="54" t="s">
        <v>226</v>
      </c>
      <c r="E5" s="54">
        <v>1</v>
      </c>
      <c r="F5" s="54" t="s">
        <v>30</v>
      </c>
      <c r="G5" s="54"/>
      <c r="H5" s="54"/>
      <c r="I5" s="54" t="s">
        <v>15</v>
      </c>
      <c r="J5" s="54" t="s">
        <v>206</v>
      </c>
      <c r="K5" s="54">
        <v>500</v>
      </c>
      <c r="L5" s="54">
        <v>0</v>
      </c>
      <c r="M5" s="54">
        <v>0</v>
      </c>
      <c r="N5" s="54">
        <v>0</v>
      </c>
      <c r="O5" s="54">
        <v>0</v>
      </c>
      <c r="P5" s="54">
        <v>0</v>
      </c>
      <c r="Q5" s="54">
        <v>1</v>
      </c>
      <c r="R5" s="54">
        <v>0</v>
      </c>
      <c r="S5" s="54"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v>0</v>
      </c>
      <c r="Z5" s="54">
        <v>0</v>
      </c>
      <c r="AA5" s="54">
        <v>0</v>
      </c>
      <c r="AB5" s="54">
        <v>0</v>
      </c>
      <c r="AC5" s="54">
        <v>0</v>
      </c>
      <c r="AD5" s="54">
        <v>0</v>
      </c>
      <c r="AE5" s="54">
        <v>0</v>
      </c>
      <c r="AF5" s="54">
        <v>0</v>
      </c>
      <c r="AG5" s="54">
        <v>0</v>
      </c>
      <c r="AH5" s="54">
        <v>0</v>
      </c>
      <c r="AI5" s="54">
        <v>1</v>
      </c>
      <c r="AJ5" s="54">
        <v>0</v>
      </c>
      <c r="AK5" s="54">
        <v>0</v>
      </c>
      <c r="AL5" s="54">
        <v>0</v>
      </c>
      <c r="AM5" s="54">
        <v>0</v>
      </c>
      <c r="AN5" s="54">
        <v>0</v>
      </c>
      <c r="AO5" s="54">
        <v>0</v>
      </c>
      <c r="AP5" s="54">
        <v>0</v>
      </c>
      <c r="AQ5" s="54">
        <v>0</v>
      </c>
    </row>
    <row r="6" spans="1:43" s="79" customFormat="1" ht="17.399999999999999">
      <c r="A6" s="54" t="s">
        <v>130</v>
      </c>
      <c r="B6" s="54">
        <v>1471002783</v>
      </c>
      <c r="C6" s="54">
        <v>1471002784</v>
      </c>
      <c r="D6" s="54" t="s">
        <v>227</v>
      </c>
      <c r="E6" s="54">
        <v>2</v>
      </c>
      <c r="F6" s="54" t="s">
        <v>30</v>
      </c>
      <c r="G6" s="54"/>
      <c r="H6" s="54"/>
      <c r="I6" s="54" t="s">
        <v>15</v>
      </c>
      <c r="J6" s="54" t="s">
        <v>167</v>
      </c>
      <c r="K6" s="54">
        <v>500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1</v>
      </c>
      <c r="R6" s="54">
        <v>0</v>
      </c>
      <c r="S6" s="54">
        <v>0</v>
      </c>
      <c r="T6" s="54">
        <v>0</v>
      </c>
      <c r="U6" s="54">
        <v>0</v>
      </c>
      <c r="V6" s="54">
        <v>0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>
        <v>0</v>
      </c>
      <c r="AE6" s="54">
        <v>0</v>
      </c>
      <c r="AF6" s="54">
        <v>0</v>
      </c>
      <c r="AG6" s="54">
        <v>0</v>
      </c>
      <c r="AH6" s="54">
        <v>0</v>
      </c>
      <c r="AI6" s="54">
        <v>1</v>
      </c>
      <c r="AJ6" s="54">
        <v>0</v>
      </c>
      <c r="AK6" s="54">
        <v>0</v>
      </c>
      <c r="AL6" s="54">
        <v>0</v>
      </c>
      <c r="AM6" s="54">
        <v>0</v>
      </c>
      <c r="AN6" s="54">
        <v>0</v>
      </c>
      <c r="AO6" s="54">
        <v>0</v>
      </c>
      <c r="AP6" s="54">
        <v>0</v>
      </c>
      <c r="AQ6" s="54">
        <v>0</v>
      </c>
    </row>
    <row r="7" spans="1:43" s="79" customFormat="1" ht="17.399999999999999">
      <c r="A7" s="54" t="s">
        <v>130</v>
      </c>
      <c r="B7" s="54">
        <v>1471002939</v>
      </c>
      <c r="C7" s="54">
        <v>1471002939</v>
      </c>
      <c r="D7" s="54" t="s">
        <v>228</v>
      </c>
      <c r="E7" s="54">
        <v>1</v>
      </c>
      <c r="F7" s="54" t="s">
        <v>30</v>
      </c>
      <c r="G7" s="54"/>
      <c r="H7" s="54"/>
      <c r="I7" s="54" t="s">
        <v>15</v>
      </c>
      <c r="J7" s="54" t="s">
        <v>168</v>
      </c>
      <c r="K7" s="54">
        <v>500</v>
      </c>
      <c r="L7" s="54">
        <v>0</v>
      </c>
      <c r="M7" s="54">
        <v>0</v>
      </c>
      <c r="N7" s="54">
        <v>0</v>
      </c>
      <c r="O7" s="54">
        <v>0</v>
      </c>
      <c r="P7" s="54">
        <v>0</v>
      </c>
      <c r="Q7" s="54">
        <v>19</v>
      </c>
      <c r="R7" s="54">
        <v>0</v>
      </c>
      <c r="S7" s="54">
        <v>0</v>
      </c>
      <c r="T7" s="54">
        <v>0</v>
      </c>
      <c r="U7" s="54">
        <v>0</v>
      </c>
      <c r="V7" s="54">
        <v>0</v>
      </c>
      <c r="W7" s="54">
        <v>0</v>
      </c>
      <c r="X7" s="54">
        <v>0</v>
      </c>
      <c r="Y7" s="54">
        <v>0</v>
      </c>
      <c r="Z7" s="54">
        <v>0</v>
      </c>
      <c r="AA7" s="54">
        <v>0</v>
      </c>
      <c r="AB7" s="54">
        <v>0</v>
      </c>
      <c r="AC7" s="54">
        <v>0</v>
      </c>
      <c r="AD7" s="54">
        <v>0</v>
      </c>
      <c r="AE7" s="54">
        <v>0</v>
      </c>
      <c r="AF7" s="54">
        <v>0</v>
      </c>
      <c r="AG7" s="54">
        <v>0</v>
      </c>
      <c r="AH7" s="54">
        <v>0</v>
      </c>
      <c r="AI7" s="54">
        <v>19</v>
      </c>
      <c r="AJ7" s="54">
        <v>0</v>
      </c>
      <c r="AK7" s="54">
        <v>0</v>
      </c>
      <c r="AL7" s="54">
        <v>0</v>
      </c>
      <c r="AM7" s="54">
        <v>0</v>
      </c>
      <c r="AN7" s="54">
        <v>0</v>
      </c>
      <c r="AO7" s="54">
        <v>0</v>
      </c>
      <c r="AP7" s="54">
        <v>0</v>
      </c>
      <c r="AQ7" s="54">
        <v>0</v>
      </c>
    </row>
    <row r="8" spans="1:43" s="79" customFormat="1" ht="17.399999999999999">
      <c r="A8" s="54" t="s">
        <v>130</v>
      </c>
      <c r="B8" s="54">
        <v>1471002939</v>
      </c>
      <c r="C8" s="54">
        <v>1471002940</v>
      </c>
      <c r="D8" s="54" t="s">
        <v>229</v>
      </c>
      <c r="E8" s="54">
        <v>2</v>
      </c>
      <c r="F8" s="54" t="s">
        <v>30</v>
      </c>
      <c r="G8" s="54"/>
      <c r="H8" s="54"/>
      <c r="I8" s="54" t="s">
        <v>15</v>
      </c>
      <c r="J8" s="54" t="s">
        <v>168</v>
      </c>
      <c r="K8" s="54">
        <v>500</v>
      </c>
      <c r="L8" s="54">
        <v>0</v>
      </c>
      <c r="M8" s="54">
        <v>0</v>
      </c>
      <c r="N8" s="54">
        <v>0</v>
      </c>
      <c r="O8" s="54">
        <v>0</v>
      </c>
      <c r="P8" s="54">
        <v>0</v>
      </c>
      <c r="Q8" s="54">
        <v>15</v>
      </c>
      <c r="R8" s="54">
        <v>0</v>
      </c>
      <c r="S8" s="54">
        <v>0</v>
      </c>
      <c r="T8" s="54">
        <v>0</v>
      </c>
      <c r="U8" s="54">
        <v>0</v>
      </c>
      <c r="V8" s="54">
        <v>0</v>
      </c>
      <c r="W8" s="54">
        <v>0</v>
      </c>
      <c r="X8" s="54">
        <v>0</v>
      </c>
      <c r="Y8" s="54">
        <v>0</v>
      </c>
      <c r="Z8" s="54">
        <v>0</v>
      </c>
      <c r="AA8" s="54">
        <v>0</v>
      </c>
      <c r="AB8" s="54">
        <v>0</v>
      </c>
      <c r="AC8" s="54">
        <v>0</v>
      </c>
      <c r="AD8" s="54">
        <v>0</v>
      </c>
      <c r="AE8" s="54">
        <v>0</v>
      </c>
      <c r="AF8" s="54">
        <v>0</v>
      </c>
      <c r="AG8" s="54">
        <v>0</v>
      </c>
      <c r="AH8" s="54">
        <v>0</v>
      </c>
      <c r="AI8" s="54">
        <v>15</v>
      </c>
      <c r="AJ8" s="54">
        <v>0</v>
      </c>
      <c r="AK8" s="54">
        <v>0</v>
      </c>
      <c r="AL8" s="54">
        <v>0</v>
      </c>
      <c r="AM8" s="54">
        <v>0</v>
      </c>
      <c r="AN8" s="54">
        <v>0</v>
      </c>
      <c r="AO8" s="54">
        <v>0</v>
      </c>
      <c r="AP8" s="54">
        <v>0</v>
      </c>
      <c r="AQ8" s="54">
        <v>0</v>
      </c>
    </row>
    <row r="9" spans="1:43" s="79" customFormat="1" ht="17.399999999999999">
      <c r="A9" s="54" t="s">
        <v>130</v>
      </c>
      <c r="B9" s="54">
        <v>1471003045</v>
      </c>
      <c r="C9" s="54">
        <v>1471003045</v>
      </c>
      <c r="D9" s="54" t="s">
        <v>230</v>
      </c>
      <c r="E9" s="54">
        <v>1</v>
      </c>
      <c r="F9" s="54" t="s">
        <v>34</v>
      </c>
      <c r="G9" s="54"/>
      <c r="H9" s="54"/>
      <c r="I9" s="54" t="s">
        <v>15</v>
      </c>
      <c r="J9" s="54" t="s">
        <v>231</v>
      </c>
      <c r="K9" s="54">
        <v>2000</v>
      </c>
      <c r="L9" s="54">
        <v>0</v>
      </c>
      <c r="M9" s="54">
        <v>0</v>
      </c>
      <c r="N9" s="54">
        <v>0</v>
      </c>
      <c r="O9" s="54">
        <v>0</v>
      </c>
      <c r="P9" s="54">
        <v>0</v>
      </c>
      <c r="Q9" s="54">
        <v>2</v>
      </c>
      <c r="R9" s="54">
        <v>0</v>
      </c>
      <c r="S9" s="54">
        <v>0</v>
      </c>
      <c r="T9" s="54">
        <v>0</v>
      </c>
      <c r="U9" s="54">
        <v>0</v>
      </c>
      <c r="V9" s="54">
        <v>0</v>
      </c>
      <c r="W9" s="54">
        <v>0</v>
      </c>
      <c r="X9" s="54">
        <v>0</v>
      </c>
      <c r="Y9" s="54">
        <v>0</v>
      </c>
      <c r="Z9" s="54">
        <v>0</v>
      </c>
      <c r="AA9" s="54">
        <v>0</v>
      </c>
      <c r="AB9" s="54">
        <v>0</v>
      </c>
      <c r="AC9" s="54">
        <v>0</v>
      </c>
      <c r="AD9" s="54">
        <v>0</v>
      </c>
      <c r="AE9" s="54">
        <v>0</v>
      </c>
      <c r="AF9" s="54">
        <v>0</v>
      </c>
      <c r="AG9" s="54">
        <v>0</v>
      </c>
      <c r="AH9" s="54">
        <v>0</v>
      </c>
      <c r="AI9" s="54">
        <v>2</v>
      </c>
      <c r="AJ9" s="54">
        <v>0</v>
      </c>
      <c r="AK9" s="54">
        <v>0</v>
      </c>
      <c r="AL9" s="54">
        <v>0</v>
      </c>
      <c r="AM9" s="54">
        <v>0</v>
      </c>
      <c r="AN9" s="54">
        <v>0</v>
      </c>
      <c r="AO9" s="54">
        <v>0</v>
      </c>
      <c r="AP9" s="54">
        <v>0</v>
      </c>
      <c r="AQ9" s="54">
        <v>0</v>
      </c>
    </row>
    <row r="10" spans="1:43" s="79" customFormat="1" ht="17.399999999999999">
      <c r="A10" s="54" t="s">
        <v>130</v>
      </c>
      <c r="B10" s="54">
        <v>1471002762</v>
      </c>
      <c r="C10" s="54">
        <v>1471002764</v>
      </c>
      <c r="D10" s="54" t="s">
        <v>234</v>
      </c>
      <c r="E10" s="54">
        <v>3</v>
      </c>
      <c r="F10" s="54" t="s">
        <v>34</v>
      </c>
      <c r="G10" s="54"/>
      <c r="H10" s="54"/>
      <c r="I10" s="54" t="s">
        <v>15</v>
      </c>
      <c r="J10" s="54" t="s">
        <v>33</v>
      </c>
      <c r="K10" s="54">
        <v>500</v>
      </c>
      <c r="L10" s="54">
        <v>0</v>
      </c>
      <c r="M10" s="54">
        <v>0</v>
      </c>
      <c r="N10" s="54">
        <v>0</v>
      </c>
      <c r="O10" s="54">
        <v>0</v>
      </c>
      <c r="P10" s="54">
        <v>0</v>
      </c>
      <c r="Q10" s="54">
        <v>4</v>
      </c>
      <c r="R10" s="54">
        <v>0</v>
      </c>
      <c r="S10" s="54">
        <v>0</v>
      </c>
      <c r="T10" s="54">
        <v>0</v>
      </c>
      <c r="U10" s="54">
        <v>0</v>
      </c>
      <c r="V10" s="54">
        <v>0</v>
      </c>
      <c r="W10" s="54">
        <v>0</v>
      </c>
      <c r="X10" s="54">
        <v>0</v>
      </c>
      <c r="Y10" s="54">
        <v>0</v>
      </c>
      <c r="Z10" s="54">
        <v>0</v>
      </c>
      <c r="AA10" s="54">
        <v>0</v>
      </c>
      <c r="AB10" s="54">
        <v>0</v>
      </c>
      <c r="AC10" s="54">
        <v>0</v>
      </c>
      <c r="AD10" s="54">
        <v>0</v>
      </c>
      <c r="AE10" s="54">
        <v>0</v>
      </c>
      <c r="AF10" s="54">
        <v>0</v>
      </c>
      <c r="AG10" s="54">
        <v>0</v>
      </c>
      <c r="AH10" s="54">
        <v>0</v>
      </c>
      <c r="AI10" s="54">
        <v>4</v>
      </c>
      <c r="AJ10" s="54">
        <v>0</v>
      </c>
      <c r="AK10" s="54">
        <v>0</v>
      </c>
      <c r="AL10" s="54">
        <v>0</v>
      </c>
      <c r="AM10" s="54">
        <v>0</v>
      </c>
      <c r="AN10" s="54">
        <v>0</v>
      </c>
      <c r="AO10" s="54">
        <v>0</v>
      </c>
      <c r="AP10" s="54">
        <v>0</v>
      </c>
      <c r="AQ10" s="54">
        <v>0</v>
      </c>
    </row>
    <row r="11" spans="1:43" s="79" customFormat="1" ht="17.399999999999999">
      <c r="A11" s="54" t="s">
        <v>130</v>
      </c>
      <c r="B11" s="54">
        <v>1471002762</v>
      </c>
      <c r="C11" s="54">
        <v>1471002762</v>
      </c>
      <c r="D11" s="54" t="s">
        <v>232</v>
      </c>
      <c r="E11" s="54">
        <v>1</v>
      </c>
      <c r="F11" s="54" t="s">
        <v>34</v>
      </c>
      <c r="G11" s="54"/>
      <c r="H11" s="54"/>
      <c r="I11" s="54" t="s">
        <v>15</v>
      </c>
      <c r="J11" s="54" t="s">
        <v>33</v>
      </c>
      <c r="K11" s="54">
        <v>500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6</v>
      </c>
      <c r="R11" s="54">
        <v>0</v>
      </c>
      <c r="S11" s="54">
        <v>0</v>
      </c>
      <c r="T11" s="54">
        <v>0</v>
      </c>
      <c r="U11" s="54">
        <v>0</v>
      </c>
      <c r="V11" s="54">
        <v>0</v>
      </c>
      <c r="W11" s="54">
        <v>0</v>
      </c>
      <c r="X11" s="54">
        <v>0</v>
      </c>
      <c r="Y11" s="54">
        <v>0</v>
      </c>
      <c r="Z11" s="54">
        <v>0</v>
      </c>
      <c r="AA11" s="54">
        <v>0</v>
      </c>
      <c r="AB11" s="54">
        <v>0</v>
      </c>
      <c r="AC11" s="54">
        <v>0</v>
      </c>
      <c r="AD11" s="54">
        <v>0</v>
      </c>
      <c r="AE11" s="54">
        <v>0</v>
      </c>
      <c r="AF11" s="54">
        <v>0</v>
      </c>
      <c r="AG11" s="54">
        <v>0</v>
      </c>
      <c r="AH11" s="54">
        <v>0</v>
      </c>
      <c r="AI11" s="54">
        <v>6</v>
      </c>
      <c r="AJ11" s="54">
        <v>0</v>
      </c>
      <c r="AK11" s="54">
        <v>0</v>
      </c>
      <c r="AL11" s="54">
        <v>0</v>
      </c>
      <c r="AM11" s="54">
        <v>0</v>
      </c>
      <c r="AN11" s="54">
        <v>0</v>
      </c>
      <c r="AO11" s="54">
        <v>0</v>
      </c>
      <c r="AP11" s="54">
        <v>0</v>
      </c>
      <c r="AQ11" s="54">
        <v>0</v>
      </c>
    </row>
    <row r="12" spans="1:43" s="79" customFormat="1" ht="17.399999999999999">
      <c r="A12" s="54" t="s">
        <v>130</v>
      </c>
      <c r="B12" s="54">
        <v>1471002762</v>
      </c>
      <c r="C12" s="54">
        <v>1471002763</v>
      </c>
      <c r="D12" s="54" t="s">
        <v>233</v>
      </c>
      <c r="E12" s="54">
        <v>2</v>
      </c>
      <c r="F12" s="54" t="s">
        <v>34</v>
      </c>
      <c r="G12" s="54"/>
      <c r="H12" s="54"/>
      <c r="I12" s="54" t="s">
        <v>15</v>
      </c>
      <c r="J12" s="54" t="s">
        <v>33</v>
      </c>
      <c r="K12" s="54">
        <v>500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5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5</v>
      </c>
      <c r="AJ12" s="54">
        <v>0</v>
      </c>
      <c r="AK12" s="54">
        <v>0</v>
      </c>
      <c r="AL12" s="54">
        <v>0</v>
      </c>
      <c r="AM12" s="54">
        <v>0</v>
      </c>
      <c r="AN12" s="54">
        <v>0</v>
      </c>
      <c r="AO12" s="54">
        <v>0</v>
      </c>
      <c r="AP12" s="54">
        <v>0</v>
      </c>
      <c r="AQ12" s="54">
        <v>0</v>
      </c>
    </row>
    <row r="13" spans="1:43" s="79" customFormat="1" ht="17.399999999999999">
      <c r="A13" s="54" t="s">
        <v>130</v>
      </c>
      <c r="B13" s="54">
        <v>1471002820</v>
      </c>
      <c r="C13" s="54">
        <v>1471002820</v>
      </c>
      <c r="D13" s="54" t="s">
        <v>256</v>
      </c>
      <c r="E13" s="54">
        <v>1</v>
      </c>
      <c r="F13" s="54" t="s">
        <v>257</v>
      </c>
      <c r="G13" s="54"/>
      <c r="H13" s="54"/>
      <c r="I13" s="54" t="s">
        <v>15</v>
      </c>
      <c r="J13" s="54" t="s">
        <v>258</v>
      </c>
      <c r="K13" s="54">
        <v>500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1</v>
      </c>
      <c r="R13" s="54">
        <v>0</v>
      </c>
      <c r="S13" s="54">
        <v>0</v>
      </c>
      <c r="T13" s="54">
        <v>0</v>
      </c>
      <c r="U13" s="54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1</v>
      </c>
      <c r="AJ13" s="54">
        <v>0</v>
      </c>
      <c r="AK13" s="54">
        <v>0</v>
      </c>
      <c r="AL13" s="54">
        <v>0</v>
      </c>
      <c r="AM13" s="54">
        <v>0</v>
      </c>
      <c r="AN13" s="54">
        <v>0</v>
      </c>
      <c r="AO13" s="54">
        <v>0</v>
      </c>
      <c r="AP13" s="54">
        <v>0</v>
      </c>
      <c r="AQ13" s="54">
        <v>0</v>
      </c>
    </row>
    <row r="14" spans="1:43" s="90" customFormat="1" ht="19.8" customHeight="1">
      <c r="L14" s="90">
        <f>SUM(L2:L13)</f>
        <v>0</v>
      </c>
      <c r="O14" s="90">
        <f>SUM(O2:O13)</f>
        <v>1000</v>
      </c>
      <c r="AQ14" s="90">
        <f>SUM(AQ2:AQ13)</f>
        <v>700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K1"/>
  <sheetViews>
    <sheetView topLeftCell="K1" workbookViewId="0">
      <selection activeCell="V24" sqref="V24"/>
    </sheetView>
  </sheetViews>
  <sheetFormatPr defaultColWidth="9" defaultRowHeight="13.2"/>
  <cols>
    <col min="1" max="1" width="9" style="56"/>
    <col min="2" max="2" width="10.69921875" style="56" customWidth="1"/>
    <col min="3" max="3" width="13.19921875" style="56" customWidth="1"/>
    <col min="4" max="4" width="9" style="56"/>
    <col min="5" max="5" width="22.8984375" style="56" customWidth="1"/>
    <col min="6" max="6" width="9" style="56"/>
    <col min="7" max="12" width="12" style="56" customWidth="1"/>
    <col min="13" max="13" width="14.59765625" style="56" customWidth="1"/>
    <col min="14" max="14" width="5.09765625" style="56" customWidth="1"/>
    <col min="15" max="15" width="9" style="56"/>
    <col min="16" max="16" width="10.69921875" style="56" customWidth="1"/>
    <col min="17" max="16384" width="9" style="56"/>
  </cols>
  <sheetData>
    <row r="1" spans="11:11">
      <c r="K1" s="56" t="s">
        <v>235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"/>
  <sheetViews>
    <sheetView topLeftCell="A3" workbookViewId="0">
      <selection activeCell="I26" sqref="I26"/>
    </sheetView>
  </sheetViews>
  <sheetFormatPr defaultRowHeight="17.399999999999999"/>
  <cols>
    <col min="1" max="1" width="10.69921875" customWidth="1"/>
    <col min="2" max="2" width="15.19921875" customWidth="1"/>
    <col min="3" max="3" width="15" customWidth="1"/>
    <col min="4" max="4" width="17.3984375" customWidth="1"/>
    <col min="5" max="6" width="12.5" customWidth="1"/>
  </cols>
  <sheetData>
    <row r="1" spans="1:1">
      <c r="A1" s="47" t="s">
        <v>119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5"/>
  <sheetViews>
    <sheetView workbookViewId="0">
      <selection activeCell="D12" sqref="D12"/>
    </sheetView>
  </sheetViews>
  <sheetFormatPr defaultColWidth="8.69921875" defaultRowHeight="13.2"/>
  <cols>
    <col min="1" max="1" width="15.796875" style="73" customWidth="1"/>
    <col min="2" max="2" width="18.3984375" style="73" customWidth="1"/>
    <col min="3" max="3" width="22.09765625" style="73" customWidth="1"/>
    <col min="4" max="4" width="12.5" style="73" customWidth="1"/>
    <col min="5" max="7" width="8.796875" style="73" bestFit="1" customWidth="1"/>
    <col min="8" max="8" width="8.69921875" style="73"/>
    <col min="9" max="9" width="14.19921875" style="73" customWidth="1"/>
    <col min="10" max="10" width="9.69921875" style="73" customWidth="1"/>
    <col min="11" max="11" width="13.8984375" style="73" customWidth="1"/>
    <col min="12" max="16384" width="8.69921875" style="73"/>
  </cols>
  <sheetData>
    <row r="1" spans="1:13" s="84" customFormat="1">
      <c r="A1" s="84" t="s">
        <v>207</v>
      </c>
      <c r="B1" s="84" t="s">
        <v>208</v>
      </c>
      <c r="C1" s="84" t="s">
        <v>45</v>
      </c>
      <c r="D1" s="84" t="s">
        <v>209</v>
      </c>
      <c r="E1" s="84" t="s">
        <v>210</v>
      </c>
      <c r="F1" s="84" t="s">
        <v>211</v>
      </c>
      <c r="G1" s="84" t="s">
        <v>12</v>
      </c>
      <c r="H1" s="84" t="s">
        <v>212</v>
      </c>
      <c r="I1" s="84" t="s">
        <v>213</v>
      </c>
      <c r="J1" s="84" t="s">
        <v>214</v>
      </c>
      <c r="K1" s="84" t="s">
        <v>215</v>
      </c>
      <c r="L1" s="84" t="s">
        <v>216</v>
      </c>
      <c r="M1" s="84" t="s">
        <v>217</v>
      </c>
    </row>
    <row r="2" spans="1:13" s="54" customFormat="1">
      <c r="A2" s="91">
        <v>44504.475682870368</v>
      </c>
      <c r="B2" s="54">
        <v>177589007</v>
      </c>
      <c r="C2" s="54" t="s">
        <v>249</v>
      </c>
      <c r="D2" s="54" t="s">
        <v>138</v>
      </c>
      <c r="E2" s="92">
        <v>2000</v>
      </c>
      <c r="F2" s="92">
        <v>2000</v>
      </c>
      <c r="G2" s="92">
        <v>1400</v>
      </c>
      <c r="I2" s="54" t="s">
        <v>163</v>
      </c>
      <c r="J2" s="54" t="s">
        <v>15</v>
      </c>
      <c r="K2" s="54" t="s">
        <v>219</v>
      </c>
      <c r="L2" s="54" t="str">
        <f>T("9791188676835")</f>
        <v>9791188676835</v>
      </c>
    </row>
    <row r="3" spans="1:13" s="54" customFormat="1">
      <c r="A3" s="91">
        <v>44521.861678240741</v>
      </c>
      <c r="B3" s="54">
        <v>177589001</v>
      </c>
      <c r="C3" s="54" t="s">
        <v>250</v>
      </c>
      <c r="D3" s="54" t="s">
        <v>218</v>
      </c>
      <c r="E3" s="92">
        <v>1000</v>
      </c>
      <c r="F3" s="92">
        <v>1000</v>
      </c>
      <c r="G3" s="54">
        <v>700</v>
      </c>
      <c r="I3" s="54" t="s">
        <v>30</v>
      </c>
      <c r="J3" s="54" t="s">
        <v>15</v>
      </c>
      <c r="K3" s="54" t="s">
        <v>219</v>
      </c>
      <c r="L3" s="54" t="str">
        <f>T("9791188676958")</f>
        <v>9791188676958</v>
      </c>
    </row>
    <row r="4" spans="1:13" s="54" customFormat="1">
      <c r="A4" s="91">
        <v>44522.477326388886</v>
      </c>
      <c r="B4" s="54">
        <v>177589002</v>
      </c>
      <c r="C4" s="54" t="s">
        <v>251</v>
      </c>
      <c r="D4" s="54" t="s">
        <v>218</v>
      </c>
      <c r="E4" s="92">
        <v>1000</v>
      </c>
      <c r="F4" s="92">
        <v>1000</v>
      </c>
      <c r="G4" s="54">
        <v>700</v>
      </c>
      <c r="I4" s="54" t="s">
        <v>30</v>
      </c>
      <c r="J4" s="54" t="s">
        <v>15</v>
      </c>
      <c r="K4" s="54" t="s">
        <v>219</v>
      </c>
      <c r="L4" s="54" t="str">
        <f>T("9791188676965")</f>
        <v>9791188676965</v>
      </c>
    </row>
    <row r="5" spans="1:13" s="93" customFormat="1" ht="22.8" customHeight="1">
      <c r="F5" s="94">
        <f>SUM(F2:F4)</f>
        <v>4000</v>
      </c>
      <c r="G5" s="94">
        <f>SUM(G2:G4)</f>
        <v>2800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합계</vt:lpstr>
      <vt:lpstr>카카오페이지 SW 1월</vt:lpstr>
      <vt:lpstr>카카오페이지(회귀) SW 1월</vt:lpstr>
      <vt:lpstr>카카오웹툰(동시연재)SW 1월</vt:lpstr>
      <vt:lpstr>네이버시리즈 SW 1월</vt:lpstr>
      <vt:lpstr>네이버(북미)SW 01월</vt:lpstr>
      <vt:lpstr>콰이칸(마딸)SW 01월</vt:lpstr>
      <vt:lpstr>콰이칸(옹주)SW 01월</vt:lpstr>
      <vt:lpstr>콰이칸(아파트)SW 01월</vt:lpstr>
      <vt:lpstr>태국코미코SW 01월</vt:lpstr>
      <vt:lpstr>태피툰SW 01월</vt:lpstr>
      <vt:lpstr>델리툰(프)SW 01월</vt:lpstr>
      <vt:lpstr>델리툰(독)SW 01월</vt:lpstr>
      <vt:lpstr>카카페(인니)SW 01월</vt:lpstr>
      <vt:lpstr>카카페_회귀(타파스)SW 01월</vt:lpstr>
      <vt:lpstr>코믹툰(베트남)SW 01월</vt:lpstr>
      <vt:lpstr>라라툰(글로벌)SW 01월</vt:lpstr>
      <vt:lpstr>네이버 11월</vt:lpstr>
      <vt:lpstr>엠유_11월</vt:lpstr>
      <vt:lpstr>미스터블루_11월</vt:lpstr>
      <vt:lpstr>원스토어_11월</vt:lpstr>
      <vt:lpstr>봄툰_11월</vt:lpstr>
      <vt:lpstr>리디_11월</vt:lpstr>
      <vt:lpstr>카카오페이지_11월</vt:lpstr>
      <vt:lpstr>레진_11월</vt:lpstr>
      <vt:lpstr>알라딘_11월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sonkukhwhan</dc:creator>
  <cp:lastModifiedBy>jihui</cp:lastModifiedBy>
  <cp:lastPrinted>2014-04-03T08:01:37Z</cp:lastPrinted>
  <dcterms:created xsi:type="dcterms:W3CDTF">2014-03-23T23:37:55Z</dcterms:created>
  <dcterms:modified xsi:type="dcterms:W3CDTF">2022-02-08T08:00:22Z</dcterms:modified>
</cp:coreProperties>
</file>