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제휴사\"/>
    </mc:Choice>
  </mc:AlternateContent>
  <bookViews>
    <workbookView xWindow="0" yWindow="0" windowWidth="23040" windowHeight="8952" tabRatio="876" activeTab="1"/>
  </bookViews>
  <sheets>
    <sheet name="계정정보" sheetId="2" r:id="rId1"/>
    <sheet name="합계" sheetId="1" r:id="rId2"/>
    <sheet name="봄툰" sheetId="34" r:id="rId3"/>
    <sheet name="시리즈" sheetId="36" r:id="rId4"/>
    <sheet name="탑툰" sheetId="37" r:id="rId5"/>
    <sheet name="드림" sheetId="38" r:id="rId6"/>
    <sheet name="무툰" sheetId="39" r:id="rId7"/>
    <sheet name="저스툰" sheetId="40" r:id="rId8"/>
    <sheet name="카카오페이지" sheetId="41" r:id="rId9"/>
    <sheet name="북큐브" sheetId="44" r:id="rId10"/>
    <sheet name="시프트북스" sheetId="42" r:id="rId11"/>
    <sheet name="배틀" sheetId="43" r:id="rId12"/>
    <sheet name="코미코(태국)" sheetId="48" r:id="rId13"/>
    <sheet name="픽코마" sheetId="50" r:id="rId14"/>
    <sheet name="한국이퍼브" sheetId="51" r:id="rId15"/>
    <sheet name="코미콜라" sheetId="52" r:id="rId16"/>
    <sheet name="리디북스" sheetId="53" r:id="rId17"/>
    <sheet name="케이툰" sheetId="54" r:id="rId18"/>
    <sheet name="레진코믹스" sheetId="55" r:id="rId19"/>
    <sheet name="타파스" sheetId="57" r:id="rId20"/>
    <sheet name="중국만화인망가스" sheetId="59" r:id="rId21"/>
    <sheet name="델리툰" sheetId="58" r:id="rId22"/>
    <sheet name="콰이콴" sheetId="47" r:id="rId23"/>
  </sheets>
  <calcPr calcId="152511"/>
</workbook>
</file>

<file path=xl/calcChain.xml><?xml version="1.0" encoding="utf-8"?>
<calcChain xmlns="http://schemas.openxmlformats.org/spreadsheetml/2006/main">
  <c r="F7" i="1" l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G6" i="1"/>
  <c r="F6" i="1"/>
  <c r="G29" i="1"/>
  <c r="F29" i="1"/>
  <c r="K55" i="1" l="1"/>
  <c r="K42" i="1"/>
  <c r="K29" i="1"/>
  <c r="K16" i="1"/>
  <c r="K5" i="1"/>
  <c r="H10" i="53" l="1"/>
  <c r="G10" i="53"/>
  <c r="H9" i="53"/>
  <c r="G9" i="53"/>
  <c r="H8" i="53"/>
  <c r="G8" i="53"/>
  <c r="H7" i="53"/>
  <c r="G7" i="53"/>
  <c r="E10" i="53"/>
  <c r="E9" i="53"/>
  <c r="E8" i="53"/>
  <c r="E7" i="53"/>
  <c r="E6" i="53"/>
  <c r="G6" i="40"/>
  <c r="E6" i="40"/>
  <c r="H9" i="43"/>
  <c r="H8" i="43"/>
  <c r="H7" i="43"/>
  <c r="H6" i="43"/>
  <c r="H5" i="43"/>
  <c r="H11" i="43"/>
  <c r="H4" i="43"/>
  <c r="H3" i="43"/>
  <c r="G9" i="43"/>
  <c r="E9" i="43"/>
  <c r="G8" i="43"/>
  <c r="E8" i="43"/>
  <c r="G7" i="43"/>
  <c r="E7" i="43"/>
  <c r="G6" i="43"/>
  <c r="E6" i="43"/>
  <c r="G5" i="43"/>
  <c r="E5" i="43"/>
  <c r="G4" i="43"/>
  <c r="E4" i="43"/>
  <c r="E11" i="43"/>
  <c r="G3" i="43"/>
  <c r="E3" i="43"/>
  <c r="C26" i="1"/>
  <c r="D26" i="1"/>
  <c r="E26" i="1"/>
  <c r="F26" i="1"/>
  <c r="K57" i="1" s="1"/>
  <c r="K58" i="1" s="1"/>
  <c r="K59" i="1" s="1"/>
  <c r="G26" i="1"/>
  <c r="D8" i="59"/>
  <c r="F8" i="59"/>
  <c r="H5" i="59"/>
  <c r="H4" i="59"/>
  <c r="H8" i="59"/>
  <c r="G5" i="59"/>
  <c r="G8" i="59"/>
  <c r="G4" i="59"/>
  <c r="E5" i="59"/>
  <c r="E4" i="59"/>
  <c r="E8" i="59"/>
  <c r="G7" i="36"/>
  <c r="G4" i="36"/>
  <c r="G5" i="36"/>
  <c r="G6" i="36"/>
  <c r="G8" i="36"/>
  <c r="G10" i="36"/>
  <c r="G9" i="36"/>
  <c r="G3" i="36"/>
  <c r="G13" i="36"/>
  <c r="D5" i="52"/>
  <c r="F6" i="48"/>
  <c r="D6" i="48"/>
  <c r="H6" i="40"/>
  <c r="E11" i="40"/>
  <c r="F11" i="40"/>
  <c r="H6" i="34"/>
  <c r="G6" i="34"/>
  <c r="E6" i="34"/>
  <c r="H4" i="34"/>
  <c r="G4" i="34"/>
  <c r="E4" i="34"/>
  <c r="F22" i="34"/>
  <c r="D22" i="34"/>
  <c r="H7" i="59"/>
  <c r="G7" i="59"/>
  <c r="E7" i="59"/>
  <c r="H6" i="59"/>
  <c r="G6" i="59"/>
  <c r="E6" i="59"/>
  <c r="D12" i="38"/>
  <c r="F12" i="38"/>
  <c r="H11" i="38"/>
  <c r="G11" i="38"/>
  <c r="E11" i="38"/>
  <c r="E15" i="34"/>
  <c r="D13" i="41"/>
  <c r="G12" i="36"/>
  <c r="G11" i="36"/>
  <c r="K5" i="38"/>
  <c r="E9" i="39"/>
  <c r="H4" i="58"/>
  <c r="G4" i="58"/>
  <c r="E4" i="58"/>
  <c r="H3" i="58"/>
  <c r="H5" i="58"/>
  <c r="G3" i="58"/>
  <c r="E3" i="58"/>
  <c r="H3" i="57"/>
  <c r="H4" i="57"/>
  <c r="G3" i="57"/>
  <c r="G4" i="57"/>
  <c r="E3" i="57"/>
  <c r="E4" i="57"/>
  <c r="H9" i="54"/>
  <c r="G9" i="54"/>
  <c r="E9" i="54"/>
  <c r="H8" i="54"/>
  <c r="G8" i="54"/>
  <c r="E8" i="54"/>
  <c r="H7" i="54"/>
  <c r="G7" i="54"/>
  <c r="E7" i="54"/>
  <c r="H6" i="54"/>
  <c r="G6" i="54"/>
  <c r="E6" i="54"/>
  <c r="E10" i="54"/>
  <c r="H5" i="54"/>
  <c r="G5" i="54"/>
  <c r="E5" i="54"/>
  <c r="H4" i="54"/>
  <c r="H10" i="54"/>
  <c r="G4" i="54"/>
  <c r="E4" i="54"/>
  <c r="H3" i="54"/>
  <c r="G3" i="54"/>
  <c r="G10" i="54"/>
  <c r="E3" i="54"/>
  <c r="H6" i="53"/>
  <c r="G6" i="53"/>
  <c r="H5" i="53"/>
  <c r="G5" i="53"/>
  <c r="E5" i="53"/>
  <c r="H4" i="53"/>
  <c r="G4" i="53"/>
  <c r="E4" i="53"/>
  <c r="H3" i="53"/>
  <c r="G3" i="53"/>
  <c r="E3" i="53"/>
  <c r="H4" i="52"/>
  <c r="G4" i="52"/>
  <c r="E4" i="52"/>
  <c r="H3" i="52"/>
  <c r="G3" i="52"/>
  <c r="G5" i="52"/>
  <c r="E3" i="52"/>
  <c r="H8" i="51"/>
  <c r="G8" i="51"/>
  <c r="E8" i="51"/>
  <c r="H7" i="51"/>
  <c r="G7" i="51"/>
  <c r="E7" i="51"/>
  <c r="H6" i="51"/>
  <c r="G6" i="51"/>
  <c r="E6" i="51"/>
  <c r="H5" i="51"/>
  <c r="H10" i="51"/>
  <c r="G5" i="51"/>
  <c r="G10" i="51"/>
  <c r="E5" i="51"/>
  <c r="H4" i="51"/>
  <c r="G4" i="51"/>
  <c r="E4" i="51"/>
  <c r="H3" i="51"/>
  <c r="G3" i="51"/>
  <c r="E3" i="51"/>
  <c r="H5" i="50"/>
  <c r="G5" i="50"/>
  <c r="E5" i="50"/>
  <c r="H4" i="50"/>
  <c r="G4" i="50"/>
  <c r="E4" i="50"/>
  <c r="H3" i="50"/>
  <c r="H6" i="50"/>
  <c r="G3" i="50"/>
  <c r="G6" i="50"/>
  <c r="E3" i="50"/>
  <c r="H5" i="48"/>
  <c r="G5" i="48"/>
  <c r="E5" i="48"/>
  <c r="H4" i="48"/>
  <c r="G4" i="48"/>
  <c r="E4" i="48"/>
  <c r="H3" i="48"/>
  <c r="G3" i="48"/>
  <c r="E3" i="48"/>
  <c r="E6" i="48"/>
  <c r="H4" i="47"/>
  <c r="G4" i="47"/>
  <c r="E4" i="47"/>
  <c r="E5" i="47"/>
  <c r="H3" i="47"/>
  <c r="G3" i="47"/>
  <c r="H10" i="42"/>
  <c r="G10" i="42"/>
  <c r="E10" i="42"/>
  <c r="H9" i="42"/>
  <c r="G9" i="42"/>
  <c r="E9" i="42"/>
  <c r="H8" i="42"/>
  <c r="G8" i="42"/>
  <c r="E8" i="42"/>
  <c r="H7" i="42"/>
  <c r="G7" i="42"/>
  <c r="E7" i="42"/>
  <c r="H6" i="42"/>
  <c r="G6" i="42"/>
  <c r="E6" i="42"/>
  <c r="H5" i="42"/>
  <c r="G5" i="42"/>
  <c r="E5" i="42"/>
  <c r="H4" i="42"/>
  <c r="G4" i="42"/>
  <c r="E4" i="42"/>
  <c r="H3" i="42"/>
  <c r="G3" i="42"/>
  <c r="E3" i="42"/>
  <c r="H5" i="44"/>
  <c r="G5" i="44"/>
  <c r="G6" i="44"/>
  <c r="E5" i="44"/>
  <c r="H4" i="44"/>
  <c r="G4" i="44"/>
  <c r="E4" i="44"/>
  <c r="E6" i="44"/>
  <c r="H3" i="44"/>
  <c r="H6" i="44"/>
  <c r="G3" i="44"/>
  <c r="E3" i="44"/>
  <c r="H12" i="41"/>
  <c r="G12" i="41"/>
  <c r="E12" i="41"/>
  <c r="H11" i="41"/>
  <c r="G11" i="41"/>
  <c r="E11" i="41"/>
  <c r="H10" i="41"/>
  <c r="G10" i="41"/>
  <c r="E10" i="41"/>
  <c r="H9" i="41"/>
  <c r="G9" i="41"/>
  <c r="E9" i="41"/>
  <c r="H8" i="41"/>
  <c r="G8" i="41"/>
  <c r="E8" i="41"/>
  <c r="H7" i="41"/>
  <c r="G7" i="41"/>
  <c r="E7" i="41"/>
  <c r="H6" i="41"/>
  <c r="G6" i="41"/>
  <c r="E6" i="41"/>
  <c r="H5" i="41"/>
  <c r="G5" i="41"/>
  <c r="E5" i="41"/>
  <c r="H4" i="41"/>
  <c r="G4" i="41"/>
  <c r="E4" i="41"/>
  <c r="H3" i="41"/>
  <c r="H13" i="41"/>
  <c r="G3" i="41"/>
  <c r="H10" i="40"/>
  <c r="G10" i="40"/>
  <c r="E10" i="40"/>
  <c r="H9" i="40"/>
  <c r="G9" i="40"/>
  <c r="E9" i="40"/>
  <c r="H8" i="40"/>
  <c r="G8" i="40"/>
  <c r="E8" i="40"/>
  <c r="H7" i="40"/>
  <c r="G7" i="40"/>
  <c r="E7" i="40"/>
  <c r="H5" i="40"/>
  <c r="G5" i="40"/>
  <c r="E5" i="40"/>
  <c r="H4" i="40"/>
  <c r="G4" i="40"/>
  <c r="E4" i="40"/>
  <c r="H3" i="40"/>
  <c r="G3" i="40"/>
  <c r="E3" i="40"/>
  <c r="H11" i="39"/>
  <c r="G11" i="39"/>
  <c r="E11" i="39"/>
  <c r="H10" i="39"/>
  <c r="G10" i="39"/>
  <c r="E10" i="39"/>
  <c r="H9" i="39"/>
  <c r="G9" i="39"/>
  <c r="H8" i="39"/>
  <c r="G8" i="39"/>
  <c r="E8" i="39"/>
  <c r="H7" i="39"/>
  <c r="G7" i="39"/>
  <c r="E7" i="39"/>
  <c r="H6" i="39"/>
  <c r="G6" i="39"/>
  <c r="E6" i="39"/>
  <c r="H5" i="39"/>
  <c r="G5" i="39"/>
  <c r="E5" i="39"/>
  <c r="H4" i="39"/>
  <c r="G4" i="39"/>
  <c r="E4" i="39"/>
  <c r="H3" i="39"/>
  <c r="H12" i="39"/>
  <c r="G3" i="39"/>
  <c r="E3" i="39"/>
  <c r="H10" i="38"/>
  <c r="G10" i="38"/>
  <c r="E10" i="38"/>
  <c r="H9" i="38"/>
  <c r="G9" i="38"/>
  <c r="E9" i="38"/>
  <c r="H8" i="38"/>
  <c r="G8" i="38"/>
  <c r="E8" i="38"/>
  <c r="H7" i="38"/>
  <c r="G7" i="38"/>
  <c r="E7" i="38"/>
  <c r="H6" i="38"/>
  <c r="G6" i="38"/>
  <c r="E6" i="38"/>
  <c r="H5" i="38"/>
  <c r="G5" i="38"/>
  <c r="E5" i="38"/>
  <c r="H4" i="38"/>
  <c r="G4" i="38"/>
  <c r="E4" i="38"/>
  <c r="H3" i="38"/>
  <c r="G3" i="38"/>
  <c r="E3" i="38"/>
  <c r="H10" i="37"/>
  <c r="G10" i="37"/>
  <c r="E10" i="37"/>
  <c r="H9" i="37"/>
  <c r="G9" i="37"/>
  <c r="E9" i="37"/>
  <c r="H8" i="37"/>
  <c r="G8" i="37"/>
  <c r="E8" i="37"/>
  <c r="H7" i="37"/>
  <c r="G7" i="37"/>
  <c r="E7" i="37"/>
  <c r="H6" i="37"/>
  <c r="G6" i="37"/>
  <c r="E6" i="37"/>
  <c r="H5" i="37"/>
  <c r="G5" i="37"/>
  <c r="E5" i="37"/>
  <c r="H4" i="37"/>
  <c r="G4" i="37"/>
  <c r="E4" i="37"/>
  <c r="H3" i="37"/>
  <c r="G3" i="37"/>
  <c r="E3" i="37"/>
  <c r="H12" i="36"/>
  <c r="E12" i="36"/>
  <c r="H11" i="36"/>
  <c r="E11" i="36"/>
  <c r="H10" i="36"/>
  <c r="E10" i="36"/>
  <c r="H9" i="36"/>
  <c r="E9" i="36"/>
  <c r="H8" i="36"/>
  <c r="E8" i="36"/>
  <c r="H7" i="36"/>
  <c r="E7" i="36"/>
  <c r="H6" i="36"/>
  <c r="E6" i="36"/>
  <c r="H5" i="36"/>
  <c r="E5" i="36"/>
  <c r="H4" i="36"/>
  <c r="H13" i="36"/>
  <c r="E4" i="36"/>
  <c r="H3" i="36"/>
  <c r="E3" i="36"/>
  <c r="H21" i="34"/>
  <c r="G21" i="34"/>
  <c r="E21" i="34"/>
  <c r="H19" i="34"/>
  <c r="G19" i="34"/>
  <c r="E19" i="34"/>
  <c r="H18" i="34"/>
  <c r="G18" i="34"/>
  <c r="E18" i="34"/>
  <c r="H17" i="34"/>
  <c r="G17" i="34"/>
  <c r="E17" i="34"/>
  <c r="H15" i="34"/>
  <c r="G15" i="34"/>
  <c r="H14" i="34"/>
  <c r="G14" i="34"/>
  <c r="E14" i="34"/>
  <c r="H13" i="34"/>
  <c r="G13" i="34"/>
  <c r="E13" i="34"/>
  <c r="H12" i="34"/>
  <c r="G12" i="34"/>
  <c r="E12" i="34"/>
  <c r="H11" i="34"/>
  <c r="G11" i="34"/>
  <c r="E11" i="34"/>
  <c r="H10" i="34"/>
  <c r="G10" i="34"/>
  <c r="E10" i="34"/>
  <c r="H9" i="34"/>
  <c r="G9" i="34"/>
  <c r="E9" i="34"/>
  <c r="H8" i="34"/>
  <c r="G8" i="34"/>
  <c r="E8" i="34"/>
  <c r="H7" i="34"/>
  <c r="G7" i="34"/>
  <c r="E7" i="34"/>
  <c r="H5" i="34"/>
  <c r="G5" i="34"/>
  <c r="E5" i="34"/>
  <c r="H3" i="34"/>
  <c r="G3" i="34"/>
  <c r="E3" i="34"/>
  <c r="F5" i="58"/>
  <c r="D5" i="58"/>
  <c r="G5" i="58"/>
  <c r="F4" i="57"/>
  <c r="D4" i="57"/>
  <c r="D8" i="55"/>
  <c r="F13" i="41"/>
  <c r="E1" i="42"/>
  <c r="E1" i="34"/>
  <c r="F10" i="54"/>
  <c r="D10" i="54"/>
  <c r="D11" i="43"/>
  <c r="F11" i="43"/>
  <c r="F10" i="51"/>
  <c r="D10" i="51"/>
  <c r="F11" i="53"/>
  <c r="D11" i="53"/>
  <c r="F5" i="52"/>
  <c r="F6" i="50"/>
  <c r="D6" i="50"/>
  <c r="F12" i="39"/>
  <c r="D12" i="39"/>
  <c r="F11" i="37"/>
  <c r="D11" i="37"/>
  <c r="D5" i="47"/>
  <c r="F11" i="42"/>
  <c r="D11" i="42"/>
  <c r="F6" i="44"/>
  <c r="D6" i="44"/>
  <c r="G11" i="43"/>
  <c r="D11" i="40"/>
  <c r="D13" i="36"/>
  <c r="G5" i="47"/>
  <c r="F5" i="47"/>
  <c r="F13" i="36"/>
  <c r="H5" i="47"/>
  <c r="H11" i="42"/>
  <c r="E5" i="58"/>
  <c r="E11" i="42"/>
  <c r="G11" i="42"/>
  <c r="E3" i="41"/>
  <c r="G4" i="55"/>
  <c r="G8" i="55"/>
  <c r="E4" i="55"/>
  <c r="E8" i="55"/>
  <c r="H4" i="55"/>
  <c r="G3" i="55"/>
  <c r="H3" i="55"/>
  <c r="F8" i="55"/>
  <c r="G5" i="55"/>
  <c r="E5" i="55"/>
  <c r="H5" i="55"/>
  <c r="G6" i="55"/>
  <c r="E6" i="55"/>
  <c r="H6" i="55"/>
  <c r="G7" i="55"/>
  <c r="E7" i="55"/>
  <c r="H7" i="55"/>
  <c r="E3" i="55"/>
  <c r="E10" i="51"/>
  <c r="H6" i="48"/>
  <c r="G12" i="38"/>
  <c r="H12" i="38"/>
  <c r="E12" i="38"/>
  <c r="H8" i="55"/>
  <c r="H11" i="53"/>
  <c r="G11" i="53"/>
  <c r="E11" i="53"/>
  <c r="E5" i="52"/>
  <c r="H5" i="52"/>
  <c r="E6" i="50"/>
  <c r="G6" i="48"/>
  <c r="E13" i="41"/>
  <c r="G13" i="41"/>
  <c r="H11" i="40"/>
  <c r="G11" i="40"/>
  <c r="E12" i="39"/>
  <c r="G12" i="39"/>
  <c r="G11" i="37"/>
  <c r="H11" i="37"/>
  <c r="E11" i="37"/>
  <c r="E13" i="36"/>
  <c r="G22" i="34"/>
  <c r="H22" i="34"/>
  <c r="E22" i="34"/>
</calcChain>
</file>

<file path=xl/sharedStrings.xml><?xml version="1.0" encoding="utf-8"?>
<sst xmlns="http://schemas.openxmlformats.org/spreadsheetml/2006/main" count="601" uniqueCount="258">
  <si>
    <t>서비스명</t>
    <phoneticPr fontId="1" type="noConversion"/>
  </si>
  <si>
    <t>URL</t>
    <phoneticPr fontId="1" type="noConversion"/>
  </si>
  <si>
    <t>사이트명</t>
    <phoneticPr fontId="1" type="noConversion"/>
  </si>
  <si>
    <t xml:space="preserve">소비자매출액 </t>
    <phoneticPr fontId="1" type="noConversion"/>
  </si>
  <si>
    <t>유통사수수료</t>
    <phoneticPr fontId="1" type="noConversion"/>
  </si>
  <si>
    <t>케이티매출액</t>
    <phoneticPr fontId="1" type="noConversion"/>
  </si>
  <si>
    <t>케이티수익</t>
    <phoneticPr fontId="1" type="noConversion"/>
  </si>
  <si>
    <t>합계</t>
  </si>
  <si>
    <t>아이디</t>
    <phoneticPr fontId="1" type="noConversion"/>
  </si>
  <si>
    <t>패스워드</t>
    <phoneticPr fontId="1" type="noConversion"/>
  </si>
  <si>
    <t>cp.toptoon.com</t>
    <phoneticPr fontId="1" type="noConversion"/>
  </si>
  <si>
    <t>http://cdn.lezhin.com/files/assets/lezhinTool/LezhinTool_Setup.exe</t>
    <phoneticPr fontId="1" type="noConversion"/>
  </si>
  <si>
    <t>https://biz.kakaopage.com/publishingcenter/main</t>
    <phoneticPr fontId="1" type="noConversion"/>
  </si>
  <si>
    <t>카카오페이지</t>
    <phoneticPr fontId="1" type="noConversion"/>
  </si>
  <si>
    <t>탑툰</t>
    <phoneticPr fontId="1" type="noConversion"/>
  </si>
  <si>
    <t>코미코</t>
    <phoneticPr fontId="1" type="noConversion"/>
  </si>
  <si>
    <t>북큐브</t>
    <phoneticPr fontId="1" type="noConversion"/>
  </si>
  <si>
    <t>다음</t>
    <phoneticPr fontId="1" type="noConversion"/>
  </si>
  <si>
    <t>레진</t>
    <phoneticPr fontId="1" type="noConversion"/>
  </si>
  <si>
    <t>비고</t>
    <phoneticPr fontId="1" type="noConversion"/>
  </si>
  <si>
    <t>연재고료</t>
    <phoneticPr fontId="1" type="noConversion"/>
  </si>
  <si>
    <t>리디북스</t>
    <phoneticPr fontId="1" type="noConversion"/>
  </si>
  <si>
    <t>네이버N스토어</t>
    <phoneticPr fontId="1" type="noConversion"/>
  </si>
  <si>
    <t>미스터블루</t>
    <phoneticPr fontId="1" type="noConversion"/>
  </si>
  <si>
    <t>코미카</t>
    <phoneticPr fontId="1" type="noConversion"/>
  </si>
  <si>
    <t>http://scm.bookcubenetworks.com/</t>
    <phoneticPr fontId="1" type="noConversion"/>
  </si>
  <si>
    <t>http://cms.mrblue.com/client/</t>
    <phoneticPr fontId="1" type="noConversion"/>
  </si>
  <si>
    <t>http://cp.ridibooks.com/cp/login</t>
    <phoneticPr fontId="1" type="noConversion"/>
  </si>
  <si>
    <t>https://friend.navercorp.com/login/loginForm.sec</t>
    <phoneticPr fontId="1" type="noConversion"/>
  </si>
  <si>
    <t>작품명</t>
    <phoneticPr fontId="4" type="noConversion"/>
  </si>
  <si>
    <t>봄툰</t>
    <phoneticPr fontId="1" type="noConversion"/>
  </si>
  <si>
    <t>2018. 06</t>
  </si>
  <si>
    <t>2018. 07</t>
  </si>
  <si>
    <t>2018. 08</t>
  </si>
  <si>
    <t>2018. 09</t>
  </si>
  <si>
    <t>2018. 10</t>
  </si>
  <si>
    <t>2018. 11</t>
  </si>
  <si>
    <t>2018. 12</t>
  </si>
  <si>
    <t>2019. 01</t>
  </si>
  <si>
    <t>2019. 02</t>
  </si>
  <si>
    <t>2019. 03</t>
  </si>
  <si>
    <t>2019. 04</t>
  </si>
  <si>
    <t>2019. 05</t>
  </si>
  <si>
    <t>2019. 06</t>
  </si>
  <si>
    <t>2019. 07</t>
  </si>
  <si>
    <t>2019. 08</t>
  </si>
  <si>
    <t>2019. 09</t>
  </si>
  <si>
    <t>2019. 10</t>
  </si>
  <si>
    <t>2019. 11</t>
  </si>
  <si>
    <t>원스토어</t>
    <phoneticPr fontId="1" type="noConversion"/>
  </si>
  <si>
    <t>theganji</t>
    <phoneticPr fontId="1" type="noConversion"/>
  </si>
  <si>
    <t>theganji@1</t>
    <phoneticPr fontId="1" type="noConversion"/>
  </si>
  <si>
    <t>http://cp-new.bomtoon.com/comic</t>
  </si>
  <si>
    <t>네이버북스</t>
    <phoneticPr fontId="1" type="noConversion"/>
  </si>
  <si>
    <t>THEGANJI</t>
    <phoneticPr fontId="1" type="noConversion"/>
  </si>
  <si>
    <t>https://friend.navercorp.com/login/loginForm.sec?url=%2FadminPM%2FMain.nhn&amp;c=d#</t>
    <phoneticPr fontId="1" type="noConversion"/>
  </si>
  <si>
    <t>봄툰</t>
    <phoneticPr fontId="4" type="noConversion"/>
  </si>
  <si>
    <t>크고 아름다워</t>
    <phoneticPr fontId="4" type="noConversion"/>
  </si>
  <si>
    <t>유료판매</t>
    <phoneticPr fontId="5" type="noConversion"/>
  </si>
  <si>
    <t>스윗스윗 블러드</t>
    <phoneticPr fontId="4" type="noConversion"/>
  </si>
  <si>
    <t>오고 있나요</t>
    <phoneticPr fontId="4" type="noConversion"/>
  </si>
  <si>
    <t>개 한 마리와 두 남자</t>
    <phoneticPr fontId="5" type="noConversion"/>
  </si>
  <si>
    <t>사신의 연인</t>
    <phoneticPr fontId="4" type="noConversion"/>
  </si>
  <si>
    <t>용을 키우는 10가지 방법</t>
    <phoneticPr fontId="4" type="noConversion"/>
  </si>
  <si>
    <t>봉사감과 러브레터</t>
    <phoneticPr fontId="4" type="noConversion"/>
  </si>
  <si>
    <t>크로스오버</t>
    <phoneticPr fontId="6" type="noConversion"/>
  </si>
  <si>
    <t>린지 앤 린지안</t>
    <phoneticPr fontId="5" type="noConversion"/>
  </si>
  <si>
    <t>린지 앤 린지안</t>
    <phoneticPr fontId="7" type="noConversion"/>
  </si>
  <si>
    <t>심판의 군주</t>
    <phoneticPr fontId="7" type="noConversion"/>
  </si>
  <si>
    <t>집사야, 이리 와 봐</t>
    <phoneticPr fontId="7" type="noConversion"/>
  </si>
  <si>
    <t>탑툰</t>
    <phoneticPr fontId="4" type="noConversion"/>
  </si>
  <si>
    <t>거래처명</t>
    <phoneticPr fontId="1" type="noConversion"/>
  </si>
  <si>
    <t>드림커뮤니케이션</t>
    <phoneticPr fontId="4" type="noConversion"/>
  </si>
  <si>
    <t>드림커뮤니케이션</t>
    <phoneticPr fontId="1" type="noConversion"/>
  </si>
  <si>
    <t>theganji</t>
  </si>
  <si>
    <t>ganjitoptoon@7</t>
  </si>
  <si>
    <t xml:space="preserve">https://cms.toptoon.com/dashboard	</t>
    <phoneticPr fontId="1" type="noConversion"/>
  </si>
  <si>
    <t>집사야, 이리 와 봐</t>
  </si>
  <si>
    <t>심판의 군주</t>
    <phoneticPr fontId="6" type="noConversion"/>
  </si>
  <si>
    <t>무툰</t>
    <phoneticPr fontId="4" type="noConversion"/>
  </si>
  <si>
    <t>크로스오버</t>
    <phoneticPr fontId="7" type="noConversion"/>
  </si>
  <si>
    <t>용을 키우는 10가지 방법</t>
    <phoneticPr fontId="7" type="noConversion"/>
  </si>
  <si>
    <t>봉사감과 러브레터</t>
    <phoneticPr fontId="7" type="noConversion"/>
  </si>
  <si>
    <t>저스툰</t>
    <phoneticPr fontId="4" type="noConversion"/>
  </si>
  <si>
    <t>용을 키우는 10가지 방법</t>
    <phoneticPr fontId="9" type="noConversion"/>
  </si>
  <si>
    <t>유료판매</t>
    <phoneticPr fontId="9" type="noConversion"/>
  </si>
  <si>
    <t>시리즈</t>
    <phoneticPr fontId="4" type="noConversion"/>
  </si>
  <si>
    <t>ganjinaver@19</t>
    <phoneticPr fontId="1" type="noConversion"/>
  </si>
  <si>
    <t>무툰</t>
    <phoneticPr fontId="1" type="noConversion"/>
  </si>
  <si>
    <t>저스툰</t>
    <phoneticPr fontId="1" type="noConversion"/>
  </si>
  <si>
    <t>theganji</t>
    <phoneticPr fontId="10" type="noConversion"/>
  </si>
  <si>
    <t>mootoon1@</t>
    <phoneticPr fontId="10" type="noConversion"/>
  </si>
  <si>
    <t>http://biz.mootoon.co.kr/</t>
    <phoneticPr fontId="1" type="noConversion"/>
  </si>
  <si>
    <t>ceo@theganji.com</t>
    <phoneticPr fontId="10" type="noConversion"/>
  </si>
  <si>
    <t>ganjijustoon@9</t>
    <phoneticPr fontId="10" type="noConversion"/>
  </si>
  <si>
    <t>https://admin.justoon.co.kr/#/login</t>
  </si>
  <si>
    <t>네이버 시리즈</t>
    <phoneticPr fontId="1" type="noConversion"/>
  </si>
  <si>
    <t>주정</t>
    <phoneticPr fontId="5" type="noConversion"/>
  </si>
  <si>
    <t>용을 키우는 10가지 방법</t>
    <phoneticPr fontId="5" type="noConversion"/>
  </si>
  <si>
    <t>사신의 연인</t>
    <phoneticPr fontId="9" type="noConversion"/>
  </si>
  <si>
    <t>봉사감과 러브레터</t>
    <phoneticPr fontId="9" type="noConversion"/>
  </si>
  <si>
    <t>린지 앤 린지안</t>
    <phoneticPr fontId="9" type="noConversion"/>
  </si>
  <si>
    <t>심판의 군주</t>
    <phoneticPr fontId="9" type="noConversion"/>
  </si>
  <si>
    <t>카카오 페이지</t>
    <phoneticPr fontId="4" type="noConversion"/>
  </si>
  <si>
    <t>집사야, 이리 와 봐</t>
    <phoneticPr fontId="9" type="noConversion"/>
  </si>
  <si>
    <t>카카오 페이지</t>
    <phoneticPr fontId="1" type="noConversion"/>
  </si>
  <si>
    <t>유통사수수료</t>
    <phoneticPr fontId="5" type="noConversion"/>
  </si>
  <si>
    <t xml:space="preserve"> 유통사수수료</t>
    <phoneticPr fontId="8" type="noConversion"/>
  </si>
  <si>
    <t>유통사 수수료</t>
    <phoneticPr fontId="9" type="noConversion"/>
  </si>
  <si>
    <t>유통사수수료</t>
    <phoneticPr fontId="8" type="noConversion"/>
  </si>
  <si>
    <t>유통사수수료</t>
    <phoneticPr fontId="9" type="noConversion"/>
  </si>
  <si>
    <t>크로스 오버</t>
    <phoneticPr fontId="9" type="noConversion"/>
  </si>
  <si>
    <t>유통사수수료</t>
    <phoneticPr fontId="11" type="noConversion"/>
  </si>
  <si>
    <t>시프트 북스</t>
    <phoneticPr fontId="4" type="noConversion"/>
  </si>
  <si>
    <t>크로스오버</t>
    <phoneticPr fontId="9" type="noConversion"/>
  </si>
  <si>
    <t>북큐브</t>
    <phoneticPr fontId="4" type="noConversion"/>
  </si>
  <si>
    <t>시프트북스</t>
    <phoneticPr fontId="1" type="noConversion"/>
  </si>
  <si>
    <t>배틀</t>
    <phoneticPr fontId="1" type="noConversion"/>
  </si>
  <si>
    <t>theganji</t>
    <phoneticPr fontId="13" type="noConversion"/>
  </si>
  <si>
    <t>ganjibookcube8</t>
    <phoneticPr fontId="13" type="noConversion"/>
  </si>
  <si>
    <t>http://scm.bookcubenetworks.com/login.asp</t>
    <phoneticPr fontId="1" type="noConversion"/>
  </si>
  <si>
    <t>ceo@theganji.com</t>
    <phoneticPr fontId="13" type="noConversion"/>
  </si>
  <si>
    <t>ganji135</t>
    <phoneticPr fontId="13" type="noConversion"/>
  </si>
  <si>
    <t>https://stat.battlecomics.co.kr/cp/log_in</t>
    <phoneticPr fontId="1" type="noConversion"/>
  </si>
  <si>
    <t>크로스오버</t>
    <phoneticPr fontId="11" type="noConversion"/>
  </si>
  <si>
    <t>봉사감과러브레터</t>
    <phoneticPr fontId="9" type="noConversion"/>
  </si>
  <si>
    <t>배틀코믹스</t>
    <phoneticPr fontId="4" type="noConversion"/>
  </si>
  <si>
    <t>배틀코믹스</t>
    <phoneticPr fontId="1" type="noConversion"/>
  </si>
  <si>
    <t>오고 있나요(네이버)</t>
    <phoneticPr fontId="4" type="noConversion"/>
  </si>
  <si>
    <t>오고 있나요(카카오)</t>
    <phoneticPr fontId="4" type="noConversion"/>
  </si>
  <si>
    <t>불사신 혈랑</t>
    <phoneticPr fontId="7" type="noConversion"/>
  </si>
  <si>
    <t>린지 앤 린지안</t>
    <phoneticPr fontId="12" type="noConversion"/>
  </si>
  <si>
    <t>심판의 군주</t>
    <phoneticPr fontId="12" type="noConversion"/>
  </si>
  <si>
    <t>콰이콴</t>
    <phoneticPr fontId="4" type="noConversion"/>
  </si>
  <si>
    <t>사신의 연인</t>
    <phoneticPr fontId="6" type="noConversion"/>
  </si>
  <si>
    <t>용을 키우는 10가지 방법</t>
    <phoneticPr fontId="6" type="noConversion"/>
  </si>
  <si>
    <t>형의 비서(탑툰)</t>
    <phoneticPr fontId="8" type="noConversion"/>
  </si>
  <si>
    <t>수익쉐어(10%)</t>
    <phoneticPr fontId="1" type="noConversion"/>
  </si>
  <si>
    <t>연재고료</t>
    <phoneticPr fontId="9" type="noConversion"/>
  </si>
  <si>
    <t>소비자매출액</t>
    <phoneticPr fontId="1" type="noConversion"/>
  </si>
  <si>
    <t>린지 앤 린지안</t>
    <phoneticPr fontId="6" type="noConversion"/>
  </si>
  <si>
    <t>집사야, 이리 와 봐</t>
    <phoneticPr fontId="6" type="noConversion"/>
  </si>
  <si>
    <t>불사신 혈랑</t>
    <phoneticPr fontId="6" type="noConversion"/>
  </si>
  <si>
    <t>봉사감과 러브레터</t>
    <phoneticPr fontId="6" type="noConversion"/>
  </si>
  <si>
    <t>불사신 혈랑</t>
    <phoneticPr fontId="9" type="noConversion"/>
  </si>
  <si>
    <t>스윗스윗 블러드</t>
    <phoneticPr fontId="9" type="noConversion"/>
  </si>
  <si>
    <t>픽코마</t>
    <phoneticPr fontId="4" type="noConversion"/>
  </si>
  <si>
    <t>픽코마</t>
    <phoneticPr fontId="1" type="noConversion"/>
  </si>
  <si>
    <t>개 한 마리와 두 남자(카카오)</t>
    <phoneticPr fontId="5" type="noConversion"/>
  </si>
  <si>
    <t>주정(카카오)</t>
    <phoneticPr fontId="5" type="noConversion"/>
  </si>
  <si>
    <t>형의 비서(탑툰_해외)</t>
    <phoneticPr fontId="8" type="noConversion"/>
  </si>
  <si>
    <t>불사신 혈랑</t>
    <phoneticPr fontId="12" type="noConversion"/>
  </si>
  <si>
    <t>한국 이퍼브</t>
    <phoneticPr fontId="4" type="noConversion"/>
  </si>
  <si>
    <t>코미콜라</t>
    <phoneticPr fontId="4" type="noConversion"/>
  </si>
  <si>
    <t>개 한 마리와 두 남자</t>
    <phoneticPr fontId="9" type="noConversion"/>
  </si>
  <si>
    <t>한국이퍼브</t>
    <phoneticPr fontId="1" type="noConversion"/>
  </si>
  <si>
    <t>코미콜라</t>
    <phoneticPr fontId="1" type="noConversion"/>
  </si>
  <si>
    <t>맥심</t>
    <phoneticPr fontId="18" type="noConversion"/>
  </si>
  <si>
    <t>ceo@theganji.com</t>
    <phoneticPr fontId="18" type="noConversion"/>
  </si>
  <si>
    <t>ganji135</t>
    <phoneticPr fontId="18" type="noConversion"/>
  </si>
  <si>
    <t>https://comics.maximkorea.net/cp</t>
    <phoneticPr fontId="18" type="noConversion"/>
  </si>
  <si>
    <t>한국이퍼브</t>
    <phoneticPr fontId="18" type="noConversion"/>
  </si>
  <si>
    <t>theganji</t>
    <phoneticPr fontId="18" type="noConversion"/>
  </si>
  <si>
    <t>thegangi@1</t>
    <phoneticPr fontId="18" type="noConversion"/>
  </si>
  <si>
    <t>http://www.k-epub.com/KEPH_Ver2/scm/processMgr_ver3/ProcessList.jsp?mode=list</t>
    <phoneticPr fontId="18" type="noConversion"/>
  </si>
  <si>
    <t>개 한 마리와 두 남자(네이버)</t>
    <phoneticPr fontId="5" type="noConversion"/>
  </si>
  <si>
    <t>형의 비서(리디)</t>
    <phoneticPr fontId="8" type="noConversion"/>
  </si>
  <si>
    <t>형의 비서(봄툰)</t>
    <phoneticPr fontId="8" type="noConversion"/>
  </si>
  <si>
    <t>리디북스</t>
    <phoneticPr fontId="4" type="noConversion"/>
  </si>
  <si>
    <t>집사야, 이리 와 봐</t>
    <phoneticPr fontId="12" type="noConversion"/>
  </si>
  <si>
    <t>주정(네이버)</t>
    <phoneticPr fontId="5" type="noConversion"/>
  </si>
  <si>
    <t>불사신 혈랑</t>
    <phoneticPr fontId="11" type="noConversion"/>
  </si>
  <si>
    <t>유료판매(MG차감)</t>
    <phoneticPr fontId="5" type="noConversion"/>
  </si>
  <si>
    <t>스마툰</t>
    <phoneticPr fontId="1" type="noConversion"/>
  </si>
  <si>
    <t>심판의 군주</t>
    <phoneticPr fontId="11" type="noConversion"/>
  </si>
  <si>
    <t>귀연화</t>
    <phoneticPr fontId="7" type="noConversion"/>
  </si>
  <si>
    <t>유료판매(MG차감)</t>
  </si>
  <si>
    <t>블레스</t>
    <phoneticPr fontId="11" type="noConversion"/>
  </si>
  <si>
    <t>연재고료(MG차감)</t>
    <phoneticPr fontId="9" type="noConversion"/>
  </si>
  <si>
    <t>심판의 군주[개정판]</t>
    <phoneticPr fontId="7" type="noConversion"/>
  </si>
  <si>
    <t>형의 비서(레진)</t>
    <phoneticPr fontId="8" type="noConversion"/>
  </si>
  <si>
    <t>태국 코미코</t>
    <phoneticPr fontId="4" type="noConversion"/>
  </si>
  <si>
    <t>레진코믹스</t>
    <phoneticPr fontId="4" type="noConversion"/>
  </si>
  <si>
    <t>레진코믹스</t>
    <phoneticPr fontId="1" type="noConversion"/>
  </si>
  <si>
    <t>플라워워</t>
    <phoneticPr fontId="11" type="noConversion"/>
  </si>
  <si>
    <t>주정</t>
    <phoneticPr fontId="9" type="noConversion"/>
  </si>
  <si>
    <t>타파스</t>
    <phoneticPr fontId="4" type="noConversion"/>
  </si>
  <si>
    <t>유료판매</t>
  </si>
  <si>
    <t>타파스</t>
    <phoneticPr fontId="1" type="noConversion"/>
  </si>
  <si>
    <t>코미코(태국)</t>
    <phoneticPr fontId="1" type="noConversion"/>
  </si>
  <si>
    <t>4월</t>
    <phoneticPr fontId="20" type="noConversion"/>
  </si>
  <si>
    <t>작품명</t>
    <phoneticPr fontId="1" type="noConversion"/>
  </si>
  <si>
    <t>미정산</t>
    <phoneticPr fontId="12" type="noConversion"/>
  </si>
  <si>
    <t>귀연화</t>
    <phoneticPr fontId="12" type="noConversion"/>
  </si>
  <si>
    <t>*미정산</t>
    <phoneticPr fontId="14" type="noConversion"/>
  </si>
  <si>
    <t>*이월정산예정</t>
    <phoneticPr fontId="12" type="noConversion"/>
  </si>
  <si>
    <t>주정(다음)</t>
    <phoneticPr fontId="5" type="noConversion"/>
  </si>
  <si>
    <t>형의 비서(큐툰)</t>
    <phoneticPr fontId="8" type="noConversion"/>
  </si>
  <si>
    <t>형의 비서(무툰)</t>
    <phoneticPr fontId="8" type="noConversion"/>
  </si>
  <si>
    <t>형의 비서(예스24)</t>
    <phoneticPr fontId="8" type="noConversion"/>
  </si>
  <si>
    <t>봉사감과러브레터</t>
    <phoneticPr fontId="5" type="noConversion"/>
  </si>
  <si>
    <t>사신의연인</t>
    <phoneticPr fontId="9" type="noConversion"/>
  </si>
  <si>
    <t>크고 아름다워(레진)</t>
    <phoneticPr fontId="4" type="noConversion"/>
  </si>
  <si>
    <t>스윗스윗 블러드(레진)</t>
    <phoneticPr fontId="4" type="noConversion"/>
  </si>
  <si>
    <t>개 한 마리와 두 남자(레진)</t>
    <phoneticPr fontId="5" type="noConversion"/>
  </si>
  <si>
    <t>형의 비서(코핀)</t>
    <phoneticPr fontId="8" type="noConversion"/>
  </si>
  <si>
    <t>린지 앤 린지안</t>
  </si>
  <si>
    <t>용을 키우는 10가지 방법</t>
  </si>
  <si>
    <t>델리툰</t>
    <phoneticPr fontId="1" type="noConversion"/>
  </si>
  <si>
    <t>델리툰</t>
    <phoneticPr fontId="1" type="noConversion"/>
  </si>
  <si>
    <t>케이툰</t>
    <phoneticPr fontId="1" type="noConversion"/>
  </si>
  <si>
    <t>집사야, 이리와봐</t>
  </si>
  <si>
    <t>불사신 혈랑</t>
  </si>
  <si>
    <t>봉사감과 러브레터</t>
  </si>
  <si>
    <t>케이툰</t>
    <phoneticPr fontId="1" type="noConversion"/>
  </si>
  <si>
    <t>더점프이엔티 수익</t>
    <phoneticPr fontId="5" type="noConversion"/>
  </si>
  <si>
    <t>더점프이엔티 수익</t>
    <phoneticPr fontId="1" type="noConversion"/>
  </si>
  <si>
    <t>더점프이엔티 수익</t>
    <phoneticPr fontId="7" type="noConversion"/>
  </si>
  <si>
    <t>더점프이엔티 수익</t>
    <phoneticPr fontId="8" type="noConversion"/>
  </si>
  <si>
    <t>더점프이엔티 수익</t>
    <phoneticPr fontId="9" type="noConversion"/>
  </si>
  <si>
    <t>더점프이엔티 수익</t>
    <phoneticPr fontId="11" type="noConversion"/>
  </si>
  <si>
    <t>더점프이엔티 수익</t>
    <phoneticPr fontId="12" type="noConversion"/>
  </si>
  <si>
    <t>더점프이엔티 수익</t>
    <phoneticPr fontId="15" type="noConversion"/>
  </si>
  <si>
    <t>더점프이엔티 수익</t>
    <phoneticPr fontId="16" type="noConversion"/>
  </si>
  <si>
    <t>더점프이엔티 수익</t>
    <phoneticPr fontId="17" type="noConversion"/>
  </si>
  <si>
    <t>더점프이엔티 수익</t>
    <phoneticPr fontId="19" type="noConversion"/>
  </si>
  <si>
    <t>더점프이엔티 수익</t>
    <phoneticPr fontId="20" type="noConversion"/>
  </si>
  <si>
    <t>더점프이엔티 수익</t>
    <phoneticPr fontId="21" type="noConversion"/>
  </si>
  <si>
    <t>더점프이엔티 수익</t>
    <phoneticPr fontId="22" type="noConversion"/>
  </si>
  <si>
    <t>더점프이엔티 수익</t>
    <phoneticPr fontId="25" type="noConversion"/>
  </si>
  <si>
    <t>더점프이엔티 수익</t>
    <phoneticPr fontId="14" type="noConversion"/>
  </si>
  <si>
    <t>■ 더점프이엔티 유통계정정보</t>
    <phoneticPr fontId="1" type="noConversion"/>
  </si>
  <si>
    <t>■ 더점프이엔티 22년 01월 KT 정산서</t>
    <phoneticPr fontId="1" type="noConversion"/>
  </si>
  <si>
    <t xml:space="preserve">  **판매월 10월01~ 10월31일 기준</t>
    <phoneticPr fontId="1" type="noConversion"/>
  </si>
  <si>
    <t>블레스</t>
  </si>
  <si>
    <t>케이툰</t>
    <phoneticPr fontId="4" type="noConversion"/>
  </si>
  <si>
    <t>선지급금</t>
    <phoneticPr fontId="1" type="noConversion"/>
  </si>
  <si>
    <t>KT프로젝트수익</t>
    <phoneticPr fontId="1" type="noConversion"/>
  </si>
  <si>
    <t>월별 회수금 (케이티 수익)</t>
    <phoneticPr fontId="1" type="noConversion"/>
  </si>
  <si>
    <t>2018. 05</t>
    <phoneticPr fontId="1" type="noConversion"/>
  </si>
  <si>
    <t>2018년 합계</t>
    <phoneticPr fontId="1" type="noConversion"/>
  </si>
  <si>
    <t>2019년 합계</t>
    <phoneticPr fontId="1" type="noConversion"/>
  </si>
  <si>
    <t>2020. 01</t>
  </si>
  <si>
    <t>2020. 02</t>
  </si>
  <si>
    <t>2020. 03</t>
  </si>
  <si>
    <t>2020. 04</t>
  </si>
  <si>
    <t>2020. 05</t>
  </si>
  <si>
    <t>2020. 06</t>
  </si>
  <si>
    <t>2020. 07</t>
  </si>
  <si>
    <t>2020. 08</t>
  </si>
  <si>
    <t>2020. 09</t>
  </si>
  <si>
    <t>2020. 10</t>
  </si>
  <si>
    <t>2020. 11</t>
  </si>
  <si>
    <t>2020년 합계</t>
    <phoneticPr fontId="1" type="noConversion"/>
  </si>
  <si>
    <t>2021.10</t>
    <phoneticPr fontId="1" type="noConversion"/>
  </si>
  <si>
    <t>2021년 합계</t>
    <phoneticPr fontId="1" type="noConversion"/>
  </si>
  <si>
    <t>2022년 합계</t>
    <phoneticPr fontId="1" type="noConversion"/>
  </si>
  <si>
    <t>잔여 선지급금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</si>
</sst>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_);_(* \(#,##0\);_(* &quot;-&quot;_);_(@_)"/>
    <numFmt numFmtId="177" formatCode="#,##0_ ;[Red]\-#,##0\ "/>
    <numFmt numFmtId="178" formatCode="_-* #,##0_-;\-* #,##0_-;_-* &quot;-&quot;??_-;_-@_-"/>
    <numFmt numFmtId="179" formatCode="#,##0_ "/>
    <numFmt numFmtId="180" formatCode="#,##0_);[Red]\(#,##0\)"/>
    <numFmt numFmtId="185" formatCode="0.0000000000"/>
  </numFmts>
  <fonts count="8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indexed="8"/>
      <name val="나눔고딕"/>
      <family val="3"/>
      <charset val="129"/>
    </font>
    <font>
      <sz val="9"/>
      <name val="나눔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2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C0000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rgb="FF333333"/>
      <name val="Arial"/>
      <family val="2"/>
    </font>
    <font>
      <sz val="10"/>
      <color rgb="FF333333"/>
      <name val="맑은 고딕"/>
      <family val="3"/>
      <charset val="129"/>
      <scheme val="major"/>
    </font>
    <font>
      <b/>
      <i/>
      <sz val="10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u val="singleAccounting"/>
      <sz val="9"/>
      <color rgb="FFFF0000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color rgb="FF000000"/>
      <name val="Arial"/>
      <family val="2"/>
    </font>
    <font>
      <sz val="10"/>
      <color theme="1"/>
      <name val="다키 L"/>
      <family val="3"/>
      <charset val="129"/>
    </font>
    <font>
      <b/>
      <sz val="9"/>
      <color rgb="FFFF0000"/>
      <name val="나눔고딕"/>
      <family val="3"/>
      <charset val="129"/>
    </font>
    <font>
      <sz val="7"/>
      <color rgb="FF666666"/>
      <name val="Arial"/>
      <family val="2"/>
    </font>
    <font>
      <sz val="9"/>
      <color rgb="FFFF0000"/>
      <name val="나눔고딕"/>
      <family val="3"/>
      <charset val="129"/>
    </font>
    <font>
      <sz val="7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theme="1"/>
      <name val="나눔고딕"/>
      <family val="3"/>
      <charset val="129"/>
    </font>
    <font>
      <sz val="9"/>
      <color theme="2" tint="-0.749992370372631"/>
      <name val="나눔고딕"/>
      <family val="3"/>
      <charset val="129"/>
    </font>
    <font>
      <sz val="9"/>
      <name val="맑은 고딕"/>
      <family val="3"/>
      <charset val="129"/>
      <scheme val="major"/>
    </font>
    <font>
      <b/>
      <sz val="9"/>
      <color theme="1" tint="0.249977111117893"/>
      <name val="Arial"/>
      <family val="2"/>
    </font>
    <font>
      <sz val="10"/>
      <color rgb="FF202124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CEBE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6" tint="-0.24994659260841701"/>
      </left>
      <right style="medium">
        <color theme="6" tint="-0.24994659260841701"/>
      </right>
      <top style="thin">
        <color theme="6" tint="-0.24994659260841701"/>
      </top>
      <bottom style="medium">
        <color theme="6" tint="-0.24994659260841701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ck">
        <color rgb="FF0070C0"/>
      </left>
      <right style="thick">
        <color rgb="FF0070C0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ck">
        <color rgb="FF0070C0"/>
      </left>
      <right style="thick">
        <color rgb="FF0070C0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6" tint="0.59996337778862885"/>
      </left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843">
    <xf numFmtId="0" fontId="0" fillId="0" borderId="0">
      <alignment vertical="center"/>
    </xf>
    <xf numFmtId="0" fontId="26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7" borderId="40" applyNumberFormat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6" fillId="29" borderId="41" applyNumberFormat="0" applyFont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1" borderId="42" applyNumberForma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5" fillId="0" borderId="44" applyNumberFormat="0" applyFill="0" applyAlignment="0" applyProtection="0">
      <alignment vertical="center"/>
    </xf>
    <xf numFmtId="0" fontId="36" fillId="32" borderId="40" applyNumberFormat="0" applyAlignment="0" applyProtection="0">
      <alignment vertical="center"/>
    </xf>
    <xf numFmtId="0" fontId="37" fillId="0" borderId="45" applyNumberFormat="0" applyFill="0" applyAlignment="0" applyProtection="0">
      <alignment vertical="center"/>
    </xf>
    <xf numFmtId="0" fontId="38" fillId="0" borderId="46" applyNumberFormat="0" applyFill="0" applyAlignment="0" applyProtection="0">
      <alignment vertical="center"/>
    </xf>
    <xf numFmtId="0" fontId="39" fillId="0" borderId="47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27" borderId="48" applyNumberFormat="0" applyAlignment="0" applyProtection="0">
      <alignment vertical="center"/>
    </xf>
    <xf numFmtId="0" fontId="43" fillId="0" borderId="0">
      <alignment vertical="center"/>
    </xf>
    <xf numFmtId="0" fontId="44" fillId="0" borderId="0"/>
    <xf numFmtId="0" fontId="45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/>
    <xf numFmtId="0" fontId="26" fillId="0" borderId="0">
      <alignment vertical="center"/>
    </xf>
    <xf numFmtId="0" fontId="26" fillId="0" borderId="0">
      <alignment vertical="center"/>
    </xf>
    <xf numFmtId="0" fontId="46" fillId="0" borderId="0" applyNumberForma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41" fontId="48" fillId="0" borderId="1" xfId="37" applyFont="1" applyBorder="1">
      <alignment vertical="center"/>
    </xf>
    <xf numFmtId="41" fontId="48" fillId="0" borderId="1" xfId="37" applyFont="1" applyFill="1" applyBorder="1">
      <alignment vertical="center"/>
    </xf>
    <xf numFmtId="41" fontId="49" fillId="34" borderId="2" xfId="37" applyFont="1" applyFill="1" applyBorder="1" applyAlignment="1">
      <alignment horizontal="center" vertical="center"/>
    </xf>
    <xf numFmtId="41" fontId="49" fillId="34" borderId="3" xfId="37" applyFont="1" applyFill="1" applyBorder="1" applyAlignment="1">
      <alignment horizontal="center" vertical="center"/>
    </xf>
    <xf numFmtId="41" fontId="49" fillId="34" borderId="4" xfId="37" applyFont="1" applyFill="1" applyBorder="1" applyAlignment="1">
      <alignment horizontal="center" vertical="center"/>
    </xf>
    <xf numFmtId="41" fontId="2" fillId="0" borderId="0" xfId="37" applyFont="1">
      <alignment vertical="center"/>
    </xf>
    <xf numFmtId="0" fontId="50" fillId="0" borderId="0" xfId="0" applyFont="1">
      <alignment vertical="center"/>
    </xf>
    <xf numFmtId="0" fontId="0" fillId="0" borderId="0" xfId="0" applyAlignment="1">
      <alignment horizontal="center" vertical="center"/>
    </xf>
    <xf numFmtId="41" fontId="51" fillId="0" borderId="0" xfId="0" applyNumberFormat="1" applyFont="1" applyAlignment="1">
      <alignment horizontal="left" vertical="center"/>
    </xf>
    <xf numFmtId="0" fontId="52" fillId="0" borderId="0" xfId="0" applyFont="1">
      <alignment vertical="center"/>
    </xf>
    <xf numFmtId="3" fontId="52" fillId="0" borderId="0" xfId="0" applyNumberFormat="1" applyFont="1">
      <alignment vertical="center"/>
    </xf>
    <xf numFmtId="0" fontId="53" fillId="35" borderId="0" xfId="0" applyFont="1" applyFill="1" applyAlignment="1">
      <alignment horizontal="center" vertical="center"/>
    </xf>
    <xf numFmtId="0" fontId="54" fillId="35" borderId="5" xfId="0" applyFont="1" applyFill="1" applyBorder="1" applyAlignment="1">
      <alignment horizontal="center" vertical="center"/>
    </xf>
    <xf numFmtId="0" fontId="54" fillId="35" borderId="6" xfId="0" applyFont="1" applyFill="1" applyBorder="1" applyAlignment="1">
      <alignment horizontal="center" vertical="center"/>
    </xf>
    <xf numFmtId="41" fontId="49" fillId="36" borderId="3" xfId="37" applyFont="1" applyFill="1" applyBorder="1">
      <alignment vertical="center"/>
    </xf>
    <xf numFmtId="0" fontId="48" fillId="0" borderId="0" xfId="0" applyFont="1" applyAlignment="1">
      <alignment vertical="center"/>
    </xf>
    <xf numFmtId="0" fontId="54" fillId="35" borderId="7" xfId="0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7" fillId="0" borderId="9" xfId="0" applyFont="1" applyBorder="1">
      <alignment vertical="center"/>
    </xf>
    <xf numFmtId="0" fontId="49" fillId="36" borderId="2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49" fillId="37" borderId="7" xfId="0" applyFont="1" applyFill="1" applyBorder="1" applyAlignment="1">
      <alignment horizontal="center" vertical="center"/>
    </xf>
    <xf numFmtId="41" fontId="55" fillId="37" borderId="10" xfId="0" applyNumberFormat="1" applyFont="1" applyFill="1" applyBorder="1" applyAlignment="1">
      <alignment horizontal="center" vertical="center"/>
    </xf>
    <xf numFmtId="41" fontId="56" fillId="37" borderId="4" xfId="0" applyNumberFormat="1" applyFont="1" applyFill="1" applyBorder="1" applyAlignment="1">
      <alignment horizontal="center" vertical="center"/>
    </xf>
    <xf numFmtId="0" fontId="49" fillId="37" borderId="2" xfId="0" applyFont="1" applyFill="1" applyBorder="1" applyAlignment="1">
      <alignment horizontal="center" vertical="center"/>
    </xf>
    <xf numFmtId="41" fontId="55" fillId="37" borderId="4" xfId="0" applyNumberFormat="1" applyFont="1" applyFill="1" applyBorder="1" applyAlignment="1">
      <alignment horizontal="center" vertical="center"/>
    </xf>
    <xf numFmtId="41" fontId="48" fillId="35" borderId="1" xfId="37" applyFont="1" applyFill="1" applyBorder="1" applyAlignment="1">
      <alignment vertical="center" wrapText="1"/>
    </xf>
    <xf numFmtId="0" fontId="49" fillId="36" borderId="3" xfId="0" applyFont="1" applyFill="1" applyBorder="1" applyAlignment="1">
      <alignment horizontal="center" vertical="center"/>
    </xf>
    <xf numFmtId="41" fontId="49" fillId="36" borderId="4" xfId="37" applyFont="1" applyFill="1" applyBorder="1">
      <alignment vertical="center"/>
    </xf>
    <xf numFmtId="0" fontId="49" fillId="0" borderId="6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0" fontId="49" fillId="36" borderId="13" xfId="0" applyFont="1" applyFill="1" applyBorder="1" applyAlignment="1">
      <alignment horizontal="center" vertical="center"/>
    </xf>
    <xf numFmtId="0" fontId="49" fillId="0" borderId="14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41" fontId="48" fillId="0" borderId="8" xfId="37" applyFont="1" applyBorder="1">
      <alignment vertical="center"/>
    </xf>
    <xf numFmtId="41" fontId="48" fillId="0" borderId="8" xfId="37" applyFont="1" applyFill="1" applyBorder="1">
      <alignment vertical="center"/>
    </xf>
    <xf numFmtId="0" fontId="49" fillId="36" borderId="15" xfId="0" applyFont="1" applyFill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47" fillId="0" borderId="8" xfId="0" applyFont="1" applyFill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41" fontId="48" fillId="35" borderId="8" xfId="37" applyFont="1" applyFill="1" applyBorder="1" applyAlignment="1">
      <alignment vertical="center" wrapText="1"/>
    </xf>
    <xf numFmtId="0" fontId="47" fillId="0" borderId="16" xfId="0" applyFont="1" applyBorder="1">
      <alignment vertical="center"/>
    </xf>
    <xf numFmtId="41" fontId="49" fillId="34" borderId="5" xfId="37" applyFont="1" applyFill="1" applyBorder="1" applyAlignment="1">
      <alignment horizontal="center" vertical="center"/>
    </xf>
    <xf numFmtId="41" fontId="49" fillId="34" borderId="12" xfId="37" applyFont="1" applyFill="1" applyBorder="1" applyAlignment="1">
      <alignment horizontal="center" vertical="center"/>
    </xf>
    <xf numFmtId="41" fontId="49" fillId="34" borderId="17" xfId="37" applyFont="1" applyFill="1" applyBorder="1" applyAlignment="1">
      <alignment horizontal="center" vertical="center"/>
    </xf>
    <xf numFmtId="0" fontId="49" fillId="36" borderId="7" xfId="0" applyFont="1" applyFill="1" applyBorder="1" applyAlignment="1">
      <alignment horizontal="center" vertical="center"/>
    </xf>
    <xf numFmtId="0" fontId="49" fillId="36" borderId="18" xfId="0" applyFont="1" applyFill="1" applyBorder="1" applyAlignment="1">
      <alignment horizontal="center" vertical="center"/>
    </xf>
    <xf numFmtId="41" fontId="49" fillId="36" borderId="18" xfId="37" applyFont="1" applyFill="1" applyBorder="1">
      <alignment vertical="center"/>
    </xf>
    <xf numFmtId="41" fontId="49" fillId="36" borderId="10" xfId="37" applyFont="1" applyFill="1" applyBorder="1">
      <alignment vertical="center"/>
    </xf>
    <xf numFmtId="0" fontId="49" fillId="0" borderId="1" xfId="0" applyFont="1" applyBorder="1" applyAlignment="1">
      <alignment horizontal="center" vertical="center"/>
    </xf>
    <xf numFmtId="0" fontId="49" fillId="36" borderId="19" xfId="0" applyFont="1" applyFill="1" applyBorder="1" applyAlignment="1">
      <alignment horizontal="center" vertical="center"/>
    </xf>
    <xf numFmtId="0" fontId="49" fillId="36" borderId="20" xfId="0" applyFont="1" applyFill="1" applyBorder="1" applyAlignment="1">
      <alignment horizontal="center" vertical="center"/>
    </xf>
    <xf numFmtId="41" fontId="49" fillId="36" borderId="21" xfId="37" applyFont="1" applyFill="1" applyBorder="1">
      <alignment vertical="center"/>
    </xf>
    <xf numFmtId="41" fontId="49" fillId="36" borderId="22" xfId="37" applyFont="1" applyFill="1" applyBorder="1">
      <alignment vertical="center"/>
    </xf>
    <xf numFmtId="41" fontId="49" fillId="34" borderId="23" xfId="37" applyFont="1" applyFill="1" applyBorder="1" applyAlignment="1">
      <alignment horizontal="center" vertical="center"/>
    </xf>
    <xf numFmtId="41" fontId="49" fillId="34" borderId="14" xfId="37" applyFont="1" applyFill="1" applyBorder="1" applyAlignment="1">
      <alignment horizontal="center" vertical="center"/>
    </xf>
    <xf numFmtId="41" fontId="49" fillId="34" borderId="24" xfId="37" applyFont="1" applyFill="1" applyBorder="1" applyAlignment="1">
      <alignment horizontal="center" vertical="center"/>
    </xf>
    <xf numFmtId="178" fontId="48" fillId="35" borderId="8" xfId="37" applyNumberFormat="1" applyFont="1" applyFill="1" applyBorder="1" applyAlignment="1">
      <alignment vertical="center" wrapText="1"/>
    </xf>
    <xf numFmtId="41" fontId="49" fillId="36" borderId="21" xfId="37" applyFont="1" applyFill="1" applyBorder="1" applyAlignment="1">
      <alignment horizontal="center" vertical="center"/>
    </xf>
    <xf numFmtId="0" fontId="57" fillId="34" borderId="5" xfId="0" applyFont="1" applyFill="1" applyBorder="1" applyAlignment="1">
      <alignment horizontal="center" vertical="center"/>
    </xf>
    <xf numFmtId="0" fontId="57" fillId="34" borderId="12" xfId="0" applyFont="1" applyFill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49" fillId="0" borderId="25" xfId="0" applyFont="1" applyBorder="1" applyAlignment="1">
      <alignment horizontal="center" vertical="center"/>
    </xf>
    <xf numFmtId="0" fontId="47" fillId="0" borderId="8" xfId="0" applyFont="1" applyBorder="1">
      <alignment vertical="center"/>
    </xf>
    <xf numFmtId="41" fontId="58" fillId="0" borderId="8" xfId="37" applyFont="1" applyBorder="1">
      <alignment vertical="center"/>
    </xf>
    <xf numFmtId="41" fontId="0" fillId="0" borderId="0" xfId="0" applyNumberFormat="1">
      <alignment vertical="center"/>
    </xf>
    <xf numFmtId="41" fontId="48" fillId="0" borderId="49" xfId="628" applyFont="1" applyBorder="1">
      <alignment vertical="center"/>
    </xf>
    <xf numFmtId="41" fontId="59" fillId="0" borderId="8" xfId="37" applyFont="1" applyBorder="1">
      <alignment vertical="center"/>
    </xf>
    <xf numFmtId="178" fontId="48" fillId="35" borderId="1" xfId="37" applyNumberFormat="1" applyFont="1" applyFill="1" applyBorder="1" applyAlignment="1">
      <alignment vertical="center" wrapText="1"/>
    </xf>
    <xf numFmtId="41" fontId="60" fillId="0" borderId="0" xfId="628" applyFont="1" applyAlignment="1">
      <alignment horizontal="right" vertical="center"/>
    </xf>
    <xf numFmtId="41" fontId="2" fillId="0" borderId="0" xfId="628" applyFont="1">
      <alignment vertical="center"/>
    </xf>
    <xf numFmtId="41" fontId="61" fillId="0" borderId="0" xfId="628" applyFont="1">
      <alignment vertical="center"/>
    </xf>
    <xf numFmtId="41" fontId="62" fillId="0" borderId="0" xfId="628" applyFont="1">
      <alignment vertical="center"/>
    </xf>
    <xf numFmtId="41" fontId="48" fillId="0" borderId="0" xfId="628" applyFont="1">
      <alignment vertical="center"/>
    </xf>
    <xf numFmtId="41" fontId="48" fillId="35" borderId="16" xfId="628" applyFont="1" applyFill="1" applyBorder="1" applyAlignment="1">
      <alignment horizontal="right" vertical="center"/>
    </xf>
    <xf numFmtId="41" fontId="48" fillId="35" borderId="10" xfId="628" applyFont="1" applyFill="1" applyBorder="1" applyAlignment="1">
      <alignment horizontal="right" vertical="center"/>
    </xf>
    <xf numFmtId="41" fontId="48" fillId="35" borderId="17" xfId="628" applyFont="1" applyFill="1" applyBorder="1" applyAlignment="1">
      <alignment horizontal="right" vertical="center"/>
    </xf>
    <xf numFmtId="9" fontId="26" fillId="0" borderId="0" xfId="31" applyAlignment="1">
      <alignment horizontal="center" vertical="center"/>
    </xf>
    <xf numFmtId="41" fontId="48" fillId="0" borderId="49" xfId="37" applyFont="1" applyBorder="1" applyAlignment="1">
      <alignment horizontal="right" vertical="center" wrapText="1"/>
    </xf>
    <xf numFmtId="41" fontId="49" fillId="36" borderId="18" xfId="37" applyFont="1" applyFill="1" applyBorder="1" applyAlignment="1">
      <alignment horizontal="center" vertical="center"/>
    </xf>
    <xf numFmtId="0" fontId="49" fillId="0" borderId="27" xfId="0" applyFont="1" applyBorder="1" applyAlignment="1">
      <alignment horizontal="center" vertical="center"/>
    </xf>
    <xf numFmtId="41" fontId="48" fillId="0" borderId="28" xfId="37" applyFont="1" applyBorder="1">
      <alignment vertical="center"/>
    </xf>
    <xf numFmtId="41" fontId="63" fillId="0" borderId="8" xfId="37" applyFont="1" applyBorder="1">
      <alignment vertical="center"/>
    </xf>
    <xf numFmtId="0" fontId="46" fillId="0" borderId="8" xfId="842" applyBorder="1" applyAlignment="1">
      <alignment horizontal="center" vertical="center"/>
    </xf>
    <xf numFmtId="0" fontId="64" fillId="0" borderId="8" xfId="842" applyFont="1" applyBorder="1">
      <alignment vertical="center"/>
    </xf>
    <xf numFmtId="0" fontId="65" fillId="0" borderId="8" xfId="842" applyFont="1" applyBorder="1">
      <alignment vertical="center"/>
    </xf>
    <xf numFmtId="0" fontId="66" fillId="0" borderId="8" xfId="842" applyFont="1" applyBorder="1" applyAlignment="1">
      <alignment vertical="center" wrapText="1"/>
    </xf>
    <xf numFmtId="0" fontId="66" fillId="0" borderId="8" xfId="842" applyFont="1" applyBorder="1" applyAlignment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 applyAlignment="1">
      <alignment horizontal="center" vertical="center"/>
    </xf>
    <xf numFmtId="41" fontId="26" fillId="0" borderId="0" xfId="628">
      <alignment vertical="center"/>
    </xf>
    <xf numFmtId="41" fontId="26" fillId="0" borderId="0" xfId="37" applyFont="1">
      <alignment vertical="center"/>
    </xf>
    <xf numFmtId="41" fontId="26" fillId="0" borderId="0" xfId="37" applyFont="1">
      <alignment vertical="center"/>
    </xf>
    <xf numFmtId="41" fontId="48" fillId="0" borderId="0" xfId="37" applyFont="1" applyAlignment="1">
      <alignment vertical="center"/>
    </xf>
    <xf numFmtId="41" fontId="67" fillId="0" borderId="8" xfId="37" applyFont="1" applyBorder="1">
      <alignment vertical="center"/>
    </xf>
    <xf numFmtId="41" fontId="26" fillId="0" borderId="0" xfId="37" applyFont="1">
      <alignment vertical="center"/>
    </xf>
    <xf numFmtId="41" fontId="68" fillId="0" borderId="8" xfId="37" applyFont="1" applyBorder="1">
      <alignment vertical="center"/>
    </xf>
    <xf numFmtId="0" fontId="49" fillId="0" borderId="29" xfId="0" applyFont="1" applyBorder="1" applyAlignment="1">
      <alignment horizontal="center" vertical="center" wrapText="1"/>
    </xf>
    <xf numFmtId="0" fontId="55" fillId="0" borderId="0" xfId="0" applyFont="1">
      <alignment vertical="center"/>
    </xf>
    <xf numFmtId="3" fontId="69" fillId="0" borderId="0" xfId="0" applyNumberFormat="1" applyFont="1">
      <alignment vertical="center"/>
    </xf>
    <xf numFmtId="41" fontId="49" fillId="35" borderId="11" xfId="37" applyFont="1" applyFill="1" applyBorder="1" applyAlignment="1">
      <alignment horizontal="center" vertical="center"/>
    </xf>
    <xf numFmtId="177" fontId="70" fillId="0" borderId="8" xfId="49" applyNumberFormat="1" applyFont="1" applyBorder="1" applyAlignment="1">
      <alignment vertical="center"/>
    </xf>
    <xf numFmtId="0" fontId="0" fillId="0" borderId="30" xfId="0" applyBorder="1">
      <alignment vertical="center"/>
    </xf>
    <xf numFmtId="3" fontId="23" fillId="2" borderId="26" xfId="0" applyNumberFormat="1" applyFont="1" applyFill="1" applyBorder="1" applyAlignment="1">
      <alignment horizontal="right" vertical="center"/>
    </xf>
    <xf numFmtId="179" fontId="71" fillId="34" borderId="50" xfId="0" applyNumberFormat="1" applyFont="1" applyFill="1" applyBorder="1">
      <alignment vertical="center"/>
    </xf>
    <xf numFmtId="41" fontId="70" fillId="35" borderId="8" xfId="37" applyFont="1" applyFill="1" applyBorder="1" applyAlignment="1">
      <alignment vertical="center"/>
    </xf>
    <xf numFmtId="0" fontId="0" fillId="0" borderId="0" xfId="0" applyAlignment="1"/>
    <xf numFmtId="0" fontId="35" fillId="0" borderId="0" xfId="0" applyFont="1">
      <alignment vertical="center"/>
    </xf>
    <xf numFmtId="3" fontId="52" fillId="38" borderId="8" xfId="0" applyNumberFormat="1" applyFont="1" applyFill="1" applyBorder="1" applyAlignment="1">
      <alignment horizontal="right" vertical="center" wrapText="1"/>
    </xf>
    <xf numFmtId="3" fontId="23" fillId="2" borderId="31" xfId="0" applyNumberFormat="1" applyFont="1" applyFill="1" applyBorder="1" applyAlignment="1">
      <alignment horizontal="right" vertical="center"/>
    </xf>
    <xf numFmtId="0" fontId="0" fillId="0" borderId="8" xfId="0" applyBorder="1">
      <alignment vertical="center"/>
    </xf>
    <xf numFmtId="41" fontId="49" fillId="34" borderId="8" xfId="37" applyFont="1" applyFill="1" applyBorder="1" applyAlignment="1">
      <alignment horizontal="center" vertical="center"/>
    </xf>
    <xf numFmtId="3" fontId="72" fillId="0" borderId="8" xfId="0" applyNumberFormat="1" applyFont="1" applyBorder="1">
      <alignment vertical="center"/>
    </xf>
    <xf numFmtId="40" fontId="24" fillId="0" borderId="51" xfId="243" applyNumberFormat="1" applyFont="1" applyBorder="1">
      <alignment vertical="center"/>
    </xf>
    <xf numFmtId="38" fontId="73" fillId="39" borderId="52" xfId="0" applyNumberFormat="1" applyFont="1" applyFill="1" applyBorder="1">
      <alignment vertical="center"/>
    </xf>
    <xf numFmtId="41" fontId="48" fillId="0" borderId="8" xfId="630" applyFont="1" applyFill="1" applyBorder="1">
      <alignment vertical="center"/>
    </xf>
    <xf numFmtId="0" fontId="47" fillId="34" borderId="16" xfId="0" applyFont="1" applyFill="1" applyBorder="1">
      <alignment vertical="center"/>
    </xf>
    <xf numFmtId="4" fontId="74" fillId="0" borderId="0" xfId="0" applyNumberFormat="1" applyFont="1" applyAlignment="1">
      <alignment vertical="center" wrapText="1"/>
    </xf>
    <xf numFmtId="41" fontId="70" fillId="0" borderId="8" xfId="244" applyFont="1" applyFill="1" applyBorder="1" applyAlignment="1">
      <alignment vertical="center"/>
    </xf>
    <xf numFmtId="41" fontId="49" fillId="34" borderId="23" xfId="628" applyFont="1" applyFill="1" applyBorder="1" applyAlignment="1">
      <alignment horizontal="center" vertical="center"/>
    </xf>
    <xf numFmtId="41" fontId="49" fillId="34" borderId="14" xfId="628" applyFont="1" applyFill="1" applyBorder="1" applyAlignment="1">
      <alignment horizontal="center" vertical="center"/>
    </xf>
    <xf numFmtId="41" fontId="49" fillId="34" borderId="24" xfId="628" applyFont="1" applyFill="1" applyBorder="1" applyAlignment="1">
      <alignment horizontal="center" vertical="center"/>
    </xf>
    <xf numFmtId="0" fontId="49" fillId="34" borderId="20" xfId="0" applyFont="1" applyFill="1" applyBorder="1" applyAlignment="1">
      <alignment horizontal="center" vertical="center"/>
    </xf>
    <xf numFmtId="0" fontId="47" fillId="34" borderId="22" xfId="0" applyFont="1" applyFill="1" applyBorder="1">
      <alignment vertical="center"/>
    </xf>
    <xf numFmtId="0" fontId="75" fillId="35" borderId="8" xfId="0" applyFont="1" applyFill="1" applyBorder="1" applyAlignment="1">
      <alignment horizontal="center" vertical="center"/>
    </xf>
    <xf numFmtId="41" fontId="47" fillId="0" borderId="8" xfId="0" applyNumberFormat="1" applyFont="1" applyBorder="1">
      <alignment vertical="center"/>
    </xf>
    <xf numFmtId="178" fontId="48" fillId="35" borderId="28" xfId="37" applyNumberFormat="1" applyFont="1" applyFill="1" applyBorder="1" applyAlignment="1">
      <alignment vertical="center" wrapText="1"/>
    </xf>
    <xf numFmtId="38" fontId="76" fillId="40" borderId="8" xfId="0" applyNumberFormat="1" applyFont="1" applyFill="1" applyBorder="1" applyAlignment="1">
      <alignment horizontal="right" vertical="center"/>
    </xf>
    <xf numFmtId="38" fontId="71" fillId="39" borderId="8" xfId="0" applyNumberFormat="1" applyFont="1" applyFill="1" applyBorder="1" applyAlignment="1">
      <alignment horizontal="right" vertical="center"/>
    </xf>
    <xf numFmtId="38" fontId="24" fillId="0" borderId="53" xfId="245" applyNumberFormat="1" applyFont="1" applyFill="1" applyBorder="1">
      <alignment vertical="center"/>
    </xf>
    <xf numFmtId="38" fontId="24" fillId="39" borderId="54" xfId="245" applyNumberFormat="1" applyFont="1" applyFill="1" applyBorder="1">
      <alignment vertical="center"/>
    </xf>
    <xf numFmtId="0" fontId="49" fillId="0" borderId="0" xfId="0" applyFont="1">
      <alignment vertical="center"/>
    </xf>
    <xf numFmtId="180" fontId="77" fillId="0" borderId="55" xfId="0" applyNumberFormat="1" applyFont="1" applyBorder="1">
      <alignment vertical="center"/>
    </xf>
    <xf numFmtId="0" fontId="52" fillId="38" borderId="8" xfId="0" applyFont="1" applyFill="1" applyBorder="1" applyAlignment="1">
      <alignment horizontal="right" vertical="center" wrapText="1"/>
    </xf>
    <xf numFmtId="0" fontId="43" fillId="0" borderId="0" xfId="832">
      <alignment vertical="center"/>
    </xf>
    <xf numFmtId="43" fontId="78" fillId="41" borderId="8" xfId="37" applyNumberFormat="1" applyFont="1" applyFill="1" applyBorder="1" applyAlignment="1">
      <alignment horizontal="center" vertical="center"/>
    </xf>
    <xf numFmtId="176" fontId="79" fillId="0" borderId="56" xfId="0" applyNumberFormat="1" applyFont="1" applyBorder="1" applyAlignment="1">
      <alignment horizontal="center" vertical="center"/>
    </xf>
    <xf numFmtId="180" fontId="73" fillId="39" borderId="8" xfId="0" applyNumberFormat="1" applyFont="1" applyFill="1" applyBorder="1">
      <alignment vertical="center"/>
    </xf>
    <xf numFmtId="38" fontId="73" fillId="39" borderId="8" xfId="0" applyNumberFormat="1" applyFont="1" applyFill="1" applyBorder="1">
      <alignment vertical="center"/>
    </xf>
    <xf numFmtId="0" fontId="49" fillId="0" borderId="0" xfId="0" applyFont="1" applyFill="1" applyBorder="1" applyAlignment="1">
      <alignment horizontal="center" vertical="center"/>
    </xf>
    <xf numFmtId="177" fontId="70" fillId="34" borderId="8" xfId="245" applyNumberFormat="1" applyFont="1" applyFill="1" applyBorder="1" applyAlignment="1">
      <alignment vertical="center"/>
    </xf>
    <xf numFmtId="41" fontId="48" fillId="34" borderId="8" xfId="37" applyFont="1" applyFill="1" applyBorder="1">
      <alignment vertical="center"/>
    </xf>
    <xf numFmtId="41" fontId="48" fillId="34" borderId="49" xfId="628" applyFont="1" applyFill="1" applyBorder="1">
      <alignment vertical="center"/>
    </xf>
    <xf numFmtId="41" fontId="48" fillId="34" borderId="8" xfId="37" applyFont="1" applyFill="1" applyBorder="1" applyAlignment="1">
      <alignment vertical="center" wrapText="1"/>
    </xf>
    <xf numFmtId="41" fontId="70" fillId="34" borderId="8" xfId="245" applyFont="1" applyFill="1" applyBorder="1" applyAlignment="1">
      <alignment vertical="center"/>
    </xf>
    <xf numFmtId="0" fontId="35" fillId="0" borderId="0" xfId="0" applyFont="1">
      <alignment vertical="center"/>
    </xf>
    <xf numFmtId="0" fontId="49" fillId="42" borderId="25" xfId="0" applyFont="1" applyFill="1" applyBorder="1" applyAlignment="1">
      <alignment horizontal="center" vertical="center"/>
    </xf>
    <xf numFmtId="0" fontId="49" fillId="42" borderId="8" xfId="0" applyFont="1" applyFill="1" applyBorder="1" applyAlignment="1">
      <alignment horizontal="center" vertical="center"/>
    </xf>
    <xf numFmtId="180" fontId="73" fillId="39" borderId="52" xfId="0" applyNumberFormat="1" applyFont="1" applyFill="1" applyBorder="1">
      <alignment vertical="center"/>
    </xf>
    <xf numFmtId="4" fontId="80" fillId="0" borderId="0" xfId="0" applyNumberFormat="1" applyFont="1">
      <alignment vertical="center"/>
    </xf>
    <xf numFmtId="42" fontId="0" fillId="0" borderId="8" xfId="0" applyNumberFormat="1" applyBorder="1">
      <alignment vertical="center"/>
    </xf>
    <xf numFmtId="42" fontId="35" fillId="0" borderId="8" xfId="0" applyNumberFormat="1" applyFont="1" applyBorder="1">
      <alignment vertical="center"/>
    </xf>
    <xf numFmtId="42" fontId="70" fillId="0" borderId="8" xfId="37" applyNumberFormat="1" applyFont="1" applyBorder="1">
      <alignment vertical="center"/>
    </xf>
    <xf numFmtId="42" fontId="49" fillId="34" borderId="21" xfId="628" applyNumberFormat="1" applyFont="1" applyFill="1" applyBorder="1">
      <alignment vertical="center"/>
    </xf>
    <xf numFmtId="180" fontId="77" fillId="0" borderId="55" xfId="0" applyNumberFormat="1" applyFont="1" applyBorder="1">
      <alignment vertical="center"/>
    </xf>
    <xf numFmtId="0" fontId="52" fillId="0" borderId="57" xfId="0" applyFont="1" applyBorder="1" applyAlignment="1">
      <alignment horizontal="right" vertical="center" wrapText="1"/>
    </xf>
    <xf numFmtId="0" fontId="35" fillId="0" borderId="8" xfId="0" applyFont="1" applyBorder="1">
      <alignment vertical="center"/>
    </xf>
    <xf numFmtId="41" fontId="49" fillId="35" borderId="8" xfId="37" applyFont="1" applyFill="1" applyBorder="1" applyAlignment="1">
      <alignment vertical="center"/>
    </xf>
    <xf numFmtId="41" fontId="49" fillId="35" borderId="8" xfId="37" applyFont="1" applyFill="1" applyBorder="1" applyAlignment="1">
      <alignment horizontal="center" vertical="center"/>
    </xf>
    <xf numFmtId="41" fontId="73" fillId="39" borderId="8" xfId="245" applyFont="1" applyFill="1" applyBorder="1">
      <alignment vertical="center"/>
    </xf>
    <xf numFmtId="0" fontId="49" fillId="36" borderId="8" xfId="0" applyFont="1" applyFill="1" applyBorder="1" applyAlignment="1">
      <alignment horizontal="center" vertical="center"/>
    </xf>
    <xf numFmtId="41" fontId="49" fillId="36" borderId="8" xfId="37" applyFont="1" applyFill="1" applyBorder="1">
      <alignment vertical="center"/>
    </xf>
    <xf numFmtId="0" fontId="54" fillId="35" borderId="29" xfId="0" applyFont="1" applyFill="1" applyBorder="1" applyAlignment="1">
      <alignment horizontal="center" vertical="center"/>
    </xf>
    <xf numFmtId="41" fontId="48" fillId="35" borderId="58" xfId="628" applyFont="1" applyFill="1" applyBorder="1" applyAlignment="1">
      <alignment horizontal="right" vertical="center"/>
    </xf>
    <xf numFmtId="0" fontId="54" fillId="35" borderId="6" xfId="0" quotePrefix="1" applyFont="1" applyFill="1" applyBorder="1" applyAlignment="1">
      <alignment horizontal="center" vertical="center"/>
    </xf>
    <xf numFmtId="0" fontId="54" fillId="35" borderId="35" xfId="0" applyFont="1" applyFill="1" applyBorder="1" applyAlignment="1">
      <alignment horizontal="center" vertical="center"/>
    </xf>
    <xf numFmtId="41" fontId="48" fillId="35" borderId="36" xfId="628" applyFont="1" applyFill="1" applyBorder="1" applyAlignment="1">
      <alignment horizontal="right" vertical="center"/>
    </xf>
    <xf numFmtId="0" fontId="46" fillId="0" borderId="8" xfId="842" applyBorder="1" applyAlignment="1">
      <alignment horizontal="center" vertical="center"/>
    </xf>
    <xf numFmtId="0" fontId="46" fillId="0" borderId="16" xfId="842" applyBorder="1" applyAlignment="1">
      <alignment horizontal="center" vertical="center"/>
    </xf>
    <xf numFmtId="0" fontId="46" fillId="0" borderId="18" xfId="842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4" fillId="34" borderId="2" xfId="0" applyFont="1" applyFill="1" applyBorder="1" applyAlignment="1">
      <alignment horizontal="center" vertical="center"/>
    </xf>
    <xf numFmtId="0" fontId="0" fillId="34" borderId="4" xfId="0" applyFill="1" applyBorder="1" applyAlignment="1">
      <alignment horizontal="center" vertical="center"/>
    </xf>
    <xf numFmtId="0" fontId="49" fillId="0" borderId="32" xfId="0" applyFont="1" applyBorder="1" applyAlignment="1">
      <alignment horizontal="center" vertical="center"/>
    </xf>
    <xf numFmtId="0" fontId="49" fillId="0" borderId="33" xfId="0" applyFont="1" applyBorder="1" applyAlignment="1">
      <alignment horizontal="center" vertical="center"/>
    </xf>
    <xf numFmtId="0" fontId="49" fillId="0" borderId="34" xfId="0" applyFont="1" applyBorder="1" applyAlignment="1">
      <alignment horizontal="center" vertical="center"/>
    </xf>
    <xf numFmtId="0" fontId="49" fillId="0" borderId="29" xfId="0" applyFont="1" applyBorder="1" applyAlignment="1">
      <alignment horizontal="center" vertical="center"/>
    </xf>
    <xf numFmtId="0" fontId="49" fillId="0" borderId="35" xfId="0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 wrapText="1"/>
    </xf>
    <xf numFmtId="0" fontId="49" fillId="0" borderId="35" xfId="0" applyFont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7" fillId="0" borderId="24" xfId="0" applyFont="1" applyBorder="1" applyAlignment="1">
      <alignment horizontal="center" vertical="center"/>
    </xf>
    <xf numFmtId="0" fontId="47" fillId="0" borderId="36" xfId="0" applyFont="1" applyBorder="1" applyAlignment="1">
      <alignment horizontal="center" vertical="center"/>
    </xf>
    <xf numFmtId="0" fontId="47" fillId="0" borderId="22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49" fillId="0" borderId="37" xfId="0" applyFont="1" applyBorder="1" applyAlignment="1">
      <alignment horizontal="center" vertical="center" wrapText="1"/>
    </xf>
    <xf numFmtId="0" fontId="49" fillId="0" borderId="38" xfId="0" applyFont="1" applyBorder="1" applyAlignment="1">
      <alignment horizontal="center" vertical="center" wrapText="1"/>
    </xf>
    <xf numFmtId="0" fontId="49" fillId="0" borderId="29" xfId="0" applyFont="1" applyBorder="1" applyAlignment="1">
      <alignment horizontal="center" vertical="center" wrapText="1"/>
    </xf>
    <xf numFmtId="0" fontId="49" fillId="0" borderId="39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6" xfId="0" applyFont="1" applyBorder="1" applyAlignment="1">
      <alignment horizontal="center" vertical="center" wrapText="1"/>
    </xf>
    <xf numFmtId="41" fontId="48" fillId="0" borderId="0" xfId="37" applyFont="1">
      <alignment vertical="center"/>
    </xf>
    <xf numFmtId="185" fontId="48" fillId="0" borderId="0" xfId="37" applyNumberFormat="1" applyFont="1">
      <alignment vertical="center"/>
    </xf>
    <xf numFmtId="185" fontId="0" fillId="0" borderId="0" xfId="0" applyNumberFormat="1">
      <alignment vertical="center"/>
    </xf>
    <xf numFmtId="41" fontId="0" fillId="0" borderId="8" xfId="37" applyFont="1" applyBorder="1">
      <alignment vertical="center"/>
    </xf>
    <xf numFmtId="41" fontId="35" fillId="0" borderId="8" xfId="37" applyFont="1" applyBorder="1">
      <alignment vertical="center"/>
    </xf>
    <xf numFmtId="41" fontId="70" fillId="0" borderId="8" xfId="37" applyFont="1" applyBorder="1">
      <alignment vertical="center"/>
    </xf>
  </cellXfs>
  <cellStyles count="8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나쁨 2" xfId="28"/>
    <cellStyle name="나쁨 3" xfId="29"/>
    <cellStyle name="메모" xfId="30" builtinId="10" customBuiltin="1"/>
    <cellStyle name="백분율" xfId="31" builtinId="5"/>
    <cellStyle name="백분율 2" xfId="32"/>
    <cellStyle name="백분율 2 2" xfId="33"/>
    <cellStyle name="보통" xfId="34" builtinId="28" customBuiltin="1"/>
    <cellStyle name="설명 텍스트" xfId="35" builtinId="53" customBuiltin="1"/>
    <cellStyle name="셀 확인" xfId="36" builtinId="23" customBuiltin="1"/>
    <cellStyle name="쉼표 [0]" xfId="37" builtinId="6"/>
    <cellStyle name="쉼표 [0] 10" xfId="38"/>
    <cellStyle name="쉼표 [0] 10 2" xfId="39"/>
    <cellStyle name="쉼표 [0] 11" xfId="40"/>
    <cellStyle name="쉼표 [0] 11 2" xfId="41"/>
    <cellStyle name="쉼표 [0] 12" xfId="42"/>
    <cellStyle name="쉼표 [0] 13" xfId="43"/>
    <cellStyle name="쉼표 [0] 14" xfId="44"/>
    <cellStyle name="쉼표 [0] 2" xfId="45"/>
    <cellStyle name="쉼표 [0] 2 10" xfId="46"/>
    <cellStyle name="쉼표 [0] 2 11" xfId="47"/>
    <cellStyle name="쉼표 [0] 2 12" xfId="48"/>
    <cellStyle name="쉼표 [0] 2 18" xfId="49"/>
    <cellStyle name="쉼표 [0] 2 19" xfId="50"/>
    <cellStyle name="쉼표 [0] 2 2" xfId="51"/>
    <cellStyle name="쉼표 [0] 2 2 2" xfId="52"/>
    <cellStyle name="쉼표 [0] 2 2 2 2" xfId="53"/>
    <cellStyle name="쉼표 [0] 2 2 2 2 2" xfId="54"/>
    <cellStyle name="쉼표 [0] 2 2 2 2 2 2" xfId="55"/>
    <cellStyle name="쉼표 [0] 2 2 2 2 2 2 2" xfId="56"/>
    <cellStyle name="쉼표 [0] 2 2 2 2 2 2 2 2" xfId="57"/>
    <cellStyle name="쉼표 [0] 2 2 2 2 2 2 2 2 2" xfId="58"/>
    <cellStyle name="쉼표 [0] 2 2 2 2 2 2 2 3" xfId="59"/>
    <cellStyle name="쉼표 [0] 2 2 2 2 2 2 2 3 2" xfId="60"/>
    <cellStyle name="쉼표 [0] 2 2 2 2 2 2 2 4" xfId="61"/>
    <cellStyle name="쉼표 [0] 2 2 2 2 2 2 3" xfId="62"/>
    <cellStyle name="쉼표 [0] 2 2 2 2 2 2 3 2" xfId="63"/>
    <cellStyle name="쉼표 [0] 2 2 2 2 2 2 4" xfId="64"/>
    <cellStyle name="쉼표 [0] 2 2 2 2 2 2 4 2" xfId="65"/>
    <cellStyle name="쉼표 [0] 2 2 2 2 2 2 5" xfId="66"/>
    <cellStyle name="쉼표 [0] 2 2 2 2 2 3" xfId="67"/>
    <cellStyle name="쉼표 [0] 2 2 2 2 2 3 2" xfId="68"/>
    <cellStyle name="쉼표 [0] 2 2 2 2 2 3 2 2" xfId="69"/>
    <cellStyle name="쉼표 [0] 2 2 2 2 2 3 3" xfId="70"/>
    <cellStyle name="쉼표 [0] 2 2 2 2 2 3 3 2" xfId="71"/>
    <cellStyle name="쉼표 [0] 2 2 2 2 2 3 4" xfId="72"/>
    <cellStyle name="쉼표 [0] 2 2 2 2 2 4" xfId="73"/>
    <cellStyle name="쉼표 [0] 2 2 2 2 2 4 2" xfId="74"/>
    <cellStyle name="쉼표 [0] 2 2 2 2 2 5" xfId="75"/>
    <cellStyle name="쉼표 [0] 2 2 2 2 2 5 2" xfId="76"/>
    <cellStyle name="쉼표 [0] 2 2 2 2 2 6" xfId="77"/>
    <cellStyle name="쉼표 [0] 2 2 2 2 3" xfId="78"/>
    <cellStyle name="쉼표 [0] 2 2 2 2 3 2" xfId="79"/>
    <cellStyle name="쉼표 [0] 2 2 2 2 3 2 2" xfId="80"/>
    <cellStyle name="쉼표 [0] 2 2 2 2 3 2 2 2" xfId="81"/>
    <cellStyle name="쉼표 [0] 2 2 2 2 3 2 3" xfId="82"/>
    <cellStyle name="쉼표 [0] 2 2 2 2 3 2 3 2" xfId="83"/>
    <cellStyle name="쉼표 [0] 2 2 2 2 3 2 4" xfId="84"/>
    <cellStyle name="쉼표 [0] 2 2 2 2 3 3" xfId="85"/>
    <cellStyle name="쉼표 [0] 2 2 2 2 3 3 2" xfId="86"/>
    <cellStyle name="쉼표 [0] 2 2 2 2 3 4" xfId="87"/>
    <cellStyle name="쉼표 [0] 2 2 2 2 3 4 2" xfId="88"/>
    <cellStyle name="쉼표 [0] 2 2 2 2 3 5" xfId="89"/>
    <cellStyle name="쉼표 [0] 2 2 2 2 4" xfId="90"/>
    <cellStyle name="쉼표 [0] 2 2 2 2 4 2" xfId="91"/>
    <cellStyle name="쉼표 [0] 2 2 2 2 4 2 2" xfId="92"/>
    <cellStyle name="쉼표 [0] 2 2 2 2 4 3" xfId="93"/>
    <cellStyle name="쉼표 [0] 2 2 2 2 4 3 2" xfId="94"/>
    <cellStyle name="쉼표 [0] 2 2 2 2 4 4" xfId="95"/>
    <cellStyle name="쉼표 [0] 2 2 2 2 5" xfId="96"/>
    <cellStyle name="쉼표 [0] 2 2 2 2 5 2" xfId="97"/>
    <cellStyle name="쉼표 [0] 2 2 2 2 6" xfId="98"/>
    <cellStyle name="쉼표 [0] 2 2 2 2 6 2" xfId="99"/>
    <cellStyle name="쉼표 [0] 2 2 2 2 7" xfId="100"/>
    <cellStyle name="쉼표 [0] 2 2 2 3" xfId="101"/>
    <cellStyle name="쉼표 [0] 2 2 2 3 2" xfId="102"/>
    <cellStyle name="쉼표 [0] 2 2 2 3 2 2" xfId="103"/>
    <cellStyle name="쉼표 [0] 2 2 2 3 2 2 2" xfId="104"/>
    <cellStyle name="쉼표 [0] 2 2 2 3 2 2 2 2" xfId="105"/>
    <cellStyle name="쉼표 [0] 2 2 2 3 2 2 3" xfId="106"/>
    <cellStyle name="쉼표 [0] 2 2 2 3 2 2 3 2" xfId="107"/>
    <cellStyle name="쉼표 [0] 2 2 2 3 2 2 4" xfId="108"/>
    <cellStyle name="쉼표 [0] 2 2 2 3 2 3" xfId="109"/>
    <cellStyle name="쉼표 [0] 2 2 2 3 2 3 2" xfId="110"/>
    <cellStyle name="쉼표 [0] 2 2 2 3 2 4" xfId="111"/>
    <cellStyle name="쉼표 [0] 2 2 2 3 2 4 2" xfId="112"/>
    <cellStyle name="쉼표 [0] 2 2 2 3 2 5" xfId="113"/>
    <cellStyle name="쉼표 [0] 2 2 2 3 3" xfId="114"/>
    <cellStyle name="쉼표 [0] 2 2 2 3 3 2" xfId="115"/>
    <cellStyle name="쉼표 [0] 2 2 2 3 3 2 2" xfId="116"/>
    <cellStyle name="쉼표 [0] 2 2 2 3 3 3" xfId="117"/>
    <cellStyle name="쉼표 [0] 2 2 2 3 3 3 2" xfId="118"/>
    <cellStyle name="쉼표 [0] 2 2 2 3 3 4" xfId="119"/>
    <cellStyle name="쉼표 [0] 2 2 2 3 4" xfId="120"/>
    <cellStyle name="쉼표 [0] 2 2 2 3 4 2" xfId="121"/>
    <cellStyle name="쉼표 [0] 2 2 2 3 5" xfId="122"/>
    <cellStyle name="쉼표 [0] 2 2 2 3 5 2" xfId="123"/>
    <cellStyle name="쉼표 [0] 2 2 2 3 6" xfId="124"/>
    <cellStyle name="쉼표 [0] 2 2 2 4" xfId="125"/>
    <cellStyle name="쉼표 [0] 2 2 2 4 2" xfId="126"/>
    <cellStyle name="쉼표 [0] 2 2 2 4 2 2" xfId="127"/>
    <cellStyle name="쉼표 [0] 2 2 2 4 2 2 2" xfId="128"/>
    <cellStyle name="쉼표 [0] 2 2 2 4 2 3" xfId="129"/>
    <cellStyle name="쉼표 [0] 2 2 2 4 2 3 2" xfId="130"/>
    <cellStyle name="쉼표 [0] 2 2 2 4 2 4" xfId="131"/>
    <cellStyle name="쉼표 [0] 2 2 2 4 3" xfId="132"/>
    <cellStyle name="쉼표 [0] 2 2 2 4 3 2" xfId="133"/>
    <cellStyle name="쉼표 [0] 2 2 2 4 4" xfId="134"/>
    <cellStyle name="쉼표 [0] 2 2 2 4 4 2" xfId="135"/>
    <cellStyle name="쉼표 [0] 2 2 2 4 5" xfId="136"/>
    <cellStyle name="쉼표 [0] 2 2 2 5" xfId="137"/>
    <cellStyle name="쉼표 [0] 2 2 2 5 2" xfId="138"/>
    <cellStyle name="쉼표 [0] 2 2 2 5 2 2" xfId="139"/>
    <cellStyle name="쉼표 [0] 2 2 2 5 3" xfId="140"/>
    <cellStyle name="쉼표 [0] 2 2 2 5 3 2" xfId="141"/>
    <cellStyle name="쉼표 [0] 2 2 2 5 4" xfId="142"/>
    <cellStyle name="쉼표 [0] 2 2 2 6" xfId="143"/>
    <cellStyle name="쉼표 [0] 2 2 2 6 2" xfId="144"/>
    <cellStyle name="쉼표 [0] 2 2 2 7" xfId="145"/>
    <cellStyle name="쉼표 [0] 2 2 2 7 2" xfId="146"/>
    <cellStyle name="쉼표 [0] 2 2 2 8" xfId="147"/>
    <cellStyle name="쉼표 [0] 2 2 3" xfId="148"/>
    <cellStyle name="쉼표 [0] 2 2 3 2" xfId="149"/>
    <cellStyle name="쉼표 [0] 2 2 3 2 2" xfId="150"/>
    <cellStyle name="쉼표 [0] 2 2 3 2 2 2" xfId="151"/>
    <cellStyle name="쉼표 [0] 2 2 3 2 2 2 2" xfId="152"/>
    <cellStyle name="쉼표 [0] 2 2 3 2 2 2 2 2" xfId="153"/>
    <cellStyle name="쉼표 [0] 2 2 3 2 2 2 3" xfId="154"/>
    <cellStyle name="쉼표 [0] 2 2 3 2 2 2 3 2" xfId="155"/>
    <cellStyle name="쉼표 [0] 2 2 3 2 2 2 4" xfId="156"/>
    <cellStyle name="쉼표 [0] 2 2 3 2 2 3" xfId="157"/>
    <cellStyle name="쉼표 [0] 2 2 3 2 2 3 2" xfId="158"/>
    <cellStyle name="쉼표 [0] 2 2 3 2 2 4" xfId="159"/>
    <cellStyle name="쉼표 [0] 2 2 3 2 2 4 2" xfId="160"/>
    <cellStyle name="쉼표 [0] 2 2 3 2 2 5" xfId="161"/>
    <cellStyle name="쉼표 [0] 2 2 3 2 3" xfId="162"/>
    <cellStyle name="쉼표 [0] 2 2 3 2 3 2" xfId="163"/>
    <cellStyle name="쉼표 [0] 2 2 3 2 3 2 2" xfId="164"/>
    <cellStyle name="쉼표 [0] 2 2 3 2 3 3" xfId="165"/>
    <cellStyle name="쉼표 [0] 2 2 3 2 3 3 2" xfId="166"/>
    <cellStyle name="쉼표 [0] 2 2 3 2 3 4" xfId="167"/>
    <cellStyle name="쉼표 [0] 2 2 3 2 4" xfId="168"/>
    <cellStyle name="쉼표 [0] 2 2 3 2 4 2" xfId="169"/>
    <cellStyle name="쉼표 [0] 2 2 3 2 5" xfId="170"/>
    <cellStyle name="쉼표 [0] 2 2 3 2 5 2" xfId="171"/>
    <cellStyle name="쉼표 [0] 2 2 3 2 6" xfId="172"/>
    <cellStyle name="쉼표 [0] 2 2 3 3" xfId="173"/>
    <cellStyle name="쉼표 [0] 2 2 3 3 2" xfId="174"/>
    <cellStyle name="쉼표 [0] 2 2 3 3 2 2" xfId="175"/>
    <cellStyle name="쉼표 [0] 2 2 3 3 2 2 2" xfId="176"/>
    <cellStyle name="쉼표 [0] 2 2 3 3 2 3" xfId="177"/>
    <cellStyle name="쉼표 [0] 2 2 3 3 2 3 2" xfId="178"/>
    <cellStyle name="쉼표 [0] 2 2 3 3 2 4" xfId="179"/>
    <cellStyle name="쉼표 [0] 2 2 3 3 3" xfId="180"/>
    <cellStyle name="쉼표 [0] 2 2 3 3 3 2" xfId="181"/>
    <cellStyle name="쉼표 [0] 2 2 3 3 4" xfId="182"/>
    <cellStyle name="쉼표 [0] 2 2 3 3 4 2" xfId="183"/>
    <cellStyle name="쉼표 [0] 2 2 3 3 5" xfId="184"/>
    <cellStyle name="쉼표 [0] 2 2 3 4" xfId="185"/>
    <cellStyle name="쉼표 [0] 2 2 3 4 2" xfId="186"/>
    <cellStyle name="쉼표 [0] 2 2 3 4 2 2" xfId="187"/>
    <cellStyle name="쉼표 [0] 2 2 3 4 3" xfId="188"/>
    <cellStyle name="쉼표 [0] 2 2 3 4 3 2" xfId="189"/>
    <cellStyle name="쉼표 [0] 2 2 3 4 4" xfId="190"/>
    <cellStyle name="쉼표 [0] 2 2 3 5" xfId="191"/>
    <cellStyle name="쉼표 [0] 2 2 3 5 2" xfId="192"/>
    <cellStyle name="쉼표 [0] 2 2 3 6" xfId="193"/>
    <cellStyle name="쉼표 [0] 2 2 3 6 2" xfId="194"/>
    <cellStyle name="쉼표 [0] 2 2 3 7" xfId="195"/>
    <cellStyle name="쉼표 [0] 2 2 4" xfId="196"/>
    <cellStyle name="쉼표 [0] 2 2 4 2" xfId="197"/>
    <cellStyle name="쉼표 [0] 2 2 4 2 2" xfId="198"/>
    <cellStyle name="쉼표 [0] 2 2 4 2 2 2" xfId="199"/>
    <cellStyle name="쉼표 [0] 2 2 4 2 2 2 2" xfId="200"/>
    <cellStyle name="쉼표 [0] 2 2 4 2 2 3" xfId="201"/>
    <cellStyle name="쉼표 [0] 2 2 4 2 2 3 2" xfId="202"/>
    <cellStyle name="쉼표 [0] 2 2 4 2 2 4" xfId="203"/>
    <cellStyle name="쉼표 [0] 2 2 4 2 3" xfId="204"/>
    <cellStyle name="쉼표 [0] 2 2 4 2 3 2" xfId="205"/>
    <cellStyle name="쉼표 [0] 2 2 4 2 4" xfId="206"/>
    <cellStyle name="쉼표 [0] 2 2 4 2 4 2" xfId="207"/>
    <cellStyle name="쉼표 [0] 2 2 4 2 5" xfId="208"/>
    <cellStyle name="쉼표 [0] 2 2 4 3" xfId="209"/>
    <cellStyle name="쉼표 [0] 2 2 4 3 2" xfId="210"/>
    <cellStyle name="쉼표 [0] 2 2 4 3 2 2" xfId="211"/>
    <cellStyle name="쉼표 [0] 2 2 4 3 3" xfId="212"/>
    <cellStyle name="쉼표 [0] 2 2 4 3 3 2" xfId="213"/>
    <cellStyle name="쉼표 [0] 2 2 4 3 4" xfId="214"/>
    <cellStyle name="쉼표 [0] 2 2 4 4" xfId="215"/>
    <cellStyle name="쉼표 [0] 2 2 4 4 2" xfId="216"/>
    <cellStyle name="쉼표 [0] 2 2 4 5" xfId="217"/>
    <cellStyle name="쉼표 [0] 2 2 4 5 2" xfId="218"/>
    <cellStyle name="쉼표 [0] 2 2 4 6" xfId="219"/>
    <cellStyle name="쉼표 [0] 2 2 5" xfId="220"/>
    <cellStyle name="쉼표 [0] 2 2 5 2" xfId="221"/>
    <cellStyle name="쉼표 [0] 2 2 5 2 2" xfId="222"/>
    <cellStyle name="쉼표 [0] 2 2 5 2 2 2" xfId="223"/>
    <cellStyle name="쉼표 [0] 2 2 5 2 3" xfId="224"/>
    <cellStyle name="쉼표 [0] 2 2 5 2 3 2" xfId="225"/>
    <cellStyle name="쉼표 [0] 2 2 5 2 4" xfId="226"/>
    <cellStyle name="쉼표 [0] 2 2 5 3" xfId="227"/>
    <cellStyle name="쉼표 [0] 2 2 5 3 2" xfId="228"/>
    <cellStyle name="쉼표 [0] 2 2 5 4" xfId="229"/>
    <cellStyle name="쉼표 [0] 2 2 5 4 2" xfId="230"/>
    <cellStyle name="쉼표 [0] 2 2 5 5" xfId="231"/>
    <cellStyle name="쉼표 [0] 2 2 6" xfId="232"/>
    <cellStyle name="쉼표 [0] 2 2 6 2" xfId="233"/>
    <cellStyle name="쉼표 [0] 2 2 6 2 2" xfId="234"/>
    <cellStyle name="쉼표 [0] 2 2 6 3" xfId="235"/>
    <cellStyle name="쉼표 [0] 2 2 6 3 2" xfId="236"/>
    <cellStyle name="쉼표 [0] 2 2 6 4" xfId="237"/>
    <cellStyle name="쉼표 [0] 2 2 7" xfId="238"/>
    <cellStyle name="쉼표 [0] 2 2 7 2" xfId="239"/>
    <cellStyle name="쉼표 [0] 2 2 8" xfId="240"/>
    <cellStyle name="쉼표 [0] 2 2 8 2" xfId="241"/>
    <cellStyle name="쉼표 [0] 2 2 9" xfId="242"/>
    <cellStyle name="쉼표 [0] 2 21" xfId="243"/>
    <cellStyle name="쉼표 [0] 2 23" xfId="244"/>
    <cellStyle name="쉼표 [0] 2 24" xfId="245"/>
    <cellStyle name="쉼표 [0] 2 3" xfId="246"/>
    <cellStyle name="쉼표 [0] 2 3 2" xfId="247"/>
    <cellStyle name="쉼표 [0] 2 3 2 2" xfId="248"/>
    <cellStyle name="쉼표 [0] 2 3 2 2 2" xfId="249"/>
    <cellStyle name="쉼표 [0] 2 3 2 2 2 2" xfId="250"/>
    <cellStyle name="쉼표 [0] 2 3 2 2 2 2 2" xfId="251"/>
    <cellStyle name="쉼표 [0] 2 3 2 2 2 2 2 2" xfId="252"/>
    <cellStyle name="쉼표 [0] 2 3 2 2 2 2 3" xfId="253"/>
    <cellStyle name="쉼표 [0] 2 3 2 2 2 2 3 2" xfId="254"/>
    <cellStyle name="쉼표 [0] 2 3 2 2 2 2 4" xfId="255"/>
    <cellStyle name="쉼표 [0] 2 3 2 2 2 3" xfId="256"/>
    <cellStyle name="쉼표 [0] 2 3 2 2 2 3 2" xfId="257"/>
    <cellStyle name="쉼표 [0] 2 3 2 2 2 4" xfId="258"/>
    <cellStyle name="쉼표 [0] 2 3 2 2 2 4 2" xfId="259"/>
    <cellStyle name="쉼표 [0] 2 3 2 2 2 5" xfId="260"/>
    <cellStyle name="쉼표 [0] 2 3 2 2 3" xfId="261"/>
    <cellStyle name="쉼표 [0] 2 3 2 2 3 2" xfId="262"/>
    <cellStyle name="쉼표 [0] 2 3 2 2 3 2 2" xfId="263"/>
    <cellStyle name="쉼표 [0] 2 3 2 2 3 3" xfId="264"/>
    <cellStyle name="쉼표 [0] 2 3 2 2 3 3 2" xfId="265"/>
    <cellStyle name="쉼표 [0] 2 3 2 2 3 4" xfId="266"/>
    <cellStyle name="쉼표 [0] 2 3 2 2 4" xfId="267"/>
    <cellStyle name="쉼표 [0] 2 3 2 2 4 2" xfId="268"/>
    <cellStyle name="쉼표 [0] 2 3 2 2 5" xfId="269"/>
    <cellStyle name="쉼표 [0] 2 3 2 2 5 2" xfId="270"/>
    <cellStyle name="쉼표 [0] 2 3 2 2 6" xfId="271"/>
    <cellStyle name="쉼표 [0] 2 3 2 3" xfId="272"/>
    <cellStyle name="쉼표 [0] 2 3 2 3 2" xfId="273"/>
    <cellStyle name="쉼표 [0] 2 3 2 3 2 2" xfId="274"/>
    <cellStyle name="쉼표 [0] 2 3 2 3 2 2 2" xfId="275"/>
    <cellStyle name="쉼표 [0] 2 3 2 3 2 3" xfId="276"/>
    <cellStyle name="쉼표 [0] 2 3 2 3 2 3 2" xfId="277"/>
    <cellStyle name="쉼표 [0] 2 3 2 3 2 4" xfId="278"/>
    <cellStyle name="쉼표 [0] 2 3 2 3 3" xfId="279"/>
    <cellStyle name="쉼표 [0] 2 3 2 3 3 2" xfId="280"/>
    <cellStyle name="쉼표 [0] 2 3 2 3 4" xfId="281"/>
    <cellStyle name="쉼표 [0] 2 3 2 3 4 2" xfId="282"/>
    <cellStyle name="쉼표 [0] 2 3 2 3 5" xfId="283"/>
    <cellStyle name="쉼표 [0] 2 3 2 4" xfId="284"/>
    <cellStyle name="쉼표 [0] 2 3 2 4 2" xfId="285"/>
    <cellStyle name="쉼표 [0] 2 3 2 4 2 2" xfId="286"/>
    <cellStyle name="쉼표 [0] 2 3 2 4 3" xfId="287"/>
    <cellStyle name="쉼표 [0] 2 3 2 4 3 2" xfId="288"/>
    <cellStyle name="쉼표 [0] 2 3 2 4 4" xfId="289"/>
    <cellStyle name="쉼표 [0] 2 3 2 5" xfId="290"/>
    <cellStyle name="쉼표 [0] 2 3 2 5 2" xfId="291"/>
    <cellStyle name="쉼표 [0] 2 3 2 6" xfId="292"/>
    <cellStyle name="쉼표 [0] 2 3 2 6 2" xfId="293"/>
    <cellStyle name="쉼표 [0] 2 3 2 7" xfId="294"/>
    <cellStyle name="쉼표 [0] 2 3 3" xfId="295"/>
    <cellStyle name="쉼표 [0] 2 3 3 2" xfId="296"/>
    <cellStyle name="쉼표 [0] 2 3 3 2 2" xfId="297"/>
    <cellStyle name="쉼표 [0] 2 3 3 2 2 2" xfId="298"/>
    <cellStyle name="쉼표 [0] 2 3 3 2 2 2 2" xfId="299"/>
    <cellStyle name="쉼표 [0] 2 3 3 2 2 3" xfId="300"/>
    <cellStyle name="쉼표 [0] 2 3 3 2 2 3 2" xfId="301"/>
    <cellStyle name="쉼표 [0] 2 3 3 2 2 4" xfId="302"/>
    <cellStyle name="쉼표 [0] 2 3 3 2 3" xfId="303"/>
    <cellStyle name="쉼표 [0] 2 3 3 2 3 2" xfId="304"/>
    <cellStyle name="쉼표 [0] 2 3 3 2 4" xfId="305"/>
    <cellStyle name="쉼표 [0] 2 3 3 2 4 2" xfId="306"/>
    <cellStyle name="쉼표 [0] 2 3 3 2 5" xfId="307"/>
    <cellStyle name="쉼표 [0] 2 3 3 3" xfId="308"/>
    <cellStyle name="쉼표 [0] 2 3 3 3 2" xfId="309"/>
    <cellStyle name="쉼표 [0] 2 3 3 3 2 2" xfId="310"/>
    <cellStyle name="쉼표 [0] 2 3 3 3 3" xfId="311"/>
    <cellStyle name="쉼표 [0] 2 3 3 3 3 2" xfId="312"/>
    <cellStyle name="쉼표 [0] 2 3 3 3 4" xfId="313"/>
    <cellStyle name="쉼표 [0] 2 3 3 4" xfId="314"/>
    <cellStyle name="쉼표 [0] 2 3 3 4 2" xfId="315"/>
    <cellStyle name="쉼표 [0] 2 3 3 5" xfId="316"/>
    <cellStyle name="쉼표 [0] 2 3 3 5 2" xfId="317"/>
    <cellStyle name="쉼표 [0] 2 3 3 6" xfId="318"/>
    <cellStyle name="쉼표 [0] 2 3 4" xfId="319"/>
    <cellStyle name="쉼표 [0] 2 3 4 2" xfId="320"/>
    <cellStyle name="쉼표 [0] 2 3 4 2 2" xfId="321"/>
    <cellStyle name="쉼표 [0] 2 3 4 2 2 2" xfId="322"/>
    <cellStyle name="쉼표 [0] 2 3 4 2 3" xfId="323"/>
    <cellStyle name="쉼표 [0] 2 3 4 2 3 2" xfId="324"/>
    <cellStyle name="쉼표 [0] 2 3 4 2 4" xfId="325"/>
    <cellStyle name="쉼표 [0] 2 3 4 3" xfId="326"/>
    <cellStyle name="쉼표 [0] 2 3 4 3 2" xfId="327"/>
    <cellStyle name="쉼표 [0] 2 3 4 4" xfId="328"/>
    <cellStyle name="쉼표 [0] 2 3 4 4 2" xfId="329"/>
    <cellStyle name="쉼표 [0] 2 3 4 5" xfId="330"/>
    <cellStyle name="쉼표 [0] 2 3 5" xfId="331"/>
    <cellStyle name="쉼표 [0] 2 3 5 2" xfId="332"/>
    <cellStyle name="쉼표 [0] 2 3 5 2 2" xfId="333"/>
    <cellStyle name="쉼표 [0] 2 3 5 3" xfId="334"/>
    <cellStyle name="쉼표 [0] 2 3 5 3 2" xfId="335"/>
    <cellStyle name="쉼표 [0] 2 3 5 4" xfId="336"/>
    <cellStyle name="쉼표 [0] 2 3 6" xfId="337"/>
    <cellStyle name="쉼표 [0] 2 3 6 2" xfId="338"/>
    <cellStyle name="쉼표 [0] 2 3 7" xfId="339"/>
    <cellStyle name="쉼표 [0] 2 3 7 2" xfId="340"/>
    <cellStyle name="쉼표 [0] 2 3 8" xfId="341"/>
    <cellStyle name="쉼표 [0] 2 4" xfId="342"/>
    <cellStyle name="쉼표 [0] 2 4 2" xfId="343"/>
    <cellStyle name="쉼표 [0] 2 4 2 2" xfId="344"/>
    <cellStyle name="쉼표 [0] 2 4 2 2 2" xfId="345"/>
    <cellStyle name="쉼표 [0] 2 4 2 2 2 2" xfId="346"/>
    <cellStyle name="쉼표 [0] 2 4 2 2 2 2 2" xfId="347"/>
    <cellStyle name="쉼표 [0] 2 4 2 2 2 3" xfId="348"/>
    <cellStyle name="쉼표 [0] 2 4 2 2 2 3 2" xfId="349"/>
    <cellStyle name="쉼표 [0] 2 4 2 2 2 4" xfId="350"/>
    <cellStyle name="쉼표 [0] 2 4 2 2 3" xfId="351"/>
    <cellStyle name="쉼표 [0] 2 4 2 2 3 2" xfId="352"/>
    <cellStyle name="쉼표 [0] 2 4 2 2 4" xfId="353"/>
    <cellStyle name="쉼표 [0] 2 4 2 2 4 2" xfId="354"/>
    <cellStyle name="쉼표 [0] 2 4 2 2 5" xfId="355"/>
    <cellStyle name="쉼표 [0] 2 4 2 3" xfId="356"/>
    <cellStyle name="쉼표 [0] 2 4 2 3 2" xfId="357"/>
    <cellStyle name="쉼표 [0] 2 4 2 3 2 2" xfId="358"/>
    <cellStyle name="쉼표 [0] 2 4 2 3 3" xfId="359"/>
    <cellStyle name="쉼표 [0] 2 4 2 3 3 2" xfId="360"/>
    <cellStyle name="쉼표 [0] 2 4 2 3 4" xfId="361"/>
    <cellStyle name="쉼표 [0] 2 4 2 4" xfId="362"/>
    <cellStyle name="쉼표 [0] 2 4 2 4 2" xfId="363"/>
    <cellStyle name="쉼표 [0] 2 4 2 5" xfId="364"/>
    <cellStyle name="쉼표 [0] 2 4 2 5 2" xfId="365"/>
    <cellStyle name="쉼표 [0] 2 4 2 6" xfId="366"/>
    <cellStyle name="쉼표 [0] 2 4 3" xfId="367"/>
    <cellStyle name="쉼표 [0] 2 4 3 2" xfId="368"/>
    <cellStyle name="쉼표 [0] 2 4 3 2 2" xfId="369"/>
    <cellStyle name="쉼표 [0] 2 4 3 2 2 2" xfId="370"/>
    <cellStyle name="쉼표 [0] 2 4 3 2 3" xfId="371"/>
    <cellStyle name="쉼표 [0] 2 4 3 2 3 2" xfId="372"/>
    <cellStyle name="쉼표 [0] 2 4 3 2 4" xfId="373"/>
    <cellStyle name="쉼표 [0] 2 4 3 3" xfId="374"/>
    <cellStyle name="쉼표 [0] 2 4 3 3 2" xfId="375"/>
    <cellStyle name="쉼표 [0] 2 4 3 4" xfId="376"/>
    <cellStyle name="쉼표 [0] 2 4 3 4 2" xfId="377"/>
    <cellStyle name="쉼표 [0] 2 4 3 5" xfId="378"/>
    <cellStyle name="쉼표 [0] 2 4 4" xfId="379"/>
    <cellStyle name="쉼표 [0] 2 4 4 2" xfId="380"/>
    <cellStyle name="쉼표 [0] 2 4 4 2 2" xfId="381"/>
    <cellStyle name="쉼표 [0] 2 4 4 3" xfId="382"/>
    <cellStyle name="쉼표 [0] 2 4 4 3 2" xfId="383"/>
    <cellStyle name="쉼표 [0] 2 4 4 4" xfId="384"/>
    <cellStyle name="쉼표 [0] 2 4 5" xfId="385"/>
    <cellStyle name="쉼표 [0] 2 4 5 2" xfId="386"/>
    <cellStyle name="쉼표 [0] 2 4 6" xfId="387"/>
    <cellStyle name="쉼표 [0] 2 4 6 2" xfId="388"/>
    <cellStyle name="쉼표 [0] 2 4 7" xfId="389"/>
    <cellStyle name="쉼표 [0] 2 5" xfId="390"/>
    <cellStyle name="쉼표 [0] 2 5 2" xfId="391"/>
    <cellStyle name="쉼표 [0] 2 5 2 2" xfId="392"/>
    <cellStyle name="쉼표 [0] 2 5 2 2 2" xfId="393"/>
    <cellStyle name="쉼표 [0] 2 5 2 2 2 2" xfId="394"/>
    <cellStyle name="쉼표 [0] 2 5 2 2 3" xfId="395"/>
    <cellStyle name="쉼표 [0] 2 5 2 2 3 2" xfId="396"/>
    <cellStyle name="쉼표 [0] 2 5 2 2 4" xfId="397"/>
    <cellStyle name="쉼표 [0] 2 5 2 3" xfId="398"/>
    <cellStyle name="쉼표 [0] 2 5 2 3 2" xfId="399"/>
    <cellStyle name="쉼표 [0] 2 5 2 4" xfId="400"/>
    <cellStyle name="쉼표 [0] 2 5 2 4 2" xfId="401"/>
    <cellStyle name="쉼표 [0] 2 5 2 5" xfId="402"/>
    <cellStyle name="쉼표 [0] 2 5 3" xfId="403"/>
    <cellStyle name="쉼표 [0] 2 5 3 2" xfId="404"/>
    <cellStyle name="쉼표 [0] 2 5 3 2 2" xfId="405"/>
    <cellStyle name="쉼표 [0] 2 5 3 3" xfId="406"/>
    <cellStyle name="쉼표 [0] 2 5 3 3 2" xfId="407"/>
    <cellStyle name="쉼표 [0] 2 5 3 4" xfId="408"/>
    <cellStyle name="쉼표 [0] 2 5 4" xfId="409"/>
    <cellStyle name="쉼표 [0] 2 5 4 2" xfId="410"/>
    <cellStyle name="쉼표 [0] 2 5 5" xfId="411"/>
    <cellStyle name="쉼표 [0] 2 5 5 2" xfId="412"/>
    <cellStyle name="쉼표 [0] 2 5 6" xfId="413"/>
    <cellStyle name="쉼표 [0] 2 6" xfId="414"/>
    <cellStyle name="쉼표 [0] 2 6 2" xfId="415"/>
    <cellStyle name="쉼표 [0] 2 6 2 2" xfId="416"/>
    <cellStyle name="쉼표 [0] 2 6 2 2 2" xfId="417"/>
    <cellStyle name="쉼표 [0] 2 6 2 3" xfId="418"/>
    <cellStyle name="쉼표 [0] 2 6 2 3 2" xfId="419"/>
    <cellStyle name="쉼표 [0] 2 6 2 4" xfId="420"/>
    <cellStyle name="쉼표 [0] 2 6 3" xfId="421"/>
    <cellStyle name="쉼표 [0] 2 6 3 2" xfId="422"/>
    <cellStyle name="쉼표 [0] 2 6 4" xfId="423"/>
    <cellStyle name="쉼표 [0] 2 6 4 2" xfId="424"/>
    <cellStyle name="쉼표 [0] 2 6 5" xfId="425"/>
    <cellStyle name="쉼표 [0] 2 7" xfId="426"/>
    <cellStyle name="쉼표 [0] 2 7 2" xfId="427"/>
    <cellStyle name="쉼표 [0] 2 7 2 2" xfId="428"/>
    <cellStyle name="쉼표 [0] 2 7 3" xfId="429"/>
    <cellStyle name="쉼표 [0] 2 7 3 2" xfId="430"/>
    <cellStyle name="쉼표 [0] 2 7 4" xfId="431"/>
    <cellStyle name="쉼표 [0] 2 8" xfId="432"/>
    <cellStyle name="쉼표 [0] 2 8 2" xfId="433"/>
    <cellStyle name="쉼표 [0] 2 9" xfId="434"/>
    <cellStyle name="쉼표 [0] 2 9 2" xfId="435"/>
    <cellStyle name="쉼표 [0] 3" xfId="436"/>
    <cellStyle name="쉼표 [0] 3 2" xfId="437"/>
    <cellStyle name="쉼표 [0] 3 2 2" xfId="438"/>
    <cellStyle name="쉼표 [0] 3 2 2 2" xfId="439"/>
    <cellStyle name="쉼표 [0] 3 2 2 2 2" xfId="440"/>
    <cellStyle name="쉼표 [0] 3 2 2 2 2 2" xfId="441"/>
    <cellStyle name="쉼표 [0] 3 2 2 2 2 2 2" xfId="442"/>
    <cellStyle name="쉼표 [0] 3 2 2 2 2 2 2 2" xfId="443"/>
    <cellStyle name="쉼표 [0] 3 2 2 2 2 2 3" xfId="444"/>
    <cellStyle name="쉼표 [0] 3 2 2 2 2 2 3 2" xfId="445"/>
    <cellStyle name="쉼표 [0] 3 2 2 2 2 2 4" xfId="446"/>
    <cellStyle name="쉼표 [0] 3 2 2 2 2 3" xfId="447"/>
    <cellStyle name="쉼표 [0] 3 2 2 2 2 3 2" xfId="448"/>
    <cellStyle name="쉼표 [0] 3 2 2 2 2 4" xfId="449"/>
    <cellStyle name="쉼표 [0] 3 2 2 2 2 4 2" xfId="450"/>
    <cellStyle name="쉼표 [0] 3 2 2 2 2 5" xfId="451"/>
    <cellStyle name="쉼표 [0] 3 2 2 2 3" xfId="452"/>
    <cellStyle name="쉼표 [0] 3 2 2 2 3 2" xfId="453"/>
    <cellStyle name="쉼표 [0] 3 2 2 2 3 2 2" xfId="454"/>
    <cellStyle name="쉼표 [0] 3 2 2 2 3 3" xfId="455"/>
    <cellStyle name="쉼표 [0] 3 2 2 2 3 3 2" xfId="456"/>
    <cellStyle name="쉼표 [0] 3 2 2 2 3 4" xfId="457"/>
    <cellStyle name="쉼표 [0] 3 2 2 2 4" xfId="458"/>
    <cellStyle name="쉼표 [0] 3 2 2 2 4 2" xfId="459"/>
    <cellStyle name="쉼표 [0] 3 2 2 2 5" xfId="460"/>
    <cellStyle name="쉼표 [0] 3 2 2 2 5 2" xfId="461"/>
    <cellStyle name="쉼표 [0] 3 2 2 2 6" xfId="462"/>
    <cellStyle name="쉼표 [0] 3 2 2 3" xfId="463"/>
    <cellStyle name="쉼표 [0] 3 2 2 3 2" xfId="464"/>
    <cellStyle name="쉼표 [0] 3 2 2 3 2 2" xfId="465"/>
    <cellStyle name="쉼표 [0] 3 2 2 3 2 2 2" xfId="466"/>
    <cellStyle name="쉼표 [0] 3 2 2 3 2 3" xfId="467"/>
    <cellStyle name="쉼표 [0] 3 2 2 3 2 3 2" xfId="468"/>
    <cellStyle name="쉼표 [0] 3 2 2 3 2 4" xfId="469"/>
    <cellStyle name="쉼표 [0] 3 2 2 3 3" xfId="470"/>
    <cellStyle name="쉼표 [0] 3 2 2 3 3 2" xfId="471"/>
    <cellStyle name="쉼표 [0] 3 2 2 3 4" xfId="472"/>
    <cellStyle name="쉼표 [0] 3 2 2 3 4 2" xfId="473"/>
    <cellStyle name="쉼표 [0] 3 2 2 3 5" xfId="474"/>
    <cellStyle name="쉼표 [0] 3 2 2 4" xfId="475"/>
    <cellStyle name="쉼표 [0] 3 2 2 4 2" xfId="476"/>
    <cellStyle name="쉼표 [0] 3 2 2 4 2 2" xfId="477"/>
    <cellStyle name="쉼표 [0] 3 2 2 4 3" xfId="478"/>
    <cellStyle name="쉼표 [0] 3 2 2 4 3 2" xfId="479"/>
    <cellStyle name="쉼표 [0] 3 2 2 4 4" xfId="480"/>
    <cellStyle name="쉼표 [0] 3 2 2 5" xfId="481"/>
    <cellStyle name="쉼표 [0] 3 2 2 5 2" xfId="482"/>
    <cellStyle name="쉼표 [0] 3 2 2 6" xfId="483"/>
    <cellStyle name="쉼표 [0] 3 2 2 6 2" xfId="484"/>
    <cellStyle name="쉼표 [0] 3 2 2 7" xfId="485"/>
    <cellStyle name="쉼표 [0] 3 2 3" xfId="486"/>
    <cellStyle name="쉼표 [0] 3 2 3 2" xfId="487"/>
    <cellStyle name="쉼표 [0] 3 2 3 2 2" xfId="488"/>
    <cellStyle name="쉼표 [0] 3 2 3 2 2 2" xfId="489"/>
    <cellStyle name="쉼표 [0] 3 2 3 2 2 2 2" xfId="490"/>
    <cellStyle name="쉼표 [0] 3 2 3 2 2 3" xfId="491"/>
    <cellStyle name="쉼표 [0] 3 2 3 2 2 3 2" xfId="492"/>
    <cellStyle name="쉼표 [0] 3 2 3 2 2 4" xfId="493"/>
    <cellStyle name="쉼표 [0] 3 2 3 2 3" xfId="494"/>
    <cellStyle name="쉼표 [0] 3 2 3 2 3 2" xfId="495"/>
    <cellStyle name="쉼표 [0] 3 2 3 2 4" xfId="496"/>
    <cellStyle name="쉼표 [0] 3 2 3 2 4 2" xfId="497"/>
    <cellStyle name="쉼표 [0] 3 2 3 2 5" xfId="498"/>
    <cellStyle name="쉼표 [0] 3 2 3 3" xfId="499"/>
    <cellStyle name="쉼표 [0] 3 2 3 3 2" xfId="500"/>
    <cellStyle name="쉼표 [0] 3 2 3 3 2 2" xfId="501"/>
    <cellStyle name="쉼표 [0] 3 2 3 3 3" xfId="502"/>
    <cellStyle name="쉼표 [0] 3 2 3 3 3 2" xfId="503"/>
    <cellStyle name="쉼표 [0] 3 2 3 3 4" xfId="504"/>
    <cellStyle name="쉼표 [0] 3 2 3 4" xfId="505"/>
    <cellStyle name="쉼표 [0] 3 2 3 4 2" xfId="506"/>
    <cellStyle name="쉼표 [0] 3 2 3 5" xfId="507"/>
    <cellStyle name="쉼표 [0] 3 2 3 5 2" xfId="508"/>
    <cellStyle name="쉼표 [0] 3 2 3 6" xfId="509"/>
    <cellStyle name="쉼표 [0] 3 2 4" xfId="510"/>
    <cellStyle name="쉼표 [0] 3 2 4 2" xfId="511"/>
    <cellStyle name="쉼표 [0] 3 2 4 2 2" xfId="512"/>
    <cellStyle name="쉼표 [0] 3 2 4 2 2 2" xfId="513"/>
    <cellStyle name="쉼표 [0] 3 2 4 2 3" xfId="514"/>
    <cellStyle name="쉼표 [0] 3 2 4 2 3 2" xfId="515"/>
    <cellStyle name="쉼표 [0] 3 2 4 2 4" xfId="516"/>
    <cellStyle name="쉼표 [0] 3 2 4 3" xfId="517"/>
    <cellStyle name="쉼표 [0] 3 2 4 3 2" xfId="518"/>
    <cellStyle name="쉼표 [0] 3 2 4 4" xfId="519"/>
    <cellStyle name="쉼표 [0] 3 2 4 4 2" xfId="520"/>
    <cellStyle name="쉼표 [0] 3 2 4 5" xfId="521"/>
    <cellStyle name="쉼표 [0] 3 2 5" xfId="522"/>
    <cellStyle name="쉼표 [0] 3 2 5 2" xfId="523"/>
    <cellStyle name="쉼표 [0] 3 2 5 2 2" xfId="524"/>
    <cellStyle name="쉼표 [0] 3 2 5 3" xfId="525"/>
    <cellStyle name="쉼표 [0] 3 2 5 3 2" xfId="526"/>
    <cellStyle name="쉼표 [0] 3 2 5 4" xfId="527"/>
    <cellStyle name="쉼표 [0] 3 2 6" xfId="528"/>
    <cellStyle name="쉼표 [0] 3 2 6 2" xfId="529"/>
    <cellStyle name="쉼표 [0] 3 2 7" xfId="530"/>
    <cellStyle name="쉼표 [0] 3 2 7 2" xfId="531"/>
    <cellStyle name="쉼표 [0] 3 2 8" xfId="532"/>
    <cellStyle name="쉼표 [0] 3 3" xfId="533"/>
    <cellStyle name="쉼표 [0] 3 3 2" xfId="534"/>
    <cellStyle name="쉼표 [0] 3 3 2 2" xfId="535"/>
    <cellStyle name="쉼표 [0] 3 3 2 2 2" xfId="536"/>
    <cellStyle name="쉼표 [0] 3 3 2 2 2 2" xfId="537"/>
    <cellStyle name="쉼표 [0] 3 3 2 2 2 2 2" xfId="538"/>
    <cellStyle name="쉼표 [0] 3 3 2 2 2 3" xfId="539"/>
    <cellStyle name="쉼표 [0] 3 3 2 2 2 3 2" xfId="540"/>
    <cellStyle name="쉼표 [0] 3 3 2 2 2 4" xfId="541"/>
    <cellStyle name="쉼표 [0] 3 3 2 2 3" xfId="542"/>
    <cellStyle name="쉼표 [0] 3 3 2 2 3 2" xfId="543"/>
    <cellStyle name="쉼표 [0] 3 3 2 2 4" xfId="544"/>
    <cellStyle name="쉼표 [0] 3 3 2 2 4 2" xfId="545"/>
    <cellStyle name="쉼표 [0] 3 3 2 2 5" xfId="546"/>
    <cellStyle name="쉼표 [0] 3 3 2 3" xfId="547"/>
    <cellStyle name="쉼표 [0] 3 3 2 3 2" xfId="548"/>
    <cellStyle name="쉼표 [0] 3 3 2 3 2 2" xfId="549"/>
    <cellStyle name="쉼표 [0] 3 3 2 3 3" xfId="550"/>
    <cellStyle name="쉼표 [0] 3 3 2 3 3 2" xfId="551"/>
    <cellStyle name="쉼표 [0] 3 3 2 3 4" xfId="552"/>
    <cellStyle name="쉼표 [0] 3 3 2 4" xfId="553"/>
    <cellStyle name="쉼표 [0] 3 3 2 4 2" xfId="554"/>
    <cellStyle name="쉼표 [0] 3 3 2 5" xfId="555"/>
    <cellStyle name="쉼표 [0] 3 3 2 5 2" xfId="556"/>
    <cellStyle name="쉼표 [0] 3 3 2 6" xfId="557"/>
    <cellStyle name="쉼표 [0] 3 3 3" xfId="558"/>
    <cellStyle name="쉼표 [0] 3 3 3 2" xfId="559"/>
    <cellStyle name="쉼표 [0] 3 3 3 2 2" xfId="560"/>
    <cellStyle name="쉼표 [0] 3 3 3 2 2 2" xfId="561"/>
    <cellStyle name="쉼표 [0] 3 3 3 2 3" xfId="562"/>
    <cellStyle name="쉼표 [0] 3 3 3 2 3 2" xfId="563"/>
    <cellStyle name="쉼표 [0] 3 3 3 2 4" xfId="564"/>
    <cellStyle name="쉼표 [0] 3 3 3 3" xfId="565"/>
    <cellStyle name="쉼표 [0] 3 3 3 3 2" xfId="566"/>
    <cellStyle name="쉼표 [0] 3 3 3 4" xfId="567"/>
    <cellStyle name="쉼표 [0] 3 3 3 4 2" xfId="568"/>
    <cellStyle name="쉼표 [0] 3 3 3 5" xfId="569"/>
    <cellStyle name="쉼표 [0] 3 3 4" xfId="570"/>
    <cellStyle name="쉼표 [0] 3 3 4 2" xfId="571"/>
    <cellStyle name="쉼표 [0] 3 3 4 2 2" xfId="572"/>
    <cellStyle name="쉼표 [0] 3 3 4 3" xfId="573"/>
    <cellStyle name="쉼표 [0] 3 3 4 3 2" xfId="574"/>
    <cellStyle name="쉼표 [0] 3 3 4 4" xfId="575"/>
    <cellStyle name="쉼표 [0] 3 3 5" xfId="576"/>
    <cellStyle name="쉼표 [0] 3 3 5 2" xfId="577"/>
    <cellStyle name="쉼표 [0] 3 3 6" xfId="578"/>
    <cellStyle name="쉼표 [0] 3 3 6 2" xfId="579"/>
    <cellStyle name="쉼표 [0] 3 3 7" xfId="580"/>
    <cellStyle name="쉼표 [0] 3 4" xfId="581"/>
    <cellStyle name="쉼표 [0] 3 4 2" xfId="582"/>
    <cellStyle name="쉼표 [0] 3 4 2 2" xfId="583"/>
    <cellStyle name="쉼표 [0] 3 4 2 2 2" xfId="584"/>
    <cellStyle name="쉼표 [0] 3 4 2 2 2 2" xfId="585"/>
    <cellStyle name="쉼표 [0] 3 4 2 2 3" xfId="586"/>
    <cellStyle name="쉼표 [0] 3 4 2 2 3 2" xfId="587"/>
    <cellStyle name="쉼표 [0] 3 4 2 2 4" xfId="588"/>
    <cellStyle name="쉼표 [0] 3 4 2 3" xfId="589"/>
    <cellStyle name="쉼표 [0] 3 4 2 3 2" xfId="590"/>
    <cellStyle name="쉼표 [0] 3 4 2 4" xfId="591"/>
    <cellStyle name="쉼표 [0] 3 4 2 4 2" xfId="592"/>
    <cellStyle name="쉼표 [0] 3 4 2 5" xfId="593"/>
    <cellStyle name="쉼표 [0] 3 4 3" xfId="594"/>
    <cellStyle name="쉼표 [0] 3 4 3 2" xfId="595"/>
    <cellStyle name="쉼표 [0] 3 4 3 2 2" xfId="596"/>
    <cellStyle name="쉼표 [0] 3 4 3 3" xfId="597"/>
    <cellStyle name="쉼표 [0] 3 4 3 3 2" xfId="598"/>
    <cellStyle name="쉼표 [0] 3 4 3 4" xfId="599"/>
    <cellStyle name="쉼표 [0] 3 4 4" xfId="600"/>
    <cellStyle name="쉼표 [0] 3 4 4 2" xfId="601"/>
    <cellStyle name="쉼표 [0] 3 4 5" xfId="602"/>
    <cellStyle name="쉼표 [0] 3 4 5 2" xfId="603"/>
    <cellStyle name="쉼표 [0] 3 4 6" xfId="604"/>
    <cellStyle name="쉼표 [0] 3 5" xfId="605"/>
    <cellStyle name="쉼표 [0] 3 5 2" xfId="606"/>
    <cellStyle name="쉼표 [0] 3 5 2 2" xfId="607"/>
    <cellStyle name="쉼표 [0] 3 5 2 2 2" xfId="608"/>
    <cellStyle name="쉼표 [0] 3 5 2 3" xfId="609"/>
    <cellStyle name="쉼표 [0] 3 5 2 3 2" xfId="610"/>
    <cellStyle name="쉼표 [0] 3 5 2 4" xfId="611"/>
    <cellStyle name="쉼표 [0] 3 5 3" xfId="612"/>
    <cellStyle name="쉼표 [0] 3 5 3 2" xfId="613"/>
    <cellStyle name="쉼표 [0] 3 5 4" xfId="614"/>
    <cellStyle name="쉼표 [0] 3 5 4 2" xfId="615"/>
    <cellStyle name="쉼표 [0] 3 5 5" xfId="616"/>
    <cellStyle name="쉼표 [0] 3 6" xfId="617"/>
    <cellStyle name="쉼표 [0] 3 6 2" xfId="618"/>
    <cellStyle name="쉼표 [0] 3 6 2 2" xfId="619"/>
    <cellStyle name="쉼표 [0] 3 6 3" xfId="620"/>
    <cellStyle name="쉼표 [0] 3 6 3 2" xfId="621"/>
    <cellStyle name="쉼표 [0] 3 6 4" xfId="622"/>
    <cellStyle name="쉼표 [0] 3 7" xfId="623"/>
    <cellStyle name="쉼표 [0] 3 7 2" xfId="624"/>
    <cellStyle name="쉼표 [0] 3 8" xfId="625"/>
    <cellStyle name="쉼표 [0] 3 8 2" xfId="626"/>
    <cellStyle name="쉼표 [0] 3 9" xfId="627"/>
    <cellStyle name="쉼표 [0] 37" xfId="628"/>
    <cellStyle name="쉼표 [0] 4" xfId="629"/>
    <cellStyle name="쉼표 [0] 4 15" xfId="630"/>
    <cellStyle name="쉼표 [0] 4 2" xfId="631"/>
    <cellStyle name="쉼표 [0] 4 2 2" xfId="632"/>
    <cellStyle name="쉼표 [0] 4 2 2 2" xfId="633"/>
    <cellStyle name="쉼표 [0] 4 2 2 2 2" xfId="634"/>
    <cellStyle name="쉼표 [0] 4 2 2 2 2 2" xfId="635"/>
    <cellStyle name="쉼표 [0] 4 2 2 2 2 2 2" xfId="636"/>
    <cellStyle name="쉼표 [0] 4 2 2 2 2 3" xfId="637"/>
    <cellStyle name="쉼표 [0] 4 2 2 2 2 3 2" xfId="638"/>
    <cellStyle name="쉼표 [0] 4 2 2 2 2 4" xfId="639"/>
    <cellStyle name="쉼표 [0] 4 2 2 2 3" xfId="640"/>
    <cellStyle name="쉼표 [0] 4 2 2 2 3 2" xfId="641"/>
    <cellStyle name="쉼표 [0] 4 2 2 2 4" xfId="642"/>
    <cellStyle name="쉼표 [0] 4 2 2 2 4 2" xfId="643"/>
    <cellStyle name="쉼표 [0] 4 2 2 2 5" xfId="644"/>
    <cellStyle name="쉼표 [0] 4 2 2 3" xfId="645"/>
    <cellStyle name="쉼표 [0] 4 2 2 3 2" xfId="646"/>
    <cellStyle name="쉼표 [0] 4 2 2 3 2 2" xfId="647"/>
    <cellStyle name="쉼표 [0] 4 2 2 3 3" xfId="648"/>
    <cellStyle name="쉼표 [0] 4 2 2 3 3 2" xfId="649"/>
    <cellStyle name="쉼표 [0] 4 2 2 3 4" xfId="650"/>
    <cellStyle name="쉼표 [0] 4 2 2 4" xfId="651"/>
    <cellStyle name="쉼표 [0] 4 2 2 4 2" xfId="652"/>
    <cellStyle name="쉼표 [0] 4 2 2 5" xfId="653"/>
    <cellStyle name="쉼표 [0] 4 2 2 5 2" xfId="654"/>
    <cellStyle name="쉼표 [0] 4 2 2 6" xfId="655"/>
    <cellStyle name="쉼표 [0] 4 2 3" xfId="656"/>
    <cellStyle name="쉼표 [0] 4 2 3 2" xfId="657"/>
    <cellStyle name="쉼표 [0] 4 2 3 2 2" xfId="658"/>
    <cellStyle name="쉼표 [0] 4 2 3 2 2 2" xfId="659"/>
    <cellStyle name="쉼표 [0] 4 2 3 2 3" xfId="660"/>
    <cellStyle name="쉼표 [0] 4 2 3 2 3 2" xfId="661"/>
    <cellStyle name="쉼표 [0] 4 2 3 2 4" xfId="662"/>
    <cellStyle name="쉼표 [0] 4 2 3 3" xfId="663"/>
    <cellStyle name="쉼표 [0] 4 2 3 3 2" xfId="664"/>
    <cellStyle name="쉼표 [0] 4 2 3 4" xfId="665"/>
    <cellStyle name="쉼표 [0] 4 2 3 4 2" xfId="666"/>
    <cellStyle name="쉼표 [0] 4 2 3 5" xfId="667"/>
    <cellStyle name="쉼표 [0] 4 2 4" xfId="668"/>
    <cellStyle name="쉼표 [0] 4 2 4 2" xfId="669"/>
    <cellStyle name="쉼표 [0] 4 2 4 2 2" xfId="670"/>
    <cellStyle name="쉼표 [0] 4 2 4 3" xfId="671"/>
    <cellStyle name="쉼표 [0] 4 2 4 3 2" xfId="672"/>
    <cellStyle name="쉼표 [0] 4 2 4 4" xfId="673"/>
    <cellStyle name="쉼표 [0] 4 2 5" xfId="674"/>
    <cellStyle name="쉼표 [0] 4 2 5 2" xfId="675"/>
    <cellStyle name="쉼표 [0] 4 2 6" xfId="676"/>
    <cellStyle name="쉼표 [0] 4 2 6 2" xfId="677"/>
    <cellStyle name="쉼표 [0] 4 2 7" xfId="678"/>
    <cellStyle name="쉼표 [0] 4 3" xfId="679"/>
    <cellStyle name="쉼표 [0] 4 3 2" xfId="680"/>
    <cellStyle name="쉼표 [0] 4 3 2 2" xfId="681"/>
    <cellStyle name="쉼표 [0] 4 3 2 2 2" xfId="682"/>
    <cellStyle name="쉼표 [0] 4 3 2 2 2 2" xfId="683"/>
    <cellStyle name="쉼표 [0] 4 3 2 2 3" xfId="684"/>
    <cellStyle name="쉼표 [0] 4 3 2 2 3 2" xfId="685"/>
    <cellStyle name="쉼표 [0] 4 3 2 2 4" xfId="686"/>
    <cellStyle name="쉼표 [0] 4 3 2 3" xfId="687"/>
    <cellStyle name="쉼표 [0] 4 3 2 3 2" xfId="688"/>
    <cellStyle name="쉼표 [0] 4 3 2 4" xfId="689"/>
    <cellStyle name="쉼표 [0] 4 3 2 4 2" xfId="690"/>
    <cellStyle name="쉼표 [0] 4 3 2 5" xfId="691"/>
    <cellStyle name="쉼표 [0] 4 3 3" xfId="692"/>
    <cellStyle name="쉼표 [0] 4 3 3 2" xfId="693"/>
    <cellStyle name="쉼표 [0] 4 3 3 2 2" xfId="694"/>
    <cellStyle name="쉼표 [0] 4 3 3 3" xfId="695"/>
    <cellStyle name="쉼표 [0] 4 3 3 3 2" xfId="696"/>
    <cellStyle name="쉼표 [0] 4 3 3 4" xfId="697"/>
    <cellStyle name="쉼표 [0] 4 3 4" xfId="698"/>
    <cellStyle name="쉼표 [0] 4 3 4 2" xfId="699"/>
    <cellStyle name="쉼표 [0] 4 3 5" xfId="700"/>
    <cellStyle name="쉼표 [0] 4 3 5 2" xfId="701"/>
    <cellStyle name="쉼표 [0] 4 3 6" xfId="702"/>
    <cellStyle name="쉼표 [0] 4 4" xfId="703"/>
    <cellStyle name="쉼표 [0] 4 4 2" xfId="704"/>
    <cellStyle name="쉼표 [0] 4 4 2 2" xfId="705"/>
    <cellStyle name="쉼표 [0] 4 4 2 2 2" xfId="706"/>
    <cellStyle name="쉼표 [0] 4 4 2 3" xfId="707"/>
    <cellStyle name="쉼표 [0] 4 4 2 3 2" xfId="708"/>
    <cellStyle name="쉼표 [0] 4 4 2 4" xfId="709"/>
    <cellStyle name="쉼표 [0] 4 4 3" xfId="710"/>
    <cellStyle name="쉼표 [0] 4 4 3 2" xfId="711"/>
    <cellStyle name="쉼표 [0] 4 4 4" xfId="712"/>
    <cellStyle name="쉼표 [0] 4 4 4 2" xfId="713"/>
    <cellStyle name="쉼표 [0] 4 4 5" xfId="714"/>
    <cellStyle name="쉼표 [0] 4 5" xfId="715"/>
    <cellStyle name="쉼표 [0] 4 5 2" xfId="716"/>
    <cellStyle name="쉼표 [0] 4 5 2 2" xfId="717"/>
    <cellStyle name="쉼표 [0] 4 5 3" xfId="718"/>
    <cellStyle name="쉼표 [0] 4 5 3 2" xfId="719"/>
    <cellStyle name="쉼표 [0] 4 5 4" xfId="720"/>
    <cellStyle name="쉼표 [0] 4 6" xfId="721"/>
    <cellStyle name="쉼표 [0] 4 6 2" xfId="722"/>
    <cellStyle name="쉼표 [0] 4 7" xfId="723"/>
    <cellStyle name="쉼표 [0] 4 7 2" xfId="724"/>
    <cellStyle name="쉼표 [0] 4 8" xfId="725"/>
    <cellStyle name="쉼표 [0] 5" xfId="726"/>
    <cellStyle name="쉼표 [0] 5 2" xfId="727"/>
    <cellStyle name="쉼표 [0] 5 2 2" xfId="728"/>
    <cellStyle name="쉼표 [0] 5 2 2 2" xfId="729"/>
    <cellStyle name="쉼표 [0] 5 2 2 2 2" xfId="730"/>
    <cellStyle name="쉼표 [0] 5 2 2 2 2 2" xfId="731"/>
    <cellStyle name="쉼표 [0] 5 2 2 2 3" xfId="732"/>
    <cellStyle name="쉼표 [0] 5 2 2 2 3 2" xfId="733"/>
    <cellStyle name="쉼표 [0] 5 2 2 2 4" xfId="734"/>
    <cellStyle name="쉼표 [0] 5 2 2 3" xfId="735"/>
    <cellStyle name="쉼표 [0] 5 2 2 3 2" xfId="736"/>
    <cellStyle name="쉼표 [0] 5 2 2 4" xfId="737"/>
    <cellStyle name="쉼표 [0] 5 2 2 4 2" xfId="738"/>
    <cellStyle name="쉼표 [0] 5 2 2 5" xfId="739"/>
    <cellStyle name="쉼표 [0] 5 2 3" xfId="740"/>
    <cellStyle name="쉼표 [0] 5 2 3 2" xfId="741"/>
    <cellStyle name="쉼표 [0] 5 2 3 2 2" xfId="742"/>
    <cellStyle name="쉼표 [0] 5 2 3 3" xfId="743"/>
    <cellStyle name="쉼표 [0] 5 2 3 3 2" xfId="744"/>
    <cellStyle name="쉼표 [0] 5 2 3 4" xfId="745"/>
    <cellStyle name="쉼표 [0] 5 2 4" xfId="746"/>
    <cellStyle name="쉼표 [0] 5 2 4 2" xfId="747"/>
    <cellStyle name="쉼표 [0] 5 2 5" xfId="748"/>
    <cellStyle name="쉼표 [0] 5 2 5 2" xfId="749"/>
    <cellStyle name="쉼표 [0] 5 2 6" xfId="750"/>
    <cellStyle name="쉼표 [0] 5 3" xfId="751"/>
    <cellStyle name="쉼표 [0] 5 3 2" xfId="752"/>
    <cellStyle name="쉼표 [0] 5 3 2 2" xfId="753"/>
    <cellStyle name="쉼표 [0] 5 3 2 2 2" xfId="754"/>
    <cellStyle name="쉼표 [0] 5 3 2 3" xfId="755"/>
    <cellStyle name="쉼표 [0] 5 3 2 3 2" xfId="756"/>
    <cellStyle name="쉼표 [0] 5 3 2 4" xfId="757"/>
    <cellStyle name="쉼표 [0] 5 3 3" xfId="758"/>
    <cellStyle name="쉼표 [0] 5 3 3 2" xfId="759"/>
    <cellStyle name="쉼표 [0] 5 3 4" xfId="760"/>
    <cellStyle name="쉼표 [0] 5 3 4 2" xfId="761"/>
    <cellStyle name="쉼표 [0] 5 3 5" xfId="762"/>
    <cellStyle name="쉼표 [0] 5 4" xfId="763"/>
    <cellStyle name="쉼표 [0] 5 4 2" xfId="764"/>
    <cellStyle name="쉼표 [0] 5 4 2 2" xfId="765"/>
    <cellStyle name="쉼표 [0] 5 4 3" xfId="766"/>
    <cellStyle name="쉼표 [0] 5 4 3 2" xfId="767"/>
    <cellStyle name="쉼표 [0] 5 4 4" xfId="768"/>
    <cellStyle name="쉼표 [0] 5 5" xfId="769"/>
    <cellStyle name="쉼표 [0] 5 5 2" xfId="770"/>
    <cellStyle name="쉼표 [0] 5 6" xfId="771"/>
    <cellStyle name="쉼표 [0] 5 6 2" xfId="772"/>
    <cellStyle name="쉼표 [0] 5 7" xfId="773"/>
    <cellStyle name="쉼표 [0] 52" xfId="774"/>
    <cellStyle name="쉼표 [0] 56" xfId="775"/>
    <cellStyle name="쉼표 [0] 6" xfId="776"/>
    <cellStyle name="쉼표 [0] 6 2" xfId="777"/>
    <cellStyle name="쉼표 [0] 6 2 2" xfId="778"/>
    <cellStyle name="쉼표 [0] 6 2 2 2" xfId="779"/>
    <cellStyle name="쉼표 [0] 6 2 2 2 2" xfId="780"/>
    <cellStyle name="쉼표 [0] 6 2 2 3" xfId="781"/>
    <cellStyle name="쉼표 [0] 6 2 2 3 2" xfId="782"/>
    <cellStyle name="쉼표 [0] 6 2 2 4" xfId="783"/>
    <cellStyle name="쉼표 [0] 6 2 3" xfId="784"/>
    <cellStyle name="쉼표 [0] 6 2 3 2" xfId="785"/>
    <cellStyle name="쉼표 [0] 6 2 4" xfId="786"/>
    <cellStyle name="쉼표 [0] 6 2 4 2" xfId="787"/>
    <cellStyle name="쉼표 [0] 6 2 5" xfId="788"/>
    <cellStyle name="쉼표 [0] 6 3" xfId="789"/>
    <cellStyle name="쉼표 [0] 6 3 2" xfId="790"/>
    <cellStyle name="쉼표 [0] 6 3 2 2" xfId="791"/>
    <cellStyle name="쉼표 [0] 6 3 3" xfId="792"/>
    <cellStyle name="쉼표 [0] 6 3 3 2" xfId="793"/>
    <cellStyle name="쉼표 [0] 6 3 4" xfId="794"/>
    <cellStyle name="쉼표 [0] 6 4" xfId="795"/>
    <cellStyle name="쉼표 [0] 6 4 2" xfId="796"/>
    <cellStyle name="쉼표 [0] 6 5" xfId="797"/>
    <cellStyle name="쉼표 [0] 6 5 2" xfId="798"/>
    <cellStyle name="쉼표 [0] 6 6" xfId="799"/>
    <cellStyle name="쉼표 [0] 7" xfId="800"/>
    <cellStyle name="쉼표 [0] 7 2" xfId="801"/>
    <cellStyle name="쉼표 [0] 7 2 2" xfId="802"/>
    <cellStyle name="쉼표 [0] 7 2 2 2" xfId="803"/>
    <cellStyle name="쉼표 [0] 7 2 3" xfId="804"/>
    <cellStyle name="쉼표 [0] 7 2 3 2" xfId="805"/>
    <cellStyle name="쉼표 [0] 7 2 4" xfId="806"/>
    <cellStyle name="쉼표 [0] 7 3" xfId="807"/>
    <cellStyle name="쉼표 [0] 7 3 2" xfId="808"/>
    <cellStyle name="쉼표 [0] 7 4" xfId="809"/>
    <cellStyle name="쉼표 [0] 7 4 2" xfId="810"/>
    <cellStyle name="쉼표 [0] 7 5" xfId="811"/>
    <cellStyle name="쉼표 [0] 8" xfId="812"/>
    <cellStyle name="쉼표 [0] 8 2" xfId="813"/>
    <cellStyle name="쉼표 [0] 8 2 2" xfId="814"/>
    <cellStyle name="쉼표 [0] 8 3" xfId="815"/>
    <cellStyle name="쉼표 [0] 8 3 2" xfId="816"/>
    <cellStyle name="쉼표 [0] 8 4" xfId="817"/>
    <cellStyle name="쉼표 [0] 9" xfId="818"/>
    <cellStyle name="쉼표 [0] 9 2" xfId="819"/>
    <cellStyle name="연결된 셀" xfId="820" builtinId="24" customBuiltin="1"/>
    <cellStyle name="요약" xfId="821" builtinId="25" customBuiltin="1"/>
    <cellStyle name="입력" xfId="822" builtinId="20" customBuiltin="1"/>
    <cellStyle name="제목 1" xfId="823" builtinId="16" customBuiltin="1"/>
    <cellStyle name="제목 2" xfId="824" builtinId="17" customBuiltin="1"/>
    <cellStyle name="제목 3" xfId="825" builtinId="18" customBuiltin="1"/>
    <cellStyle name="제목 4" xfId="826" builtinId="19" customBuiltin="1"/>
    <cellStyle name="제목 5" xfId="827"/>
    <cellStyle name="좋음" xfId="828" builtinId="26" customBuiltin="1"/>
    <cellStyle name="좋음 2" xfId="829"/>
    <cellStyle name="좋음 3" xfId="830"/>
    <cellStyle name="출력" xfId="831" builtinId="21" customBuiltin="1"/>
    <cellStyle name="표준" xfId="0" builtinId="0"/>
    <cellStyle name="표준 10 2 5" xfId="832"/>
    <cellStyle name="표준 100" xfId="833"/>
    <cellStyle name="표준 101" xfId="834"/>
    <cellStyle name="표준 2" xfId="835"/>
    <cellStyle name="표준 2 2" xfId="836"/>
    <cellStyle name="표준 2 2 2" xfId="837"/>
    <cellStyle name="표준 2 2 2 2 2 2" xfId="838"/>
    <cellStyle name="표준 3" xfId="839"/>
    <cellStyle name="표준 4" xfId="840"/>
    <cellStyle name="표준 5" xfId="841"/>
    <cellStyle name="하이퍼링크" xfId="8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iend.navercorp.com/login/loginForm.sec?url=%2FadminPM%2FMain.nhn&amp;c=d" TargetMode="External"/><Relationship Id="rId13" Type="http://schemas.openxmlformats.org/officeDocument/2006/relationships/hyperlink" Target="https://comics.maximkorea.net/cp" TargetMode="External"/><Relationship Id="rId3" Type="http://schemas.openxmlformats.org/officeDocument/2006/relationships/hyperlink" Target="http://cp.ridibooks.com/cp/login" TargetMode="External"/><Relationship Id="rId7" Type="http://schemas.openxmlformats.org/officeDocument/2006/relationships/hyperlink" Target="http://cp-new.bomtoon.com/comic" TargetMode="External"/><Relationship Id="rId12" Type="http://schemas.openxmlformats.org/officeDocument/2006/relationships/hyperlink" Target="https://stat.battlecomics.co.kr/cp/log_in" TargetMode="External"/><Relationship Id="rId2" Type="http://schemas.openxmlformats.org/officeDocument/2006/relationships/hyperlink" Target="https://biz.kakaopage.com/publishingcenter/main" TargetMode="External"/><Relationship Id="rId1" Type="http://schemas.openxmlformats.org/officeDocument/2006/relationships/hyperlink" Target="http://cdn.lezhin.com/files/assets/lezhinTool/LezhinTool_Setup.exe" TargetMode="External"/><Relationship Id="rId6" Type="http://schemas.openxmlformats.org/officeDocument/2006/relationships/hyperlink" Target="https://friend.navercorp.com/login/loginForm.sec" TargetMode="External"/><Relationship Id="rId11" Type="http://schemas.openxmlformats.org/officeDocument/2006/relationships/hyperlink" Target="http://scm.bookcubenetworks.com/login.asp" TargetMode="External"/><Relationship Id="rId5" Type="http://schemas.openxmlformats.org/officeDocument/2006/relationships/hyperlink" Target="http://scm.bookcubenetworks.com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biz.mootoon.co.kr/" TargetMode="External"/><Relationship Id="rId4" Type="http://schemas.openxmlformats.org/officeDocument/2006/relationships/hyperlink" Target="http://cms.mrblue.com/client/" TargetMode="External"/><Relationship Id="rId9" Type="http://schemas.openxmlformats.org/officeDocument/2006/relationships/hyperlink" Target="https://cms.toptoon.com/dashboard" TargetMode="External"/><Relationship Id="rId14" Type="http://schemas.openxmlformats.org/officeDocument/2006/relationships/hyperlink" Target="http://www.k-epub.com/KEPH_Ver2/scm/processMgr_ver3/ProcessList.jsp?mode=lis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F25"/>
  <sheetViews>
    <sheetView workbookViewId="0">
      <selection activeCell="D31" sqref="D31"/>
    </sheetView>
  </sheetViews>
  <sheetFormatPr defaultRowHeight="17.399999999999999"/>
  <cols>
    <col min="1" max="1" width="3.59765625" customWidth="1"/>
    <col min="2" max="2" width="13" style="1" bestFit="1" customWidth="1"/>
    <col min="3" max="3" width="15.59765625" style="1" customWidth="1"/>
    <col min="4" max="4" width="17.8984375" style="1" bestFit="1" customWidth="1"/>
    <col min="5" max="5" width="78.59765625" style="1" bestFit="1" customWidth="1"/>
    <col min="6" max="6" width="10.8984375" customWidth="1"/>
  </cols>
  <sheetData>
    <row r="1" spans="2:6" ht="15.9" customHeight="1"/>
    <row r="2" spans="2:6" ht="21">
      <c r="B2" s="8" t="s">
        <v>231</v>
      </c>
    </row>
    <row r="3" spans="2:6" ht="18" thickBot="1"/>
    <row r="4" spans="2:6">
      <c r="B4" s="66" t="s">
        <v>0</v>
      </c>
      <c r="C4" s="67" t="s">
        <v>8</v>
      </c>
      <c r="D4" s="67" t="s">
        <v>9</v>
      </c>
      <c r="E4" s="67" t="s">
        <v>1</v>
      </c>
      <c r="F4" s="95"/>
    </row>
    <row r="5" spans="2:6">
      <c r="B5" s="44" t="s">
        <v>30</v>
      </c>
      <c r="C5" s="42" t="s">
        <v>50</v>
      </c>
      <c r="D5" s="43" t="s">
        <v>51</v>
      </c>
      <c r="E5" s="90" t="s">
        <v>52</v>
      </c>
      <c r="F5" s="96"/>
    </row>
    <row r="6" spans="2:6" s="24" customFormat="1">
      <c r="B6" s="44" t="s">
        <v>53</v>
      </c>
      <c r="C6" s="42" t="s">
        <v>54</v>
      </c>
      <c r="D6" s="46" t="s">
        <v>87</v>
      </c>
      <c r="E6" s="90" t="s">
        <v>55</v>
      </c>
      <c r="F6" s="96"/>
    </row>
    <row r="7" spans="2:6" s="24" customFormat="1">
      <c r="B7" s="44" t="s">
        <v>14</v>
      </c>
      <c r="C7" s="42" t="s">
        <v>74</v>
      </c>
      <c r="D7" s="43" t="s">
        <v>75</v>
      </c>
      <c r="E7" s="90" t="s">
        <v>76</v>
      </c>
      <c r="F7" s="96"/>
    </row>
    <row r="8" spans="2:6" s="24" customFormat="1">
      <c r="B8" s="44" t="s">
        <v>88</v>
      </c>
      <c r="C8" s="45" t="s">
        <v>90</v>
      </c>
      <c r="D8" s="46" t="s">
        <v>91</v>
      </c>
      <c r="E8" s="90" t="s">
        <v>92</v>
      </c>
      <c r="F8" s="96"/>
    </row>
    <row r="9" spans="2:6" s="24" customFormat="1">
      <c r="B9" s="44" t="s">
        <v>89</v>
      </c>
      <c r="C9" s="46" t="s">
        <v>93</v>
      </c>
      <c r="D9" s="46" t="s">
        <v>94</v>
      </c>
      <c r="E9" s="90" t="s">
        <v>95</v>
      </c>
      <c r="F9" s="96"/>
    </row>
    <row r="10" spans="2:6" s="24" customFormat="1">
      <c r="B10" s="44" t="s">
        <v>16</v>
      </c>
      <c r="C10" s="45" t="s">
        <v>118</v>
      </c>
      <c r="D10" s="45" t="s">
        <v>119</v>
      </c>
      <c r="E10" s="90" t="s">
        <v>120</v>
      </c>
      <c r="F10" s="96"/>
    </row>
    <row r="11" spans="2:6" s="24" customFormat="1" hidden="1">
      <c r="B11" s="33" t="s">
        <v>13</v>
      </c>
      <c r="C11" s="42"/>
      <c r="D11" s="42"/>
      <c r="E11" s="91" t="s">
        <v>12</v>
      </c>
      <c r="F11" s="96"/>
    </row>
    <row r="12" spans="2:6" hidden="1">
      <c r="B12" s="33" t="s">
        <v>14</v>
      </c>
      <c r="C12" s="42"/>
      <c r="D12" s="42"/>
      <c r="E12" s="91" t="s">
        <v>10</v>
      </c>
      <c r="F12" s="96"/>
    </row>
    <row r="13" spans="2:6" hidden="1">
      <c r="B13" s="33" t="s">
        <v>16</v>
      </c>
      <c r="C13" s="42"/>
      <c r="D13" s="42"/>
      <c r="E13" s="91" t="s">
        <v>25</v>
      </c>
      <c r="F13" s="96"/>
    </row>
    <row r="14" spans="2:6" hidden="1">
      <c r="B14" s="33" t="s">
        <v>23</v>
      </c>
      <c r="C14" s="42"/>
      <c r="D14" s="42"/>
      <c r="E14" s="92" t="s">
        <v>26</v>
      </c>
      <c r="F14" s="96"/>
    </row>
    <row r="15" spans="2:6" hidden="1">
      <c r="B15" s="33" t="s">
        <v>21</v>
      </c>
      <c r="C15" s="42"/>
      <c r="D15" s="42"/>
      <c r="E15" s="92" t="s">
        <v>27</v>
      </c>
      <c r="F15" s="96"/>
    </row>
    <row r="16" spans="2:6" hidden="1">
      <c r="B16" s="33" t="s">
        <v>18</v>
      </c>
      <c r="C16" s="42"/>
      <c r="D16" s="42"/>
      <c r="E16" s="92" t="s">
        <v>11</v>
      </c>
      <c r="F16" s="96"/>
    </row>
    <row r="17" spans="2:6" hidden="1">
      <c r="B17" s="33" t="s">
        <v>22</v>
      </c>
      <c r="C17" s="42"/>
      <c r="D17" s="42"/>
      <c r="E17" s="92" t="s">
        <v>28</v>
      </c>
      <c r="F17" s="96"/>
    </row>
    <row r="18" spans="2:6" hidden="1">
      <c r="B18" s="33" t="s">
        <v>17</v>
      </c>
      <c r="C18" s="42"/>
      <c r="D18" s="42"/>
      <c r="E18" s="93" t="s">
        <v>20</v>
      </c>
      <c r="F18" s="96"/>
    </row>
    <row r="19" spans="2:6" hidden="1">
      <c r="B19" s="33" t="s">
        <v>49</v>
      </c>
      <c r="C19" s="42"/>
      <c r="D19" s="42"/>
      <c r="E19" s="94"/>
      <c r="F19" s="96"/>
    </row>
    <row r="20" spans="2:6" hidden="1">
      <c r="B20" s="33" t="s">
        <v>15</v>
      </c>
      <c r="C20" s="42"/>
      <c r="D20" s="42"/>
      <c r="E20" s="94" t="s">
        <v>20</v>
      </c>
      <c r="F20" s="96"/>
    </row>
    <row r="21" spans="2:6" hidden="1">
      <c r="B21" s="33" t="s">
        <v>23</v>
      </c>
      <c r="C21" s="42"/>
      <c r="D21" s="42"/>
      <c r="E21" s="94"/>
      <c r="F21" s="96"/>
    </row>
    <row r="22" spans="2:6" hidden="1">
      <c r="B22" s="33" t="s">
        <v>24</v>
      </c>
      <c r="C22" s="42"/>
      <c r="D22" s="42"/>
      <c r="E22" s="94" t="s">
        <v>20</v>
      </c>
      <c r="F22" s="96"/>
    </row>
    <row r="23" spans="2:6">
      <c r="B23" s="44" t="s">
        <v>117</v>
      </c>
      <c r="C23" s="46" t="s">
        <v>121</v>
      </c>
      <c r="D23" s="46" t="s">
        <v>122</v>
      </c>
      <c r="E23" s="90" t="s">
        <v>123</v>
      </c>
      <c r="F23" s="96"/>
    </row>
    <row r="24" spans="2:6">
      <c r="B24" s="44" t="s">
        <v>157</v>
      </c>
      <c r="C24" s="45" t="s">
        <v>158</v>
      </c>
      <c r="D24" s="45" t="s">
        <v>159</v>
      </c>
      <c r="E24" s="175" t="s">
        <v>160</v>
      </c>
      <c r="F24" s="176"/>
    </row>
    <row r="25" spans="2:6" ht="18" thickBot="1">
      <c r="B25" s="68" t="s">
        <v>161</v>
      </c>
      <c r="C25" s="97" t="s">
        <v>162</v>
      </c>
      <c r="D25" s="97" t="s">
        <v>163</v>
      </c>
      <c r="E25" s="177" t="s">
        <v>164</v>
      </c>
      <c r="F25" s="178"/>
    </row>
  </sheetData>
  <mergeCells count="2">
    <mergeCell ref="E24:F24"/>
    <mergeCell ref="E25:F25"/>
  </mergeCells>
  <phoneticPr fontId="1" type="noConversion"/>
  <hyperlinks>
    <hyperlink ref="E16" r:id="rId1"/>
    <hyperlink ref="E11" r:id="rId2"/>
    <hyperlink ref="E15" r:id="rId3"/>
    <hyperlink ref="E14" r:id="rId4"/>
    <hyperlink ref="E13" r:id="rId5"/>
    <hyperlink ref="E17" r:id="rId6"/>
    <hyperlink ref="E5" r:id="rId7"/>
    <hyperlink ref="E6" r:id="rId8"/>
    <hyperlink ref="E7" r:id="rId9"/>
    <hyperlink ref="E8" r:id="rId10"/>
    <hyperlink ref="E10" r:id="rId11"/>
    <hyperlink ref="E23" r:id="rId12"/>
    <hyperlink ref="E24" r:id="rId13"/>
    <hyperlink ref="E25" r:id="rId14"/>
  </hyperlinks>
  <pageMargins left="0.7" right="0.7" top="0.75" bottom="0.75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59"/>
  <sheetViews>
    <sheetView tabSelected="1" zoomScale="70" zoomScaleNormal="70" workbookViewId="0">
      <selection activeCell="I30" sqref="I30"/>
    </sheetView>
  </sheetViews>
  <sheetFormatPr defaultRowHeight="17.399999999999999"/>
  <cols>
    <col min="1" max="1" width="3.59765625" style="2" customWidth="1"/>
    <col min="2" max="2" width="19.5" style="2" customWidth="1"/>
    <col min="3" max="4" width="13.19921875" style="2" customWidth="1"/>
    <col min="5" max="6" width="13.69921875" style="2" customWidth="1"/>
    <col min="7" max="7" width="13.69921875" style="24" customWidth="1"/>
    <col min="8" max="8" width="13.796875" style="24" customWidth="1"/>
    <col min="9" max="9" width="7.19921875" style="10" customWidth="1"/>
    <col min="10" max="10" width="14.59765625" style="24" customWidth="1"/>
    <col min="11" max="11" width="16" style="24" customWidth="1"/>
    <col min="12" max="12" width="2.3984375" style="24" customWidth="1"/>
    <col min="13" max="13" width="8.796875" style="24"/>
    <col min="14" max="14" width="14" style="24" bestFit="1" customWidth="1"/>
    <col min="15" max="15" width="9.59765625" style="24" bestFit="1" customWidth="1"/>
    <col min="16" max="16384" width="8.796875" style="24"/>
  </cols>
  <sheetData>
    <row r="1" spans="1:14" ht="15.9" customHeight="1">
      <c r="A1" s="98"/>
      <c r="B1" s="98"/>
      <c r="C1" s="98"/>
      <c r="D1" s="98"/>
      <c r="E1" s="98"/>
      <c r="F1" s="98"/>
      <c r="G1" s="98"/>
      <c r="H1" s="76"/>
    </row>
    <row r="2" spans="1:14" ht="21">
      <c r="A2" s="98"/>
      <c r="B2" s="77" t="s">
        <v>232</v>
      </c>
      <c r="C2" s="78"/>
      <c r="D2" s="78"/>
      <c r="E2" s="78"/>
      <c r="F2" s="79"/>
      <c r="H2" s="11"/>
    </row>
    <row r="3" spans="1:14">
      <c r="A3" s="98"/>
      <c r="B3" s="80" t="s">
        <v>233</v>
      </c>
      <c r="C3" s="80"/>
      <c r="D3" s="80"/>
      <c r="E3" s="80"/>
      <c r="F3" s="80"/>
      <c r="G3" s="80"/>
    </row>
    <row r="4" spans="1:14" ht="18" thickBot="1">
      <c r="A4" s="98"/>
      <c r="B4" s="80"/>
      <c r="C4" s="80"/>
      <c r="D4" s="80"/>
      <c r="E4" s="80"/>
      <c r="F4" s="80"/>
      <c r="G4" s="80"/>
    </row>
    <row r="5" spans="1:14" ht="18" thickBot="1">
      <c r="A5" s="98"/>
      <c r="B5" s="127" t="s">
        <v>2</v>
      </c>
      <c r="C5" s="128" t="s">
        <v>3</v>
      </c>
      <c r="D5" s="128" t="s">
        <v>4</v>
      </c>
      <c r="E5" s="128" t="s">
        <v>5</v>
      </c>
      <c r="F5" s="128" t="s">
        <v>6</v>
      </c>
      <c r="G5" s="128" t="s">
        <v>216</v>
      </c>
      <c r="H5" s="129" t="s">
        <v>19</v>
      </c>
      <c r="J5" s="28" t="s">
        <v>236</v>
      </c>
      <c r="K5" s="29">
        <f>250000000+7945000</f>
        <v>257945000</v>
      </c>
    </row>
    <row r="6" spans="1:14" ht="16.5" customHeight="1" thickBot="1">
      <c r="A6" s="98"/>
      <c r="B6" s="132" t="s">
        <v>30</v>
      </c>
      <c r="C6" s="158">
        <v>6354159.3500000006</v>
      </c>
      <c r="D6" s="158">
        <v>577352.94999999984</v>
      </c>
      <c r="E6" s="203">
        <v>5776508.5</v>
      </c>
      <c r="F6" s="203">
        <f>E6*15%</f>
        <v>866476.27500000002</v>
      </c>
      <c r="G6" s="203">
        <f>E6*85%</f>
        <v>4910032.2249999996</v>
      </c>
      <c r="H6" s="133"/>
      <c r="J6" s="25" t="s">
        <v>237</v>
      </c>
      <c r="K6" s="26">
        <v>80000000</v>
      </c>
    </row>
    <row r="7" spans="1:14" ht="18" thickBot="1">
      <c r="A7" s="98"/>
      <c r="B7" s="132" t="s">
        <v>96</v>
      </c>
      <c r="C7" s="158">
        <v>69940</v>
      </c>
      <c r="D7" s="158">
        <v>20982.000000002794</v>
      </c>
      <c r="E7" s="203">
        <v>48957.999999997206</v>
      </c>
      <c r="F7" s="203">
        <f t="shared" ref="F7:F25" si="0">E7*15%</f>
        <v>7343.6999999995805</v>
      </c>
      <c r="G7" s="203">
        <f t="shared" ref="G7:G25" si="1">E7*85%</f>
        <v>41614.299999997624</v>
      </c>
      <c r="H7" s="133"/>
      <c r="J7" s="179" t="s">
        <v>238</v>
      </c>
      <c r="K7" s="180"/>
    </row>
    <row r="8" spans="1:14" ht="17.399999999999999" customHeight="1">
      <c r="A8" s="98"/>
      <c r="B8" s="132" t="s">
        <v>14</v>
      </c>
      <c r="C8" s="158">
        <v>426240</v>
      </c>
      <c r="D8" s="158">
        <v>56412</v>
      </c>
      <c r="E8" s="203">
        <v>369828</v>
      </c>
      <c r="F8" s="203">
        <f t="shared" si="0"/>
        <v>55474.2</v>
      </c>
      <c r="G8" s="203">
        <f t="shared" si="1"/>
        <v>314353.8</v>
      </c>
      <c r="H8" s="133"/>
      <c r="J8" s="16" t="s">
        <v>239</v>
      </c>
      <c r="K8" s="81">
        <v>3937661</v>
      </c>
    </row>
    <row r="9" spans="1:14">
      <c r="A9" s="98"/>
      <c r="B9" s="132" t="s">
        <v>73</v>
      </c>
      <c r="C9" s="159">
        <v>409829.6</v>
      </c>
      <c r="D9" s="159">
        <v>368846.6</v>
      </c>
      <c r="E9" s="204">
        <v>40983</v>
      </c>
      <c r="F9" s="203">
        <f t="shared" si="0"/>
        <v>6147.45</v>
      </c>
      <c r="G9" s="203">
        <f t="shared" si="1"/>
        <v>34835.549999999996</v>
      </c>
      <c r="H9" s="133"/>
      <c r="J9" s="16" t="s">
        <v>31</v>
      </c>
      <c r="K9" s="81">
        <v>1683000</v>
      </c>
    </row>
    <row r="10" spans="1:14">
      <c r="A10" s="98"/>
      <c r="B10" s="132" t="s">
        <v>88</v>
      </c>
      <c r="C10" s="158">
        <v>185000</v>
      </c>
      <c r="D10" s="158">
        <v>85100</v>
      </c>
      <c r="E10" s="203">
        <v>99900</v>
      </c>
      <c r="F10" s="203">
        <f t="shared" si="0"/>
        <v>14985</v>
      </c>
      <c r="G10" s="203">
        <f t="shared" si="1"/>
        <v>84915</v>
      </c>
      <c r="H10" s="133"/>
      <c r="J10" s="16" t="s">
        <v>32</v>
      </c>
      <c r="K10" s="81">
        <v>2846603</v>
      </c>
    </row>
    <row r="11" spans="1:14">
      <c r="A11" s="98"/>
      <c r="B11" s="132" t="s">
        <v>89</v>
      </c>
      <c r="C11" s="158">
        <v>15300</v>
      </c>
      <c r="D11" s="158">
        <v>4982</v>
      </c>
      <c r="E11" s="203">
        <v>10318</v>
      </c>
      <c r="F11" s="203">
        <f t="shared" si="0"/>
        <v>1547.7</v>
      </c>
      <c r="G11" s="203">
        <f t="shared" si="1"/>
        <v>8770.2999999999993</v>
      </c>
      <c r="H11" s="133"/>
      <c r="I11" s="14"/>
      <c r="J11" s="16" t="s">
        <v>33</v>
      </c>
      <c r="K11" s="81">
        <v>4289457.45</v>
      </c>
    </row>
    <row r="12" spans="1:14">
      <c r="A12" s="98"/>
      <c r="B12" s="132" t="s">
        <v>105</v>
      </c>
      <c r="C12" s="158">
        <v>754450</v>
      </c>
      <c r="D12" s="158">
        <v>199020.39999999994</v>
      </c>
      <c r="E12" s="203">
        <v>555429.6</v>
      </c>
      <c r="F12" s="203">
        <f t="shared" si="0"/>
        <v>83314.439999999988</v>
      </c>
      <c r="G12" s="203">
        <f t="shared" si="1"/>
        <v>472115.16</v>
      </c>
      <c r="H12" s="133"/>
      <c r="J12" s="16" t="s">
        <v>34</v>
      </c>
      <c r="K12" s="81">
        <v>6745047.8399999999</v>
      </c>
    </row>
    <row r="13" spans="1:14">
      <c r="A13" s="98"/>
      <c r="B13" s="132" t="s">
        <v>16</v>
      </c>
      <c r="C13" s="158"/>
      <c r="D13" s="158"/>
      <c r="E13" s="203"/>
      <c r="F13" s="203">
        <f t="shared" si="0"/>
        <v>0</v>
      </c>
      <c r="G13" s="203">
        <f t="shared" si="1"/>
        <v>0</v>
      </c>
      <c r="H13" s="133"/>
      <c r="J13" s="16" t="s">
        <v>35</v>
      </c>
      <c r="K13" s="81">
        <v>2538633.880909089</v>
      </c>
    </row>
    <row r="14" spans="1:14">
      <c r="A14" s="98"/>
      <c r="B14" s="132" t="s">
        <v>116</v>
      </c>
      <c r="C14" s="160"/>
      <c r="D14" s="160"/>
      <c r="E14" s="205"/>
      <c r="F14" s="203">
        <f t="shared" si="0"/>
        <v>0</v>
      </c>
      <c r="G14" s="203">
        <f t="shared" si="1"/>
        <v>0</v>
      </c>
      <c r="H14" s="133"/>
      <c r="J14" s="16" t="s">
        <v>36</v>
      </c>
      <c r="K14" s="81">
        <v>19163639.699999999</v>
      </c>
    </row>
    <row r="15" spans="1:14" ht="18" thickBot="1">
      <c r="A15" s="98"/>
      <c r="B15" s="132" t="s">
        <v>127</v>
      </c>
      <c r="C15" s="160"/>
      <c r="D15" s="160"/>
      <c r="E15" s="205"/>
      <c r="F15" s="203">
        <f t="shared" si="0"/>
        <v>0</v>
      </c>
      <c r="G15" s="203">
        <f t="shared" si="1"/>
        <v>0</v>
      </c>
      <c r="H15" s="133"/>
      <c r="J15" s="19" t="s">
        <v>37</v>
      </c>
      <c r="K15" s="82">
        <v>4950018</v>
      </c>
      <c r="N15" s="72"/>
    </row>
    <row r="16" spans="1:14" ht="16.5" customHeight="1" thickBot="1">
      <c r="A16" s="98"/>
      <c r="B16" s="132" t="s">
        <v>214</v>
      </c>
      <c r="C16" s="158">
        <v>48465</v>
      </c>
      <c r="D16" s="158">
        <v>4846.4999999999982</v>
      </c>
      <c r="E16" s="203">
        <v>43618.5</v>
      </c>
      <c r="F16" s="203">
        <f t="shared" si="0"/>
        <v>6542.7749999999996</v>
      </c>
      <c r="G16" s="203">
        <f t="shared" si="1"/>
        <v>37075.724999999999</v>
      </c>
      <c r="H16" s="70"/>
      <c r="J16" s="28" t="s">
        <v>240</v>
      </c>
      <c r="K16" s="27">
        <f>SUM(K8:K15)</f>
        <v>46154060.870909087</v>
      </c>
    </row>
    <row r="17" spans="1:15">
      <c r="A17" s="98"/>
      <c r="B17" s="132" t="s">
        <v>189</v>
      </c>
      <c r="C17" s="158">
        <v>509433.93480712501</v>
      </c>
      <c r="D17" s="158">
        <v>366792.43306113</v>
      </c>
      <c r="E17" s="203">
        <v>142641.50174599502</v>
      </c>
      <c r="F17" s="203">
        <f t="shared" si="0"/>
        <v>21396.225261899253</v>
      </c>
      <c r="G17" s="203">
        <f t="shared" si="1"/>
        <v>121245.27648409577</v>
      </c>
      <c r="H17" s="133"/>
      <c r="I17" s="24"/>
      <c r="J17" s="15" t="s">
        <v>38</v>
      </c>
      <c r="K17" s="83">
        <v>3978610</v>
      </c>
    </row>
    <row r="18" spans="1:15">
      <c r="A18" s="98"/>
      <c r="B18" s="132" t="s">
        <v>147</v>
      </c>
      <c r="C18" s="158">
        <v>554196.5</v>
      </c>
      <c r="D18" s="158">
        <v>127891.49999999997</v>
      </c>
      <c r="E18" s="203">
        <v>426305</v>
      </c>
      <c r="F18" s="203">
        <f t="shared" si="0"/>
        <v>63945.75</v>
      </c>
      <c r="G18" s="203">
        <f t="shared" si="1"/>
        <v>362359.25</v>
      </c>
      <c r="H18" s="133"/>
      <c r="J18" s="16" t="s">
        <v>39</v>
      </c>
      <c r="K18" s="81">
        <v>2733753</v>
      </c>
    </row>
    <row r="19" spans="1:15">
      <c r="A19" s="98"/>
      <c r="B19" s="132" t="s">
        <v>155</v>
      </c>
      <c r="C19" s="158"/>
      <c r="D19" s="158"/>
      <c r="E19" s="203"/>
      <c r="F19" s="203">
        <f t="shared" si="0"/>
        <v>0</v>
      </c>
      <c r="G19" s="203">
        <f t="shared" si="1"/>
        <v>0</v>
      </c>
      <c r="H19" s="133"/>
      <c r="J19" s="16" t="s">
        <v>40</v>
      </c>
      <c r="K19" s="81">
        <v>2864326</v>
      </c>
      <c r="N19" s="153"/>
      <c r="O19" s="107"/>
    </row>
    <row r="20" spans="1:15">
      <c r="A20" s="98"/>
      <c r="B20" s="132" t="s">
        <v>156</v>
      </c>
      <c r="C20" s="158">
        <v>9678</v>
      </c>
      <c r="D20" s="158">
        <v>7510</v>
      </c>
      <c r="E20" s="203">
        <v>2168</v>
      </c>
      <c r="F20" s="203">
        <f t="shared" si="0"/>
        <v>325.2</v>
      </c>
      <c r="G20" s="203">
        <f t="shared" si="1"/>
        <v>1842.8</v>
      </c>
      <c r="H20" s="133"/>
      <c r="J20" s="16" t="s">
        <v>41</v>
      </c>
      <c r="K20" s="81">
        <v>2217694</v>
      </c>
      <c r="N20" s="72"/>
      <c r="O20" s="72"/>
    </row>
    <row r="21" spans="1:15">
      <c r="A21" s="98"/>
      <c r="B21" s="132" t="s">
        <v>21</v>
      </c>
      <c r="C21" s="158">
        <v>477800</v>
      </c>
      <c r="D21" s="158">
        <v>113539.29999999999</v>
      </c>
      <c r="E21" s="203">
        <v>364260.7</v>
      </c>
      <c r="F21" s="203">
        <f t="shared" si="0"/>
        <v>54639.105000000003</v>
      </c>
      <c r="G21" s="203">
        <f t="shared" si="1"/>
        <v>309621.59500000003</v>
      </c>
      <c r="H21" s="133"/>
      <c r="J21" s="16" t="s">
        <v>42</v>
      </c>
      <c r="K21" s="81">
        <v>4460682</v>
      </c>
    </row>
    <row r="22" spans="1:15">
      <c r="A22" s="98"/>
      <c r="B22" s="132" t="s">
        <v>173</v>
      </c>
      <c r="C22" s="158"/>
      <c r="D22" s="158"/>
      <c r="E22" s="203"/>
      <c r="F22" s="203">
        <f t="shared" si="0"/>
        <v>0</v>
      </c>
      <c r="G22" s="203">
        <f t="shared" si="1"/>
        <v>0</v>
      </c>
      <c r="H22" s="133"/>
      <c r="J22" s="16" t="s">
        <v>43</v>
      </c>
      <c r="K22" s="81">
        <v>4124638</v>
      </c>
    </row>
    <row r="23" spans="1:15">
      <c r="A23" s="98"/>
      <c r="B23" s="132" t="s">
        <v>183</v>
      </c>
      <c r="C23" s="158">
        <v>8750</v>
      </c>
      <c r="D23" s="158">
        <v>1662.5</v>
      </c>
      <c r="E23" s="203">
        <v>7087.5</v>
      </c>
      <c r="F23" s="203">
        <f t="shared" si="0"/>
        <v>1063.125</v>
      </c>
      <c r="G23" s="203">
        <f t="shared" si="1"/>
        <v>6024.375</v>
      </c>
      <c r="H23" s="133"/>
      <c r="J23" s="16" t="s">
        <v>44</v>
      </c>
      <c r="K23" s="81">
        <v>4103902</v>
      </c>
    </row>
    <row r="24" spans="1:15">
      <c r="A24" s="98"/>
      <c r="B24" s="132" t="s">
        <v>188</v>
      </c>
      <c r="C24" s="158">
        <v>6732031.8399999999</v>
      </c>
      <c r="D24" s="158">
        <v>4879157.74</v>
      </c>
      <c r="E24" s="203">
        <v>1852874.1</v>
      </c>
      <c r="F24" s="203">
        <f t="shared" si="0"/>
        <v>277931.11499999999</v>
      </c>
      <c r="G24" s="203">
        <f t="shared" si="1"/>
        <v>1574942.9850000001</v>
      </c>
      <c r="H24" s="133"/>
      <c r="J24" s="16" t="s">
        <v>45</v>
      </c>
      <c r="K24" s="81">
        <v>3216698</v>
      </c>
    </row>
    <row r="25" spans="1:15">
      <c r="A25" s="98"/>
      <c r="B25" s="132" t="s">
        <v>209</v>
      </c>
      <c r="C25" s="160">
        <v>608698</v>
      </c>
      <c r="D25" s="160">
        <v>182609.40000000002</v>
      </c>
      <c r="E25" s="205">
        <v>426088.6</v>
      </c>
      <c r="F25" s="203">
        <f t="shared" si="0"/>
        <v>63913.289999999994</v>
      </c>
      <c r="G25" s="203">
        <f t="shared" si="1"/>
        <v>362175.31</v>
      </c>
      <c r="H25" s="133"/>
      <c r="J25" s="16" t="s">
        <v>46</v>
      </c>
      <c r="K25" s="81">
        <v>2388304</v>
      </c>
    </row>
    <row r="26" spans="1:15" ht="18" thickBot="1">
      <c r="A26" s="98"/>
      <c r="B26" s="130" t="s">
        <v>7</v>
      </c>
      <c r="C26" s="161">
        <f>SUM(C6:C25)</f>
        <v>17163972.224807125</v>
      </c>
      <c r="D26" s="161">
        <f>SUM(D6:D25)</f>
        <v>6996705.3230611328</v>
      </c>
      <c r="E26" s="161">
        <f>SUM(E6:E25)</f>
        <v>10166969.001745991</v>
      </c>
      <c r="F26" s="161">
        <f>SUM(F6:F25)</f>
        <v>1525045.3502618987</v>
      </c>
      <c r="G26" s="161">
        <f>SUM(G6:G25)</f>
        <v>8641923.6514840927</v>
      </c>
      <c r="H26" s="131"/>
      <c r="J26" s="16" t="s">
        <v>47</v>
      </c>
      <c r="K26" s="81">
        <v>2681238</v>
      </c>
    </row>
    <row r="27" spans="1:15">
      <c r="A27" s="98"/>
      <c r="B27" s="9"/>
      <c r="G27" s="2"/>
      <c r="I27" s="20"/>
      <c r="J27" s="16" t="s">
        <v>48</v>
      </c>
      <c r="K27" s="81">
        <v>2879372</v>
      </c>
    </row>
    <row r="28" spans="1:15" ht="18" thickBot="1">
      <c r="A28" s="98"/>
      <c r="B28" s="9"/>
      <c r="F28" s="200">
        <v>1525045</v>
      </c>
      <c r="G28" s="200">
        <v>8641924</v>
      </c>
      <c r="I28" s="20"/>
      <c r="J28" s="19">
        <v>2019.12</v>
      </c>
      <c r="K28" s="82">
        <v>2934359</v>
      </c>
    </row>
    <row r="29" spans="1:15" ht="18" thickBot="1">
      <c r="A29" s="98"/>
      <c r="B29" s="9"/>
      <c r="F29" s="201">
        <f>F28/E26</f>
        <v>0.14999996554903447</v>
      </c>
      <c r="G29" s="202">
        <f>G28/E26</f>
        <v>0.85000003427923376</v>
      </c>
      <c r="H29" s="98"/>
      <c r="I29" s="20"/>
      <c r="J29" s="28" t="s">
        <v>241</v>
      </c>
      <c r="K29" s="27">
        <f>SUM(K17:K28)</f>
        <v>38583576</v>
      </c>
    </row>
    <row r="30" spans="1:15">
      <c r="A30" s="98"/>
      <c r="B30" s="12"/>
      <c r="C30" s="13"/>
      <c r="D30" s="84"/>
      <c r="E30" s="24"/>
      <c r="F30" s="24"/>
      <c r="I30" s="20"/>
      <c r="J30" s="15" t="s">
        <v>242</v>
      </c>
      <c r="K30" s="83">
        <v>3483098</v>
      </c>
    </row>
    <row r="31" spans="1:15">
      <c r="A31" s="98"/>
      <c r="D31" s="10"/>
      <c r="E31" s="24"/>
      <c r="F31" s="24"/>
      <c r="J31" s="16" t="s">
        <v>243</v>
      </c>
      <c r="K31" s="81">
        <v>3230723</v>
      </c>
    </row>
    <row r="32" spans="1:15">
      <c r="A32" s="98"/>
      <c r="D32" s="10"/>
      <c r="E32" s="24"/>
      <c r="F32" s="24"/>
      <c r="J32" s="16" t="s">
        <v>244</v>
      </c>
      <c r="K32" s="81">
        <v>3627500</v>
      </c>
    </row>
    <row r="33" spans="1:11">
      <c r="A33" s="98"/>
      <c r="F33" s="139"/>
      <c r="I33" s="24"/>
      <c r="J33" s="16" t="s">
        <v>245</v>
      </c>
      <c r="K33" s="81">
        <v>3950817</v>
      </c>
    </row>
    <row r="34" spans="1:11">
      <c r="A34" s="98"/>
      <c r="G34" s="115"/>
      <c r="I34" s="24"/>
      <c r="J34" s="16" t="s">
        <v>246</v>
      </c>
      <c r="K34" s="81">
        <v>3686098</v>
      </c>
    </row>
    <row r="35" spans="1:11">
      <c r="F35" s="139"/>
      <c r="I35" s="24"/>
      <c r="J35" s="16" t="s">
        <v>247</v>
      </c>
      <c r="K35" s="81">
        <v>3935833</v>
      </c>
    </row>
    <row r="36" spans="1:11">
      <c r="F36" s="139"/>
      <c r="J36" s="16" t="s">
        <v>248</v>
      </c>
      <c r="K36" s="81">
        <v>3574045</v>
      </c>
    </row>
    <row r="37" spans="1:11">
      <c r="J37" s="16" t="s">
        <v>249</v>
      </c>
      <c r="K37" s="81">
        <v>3502266</v>
      </c>
    </row>
    <row r="38" spans="1:11" ht="17.399999999999999" customHeight="1">
      <c r="J38" s="16" t="s">
        <v>250</v>
      </c>
      <c r="K38" s="81">
        <v>3364556</v>
      </c>
    </row>
    <row r="39" spans="1:11">
      <c r="J39" s="16" t="s">
        <v>251</v>
      </c>
      <c r="K39" s="81">
        <v>2239860</v>
      </c>
    </row>
    <row r="40" spans="1:11">
      <c r="J40" s="16" t="s">
        <v>252</v>
      </c>
      <c r="K40" s="81">
        <v>2359223</v>
      </c>
    </row>
    <row r="41" spans="1:11" ht="18" thickBot="1">
      <c r="J41" s="19">
        <v>2020.12</v>
      </c>
      <c r="K41" s="82">
        <v>2399670</v>
      </c>
    </row>
    <row r="42" spans="1:11" ht="18" thickBot="1">
      <c r="J42" s="28" t="s">
        <v>253</v>
      </c>
      <c r="K42" s="27">
        <f>SUM(K30:K41)</f>
        <v>39353689</v>
      </c>
    </row>
    <row r="43" spans="1:11">
      <c r="J43" s="15">
        <v>2021.01</v>
      </c>
      <c r="K43" s="83">
        <v>2405172</v>
      </c>
    </row>
    <row r="44" spans="1:11">
      <c r="J44" s="16">
        <v>2021.02</v>
      </c>
      <c r="K44" s="81">
        <v>2311130.6658994518</v>
      </c>
    </row>
    <row r="45" spans="1:11">
      <c r="J45" s="170">
        <v>2021.03</v>
      </c>
      <c r="K45" s="171">
        <v>1905267</v>
      </c>
    </row>
    <row r="46" spans="1:11">
      <c r="J46" s="170">
        <v>2021.04</v>
      </c>
      <c r="K46" s="171">
        <v>1955313</v>
      </c>
    </row>
    <row r="47" spans="1:11" ht="17.399999999999999" customHeight="1">
      <c r="J47" s="170">
        <v>2021.05</v>
      </c>
      <c r="K47" s="171">
        <v>1319122</v>
      </c>
    </row>
    <row r="48" spans="1:11">
      <c r="J48" s="170">
        <v>2021.06</v>
      </c>
      <c r="K48" s="171">
        <v>3744281</v>
      </c>
    </row>
    <row r="49" spans="10:11">
      <c r="J49" s="170">
        <v>2021.07</v>
      </c>
      <c r="K49" s="171">
        <v>2592338</v>
      </c>
    </row>
    <row r="50" spans="10:11">
      <c r="J50" s="16">
        <v>2021.08</v>
      </c>
      <c r="K50" s="81">
        <v>1419731.7079187285</v>
      </c>
    </row>
    <row r="51" spans="10:11">
      <c r="J51" s="170">
        <v>2021.09</v>
      </c>
      <c r="K51" s="81">
        <v>1502547.8346355483</v>
      </c>
    </row>
    <row r="52" spans="10:11">
      <c r="J52" s="172" t="s">
        <v>254</v>
      </c>
      <c r="K52" s="81">
        <v>1387414.6531956983</v>
      </c>
    </row>
    <row r="53" spans="10:11">
      <c r="J53" s="172">
        <v>2021.11</v>
      </c>
      <c r="K53" s="81">
        <v>1502547.8346355483</v>
      </c>
    </row>
    <row r="54" spans="10:11" ht="18" thickBot="1">
      <c r="J54" s="173">
        <v>2021.12</v>
      </c>
      <c r="K54" s="174">
        <v>1278300.7911745515</v>
      </c>
    </row>
    <row r="55" spans="10:11" ht="18" thickBot="1">
      <c r="J55" s="28" t="s">
        <v>255</v>
      </c>
      <c r="K55" s="27">
        <f>SUM(K43:K54)</f>
        <v>23323166.487459525</v>
      </c>
    </row>
    <row r="56" spans="10:11">
      <c r="J56" s="172">
        <v>2022.01</v>
      </c>
      <c r="K56" s="81">
        <v>1245596.6383005981</v>
      </c>
    </row>
    <row r="57" spans="10:11" ht="18" thickBot="1">
      <c r="J57" s="173">
        <v>2022.02</v>
      </c>
      <c r="K57" s="174">
        <f>F26</f>
        <v>1525045.3502618987</v>
      </c>
    </row>
    <row r="58" spans="10:11" ht="18" thickBot="1">
      <c r="J58" s="28" t="s">
        <v>256</v>
      </c>
      <c r="K58" s="27">
        <f>SUM(K56:K57)</f>
        <v>2770641.9885624968</v>
      </c>
    </row>
    <row r="59" spans="10:11" ht="18" thickBot="1">
      <c r="J59" s="28" t="s">
        <v>257</v>
      </c>
      <c r="K59" s="27">
        <f>K5-K16-K29-K42-K55-K58</f>
        <v>107759865.65306889</v>
      </c>
    </row>
  </sheetData>
  <mergeCells count="1">
    <mergeCell ref="J7:K7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5"/>
  <sheetViews>
    <sheetView topLeftCell="A7" zoomScale="110" zoomScaleNormal="110" workbookViewId="0">
      <selection activeCell="D22" sqref="D22:H22"/>
    </sheetView>
  </sheetViews>
  <sheetFormatPr defaultRowHeight="17.399999999999999"/>
  <cols>
    <col min="1" max="1" width="3.796875" style="24" customWidth="1"/>
    <col min="2" max="2" width="13.09765625" style="24" bestFit="1" customWidth="1"/>
    <col min="3" max="3" width="24.5" style="24" customWidth="1"/>
    <col min="4" max="4" width="12" style="100" customWidth="1"/>
    <col min="5" max="6" width="12" style="24" customWidth="1"/>
    <col min="7" max="7" width="12.69921875" style="24" bestFit="1" customWidth="1"/>
    <col min="8" max="8" width="13.5" style="24" bestFit="1" customWidth="1"/>
    <col min="9" max="9" width="16.09765625" style="24" customWidth="1"/>
    <col min="10" max="16384" width="8.796875" style="24"/>
  </cols>
  <sheetData>
    <row r="1" spans="2:11" ht="18" thickBot="1">
      <c r="E1" s="39">
        <f>D1-F1</f>
        <v>0</v>
      </c>
    </row>
    <row r="2" spans="2:11">
      <c r="B2" s="49" t="s">
        <v>2</v>
      </c>
      <c r="C2" s="50" t="s">
        <v>29</v>
      </c>
      <c r="D2" s="50" t="s">
        <v>3</v>
      </c>
      <c r="E2" s="50" t="s">
        <v>106</v>
      </c>
      <c r="F2" s="50" t="s">
        <v>5</v>
      </c>
      <c r="G2" s="50" t="s">
        <v>6</v>
      </c>
      <c r="H2" s="50" t="s">
        <v>215</v>
      </c>
      <c r="I2" s="51" t="s">
        <v>19</v>
      </c>
    </row>
    <row r="3" spans="2:11" ht="16.5" customHeight="1">
      <c r="B3" s="181" t="s">
        <v>56</v>
      </c>
      <c r="C3" s="69" t="s">
        <v>57</v>
      </c>
      <c r="D3" s="109">
        <v>557825.4</v>
      </c>
      <c r="E3" s="39">
        <f t="shared" ref="E3:E21" si="0">D3-F3</f>
        <v>50711.400000000023</v>
      </c>
      <c r="F3" s="73">
        <v>507114</v>
      </c>
      <c r="G3" s="40">
        <f>F3*15%</f>
        <v>76067.099999999991</v>
      </c>
      <c r="H3" s="47">
        <f>F3*85%</f>
        <v>431046.89999999997</v>
      </c>
      <c r="I3" s="48" t="s">
        <v>58</v>
      </c>
    </row>
    <row r="4" spans="2:11" ht="16.5" customHeight="1">
      <c r="B4" s="182"/>
      <c r="C4" s="154" t="s">
        <v>202</v>
      </c>
      <c r="D4" s="109">
        <v>5177865</v>
      </c>
      <c r="E4" s="39">
        <f>D4-F4</f>
        <v>470715</v>
      </c>
      <c r="F4" s="73">
        <v>4707150</v>
      </c>
      <c r="G4" s="40">
        <f>F4*15%</f>
        <v>706072.5</v>
      </c>
      <c r="H4" s="47">
        <f>F4*85%</f>
        <v>4001077.5</v>
      </c>
      <c r="I4" s="48" t="s">
        <v>58</v>
      </c>
    </row>
    <row r="5" spans="2:11" ht="16.5" customHeight="1">
      <c r="B5" s="182"/>
      <c r="C5" s="38" t="s">
        <v>59</v>
      </c>
      <c r="D5" s="109">
        <v>135105.29999999999</v>
      </c>
      <c r="E5" s="39">
        <f t="shared" si="0"/>
        <v>12282.299999999988</v>
      </c>
      <c r="F5" s="73">
        <v>122823</v>
      </c>
      <c r="G5" s="40">
        <f t="shared" ref="G5:G21" si="1">F5*15%</f>
        <v>18423.45</v>
      </c>
      <c r="H5" s="47">
        <f t="shared" ref="H5:H21" si="2">F5*85%</f>
        <v>104399.55</v>
      </c>
      <c r="I5" s="48" t="s">
        <v>58</v>
      </c>
    </row>
    <row r="6" spans="2:11" ht="16.5" customHeight="1">
      <c r="B6" s="182"/>
      <c r="C6" s="155" t="s">
        <v>203</v>
      </c>
      <c r="D6" s="109">
        <v>25256</v>
      </c>
      <c r="E6" s="39">
        <f>D6-F6</f>
        <v>2296</v>
      </c>
      <c r="F6" s="73">
        <v>22960</v>
      </c>
      <c r="G6" s="40">
        <f>F6*15%</f>
        <v>3444</v>
      </c>
      <c r="H6" s="47">
        <f>F6*85%</f>
        <v>19516</v>
      </c>
      <c r="I6" s="48" t="s">
        <v>58</v>
      </c>
    </row>
    <row r="7" spans="2:11" ht="16.5" customHeight="1">
      <c r="B7" s="182"/>
      <c r="C7" s="38" t="s">
        <v>60</v>
      </c>
      <c r="D7" s="109">
        <v>3118.5</v>
      </c>
      <c r="E7" s="39">
        <f t="shared" si="0"/>
        <v>283.5</v>
      </c>
      <c r="F7" s="73">
        <v>2835</v>
      </c>
      <c r="G7" s="40">
        <f t="shared" si="1"/>
        <v>425.25</v>
      </c>
      <c r="H7" s="47">
        <f t="shared" si="2"/>
        <v>2409.75</v>
      </c>
      <c r="I7" s="48" t="s">
        <v>58</v>
      </c>
    </row>
    <row r="8" spans="2:11" ht="16.5" customHeight="1">
      <c r="B8" s="182"/>
      <c r="C8" s="155" t="s">
        <v>128</v>
      </c>
      <c r="D8" s="113"/>
      <c r="E8" s="39">
        <f t="shared" si="0"/>
        <v>0</v>
      </c>
      <c r="F8" s="126"/>
      <c r="G8" s="40">
        <f>F8*15%</f>
        <v>0</v>
      </c>
      <c r="H8" s="47">
        <f>F8*85%</f>
        <v>0</v>
      </c>
      <c r="I8" s="48" t="s">
        <v>58</v>
      </c>
    </row>
    <row r="9" spans="2:11" ht="16.5" customHeight="1">
      <c r="B9" s="182"/>
      <c r="C9" s="155" t="s">
        <v>129</v>
      </c>
      <c r="D9" s="113">
        <v>14476</v>
      </c>
      <c r="E9" s="39">
        <f>D9-F9</f>
        <v>1316</v>
      </c>
      <c r="F9" s="126">
        <v>13160</v>
      </c>
      <c r="G9" s="40">
        <f>F9*15%</f>
        <v>1974</v>
      </c>
      <c r="H9" s="47">
        <f>F9*85%</f>
        <v>11186</v>
      </c>
      <c r="I9" s="48" t="s">
        <v>58</v>
      </c>
    </row>
    <row r="10" spans="2:11" ht="16.5" customHeight="1">
      <c r="B10" s="182"/>
      <c r="C10" s="38" t="s">
        <v>61</v>
      </c>
      <c r="D10" s="109">
        <v>5603.4</v>
      </c>
      <c r="E10" s="39">
        <f t="shared" si="0"/>
        <v>509.39999999999964</v>
      </c>
      <c r="F10" s="126">
        <v>5094</v>
      </c>
      <c r="G10" s="40">
        <f>F10*15%</f>
        <v>764.1</v>
      </c>
      <c r="H10" s="47">
        <f>F10*85%</f>
        <v>4329.8999999999996</v>
      </c>
      <c r="I10" s="48" t="s">
        <v>58</v>
      </c>
    </row>
    <row r="11" spans="2:11" ht="16.5" customHeight="1">
      <c r="B11" s="182"/>
      <c r="C11" s="155" t="s">
        <v>165</v>
      </c>
      <c r="D11" s="109">
        <v>115.5</v>
      </c>
      <c r="E11" s="39">
        <f t="shared" si="0"/>
        <v>10.5</v>
      </c>
      <c r="F11" s="73">
        <v>105</v>
      </c>
      <c r="G11" s="40">
        <f t="shared" si="1"/>
        <v>15.75</v>
      </c>
      <c r="H11" s="47">
        <f t="shared" si="2"/>
        <v>89.25</v>
      </c>
      <c r="I11" s="48" t="s">
        <v>58</v>
      </c>
      <c r="K11" s="38"/>
    </row>
    <row r="12" spans="2:11" ht="16.5" customHeight="1">
      <c r="B12" s="182"/>
      <c r="C12" s="155" t="s">
        <v>204</v>
      </c>
      <c r="D12" s="113">
        <v>770</v>
      </c>
      <c r="E12" s="39">
        <f t="shared" si="0"/>
        <v>70</v>
      </c>
      <c r="F12" s="126">
        <v>700</v>
      </c>
      <c r="G12" s="40">
        <f>F12*15%</f>
        <v>105</v>
      </c>
      <c r="H12" s="47">
        <f>F12*85%</f>
        <v>595</v>
      </c>
      <c r="I12" s="48" t="s">
        <v>58</v>
      </c>
    </row>
    <row r="13" spans="2:11" ht="16.5" customHeight="1">
      <c r="B13" s="182"/>
      <c r="C13" s="155" t="s">
        <v>148</v>
      </c>
      <c r="D13" s="113">
        <v>428203.05</v>
      </c>
      <c r="E13" s="39">
        <f t="shared" si="0"/>
        <v>38927.549999999988</v>
      </c>
      <c r="F13" s="126">
        <v>389275.5</v>
      </c>
      <c r="G13" s="40">
        <f>F13*15%</f>
        <v>58391.324999999997</v>
      </c>
      <c r="H13" s="47">
        <f>F13*85%</f>
        <v>330884.17499999999</v>
      </c>
      <c r="I13" s="48" t="s">
        <v>58</v>
      </c>
    </row>
    <row r="14" spans="2:11" ht="16.5" customHeight="1">
      <c r="B14" s="182"/>
      <c r="C14" s="38" t="s">
        <v>66</v>
      </c>
      <c r="D14" s="109">
        <v>2405.6999999999998</v>
      </c>
      <c r="E14" s="39">
        <f t="shared" si="0"/>
        <v>218.69999999999982</v>
      </c>
      <c r="F14" s="73">
        <v>2187</v>
      </c>
      <c r="G14" s="40">
        <f t="shared" si="1"/>
        <v>328.05</v>
      </c>
      <c r="H14" s="47">
        <f t="shared" si="2"/>
        <v>1858.95</v>
      </c>
      <c r="I14" s="48" t="s">
        <v>58</v>
      </c>
    </row>
    <row r="15" spans="2:11" ht="16.5" customHeight="1">
      <c r="B15" s="182"/>
      <c r="C15" s="38" t="s">
        <v>77</v>
      </c>
      <c r="D15" s="109">
        <v>138.6</v>
      </c>
      <c r="E15" s="39">
        <f>D15-F15</f>
        <v>12.600000000000009</v>
      </c>
      <c r="F15" s="73">
        <v>125.99999999999999</v>
      </c>
      <c r="G15" s="40">
        <f t="shared" si="1"/>
        <v>18.899999999999999</v>
      </c>
      <c r="H15" s="47">
        <f t="shared" si="2"/>
        <v>107.09999999999998</v>
      </c>
      <c r="I15" s="48" t="s">
        <v>58</v>
      </c>
    </row>
    <row r="16" spans="2:11" ht="16.5" customHeight="1">
      <c r="B16" s="182"/>
      <c r="C16" s="154" t="s">
        <v>97</v>
      </c>
      <c r="D16" s="148"/>
      <c r="E16" s="149"/>
      <c r="F16" s="150"/>
      <c r="G16" s="149"/>
      <c r="H16" s="151"/>
      <c r="I16" s="124" t="s">
        <v>172</v>
      </c>
    </row>
    <row r="17" spans="2:9" ht="16.5" customHeight="1">
      <c r="B17" s="182"/>
      <c r="C17" s="154" t="s">
        <v>170</v>
      </c>
      <c r="D17" s="152"/>
      <c r="E17" s="149">
        <f t="shared" si="0"/>
        <v>0</v>
      </c>
      <c r="F17" s="150"/>
      <c r="G17" s="149">
        <f t="shared" si="1"/>
        <v>0</v>
      </c>
      <c r="H17" s="151">
        <f t="shared" si="2"/>
        <v>0</v>
      </c>
      <c r="I17" s="124" t="s">
        <v>172</v>
      </c>
    </row>
    <row r="18" spans="2:9" ht="16.5" customHeight="1">
      <c r="B18" s="182"/>
      <c r="C18" s="154" t="s">
        <v>149</v>
      </c>
      <c r="D18" s="152"/>
      <c r="E18" s="149">
        <f t="shared" si="0"/>
        <v>0</v>
      </c>
      <c r="F18" s="150"/>
      <c r="G18" s="149">
        <f t="shared" si="1"/>
        <v>0</v>
      </c>
      <c r="H18" s="151">
        <f t="shared" si="2"/>
        <v>0</v>
      </c>
      <c r="I18" s="124" t="s">
        <v>172</v>
      </c>
    </row>
    <row r="19" spans="2:9" ht="16.5" customHeight="1">
      <c r="B19" s="182"/>
      <c r="C19" s="154" t="s">
        <v>196</v>
      </c>
      <c r="D19" s="152"/>
      <c r="E19" s="149">
        <f t="shared" si="0"/>
        <v>0</v>
      </c>
      <c r="F19" s="150"/>
      <c r="G19" s="149">
        <f t="shared" si="1"/>
        <v>0</v>
      </c>
      <c r="H19" s="151">
        <f t="shared" si="2"/>
        <v>0</v>
      </c>
      <c r="I19" s="124" t="s">
        <v>172</v>
      </c>
    </row>
    <row r="20" spans="2:9">
      <c r="B20" s="182"/>
      <c r="C20" s="38" t="s">
        <v>98</v>
      </c>
      <c r="D20" s="109">
        <v>3276.9</v>
      </c>
      <c r="E20" s="39"/>
      <c r="F20" s="73">
        <v>2979</v>
      </c>
      <c r="G20" s="40"/>
      <c r="H20" s="47"/>
      <c r="I20" s="48" t="s">
        <v>58</v>
      </c>
    </row>
    <row r="21" spans="2:9">
      <c r="B21" s="183"/>
      <c r="C21" s="38" t="s">
        <v>200</v>
      </c>
      <c r="D21" s="102">
        <v>0</v>
      </c>
      <c r="E21" s="39">
        <f t="shared" si="0"/>
        <v>0</v>
      </c>
      <c r="F21" s="73">
        <v>0</v>
      </c>
      <c r="G21" s="40">
        <f t="shared" si="1"/>
        <v>0</v>
      </c>
      <c r="H21" s="47">
        <f t="shared" si="2"/>
        <v>0</v>
      </c>
      <c r="I21" s="48" t="s">
        <v>58</v>
      </c>
    </row>
    <row r="22" spans="2:9" ht="18" thickBot="1">
      <c r="B22" s="52" t="s">
        <v>7</v>
      </c>
      <c r="C22" s="53"/>
      <c r="D22" s="54">
        <f>SUM(D3:D21)</f>
        <v>6354159.3500000006</v>
      </c>
      <c r="E22" s="54">
        <f>SUM(E3:E21)</f>
        <v>577352.94999999984</v>
      </c>
      <c r="F22" s="54">
        <f>SUM(F3:F21)</f>
        <v>5776508.5</v>
      </c>
      <c r="G22" s="54">
        <f>SUM(G3:G21)</f>
        <v>866029.42499999993</v>
      </c>
      <c r="H22" s="54">
        <f>SUM(H3:H21)</f>
        <v>4907500.0750000002</v>
      </c>
      <c r="I22" s="55"/>
    </row>
    <row r="23" spans="2:9">
      <c r="B23" s="18"/>
    </row>
    <row r="24" spans="2:9">
      <c r="C24" s="18"/>
      <c r="D24" s="101"/>
      <c r="E24" s="18"/>
    </row>
    <row r="25" spans="2:9">
      <c r="C25" s="18"/>
      <c r="D25" s="101"/>
      <c r="E25" s="18"/>
    </row>
  </sheetData>
  <mergeCells count="1">
    <mergeCell ref="B3:B21"/>
  </mergeCells>
  <phoneticPr fontId="5" type="noConversion"/>
  <pageMargins left="0.7" right="0.7" top="0.75" bottom="0.75" header="0.3" footer="0.3"/>
  <pageSetup paperSize="9"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topLeftCell="B1" workbookViewId="0">
      <selection activeCell="D13" sqref="D13:H13"/>
    </sheetView>
  </sheetViews>
  <sheetFormatPr defaultRowHeight="17.399999999999999"/>
  <cols>
    <col min="1" max="1" width="8.796875" style="24"/>
    <col min="2" max="2" width="13.09765625" style="24" bestFit="1" customWidth="1"/>
    <col min="3" max="3" width="24.5" style="24" customWidth="1"/>
    <col min="4" max="4" width="13.5" style="24" bestFit="1" customWidth="1"/>
    <col min="5" max="5" width="13.5" style="24" customWidth="1"/>
    <col min="6" max="7" width="12.69921875" style="24" bestFit="1" customWidth="1"/>
    <col min="8" max="8" width="13.5" style="24" bestFit="1" customWidth="1"/>
    <col min="9" max="9" width="35.296875" style="24" customWidth="1"/>
    <col min="10" max="16384" width="8.796875" style="24"/>
  </cols>
  <sheetData>
    <row r="1" spans="2:9" ht="18" thickBot="1"/>
    <row r="2" spans="2:9">
      <c r="B2" s="49" t="s">
        <v>2</v>
      </c>
      <c r="C2" s="50" t="s">
        <v>29</v>
      </c>
      <c r="D2" s="50" t="s">
        <v>3</v>
      </c>
      <c r="E2" s="50" t="s">
        <v>106</v>
      </c>
      <c r="F2" s="50" t="s">
        <v>5</v>
      </c>
      <c r="G2" s="50" t="s">
        <v>6</v>
      </c>
      <c r="H2" s="50" t="s">
        <v>217</v>
      </c>
      <c r="I2" s="51" t="s">
        <v>19</v>
      </c>
    </row>
    <row r="3" spans="2:9" ht="16.5" customHeight="1">
      <c r="B3" s="184" t="s">
        <v>86</v>
      </c>
      <c r="C3" s="34" t="s">
        <v>62</v>
      </c>
      <c r="D3" s="125"/>
      <c r="E3" s="3">
        <f t="shared" ref="E3:E12" si="0">D3-F3</f>
        <v>0</v>
      </c>
      <c r="F3" s="3"/>
      <c r="G3" s="4">
        <f t="shared" ref="G3:G12" si="1">F3*15%</f>
        <v>0</v>
      </c>
      <c r="H3" s="30">
        <f t="shared" ref="H3:H9" si="2">F3*85%</f>
        <v>0</v>
      </c>
      <c r="I3" s="22" t="s">
        <v>58</v>
      </c>
    </row>
    <row r="4" spans="2:9" ht="16.5" customHeight="1">
      <c r="B4" s="185"/>
      <c r="C4" s="38" t="s">
        <v>63</v>
      </c>
      <c r="D4" s="125">
        <v>1200</v>
      </c>
      <c r="E4" s="39">
        <f t="shared" si="0"/>
        <v>360.00000000004786</v>
      </c>
      <c r="F4" s="3">
        <v>839.99999999995214</v>
      </c>
      <c r="G4" s="4">
        <f t="shared" si="1"/>
        <v>125.99999999999281</v>
      </c>
      <c r="H4" s="30">
        <f t="shared" si="2"/>
        <v>713.9999999999593</v>
      </c>
      <c r="I4" s="22" t="s">
        <v>58</v>
      </c>
    </row>
    <row r="5" spans="2:9" ht="16.5" customHeight="1">
      <c r="B5" s="185"/>
      <c r="C5" s="38" t="s">
        <v>64</v>
      </c>
      <c r="D5" s="125">
        <v>42200</v>
      </c>
      <c r="E5" s="39">
        <f t="shared" si="0"/>
        <v>12660.000000001688</v>
      </c>
      <c r="F5" s="3">
        <v>29539.999999998312</v>
      </c>
      <c r="G5" s="4">
        <f t="shared" si="1"/>
        <v>4430.9999999997463</v>
      </c>
      <c r="H5" s="30">
        <f t="shared" si="2"/>
        <v>25108.999999998563</v>
      </c>
      <c r="I5" s="22" t="s">
        <v>58</v>
      </c>
    </row>
    <row r="6" spans="2:9" ht="16.5" customHeight="1">
      <c r="B6" s="185"/>
      <c r="C6" s="38" t="s">
        <v>67</v>
      </c>
      <c r="D6" s="125">
        <v>8840</v>
      </c>
      <c r="E6" s="39">
        <f t="shared" si="0"/>
        <v>2652.0000000003538</v>
      </c>
      <c r="F6" s="3">
        <v>6187.9999999996462</v>
      </c>
      <c r="G6" s="4">
        <f t="shared" si="1"/>
        <v>928.19999999994684</v>
      </c>
      <c r="H6" s="30">
        <f t="shared" si="2"/>
        <v>5259.7999999996991</v>
      </c>
      <c r="I6" s="22" t="s">
        <v>58</v>
      </c>
    </row>
    <row r="7" spans="2:9" ht="16.5" customHeight="1">
      <c r="B7" s="185"/>
      <c r="C7" s="38" t="s">
        <v>68</v>
      </c>
      <c r="D7" s="125">
        <v>700</v>
      </c>
      <c r="E7" s="39">
        <f t="shared" si="0"/>
        <v>210.00000000002797</v>
      </c>
      <c r="F7" s="3">
        <v>489.99999999997203</v>
      </c>
      <c r="G7" s="4">
        <f t="shared" si="1"/>
        <v>73.499999999995808</v>
      </c>
      <c r="H7" s="30">
        <f>F7*85%</f>
        <v>416.49999999997624</v>
      </c>
      <c r="I7" s="22" t="s">
        <v>58</v>
      </c>
    </row>
    <row r="8" spans="2:9" ht="16.5" customHeight="1">
      <c r="B8" s="185"/>
      <c r="C8" s="38" t="s">
        <v>179</v>
      </c>
      <c r="D8" s="125">
        <v>200</v>
      </c>
      <c r="E8" s="39">
        <f t="shared" si="0"/>
        <v>60.000000000007987</v>
      </c>
      <c r="F8" s="3">
        <v>139.99999999999201</v>
      </c>
      <c r="G8" s="4">
        <f t="shared" si="1"/>
        <v>20.999999999998803</v>
      </c>
      <c r="H8" s="30">
        <f t="shared" si="2"/>
        <v>118.99999999999321</v>
      </c>
      <c r="I8" s="22" t="s">
        <v>58</v>
      </c>
    </row>
    <row r="9" spans="2:9" ht="16.5" customHeight="1">
      <c r="B9" s="185"/>
      <c r="C9" s="56" t="s">
        <v>69</v>
      </c>
      <c r="D9" s="125">
        <v>3400</v>
      </c>
      <c r="E9" s="39">
        <f t="shared" si="0"/>
        <v>1020.0000000001355</v>
      </c>
      <c r="F9" s="3">
        <v>2379.9999999998645</v>
      </c>
      <c r="G9" s="4">
        <f t="shared" si="1"/>
        <v>356.99999999997965</v>
      </c>
      <c r="H9" s="30">
        <f t="shared" si="2"/>
        <v>2022.9999999998847</v>
      </c>
      <c r="I9" s="22" t="s">
        <v>58</v>
      </c>
    </row>
    <row r="10" spans="2:9" ht="16.5" customHeight="1">
      <c r="B10" s="185"/>
      <c r="C10" s="38" t="s">
        <v>80</v>
      </c>
      <c r="D10" s="125"/>
      <c r="E10" s="39">
        <f t="shared" si="0"/>
        <v>0</v>
      </c>
      <c r="F10" s="3"/>
      <c r="G10" s="4">
        <f t="shared" si="1"/>
        <v>0</v>
      </c>
      <c r="H10" s="30">
        <f>F10*85%</f>
        <v>0</v>
      </c>
      <c r="I10" s="22" t="s">
        <v>58</v>
      </c>
    </row>
    <row r="11" spans="2:9" ht="16.5" customHeight="1">
      <c r="B11" s="185"/>
      <c r="C11" s="38" t="s">
        <v>130</v>
      </c>
      <c r="D11" s="125">
        <v>200</v>
      </c>
      <c r="E11" s="39">
        <f t="shared" si="0"/>
        <v>60.000000000007987</v>
      </c>
      <c r="F11" s="3">
        <v>139.99999999999201</v>
      </c>
      <c r="G11" s="4">
        <f t="shared" si="1"/>
        <v>20.999999999998803</v>
      </c>
      <c r="H11" s="30">
        <f>F11*85%</f>
        <v>118.99999999999321</v>
      </c>
      <c r="I11" s="22" t="s">
        <v>58</v>
      </c>
    </row>
    <row r="12" spans="2:9" ht="16.5" customHeight="1" thickBot="1">
      <c r="B12" s="186"/>
      <c r="C12" s="38" t="s">
        <v>175</v>
      </c>
      <c r="D12" s="125">
        <v>13200</v>
      </c>
      <c r="E12" s="39">
        <f t="shared" si="0"/>
        <v>3960.0000000005275</v>
      </c>
      <c r="F12" s="3">
        <v>9239.9999999994725</v>
      </c>
      <c r="G12" s="4">
        <f t="shared" si="1"/>
        <v>1385.9999999999209</v>
      </c>
      <c r="H12" s="30">
        <f>F12*85%</f>
        <v>7853.9999999995516</v>
      </c>
      <c r="I12" s="22" t="s">
        <v>176</v>
      </c>
    </row>
    <row r="13" spans="2:9" ht="18" thickBot="1">
      <c r="B13" s="23" t="s">
        <v>7</v>
      </c>
      <c r="C13" s="31"/>
      <c r="D13" s="59">
        <f>SUM(D3:D12)</f>
        <v>69940</v>
      </c>
      <c r="E13" s="17">
        <f>SUM(E3:E12)</f>
        <v>20982.000000002794</v>
      </c>
      <c r="F13" s="17">
        <f>SUM(F3:F12)</f>
        <v>48957.999999997206</v>
      </c>
      <c r="G13" s="17">
        <f>SUM(G3:G12)</f>
        <v>7343.6999999995805</v>
      </c>
      <c r="H13" s="17">
        <f>SUM(H3:H12)</f>
        <v>41614.299999997616</v>
      </c>
      <c r="I13" s="32"/>
    </row>
    <row r="15" spans="2:9">
      <c r="B15" s="18"/>
      <c r="C15" s="18"/>
      <c r="D15" s="18"/>
      <c r="E15" s="18"/>
      <c r="F15" s="18"/>
      <c r="G15" s="18"/>
      <c r="H15" s="18"/>
      <c r="I15" s="18"/>
    </row>
    <row r="16" spans="2:9">
      <c r="B16" s="18"/>
      <c r="C16" s="18"/>
      <c r="D16" s="18"/>
      <c r="E16" s="18"/>
      <c r="F16" s="18"/>
      <c r="G16" s="18"/>
      <c r="H16" s="18"/>
      <c r="I16" s="18"/>
    </row>
  </sheetData>
  <mergeCells count="1">
    <mergeCell ref="B3:B12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workbookViewId="0">
      <selection activeCell="D11" sqref="D11:H11"/>
    </sheetView>
  </sheetViews>
  <sheetFormatPr defaultRowHeight="17.399999999999999"/>
  <cols>
    <col min="2" max="2" width="9.59765625" bestFit="1" customWidth="1"/>
    <col min="3" max="3" width="21.296875" bestFit="1" customWidth="1"/>
    <col min="4" max="4" width="13.8984375" customWidth="1"/>
    <col min="5" max="5" width="13.8984375" style="24" customWidth="1"/>
    <col min="6" max="6" width="13.296875" bestFit="1" customWidth="1"/>
    <col min="7" max="7" width="11.3984375" bestFit="1" customWidth="1"/>
    <col min="8" max="8" width="12.09765625" bestFit="1" customWidth="1"/>
    <col min="9" max="9" width="18.8984375" bestFit="1" customWidth="1"/>
  </cols>
  <sheetData>
    <row r="1" spans="2:9" ht="18" thickBot="1"/>
    <row r="2" spans="2:9" ht="18" thickBot="1">
      <c r="B2" s="5" t="s">
        <v>2</v>
      </c>
      <c r="C2" s="6" t="s">
        <v>29</v>
      </c>
      <c r="D2" s="6" t="s">
        <v>3</v>
      </c>
      <c r="E2" s="6" t="s">
        <v>107</v>
      </c>
      <c r="F2" s="6" t="s">
        <v>5</v>
      </c>
      <c r="G2" s="6" t="s">
        <v>6</v>
      </c>
      <c r="H2" s="6" t="s">
        <v>218</v>
      </c>
      <c r="I2" s="63" t="s">
        <v>19</v>
      </c>
    </row>
    <row r="3" spans="2:9">
      <c r="B3" s="187" t="s">
        <v>70</v>
      </c>
      <c r="C3" s="35" t="s">
        <v>65</v>
      </c>
      <c r="D3" s="3">
        <v>16920</v>
      </c>
      <c r="E3" s="3">
        <f t="shared" ref="E3:E10" si="0">D3-F3</f>
        <v>1692</v>
      </c>
      <c r="F3" s="85">
        <v>15228</v>
      </c>
      <c r="G3" s="4">
        <f t="shared" ref="G3:G10" si="1">F3*15%</f>
        <v>2284.1999999999998</v>
      </c>
      <c r="H3" s="30">
        <f t="shared" ref="H3:H10" si="2">F3*85%</f>
        <v>12943.8</v>
      </c>
      <c r="I3" s="48"/>
    </row>
    <row r="4" spans="2:9" s="24" customFormat="1">
      <c r="B4" s="188"/>
      <c r="C4" s="56" t="s">
        <v>78</v>
      </c>
      <c r="D4" s="3">
        <v>293580</v>
      </c>
      <c r="E4" s="3">
        <f t="shared" si="0"/>
        <v>40230</v>
      </c>
      <c r="F4" s="85">
        <v>253350</v>
      </c>
      <c r="G4" s="4">
        <f t="shared" si="1"/>
        <v>38002.5</v>
      </c>
      <c r="H4" s="30">
        <f t="shared" si="2"/>
        <v>215347.5</v>
      </c>
      <c r="I4" s="48"/>
    </row>
    <row r="5" spans="2:9" s="24" customFormat="1">
      <c r="B5" s="188"/>
      <c r="C5" s="56" t="s">
        <v>134</v>
      </c>
      <c r="D5" s="3">
        <v>3600</v>
      </c>
      <c r="E5" s="3">
        <f t="shared" si="0"/>
        <v>864</v>
      </c>
      <c r="F5" s="85">
        <v>2736</v>
      </c>
      <c r="G5" s="4">
        <f t="shared" si="1"/>
        <v>410.4</v>
      </c>
      <c r="H5" s="30">
        <f t="shared" si="2"/>
        <v>2325.6</v>
      </c>
      <c r="I5" s="48"/>
    </row>
    <row r="6" spans="2:9" s="24" customFormat="1">
      <c r="B6" s="188"/>
      <c r="C6" s="56" t="s">
        <v>140</v>
      </c>
      <c r="D6" s="3">
        <v>56520</v>
      </c>
      <c r="E6" s="3">
        <f t="shared" si="0"/>
        <v>5652</v>
      </c>
      <c r="F6" s="85">
        <v>50868</v>
      </c>
      <c r="G6" s="4">
        <f t="shared" si="1"/>
        <v>7630.2</v>
      </c>
      <c r="H6" s="30">
        <f t="shared" si="2"/>
        <v>43237.799999999996</v>
      </c>
      <c r="I6" s="48"/>
    </row>
    <row r="7" spans="2:9" s="24" customFormat="1">
      <c r="B7" s="188"/>
      <c r="C7" s="56" t="s">
        <v>135</v>
      </c>
      <c r="D7" s="3">
        <v>18900</v>
      </c>
      <c r="E7" s="3">
        <f t="shared" si="0"/>
        <v>4302</v>
      </c>
      <c r="F7" s="85">
        <v>14598</v>
      </c>
      <c r="G7" s="4">
        <f t="shared" si="1"/>
        <v>2189.6999999999998</v>
      </c>
      <c r="H7" s="30">
        <f t="shared" si="2"/>
        <v>12408.3</v>
      </c>
      <c r="I7" s="48"/>
    </row>
    <row r="8" spans="2:9" s="24" customFormat="1">
      <c r="B8" s="188"/>
      <c r="C8" s="56" t="s">
        <v>141</v>
      </c>
      <c r="D8" s="3">
        <v>23400</v>
      </c>
      <c r="E8" s="3">
        <f t="shared" si="0"/>
        <v>2340</v>
      </c>
      <c r="F8" s="85">
        <v>21060</v>
      </c>
      <c r="G8" s="4">
        <f t="shared" si="1"/>
        <v>3159</v>
      </c>
      <c r="H8" s="30">
        <f t="shared" si="2"/>
        <v>17901</v>
      </c>
      <c r="I8" s="48"/>
    </row>
    <row r="9" spans="2:9" s="24" customFormat="1">
      <c r="B9" s="188"/>
      <c r="C9" s="56" t="s">
        <v>142</v>
      </c>
      <c r="D9" s="3"/>
      <c r="E9" s="3">
        <f t="shared" si="0"/>
        <v>0</v>
      </c>
      <c r="F9" s="85"/>
      <c r="G9" s="4">
        <f t="shared" si="1"/>
        <v>0</v>
      </c>
      <c r="H9" s="30">
        <f t="shared" si="2"/>
        <v>0</v>
      </c>
      <c r="I9" s="48"/>
    </row>
    <row r="10" spans="2:9" s="24" customFormat="1" ht="18" thickBot="1">
      <c r="B10" s="189"/>
      <c r="C10" s="56" t="s">
        <v>143</v>
      </c>
      <c r="D10" s="3">
        <v>13320</v>
      </c>
      <c r="E10" s="3">
        <f t="shared" si="0"/>
        <v>1332</v>
      </c>
      <c r="F10" s="85">
        <v>11988</v>
      </c>
      <c r="G10" s="4">
        <f t="shared" si="1"/>
        <v>1798.2</v>
      </c>
      <c r="H10" s="30">
        <f t="shared" si="2"/>
        <v>10189.799999999999</v>
      </c>
      <c r="I10" s="48"/>
    </row>
    <row r="11" spans="2:9" ht="18" thickBot="1">
      <c r="B11" s="23" t="s">
        <v>7</v>
      </c>
      <c r="C11" s="41"/>
      <c r="D11" s="17">
        <f>SUM(D3:D10)</f>
        <v>426240</v>
      </c>
      <c r="E11" s="17">
        <f>SUM(E3:E10)</f>
        <v>56412</v>
      </c>
      <c r="F11" s="17">
        <f>SUM(F3:F10)</f>
        <v>369828</v>
      </c>
      <c r="G11" s="17">
        <f>SUM(G3:G10)</f>
        <v>55474.19999999999</v>
      </c>
      <c r="H11" s="17">
        <f>SUM(H3:H10)</f>
        <v>314353.8</v>
      </c>
      <c r="I11" s="60"/>
    </row>
    <row r="13" spans="2:9">
      <c r="C13" s="147"/>
    </row>
    <row r="18" ht="19.8" customHeight="1"/>
  </sheetData>
  <mergeCells count="1">
    <mergeCell ref="B3:B10"/>
  </mergeCells>
  <phoneticPr fontId="8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2"/>
  <sheetViews>
    <sheetView workbookViewId="0">
      <selection activeCell="D12" sqref="D12:H12"/>
    </sheetView>
  </sheetViews>
  <sheetFormatPr defaultRowHeight="17.399999999999999"/>
  <cols>
    <col min="1" max="1" width="8.796875" style="24"/>
    <col min="2" max="2" width="15.796875" style="24" customWidth="1"/>
    <col min="3" max="3" width="18.19921875" style="24" bestFit="1" customWidth="1"/>
    <col min="4" max="4" width="13.8984375" style="24" bestFit="1" customWidth="1"/>
    <col min="5" max="5" width="13.8984375" style="24" customWidth="1"/>
    <col min="6" max="6" width="13.296875" style="24" bestFit="1" customWidth="1"/>
    <col min="7" max="7" width="11.3984375" style="24" bestFit="1" customWidth="1"/>
    <col min="8" max="8" width="12.09765625" style="24" bestFit="1" customWidth="1"/>
    <col min="9" max="9" width="13.69921875" style="24" bestFit="1" customWidth="1"/>
    <col min="10" max="16384" width="8.796875" style="24"/>
  </cols>
  <sheetData>
    <row r="1" spans="2:11" ht="18" thickBot="1"/>
    <row r="2" spans="2:11" ht="18" thickBot="1">
      <c r="B2" s="5" t="s">
        <v>71</v>
      </c>
      <c r="C2" s="6" t="s">
        <v>29</v>
      </c>
      <c r="D2" s="6" t="s">
        <v>139</v>
      </c>
      <c r="E2" s="6" t="s">
        <v>109</v>
      </c>
      <c r="F2" s="6" t="s">
        <v>5</v>
      </c>
      <c r="G2" s="6" t="s">
        <v>6</v>
      </c>
      <c r="H2" s="6" t="s">
        <v>218</v>
      </c>
      <c r="I2" s="7" t="s">
        <v>19</v>
      </c>
    </row>
    <row r="3" spans="2:11">
      <c r="B3" s="187" t="s">
        <v>72</v>
      </c>
      <c r="C3" s="35" t="s">
        <v>136</v>
      </c>
      <c r="D3" s="3">
        <v>161091</v>
      </c>
      <c r="E3" s="3">
        <f t="shared" ref="E3:E8" si="0">D3-F3</f>
        <v>144982</v>
      </c>
      <c r="F3" s="3">
        <v>16109</v>
      </c>
      <c r="G3" s="75">
        <f t="shared" ref="G3:G8" si="1">F3*15%</f>
        <v>2416.35</v>
      </c>
      <c r="H3" s="30">
        <f t="shared" ref="H3:H8" si="2">F3*85%</f>
        <v>13692.65</v>
      </c>
      <c r="I3" s="190" t="s">
        <v>137</v>
      </c>
    </row>
    <row r="4" spans="2:11">
      <c r="B4" s="188"/>
      <c r="C4" s="56" t="s">
        <v>150</v>
      </c>
      <c r="D4" s="162">
        <v>2658</v>
      </c>
      <c r="E4" s="3">
        <f t="shared" si="0"/>
        <v>2392</v>
      </c>
      <c r="F4" s="3">
        <v>266</v>
      </c>
      <c r="G4" s="75">
        <f t="shared" si="1"/>
        <v>39.9</v>
      </c>
      <c r="H4" s="30">
        <f t="shared" si="2"/>
        <v>226.1</v>
      </c>
      <c r="I4" s="191"/>
    </row>
    <row r="5" spans="2:11">
      <c r="B5" s="188"/>
      <c r="C5" s="56" t="s">
        <v>197</v>
      </c>
      <c r="D5" s="3">
        <v>8208</v>
      </c>
      <c r="E5" s="3">
        <f t="shared" si="0"/>
        <v>7387</v>
      </c>
      <c r="F5" s="3">
        <v>821</v>
      </c>
      <c r="G5" s="75">
        <f t="shared" si="1"/>
        <v>123.14999999999999</v>
      </c>
      <c r="H5" s="30">
        <f t="shared" si="2"/>
        <v>697.85</v>
      </c>
      <c r="I5" s="191"/>
      <c r="K5" s="123">
        <f>J5*90%</f>
        <v>0</v>
      </c>
    </row>
    <row r="6" spans="2:11">
      <c r="B6" s="188"/>
      <c r="C6" s="56" t="s">
        <v>166</v>
      </c>
      <c r="D6" s="3">
        <v>39625.599999999999</v>
      </c>
      <c r="E6" s="3">
        <f t="shared" si="0"/>
        <v>35662.6</v>
      </c>
      <c r="F6" s="3">
        <v>3963</v>
      </c>
      <c r="G6" s="75">
        <f t="shared" si="1"/>
        <v>594.44999999999993</v>
      </c>
      <c r="H6" s="30">
        <f t="shared" si="2"/>
        <v>3368.5499999999997</v>
      </c>
      <c r="I6" s="191"/>
    </row>
    <row r="7" spans="2:11">
      <c r="B7" s="188"/>
      <c r="C7" s="56" t="s">
        <v>167</v>
      </c>
      <c r="D7" s="3">
        <v>11322</v>
      </c>
      <c r="E7" s="3">
        <f t="shared" si="0"/>
        <v>10190</v>
      </c>
      <c r="F7" s="3">
        <v>1132</v>
      </c>
      <c r="G7" s="75">
        <f t="shared" si="1"/>
        <v>169.79999999999998</v>
      </c>
      <c r="H7" s="30">
        <f t="shared" si="2"/>
        <v>962.19999999999993</v>
      </c>
      <c r="I7" s="191"/>
    </row>
    <row r="8" spans="2:11">
      <c r="B8" s="188"/>
      <c r="C8" s="56" t="s">
        <v>199</v>
      </c>
      <c r="D8" s="3">
        <v>5040</v>
      </c>
      <c r="E8" s="3">
        <f t="shared" si="0"/>
        <v>4536</v>
      </c>
      <c r="F8" s="3">
        <v>504</v>
      </c>
      <c r="G8" s="75">
        <f t="shared" si="1"/>
        <v>75.599999999999994</v>
      </c>
      <c r="H8" s="30">
        <f t="shared" si="2"/>
        <v>428.4</v>
      </c>
      <c r="I8" s="191"/>
    </row>
    <row r="9" spans="2:11">
      <c r="B9" s="188"/>
      <c r="C9" s="56" t="s">
        <v>198</v>
      </c>
      <c r="D9" s="3">
        <v>13932</v>
      </c>
      <c r="E9" s="3">
        <f>D9-F9</f>
        <v>12539</v>
      </c>
      <c r="F9" s="3">
        <v>1393</v>
      </c>
      <c r="G9" s="75">
        <f>F9*15%</f>
        <v>208.95</v>
      </c>
      <c r="H9" s="30">
        <f>F9*85%</f>
        <v>1184.05</v>
      </c>
      <c r="I9" s="191"/>
    </row>
    <row r="10" spans="2:11">
      <c r="B10" s="188"/>
      <c r="C10" s="56" t="s">
        <v>180</v>
      </c>
      <c r="D10" s="140">
        <v>119600</v>
      </c>
      <c r="E10" s="3">
        <f>D10-F10</f>
        <v>107640</v>
      </c>
      <c r="F10" s="3">
        <v>11960</v>
      </c>
      <c r="G10" s="75">
        <f>F10*15%</f>
        <v>1794</v>
      </c>
      <c r="H10" s="30">
        <f>F10*85%</f>
        <v>10166</v>
      </c>
      <c r="I10" s="191"/>
    </row>
    <row r="11" spans="2:11" ht="18" thickBot="1">
      <c r="B11" s="189"/>
      <c r="C11" s="56" t="s">
        <v>205</v>
      </c>
      <c r="D11" s="3">
        <v>48353</v>
      </c>
      <c r="E11" s="3">
        <f>D11-F11</f>
        <v>43518</v>
      </c>
      <c r="F11" s="3">
        <v>4835</v>
      </c>
      <c r="G11" s="75">
        <f>F11*15%</f>
        <v>725.25</v>
      </c>
      <c r="H11" s="30">
        <f>F11*85%</f>
        <v>4109.75</v>
      </c>
      <c r="I11" s="192"/>
    </row>
    <row r="12" spans="2:11" ht="18" thickBot="1">
      <c r="B12" s="36" t="s">
        <v>7</v>
      </c>
      <c r="C12" s="23"/>
      <c r="D12" s="17">
        <f>SUM(D3:D11)</f>
        <v>409829.6</v>
      </c>
      <c r="E12" s="17">
        <f>SUM(E3:E11)</f>
        <v>368846.6</v>
      </c>
      <c r="F12" s="17">
        <f>SUM(F3:F11)</f>
        <v>40983</v>
      </c>
      <c r="G12" s="17">
        <f>SUM(G3:G11)</f>
        <v>6147.45</v>
      </c>
      <c r="H12" s="17">
        <f>SUM(H3:H11)</f>
        <v>34835.550000000003</v>
      </c>
      <c r="I12" s="32"/>
    </row>
  </sheetData>
  <mergeCells count="2">
    <mergeCell ref="B3:B11"/>
    <mergeCell ref="I3:I11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topLeftCell="B1" zoomScale="90" zoomScaleNormal="90" workbookViewId="0">
      <selection activeCell="D12" sqref="D12:H12"/>
    </sheetView>
  </sheetViews>
  <sheetFormatPr defaultRowHeight="17.399999999999999"/>
  <cols>
    <col min="1" max="1" width="8.796875" style="24"/>
    <col min="2" max="2" width="13.09765625" style="24" bestFit="1" customWidth="1"/>
    <col min="3" max="3" width="24.5" style="24" customWidth="1"/>
    <col min="4" max="4" width="13.5" style="24" bestFit="1" customWidth="1"/>
    <col min="5" max="5" width="13.5" style="24" customWidth="1"/>
    <col min="6" max="7" width="12.69921875" style="24" bestFit="1" customWidth="1"/>
    <col min="8" max="8" width="13.5" style="24" bestFit="1" customWidth="1"/>
    <col min="9" max="9" width="35.296875" style="24" customWidth="1"/>
    <col min="10" max="16384" width="8.796875" style="24"/>
  </cols>
  <sheetData>
    <row r="1" spans="2:9" ht="18" thickBot="1"/>
    <row r="2" spans="2:9" ht="18" thickBot="1">
      <c r="B2" s="5" t="s">
        <v>2</v>
      </c>
      <c r="C2" s="6" t="s">
        <v>29</v>
      </c>
      <c r="D2" s="119" t="s">
        <v>3</v>
      </c>
      <c r="E2" s="119" t="s">
        <v>108</v>
      </c>
      <c r="F2" s="119" t="s">
        <v>5</v>
      </c>
      <c r="G2" s="119" t="s">
        <v>6</v>
      </c>
      <c r="H2" s="6" t="s">
        <v>219</v>
      </c>
      <c r="I2" s="7" t="s">
        <v>19</v>
      </c>
    </row>
    <row r="3" spans="2:9" ht="16.5" customHeight="1">
      <c r="B3" s="193" t="s">
        <v>79</v>
      </c>
      <c r="C3" s="37" t="s">
        <v>68</v>
      </c>
      <c r="D3" s="116"/>
      <c r="E3" s="39">
        <f t="shared" ref="E3:E9" si="0">D3-F3</f>
        <v>0</v>
      </c>
      <c r="F3" s="116"/>
      <c r="G3" s="40">
        <f t="shared" ref="G3:G8" si="1">F3*15%</f>
        <v>0</v>
      </c>
      <c r="H3" s="30">
        <f t="shared" ref="H3:H9" si="2">F3*85%</f>
        <v>0</v>
      </c>
      <c r="I3" s="22" t="s">
        <v>58</v>
      </c>
    </row>
    <row r="4" spans="2:9" ht="16.5" customHeight="1">
      <c r="B4" s="185"/>
      <c r="C4" s="21" t="s">
        <v>80</v>
      </c>
      <c r="D4" s="116">
        <v>11800</v>
      </c>
      <c r="E4" s="39">
        <f t="shared" si="0"/>
        <v>5428</v>
      </c>
      <c r="F4" s="116">
        <v>6372</v>
      </c>
      <c r="G4" s="40">
        <f t="shared" si="1"/>
        <v>955.8</v>
      </c>
      <c r="H4" s="30">
        <f t="shared" si="2"/>
        <v>5416.2</v>
      </c>
      <c r="I4" s="22" t="s">
        <v>58</v>
      </c>
    </row>
    <row r="5" spans="2:9" ht="16.5" customHeight="1">
      <c r="B5" s="185"/>
      <c r="C5" s="21" t="s">
        <v>62</v>
      </c>
      <c r="D5" s="116"/>
      <c r="E5" s="39">
        <f t="shared" si="0"/>
        <v>0</v>
      </c>
      <c r="F5" s="116"/>
      <c r="G5" s="40">
        <f t="shared" si="1"/>
        <v>0</v>
      </c>
      <c r="H5" s="30">
        <f t="shared" si="2"/>
        <v>0</v>
      </c>
      <c r="I5" s="22" t="s">
        <v>58</v>
      </c>
    </row>
    <row r="6" spans="2:9" ht="16.5" customHeight="1">
      <c r="B6" s="185"/>
      <c r="C6" s="21" t="s">
        <v>81</v>
      </c>
      <c r="D6" s="116">
        <v>173200</v>
      </c>
      <c r="E6" s="39">
        <f t="shared" si="0"/>
        <v>79672</v>
      </c>
      <c r="F6" s="141">
        <v>93528</v>
      </c>
      <c r="G6" s="40">
        <f t="shared" si="1"/>
        <v>14029.199999999999</v>
      </c>
      <c r="H6" s="30">
        <f t="shared" si="2"/>
        <v>79498.8</v>
      </c>
      <c r="I6" s="22" t="s">
        <v>58</v>
      </c>
    </row>
    <row r="7" spans="2:9" ht="16.5" customHeight="1">
      <c r="B7" s="185"/>
      <c r="C7" s="21" t="s">
        <v>82</v>
      </c>
      <c r="D7" s="116"/>
      <c r="E7" s="39">
        <f t="shared" si="0"/>
        <v>0</v>
      </c>
      <c r="F7" s="116"/>
      <c r="G7" s="40">
        <f t="shared" si="1"/>
        <v>0</v>
      </c>
      <c r="H7" s="30">
        <f t="shared" si="2"/>
        <v>0</v>
      </c>
      <c r="I7" s="22" t="s">
        <v>58</v>
      </c>
    </row>
    <row r="8" spans="2:9" ht="16.5" customHeight="1">
      <c r="B8" s="185"/>
      <c r="C8" s="38" t="s">
        <v>69</v>
      </c>
      <c r="D8" s="141"/>
      <c r="E8" s="39">
        <f t="shared" si="0"/>
        <v>0</v>
      </c>
      <c r="F8" s="141"/>
      <c r="G8" s="40">
        <f t="shared" si="1"/>
        <v>0</v>
      </c>
      <c r="H8" s="30">
        <f t="shared" si="2"/>
        <v>0</v>
      </c>
      <c r="I8" s="22" t="s">
        <v>58</v>
      </c>
    </row>
    <row r="9" spans="2:9" ht="16.5" customHeight="1">
      <c r="B9" s="185"/>
      <c r="C9" s="38" t="s">
        <v>67</v>
      </c>
      <c r="D9" s="116"/>
      <c r="E9" s="39">
        <f t="shared" si="0"/>
        <v>0</v>
      </c>
      <c r="F9" s="116"/>
      <c r="G9" s="40">
        <f>F9*15%</f>
        <v>0</v>
      </c>
      <c r="H9" s="30">
        <f t="shared" si="2"/>
        <v>0</v>
      </c>
      <c r="I9" s="22" t="s">
        <v>58</v>
      </c>
    </row>
    <row r="10" spans="2:9" ht="16.5" customHeight="1">
      <c r="B10" s="185"/>
      <c r="C10" s="38" t="s">
        <v>130</v>
      </c>
      <c r="D10" s="116"/>
      <c r="E10" s="39">
        <f>D10-F10</f>
        <v>0</v>
      </c>
      <c r="F10" s="116"/>
      <c r="G10" s="40">
        <f>F10*15%</f>
        <v>0</v>
      </c>
      <c r="H10" s="30">
        <f>F10*85%</f>
        <v>0</v>
      </c>
      <c r="I10" s="22" t="s">
        <v>58</v>
      </c>
    </row>
    <row r="11" spans="2:9" ht="16.5" customHeight="1" thickBot="1">
      <c r="B11" s="186"/>
      <c r="C11" s="38" t="s">
        <v>175</v>
      </c>
      <c r="D11" s="116"/>
      <c r="E11" s="39">
        <f>D11-F11</f>
        <v>0</v>
      </c>
      <c r="F11" s="116"/>
      <c r="G11" s="40">
        <f>F11*15%</f>
        <v>0</v>
      </c>
      <c r="H11" s="30">
        <f>F11*85%</f>
        <v>0</v>
      </c>
      <c r="I11" s="22" t="s">
        <v>58</v>
      </c>
    </row>
    <row r="12" spans="2:9" ht="18" thickBot="1">
      <c r="B12" s="23" t="s">
        <v>7</v>
      </c>
      <c r="C12" s="31"/>
      <c r="D12" s="59">
        <f>SUM(D3:D11)</f>
        <v>185000</v>
      </c>
      <c r="E12" s="59">
        <f>SUM(E3:E11)</f>
        <v>85100</v>
      </c>
      <c r="F12" s="59">
        <f>SUM(F3:F11)</f>
        <v>99900</v>
      </c>
      <c r="G12" s="59">
        <f>SUM(G3:G11)</f>
        <v>14984.999999999998</v>
      </c>
      <c r="H12" s="17">
        <f>SUM(H3:H11)</f>
        <v>84915</v>
      </c>
      <c r="I12" s="32"/>
    </row>
    <row r="14" spans="2:9">
      <c r="B14" s="18"/>
      <c r="C14" s="18"/>
      <c r="D14" s="18"/>
      <c r="E14" s="18"/>
      <c r="F14" s="18"/>
      <c r="G14" s="18"/>
      <c r="H14" s="18"/>
      <c r="I14" s="18"/>
    </row>
    <row r="15" spans="2:9">
      <c r="B15" s="18"/>
      <c r="C15" s="18"/>
      <c r="D15" s="18"/>
      <c r="E15" s="18"/>
      <c r="F15" s="18"/>
      <c r="G15" s="18"/>
      <c r="H15" s="18"/>
      <c r="I15" s="18"/>
    </row>
    <row r="16" spans="2:9" ht="18" thickBot="1">
      <c r="D16" s="110"/>
    </row>
    <row r="17" spans="4:8" ht="18" thickBot="1">
      <c r="G17" s="163"/>
      <c r="H17" s="163"/>
    </row>
    <row r="18" spans="4:8">
      <c r="D18" s="153"/>
      <c r="E18" s="164"/>
    </row>
  </sheetData>
  <mergeCells count="1">
    <mergeCell ref="B3:B11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"/>
  <sheetViews>
    <sheetView topLeftCell="B1" zoomScale="110" zoomScaleNormal="110" workbookViewId="0">
      <selection activeCell="D11" sqref="D11:H11"/>
    </sheetView>
  </sheetViews>
  <sheetFormatPr defaultRowHeight="17.399999999999999"/>
  <cols>
    <col min="2" max="2" width="18.3984375" customWidth="1"/>
    <col min="3" max="3" width="21.3984375" bestFit="1" customWidth="1"/>
    <col min="4" max="4" width="13.8984375" bestFit="1" customWidth="1"/>
    <col min="5" max="5" width="13.8984375" style="24" customWidth="1"/>
    <col min="6" max="6" width="13.296875" bestFit="1" customWidth="1"/>
    <col min="7" max="7" width="11.3984375" bestFit="1" customWidth="1"/>
    <col min="8" max="8" width="12.09765625" bestFit="1" customWidth="1"/>
    <col min="9" max="9" width="13.8984375" customWidth="1"/>
  </cols>
  <sheetData>
    <row r="1" spans="2:9" ht="18" thickBot="1"/>
    <row r="2" spans="2:9">
      <c r="B2" s="61" t="s">
        <v>71</v>
      </c>
      <c r="C2" s="62" t="s">
        <v>29</v>
      </c>
      <c r="D2" s="62" t="s">
        <v>3</v>
      </c>
      <c r="E2" s="50" t="s">
        <v>110</v>
      </c>
      <c r="F2" s="62" t="s">
        <v>5</v>
      </c>
      <c r="G2" s="62" t="s">
        <v>6</v>
      </c>
      <c r="H2" s="62" t="s">
        <v>219</v>
      </c>
      <c r="I2" s="63" t="s">
        <v>19</v>
      </c>
    </row>
    <row r="3" spans="2:9">
      <c r="B3" s="194" t="s">
        <v>83</v>
      </c>
      <c r="C3" s="38" t="s">
        <v>99</v>
      </c>
      <c r="D3" s="39">
        <v>0</v>
      </c>
      <c r="E3" s="3">
        <f t="shared" ref="E3:E10" si="0">D3-F3</f>
        <v>0</v>
      </c>
      <c r="F3" s="39">
        <v>0</v>
      </c>
      <c r="G3" s="64">
        <f>F3*15%</f>
        <v>0</v>
      </c>
      <c r="H3" s="47">
        <f t="shared" ref="H3:H10" si="1">F3*85%</f>
        <v>0</v>
      </c>
      <c r="I3" s="48" t="s">
        <v>85</v>
      </c>
    </row>
    <row r="4" spans="2:9" s="24" customFormat="1">
      <c r="B4" s="195"/>
      <c r="C4" s="38" t="s">
        <v>84</v>
      </c>
      <c r="D4" s="142"/>
      <c r="E4" s="3">
        <f t="shared" si="0"/>
        <v>0</v>
      </c>
      <c r="F4" s="39"/>
      <c r="G4" s="64">
        <f t="shared" ref="G4:G10" si="2">F4*15%</f>
        <v>0</v>
      </c>
      <c r="H4" s="47">
        <f t="shared" si="1"/>
        <v>0</v>
      </c>
      <c r="I4" s="48" t="s">
        <v>85</v>
      </c>
    </row>
    <row r="5" spans="2:9" s="24" customFormat="1">
      <c r="B5" s="195"/>
      <c r="C5" s="38" t="s">
        <v>100</v>
      </c>
      <c r="D5" s="39">
        <v>400</v>
      </c>
      <c r="E5" s="3">
        <f t="shared" si="0"/>
        <v>120</v>
      </c>
      <c r="F5" s="39">
        <v>280</v>
      </c>
      <c r="G5" s="64">
        <f t="shared" si="2"/>
        <v>42</v>
      </c>
      <c r="H5" s="47">
        <f t="shared" si="1"/>
        <v>238</v>
      </c>
      <c r="I5" s="48" t="s">
        <v>85</v>
      </c>
    </row>
    <row r="6" spans="2:9" s="24" customFormat="1">
      <c r="B6" s="195"/>
      <c r="C6" s="38" t="s">
        <v>101</v>
      </c>
      <c r="D6" s="114">
        <v>14900</v>
      </c>
      <c r="E6" s="3">
        <f t="shared" si="0"/>
        <v>4862</v>
      </c>
      <c r="F6" s="39">
        <v>10038</v>
      </c>
      <c r="G6" s="64">
        <f t="shared" si="2"/>
        <v>1505.7</v>
      </c>
      <c r="H6" s="47">
        <f>F6*85%</f>
        <v>8532.2999999999993</v>
      </c>
      <c r="I6" s="48" t="s">
        <v>85</v>
      </c>
    </row>
    <row r="7" spans="2:9" s="24" customFormat="1">
      <c r="B7" s="195"/>
      <c r="C7" s="38" t="s">
        <v>102</v>
      </c>
      <c r="D7" s="39"/>
      <c r="E7" s="3">
        <f t="shared" si="0"/>
        <v>0</v>
      </c>
      <c r="F7" s="39"/>
      <c r="G7" s="64">
        <f t="shared" si="2"/>
        <v>0</v>
      </c>
      <c r="H7" s="47">
        <f t="shared" si="1"/>
        <v>0</v>
      </c>
      <c r="I7" s="48" t="s">
        <v>85</v>
      </c>
    </row>
    <row r="8" spans="2:9" s="24" customFormat="1">
      <c r="B8" s="195"/>
      <c r="C8" s="38" t="s">
        <v>111</v>
      </c>
      <c r="D8" s="39"/>
      <c r="E8" s="3">
        <f t="shared" si="0"/>
        <v>0</v>
      </c>
      <c r="F8" s="39"/>
      <c r="G8" s="64">
        <f t="shared" si="2"/>
        <v>0</v>
      </c>
      <c r="H8" s="47">
        <f t="shared" si="1"/>
        <v>0</v>
      </c>
      <c r="I8" s="48" t="s">
        <v>85</v>
      </c>
    </row>
    <row r="9" spans="2:9" s="24" customFormat="1">
      <c r="B9" s="195"/>
      <c r="C9" s="38" t="s">
        <v>104</v>
      </c>
      <c r="D9" s="39"/>
      <c r="E9" s="3">
        <f>D9-F9</f>
        <v>0</v>
      </c>
      <c r="F9" s="39"/>
      <c r="G9" s="64">
        <f>F9*15%</f>
        <v>0</v>
      </c>
      <c r="H9" s="47">
        <f>F9*85%</f>
        <v>0</v>
      </c>
      <c r="I9" s="48" t="s">
        <v>85</v>
      </c>
    </row>
    <row r="10" spans="2:9" s="24" customFormat="1">
      <c r="B10" s="195"/>
      <c r="C10" s="38" t="s">
        <v>144</v>
      </c>
      <c r="D10" s="39"/>
      <c r="E10" s="3">
        <f t="shared" si="0"/>
        <v>0</v>
      </c>
      <c r="F10" s="39"/>
      <c r="G10" s="64">
        <f t="shared" si="2"/>
        <v>0</v>
      </c>
      <c r="H10" s="47">
        <f t="shared" si="1"/>
        <v>0</v>
      </c>
      <c r="I10" s="48" t="s">
        <v>85</v>
      </c>
    </row>
    <row r="11" spans="2:9" ht="18" thickBot="1">
      <c r="B11" s="57" t="s">
        <v>7</v>
      </c>
      <c r="C11" s="58"/>
      <c r="D11" s="59">
        <f>SUM(D3:D10)</f>
        <v>15300</v>
      </c>
      <c r="E11" s="59">
        <f>SUM(E3:E10)</f>
        <v>4982</v>
      </c>
      <c r="F11" s="65">
        <f>SUM(F4:F10)</f>
        <v>10318</v>
      </c>
      <c r="G11" s="59">
        <f>SUM(G3:G10)</f>
        <v>1547.7</v>
      </c>
      <c r="H11" s="59">
        <f>SUM(H3:H10)</f>
        <v>8770.2999999999993</v>
      </c>
      <c r="I11" s="60"/>
    </row>
  </sheetData>
  <mergeCells count="1">
    <mergeCell ref="B3:B10"/>
  </mergeCells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topLeftCell="C1" workbookViewId="0">
      <selection activeCell="D13" sqref="D13:H13"/>
    </sheetView>
  </sheetViews>
  <sheetFormatPr defaultRowHeight="17.399999999999999"/>
  <cols>
    <col min="1" max="1" width="8.796875" style="24"/>
    <col min="2" max="2" width="18.3984375" style="24" customWidth="1"/>
    <col min="3" max="3" width="21.3984375" style="24" bestFit="1" customWidth="1"/>
    <col min="4" max="5" width="13.8984375" style="24" customWidth="1"/>
    <col min="6" max="6" width="13.296875" style="24" bestFit="1" customWidth="1"/>
    <col min="7" max="7" width="11.3984375" style="24" bestFit="1" customWidth="1"/>
    <col min="8" max="8" width="12.09765625" style="24" bestFit="1" customWidth="1"/>
    <col min="9" max="9" width="13.8984375" style="24" customWidth="1"/>
    <col min="10" max="16384" width="8.796875" style="24"/>
  </cols>
  <sheetData>
    <row r="1" spans="2:9" ht="18" thickBot="1"/>
    <row r="2" spans="2:9">
      <c r="B2" s="61" t="s">
        <v>71</v>
      </c>
      <c r="C2" s="62" t="s">
        <v>29</v>
      </c>
      <c r="D2" s="62" t="s">
        <v>3</v>
      </c>
      <c r="E2" s="50" t="s">
        <v>112</v>
      </c>
      <c r="F2" s="62" t="s">
        <v>5</v>
      </c>
      <c r="G2" s="62" t="s">
        <v>6</v>
      </c>
      <c r="H2" s="62" t="s">
        <v>220</v>
      </c>
      <c r="I2" s="63" t="s">
        <v>19</v>
      </c>
    </row>
    <row r="3" spans="2:9">
      <c r="B3" s="196" t="s">
        <v>103</v>
      </c>
      <c r="C3" s="38" t="s">
        <v>101</v>
      </c>
      <c r="D3" s="117">
        <v>252980</v>
      </c>
      <c r="E3" s="3">
        <f t="shared" ref="E3:E12" si="0">D3-F3</f>
        <v>78157.879999999976</v>
      </c>
      <c r="F3" s="39">
        <v>174822.12000000002</v>
      </c>
      <c r="G3" s="64">
        <f t="shared" ref="G3:G12" si="1">F3*15%</f>
        <v>26223.318000000003</v>
      </c>
      <c r="H3" s="47">
        <f t="shared" ref="H3:H12" si="2">F3*85%</f>
        <v>148598.80200000003</v>
      </c>
      <c r="I3" s="48" t="s">
        <v>85</v>
      </c>
    </row>
    <row r="4" spans="2:9">
      <c r="B4" s="188"/>
      <c r="C4" s="38" t="s">
        <v>100</v>
      </c>
      <c r="D4" s="117">
        <v>7000</v>
      </c>
      <c r="E4" s="3">
        <f t="shared" si="0"/>
        <v>2149</v>
      </c>
      <c r="F4" s="39">
        <v>4851</v>
      </c>
      <c r="G4" s="64">
        <f t="shared" si="1"/>
        <v>727.65</v>
      </c>
      <c r="H4" s="47">
        <f t="shared" si="2"/>
        <v>4123.3499999999995</v>
      </c>
      <c r="I4" s="48" t="s">
        <v>85</v>
      </c>
    </row>
    <row r="5" spans="2:9">
      <c r="B5" s="188"/>
      <c r="C5" s="38" t="s">
        <v>84</v>
      </c>
      <c r="D5" s="111">
        <v>26640</v>
      </c>
      <c r="E5" s="39">
        <f t="shared" si="0"/>
        <v>8222.0399999999972</v>
      </c>
      <c r="F5" s="39">
        <v>18417.960000000003</v>
      </c>
      <c r="G5" s="64">
        <f t="shared" si="1"/>
        <v>2762.6940000000004</v>
      </c>
      <c r="H5" s="47">
        <f t="shared" si="2"/>
        <v>15655.266000000001</v>
      </c>
      <c r="I5" s="48" t="s">
        <v>85</v>
      </c>
    </row>
    <row r="6" spans="2:9">
      <c r="B6" s="188"/>
      <c r="C6" s="38" t="s">
        <v>104</v>
      </c>
      <c r="D6" s="117">
        <v>27000</v>
      </c>
      <c r="E6" s="3">
        <f t="shared" si="0"/>
        <v>8289</v>
      </c>
      <c r="F6" s="39">
        <v>18711</v>
      </c>
      <c r="G6" s="64">
        <f t="shared" si="1"/>
        <v>2806.65</v>
      </c>
      <c r="H6" s="47">
        <f t="shared" si="2"/>
        <v>15904.35</v>
      </c>
      <c r="I6" s="48" t="s">
        <v>85</v>
      </c>
    </row>
    <row r="7" spans="2:9">
      <c r="B7" s="188"/>
      <c r="C7" s="38" t="s">
        <v>99</v>
      </c>
      <c r="D7" s="117">
        <v>2600</v>
      </c>
      <c r="E7" s="3">
        <f t="shared" si="0"/>
        <v>798.2</v>
      </c>
      <c r="F7" s="39">
        <v>1801.8</v>
      </c>
      <c r="G7" s="64">
        <f t="shared" si="1"/>
        <v>270.27</v>
      </c>
      <c r="H7" s="47">
        <f t="shared" si="2"/>
        <v>1531.53</v>
      </c>
      <c r="I7" s="48" t="s">
        <v>85</v>
      </c>
    </row>
    <row r="8" spans="2:9">
      <c r="B8" s="188"/>
      <c r="C8" s="38" t="s">
        <v>124</v>
      </c>
      <c r="D8" s="117">
        <v>2600</v>
      </c>
      <c r="E8" s="3">
        <f>D8-F8</f>
        <v>798.2</v>
      </c>
      <c r="F8" s="39">
        <v>1801.8</v>
      </c>
      <c r="G8" s="64">
        <f>F8*15%</f>
        <v>270.27</v>
      </c>
      <c r="H8" s="47">
        <f>F8*85%</f>
        <v>1531.53</v>
      </c>
      <c r="I8" s="48" t="s">
        <v>85</v>
      </c>
    </row>
    <row r="9" spans="2:9">
      <c r="B9" s="188"/>
      <c r="C9" s="38" t="s">
        <v>171</v>
      </c>
      <c r="D9" s="111">
        <v>1400</v>
      </c>
      <c r="E9" s="3">
        <f>D9-F9</f>
        <v>429.79999999999995</v>
      </c>
      <c r="F9" s="39">
        <v>970.2</v>
      </c>
      <c r="G9" s="64">
        <f>F9*15%</f>
        <v>145.53</v>
      </c>
      <c r="H9" s="47">
        <f>F9*85%</f>
        <v>824.67000000000007</v>
      </c>
      <c r="I9" s="48" t="s">
        <v>85</v>
      </c>
    </row>
    <row r="10" spans="2:9">
      <c r="B10" s="188"/>
      <c r="C10" s="38" t="s">
        <v>174</v>
      </c>
      <c r="D10" s="117">
        <v>261280</v>
      </c>
      <c r="E10" s="3">
        <f>D10-F10</f>
        <v>81804.879999999976</v>
      </c>
      <c r="F10" s="39">
        <v>179475.12000000002</v>
      </c>
      <c r="G10" s="64">
        <f>F10*15%</f>
        <v>26921.268000000004</v>
      </c>
      <c r="H10" s="47">
        <f>F10*85%</f>
        <v>152553.85200000001</v>
      </c>
      <c r="I10" s="48" t="s">
        <v>85</v>
      </c>
    </row>
    <row r="11" spans="2:9">
      <c r="B11" s="188"/>
      <c r="C11" s="38" t="s">
        <v>177</v>
      </c>
      <c r="D11" s="117">
        <v>5200</v>
      </c>
      <c r="E11" s="3">
        <f>D11-F11</f>
        <v>1596.4</v>
      </c>
      <c r="F11" s="39">
        <v>3603.6</v>
      </c>
      <c r="G11" s="64">
        <f>F11*15%</f>
        <v>540.54</v>
      </c>
      <c r="H11" s="47">
        <f>F11*85%</f>
        <v>3063.06</v>
      </c>
      <c r="I11" s="48" t="s">
        <v>85</v>
      </c>
    </row>
    <row r="12" spans="2:9" ht="18" thickBot="1">
      <c r="B12" s="188"/>
      <c r="C12" s="38" t="s">
        <v>184</v>
      </c>
      <c r="D12" s="112">
        <v>167750</v>
      </c>
      <c r="E12" s="3">
        <f t="shared" si="0"/>
        <v>16775</v>
      </c>
      <c r="F12" s="39">
        <v>150975</v>
      </c>
      <c r="G12" s="64">
        <f t="shared" si="1"/>
        <v>22646.25</v>
      </c>
      <c r="H12" s="47">
        <f t="shared" si="2"/>
        <v>128328.75</v>
      </c>
      <c r="I12" s="48" t="s">
        <v>85</v>
      </c>
    </row>
    <row r="13" spans="2:9" ht="18" thickBot="1">
      <c r="B13" s="57" t="s">
        <v>7</v>
      </c>
      <c r="C13" s="58"/>
      <c r="D13" s="59">
        <f>SUM(D3:D12)</f>
        <v>754450</v>
      </c>
      <c r="E13" s="59">
        <f>SUM(E3:E12)</f>
        <v>199020.39999999994</v>
      </c>
      <c r="F13" s="59">
        <f>SUM(F3:F12)</f>
        <v>555429.6</v>
      </c>
      <c r="G13" s="59">
        <f>SUM(G3:G12)</f>
        <v>83314.44</v>
      </c>
      <c r="H13" s="59">
        <f>SUM(H3:H12)</f>
        <v>472115.16000000009</v>
      </c>
      <c r="I13" s="60"/>
    </row>
  </sheetData>
  <mergeCells count="1">
    <mergeCell ref="B3:B12"/>
  </mergeCells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"/>
  <sheetViews>
    <sheetView topLeftCell="B1" workbookViewId="0">
      <selection activeCell="E19" sqref="E19"/>
    </sheetView>
  </sheetViews>
  <sheetFormatPr defaultRowHeight="17.399999999999999"/>
  <cols>
    <col min="1" max="1" width="8.796875" style="24"/>
    <col min="2" max="2" width="18.3984375" style="24" customWidth="1"/>
    <col min="3" max="3" width="21.3984375" style="24" bestFit="1" customWidth="1"/>
    <col min="4" max="4" width="13.8984375" style="24" bestFit="1" customWidth="1"/>
    <col min="5" max="5" width="13.8984375" style="24" customWidth="1"/>
    <col min="6" max="6" width="13.296875" style="24" bestFit="1" customWidth="1"/>
    <col min="7" max="7" width="11.3984375" style="24" bestFit="1" customWidth="1"/>
    <col min="8" max="8" width="12.09765625" style="24" bestFit="1" customWidth="1"/>
    <col min="9" max="9" width="13.8984375" style="24" customWidth="1"/>
    <col min="10" max="16384" width="8.796875" style="24"/>
  </cols>
  <sheetData>
    <row r="1" spans="2:9" ht="18" thickBot="1"/>
    <row r="2" spans="2:9">
      <c r="B2" s="61" t="s">
        <v>71</v>
      </c>
      <c r="C2" s="62" t="s">
        <v>29</v>
      </c>
      <c r="D2" s="62" t="s">
        <v>3</v>
      </c>
      <c r="E2" s="62" t="s">
        <v>112</v>
      </c>
      <c r="F2" s="62" t="s">
        <v>5</v>
      </c>
      <c r="G2" s="62" t="s">
        <v>6</v>
      </c>
      <c r="H2" s="62" t="s">
        <v>221</v>
      </c>
      <c r="I2" s="63" t="s">
        <v>19</v>
      </c>
    </row>
    <row r="3" spans="2:9">
      <c r="B3" s="196" t="s">
        <v>115</v>
      </c>
      <c r="C3" s="38" t="s">
        <v>101</v>
      </c>
      <c r="E3" s="39">
        <f>D3-F3</f>
        <v>0</v>
      </c>
      <c r="G3" s="134">
        <f>F3*15%</f>
        <v>0</v>
      </c>
      <c r="H3" s="47">
        <f>F3*85%</f>
        <v>0</v>
      </c>
      <c r="I3" s="48" t="s">
        <v>85</v>
      </c>
    </row>
    <row r="4" spans="2:9">
      <c r="B4" s="188"/>
      <c r="C4" s="38" t="s">
        <v>104</v>
      </c>
      <c r="D4" s="135"/>
      <c r="E4" s="39">
        <f>D4-F4</f>
        <v>0</v>
      </c>
      <c r="F4" s="136"/>
      <c r="G4" s="134">
        <f>F4*15%</f>
        <v>0</v>
      </c>
      <c r="H4" s="47">
        <f>F4*85%</f>
        <v>0</v>
      </c>
      <c r="I4" s="48" t="s">
        <v>85</v>
      </c>
    </row>
    <row r="5" spans="2:9">
      <c r="B5" s="188"/>
      <c r="C5" s="38" t="s">
        <v>84</v>
      </c>
      <c r="D5" s="39"/>
      <c r="E5" s="39">
        <f>D5-F5</f>
        <v>0</v>
      </c>
      <c r="F5" s="39"/>
      <c r="G5" s="134">
        <f>F5*15%</f>
        <v>0</v>
      </c>
      <c r="H5" s="47">
        <f>F5*85%</f>
        <v>0</v>
      </c>
      <c r="I5" s="48" t="s">
        <v>85</v>
      </c>
    </row>
    <row r="6" spans="2:9" ht="18" thickBot="1">
      <c r="B6" s="57" t="s">
        <v>7</v>
      </c>
      <c r="C6" s="58"/>
      <c r="D6" s="59">
        <f>SUM(D3:D5)</f>
        <v>0</v>
      </c>
      <c r="E6" s="59">
        <f>SUM(E3:E5)</f>
        <v>0</v>
      </c>
      <c r="F6" s="59">
        <f>SUM(F3:F5)</f>
        <v>0</v>
      </c>
      <c r="G6" s="59">
        <f>SUM(G3:G5)</f>
        <v>0</v>
      </c>
      <c r="H6" s="59">
        <f>SUM(H3:H5)</f>
        <v>0</v>
      </c>
      <c r="I6" s="60"/>
    </row>
  </sheetData>
  <mergeCells count="1">
    <mergeCell ref="B3:B5"/>
  </mergeCells>
  <phoneticPr fontId="1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workbookViewId="0">
      <selection activeCell="D20" sqref="D20"/>
    </sheetView>
  </sheetViews>
  <sheetFormatPr defaultRowHeight="17.399999999999999"/>
  <cols>
    <col min="1" max="1" width="8.796875" style="24"/>
    <col min="2" max="2" width="18.3984375" style="24" customWidth="1"/>
    <col min="3" max="3" width="21.3984375" style="24" bestFit="1" customWidth="1"/>
    <col min="4" max="4" width="13.8984375" style="24" bestFit="1" customWidth="1"/>
    <col min="5" max="5" width="13.8984375" style="24" customWidth="1"/>
    <col min="6" max="6" width="13.296875" style="24" bestFit="1" customWidth="1"/>
    <col min="7" max="7" width="11.3984375" style="24" bestFit="1" customWidth="1"/>
    <col min="8" max="8" width="12.09765625" style="24" bestFit="1" customWidth="1"/>
    <col min="9" max="9" width="13.8984375" style="24" customWidth="1"/>
    <col min="10" max="16384" width="8.796875" style="24"/>
  </cols>
  <sheetData>
    <row r="1" spans="2:9" ht="18" thickBot="1">
      <c r="E1" s="3">
        <f>D1-F1</f>
        <v>0</v>
      </c>
    </row>
    <row r="2" spans="2:9">
      <c r="B2" s="61" t="s">
        <v>71</v>
      </c>
      <c r="C2" s="62" t="s">
        <v>29</v>
      </c>
      <c r="D2" s="62" t="s">
        <v>3</v>
      </c>
      <c r="E2" s="50" t="s">
        <v>112</v>
      </c>
      <c r="F2" s="62" t="s">
        <v>5</v>
      </c>
      <c r="G2" s="62" t="s">
        <v>6</v>
      </c>
      <c r="H2" s="62" t="s">
        <v>221</v>
      </c>
      <c r="I2" s="63" t="s">
        <v>19</v>
      </c>
    </row>
    <row r="3" spans="2:9">
      <c r="B3" s="194" t="s">
        <v>113</v>
      </c>
      <c r="C3" s="38" t="s">
        <v>100</v>
      </c>
      <c r="D3" s="39">
        <v>0</v>
      </c>
      <c r="E3" s="39">
        <f t="shared" ref="E3:E10" si="0">D3-F3</f>
        <v>0</v>
      </c>
      <c r="F3" s="39">
        <v>0</v>
      </c>
      <c r="G3" s="64">
        <f t="shared" ref="G3:G10" si="1">F3*15%</f>
        <v>0</v>
      </c>
      <c r="H3" s="47">
        <f t="shared" ref="H3:H10" si="2">F3*85%</f>
        <v>0</v>
      </c>
      <c r="I3" s="48" t="s">
        <v>85</v>
      </c>
    </row>
    <row r="4" spans="2:9">
      <c r="B4" s="195"/>
      <c r="C4" s="38" t="s">
        <v>84</v>
      </c>
      <c r="D4" s="24">
        <v>0</v>
      </c>
      <c r="E4" s="39">
        <f t="shared" si="0"/>
        <v>0</v>
      </c>
      <c r="F4" s="118">
        <v>0</v>
      </c>
      <c r="G4" s="64">
        <f t="shared" si="1"/>
        <v>0</v>
      </c>
      <c r="H4" s="47">
        <f t="shared" si="2"/>
        <v>0</v>
      </c>
      <c r="I4" s="70" t="s">
        <v>85</v>
      </c>
    </row>
    <row r="5" spans="2:9">
      <c r="B5" s="195"/>
      <c r="C5" s="38" t="s">
        <v>104</v>
      </c>
      <c r="D5" s="118">
        <v>0</v>
      </c>
      <c r="E5" s="39">
        <f t="shared" si="0"/>
        <v>0</v>
      </c>
      <c r="F5" s="39">
        <v>0</v>
      </c>
      <c r="G5" s="64">
        <f t="shared" si="1"/>
        <v>0</v>
      </c>
      <c r="H5" s="47">
        <f t="shared" si="2"/>
        <v>0</v>
      </c>
      <c r="I5" s="70" t="s">
        <v>85</v>
      </c>
    </row>
    <row r="6" spans="2:9">
      <c r="B6" s="195"/>
      <c r="C6" s="38" t="s">
        <v>114</v>
      </c>
      <c r="D6" s="39">
        <v>0</v>
      </c>
      <c r="E6" s="39">
        <f t="shared" si="0"/>
        <v>0</v>
      </c>
      <c r="F6" s="39">
        <v>0</v>
      </c>
      <c r="G6" s="64">
        <f t="shared" si="1"/>
        <v>0</v>
      </c>
      <c r="H6" s="47">
        <f t="shared" si="2"/>
        <v>0</v>
      </c>
      <c r="I6" s="70" t="s">
        <v>85</v>
      </c>
    </row>
    <row r="7" spans="2:9">
      <c r="B7" s="195"/>
      <c r="C7" s="38" t="s">
        <v>131</v>
      </c>
      <c r="D7" s="24">
        <v>0</v>
      </c>
      <c r="E7" s="39">
        <f t="shared" si="0"/>
        <v>0</v>
      </c>
      <c r="F7" s="118">
        <v>0</v>
      </c>
      <c r="G7" s="64">
        <f t="shared" si="1"/>
        <v>0</v>
      </c>
      <c r="H7" s="47">
        <f t="shared" si="2"/>
        <v>0</v>
      </c>
      <c r="I7" s="70" t="s">
        <v>85</v>
      </c>
    </row>
    <row r="8" spans="2:9">
      <c r="B8" s="195"/>
      <c r="C8" s="38" t="s">
        <v>132</v>
      </c>
      <c r="D8" s="39">
        <v>0</v>
      </c>
      <c r="E8" s="39">
        <f t="shared" si="0"/>
        <v>0</v>
      </c>
      <c r="F8" s="39">
        <v>0</v>
      </c>
      <c r="G8" s="64">
        <f>F8*15%</f>
        <v>0</v>
      </c>
      <c r="H8" s="47">
        <f>F8*85%</f>
        <v>0</v>
      </c>
      <c r="I8" s="70" t="s">
        <v>85</v>
      </c>
    </row>
    <row r="9" spans="2:9">
      <c r="B9" s="195"/>
      <c r="C9" s="38" t="s">
        <v>151</v>
      </c>
      <c r="D9" s="39">
        <v>0</v>
      </c>
      <c r="E9" s="39">
        <f t="shared" si="0"/>
        <v>0</v>
      </c>
      <c r="F9" s="39">
        <v>0</v>
      </c>
      <c r="G9" s="64">
        <f>F9*15%</f>
        <v>0</v>
      </c>
      <c r="H9" s="47">
        <f>F9*85%</f>
        <v>0</v>
      </c>
      <c r="I9" s="70" t="s">
        <v>85</v>
      </c>
    </row>
    <row r="10" spans="2:9">
      <c r="B10" s="195"/>
      <c r="C10" s="38" t="s">
        <v>193</v>
      </c>
      <c r="D10" s="118">
        <v>0</v>
      </c>
      <c r="E10" s="39">
        <f t="shared" si="0"/>
        <v>0</v>
      </c>
      <c r="F10" s="118">
        <v>0</v>
      </c>
      <c r="G10" s="64">
        <f t="shared" si="1"/>
        <v>0</v>
      </c>
      <c r="H10" s="47">
        <f t="shared" si="2"/>
        <v>0</v>
      </c>
      <c r="I10" s="70" t="s">
        <v>85</v>
      </c>
    </row>
    <row r="11" spans="2:9" ht="18" thickBot="1">
      <c r="B11" s="57" t="s">
        <v>7</v>
      </c>
      <c r="C11" s="58"/>
      <c r="D11" s="59">
        <f>SUM(D3:D10)</f>
        <v>0</v>
      </c>
      <c r="E11" s="59">
        <f>SUM(E3:E10)</f>
        <v>0</v>
      </c>
      <c r="F11" s="59">
        <f>SUM(F3:F10)</f>
        <v>0</v>
      </c>
      <c r="G11" s="59">
        <f>SUM(G3:G10)</f>
        <v>0</v>
      </c>
      <c r="H11" s="59">
        <f>SUM(H3:H10)</f>
        <v>0</v>
      </c>
      <c r="I11" s="60"/>
    </row>
    <row r="13" spans="2:9">
      <c r="B13" s="24" t="s">
        <v>195</v>
      </c>
    </row>
  </sheetData>
  <mergeCells count="1">
    <mergeCell ref="B3:B10"/>
  </mergeCells>
  <phoneticPr fontId="1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"/>
  <sheetViews>
    <sheetView workbookViewId="0">
      <selection activeCell="D10" sqref="D10:H10"/>
    </sheetView>
  </sheetViews>
  <sheetFormatPr defaultRowHeight="17.399999999999999"/>
  <cols>
    <col min="1" max="1" width="8.796875" style="24"/>
    <col min="2" max="2" width="18.3984375" style="24" customWidth="1"/>
    <col min="3" max="3" width="21.3984375" style="24" bestFit="1" customWidth="1"/>
    <col min="4" max="4" width="13.8984375" style="24" bestFit="1" customWidth="1"/>
    <col min="5" max="5" width="13.8984375" style="24" customWidth="1"/>
    <col min="6" max="6" width="13.296875" style="24" bestFit="1" customWidth="1"/>
    <col min="7" max="7" width="11.3984375" style="24" bestFit="1" customWidth="1"/>
    <col min="8" max="8" width="12.09765625" style="24" bestFit="1" customWidth="1"/>
    <col min="9" max="9" width="13.8984375" style="24" customWidth="1"/>
    <col min="10" max="16384" width="8.796875" style="24"/>
  </cols>
  <sheetData>
    <row r="1" spans="2:9" ht="18" thickBot="1">
      <c r="B1" s="24" t="s">
        <v>192</v>
      </c>
    </row>
    <row r="2" spans="2:9">
      <c r="B2" s="61" t="s">
        <v>71</v>
      </c>
      <c r="C2" s="62" t="s">
        <v>29</v>
      </c>
      <c r="D2" s="62" t="s">
        <v>3</v>
      </c>
      <c r="E2" s="50" t="s">
        <v>110</v>
      </c>
      <c r="F2" s="62" t="s">
        <v>5</v>
      </c>
      <c r="G2" s="62" t="s">
        <v>6</v>
      </c>
      <c r="H2" s="62" t="s">
        <v>221</v>
      </c>
      <c r="I2" s="63" t="s">
        <v>19</v>
      </c>
    </row>
    <row r="3" spans="2:9">
      <c r="B3" s="196" t="s">
        <v>126</v>
      </c>
      <c r="C3" s="38" t="s">
        <v>99</v>
      </c>
      <c r="D3" s="39">
        <v>0</v>
      </c>
      <c r="E3" s="39">
        <f t="shared" ref="E3:E9" si="0">D3-F3</f>
        <v>0</v>
      </c>
      <c r="F3" s="39">
        <v>0</v>
      </c>
      <c r="G3" s="64">
        <f t="shared" ref="G3:G9" si="1">F3*15%</f>
        <v>0</v>
      </c>
      <c r="H3" s="47">
        <f t="shared" ref="H3:H7" si="2">F3*85%</f>
        <v>0</v>
      </c>
      <c r="I3" s="48" t="s">
        <v>85</v>
      </c>
    </row>
    <row r="4" spans="2:9">
      <c r="B4" s="188"/>
      <c r="C4" s="38" t="s">
        <v>102</v>
      </c>
      <c r="D4" s="39">
        <v>0</v>
      </c>
      <c r="E4" s="39">
        <f t="shared" si="0"/>
        <v>0</v>
      </c>
      <c r="F4" s="39">
        <v>0</v>
      </c>
      <c r="G4" s="64">
        <f t="shared" si="1"/>
        <v>0</v>
      </c>
      <c r="H4" s="47">
        <f t="shared" si="2"/>
        <v>0</v>
      </c>
      <c r="I4" s="48" t="s">
        <v>85</v>
      </c>
    </row>
    <row r="5" spans="2:9">
      <c r="B5" s="188"/>
      <c r="C5" s="38" t="s">
        <v>84</v>
      </c>
      <c r="D5" s="39">
        <v>0</v>
      </c>
      <c r="E5" s="39">
        <f t="shared" si="0"/>
        <v>0</v>
      </c>
      <c r="F5" s="39">
        <v>0</v>
      </c>
      <c r="G5" s="64">
        <f t="shared" si="1"/>
        <v>0</v>
      </c>
      <c r="H5" s="47">
        <f t="shared" si="2"/>
        <v>0</v>
      </c>
      <c r="I5" s="48" t="s">
        <v>85</v>
      </c>
    </row>
    <row r="6" spans="2:9">
      <c r="B6" s="188"/>
      <c r="C6" s="38" t="s">
        <v>104</v>
      </c>
      <c r="D6" s="39">
        <v>0</v>
      </c>
      <c r="E6" s="39">
        <f t="shared" si="0"/>
        <v>0</v>
      </c>
      <c r="F6" s="39">
        <v>0</v>
      </c>
      <c r="G6" s="64">
        <f t="shared" si="1"/>
        <v>0</v>
      </c>
      <c r="H6" s="47">
        <f t="shared" si="2"/>
        <v>0</v>
      </c>
      <c r="I6" s="48" t="s">
        <v>85</v>
      </c>
    </row>
    <row r="7" spans="2:9">
      <c r="B7" s="188"/>
      <c r="C7" s="38" t="s">
        <v>111</v>
      </c>
      <c r="D7" s="39">
        <v>0</v>
      </c>
      <c r="E7" s="39">
        <f t="shared" si="0"/>
        <v>0</v>
      </c>
      <c r="F7" s="39">
        <v>0</v>
      </c>
      <c r="G7" s="64">
        <f t="shared" si="1"/>
        <v>0</v>
      </c>
      <c r="H7" s="47">
        <f t="shared" si="2"/>
        <v>0</v>
      </c>
      <c r="I7" s="48" t="s">
        <v>85</v>
      </c>
    </row>
    <row r="8" spans="2:9">
      <c r="B8" s="188"/>
      <c r="C8" s="38" t="s">
        <v>101</v>
      </c>
      <c r="D8" s="39">
        <v>0</v>
      </c>
      <c r="E8" s="39">
        <f t="shared" si="0"/>
        <v>0</v>
      </c>
      <c r="F8" s="39">
        <v>0</v>
      </c>
      <c r="G8" s="64">
        <f t="shared" si="1"/>
        <v>0</v>
      </c>
      <c r="H8" s="47">
        <f>F8*85%</f>
        <v>0</v>
      </c>
      <c r="I8" s="48" t="s">
        <v>85</v>
      </c>
    </row>
    <row r="9" spans="2:9">
      <c r="B9" s="188"/>
      <c r="C9" s="38" t="s">
        <v>125</v>
      </c>
      <c r="D9" s="39">
        <v>0</v>
      </c>
      <c r="E9" s="39">
        <f t="shared" si="0"/>
        <v>0</v>
      </c>
      <c r="F9" s="39">
        <v>0</v>
      </c>
      <c r="G9" s="64">
        <f t="shared" si="1"/>
        <v>0</v>
      </c>
      <c r="H9" s="47">
        <f>F9*85%</f>
        <v>0</v>
      </c>
      <c r="I9" s="48" t="s">
        <v>85</v>
      </c>
    </row>
    <row r="10" spans="2:9">
      <c r="B10" s="188"/>
      <c r="C10" s="38" t="s">
        <v>144</v>
      </c>
      <c r="D10" s="39"/>
      <c r="E10" s="39"/>
      <c r="F10" s="39"/>
      <c r="G10" s="64"/>
      <c r="H10" s="47"/>
      <c r="I10" s="48" t="s">
        <v>85</v>
      </c>
    </row>
    <row r="11" spans="2:9" ht="18" thickBot="1">
      <c r="B11" s="57" t="s">
        <v>7</v>
      </c>
      <c r="C11" s="58"/>
      <c r="D11" s="59">
        <f>SUM(D3:D10)</f>
        <v>0</v>
      </c>
      <c r="E11" s="59">
        <f>SUM(E3:E10)</f>
        <v>0</v>
      </c>
      <c r="F11" s="65">
        <f>SUM(F3:F10)</f>
        <v>0</v>
      </c>
      <c r="G11" s="65">
        <f>SUM(G3:G10)</f>
        <v>0</v>
      </c>
      <c r="H11" s="65">
        <f>SUM(H3:H10)</f>
        <v>0</v>
      </c>
      <c r="I11" s="60"/>
    </row>
  </sheetData>
  <mergeCells count="1">
    <mergeCell ref="B3:B10"/>
  </mergeCells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"/>
  <sheetViews>
    <sheetView workbookViewId="0">
      <selection activeCell="D6" sqref="D6:H6"/>
    </sheetView>
  </sheetViews>
  <sheetFormatPr defaultRowHeight="17.399999999999999"/>
  <cols>
    <col min="2" max="2" width="13.8984375" customWidth="1"/>
    <col min="3" max="3" width="14.8984375" bestFit="1" customWidth="1"/>
    <col min="4" max="4" width="12.8984375" bestFit="1" customWidth="1"/>
    <col min="5" max="6" width="12.296875" bestFit="1" customWidth="1"/>
    <col min="8" max="8" width="11.19921875" bestFit="1" customWidth="1"/>
  </cols>
  <sheetData>
    <row r="1" spans="2:9" ht="18" thickBot="1"/>
    <row r="2" spans="2:9">
      <c r="B2" s="49" t="s">
        <v>71</v>
      </c>
      <c r="C2" s="50" t="s">
        <v>29</v>
      </c>
      <c r="D2" s="50" t="s">
        <v>3</v>
      </c>
      <c r="E2" s="50" t="s">
        <v>110</v>
      </c>
      <c r="F2" s="50" t="s">
        <v>5</v>
      </c>
      <c r="G2" s="50" t="s">
        <v>6</v>
      </c>
      <c r="H2" s="50" t="s">
        <v>222</v>
      </c>
      <c r="I2" s="51" t="s">
        <v>19</v>
      </c>
    </row>
    <row r="3" spans="2:9" s="24" customFormat="1">
      <c r="B3" s="196" t="s">
        <v>181</v>
      </c>
      <c r="C3" s="38" t="s">
        <v>145</v>
      </c>
      <c r="D3" s="74">
        <v>224541.09928837497</v>
      </c>
      <c r="E3" s="39">
        <f>D3-F3</f>
        <v>161669.59148762998</v>
      </c>
      <c r="F3" s="39">
        <v>62871.507800745007</v>
      </c>
      <c r="G3" s="64">
        <f>F3*15%</f>
        <v>9430.7261701117513</v>
      </c>
      <c r="H3" s="47">
        <f>F3*85%</f>
        <v>53440.781630633253</v>
      </c>
      <c r="I3" s="48" t="s">
        <v>85</v>
      </c>
    </row>
    <row r="4" spans="2:9" s="24" customFormat="1">
      <c r="B4" s="188"/>
      <c r="C4" s="38" t="s">
        <v>101</v>
      </c>
      <c r="D4" s="74">
        <v>137816.01963337499</v>
      </c>
      <c r="E4" s="39">
        <f>D4-F4</f>
        <v>99227.534136029994</v>
      </c>
      <c r="F4" s="39">
        <v>38588.485497344998</v>
      </c>
      <c r="G4" s="64">
        <f>F4*15%</f>
        <v>5788.2728246017496</v>
      </c>
      <c r="H4" s="47">
        <f>F4*85%</f>
        <v>32800.212672743248</v>
      </c>
      <c r="I4" s="48" t="s">
        <v>85</v>
      </c>
    </row>
    <row r="5" spans="2:9">
      <c r="B5" s="197"/>
      <c r="C5" s="38" t="s">
        <v>185</v>
      </c>
      <c r="D5" s="74">
        <v>147076.81588537499</v>
      </c>
      <c r="E5" s="39">
        <f>D5-F5</f>
        <v>105895.30743746999</v>
      </c>
      <c r="F5" s="39">
        <v>41181.508447904998</v>
      </c>
      <c r="G5" s="64">
        <f>F5*15%</f>
        <v>6177.2262671857497</v>
      </c>
      <c r="H5" s="47">
        <f>F5*85%</f>
        <v>35004.282180719245</v>
      </c>
      <c r="I5" s="48" t="s">
        <v>85</v>
      </c>
    </row>
    <row r="6" spans="2:9" ht="18" thickBot="1">
      <c r="B6" s="52" t="s">
        <v>7</v>
      </c>
      <c r="C6" s="53"/>
      <c r="D6" s="54">
        <f>SUM(D3:D5)</f>
        <v>509433.93480712501</v>
      </c>
      <c r="E6" s="54">
        <f>SUM(E3:E5)</f>
        <v>366792.43306113</v>
      </c>
      <c r="F6" s="54">
        <f>SUM(F3:F5)</f>
        <v>142641.50174599502</v>
      </c>
      <c r="G6" s="54">
        <f>SUM(G3:G5)</f>
        <v>21396.22526189925</v>
      </c>
      <c r="H6" s="54">
        <f>SUM(H3:H5)</f>
        <v>121245.27648409575</v>
      </c>
      <c r="I6" s="55"/>
    </row>
  </sheetData>
  <mergeCells count="1">
    <mergeCell ref="B3:B5"/>
  </mergeCells>
  <phoneticPr fontId="1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9"/>
  <sheetViews>
    <sheetView workbookViewId="0">
      <selection activeCell="D6" sqref="D6:H6"/>
    </sheetView>
  </sheetViews>
  <sheetFormatPr defaultRowHeight="17.399999999999999"/>
  <cols>
    <col min="3" max="3" width="19.8984375" bestFit="1" customWidth="1"/>
    <col min="4" max="4" width="12.8984375" bestFit="1" customWidth="1"/>
    <col min="5" max="6" width="12.296875" bestFit="1" customWidth="1"/>
    <col min="8" max="8" width="11.19921875" bestFit="1" customWidth="1"/>
    <col min="9" max="9" width="6.8984375" bestFit="1" customWidth="1"/>
  </cols>
  <sheetData>
    <row r="1" spans="2:9" ht="18" thickBot="1">
      <c r="B1" s="106"/>
    </row>
    <row r="2" spans="2:9" s="24" customFormat="1" ht="16.5" customHeight="1">
      <c r="B2" s="61" t="s">
        <v>71</v>
      </c>
      <c r="C2" s="62" t="s">
        <v>29</v>
      </c>
      <c r="D2" s="62" t="s">
        <v>3</v>
      </c>
      <c r="E2" s="50" t="s">
        <v>110</v>
      </c>
      <c r="F2" s="62" t="s">
        <v>5</v>
      </c>
      <c r="G2" s="62" t="s">
        <v>6</v>
      </c>
      <c r="H2" s="62" t="s">
        <v>223</v>
      </c>
      <c r="I2" s="63" t="s">
        <v>19</v>
      </c>
    </row>
    <row r="3" spans="2:9" s="24" customFormat="1" ht="16.5" customHeight="1">
      <c r="B3" s="196" t="s">
        <v>146</v>
      </c>
      <c r="C3" s="87" t="s">
        <v>102</v>
      </c>
      <c r="D3" s="144">
        <v>49754.9</v>
      </c>
      <c r="E3" s="88">
        <f>D3-F3</f>
        <v>11481.900000000001</v>
      </c>
      <c r="F3" s="39">
        <v>38273</v>
      </c>
      <c r="G3" s="64">
        <f>F3*15%</f>
        <v>5740.95</v>
      </c>
      <c r="H3" s="47">
        <f>F3*85%</f>
        <v>32532.05</v>
      </c>
      <c r="I3" s="48" t="s">
        <v>85</v>
      </c>
    </row>
    <row r="4" spans="2:9" s="24" customFormat="1" ht="16.5" customHeight="1">
      <c r="B4" s="188"/>
      <c r="C4" s="87" t="s">
        <v>101</v>
      </c>
      <c r="D4" s="144">
        <v>485890.6</v>
      </c>
      <c r="E4" s="88">
        <f>D4-F4</f>
        <v>112128.59999999998</v>
      </c>
      <c r="F4" s="39">
        <v>373762</v>
      </c>
      <c r="G4" s="64">
        <f>F4*15%</f>
        <v>56064.299999999996</v>
      </c>
      <c r="H4" s="47">
        <f>F4*85%</f>
        <v>317697.7</v>
      </c>
      <c r="I4" s="48" t="s">
        <v>85</v>
      </c>
    </row>
    <row r="5" spans="2:9" s="24" customFormat="1" ht="16.5" customHeight="1">
      <c r="B5" s="188"/>
      <c r="C5" s="87" t="s">
        <v>84</v>
      </c>
      <c r="D5" s="144">
        <v>18551</v>
      </c>
      <c r="E5" s="88">
        <f>D5-F5</f>
        <v>4281</v>
      </c>
      <c r="F5" s="39">
        <v>14270</v>
      </c>
      <c r="G5" s="64">
        <f>F5*15%</f>
        <v>2140.5</v>
      </c>
      <c r="H5" s="47">
        <f>F5*85%</f>
        <v>12129.5</v>
      </c>
      <c r="I5" s="48" t="s">
        <v>138</v>
      </c>
    </row>
    <row r="6" spans="2:9" s="24" customFormat="1" ht="16.5" customHeight="1" thickBot="1">
      <c r="B6" s="57" t="s">
        <v>7</v>
      </c>
      <c r="C6" s="58"/>
      <c r="D6" s="59">
        <f>SUM(D3:D5)</f>
        <v>554196.5</v>
      </c>
      <c r="E6" s="59">
        <f>SUM(E3:E5)</f>
        <v>127891.49999999997</v>
      </c>
      <c r="F6" s="65">
        <f>SUM(F3:F5)</f>
        <v>426305</v>
      </c>
      <c r="G6" s="59">
        <f>SUM(G3:G5)</f>
        <v>63945.749999999993</v>
      </c>
      <c r="H6" s="59">
        <f>SUM(H3:H5)</f>
        <v>362359.25</v>
      </c>
      <c r="I6" s="60"/>
    </row>
    <row r="9" spans="2:9">
      <c r="F9" s="99"/>
    </row>
  </sheetData>
  <mergeCells count="1">
    <mergeCell ref="B3:B5"/>
  </mergeCells>
  <phoneticPr fontId="1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"/>
  <sheetViews>
    <sheetView workbookViewId="0">
      <selection activeCell="E18" sqref="E18"/>
    </sheetView>
  </sheetViews>
  <sheetFormatPr defaultRowHeight="17.399999999999999"/>
  <cols>
    <col min="2" max="2" width="10.5" bestFit="1" customWidth="1"/>
    <col min="3" max="3" width="21.3984375" bestFit="1" customWidth="1"/>
    <col min="4" max="4" width="13.8984375" bestFit="1" customWidth="1"/>
    <col min="5" max="6" width="13.296875" bestFit="1" customWidth="1"/>
    <col min="7" max="7" width="11.3984375" bestFit="1" customWidth="1"/>
    <col min="8" max="8" width="12.09765625" bestFit="1" customWidth="1"/>
  </cols>
  <sheetData>
    <row r="1" spans="2:9" ht="18" thickBot="1"/>
    <row r="2" spans="2:9" s="24" customFormat="1" ht="16.5" customHeight="1">
      <c r="B2" s="61" t="s">
        <v>71</v>
      </c>
      <c r="C2" s="62" t="s">
        <v>29</v>
      </c>
      <c r="D2" s="62" t="s">
        <v>3</v>
      </c>
      <c r="E2" s="50" t="s">
        <v>110</v>
      </c>
      <c r="F2" s="62" t="s">
        <v>5</v>
      </c>
      <c r="G2" s="62" t="s">
        <v>6</v>
      </c>
      <c r="H2" s="62" t="s">
        <v>224</v>
      </c>
      <c r="I2" s="63" t="s">
        <v>19</v>
      </c>
    </row>
    <row r="3" spans="2:9" s="24" customFormat="1" ht="16.5" customHeight="1">
      <c r="B3" s="196" t="s">
        <v>152</v>
      </c>
      <c r="C3" s="87" t="s">
        <v>99</v>
      </c>
      <c r="D3" s="89"/>
      <c r="E3" s="88">
        <f t="shared" ref="E3:E8" si="0">D3-F3</f>
        <v>0</v>
      </c>
      <c r="F3" s="39"/>
      <c r="G3" s="64">
        <f t="shared" ref="G3:G8" si="1">F3*15%</f>
        <v>0</v>
      </c>
      <c r="H3" s="47">
        <f t="shared" ref="H3:H8" si="2">F3*85%</f>
        <v>0</v>
      </c>
      <c r="I3" s="48" t="s">
        <v>85</v>
      </c>
    </row>
    <row r="4" spans="2:9" s="24" customFormat="1" ht="16.5" customHeight="1">
      <c r="B4" s="188"/>
      <c r="C4" s="87" t="s">
        <v>84</v>
      </c>
      <c r="D4" s="89"/>
      <c r="E4" s="88">
        <f t="shared" si="0"/>
        <v>0</v>
      </c>
      <c r="F4" s="39"/>
      <c r="G4" s="64">
        <f t="shared" si="1"/>
        <v>0</v>
      </c>
      <c r="H4" s="47">
        <f t="shared" si="2"/>
        <v>0</v>
      </c>
      <c r="I4" s="48" t="s">
        <v>85</v>
      </c>
    </row>
    <row r="5" spans="2:9" s="24" customFormat="1" ht="16.5" customHeight="1">
      <c r="B5" s="188"/>
      <c r="C5" s="87" t="s">
        <v>102</v>
      </c>
      <c r="D5" s="89"/>
      <c r="E5" s="88">
        <f t="shared" si="0"/>
        <v>0</v>
      </c>
      <c r="F5" s="39"/>
      <c r="G5" s="64">
        <f t="shared" si="1"/>
        <v>0</v>
      </c>
      <c r="H5" s="47">
        <f t="shared" si="2"/>
        <v>0</v>
      </c>
      <c r="I5" s="48" t="s">
        <v>85</v>
      </c>
    </row>
    <row r="6" spans="2:9" s="24" customFormat="1" ht="16.5" customHeight="1">
      <c r="B6" s="188"/>
      <c r="C6" s="87" t="s">
        <v>114</v>
      </c>
      <c r="D6" s="89"/>
      <c r="E6" s="88">
        <f t="shared" si="0"/>
        <v>0</v>
      </c>
      <c r="F6" s="39"/>
      <c r="G6" s="64">
        <f t="shared" si="1"/>
        <v>0</v>
      </c>
      <c r="H6" s="47">
        <f t="shared" si="2"/>
        <v>0</v>
      </c>
      <c r="I6" s="48" t="s">
        <v>85</v>
      </c>
    </row>
    <row r="7" spans="2:9" s="24" customFormat="1" ht="16.5" customHeight="1">
      <c r="B7" s="188"/>
      <c r="C7" s="87" t="s">
        <v>104</v>
      </c>
      <c r="D7" s="153"/>
      <c r="E7" s="88">
        <f t="shared" si="0"/>
        <v>0</v>
      </c>
      <c r="F7" s="39"/>
      <c r="G7" s="64">
        <f t="shared" si="1"/>
        <v>0</v>
      </c>
      <c r="H7" s="47">
        <f t="shared" si="2"/>
        <v>0</v>
      </c>
      <c r="I7" s="48" t="s">
        <v>85</v>
      </c>
    </row>
    <row r="8" spans="2:9" s="24" customFormat="1" ht="16.5" customHeight="1">
      <c r="B8" s="188"/>
      <c r="C8" s="87" t="s">
        <v>101</v>
      </c>
      <c r="D8" s="89"/>
      <c r="E8" s="88">
        <f t="shared" si="0"/>
        <v>0</v>
      </c>
      <c r="F8" s="39"/>
      <c r="G8" s="64">
        <f t="shared" si="1"/>
        <v>0</v>
      </c>
      <c r="H8" s="47">
        <f t="shared" si="2"/>
        <v>0</v>
      </c>
      <c r="I8" s="48" t="s">
        <v>85</v>
      </c>
    </row>
    <row r="9" spans="2:9" s="24" customFormat="1" ht="16.5" customHeight="1">
      <c r="B9" s="188"/>
      <c r="C9" s="87" t="s">
        <v>100</v>
      </c>
      <c r="D9" s="89"/>
      <c r="E9" s="88"/>
      <c r="F9" s="39"/>
      <c r="G9" s="64"/>
      <c r="H9" s="47"/>
      <c r="I9" s="48" t="s">
        <v>85</v>
      </c>
    </row>
    <row r="10" spans="2:9" s="24" customFormat="1" ht="16.5" customHeight="1" thickBot="1">
      <c r="B10" s="57" t="s">
        <v>7</v>
      </c>
      <c r="C10" s="58"/>
      <c r="D10" s="59">
        <f>SUM(D3:D9)</f>
        <v>0</v>
      </c>
      <c r="E10" s="59">
        <f>SUM(E3:E9)</f>
        <v>0</v>
      </c>
      <c r="F10" s="59">
        <f>SUM(F3:F9)</f>
        <v>0</v>
      </c>
      <c r="G10" s="59">
        <f>SUM(G3:G9)</f>
        <v>0</v>
      </c>
      <c r="H10" s="59">
        <f>SUM(H3:H9)</f>
        <v>0</v>
      </c>
      <c r="I10" s="60"/>
    </row>
  </sheetData>
  <mergeCells count="1">
    <mergeCell ref="B3:B9"/>
  </mergeCells>
  <phoneticPr fontId="1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"/>
  <sheetViews>
    <sheetView workbookViewId="0">
      <selection activeCell="D5" sqref="D5:H5"/>
    </sheetView>
  </sheetViews>
  <sheetFormatPr defaultRowHeight="17.399999999999999"/>
  <cols>
    <col min="2" max="2" width="9.59765625" bestFit="1" customWidth="1"/>
    <col min="3" max="3" width="18.09765625" bestFit="1" customWidth="1"/>
    <col min="4" max="4" width="13.8984375" bestFit="1" customWidth="1"/>
    <col min="5" max="6" width="13.296875" bestFit="1" customWidth="1"/>
    <col min="7" max="7" width="11.3984375" bestFit="1" customWidth="1"/>
    <col min="8" max="8" width="12.09765625" bestFit="1" customWidth="1"/>
    <col min="9" max="9" width="7.19921875" bestFit="1" customWidth="1"/>
  </cols>
  <sheetData>
    <row r="1" spans="2:9" ht="18" thickBot="1"/>
    <row r="2" spans="2:9" s="24" customFormat="1" ht="16.5" customHeight="1">
      <c r="B2" s="61" t="s">
        <v>71</v>
      </c>
      <c r="C2" s="62" t="s">
        <v>29</v>
      </c>
      <c r="D2" s="62" t="s">
        <v>3</v>
      </c>
      <c r="E2" s="50" t="s">
        <v>110</v>
      </c>
      <c r="F2" s="62" t="s">
        <v>5</v>
      </c>
      <c r="G2" s="62" t="s">
        <v>6</v>
      </c>
      <c r="H2" s="62" t="s">
        <v>224</v>
      </c>
      <c r="I2" s="63" t="s">
        <v>19</v>
      </c>
    </row>
    <row r="3" spans="2:9" s="24" customFormat="1" ht="16.5" customHeight="1">
      <c r="B3" s="196" t="s">
        <v>153</v>
      </c>
      <c r="C3" s="87" t="s">
        <v>154</v>
      </c>
      <c r="D3" s="143">
        <v>3994</v>
      </c>
      <c r="E3" s="88">
        <f>D3-F3</f>
        <v>3099</v>
      </c>
      <c r="F3" s="39">
        <v>895</v>
      </c>
      <c r="G3" s="64">
        <f>F3*15%</f>
        <v>134.25</v>
      </c>
      <c r="H3" s="47">
        <f>F3*85%</f>
        <v>760.75</v>
      </c>
      <c r="I3" s="48" t="s">
        <v>85</v>
      </c>
    </row>
    <row r="4" spans="2:9" s="24" customFormat="1" ht="16.5" customHeight="1">
      <c r="B4" s="188"/>
      <c r="C4" s="87" t="s">
        <v>104</v>
      </c>
      <c r="D4" s="143">
        <v>5684</v>
      </c>
      <c r="E4" s="88">
        <f>D4-F4</f>
        <v>4411</v>
      </c>
      <c r="F4" s="39">
        <v>1273</v>
      </c>
      <c r="G4" s="64">
        <f>F4*15%</f>
        <v>190.95</v>
      </c>
      <c r="H4" s="47">
        <f>F4*85%</f>
        <v>1082.05</v>
      </c>
      <c r="I4" s="48" t="s">
        <v>85</v>
      </c>
    </row>
    <row r="5" spans="2:9" s="24" customFormat="1" ht="16.5" customHeight="1" thickBot="1">
      <c r="B5" s="57" t="s">
        <v>7</v>
      </c>
      <c r="C5" s="58"/>
      <c r="D5" s="59">
        <f>SUM(D3:D4)</f>
        <v>9678</v>
      </c>
      <c r="E5" s="59">
        <f>SUM(E3:E4)</f>
        <v>7510</v>
      </c>
      <c r="F5" s="65">
        <f>SUM(F3:F4)</f>
        <v>2168</v>
      </c>
      <c r="G5" s="59">
        <f>SUM(G3:G4)</f>
        <v>325.2</v>
      </c>
      <c r="H5" s="59">
        <f>SUM(H3:H4)</f>
        <v>1842.8</v>
      </c>
      <c r="I5" s="60"/>
    </row>
  </sheetData>
  <mergeCells count="1">
    <mergeCell ref="B3:B4"/>
  </mergeCells>
  <phoneticPr fontId="1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"/>
  <sheetViews>
    <sheetView workbookViewId="0">
      <selection activeCell="D11" sqref="D11:H11"/>
    </sheetView>
  </sheetViews>
  <sheetFormatPr defaultRowHeight="17.399999999999999"/>
  <cols>
    <col min="1" max="1" width="6" customWidth="1"/>
    <col min="3" max="3" width="19.8984375" bestFit="1" customWidth="1"/>
    <col min="4" max="4" width="12.8984375" bestFit="1" customWidth="1"/>
    <col min="5" max="6" width="12.296875" bestFit="1" customWidth="1"/>
    <col min="7" max="7" width="10.59765625" bestFit="1" customWidth="1"/>
    <col min="8" max="8" width="11.19921875" bestFit="1" customWidth="1"/>
    <col min="9" max="9" width="6.8984375" bestFit="1" customWidth="1"/>
  </cols>
  <sheetData>
    <row r="1" spans="2:9" ht="18" thickBot="1"/>
    <row r="2" spans="2:9" s="24" customFormat="1">
      <c r="B2" s="61" t="s">
        <v>71</v>
      </c>
      <c r="C2" s="119" t="s">
        <v>29</v>
      </c>
      <c r="D2" s="119" t="s">
        <v>3</v>
      </c>
      <c r="E2" s="119" t="s">
        <v>112</v>
      </c>
      <c r="F2" s="119" t="s">
        <v>5</v>
      </c>
      <c r="G2" s="119" t="s">
        <v>6</v>
      </c>
      <c r="H2" s="119" t="s">
        <v>225</v>
      </c>
      <c r="I2" s="119" t="s">
        <v>19</v>
      </c>
    </row>
    <row r="3" spans="2:9" s="24" customFormat="1">
      <c r="B3" s="196" t="s">
        <v>168</v>
      </c>
      <c r="C3" s="38" t="s">
        <v>131</v>
      </c>
      <c r="E3" s="39">
        <f t="shared" ref="E3:E10" si="0">D3-F3</f>
        <v>0</v>
      </c>
      <c r="G3" s="64">
        <f t="shared" ref="G3:G10" si="1">F3*15%</f>
        <v>0</v>
      </c>
      <c r="H3" s="47">
        <f t="shared" ref="H3:H10" si="2">F3*85%</f>
        <v>0</v>
      </c>
      <c r="I3" s="70" t="s">
        <v>85</v>
      </c>
    </row>
    <row r="4" spans="2:9" s="24" customFormat="1">
      <c r="B4" s="188"/>
      <c r="C4" s="38" t="s">
        <v>100</v>
      </c>
      <c r="D4" s="24">
        <v>10000</v>
      </c>
      <c r="E4" s="39">
        <f t="shared" si="0"/>
        <v>3000</v>
      </c>
      <c r="F4" s="24">
        <v>7000</v>
      </c>
      <c r="G4" s="64">
        <f t="shared" si="1"/>
        <v>1050</v>
      </c>
      <c r="H4" s="47">
        <f t="shared" si="2"/>
        <v>5950</v>
      </c>
      <c r="I4" s="70" t="s">
        <v>85</v>
      </c>
    </row>
    <row r="5" spans="2:9" s="24" customFormat="1">
      <c r="B5" s="188"/>
      <c r="C5" s="38" t="s">
        <v>99</v>
      </c>
      <c r="D5" s="118">
        <v>1500</v>
      </c>
      <c r="E5" s="39">
        <f t="shared" si="0"/>
        <v>450</v>
      </c>
      <c r="F5" s="24">
        <v>1050</v>
      </c>
      <c r="G5" s="64">
        <f t="shared" si="1"/>
        <v>157.5</v>
      </c>
      <c r="H5" s="47">
        <f t="shared" si="2"/>
        <v>892.5</v>
      </c>
      <c r="I5" s="70" t="s">
        <v>85</v>
      </c>
    </row>
    <row r="6" spans="2:9" s="24" customFormat="1">
      <c r="B6" s="188"/>
      <c r="C6" s="38" t="s">
        <v>102</v>
      </c>
      <c r="E6" s="39">
        <f t="shared" si="0"/>
        <v>0</v>
      </c>
      <c r="F6" s="118"/>
      <c r="G6" s="64">
        <f t="shared" si="1"/>
        <v>0</v>
      </c>
      <c r="H6" s="47">
        <f t="shared" si="2"/>
        <v>0</v>
      </c>
      <c r="I6" s="70" t="s">
        <v>85</v>
      </c>
    </row>
    <row r="7" spans="2:9" s="24" customFormat="1">
      <c r="B7" s="188"/>
      <c r="C7" s="38" t="s">
        <v>84</v>
      </c>
      <c r="D7" s="118">
        <v>2000</v>
      </c>
      <c r="E7" s="39">
        <f t="shared" si="0"/>
        <v>600</v>
      </c>
      <c r="F7" s="120">
        <v>1400</v>
      </c>
      <c r="G7" s="64">
        <f t="shared" si="1"/>
        <v>210</v>
      </c>
      <c r="H7" s="47">
        <f t="shared" si="2"/>
        <v>1190</v>
      </c>
      <c r="I7" s="70" t="s">
        <v>85</v>
      </c>
    </row>
    <row r="8" spans="2:9" s="24" customFormat="1">
      <c r="B8" s="188"/>
      <c r="C8" s="38" t="s">
        <v>169</v>
      </c>
      <c r="D8" s="118">
        <v>461300</v>
      </c>
      <c r="E8" s="39">
        <f t="shared" si="0"/>
        <v>108589.29999999999</v>
      </c>
      <c r="F8" s="24">
        <v>352710.7</v>
      </c>
      <c r="G8" s="64">
        <f t="shared" si="1"/>
        <v>52906.605000000003</v>
      </c>
      <c r="H8" s="47">
        <f t="shared" si="2"/>
        <v>299804.09500000003</v>
      </c>
      <c r="I8" s="70" t="s">
        <v>85</v>
      </c>
    </row>
    <row r="9" spans="2:9" s="24" customFormat="1">
      <c r="B9" s="188"/>
      <c r="C9" s="38" t="s">
        <v>193</v>
      </c>
      <c r="D9" s="24">
        <v>3000</v>
      </c>
      <c r="E9" s="39">
        <f t="shared" si="0"/>
        <v>900</v>
      </c>
      <c r="F9" s="24">
        <v>2100</v>
      </c>
      <c r="G9" s="64">
        <f t="shared" si="1"/>
        <v>315</v>
      </c>
      <c r="H9" s="47">
        <f t="shared" si="2"/>
        <v>1785</v>
      </c>
      <c r="I9" s="70" t="s">
        <v>85</v>
      </c>
    </row>
    <row r="10" spans="2:9" s="24" customFormat="1">
      <c r="B10" s="188"/>
      <c r="C10" s="38" t="s">
        <v>151</v>
      </c>
      <c r="D10" s="39"/>
      <c r="E10" s="39">
        <f t="shared" si="0"/>
        <v>0</v>
      </c>
      <c r="F10" s="39"/>
      <c r="G10" s="64">
        <f t="shared" si="1"/>
        <v>0</v>
      </c>
      <c r="H10" s="47">
        <f t="shared" si="2"/>
        <v>0</v>
      </c>
      <c r="I10" s="70" t="s">
        <v>85</v>
      </c>
    </row>
    <row r="11" spans="2:9" s="24" customFormat="1" ht="18" thickBot="1">
      <c r="B11" s="57" t="s">
        <v>7</v>
      </c>
      <c r="C11" s="58"/>
      <c r="D11" s="59">
        <f>SUM(D3:D10)</f>
        <v>477800</v>
      </c>
      <c r="E11" s="59">
        <f>SUM(E3:E10)</f>
        <v>113539.29999999999</v>
      </c>
      <c r="F11" s="59">
        <f>SUM(F3:F10)</f>
        <v>364260.7</v>
      </c>
      <c r="G11" s="59">
        <f>SUM(G3:G10)</f>
        <v>54639.105000000003</v>
      </c>
      <c r="H11" s="59">
        <f>SUM(H3:H10)</f>
        <v>309621.59500000003</v>
      </c>
      <c r="I11" s="60"/>
    </row>
  </sheetData>
  <mergeCells count="1">
    <mergeCell ref="B3:B10"/>
  </mergeCells>
  <phoneticPr fontId="1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"/>
  <sheetViews>
    <sheetView zoomScale="115" zoomScaleNormal="115" workbookViewId="0">
      <selection activeCell="D10" sqref="D10:H10"/>
    </sheetView>
  </sheetViews>
  <sheetFormatPr defaultRowHeight="17.399999999999999"/>
  <cols>
    <col min="3" max="3" width="19.8984375" bestFit="1" customWidth="1"/>
    <col min="4" max="4" width="12.8984375" bestFit="1" customWidth="1"/>
    <col min="5" max="6" width="12.296875" bestFit="1" customWidth="1"/>
  </cols>
  <sheetData>
    <row r="1" spans="2:9" ht="18" thickBot="1">
      <c r="B1" t="s">
        <v>190</v>
      </c>
    </row>
    <row r="2" spans="2:9" s="24" customFormat="1">
      <c r="B2" s="61" t="s">
        <v>71</v>
      </c>
      <c r="C2" s="62" t="s">
        <v>29</v>
      </c>
      <c r="D2" s="62" t="s">
        <v>3</v>
      </c>
      <c r="E2" s="50" t="s">
        <v>112</v>
      </c>
      <c r="F2" s="62" t="s">
        <v>5</v>
      </c>
      <c r="G2" s="62" t="s">
        <v>6</v>
      </c>
      <c r="H2" s="62" t="s">
        <v>226</v>
      </c>
      <c r="I2" s="63" t="s">
        <v>19</v>
      </c>
    </row>
    <row r="3" spans="2:9" s="24" customFormat="1">
      <c r="B3" s="196" t="s">
        <v>235</v>
      </c>
      <c r="C3" s="38" t="s">
        <v>207</v>
      </c>
      <c r="D3" s="39">
        <v>21929</v>
      </c>
      <c r="E3" s="3">
        <f t="shared" ref="E3:E9" si="0">D3-F3</f>
        <v>2192.8999999999978</v>
      </c>
      <c r="F3" s="39">
        <v>19736.100000000002</v>
      </c>
      <c r="G3" s="64">
        <f t="shared" ref="G3:G9" si="1">F3*15%</f>
        <v>2960.4150000000004</v>
      </c>
      <c r="H3" s="47">
        <f t="shared" ref="H3:H9" si="2">F3*85%</f>
        <v>16775.685000000001</v>
      </c>
      <c r="I3" s="48" t="s">
        <v>85</v>
      </c>
    </row>
    <row r="4" spans="2:9" s="24" customFormat="1">
      <c r="B4" s="188"/>
      <c r="C4" s="38" t="s">
        <v>211</v>
      </c>
      <c r="D4" s="39">
        <v>616</v>
      </c>
      <c r="E4" s="3">
        <f t="shared" si="0"/>
        <v>61.600000000000023</v>
      </c>
      <c r="F4" s="39">
        <v>554.4</v>
      </c>
      <c r="G4" s="64">
        <f t="shared" si="1"/>
        <v>83.16</v>
      </c>
      <c r="H4" s="47">
        <f t="shared" si="2"/>
        <v>471.23999999999995</v>
      </c>
      <c r="I4" s="70" t="s">
        <v>85</v>
      </c>
    </row>
    <row r="5" spans="2:9" s="24" customFormat="1">
      <c r="B5" s="188"/>
      <c r="C5" s="38" t="s">
        <v>212</v>
      </c>
      <c r="D5" s="39">
        <v>0</v>
      </c>
      <c r="E5" s="39">
        <f t="shared" si="0"/>
        <v>0</v>
      </c>
      <c r="F5" s="39">
        <v>0</v>
      </c>
      <c r="G5" s="64">
        <f t="shared" si="1"/>
        <v>0</v>
      </c>
      <c r="H5" s="47">
        <f t="shared" si="2"/>
        <v>0</v>
      </c>
      <c r="I5" s="70" t="s">
        <v>85</v>
      </c>
    </row>
    <row r="6" spans="2:9" s="24" customFormat="1">
      <c r="B6" s="188"/>
      <c r="C6" s="38" t="s">
        <v>213</v>
      </c>
      <c r="D6" s="137">
        <v>25920</v>
      </c>
      <c r="E6" s="39">
        <f t="shared" si="0"/>
        <v>2592</v>
      </c>
      <c r="F6" s="138">
        <v>23328</v>
      </c>
      <c r="G6" s="64">
        <f t="shared" si="1"/>
        <v>3499.2</v>
      </c>
      <c r="H6" s="47">
        <f t="shared" si="2"/>
        <v>19828.8</v>
      </c>
      <c r="I6" s="70" t="s">
        <v>85</v>
      </c>
    </row>
    <row r="7" spans="2:9" s="24" customFormat="1">
      <c r="B7" s="188"/>
      <c r="C7" s="38" t="s">
        <v>234</v>
      </c>
      <c r="D7" s="39">
        <v>0</v>
      </c>
      <c r="E7" s="39">
        <f t="shared" si="0"/>
        <v>0</v>
      </c>
      <c r="F7" s="39">
        <v>0</v>
      </c>
      <c r="G7" s="64">
        <f t="shared" si="1"/>
        <v>0</v>
      </c>
      <c r="H7" s="47">
        <f t="shared" si="2"/>
        <v>0</v>
      </c>
      <c r="I7" s="70" t="s">
        <v>85</v>
      </c>
    </row>
    <row r="8" spans="2:9" s="24" customFormat="1">
      <c r="B8" s="188"/>
      <c r="C8" s="38"/>
      <c r="D8" s="39">
        <v>0</v>
      </c>
      <c r="E8" s="39">
        <f t="shared" si="0"/>
        <v>0</v>
      </c>
      <c r="F8" s="39">
        <v>0</v>
      </c>
      <c r="G8" s="64">
        <f t="shared" si="1"/>
        <v>0</v>
      </c>
      <c r="H8" s="47">
        <f t="shared" si="2"/>
        <v>0</v>
      </c>
      <c r="I8" s="70" t="s">
        <v>85</v>
      </c>
    </row>
    <row r="9" spans="2:9" s="24" customFormat="1">
      <c r="B9" s="188"/>
      <c r="C9" s="38"/>
      <c r="D9" s="39">
        <v>0</v>
      </c>
      <c r="E9" s="39">
        <f t="shared" si="0"/>
        <v>0</v>
      </c>
      <c r="F9" s="39">
        <v>0</v>
      </c>
      <c r="G9" s="64">
        <f t="shared" si="1"/>
        <v>0</v>
      </c>
      <c r="H9" s="47">
        <f t="shared" si="2"/>
        <v>0</v>
      </c>
      <c r="I9" s="70" t="s">
        <v>85</v>
      </c>
    </row>
    <row r="10" spans="2:9" s="24" customFormat="1" ht="18" thickBot="1">
      <c r="B10" s="57" t="s">
        <v>7</v>
      </c>
      <c r="C10" s="58"/>
      <c r="D10" s="59">
        <f>SUM(D3:D9)</f>
        <v>48465</v>
      </c>
      <c r="E10" s="59">
        <f>SUM(E3:E9)</f>
        <v>4846.4999999999982</v>
      </c>
      <c r="F10" s="59">
        <f>SUM(F3:F9)</f>
        <v>43618.5</v>
      </c>
      <c r="G10" s="59">
        <f>SUM(G3:G9)</f>
        <v>6542.7749999999996</v>
      </c>
      <c r="H10" s="59">
        <f>SUM(H3:H9)</f>
        <v>37075.725000000006</v>
      </c>
      <c r="I10" s="60"/>
    </row>
  </sheetData>
  <mergeCells count="1">
    <mergeCell ref="B3:B9"/>
  </mergeCells>
  <phoneticPr fontId="2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"/>
  <sheetViews>
    <sheetView workbookViewId="0">
      <selection activeCell="D8" sqref="D8:H8"/>
    </sheetView>
  </sheetViews>
  <sheetFormatPr defaultRowHeight="17.399999999999999"/>
  <cols>
    <col min="2" max="2" width="9.8984375" customWidth="1"/>
    <col min="3" max="3" width="19.8984375" bestFit="1" customWidth="1"/>
    <col min="4" max="4" width="12.8984375" bestFit="1" customWidth="1"/>
    <col min="5" max="6" width="12.296875" bestFit="1" customWidth="1"/>
    <col min="7" max="7" width="10.59765625" bestFit="1" customWidth="1"/>
    <col min="8" max="8" width="11.19921875" bestFit="1" customWidth="1"/>
  </cols>
  <sheetData>
    <row r="1" spans="2:9" ht="18" thickBot="1"/>
    <row r="2" spans="2:9" s="24" customFormat="1">
      <c r="B2" s="61" t="s">
        <v>71</v>
      </c>
      <c r="C2" s="62" t="s">
        <v>29</v>
      </c>
      <c r="D2" s="62" t="s">
        <v>3</v>
      </c>
      <c r="E2" s="62" t="s">
        <v>112</v>
      </c>
      <c r="F2" s="62" t="s">
        <v>5</v>
      </c>
      <c r="G2" s="62" t="s">
        <v>6</v>
      </c>
      <c r="H2" s="62" t="s">
        <v>227</v>
      </c>
      <c r="I2" s="63" t="s">
        <v>19</v>
      </c>
    </row>
    <row r="3" spans="2:9" s="24" customFormat="1">
      <c r="B3" s="196" t="s">
        <v>182</v>
      </c>
      <c r="C3" s="87" t="s">
        <v>101</v>
      </c>
      <c r="D3" s="145"/>
      <c r="E3" s="39">
        <f>D3-F3</f>
        <v>0</v>
      </c>
      <c r="F3" s="146"/>
      <c r="G3" s="64">
        <f>F3*15%</f>
        <v>0</v>
      </c>
      <c r="H3" s="47">
        <f>F3*85%</f>
        <v>0</v>
      </c>
      <c r="I3" s="70" t="s">
        <v>85</v>
      </c>
    </row>
    <row r="4" spans="2:9" s="24" customFormat="1">
      <c r="B4" s="188"/>
      <c r="C4" s="87" t="s">
        <v>104</v>
      </c>
      <c r="D4" s="156">
        <v>300</v>
      </c>
      <c r="E4" s="39">
        <f>D4-F4</f>
        <v>57</v>
      </c>
      <c r="F4" s="146">
        <v>243</v>
      </c>
      <c r="G4" s="64">
        <f>F4*15%</f>
        <v>36.449999999999996</v>
      </c>
      <c r="H4" s="47">
        <f>F4*85%</f>
        <v>206.54999999999998</v>
      </c>
      <c r="I4" s="70" t="s">
        <v>85</v>
      </c>
    </row>
    <row r="5" spans="2:9" s="24" customFormat="1">
      <c r="B5" s="188"/>
      <c r="C5" s="87" t="s">
        <v>84</v>
      </c>
      <c r="D5" s="156">
        <v>200</v>
      </c>
      <c r="E5" s="39">
        <f>D5-F5</f>
        <v>38</v>
      </c>
      <c r="F5" s="146">
        <v>162</v>
      </c>
      <c r="G5" s="64">
        <f>F5*15%</f>
        <v>24.3</v>
      </c>
      <c r="H5" s="47">
        <f>F5*85%</f>
        <v>137.69999999999999</v>
      </c>
      <c r="I5" s="70" t="s">
        <v>85</v>
      </c>
    </row>
    <row r="6" spans="2:9" s="24" customFormat="1">
      <c r="B6" s="188"/>
      <c r="C6" s="87" t="s">
        <v>100</v>
      </c>
      <c r="D6" s="145"/>
      <c r="E6" s="39">
        <f>D6-F6</f>
        <v>0</v>
      </c>
      <c r="F6" s="146"/>
      <c r="G6" s="64">
        <f>F6*15%</f>
        <v>0</v>
      </c>
      <c r="H6" s="47">
        <f>F6*85%</f>
        <v>0</v>
      </c>
      <c r="I6" s="70" t="s">
        <v>85</v>
      </c>
    </row>
    <row r="7" spans="2:9" s="24" customFormat="1">
      <c r="B7" s="188"/>
      <c r="C7" s="87" t="s">
        <v>201</v>
      </c>
      <c r="D7" s="145">
        <v>8250</v>
      </c>
      <c r="E7" s="39">
        <f>D7-F7</f>
        <v>1567.5</v>
      </c>
      <c r="F7" s="39">
        <v>6682.5</v>
      </c>
      <c r="G7" s="64">
        <f>F7*15%</f>
        <v>1002.375</v>
      </c>
      <c r="H7" s="47">
        <f>F7*85%</f>
        <v>5680.125</v>
      </c>
      <c r="I7" s="70" t="s">
        <v>85</v>
      </c>
    </row>
    <row r="8" spans="2:9" s="24" customFormat="1" ht="18" thickBot="1">
      <c r="B8" s="57" t="s">
        <v>7</v>
      </c>
      <c r="C8" s="58"/>
      <c r="D8" s="59">
        <f>SUM(D3:D7)</f>
        <v>8750</v>
      </c>
      <c r="E8" s="59">
        <f>SUM(E3:E7)</f>
        <v>1662.5</v>
      </c>
      <c r="F8" s="59">
        <f>SUM(F3:F7)</f>
        <v>7087.5</v>
      </c>
      <c r="G8" s="59">
        <f>SUM(G3:G7)</f>
        <v>1063.125</v>
      </c>
      <c r="H8" s="59">
        <f>SUM(H3:H7)</f>
        <v>6024.375</v>
      </c>
      <c r="I8" s="60"/>
    </row>
  </sheetData>
  <mergeCells count="1">
    <mergeCell ref="B3:B7"/>
  </mergeCells>
  <phoneticPr fontId="2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"/>
  <sheetViews>
    <sheetView workbookViewId="0">
      <selection activeCell="D4" sqref="D4:H4"/>
    </sheetView>
  </sheetViews>
  <sheetFormatPr defaultRowHeight="17.399999999999999"/>
  <cols>
    <col min="2" max="2" width="9.09765625" bestFit="1" customWidth="1"/>
    <col min="3" max="3" width="19.8984375" bestFit="1" customWidth="1"/>
    <col min="4" max="4" width="14.3984375" customWidth="1"/>
    <col min="5" max="6" width="12.296875" bestFit="1" customWidth="1"/>
    <col min="7" max="7" width="10.59765625" bestFit="1" customWidth="1"/>
    <col min="8" max="8" width="11.19921875" bestFit="1" customWidth="1"/>
    <col min="9" max="9" width="12.69921875" customWidth="1"/>
  </cols>
  <sheetData>
    <row r="1" spans="2:9" ht="18" thickBot="1"/>
    <row r="2" spans="2:9" s="24" customFormat="1">
      <c r="B2" s="61" t="s">
        <v>71</v>
      </c>
      <c r="C2" s="62" t="s">
        <v>29</v>
      </c>
      <c r="D2" s="62" t="s">
        <v>3</v>
      </c>
      <c r="E2" s="50" t="s">
        <v>112</v>
      </c>
      <c r="F2" s="62" t="s">
        <v>5</v>
      </c>
      <c r="G2" s="62" t="s">
        <v>6</v>
      </c>
      <c r="H2" s="62" t="s">
        <v>228</v>
      </c>
      <c r="I2" s="63" t="s">
        <v>19</v>
      </c>
    </row>
    <row r="3" spans="2:9" s="24" customFormat="1">
      <c r="B3" s="105" t="s">
        <v>186</v>
      </c>
      <c r="C3" s="38" t="s">
        <v>101</v>
      </c>
      <c r="D3" s="157">
        <v>6732031.8399999999</v>
      </c>
      <c r="E3" s="3">
        <f>D3-F3</f>
        <v>4879157.74</v>
      </c>
      <c r="F3" s="39">
        <v>1852874.1</v>
      </c>
      <c r="G3" s="64">
        <f>F3*15%</f>
        <v>277931.11499999999</v>
      </c>
      <c r="H3" s="47">
        <f>F3*85%</f>
        <v>1574942.9850000001</v>
      </c>
      <c r="I3" s="48" t="s">
        <v>187</v>
      </c>
    </row>
    <row r="4" spans="2:9" s="24" customFormat="1" ht="18" thickBot="1">
      <c r="B4" s="57" t="s">
        <v>7</v>
      </c>
      <c r="C4" s="58"/>
      <c r="D4" s="59">
        <f>SUM(D3:D3)</f>
        <v>6732031.8399999999</v>
      </c>
      <c r="E4" s="59">
        <f>SUM(E3:E3)</f>
        <v>4879157.74</v>
      </c>
      <c r="F4" s="59">
        <f>SUM(F3:F3)</f>
        <v>1852874.1</v>
      </c>
      <c r="G4" s="59">
        <f>SUM(G3:G3)</f>
        <v>277931.11499999999</v>
      </c>
      <c r="H4" s="59">
        <f>SUM(H3:H3)</f>
        <v>1574942.9850000001</v>
      </c>
      <c r="I4" s="60"/>
    </row>
  </sheetData>
  <phoneticPr fontId="2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8"/>
  <sheetViews>
    <sheetView workbookViewId="0">
      <selection activeCell="G15" sqref="G15"/>
    </sheetView>
  </sheetViews>
  <sheetFormatPr defaultRowHeight="17.399999999999999"/>
  <cols>
    <col min="3" max="3" width="23.3984375" customWidth="1"/>
    <col min="4" max="4" width="13.5" customWidth="1"/>
    <col min="6" max="6" width="8.796875" customWidth="1"/>
    <col min="9" max="9" width="19.09765625" customWidth="1"/>
  </cols>
  <sheetData>
    <row r="3" spans="2:9">
      <c r="B3" s="119" t="s">
        <v>71</v>
      </c>
      <c r="C3" s="119" t="s">
        <v>191</v>
      </c>
      <c r="D3" s="119" t="s">
        <v>3</v>
      </c>
      <c r="E3" s="119" t="s">
        <v>4</v>
      </c>
      <c r="F3" s="119" t="s">
        <v>5</v>
      </c>
      <c r="G3" s="119" t="s">
        <v>6</v>
      </c>
      <c r="H3" s="119" t="s">
        <v>229</v>
      </c>
      <c r="I3" s="119" t="s">
        <v>19</v>
      </c>
    </row>
    <row r="4" spans="2:9" s="24" customFormat="1">
      <c r="B4" s="198" t="s">
        <v>210</v>
      </c>
      <c r="C4" s="165" t="s">
        <v>207</v>
      </c>
      <c r="D4" s="165"/>
      <c r="E4" s="39">
        <f>D4-F4</f>
        <v>0</v>
      </c>
      <c r="F4" s="165"/>
      <c r="G4" s="64">
        <f>F4*15%</f>
        <v>0</v>
      </c>
      <c r="H4" s="47">
        <f>F4*85%</f>
        <v>0</v>
      </c>
      <c r="I4" s="70" t="s">
        <v>187</v>
      </c>
    </row>
    <row r="5" spans="2:9" s="24" customFormat="1">
      <c r="B5" s="198"/>
      <c r="C5" s="165" t="s">
        <v>211</v>
      </c>
      <c r="D5" s="165"/>
      <c r="E5" s="39">
        <f>D5-F5</f>
        <v>0</v>
      </c>
      <c r="F5" s="165"/>
      <c r="G5" s="64">
        <f>F5*15%</f>
        <v>0</v>
      </c>
      <c r="H5" s="47">
        <f>F5*85%</f>
        <v>0</v>
      </c>
      <c r="I5" s="70" t="s">
        <v>187</v>
      </c>
    </row>
    <row r="6" spans="2:9">
      <c r="B6" s="198"/>
      <c r="C6" s="166" t="s">
        <v>212</v>
      </c>
      <c r="D6" s="167"/>
      <c r="E6" s="39">
        <f>D6-F6</f>
        <v>0</v>
      </c>
      <c r="F6" s="146"/>
      <c r="G6" s="64">
        <f>F6*15%</f>
        <v>0</v>
      </c>
      <c r="H6" s="47">
        <f>F6*85%</f>
        <v>0</v>
      </c>
      <c r="I6" s="70" t="s">
        <v>187</v>
      </c>
    </row>
    <row r="7" spans="2:9">
      <c r="B7" s="198"/>
      <c r="C7" s="38" t="s">
        <v>213</v>
      </c>
      <c r="D7" s="167"/>
      <c r="E7" s="39">
        <f>D7-F7</f>
        <v>0</v>
      </c>
      <c r="F7" s="146"/>
      <c r="G7" s="64">
        <f>F7*15%</f>
        <v>0</v>
      </c>
      <c r="H7" s="47">
        <f>F7*85%</f>
        <v>0</v>
      </c>
      <c r="I7" s="70" t="s">
        <v>187</v>
      </c>
    </row>
    <row r="8" spans="2:9">
      <c r="B8" s="168" t="s">
        <v>7</v>
      </c>
      <c r="C8" s="168"/>
      <c r="D8" s="169">
        <f>SUM(D4:D7)</f>
        <v>0</v>
      </c>
      <c r="E8" s="169">
        <f>SUM(E4:E7)</f>
        <v>0</v>
      </c>
      <c r="F8" s="169">
        <f>SUM(F4:F7)</f>
        <v>0</v>
      </c>
      <c r="G8" s="169">
        <f>SUM(G4:G7)</f>
        <v>0</v>
      </c>
      <c r="H8" s="169">
        <f>SUM(H4:H7)</f>
        <v>0</v>
      </c>
      <c r="I8" s="169"/>
    </row>
  </sheetData>
  <mergeCells count="1">
    <mergeCell ref="B4:B7"/>
  </mergeCells>
  <phoneticPr fontId="2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"/>
  <sheetViews>
    <sheetView workbookViewId="0">
      <selection activeCell="D5" sqref="D5:H5"/>
    </sheetView>
  </sheetViews>
  <sheetFormatPr defaultRowHeight="17.399999999999999"/>
  <cols>
    <col min="2" max="2" width="12.19921875" customWidth="1"/>
    <col min="3" max="3" width="14.8984375" bestFit="1" customWidth="1"/>
    <col min="4" max="4" width="12.8984375" bestFit="1" customWidth="1"/>
    <col min="5" max="5" width="12.296875" bestFit="1" customWidth="1"/>
    <col min="6" max="6" width="11.296875" customWidth="1"/>
    <col min="8" max="8" width="11.19921875" bestFit="1" customWidth="1"/>
    <col min="9" max="9" width="13.3984375" bestFit="1" customWidth="1"/>
  </cols>
  <sheetData>
    <row r="1" spans="2:9" ht="18" thickBot="1"/>
    <row r="2" spans="2:9" s="24" customFormat="1">
      <c r="B2" s="61" t="s">
        <v>71</v>
      </c>
      <c r="C2" s="62" t="s">
        <v>191</v>
      </c>
      <c r="D2" s="62" t="s">
        <v>3</v>
      </c>
      <c r="E2" s="50" t="s">
        <v>4</v>
      </c>
      <c r="F2" s="62" t="s">
        <v>5</v>
      </c>
      <c r="G2" s="62" t="s">
        <v>6</v>
      </c>
      <c r="H2" s="62" t="s">
        <v>228</v>
      </c>
      <c r="I2" s="63" t="s">
        <v>19</v>
      </c>
    </row>
    <row r="3" spans="2:9" s="24" customFormat="1">
      <c r="B3" s="188" t="s">
        <v>208</v>
      </c>
      <c r="C3" s="108" t="s">
        <v>206</v>
      </c>
      <c r="D3" s="121">
        <v>357891</v>
      </c>
      <c r="E3" s="3">
        <f>D3-F3</f>
        <v>107367.30000000002</v>
      </c>
      <c r="F3" s="122">
        <v>250523.69999999998</v>
      </c>
      <c r="G3" s="64">
        <f>F3*15%</f>
        <v>37578.554999999993</v>
      </c>
      <c r="H3" s="47">
        <f>F3*85%</f>
        <v>212945.14499999999</v>
      </c>
      <c r="I3" s="48" t="s">
        <v>187</v>
      </c>
    </row>
    <row r="4" spans="2:9" s="24" customFormat="1">
      <c r="B4" s="188"/>
      <c r="C4" s="38" t="s">
        <v>207</v>
      </c>
      <c r="D4" s="121">
        <v>250807</v>
      </c>
      <c r="E4" s="3">
        <f>D4-F4</f>
        <v>75242.100000000006</v>
      </c>
      <c r="F4" s="122">
        <v>175564.9</v>
      </c>
      <c r="G4" s="64">
        <f>F4*15%</f>
        <v>26334.734999999997</v>
      </c>
      <c r="H4" s="47">
        <f>F4*85%</f>
        <v>149230.16499999998</v>
      </c>
      <c r="I4" s="48" t="s">
        <v>187</v>
      </c>
    </row>
    <row r="5" spans="2:9" ht="18" thickBot="1">
      <c r="B5" s="57" t="s">
        <v>7</v>
      </c>
      <c r="C5" s="58"/>
      <c r="D5" s="59">
        <f>SUM(D3:D4)</f>
        <v>608698</v>
      </c>
      <c r="E5" s="59">
        <f>SUM(E3:E4)</f>
        <v>182609.40000000002</v>
      </c>
      <c r="F5" s="59">
        <f>SUM(F3:F4)</f>
        <v>426088.6</v>
      </c>
      <c r="G5" s="59">
        <f>SUM(G3:G4)</f>
        <v>63913.289999999994</v>
      </c>
      <c r="H5" s="59">
        <f>SUM(H3:H4)</f>
        <v>362175.30999999994</v>
      </c>
      <c r="I5" s="60"/>
    </row>
  </sheetData>
  <mergeCells count="1">
    <mergeCell ref="B3:B4"/>
  </mergeCells>
  <phoneticPr fontId="22" type="noConversion"/>
  <pageMargins left="0.7" right="0.7" top="0.75" bottom="0.75" header="0.3" footer="0.3"/>
  <pageSetup paperSize="9" orientation="portrait" horizontalDpi="360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"/>
  <sheetViews>
    <sheetView zoomScale="115" zoomScaleNormal="115" workbookViewId="0">
      <selection activeCell="E12" sqref="E12"/>
    </sheetView>
  </sheetViews>
  <sheetFormatPr defaultRowHeight="17.399999999999999"/>
  <cols>
    <col min="2" max="2" width="9.09765625" bestFit="1" customWidth="1"/>
    <col min="3" max="3" width="14.8984375" bestFit="1" customWidth="1"/>
    <col min="4" max="4" width="12.8984375" bestFit="1" customWidth="1"/>
    <col min="5" max="5" width="12.296875" bestFit="1" customWidth="1"/>
    <col min="6" max="6" width="12.296875" style="103" bestFit="1" customWidth="1"/>
    <col min="7" max="7" width="10.59765625" bestFit="1" customWidth="1"/>
    <col min="8" max="8" width="11.19921875" bestFit="1" customWidth="1"/>
    <col min="9" max="9" width="13.59765625" bestFit="1" customWidth="1"/>
  </cols>
  <sheetData>
    <row r="1" spans="2:9" ht="18" thickBot="1"/>
    <row r="2" spans="2:9" s="24" customFormat="1">
      <c r="B2" s="49" t="s">
        <v>71</v>
      </c>
      <c r="C2" s="50" t="s">
        <v>29</v>
      </c>
      <c r="D2" s="50" t="s">
        <v>3</v>
      </c>
      <c r="E2" s="50" t="s">
        <v>110</v>
      </c>
      <c r="F2" s="50" t="s">
        <v>5</v>
      </c>
      <c r="G2" s="50" t="s">
        <v>6</v>
      </c>
      <c r="H2" s="50" t="s">
        <v>230</v>
      </c>
      <c r="I2" s="51" t="s">
        <v>19</v>
      </c>
    </row>
    <row r="3" spans="2:9" s="24" customFormat="1">
      <c r="B3" s="199" t="s">
        <v>133</v>
      </c>
      <c r="C3" s="38" t="s">
        <v>101</v>
      </c>
      <c r="D3" s="71">
        <v>0</v>
      </c>
      <c r="E3" s="39">
        <v>0</v>
      </c>
      <c r="F3" s="104">
        <v>0</v>
      </c>
      <c r="G3" s="64">
        <f>F3*15%</f>
        <v>0</v>
      </c>
      <c r="H3" s="47">
        <f>F3*85%</f>
        <v>0</v>
      </c>
      <c r="I3" s="48" t="s">
        <v>178</v>
      </c>
    </row>
    <row r="4" spans="2:9" s="24" customFormat="1">
      <c r="B4" s="199"/>
      <c r="C4" s="38" t="s">
        <v>104</v>
      </c>
      <c r="D4" s="71">
        <v>0</v>
      </c>
      <c r="E4" s="39">
        <f>D4-F4</f>
        <v>0</v>
      </c>
      <c r="F4" s="104">
        <v>0</v>
      </c>
      <c r="G4" s="64">
        <f>F4*15%</f>
        <v>0</v>
      </c>
      <c r="H4" s="47">
        <f>F4*85%</f>
        <v>0</v>
      </c>
      <c r="I4" s="48" t="s">
        <v>178</v>
      </c>
    </row>
    <row r="5" spans="2:9" s="24" customFormat="1" ht="18" thickBot="1">
      <c r="B5" s="52" t="s">
        <v>7</v>
      </c>
      <c r="C5" s="53"/>
      <c r="D5" s="54">
        <f>SUM(D3:D4)</f>
        <v>0</v>
      </c>
      <c r="E5" s="54">
        <f>SUM(E3:E4)</f>
        <v>0</v>
      </c>
      <c r="F5" s="86">
        <f>SUM(F3:F4)</f>
        <v>0</v>
      </c>
      <c r="G5" s="54">
        <f>SUM(G3:G4)</f>
        <v>0</v>
      </c>
      <c r="H5" s="54">
        <f>SUM(H3:H4)</f>
        <v>0</v>
      </c>
      <c r="I5" s="55"/>
    </row>
    <row r="7" spans="2:9">
      <c r="B7" t="s">
        <v>194</v>
      </c>
    </row>
  </sheetData>
  <mergeCells count="1">
    <mergeCell ref="B3:B4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계정정보</vt:lpstr>
      <vt:lpstr>합계</vt:lpstr>
      <vt:lpstr>봄툰</vt:lpstr>
      <vt:lpstr>시리즈</vt:lpstr>
      <vt:lpstr>탑툰</vt:lpstr>
      <vt:lpstr>드림</vt:lpstr>
      <vt:lpstr>무툰</vt:lpstr>
      <vt:lpstr>저스툰</vt:lpstr>
      <vt:lpstr>카카오페이지</vt:lpstr>
      <vt:lpstr>북큐브</vt:lpstr>
      <vt:lpstr>시프트북스</vt:lpstr>
      <vt:lpstr>배틀</vt:lpstr>
      <vt:lpstr>코미코(태국)</vt:lpstr>
      <vt:lpstr>픽코마</vt:lpstr>
      <vt:lpstr>한국이퍼브</vt:lpstr>
      <vt:lpstr>코미콜라</vt:lpstr>
      <vt:lpstr>리디북스</vt:lpstr>
      <vt:lpstr>케이툰</vt:lpstr>
      <vt:lpstr>레진코믹스</vt:lpstr>
      <vt:lpstr>타파스</vt:lpstr>
      <vt:lpstr>중국만화인망가스</vt:lpstr>
      <vt:lpstr>델리툰</vt:lpstr>
      <vt:lpstr>콰이콴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임종빈</dc:creator>
  <cp:lastModifiedBy>jihui</cp:lastModifiedBy>
  <dcterms:created xsi:type="dcterms:W3CDTF">2016-02-02T01:20:33Z</dcterms:created>
  <dcterms:modified xsi:type="dcterms:W3CDTF">2022-02-10T09:06:28Z</dcterms:modified>
</cp:coreProperties>
</file>