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제휴사\"/>
    </mc:Choice>
  </mc:AlternateContent>
  <bookViews>
    <workbookView xWindow="0" yWindow="0" windowWidth="23040" windowHeight="8952"/>
  </bookViews>
  <sheets>
    <sheet name="합계" sheetId="2" r:id="rId1"/>
    <sheet name="울트라유통_01" sheetId="7" r:id="rId2"/>
    <sheet name="레진01" sheetId="6" r:id="rId3"/>
    <sheet name="레진(글로벌) 01" sheetId="8" r:id="rId4"/>
  </sheets>
  <calcPr calcId="152511"/>
</workbook>
</file>

<file path=xl/calcChain.xml><?xml version="1.0" encoding="utf-8"?>
<calcChain xmlns="http://schemas.openxmlformats.org/spreadsheetml/2006/main">
  <c r="D16" i="2" l="1"/>
  <c r="D14" i="2"/>
  <c r="D13" i="2"/>
  <c r="L17" i="2"/>
  <c r="E4" i="2"/>
  <c r="D15" i="2" l="1"/>
  <c r="C6" i="8" l="1"/>
  <c r="F6" i="2" l="1"/>
  <c r="G6" i="2"/>
  <c r="H6" i="2" s="1"/>
  <c r="I6" i="2" l="1"/>
  <c r="D5" i="2"/>
  <c r="D4" i="2"/>
  <c r="G5" i="2" l="1"/>
  <c r="G8" i="2" s="1"/>
  <c r="F5" i="2"/>
  <c r="H5" i="2" s="1"/>
  <c r="I5" i="2" l="1"/>
  <c r="F8" i="2"/>
  <c r="E8" i="2" l="1"/>
  <c r="D8" i="2"/>
  <c r="H8" i="2" l="1"/>
  <c r="I8" i="2"/>
  <c r="L20" i="2" l="1"/>
  <c r="L4" i="2" s="1"/>
  <c r="L5" i="2" s="1"/>
</calcChain>
</file>

<file path=xl/sharedStrings.xml><?xml version="1.0" encoding="utf-8"?>
<sst xmlns="http://schemas.openxmlformats.org/spreadsheetml/2006/main" count="114" uniqueCount="84">
  <si>
    <t>이용권 포함 컨텐츠별 매출 통계</t>
  </si>
  <si>
    <t>컨텐츠</t>
  </si>
  <si>
    <t>컨텐츠No</t>
  </si>
  <si>
    <t>공급자코드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</si>
  <si>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</si>
  <si>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</si>
  <si>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</si>
  <si>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</si>
  <si>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</si>
  <si>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</si>
  <si>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</si>
  <si>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</si>
  <si>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</si>
  <si>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i쿠키 수수료</t>
  </si>
  <si>
    <t>자동충전 쿠키로 대여</t>
  </si>
  <si>
    <t>자동충전 쿠키로 구매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</si>
  <si>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</si>
  <si>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</si>
  <si>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</si>
  <si>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</si>
  <si>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</si>
  <si>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</si>
  <si>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</si>
  <si>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</si>
  <si>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</si>
  <si>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</si>
  <si>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</si>
  <si>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</si>
  <si>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울트라미디어</t>
  </si>
  <si>
    <t>15세 이상 이용가능</t>
  </si>
  <si>
    <t>구분</t>
    <phoneticPr fontId="2" type="noConversion"/>
  </si>
  <si>
    <t>플랫폼</t>
    <phoneticPr fontId="2" type="noConversion"/>
  </si>
  <si>
    <t>울트라미디어 수익</t>
    <phoneticPr fontId="2" type="noConversion"/>
  </si>
  <si>
    <t>선투자금</t>
    <phoneticPr fontId="2" type="noConversion"/>
  </si>
  <si>
    <t>네이버</t>
    <phoneticPr fontId="2" type="noConversion"/>
  </si>
  <si>
    <t>누적 차감액</t>
    <phoneticPr fontId="2" type="noConversion"/>
  </si>
  <si>
    <t>잔여 선MG</t>
    <phoneticPr fontId="2" type="noConversion"/>
  </si>
  <si>
    <t>합계</t>
    <phoneticPr fontId="2" type="noConversion"/>
  </si>
  <si>
    <t>회수금액</t>
    <phoneticPr fontId="2" type="noConversion"/>
  </si>
  <si>
    <t>정산 월</t>
    <phoneticPr fontId="2" type="noConversion"/>
  </si>
  <si>
    <t>2021.10</t>
    <phoneticPr fontId="2" type="noConversion"/>
  </si>
  <si>
    <t>선MG 회수</t>
    <phoneticPr fontId="2" type="noConversion"/>
  </si>
  <si>
    <t>신간(SW유통)</t>
    <phoneticPr fontId="2" type="noConversion"/>
  </si>
  <si>
    <t>스토리위즈 수익</t>
    <phoneticPr fontId="2" type="noConversion"/>
  </si>
  <si>
    <t>스토리위즈-&gt;울트라미디어 계산서 발행</t>
    <phoneticPr fontId="2" type="noConversion"/>
  </si>
  <si>
    <t>울트라미디어-&gt;스토리위즈 계산서 발행</t>
    <phoneticPr fontId="2" type="noConversion"/>
  </si>
  <si>
    <t>구분</t>
    <phoneticPr fontId="2" type="noConversion"/>
  </si>
  <si>
    <t>금액</t>
    <phoneticPr fontId="2" type="noConversion"/>
  </si>
  <si>
    <t>비고</t>
    <phoneticPr fontId="2" type="noConversion"/>
  </si>
  <si>
    <t>작가정산</t>
    <phoneticPr fontId="2" type="noConversion"/>
  </si>
  <si>
    <t>* 신간 콘텐츠 울트라작가 50%, 수익 5% 배분 후 잔액에 대해 울트라 수익 정산,선MG 회수 5:5 배분</t>
    <phoneticPr fontId="2" type="noConversion"/>
  </si>
  <si>
    <t>작가 정산+울트라미디어 수익</t>
    <phoneticPr fontId="2" type="noConversion"/>
  </si>
  <si>
    <t>특약콘텐츠</t>
  </si>
  <si>
    <t>2022.02.02</t>
  </si>
  <si>
    <t>울트라미디어 1월 정산서</t>
    <phoneticPr fontId="2" type="noConversion"/>
  </si>
  <si>
    <t>스토리위즈 매출</t>
    <phoneticPr fontId="2" type="noConversion"/>
  </si>
  <si>
    <t>특약(울트라 유통)</t>
    <phoneticPr fontId="2" type="noConversion"/>
  </si>
  <si>
    <t>레진(국내)</t>
    <phoneticPr fontId="2" type="noConversion"/>
  </si>
  <si>
    <t xml:space="preserve">당월 정산 대상 </t>
  </si>
  <si>
    <t>구분</t>
  </si>
  <si>
    <t>정산대상액</t>
  </si>
  <si>
    <t>비고</t>
  </si>
  <si>
    <t>MG</t>
    <phoneticPr fontId="2" type="noConversion"/>
  </si>
  <si>
    <t xml:space="preserve">부가세 별도 </t>
    <phoneticPr fontId="2" type="noConversion"/>
  </si>
  <si>
    <t>* 과세</t>
  </si>
  <si>
    <t xml:space="preserve">작품명 </t>
  </si>
  <si>
    <t>KRW</t>
  </si>
  <si>
    <t>(과세)</t>
    <phoneticPr fontId="2" type="noConversion"/>
  </si>
  <si>
    <t>레진(글) 2022년</t>
    <phoneticPr fontId="2" type="noConversion"/>
  </si>
  <si>
    <r>
      <t xml:space="preserve"> 1</t>
    </r>
    <r>
      <rPr>
        <b/>
        <sz val="10"/>
        <color theme="1"/>
        <rFont val="맑은 고딕"/>
        <family val="3"/>
        <charset val="129"/>
        <scheme val="minor"/>
      </rPr>
      <t>월 정산 금액</t>
    </r>
    <r>
      <rPr>
        <sz val="10"/>
        <color theme="1"/>
        <rFont val="맑은 고딕"/>
        <family val="3"/>
        <charset val="129"/>
        <scheme val="minor"/>
      </rPr>
      <t xml:space="preserve"> (단위: KRW)</t>
    </r>
    <phoneticPr fontId="2" type="noConversion"/>
  </si>
  <si>
    <t>상세 *매출월 발생월 기준</t>
    <phoneticPr fontId="2" type="noConversion"/>
  </si>
  <si>
    <t>&lt;피치 소르베&gt;</t>
    <phoneticPr fontId="2" type="noConversion"/>
  </si>
  <si>
    <t>영어 4,000,000원, 일어 4,000,000원</t>
    <phoneticPr fontId="2" type="noConversion"/>
  </si>
  <si>
    <t>MG 상세</t>
    <phoneticPr fontId="2" type="noConversion"/>
  </si>
  <si>
    <t>총 MG</t>
    <phoneticPr fontId="2" type="noConversion"/>
  </si>
  <si>
    <t>레진(일/영) MG</t>
    <phoneticPr fontId="2" type="noConversion"/>
  </si>
  <si>
    <t>울트라미디어-&gt;스토리위즈 세금계산서 발행</t>
    <phoneticPr fontId="2" type="noConversion"/>
  </si>
  <si>
    <t>2022.01 SW정산</t>
    <phoneticPr fontId="2" type="noConversion"/>
  </si>
  <si>
    <t>글로벌 수익 정산(과세 대상/vat별도)</t>
    <phoneticPr fontId="2" type="noConversion"/>
  </si>
  <si>
    <t>(신간) 선MG 회수 계산서 처리</t>
    <phoneticPr fontId="2" type="noConversion"/>
  </si>
  <si>
    <t>특약 매출(울트라 유통_MG상환금)</t>
    <phoneticPr fontId="2" type="noConversion"/>
  </si>
  <si>
    <t>소비자 매출</t>
    <phoneticPr fontId="2" type="noConversion"/>
  </si>
  <si>
    <t>특약(스토리위즈 매출)+신간 선MG 회수</t>
    <phoneticPr fontId="2" type="noConversion"/>
  </si>
  <si>
    <r>
      <t xml:space="preserve">* 특약 콘텐츠 SW 선급금 회수 10%, 울트라수익 90% / </t>
    </r>
    <r>
      <rPr>
        <b/>
        <sz val="8"/>
        <color theme="1"/>
        <rFont val="맑은 고딕"/>
        <family val="3"/>
        <charset val="129"/>
        <scheme val="minor"/>
      </rPr>
      <t>선급금회수 금액을 SW 매출로 인식(22.01년 변경)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</si>
</sst>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6" formatCode="_-* #,##0.00000_-;\-* #,##0.00000_-;_-* &quot;-&quot;??_-;_-@_-"/>
  </numFmts>
  <fonts count="33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24" fillId="0" borderId="0" xfId="0" applyFont="1">
      <alignment vertical="center"/>
    </xf>
    <xf numFmtId="0" fontId="0" fillId="36" borderId="10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41" fontId="0" fillId="37" borderId="12" xfId="44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1" fontId="0" fillId="0" borderId="14" xfId="44" applyFont="1" applyBorder="1">
      <alignment vertical="center"/>
    </xf>
    <xf numFmtId="41" fontId="0" fillId="0" borderId="15" xfId="44" applyFont="1" applyBorder="1">
      <alignment vertical="center"/>
    </xf>
    <xf numFmtId="0" fontId="0" fillId="37" borderId="13" xfId="0" applyFill="1" applyBorder="1" applyAlignment="1">
      <alignment horizontal="center" vertical="center"/>
    </xf>
    <xf numFmtId="41" fontId="0" fillId="37" borderId="15" xfId="0" applyNumberForma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37" borderId="16" xfId="0" applyFill="1" applyBorder="1" applyAlignment="1">
      <alignment horizontal="center" vertical="center"/>
    </xf>
    <xf numFmtId="41" fontId="0" fillId="37" borderId="17" xfId="0" applyNumberFormat="1" applyFill="1" applyBorder="1" applyAlignment="1">
      <alignment horizontal="center" vertical="center"/>
    </xf>
    <xf numFmtId="41" fontId="0" fillId="36" borderId="20" xfId="0" applyNumberFormat="1" applyFill="1" applyBorder="1">
      <alignment vertical="center"/>
    </xf>
    <xf numFmtId="41" fontId="0" fillId="36" borderId="17" xfId="0" applyNumberFormat="1" applyFill="1" applyBorder="1">
      <alignment vertical="center"/>
    </xf>
    <xf numFmtId="0" fontId="0" fillId="36" borderId="21" xfId="0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41" fontId="0" fillId="0" borderId="15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1" fontId="0" fillId="0" borderId="2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>
      <alignment vertical="center"/>
    </xf>
    <xf numFmtId="0" fontId="0" fillId="0" borderId="24" xfId="0" applyBorder="1" applyAlignment="1">
      <alignment horizontal="center" vertical="center"/>
    </xf>
    <xf numFmtId="41" fontId="0" fillId="36" borderId="22" xfId="44" applyFont="1" applyFill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41" fontId="0" fillId="0" borderId="26" xfId="44" applyFont="1" applyBorder="1">
      <alignment vertical="center"/>
    </xf>
    <xf numFmtId="0" fontId="0" fillId="0" borderId="26" xfId="0" applyBorder="1">
      <alignment vertical="center"/>
    </xf>
    <xf numFmtId="41" fontId="0" fillId="36" borderId="27" xfId="0" applyNumberFormat="1" applyFill="1" applyBorder="1">
      <alignment vertical="center"/>
    </xf>
    <xf numFmtId="43" fontId="0" fillId="0" borderId="0" xfId="0" applyNumberFormat="1">
      <alignment vertical="center"/>
    </xf>
    <xf numFmtId="0" fontId="27" fillId="0" borderId="0" xfId="0" applyFont="1" applyFill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41" fontId="4" fillId="37" borderId="14" xfId="0" applyNumberFormat="1" applyFont="1" applyFill="1" applyBorder="1" applyAlignment="1">
      <alignment horizontal="center" vertical="center"/>
    </xf>
    <xf numFmtId="41" fontId="4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4" fillId="0" borderId="0" xfId="0" applyNumberFormat="1" applyFont="1" applyBorder="1" applyAlignment="1">
      <alignment horizontal="right" vertical="center"/>
    </xf>
    <xf numFmtId="176" fontId="0" fillId="0" borderId="0" xfId="0" applyNumberFormat="1">
      <alignment vertical="center"/>
    </xf>
    <xf numFmtId="0" fontId="3" fillId="33" borderId="0" xfId="0" applyFont="1" applyFill="1" applyAlignment="1">
      <alignment horizontal="center" vertical="center" wrapText="1"/>
    </xf>
    <xf numFmtId="41" fontId="4" fillId="0" borderId="0" xfId="44" applyFont="1" applyAlignment="1">
      <alignment vertical="center" wrapText="1"/>
    </xf>
    <xf numFmtId="41" fontId="5" fillId="0" borderId="0" xfId="44" applyFont="1" applyAlignment="1">
      <alignment vertical="center" wrapText="1"/>
    </xf>
    <xf numFmtId="41" fontId="25" fillId="0" borderId="0" xfId="44" applyFont="1">
      <alignment vertical="center"/>
    </xf>
    <xf numFmtId="0" fontId="29" fillId="38" borderId="28" xfId="0" applyFont="1" applyFill="1" applyBorder="1">
      <alignment vertical="center"/>
    </xf>
    <xf numFmtId="0" fontId="29" fillId="0" borderId="29" xfId="0" applyFont="1" applyBorder="1">
      <alignment vertical="center"/>
    </xf>
    <xf numFmtId="0" fontId="25" fillId="0" borderId="30" xfId="0" applyFont="1" applyBorder="1">
      <alignment vertical="center"/>
    </xf>
    <xf numFmtId="0" fontId="25" fillId="0" borderId="0" xfId="0" applyFont="1">
      <alignment vertical="center"/>
    </xf>
    <xf numFmtId="0" fontId="29" fillId="0" borderId="28" xfId="0" applyFont="1" applyBorder="1">
      <alignment vertical="center"/>
    </xf>
    <xf numFmtId="0" fontId="30" fillId="0" borderId="30" xfId="0" applyFont="1" applyBorder="1" applyAlignment="1">
      <alignment horizontal="right" vertical="center"/>
    </xf>
    <xf numFmtId="0" fontId="29" fillId="39" borderId="13" xfId="0" applyFont="1" applyFill="1" applyBorder="1" applyAlignment="1">
      <alignment horizontal="center" vertical="center"/>
    </xf>
    <xf numFmtId="0" fontId="29" fillId="39" borderId="14" xfId="0" applyFont="1" applyFill="1" applyBorder="1" applyAlignment="1">
      <alignment horizontal="center" vertical="center"/>
    </xf>
    <xf numFmtId="0" fontId="29" fillId="39" borderId="15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3" fontId="30" fillId="0" borderId="14" xfId="0" applyNumberFormat="1" applyFont="1" applyBorder="1">
      <alignment vertical="center"/>
    </xf>
    <xf numFmtId="0" fontId="25" fillId="0" borderId="15" xfId="0" applyFont="1" applyBorder="1">
      <alignment vertical="center"/>
    </xf>
    <xf numFmtId="0" fontId="31" fillId="0" borderId="31" xfId="0" applyFont="1" applyBorder="1">
      <alignment vertical="center"/>
    </xf>
    <xf numFmtId="0" fontId="25" fillId="0" borderId="32" xfId="0" applyFont="1" applyBorder="1">
      <alignment vertical="center"/>
    </xf>
    <xf numFmtId="0" fontId="25" fillId="0" borderId="33" xfId="0" applyFont="1" applyBorder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vertical="center" wrapText="1"/>
    </xf>
    <xf numFmtId="3" fontId="29" fillId="0" borderId="0" xfId="0" applyNumberFormat="1" applyFont="1">
      <alignment vertical="center"/>
    </xf>
    <xf numFmtId="0" fontId="25" fillId="0" borderId="15" xfId="0" applyFont="1" applyBorder="1" applyAlignment="1">
      <alignment horizontal="right" vertical="center"/>
    </xf>
    <xf numFmtId="0" fontId="27" fillId="0" borderId="0" xfId="0" applyFont="1">
      <alignment vertical="center"/>
    </xf>
    <xf numFmtId="0" fontId="3" fillId="0" borderId="0" xfId="0" applyFont="1" applyFill="1" applyBorder="1">
      <alignment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6" fillId="37" borderId="14" xfId="0" applyFont="1" applyFill="1" applyBorder="1" applyAlignment="1">
      <alignment horizontal="center" vertical="center"/>
    </xf>
    <xf numFmtId="0" fontId="4" fillId="37" borderId="14" xfId="0" applyFont="1" applyFill="1" applyBorder="1" applyAlignment="1">
      <alignment horizontal="center" vertical="center"/>
    </xf>
    <xf numFmtId="0" fontId="3" fillId="35" borderId="0" xfId="0" applyFont="1" applyFill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0" fontId="3" fillId="34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3" borderId="0" xfId="0" applyFont="1" applyFill="1" applyAlignment="1">
      <alignment vertical="center" wrapText="1"/>
    </xf>
  </cellXfs>
  <cellStyles count="45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보통 2" xfId="29"/>
    <cellStyle name="설명 텍스트 2" xfId="30"/>
    <cellStyle name="셀 확인 2" xfId="31"/>
    <cellStyle name="쉼표 [0]" xfId="44" builtinId="6"/>
    <cellStyle name="쉼표 [0] 2" xfId="32"/>
    <cellStyle name="연결된 셀 2" xfId="33"/>
    <cellStyle name="요약 2" xfId="34"/>
    <cellStyle name="입력 2" xfId="35"/>
    <cellStyle name="제목 1 2" xfId="36"/>
    <cellStyle name="제목 2 2" xfId="37"/>
    <cellStyle name="제목 3 2" xfId="38"/>
    <cellStyle name="제목 4 2" xfId="39"/>
    <cellStyle name="제목 5" xfId="40"/>
    <cellStyle name="좋음 2" xfId="41"/>
    <cellStyle name="출력 2" xfId="42"/>
    <cellStyle name="표준" xfId="0" builtinId="0"/>
    <cellStyle name="표준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531396</xdr:colOff>
      <xdr:row>41</xdr:row>
      <xdr:rowOff>200528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50" t="1658" r="12270" b="8468"/>
        <a:stretch/>
      </xdr:blipFill>
      <xdr:spPr>
        <a:xfrm>
          <a:off x="0" y="0"/>
          <a:ext cx="13966659" cy="924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2"/>
  <sheetViews>
    <sheetView tabSelected="1" zoomScale="85" zoomScaleNormal="85" workbookViewId="0">
      <selection activeCell="F20" sqref="F20"/>
    </sheetView>
  </sheetViews>
  <sheetFormatPr defaultRowHeight="17.399999999999999" x14ac:dyDescent="0.4"/>
  <cols>
    <col min="1" max="1" width="3" customWidth="1"/>
    <col min="2" max="2" width="16" customWidth="1"/>
    <col min="3" max="3" width="15.8984375" customWidth="1"/>
    <col min="4" max="4" width="15.59765625" customWidth="1"/>
    <col min="5" max="5" width="16.09765625" customWidth="1"/>
    <col min="6" max="6" width="13.8984375" customWidth="1"/>
    <col min="7" max="7" width="15" customWidth="1"/>
    <col min="8" max="8" width="14.796875" customWidth="1"/>
    <col min="9" max="9" width="17.3984375" customWidth="1"/>
    <col min="10" max="10" width="9.3984375" customWidth="1"/>
    <col min="11" max="11" width="16.8984375" customWidth="1"/>
    <col min="12" max="12" width="17.69921875" customWidth="1"/>
    <col min="13" max="13" width="25.5" customWidth="1"/>
  </cols>
  <sheetData>
    <row r="1" spans="2:12" ht="30" x14ac:dyDescent="0.4">
      <c r="B1" s="5" t="s">
        <v>54</v>
      </c>
    </row>
    <row r="2" spans="2:12" ht="18" thickBot="1" x14ac:dyDescent="0.45"/>
    <row r="3" spans="2:12" s="9" customFormat="1" x14ac:dyDescent="0.4">
      <c r="B3" s="6" t="s">
        <v>30</v>
      </c>
      <c r="C3" s="7" t="s">
        <v>31</v>
      </c>
      <c r="D3" s="7" t="s">
        <v>81</v>
      </c>
      <c r="E3" s="7" t="s">
        <v>55</v>
      </c>
      <c r="F3" s="7" t="s">
        <v>49</v>
      </c>
      <c r="G3" s="34" t="s">
        <v>43</v>
      </c>
      <c r="H3" s="7" t="s">
        <v>41</v>
      </c>
      <c r="I3" s="8" t="s">
        <v>32</v>
      </c>
      <c r="K3" s="10" t="s">
        <v>33</v>
      </c>
      <c r="L3" s="11">
        <v>1000000000</v>
      </c>
    </row>
    <row r="4" spans="2:12" x14ac:dyDescent="0.4">
      <c r="B4" s="12" t="s">
        <v>56</v>
      </c>
      <c r="C4" s="13" t="s">
        <v>34</v>
      </c>
      <c r="D4" s="14">
        <f>울트라유통_01!AS5</f>
        <v>367577496.30000001</v>
      </c>
      <c r="E4" s="14">
        <f>(D4*60%)*10%</f>
        <v>22054649.778000001</v>
      </c>
      <c r="F4" s="14">
        <v>0</v>
      </c>
      <c r="G4" s="35">
        <v>0</v>
      </c>
      <c r="H4" s="14">
        <v>0</v>
      </c>
      <c r="I4" s="15">
        <v>0</v>
      </c>
      <c r="K4" s="16" t="s">
        <v>35</v>
      </c>
      <c r="L4" s="17">
        <f>L20</f>
        <v>207180474.778</v>
      </c>
    </row>
    <row r="5" spans="2:12" ht="18" thickBot="1" x14ac:dyDescent="0.45">
      <c r="B5" s="12" t="s">
        <v>42</v>
      </c>
      <c r="C5" s="13" t="s">
        <v>57</v>
      </c>
      <c r="D5" s="14">
        <f>E5*2</f>
        <v>20410800</v>
      </c>
      <c r="E5" s="14">
        <v>10205400</v>
      </c>
      <c r="F5" s="14">
        <f>ROUND((E5*50%),0)</f>
        <v>5102700</v>
      </c>
      <c r="G5" s="35">
        <f>ROUND(E5*5%,0)</f>
        <v>510270</v>
      </c>
      <c r="H5" s="14">
        <f>ROUND(((E5-F5-G5)*50%),0)</f>
        <v>2296215</v>
      </c>
      <c r="I5" s="15">
        <f>ROUND(((E5-F5-G5)*50%),0)</f>
        <v>2296215</v>
      </c>
      <c r="K5" s="20" t="s">
        <v>36</v>
      </c>
      <c r="L5" s="21">
        <f>L3-L4</f>
        <v>792819525.222</v>
      </c>
    </row>
    <row r="6" spans="2:12" ht="18" thickBot="1" x14ac:dyDescent="0.45">
      <c r="B6" s="12" t="s">
        <v>42</v>
      </c>
      <c r="C6" s="13" t="s">
        <v>75</v>
      </c>
      <c r="D6" s="14">
        <v>0</v>
      </c>
      <c r="E6" s="14">
        <v>8000000</v>
      </c>
      <c r="F6" s="14">
        <f>ROUND((E6*50%),0)</f>
        <v>4000000</v>
      </c>
      <c r="G6" s="35">
        <f>ROUND(E6*5%,0)</f>
        <v>400000</v>
      </c>
      <c r="H6" s="14">
        <f>ROUND(((E6-F6-G6)*50%),0)</f>
        <v>1800000</v>
      </c>
      <c r="I6" s="15">
        <f>ROUND(((E6-F6-G6)*50%),0)</f>
        <v>1800000</v>
      </c>
      <c r="K6" s="24" t="s">
        <v>39</v>
      </c>
      <c r="L6" s="25" t="s">
        <v>38</v>
      </c>
    </row>
    <row r="7" spans="2:12" x14ac:dyDescent="0.4">
      <c r="B7" s="12"/>
      <c r="C7" s="13"/>
      <c r="D7" s="18"/>
      <c r="E7" s="18"/>
      <c r="F7" s="18"/>
      <c r="G7" s="36"/>
      <c r="H7" s="18"/>
      <c r="I7" s="19"/>
      <c r="K7" s="12">
        <v>2021.03</v>
      </c>
      <c r="L7" s="26">
        <v>18056186</v>
      </c>
    </row>
    <row r="8" spans="2:12" ht="18" thickBot="1" x14ac:dyDescent="0.45">
      <c r="B8" s="72" t="s">
        <v>37</v>
      </c>
      <c r="C8" s="73"/>
      <c r="D8" s="22">
        <f>SUM(D4:D7)</f>
        <v>387988296.30000001</v>
      </c>
      <c r="E8" s="22">
        <f t="shared" ref="E8:I8" si="0">SUM(E4:E7)</f>
        <v>40260049.777999997</v>
      </c>
      <c r="F8" s="22">
        <f>SUM(F4:F7)</f>
        <v>9102700</v>
      </c>
      <c r="G8" s="37">
        <f>SUM(G4:G7)</f>
        <v>910270</v>
      </c>
      <c r="H8" s="22">
        <f t="shared" si="0"/>
        <v>4096215</v>
      </c>
      <c r="I8" s="23">
        <f t="shared" si="0"/>
        <v>4096215</v>
      </c>
      <c r="K8" s="27">
        <v>2021.04</v>
      </c>
      <c r="L8" s="28">
        <v>17848301</v>
      </c>
    </row>
    <row r="9" spans="2:12" x14ac:dyDescent="0.4">
      <c r="B9" s="39" t="s">
        <v>83</v>
      </c>
      <c r="K9" s="27">
        <v>2021.05</v>
      </c>
      <c r="L9" s="28">
        <v>21637971</v>
      </c>
    </row>
    <row r="10" spans="2:12" x14ac:dyDescent="0.4">
      <c r="B10" s="40" t="s">
        <v>50</v>
      </c>
      <c r="C10" s="29"/>
      <c r="D10" s="30"/>
      <c r="G10" s="46"/>
      <c r="K10" s="27">
        <v>2021.06</v>
      </c>
      <c r="L10" s="28">
        <v>21554745</v>
      </c>
    </row>
    <row r="11" spans="2:12" x14ac:dyDescent="0.4">
      <c r="B11" s="40"/>
      <c r="C11" s="29"/>
      <c r="D11" s="30"/>
      <c r="K11" s="27">
        <v>2021.07</v>
      </c>
      <c r="L11" s="28">
        <v>25518773</v>
      </c>
    </row>
    <row r="12" spans="2:12" x14ac:dyDescent="0.4">
      <c r="B12" s="75" t="s">
        <v>46</v>
      </c>
      <c r="C12" s="75"/>
      <c r="D12" s="41" t="s">
        <v>47</v>
      </c>
      <c r="E12" s="76" t="s">
        <v>48</v>
      </c>
      <c r="F12" s="76"/>
      <c r="K12" s="27">
        <v>2021.08</v>
      </c>
      <c r="L12" s="28">
        <v>24352330</v>
      </c>
    </row>
    <row r="13" spans="2:12" x14ac:dyDescent="0.4">
      <c r="B13" s="74" t="s">
        <v>44</v>
      </c>
      <c r="C13" s="74"/>
      <c r="D13" s="42">
        <f>E4</f>
        <v>22054649.778000001</v>
      </c>
      <c r="E13" s="74" t="s">
        <v>80</v>
      </c>
      <c r="F13" s="74"/>
      <c r="K13" s="27">
        <v>2021.09</v>
      </c>
      <c r="L13" s="28">
        <v>3673376</v>
      </c>
    </row>
    <row r="14" spans="2:12" x14ac:dyDescent="0.4">
      <c r="B14" s="74" t="s">
        <v>45</v>
      </c>
      <c r="C14" s="74"/>
      <c r="D14" s="42">
        <f>F5+I5</f>
        <v>7398915</v>
      </c>
      <c r="E14" s="74" t="s">
        <v>51</v>
      </c>
      <c r="F14" s="74"/>
      <c r="H14" s="38"/>
      <c r="K14" s="33" t="s">
        <v>40</v>
      </c>
      <c r="L14" s="28">
        <v>29367</v>
      </c>
    </row>
    <row r="15" spans="2:12" x14ac:dyDescent="0.4">
      <c r="B15" s="74" t="s">
        <v>76</v>
      </c>
      <c r="C15" s="74"/>
      <c r="D15" s="42">
        <f>F6+I6</f>
        <v>5800000</v>
      </c>
      <c r="E15" s="74" t="s">
        <v>78</v>
      </c>
      <c r="F15" s="74"/>
      <c r="H15" s="38"/>
      <c r="K15" s="33">
        <v>2021.11</v>
      </c>
      <c r="L15" s="28">
        <v>16151035</v>
      </c>
    </row>
    <row r="16" spans="2:12" x14ac:dyDescent="0.4">
      <c r="B16" s="74" t="s">
        <v>45</v>
      </c>
      <c r="C16" s="74"/>
      <c r="D16" s="42">
        <f>H8</f>
        <v>4096215</v>
      </c>
      <c r="E16" s="74" t="s">
        <v>79</v>
      </c>
      <c r="F16" s="74"/>
      <c r="H16" s="44"/>
      <c r="K16" s="33">
        <v>2021.12</v>
      </c>
      <c r="L16" s="28">
        <v>32207526</v>
      </c>
    </row>
    <row r="17" spans="2:13" x14ac:dyDescent="0.4">
      <c r="B17" s="43"/>
      <c r="C17" s="43"/>
      <c r="D17" s="45"/>
      <c r="E17" s="43"/>
      <c r="F17" s="43"/>
      <c r="H17" s="44"/>
      <c r="K17" s="33">
        <v>2021.01</v>
      </c>
      <c r="L17" s="28">
        <f>H8+E4</f>
        <v>26150864.778000001</v>
      </c>
      <c r="M17" t="s">
        <v>82</v>
      </c>
    </row>
    <row r="18" spans="2:13" x14ac:dyDescent="0.4">
      <c r="B18" s="43"/>
      <c r="C18" s="43"/>
      <c r="D18" s="45"/>
      <c r="E18" s="43"/>
      <c r="F18" s="43"/>
      <c r="H18" s="44"/>
      <c r="I18" s="9"/>
      <c r="K18" s="33"/>
      <c r="L18" s="28"/>
    </row>
    <row r="19" spans="2:13" ht="18" thickBot="1" x14ac:dyDescent="0.45">
      <c r="B19" s="43"/>
      <c r="C19" s="43"/>
      <c r="D19" s="45"/>
      <c r="E19" s="43"/>
      <c r="F19" s="43"/>
      <c r="H19" s="44"/>
      <c r="I19" s="9"/>
      <c r="K19" s="27"/>
      <c r="L19" s="31"/>
    </row>
    <row r="20" spans="2:13" ht="18" thickBot="1" x14ac:dyDescent="0.45">
      <c r="B20" s="43"/>
      <c r="C20" s="43"/>
      <c r="D20" s="45"/>
      <c r="E20" s="43"/>
      <c r="F20" s="43"/>
      <c r="H20" s="44"/>
      <c r="I20" s="9"/>
      <c r="K20" s="24" t="s">
        <v>37</v>
      </c>
      <c r="L20" s="32">
        <f>SUM(L7:L19)</f>
        <v>207180474.778</v>
      </c>
    </row>
    <row r="21" spans="2:13" ht="15" customHeight="1" x14ac:dyDescent="0.4">
      <c r="B21" s="43"/>
      <c r="C21" s="43"/>
      <c r="D21" s="45"/>
      <c r="E21" s="43"/>
      <c r="F21" s="43"/>
      <c r="H21" s="44"/>
    </row>
    <row r="22" spans="2:13" x14ac:dyDescent="0.4">
      <c r="H22" s="38"/>
    </row>
  </sheetData>
  <mergeCells count="11">
    <mergeCell ref="E12:F12"/>
    <mergeCell ref="E13:F13"/>
    <mergeCell ref="E14:F14"/>
    <mergeCell ref="E15:F15"/>
    <mergeCell ref="E16:F16"/>
    <mergeCell ref="B8:C8"/>
    <mergeCell ref="B13:C13"/>
    <mergeCell ref="B14:C14"/>
    <mergeCell ref="B16:C16"/>
    <mergeCell ref="B12:C12"/>
    <mergeCell ref="B15:C1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opLeftCell="AB1" workbookViewId="0">
      <selection activeCell="AS5" sqref="AS5"/>
    </sheetView>
  </sheetViews>
  <sheetFormatPr defaultRowHeight="17.399999999999999" x14ac:dyDescent="0.4"/>
  <cols>
    <col min="4" max="4" width="10.5" customWidth="1"/>
    <col min="5" max="5" width="17" customWidth="1"/>
    <col min="26" max="26" width="10.09765625" bestFit="1" customWidth="1"/>
    <col min="37" max="37" width="10.19921875" bestFit="1" customWidth="1"/>
    <col min="39" max="39" width="10.19921875" bestFit="1" customWidth="1"/>
    <col min="44" max="44" width="11.19921875" bestFit="1" customWidth="1"/>
    <col min="45" max="46" width="11.5" bestFit="1" customWidth="1"/>
  </cols>
  <sheetData>
    <row r="1" spans="1:46" ht="19.2" x14ac:dyDescent="0.4">
      <c r="A1" s="80" t="s">
        <v>0</v>
      </c>
      <c r="B1" s="80"/>
      <c r="C1" s="80"/>
    </row>
    <row r="3" spans="1:46" x14ac:dyDescent="0.4">
      <c r="A3" s="78" t="s">
        <v>1</v>
      </c>
      <c r="B3" s="78" t="s">
        <v>2</v>
      </c>
      <c r="C3" s="81" t="s">
        <v>3</v>
      </c>
      <c r="D3" s="78" t="s">
        <v>4</v>
      </c>
      <c r="E3" s="81" t="s">
        <v>5</v>
      </c>
      <c r="F3" s="81" t="s">
        <v>6</v>
      </c>
      <c r="G3" s="79" t="s">
        <v>7</v>
      </c>
      <c r="H3" s="79"/>
      <c r="I3" s="79"/>
      <c r="J3" s="79"/>
      <c r="K3" s="79"/>
      <c r="L3" s="79"/>
      <c r="M3" s="79"/>
      <c r="N3" s="79"/>
      <c r="O3" s="79"/>
      <c r="P3" s="77" t="s">
        <v>8</v>
      </c>
      <c r="Q3" s="77"/>
      <c r="R3" s="77"/>
      <c r="S3" s="77"/>
      <c r="T3" s="77"/>
      <c r="U3" s="77"/>
      <c r="V3" s="77"/>
      <c r="W3" s="77"/>
      <c r="X3" s="77"/>
      <c r="Y3" s="79" t="s">
        <v>9</v>
      </c>
      <c r="Z3" s="79"/>
      <c r="AA3" s="79"/>
      <c r="AB3" s="77" t="s">
        <v>10</v>
      </c>
      <c r="AC3" s="77"/>
      <c r="AD3" s="77"/>
      <c r="AE3" s="79" t="s">
        <v>11</v>
      </c>
      <c r="AF3" s="79"/>
      <c r="AG3" s="79"/>
      <c r="AH3" s="77" t="s">
        <v>12</v>
      </c>
      <c r="AI3" s="77"/>
      <c r="AJ3" s="77"/>
      <c r="AK3" s="78" t="s">
        <v>13</v>
      </c>
      <c r="AL3" s="79" t="s">
        <v>14</v>
      </c>
      <c r="AM3" s="79"/>
      <c r="AN3" s="79"/>
      <c r="AO3" s="77" t="s">
        <v>15</v>
      </c>
      <c r="AP3" s="77"/>
      <c r="AQ3" s="77"/>
      <c r="AR3" s="78" t="s">
        <v>16</v>
      </c>
    </row>
    <row r="4" spans="1:46" ht="26.4" x14ac:dyDescent="0.4">
      <c r="A4" s="78"/>
      <c r="B4" s="78"/>
      <c r="C4" s="81"/>
      <c r="D4" s="78"/>
      <c r="E4" s="81"/>
      <c r="F4" s="81"/>
      <c r="G4" s="47" t="s">
        <v>17</v>
      </c>
      <c r="H4" s="47" t="s">
        <v>18</v>
      </c>
      <c r="I4" s="47" t="s">
        <v>19</v>
      </c>
      <c r="J4" s="47" t="s">
        <v>20</v>
      </c>
      <c r="K4" s="47" t="s">
        <v>21</v>
      </c>
      <c r="L4" s="47" t="s">
        <v>22</v>
      </c>
      <c r="M4" s="47" t="s">
        <v>23</v>
      </c>
      <c r="N4" s="47" t="s">
        <v>24</v>
      </c>
      <c r="O4" s="47" t="s">
        <v>25</v>
      </c>
      <c r="P4" s="47" t="s">
        <v>17</v>
      </c>
      <c r="Q4" s="47" t="s">
        <v>18</v>
      </c>
      <c r="R4" s="47" t="s">
        <v>19</v>
      </c>
      <c r="S4" s="47" t="s">
        <v>20</v>
      </c>
      <c r="T4" s="47" t="s">
        <v>21</v>
      </c>
      <c r="U4" s="47" t="s">
        <v>22</v>
      </c>
      <c r="V4" s="47" t="s">
        <v>23</v>
      </c>
      <c r="W4" s="47" t="s">
        <v>24</v>
      </c>
      <c r="X4" s="47" t="s">
        <v>25</v>
      </c>
      <c r="Y4" s="47" t="s">
        <v>17</v>
      </c>
      <c r="Z4" s="47" t="s">
        <v>26</v>
      </c>
      <c r="AA4" s="47" t="s">
        <v>27</v>
      </c>
      <c r="AB4" s="47" t="s">
        <v>17</v>
      </c>
      <c r="AC4" s="47" t="s">
        <v>26</v>
      </c>
      <c r="AD4" s="47" t="s">
        <v>27</v>
      </c>
      <c r="AE4" s="47" t="s">
        <v>17</v>
      </c>
      <c r="AF4" s="47" t="s">
        <v>26</v>
      </c>
      <c r="AG4" s="47" t="s">
        <v>27</v>
      </c>
      <c r="AH4" s="47" t="s">
        <v>17</v>
      </c>
      <c r="AI4" s="47" t="s">
        <v>26</v>
      </c>
      <c r="AJ4" s="47" t="s">
        <v>27</v>
      </c>
      <c r="AK4" s="78"/>
      <c r="AL4" s="47" t="s">
        <v>17</v>
      </c>
      <c r="AM4" s="47" t="s">
        <v>26</v>
      </c>
      <c r="AN4" s="47" t="s">
        <v>27</v>
      </c>
      <c r="AO4" s="47" t="s">
        <v>17</v>
      </c>
      <c r="AP4" s="47" t="s">
        <v>26</v>
      </c>
      <c r="AQ4" s="47" t="s">
        <v>27</v>
      </c>
      <c r="AR4" s="78"/>
    </row>
    <row r="5" spans="1:46" x14ac:dyDescent="0.4">
      <c r="A5" s="1" t="s">
        <v>52</v>
      </c>
      <c r="B5" s="1">
        <v>382988</v>
      </c>
      <c r="C5" s="2"/>
      <c r="D5" s="1" t="s">
        <v>28</v>
      </c>
      <c r="E5" s="3" t="s">
        <v>29</v>
      </c>
      <c r="F5" s="3" t="s">
        <v>53</v>
      </c>
      <c r="G5" s="3">
        <v>9</v>
      </c>
      <c r="H5" s="3">
        <v>53</v>
      </c>
      <c r="I5" s="3">
        <v>0</v>
      </c>
      <c r="J5" s="3">
        <v>400</v>
      </c>
      <c r="K5" s="4">
        <v>1400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43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4">
        <v>1288539</v>
      </c>
      <c r="Z5" s="4">
        <v>198055200</v>
      </c>
      <c r="AA5" s="4">
        <v>59316400</v>
      </c>
      <c r="AB5" s="4">
        <v>12732</v>
      </c>
      <c r="AC5" s="4">
        <v>4748700</v>
      </c>
      <c r="AD5" s="4">
        <v>1117800</v>
      </c>
      <c r="AE5" s="4">
        <v>485289</v>
      </c>
      <c r="AF5" s="4">
        <v>88398697</v>
      </c>
      <c r="AG5" s="4">
        <v>23104687</v>
      </c>
      <c r="AH5" s="4">
        <v>1385</v>
      </c>
      <c r="AI5" s="4">
        <v>519602</v>
      </c>
      <c r="AJ5" s="4">
        <v>112600</v>
      </c>
      <c r="AK5" s="48">
        <v>26675489.699999999</v>
      </c>
      <c r="AL5" s="48">
        <v>89485</v>
      </c>
      <c r="AM5" s="48">
        <v>17474600</v>
      </c>
      <c r="AN5" s="48">
        <v>378200</v>
      </c>
      <c r="AO5" s="48">
        <v>2392</v>
      </c>
      <c r="AP5" s="48">
        <v>989000</v>
      </c>
      <c r="AQ5" s="48">
        <v>35700</v>
      </c>
      <c r="AR5" s="49">
        <v>394252986</v>
      </c>
      <c r="AS5" s="50">
        <v>367577496.30000001</v>
      </c>
      <c r="AT5" s="50">
        <v>220546497.78</v>
      </c>
    </row>
  </sheetData>
  <mergeCells count="17">
    <mergeCell ref="AE3:AG3"/>
    <mergeCell ref="A1:C1"/>
    <mergeCell ref="A3:A4"/>
    <mergeCell ref="B3:B4"/>
    <mergeCell ref="C3:C4"/>
    <mergeCell ref="D3:D4"/>
    <mergeCell ref="E3:E4"/>
    <mergeCell ref="F3:F4"/>
    <mergeCell ref="G3:O3"/>
    <mergeCell ref="P3:X3"/>
    <mergeCell ref="Y3:AA3"/>
    <mergeCell ref="AB3:AD3"/>
    <mergeCell ref="AH3:AJ3"/>
    <mergeCell ref="AK3:AK4"/>
    <mergeCell ref="AL3:AN3"/>
    <mergeCell ref="AO3:AQ3"/>
    <mergeCell ref="AR3:AR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2" zoomScaleNormal="62" workbookViewId="0">
      <selection activeCell="W15" sqref="W15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workbookViewId="0">
      <selection activeCell="E12" sqref="E12"/>
    </sheetView>
  </sheetViews>
  <sheetFormatPr defaultRowHeight="17.399999999999999" x14ac:dyDescent="0.4"/>
  <cols>
    <col min="1" max="1" width="4.59765625" customWidth="1"/>
    <col min="2" max="2" width="12.69921875" customWidth="1"/>
    <col min="3" max="3" width="21.19921875" customWidth="1"/>
    <col min="4" max="4" width="11.796875" customWidth="1"/>
    <col min="5" max="5" width="16.19921875" customWidth="1"/>
  </cols>
  <sheetData>
    <row r="1" spans="2:5" ht="18" thickBot="1" x14ac:dyDescent="0.45"/>
    <row r="2" spans="2:5" ht="18" thickBot="1" x14ac:dyDescent="0.45">
      <c r="B2" s="51" t="s">
        <v>58</v>
      </c>
      <c r="C2" s="52" t="s">
        <v>67</v>
      </c>
      <c r="D2" s="53"/>
      <c r="E2" s="54"/>
    </row>
    <row r="3" spans="2:5" x14ac:dyDescent="0.4">
      <c r="B3" s="55" t="s">
        <v>68</v>
      </c>
      <c r="C3" s="52"/>
      <c r="D3" s="56" t="s">
        <v>69</v>
      </c>
      <c r="E3" s="54"/>
    </row>
    <row r="4" spans="2:5" x14ac:dyDescent="0.4">
      <c r="B4" s="57" t="s">
        <v>59</v>
      </c>
      <c r="C4" s="58" t="s">
        <v>60</v>
      </c>
      <c r="D4" s="59" t="s">
        <v>61</v>
      </c>
      <c r="E4" s="54"/>
    </row>
    <row r="5" spans="2:5" x14ac:dyDescent="0.4">
      <c r="B5" s="60" t="s">
        <v>62</v>
      </c>
      <c r="C5" s="61">
        <v>8000000</v>
      </c>
      <c r="D5" s="69" t="s">
        <v>63</v>
      </c>
      <c r="E5" s="54"/>
    </row>
    <row r="6" spans="2:5" x14ac:dyDescent="0.4">
      <c r="B6" s="57" t="s">
        <v>16</v>
      </c>
      <c r="C6" s="61">
        <f>SUM(C5)</f>
        <v>8000000</v>
      </c>
      <c r="D6" s="62"/>
      <c r="E6" s="54"/>
    </row>
    <row r="7" spans="2:5" ht="18" thickBot="1" x14ac:dyDescent="0.45">
      <c r="B7" s="63" t="s">
        <v>64</v>
      </c>
      <c r="C7" s="64"/>
      <c r="D7" s="65"/>
      <c r="E7" s="54"/>
    </row>
    <row r="8" spans="2:5" x14ac:dyDescent="0.4">
      <c r="B8" s="54"/>
      <c r="C8" s="54"/>
      <c r="D8" s="54"/>
      <c r="E8" s="54"/>
    </row>
    <row r="9" spans="2:5" x14ac:dyDescent="0.4">
      <c r="B9" s="66" t="s">
        <v>70</v>
      </c>
      <c r="C9" s="66"/>
      <c r="D9" s="54"/>
      <c r="E9" s="54"/>
    </row>
    <row r="10" spans="2:5" x14ac:dyDescent="0.4">
      <c r="B10" s="66" t="s">
        <v>65</v>
      </c>
      <c r="C10" s="67" t="s">
        <v>71</v>
      </c>
      <c r="D10" s="54"/>
      <c r="E10" s="54"/>
    </row>
    <row r="11" spans="2:5" x14ac:dyDescent="0.4">
      <c r="B11" s="66" t="s">
        <v>74</v>
      </c>
      <c r="C11" s="68">
        <v>8000000</v>
      </c>
      <c r="D11" s="54" t="s">
        <v>66</v>
      </c>
      <c r="E11" s="54" t="s">
        <v>77</v>
      </c>
    </row>
    <row r="12" spans="2:5" x14ac:dyDescent="0.4">
      <c r="B12" s="71" t="s">
        <v>73</v>
      </c>
      <c r="C12" s="70" t="s">
        <v>72</v>
      </c>
      <c r="D12" s="54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합계</vt:lpstr>
      <vt:lpstr>울트라유통_01</vt:lpstr>
      <vt:lpstr>레진01</vt:lpstr>
      <vt:lpstr>레진(글로벌) 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jihui</cp:lastModifiedBy>
  <dcterms:created xsi:type="dcterms:W3CDTF">2021-10-05T01:16:36Z</dcterms:created>
  <dcterms:modified xsi:type="dcterms:W3CDTF">2022-02-10T06:23:16Z</dcterms:modified>
</cp:coreProperties>
</file>