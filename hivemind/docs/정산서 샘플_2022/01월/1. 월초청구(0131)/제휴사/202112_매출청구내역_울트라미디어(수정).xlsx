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1월매출\1. 월초청구(1231)\제휴사\"/>
    </mc:Choice>
  </mc:AlternateContent>
  <bookViews>
    <workbookView xWindow="0" yWindow="0" windowWidth="23040" windowHeight="8952"/>
  </bookViews>
  <sheets>
    <sheet name="합계" sheetId="2" r:id="rId1"/>
    <sheet name="울트라미디어_네이버12" sheetId="5" r:id="rId2"/>
    <sheet name="레진12" sheetId="6" r:id="rId3"/>
  </sheets>
  <calcPr calcId="152511"/>
</workbook>
</file>

<file path=xl/calcChain.xml><?xml version="1.0" encoding="utf-8"?>
<calcChain xmlns="http://schemas.openxmlformats.org/spreadsheetml/2006/main">
  <c r="H21" i="2" l="1"/>
  <c r="G5" i="2" l="1"/>
  <c r="G7" i="2" s="1"/>
  <c r="F5" i="2"/>
  <c r="H5" i="2" l="1"/>
  <c r="I5" i="2"/>
  <c r="F7" i="2"/>
  <c r="E4" i="2"/>
  <c r="D12" i="2" s="1"/>
  <c r="D4" i="2"/>
  <c r="AS5" i="5"/>
  <c r="AT5" i="5" s="1"/>
  <c r="H4" i="2" l="1"/>
  <c r="I4" i="2"/>
  <c r="E7" i="2"/>
  <c r="D7" i="2"/>
  <c r="H7" i="2" l="1"/>
  <c r="I7" i="2"/>
  <c r="D13" i="2" s="1"/>
  <c r="L16" i="2" l="1"/>
  <c r="L18" i="2" s="1"/>
  <c r="L4" i="2" s="1"/>
  <c r="L5" i="2" s="1"/>
  <c r="D14" i="2"/>
</calcChain>
</file>

<file path=xl/sharedStrings.xml><?xml version="1.0" encoding="utf-8"?>
<sst xmlns="http://schemas.openxmlformats.org/spreadsheetml/2006/main" count="100" uniqueCount="73">
  <si>
    <t>이용권 포함 컨텐츠별 매출 통계</t>
  </si>
  <si>
    <t>컨텐츠</t>
  </si>
  <si>
    <t>컨텐츠No</t>
  </si>
  <si>
    <t>공급자코드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</si>
  <si>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</si>
  <si>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</si>
  <si>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</si>
  <si>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</si>
  <si>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</si>
  <si>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</si>
  <si>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</si>
  <si>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</si>
  <si>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</si>
  <si>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i쿠키 수수료</t>
  </si>
  <si>
    <t>자동충전 쿠키로 대여</t>
  </si>
  <si>
    <t>자동충전 쿠키로 구매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</si>
  <si>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</si>
  <si>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</si>
  <si>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</si>
  <si>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</si>
  <si>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</si>
  <si>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</si>
  <si>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</si>
  <si>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</si>
  <si>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</si>
  <si>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</si>
  <si>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</si>
  <si>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</si>
  <si>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울트라미디어</t>
  </si>
  <si>
    <t>15세 이상 이용가능</t>
  </si>
  <si>
    <t>구분</t>
    <phoneticPr fontId="2" type="noConversion"/>
  </si>
  <si>
    <t>플랫폼</t>
    <phoneticPr fontId="2" type="noConversion"/>
  </si>
  <si>
    <t>소비자매출</t>
    <phoneticPr fontId="2" type="noConversion"/>
  </si>
  <si>
    <t>울트라미디어 수익</t>
    <phoneticPr fontId="2" type="noConversion"/>
  </si>
  <si>
    <t>선투자금</t>
    <phoneticPr fontId="2" type="noConversion"/>
  </si>
  <si>
    <t>특약</t>
    <phoneticPr fontId="2" type="noConversion"/>
  </si>
  <si>
    <t>네이버</t>
    <phoneticPr fontId="2" type="noConversion"/>
  </si>
  <si>
    <t>누적 차감액</t>
    <phoneticPr fontId="2" type="noConversion"/>
  </si>
  <si>
    <t>잔여 선MG</t>
    <phoneticPr fontId="2" type="noConversion"/>
  </si>
  <si>
    <t>합계</t>
    <phoneticPr fontId="2" type="noConversion"/>
  </si>
  <si>
    <t>회수금액</t>
    <phoneticPr fontId="2" type="noConversion"/>
  </si>
  <si>
    <t>정산 월</t>
    <phoneticPr fontId="2" type="noConversion"/>
  </si>
  <si>
    <t>2021.10</t>
    <phoneticPr fontId="2" type="noConversion"/>
  </si>
  <si>
    <t>SW 매출</t>
    <phoneticPr fontId="2" type="noConversion"/>
  </si>
  <si>
    <t>특약콘텐츠</t>
    <phoneticPr fontId="2" type="noConversion"/>
  </si>
  <si>
    <t>2021.12.29</t>
  </si>
  <si>
    <t>선MG 회수</t>
    <phoneticPr fontId="2" type="noConversion"/>
  </si>
  <si>
    <t>신간(SW유통)</t>
    <phoneticPr fontId="2" type="noConversion"/>
  </si>
  <si>
    <t>* 특약 콘텐츠 SW 선급금 회수 10%, 울트라수익 90%</t>
    <phoneticPr fontId="2" type="noConversion"/>
  </si>
  <si>
    <t>스토리위즈 수익</t>
    <phoneticPr fontId="2" type="noConversion"/>
  </si>
  <si>
    <t>스토리위즈-&gt;울트라미디어 계산서 발행</t>
    <phoneticPr fontId="2" type="noConversion"/>
  </si>
  <si>
    <t>울트라미디어-&gt;스토리위즈 계산서 발행</t>
    <phoneticPr fontId="2" type="noConversion"/>
  </si>
  <si>
    <t>구분</t>
    <phoneticPr fontId="2" type="noConversion"/>
  </si>
  <si>
    <t>금액</t>
    <phoneticPr fontId="2" type="noConversion"/>
  </si>
  <si>
    <t>비고</t>
    <phoneticPr fontId="2" type="noConversion"/>
  </si>
  <si>
    <t>특약 매출(울트라 유통)</t>
    <phoneticPr fontId="2" type="noConversion"/>
  </si>
  <si>
    <t>선MG 회수 계산서 처리</t>
    <phoneticPr fontId="2" type="noConversion"/>
  </si>
  <si>
    <t>레진</t>
    <phoneticPr fontId="2" type="noConversion"/>
  </si>
  <si>
    <t>작가정산</t>
    <phoneticPr fontId="2" type="noConversion"/>
  </si>
  <si>
    <t>* 신간 콘텐츠 울트라작가 50%, 수익 5% 배분 후 잔액에 대해 울트라 수익 정산,선MG 회수 5:5 배분</t>
    <phoneticPr fontId="2" type="noConversion"/>
  </si>
  <si>
    <t>울트라미디어 12월 정산 수정본</t>
    <phoneticPr fontId="2" type="noConversion"/>
  </si>
  <si>
    <t>선MG 회수</t>
    <phoneticPr fontId="2" type="noConversion"/>
  </si>
  <si>
    <t>SW 매출</t>
    <phoneticPr fontId="2" type="noConversion"/>
  </si>
  <si>
    <t>소비자 매출</t>
    <phoneticPr fontId="2" type="noConversion"/>
  </si>
  <si>
    <t>12월 정산(조정 전)</t>
    <phoneticPr fontId="2" type="noConversion"/>
  </si>
  <si>
    <t>12월 정산(조정 후)</t>
    <phoneticPr fontId="2" type="noConversion"/>
  </si>
  <si>
    <t>구분</t>
    <phoneticPr fontId="2" type="noConversion"/>
  </si>
  <si>
    <t>울트라 정산금
(작가정산+울트라 수익)</t>
    <phoneticPr fontId="2" type="noConversion"/>
  </si>
  <si>
    <t>스토리위즈 수익</t>
    <phoneticPr fontId="2" type="noConversion"/>
  </si>
  <si>
    <t>▽ 2,889,225</t>
    <phoneticPr fontId="2" type="noConversion"/>
  </si>
  <si>
    <t xml:space="preserve"> ▲ 2,889,225</t>
    <phoneticPr fontId="2" type="noConversion"/>
  </si>
  <si>
    <t>변동</t>
    <phoneticPr fontId="2" type="noConversion"/>
  </si>
  <si>
    <t>작가 정산+울트라미디어 수익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</si>
</sst>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76" formatCode="_-* #,##0.00000_-;\-* #,##0.00000_-;_-* &quot;-&quot;??_-;_-@_-"/>
  </numFmts>
  <fonts count="30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KT서체 Light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0" fontId="24" fillId="0" borderId="0" xfId="0" applyFont="1">
      <alignment vertical="center"/>
    </xf>
    <xf numFmtId="0" fontId="0" fillId="36" borderId="10" xfId="0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41" fontId="0" fillId="37" borderId="12" xfId="44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1" fontId="0" fillId="0" borderId="14" xfId="44" applyFont="1" applyBorder="1">
      <alignment vertical="center"/>
    </xf>
    <xf numFmtId="41" fontId="0" fillId="0" borderId="15" xfId="44" applyFont="1" applyBorder="1">
      <alignment vertical="center"/>
    </xf>
    <xf numFmtId="0" fontId="0" fillId="37" borderId="13" xfId="0" applyFill="1" applyBorder="1" applyAlignment="1">
      <alignment horizontal="center" vertical="center"/>
    </xf>
    <xf numFmtId="41" fontId="0" fillId="37" borderId="15" xfId="0" applyNumberForma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37" borderId="16" xfId="0" applyFill="1" applyBorder="1" applyAlignment="1">
      <alignment horizontal="center" vertical="center"/>
    </xf>
    <xf numFmtId="41" fontId="0" fillId="37" borderId="17" xfId="0" applyNumberFormat="1" applyFill="1" applyBorder="1" applyAlignment="1">
      <alignment horizontal="center" vertical="center"/>
    </xf>
    <xf numFmtId="41" fontId="0" fillId="36" borderId="20" xfId="0" applyNumberFormat="1" applyFill="1" applyBorder="1">
      <alignment vertical="center"/>
    </xf>
    <xf numFmtId="41" fontId="0" fillId="36" borderId="17" xfId="0" applyNumberFormat="1" applyFill="1" applyBorder="1">
      <alignment vertical="center"/>
    </xf>
    <xf numFmtId="0" fontId="0" fillId="36" borderId="21" xfId="0" applyFill="1" applyBorder="1" applyAlignment="1">
      <alignment horizontal="center" vertical="center"/>
    </xf>
    <xf numFmtId="0" fontId="0" fillId="36" borderId="22" xfId="0" applyFill="1" applyBorder="1" applyAlignment="1">
      <alignment horizontal="center" vertical="center"/>
    </xf>
    <xf numFmtId="41" fontId="0" fillId="0" borderId="15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1" fontId="0" fillId="0" borderId="24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>
      <alignment vertical="center"/>
    </xf>
    <xf numFmtId="0" fontId="0" fillId="0" borderId="24" xfId="0" applyBorder="1" applyAlignment="1">
      <alignment horizontal="center" vertical="center"/>
    </xf>
    <xf numFmtId="41" fontId="0" fillId="36" borderId="22" xfId="44" applyFont="1" applyFill="1" applyBorder="1" applyAlignment="1">
      <alignment horizontal="center" vertical="center"/>
    </xf>
    <xf numFmtId="0" fontId="3" fillId="33" borderId="0" xfId="0" applyFont="1" applyFill="1" applyAlignment="1">
      <alignment horizontal="center" vertical="center" wrapText="1"/>
    </xf>
    <xf numFmtId="0" fontId="0" fillId="0" borderId="23" xfId="0" quotePrefix="1" applyBorder="1" applyAlignment="1">
      <alignment horizontal="center" vertical="center"/>
    </xf>
    <xf numFmtId="3" fontId="25" fillId="0" borderId="0" xfId="0" applyNumberFormat="1" applyFont="1">
      <alignment vertical="center"/>
    </xf>
    <xf numFmtId="3" fontId="3" fillId="33" borderId="0" xfId="0" applyNumberFormat="1" applyFont="1" applyFill="1" applyAlignment="1">
      <alignment horizontal="center" vertical="center" wrapText="1"/>
    </xf>
    <xf numFmtId="3" fontId="26" fillId="0" borderId="0" xfId="0" applyNumberFormat="1" applyFont="1">
      <alignment vertical="center"/>
    </xf>
    <xf numFmtId="0" fontId="0" fillId="36" borderId="25" xfId="0" applyFill="1" applyBorder="1" applyAlignment="1">
      <alignment horizontal="center" vertical="center"/>
    </xf>
    <xf numFmtId="41" fontId="0" fillId="0" borderId="26" xfId="44" applyFont="1" applyBorder="1">
      <alignment vertical="center"/>
    </xf>
    <xf numFmtId="0" fontId="0" fillId="0" borderId="26" xfId="0" applyBorder="1">
      <alignment vertical="center"/>
    </xf>
    <xf numFmtId="41" fontId="0" fillId="36" borderId="27" xfId="0" applyNumberFormat="1" applyFill="1" applyBorder="1">
      <alignment vertical="center"/>
    </xf>
    <xf numFmtId="43" fontId="0" fillId="0" borderId="0" xfId="0" applyNumberFormat="1">
      <alignment vertical="center"/>
    </xf>
    <xf numFmtId="0" fontId="27" fillId="0" borderId="0" xfId="0" applyFont="1" applyFill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41" fontId="4" fillId="37" borderId="14" xfId="0" applyNumberFormat="1" applyFont="1" applyFill="1" applyBorder="1" applyAlignment="1">
      <alignment horizontal="center" vertical="center"/>
    </xf>
    <xf numFmtId="0" fontId="4" fillId="37" borderId="14" xfId="0" applyFont="1" applyFill="1" applyBorder="1" applyAlignment="1">
      <alignment horizontal="center" vertical="center"/>
    </xf>
    <xf numFmtId="41" fontId="4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29" fillId="38" borderId="14" xfId="0" applyFont="1" applyFill="1" applyBorder="1" applyAlignment="1">
      <alignment horizontal="center" vertical="center"/>
    </xf>
    <xf numFmtId="41" fontId="29" fillId="0" borderId="14" xfId="0" applyNumberFormat="1" applyFont="1" applyFill="1" applyBorder="1">
      <alignment vertical="center"/>
    </xf>
    <xf numFmtId="41" fontId="29" fillId="0" borderId="14" xfId="44" applyFont="1" applyFill="1" applyBorder="1">
      <alignment vertical="center"/>
    </xf>
    <xf numFmtId="0" fontId="29" fillId="38" borderId="14" xfId="0" applyFont="1" applyFill="1" applyBorder="1" applyAlignment="1">
      <alignment horizontal="center" vertical="center" wrapText="1"/>
    </xf>
    <xf numFmtId="41" fontId="4" fillId="0" borderId="0" xfId="0" applyNumberFormat="1" applyFont="1" applyBorder="1" applyAlignment="1">
      <alignment horizontal="right" vertical="center"/>
    </xf>
    <xf numFmtId="176" fontId="0" fillId="0" borderId="0" xfId="0" applyNumberFormat="1">
      <alignment vertical="center"/>
    </xf>
    <xf numFmtId="41" fontId="0" fillId="38" borderId="14" xfId="0" applyNumberFormat="1" applyFill="1" applyBorder="1">
      <alignment vertical="center"/>
    </xf>
    <xf numFmtId="41" fontId="0" fillId="38" borderId="14" xfId="44" applyFont="1" applyFill="1" applyBorder="1">
      <alignment vertical="center"/>
    </xf>
    <xf numFmtId="41" fontId="29" fillId="38" borderId="14" xfId="0" applyNumberFormat="1" applyFont="1" applyFill="1" applyBorder="1" applyAlignment="1">
      <alignment horizontal="right" vertical="center"/>
    </xf>
    <xf numFmtId="41" fontId="29" fillId="38" borderId="14" xfId="44" applyFont="1" applyFill="1" applyBorder="1" applyAlignment="1">
      <alignment horizontal="right" vertical="center"/>
    </xf>
    <xf numFmtId="0" fontId="29" fillId="0" borderId="14" xfId="0" applyFont="1" applyFill="1" applyBorder="1" applyAlignment="1">
      <alignment horizontal="center" vertical="center"/>
    </xf>
    <xf numFmtId="0" fontId="29" fillId="38" borderId="14" xfId="0" applyFont="1" applyFill="1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6" fillId="37" borderId="26" xfId="0" applyFont="1" applyFill="1" applyBorder="1" applyAlignment="1">
      <alignment horizontal="center" vertical="center"/>
    </xf>
    <xf numFmtId="0" fontId="26" fillId="37" borderId="28" xfId="0" applyFont="1" applyFill="1" applyBorder="1" applyAlignment="1">
      <alignment horizontal="center" vertical="center"/>
    </xf>
    <xf numFmtId="3" fontId="3" fillId="34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3" fillId="33" borderId="0" xfId="0" applyFont="1" applyFill="1" applyAlignment="1">
      <alignment horizontal="center" vertical="center" wrapText="1"/>
    </xf>
    <xf numFmtId="0" fontId="4" fillId="33" borderId="0" xfId="0" applyFont="1" applyFill="1" applyAlignment="1">
      <alignment vertical="center" wrapText="1"/>
    </xf>
    <xf numFmtId="0" fontId="3" fillId="34" borderId="0" xfId="0" applyFont="1" applyFill="1" applyAlignment="1">
      <alignment horizontal="center" vertical="center" wrapText="1"/>
    </xf>
    <xf numFmtId="0" fontId="3" fillId="35" borderId="0" xfId="0" applyFont="1" applyFill="1" applyAlignment="1">
      <alignment horizontal="center" vertical="center" wrapText="1"/>
    </xf>
    <xf numFmtId="3" fontId="3" fillId="35" borderId="0" xfId="0" applyNumberFormat="1" applyFont="1" applyFill="1" applyAlignment="1">
      <alignment horizontal="center" vertical="center" wrapText="1"/>
    </xf>
    <xf numFmtId="3" fontId="3" fillId="33" borderId="0" xfId="0" applyNumberFormat="1" applyFont="1" applyFill="1" applyAlignment="1">
      <alignment horizontal="center" vertical="center" wrapText="1"/>
    </xf>
  </cellXfs>
  <cellStyles count="45">
    <cellStyle name="20% - 강조색1 2" xfId="1"/>
    <cellStyle name="20% - 강조색2 2" xfId="2"/>
    <cellStyle name="20% - 강조색3 2" xfId="3"/>
    <cellStyle name="20% - 강조색4 2" xfId="4"/>
    <cellStyle name="20% - 강조색5 2" xfId="5"/>
    <cellStyle name="20% - 강조색6 2" xfId="6"/>
    <cellStyle name="40% - 강조색1 2" xfId="7"/>
    <cellStyle name="40% - 강조색2 2" xfId="8"/>
    <cellStyle name="40% - 강조색3 2" xfId="9"/>
    <cellStyle name="40% - 강조색4 2" xfId="10"/>
    <cellStyle name="40% - 강조색5 2" xfId="11"/>
    <cellStyle name="40% - 강조색6 2" xfId="12"/>
    <cellStyle name="60% - 강조색1 2" xfId="13"/>
    <cellStyle name="60% - 강조색2 2" xfId="14"/>
    <cellStyle name="60% - 강조색3 2" xfId="15"/>
    <cellStyle name="60% - 강조색4 2" xfId="16"/>
    <cellStyle name="60% - 강조색5 2" xfId="17"/>
    <cellStyle name="60% - 강조색6 2" xfId="18"/>
    <cellStyle name="강조색1 2" xfId="19"/>
    <cellStyle name="강조색2 2" xfId="20"/>
    <cellStyle name="강조색3 2" xfId="21"/>
    <cellStyle name="강조색4 2" xfId="22"/>
    <cellStyle name="강조색5 2" xfId="23"/>
    <cellStyle name="강조색6 2" xfId="24"/>
    <cellStyle name="경고문 2" xfId="25"/>
    <cellStyle name="계산 2" xfId="26"/>
    <cellStyle name="나쁨 2" xfId="27"/>
    <cellStyle name="메모 2" xfId="28"/>
    <cellStyle name="보통 2" xfId="29"/>
    <cellStyle name="설명 텍스트 2" xfId="30"/>
    <cellStyle name="셀 확인 2" xfId="31"/>
    <cellStyle name="쉼표 [0]" xfId="44" builtinId="6"/>
    <cellStyle name="쉼표 [0] 2" xfId="32"/>
    <cellStyle name="연결된 셀 2" xfId="33"/>
    <cellStyle name="요약 2" xfId="34"/>
    <cellStyle name="입력 2" xfId="35"/>
    <cellStyle name="제목 1 2" xfId="36"/>
    <cellStyle name="제목 2 2" xfId="37"/>
    <cellStyle name="제목 3 2" xfId="38"/>
    <cellStyle name="제목 4 2" xfId="39"/>
    <cellStyle name="제목 5" xfId="40"/>
    <cellStyle name="좋음 2" xfId="41"/>
    <cellStyle name="출력 2" xfId="42"/>
    <cellStyle name="표준" xfId="0" builtinId="0"/>
    <cellStyle name="표준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26895</xdr:colOff>
      <xdr:row>33</xdr:row>
      <xdr:rowOff>206189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0" t="18051" r="48072" b="9064"/>
        <a:stretch/>
      </xdr:blipFill>
      <xdr:spPr>
        <a:xfrm>
          <a:off x="0" y="0"/>
          <a:ext cx="9439836" cy="7602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tabSelected="1" topLeftCell="A4" workbookViewId="0">
      <selection activeCell="F11" sqref="F11"/>
    </sheetView>
  </sheetViews>
  <sheetFormatPr defaultRowHeight="17.399999999999999" x14ac:dyDescent="0.4"/>
  <cols>
    <col min="1" max="1" width="3" customWidth="1"/>
    <col min="2" max="2" width="14.09765625" customWidth="1"/>
    <col min="3" max="3" width="14" customWidth="1"/>
    <col min="4" max="4" width="14.69921875" customWidth="1"/>
    <col min="5" max="5" width="22.296875" customWidth="1"/>
    <col min="6" max="6" width="13.296875" customWidth="1"/>
    <col min="7" max="7" width="14.09765625" customWidth="1"/>
    <col min="8" max="8" width="17.5" customWidth="1"/>
    <col min="9" max="9" width="15.796875" customWidth="1"/>
    <col min="10" max="10" width="9.3984375" customWidth="1"/>
    <col min="11" max="11" width="16.8984375" customWidth="1"/>
    <col min="12" max="12" width="17.69921875" customWidth="1"/>
  </cols>
  <sheetData>
    <row r="1" spans="2:12" ht="30" x14ac:dyDescent="0.4">
      <c r="B1" s="6" t="s">
        <v>60</v>
      </c>
    </row>
    <row r="2" spans="2:12" ht="18" thickBot="1" x14ac:dyDescent="0.45"/>
    <row r="3" spans="2:12" s="10" customFormat="1" x14ac:dyDescent="0.4">
      <c r="B3" s="7" t="s">
        <v>30</v>
      </c>
      <c r="C3" s="8" t="s">
        <v>31</v>
      </c>
      <c r="D3" s="8" t="s">
        <v>32</v>
      </c>
      <c r="E3" s="8" t="s">
        <v>43</v>
      </c>
      <c r="F3" s="8" t="s">
        <v>58</v>
      </c>
      <c r="G3" s="39" t="s">
        <v>49</v>
      </c>
      <c r="H3" s="8" t="s">
        <v>46</v>
      </c>
      <c r="I3" s="9" t="s">
        <v>33</v>
      </c>
      <c r="K3" s="11" t="s">
        <v>34</v>
      </c>
      <c r="L3" s="12">
        <v>1000000000</v>
      </c>
    </row>
    <row r="4" spans="2:12" x14ac:dyDescent="0.4">
      <c r="B4" s="13" t="s">
        <v>35</v>
      </c>
      <c r="C4" s="14" t="s">
        <v>36</v>
      </c>
      <c r="D4" s="15">
        <f>울트라미디어_네이버12!AR5</f>
        <v>531567946</v>
      </c>
      <c r="E4" s="15">
        <f>울트라미디어_네이버12!AT5</f>
        <v>296072245.31999999</v>
      </c>
      <c r="F4" s="15">
        <v>0</v>
      </c>
      <c r="G4" s="40">
        <v>0</v>
      </c>
      <c r="H4" s="15">
        <f>ROUNDDOWN(E4*10%,0)</f>
        <v>29607224</v>
      </c>
      <c r="I4" s="16">
        <f>ROUND(E4*90%,0)</f>
        <v>266465021</v>
      </c>
      <c r="K4" s="17" t="s">
        <v>37</v>
      </c>
      <c r="L4" s="18">
        <f>L18</f>
        <v>181029610</v>
      </c>
    </row>
    <row r="5" spans="2:12" ht="18" thickBot="1" x14ac:dyDescent="0.45">
      <c r="B5" s="13" t="s">
        <v>47</v>
      </c>
      <c r="C5" s="14" t="s">
        <v>57</v>
      </c>
      <c r="D5" s="15">
        <v>23113800</v>
      </c>
      <c r="E5" s="15">
        <v>11556900</v>
      </c>
      <c r="F5" s="15">
        <f>ROUND((E5*50%),0)</f>
        <v>5778450</v>
      </c>
      <c r="G5" s="40">
        <f>ROUND(E5*5%,0)</f>
        <v>577845</v>
      </c>
      <c r="H5" s="15">
        <f>ROUND(((E5-F5-G5)*50%),0)-1</f>
        <v>2600302</v>
      </c>
      <c r="I5" s="16">
        <f>ROUND(((E5-F5-G5)*50%),0)</f>
        <v>2600303</v>
      </c>
      <c r="K5" s="21" t="s">
        <v>38</v>
      </c>
      <c r="L5" s="22">
        <f>L3-L4</f>
        <v>818970390</v>
      </c>
    </row>
    <row r="6" spans="2:12" ht="18" thickBot="1" x14ac:dyDescent="0.45">
      <c r="B6" s="13"/>
      <c r="C6" s="14"/>
      <c r="D6" s="19"/>
      <c r="E6" s="19"/>
      <c r="F6" s="19"/>
      <c r="G6" s="41"/>
      <c r="H6" s="19"/>
      <c r="I6" s="20"/>
      <c r="K6" s="25" t="s">
        <v>41</v>
      </c>
      <c r="L6" s="26" t="s">
        <v>40</v>
      </c>
    </row>
    <row r="7" spans="2:12" ht="18" thickBot="1" x14ac:dyDescent="0.45">
      <c r="B7" s="64" t="s">
        <v>39</v>
      </c>
      <c r="C7" s="65"/>
      <c r="D7" s="23">
        <f>SUM(D4:D6)</f>
        <v>554681746</v>
      </c>
      <c r="E7" s="23">
        <f t="shared" ref="E7:I7" si="0">SUM(E4:E6)</f>
        <v>307629145.31999999</v>
      </c>
      <c r="F7" s="23">
        <f>SUM(F4:F6)</f>
        <v>5778450</v>
      </c>
      <c r="G7" s="42">
        <f>SUM(G4:G6)</f>
        <v>577845</v>
      </c>
      <c r="H7" s="23">
        <f t="shared" si="0"/>
        <v>32207526</v>
      </c>
      <c r="I7" s="24">
        <f t="shared" si="0"/>
        <v>269065324</v>
      </c>
      <c r="K7" s="13">
        <v>2021.03</v>
      </c>
      <c r="L7" s="27">
        <v>18056186</v>
      </c>
    </row>
    <row r="8" spans="2:12" x14ac:dyDescent="0.4">
      <c r="B8" s="44" t="s">
        <v>48</v>
      </c>
      <c r="K8" s="28">
        <v>2021.04</v>
      </c>
      <c r="L8" s="29">
        <v>17848301</v>
      </c>
    </row>
    <row r="9" spans="2:12" x14ac:dyDescent="0.4">
      <c r="B9" s="45" t="s">
        <v>59</v>
      </c>
      <c r="C9" s="30"/>
      <c r="D9" s="31"/>
      <c r="G9" s="57"/>
      <c r="K9" s="28">
        <v>2021.05</v>
      </c>
      <c r="L9" s="29">
        <v>21637971</v>
      </c>
    </row>
    <row r="10" spans="2:12" x14ac:dyDescent="0.4">
      <c r="B10" s="45"/>
      <c r="C10" s="30"/>
      <c r="D10" s="31"/>
      <c r="K10" s="28">
        <v>2021.06</v>
      </c>
      <c r="L10" s="29">
        <v>21554745</v>
      </c>
    </row>
    <row r="11" spans="2:12" x14ac:dyDescent="0.4">
      <c r="B11" s="67" t="s">
        <v>52</v>
      </c>
      <c r="C11" s="68"/>
      <c r="D11" s="47" t="s">
        <v>53</v>
      </c>
      <c r="E11" s="48" t="s">
        <v>54</v>
      </c>
      <c r="K11" s="28">
        <v>2021.07</v>
      </c>
      <c r="L11" s="29">
        <v>25518773</v>
      </c>
    </row>
    <row r="12" spans="2:12" x14ac:dyDescent="0.4">
      <c r="B12" s="66" t="s">
        <v>50</v>
      </c>
      <c r="C12" s="66"/>
      <c r="D12" s="49">
        <f>E4</f>
        <v>296072245.31999999</v>
      </c>
      <c r="E12" s="46" t="s">
        <v>55</v>
      </c>
      <c r="F12" s="50"/>
      <c r="K12" s="28">
        <v>2021.08</v>
      </c>
      <c r="L12" s="29">
        <v>24352330</v>
      </c>
    </row>
    <row r="13" spans="2:12" x14ac:dyDescent="0.4">
      <c r="B13" s="66" t="s">
        <v>51</v>
      </c>
      <c r="C13" s="66"/>
      <c r="D13" s="49">
        <f>I7+F7</f>
        <v>274843774</v>
      </c>
      <c r="E13" s="46" t="s">
        <v>72</v>
      </c>
      <c r="F13" s="50">
        <v>274843774</v>
      </c>
      <c r="H13" s="43"/>
      <c r="K13" s="28">
        <v>2021.09</v>
      </c>
      <c r="L13" s="29">
        <v>3673376</v>
      </c>
    </row>
    <row r="14" spans="2:12" x14ac:dyDescent="0.4">
      <c r="B14" s="66" t="s">
        <v>51</v>
      </c>
      <c r="C14" s="66"/>
      <c r="D14" s="49">
        <f>H7</f>
        <v>32207526</v>
      </c>
      <c r="E14" s="46" t="s">
        <v>56</v>
      </c>
      <c r="F14" s="50"/>
      <c r="H14" s="51"/>
      <c r="K14" s="35" t="s">
        <v>42</v>
      </c>
      <c r="L14" s="29">
        <v>29367</v>
      </c>
    </row>
    <row r="15" spans="2:12" x14ac:dyDescent="0.4">
      <c r="B15" s="50"/>
      <c r="C15" s="50"/>
      <c r="D15" s="56"/>
      <c r="E15" s="50"/>
      <c r="F15" s="50"/>
      <c r="H15" s="51"/>
      <c r="K15" s="35">
        <v>2021.11</v>
      </c>
      <c r="L15" s="29">
        <v>16151035</v>
      </c>
    </row>
    <row r="16" spans="2:12" x14ac:dyDescent="0.4">
      <c r="B16" s="50"/>
      <c r="C16" s="50"/>
      <c r="D16" s="56"/>
      <c r="E16" s="50"/>
      <c r="F16" s="50"/>
      <c r="H16" s="51"/>
      <c r="I16" s="10"/>
      <c r="K16" s="35">
        <v>2021.12</v>
      </c>
      <c r="L16" s="29">
        <f>H7</f>
        <v>32207526</v>
      </c>
    </row>
    <row r="17" spans="2:12" ht="15" customHeight="1" thickBot="1" x14ac:dyDescent="0.45">
      <c r="B17" s="50"/>
      <c r="C17" s="50"/>
      <c r="D17" s="56"/>
      <c r="E17" s="50"/>
      <c r="F17" s="50"/>
      <c r="H17" s="51"/>
      <c r="K17" s="28"/>
      <c r="L17" s="32"/>
    </row>
    <row r="18" spans="2:12" ht="18" thickBot="1" x14ac:dyDescent="0.45">
      <c r="H18" s="43"/>
      <c r="K18" s="25" t="s">
        <v>39</v>
      </c>
      <c r="L18" s="33">
        <f>SUM(L7:L17)</f>
        <v>181029610</v>
      </c>
    </row>
    <row r="19" spans="2:12" ht="27.6" x14ac:dyDescent="0.4">
      <c r="B19" s="63" t="s">
        <v>66</v>
      </c>
      <c r="C19" s="63"/>
      <c r="D19" s="52" t="s">
        <v>63</v>
      </c>
      <c r="E19" s="52" t="s">
        <v>62</v>
      </c>
      <c r="F19" s="52" t="s">
        <v>68</v>
      </c>
      <c r="G19" s="52" t="s">
        <v>61</v>
      </c>
      <c r="H19" s="55" t="s">
        <v>67</v>
      </c>
    </row>
    <row r="20" spans="2:12" x14ac:dyDescent="0.4">
      <c r="B20" s="62" t="s">
        <v>64</v>
      </c>
      <c r="C20" s="62"/>
      <c r="D20" s="53">
        <v>554681746</v>
      </c>
      <c r="E20" s="53">
        <v>307629145.31999999</v>
      </c>
      <c r="F20" s="53">
        <v>577845</v>
      </c>
      <c r="G20" s="53">
        <v>35096751</v>
      </c>
      <c r="H20" s="53">
        <v>271954549</v>
      </c>
    </row>
    <row r="21" spans="2:12" x14ac:dyDescent="0.4">
      <c r="B21" s="62" t="s">
        <v>65</v>
      </c>
      <c r="C21" s="62"/>
      <c r="D21" s="53">
        <v>554681746</v>
      </c>
      <c r="E21" s="53">
        <v>307629145.31999999</v>
      </c>
      <c r="F21" s="53">
        <v>577845</v>
      </c>
      <c r="G21" s="53">
        <v>32207526</v>
      </c>
      <c r="H21" s="54">
        <f>269065324+5778450</f>
        <v>274843774</v>
      </c>
    </row>
    <row r="22" spans="2:12" x14ac:dyDescent="0.4">
      <c r="B22" s="63" t="s">
        <v>71</v>
      </c>
      <c r="C22" s="63"/>
      <c r="D22" s="58">
        <v>0</v>
      </c>
      <c r="E22" s="59">
        <v>0</v>
      </c>
      <c r="F22" s="59">
        <v>0</v>
      </c>
      <c r="G22" s="60" t="s">
        <v>69</v>
      </c>
      <c r="H22" s="61" t="s">
        <v>70</v>
      </c>
    </row>
    <row r="23" spans="2:12" x14ac:dyDescent="0.4">
      <c r="B23" s="30"/>
      <c r="C23" s="30"/>
      <c r="D23" s="31"/>
    </row>
  </sheetData>
  <mergeCells count="9">
    <mergeCell ref="B20:C20"/>
    <mergeCell ref="B21:C21"/>
    <mergeCell ref="B19:C19"/>
    <mergeCell ref="B22:C22"/>
    <mergeCell ref="B7:C7"/>
    <mergeCell ref="B12:C12"/>
    <mergeCell ref="B13:C13"/>
    <mergeCell ref="B14:C14"/>
    <mergeCell ref="B11:C1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topLeftCell="AB1" workbookViewId="0">
      <selection activeCell="AF13" sqref="AF13"/>
    </sheetView>
  </sheetViews>
  <sheetFormatPr defaultRowHeight="17.399999999999999" x14ac:dyDescent="0.4"/>
  <cols>
    <col min="1" max="1" width="16" customWidth="1"/>
    <col min="4" max="4" width="11.69921875" customWidth="1"/>
    <col min="5" max="5" width="15.3984375" customWidth="1"/>
    <col min="25" max="25" width="9.09765625" bestFit="1" customWidth="1"/>
    <col min="26" max="26" width="10.19921875" bestFit="1" customWidth="1"/>
    <col min="27" max="27" width="9.19921875" bestFit="1" customWidth="1"/>
    <col min="28" max="31" width="9.09765625" bestFit="1" customWidth="1"/>
    <col min="32" max="32" width="10.19921875" bestFit="1" customWidth="1"/>
    <col min="33" max="33" width="9.19921875" bestFit="1" customWidth="1"/>
    <col min="34" max="36" width="9.09765625" bestFit="1" customWidth="1"/>
    <col min="37" max="37" width="11.59765625" bestFit="1" customWidth="1"/>
    <col min="38" max="38" width="9.09765625" bestFit="1" customWidth="1"/>
    <col min="39" max="39" width="9.19921875" bestFit="1" customWidth="1"/>
    <col min="40" max="43" width="9.09765625" bestFit="1" customWidth="1"/>
    <col min="44" max="44" width="12.59765625" bestFit="1" customWidth="1"/>
    <col min="45" max="45" width="11.3984375" bestFit="1" customWidth="1"/>
    <col min="46" max="46" width="10.09765625" bestFit="1" customWidth="1"/>
  </cols>
  <sheetData>
    <row r="1" spans="1:46" ht="19.2" x14ac:dyDescent="0.4">
      <c r="A1" s="70" t="s">
        <v>0</v>
      </c>
      <c r="B1" s="70"/>
      <c r="C1" s="70"/>
    </row>
    <row r="3" spans="1:46" x14ac:dyDescent="0.4">
      <c r="A3" s="71" t="s">
        <v>1</v>
      </c>
      <c r="B3" s="71" t="s">
        <v>2</v>
      </c>
      <c r="C3" s="72" t="s">
        <v>3</v>
      </c>
      <c r="D3" s="71" t="s">
        <v>4</v>
      </c>
      <c r="E3" s="72" t="s">
        <v>5</v>
      </c>
      <c r="F3" s="72" t="s">
        <v>6</v>
      </c>
      <c r="G3" s="73" t="s">
        <v>7</v>
      </c>
      <c r="H3" s="73"/>
      <c r="I3" s="73"/>
      <c r="J3" s="73"/>
      <c r="K3" s="73"/>
      <c r="L3" s="73"/>
      <c r="M3" s="73"/>
      <c r="N3" s="73"/>
      <c r="O3" s="73"/>
      <c r="P3" s="74" t="s">
        <v>8</v>
      </c>
      <c r="Q3" s="74"/>
      <c r="R3" s="74"/>
      <c r="S3" s="74"/>
      <c r="T3" s="74"/>
      <c r="U3" s="74"/>
      <c r="V3" s="74"/>
      <c r="W3" s="74"/>
      <c r="X3" s="74"/>
      <c r="Y3" s="69" t="s">
        <v>9</v>
      </c>
      <c r="Z3" s="69"/>
      <c r="AA3" s="69"/>
      <c r="AB3" s="75" t="s">
        <v>10</v>
      </c>
      <c r="AC3" s="75"/>
      <c r="AD3" s="75"/>
      <c r="AE3" s="69" t="s">
        <v>11</v>
      </c>
      <c r="AF3" s="69"/>
      <c r="AG3" s="69"/>
      <c r="AH3" s="75" t="s">
        <v>12</v>
      </c>
      <c r="AI3" s="75"/>
      <c r="AJ3" s="75"/>
      <c r="AK3" s="76" t="s">
        <v>13</v>
      </c>
      <c r="AL3" s="69" t="s">
        <v>14</v>
      </c>
      <c r="AM3" s="69"/>
      <c r="AN3" s="69"/>
      <c r="AO3" s="75" t="s">
        <v>15</v>
      </c>
      <c r="AP3" s="75"/>
      <c r="AQ3" s="75"/>
      <c r="AR3" s="76" t="s">
        <v>16</v>
      </c>
      <c r="AS3" s="36"/>
      <c r="AT3" s="36"/>
    </row>
    <row r="4" spans="1:46" ht="26.4" x14ac:dyDescent="0.4">
      <c r="A4" s="71"/>
      <c r="B4" s="71"/>
      <c r="C4" s="72"/>
      <c r="D4" s="71"/>
      <c r="E4" s="72"/>
      <c r="F4" s="72"/>
      <c r="G4" s="34" t="s">
        <v>17</v>
      </c>
      <c r="H4" s="34" t="s">
        <v>18</v>
      </c>
      <c r="I4" s="34" t="s">
        <v>19</v>
      </c>
      <c r="J4" s="34" t="s">
        <v>20</v>
      </c>
      <c r="K4" s="34" t="s">
        <v>21</v>
      </c>
      <c r="L4" s="34" t="s">
        <v>22</v>
      </c>
      <c r="M4" s="34" t="s">
        <v>23</v>
      </c>
      <c r="N4" s="34" t="s">
        <v>24</v>
      </c>
      <c r="O4" s="34" t="s">
        <v>25</v>
      </c>
      <c r="P4" s="34" t="s">
        <v>17</v>
      </c>
      <c r="Q4" s="34" t="s">
        <v>18</v>
      </c>
      <c r="R4" s="34" t="s">
        <v>19</v>
      </c>
      <c r="S4" s="34" t="s">
        <v>20</v>
      </c>
      <c r="T4" s="34" t="s">
        <v>21</v>
      </c>
      <c r="U4" s="34" t="s">
        <v>22</v>
      </c>
      <c r="V4" s="34" t="s">
        <v>23</v>
      </c>
      <c r="W4" s="34" t="s">
        <v>24</v>
      </c>
      <c r="X4" s="34" t="s">
        <v>25</v>
      </c>
      <c r="Y4" s="37" t="s">
        <v>17</v>
      </c>
      <c r="Z4" s="37" t="s">
        <v>26</v>
      </c>
      <c r="AA4" s="37" t="s">
        <v>27</v>
      </c>
      <c r="AB4" s="37" t="s">
        <v>17</v>
      </c>
      <c r="AC4" s="37" t="s">
        <v>26</v>
      </c>
      <c r="AD4" s="37" t="s">
        <v>27</v>
      </c>
      <c r="AE4" s="37" t="s">
        <v>17</v>
      </c>
      <c r="AF4" s="37" t="s">
        <v>26</v>
      </c>
      <c r="AG4" s="37" t="s">
        <v>27</v>
      </c>
      <c r="AH4" s="37" t="s">
        <v>17</v>
      </c>
      <c r="AI4" s="37" t="s">
        <v>26</v>
      </c>
      <c r="AJ4" s="37" t="s">
        <v>27</v>
      </c>
      <c r="AK4" s="76"/>
      <c r="AL4" s="37" t="s">
        <v>17</v>
      </c>
      <c r="AM4" s="37" t="s">
        <v>26</v>
      </c>
      <c r="AN4" s="37" t="s">
        <v>27</v>
      </c>
      <c r="AO4" s="37" t="s">
        <v>17</v>
      </c>
      <c r="AP4" s="37" t="s">
        <v>26</v>
      </c>
      <c r="AQ4" s="37" t="s">
        <v>27</v>
      </c>
      <c r="AR4" s="76"/>
      <c r="AS4" s="36"/>
      <c r="AT4" s="36"/>
    </row>
    <row r="5" spans="1:46" x14ac:dyDescent="0.4">
      <c r="A5" s="1" t="s">
        <v>44</v>
      </c>
      <c r="B5" s="1">
        <v>382988</v>
      </c>
      <c r="C5" s="2"/>
      <c r="D5" s="1" t="s">
        <v>28</v>
      </c>
      <c r="E5" s="3" t="s">
        <v>29</v>
      </c>
      <c r="F5" s="3" t="s">
        <v>45</v>
      </c>
      <c r="G5" s="3">
        <v>11</v>
      </c>
      <c r="H5" s="3">
        <v>113</v>
      </c>
      <c r="I5" s="3">
        <v>0</v>
      </c>
      <c r="J5" s="3">
        <v>0</v>
      </c>
      <c r="K5" s="4">
        <v>2200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88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4">
        <v>1753221</v>
      </c>
      <c r="Z5" s="4">
        <v>278512900</v>
      </c>
      <c r="AA5" s="4">
        <v>71628300</v>
      </c>
      <c r="AB5" s="4">
        <v>13725</v>
      </c>
      <c r="AC5" s="4">
        <v>5333900</v>
      </c>
      <c r="AD5" s="4">
        <v>1187600</v>
      </c>
      <c r="AE5" s="4">
        <v>651397</v>
      </c>
      <c r="AF5" s="4">
        <v>126510908</v>
      </c>
      <c r="AG5" s="4">
        <v>24397300</v>
      </c>
      <c r="AH5" s="4">
        <v>1384</v>
      </c>
      <c r="AI5" s="4">
        <v>536438</v>
      </c>
      <c r="AJ5" s="4">
        <v>105700</v>
      </c>
      <c r="AK5" s="4">
        <v>38114203.799999997</v>
      </c>
      <c r="AL5" s="4">
        <v>111760</v>
      </c>
      <c r="AM5" s="4">
        <v>21771900</v>
      </c>
      <c r="AN5" s="4">
        <v>524300</v>
      </c>
      <c r="AO5" s="4">
        <v>2334</v>
      </c>
      <c r="AP5" s="4">
        <v>1021000</v>
      </c>
      <c r="AQ5" s="4">
        <v>35500</v>
      </c>
      <c r="AR5" s="5">
        <v>531567946</v>
      </c>
      <c r="AS5" s="38">
        <f>AR5-AK5</f>
        <v>493453742.19999999</v>
      </c>
      <c r="AT5" s="38">
        <f>AS5*0.6</f>
        <v>296072245.31999999</v>
      </c>
    </row>
  </sheetData>
  <mergeCells count="17">
    <mergeCell ref="AH3:AJ3"/>
    <mergeCell ref="AK3:AK4"/>
    <mergeCell ref="AL3:AN3"/>
    <mergeCell ref="AO3:AQ3"/>
    <mergeCell ref="AR3:AR4"/>
    <mergeCell ref="AE3:AG3"/>
    <mergeCell ref="A1:C1"/>
    <mergeCell ref="A3:A4"/>
    <mergeCell ref="B3:B4"/>
    <mergeCell ref="C3:C4"/>
    <mergeCell ref="D3:D4"/>
    <mergeCell ref="E3:E4"/>
    <mergeCell ref="F3:F4"/>
    <mergeCell ref="G3:O3"/>
    <mergeCell ref="P3:X3"/>
    <mergeCell ref="Y3:AA3"/>
    <mergeCell ref="AB3:AD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zoomScale="76" zoomScaleNormal="76" workbookViewId="0">
      <selection activeCell="C36" sqref="C36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합계</vt:lpstr>
      <vt:lpstr>울트라미디어_네이버12</vt:lpstr>
      <vt:lpstr>레진12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jihui</cp:lastModifiedBy>
  <dcterms:created xsi:type="dcterms:W3CDTF">2021-10-05T01:16:36Z</dcterms:created>
  <dcterms:modified xsi:type="dcterms:W3CDTF">2022-01-26T07:13:31Z</dcterms:modified>
</cp:coreProperties>
</file>