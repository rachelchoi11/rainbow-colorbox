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42" activeTab="2"/>
  </bookViews>
  <sheets>
    <sheet name="합계(1)" sheetId="1" r:id="rId1"/>
    <sheet name="더컴퍼니" sheetId="69" r:id="rId2"/>
    <sheet name="밀리의서재" sheetId="70" r:id="rId3"/>
    <sheet name="에필로그" sheetId="71" r:id="rId4"/>
    <sheet name="Livingston" sheetId="72" r:id="rId5"/>
    <sheet name="김광수" sheetId="73" r:id="rId6"/>
    <sheet name="단팥크림빵7" sheetId="74" r:id="rId7"/>
    <sheet name="담화공" sheetId="75" r:id="rId8"/>
    <sheet name="모험왕선우" sheetId="76" r:id="rId9"/>
    <sheet name="무성매직" sheetId="77" r:id="rId10"/>
    <sheet name="무장" sheetId="78" r:id="rId11"/>
    <sheet name="부엉이콩" sheetId="79" r:id="rId12"/>
    <sheet name="세상" sheetId="80" r:id="rId13"/>
    <sheet name="왕십리글쟁이" sheetId="81" r:id="rId14"/>
    <sheet name="이한애비" sheetId="82" r:id="rId15"/>
    <sheet name="전혁" sheetId="83" r:id="rId16"/>
    <sheet name="징구빙구" sheetId="84" r:id="rId17"/>
    <sheet name="폴딩" sheetId="85" r:id="rId18"/>
  </sheets>
  <definedNames>
    <definedName name="_xlnm._FilterDatabase" localSheetId="4" hidden="1">Livingston!$A$1:$U$3</definedName>
    <definedName name="_xlnm._FilterDatabase" localSheetId="5" hidden="1">김광수!$A$1:$U$3</definedName>
    <definedName name="_xlnm._FilterDatabase" localSheetId="6" hidden="1">단팥크림빵7!$A$1:$U$3</definedName>
    <definedName name="_xlnm._FilterDatabase" localSheetId="7" hidden="1">담화공!$A$1:$U$3</definedName>
    <definedName name="_xlnm._FilterDatabase" localSheetId="1" hidden="1">더컴퍼니!$A$1:$U$15</definedName>
    <definedName name="_xlnm._FilterDatabase" localSheetId="8" hidden="1">모험왕선우!$A$1:$U$3</definedName>
    <definedName name="_xlnm._FilterDatabase" localSheetId="9" hidden="1">무성매직!$A$1:$U$3</definedName>
    <definedName name="_xlnm._FilterDatabase" localSheetId="10" hidden="1">무장!$A$1:$U$6</definedName>
    <definedName name="_xlnm._FilterDatabase" localSheetId="2" hidden="1">밀리의서재!$A$1:$U$10</definedName>
    <definedName name="_xlnm._FilterDatabase" localSheetId="11" hidden="1">부엉이콩!$A$1:$U$3</definedName>
    <definedName name="_xlnm._FilterDatabase" localSheetId="12" hidden="1">세상!$A$1:$U$3</definedName>
    <definedName name="_xlnm._FilterDatabase" localSheetId="3" hidden="1">에필로그!$A$1:$U$8</definedName>
    <definedName name="_xlnm._FilterDatabase" localSheetId="13" hidden="1">왕십리글쟁이!$A$1:$U$3</definedName>
    <definedName name="_xlnm._FilterDatabase" localSheetId="14" hidden="1">이한애비!$A$1:$U$3</definedName>
    <definedName name="_xlnm._FilterDatabase" localSheetId="15" hidden="1">전혁!$A$1:$U$3</definedName>
    <definedName name="_xlnm._FilterDatabase" localSheetId="16" hidden="1">징구빙구!$A$1:$U$3</definedName>
    <definedName name="_xlnm._FilterDatabase" localSheetId="17" hidden="1">폴딩!$A$1:$U$3</definedName>
    <definedName name="_xlnm._FilterDatabase" localSheetId="0" hidden="1">'합계(1)'!$A$1:$U$46</definedName>
    <definedName name="_xlnm.Extract" localSheetId="4">Livingston!#REF!</definedName>
    <definedName name="_xlnm.Extract" localSheetId="5">김광수!#REF!</definedName>
    <definedName name="_xlnm.Extract" localSheetId="6">단팥크림빵7!#REF!</definedName>
    <definedName name="_xlnm.Extract" localSheetId="7">담화공!#REF!</definedName>
    <definedName name="_xlnm.Extract" localSheetId="1">더컴퍼니!#REF!</definedName>
    <definedName name="_xlnm.Extract" localSheetId="8">모험왕선우!#REF!</definedName>
    <definedName name="_xlnm.Extract" localSheetId="9">무성매직!#REF!</definedName>
    <definedName name="_xlnm.Extract" localSheetId="10">무장!#REF!</definedName>
    <definedName name="_xlnm.Extract" localSheetId="2">밀리의서재!#REF!</definedName>
    <definedName name="_xlnm.Extract" localSheetId="11">부엉이콩!#REF!</definedName>
    <definedName name="_xlnm.Extract" localSheetId="12">세상!#REF!</definedName>
    <definedName name="_xlnm.Extract" localSheetId="3">에필로그!#REF!</definedName>
    <definedName name="_xlnm.Extract" localSheetId="13">왕십리글쟁이!#REF!</definedName>
    <definedName name="_xlnm.Extract" localSheetId="14">이한애비!#REF!</definedName>
    <definedName name="_xlnm.Extract" localSheetId="15">전혁!#REF!</definedName>
    <definedName name="_xlnm.Extract" localSheetId="16">징구빙구!#REF!</definedName>
    <definedName name="_xlnm.Extract" localSheetId="17">폴딩!#REF!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T4" i="85" l="1"/>
  <c r="T4" i="84"/>
  <c r="T4" i="83"/>
  <c r="T4" i="82"/>
  <c r="T4" i="80"/>
  <c r="T4" i="79"/>
  <c r="T7" i="78"/>
  <c r="T4" i="77"/>
  <c r="T4" i="76"/>
  <c r="T4" i="75"/>
  <c r="T4" i="74"/>
  <c r="T4" i="73"/>
  <c r="T4" i="72"/>
  <c r="T9" i="71"/>
  <c r="T11" i="70"/>
  <c r="T16" i="69"/>
  <c r="T47" i="1"/>
</calcChain>
</file>

<file path=xl/sharedStrings.xml><?xml version="1.0" encoding="utf-8"?>
<sst xmlns="http://schemas.openxmlformats.org/spreadsheetml/2006/main" count="836" uniqueCount="148">
  <si>
    <t>판매월</t>
  </si>
  <si>
    <t>정산월</t>
  </si>
  <si>
    <t>작품명</t>
  </si>
  <si>
    <t>작품NO</t>
  </si>
  <si>
    <t>CP명</t>
  </si>
  <si>
    <t>CP순번</t>
  </si>
  <si>
    <t>필명</t>
  </si>
  <si>
    <t>판매액</t>
  </si>
  <si>
    <t>수수료(결제 대행 수수료 + 블라이스 운영 수수료)</t>
  </si>
  <si>
    <t>정산금액</t>
  </si>
  <si>
    <t>전체</t>
  </si>
  <si>
    <t>PC웹/모바일웹</t>
  </si>
  <si>
    <t>구글플레이</t>
  </si>
  <si>
    <t>애플앱스토어</t>
  </si>
  <si>
    <t>원스토어</t>
  </si>
  <si>
    <t>블라이스증정</t>
  </si>
  <si>
    <t>갓 오브 블랙필드</t>
  </si>
  <si>
    <t>24553</t>
  </si>
  <si>
    <t>그라운드의 지배자</t>
  </si>
  <si>
    <t>24935</t>
  </si>
  <si>
    <t>최종 보스 : 빛을 향해 달리는 그림자</t>
  </si>
  <si>
    <t>39238</t>
  </si>
  <si>
    <t>형사의 게임</t>
  </si>
  <si>
    <t>10517</t>
  </si>
  <si>
    <t>레이드 만물상점</t>
  </si>
  <si>
    <t>13214</t>
  </si>
  <si>
    <t>디버프 마스터</t>
  </si>
  <si>
    <t>47152</t>
  </si>
  <si>
    <t>담화공</t>
  </si>
  <si>
    <t>회귀의 전설</t>
  </si>
  <si>
    <t>21156</t>
  </si>
  <si>
    <t>김광수</t>
  </si>
  <si>
    <t>컬러 러쉬</t>
  </si>
  <si>
    <t>33153</t>
  </si>
  <si>
    <t>공작가의 남루한 신부</t>
  </si>
  <si>
    <t>40268</t>
  </si>
  <si>
    <t>원코인 게이머 아포칼립스</t>
  </si>
  <si>
    <t>47441</t>
  </si>
  <si>
    <t>이한애비</t>
  </si>
  <si>
    <t>법보다 주먹 [외전포함]</t>
  </si>
  <si>
    <t>32530</t>
  </si>
  <si>
    <t>강산</t>
  </si>
  <si>
    <t>이 맛에 회장한다</t>
  </si>
  <si>
    <t>41188</t>
  </si>
  <si>
    <t>너드 공략집</t>
  </si>
  <si>
    <t>46642</t>
  </si>
  <si>
    <t>고검환정록</t>
  </si>
  <si>
    <t>47371</t>
  </si>
  <si>
    <t>직하인</t>
  </si>
  <si>
    <t>비터, 비터(Bitter, Bitter)</t>
  </si>
  <si>
    <t>47651</t>
  </si>
  <si>
    <t>익스클루시브(Exclusive)</t>
  </si>
  <si>
    <t>47903</t>
  </si>
  <si>
    <t>하루하루</t>
  </si>
  <si>
    <t>47653</t>
  </si>
  <si>
    <t>선배님, 흔들어 주세요</t>
  </si>
  <si>
    <t>47770</t>
  </si>
  <si>
    <t>김매콤</t>
  </si>
  <si>
    <t>낯선 소꿉친구</t>
  </si>
  <si>
    <t>47899</t>
  </si>
  <si>
    <t>사나림</t>
  </si>
  <si>
    <t>너만 모르는 연애</t>
  </si>
  <si>
    <t>47900</t>
  </si>
  <si>
    <t>카에트</t>
  </si>
  <si>
    <t>택스 프리(TAX FREE)</t>
  </si>
  <si>
    <t>47904</t>
  </si>
  <si>
    <t>SISSI</t>
  </si>
  <si>
    <t>무장</t>
  </si>
  <si>
    <t>전혁</t>
  </si>
  <si>
    <t>세상</t>
  </si>
  <si>
    <t>무성매직</t>
  </si>
  <si>
    <t>협행마</t>
  </si>
  <si>
    <t>이다겸</t>
  </si>
  <si>
    <t>라에르</t>
  </si>
  <si>
    <t>사틴</t>
  </si>
  <si>
    <t>아저씨, 내 기분 왜 이래요?</t>
  </si>
  <si>
    <t>36621</t>
  </si>
  <si>
    <t>Livingston</t>
  </si>
  <si>
    <t>슈퍼스타의 비밀 어플</t>
  </si>
  <si>
    <t>44381</t>
  </si>
  <si>
    <t>왕십리글쟁이</t>
  </si>
  <si>
    <t>별자리 살인마 : 너를 추억한다</t>
  </si>
  <si>
    <t>48029</t>
  </si>
  <si>
    <t>호랑이 신을 길들여 버렸다</t>
  </si>
  <si>
    <t>48568</t>
  </si>
  <si>
    <t>신인류 좀비의 아포칼립스</t>
  </si>
  <si>
    <t>48569</t>
  </si>
  <si>
    <t>버그 걸린 드래곤</t>
  </si>
  <si>
    <t>48887</t>
  </si>
  <si>
    <t>폴딩</t>
  </si>
  <si>
    <t>낚싯대 하나로 세계최강</t>
  </si>
  <si>
    <t>49172</t>
  </si>
  <si>
    <t>단팥크림빵7</t>
  </si>
  <si>
    <t>바보가 만드는 멋진 세상 (개정판)</t>
  </si>
  <si>
    <t>45546</t>
  </si>
  <si>
    <t>백범</t>
  </si>
  <si>
    <t>사상 최강의 뉴비!</t>
  </si>
  <si>
    <t>47297</t>
  </si>
  <si>
    <t>정희웅</t>
  </si>
  <si>
    <t>자모검</t>
  </si>
  <si>
    <t>47372</t>
  </si>
  <si>
    <t>드렁크-탱크-핑크(DRUNK-TANK-PINK)</t>
  </si>
  <si>
    <t>47901</t>
  </si>
  <si>
    <t>키도</t>
  </si>
  <si>
    <t>로맨스는 아닙니다</t>
  </si>
  <si>
    <t>48571</t>
  </si>
  <si>
    <t>해양정원</t>
  </si>
  <si>
    <t>대공의 아내</t>
  </si>
  <si>
    <t>48574</t>
  </si>
  <si>
    <t>문시티</t>
  </si>
  <si>
    <t>붉은 정자-살라댕</t>
  </si>
  <si>
    <t>48718</t>
  </si>
  <si>
    <t>라벤더블루</t>
  </si>
  <si>
    <t>분홍의 작약</t>
  </si>
  <si>
    <t>48882</t>
  </si>
  <si>
    <t>송여희</t>
  </si>
  <si>
    <t>너만 보면 두근두근</t>
  </si>
  <si>
    <t>48931</t>
  </si>
  <si>
    <t>정경하</t>
  </si>
  <si>
    <t>설국연가</t>
  </si>
  <si>
    <t>49003</t>
  </si>
  <si>
    <t>마뇽</t>
  </si>
  <si>
    <t>호랑헌화가</t>
  </si>
  <si>
    <t>49196</t>
  </si>
  <si>
    <t>여도흔</t>
  </si>
  <si>
    <t>모닝콜(Morning Call)</t>
  </si>
  <si>
    <t>49197</t>
  </si>
  <si>
    <t>하이지</t>
  </si>
  <si>
    <t>비공개 열애</t>
  </si>
  <si>
    <t>49198</t>
  </si>
  <si>
    <t>박지영</t>
  </si>
  <si>
    <t>낯선 밤에 마주친</t>
  </si>
  <si>
    <t>49200</t>
  </si>
  <si>
    <t>춈춈</t>
  </si>
  <si>
    <t>미칠 광(狂), 너에게 미치다</t>
  </si>
  <si>
    <t>49016</t>
  </si>
  <si>
    <t>정연서</t>
  </si>
  <si>
    <t>황궁애사</t>
  </si>
  <si>
    <t>49017</t>
  </si>
  <si>
    <t>부엉이콩</t>
  </si>
  <si>
    <t>모험왕선우</t>
  </si>
  <si>
    <t>연유</t>
  </si>
  <si>
    <t>스토리위즈</t>
    <phoneticPr fontId="20" type="noConversion"/>
  </si>
  <si>
    <t>징구빙구</t>
    <phoneticPr fontId="20" type="noConversion"/>
  </si>
  <si>
    <t>에필로그</t>
  </si>
  <si>
    <t>더컴퍼니</t>
  </si>
  <si>
    <t>밀리의 서재</t>
  </si>
  <si>
    <t>Livingston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</si>
</sst>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3" fontId="0" fillId="34" borderId="0" xfId="0" applyNumberForma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47"/>
  <sheetViews>
    <sheetView showGridLines="0" topLeftCell="A22" workbookViewId="0">
      <selection activeCell="F24" sqref="F24:G40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64</v>
      </c>
      <c r="D3" s="4" t="s">
        <v>65</v>
      </c>
      <c r="E3" s="3" t="s">
        <v>142</v>
      </c>
      <c r="F3" s="3" t="s">
        <v>145</v>
      </c>
      <c r="G3" s="3" t="s">
        <v>66</v>
      </c>
      <c r="H3" s="5">
        <v>12500</v>
      </c>
      <c r="I3" s="3">
        <v>0</v>
      </c>
      <c r="J3" s="5">
        <v>1600</v>
      </c>
      <c r="K3" s="3">
        <v>800</v>
      </c>
      <c r="L3" s="3">
        <v>0</v>
      </c>
      <c r="M3" s="5">
        <v>10100</v>
      </c>
      <c r="N3" s="5">
        <v>3830</v>
      </c>
      <c r="O3" s="3">
        <v>0</v>
      </c>
      <c r="P3" s="3">
        <v>480</v>
      </c>
      <c r="Q3" s="3">
        <v>320</v>
      </c>
      <c r="R3" s="3">
        <v>0</v>
      </c>
      <c r="S3" s="5">
        <v>3030</v>
      </c>
      <c r="T3" s="5">
        <v>8670</v>
      </c>
    </row>
    <row r="4" spans="1:20" x14ac:dyDescent="0.4">
      <c r="A4" s="3">
        <v>2022.01</v>
      </c>
      <c r="B4" s="3">
        <v>2022.02</v>
      </c>
      <c r="C4" s="3" t="s">
        <v>55</v>
      </c>
      <c r="D4" s="4" t="s">
        <v>56</v>
      </c>
      <c r="E4" s="3" t="s">
        <v>142</v>
      </c>
      <c r="F4" s="3" t="s">
        <v>145</v>
      </c>
      <c r="G4" s="3" t="s">
        <v>57</v>
      </c>
      <c r="H4" s="3">
        <v>400</v>
      </c>
      <c r="I4" s="3">
        <v>0</v>
      </c>
      <c r="J4" s="3">
        <v>0</v>
      </c>
      <c r="K4" s="3">
        <v>0</v>
      </c>
      <c r="L4" s="3">
        <v>0</v>
      </c>
      <c r="M4" s="3">
        <v>400</v>
      </c>
      <c r="N4" s="3">
        <v>120</v>
      </c>
      <c r="O4" s="3">
        <v>0</v>
      </c>
      <c r="P4" s="3">
        <v>0</v>
      </c>
      <c r="Q4" s="3">
        <v>0</v>
      </c>
      <c r="R4" s="3">
        <v>0</v>
      </c>
      <c r="S4" s="3">
        <v>120</v>
      </c>
      <c r="T4" s="3">
        <v>280</v>
      </c>
    </row>
    <row r="5" spans="1:20" x14ac:dyDescent="0.4">
      <c r="A5" s="3">
        <v>2022.01</v>
      </c>
      <c r="B5" s="3">
        <v>2022.02</v>
      </c>
      <c r="C5" s="3" t="s">
        <v>49</v>
      </c>
      <c r="D5" s="4" t="s">
        <v>50</v>
      </c>
      <c r="E5" s="3" t="s">
        <v>142</v>
      </c>
      <c r="F5" s="3" t="s">
        <v>145</v>
      </c>
      <c r="G5" s="3" t="s">
        <v>73</v>
      </c>
      <c r="H5" s="3">
        <v>300</v>
      </c>
      <c r="I5" s="3">
        <v>0</v>
      </c>
      <c r="J5" s="3">
        <v>0</v>
      </c>
      <c r="K5" s="3">
        <v>0</v>
      </c>
      <c r="L5" s="3">
        <v>0</v>
      </c>
      <c r="M5" s="3">
        <v>300</v>
      </c>
      <c r="N5" s="3">
        <v>90</v>
      </c>
      <c r="O5" s="3">
        <v>0</v>
      </c>
      <c r="P5" s="3">
        <v>0</v>
      </c>
      <c r="Q5" s="3">
        <v>0</v>
      </c>
      <c r="R5" s="3">
        <v>0</v>
      </c>
      <c r="S5" s="3">
        <v>90</v>
      </c>
      <c r="T5" s="3">
        <v>210</v>
      </c>
    </row>
    <row r="6" spans="1:20" x14ac:dyDescent="0.4">
      <c r="A6" s="3">
        <v>2022.01</v>
      </c>
      <c r="B6" s="3">
        <v>2022.02</v>
      </c>
      <c r="C6" s="3" t="s">
        <v>107</v>
      </c>
      <c r="D6" s="4" t="s">
        <v>108</v>
      </c>
      <c r="E6" s="3" t="s">
        <v>142</v>
      </c>
      <c r="F6" s="3" t="s">
        <v>145</v>
      </c>
      <c r="G6" s="3" t="s">
        <v>109</v>
      </c>
      <c r="H6" s="5">
        <v>32600</v>
      </c>
      <c r="I6" s="5">
        <v>9800</v>
      </c>
      <c r="J6" s="5">
        <v>7400</v>
      </c>
      <c r="K6" s="3">
        <v>0</v>
      </c>
      <c r="L6" s="3">
        <v>0</v>
      </c>
      <c r="M6" s="5">
        <v>15400</v>
      </c>
      <c r="N6" s="5">
        <v>9780</v>
      </c>
      <c r="O6" s="5">
        <v>2940</v>
      </c>
      <c r="P6" s="5">
        <v>2220</v>
      </c>
      <c r="Q6" s="3">
        <v>0</v>
      </c>
      <c r="R6" s="3">
        <v>0</v>
      </c>
      <c r="S6" s="5">
        <v>4620</v>
      </c>
      <c r="T6" s="5">
        <v>22820</v>
      </c>
    </row>
    <row r="7" spans="1:20" x14ac:dyDescent="0.4">
      <c r="A7" s="3">
        <v>2022.01</v>
      </c>
      <c r="B7" s="3">
        <v>2022.02</v>
      </c>
      <c r="C7" s="3" t="s">
        <v>58</v>
      </c>
      <c r="D7" s="4" t="s">
        <v>59</v>
      </c>
      <c r="E7" s="3" t="s">
        <v>142</v>
      </c>
      <c r="F7" s="3" t="s">
        <v>145</v>
      </c>
      <c r="G7" s="3" t="s">
        <v>60</v>
      </c>
      <c r="H7" s="5">
        <v>3600</v>
      </c>
      <c r="I7" s="3">
        <v>0</v>
      </c>
      <c r="J7" s="5">
        <v>3400</v>
      </c>
      <c r="K7" s="3">
        <v>0</v>
      </c>
      <c r="L7" s="3">
        <v>0</v>
      </c>
      <c r="M7" s="3">
        <v>200</v>
      </c>
      <c r="N7" s="5">
        <v>1080</v>
      </c>
      <c r="O7" s="3">
        <v>0</v>
      </c>
      <c r="P7" s="5">
        <v>1020</v>
      </c>
      <c r="Q7" s="3">
        <v>0</v>
      </c>
      <c r="R7" s="3">
        <v>0</v>
      </c>
      <c r="S7" s="3">
        <v>60</v>
      </c>
      <c r="T7" s="5">
        <v>2520</v>
      </c>
    </row>
    <row r="8" spans="1:20" x14ac:dyDescent="0.4">
      <c r="A8" s="3">
        <v>2022.01</v>
      </c>
      <c r="B8" s="3">
        <v>2022.02</v>
      </c>
      <c r="C8" s="3" t="s">
        <v>51</v>
      </c>
      <c r="D8" s="4" t="s">
        <v>52</v>
      </c>
      <c r="E8" s="3" t="s">
        <v>142</v>
      </c>
      <c r="F8" s="3" t="s">
        <v>145</v>
      </c>
      <c r="G8" s="3" t="s">
        <v>74</v>
      </c>
      <c r="H8" s="5">
        <v>8000</v>
      </c>
      <c r="I8" s="5">
        <v>2000</v>
      </c>
      <c r="J8" s="3">
        <v>0</v>
      </c>
      <c r="K8" s="3">
        <v>0</v>
      </c>
      <c r="L8" s="3">
        <v>0</v>
      </c>
      <c r="M8" s="5">
        <v>6000</v>
      </c>
      <c r="N8" s="5">
        <v>2400</v>
      </c>
      <c r="O8" s="3">
        <v>600</v>
      </c>
      <c r="P8" s="3">
        <v>0</v>
      </c>
      <c r="Q8" s="3">
        <v>0</v>
      </c>
      <c r="R8" s="3">
        <v>0</v>
      </c>
      <c r="S8" s="5">
        <v>1800</v>
      </c>
      <c r="T8" s="5">
        <v>5600</v>
      </c>
    </row>
    <row r="9" spans="1:20" x14ac:dyDescent="0.4">
      <c r="A9" s="3">
        <v>2022.01</v>
      </c>
      <c r="B9" s="3">
        <v>2022.02</v>
      </c>
      <c r="C9" s="3" t="s">
        <v>53</v>
      </c>
      <c r="D9" s="4" t="s">
        <v>54</v>
      </c>
      <c r="E9" s="3" t="s">
        <v>142</v>
      </c>
      <c r="F9" s="3" t="s">
        <v>145</v>
      </c>
      <c r="G9" s="3" t="s">
        <v>74</v>
      </c>
      <c r="H9" s="5">
        <v>1000</v>
      </c>
      <c r="I9" s="3">
        <v>0</v>
      </c>
      <c r="J9" s="3">
        <v>0</v>
      </c>
      <c r="K9" s="3">
        <v>0</v>
      </c>
      <c r="L9" s="3">
        <v>0</v>
      </c>
      <c r="M9" s="5">
        <v>1000</v>
      </c>
      <c r="N9" s="3">
        <v>300</v>
      </c>
      <c r="O9" s="3">
        <v>0</v>
      </c>
      <c r="P9" s="3">
        <v>0</v>
      </c>
      <c r="Q9" s="3">
        <v>0</v>
      </c>
      <c r="R9" s="3">
        <v>0</v>
      </c>
      <c r="S9" s="3">
        <v>300</v>
      </c>
      <c r="T9" s="3">
        <v>700</v>
      </c>
    </row>
    <row r="10" spans="1:20" x14ac:dyDescent="0.4">
      <c r="A10" s="3">
        <v>2022.01</v>
      </c>
      <c r="B10" s="3">
        <v>2022.02</v>
      </c>
      <c r="C10" s="3" t="s">
        <v>137</v>
      </c>
      <c r="D10" s="4" t="s">
        <v>138</v>
      </c>
      <c r="E10" s="3" t="s">
        <v>142</v>
      </c>
      <c r="F10" s="3" t="s">
        <v>145</v>
      </c>
      <c r="G10" s="3" t="s">
        <v>141</v>
      </c>
      <c r="H10" s="5">
        <v>6800</v>
      </c>
      <c r="I10" s="3">
        <v>0</v>
      </c>
      <c r="J10" s="5">
        <v>6600</v>
      </c>
      <c r="K10" s="3">
        <v>0</v>
      </c>
      <c r="L10" s="3">
        <v>0</v>
      </c>
      <c r="M10" s="3">
        <v>200</v>
      </c>
      <c r="N10" s="5">
        <v>2040</v>
      </c>
      <c r="O10" s="3">
        <v>0</v>
      </c>
      <c r="P10" s="5">
        <v>1980</v>
      </c>
      <c r="Q10" s="3">
        <v>0</v>
      </c>
      <c r="R10" s="3">
        <v>0</v>
      </c>
      <c r="S10" s="3">
        <v>60</v>
      </c>
      <c r="T10" s="5">
        <v>4760</v>
      </c>
    </row>
    <row r="11" spans="1:20" x14ac:dyDescent="0.4">
      <c r="A11" s="3">
        <v>2022.01</v>
      </c>
      <c r="B11" s="3">
        <v>2022.02</v>
      </c>
      <c r="C11" s="3" t="s">
        <v>44</v>
      </c>
      <c r="D11" s="4" t="s">
        <v>45</v>
      </c>
      <c r="E11" s="3" t="s">
        <v>142</v>
      </c>
      <c r="F11" s="3" t="s">
        <v>145</v>
      </c>
      <c r="G11" s="3" t="s">
        <v>72</v>
      </c>
      <c r="H11" s="5">
        <v>18000</v>
      </c>
      <c r="I11" s="3">
        <v>0</v>
      </c>
      <c r="J11" s="3">
        <v>0</v>
      </c>
      <c r="K11" s="3">
        <v>0</v>
      </c>
      <c r="L11" s="3">
        <v>0</v>
      </c>
      <c r="M11" s="5">
        <v>18000</v>
      </c>
      <c r="N11" s="5">
        <v>5400</v>
      </c>
      <c r="O11" s="3">
        <v>0</v>
      </c>
      <c r="P11" s="3">
        <v>0</v>
      </c>
      <c r="Q11" s="3">
        <v>0</v>
      </c>
      <c r="R11" s="3">
        <v>0</v>
      </c>
      <c r="S11" s="5">
        <v>5400</v>
      </c>
      <c r="T11" s="5">
        <v>12600</v>
      </c>
    </row>
    <row r="12" spans="1:20" x14ac:dyDescent="0.4">
      <c r="A12" s="3">
        <v>2022.01</v>
      </c>
      <c r="B12" s="3">
        <v>2022.02</v>
      </c>
      <c r="C12" s="3" t="s">
        <v>134</v>
      </c>
      <c r="D12" s="4" t="s">
        <v>135</v>
      </c>
      <c r="E12" s="3" t="s">
        <v>142</v>
      </c>
      <c r="F12" s="3" t="s">
        <v>145</v>
      </c>
      <c r="G12" s="3" t="s">
        <v>136</v>
      </c>
      <c r="H12" s="5">
        <v>6900</v>
      </c>
      <c r="I12" s="3">
        <v>0</v>
      </c>
      <c r="J12" s="5">
        <v>6400</v>
      </c>
      <c r="K12" s="3">
        <v>0</v>
      </c>
      <c r="L12" s="3">
        <v>0</v>
      </c>
      <c r="M12" s="3">
        <v>500</v>
      </c>
      <c r="N12" s="5">
        <v>2070</v>
      </c>
      <c r="O12" s="3">
        <v>0</v>
      </c>
      <c r="P12" s="5">
        <v>1920</v>
      </c>
      <c r="Q12" s="3">
        <v>0</v>
      </c>
      <c r="R12" s="3">
        <v>0</v>
      </c>
      <c r="S12" s="3">
        <v>150</v>
      </c>
      <c r="T12" s="5">
        <v>4830</v>
      </c>
    </row>
    <row r="13" spans="1:20" x14ac:dyDescent="0.4">
      <c r="A13" s="3">
        <v>2022.01</v>
      </c>
      <c r="B13" s="3">
        <v>2022.02</v>
      </c>
      <c r="C13" s="3" t="s">
        <v>61</v>
      </c>
      <c r="D13" s="4" t="s">
        <v>62</v>
      </c>
      <c r="E13" s="3" t="s">
        <v>142</v>
      </c>
      <c r="F13" s="3" t="s">
        <v>145</v>
      </c>
      <c r="G13" s="3" t="s">
        <v>63</v>
      </c>
      <c r="H13" s="5">
        <v>12800</v>
      </c>
      <c r="I13" s="3">
        <v>0</v>
      </c>
      <c r="J13" s="5">
        <v>6600</v>
      </c>
      <c r="K13" s="3">
        <v>0</v>
      </c>
      <c r="L13" s="3">
        <v>0</v>
      </c>
      <c r="M13" s="5">
        <v>6200</v>
      </c>
      <c r="N13" s="5">
        <v>3840</v>
      </c>
      <c r="O13" s="3">
        <v>0</v>
      </c>
      <c r="P13" s="5">
        <v>1980</v>
      </c>
      <c r="Q13" s="3">
        <v>0</v>
      </c>
      <c r="R13" s="3">
        <v>0</v>
      </c>
      <c r="S13" s="5">
        <v>1860</v>
      </c>
      <c r="T13" s="5">
        <v>8960</v>
      </c>
    </row>
    <row r="14" spans="1:20" ht="31.2" x14ac:dyDescent="0.4">
      <c r="A14" s="3">
        <v>2022.01</v>
      </c>
      <c r="B14" s="3">
        <v>2022.02</v>
      </c>
      <c r="C14" s="3" t="s">
        <v>101</v>
      </c>
      <c r="D14" s="4" t="s">
        <v>102</v>
      </c>
      <c r="E14" s="3" t="s">
        <v>142</v>
      </c>
      <c r="F14" s="3" t="s">
        <v>145</v>
      </c>
      <c r="G14" s="3" t="s">
        <v>103</v>
      </c>
      <c r="H14" s="5">
        <v>4600</v>
      </c>
      <c r="I14" s="3">
        <v>0</v>
      </c>
      <c r="J14" s="5">
        <v>4100</v>
      </c>
      <c r="K14" s="3">
        <v>0</v>
      </c>
      <c r="L14" s="3">
        <v>0</v>
      </c>
      <c r="M14" s="3">
        <v>500</v>
      </c>
      <c r="N14" s="5">
        <v>1380</v>
      </c>
      <c r="O14" s="3">
        <v>0</v>
      </c>
      <c r="P14" s="5">
        <v>1230</v>
      </c>
      <c r="Q14" s="3">
        <v>0</v>
      </c>
      <c r="R14" s="3">
        <v>0</v>
      </c>
      <c r="S14" s="3">
        <v>150</v>
      </c>
      <c r="T14" s="5">
        <v>3220</v>
      </c>
    </row>
    <row r="15" spans="1:20" x14ac:dyDescent="0.4">
      <c r="A15" s="3">
        <v>2022.01</v>
      </c>
      <c r="B15" s="3">
        <v>2022.02</v>
      </c>
      <c r="C15" s="3" t="s">
        <v>104</v>
      </c>
      <c r="D15" s="4" t="s">
        <v>105</v>
      </c>
      <c r="E15" s="3" t="s">
        <v>142</v>
      </c>
      <c r="F15" s="3" t="s">
        <v>145</v>
      </c>
      <c r="G15" s="3" t="s">
        <v>106</v>
      </c>
      <c r="H15" s="5">
        <v>1300</v>
      </c>
      <c r="I15" s="3">
        <v>0</v>
      </c>
      <c r="J15" s="5">
        <v>1300</v>
      </c>
      <c r="K15" s="3">
        <v>0</v>
      </c>
      <c r="L15" s="3">
        <v>0</v>
      </c>
      <c r="M15" s="3">
        <v>0</v>
      </c>
      <c r="N15" s="3">
        <v>390</v>
      </c>
      <c r="O15" s="3">
        <v>0</v>
      </c>
      <c r="P15" s="3">
        <v>390</v>
      </c>
      <c r="Q15" s="3">
        <v>0</v>
      </c>
      <c r="R15" s="3">
        <v>0</v>
      </c>
      <c r="S15" s="3">
        <v>0</v>
      </c>
      <c r="T15" s="3">
        <v>910</v>
      </c>
    </row>
    <row r="16" spans="1:20" x14ac:dyDescent="0.4">
      <c r="A16" s="3">
        <v>2022.01</v>
      </c>
      <c r="B16" s="3">
        <v>2022.02</v>
      </c>
      <c r="C16" s="3" t="s">
        <v>110</v>
      </c>
      <c r="D16" s="4" t="s">
        <v>111</v>
      </c>
      <c r="E16" s="3" t="s">
        <v>142</v>
      </c>
      <c r="F16" s="3" t="s">
        <v>146</v>
      </c>
      <c r="G16" s="3" t="s">
        <v>112</v>
      </c>
      <c r="H16" s="5">
        <v>8000</v>
      </c>
      <c r="I16" s="3">
        <v>0</v>
      </c>
      <c r="J16" s="5">
        <v>2500</v>
      </c>
      <c r="K16" s="3">
        <v>0</v>
      </c>
      <c r="L16" s="3">
        <v>0</v>
      </c>
      <c r="M16" s="5">
        <v>5500</v>
      </c>
      <c r="N16" s="5">
        <v>2400</v>
      </c>
      <c r="O16" s="3">
        <v>0</v>
      </c>
      <c r="P16" s="3">
        <v>750</v>
      </c>
      <c r="Q16" s="3">
        <v>0</v>
      </c>
      <c r="R16" s="3">
        <v>0</v>
      </c>
      <c r="S16" s="5">
        <v>1650</v>
      </c>
      <c r="T16" s="5">
        <v>5600</v>
      </c>
    </row>
    <row r="17" spans="1:20" x14ac:dyDescent="0.4">
      <c r="A17" s="3">
        <v>2022.01</v>
      </c>
      <c r="B17" s="3">
        <v>2022.02</v>
      </c>
      <c r="C17" s="3" t="s">
        <v>119</v>
      </c>
      <c r="D17" s="4" t="s">
        <v>120</v>
      </c>
      <c r="E17" s="3" t="s">
        <v>142</v>
      </c>
      <c r="F17" s="3" t="s">
        <v>146</v>
      </c>
      <c r="G17" s="3" t="s">
        <v>121</v>
      </c>
      <c r="H17" s="5">
        <v>12700</v>
      </c>
      <c r="I17" s="3">
        <v>700</v>
      </c>
      <c r="J17" s="5">
        <v>2000</v>
      </c>
      <c r="K17" s="3">
        <v>0</v>
      </c>
      <c r="L17" s="3">
        <v>0</v>
      </c>
      <c r="M17" s="5">
        <v>10000</v>
      </c>
      <c r="N17" s="5">
        <v>3810</v>
      </c>
      <c r="O17" s="3">
        <v>210</v>
      </c>
      <c r="P17" s="3">
        <v>600</v>
      </c>
      <c r="Q17" s="3">
        <v>0</v>
      </c>
      <c r="R17" s="3">
        <v>0</v>
      </c>
      <c r="S17" s="5">
        <v>3000</v>
      </c>
      <c r="T17" s="5">
        <v>8890</v>
      </c>
    </row>
    <row r="18" spans="1:20" x14ac:dyDescent="0.4">
      <c r="A18" s="3">
        <v>2022.01</v>
      </c>
      <c r="B18" s="3">
        <v>2022.02</v>
      </c>
      <c r="C18" s="3" t="s">
        <v>128</v>
      </c>
      <c r="D18" s="4" t="s">
        <v>129</v>
      </c>
      <c r="E18" s="3" t="s">
        <v>142</v>
      </c>
      <c r="F18" s="3" t="s">
        <v>146</v>
      </c>
      <c r="G18" s="3" t="s">
        <v>130</v>
      </c>
      <c r="H18" s="5">
        <v>5700</v>
      </c>
      <c r="I18" s="3">
        <v>0</v>
      </c>
      <c r="J18" s="5">
        <v>1900</v>
      </c>
      <c r="K18" s="3">
        <v>0</v>
      </c>
      <c r="L18" s="3">
        <v>0</v>
      </c>
      <c r="M18" s="5">
        <v>3800</v>
      </c>
      <c r="N18" s="5">
        <v>1710</v>
      </c>
      <c r="O18" s="3">
        <v>0</v>
      </c>
      <c r="P18" s="3">
        <v>570</v>
      </c>
      <c r="Q18" s="3">
        <v>0</v>
      </c>
      <c r="R18" s="3">
        <v>0</v>
      </c>
      <c r="S18" s="5">
        <v>1140</v>
      </c>
      <c r="T18" s="5">
        <v>3990</v>
      </c>
    </row>
    <row r="19" spans="1:20" x14ac:dyDescent="0.4">
      <c r="A19" s="3">
        <v>2022.01</v>
      </c>
      <c r="B19" s="3">
        <v>2022.02</v>
      </c>
      <c r="C19" s="3" t="s">
        <v>113</v>
      </c>
      <c r="D19" s="4" t="s">
        <v>114</v>
      </c>
      <c r="E19" s="3" t="s">
        <v>142</v>
      </c>
      <c r="F19" s="3" t="s">
        <v>146</v>
      </c>
      <c r="G19" s="3" t="s">
        <v>115</v>
      </c>
      <c r="H19" s="5">
        <v>24600</v>
      </c>
      <c r="I19" s="3">
        <v>0</v>
      </c>
      <c r="J19" s="5">
        <v>11600</v>
      </c>
      <c r="K19" s="3">
        <v>0</v>
      </c>
      <c r="L19" s="3">
        <v>0</v>
      </c>
      <c r="M19" s="5">
        <v>13000</v>
      </c>
      <c r="N19" s="5">
        <v>7380</v>
      </c>
      <c r="O19" s="3">
        <v>0</v>
      </c>
      <c r="P19" s="5">
        <v>3480</v>
      </c>
      <c r="Q19" s="3">
        <v>0</v>
      </c>
      <c r="R19" s="3">
        <v>0</v>
      </c>
      <c r="S19" s="5">
        <v>3900</v>
      </c>
      <c r="T19" s="5">
        <v>17220</v>
      </c>
    </row>
    <row r="20" spans="1:20" x14ac:dyDescent="0.4">
      <c r="A20" s="3">
        <v>2022.01</v>
      </c>
      <c r="B20" s="3">
        <v>2022.02</v>
      </c>
      <c r="C20" s="3" t="s">
        <v>122</v>
      </c>
      <c r="D20" s="4" t="s">
        <v>123</v>
      </c>
      <c r="E20" s="3" t="s">
        <v>142</v>
      </c>
      <c r="F20" s="3" t="s">
        <v>146</v>
      </c>
      <c r="G20" s="3" t="s">
        <v>124</v>
      </c>
      <c r="H20" s="5">
        <v>2200</v>
      </c>
      <c r="I20" s="3">
        <v>0</v>
      </c>
      <c r="J20" s="5">
        <v>1600</v>
      </c>
      <c r="K20" s="3">
        <v>0</v>
      </c>
      <c r="L20" s="3">
        <v>0</v>
      </c>
      <c r="M20" s="3">
        <v>600</v>
      </c>
      <c r="N20" s="3">
        <v>660</v>
      </c>
      <c r="O20" s="3">
        <v>0</v>
      </c>
      <c r="P20" s="3">
        <v>480</v>
      </c>
      <c r="Q20" s="3">
        <v>0</v>
      </c>
      <c r="R20" s="3">
        <v>0</v>
      </c>
      <c r="S20" s="3">
        <v>180</v>
      </c>
      <c r="T20" s="5">
        <v>1540</v>
      </c>
    </row>
    <row r="21" spans="1:20" x14ac:dyDescent="0.4">
      <c r="A21" s="3">
        <v>2022.01</v>
      </c>
      <c r="B21" s="3">
        <v>2022.02</v>
      </c>
      <c r="C21" s="3" t="s">
        <v>116</v>
      </c>
      <c r="D21" s="4" t="s">
        <v>117</v>
      </c>
      <c r="E21" s="3" t="s">
        <v>142</v>
      </c>
      <c r="F21" s="3" t="s">
        <v>146</v>
      </c>
      <c r="G21" s="3" t="s">
        <v>118</v>
      </c>
      <c r="H21" s="5">
        <v>26000</v>
      </c>
      <c r="I21" s="5">
        <v>2500</v>
      </c>
      <c r="J21" s="5">
        <v>12500</v>
      </c>
      <c r="K21" s="3">
        <v>0</v>
      </c>
      <c r="L21" s="3">
        <v>0</v>
      </c>
      <c r="M21" s="5">
        <v>11000</v>
      </c>
      <c r="N21" s="5">
        <v>7800</v>
      </c>
      <c r="O21" s="3">
        <v>750</v>
      </c>
      <c r="P21" s="5">
        <v>3750</v>
      </c>
      <c r="Q21" s="3">
        <v>0</v>
      </c>
      <c r="R21" s="3">
        <v>0</v>
      </c>
      <c r="S21" s="5">
        <v>3300</v>
      </c>
      <c r="T21" s="5">
        <v>18200</v>
      </c>
    </row>
    <row r="22" spans="1:20" x14ac:dyDescent="0.4">
      <c r="A22" s="3">
        <v>2022.01</v>
      </c>
      <c r="B22" s="3">
        <v>2022.02</v>
      </c>
      <c r="C22" s="3" t="s">
        <v>131</v>
      </c>
      <c r="D22" s="4" t="s">
        <v>132</v>
      </c>
      <c r="E22" s="3" t="s">
        <v>142</v>
      </c>
      <c r="F22" s="3" t="s">
        <v>146</v>
      </c>
      <c r="G22" s="3" t="s">
        <v>133</v>
      </c>
      <c r="H22" s="5">
        <v>5400</v>
      </c>
      <c r="I22" s="3">
        <v>0</v>
      </c>
      <c r="J22" s="3">
        <v>0</v>
      </c>
      <c r="K22" s="3">
        <v>0</v>
      </c>
      <c r="L22" s="3">
        <v>0</v>
      </c>
      <c r="M22" s="5">
        <v>5400</v>
      </c>
      <c r="N22" s="5">
        <v>1620</v>
      </c>
      <c r="O22" s="3">
        <v>0</v>
      </c>
      <c r="P22" s="3">
        <v>0</v>
      </c>
      <c r="Q22" s="3">
        <v>0</v>
      </c>
      <c r="R22" s="3">
        <v>0</v>
      </c>
      <c r="S22" s="5">
        <v>1620</v>
      </c>
      <c r="T22" s="5">
        <v>3780</v>
      </c>
    </row>
    <row r="23" spans="1:20" x14ac:dyDescent="0.4">
      <c r="A23" s="3">
        <v>2022.01</v>
      </c>
      <c r="B23" s="3">
        <v>2022.02</v>
      </c>
      <c r="C23" s="3" t="s">
        <v>125</v>
      </c>
      <c r="D23" s="4" t="s">
        <v>126</v>
      </c>
      <c r="E23" s="3" t="s">
        <v>142</v>
      </c>
      <c r="F23" s="3" t="s">
        <v>146</v>
      </c>
      <c r="G23" s="3" t="s">
        <v>127</v>
      </c>
      <c r="H23" s="5">
        <v>1800</v>
      </c>
      <c r="I23" s="3">
        <v>0</v>
      </c>
      <c r="J23" s="5">
        <v>1800</v>
      </c>
      <c r="K23" s="3">
        <v>0</v>
      </c>
      <c r="L23" s="3">
        <v>0</v>
      </c>
      <c r="M23" s="3">
        <v>0</v>
      </c>
      <c r="N23" s="3">
        <v>540</v>
      </c>
      <c r="O23" s="3">
        <v>0</v>
      </c>
      <c r="P23" s="3">
        <v>540</v>
      </c>
      <c r="Q23" s="3">
        <v>0</v>
      </c>
      <c r="R23" s="3">
        <v>0</v>
      </c>
      <c r="S23" s="3">
        <v>0</v>
      </c>
      <c r="T23" s="5">
        <v>1260</v>
      </c>
    </row>
    <row r="24" spans="1:20" x14ac:dyDescent="0.4">
      <c r="A24" s="3">
        <v>2022.01</v>
      </c>
      <c r="B24" s="3">
        <v>2022.02</v>
      </c>
      <c r="C24" s="3" t="s">
        <v>75</v>
      </c>
      <c r="D24" s="4" t="s">
        <v>76</v>
      </c>
      <c r="E24" s="3" t="s">
        <v>142</v>
      </c>
      <c r="F24" s="3" t="s">
        <v>142</v>
      </c>
      <c r="G24" s="3" t="s">
        <v>77</v>
      </c>
      <c r="H24" s="5">
        <v>3100</v>
      </c>
      <c r="I24" s="3">
        <v>0</v>
      </c>
      <c r="J24" s="3">
        <v>0</v>
      </c>
      <c r="K24" s="3">
        <v>0</v>
      </c>
      <c r="L24" s="3">
        <v>0</v>
      </c>
      <c r="M24" s="5">
        <v>3100</v>
      </c>
      <c r="N24" s="3">
        <v>930</v>
      </c>
      <c r="O24" s="3">
        <v>0</v>
      </c>
      <c r="P24" s="3">
        <v>0</v>
      </c>
      <c r="Q24" s="3">
        <v>0</v>
      </c>
      <c r="R24" s="3">
        <v>0</v>
      </c>
      <c r="S24" s="3">
        <v>930</v>
      </c>
      <c r="T24" s="5">
        <v>2170</v>
      </c>
    </row>
    <row r="25" spans="1:20" x14ac:dyDescent="0.4">
      <c r="A25" s="3">
        <v>2022.01</v>
      </c>
      <c r="B25" s="3">
        <v>2022.02</v>
      </c>
      <c r="C25" s="3" t="s">
        <v>29</v>
      </c>
      <c r="D25" s="4" t="s">
        <v>30</v>
      </c>
      <c r="E25" s="3" t="s">
        <v>142</v>
      </c>
      <c r="F25" s="3" t="s">
        <v>142</v>
      </c>
      <c r="G25" s="3" t="s">
        <v>31</v>
      </c>
      <c r="H25" s="5">
        <v>212600</v>
      </c>
      <c r="I25" s="5">
        <v>58000</v>
      </c>
      <c r="J25" s="5">
        <v>80900</v>
      </c>
      <c r="K25" s="3">
        <v>0</v>
      </c>
      <c r="L25" s="3">
        <v>0</v>
      </c>
      <c r="M25" s="5">
        <v>73700</v>
      </c>
      <c r="N25" s="5">
        <v>63780</v>
      </c>
      <c r="O25" s="5">
        <v>17400</v>
      </c>
      <c r="P25" s="5">
        <v>24270</v>
      </c>
      <c r="Q25" s="3">
        <v>0</v>
      </c>
      <c r="R25" s="3">
        <v>0</v>
      </c>
      <c r="S25" s="5">
        <v>22110</v>
      </c>
      <c r="T25" s="5">
        <v>148820</v>
      </c>
    </row>
    <row r="26" spans="1:20" x14ac:dyDescent="0.4">
      <c r="A26" s="3">
        <v>2022.01</v>
      </c>
      <c r="B26" s="3">
        <v>2022.02</v>
      </c>
      <c r="C26" s="3" t="s">
        <v>90</v>
      </c>
      <c r="D26" s="4" t="s">
        <v>91</v>
      </c>
      <c r="E26" s="3" t="s">
        <v>142</v>
      </c>
      <c r="F26" s="3" t="s">
        <v>142</v>
      </c>
      <c r="G26" s="3" t="s">
        <v>92</v>
      </c>
      <c r="H26" s="5">
        <v>42600</v>
      </c>
      <c r="I26" s="3">
        <v>0</v>
      </c>
      <c r="J26" s="5">
        <v>10100</v>
      </c>
      <c r="K26" s="3">
        <v>0</v>
      </c>
      <c r="L26" s="3">
        <v>0</v>
      </c>
      <c r="M26" s="5">
        <v>32500</v>
      </c>
      <c r="N26" s="5">
        <v>12780</v>
      </c>
      <c r="O26" s="3">
        <v>0</v>
      </c>
      <c r="P26" s="5">
        <v>3030</v>
      </c>
      <c r="Q26" s="3">
        <v>0</v>
      </c>
      <c r="R26" s="3">
        <v>0</v>
      </c>
      <c r="S26" s="5">
        <v>9750</v>
      </c>
      <c r="T26" s="5">
        <v>29820</v>
      </c>
    </row>
    <row r="27" spans="1:20" x14ac:dyDescent="0.4">
      <c r="A27" s="3">
        <v>2022.01</v>
      </c>
      <c r="B27" s="3">
        <v>2022.02</v>
      </c>
      <c r="C27" s="3" t="s">
        <v>26</v>
      </c>
      <c r="D27" s="4" t="s">
        <v>27</v>
      </c>
      <c r="E27" s="3" t="s">
        <v>142</v>
      </c>
      <c r="F27" s="3" t="s">
        <v>142</v>
      </c>
      <c r="G27" s="3" t="s">
        <v>28</v>
      </c>
      <c r="H27" s="5">
        <v>980000</v>
      </c>
      <c r="I27" s="5">
        <v>75100</v>
      </c>
      <c r="J27" s="5">
        <v>349300</v>
      </c>
      <c r="K27" s="5">
        <v>186300</v>
      </c>
      <c r="L27" s="3">
        <v>0</v>
      </c>
      <c r="M27" s="5">
        <v>369300</v>
      </c>
      <c r="N27" s="5">
        <v>312630</v>
      </c>
      <c r="O27" s="5">
        <v>22530</v>
      </c>
      <c r="P27" s="5">
        <v>104790</v>
      </c>
      <c r="Q27" s="5">
        <v>74520</v>
      </c>
      <c r="R27" s="3">
        <v>0</v>
      </c>
      <c r="S27" s="5">
        <v>110790</v>
      </c>
      <c r="T27" s="5">
        <v>667370</v>
      </c>
    </row>
    <row r="28" spans="1:20" x14ac:dyDescent="0.4">
      <c r="A28" s="3">
        <v>2022.01</v>
      </c>
      <c r="B28" s="3">
        <v>2022.02</v>
      </c>
      <c r="C28" s="3" t="s">
        <v>85</v>
      </c>
      <c r="D28" s="4" t="s">
        <v>86</v>
      </c>
      <c r="E28" s="3" t="s">
        <v>142</v>
      </c>
      <c r="F28" s="3" t="s">
        <v>142</v>
      </c>
      <c r="G28" s="3" t="s">
        <v>140</v>
      </c>
      <c r="H28" s="5">
        <v>50700</v>
      </c>
      <c r="I28" s="3">
        <v>0</v>
      </c>
      <c r="J28" s="3">
        <v>0</v>
      </c>
      <c r="K28" s="3">
        <v>0</v>
      </c>
      <c r="L28" s="3">
        <v>100</v>
      </c>
      <c r="M28" s="5">
        <v>50600</v>
      </c>
      <c r="N28" s="5">
        <v>15220</v>
      </c>
      <c r="O28" s="3">
        <v>0</v>
      </c>
      <c r="P28" s="3">
        <v>0</v>
      </c>
      <c r="Q28" s="3">
        <v>0</v>
      </c>
      <c r="R28" s="3">
        <v>40</v>
      </c>
      <c r="S28" s="5">
        <v>15180</v>
      </c>
      <c r="T28" s="5">
        <v>35480</v>
      </c>
    </row>
    <row r="29" spans="1:20" x14ac:dyDescent="0.4">
      <c r="A29" s="3">
        <v>2022.01</v>
      </c>
      <c r="B29" s="3">
        <v>2022.02</v>
      </c>
      <c r="C29" s="3" t="s">
        <v>34</v>
      </c>
      <c r="D29" s="4" t="s">
        <v>35</v>
      </c>
      <c r="E29" s="3" t="s">
        <v>142</v>
      </c>
      <c r="F29" s="3" t="s">
        <v>142</v>
      </c>
      <c r="G29" s="3" t="s">
        <v>70</v>
      </c>
      <c r="H29" s="5">
        <v>7500</v>
      </c>
      <c r="I29" s="3">
        <v>0</v>
      </c>
      <c r="J29" s="3">
        <v>0</v>
      </c>
      <c r="K29" s="3">
        <v>0</v>
      </c>
      <c r="L29" s="3">
        <v>0</v>
      </c>
      <c r="M29" s="5">
        <v>7500</v>
      </c>
      <c r="N29" s="5">
        <v>2250</v>
      </c>
      <c r="O29" s="3">
        <v>0</v>
      </c>
      <c r="P29" s="3">
        <v>0</v>
      </c>
      <c r="Q29" s="3">
        <v>0</v>
      </c>
      <c r="R29" s="3">
        <v>0</v>
      </c>
      <c r="S29" s="5">
        <v>2250</v>
      </c>
      <c r="T29" s="5">
        <v>5250</v>
      </c>
    </row>
    <row r="30" spans="1:20" x14ac:dyDescent="0.4">
      <c r="A30" s="3">
        <v>2022.01</v>
      </c>
      <c r="B30" s="3">
        <v>2022.02</v>
      </c>
      <c r="C30" s="3" t="s">
        <v>16</v>
      </c>
      <c r="D30" s="4" t="s">
        <v>17</v>
      </c>
      <c r="E30" s="3" t="s">
        <v>142</v>
      </c>
      <c r="F30" s="3" t="s">
        <v>142</v>
      </c>
      <c r="G30" s="3" t="s">
        <v>67</v>
      </c>
      <c r="H30" s="5">
        <v>114900</v>
      </c>
      <c r="I30" s="3">
        <v>0</v>
      </c>
      <c r="J30" s="5">
        <v>91900</v>
      </c>
      <c r="K30" s="3">
        <v>0</v>
      </c>
      <c r="L30" s="3">
        <v>0</v>
      </c>
      <c r="M30" s="5">
        <v>23000</v>
      </c>
      <c r="N30" s="5">
        <v>34470</v>
      </c>
      <c r="O30" s="3">
        <v>0</v>
      </c>
      <c r="P30" s="5">
        <v>27570</v>
      </c>
      <c r="Q30" s="3">
        <v>0</v>
      </c>
      <c r="R30" s="3">
        <v>0</v>
      </c>
      <c r="S30" s="5">
        <v>6900</v>
      </c>
      <c r="T30" s="5">
        <v>80430</v>
      </c>
    </row>
    <row r="31" spans="1:20" x14ac:dyDescent="0.4">
      <c r="A31" s="3">
        <v>2022.01</v>
      </c>
      <c r="B31" s="3">
        <v>2022.02</v>
      </c>
      <c r="C31" s="3" t="s">
        <v>18</v>
      </c>
      <c r="D31" s="4" t="s">
        <v>19</v>
      </c>
      <c r="E31" s="3" t="s">
        <v>142</v>
      </c>
      <c r="F31" s="3" t="s">
        <v>142</v>
      </c>
      <c r="G31" s="3" t="s">
        <v>67</v>
      </c>
      <c r="H31" s="5">
        <v>2000</v>
      </c>
      <c r="I31" s="3">
        <v>0</v>
      </c>
      <c r="J31" s="3">
        <v>0</v>
      </c>
      <c r="K31" s="3">
        <v>0</v>
      </c>
      <c r="L31" s="3">
        <v>0</v>
      </c>
      <c r="M31" s="5">
        <v>2000</v>
      </c>
      <c r="N31" s="3">
        <v>600</v>
      </c>
      <c r="O31" s="3">
        <v>0</v>
      </c>
      <c r="P31" s="3">
        <v>0</v>
      </c>
      <c r="Q31" s="3">
        <v>0</v>
      </c>
      <c r="R31" s="3">
        <v>0</v>
      </c>
      <c r="S31" s="3">
        <v>600</v>
      </c>
      <c r="T31" s="5">
        <v>1400</v>
      </c>
    </row>
    <row r="32" spans="1:20" ht="31.2" x14ac:dyDescent="0.4">
      <c r="A32" s="3">
        <v>2022.01</v>
      </c>
      <c r="B32" s="3">
        <v>2022.02</v>
      </c>
      <c r="C32" s="3" t="s">
        <v>20</v>
      </c>
      <c r="D32" s="4" t="s">
        <v>21</v>
      </c>
      <c r="E32" s="3" t="s">
        <v>142</v>
      </c>
      <c r="F32" s="3" t="s">
        <v>142</v>
      </c>
      <c r="G32" s="3" t="s">
        <v>67</v>
      </c>
      <c r="H32" s="5">
        <v>5400</v>
      </c>
      <c r="I32" s="3">
        <v>0</v>
      </c>
      <c r="J32" s="3">
        <v>0</v>
      </c>
      <c r="K32" s="3">
        <v>0</v>
      </c>
      <c r="L32" s="3">
        <v>0</v>
      </c>
      <c r="M32" s="5">
        <v>5400</v>
      </c>
      <c r="N32" s="5">
        <v>1620</v>
      </c>
      <c r="O32" s="3">
        <v>0</v>
      </c>
      <c r="P32" s="3">
        <v>0</v>
      </c>
      <c r="Q32" s="3">
        <v>0</v>
      </c>
      <c r="R32" s="3">
        <v>0</v>
      </c>
      <c r="S32" s="5">
        <v>1620</v>
      </c>
      <c r="T32" s="5">
        <v>3780</v>
      </c>
    </row>
    <row r="33" spans="1:20" x14ac:dyDescent="0.4">
      <c r="A33" s="3">
        <v>2022.01</v>
      </c>
      <c r="B33" s="3">
        <v>2022.02</v>
      </c>
      <c r="C33" s="3" t="s">
        <v>22</v>
      </c>
      <c r="D33" s="4" t="s">
        <v>23</v>
      </c>
      <c r="E33" s="3" t="s">
        <v>142</v>
      </c>
      <c r="F33" s="3" t="s">
        <v>142</v>
      </c>
      <c r="G33" s="3" t="s">
        <v>67</v>
      </c>
      <c r="H33" s="5">
        <v>14600</v>
      </c>
      <c r="I33" s="3">
        <v>0</v>
      </c>
      <c r="J33" s="3">
        <v>0</v>
      </c>
      <c r="K33" s="3">
        <v>0</v>
      </c>
      <c r="L33" s="3">
        <v>0</v>
      </c>
      <c r="M33" s="5">
        <v>14600</v>
      </c>
      <c r="N33" s="5">
        <v>4380</v>
      </c>
      <c r="O33" s="3">
        <v>0</v>
      </c>
      <c r="P33" s="3">
        <v>0</v>
      </c>
      <c r="Q33" s="3">
        <v>0</v>
      </c>
      <c r="R33" s="3">
        <v>0</v>
      </c>
      <c r="S33" s="5">
        <v>4380</v>
      </c>
      <c r="T33" s="5">
        <v>10220</v>
      </c>
    </row>
    <row r="34" spans="1:20" x14ac:dyDescent="0.4">
      <c r="A34" s="3">
        <v>2022.01</v>
      </c>
      <c r="B34" s="3">
        <v>2022.02</v>
      </c>
      <c r="C34" s="3" t="s">
        <v>83</v>
      </c>
      <c r="D34" s="4" t="s">
        <v>84</v>
      </c>
      <c r="E34" s="3" t="s">
        <v>142</v>
      </c>
      <c r="F34" s="3" t="s">
        <v>142</v>
      </c>
      <c r="G34" s="3" t="s">
        <v>139</v>
      </c>
      <c r="H34" s="5">
        <v>2500</v>
      </c>
      <c r="I34" s="3">
        <v>0</v>
      </c>
      <c r="J34" s="3">
        <v>0</v>
      </c>
      <c r="K34" s="3">
        <v>0</v>
      </c>
      <c r="L34" s="3">
        <v>0</v>
      </c>
      <c r="M34" s="5">
        <v>2500</v>
      </c>
      <c r="N34" s="3">
        <v>750</v>
      </c>
      <c r="O34" s="3">
        <v>0</v>
      </c>
      <c r="P34" s="3">
        <v>0</v>
      </c>
      <c r="Q34" s="3">
        <v>0</v>
      </c>
      <c r="R34" s="3">
        <v>0</v>
      </c>
      <c r="S34" s="3">
        <v>750</v>
      </c>
      <c r="T34" s="5">
        <v>1750</v>
      </c>
    </row>
    <row r="35" spans="1:20" x14ac:dyDescent="0.4">
      <c r="A35" s="3">
        <v>2022.01</v>
      </c>
      <c r="B35" s="3">
        <v>2022.02</v>
      </c>
      <c r="C35" s="3" t="s">
        <v>32</v>
      </c>
      <c r="D35" s="4" t="s">
        <v>33</v>
      </c>
      <c r="E35" s="3" t="s">
        <v>142</v>
      </c>
      <c r="F35" s="3" t="s">
        <v>142</v>
      </c>
      <c r="G35" s="3" t="s">
        <v>69</v>
      </c>
      <c r="H35" s="5">
        <v>89400</v>
      </c>
      <c r="I35" s="3">
        <v>100</v>
      </c>
      <c r="J35" s="5">
        <v>13200</v>
      </c>
      <c r="K35" s="3">
        <v>200</v>
      </c>
      <c r="L35" s="3">
        <v>0</v>
      </c>
      <c r="M35" s="5">
        <v>75900</v>
      </c>
      <c r="N35" s="5">
        <v>26840</v>
      </c>
      <c r="O35" s="3">
        <v>30</v>
      </c>
      <c r="P35" s="5">
        <v>3960</v>
      </c>
      <c r="Q35" s="3">
        <v>80</v>
      </c>
      <c r="R35" s="3">
        <v>0</v>
      </c>
      <c r="S35" s="5">
        <v>22770</v>
      </c>
      <c r="T35" s="5">
        <v>62560</v>
      </c>
    </row>
    <row r="36" spans="1:20" x14ac:dyDescent="0.4">
      <c r="A36" s="3">
        <v>2022.01</v>
      </c>
      <c r="B36" s="3">
        <v>2022.02</v>
      </c>
      <c r="C36" s="3" t="s">
        <v>78</v>
      </c>
      <c r="D36" s="4" t="s">
        <v>79</v>
      </c>
      <c r="E36" s="3" t="s">
        <v>142</v>
      </c>
      <c r="F36" s="3" t="s">
        <v>142</v>
      </c>
      <c r="G36" s="3" t="s">
        <v>80</v>
      </c>
      <c r="H36" s="5">
        <v>8700</v>
      </c>
      <c r="I36" s="3">
        <v>0</v>
      </c>
      <c r="J36" s="3">
        <v>0</v>
      </c>
      <c r="K36" s="3">
        <v>0</v>
      </c>
      <c r="L36" s="3">
        <v>0</v>
      </c>
      <c r="M36" s="5">
        <v>8700</v>
      </c>
      <c r="N36" s="5">
        <v>2610</v>
      </c>
      <c r="O36" s="3">
        <v>0</v>
      </c>
      <c r="P36" s="3">
        <v>0</v>
      </c>
      <c r="Q36" s="3">
        <v>0</v>
      </c>
      <c r="R36" s="3">
        <v>0</v>
      </c>
      <c r="S36" s="5">
        <v>2610</v>
      </c>
      <c r="T36" s="5">
        <v>6090</v>
      </c>
    </row>
    <row r="37" spans="1:20" x14ac:dyDescent="0.4">
      <c r="A37" s="3">
        <v>2022.01</v>
      </c>
      <c r="B37" s="3">
        <v>2022.02</v>
      </c>
      <c r="C37" s="3" t="s">
        <v>36</v>
      </c>
      <c r="D37" s="4" t="s">
        <v>37</v>
      </c>
      <c r="E37" s="3" t="s">
        <v>142</v>
      </c>
      <c r="F37" s="3" t="s">
        <v>142</v>
      </c>
      <c r="G37" s="3" t="s">
        <v>38</v>
      </c>
      <c r="H37" s="5">
        <v>1000</v>
      </c>
      <c r="I37" s="3">
        <v>0</v>
      </c>
      <c r="J37" s="3">
        <v>0</v>
      </c>
      <c r="K37" s="3">
        <v>0</v>
      </c>
      <c r="L37" s="3">
        <v>0</v>
      </c>
      <c r="M37" s="5">
        <v>1000</v>
      </c>
      <c r="N37" s="3">
        <v>300</v>
      </c>
      <c r="O37" s="3">
        <v>0</v>
      </c>
      <c r="P37" s="3">
        <v>0</v>
      </c>
      <c r="Q37" s="3">
        <v>0</v>
      </c>
      <c r="R37" s="3">
        <v>0</v>
      </c>
      <c r="S37" s="3">
        <v>300</v>
      </c>
      <c r="T37" s="3">
        <v>700</v>
      </c>
    </row>
    <row r="38" spans="1:20" x14ac:dyDescent="0.4">
      <c r="A38" s="3">
        <v>2022.01</v>
      </c>
      <c r="B38" s="3">
        <v>2022.02</v>
      </c>
      <c r="C38" s="3" t="s">
        <v>24</v>
      </c>
      <c r="D38" s="4" t="s">
        <v>25</v>
      </c>
      <c r="E38" s="3" t="s">
        <v>142</v>
      </c>
      <c r="F38" s="3" t="s">
        <v>142</v>
      </c>
      <c r="G38" s="3" t="s">
        <v>68</v>
      </c>
      <c r="H38" s="5">
        <v>3000</v>
      </c>
      <c r="I38" s="3">
        <v>0</v>
      </c>
      <c r="J38" s="3">
        <v>0</v>
      </c>
      <c r="K38" s="3">
        <v>0</v>
      </c>
      <c r="L38" s="3">
        <v>0</v>
      </c>
      <c r="M38" s="5">
        <v>3000</v>
      </c>
      <c r="N38" s="3">
        <v>900</v>
      </c>
      <c r="O38" s="3">
        <v>0</v>
      </c>
      <c r="P38" s="3">
        <v>0</v>
      </c>
      <c r="Q38" s="3">
        <v>0</v>
      </c>
      <c r="R38" s="3">
        <v>0</v>
      </c>
      <c r="S38" s="3">
        <v>900</v>
      </c>
      <c r="T38" s="5">
        <v>2100</v>
      </c>
    </row>
    <row r="39" spans="1:20" x14ac:dyDescent="0.4">
      <c r="A39" s="3">
        <v>2022.01</v>
      </c>
      <c r="B39" s="3">
        <v>2022.02</v>
      </c>
      <c r="C39" s="3" t="s">
        <v>81</v>
      </c>
      <c r="D39" s="4" t="s">
        <v>82</v>
      </c>
      <c r="E39" s="3" t="s">
        <v>142</v>
      </c>
      <c r="F39" s="3" t="s">
        <v>142</v>
      </c>
      <c r="G39" s="3" t="s">
        <v>143</v>
      </c>
      <c r="H39" s="3">
        <v>100</v>
      </c>
      <c r="I39" s="3">
        <v>0</v>
      </c>
      <c r="J39" s="3">
        <v>0</v>
      </c>
      <c r="K39" s="3">
        <v>0</v>
      </c>
      <c r="L39" s="3">
        <v>0</v>
      </c>
      <c r="M39" s="3">
        <v>100</v>
      </c>
      <c r="N39" s="3">
        <v>30</v>
      </c>
      <c r="O39" s="3">
        <v>0</v>
      </c>
      <c r="P39" s="3">
        <v>0</v>
      </c>
      <c r="Q39" s="3">
        <v>0</v>
      </c>
      <c r="R39" s="3">
        <v>0</v>
      </c>
      <c r="S39" s="3">
        <v>30</v>
      </c>
      <c r="T39" s="3">
        <v>70</v>
      </c>
    </row>
    <row r="40" spans="1:20" x14ac:dyDescent="0.4">
      <c r="A40" s="3">
        <v>2022.01</v>
      </c>
      <c r="B40" s="3">
        <v>2022.02</v>
      </c>
      <c r="C40" s="3" t="s">
        <v>87</v>
      </c>
      <c r="D40" s="4" t="s">
        <v>88</v>
      </c>
      <c r="E40" s="3" t="s">
        <v>142</v>
      </c>
      <c r="F40" s="3" t="s">
        <v>142</v>
      </c>
      <c r="G40" s="3" t="s">
        <v>89</v>
      </c>
      <c r="H40" s="5">
        <v>3000</v>
      </c>
      <c r="I40" s="3">
        <v>0</v>
      </c>
      <c r="J40" s="3">
        <v>0</v>
      </c>
      <c r="K40" s="3">
        <v>0</v>
      </c>
      <c r="L40" s="3">
        <v>0</v>
      </c>
      <c r="M40" s="5">
        <v>3000</v>
      </c>
      <c r="N40" s="3">
        <v>900</v>
      </c>
      <c r="O40" s="3">
        <v>0</v>
      </c>
      <c r="P40" s="3">
        <v>0</v>
      </c>
      <c r="Q40" s="3">
        <v>0</v>
      </c>
      <c r="R40" s="3">
        <v>0</v>
      </c>
      <c r="S40" s="3">
        <v>900</v>
      </c>
      <c r="T40" s="5">
        <v>2100</v>
      </c>
    </row>
    <row r="41" spans="1:20" x14ac:dyDescent="0.4">
      <c r="A41" s="3">
        <v>2022.01</v>
      </c>
      <c r="B41" s="3">
        <v>2022.02</v>
      </c>
      <c r="C41" s="3" t="s">
        <v>39</v>
      </c>
      <c r="D41" s="4" t="s">
        <v>40</v>
      </c>
      <c r="E41" s="3" t="s">
        <v>142</v>
      </c>
      <c r="F41" s="3" t="s">
        <v>144</v>
      </c>
      <c r="G41" s="3" t="s">
        <v>41</v>
      </c>
      <c r="H41" s="5">
        <v>52400</v>
      </c>
      <c r="I41" s="3">
        <v>0</v>
      </c>
      <c r="J41" s="5">
        <v>28800</v>
      </c>
      <c r="K41" s="3">
        <v>0</v>
      </c>
      <c r="L41" s="3">
        <v>0</v>
      </c>
      <c r="M41" s="5">
        <v>23600</v>
      </c>
      <c r="N41" s="5">
        <v>15720</v>
      </c>
      <c r="O41" s="3">
        <v>0</v>
      </c>
      <c r="P41" s="5">
        <v>8640</v>
      </c>
      <c r="Q41" s="3">
        <v>0</v>
      </c>
      <c r="R41" s="3">
        <v>0</v>
      </c>
      <c r="S41" s="5">
        <v>7080</v>
      </c>
      <c r="T41" s="5">
        <v>36680</v>
      </c>
    </row>
    <row r="42" spans="1:20" ht="31.2" x14ac:dyDescent="0.4">
      <c r="A42" s="3">
        <v>2022.01</v>
      </c>
      <c r="B42" s="3">
        <v>2022.02</v>
      </c>
      <c r="C42" s="3" t="s">
        <v>93</v>
      </c>
      <c r="D42" s="4" t="s">
        <v>94</v>
      </c>
      <c r="E42" s="3" t="s">
        <v>142</v>
      </c>
      <c r="F42" s="3" t="s">
        <v>144</v>
      </c>
      <c r="G42" s="3" t="s">
        <v>95</v>
      </c>
      <c r="H42" s="5">
        <v>17000</v>
      </c>
      <c r="I42" s="3">
        <v>600</v>
      </c>
      <c r="J42" s="5">
        <v>5600</v>
      </c>
      <c r="K42" s="3">
        <v>0</v>
      </c>
      <c r="L42" s="3">
        <v>0</v>
      </c>
      <c r="M42" s="5">
        <v>10800</v>
      </c>
      <c r="N42" s="5">
        <v>5100</v>
      </c>
      <c r="O42" s="3">
        <v>180</v>
      </c>
      <c r="P42" s="5">
        <v>1680</v>
      </c>
      <c r="Q42" s="3">
        <v>0</v>
      </c>
      <c r="R42" s="3">
        <v>0</v>
      </c>
      <c r="S42" s="5">
        <v>3240</v>
      </c>
      <c r="T42" s="5">
        <v>11900</v>
      </c>
    </row>
    <row r="43" spans="1:20" x14ac:dyDescent="0.4">
      <c r="A43" s="3">
        <v>2022.01</v>
      </c>
      <c r="B43" s="3">
        <v>2022.02</v>
      </c>
      <c r="C43" s="3" t="s">
        <v>96</v>
      </c>
      <c r="D43" s="4" t="s">
        <v>97</v>
      </c>
      <c r="E43" s="3" t="s">
        <v>142</v>
      </c>
      <c r="F43" s="3" t="s">
        <v>144</v>
      </c>
      <c r="G43" s="3" t="s">
        <v>98</v>
      </c>
      <c r="H43" s="5">
        <v>2000</v>
      </c>
      <c r="I43" s="3">
        <v>0</v>
      </c>
      <c r="J43" s="5">
        <v>2000</v>
      </c>
      <c r="K43" s="3">
        <v>0</v>
      </c>
      <c r="L43" s="3">
        <v>0</v>
      </c>
      <c r="M43" s="3">
        <v>0</v>
      </c>
      <c r="N43" s="3">
        <v>600</v>
      </c>
      <c r="O43" s="3">
        <v>0</v>
      </c>
      <c r="P43" s="3">
        <v>600</v>
      </c>
      <c r="Q43" s="3">
        <v>0</v>
      </c>
      <c r="R43" s="3">
        <v>0</v>
      </c>
      <c r="S43" s="3">
        <v>0</v>
      </c>
      <c r="T43" s="5">
        <v>1400</v>
      </c>
    </row>
    <row r="44" spans="1:20" x14ac:dyDescent="0.4">
      <c r="A44" s="3">
        <v>2022.01</v>
      </c>
      <c r="B44" s="3">
        <v>2022.02</v>
      </c>
      <c r="C44" s="3" t="s">
        <v>99</v>
      </c>
      <c r="D44" s="4" t="s">
        <v>100</v>
      </c>
      <c r="E44" s="3" t="s">
        <v>142</v>
      </c>
      <c r="F44" s="3" t="s">
        <v>144</v>
      </c>
      <c r="G44" s="3" t="s">
        <v>48</v>
      </c>
      <c r="H44" s="5">
        <v>1200</v>
      </c>
      <c r="I44" s="3">
        <v>0</v>
      </c>
      <c r="J44" s="3">
        <v>0</v>
      </c>
      <c r="K44" s="3">
        <v>0</v>
      </c>
      <c r="L44" s="3">
        <v>0</v>
      </c>
      <c r="M44" s="5">
        <v>1200</v>
      </c>
      <c r="N44" s="3">
        <v>360</v>
      </c>
      <c r="O44" s="3">
        <v>0</v>
      </c>
      <c r="P44" s="3">
        <v>0</v>
      </c>
      <c r="Q44" s="3">
        <v>0</v>
      </c>
      <c r="R44" s="3">
        <v>0</v>
      </c>
      <c r="S44" s="3">
        <v>360</v>
      </c>
      <c r="T44" s="3">
        <v>840</v>
      </c>
    </row>
    <row r="45" spans="1:20" x14ac:dyDescent="0.4">
      <c r="A45" s="3">
        <v>2022.01</v>
      </c>
      <c r="B45" s="3">
        <v>2022.02</v>
      </c>
      <c r="C45" s="3" t="s">
        <v>46</v>
      </c>
      <c r="D45" s="4" t="s">
        <v>47</v>
      </c>
      <c r="E45" s="3" t="s">
        <v>142</v>
      </c>
      <c r="F45" s="3" t="s">
        <v>144</v>
      </c>
      <c r="G45" s="3" t="s">
        <v>48</v>
      </c>
      <c r="H45" s="5">
        <v>2200</v>
      </c>
      <c r="I45" s="3">
        <v>0</v>
      </c>
      <c r="J45" s="3">
        <v>0</v>
      </c>
      <c r="K45" s="3">
        <v>0</v>
      </c>
      <c r="L45" s="3">
        <v>0</v>
      </c>
      <c r="M45" s="5">
        <v>2200</v>
      </c>
      <c r="N45" s="3">
        <v>660</v>
      </c>
      <c r="O45" s="3">
        <v>0</v>
      </c>
      <c r="P45" s="3">
        <v>0</v>
      </c>
      <c r="Q45" s="3">
        <v>0</v>
      </c>
      <c r="R45" s="3">
        <v>0</v>
      </c>
      <c r="S45" s="3">
        <v>660</v>
      </c>
      <c r="T45" s="5">
        <v>1540</v>
      </c>
    </row>
    <row r="46" spans="1:20" x14ac:dyDescent="0.4">
      <c r="A46" s="3">
        <v>2022.01</v>
      </c>
      <c r="B46" s="3">
        <v>2022.02</v>
      </c>
      <c r="C46" s="3" t="s">
        <v>42</v>
      </c>
      <c r="D46" s="4" t="s">
        <v>43</v>
      </c>
      <c r="E46" s="3" t="s">
        <v>142</v>
      </c>
      <c r="F46" s="3" t="s">
        <v>144</v>
      </c>
      <c r="G46" s="3" t="s">
        <v>71</v>
      </c>
      <c r="H46" s="5">
        <v>14100</v>
      </c>
      <c r="I46" s="3">
        <v>0</v>
      </c>
      <c r="J46" s="3">
        <v>0</v>
      </c>
      <c r="K46" s="3">
        <v>0</v>
      </c>
      <c r="L46" s="3">
        <v>0</v>
      </c>
      <c r="M46" s="5">
        <v>14100</v>
      </c>
      <c r="N46" s="5">
        <v>4230</v>
      </c>
      <c r="O46" s="3">
        <v>0</v>
      </c>
      <c r="P46" s="3">
        <v>0</v>
      </c>
      <c r="Q46" s="3">
        <v>0</v>
      </c>
      <c r="R46" s="3">
        <v>0</v>
      </c>
      <c r="S46" s="5">
        <v>4230</v>
      </c>
      <c r="T46" s="5">
        <v>9870</v>
      </c>
    </row>
    <row r="47" spans="1:20" x14ac:dyDescent="0.4">
      <c r="T47" s="6">
        <f>SUM(T3:T46)</f>
        <v>1258900</v>
      </c>
    </row>
  </sheetData>
  <autoFilter ref="A1:U46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showGridLines="0" workbookViewId="0">
      <selection activeCell="C20" sqref="C20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64</v>
      </c>
      <c r="D3" s="4" t="s">
        <v>65</v>
      </c>
      <c r="E3" s="3" t="s">
        <v>142</v>
      </c>
      <c r="F3" s="3" t="s">
        <v>145</v>
      </c>
      <c r="G3" s="3" t="s">
        <v>66</v>
      </c>
      <c r="H3" s="5">
        <v>12500</v>
      </c>
      <c r="I3" s="3">
        <v>0</v>
      </c>
      <c r="J3" s="5">
        <v>1600</v>
      </c>
      <c r="K3" s="3">
        <v>800</v>
      </c>
      <c r="L3" s="3">
        <v>0</v>
      </c>
      <c r="M3" s="5">
        <v>10100</v>
      </c>
      <c r="N3" s="5">
        <v>3830</v>
      </c>
      <c r="O3" s="3">
        <v>0</v>
      </c>
      <c r="P3" s="3">
        <v>480</v>
      </c>
      <c r="Q3" s="3">
        <v>320</v>
      </c>
      <c r="R3" s="3">
        <v>0</v>
      </c>
      <c r="S3" s="5">
        <v>3030</v>
      </c>
      <c r="T3" s="5">
        <v>8670</v>
      </c>
    </row>
    <row r="4" spans="1:20" x14ac:dyDescent="0.4">
      <c r="A4" s="3">
        <v>2022.01</v>
      </c>
      <c r="B4" s="3">
        <v>2022.02</v>
      </c>
      <c r="C4" s="3" t="s">
        <v>55</v>
      </c>
      <c r="D4" s="4" t="s">
        <v>56</v>
      </c>
      <c r="E4" s="3" t="s">
        <v>142</v>
      </c>
      <c r="F4" s="3" t="s">
        <v>145</v>
      </c>
      <c r="G4" s="3" t="s">
        <v>57</v>
      </c>
      <c r="H4" s="3">
        <v>400</v>
      </c>
      <c r="I4" s="3">
        <v>0</v>
      </c>
      <c r="J4" s="3">
        <v>0</v>
      </c>
      <c r="K4" s="3">
        <v>0</v>
      </c>
      <c r="L4" s="3">
        <v>0</v>
      </c>
      <c r="M4" s="3">
        <v>400</v>
      </c>
      <c r="N4" s="3">
        <v>120</v>
      </c>
      <c r="O4" s="3">
        <v>0</v>
      </c>
      <c r="P4" s="3">
        <v>0</v>
      </c>
      <c r="Q4" s="3">
        <v>0</v>
      </c>
      <c r="R4" s="3">
        <v>0</v>
      </c>
      <c r="S4" s="3">
        <v>120</v>
      </c>
      <c r="T4" s="3">
        <v>280</v>
      </c>
    </row>
    <row r="5" spans="1:20" x14ac:dyDescent="0.4">
      <c r="A5" s="3">
        <v>2022.01</v>
      </c>
      <c r="B5" s="3">
        <v>2022.02</v>
      </c>
      <c r="C5" s="3" t="s">
        <v>49</v>
      </c>
      <c r="D5" s="4" t="s">
        <v>50</v>
      </c>
      <c r="E5" s="3" t="s">
        <v>142</v>
      </c>
      <c r="F5" s="3" t="s">
        <v>145</v>
      </c>
      <c r="G5" s="3" t="s">
        <v>73</v>
      </c>
      <c r="H5" s="3">
        <v>300</v>
      </c>
      <c r="I5" s="3">
        <v>0</v>
      </c>
      <c r="J5" s="3">
        <v>0</v>
      </c>
      <c r="K5" s="3">
        <v>0</v>
      </c>
      <c r="L5" s="3">
        <v>0</v>
      </c>
      <c r="M5" s="3">
        <v>300</v>
      </c>
      <c r="N5" s="3">
        <v>90</v>
      </c>
      <c r="O5" s="3">
        <v>0</v>
      </c>
      <c r="P5" s="3">
        <v>0</v>
      </c>
      <c r="Q5" s="3">
        <v>0</v>
      </c>
      <c r="R5" s="3">
        <v>0</v>
      </c>
      <c r="S5" s="3">
        <v>90</v>
      </c>
      <c r="T5" s="3">
        <v>210</v>
      </c>
    </row>
    <row r="6" spans="1:20" x14ac:dyDescent="0.4">
      <c r="A6" s="3">
        <v>2022.01</v>
      </c>
      <c r="B6" s="3">
        <v>2022.02</v>
      </c>
      <c r="C6" s="3" t="s">
        <v>107</v>
      </c>
      <c r="D6" s="4" t="s">
        <v>108</v>
      </c>
      <c r="E6" s="3" t="s">
        <v>142</v>
      </c>
      <c r="F6" s="3" t="s">
        <v>145</v>
      </c>
      <c r="G6" s="3" t="s">
        <v>109</v>
      </c>
      <c r="H6" s="5">
        <v>32600</v>
      </c>
      <c r="I6" s="5">
        <v>9800</v>
      </c>
      <c r="J6" s="5">
        <v>7400</v>
      </c>
      <c r="K6" s="3">
        <v>0</v>
      </c>
      <c r="L6" s="3">
        <v>0</v>
      </c>
      <c r="M6" s="5">
        <v>15400</v>
      </c>
      <c r="N6" s="5">
        <v>9780</v>
      </c>
      <c r="O6" s="5">
        <v>2940</v>
      </c>
      <c r="P6" s="5">
        <v>2220</v>
      </c>
      <c r="Q6" s="3">
        <v>0</v>
      </c>
      <c r="R6" s="3">
        <v>0</v>
      </c>
      <c r="S6" s="5">
        <v>4620</v>
      </c>
      <c r="T6" s="5">
        <v>22820</v>
      </c>
    </row>
    <row r="7" spans="1:20" x14ac:dyDescent="0.4">
      <c r="A7" s="3">
        <v>2022.01</v>
      </c>
      <c r="B7" s="3">
        <v>2022.02</v>
      </c>
      <c r="C7" s="3" t="s">
        <v>58</v>
      </c>
      <c r="D7" s="4" t="s">
        <v>59</v>
      </c>
      <c r="E7" s="3" t="s">
        <v>142</v>
      </c>
      <c r="F7" s="3" t="s">
        <v>145</v>
      </c>
      <c r="G7" s="3" t="s">
        <v>60</v>
      </c>
      <c r="H7" s="5">
        <v>3600</v>
      </c>
      <c r="I7" s="3">
        <v>0</v>
      </c>
      <c r="J7" s="5">
        <v>3400</v>
      </c>
      <c r="K7" s="3">
        <v>0</v>
      </c>
      <c r="L7" s="3">
        <v>0</v>
      </c>
      <c r="M7" s="3">
        <v>200</v>
      </c>
      <c r="N7" s="5">
        <v>1080</v>
      </c>
      <c r="O7" s="3">
        <v>0</v>
      </c>
      <c r="P7" s="5">
        <v>1020</v>
      </c>
      <c r="Q7" s="3">
        <v>0</v>
      </c>
      <c r="R7" s="3">
        <v>0</v>
      </c>
      <c r="S7" s="3">
        <v>60</v>
      </c>
      <c r="T7" s="5">
        <v>2520</v>
      </c>
    </row>
    <row r="8" spans="1:20" x14ac:dyDescent="0.4">
      <c r="A8" s="3">
        <v>2022.01</v>
      </c>
      <c r="B8" s="3">
        <v>2022.02</v>
      </c>
      <c r="C8" s="3" t="s">
        <v>51</v>
      </c>
      <c r="D8" s="4" t="s">
        <v>52</v>
      </c>
      <c r="E8" s="3" t="s">
        <v>142</v>
      </c>
      <c r="F8" s="3" t="s">
        <v>145</v>
      </c>
      <c r="G8" s="3" t="s">
        <v>74</v>
      </c>
      <c r="H8" s="5">
        <v>8000</v>
      </c>
      <c r="I8" s="5">
        <v>2000</v>
      </c>
      <c r="J8" s="3">
        <v>0</v>
      </c>
      <c r="K8" s="3">
        <v>0</v>
      </c>
      <c r="L8" s="3">
        <v>0</v>
      </c>
      <c r="M8" s="5">
        <v>6000</v>
      </c>
      <c r="N8" s="5">
        <v>2400</v>
      </c>
      <c r="O8" s="3">
        <v>600</v>
      </c>
      <c r="P8" s="3">
        <v>0</v>
      </c>
      <c r="Q8" s="3">
        <v>0</v>
      </c>
      <c r="R8" s="3">
        <v>0</v>
      </c>
      <c r="S8" s="5">
        <v>1800</v>
      </c>
      <c r="T8" s="5">
        <v>5600</v>
      </c>
    </row>
    <row r="9" spans="1:20" x14ac:dyDescent="0.4">
      <c r="A9" s="3">
        <v>2022.01</v>
      </c>
      <c r="B9" s="3">
        <v>2022.02</v>
      </c>
      <c r="C9" s="3" t="s">
        <v>53</v>
      </c>
      <c r="D9" s="4" t="s">
        <v>54</v>
      </c>
      <c r="E9" s="3" t="s">
        <v>142</v>
      </c>
      <c r="F9" s="3" t="s">
        <v>145</v>
      </c>
      <c r="G9" s="3" t="s">
        <v>74</v>
      </c>
      <c r="H9" s="5">
        <v>1000</v>
      </c>
      <c r="I9" s="3">
        <v>0</v>
      </c>
      <c r="J9" s="3">
        <v>0</v>
      </c>
      <c r="K9" s="3">
        <v>0</v>
      </c>
      <c r="L9" s="3">
        <v>0</v>
      </c>
      <c r="M9" s="5">
        <v>1000</v>
      </c>
      <c r="N9" s="3">
        <v>300</v>
      </c>
      <c r="O9" s="3">
        <v>0</v>
      </c>
      <c r="P9" s="3">
        <v>0</v>
      </c>
      <c r="Q9" s="3">
        <v>0</v>
      </c>
      <c r="R9" s="3">
        <v>0</v>
      </c>
      <c r="S9" s="3">
        <v>300</v>
      </c>
      <c r="T9" s="3">
        <v>700</v>
      </c>
    </row>
    <row r="10" spans="1:20" x14ac:dyDescent="0.4">
      <c r="A10" s="3">
        <v>2022.01</v>
      </c>
      <c r="B10" s="3">
        <v>2022.02</v>
      </c>
      <c r="C10" s="3" t="s">
        <v>137</v>
      </c>
      <c r="D10" s="4" t="s">
        <v>138</v>
      </c>
      <c r="E10" s="3" t="s">
        <v>142</v>
      </c>
      <c r="F10" s="3" t="s">
        <v>145</v>
      </c>
      <c r="G10" s="3" t="s">
        <v>141</v>
      </c>
      <c r="H10" s="5">
        <v>6800</v>
      </c>
      <c r="I10" s="3">
        <v>0</v>
      </c>
      <c r="J10" s="5">
        <v>6600</v>
      </c>
      <c r="K10" s="3">
        <v>0</v>
      </c>
      <c r="L10" s="3">
        <v>0</v>
      </c>
      <c r="M10" s="3">
        <v>200</v>
      </c>
      <c r="N10" s="5">
        <v>2040</v>
      </c>
      <c r="O10" s="3">
        <v>0</v>
      </c>
      <c r="P10" s="5">
        <v>1980</v>
      </c>
      <c r="Q10" s="3">
        <v>0</v>
      </c>
      <c r="R10" s="3">
        <v>0</v>
      </c>
      <c r="S10" s="3">
        <v>60</v>
      </c>
      <c r="T10" s="5">
        <v>4760</v>
      </c>
    </row>
    <row r="11" spans="1:20" x14ac:dyDescent="0.4">
      <c r="A11" s="3">
        <v>2022.01</v>
      </c>
      <c r="B11" s="3">
        <v>2022.02</v>
      </c>
      <c r="C11" s="3" t="s">
        <v>44</v>
      </c>
      <c r="D11" s="4" t="s">
        <v>45</v>
      </c>
      <c r="E11" s="3" t="s">
        <v>142</v>
      </c>
      <c r="F11" s="3" t="s">
        <v>145</v>
      </c>
      <c r="G11" s="3" t="s">
        <v>72</v>
      </c>
      <c r="H11" s="5">
        <v>18000</v>
      </c>
      <c r="I11" s="3">
        <v>0</v>
      </c>
      <c r="J11" s="3">
        <v>0</v>
      </c>
      <c r="K11" s="3">
        <v>0</v>
      </c>
      <c r="L11" s="3">
        <v>0</v>
      </c>
      <c r="M11" s="5">
        <v>18000</v>
      </c>
      <c r="N11" s="5">
        <v>5400</v>
      </c>
      <c r="O11" s="3">
        <v>0</v>
      </c>
      <c r="P11" s="3">
        <v>0</v>
      </c>
      <c r="Q11" s="3">
        <v>0</v>
      </c>
      <c r="R11" s="3">
        <v>0</v>
      </c>
      <c r="S11" s="5">
        <v>5400</v>
      </c>
      <c r="T11" s="5">
        <v>12600</v>
      </c>
    </row>
    <row r="12" spans="1:20" x14ac:dyDescent="0.4">
      <c r="A12" s="3">
        <v>2022.01</v>
      </c>
      <c r="B12" s="3">
        <v>2022.02</v>
      </c>
      <c r="C12" s="3" t="s">
        <v>134</v>
      </c>
      <c r="D12" s="4" t="s">
        <v>135</v>
      </c>
      <c r="E12" s="3" t="s">
        <v>142</v>
      </c>
      <c r="F12" s="3" t="s">
        <v>145</v>
      </c>
      <c r="G12" s="3" t="s">
        <v>136</v>
      </c>
      <c r="H12" s="5">
        <v>6900</v>
      </c>
      <c r="I12" s="3">
        <v>0</v>
      </c>
      <c r="J12" s="5">
        <v>6400</v>
      </c>
      <c r="K12" s="3">
        <v>0</v>
      </c>
      <c r="L12" s="3">
        <v>0</v>
      </c>
      <c r="M12" s="3">
        <v>500</v>
      </c>
      <c r="N12" s="5">
        <v>2070</v>
      </c>
      <c r="O12" s="3">
        <v>0</v>
      </c>
      <c r="P12" s="5">
        <v>1920</v>
      </c>
      <c r="Q12" s="3">
        <v>0</v>
      </c>
      <c r="R12" s="3">
        <v>0</v>
      </c>
      <c r="S12" s="3">
        <v>150</v>
      </c>
      <c r="T12" s="5">
        <v>4830</v>
      </c>
    </row>
    <row r="13" spans="1:20" x14ac:dyDescent="0.4">
      <c r="A13" s="3">
        <v>2022.01</v>
      </c>
      <c r="B13" s="3">
        <v>2022.02</v>
      </c>
      <c r="C13" s="3" t="s">
        <v>61</v>
      </c>
      <c r="D13" s="4" t="s">
        <v>62</v>
      </c>
      <c r="E13" s="3" t="s">
        <v>142</v>
      </c>
      <c r="F13" s="3" t="s">
        <v>145</v>
      </c>
      <c r="G13" s="3" t="s">
        <v>63</v>
      </c>
      <c r="H13" s="5">
        <v>12800</v>
      </c>
      <c r="I13" s="3">
        <v>0</v>
      </c>
      <c r="J13" s="5">
        <v>6600</v>
      </c>
      <c r="K13" s="3">
        <v>0</v>
      </c>
      <c r="L13" s="3">
        <v>0</v>
      </c>
      <c r="M13" s="5">
        <v>6200</v>
      </c>
      <c r="N13" s="5">
        <v>3840</v>
      </c>
      <c r="O13" s="3">
        <v>0</v>
      </c>
      <c r="P13" s="5">
        <v>1980</v>
      </c>
      <c r="Q13" s="3">
        <v>0</v>
      </c>
      <c r="R13" s="3">
        <v>0</v>
      </c>
      <c r="S13" s="5">
        <v>1860</v>
      </c>
      <c r="T13" s="5">
        <v>8960</v>
      </c>
    </row>
    <row r="14" spans="1:20" ht="31.2" x14ac:dyDescent="0.4">
      <c r="A14" s="3">
        <v>2022.01</v>
      </c>
      <c r="B14" s="3">
        <v>2022.02</v>
      </c>
      <c r="C14" s="3" t="s">
        <v>101</v>
      </c>
      <c r="D14" s="4" t="s">
        <v>102</v>
      </c>
      <c r="E14" s="3" t="s">
        <v>142</v>
      </c>
      <c r="F14" s="3" t="s">
        <v>145</v>
      </c>
      <c r="G14" s="3" t="s">
        <v>103</v>
      </c>
      <c r="H14" s="5">
        <v>4600</v>
      </c>
      <c r="I14" s="3">
        <v>0</v>
      </c>
      <c r="J14" s="5">
        <v>4100</v>
      </c>
      <c r="K14" s="3">
        <v>0</v>
      </c>
      <c r="L14" s="3">
        <v>0</v>
      </c>
      <c r="M14" s="3">
        <v>500</v>
      </c>
      <c r="N14" s="5">
        <v>1380</v>
      </c>
      <c r="O14" s="3">
        <v>0</v>
      </c>
      <c r="P14" s="5">
        <v>1230</v>
      </c>
      <c r="Q14" s="3">
        <v>0</v>
      </c>
      <c r="R14" s="3">
        <v>0</v>
      </c>
      <c r="S14" s="3">
        <v>150</v>
      </c>
      <c r="T14" s="5">
        <v>3220</v>
      </c>
    </row>
    <row r="15" spans="1:20" x14ac:dyDescent="0.4">
      <c r="A15" s="3">
        <v>2022.01</v>
      </c>
      <c r="B15" s="3">
        <v>2022.02</v>
      </c>
      <c r="C15" s="3" t="s">
        <v>104</v>
      </c>
      <c r="D15" s="4" t="s">
        <v>105</v>
      </c>
      <c r="E15" s="3" t="s">
        <v>142</v>
      </c>
      <c r="F15" s="3" t="s">
        <v>145</v>
      </c>
      <c r="G15" s="3" t="s">
        <v>106</v>
      </c>
      <c r="H15" s="5">
        <v>1300</v>
      </c>
      <c r="I15" s="3">
        <v>0</v>
      </c>
      <c r="J15" s="5">
        <v>1300</v>
      </c>
      <c r="K15" s="3">
        <v>0</v>
      </c>
      <c r="L15" s="3">
        <v>0</v>
      </c>
      <c r="M15" s="3">
        <v>0</v>
      </c>
      <c r="N15" s="3">
        <v>390</v>
      </c>
      <c r="O15" s="3">
        <v>0</v>
      </c>
      <c r="P15" s="3">
        <v>390</v>
      </c>
      <c r="Q15" s="3">
        <v>0</v>
      </c>
      <c r="R15" s="3">
        <v>0</v>
      </c>
      <c r="S15" s="3">
        <v>0</v>
      </c>
      <c r="T15" s="3">
        <v>910</v>
      </c>
    </row>
    <row r="16" spans="1:20" x14ac:dyDescent="0.4">
      <c r="T16" s="6">
        <f>SUM(T3:T15)</f>
        <v>76080</v>
      </c>
    </row>
  </sheetData>
  <autoFilter ref="A1:U15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showGridLines="0" tabSelected="1" workbookViewId="0">
      <selection activeCell="C18" sqref="C18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110</v>
      </c>
      <c r="D3" s="4" t="s">
        <v>111</v>
      </c>
      <c r="E3" s="3" t="s">
        <v>142</v>
      </c>
      <c r="F3" s="3" t="s">
        <v>146</v>
      </c>
      <c r="G3" s="3" t="s">
        <v>112</v>
      </c>
      <c r="H3" s="5">
        <v>8000</v>
      </c>
      <c r="I3" s="3">
        <v>0</v>
      </c>
      <c r="J3" s="5">
        <v>2500</v>
      </c>
      <c r="K3" s="3">
        <v>0</v>
      </c>
      <c r="L3" s="3">
        <v>0</v>
      </c>
      <c r="M3" s="5">
        <v>5500</v>
      </c>
      <c r="N3" s="5">
        <v>2400</v>
      </c>
      <c r="O3" s="3">
        <v>0</v>
      </c>
      <c r="P3" s="3">
        <v>750</v>
      </c>
      <c r="Q3" s="3">
        <v>0</v>
      </c>
      <c r="R3" s="3">
        <v>0</v>
      </c>
      <c r="S3" s="5">
        <v>1650</v>
      </c>
      <c r="T3" s="5">
        <v>5600</v>
      </c>
    </row>
    <row r="4" spans="1:20" x14ac:dyDescent="0.4">
      <c r="A4" s="3">
        <v>2022.01</v>
      </c>
      <c r="B4" s="3">
        <v>2022.02</v>
      </c>
      <c r="C4" s="3" t="s">
        <v>119</v>
      </c>
      <c r="D4" s="4" t="s">
        <v>120</v>
      </c>
      <c r="E4" s="3" t="s">
        <v>142</v>
      </c>
      <c r="F4" s="3" t="s">
        <v>146</v>
      </c>
      <c r="G4" s="3" t="s">
        <v>121</v>
      </c>
      <c r="H4" s="5">
        <v>12700</v>
      </c>
      <c r="I4" s="3">
        <v>700</v>
      </c>
      <c r="J4" s="5">
        <v>2000</v>
      </c>
      <c r="K4" s="3">
        <v>0</v>
      </c>
      <c r="L4" s="3">
        <v>0</v>
      </c>
      <c r="M4" s="5">
        <v>10000</v>
      </c>
      <c r="N4" s="5">
        <v>3810</v>
      </c>
      <c r="O4" s="3">
        <v>210</v>
      </c>
      <c r="P4" s="3">
        <v>600</v>
      </c>
      <c r="Q4" s="3">
        <v>0</v>
      </c>
      <c r="R4" s="3">
        <v>0</v>
      </c>
      <c r="S4" s="5">
        <v>3000</v>
      </c>
      <c r="T4" s="5">
        <v>8890</v>
      </c>
    </row>
    <row r="5" spans="1:20" x14ac:dyDescent="0.4">
      <c r="A5" s="3">
        <v>2022.01</v>
      </c>
      <c r="B5" s="3">
        <v>2022.02</v>
      </c>
      <c r="C5" s="3" t="s">
        <v>128</v>
      </c>
      <c r="D5" s="4" t="s">
        <v>129</v>
      </c>
      <c r="E5" s="3" t="s">
        <v>142</v>
      </c>
      <c r="F5" s="3" t="s">
        <v>146</v>
      </c>
      <c r="G5" s="3" t="s">
        <v>130</v>
      </c>
      <c r="H5" s="5">
        <v>5700</v>
      </c>
      <c r="I5" s="3">
        <v>0</v>
      </c>
      <c r="J5" s="5">
        <v>1900</v>
      </c>
      <c r="K5" s="3">
        <v>0</v>
      </c>
      <c r="L5" s="3">
        <v>0</v>
      </c>
      <c r="M5" s="5">
        <v>3800</v>
      </c>
      <c r="N5" s="5">
        <v>1710</v>
      </c>
      <c r="O5" s="3">
        <v>0</v>
      </c>
      <c r="P5" s="3">
        <v>570</v>
      </c>
      <c r="Q5" s="3">
        <v>0</v>
      </c>
      <c r="R5" s="3">
        <v>0</v>
      </c>
      <c r="S5" s="5">
        <v>1140</v>
      </c>
      <c r="T5" s="5">
        <v>3990</v>
      </c>
    </row>
    <row r="6" spans="1:20" x14ac:dyDescent="0.4">
      <c r="A6" s="3">
        <v>2022.01</v>
      </c>
      <c r="B6" s="3">
        <v>2022.02</v>
      </c>
      <c r="C6" s="3" t="s">
        <v>113</v>
      </c>
      <c r="D6" s="4" t="s">
        <v>114</v>
      </c>
      <c r="E6" s="3" t="s">
        <v>142</v>
      </c>
      <c r="F6" s="3" t="s">
        <v>146</v>
      </c>
      <c r="G6" s="3" t="s">
        <v>115</v>
      </c>
      <c r="H6" s="5">
        <v>24600</v>
      </c>
      <c r="I6" s="3">
        <v>0</v>
      </c>
      <c r="J6" s="5">
        <v>11600</v>
      </c>
      <c r="K6" s="3">
        <v>0</v>
      </c>
      <c r="L6" s="3">
        <v>0</v>
      </c>
      <c r="M6" s="5">
        <v>13000</v>
      </c>
      <c r="N6" s="5">
        <v>7380</v>
      </c>
      <c r="O6" s="3">
        <v>0</v>
      </c>
      <c r="P6" s="5">
        <v>3480</v>
      </c>
      <c r="Q6" s="3">
        <v>0</v>
      </c>
      <c r="R6" s="3">
        <v>0</v>
      </c>
      <c r="S6" s="5">
        <v>3900</v>
      </c>
      <c r="T6" s="5">
        <v>17220</v>
      </c>
    </row>
    <row r="7" spans="1:20" x14ac:dyDescent="0.4">
      <c r="A7" s="3">
        <v>2022.01</v>
      </c>
      <c r="B7" s="3">
        <v>2022.02</v>
      </c>
      <c r="C7" s="3" t="s">
        <v>122</v>
      </c>
      <c r="D7" s="4" t="s">
        <v>123</v>
      </c>
      <c r="E7" s="3" t="s">
        <v>142</v>
      </c>
      <c r="F7" s="3" t="s">
        <v>146</v>
      </c>
      <c r="G7" s="3" t="s">
        <v>124</v>
      </c>
      <c r="H7" s="5">
        <v>2200</v>
      </c>
      <c r="I7" s="3">
        <v>0</v>
      </c>
      <c r="J7" s="5">
        <v>1600</v>
      </c>
      <c r="K7" s="3">
        <v>0</v>
      </c>
      <c r="L7" s="3">
        <v>0</v>
      </c>
      <c r="M7" s="3">
        <v>600</v>
      </c>
      <c r="N7" s="3">
        <v>660</v>
      </c>
      <c r="O7" s="3">
        <v>0</v>
      </c>
      <c r="P7" s="3">
        <v>480</v>
      </c>
      <c r="Q7" s="3">
        <v>0</v>
      </c>
      <c r="R7" s="3">
        <v>0</v>
      </c>
      <c r="S7" s="3">
        <v>180</v>
      </c>
      <c r="T7" s="5">
        <v>1540</v>
      </c>
    </row>
    <row r="8" spans="1:20" x14ac:dyDescent="0.4">
      <c r="A8" s="3">
        <v>2022.01</v>
      </c>
      <c r="B8" s="3">
        <v>2022.02</v>
      </c>
      <c r="C8" s="3" t="s">
        <v>116</v>
      </c>
      <c r="D8" s="4" t="s">
        <v>117</v>
      </c>
      <c r="E8" s="3" t="s">
        <v>142</v>
      </c>
      <c r="F8" s="3" t="s">
        <v>146</v>
      </c>
      <c r="G8" s="3" t="s">
        <v>118</v>
      </c>
      <c r="H8" s="5">
        <v>26000</v>
      </c>
      <c r="I8" s="5">
        <v>2500</v>
      </c>
      <c r="J8" s="5">
        <v>12500</v>
      </c>
      <c r="K8" s="3">
        <v>0</v>
      </c>
      <c r="L8" s="3">
        <v>0</v>
      </c>
      <c r="M8" s="5">
        <v>11000</v>
      </c>
      <c r="N8" s="5">
        <v>7800</v>
      </c>
      <c r="O8" s="3">
        <v>750</v>
      </c>
      <c r="P8" s="5">
        <v>3750</v>
      </c>
      <c r="Q8" s="3">
        <v>0</v>
      </c>
      <c r="R8" s="3">
        <v>0</v>
      </c>
      <c r="S8" s="5">
        <v>3300</v>
      </c>
      <c r="T8" s="5">
        <v>18200</v>
      </c>
    </row>
    <row r="9" spans="1:20" x14ac:dyDescent="0.4">
      <c r="A9" s="3">
        <v>2022.01</v>
      </c>
      <c r="B9" s="3">
        <v>2022.02</v>
      </c>
      <c r="C9" s="3" t="s">
        <v>131</v>
      </c>
      <c r="D9" s="4" t="s">
        <v>132</v>
      </c>
      <c r="E9" s="3" t="s">
        <v>142</v>
      </c>
      <c r="F9" s="3" t="s">
        <v>146</v>
      </c>
      <c r="G9" s="3" t="s">
        <v>133</v>
      </c>
      <c r="H9" s="5">
        <v>5400</v>
      </c>
      <c r="I9" s="3">
        <v>0</v>
      </c>
      <c r="J9" s="3">
        <v>0</v>
      </c>
      <c r="K9" s="3">
        <v>0</v>
      </c>
      <c r="L9" s="3">
        <v>0</v>
      </c>
      <c r="M9" s="5">
        <v>5400</v>
      </c>
      <c r="N9" s="5">
        <v>1620</v>
      </c>
      <c r="O9" s="3">
        <v>0</v>
      </c>
      <c r="P9" s="3">
        <v>0</v>
      </c>
      <c r="Q9" s="3">
        <v>0</v>
      </c>
      <c r="R9" s="3">
        <v>0</v>
      </c>
      <c r="S9" s="5">
        <v>1620</v>
      </c>
      <c r="T9" s="5">
        <v>3780</v>
      </c>
    </row>
    <row r="10" spans="1:20" x14ac:dyDescent="0.4">
      <c r="A10" s="3">
        <v>2022.01</v>
      </c>
      <c r="B10" s="3">
        <v>2022.02</v>
      </c>
      <c r="C10" s="3" t="s">
        <v>125</v>
      </c>
      <c r="D10" s="4" t="s">
        <v>126</v>
      </c>
      <c r="E10" s="3" t="s">
        <v>142</v>
      </c>
      <c r="F10" s="3" t="s">
        <v>146</v>
      </c>
      <c r="G10" s="3" t="s">
        <v>127</v>
      </c>
      <c r="H10" s="5">
        <v>1800</v>
      </c>
      <c r="I10" s="3">
        <v>0</v>
      </c>
      <c r="J10" s="5">
        <v>1800</v>
      </c>
      <c r="K10" s="3">
        <v>0</v>
      </c>
      <c r="L10" s="3">
        <v>0</v>
      </c>
      <c r="M10" s="3">
        <v>0</v>
      </c>
      <c r="N10" s="3">
        <v>540</v>
      </c>
      <c r="O10" s="3">
        <v>0</v>
      </c>
      <c r="P10" s="3">
        <v>540</v>
      </c>
      <c r="Q10" s="3">
        <v>0</v>
      </c>
      <c r="R10" s="3">
        <v>0</v>
      </c>
      <c r="S10" s="3">
        <v>0</v>
      </c>
      <c r="T10" s="5">
        <v>1260</v>
      </c>
    </row>
    <row r="11" spans="1:20" x14ac:dyDescent="0.4">
      <c r="T11" s="6">
        <f>SUM(T3:T10)</f>
        <v>60480</v>
      </c>
    </row>
  </sheetData>
  <autoFilter ref="A1:U10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showGridLines="0" zoomScale="85" zoomScaleNormal="85" workbookViewId="0">
      <selection activeCell="H14" sqref="H14"/>
    </sheetView>
  </sheetViews>
  <sheetFormatPr defaultRowHeight="17.399999999999999" x14ac:dyDescent="0.4"/>
  <cols>
    <col min="1" max="2" width="7.69921875" bestFit="1" customWidth="1"/>
    <col min="3" max="3" width="26.1992187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39</v>
      </c>
      <c r="D3" s="4" t="s">
        <v>40</v>
      </c>
      <c r="E3" s="3" t="s">
        <v>142</v>
      </c>
      <c r="F3" s="3" t="s">
        <v>144</v>
      </c>
      <c r="G3" s="3" t="s">
        <v>41</v>
      </c>
      <c r="H3" s="5">
        <v>52400</v>
      </c>
      <c r="I3" s="3">
        <v>0</v>
      </c>
      <c r="J3" s="5">
        <v>28800</v>
      </c>
      <c r="K3" s="3">
        <v>0</v>
      </c>
      <c r="L3" s="3">
        <v>0</v>
      </c>
      <c r="M3" s="5">
        <v>23600</v>
      </c>
      <c r="N3" s="5">
        <v>15720</v>
      </c>
      <c r="O3" s="3">
        <v>0</v>
      </c>
      <c r="P3" s="5">
        <v>8640</v>
      </c>
      <c r="Q3" s="3">
        <v>0</v>
      </c>
      <c r="R3" s="3">
        <v>0</v>
      </c>
      <c r="S3" s="5">
        <v>7080</v>
      </c>
      <c r="T3" s="5">
        <v>36680</v>
      </c>
    </row>
    <row r="4" spans="1:20" x14ac:dyDescent="0.4">
      <c r="A4" s="3">
        <v>2022.01</v>
      </c>
      <c r="B4" s="3">
        <v>2022.02</v>
      </c>
      <c r="C4" s="3" t="s">
        <v>93</v>
      </c>
      <c r="D4" s="4" t="s">
        <v>94</v>
      </c>
      <c r="E4" s="3" t="s">
        <v>142</v>
      </c>
      <c r="F4" s="3" t="s">
        <v>144</v>
      </c>
      <c r="G4" s="3" t="s">
        <v>41</v>
      </c>
      <c r="H4" s="5">
        <v>17000</v>
      </c>
      <c r="I4" s="3">
        <v>600</v>
      </c>
      <c r="J4" s="5">
        <v>5600</v>
      </c>
      <c r="K4" s="3">
        <v>0</v>
      </c>
      <c r="L4" s="3">
        <v>0</v>
      </c>
      <c r="M4" s="5">
        <v>10800</v>
      </c>
      <c r="N4" s="5">
        <v>5100</v>
      </c>
      <c r="O4" s="3">
        <v>180</v>
      </c>
      <c r="P4" s="5">
        <v>1680</v>
      </c>
      <c r="Q4" s="3">
        <v>0</v>
      </c>
      <c r="R4" s="3">
        <v>0</v>
      </c>
      <c r="S4" s="5">
        <v>3240</v>
      </c>
      <c r="T4" s="5">
        <v>11900</v>
      </c>
    </row>
    <row r="5" spans="1:20" x14ac:dyDescent="0.4">
      <c r="A5" s="3">
        <v>2022.01</v>
      </c>
      <c r="B5" s="3">
        <v>2022.02</v>
      </c>
      <c r="C5" s="3" t="s">
        <v>96</v>
      </c>
      <c r="D5" s="4" t="s">
        <v>97</v>
      </c>
      <c r="E5" s="3" t="s">
        <v>142</v>
      </c>
      <c r="F5" s="3" t="s">
        <v>144</v>
      </c>
      <c r="G5" s="3" t="s">
        <v>98</v>
      </c>
      <c r="H5" s="5">
        <v>2000</v>
      </c>
      <c r="I5" s="3">
        <v>0</v>
      </c>
      <c r="J5" s="5">
        <v>2000</v>
      </c>
      <c r="K5" s="3">
        <v>0</v>
      </c>
      <c r="L5" s="3">
        <v>0</v>
      </c>
      <c r="M5" s="3">
        <v>0</v>
      </c>
      <c r="N5" s="3">
        <v>600</v>
      </c>
      <c r="O5" s="3">
        <v>0</v>
      </c>
      <c r="P5" s="3">
        <v>600</v>
      </c>
      <c r="Q5" s="3">
        <v>0</v>
      </c>
      <c r="R5" s="3">
        <v>0</v>
      </c>
      <c r="S5" s="3">
        <v>0</v>
      </c>
      <c r="T5" s="5">
        <v>1400</v>
      </c>
    </row>
    <row r="6" spans="1:20" x14ac:dyDescent="0.4">
      <c r="A6" s="3">
        <v>2022.01</v>
      </c>
      <c r="B6" s="3">
        <v>2022.02</v>
      </c>
      <c r="C6" s="3" t="s">
        <v>99</v>
      </c>
      <c r="D6" s="4" t="s">
        <v>100</v>
      </c>
      <c r="E6" s="3" t="s">
        <v>142</v>
      </c>
      <c r="F6" s="3" t="s">
        <v>144</v>
      </c>
      <c r="G6" s="3" t="s">
        <v>48</v>
      </c>
      <c r="H6" s="5">
        <v>1200</v>
      </c>
      <c r="I6" s="3">
        <v>0</v>
      </c>
      <c r="J6" s="3">
        <v>0</v>
      </c>
      <c r="K6" s="3">
        <v>0</v>
      </c>
      <c r="L6" s="3">
        <v>0</v>
      </c>
      <c r="M6" s="5">
        <v>1200</v>
      </c>
      <c r="N6" s="3">
        <v>360</v>
      </c>
      <c r="O6" s="3">
        <v>0</v>
      </c>
      <c r="P6" s="3">
        <v>0</v>
      </c>
      <c r="Q6" s="3">
        <v>0</v>
      </c>
      <c r="R6" s="3">
        <v>0</v>
      </c>
      <c r="S6" s="3">
        <v>360</v>
      </c>
      <c r="T6" s="3">
        <v>840</v>
      </c>
    </row>
    <row r="7" spans="1:20" x14ac:dyDescent="0.4">
      <c r="A7" s="3">
        <v>2022.01</v>
      </c>
      <c r="B7" s="3">
        <v>2022.02</v>
      </c>
      <c r="C7" s="3" t="s">
        <v>46</v>
      </c>
      <c r="D7" s="4" t="s">
        <v>47</v>
      </c>
      <c r="E7" s="3" t="s">
        <v>142</v>
      </c>
      <c r="F7" s="3" t="s">
        <v>144</v>
      </c>
      <c r="G7" s="3" t="s">
        <v>48</v>
      </c>
      <c r="H7" s="5">
        <v>2200</v>
      </c>
      <c r="I7" s="3">
        <v>0</v>
      </c>
      <c r="J7" s="3">
        <v>0</v>
      </c>
      <c r="K7" s="3">
        <v>0</v>
      </c>
      <c r="L7" s="3">
        <v>0</v>
      </c>
      <c r="M7" s="5">
        <v>2200</v>
      </c>
      <c r="N7" s="3">
        <v>660</v>
      </c>
      <c r="O7" s="3">
        <v>0</v>
      </c>
      <c r="P7" s="3">
        <v>0</v>
      </c>
      <c r="Q7" s="3">
        <v>0</v>
      </c>
      <c r="R7" s="3">
        <v>0</v>
      </c>
      <c r="S7" s="3">
        <v>660</v>
      </c>
      <c r="T7" s="5">
        <v>1540</v>
      </c>
    </row>
    <row r="8" spans="1:20" x14ac:dyDescent="0.4">
      <c r="A8" s="3">
        <v>2022.01</v>
      </c>
      <c r="B8" s="3">
        <v>2022.02</v>
      </c>
      <c r="C8" s="3" t="s">
        <v>42</v>
      </c>
      <c r="D8" s="4" t="s">
        <v>43</v>
      </c>
      <c r="E8" s="3" t="s">
        <v>142</v>
      </c>
      <c r="F8" s="3" t="s">
        <v>144</v>
      </c>
      <c r="G8" s="3" t="s">
        <v>71</v>
      </c>
      <c r="H8" s="5">
        <v>14100</v>
      </c>
      <c r="I8" s="3">
        <v>0</v>
      </c>
      <c r="J8" s="3">
        <v>0</v>
      </c>
      <c r="K8" s="3">
        <v>0</v>
      </c>
      <c r="L8" s="3">
        <v>0</v>
      </c>
      <c r="M8" s="5">
        <v>14100</v>
      </c>
      <c r="N8" s="5">
        <v>4230</v>
      </c>
      <c r="O8" s="3">
        <v>0</v>
      </c>
      <c r="P8" s="3">
        <v>0</v>
      </c>
      <c r="Q8" s="3">
        <v>0</v>
      </c>
      <c r="R8" s="3">
        <v>0</v>
      </c>
      <c r="S8" s="5">
        <v>4230</v>
      </c>
      <c r="T8" s="5">
        <v>9870</v>
      </c>
    </row>
    <row r="9" spans="1:20" x14ac:dyDescent="0.4">
      <c r="T9" s="6">
        <f>SUM(T3:T8)</f>
        <v>62230</v>
      </c>
    </row>
  </sheetData>
  <autoFilter ref="A1:U8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N19" sqref="N19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75</v>
      </c>
      <c r="D3" s="4" t="s">
        <v>76</v>
      </c>
      <c r="E3" s="3" t="s">
        <v>142</v>
      </c>
      <c r="F3" s="3" t="s">
        <v>142</v>
      </c>
      <c r="G3" s="3" t="s">
        <v>147</v>
      </c>
      <c r="H3" s="5">
        <v>3100</v>
      </c>
      <c r="I3" s="3">
        <v>0</v>
      </c>
      <c r="J3" s="3">
        <v>0</v>
      </c>
      <c r="K3" s="3">
        <v>0</v>
      </c>
      <c r="L3" s="3">
        <v>0</v>
      </c>
      <c r="M3" s="5">
        <v>3100</v>
      </c>
      <c r="N3" s="3">
        <v>930</v>
      </c>
      <c r="O3" s="3">
        <v>0</v>
      </c>
      <c r="P3" s="3">
        <v>0</v>
      </c>
      <c r="Q3" s="3">
        <v>0</v>
      </c>
      <c r="R3" s="3">
        <v>0</v>
      </c>
      <c r="S3" s="3">
        <v>930</v>
      </c>
      <c r="T3" s="5">
        <v>2170</v>
      </c>
    </row>
    <row r="4" spans="1:20" x14ac:dyDescent="0.4">
      <c r="T4" s="6">
        <f>SUM(T3:T3)</f>
        <v>2170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3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29</v>
      </c>
      <c r="D3" s="4" t="s">
        <v>30</v>
      </c>
      <c r="E3" s="3" t="s">
        <v>142</v>
      </c>
      <c r="F3" s="3" t="s">
        <v>142</v>
      </c>
      <c r="G3" s="3" t="s">
        <v>31</v>
      </c>
      <c r="H3" s="5">
        <v>212600</v>
      </c>
      <c r="I3" s="5">
        <v>58000</v>
      </c>
      <c r="J3" s="5">
        <v>80900</v>
      </c>
      <c r="K3" s="3">
        <v>0</v>
      </c>
      <c r="L3" s="3">
        <v>0</v>
      </c>
      <c r="M3" s="5">
        <v>73700</v>
      </c>
      <c r="N3" s="5">
        <v>63780</v>
      </c>
      <c r="O3" s="5">
        <v>17400</v>
      </c>
      <c r="P3" s="5">
        <v>24270</v>
      </c>
      <c r="Q3" s="3">
        <v>0</v>
      </c>
      <c r="R3" s="3">
        <v>0</v>
      </c>
      <c r="S3" s="5">
        <v>22110</v>
      </c>
      <c r="T3" s="5">
        <v>148820</v>
      </c>
    </row>
    <row r="4" spans="1:20" x14ac:dyDescent="0.4">
      <c r="T4" s="6">
        <f>SUM(T3:T3)</f>
        <v>148820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4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90</v>
      </c>
      <c r="D3" s="4" t="s">
        <v>91</v>
      </c>
      <c r="E3" s="3" t="s">
        <v>142</v>
      </c>
      <c r="F3" s="3" t="s">
        <v>142</v>
      </c>
      <c r="G3" s="3" t="s">
        <v>92</v>
      </c>
      <c r="H3" s="5">
        <v>42600</v>
      </c>
      <c r="I3" s="3">
        <v>0</v>
      </c>
      <c r="J3" s="5">
        <v>10100</v>
      </c>
      <c r="K3" s="3">
        <v>0</v>
      </c>
      <c r="L3" s="3">
        <v>0</v>
      </c>
      <c r="M3" s="5">
        <v>32500</v>
      </c>
      <c r="N3" s="5">
        <v>12780</v>
      </c>
      <c r="O3" s="3">
        <v>0</v>
      </c>
      <c r="P3" s="5">
        <v>3030</v>
      </c>
      <c r="Q3" s="3">
        <v>0</v>
      </c>
      <c r="R3" s="3">
        <v>0</v>
      </c>
      <c r="S3" s="5">
        <v>9750</v>
      </c>
      <c r="T3" s="5">
        <v>29820</v>
      </c>
    </row>
    <row r="4" spans="1:20" x14ac:dyDescent="0.4">
      <c r="T4" s="6">
        <f>SUM(T3:T3)</f>
        <v>29820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5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26</v>
      </c>
      <c r="D3" s="4" t="s">
        <v>27</v>
      </c>
      <c r="E3" s="3" t="s">
        <v>142</v>
      </c>
      <c r="F3" s="3" t="s">
        <v>142</v>
      </c>
      <c r="G3" s="3" t="s">
        <v>28</v>
      </c>
      <c r="H3" s="5">
        <v>980000</v>
      </c>
      <c r="I3" s="5">
        <v>75100</v>
      </c>
      <c r="J3" s="5">
        <v>349300</v>
      </c>
      <c r="K3" s="5">
        <v>186300</v>
      </c>
      <c r="L3" s="3">
        <v>0</v>
      </c>
      <c r="M3" s="5">
        <v>369300</v>
      </c>
      <c r="N3" s="5">
        <v>312630</v>
      </c>
      <c r="O3" s="5">
        <v>22530</v>
      </c>
      <c r="P3" s="5">
        <v>104790</v>
      </c>
      <c r="Q3" s="5">
        <v>74520</v>
      </c>
      <c r="R3" s="3">
        <v>0</v>
      </c>
      <c r="S3" s="5">
        <v>110790</v>
      </c>
      <c r="T3" s="5">
        <v>667370</v>
      </c>
    </row>
    <row r="4" spans="1:20" x14ac:dyDescent="0.4">
      <c r="T4" s="6">
        <f>SUM(T3:T3)</f>
        <v>667370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6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85</v>
      </c>
      <c r="D3" s="4" t="s">
        <v>86</v>
      </c>
      <c r="E3" s="3" t="s">
        <v>142</v>
      </c>
      <c r="F3" s="3" t="s">
        <v>142</v>
      </c>
      <c r="G3" s="3" t="s">
        <v>140</v>
      </c>
      <c r="H3" s="5">
        <v>50700</v>
      </c>
      <c r="I3" s="3">
        <v>0</v>
      </c>
      <c r="J3" s="3">
        <v>0</v>
      </c>
      <c r="K3" s="3">
        <v>0</v>
      </c>
      <c r="L3" s="3">
        <v>100</v>
      </c>
      <c r="M3" s="5">
        <v>50600</v>
      </c>
      <c r="N3" s="5">
        <v>15220</v>
      </c>
      <c r="O3" s="3">
        <v>0</v>
      </c>
      <c r="P3" s="3">
        <v>0</v>
      </c>
      <c r="Q3" s="3">
        <v>0</v>
      </c>
      <c r="R3" s="3">
        <v>40</v>
      </c>
      <c r="S3" s="5">
        <v>15180</v>
      </c>
      <c r="T3" s="5">
        <v>35480</v>
      </c>
    </row>
    <row r="4" spans="1:20" x14ac:dyDescent="0.4">
      <c r="T4" s="6">
        <f>SUM(T3:T3)</f>
        <v>35480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7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34</v>
      </c>
      <c r="D3" s="4" t="s">
        <v>35</v>
      </c>
      <c r="E3" s="3" t="s">
        <v>142</v>
      </c>
      <c r="F3" s="3" t="s">
        <v>142</v>
      </c>
      <c r="G3" s="3" t="s">
        <v>70</v>
      </c>
      <c r="H3" s="5">
        <v>7500</v>
      </c>
      <c r="I3" s="3">
        <v>0</v>
      </c>
      <c r="J3" s="3">
        <v>0</v>
      </c>
      <c r="K3" s="3">
        <v>0</v>
      </c>
      <c r="L3" s="3">
        <v>0</v>
      </c>
      <c r="M3" s="5">
        <v>7500</v>
      </c>
      <c r="N3" s="5">
        <v>2250</v>
      </c>
      <c r="O3" s="3">
        <v>0</v>
      </c>
      <c r="P3" s="3">
        <v>0</v>
      </c>
      <c r="Q3" s="3">
        <v>0</v>
      </c>
      <c r="R3" s="3">
        <v>0</v>
      </c>
      <c r="S3" s="5">
        <v>2250</v>
      </c>
      <c r="T3" s="5">
        <v>5250</v>
      </c>
    </row>
    <row r="4" spans="1:20" x14ac:dyDescent="0.4">
      <c r="T4" s="6">
        <f>SUM(T3:T3)</f>
        <v>5250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showGridLines="0" workbookViewId="0">
      <selection activeCell="A3" sqref="A3:XFD8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16</v>
      </c>
      <c r="D3" s="4" t="s">
        <v>17</v>
      </c>
      <c r="E3" s="3" t="s">
        <v>142</v>
      </c>
      <c r="F3" s="3" t="s">
        <v>142</v>
      </c>
      <c r="G3" s="3" t="s">
        <v>67</v>
      </c>
      <c r="H3" s="5">
        <v>114900</v>
      </c>
      <c r="I3" s="3">
        <v>0</v>
      </c>
      <c r="J3" s="5">
        <v>91900</v>
      </c>
      <c r="K3" s="3">
        <v>0</v>
      </c>
      <c r="L3" s="3">
        <v>0</v>
      </c>
      <c r="M3" s="5">
        <v>23000</v>
      </c>
      <c r="N3" s="5">
        <v>34470</v>
      </c>
      <c r="O3" s="3">
        <v>0</v>
      </c>
      <c r="P3" s="5">
        <v>27570</v>
      </c>
      <c r="Q3" s="3">
        <v>0</v>
      </c>
      <c r="R3" s="3">
        <v>0</v>
      </c>
      <c r="S3" s="5">
        <v>6900</v>
      </c>
      <c r="T3" s="5">
        <v>80430</v>
      </c>
    </row>
    <row r="4" spans="1:20" x14ac:dyDescent="0.4">
      <c r="A4" s="3">
        <v>2022.01</v>
      </c>
      <c r="B4" s="3">
        <v>2022.02</v>
      </c>
      <c r="C4" s="3" t="s">
        <v>18</v>
      </c>
      <c r="D4" s="4" t="s">
        <v>19</v>
      </c>
      <c r="E4" s="3" t="s">
        <v>142</v>
      </c>
      <c r="F4" s="3" t="s">
        <v>142</v>
      </c>
      <c r="G4" s="3" t="s">
        <v>67</v>
      </c>
      <c r="H4" s="5">
        <v>2000</v>
      </c>
      <c r="I4" s="3">
        <v>0</v>
      </c>
      <c r="J4" s="3">
        <v>0</v>
      </c>
      <c r="K4" s="3">
        <v>0</v>
      </c>
      <c r="L4" s="3">
        <v>0</v>
      </c>
      <c r="M4" s="5">
        <v>2000</v>
      </c>
      <c r="N4" s="3">
        <v>600</v>
      </c>
      <c r="O4" s="3">
        <v>0</v>
      </c>
      <c r="P4" s="3">
        <v>0</v>
      </c>
      <c r="Q4" s="3">
        <v>0</v>
      </c>
      <c r="R4" s="3">
        <v>0</v>
      </c>
      <c r="S4" s="3">
        <v>600</v>
      </c>
      <c r="T4" s="5">
        <v>1400</v>
      </c>
    </row>
    <row r="5" spans="1:20" ht="31.2" x14ac:dyDescent="0.4">
      <c r="A5" s="3">
        <v>2022.01</v>
      </c>
      <c r="B5" s="3">
        <v>2022.02</v>
      </c>
      <c r="C5" s="3" t="s">
        <v>20</v>
      </c>
      <c r="D5" s="4" t="s">
        <v>21</v>
      </c>
      <c r="E5" s="3" t="s">
        <v>142</v>
      </c>
      <c r="F5" s="3" t="s">
        <v>142</v>
      </c>
      <c r="G5" s="3" t="s">
        <v>67</v>
      </c>
      <c r="H5" s="5">
        <v>5400</v>
      </c>
      <c r="I5" s="3">
        <v>0</v>
      </c>
      <c r="J5" s="3">
        <v>0</v>
      </c>
      <c r="K5" s="3">
        <v>0</v>
      </c>
      <c r="L5" s="3">
        <v>0</v>
      </c>
      <c r="M5" s="5">
        <v>5400</v>
      </c>
      <c r="N5" s="5">
        <v>1620</v>
      </c>
      <c r="O5" s="3">
        <v>0</v>
      </c>
      <c r="P5" s="3">
        <v>0</v>
      </c>
      <c r="Q5" s="3">
        <v>0</v>
      </c>
      <c r="R5" s="3">
        <v>0</v>
      </c>
      <c r="S5" s="5">
        <v>1620</v>
      </c>
      <c r="T5" s="5">
        <v>3780</v>
      </c>
    </row>
    <row r="6" spans="1:20" x14ac:dyDescent="0.4">
      <c r="A6" s="3">
        <v>2022.01</v>
      </c>
      <c r="B6" s="3">
        <v>2022.02</v>
      </c>
      <c r="C6" s="3" t="s">
        <v>22</v>
      </c>
      <c r="D6" s="4" t="s">
        <v>23</v>
      </c>
      <c r="E6" s="3" t="s">
        <v>142</v>
      </c>
      <c r="F6" s="3" t="s">
        <v>142</v>
      </c>
      <c r="G6" s="3" t="s">
        <v>67</v>
      </c>
      <c r="H6" s="5">
        <v>14600</v>
      </c>
      <c r="I6" s="3">
        <v>0</v>
      </c>
      <c r="J6" s="3">
        <v>0</v>
      </c>
      <c r="K6" s="3">
        <v>0</v>
      </c>
      <c r="L6" s="3">
        <v>0</v>
      </c>
      <c r="M6" s="5">
        <v>14600</v>
      </c>
      <c r="N6" s="5">
        <v>4380</v>
      </c>
      <c r="O6" s="3">
        <v>0</v>
      </c>
      <c r="P6" s="3">
        <v>0</v>
      </c>
      <c r="Q6" s="3">
        <v>0</v>
      </c>
      <c r="R6" s="3">
        <v>0</v>
      </c>
      <c r="S6" s="5">
        <v>4380</v>
      </c>
      <c r="T6" s="5">
        <v>10220</v>
      </c>
    </row>
    <row r="7" spans="1:20" x14ac:dyDescent="0.4">
      <c r="T7" s="6">
        <f>SUM(T3:T6)</f>
        <v>95830</v>
      </c>
    </row>
  </sheetData>
  <autoFilter ref="A1:U6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12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83</v>
      </c>
      <c r="D3" s="4" t="s">
        <v>84</v>
      </c>
      <c r="E3" s="3" t="s">
        <v>142</v>
      </c>
      <c r="F3" s="3" t="s">
        <v>142</v>
      </c>
      <c r="G3" s="3" t="s">
        <v>139</v>
      </c>
      <c r="H3" s="5">
        <v>2500</v>
      </c>
      <c r="I3" s="3">
        <v>0</v>
      </c>
      <c r="J3" s="3">
        <v>0</v>
      </c>
      <c r="K3" s="3">
        <v>0</v>
      </c>
      <c r="L3" s="3">
        <v>0</v>
      </c>
      <c r="M3" s="5">
        <v>2500</v>
      </c>
      <c r="N3" s="3">
        <v>750</v>
      </c>
      <c r="O3" s="3">
        <v>0</v>
      </c>
      <c r="P3" s="3">
        <v>0</v>
      </c>
      <c r="Q3" s="3">
        <v>0</v>
      </c>
      <c r="R3" s="3">
        <v>0</v>
      </c>
      <c r="S3" s="3">
        <v>750</v>
      </c>
      <c r="T3" s="5">
        <v>1750</v>
      </c>
    </row>
    <row r="4" spans="1:20" x14ac:dyDescent="0.4">
      <c r="T4" s="6">
        <f>SUM(T3:T3)</f>
        <v>1750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13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32</v>
      </c>
      <c r="D3" s="4" t="s">
        <v>33</v>
      </c>
      <c r="E3" s="3" t="s">
        <v>142</v>
      </c>
      <c r="F3" s="3" t="s">
        <v>142</v>
      </c>
      <c r="G3" s="3" t="s">
        <v>69</v>
      </c>
      <c r="H3" s="5">
        <v>89400</v>
      </c>
      <c r="I3" s="3">
        <v>100</v>
      </c>
      <c r="J3" s="5">
        <v>13200</v>
      </c>
      <c r="K3" s="3">
        <v>200</v>
      </c>
      <c r="L3" s="3">
        <v>0</v>
      </c>
      <c r="M3" s="5">
        <v>75900</v>
      </c>
      <c r="N3" s="5">
        <v>26840</v>
      </c>
      <c r="O3" s="3">
        <v>30</v>
      </c>
      <c r="P3" s="5">
        <v>3960</v>
      </c>
      <c r="Q3" s="3">
        <v>80</v>
      </c>
      <c r="R3" s="3">
        <v>0</v>
      </c>
      <c r="S3" s="5">
        <v>22770</v>
      </c>
      <c r="T3" s="5">
        <v>62560</v>
      </c>
    </row>
    <row r="4" spans="1:20" x14ac:dyDescent="0.4">
      <c r="T4" s="6">
        <f>SUM(T3:T3)</f>
        <v>62560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showGridLines="0" workbookViewId="0">
      <selection activeCell="A3" sqref="A3:XFD14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78</v>
      </c>
      <c r="D3" s="4" t="s">
        <v>79</v>
      </c>
      <c r="E3" s="3" t="s">
        <v>142</v>
      </c>
      <c r="F3" s="3" t="s">
        <v>142</v>
      </c>
      <c r="G3" s="3" t="s">
        <v>80</v>
      </c>
      <c r="H3" s="5">
        <v>8700</v>
      </c>
      <c r="I3" s="3">
        <v>0</v>
      </c>
      <c r="J3" s="3">
        <v>0</v>
      </c>
      <c r="K3" s="3">
        <v>0</v>
      </c>
      <c r="L3" s="3">
        <v>0</v>
      </c>
      <c r="M3" s="5">
        <v>8700</v>
      </c>
      <c r="N3" s="5">
        <v>2610</v>
      </c>
      <c r="O3" s="3">
        <v>0</v>
      </c>
      <c r="P3" s="3">
        <v>0</v>
      </c>
      <c r="Q3" s="3">
        <v>0</v>
      </c>
      <c r="R3" s="3">
        <v>0</v>
      </c>
      <c r="S3" s="5">
        <v>2610</v>
      </c>
      <c r="T3" s="5">
        <v>6090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15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36</v>
      </c>
      <c r="D3" s="4" t="s">
        <v>37</v>
      </c>
      <c r="E3" s="3" t="s">
        <v>142</v>
      </c>
      <c r="F3" s="3" t="s">
        <v>142</v>
      </c>
      <c r="G3" s="3" t="s">
        <v>38</v>
      </c>
      <c r="H3" s="5">
        <v>1000</v>
      </c>
      <c r="I3" s="3">
        <v>0</v>
      </c>
      <c r="J3" s="3">
        <v>0</v>
      </c>
      <c r="K3" s="3">
        <v>0</v>
      </c>
      <c r="L3" s="3">
        <v>0</v>
      </c>
      <c r="M3" s="5">
        <v>1000</v>
      </c>
      <c r="N3" s="3">
        <v>300</v>
      </c>
      <c r="O3" s="3">
        <v>0</v>
      </c>
      <c r="P3" s="3">
        <v>0</v>
      </c>
      <c r="Q3" s="3">
        <v>0</v>
      </c>
      <c r="R3" s="3">
        <v>0</v>
      </c>
      <c r="S3" s="3">
        <v>300</v>
      </c>
      <c r="T3" s="3">
        <v>700</v>
      </c>
    </row>
    <row r="4" spans="1:20" x14ac:dyDescent="0.4">
      <c r="T4" s="6">
        <f>SUM(T3:T3)</f>
        <v>700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24</v>
      </c>
      <c r="D3" s="4" t="s">
        <v>25</v>
      </c>
      <c r="E3" s="3" t="s">
        <v>142</v>
      </c>
      <c r="F3" s="3" t="s">
        <v>142</v>
      </c>
      <c r="G3" s="3" t="s">
        <v>68</v>
      </c>
      <c r="H3" s="5">
        <v>3000</v>
      </c>
      <c r="I3" s="3">
        <v>0</v>
      </c>
      <c r="J3" s="3">
        <v>0</v>
      </c>
      <c r="K3" s="3">
        <v>0</v>
      </c>
      <c r="L3" s="3">
        <v>0</v>
      </c>
      <c r="M3" s="5">
        <v>3000</v>
      </c>
      <c r="N3" s="3">
        <v>900</v>
      </c>
      <c r="O3" s="3">
        <v>0</v>
      </c>
      <c r="P3" s="3">
        <v>0</v>
      </c>
      <c r="Q3" s="3">
        <v>0</v>
      </c>
      <c r="R3" s="3">
        <v>0</v>
      </c>
      <c r="S3" s="3">
        <v>900</v>
      </c>
      <c r="T3" s="5">
        <v>2100</v>
      </c>
    </row>
    <row r="4" spans="1:20" x14ac:dyDescent="0.4">
      <c r="T4" s="6">
        <f>SUM(T3:T3)</f>
        <v>2100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17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81</v>
      </c>
      <c r="D3" s="4" t="s">
        <v>82</v>
      </c>
      <c r="E3" s="3" t="s">
        <v>142</v>
      </c>
      <c r="F3" s="3" t="s">
        <v>142</v>
      </c>
      <c r="G3" s="3" t="s">
        <v>143</v>
      </c>
      <c r="H3" s="3">
        <v>100</v>
      </c>
      <c r="I3" s="3">
        <v>0</v>
      </c>
      <c r="J3" s="3">
        <v>0</v>
      </c>
      <c r="K3" s="3">
        <v>0</v>
      </c>
      <c r="L3" s="3">
        <v>0</v>
      </c>
      <c r="M3" s="3">
        <v>100</v>
      </c>
      <c r="N3" s="3">
        <v>30</v>
      </c>
      <c r="O3" s="3">
        <v>0</v>
      </c>
      <c r="P3" s="3">
        <v>0</v>
      </c>
      <c r="Q3" s="3">
        <v>0</v>
      </c>
      <c r="R3" s="3">
        <v>0</v>
      </c>
      <c r="S3" s="3">
        <v>30</v>
      </c>
      <c r="T3" s="3">
        <v>70</v>
      </c>
    </row>
    <row r="4" spans="1:20" x14ac:dyDescent="0.4">
      <c r="T4" s="6">
        <f>SUM(T3:T3)</f>
        <v>70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showGridLines="0" workbookViewId="0">
      <selection activeCell="A3" sqref="A3:XFD18"/>
    </sheetView>
  </sheetViews>
  <sheetFormatPr defaultRowHeight="17.399999999999999" x14ac:dyDescent="0.4"/>
  <cols>
    <col min="1" max="2" width="7.69921875" bestFit="1" customWidth="1"/>
    <col min="3" max="3" width="24.09765625" customWidth="1"/>
    <col min="4" max="4" width="6.09765625" customWidth="1"/>
    <col min="5" max="5" width="9.5" customWidth="1"/>
    <col min="6" max="6" width="9.796875" customWidth="1"/>
    <col min="7" max="7" width="11" customWidth="1"/>
    <col min="8" max="8" width="7.19921875" bestFit="1" customWidth="1"/>
    <col min="9" max="9" width="12.8984375" bestFit="1" customWidth="1"/>
    <col min="10" max="10" width="9.8984375" bestFit="1" customWidth="1"/>
    <col min="11" max="11" width="11.69921875" bestFit="1" customWidth="1"/>
    <col min="12" max="12" width="8.19921875" bestFit="1" customWidth="1"/>
    <col min="13" max="13" width="11.69921875" bestFit="1" customWidth="1"/>
    <col min="14" max="14" width="7.19921875" bestFit="1" customWidth="1"/>
    <col min="15" max="15" width="12.8984375" bestFit="1" customWidth="1"/>
    <col min="16" max="16" width="9.8984375" bestFit="1" customWidth="1"/>
    <col min="17" max="17" width="11.69921875" bestFit="1" customWidth="1"/>
    <col min="18" max="18" width="8.19921875" bestFit="1" customWidth="1"/>
    <col min="19" max="19" width="11.69921875" bestFit="1" customWidth="1"/>
    <col min="20" max="20" width="9.19921875" bestFit="1" customWidth="1"/>
  </cols>
  <sheetData>
    <row r="1" spans="1:20" s="1" customFormat="1" ht="17.399999999999999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/>
      <c r="J1" s="10"/>
      <c r="K1" s="10"/>
      <c r="L1" s="10"/>
      <c r="M1" s="11"/>
      <c r="N1" s="9" t="s">
        <v>8</v>
      </c>
      <c r="O1" s="10"/>
      <c r="P1" s="10"/>
      <c r="Q1" s="10"/>
      <c r="R1" s="10"/>
      <c r="S1" s="11"/>
      <c r="T1" s="7" t="s">
        <v>9</v>
      </c>
    </row>
    <row r="2" spans="1:20" s="1" customFormat="1" x14ac:dyDescent="0.4">
      <c r="A2" s="8"/>
      <c r="B2" s="8"/>
      <c r="C2" s="8"/>
      <c r="D2" s="8"/>
      <c r="E2" s="8"/>
      <c r="F2" s="8"/>
      <c r="G2" s="8"/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8"/>
    </row>
    <row r="3" spans="1:20" x14ac:dyDescent="0.4">
      <c r="A3" s="3">
        <v>2022.01</v>
      </c>
      <c r="B3" s="3">
        <v>2022.02</v>
      </c>
      <c r="C3" s="3" t="s">
        <v>87</v>
      </c>
      <c r="D3" s="4" t="s">
        <v>88</v>
      </c>
      <c r="E3" s="3" t="s">
        <v>142</v>
      </c>
      <c r="F3" s="3" t="s">
        <v>142</v>
      </c>
      <c r="G3" s="3" t="s">
        <v>89</v>
      </c>
      <c r="H3" s="5">
        <v>3000</v>
      </c>
      <c r="I3" s="3">
        <v>0</v>
      </c>
      <c r="J3" s="3">
        <v>0</v>
      </c>
      <c r="K3" s="3">
        <v>0</v>
      </c>
      <c r="L3" s="3">
        <v>0</v>
      </c>
      <c r="M3" s="5">
        <v>3000</v>
      </c>
      <c r="N3" s="3">
        <v>900</v>
      </c>
      <c r="O3" s="3">
        <v>0</v>
      </c>
      <c r="P3" s="3">
        <v>0</v>
      </c>
      <c r="Q3" s="3">
        <v>0</v>
      </c>
      <c r="R3" s="3">
        <v>0</v>
      </c>
      <c r="S3" s="3">
        <v>900</v>
      </c>
      <c r="T3" s="5">
        <v>2100</v>
      </c>
    </row>
    <row r="4" spans="1:20" x14ac:dyDescent="0.4">
      <c r="T4" s="6">
        <f>SUM(T3:T3)</f>
        <v>2100</v>
      </c>
    </row>
  </sheetData>
  <autoFilter ref="A1:U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sortState ref="A4:U47">
      <sortCondition ref="F1:F46"/>
    </sortState>
  </autoFilter>
  <mergeCells count="10">
    <mergeCell ref="G1:G2"/>
    <mergeCell ref="H1:M1"/>
    <mergeCell ref="N1:S1"/>
    <mergeCell ref="T1:T2"/>
    <mergeCell ref="A1:A2"/>
    <mergeCell ref="B1:B2"/>
    <mergeCell ref="C1:C2"/>
    <mergeCell ref="D1:D2"/>
    <mergeCell ref="E1:E2"/>
    <mergeCell ref="F1:F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합계(1)</vt:lpstr>
      <vt:lpstr>더컴퍼니</vt:lpstr>
      <vt:lpstr>밀리의서재</vt:lpstr>
      <vt:lpstr>에필로그</vt:lpstr>
      <vt:lpstr>Livingston</vt:lpstr>
      <vt:lpstr>김광수</vt:lpstr>
      <vt:lpstr>단팥크림빵7</vt:lpstr>
      <vt:lpstr>담화공</vt:lpstr>
      <vt:lpstr>모험왕선우</vt:lpstr>
      <vt:lpstr>무성매직</vt:lpstr>
      <vt:lpstr>무장</vt:lpstr>
      <vt:lpstr>부엉이콩</vt:lpstr>
      <vt:lpstr>세상</vt:lpstr>
      <vt:lpstr>왕십리글쟁이</vt:lpstr>
      <vt:lpstr>이한애비</vt:lpstr>
      <vt:lpstr>전혁</vt:lpstr>
      <vt:lpstr>징구빙구</vt:lpstr>
      <vt:lpstr>폴딩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2022-01-05T23:46:34Z</dcterms:created>
  <dcterms:modified xsi:type="dcterms:W3CDTF">2022-02-07T06:56:33Z</dcterms:modified>
</cp:coreProperties>
</file>