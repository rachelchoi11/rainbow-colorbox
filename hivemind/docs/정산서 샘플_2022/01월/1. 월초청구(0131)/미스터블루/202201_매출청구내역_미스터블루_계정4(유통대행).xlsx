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미스터블루\"/>
    </mc:Choice>
  </mc:AlternateContent>
  <bookViews>
    <workbookView xWindow="0" yWindow="0" windowWidth="23040" windowHeight="8952" tabRatio="722"/>
  </bookViews>
  <sheets>
    <sheet name="합계(1)" sheetId="140" r:id="rId1"/>
    <sheet name="더컴퍼니" sheetId="141" r:id="rId2"/>
    <sheet name="에필로그" sheetId="142" r:id="rId3"/>
    <sheet name="밀리의 서재" sheetId="143" r:id="rId4"/>
  </sheets>
  <definedNames>
    <definedName name="_xlnm._FilterDatabase" localSheetId="0" hidden="1">'합계(1)'!$A$1:$AJ$83</definedName>
    <definedName name="_xlnm.Extract" localSheetId="1">더컴퍼니!$A$1:$AJ$1</definedName>
    <definedName name="_xlnm.Extract" localSheetId="3">'밀리의 서재'!$A$1:$AJ$1</definedName>
    <definedName name="_xlnm.Extract" localSheetId="2">에필로그!$A$1:$AJ$1</definedName>
    <definedName name="_xlnm.Extract" localSheetId="0">'합계(1)'!#REF!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1" i="143" l="1"/>
  <c r="AJ26" i="142"/>
  <c r="AJ50" i="141"/>
  <c r="AJ83" i="140" l="1"/>
</calcChain>
</file>

<file path=xl/sharedStrings.xml><?xml version="1.0" encoding="utf-8"?>
<sst xmlns="http://schemas.openxmlformats.org/spreadsheetml/2006/main" count="630" uniqueCount="162">
  <si>
    <t>작품명</t>
  </si>
  <si>
    <t>작가명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</si>
  <si>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</si>
  <si>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</si>
  <si>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</si>
  <si>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</si>
  <si>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</si>
  <si>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</si>
  <si>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</si>
  <si>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</si>
  <si>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</si>
  <si>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</si>
  <si>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</si>
  <si>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</si>
  <si>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한슬</t>
  </si>
  <si>
    <t>나나코</t>
  </si>
  <si>
    <t>[BL]피할 수 없으면 즐겨라</t>
  </si>
  <si>
    <t>강호, 미치다</t>
  </si>
  <si>
    <t>최재봉</t>
  </si>
  <si>
    <t>기획에 산다</t>
  </si>
  <si>
    <t>남궁세가 건달공자</t>
  </si>
  <si>
    <t>협행마</t>
  </si>
  <si>
    <t>남창목가</t>
  </si>
  <si>
    <t>더 캡틴</t>
  </si>
  <si>
    <t>무림병장</t>
  </si>
  <si>
    <t>무적살수</t>
  </si>
  <si>
    <t>법보다 주먹</t>
  </si>
  <si>
    <t>jooki</t>
  </si>
  <si>
    <t>신들의 성소</t>
  </si>
  <si>
    <t>중년바나나</t>
  </si>
  <si>
    <t>엠프티(Empty)</t>
  </si>
  <si>
    <t>라돌체</t>
  </si>
  <si>
    <t>용병수칙</t>
  </si>
  <si>
    <t>위사무적</t>
  </si>
  <si>
    <t>이 맛에 회장한다</t>
  </si>
  <si>
    <t>이세계 최강 군바리</t>
  </si>
  <si>
    <t>전설이 돼라</t>
  </si>
  <si>
    <t>전장의 금기</t>
  </si>
  <si>
    <t>진짜 사나이</t>
  </si>
  <si>
    <t>폭군의 공물</t>
  </si>
  <si>
    <t>여러해살이풀</t>
  </si>
  <si>
    <t>하고 싶어</t>
  </si>
  <si>
    <t>시아</t>
  </si>
  <si>
    <t>헌터 킹</t>
  </si>
  <si>
    <t>흑막의 신</t>
  </si>
  <si>
    <t>강산(江山)</t>
  </si>
  <si>
    <t>엠프티(Empty) (외전)</t>
  </si>
  <si>
    <t>티끌모아 대박</t>
  </si>
  <si>
    <t>로맨틱 아이디얼(Romantic Ideal)</t>
  </si>
  <si>
    <t>바보가 만드는 멋진 세상 (개정판)</t>
  </si>
  <si>
    <t>백범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</si>
  <si>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</si>
  <si>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</si>
  <si>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</si>
  <si>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</si>
  <si>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</si>
  <si>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</si>
  <si>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</si>
  <si>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</si>
  <si>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</si>
  <si>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</si>
  <si>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</si>
  <si>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</si>
  <si>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</si>
  <si>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</si>
  <si>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</si>
  <si>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</si>
  <si>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</si>
  <si>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</si>
  <si>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</si>
  <si>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</si>
  <si>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</si>
  <si>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출판사</t>
    <phoneticPr fontId="26" type="noConversion"/>
  </si>
  <si>
    <t>너드 공략집</t>
  </si>
  <si>
    <t>이다겸</t>
  </si>
  <si>
    <t>[BL] 익스클루시브(Exclusive)</t>
  </si>
  <si>
    <t>사틴</t>
  </si>
  <si>
    <t>[BL] 하루하루</t>
  </si>
  <si>
    <t>클라우드 나인(Cloud 9)</t>
  </si>
  <si>
    <t>[BL] 그 가이드에 대하여</t>
  </si>
  <si>
    <t>다혜람</t>
  </si>
  <si>
    <t>[BL] 월하연인</t>
  </si>
  <si>
    <t>무슈슈</t>
  </si>
  <si>
    <t>마연</t>
  </si>
  <si>
    <t>SISSI</t>
  </si>
  <si>
    <t>악당의 리턴</t>
  </si>
  <si>
    <t>백범(白帆)</t>
  </si>
  <si>
    <t>악당의 리턴 (연재)</t>
  </si>
  <si>
    <t>오블리비언(Oblivion)</t>
  </si>
  <si>
    <t>녹치</t>
  </si>
  <si>
    <t>[외전][BL]피할 수 없으면 즐겨라</t>
  </si>
  <si>
    <t>[BL] 개만도 못한,</t>
  </si>
  <si>
    <t>진도넛</t>
  </si>
  <si>
    <t>[BL] 개만도 못한, (연재)</t>
  </si>
  <si>
    <t>[BL] 그저, 닿지 않을 너에게</t>
  </si>
  <si>
    <t>뚜여사</t>
  </si>
  <si>
    <t>[BL] 납치범과 도련님</t>
  </si>
  <si>
    <t>이락</t>
  </si>
  <si>
    <t>[BL] 너드 공략집 (연재)</t>
  </si>
  <si>
    <t>[BL] 더블 파울(Double Foul) (연재)</t>
  </si>
  <si>
    <t>[BL] 로맨스는 아닙니다 (연재)</t>
  </si>
  <si>
    <t>해양정원</t>
  </si>
  <si>
    <t>[BL] 아스트로(ASTRO): 별</t>
  </si>
  <si>
    <t>꿀레</t>
  </si>
  <si>
    <t>[BL] 우리의 봄, 나의 개나리</t>
  </si>
  <si>
    <t>[BL] 익스클루시브(Exclusive) (연재)</t>
  </si>
  <si>
    <t>[BL] 택스 프리(TAX FREE)</t>
  </si>
  <si>
    <t>[BL] 택스 프리(TAX FREE) (연재)</t>
  </si>
  <si>
    <t>[BL] 홍염의 덫 (연재)</t>
  </si>
  <si>
    <t>[BL] More than BLUE(모어 댄 블루)</t>
  </si>
  <si>
    <t>그을린 신기루</t>
  </si>
  <si>
    <t>꼭꼭 숨어라</t>
  </si>
  <si>
    <t>감또개</t>
  </si>
  <si>
    <t>꼭꼭 숨어라(Wherever you are) (연재)</t>
  </si>
  <si>
    <t>낯선 밤에 마주친</t>
  </si>
  <si>
    <t>춈춈</t>
  </si>
  <si>
    <t>너만 보면 두근두근</t>
  </si>
  <si>
    <t>정경하</t>
  </si>
  <si>
    <t>네이처 너처 (Nature Nurture)</t>
  </si>
  <si>
    <t>달을 쫓는 하운드</t>
  </si>
  <si>
    <t>채플린</t>
  </si>
  <si>
    <t>더티독</t>
  </si>
  <si>
    <t>용가리맛쿠키</t>
  </si>
  <si>
    <t>도깨비의 여자 (외전증보판)</t>
  </si>
  <si>
    <t>벨</t>
  </si>
  <si>
    <t>라스트 스노우폴(Last Snowfall)</t>
  </si>
  <si>
    <t>설연</t>
  </si>
  <si>
    <t>로맨스는 아닙니다</t>
  </si>
  <si>
    <t>모닝콜(Morning Call)</t>
  </si>
  <si>
    <t>하이지</t>
  </si>
  <si>
    <t>바람피우지 마세요</t>
  </si>
  <si>
    <t>정감</t>
  </si>
  <si>
    <t>바보가 만드는 멋진 세상 (개정판) (연재)</t>
  </si>
  <si>
    <t>법보다 주먹 (연재)</t>
  </si>
  <si>
    <t>분홍의 작약</t>
  </si>
  <si>
    <t>송여희</t>
  </si>
  <si>
    <t>불건전한 수컷</t>
  </si>
  <si>
    <t>sJessi</t>
  </si>
  <si>
    <t>붉은 정자-살라댕</t>
  </si>
  <si>
    <t>라벤더블루</t>
  </si>
  <si>
    <t>비공개 열애</t>
  </si>
  <si>
    <t>박지영</t>
  </si>
  <si>
    <t>상무님이 원하시는 대로</t>
  </si>
  <si>
    <t>설국연가</t>
  </si>
  <si>
    <t>마뇽</t>
  </si>
  <si>
    <t>세이브 미(Save Me)</t>
  </si>
  <si>
    <t>우유양</t>
  </si>
  <si>
    <t>술탄</t>
  </si>
  <si>
    <t>신사동 그 사람</t>
  </si>
  <si>
    <t>아침이 오지 않아도</t>
  </si>
  <si>
    <t>홍영</t>
  </si>
  <si>
    <t>우리 집 악마 새끼</t>
  </si>
  <si>
    <t>자비를 베푸소서(Miserere Nobis)</t>
  </si>
  <si>
    <t>젠장 맞을 사랑</t>
  </si>
  <si>
    <t>콘크리트 펀치</t>
  </si>
  <si>
    <t>호랑헌화가</t>
  </si>
  <si>
    <t>여도흔</t>
  </si>
  <si>
    <t>홍염의 덫</t>
  </si>
  <si>
    <t>더컴퍼니</t>
  </si>
  <si>
    <t>에필로그</t>
  </si>
  <si>
    <t>밀리의 서재</t>
  </si>
  <si>
    <t>더컴퍼니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</si>
</sst>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3"/>
  <sheetViews>
    <sheetView tabSelected="1" workbookViewId="0">
      <selection activeCell="E5" sqref="E5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bestFit="1" customWidth="1"/>
  </cols>
  <sheetData>
    <row r="1" spans="1:36" ht="63" thickBot="1">
      <c r="A1" s="1" t="s">
        <v>0</v>
      </c>
      <c r="B1" s="1" t="s">
        <v>1</v>
      </c>
      <c r="C1" s="1" t="s">
        <v>72</v>
      </c>
      <c r="D1" s="2" t="s">
        <v>51</v>
      </c>
      <c r="E1" s="2" t="s">
        <v>52</v>
      </c>
      <c r="F1" s="2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66</v>
      </c>
      <c r="AF1" s="5" t="s">
        <v>67</v>
      </c>
      <c r="AG1" s="5" t="s">
        <v>68</v>
      </c>
      <c r="AH1" s="5" t="s">
        <v>69</v>
      </c>
      <c r="AI1" s="6" t="s">
        <v>70</v>
      </c>
      <c r="AJ1" s="6" t="s">
        <v>71</v>
      </c>
    </row>
    <row r="2" spans="1:36" ht="18" thickBot="1">
      <c r="A2" s="7" t="s">
        <v>90</v>
      </c>
      <c r="B2" s="7" t="s">
        <v>14</v>
      </c>
      <c r="C2" s="7" t="s">
        <v>158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2</v>
      </c>
      <c r="L2" s="9">
        <v>2400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</v>
      </c>
      <c r="AF2" s="8">
        <v>2</v>
      </c>
      <c r="AG2" s="9">
        <v>2400</v>
      </c>
      <c r="AH2" s="9">
        <v>1512</v>
      </c>
      <c r="AI2" s="10">
        <v>2400</v>
      </c>
      <c r="AJ2" s="11">
        <v>1512</v>
      </c>
    </row>
    <row r="3" spans="1:36" ht="18" thickBot="1">
      <c r="A3" s="7" t="s">
        <v>91</v>
      </c>
      <c r="B3" s="7" t="s">
        <v>92</v>
      </c>
      <c r="C3" s="7" t="s">
        <v>158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2</v>
      </c>
      <c r="K3" s="8">
        <v>2</v>
      </c>
      <c r="L3" s="9">
        <v>6800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2</v>
      </c>
      <c r="AF3" s="8">
        <v>2</v>
      </c>
      <c r="AG3" s="9">
        <v>6800</v>
      </c>
      <c r="AH3" s="9">
        <v>4284</v>
      </c>
      <c r="AI3" s="10">
        <v>6800</v>
      </c>
      <c r="AJ3" s="11">
        <v>4284</v>
      </c>
    </row>
    <row r="4" spans="1:36" ht="18" thickBot="1">
      <c r="A4" s="7" t="s">
        <v>93</v>
      </c>
      <c r="B4" s="7" t="s">
        <v>92</v>
      </c>
      <c r="C4" s="7" t="s">
        <v>158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272</v>
      </c>
      <c r="K4" s="8">
        <v>272</v>
      </c>
      <c r="L4" s="9">
        <v>27200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272</v>
      </c>
      <c r="AF4" s="8">
        <v>272</v>
      </c>
      <c r="AG4" s="9">
        <v>27200</v>
      </c>
      <c r="AH4" s="9">
        <v>17136</v>
      </c>
      <c r="AI4" s="10">
        <v>27200</v>
      </c>
      <c r="AJ4" s="11">
        <v>17136</v>
      </c>
    </row>
    <row r="5" spans="1:36" ht="18" thickBot="1">
      <c r="A5" s="7" t="s">
        <v>79</v>
      </c>
      <c r="B5" s="7" t="s">
        <v>80</v>
      </c>
      <c r="C5" s="7" t="s">
        <v>158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</v>
      </c>
      <c r="K5" s="8">
        <v>3</v>
      </c>
      <c r="L5" s="9">
        <v>9600</v>
      </c>
      <c r="M5" s="8">
        <v>0</v>
      </c>
      <c r="N5" s="8">
        <v>0</v>
      </c>
      <c r="O5" s="8">
        <v>0</v>
      </c>
      <c r="P5" s="8">
        <v>1</v>
      </c>
      <c r="Q5" s="8">
        <v>4</v>
      </c>
      <c r="R5" s="9">
        <v>11520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4</v>
      </c>
      <c r="AF5" s="8">
        <v>7</v>
      </c>
      <c r="AG5" s="9">
        <v>21120</v>
      </c>
      <c r="AH5" s="9">
        <v>13305.6</v>
      </c>
      <c r="AI5" s="10">
        <v>21120</v>
      </c>
      <c r="AJ5" s="11">
        <v>13305.6</v>
      </c>
    </row>
    <row r="6" spans="1:36" ht="18" thickBot="1">
      <c r="A6" s="7" t="s">
        <v>94</v>
      </c>
      <c r="B6" s="7" t="s">
        <v>95</v>
      </c>
      <c r="C6" s="7" t="s">
        <v>158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10</v>
      </c>
      <c r="K6" s="8">
        <v>10</v>
      </c>
      <c r="L6" s="9">
        <v>35000</v>
      </c>
      <c r="M6" s="8">
        <v>0</v>
      </c>
      <c r="N6" s="8">
        <v>0</v>
      </c>
      <c r="O6" s="8">
        <v>0</v>
      </c>
      <c r="P6" s="8">
        <v>7</v>
      </c>
      <c r="Q6" s="8">
        <v>21</v>
      </c>
      <c r="R6" s="9">
        <v>69300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17</v>
      </c>
      <c r="AF6" s="8">
        <v>31</v>
      </c>
      <c r="AG6" s="9">
        <v>104300</v>
      </c>
      <c r="AH6" s="9">
        <v>65709</v>
      </c>
      <c r="AI6" s="10">
        <v>104300</v>
      </c>
      <c r="AJ6" s="11">
        <v>65709</v>
      </c>
    </row>
    <row r="7" spans="1:36" ht="18" thickBot="1">
      <c r="A7" s="7" t="s">
        <v>96</v>
      </c>
      <c r="B7" s="7" t="s">
        <v>97</v>
      </c>
      <c r="C7" s="7" t="s">
        <v>158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1</v>
      </c>
      <c r="L7" s="9">
        <v>3200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</v>
      </c>
      <c r="AG7" s="9">
        <v>3200</v>
      </c>
      <c r="AH7" s="9">
        <v>2016</v>
      </c>
      <c r="AI7" s="10">
        <v>3200</v>
      </c>
      <c r="AJ7" s="11">
        <v>2016</v>
      </c>
    </row>
    <row r="8" spans="1:36" ht="18" thickBot="1">
      <c r="A8" s="7" t="s">
        <v>98</v>
      </c>
      <c r="B8" s="7" t="s">
        <v>74</v>
      </c>
      <c r="C8" s="7" t="s">
        <v>158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106</v>
      </c>
      <c r="K8" s="8">
        <v>106</v>
      </c>
      <c r="L8" s="9">
        <v>10600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106</v>
      </c>
      <c r="AF8" s="8">
        <v>106</v>
      </c>
      <c r="AG8" s="9">
        <v>10600</v>
      </c>
      <c r="AH8" s="9">
        <v>6678</v>
      </c>
      <c r="AI8" s="10">
        <v>10600</v>
      </c>
      <c r="AJ8" s="11">
        <v>6678</v>
      </c>
    </row>
    <row r="9" spans="1:36" ht="18" thickBot="1">
      <c r="A9" s="7" t="s">
        <v>99</v>
      </c>
      <c r="B9" s="7" t="s">
        <v>15</v>
      </c>
      <c r="C9" s="7" t="s">
        <v>158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1</v>
      </c>
      <c r="L9" s="8">
        <v>100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1</v>
      </c>
      <c r="AG9" s="8">
        <v>100</v>
      </c>
      <c r="AH9" s="8">
        <v>63</v>
      </c>
      <c r="AI9" s="12">
        <v>100</v>
      </c>
      <c r="AJ9" s="13">
        <v>63</v>
      </c>
    </row>
    <row r="10" spans="1:36" ht="18" thickBot="1">
      <c r="A10" s="7" t="s">
        <v>100</v>
      </c>
      <c r="B10" s="7" t="s">
        <v>101</v>
      </c>
      <c r="C10" s="7" t="s">
        <v>158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43</v>
      </c>
      <c r="K10" s="8">
        <v>43</v>
      </c>
      <c r="L10" s="9">
        <v>4300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43</v>
      </c>
      <c r="AF10" s="8">
        <v>43</v>
      </c>
      <c r="AG10" s="9">
        <v>4300</v>
      </c>
      <c r="AH10" s="9">
        <v>2709</v>
      </c>
      <c r="AI10" s="10">
        <v>4300</v>
      </c>
      <c r="AJ10" s="11">
        <v>2709</v>
      </c>
    </row>
    <row r="11" spans="1:36" ht="18" thickBot="1">
      <c r="A11" s="7" t="s">
        <v>102</v>
      </c>
      <c r="B11" s="7" t="s">
        <v>103</v>
      </c>
      <c r="C11" s="7" t="s">
        <v>161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14</v>
      </c>
      <c r="K11" s="8">
        <v>14</v>
      </c>
      <c r="L11" s="9">
        <v>47600</v>
      </c>
      <c r="M11" s="8">
        <v>6</v>
      </c>
      <c r="N11" s="8">
        <v>24</v>
      </c>
      <c r="O11" s="9">
        <v>81600</v>
      </c>
      <c r="P11" s="8">
        <v>2</v>
      </c>
      <c r="Q11" s="8">
        <v>8</v>
      </c>
      <c r="R11" s="9">
        <v>27200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22</v>
      </c>
      <c r="AF11" s="8">
        <v>46</v>
      </c>
      <c r="AG11" s="9">
        <v>156400</v>
      </c>
      <c r="AH11" s="9">
        <v>98532</v>
      </c>
      <c r="AI11" s="10">
        <v>156400</v>
      </c>
      <c r="AJ11" s="11">
        <v>98532</v>
      </c>
    </row>
    <row r="12" spans="1:36" ht="18" thickBot="1">
      <c r="A12" s="7" t="s">
        <v>104</v>
      </c>
      <c r="B12" s="7" t="s">
        <v>83</v>
      </c>
      <c r="C12" s="7" t="s">
        <v>158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1</v>
      </c>
      <c r="Q12" s="8">
        <v>2</v>
      </c>
      <c r="R12" s="9">
        <v>5600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2</v>
      </c>
      <c r="AG12" s="9">
        <v>5600</v>
      </c>
      <c r="AH12" s="9">
        <v>3528</v>
      </c>
      <c r="AI12" s="10">
        <v>5600</v>
      </c>
      <c r="AJ12" s="11">
        <v>3528</v>
      </c>
    </row>
    <row r="13" spans="1:36" ht="18" thickBot="1">
      <c r="A13" s="7" t="s">
        <v>81</v>
      </c>
      <c r="B13" s="7" t="s">
        <v>82</v>
      </c>
      <c r="C13" s="7" t="s">
        <v>158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2</v>
      </c>
      <c r="K13" s="8">
        <v>2</v>
      </c>
      <c r="L13" s="9">
        <v>6400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</v>
      </c>
      <c r="AF13" s="8">
        <v>2</v>
      </c>
      <c r="AG13" s="9">
        <v>6400</v>
      </c>
      <c r="AH13" s="9">
        <v>4032</v>
      </c>
      <c r="AI13" s="10">
        <v>6400</v>
      </c>
      <c r="AJ13" s="11">
        <v>4032</v>
      </c>
    </row>
    <row r="14" spans="1:36" ht="18" thickBot="1">
      <c r="A14" s="7" t="s">
        <v>75</v>
      </c>
      <c r="B14" s="7" t="s">
        <v>76</v>
      </c>
      <c r="C14" s="7" t="s">
        <v>158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</v>
      </c>
      <c r="K14" s="8">
        <v>2</v>
      </c>
      <c r="L14" s="9">
        <v>6000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2</v>
      </c>
      <c r="AF14" s="8">
        <v>2</v>
      </c>
      <c r="AG14" s="9">
        <v>6000</v>
      </c>
      <c r="AH14" s="9">
        <v>3780</v>
      </c>
      <c r="AI14" s="10">
        <v>6000</v>
      </c>
      <c r="AJ14" s="11">
        <v>3780</v>
      </c>
    </row>
    <row r="15" spans="1:36" ht="18" thickBot="1">
      <c r="A15" s="7" t="s">
        <v>105</v>
      </c>
      <c r="B15" s="7" t="s">
        <v>76</v>
      </c>
      <c r="C15" s="7" t="s">
        <v>158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122</v>
      </c>
      <c r="K15" s="8">
        <v>122</v>
      </c>
      <c r="L15" s="9">
        <v>12200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122</v>
      </c>
      <c r="AF15" s="8">
        <v>122</v>
      </c>
      <c r="AG15" s="9">
        <v>12200</v>
      </c>
      <c r="AH15" s="9">
        <v>7686</v>
      </c>
      <c r="AI15" s="10">
        <v>12200</v>
      </c>
      <c r="AJ15" s="11">
        <v>7686</v>
      </c>
    </row>
    <row r="16" spans="1:36" ht="18" thickBot="1">
      <c r="A16" s="7" t="s">
        <v>106</v>
      </c>
      <c r="B16" s="7" t="s">
        <v>84</v>
      </c>
      <c r="C16" s="7" t="s">
        <v>158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</v>
      </c>
      <c r="K16" s="8">
        <v>2</v>
      </c>
      <c r="L16" s="9">
        <v>5600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</v>
      </c>
      <c r="AF16" s="8">
        <v>2</v>
      </c>
      <c r="AG16" s="9">
        <v>5600</v>
      </c>
      <c r="AH16" s="9">
        <v>3528</v>
      </c>
      <c r="AI16" s="10">
        <v>5600</v>
      </c>
      <c r="AJ16" s="11">
        <v>3528</v>
      </c>
    </row>
    <row r="17" spans="1:36" ht="18" thickBot="1">
      <c r="A17" s="7" t="s">
        <v>107</v>
      </c>
      <c r="B17" s="7" t="s">
        <v>84</v>
      </c>
      <c r="C17" s="7" t="s">
        <v>158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97</v>
      </c>
      <c r="K17" s="8">
        <v>97</v>
      </c>
      <c r="L17" s="9">
        <v>9700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97</v>
      </c>
      <c r="AF17" s="8">
        <v>97</v>
      </c>
      <c r="AG17" s="9">
        <v>9700</v>
      </c>
      <c r="AH17" s="9">
        <v>6111</v>
      </c>
      <c r="AI17" s="10">
        <v>9700</v>
      </c>
      <c r="AJ17" s="11">
        <v>6111</v>
      </c>
    </row>
    <row r="18" spans="1:36" ht="18" thickBot="1">
      <c r="A18" s="7" t="s">
        <v>77</v>
      </c>
      <c r="B18" s="7" t="s">
        <v>76</v>
      </c>
      <c r="C18" s="7" t="s">
        <v>158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</v>
      </c>
      <c r="K18" s="8">
        <v>6</v>
      </c>
      <c r="L18" s="9">
        <v>21600</v>
      </c>
      <c r="M18" s="8">
        <v>0</v>
      </c>
      <c r="N18" s="8">
        <v>0</v>
      </c>
      <c r="O18" s="8">
        <v>0</v>
      </c>
      <c r="P18" s="8">
        <v>6</v>
      </c>
      <c r="Q18" s="8">
        <v>12</v>
      </c>
      <c r="R18" s="9">
        <v>41760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12</v>
      </c>
      <c r="AF18" s="8">
        <v>18</v>
      </c>
      <c r="AG18" s="9">
        <v>63360</v>
      </c>
      <c r="AH18" s="9">
        <v>39916.800000000003</v>
      </c>
      <c r="AI18" s="10">
        <v>63360</v>
      </c>
      <c r="AJ18" s="11">
        <v>39916.800000000003</v>
      </c>
    </row>
    <row r="19" spans="1:36" ht="18" thickBot="1">
      <c r="A19" s="7" t="s">
        <v>108</v>
      </c>
      <c r="B19" s="7" t="s">
        <v>82</v>
      </c>
      <c r="C19" s="7" t="s">
        <v>158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440</v>
      </c>
      <c r="K19" s="8">
        <v>440</v>
      </c>
      <c r="L19" s="9">
        <v>44000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440</v>
      </c>
      <c r="AF19" s="8">
        <v>440</v>
      </c>
      <c r="AG19" s="9">
        <v>44000</v>
      </c>
      <c r="AH19" s="9">
        <v>27720</v>
      </c>
      <c r="AI19" s="10">
        <v>44000</v>
      </c>
      <c r="AJ19" s="11">
        <v>27720</v>
      </c>
    </row>
    <row r="20" spans="1:36" ht="18" thickBot="1">
      <c r="A20" s="7" t="s">
        <v>109</v>
      </c>
      <c r="B20" s="7" t="s">
        <v>15</v>
      </c>
      <c r="C20" s="7" t="s">
        <v>158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9">
        <v>3200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9">
        <v>3200</v>
      </c>
      <c r="AH20" s="9">
        <v>2016</v>
      </c>
      <c r="AI20" s="10">
        <v>3200</v>
      </c>
      <c r="AJ20" s="11">
        <v>2016</v>
      </c>
    </row>
    <row r="21" spans="1:36" ht="18" thickBot="1">
      <c r="A21" s="7" t="s">
        <v>16</v>
      </c>
      <c r="B21" s="7" t="s">
        <v>14</v>
      </c>
      <c r="C21" s="7" t="s">
        <v>158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4</v>
      </c>
      <c r="K21" s="8">
        <v>4</v>
      </c>
      <c r="L21" s="9">
        <v>14000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</v>
      </c>
      <c r="AF21" s="8">
        <v>4</v>
      </c>
      <c r="AG21" s="9">
        <v>14000</v>
      </c>
      <c r="AH21" s="9">
        <v>8820</v>
      </c>
      <c r="AI21" s="10">
        <v>14000</v>
      </c>
      <c r="AJ21" s="11">
        <v>8820</v>
      </c>
    </row>
    <row r="22" spans="1:36" ht="18" thickBot="1">
      <c r="A22" s="7" t="s">
        <v>17</v>
      </c>
      <c r="B22" s="7" t="s">
        <v>18</v>
      </c>
      <c r="C22" s="7" t="s">
        <v>159</v>
      </c>
      <c r="D22" s="8">
        <v>0</v>
      </c>
      <c r="E22" s="8">
        <v>0</v>
      </c>
      <c r="F22" s="8">
        <v>0</v>
      </c>
      <c r="G22" s="8">
        <v>121</v>
      </c>
      <c r="H22" s="8">
        <v>121</v>
      </c>
      <c r="I22" s="9">
        <v>108900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121</v>
      </c>
      <c r="AF22" s="8">
        <v>121</v>
      </c>
      <c r="AG22" s="9">
        <v>108900</v>
      </c>
      <c r="AH22" s="9">
        <v>68607</v>
      </c>
      <c r="AI22" s="10">
        <v>108900</v>
      </c>
      <c r="AJ22" s="11">
        <v>68607</v>
      </c>
    </row>
    <row r="23" spans="1:36" ht="18" thickBot="1">
      <c r="A23" s="7" t="s">
        <v>110</v>
      </c>
      <c r="B23" s="7" t="s">
        <v>89</v>
      </c>
      <c r="C23" s="7" t="s">
        <v>158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1</v>
      </c>
      <c r="L23" s="9">
        <v>3300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9">
        <v>3300</v>
      </c>
      <c r="AH23" s="9">
        <v>2079</v>
      </c>
      <c r="AI23" s="10">
        <v>3300</v>
      </c>
      <c r="AJ23" s="11">
        <v>2079</v>
      </c>
    </row>
    <row r="24" spans="1:36" ht="18" thickBot="1">
      <c r="A24" s="7" t="s">
        <v>19</v>
      </c>
      <c r="B24" s="7" t="s">
        <v>45</v>
      </c>
      <c r="C24" s="7" t="s">
        <v>159</v>
      </c>
      <c r="D24" s="8">
        <v>0</v>
      </c>
      <c r="E24" s="8">
        <v>0</v>
      </c>
      <c r="F24" s="8">
        <v>0</v>
      </c>
      <c r="G24" s="8">
        <v>14</v>
      </c>
      <c r="H24" s="8">
        <v>14</v>
      </c>
      <c r="I24" s="9">
        <v>12600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14</v>
      </c>
      <c r="AF24" s="8">
        <v>14</v>
      </c>
      <c r="AG24" s="9">
        <v>12600</v>
      </c>
      <c r="AH24" s="9">
        <v>7938</v>
      </c>
      <c r="AI24" s="10">
        <v>12600</v>
      </c>
      <c r="AJ24" s="11">
        <v>7938</v>
      </c>
    </row>
    <row r="25" spans="1:36" ht="18" thickBot="1">
      <c r="A25" s="7" t="s">
        <v>111</v>
      </c>
      <c r="B25" s="7" t="s">
        <v>112</v>
      </c>
      <c r="C25" s="7" t="s">
        <v>158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</v>
      </c>
      <c r="K25" s="8">
        <v>1</v>
      </c>
      <c r="L25" s="9">
        <v>3060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9">
        <v>3060</v>
      </c>
      <c r="AH25" s="9">
        <v>1927.8</v>
      </c>
      <c r="AI25" s="10">
        <v>3060</v>
      </c>
      <c r="AJ25" s="11">
        <v>1927.8</v>
      </c>
    </row>
    <row r="26" spans="1:36" ht="18" thickBot="1">
      <c r="A26" s="7" t="s">
        <v>113</v>
      </c>
      <c r="B26" s="7" t="s">
        <v>112</v>
      </c>
      <c r="C26" s="7" t="s">
        <v>158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72</v>
      </c>
      <c r="K26" s="8">
        <v>72</v>
      </c>
      <c r="L26" s="9">
        <v>7200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72</v>
      </c>
      <c r="AF26" s="8">
        <v>72</v>
      </c>
      <c r="AG26" s="9">
        <v>7200</v>
      </c>
      <c r="AH26" s="9">
        <v>4536</v>
      </c>
      <c r="AI26" s="10">
        <v>7200</v>
      </c>
      <c r="AJ26" s="11">
        <v>4536</v>
      </c>
    </row>
    <row r="27" spans="1:36" ht="18" thickBot="1">
      <c r="A27" s="7" t="s">
        <v>20</v>
      </c>
      <c r="B27" s="7" t="s">
        <v>21</v>
      </c>
      <c r="C27" s="7" t="s">
        <v>159</v>
      </c>
      <c r="D27" s="8">
        <v>0</v>
      </c>
      <c r="E27" s="8">
        <v>0</v>
      </c>
      <c r="F27" s="8">
        <v>0</v>
      </c>
      <c r="G27" s="8">
        <v>58</v>
      </c>
      <c r="H27" s="8">
        <v>58</v>
      </c>
      <c r="I27" s="9">
        <v>52200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9</v>
      </c>
      <c r="T27" s="8">
        <v>9</v>
      </c>
      <c r="U27" s="9">
        <v>9720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67</v>
      </c>
      <c r="AF27" s="8">
        <v>67</v>
      </c>
      <c r="AG27" s="9">
        <v>61920</v>
      </c>
      <c r="AH27" s="9">
        <v>38718</v>
      </c>
      <c r="AI27" s="10">
        <v>61920</v>
      </c>
      <c r="AJ27" s="11">
        <v>38718</v>
      </c>
    </row>
    <row r="28" spans="1:36" ht="18" thickBot="1">
      <c r="A28" s="7" t="s">
        <v>22</v>
      </c>
      <c r="B28" s="7" t="s">
        <v>18</v>
      </c>
      <c r="C28" s="7" t="s">
        <v>159</v>
      </c>
      <c r="D28" s="8">
        <v>0</v>
      </c>
      <c r="E28" s="8">
        <v>0</v>
      </c>
      <c r="F28" s="8">
        <v>0</v>
      </c>
      <c r="G28" s="8">
        <v>690</v>
      </c>
      <c r="H28" s="8">
        <v>690</v>
      </c>
      <c r="I28" s="9">
        <v>621000</v>
      </c>
      <c r="J28" s="8">
        <v>0</v>
      </c>
      <c r="K28" s="8">
        <v>0</v>
      </c>
      <c r="L28" s="8">
        <v>0</v>
      </c>
      <c r="M28" s="8">
        <v>4</v>
      </c>
      <c r="N28" s="8">
        <v>96</v>
      </c>
      <c r="O28" s="9">
        <v>86400</v>
      </c>
      <c r="P28" s="8">
        <v>0</v>
      </c>
      <c r="Q28" s="8">
        <v>0</v>
      </c>
      <c r="R28" s="8">
        <v>0</v>
      </c>
      <c r="S28" s="8">
        <v>15</v>
      </c>
      <c r="T28" s="8">
        <v>15</v>
      </c>
      <c r="U28" s="9">
        <v>16200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709</v>
      </c>
      <c r="AF28" s="8">
        <v>801</v>
      </c>
      <c r="AG28" s="9">
        <v>723600</v>
      </c>
      <c r="AH28" s="9">
        <v>455382</v>
      </c>
      <c r="AI28" s="10">
        <v>723600</v>
      </c>
      <c r="AJ28" s="11">
        <v>455382</v>
      </c>
    </row>
    <row r="29" spans="1:36" ht="18" thickBot="1">
      <c r="A29" s="7" t="s">
        <v>114</v>
      </c>
      <c r="B29" s="7" t="s">
        <v>115</v>
      </c>
      <c r="C29" s="7" t="s">
        <v>160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144</v>
      </c>
      <c r="K29" s="8">
        <v>144</v>
      </c>
      <c r="L29" s="9">
        <v>288000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144</v>
      </c>
      <c r="AF29" s="8">
        <v>144</v>
      </c>
      <c r="AG29" s="9">
        <v>288000</v>
      </c>
      <c r="AH29" s="9">
        <v>181440</v>
      </c>
      <c r="AI29" s="10">
        <v>288000</v>
      </c>
      <c r="AJ29" s="11">
        <v>181440</v>
      </c>
    </row>
    <row r="30" spans="1:36" ht="18" thickBot="1">
      <c r="A30" s="7" t="s">
        <v>73</v>
      </c>
      <c r="B30" s="7" t="s">
        <v>74</v>
      </c>
      <c r="C30" s="7" t="s">
        <v>158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10</v>
      </c>
      <c r="K30" s="8">
        <v>10</v>
      </c>
      <c r="L30" s="9">
        <v>32000</v>
      </c>
      <c r="M30" s="8">
        <v>0</v>
      </c>
      <c r="N30" s="8">
        <v>0</v>
      </c>
      <c r="O30" s="8">
        <v>0</v>
      </c>
      <c r="P30" s="8">
        <v>1</v>
      </c>
      <c r="Q30" s="8">
        <v>3</v>
      </c>
      <c r="R30" s="9">
        <v>9600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11</v>
      </c>
      <c r="AF30" s="8">
        <v>13</v>
      </c>
      <c r="AG30" s="9">
        <v>41600</v>
      </c>
      <c r="AH30" s="9">
        <v>26208</v>
      </c>
      <c r="AI30" s="10">
        <v>41600</v>
      </c>
      <c r="AJ30" s="11">
        <v>26208</v>
      </c>
    </row>
    <row r="31" spans="1:36" ht="18" thickBot="1">
      <c r="A31" s="7" t="s">
        <v>116</v>
      </c>
      <c r="B31" s="7" t="s">
        <v>117</v>
      </c>
      <c r="C31" s="7" t="s">
        <v>160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350</v>
      </c>
      <c r="K31" s="8">
        <v>350</v>
      </c>
      <c r="L31" s="9">
        <v>875000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350</v>
      </c>
      <c r="AF31" s="8">
        <v>350</v>
      </c>
      <c r="AG31" s="9">
        <v>875000</v>
      </c>
      <c r="AH31" s="9">
        <v>551250</v>
      </c>
      <c r="AI31" s="10">
        <v>875000</v>
      </c>
      <c r="AJ31" s="11">
        <v>551250</v>
      </c>
    </row>
    <row r="32" spans="1:36" ht="18" thickBot="1">
      <c r="A32" s="7" t="s">
        <v>118</v>
      </c>
      <c r="B32" s="7" t="s">
        <v>83</v>
      </c>
      <c r="C32" s="7" t="s">
        <v>158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1</v>
      </c>
      <c r="K32" s="8">
        <v>1</v>
      </c>
      <c r="L32" s="9">
        <v>2500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1</v>
      </c>
      <c r="AG32" s="9">
        <v>2500</v>
      </c>
      <c r="AH32" s="9">
        <v>1575</v>
      </c>
      <c r="AI32" s="10">
        <v>2500</v>
      </c>
      <c r="AJ32" s="11">
        <v>1575</v>
      </c>
    </row>
    <row r="33" spans="1:36" ht="18" thickBot="1">
      <c r="A33" s="7" t="s">
        <v>119</v>
      </c>
      <c r="B33" s="7" t="s">
        <v>120</v>
      </c>
      <c r="C33" s="7" t="s">
        <v>158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</v>
      </c>
      <c r="K33" s="8">
        <v>1</v>
      </c>
      <c r="L33" s="8">
        <v>800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1</v>
      </c>
      <c r="AG33" s="8">
        <v>800</v>
      </c>
      <c r="AH33" s="8">
        <v>504</v>
      </c>
      <c r="AI33" s="12">
        <v>800</v>
      </c>
      <c r="AJ33" s="13">
        <v>504</v>
      </c>
    </row>
    <row r="34" spans="1:36" ht="18" thickBot="1">
      <c r="A34" s="7" t="s">
        <v>23</v>
      </c>
      <c r="B34" s="7" t="s">
        <v>45</v>
      </c>
      <c r="C34" s="7" t="s">
        <v>159</v>
      </c>
      <c r="D34" s="8">
        <v>0</v>
      </c>
      <c r="E34" s="8">
        <v>0</v>
      </c>
      <c r="F34" s="8">
        <v>0</v>
      </c>
      <c r="G34" s="8">
        <v>4</v>
      </c>
      <c r="H34" s="8">
        <v>4</v>
      </c>
      <c r="I34" s="9">
        <v>3600</v>
      </c>
      <c r="J34" s="8">
        <v>0</v>
      </c>
      <c r="K34" s="8">
        <v>0</v>
      </c>
      <c r="L34" s="8">
        <v>0</v>
      </c>
      <c r="M34" s="8">
        <v>1</v>
      </c>
      <c r="N34" s="8">
        <v>8</v>
      </c>
      <c r="O34" s="9">
        <v>6480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5</v>
      </c>
      <c r="AF34" s="8">
        <v>12</v>
      </c>
      <c r="AG34" s="9">
        <v>10080</v>
      </c>
      <c r="AH34" s="9">
        <v>6350.4</v>
      </c>
      <c r="AI34" s="10">
        <v>10080</v>
      </c>
      <c r="AJ34" s="11">
        <v>6350.4</v>
      </c>
    </row>
    <row r="35" spans="1:36" ht="18" thickBot="1">
      <c r="A35" s="7" t="s">
        <v>121</v>
      </c>
      <c r="B35" s="7" t="s">
        <v>122</v>
      </c>
      <c r="C35" s="7" t="s">
        <v>158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1</v>
      </c>
      <c r="Q35" s="8">
        <v>2</v>
      </c>
      <c r="R35" s="9">
        <v>6300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2</v>
      </c>
      <c r="AG35" s="9">
        <v>6300</v>
      </c>
      <c r="AH35" s="9">
        <v>3969</v>
      </c>
      <c r="AI35" s="10">
        <v>6300</v>
      </c>
      <c r="AJ35" s="11">
        <v>3969</v>
      </c>
    </row>
    <row r="36" spans="1:36" ht="18" thickBot="1">
      <c r="A36" s="7" t="s">
        <v>123</v>
      </c>
      <c r="B36" s="7" t="s">
        <v>124</v>
      </c>
      <c r="C36" s="7" t="s">
        <v>158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9">
        <v>4200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1</v>
      </c>
      <c r="AG36" s="9">
        <v>4200</v>
      </c>
      <c r="AH36" s="9">
        <v>2646</v>
      </c>
      <c r="AI36" s="10">
        <v>4200</v>
      </c>
      <c r="AJ36" s="11">
        <v>2646</v>
      </c>
    </row>
    <row r="37" spans="1:36" ht="18" thickBot="1">
      <c r="A37" s="7" t="s">
        <v>125</v>
      </c>
      <c r="B37" s="7" t="s">
        <v>126</v>
      </c>
      <c r="C37" s="7" t="s">
        <v>158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2</v>
      </c>
      <c r="L37" s="9">
        <v>5400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2</v>
      </c>
      <c r="AF37" s="8">
        <v>2</v>
      </c>
      <c r="AG37" s="9">
        <v>5400</v>
      </c>
      <c r="AH37" s="9">
        <v>3402</v>
      </c>
      <c r="AI37" s="10">
        <v>5400</v>
      </c>
      <c r="AJ37" s="11">
        <v>3402</v>
      </c>
    </row>
    <row r="38" spans="1:36" ht="18" thickBot="1">
      <c r="A38" s="7" t="s">
        <v>127</v>
      </c>
      <c r="B38" s="7" t="s">
        <v>101</v>
      </c>
      <c r="C38" s="7" t="s">
        <v>158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</v>
      </c>
      <c r="K38" s="8">
        <v>2</v>
      </c>
      <c r="L38" s="9">
        <v>6800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2</v>
      </c>
      <c r="AF38" s="8">
        <v>2</v>
      </c>
      <c r="AG38" s="9">
        <v>6800</v>
      </c>
      <c r="AH38" s="9">
        <v>4284</v>
      </c>
      <c r="AI38" s="10">
        <v>6800</v>
      </c>
      <c r="AJ38" s="11">
        <v>4284</v>
      </c>
    </row>
    <row r="39" spans="1:36" ht="18" thickBot="1">
      <c r="A39" s="7" t="s">
        <v>48</v>
      </c>
      <c r="B39" s="7" t="s">
        <v>15</v>
      </c>
      <c r="C39" s="7" t="s">
        <v>158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</v>
      </c>
      <c r="K39" s="8">
        <v>1</v>
      </c>
      <c r="L39" s="9">
        <v>3600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</v>
      </c>
      <c r="AF39" s="8">
        <v>1</v>
      </c>
      <c r="AG39" s="9">
        <v>3600</v>
      </c>
      <c r="AH39" s="9">
        <v>2268</v>
      </c>
      <c r="AI39" s="10">
        <v>3600</v>
      </c>
      <c r="AJ39" s="11">
        <v>2268</v>
      </c>
    </row>
    <row r="40" spans="1:36" ht="18" thickBot="1">
      <c r="A40" s="7" t="s">
        <v>128</v>
      </c>
      <c r="B40" s="7" t="s">
        <v>129</v>
      </c>
      <c r="C40" s="7" t="s">
        <v>160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137</v>
      </c>
      <c r="K40" s="8">
        <v>137</v>
      </c>
      <c r="L40" s="9">
        <v>274000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137</v>
      </c>
      <c r="AF40" s="8">
        <v>137</v>
      </c>
      <c r="AG40" s="9">
        <v>274000</v>
      </c>
      <c r="AH40" s="9">
        <v>172620</v>
      </c>
      <c r="AI40" s="10">
        <v>274000</v>
      </c>
      <c r="AJ40" s="11">
        <v>172620</v>
      </c>
    </row>
    <row r="41" spans="1:36" ht="18" thickBot="1">
      <c r="A41" s="7" t="s">
        <v>24</v>
      </c>
      <c r="B41" s="7" t="s">
        <v>21</v>
      </c>
      <c r="C41" s="7" t="s">
        <v>159</v>
      </c>
      <c r="D41" s="8">
        <v>0</v>
      </c>
      <c r="E41" s="8">
        <v>0</v>
      </c>
      <c r="F41" s="8">
        <v>0</v>
      </c>
      <c r="G41" s="8">
        <v>15</v>
      </c>
      <c r="H41" s="8">
        <v>15</v>
      </c>
      <c r="I41" s="9">
        <v>13500</v>
      </c>
      <c r="J41" s="8">
        <v>0</v>
      </c>
      <c r="K41" s="8">
        <v>0</v>
      </c>
      <c r="L41" s="8">
        <v>0</v>
      </c>
      <c r="M41" s="8">
        <v>2</v>
      </c>
      <c r="N41" s="8">
        <v>14</v>
      </c>
      <c r="O41" s="9">
        <v>11340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17</v>
      </c>
      <c r="AF41" s="8">
        <v>29</v>
      </c>
      <c r="AG41" s="9">
        <v>24840</v>
      </c>
      <c r="AH41" s="9">
        <v>15649.2</v>
      </c>
      <c r="AI41" s="10">
        <v>24840</v>
      </c>
      <c r="AJ41" s="11">
        <v>15649.2</v>
      </c>
    </row>
    <row r="42" spans="1:36" ht="18" thickBot="1">
      <c r="A42" s="7" t="s">
        <v>25</v>
      </c>
      <c r="B42" s="7" t="s">
        <v>21</v>
      </c>
      <c r="C42" s="7" t="s">
        <v>159</v>
      </c>
      <c r="D42" s="8">
        <v>0</v>
      </c>
      <c r="E42" s="8">
        <v>0</v>
      </c>
      <c r="F42" s="8">
        <v>0</v>
      </c>
      <c r="G42" s="8">
        <v>6</v>
      </c>
      <c r="H42" s="8">
        <v>6</v>
      </c>
      <c r="I42" s="9">
        <v>5400</v>
      </c>
      <c r="J42" s="8">
        <v>0</v>
      </c>
      <c r="K42" s="8">
        <v>0</v>
      </c>
      <c r="L42" s="8">
        <v>0</v>
      </c>
      <c r="M42" s="8">
        <v>2</v>
      </c>
      <c r="N42" s="8">
        <v>14</v>
      </c>
      <c r="O42" s="9">
        <v>11340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8</v>
      </c>
      <c r="AF42" s="8">
        <v>20</v>
      </c>
      <c r="AG42" s="9">
        <v>16740</v>
      </c>
      <c r="AH42" s="9">
        <v>10546.2</v>
      </c>
      <c r="AI42" s="10">
        <v>16740</v>
      </c>
      <c r="AJ42" s="11">
        <v>10546.2</v>
      </c>
    </row>
    <row r="43" spans="1:36" ht="18" thickBot="1">
      <c r="A43" s="7" t="s">
        <v>130</v>
      </c>
      <c r="B43" s="7" t="s">
        <v>131</v>
      </c>
      <c r="C43" s="7" t="s">
        <v>158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65</v>
      </c>
      <c r="K43" s="8">
        <v>65</v>
      </c>
      <c r="L43" s="9">
        <v>200940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65</v>
      </c>
      <c r="AF43" s="8">
        <v>65</v>
      </c>
      <c r="AG43" s="9">
        <v>200940</v>
      </c>
      <c r="AH43" s="9">
        <v>126592.2</v>
      </c>
      <c r="AI43" s="10">
        <v>200940</v>
      </c>
      <c r="AJ43" s="11">
        <v>126592.2</v>
      </c>
    </row>
    <row r="44" spans="1:36" ht="18" thickBot="1">
      <c r="A44" s="7" t="s">
        <v>49</v>
      </c>
      <c r="B44" s="7" t="s">
        <v>50</v>
      </c>
      <c r="C44" s="7" t="s">
        <v>159</v>
      </c>
      <c r="D44" s="8">
        <v>0</v>
      </c>
      <c r="E44" s="8">
        <v>0</v>
      </c>
      <c r="F44" s="8">
        <v>0</v>
      </c>
      <c r="G44" s="8">
        <v>8</v>
      </c>
      <c r="H44" s="8">
        <v>8</v>
      </c>
      <c r="I44" s="9">
        <v>7200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8</v>
      </c>
      <c r="AF44" s="8">
        <v>8</v>
      </c>
      <c r="AG44" s="9">
        <v>7200</v>
      </c>
      <c r="AH44" s="9">
        <v>4536</v>
      </c>
      <c r="AI44" s="10">
        <v>7200</v>
      </c>
      <c r="AJ44" s="11">
        <v>4536</v>
      </c>
    </row>
    <row r="45" spans="1:36" ht="18" thickBot="1">
      <c r="A45" s="7" t="s">
        <v>132</v>
      </c>
      <c r="B45" s="7" t="s">
        <v>50</v>
      </c>
      <c r="C45" s="7" t="s">
        <v>159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8">
        <v>100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v>1</v>
      </c>
      <c r="AG45" s="8">
        <v>100</v>
      </c>
      <c r="AH45" s="8">
        <v>63</v>
      </c>
      <c r="AI45" s="12">
        <v>100</v>
      </c>
      <c r="AJ45" s="13">
        <v>63</v>
      </c>
    </row>
    <row r="46" spans="1:36" ht="18" thickBot="1">
      <c r="A46" s="7" t="s">
        <v>26</v>
      </c>
      <c r="B46" s="7" t="s">
        <v>45</v>
      </c>
      <c r="C46" s="7" t="s">
        <v>159</v>
      </c>
      <c r="D46" s="8">
        <v>0</v>
      </c>
      <c r="E46" s="8">
        <v>0</v>
      </c>
      <c r="F46" s="8">
        <v>0</v>
      </c>
      <c r="G46" s="8">
        <v>71</v>
      </c>
      <c r="H46" s="8">
        <v>71</v>
      </c>
      <c r="I46" s="9">
        <v>63900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71</v>
      </c>
      <c r="AF46" s="8">
        <v>71</v>
      </c>
      <c r="AG46" s="9">
        <v>63900</v>
      </c>
      <c r="AH46" s="9">
        <v>40257</v>
      </c>
      <c r="AI46" s="10">
        <v>63900</v>
      </c>
      <c r="AJ46" s="11">
        <v>40257</v>
      </c>
    </row>
    <row r="47" spans="1:36" ht="18" thickBot="1">
      <c r="A47" s="7" t="s">
        <v>133</v>
      </c>
      <c r="B47" s="7" t="s">
        <v>45</v>
      </c>
      <c r="C47" s="7" t="s">
        <v>159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448</v>
      </c>
      <c r="K47" s="8">
        <v>448</v>
      </c>
      <c r="L47" s="9">
        <v>44800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448</v>
      </c>
      <c r="AF47" s="8">
        <v>448</v>
      </c>
      <c r="AG47" s="9">
        <v>44800</v>
      </c>
      <c r="AH47" s="9">
        <v>28224</v>
      </c>
      <c r="AI47" s="10">
        <v>44800</v>
      </c>
      <c r="AJ47" s="11">
        <v>28224</v>
      </c>
    </row>
    <row r="48" spans="1:36" ht="18" thickBot="1">
      <c r="A48" s="7" t="s">
        <v>134</v>
      </c>
      <c r="B48" s="7" t="s">
        <v>135</v>
      </c>
      <c r="C48" s="7" t="s">
        <v>160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29</v>
      </c>
      <c r="K48" s="8">
        <v>29</v>
      </c>
      <c r="L48" s="9">
        <v>58000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29</v>
      </c>
      <c r="AF48" s="8">
        <v>29</v>
      </c>
      <c r="AG48" s="9">
        <v>58000</v>
      </c>
      <c r="AH48" s="9">
        <v>36540</v>
      </c>
      <c r="AI48" s="10">
        <v>58000</v>
      </c>
      <c r="AJ48" s="11">
        <v>36540</v>
      </c>
    </row>
    <row r="49" spans="1:36" ht="18" thickBot="1">
      <c r="A49" s="7" t="s">
        <v>136</v>
      </c>
      <c r="B49" s="7" t="s">
        <v>137</v>
      </c>
      <c r="C49" s="7" t="s">
        <v>158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1</v>
      </c>
      <c r="K49" s="8">
        <v>1</v>
      </c>
      <c r="L49" s="9">
        <v>3400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1</v>
      </c>
      <c r="AG49" s="9">
        <v>3400</v>
      </c>
      <c r="AH49" s="9">
        <v>2142</v>
      </c>
      <c r="AI49" s="10">
        <v>3400</v>
      </c>
      <c r="AJ49" s="11">
        <v>2142</v>
      </c>
    </row>
    <row r="50" spans="1:36" ht="18" thickBot="1">
      <c r="A50" s="7" t="s">
        <v>138</v>
      </c>
      <c r="B50" s="7" t="s">
        <v>139</v>
      </c>
      <c r="C50" s="7" t="s">
        <v>160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10</v>
      </c>
      <c r="K50" s="8">
        <v>10</v>
      </c>
      <c r="L50" s="9">
        <v>25000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10</v>
      </c>
      <c r="AF50" s="8">
        <v>10</v>
      </c>
      <c r="AG50" s="9">
        <v>25000</v>
      </c>
      <c r="AH50" s="9">
        <v>15750</v>
      </c>
      <c r="AI50" s="10">
        <v>25000</v>
      </c>
      <c r="AJ50" s="11">
        <v>15750</v>
      </c>
    </row>
    <row r="51" spans="1:36" ht="18" thickBot="1">
      <c r="A51" s="7" t="s">
        <v>140</v>
      </c>
      <c r="B51" s="7" t="s">
        <v>141</v>
      </c>
      <c r="C51" s="7" t="s">
        <v>160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62</v>
      </c>
      <c r="K51" s="8">
        <v>62</v>
      </c>
      <c r="L51" s="9">
        <v>124000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62</v>
      </c>
      <c r="AF51" s="8">
        <v>62</v>
      </c>
      <c r="AG51" s="9">
        <v>124000</v>
      </c>
      <c r="AH51" s="9">
        <v>78120</v>
      </c>
      <c r="AI51" s="10">
        <v>124000</v>
      </c>
      <c r="AJ51" s="11">
        <v>78120</v>
      </c>
    </row>
    <row r="52" spans="1:36" ht="18" thickBot="1">
      <c r="A52" s="7" t="s">
        <v>142</v>
      </c>
      <c r="B52" s="7" t="s">
        <v>124</v>
      </c>
      <c r="C52" s="7" t="s">
        <v>158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1</v>
      </c>
      <c r="K52" s="8">
        <v>1</v>
      </c>
      <c r="L52" s="8">
        <v>500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</v>
      </c>
      <c r="AF52" s="8">
        <v>1</v>
      </c>
      <c r="AG52" s="8">
        <v>500</v>
      </c>
      <c r="AH52" s="8">
        <v>315</v>
      </c>
      <c r="AI52" s="12">
        <v>500</v>
      </c>
      <c r="AJ52" s="13">
        <v>315</v>
      </c>
    </row>
    <row r="53" spans="1:36" ht="18" thickBot="1">
      <c r="A53" s="7" t="s">
        <v>143</v>
      </c>
      <c r="B53" s="7" t="s">
        <v>144</v>
      </c>
      <c r="C53" s="7" t="s">
        <v>160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252</v>
      </c>
      <c r="K53" s="8">
        <v>252</v>
      </c>
      <c r="L53" s="9">
        <v>504000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252</v>
      </c>
      <c r="AF53" s="8">
        <v>252</v>
      </c>
      <c r="AG53" s="9">
        <v>504000</v>
      </c>
      <c r="AH53" s="9">
        <v>317520</v>
      </c>
      <c r="AI53" s="10">
        <v>504000</v>
      </c>
      <c r="AJ53" s="11">
        <v>317520</v>
      </c>
    </row>
    <row r="54" spans="1:36" ht="18" thickBot="1">
      <c r="A54" s="7" t="s">
        <v>145</v>
      </c>
      <c r="B54" s="7" t="s">
        <v>146</v>
      </c>
      <c r="C54" s="7" t="s">
        <v>160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7</v>
      </c>
      <c r="K54" s="8">
        <v>7</v>
      </c>
      <c r="L54" s="9">
        <v>17500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7</v>
      </c>
      <c r="AF54" s="8">
        <v>7</v>
      </c>
      <c r="AG54" s="9">
        <v>17500</v>
      </c>
      <c r="AH54" s="9">
        <v>11025</v>
      </c>
      <c r="AI54" s="10">
        <v>17500</v>
      </c>
      <c r="AJ54" s="11">
        <v>11025</v>
      </c>
    </row>
    <row r="55" spans="1:36" ht="18" thickBot="1">
      <c r="A55" s="7" t="s">
        <v>147</v>
      </c>
      <c r="B55" s="7" t="s">
        <v>27</v>
      </c>
      <c r="C55" s="7" t="s">
        <v>158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1</v>
      </c>
      <c r="K55" s="8">
        <v>1</v>
      </c>
      <c r="L55" s="9">
        <v>3500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9">
        <v>3500</v>
      </c>
      <c r="AH55" s="9">
        <v>2205</v>
      </c>
      <c r="AI55" s="10">
        <v>3500</v>
      </c>
      <c r="AJ55" s="11">
        <v>2205</v>
      </c>
    </row>
    <row r="56" spans="1:36" ht="18" thickBot="1">
      <c r="A56" s="7" t="s">
        <v>28</v>
      </c>
      <c r="B56" s="7" t="s">
        <v>29</v>
      </c>
      <c r="C56" s="7" t="s">
        <v>158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6</v>
      </c>
      <c r="K56" s="8">
        <v>6</v>
      </c>
      <c r="L56" s="9">
        <v>22800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6</v>
      </c>
      <c r="AF56" s="8">
        <v>6</v>
      </c>
      <c r="AG56" s="9">
        <v>22800</v>
      </c>
      <c r="AH56" s="9">
        <v>14364</v>
      </c>
      <c r="AI56" s="10">
        <v>22800</v>
      </c>
      <c r="AJ56" s="11">
        <v>14364</v>
      </c>
    </row>
    <row r="57" spans="1:36" ht="18" thickBot="1">
      <c r="A57" s="7" t="s">
        <v>148</v>
      </c>
      <c r="B57" s="7" t="s">
        <v>84</v>
      </c>
      <c r="C57" s="7" t="s">
        <v>158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1</v>
      </c>
      <c r="K57" s="8">
        <v>1</v>
      </c>
      <c r="L57" s="9">
        <v>2800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9">
        <v>2800</v>
      </c>
      <c r="AH57" s="9">
        <v>1764</v>
      </c>
      <c r="AI57" s="10">
        <v>2800</v>
      </c>
      <c r="AJ57" s="11">
        <v>1764</v>
      </c>
    </row>
    <row r="58" spans="1:36" ht="18" thickBot="1">
      <c r="A58" s="7" t="s">
        <v>149</v>
      </c>
      <c r="B58" s="7" t="s">
        <v>150</v>
      </c>
      <c r="C58" s="7" t="s">
        <v>158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3</v>
      </c>
      <c r="K58" s="8">
        <v>3</v>
      </c>
      <c r="L58" s="9">
        <v>10500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3</v>
      </c>
      <c r="AF58" s="8">
        <v>3</v>
      </c>
      <c r="AG58" s="9">
        <v>10500</v>
      </c>
      <c r="AH58" s="9">
        <v>6615</v>
      </c>
      <c r="AI58" s="10">
        <v>10500</v>
      </c>
      <c r="AJ58" s="11">
        <v>6615</v>
      </c>
    </row>
    <row r="59" spans="1:36" ht="18" thickBot="1">
      <c r="A59" s="7" t="s">
        <v>85</v>
      </c>
      <c r="B59" s="7" t="s">
        <v>86</v>
      </c>
      <c r="C59" s="7" t="s">
        <v>159</v>
      </c>
      <c r="D59" s="8">
        <v>0</v>
      </c>
      <c r="E59" s="8">
        <v>0</v>
      </c>
      <c r="F59" s="8">
        <v>0</v>
      </c>
      <c r="G59" s="8">
        <v>702</v>
      </c>
      <c r="H59" s="8">
        <v>702</v>
      </c>
      <c r="I59" s="9">
        <v>631800</v>
      </c>
      <c r="J59" s="8">
        <v>0</v>
      </c>
      <c r="K59" s="8">
        <v>0</v>
      </c>
      <c r="L59" s="8">
        <v>0</v>
      </c>
      <c r="M59" s="8">
        <v>30</v>
      </c>
      <c r="N59" s="8">
        <v>330</v>
      </c>
      <c r="O59" s="9">
        <v>240570</v>
      </c>
      <c r="P59" s="8">
        <v>0</v>
      </c>
      <c r="Q59" s="8">
        <v>0</v>
      </c>
      <c r="R59" s="8">
        <v>0</v>
      </c>
      <c r="S59" s="8">
        <v>29</v>
      </c>
      <c r="T59" s="8">
        <v>29</v>
      </c>
      <c r="U59" s="9">
        <v>31320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761</v>
      </c>
      <c r="AF59" s="14">
        <v>1061</v>
      </c>
      <c r="AG59" s="9">
        <v>903690</v>
      </c>
      <c r="AH59" s="9">
        <v>568385.1</v>
      </c>
      <c r="AI59" s="10">
        <v>903690</v>
      </c>
      <c r="AJ59" s="11">
        <v>568385.1</v>
      </c>
    </row>
    <row r="60" spans="1:36" ht="18" thickBot="1">
      <c r="A60" s="7" t="s">
        <v>87</v>
      </c>
      <c r="B60" s="7" t="s">
        <v>86</v>
      </c>
      <c r="C60" s="7" t="s">
        <v>159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589</v>
      </c>
      <c r="K60" s="8">
        <v>589</v>
      </c>
      <c r="L60" s="9">
        <v>58900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589</v>
      </c>
      <c r="AF60" s="8">
        <v>589</v>
      </c>
      <c r="AG60" s="9">
        <v>58900</v>
      </c>
      <c r="AH60" s="9">
        <v>37107</v>
      </c>
      <c r="AI60" s="10">
        <v>58900</v>
      </c>
      <c r="AJ60" s="11">
        <v>37107</v>
      </c>
    </row>
    <row r="61" spans="1:36" ht="18" thickBot="1">
      <c r="A61" s="7" t="s">
        <v>30</v>
      </c>
      <c r="B61" s="7" t="s">
        <v>31</v>
      </c>
      <c r="C61" s="7" t="s">
        <v>158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4</v>
      </c>
      <c r="K61" s="8">
        <v>4</v>
      </c>
      <c r="L61" s="9">
        <v>11200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4</v>
      </c>
      <c r="AF61" s="8">
        <v>4</v>
      </c>
      <c r="AG61" s="9">
        <v>11200</v>
      </c>
      <c r="AH61" s="9">
        <v>7056</v>
      </c>
      <c r="AI61" s="10">
        <v>11200</v>
      </c>
      <c r="AJ61" s="11">
        <v>7056</v>
      </c>
    </row>
    <row r="62" spans="1:36" ht="18" thickBot="1">
      <c r="A62" s="7" t="s">
        <v>46</v>
      </c>
      <c r="B62" s="7" t="s">
        <v>31</v>
      </c>
      <c r="C62" s="7" t="s">
        <v>158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8">
        <v>300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300</v>
      </c>
      <c r="AH62" s="8">
        <v>189</v>
      </c>
      <c r="AI62" s="12">
        <v>300</v>
      </c>
      <c r="AJ62" s="13">
        <v>189</v>
      </c>
    </row>
    <row r="63" spans="1:36" ht="18" thickBot="1">
      <c r="A63" s="7" t="s">
        <v>88</v>
      </c>
      <c r="B63" s="7" t="s">
        <v>89</v>
      </c>
      <c r="C63" s="7" t="s">
        <v>158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9">
        <v>2700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9">
        <v>2700</v>
      </c>
      <c r="AH63" s="9">
        <v>1701</v>
      </c>
      <c r="AI63" s="10">
        <v>2700</v>
      </c>
      <c r="AJ63" s="11">
        <v>1701</v>
      </c>
    </row>
    <row r="64" spans="1:36" ht="18" thickBot="1">
      <c r="A64" s="7" t="s">
        <v>32</v>
      </c>
      <c r="B64" s="7" t="s">
        <v>21</v>
      </c>
      <c r="C64" s="7" t="s">
        <v>159</v>
      </c>
      <c r="D64" s="8">
        <v>0</v>
      </c>
      <c r="E64" s="8">
        <v>0</v>
      </c>
      <c r="F64" s="8">
        <v>0</v>
      </c>
      <c r="G64" s="8">
        <v>37</v>
      </c>
      <c r="H64" s="8">
        <v>37</v>
      </c>
      <c r="I64" s="9">
        <v>33300</v>
      </c>
      <c r="J64" s="8">
        <v>0</v>
      </c>
      <c r="K64" s="8">
        <v>0</v>
      </c>
      <c r="L64" s="8">
        <v>0</v>
      </c>
      <c r="M64" s="8">
        <v>2</v>
      </c>
      <c r="N64" s="8">
        <v>16</v>
      </c>
      <c r="O64" s="9">
        <v>12960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39</v>
      </c>
      <c r="AF64" s="8">
        <v>53</v>
      </c>
      <c r="AG64" s="9">
        <v>46260</v>
      </c>
      <c r="AH64" s="9">
        <v>29143.8</v>
      </c>
      <c r="AI64" s="10">
        <v>46260</v>
      </c>
      <c r="AJ64" s="11">
        <v>29143.8</v>
      </c>
    </row>
    <row r="65" spans="1:36" ht="18" thickBot="1">
      <c r="A65" s="7" t="s">
        <v>151</v>
      </c>
      <c r="B65" s="7" t="s">
        <v>122</v>
      </c>
      <c r="C65" s="7" t="s">
        <v>158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4</v>
      </c>
      <c r="Q65" s="8">
        <v>8</v>
      </c>
      <c r="R65" s="9">
        <v>25200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4</v>
      </c>
      <c r="AF65" s="8">
        <v>8</v>
      </c>
      <c r="AG65" s="9">
        <v>25200</v>
      </c>
      <c r="AH65" s="9">
        <v>15876</v>
      </c>
      <c r="AI65" s="10">
        <v>25200</v>
      </c>
      <c r="AJ65" s="11">
        <v>15876</v>
      </c>
    </row>
    <row r="66" spans="1:36" ht="18" thickBot="1">
      <c r="A66" s="7" t="s">
        <v>33</v>
      </c>
      <c r="B66" s="7" t="s">
        <v>21</v>
      </c>
      <c r="C66" s="7" t="s">
        <v>159</v>
      </c>
      <c r="D66" s="8">
        <v>0</v>
      </c>
      <c r="E66" s="8">
        <v>0</v>
      </c>
      <c r="F66" s="8">
        <v>0</v>
      </c>
      <c r="G66" s="8">
        <v>46</v>
      </c>
      <c r="H66" s="8">
        <v>46</v>
      </c>
      <c r="I66" s="9">
        <v>32200</v>
      </c>
      <c r="J66" s="8">
        <v>0</v>
      </c>
      <c r="K66" s="8">
        <v>0</v>
      </c>
      <c r="L66" s="8">
        <v>0</v>
      </c>
      <c r="M66" s="8">
        <v>4</v>
      </c>
      <c r="N66" s="8">
        <v>28</v>
      </c>
      <c r="O66" s="9">
        <v>17640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50</v>
      </c>
      <c r="AF66" s="8">
        <v>74</v>
      </c>
      <c r="AG66" s="9">
        <v>49840</v>
      </c>
      <c r="AH66" s="9">
        <v>31399.200000000001</v>
      </c>
      <c r="AI66" s="10">
        <v>49840</v>
      </c>
      <c r="AJ66" s="11">
        <v>31399.200000000001</v>
      </c>
    </row>
    <row r="67" spans="1:36" ht="18" thickBot="1">
      <c r="A67" s="7" t="s">
        <v>34</v>
      </c>
      <c r="B67" s="7" t="s">
        <v>21</v>
      </c>
      <c r="C67" s="7" t="s">
        <v>159</v>
      </c>
      <c r="D67" s="8">
        <v>0</v>
      </c>
      <c r="E67" s="8">
        <v>0</v>
      </c>
      <c r="F67" s="8">
        <v>0</v>
      </c>
      <c r="G67" s="8">
        <v>32</v>
      </c>
      <c r="H67" s="8">
        <v>32</v>
      </c>
      <c r="I67" s="9">
        <v>28800</v>
      </c>
      <c r="J67" s="8">
        <v>2</v>
      </c>
      <c r="K67" s="8">
        <v>2</v>
      </c>
      <c r="L67" s="9">
        <v>5000</v>
      </c>
      <c r="M67" s="8">
        <v>1</v>
      </c>
      <c r="N67" s="8">
        <v>7</v>
      </c>
      <c r="O67" s="9">
        <v>6300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35</v>
      </c>
      <c r="AF67" s="8">
        <v>41</v>
      </c>
      <c r="AG67" s="9">
        <v>40100</v>
      </c>
      <c r="AH67" s="9">
        <v>25263</v>
      </c>
      <c r="AI67" s="10">
        <v>40100</v>
      </c>
      <c r="AJ67" s="11">
        <v>25263</v>
      </c>
    </row>
    <row r="68" spans="1:36" ht="18" thickBot="1">
      <c r="A68" s="7" t="s">
        <v>35</v>
      </c>
      <c r="B68" s="7" t="s">
        <v>21</v>
      </c>
      <c r="C68" s="7" t="s">
        <v>159</v>
      </c>
      <c r="D68" s="8">
        <v>0</v>
      </c>
      <c r="E68" s="8">
        <v>0</v>
      </c>
      <c r="F68" s="8">
        <v>0</v>
      </c>
      <c r="G68" s="8">
        <v>79</v>
      </c>
      <c r="H68" s="8">
        <v>79</v>
      </c>
      <c r="I68" s="9">
        <v>71100</v>
      </c>
      <c r="J68" s="8">
        <v>0</v>
      </c>
      <c r="K68" s="8">
        <v>0</v>
      </c>
      <c r="L68" s="8">
        <v>0</v>
      </c>
      <c r="M68" s="8">
        <v>1</v>
      </c>
      <c r="N68" s="8">
        <v>8</v>
      </c>
      <c r="O68" s="9">
        <v>7200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80</v>
      </c>
      <c r="AF68" s="8">
        <v>87</v>
      </c>
      <c r="AG68" s="9">
        <v>78300</v>
      </c>
      <c r="AH68" s="9">
        <v>49329</v>
      </c>
      <c r="AI68" s="10">
        <v>78300</v>
      </c>
      <c r="AJ68" s="11">
        <v>49329</v>
      </c>
    </row>
    <row r="69" spans="1:36" ht="18" thickBot="1">
      <c r="A69" s="7" t="s">
        <v>152</v>
      </c>
      <c r="B69" s="7" t="s">
        <v>84</v>
      </c>
      <c r="C69" s="7" t="s">
        <v>158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v>1</v>
      </c>
      <c r="L69" s="9">
        <v>1000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9">
        <v>1000</v>
      </c>
      <c r="AH69" s="8">
        <v>630</v>
      </c>
      <c r="AI69" s="10">
        <v>1000</v>
      </c>
      <c r="AJ69" s="13">
        <v>630</v>
      </c>
    </row>
    <row r="70" spans="1:36" ht="18" thickBot="1">
      <c r="A70" s="7" t="s">
        <v>36</v>
      </c>
      <c r="B70" s="7" t="s">
        <v>45</v>
      </c>
      <c r="C70" s="7" t="s">
        <v>159</v>
      </c>
      <c r="D70" s="8">
        <v>0</v>
      </c>
      <c r="E70" s="8">
        <v>0</v>
      </c>
      <c r="F70" s="8">
        <v>0</v>
      </c>
      <c r="G70" s="8">
        <v>13</v>
      </c>
      <c r="H70" s="8">
        <v>13</v>
      </c>
      <c r="I70" s="9">
        <v>11700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13</v>
      </c>
      <c r="AF70" s="8">
        <v>13</v>
      </c>
      <c r="AG70" s="9">
        <v>11700</v>
      </c>
      <c r="AH70" s="9">
        <v>7371</v>
      </c>
      <c r="AI70" s="10">
        <v>11700</v>
      </c>
      <c r="AJ70" s="11">
        <v>7371</v>
      </c>
    </row>
    <row r="71" spans="1:36" ht="18" thickBot="1">
      <c r="A71" s="7" t="s">
        <v>37</v>
      </c>
      <c r="B71" s="7" t="s">
        <v>21</v>
      </c>
      <c r="C71" s="7" t="s">
        <v>159</v>
      </c>
      <c r="D71" s="8">
        <v>0</v>
      </c>
      <c r="E71" s="8">
        <v>0</v>
      </c>
      <c r="F71" s="8">
        <v>0</v>
      </c>
      <c r="G71" s="8">
        <v>47</v>
      </c>
      <c r="H71" s="8">
        <v>47</v>
      </c>
      <c r="I71" s="9">
        <v>42300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47</v>
      </c>
      <c r="AF71" s="8">
        <v>47</v>
      </c>
      <c r="AG71" s="9">
        <v>42300</v>
      </c>
      <c r="AH71" s="9">
        <v>26649</v>
      </c>
      <c r="AI71" s="10">
        <v>42300</v>
      </c>
      <c r="AJ71" s="11">
        <v>26649</v>
      </c>
    </row>
    <row r="72" spans="1:36" ht="18" thickBot="1">
      <c r="A72" s="7" t="s">
        <v>153</v>
      </c>
      <c r="B72" s="7" t="s">
        <v>14</v>
      </c>
      <c r="C72" s="7" t="s">
        <v>158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1</v>
      </c>
      <c r="K72" s="8">
        <v>1</v>
      </c>
      <c r="L72" s="9">
        <v>2800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1</v>
      </c>
      <c r="AF72" s="8">
        <v>1</v>
      </c>
      <c r="AG72" s="9">
        <v>2800</v>
      </c>
      <c r="AH72" s="9">
        <v>1764</v>
      </c>
      <c r="AI72" s="10">
        <v>2800</v>
      </c>
      <c r="AJ72" s="11">
        <v>1764</v>
      </c>
    </row>
    <row r="73" spans="1:36" ht="18" thickBot="1">
      <c r="A73" s="7" t="s">
        <v>38</v>
      </c>
      <c r="B73" s="7" t="s">
        <v>45</v>
      </c>
      <c r="C73" s="7" t="s">
        <v>159</v>
      </c>
      <c r="D73" s="8">
        <v>0</v>
      </c>
      <c r="E73" s="8">
        <v>0</v>
      </c>
      <c r="F73" s="8">
        <v>0</v>
      </c>
      <c r="G73" s="8">
        <v>11</v>
      </c>
      <c r="H73" s="8">
        <v>11</v>
      </c>
      <c r="I73" s="9">
        <v>9900</v>
      </c>
      <c r="J73" s="8">
        <v>0</v>
      </c>
      <c r="K73" s="8">
        <v>0</v>
      </c>
      <c r="L73" s="8">
        <v>0</v>
      </c>
      <c r="M73" s="8">
        <v>3</v>
      </c>
      <c r="N73" s="8">
        <v>39</v>
      </c>
      <c r="O73" s="9">
        <v>24570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14</v>
      </c>
      <c r="AF73" s="8">
        <v>50</v>
      </c>
      <c r="AG73" s="9">
        <v>34470</v>
      </c>
      <c r="AH73" s="9">
        <v>21716.1</v>
      </c>
      <c r="AI73" s="10">
        <v>34470</v>
      </c>
      <c r="AJ73" s="11">
        <v>21716.1</v>
      </c>
    </row>
    <row r="74" spans="1:36" ht="18" thickBot="1">
      <c r="A74" s="7" t="s">
        <v>154</v>
      </c>
      <c r="B74" s="7" t="s">
        <v>21</v>
      </c>
      <c r="C74" s="7" t="s">
        <v>159</v>
      </c>
      <c r="D74" s="8">
        <v>0</v>
      </c>
      <c r="E74" s="8">
        <v>0</v>
      </c>
      <c r="F74" s="8">
        <v>0</v>
      </c>
      <c r="G74" s="8">
        <v>10</v>
      </c>
      <c r="H74" s="8">
        <v>10</v>
      </c>
      <c r="I74" s="9">
        <v>9000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10</v>
      </c>
      <c r="AF74" s="8">
        <v>10</v>
      </c>
      <c r="AG74" s="9">
        <v>9000</v>
      </c>
      <c r="AH74" s="9">
        <v>5670</v>
      </c>
      <c r="AI74" s="10">
        <v>9000</v>
      </c>
      <c r="AJ74" s="11">
        <v>5670</v>
      </c>
    </row>
    <row r="75" spans="1:36" ht="18" thickBot="1">
      <c r="A75" s="7" t="s">
        <v>78</v>
      </c>
      <c r="B75" s="7" t="s">
        <v>27</v>
      </c>
      <c r="C75" s="7" t="s">
        <v>158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2</v>
      </c>
      <c r="K75" s="8">
        <v>2</v>
      </c>
      <c r="L75" s="9">
        <v>6000</v>
      </c>
      <c r="M75" s="8">
        <v>0</v>
      </c>
      <c r="N75" s="8">
        <v>0</v>
      </c>
      <c r="O75" s="8">
        <v>0</v>
      </c>
      <c r="P75" s="8">
        <v>1</v>
      </c>
      <c r="Q75" s="8">
        <v>3</v>
      </c>
      <c r="R75" s="9">
        <v>9000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3</v>
      </c>
      <c r="AF75" s="8">
        <v>5</v>
      </c>
      <c r="AG75" s="9">
        <v>15000</v>
      </c>
      <c r="AH75" s="9">
        <v>9450</v>
      </c>
      <c r="AI75" s="10">
        <v>15000</v>
      </c>
      <c r="AJ75" s="11">
        <v>9450</v>
      </c>
    </row>
    <row r="76" spans="1:36" ht="18" thickBot="1">
      <c r="A76" s="7" t="s">
        <v>47</v>
      </c>
      <c r="B76" s="7" t="s">
        <v>45</v>
      </c>
      <c r="C76" s="7" t="s">
        <v>159</v>
      </c>
      <c r="D76" s="8">
        <v>0</v>
      </c>
      <c r="E76" s="8">
        <v>0</v>
      </c>
      <c r="F76" s="8">
        <v>0</v>
      </c>
      <c r="G76" s="8">
        <v>12</v>
      </c>
      <c r="H76" s="8">
        <v>12</v>
      </c>
      <c r="I76" s="9">
        <v>10800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12</v>
      </c>
      <c r="AF76" s="8">
        <v>12</v>
      </c>
      <c r="AG76" s="9">
        <v>10800</v>
      </c>
      <c r="AH76" s="9">
        <v>6804</v>
      </c>
      <c r="AI76" s="10">
        <v>10800</v>
      </c>
      <c r="AJ76" s="11">
        <v>6804</v>
      </c>
    </row>
    <row r="77" spans="1:36" ht="18" thickBot="1">
      <c r="A77" s="7" t="s">
        <v>39</v>
      </c>
      <c r="B77" s="7" t="s">
        <v>40</v>
      </c>
      <c r="C77" s="7" t="s">
        <v>158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3</v>
      </c>
      <c r="K77" s="8">
        <v>3</v>
      </c>
      <c r="L77" s="9">
        <v>10800</v>
      </c>
      <c r="M77" s="8">
        <v>0</v>
      </c>
      <c r="N77" s="8">
        <v>0</v>
      </c>
      <c r="O77" s="8">
        <v>0</v>
      </c>
      <c r="P77" s="8">
        <v>1</v>
      </c>
      <c r="Q77" s="8">
        <v>2</v>
      </c>
      <c r="R77" s="9">
        <v>7200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4</v>
      </c>
      <c r="AF77" s="8">
        <v>5</v>
      </c>
      <c r="AG77" s="9">
        <v>18000</v>
      </c>
      <c r="AH77" s="9">
        <v>11340</v>
      </c>
      <c r="AI77" s="10">
        <v>18000</v>
      </c>
      <c r="AJ77" s="11">
        <v>11340</v>
      </c>
    </row>
    <row r="78" spans="1:36" ht="18" thickBot="1">
      <c r="A78" s="7" t="s">
        <v>41</v>
      </c>
      <c r="B78" s="7" t="s">
        <v>42</v>
      </c>
      <c r="C78" s="7" t="s">
        <v>158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7</v>
      </c>
      <c r="K78" s="8">
        <v>7</v>
      </c>
      <c r="L78" s="9">
        <v>24500</v>
      </c>
      <c r="M78" s="8">
        <v>0</v>
      </c>
      <c r="N78" s="8">
        <v>0</v>
      </c>
      <c r="O78" s="8">
        <v>0</v>
      </c>
      <c r="P78" s="8">
        <v>3</v>
      </c>
      <c r="Q78" s="8">
        <v>6</v>
      </c>
      <c r="R78" s="9">
        <v>21000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10</v>
      </c>
      <c r="AF78" s="8">
        <v>13</v>
      </c>
      <c r="AG78" s="9">
        <v>45500</v>
      </c>
      <c r="AH78" s="9">
        <v>28665</v>
      </c>
      <c r="AI78" s="10">
        <v>45500</v>
      </c>
      <c r="AJ78" s="11">
        <v>28665</v>
      </c>
    </row>
    <row r="79" spans="1:36" ht="18" thickBot="1">
      <c r="A79" s="7" t="s">
        <v>43</v>
      </c>
      <c r="B79" s="7" t="s">
        <v>45</v>
      </c>
      <c r="C79" s="7" t="s">
        <v>159</v>
      </c>
      <c r="D79" s="8">
        <v>0</v>
      </c>
      <c r="E79" s="8">
        <v>0</v>
      </c>
      <c r="F79" s="8">
        <v>0</v>
      </c>
      <c r="G79" s="8">
        <v>16</v>
      </c>
      <c r="H79" s="8">
        <v>16</v>
      </c>
      <c r="I79" s="9">
        <v>14400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16</v>
      </c>
      <c r="AF79" s="8">
        <v>16</v>
      </c>
      <c r="AG79" s="9">
        <v>14400</v>
      </c>
      <c r="AH79" s="9">
        <v>9072</v>
      </c>
      <c r="AI79" s="10">
        <v>14400</v>
      </c>
      <c r="AJ79" s="11">
        <v>9072</v>
      </c>
    </row>
    <row r="80" spans="1:36" ht="18" thickBot="1">
      <c r="A80" s="7" t="s">
        <v>155</v>
      </c>
      <c r="B80" s="7" t="s">
        <v>156</v>
      </c>
      <c r="C80" s="7" t="s">
        <v>160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22</v>
      </c>
      <c r="K80" s="8">
        <v>22</v>
      </c>
      <c r="L80" s="9">
        <v>44000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22</v>
      </c>
      <c r="AF80" s="8">
        <v>22</v>
      </c>
      <c r="AG80" s="9">
        <v>44000</v>
      </c>
      <c r="AH80" s="9">
        <v>27720</v>
      </c>
      <c r="AI80" s="10">
        <v>44000</v>
      </c>
      <c r="AJ80" s="11">
        <v>27720</v>
      </c>
    </row>
    <row r="81" spans="1:36" ht="18" thickBot="1">
      <c r="A81" s="7" t="s">
        <v>157</v>
      </c>
      <c r="B81" s="7" t="s">
        <v>82</v>
      </c>
      <c r="C81" s="7" t="s">
        <v>158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6</v>
      </c>
      <c r="K81" s="8">
        <v>6</v>
      </c>
      <c r="L81" s="9">
        <v>19800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6</v>
      </c>
      <c r="AF81" s="8">
        <v>6</v>
      </c>
      <c r="AG81" s="9">
        <v>19800</v>
      </c>
      <c r="AH81" s="9">
        <v>12474</v>
      </c>
      <c r="AI81" s="10">
        <v>19800</v>
      </c>
      <c r="AJ81" s="11">
        <v>12474</v>
      </c>
    </row>
    <row r="82" spans="1:36">
      <c r="A82" s="7" t="s">
        <v>44</v>
      </c>
      <c r="B82" s="7" t="s">
        <v>45</v>
      </c>
      <c r="C82" s="7" t="s">
        <v>159</v>
      </c>
      <c r="D82" s="8">
        <v>0</v>
      </c>
      <c r="E82" s="8">
        <v>0</v>
      </c>
      <c r="F82" s="8">
        <v>0</v>
      </c>
      <c r="G82" s="8">
        <v>10</v>
      </c>
      <c r="H82" s="8">
        <v>10</v>
      </c>
      <c r="I82" s="9">
        <v>9000</v>
      </c>
      <c r="J82" s="8">
        <v>0</v>
      </c>
      <c r="K82" s="8">
        <v>0</v>
      </c>
      <c r="L82" s="8">
        <v>0</v>
      </c>
      <c r="M82" s="8">
        <v>1</v>
      </c>
      <c r="N82" s="8">
        <v>9</v>
      </c>
      <c r="O82" s="9">
        <v>7290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11</v>
      </c>
      <c r="AF82" s="8">
        <v>19</v>
      </c>
      <c r="AG82" s="9">
        <v>16290</v>
      </c>
      <c r="AH82" s="9">
        <v>10262.700000000001</v>
      </c>
      <c r="AI82" s="10">
        <v>16290</v>
      </c>
      <c r="AJ82" s="11">
        <v>10262.700000000001</v>
      </c>
    </row>
    <row r="83" spans="1:36">
      <c r="AJ83" s="15">
        <f>SUM(AJ2:AJ82)</f>
        <v>3512051.1</v>
      </c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50"/>
  <sheetViews>
    <sheetView topLeftCell="O31" workbookViewId="0">
      <selection activeCell="AJ50" sqref="AJ50"/>
    </sheetView>
  </sheetViews>
  <sheetFormatPr defaultRowHeight="17.399999999999999"/>
  <cols>
    <col min="1" max="1" width="9.296875" bestFit="1" customWidth="1"/>
    <col min="2" max="2" width="8.3984375" bestFit="1" customWidth="1"/>
    <col min="3" max="3" width="7.0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10.19921875" bestFit="1" customWidth="1"/>
  </cols>
  <sheetData>
    <row r="1" spans="1:36" ht="63" thickBot="1">
      <c r="A1" s="1" t="s">
        <v>0</v>
      </c>
      <c r="B1" s="1" t="s">
        <v>1</v>
      </c>
      <c r="C1" s="1" t="s">
        <v>72</v>
      </c>
      <c r="D1" s="2" t="s">
        <v>51</v>
      </c>
      <c r="E1" s="2" t="s">
        <v>52</v>
      </c>
      <c r="F1" s="2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66</v>
      </c>
      <c r="AF1" s="5" t="s">
        <v>67</v>
      </c>
      <c r="AG1" s="5" t="s">
        <v>68</v>
      </c>
      <c r="AH1" s="5" t="s">
        <v>69</v>
      </c>
      <c r="AI1" s="6" t="s">
        <v>70</v>
      </c>
      <c r="AJ1" s="6" t="s">
        <v>71</v>
      </c>
    </row>
    <row r="2" spans="1:36" ht="27.6" thickBot="1">
      <c r="A2" s="7" t="s">
        <v>90</v>
      </c>
      <c r="B2" s="7" t="s">
        <v>14</v>
      </c>
      <c r="C2" s="7" t="s">
        <v>158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2</v>
      </c>
      <c r="L2" s="9">
        <v>2400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</v>
      </c>
      <c r="AF2" s="8">
        <v>2</v>
      </c>
      <c r="AG2" s="9">
        <v>2400</v>
      </c>
      <c r="AH2" s="9">
        <v>1512</v>
      </c>
      <c r="AI2" s="10">
        <v>2400</v>
      </c>
      <c r="AJ2" s="11">
        <v>1512</v>
      </c>
    </row>
    <row r="3" spans="1:36" ht="18.600000000000001" thickBot="1">
      <c r="A3" s="7" t="s">
        <v>91</v>
      </c>
      <c r="B3" s="7" t="s">
        <v>92</v>
      </c>
      <c r="C3" s="7" t="s">
        <v>158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2</v>
      </c>
      <c r="K3" s="8">
        <v>2</v>
      </c>
      <c r="L3" s="9">
        <v>6800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2</v>
      </c>
      <c r="AF3" s="8">
        <v>2</v>
      </c>
      <c r="AG3" s="9">
        <v>6800</v>
      </c>
      <c r="AH3" s="9">
        <v>4284</v>
      </c>
      <c r="AI3" s="10">
        <v>6800</v>
      </c>
      <c r="AJ3" s="11">
        <v>4284</v>
      </c>
    </row>
    <row r="4" spans="1:36" ht="18.600000000000001" thickBot="1">
      <c r="A4" s="7" t="s">
        <v>93</v>
      </c>
      <c r="B4" s="7" t="s">
        <v>92</v>
      </c>
      <c r="C4" s="7" t="s">
        <v>158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272</v>
      </c>
      <c r="K4" s="8">
        <v>272</v>
      </c>
      <c r="L4" s="9">
        <v>27200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272</v>
      </c>
      <c r="AF4" s="8">
        <v>272</v>
      </c>
      <c r="AG4" s="9">
        <v>27200</v>
      </c>
      <c r="AH4" s="9">
        <v>17136</v>
      </c>
      <c r="AI4" s="10">
        <v>27200</v>
      </c>
      <c r="AJ4" s="11">
        <v>17136</v>
      </c>
    </row>
    <row r="5" spans="1:36" ht="18.600000000000001" thickBot="1">
      <c r="A5" s="7" t="s">
        <v>79</v>
      </c>
      <c r="B5" s="7" t="s">
        <v>80</v>
      </c>
      <c r="C5" s="7" t="s">
        <v>158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</v>
      </c>
      <c r="K5" s="8">
        <v>3</v>
      </c>
      <c r="L5" s="9">
        <v>9600</v>
      </c>
      <c r="M5" s="8">
        <v>0</v>
      </c>
      <c r="N5" s="8">
        <v>0</v>
      </c>
      <c r="O5" s="8">
        <v>0</v>
      </c>
      <c r="P5" s="8">
        <v>1</v>
      </c>
      <c r="Q5" s="8">
        <v>4</v>
      </c>
      <c r="R5" s="9">
        <v>11520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4</v>
      </c>
      <c r="AF5" s="8">
        <v>7</v>
      </c>
      <c r="AG5" s="9">
        <v>21120</v>
      </c>
      <c r="AH5" s="9">
        <v>13305.6</v>
      </c>
      <c r="AI5" s="10">
        <v>21120</v>
      </c>
      <c r="AJ5" s="11">
        <v>13305.6</v>
      </c>
    </row>
    <row r="6" spans="1:36" ht="18.600000000000001" thickBot="1">
      <c r="A6" s="7" t="s">
        <v>94</v>
      </c>
      <c r="B6" s="7" t="s">
        <v>95</v>
      </c>
      <c r="C6" s="7" t="s">
        <v>158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10</v>
      </c>
      <c r="K6" s="8">
        <v>10</v>
      </c>
      <c r="L6" s="9">
        <v>35000</v>
      </c>
      <c r="M6" s="8">
        <v>0</v>
      </c>
      <c r="N6" s="8">
        <v>0</v>
      </c>
      <c r="O6" s="8">
        <v>0</v>
      </c>
      <c r="P6" s="8">
        <v>7</v>
      </c>
      <c r="Q6" s="8">
        <v>21</v>
      </c>
      <c r="R6" s="9">
        <v>69300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17</v>
      </c>
      <c r="AF6" s="8">
        <v>31</v>
      </c>
      <c r="AG6" s="9">
        <v>104300</v>
      </c>
      <c r="AH6" s="9">
        <v>65709</v>
      </c>
      <c r="AI6" s="10">
        <v>104300</v>
      </c>
      <c r="AJ6" s="11">
        <v>65709</v>
      </c>
    </row>
    <row r="7" spans="1:36" ht="18.600000000000001" thickBot="1">
      <c r="A7" s="7" t="s">
        <v>96</v>
      </c>
      <c r="B7" s="7" t="s">
        <v>97</v>
      </c>
      <c r="C7" s="7" t="s">
        <v>158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1</v>
      </c>
      <c r="L7" s="9">
        <v>3200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1</v>
      </c>
      <c r="AG7" s="9">
        <v>3200</v>
      </c>
      <c r="AH7" s="9">
        <v>2016</v>
      </c>
      <c r="AI7" s="10">
        <v>3200</v>
      </c>
      <c r="AJ7" s="11">
        <v>2016</v>
      </c>
    </row>
    <row r="8" spans="1:36" ht="18.600000000000001" thickBot="1">
      <c r="A8" s="7" t="s">
        <v>98</v>
      </c>
      <c r="B8" s="7" t="s">
        <v>74</v>
      </c>
      <c r="C8" s="7" t="s">
        <v>158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106</v>
      </c>
      <c r="K8" s="8">
        <v>106</v>
      </c>
      <c r="L8" s="9">
        <v>10600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106</v>
      </c>
      <c r="AF8" s="8">
        <v>106</v>
      </c>
      <c r="AG8" s="9">
        <v>10600</v>
      </c>
      <c r="AH8" s="9">
        <v>6678</v>
      </c>
      <c r="AI8" s="10">
        <v>10600</v>
      </c>
      <c r="AJ8" s="11">
        <v>6678</v>
      </c>
    </row>
    <row r="9" spans="1:36" ht="27.6" thickBot="1">
      <c r="A9" s="7" t="s">
        <v>99</v>
      </c>
      <c r="B9" s="7" t="s">
        <v>15</v>
      </c>
      <c r="C9" s="7" t="s">
        <v>158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1</v>
      </c>
      <c r="L9" s="8">
        <v>100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1</v>
      </c>
      <c r="AG9" s="8">
        <v>100</v>
      </c>
      <c r="AH9" s="8">
        <v>63</v>
      </c>
      <c r="AI9" s="12">
        <v>100</v>
      </c>
      <c r="AJ9" s="13">
        <v>63</v>
      </c>
    </row>
    <row r="10" spans="1:36" ht="27.6" thickBot="1">
      <c r="A10" s="7" t="s">
        <v>100</v>
      </c>
      <c r="B10" s="7" t="s">
        <v>101</v>
      </c>
      <c r="C10" s="7" t="s">
        <v>158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43</v>
      </c>
      <c r="K10" s="8">
        <v>43</v>
      </c>
      <c r="L10" s="9">
        <v>4300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43</v>
      </c>
      <c r="AF10" s="8">
        <v>43</v>
      </c>
      <c r="AG10" s="9">
        <v>4300</v>
      </c>
      <c r="AH10" s="9">
        <v>2709</v>
      </c>
      <c r="AI10" s="10">
        <v>4300</v>
      </c>
      <c r="AJ10" s="11">
        <v>2709</v>
      </c>
    </row>
    <row r="11" spans="1:36" ht="18.600000000000001" thickBot="1">
      <c r="A11" s="7" t="s">
        <v>102</v>
      </c>
      <c r="B11" s="7" t="s">
        <v>103</v>
      </c>
      <c r="C11" s="7" t="s">
        <v>161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14</v>
      </c>
      <c r="K11" s="8">
        <v>14</v>
      </c>
      <c r="L11" s="9">
        <v>47600</v>
      </c>
      <c r="M11" s="8">
        <v>6</v>
      </c>
      <c r="N11" s="8">
        <v>24</v>
      </c>
      <c r="O11" s="9">
        <v>81600</v>
      </c>
      <c r="P11" s="8">
        <v>2</v>
      </c>
      <c r="Q11" s="8">
        <v>8</v>
      </c>
      <c r="R11" s="9">
        <v>27200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22</v>
      </c>
      <c r="AF11" s="8">
        <v>46</v>
      </c>
      <c r="AG11" s="9">
        <v>156400</v>
      </c>
      <c r="AH11" s="9">
        <v>98532</v>
      </c>
      <c r="AI11" s="10">
        <v>156400</v>
      </c>
      <c r="AJ11" s="11">
        <v>98532</v>
      </c>
    </row>
    <row r="12" spans="1:36" ht="27.6" thickBot="1">
      <c r="A12" s="7" t="s">
        <v>104</v>
      </c>
      <c r="B12" s="7" t="s">
        <v>83</v>
      </c>
      <c r="C12" s="7" t="s">
        <v>158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1</v>
      </c>
      <c r="Q12" s="8">
        <v>2</v>
      </c>
      <c r="R12" s="9">
        <v>5600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2</v>
      </c>
      <c r="AG12" s="9">
        <v>5600</v>
      </c>
      <c r="AH12" s="9">
        <v>3528</v>
      </c>
      <c r="AI12" s="10">
        <v>5600</v>
      </c>
      <c r="AJ12" s="11">
        <v>3528</v>
      </c>
    </row>
    <row r="13" spans="1:36" ht="18" thickBot="1">
      <c r="A13" s="7" t="s">
        <v>81</v>
      </c>
      <c r="B13" s="7" t="s">
        <v>82</v>
      </c>
      <c r="C13" s="7" t="s">
        <v>158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2</v>
      </c>
      <c r="K13" s="8">
        <v>2</v>
      </c>
      <c r="L13" s="9">
        <v>6400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</v>
      </c>
      <c r="AF13" s="8">
        <v>2</v>
      </c>
      <c r="AG13" s="9">
        <v>6400</v>
      </c>
      <c r="AH13" s="9">
        <v>4032</v>
      </c>
      <c r="AI13" s="10">
        <v>6400</v>
      </c>
      <c r="AJ13" s="11">
        <v>4032</v>
      </c>
    </row>
    <row r="14" spans="1:36" ht="27.6" thickBot="1">
      <c r="A14" s="7" t="s">
        <v>75</v>
      </c>
      <c r="B14" s="7" t="s">
        <v>76</v>
      </c>
      <c r="C14" s="7" t="s">
        <v>158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</v>
      </c>
      <c r="K14" s="8">
        <v>2</v>
      </c>
      <c r="L14" s="9">
        <v>6000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2</v>
      </c>
      <c r="AF14" s="8">
        <v>2</v>
      </c>
      <c r="AG14" s="9">
        <v>6000</v>
      </c>
      <c r="AH14" s="9">
        <v>3780</v>
      </c>
      <c r="AI14" s="10">
        <v>6000</v>
      </c>
      <c r="AJ14" s="11">
        <v>3780</v>
      </c>
    </row>
    <row r="15" spans="1:36" ht="36.6" thickBot="1">
      <c r="A15" s="7" t="s">
        <v>105</v>
      </c>
      <c r="B15" s="7" t="s">
        <v>76</v>
      </c>
      <c r="C15" s="7" t="s">
        <v>158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122</v>
      </c>
      <c r="K15" s="8">
        <v>122</v>
      </c>
      <c r="L15" s="9">
        <v>12200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122</v>
      </c>
      <c r="AF15" s="8">
        <v>122</v>
      </c>
      <c r="AG15" s="9">
        <v>12200</v>
      </c>
      <c r="AH15" s="9">
        <v>7686</v>
      </c>
      <c r="AI15" s="10">
        <v>12200</v>
      </c>
      <c r="AJ15" s="11">
        <v>7686</v>
      </c>
    </row>
    <row r="16" spans="1:36" ht="18.600000000000001" thickBot="1">
      <c r="A16" s="7" t="s">
        <v>106</v>
      </c>
      <c r="B16" s="7" t="s">
        <v>84</v>
      </c>
      <c r="C16" s="7" t="s">
        <v>158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</v>
      </c>
      <c r="K16" s="8">
        <v>2</v>
      </c>
      <c r="L16" s="9">
        <v>5600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2</v>
      </c>
      <c r="AF16" s="8">
        <v>2</v>
      </c>
      <c r="AG16" s="9">
        <v>5600</v>
      </c>
      <c r="AH16" s="9">
        <v>3528</v>
      </c>
      <c r="AI16" s="10">
        <v>5600</v>
      </c>
      <c r="AJ16" s="11">
        <v>3528</v>
      </c>
    </row>
    <row r="17" spans="1:36" ht="27.6" thickBot="1">
      <c r="A17" s="7" t="s">
        <v>107</v>
      </c>
      <c r="B17" s="7" t="s">
        <v>84</v>
      </c>
      <c r="C17" s="7" t="s">
        <v>158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97</v>
      </c>
      <c r="K17" s="8">
        <v>97</v>
      </c>
      <c r="L17" s="9">
        <v>9700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97</v>
      </c>
      <c r="AF17" s="8">
        <v>97</v>
      </c>
      <c r="AG17" s="9">
        <v>9700</v>
      </c>
      <c r="AH17" s="9">
        <v>6111</v>
      </c>
      <c r="AI17" s="10">
        <v>9700</v>
      </c>
      <c r="AJ17" s="11">
        <v>6111</v>
      </c>
    </row>
    <row r="18" spans="1:36" ht="18" thickBot="1">
      <c r="A18" s="7" t="s">
        <v>77</v>
      </c>
      <c r="B18" s="7" t="s">
        <v>76</v>
      </c>
      <c r="C18" s="7" t="s">
        <v>158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</v>
      </c>
      <c r="K18" s="8">
        <v>6</v>
      </c>
      <c r="L18" s="9">
        <v>21600</v>
      </c>
      <c r="M18" s="8">
        <v>0</v>
      </c>
      <c r="N18" s="8">
        <v>0</v>
      </c>
      <c r="O18" s="8">
        <v>0</v>
      </c>
      <c r="P18" s="8">
        <v>6</v>
      </c>
      <c r="Q18" s="8">
        <v>12</v>
      </c>
      <c r="R18" s="9">
        <v>41760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12</v>
      </c>
      <c r="AF18" s="8">
        <v>18</v>
      </c>
      <c r="AG18" s="9">
        <v>63360</v>
      </c>
      <c r="AH18" s="9">
        <v>39916.800000000003</v>
      </c>
      <c r="AI18" s="10">
        <v>63360</v>
      </c>
      <c r="AJ18" s="11">
        <v>39916.800000000003</v>
      </c>
    </row>
    <row r="19" spans="1:36" ht="18.600000000000001" thickBot="1">
      <c r="A19" s="7" t="s">
        <v>108</v>
      </c>
      <c r="B19" s="7" t="s">
        <v>82</v>
      </c>
      <c r="C19" s="7" t="s">
        <v>158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440</v>
      </c>
      <c r="K19" s="8">
        <v>440</v>
      </c>
      <c r="L19" s="9">
        <v>44000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440</v>
      </c>
      <c r="AF19" s="8">
        <v>440</v>
      </c>
      <c r="AG19" s="9">
        <v>44000</v>
      </c>
      <c r="AH19" s="9">
        <v>27720</v>
      </c>
      <c r="AI19" s="10">
        <v>44000</v>
      </c>
      <c r="AJ19" s="11">
        <v>27720</v>
      </c>
    </row>
    <row r="20" spans="1:36" ht="27.6" thickBot="1">
      <c r="A20" s="7" t="s">
        <v>109</v>
      </c>
      <c r="B20" s="7" t="s">
        <v>15</v>
      </c>
      <c r="C20" s="7" t="s">
        <v>158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9">
        <v>3200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9">
        <v>3200</v>
      </c>
      <c r="AH20" s="9">
        <v>2016</v>
      </c>
      <c r="AI20" s="10">
        <v>3200</v>
      </c>
      <c r="AJ20" s="11">
        <v>2016</v>
      </c>
    </row>
    <row r="21" spans="1:36" ht="18.600000000000001" thickBot="1">
      <c r="A21" s="7" t="s">
        <v>16</v>
      </c>
      <c r="B21" s="7" t="s">
        <v>14</v>
      </c>
      <c r="C21" s="7" t="s">
        <v>158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4</v>
      </c>
      <c r="K21" s="8">
        <v>4</v>
      </c>
      <c r="L21" s="9">
        <v>14000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</v>
      </c>
      <c r="AF21" s="8">
        <v>4</v>
      </c>
      <c r="AG21" s="9">
        <v>14000</v>
      </c>
      <c r="AH21" s="9">
        <v>8820</v>
      </c>
      <c r="AI21" s="10">
        <v>14000</v>
      </c>
      <c r="AJ21" s="11">
        <v>8820</v>
      </c>
    </row>
    <row r="22" spans="1:36" ht="18" thickBot="1">
      <c r="A22" s="7" t="s">
        <v>110</v>
      </c>
      <c r="B22" s="7" t="s">
        <v>89</v>
      </c>
      <c r="C22" s="7" t="s">
        <v>158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1</v>
      </c>
      <c r="L22" s="9">
        <v>3300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9">
        <v>3300</v>
      </c>
      <c r="AH22" s="9">
        <v>2079</v>
      </c>
      <c r="AI22" s="10">
        <v>3300</v>
      </c>
      <c r="AJ22" s="11">
        <v>2079</v>
      </c>
    </row>
    <row r="23" spans="1:36" ht="18" thickBot="1">
      <c r="A23" s="7" t="s">
        <v>111</v>
      </c>
      <c r="B23" s="7" t="s">
        <v>112</v>
      </c>
      <c r="C23" s="7" t="s">
        <v>158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>
        <v>1</v>
      </c>
      <c r="L23" s="9">
        <v>3060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9">
        <v>3060</v>
      </c>
      <c r="AH23" s="9">
        <v>1927.8</v>
      </c>
      <c r="AI23" s="10">
        <v>3060</v>
      </c>
      <c r="AJ23" s="11">
        <v>1927.8</v>
      </c>
    </row>
    <row r="24" spans="1:36" ht="27.6" thickBot="1">
      <c r="A24" s="7" t="s">
        <v>113</v>
      </c>
      <c r="B24" s="7" t="s">
        <v>112</v>
      </c>
      <c r="C24" s="7" t="s">
        <v>158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72</v>
      </c>
      <c r="K24" s="8">
        <v>72</v>
      </c>
      <c r="L24" s="9">
        <v>7200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72</v>
      </c>
      <c r="AF24" s="8">
        <v>72</v>
      </c>
      <c r="AG24" s="9">
        <v>7200</v>
      </c>
      <c r="AH24" s="9">
        <v>4536</v>
      </c>
      <c r="AI24" s="10">
        <v>7200</v>
      </c>
      <c r="AJ24" s="11">
        <v>4536</v>
      </c>
    </row>
    <row r="25" spans="1:36" ht="18" thickBot="1">
      <c r="A25" s="7" t="s">
        <v>73</v>
      </c>
      <c r="B25" s="7" t="s">
        <v>74</v>
      </c>
      <c r="C25" s="7" t="s">
        <v>158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10</v>
      </c>
      <c r="K25" s="8">
        <v>10</v>
      </c>
      <c r="L25" s="9">
        <v>32000</v>
      </c>
      <c r="M25" s="8">
        <v>0</v>
      </c>
      <c r="N25" s="8">
        <v>0</v>
      </c>
      <c r="O25" s="8">
        <v>0</v>
      </c>
      <c r="P25" s="8">
        <v>1</v>
      </c>
      <c r="Q25" s="8">
        <v>3</v>
      </c>
      <c r="R25" s="9">
        <v>9600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11</v>
      </c>
      <c r="AF25" s="8">
        <v>13</v>
      </c>
      <c r="AG25" s="9">
        <v>41600</v>
      </c>
      <c r="AH25" s="9">
        <v>26208</v>
      </c>
      <c r="AI25" s="10">
        <v>41600</v>
      </c>
      <c r="AJ25" s="11">
        <v>26208</v>
      </c>
    </row>
    <row r="26" spans="1:36" ht="27.6" thickBot="1">
      <c r="A26" s="7" t="s">
        <v>118</v>
      </c>
      <c r="B26" s="7" t="s">
        <v>83</v>
      </c>
      <c r="C26" s="7" t="s">
        <v>158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1</v>
      </c>
      <c r="L26" s="9">
        <v>2500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9">
        <v>2500</v>
      </c>
      <c r="AH26" s="9">
        <v>1575</v>
      </c>
      <c r="AI26" s="10">
        <v>2500</v>
      </c>
      <c r="AJ26" s="11">
        <v>1575</v>
      </c>
    </row>
    <row r="27" spans="1:36" ht="18.600000000000001" thickBot="1">
      <c r="A27" s="7" t="s">
        <v>119</v>
      </c>
      <c r="B27" s="7" t="s">
        <v>120</v>
      </c>
      <c r="C27" s="7" t="s">
        <v>158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1</v>
      </c>
      <c r="L27" s="8">
        <v>800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1</v>
      </c>
      <c r="AG27" s="8">
        <v>800</v>
      </c>
      <c r="AH27" s="8">
        <v>504</v>
      </c>
      <c r="AI27" s="12">
        <v>800</v>
      </c>
      <c r="AJ27" s="13">
        <v>504</v>
      </c>
    </row>
    <row r="28" spans="1:36" ht="18" thickBot="1">
      <c r="A28" s="7" t="s">
        <v>121</v>
      </c>
      <c r="B28" s="7" t="s">
        <v>122</v>
      </c>
      <c r="C28" s="7" t="s">
        <v>158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2</v>
      </c>
      <c r="R28" s="9">
        <v>6300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2</v>
      </c>
      <c r="AG28" s="9">
        <v>6300</v>
      </c>
      <c r="AH28" s="9">
        <v>3969</v>
      </c>
      <c r="AI28" s="10">
        <v>6300</v>
      </c>
      <c r="AJ28" s="11">
        <v>3969</v>
      </c>
    </row>
    <row r="29" spans="1:36" ht="18.600000000000001" thickBot="1">
      <c r="A29" s="7" t="s">
        <v>123</v>
      </c>
      <c r="B29" s="7" t="s">
        <v>124</v>
      </c>
      <c r="C29" s="7" t="s">
        <v>158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1</v>
      </c>
      <c r="L29" s="9">
        <v>4200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1</v>
      </c>
      <c r="AG29" s="9">
        <v>4200</v>
      </c>
      <c r="AH29" s="9">
        <v>2646</v>
      </c>
      <c r="AI29" s="10">
        <v>4200</v>
      </c>
      <c r="AJ29" s="11">
        <v>2646</v>
      </c>
    </row>
    <row r="30" spans="1:36" ht="27.6" thickBot="1">
      <c r="A30" s="7" t="s">
        <v>125</v>
      </c>
      <c r="B30" s="7" t="s">
        <v>126</v>
      </c>
      <c r="C30" s="7" t="s">
        <v>158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2</v>
      </c>
      <c r="K30" s="8">
        <v>2</v>
      </c>
      <c r="L30" s="9">
        <v>5400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</v>
      </c>
      <c r="AF30" s="8">
        <v>2</v>
      </c>
      <c r="AG30" s="9">
        <v>5400</v>
      </c>
      <c r="AH30" s="9">
        <v>3402</v>
      </c>
      <c r="AI30" s="10">
        <v>5400</v>
      </c>
      <c r="AJ30" s="11">
        <v>3402</v>
      </c>
    </row>
    <row r="31" spans="1:36" ht="18.600000000000001" thickBot="1">
      <c r="A31" s="7" t="s">
        <v>127</v>
      </c>
      <c r="B31" s="7" t="s">
        <v>101</v>
      </c>
      <c r="C31" s="7" t="s">
        <v>158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2</v>
      </c>
      <c r="K31" s="8">
        <v>2</v>
      </c>
      <c r="L31" s="9">
        <v>6800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</v>
      </c>
      <c r="AF31" s="8">
        <v>2</v>
      </c>
      <c r="AG31" s="9">
        <v>6800</v>
      </c>
      <c r="AH31" s="9">
        <v>4284</v>
      </c>
      <c r="AI31" s="10">
        <v>6800</v>
      </c>
      <c r="AJ31" s="11">
        <v>4284</v>
      </c>
    </row>
    <row r="32" spans="1:36" ht="27.6" thickBot="1">
      <c r="A32" s="7" t="s">
        <v>48</v>
      </c>
      <c r="B32" s="7" t="s">
        <v>15</v>
      </c>
      <c r="C32" s="7" t="s">
        <v>158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1</v>
      </c>
      <c r="K32" s="8">
        <v>1</v>
      </c>
      <c r="L32" s="9">
        <v>3600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1</v>
      </c>
      <c r="AG32" s="9">
        <v>3600</v>
      </c>
      <c r="AH32" s="9">
        <v>2268</v>
      </c>
      <c r="AI32" s="10">
        <v>3600</v>
      </c>
      <c r="AJ32" s="11">
        <v>2268</v>
      </c>
    </row>
    <row r="33" spans="1:36" ht="18.600000000000001" thickBot="1">
      <c r="A33" s="7" t="s">
        <v>130</v>
      </c>
      <c r="B33" s="7" t="s">
        <v>131</v>
      </c>
      <c r="C33" s="7" t="s">
        <v>158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65</v>
      </c>
      <c r="K33" s="8">
        <v>65</v>
      </c>
      <c r="L33" s="9">
        <v>200940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65</v>
      </c>
      <c r="AF33" s="8">
        <v>65</v>
      </c>
      <c r="AG33" s="9">
        <v>200940</v>
      </c>
      <c r="AH33" s="9">
        <v>126592.2</v>
      </c>
      <c r="AI33" s="10">
        <v>200940</v>
      </c>
      <c r="AJ33" s="11">
        <v>126592.2</v>
      </c>
    </row>
    <row r="34" spans="1:36" ht="18" thickBot="1">
      <c r="A34" s="7" t="s">
        <v>136</v>
      </c>
      <c r="B34" s="7" t="s">
        <v>137</v>
      </c>
      <c r="C34" s="7" t="s">
        <v>158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3400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3400</v>
      </c>
      <c r="AH34" s="9">
        <v>2142</v>
      </c>
      <c r="AI34" s="10">
        <v>3400</v>
      </c>
      <c r="AJ34" s="11">
        <v>2142</v>
      </c>
    </row>
    <row r="35" spans="1:36" ht="18.600000000000001" thickBot="1">
      <c r="A35" s="7" t="s">
        <v>142</v>
      </c>
      <c r="B35" s="7" t="s">
        <v>124</v>
      </c>
      <c r="C35" s="7" t="s">
        <v>158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</v>
      </c>
      <c r="K35" s="8">
        <v>1</v>
      </c>
      <c r="L35" s="8">
        <v>500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</v>
      </c>
      <c r="AF35" s="8">
        <v>1</v>
      </c>
      <c r="AG35" s="8">
        <v>500</v>
      </c>
      <c r="AH35" s="8">
        <v>315</v>
      </c>
      <c r="AI35" s="12">
        <v>500</v>
      </c>
      <c r="AJ35" s="13">
        <v>315</v>
      </c>
    </row>
    <row r="36" spans="1:36" ht="18" thickBot="1">
      <c r="A36" s="7" t="s">
        <v>147</v>
      </c>
      <c r="B36" s="7" t="s">
        <v>27</v>
      </c>
      <c r="C36" s="7" t="s">
        <v>158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</v>
      </c>
      <c r="K36" s="8">
        <v>1</v>
      </c>
      <c r="L36" s="9">
        <v>3500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1</v>
      </c>
      <c r="AG36" s="9">
        <v>3500</v>
      </c>
      <c r="AH36" s="9">
        <v>2205</v>
      </c>
      <c r="AI36" s="10">
        <v>3500</v>
      </c>
      <c r="AJ36" s="11">
        <v>2205</v>
      </c>
    </row>
    <row r="37" spans="1:36" ht="18" thickBot="1">
      <c r="A37" s="7" t="s">
        <v>28</v>
      </c>
      <c r="B37" s="7" t="s">
        <v>29</v>
      </c>
      <c r="C37" s="7" t="s">
        <v>158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6</v>
      </c>
      <c r="K37" s="8">
        <v>6</v>
      </c>
      <c r="L37" s="9">
        <v>22800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6</v>
      </c>
      <c r="AF37" s="8">
        <v>6</v>
      </c>
      <c r="AG37" s="9">
        <v>22800</v>
      </c>
      <c r="AH37" s="9">
        <v>14364</v>
      </c>
      <c r="AI37" s="10">
        <v>22800</v>
      </c>
      <c r="AJ37" s="11">
        <v>14364</v>
      </c>
    </row>
    <row r="38" spans="1:36" ht="18" thickBot="1">
      <c r="A38" s="7" t="s">
        <v>148</v>
      </c>
      <c r="B38" s="7" t="s">
        <v>84</v>
      </c>
      <c r="C38" s="7" t="s">
        <v>158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9">
        <v>2800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9">
        <v>2800</v>
      </c>
      <c r="AH38" s="9">
        <v>1764</v>
      </c>
      <c r="AI38" s="10">
        <v>2800</v>
      </c>
      <c r="AJ38" s="11">
        <v>1764</v>
      </c>
    </row>
    <row r="39" spans="1:36" ht="18.600000000000001" thickBot="1">
      <c r="A39" s="7" t="s">
        <v>149</v>
      </c>
      <c r="B39" s="7" t="s">
        <v>150</v>
      </c>
      <c r="C39" s="7" t="s">
        <v>158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3</v>
      </c>
      <c r="K39" s="8">
        <v>3</v>
      </c>
      <c r="L39" s="9">
        <v>10500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3</v>
      </c>
      <c r="AF39" s="8">
        <v>3</v>
      </c>
      <c r="AG39" s="9">
        <v>10500</v>
      </c>
      <c r="AH39" s="9">
        <v>6615</v>
      </c>
      <c r="AI39" s="10">
        <v>10500</v>
      </c>
      <c r="AJ39" s="11">
        <v>6615</v>
      </c>
    </row>
    <row r="40" spans="1:36" ht="18" thickBot="1">
      <c r="A40" s="7" t="s">
        <v>30</v>
      </c>
      <c r="B40" s="7" t="s">
        <v>31</v>
      </c>
      <c r="C40" s="7" t="s">
        <v>158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4</v>
      </c>
      <c r="K40" s="8">
        <v>4</v>
      </c>
      <c r="L40" s="9">
        <v>11200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4</v>
      </c>
      <c r="AF40" s="8">
        <v>4</v>
      </c>
      <c r="AG40" s="9">
        <v>11200</v>
      </c>
      <c r="AH40" s="9">
        <v>7056</v>
      </c>
      <c r="AI40" s="10">
        <v>11200</v>
      </c>
      <c r="AJ40" s="11">
        <v>7056</v>
      </c>
    </row>
    <row r="41" spans="1:36" ht="18.600000000000001" thickBot="1">
      <c r="A41" s="7" t="s">
        <v>46</v>
      </c>
      <c r="B41" s="7" t="s">
        <v>31</v>
      </c>
      <c r="C41" s="7" t="s">
        <v>158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1</v>
      </c>
      <c r="L41" s="8">
        <v>300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1</v>
      </c>
      <c r="AF41" s="8">
        <v>1</v>
      </c>
      <c r="AG41" s="8">
        <v>300</v>
      </c>
      <c r="AH41" s="8">
        <v>189</v>
      </c>
      <c r="AI41" s="12">
        <v>300</v>
      </c>
      <c r="AJ41" s="13">
        <v>189</v>
      </c>
    </row>
    <row r="42" spans="1:36" ht="18.600000000000001" thickBot="1">
      <c r="A42" s="7" t="s">
        <v>88</v>
      </c>
      <c r="B42" s="7" t="s">
        <v>89</v>
      </c>
      <c r="C42" s="7" t="s">
        <v>158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1</v>
      </c>
      <c r="L42" s="9">
        <v>2700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1</v>
      </c>
      <c r="AG42" s="9">
        <v>2700</v>
      </c>
      <c r="AH42" s="9">
        <v>1701</v>
      </c>
      <c r="AI42" s="10">
        <v>2700</v>
      </c>
      <c r="AJ42" s="11">
        <v>1701</v>
      </c>
    </row>
    <row r="43" spans="1:36" ht="18.600000000000001" thickBot="1">
      <c r="A43" s="7" t="s">
        <v>151</v>
      </c>
      <c r="B43" s="7" t="s">
        <v>122</v>
      </c>
      <c r="C43" s="7" t="s">
        <v>158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4</v>
      </c>
      <c r="Q43" s="8">
        <v>8</v>
      </c>
      <c r="R43" s="9">
        <v>25200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4</v>
      </c>
      <c r="AF43" s="8">
        <v>8</v>
      </c>
      <c r="AG43" s="9">
        <v>25200</v>
      </c>
      <c r="AH43" s="9">
        <v>15876</v>
      </c>
      <c r="AI43" s="10">
        <v>25200</v>
      </c>
      <c r="AJ43" s="11">
        <v>15876</v>
      </c>
    </row>
    <row r="44" spans="1:36" ht="27.6" thickBot="1">
      <c r="A44" s="7" t="s">
        <v>152</v>
      </c>
      <c r="B44" s="7" t="s">
        <v>84</v>
      </c>
      <c r="C44" s="7" t="s">
        <v>158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1</v>
      </c>
      <c r="K44" s="8">
        <v>1</v>
      </c>
      <c r="L44" s="9">
        <v>1000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</v>
      </c>
      <c r="AF44" s="8">
        <v>1</v>
      </c>
      <c r="AG44" s="9">
        <v>1000</v>
      </c>
      <c r="AH44" s="8">
        <v>630</v>
      </c>
      <c r="AI44" s="10">
        <v>1000</v>
      </c>
      <c r="AJ44" s="13">
        <v>630</v>
      </c>
    </row>
    <row r="45" spans="1:36" ht="18" thickBot="1">
      <c r="A45" s="7" t="s">
        <v>153</v>
      </c>
      <c r="B45" s="7" t="s">
        <v>14</v>
      </c>
      <c r="C45" s="7" t="s">
        <v>158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9">
        <v>2800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v>1</v>
      </c>
      <c r="AG45" s="9">
        <v>2800</v>
      </c>
      <c r="AH45" s="9">
        <v>1764</v>
      </c>
      <c r="AI45" s="10">
        <v>2800</v>
      </c>
      <c r="AJ45" s="11">
        <v>1764</v>
      </c>
    </row>
    <row r="46" spans="1:36" ht="18.600000000000001" thickBot="1">
      <c r="A46" s="7" t="s">
        <v>78</v>
      </c>
      <c r="B46" s="7" t="s">
        <v>27</v>
      </c>
      <c r="C46" s="7" t="s">
        <v>158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</v>
      </c>
      <c r="K46" s="8">
        <v>2</v>
      </c>
      <c r="L46" s="9">
        <v>6000</v>
      </c>
      <c r="M46" s="8">
        <v>0</v>
      </c>
      <c r="N46" s="8">
        <v>0</v>
      </c>
      <c r="O46" s="8">
        <v>0</v>
      </c>
      <c r="P46" s="8">
        <v>1</v>
      </c>
      <c r="Q46" s="8">
        <v>3</v>
      </c>
      <c r="R46" s="9">
        <v>9000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3</v>
      </c>
      <c r="AF46" s="8">
        <v>5</v>
      </c>
      <c r="AG46" s="9">
        <v>15000</v>
      </c>
      <c r="AH46" s="9">
        <v>9450</v>
      </c>
      <c r="AI46" s="10">
        <v>15000</v>
      </c>
      <c r="AJ46" s="11">
        <v>9450</v>
      </c>
    </row>
    <row r="47" spans="1:36" ht="18" thickBot="1">
      <c r="A47" s="7" t="s">
        <v>39</v>
      </c>
      <c r="B47" s="7" t="s">
        <v>40</v>
      </c>
      <c r="C47" s="7" t="s">
        <v>158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3</v>
      </c>
      <c r="K47" s="8">
        <v>3</v>
      </c>
      <c r="L47" s="9">
        <v>10800</v>
      </c>
      <c r="M47" s="8">
        <v>0</v>
      </c>
      <c r="N47" s="8">
        <v>0</v>
      </c>
      <c r="O47" s="8">
        <v>0</v>
      </c>
      <c r="P47" s="8">
        <v>1</v>
      </c>
      <c r="Q47" s="8">
        <v>2</v>
      </c>
      <c r="R47" s="9">
        <v>7200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4</v>
      </c>
      <c r="AF47" s="8">
        <v>5</v>
      </c>
      <c r="AG47" s="9">
        <v>18000</v>
      </c>
      <c r="AH47" s="9">
        <v>11340</v>
      </c>
      <c r="AI47" s="10">
        <v>18000</v>
      </c>
      <c r="AJ47" s="11">
        <v>11340</v>
      </c>
    </row>
    <row r="48" spans="1:36" ht="18" thickBot="1">
      <c r="A48" s="7" t="s">
        <v>41</v>
      </c>
      <c r="B48" s="7" t="s">
        <v>42</v>
      </c>
      <c r="C48" s="7" t="s">
        <v>158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7</v>
      </c>
      <c r="K48" s="8">
        <v>7</v>
      </c>
      <c r="L48" s="9">
        <v>24500</v>
      </c>
      <c r="M48" s="8">
        <v>0</v>
      </c>
      <c r="N48" s="8">
        <v>0</v>
      </c>
      <c r="O48" s="8">
        <v>0</v>
      </c>
      <c r="P48" s="8">
        <v>3</v>
      </c>
      <c r="Q48" s="8">
        <v>6</v>
      </c>
      <c r="R48" s="9">
        <v>21000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10</v>
      </c>
      <c r="AF48" s="8">
        <v>13</v>
      </c>
      <c r="AG48" s="9">
        <v>45500</v>
      </c>
      <c r="AH48" s="9">
        <v>28665</v>
      </c>
      <c r="AI48" s="10">
        <v>45500</v>
      </c>
      <c r="AJ48" s="11">
        <v>28665</v>
      </c>
    </row>
    <row r="49" spans="1:36">
      <c r="A49" s="7" t="s">
        <v>157</v>
      </c>
      <c r="B49" s="7" t="s">
        <v>82</v>
      </c>
      <c r="C49" s="7" t="s">
        <v>158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6</v>
      </c>
      <c r="K49" s="8">
        <v>6</v>
      </c>
      <c r="L49" s="9">
        <v>19800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6</v>
      </c>
      <c r="AF49" s="8">
        <v>6</v>
      </c>
      <c r="AG49" s="9">
        <v>19800</v>
      </c>
      <c r="AH49" s="9">
        <v>12474</v>
      </c>
      <c r="AI49" s="10">
        <v>19800</v>
      </c>
      <c r="AJ49" s="11">
        <v>12474</v>
      </c>
    </row>
    <row r="50" spans="1:36">
      <c r="AJ50" s="15">
        <f>SUM(AJ2:AJ49)</f>
        <v>615623.4</v>
      </c>
    </row>
  </sheetData>
  <phoneticPr fontId="2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6"/>
  <sheetViews>
    <sheetView topLeftCell="P7" workbookViewId="0">
      <selection activeCell="AJ26" sqref="AJ26"/>
    </sheetView>
  </sheetViews>
  <sheetFormatPr defaultRowHeight="17.399999999999999"/>
  <cols>
    <col min="2" max="3" width="7.0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11.69921875" bestFit="1" customWidth="1"/>
  </cols>
  <sheetData>
    <row r="1" spans="1:36" ht="63" thickBot="1">
      <c r="A1" s="1" t="s">
        <v>0</v>
      </c>
      <c r="B1" s="1" t="s">
        <v>1</v>
      </c>
      <c r="C1" s="1" t="s">
        <v>72</v>
      </c>
      <c r="D1" s="2" t="s">
        <v>51</v>
      </c>
      <c r="E1" s="2" t="s">
        <v>52</v>
      </c>
      <c r="F1" s="2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66</v>
      </c>
      <c r="AF1" s="5" t="s">
        <v>67</v>
      </c>
      <c r="AG1" s="5" t="s">
        <v>68</v>
      </c>
      <c r="AH1" s="5" t="s">
        <v>69</v>
      </c>
      <c r="AI1" s="6" t="s">
        <v>70</v>
      </c>
      <c r="AJ1" s="6" t="s">
        <v>71</v>
      </c>
    </row>
    <row r="2" spans="1:36" ht="18" thickBot="1">
      <c r="A2" s="7" t="s">
        <v>17</v>
      </c>
      <c r="B2" s="7" t="s">
        <v>18</v>
      </c>
      <c r="C2" s="7" t="s">
        <v>159</v>
      </c>
      <c r="D2" s="8">
        <v>0</v>
      </c>
      <c r="E2" s="8">
        <v>0</v>
      </c>
      <c r="F2" s="8">
        <v>0</v>
      </c>
      <c r="G2" s="8">
        <v>121</v>
      </c>
      <c r="H2" s="8">
        <v>121</v>
      </c>
      <c r="I2" s="9">
        <v>108900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121</v>
      </c>
      <c r="AF2" s="8">
        <v>121</v>
      </c>
      <c r="AG2" s="9">
        <v>108900</v>
      </c>
      <c r="AH2" s="9">
        <v>68607</v>
      </c>
      <c r="AI2" s="10">
        <v>108900</v>
      </c>
      <c r="AJ2" s="11">
        <v>68607</v>
      </c>
    </row>
    <row r="3" spans="1:36" ht="18" thickBot="1">
      <c r="A3" s="7" t="s">
        <v>19</v>
      </c>
      <c r="B3" s="7" t="s">
        <v>45</v>
      </c>
      <c r="C3" s="7" t="s">
        <v>159</v>
      </c>
      <c r="D3" s="8">
        <v>0</v>
      </c>
      <c r="E3" s="8">
        <v>0</v>
      </c>
      <c r="F3" s="8">
        <v>0</v>
      </c>
      <c r="G3" s="8">
        <v>14</v>
      </c>
      <c r="H3" s="8">
        <v>14</v>
      </c>
      <c r="I3" s="9">
        <v>12600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14</v>
      </c>
      <c r="AF3" s="8">
        <v>14</v>
      </c>
      <c r="AG3" s="9">
        <v>12600</v>
      </c>
      <c r="AH3" s="9">
        <v>7938</v>
      </c>
      <c r="AI3" s="10">
        <v>12600</v>
      </c>
      <c r="AJ3" s="11">
        <v>7938</v>
      </c>
    </row>
    <row r="4" spans="1:36" ht="18.600000000000001" thickBot="1">
      <c r="A4" s="7" t="s">
        <v>20</v>
      </c>
      <c r="B4" s="7" t="s">
        <v>21</v>
      </c>
      <c r="C4" s="7" t="s">
        <v>159</v>
      </c>
      <c r="D4" s="8">
        <v>0</v>
      </c>
      <c r="E4" s="8">
        <v>0</v>
      </c>
      <c r="F4" s="8">
        <v>0</v>
      </c>
      <c r="G4" s="8">
        <v>58</v>
      </c>
      <c r="H4" s="8">
        <v>58</v>
      </c>
      <c r="I4" s="9">
        <v>52200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9</v>
      </c>
      <c r="T4" s="8">
        <v>9</v>
      </c>
      <c r="U4" s="9">
        <v>9720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67</v>
      </c>
      <c r="AF4" s="8">
        <v>67</v>
      </c>
      <c r="AG4" s="9">
        <v>61920</v>
      </c>
      <c r="AH4" s="9">
        <v>38718</v>
      </c>
      <c r="AI4" s="10">
        <v>61920</v>
      </c>
      <c r="AJ4" s="11">
        <v>38718</v>
      </c>
    </row>
    <row r="5" spans="1:36" ht="18" thickBot="1">
      <c r="A5" s="7" t="s">
        <v>22</v>
      </c>
      <c r="B5" s="7" t="s">
        <v>18</v>
      </c>
      <c r="C5" s="7" t="s">
        <v>159</v>
      </c>
      <c r="D5" s="8">
        <v>0</v>
      </c>
      <c r="E5" s="8">
        <v>0</v>
      </c>
      <c r="F5" s="8">
        <v>0</v>
      </c>
      <c r="G5" s="8">
        <v>690</v>
      </c>
      <c r="H5" s="8">
        <v>690</v>
      </c>
      <c r="I5" s="9">
        <v>621000</v>
      </c>
      <c r="J5" s="8">
        <v>0</v>
      </c>
      <c r="K5" s="8">
        <v>0</v>
      </c>
      <c r="L5" s="8">
        <v>0</v>
      </c>
      <c r="M5" s="8">
        <v>4</v>
      </c>
      <c r="N5" s="8">
        <v>96</v>
      </c>
      <c r="O5" s="9">
        <v>86400</v>
      </c>
      <c r="P5" s="8">
        <v>0</v>
      </c>
      <c r="Q5" s="8">
        <v>0</v>
      </c>
      <c r="R5" s="8">
        <v>0</v>
      </c>
      <c r="S5" s="8">
        <v>15</v>
      </c>
      <c r="T5" s="8">
        <v>15</v>
      </c>
      <c r="U5" s="9">
        <v>16200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709</v>
      </c>
      <c r="AF5" s="8">
        <v>801</v>
      </c>
      <c r="AG5" s="9">
        <v>723600</v>
      </c>
      <c r="AH5" s="9">
        <v>455382</v>
      </c>
      <c r="AI5" s="10">
        <v>723600</v>
      </c>
      <c r="AJ5" s="11">
        <v>455382</v>
      </c>
    </row>
    <row r="6" spans="1:36" ht="18" thickBot="1">
      <c r="A6" s="7" t="s">
        <v>23</v>
      </c>
      <c r="B6" s="7" t="s">
        <v>45</v>
      </c>
      <c r="C6" s="7" t="s">
        <v>159</v>
      </c>
      <c r="D6" s="8">
        <v>0</v>
      </c>
      <c r="E6" s="8">
        <v>0</v>
      </c>
      <c r="F6" s="8">
        <v>0</v>
      </c>
      <c r="G6" s="8">
        <v>4</v>
      </c>
      <c r="H6" s="8">
        <v>4</v>
      </c>
      <c r="I6" s="9">
        <v>3600</v>
      </c>
      <c r="J6" s="8">
        <v>0</v>
      </c>
      <c r="K6" s="8">
        <v>0</v>
      </c>
      <c r="L6" s="8">
        <v>0</v>
      </c>
      <c r="M6" s="8">
        <v>1</v>
      </c>
      <c r="N6" s="8">
        <v>8</v>
      </c>
      <c r="O6" s="9">
        <v>6480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5</v>
      </c>
      <c r="AF6" s="8">
        <v>12</v>
      </c>
      <c r="AG6" s="9">
        <v>10080</v>
      </c>
      <c r="AH6" s="9">
        <v>6350.4</v>
      </c>
      <c r="AI6" s="10">
        <v>10080</v>
      </c>
      <c r="AJ6" s="11">
        <v>6350.4</v>
      </c>
    </row>
    <row r="7" spans="1:36" ht="18" thickBot="1">
      <c r="A7" s="7" t="s">
        <v>24</v>
      </c>
      <c r="B7" s="7" t="s">
        <v>21</v>
      </c>
      <c r="C7" s="7" t="s">
        <v>159</v>
      </c>
      <c r="D7" s="8">
        <v>0</v>
      </c>
      <c r="E7" s="8">
        <v>0</v>
      </c>
      <c r="F7" s="8">
        <v>0</v>
      </c>
      <c r="G7" s="8">
        <v>15</v>
      </c>
      <c r="H7" s="8">
        <v>15</v>
      </c>
      <c r="I7" s="9">
        <v>13500</v>
      </c>
      <c r="J7" s="8">
        <v>0</v>
      </c>
      <c r="K7" s="8">
        <v>0</v>
      </c>
      <c r="L7" s="8">
        <v>0</v>
      </c>
      <c r="M7" s="8">
        <v>2</v>
      </c>
      <c r="N7" s="8">
        <v>14</v>
      </c>
      <c r="O7" s="9">
        <v>11340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17</v>
      </c>
      <c r="AF7" s="8">
        <v>29</v>
      </c>
      <c r="AG7" s="9">
        <v>24840</v>
      </c>
      <c r="AH7" s="9">
        <v>15649.2</v>
      </c>
      <c r="AI7" s="10">
        <v>24840</v>
      </c>
      <c r="AJ7" s="11">
        <v>15649.2</v>
      </c>
    </row>
    <row r="8" spans="1:36" ht="18" thickBot="1">
      <c r="A8" s="7" t="s">
        <v>25</v>
      </c>
      <c r="B8" s="7" t="s">
        <v>21</v>
      </c>
      <c r="C8" s="7" t="s">
        <v>159</v>
      </c>
      <c r="D8" s="8">
        <v>0</v>
      </c>
      <c r="E8" s="8">
        <v>0</v>
      </c>
      <c r="F8" s="8">
        <v>0</v>
      </c>
      <c r="G8" s="8">
        <v>6</v>
      </c>
      <c r="H8" s="8">
        <v>6</v>
      </c>
      <c r="I8" s="9">
        <v>5400</v>
      </c>
      <c r="J8" s="8">
        <v>0</v>
      </c>
      <c r="K8" s="8">
        <v>0</v>
      </c>
      <c r="L8" s="8">
        <v>0</v>
      </c>
      <c r="M8" s="8">
        <v>2</v>
      </c>
      <c r="N8" s="8">
        <v>14</v>
      </c>
      <c r="O8" s="9">
        <v>11340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8</v>
      </c>
      <c r="AF8" s="8">
        <v>20</v>
      </c>
      <c r="AG8" s="9">
        <v>16740</v>
      </c>
      <c r="AH8" s="9">
        <v>10546.2</v>
      </c>
      <c r="AI8" s="10">
        <v>16740</v>
      </c>
      <c r="AJ8" s="11">
        <v>10546.2</v>
      </c>
    </row>
    <row r="9" spans="1:36" ht="27.6" thickBot="1">
      <c r="A9" s="7" t="s">
        <v>49</v>
      </c>
      <c r="B9" s="7" t="s">
        <v>50</v>
      </c>
      <c r="C9" s="7" t="s">
        <v>159</v>
      </c>
      <c r="D9" s="8">
        <v>0</v>
      </c>
      <c r="E9" s="8">
        <v>0</v>
      </c>
      <c r="F9" s="8">
        <v>0</v>
      </c>
      <c r="G9" s="8">
        <v>8</v>
      </c>
      <c r="H9" s="8">
        <v>8</v>
      </c>
      <c r="I9" s="9">
        <v>7200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8</v>
      </c>
      <c r="AF9" s="8">
        <v>8</v>
      </c>
      <c r="AG9" s="9">
        <v>7200</v>
      </c>
      <c r="AH9" s="9">
        <v>4536</v>
      </c>
      <c r="AI9" s="10">
        <v>7200</v>
      </c>
      <c r="AJ9" s="11">
        <v>4536</v>
      </c>
    </row>
    <row r="10" spans="1:36" ht="27.6" thickBot="1">
      <c r="A10" s="7" t="s">
        <v>132</v>
      </c>
      <c r="B10" s="7" t="s">
        <v>50</v>
      </c>
      <c r="C10" s="7" t="s">
        <v>159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100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1</v>
      </c>
      <c r="AG10" s="8">
        <v>100</v>
      </c>
      <c r="AH10" s="8">
        <v>63</v>
      </c>
      <c r="AI10" s="12">
        <v>100</v>
      </c>
      <c r="AJ10" s="13">
        <v>63</v>
      </c>
    </row>
    <row r="11" spans="1:36" ht="18" thickBot="1">
      <c r="A11" s="7" t="s">
        <v>26</v>
      </c>
      <c r="B11" s="7" t="s">
        <v>45</v>
      </c>
      <c r="C11" s="7" t="s">
        <v>159</v>
      </c>
      <c r="D11" s="8">
        <v>0</v>
      </c>
      <c r="E11" s="8">
        <v>0</v>
      </c>
      <c r="F11" s="8">
        <v>0</v>
      </c>
      <c r="G11" s="8">
        <v>71</v>
      </c>
      <c r="H11" s="8">
        <v>71</v>
      </c>
      <c r="I11" s="9">
        <v>63900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71</v>
      </c>
      <c r="AF11" s="8">
        <v>71</v>
      </c>
      <c r="AG11" s="9">
        <v>63900</v>
      </c>
      <c r="AH11" s="9">
        <v>40257</v>
      </c>
      <c r="AI11" s="10">
        <v>63900</v>
      </c>
      <c r="AJ11" s="11">
        <v>40257</v>
      </c>
    </row>
    <row r="12" spans="1:36" ht="18.600000000000001" thickBot="1">
      <c r="A12" s="7" t="s">
        <v>133</v>
      </c>
      <c r="B12" s="7" t="s">
        <v>45</v>
      </c>
      <c r="C12" s="7" t="s">
        <v>159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448</v>
      </c>
      <c r="K12" s="8">
        <v>448</v>
      </c>
      <c r="L12" s="9">
        <v>44800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448</v>
      </c>
      <c r="AF12" s="8">
        <v>448</v>
      </c>
      <c r="AG12" s="9">
        <v>44800</v>
      </c>
      <c r="AH12" s="9">
        <v>28224</v>
      </c>
      <c r="AI12" s="10">
        <v>44800</v>
      </c>
      <c r="AJ12" s="11">
        <v>28224</v>
      </c>
    </row>
    <row r="13" spans="1:36" ht="18" thickBot="1">
      <c r="A13" s="7" t="s">
        <v>85</v>
      </c>
      <c r="B13" s="7" t="s">
        <v>86</v>
      </c>
      <c r="C13" s="7" t="s">
        <v>159</v>
      </c>
      <c r="D13" s="8">
        <v>0</v>
      </c>
      <c r="E13" s="8">
        <v>0</v>
      </c>
      <c r="F13" s="8">
        <v>0</v>
      </c>
      <c r="G13" s="8">
        <v>702</v>
      </c>
      <c r="H13" s="8">
        <v>702</v>
      </c>
      <c r="I13" s="9">
        <v>631800</v>
      </c>
      <c r="J13" s="8">
        <v>0</v>
      </c>
      <c r="K13" s="8">
        <v>0</v>
      </c>
      <c r="L13" s="8">
        <v>0</v>
      </c>
      <c r="M13" s="8">
        <v>30</v>
      </c>
      <c r="N13" s="8">
        <v>330</v>
      </c>
      <c r="O13" s="9">
        <v>240570</v>
      </c>
      <c r="P13" s="8">
        <v>0</v>
      </c>
      <c r="Q13" s="8">
        <v>0</v>
      </c>
      <c r="R13" s="8">
        <v>0</v>
      </c>
      <c r="S13" s="8">
        <v>29</v>
      </c>
      <c r="T13" s="8">
        <v>29</v>
      </c>
      <c r="U13" s="9">
        <v>31320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761</v>
      </c>
      <c r="AF13" s="14">
        <v>1061</v>
      </c>
      <c r="AG13" s="9">
        <v>903690</v>
      </c>
      <c r="AH13" s="9">
        <v>568385.1</v>
      </c>
      <c r="AI13" s="10">
        <v>903690</v>
      </c>
      <c r="AJ13" s="11">
        <v>568385.1</v>
      </c>
    </row>
    <row r="14" spans="1:36" ht="18.600000000000001" thickBot="1">
      <c r="A14" s="7" t="s">
        <v>87</v>
      </c>
      <c r="B14" s="7" t="s">
        <v>86</v>
      </c>
      <c r="C14" s="7" t="s">
        <v>159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589</v>
      </c>
      <c r="K14" s="8">
        <v>589</v>
      </c>
      <c r="L14" s="9">
        <v>58900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589</v>
      </c>
      <c r="AF14" s="8">
        <v>589</v>
      </c>
      <c r="AG14" s="9">
        <v>58900</v>
      </c>
      <c r="AH14" s="9">
        <v>37107</v>
      </c>
      <c r="AI14" s="10">
        <v>58900</v>
      </c>
      <c r="AJ14" s="11">
        <v>37107</v>
      </c>
    </row>
    <row r="15" spans="1:36" ht="18" thickBot="1">
      <c r="A15" s="7" t="s">
        <v>32</v>
      </c>
      <c r="B15" s="7" t="s">
        <v>21</v>
      </c>
      <c r="C15" s="7" t="s">
        <v>159</v>
      </c>
      <c r="D15" s="8">
        <v>0</v>
      </c>
      <c r="E15" s="8">
        <v>0</v>
      </c>
      <c r="F15" s="8">
        <v>0</v>
      </c>
      <c r="G15" s="8">
        <v>37</v>
      </c>
      <c r="H15" s="8">
        <v>37</v>
      </c>
      <c r="I15" s="9">
        <v>33300</v>
      </c>
      <c r="J15" s="8">
        <v>0</v>
      </c>
      <c r="K15" s="8">
        <v>0</v>
      </c>
      <c r="L15" s="8">
        <v>0</v>
      </c>
      <c r="M15" s="8">
        <v>2</v>
      </c>
      <c r="N15" s="8">
        <v>16</v>
      </c>
      <c r="O15" s="9">
        <v>12960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39</v>
      </c>
      <c r="AF15" s="8">
        <v>53</v>
      </c>
      <c r="AG15" s="9">
        <v>46260</v>
      </c>
      <c r="AH15" s="9">
        <v>29143.8</v>
      </c>
      <c r="AI15" s="10">
        <v>46260</v>
      </c>
      <c r="AJ15" s="11">
        <v>29143.8</v>
      </c>
    </row>
    <row r="16" spans="1:36" ht="18" thickBot="1">
      <c r="A16" s="7" t="s">
        <v>33</v>
      </c>
      <c r="B16" s="7" t="s">
        <v>21</v>
      </c>
      <c r="C16" s="7" t="s">
        <v>159</v>
      </c>
      <c r="D16" s="8">
        <v>0</v>
      </c>
      <c r="E16" s="8">
        <v>0</v>
      </c>
      <c r="F16" s="8">
        <v>0</v>
      </c>
      <c r="G16" s="8">
        <v>46</v>
      </c>
      <c r="H16" s="8">
        <v>46</v>
      </c>
      <c r="I16" s="9">
        <v>32200</v>
      </c>
      <c r="J16" s="8">
        <v>0</v>
      </c>
      <c r="K16" s="8">
        <v>0</v>
      </c>
      <c r="L16" s="8">
        <v>0</v>
      </c>
      <c r="M16" s="8">
        <v>4</v>
      </c>
      <c r="N16" s="8">
        <v>28</v>
      </c>
      <c r="O16" s="9">
        <v>17640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50</v>
      </c>
      <c r="AF16" s="8">
        <v>74</v>
      </c>
      <c r="AG16" s="9">
        <v>49840</v>
      </c>
      <c r="AH16" s="9">
        <v>31399.200000000001</v>
      </c>
      <c r="AI16" s="10">
        <v>49840</v>
      </c>
      <c r="AJ16" s="11">
        <v>31399.200000000001</v>
      </c>
    </row>
    <row r="17" spans="1:36" ht="18.600000000000001" thickBot="1">
      <c r="A17" s="7" t="s">
        <v>34</v>
      </c>
      <c r="B17" s="7" t="s">
        <v>21</v>
      </c>
      <c r="C17" s="7" t="s">
        <v>159</v>
      </c>
      <c r="D17" s="8">
        <v>0</v>
      </c>
      <c r="E17" s="8">
        <v>0</v>
      </c>
      <c r="F17" s="8">
        <v>0</v>
      </c>
      <c r="G17" s="8">
        <v>32</v>
      </c>
      <c r="H17" s="8">
        <v>32</v>
      </c>
      <c r="I17" s="9">
        <v>28800</v>
      </c>
      <c r="J17" s="8">
        <v>2</v>
      </c>
      <c r="K17" s="8">
        <v>2</v>
      </c>
      <c r="L17" s="9">
        <v>5000</v>
      </c>
      <c r="M17" s="8">
        <v>1</v>
      </c>
      <c r="N17" s="8">
        <v>7</v>
      </c>
      <c r="O17" s="9">
        <v>6300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35</v>
      </c>
      <c r="AF17" s="8">
        <v>41</v>
      </c>
      <c r="AG17" s="9">
        <v>40100</v>
      </c>
      <c r="AH17" s="9">
        <v>25263</v>
      </c>
      <c r="AI17" s="10">
        <v>40100</v>
      </c>
      <c r="AJ17" s="11">
        <v>25263</v>
      </c>
    </row>
    <row r="18" spans="1:36" ht="18.600000000000001" thickBot="1">
      <c r="A18" s="7" t="s">
        <v>35</v>
      </c>
      <c r="B18" s="7" t="s">
        <v>21</v>
      </c>
      <c r="C18" s="7" t="s">
        <v>159</v>
      </c>
      <c r="D18" s="8">
        <v>0</v>
      </c>
      <c r="E18" s="8">
        <v>0</v>
      </c>
      <c r="F18" s="8">
        <v>0</v>
      </c>
      <c r="G18" s="8">
        <v>79</v>
      </c>
      <c r="H18" s="8">
        <v>79</v>
      </c>
      <c r="I18" s="9">
        <v>71100</v>
      </c>
      <c r="J18" s="8">
        <v>0</v>
      </c>
      <c r="K18" s="8">
        <v>0</v>
      </c>
      <c r="L18" s="8">
        <v>0</v>
      </c>
      <c r="M18" s="8">
        <v>1</v>
      </c>
      <c r="N18" s="8">
        <v>8</v>
      </c>
      <c r="O18" s="9">
        <v>7200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80</v>
      </c>
      <c r="AF18" s="8">
        <v>87</v>
      </c>
      <c r="AG18" s="9">
        <v>78300</v>
      </c>
      <c r="AH18" s="9">
        <v>49329</v>
      </c>
      <c r="AI18" s="10">
        <v>78300</v>
      </c>
      <c r="AJ18" s="11">
        <v>49329</v>
      </c>
    </row>
    <row r="19" spans="1:36" ht="18" thickBot="1">
      <c r="A19" s="7" t="s">
        <v>36</v>
      </c>
      <c r="B19" s="7" t="s">
        <v>45</v>
      </c>
      <c r="C19" s="7" t="s">
        <v>159</v>
      </c>
      <c r="D19" s="8">
        <v>0</v>
      </c>
      <c r="E19" s="8">
        <v>0</v>
      </c>
      <c r="F19" s="8">
        <v>0</v>
      </c>
      <c r="G19" s="8">
        <v>13</v>
      </c>
      <c r="H19" s="8">
        <v>13</v>
      </c>
      <c r="I19" s="9">
        <v>11700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13</v>
      </c>
      <c r="AF19" s="8">
        <v>13</v>
      </c>
      <c r="AG19" s="9">
        <v>11700</v>
      </c>
      <c r="AH19" s="9">
        <v>7371</v>
      </c>
      <c r="AI19" s="10">
        <v>11700</v>
      </c>
      <c r="AJ19" s="11">
        <v>7371</v>
      </c>
    </row>
    <row r="20" spans="1:36" ht="18" thickBot="1">
      <c r="A20" s="7" t="s">
        <v>37</v>
      </c>
      <c r="B20" s="7" t="s">
        <v>21</v>
      </c>
      <c r="C20" s="7" t="s">
        <v>159</v>
      </c>
      <c r="D20" s="8">
        <v>0</v>
      </c>
      <c r="E20" s="8">
        <v>0</v>
      </c>
      <c r="F20" s="8">
        <v>0</v>
      </c>
      <c r="G20" s="8">
        <v>47</v>
      </c>
      <c r="H20" s="8">
        <v>47</v>
      </c>
      <c r="I20" s="9">
        <v>42300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47</v>
      </c>
      <c r="AF20" s="8">
        <v>47</v>
      </c>
      <c r="AG20" s="9">
        <v>42300</v>
      </c>
      <c r="AH20" s="9">
        <v>26649</v>
      </c>
      <c r="AI20" s="10">
        <v>42300</v>
      </c>
      <c r="AJ20" s="11">
        <v>26649</v>
      </c>
    </row>
    <row r="21" spans="1:36" ht="18" thickBot="1">
      <c r="A21" s="7" t="s">
        <v>38</v>
      </c>
      <c r="B21" s="7" t="s">
        <v>45</v>
      </c>
      <c r="C21" s="7" t="s">
        <v>159</v>
      </c>
      <c r="D21" s="8">
        <v>0</v>
      </c>
      <c r="E21" s="8">
        <v>0</v>
      </c>
      <c r="F21" s="8">
        <v>0</v>
      </c>
      <c r="G21" s="8">
        <v>11</v>
      </c>
      <c r="H21" s="8">
        <v>11</v>
      </c>
      <c r="I21" s="9">
        <v>9900</v>
      </c>
      <c r="J21" s="8">
        <v>0</v>
      </c>
      <c r="K21" s="8">
        <v>0</v>
      </c>
      <c r="L21" s="8">
        <v>0</v>
      </c>
      <c r="M21" s="8">
        <v>3</v>
      </c>
      <c r="N21" s="8">
        <v>39</v>
      </c>
      <c r="O21" s="9">
        <v>24570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14</v>
      </c>
      <c r="AF21" s="8">
        <v>50</v>
      </c>
      <c r="AG21" s="9">
        <v>34470</v>
      </c>
      <c r="AH21" s="9">
        <v>21716.1</v>
      </c>
      <c r="AI21" s="10">
        <v>34470</v>
      </c>
      <c r="AJ21" s="11">
        <v>21716.1</v>
      </c>
    </row>
    <row r="22" spans="1:36" ht="18" thickBot="1">
      <c r="A22" s="7" t="s">
        <v>154</v>
      </c>
      <c r="B22" s="7" t="s">
        <v>21</v>
      </c>
      <c r="C22" s="7" t="s">
        <v>159</v>
      </c>
      <c r="D22" s="8">
        <v>0</v>
      </c>
      <c r="E22" s="8">
        <v>0</v>
      </c>
      <c r="F22" s="8">
        <v>0</v>
      </c>
      <c r="G22" s="8">
        <v>10</v>
      </c>
      <c r="H22" s="8">
        <v>10</v>
      </c>
      <c r="I22" s="9">
        <v>9000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10</v>
      </c>
      <c r="AF22" s="8">
        <v>10</v>
      </c>
      <c r="AG22" s="9">
        <v>9000</v>
      </c>
      <c r="AH22" s="9">
        <v>5670</v>
      </c>
      <c r="AI22" s="10">
        <v>9000</v>
      </c>
      <c r="AJ22" s="11">
        <v>5670</v>
      </c>
    </row>
    <row r="23" spans="1:36" ht="18" thickBot="1">
      <c r="A23" s="7" t="s">
        <v>47</v>
      </c>
      <c r="B23" s="7" t="s">
        <v>45</v>
      </c>
      <c r="C23" s="7" t="s">
        <v>159</v>
      </c>
      <c r="D23" s="8">
        <v>0</v>
      </c>
      <c r="E23" s="8">
        <v>0</v>
      </c>
      <c r="F23" s="8">
        <v>0</v>
      </c>
      <c r="G23" s="8">
        <v>12</v>
      </c>
      <c r="H23" s="8">
        <v>12</v>
      </c>
      <c r="I23" s="9">
        <v>10800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12</v>
      </c>
      <c r="AF23" s="8">
        <v>12</v>
      </c>
      <c r="AG23" s="9">
        <v>10800</v>
      </c>
      <c r="AH23" s="9">
        <v>6804</v>
      </c>
      <c r="AI23" s="10">
        <v>10800</v>
      </c>
      <c r="AJ23" s="11">
        <v>6804</v>
      </c>
    </row>
    <row r="24" spans="1:36" ht="18" thickBot="1">
      <c r="A24" s="7" t="s">
        <v>43</v>
      </c>
      <c r="B24" s="7" t="s">
        <v>45</v>
      </c>
      <c r="C24" s="7" t="s">
        <v>159</v>
      </c>
      <c r="D24" s="8">
        <v>0</v>
      </c>
      <c r="E24" s="8">
        <v>0</v>
      </c>
      <c r="F24" s="8">
        <v>0</v>
      </c>
      <c r="G24" s="8">
        <v>16</v>
      </c>
      <c r="H24" s="8">
        <v>16</v>
      </c>
      <c r="I24" s="9">
        <v>14400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16</v>
      </c>
      <c r="AF24" s="8">
        <v>16</v>
      </c>
      <c r="AG24" s="9">
        <v>14400</v>
      </c>
      <c r="AH24" s="9">
        <v>9072</v>
      </c>
      <c r="AI24" s="10">
        <v>14400</v>
      </c>
      <c r="AJ24" s="11">
        <v>9072</v>
      </c>
    </row>
    <row r="25" spans="1:36">
      <c r="A25" s="7" t="s">
        <v>44</v>
      </c>
      <c r="B25" s="7" t="s">
        <v>45</v>
      </c>
      <c r="C25" s="7" t="s">
        <v>159</v>
      </c>
      <c r="D25" s="8">
        <v>0</v>
      </c>
      <c r="E25" s="8">
        <v>0</v>
      </c>
      <c r="F25" s="8">
        <v>0</v>
      </c>
      <c r="G25" s="8">
        <v>10</v>
      </c>
      <c r="H25" s="8">
        <v>10</v>
      </c>
      <c r="I25" s="9">
        <v>9000</v>
      </c>
      <c r="J25" s="8">
        <v>0</v>
      </c>
      <c r="K25" s="8">
        <v>0</v>
      </c>
      <c r="L25" s="8">
        <v>0</v>
      </c>
      <c r="M25" s="8">
        <v>1</v>
      </c>
      <c r="N25" s="8">
        <v>9</v>
      </c>
      <c r="O25" s="9">
        <v>7290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11</v>
      </c>
      <c r="AF25" s="8">
        <v>19</v>
      </c>
      <c r="AG25" s="9">
        <v>16290</v>
      </c>
      <c r="AH25" s="9">
        <v>10262.700000000001</v>
      </c>
      <c r="AI25" s="10">
        <v>16290</v>
      </c>
      <c r="AJ25" s="11">
        <v>10262.700000000001</v>
      </c>
    </row>
    <row r="26" spans="1:36">
      <c r="AJ26" s="15">
        <f>SUM(AJ2:AJ25)</f>
        <v>1504442.7</v>
      </c>
    </row>
  </sheetData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11"/>
  <sheetViews>
    <sheetView topLeftCell="P1" workbookViewId="0">
      <selection activeCell="AJ11" sqref="AJ11"/>
    </sheetView>
  </sheetViews>
  <sheetFormatPr defaultRowHeight="17.399999999999999"/>
  <cols>
    <col min="1" max="1" width="9.3984375" bestFit="1" customWidth="1"/>
    <col min="2" max="2" width="7.19921875" bestFit="1" customWidth="1"/>
    <col min="3" max="3" width="7.59765625" bestFit="1" customWidth="1"/>
    <col min="4" max="6" width="8.09765625" bestFit="1" customWidth="1"/>
    <col min="7" max="18" width="8.19921875" bestFit="1" customWidth="1"/>
    <col min="19" max="30" width="8.69921875" bestFit="1" customWidth="1"/>
    <col min="31" max="31" width="7.19921875" bestFit="1" customWidth="1"/>
    <col min="32" max="32" width="7.5" bestFit="1" customWidth="1"/>
    <col min="33" max="34" width="7.59765625" bestFit="1" customWidth="1"/>
    <col min="35" max="35" width="8.3984375" bestFit="1" customWidth="1"/>
    <col min="36" max="36" width="11.69921875" bestFit="1" customWidth="1"/>
  </cols>
  <sheetData>
    <row r="1" spans="1:36" ht="63" thickBot="1">
      <c r="A1" s="1" t="s">
        <v>0</v>
      </c>
      <c r="B1" s="1" t="s">
        <v>1</v>
      </c>
      <c r="C1" s="1" t="s">
        <v>72</v>
      </c>
      <c r="D1" s="2" t="s">
        <v>51</v>
      </c>
      <c r="E1" s="2" t="s">
        <v>52</v>
      </c>
      <c r="F1" s="2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4" t="s">
        <v>2</v>
      </c>
      <c r="T1" s="4" t="s">
        <v>3</v>
      </c>
      <c r="U1" s="4" t="s">
        <v>4</v>
      </c>
      <c r="V1" s="4" t="s">
        <v>5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5" t="s">
        <v>66</v>
      </c>
      <c r="AF1" s="5" t="s">
        <v>67</v>
      </c>
      <c r="AG1" s="5" t="s">
        <v>68</v>
      </c>
      <c r="AH1" s="5" t="s">
        <v>69</v>
      </c>
      <c r="AI1" s="6" t="s">
        <v>70</v>
      </c>
      <c r="AJ1" s="6" t="s">
        <v>71</v>
      </c>
    </row>
    <row r="2" spans="1:36" ht="18.600000000000001" thickBot="1">
      <c r="A2" s="7" t="s">
        <v>114</v>
      </c>
      <c r="B2" s="7" t="s">
        <v>115</v>
      </c>
      <c r="C2" s="7" t="s">
        <v>160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144</v>
      </c>
      <c r="K2" s="8">
        <v>144</v>
      </c>
      <c r="L2" s="9">
        <v>288000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144</v>
      </c>
      <c r="AF2" s="8">
        <v>144</v>
      </c>
      <c r="AG2" s="9">
        <v>288000</v>
      </c>
      <c r="AH2" s="9">
        <v>181440</v>
      </c>
      <c r="AI2" s="10">
        <v>288000</v>
      </c>
      <c r="AJ2" s="11">
        <v>181440</v>
      </c>
    </row>
    <row r="3" spans="1:36" ht="18.600000000000001" thickBot="1">
      <c r="A3" s="7" t="s">
        <v>116</v>
      </c>
      <c r="B3" s="7" t="s">
        <v>117</v>
      </c>
      <c r="C3" s="7" t="s">
        <v>160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350</v>
      </c>
      <c r="K3" s="8">
        <v>350</v>
      </c>
      <c r="L3" s="9">
        <v>875000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350</v>
      </c>
      <c r="AF3" s="8">
        <v>350</v>
      </c>
      <c r="AG3" s="9">
        <v>875000</v>
      </c>
      <c r="AH3" s="9">
        <v>551250</v>
      </c>
      <c r="AI3" s="10">
        <v>875000</v>
      </c>
      <c r="AJ3" s="11">
        <v>551250</v>
      </c>
    </row>
    <row r="4" spans="1:36" ht="18.600000000000001" thickBot="1">
      <c r="A4" s="7" t="s">
        <v>128</v>
      </c>
      <c r="B4" s="7" t="s">
        <v>129</v>
      </c>
      <c r="C4" s="7" t="s">
        <v>160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137</v>
      </c>
      <c r="K4" s="8">
        <v>137</v>
      </c>
      <c r="L4" s="9">
        <v>274000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137</v>
      </c>
      <c r="AF4" s="8">
        <v>137</v>
      </c>
      <c r="AG4" s="9">
        <v>274000</v>
      </c>
      <c r="AH4" s="9">
        <v>172620</v>
      </c>
      <c r="AI4" s="10">
        <v>274000</v>
      </c>
      <c r="AJ4" s="11">
        <v>172620</v>
      </c>
    </row>
    <row r="5" spans="1:36" ht="18" thickBot="1">
      <c r="A5" s="7" t="s">
        <v>134</v>
      </c>
      <c r="B5" s="7" t="s">
        <v>135</v>
      </c>
      <c r="C5" s="7" t="s">
        <v>160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29</v>
      </c>
      <c r="K5" s="8">
        <v>29</v>
      </c>
      <c r="L5" s="9">
        <v>58000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29</v>
      </c>
      <c r="AF5" s="8">
        <v>29</v>
      </c>
      <c r="AG5" s="9">
        <v>58000</v>
      </c>
      <c r="AH5" s="9">
        <v>36540</v>
      </c>
      <c r="AI5" s="10">
        <v>58000</v>
      </c>
      <c r="AJ5" s="11">
        <v>36540</v>
      </c>
    </row>
    <row r="6" spans="1:36" ht="18.600000000000001" thickBot="1">
      <c r="A6" s="7" t="s">
        <v>138</v>
      </c>
      <c r="B6" s="7" t="s">
        <v>139</v>
      </c>
      <c r="C6" s="7" t="s">
        <v>160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10</v>
      </c>
      <c r="K6" s="8">
        <v>10</v>
      </c>
      <c r="L6" s="9">
        <v>25000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10</v>
      </c>
      <c r="AF6" s="8">
        <v>10</v>
      </c>
      <c r="AG6" s="9">
        <v>25000</v>
      </c>
      <c r="AH6" s="9">
        <v>15750</v>
      </c>
      <c r="AI6" s="10">
        <v>25000</v>
      </c>
      <c r="AJ6" s="11">
        <v>15750</v>
      </c>
    </row>
    <row r="7" spans="1:36" ht="18" thickBot="1">
      <c r="A7" s="7" t="s">
        <v>140</v>
      </c>
      <c r="B7" s="7" t="s">
        <v>141</v>
      </c>
      <c r="C7" s="7" t="s">
        <v>160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62</v>
      </c>
      <c r="K7" s="8">
        <v>62</v>
      </c>
      <c r="L7" s="9">
        <v>124000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62</v>
      </c>
      <c r="AF7" s="8">
        <v>62</v>
      </c>
      <c r="AG7" s="9">
        <v>124000</v>
      </c>
      <c r="AH7" s="9">
        <v>78120</v>
      </c>
      <c r="AI7" s="10">
        <v>124000</v>
      </c>
      <c r="AJ7" s="11">
        <v>78120</v>
      </c>
    </row>
    <row r="8" spans="1:36" ht="18" thickBot="1">
      <c r="A8" s="7" t="s">
        <v>143</v>
      </c>
      <c r="B8" s="7" t="s">
        <v>144</v>
      </c>
      <c r="C8" s="7" t="s">
        <v>160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252</v>
      </c>
      <c r="K8" s="8">
        <v>252</v>
      </c>
      <c r="L8" s="9">
        <v>504000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252</v>
      </c>
      <c r="AF8" s="8">
        <v>252</v>
      </c>
      <c r="AG8" s="9">
        <v>504000</v>
      </c>
      <c r="AH8" s="9">
        <v>317520</v>
      </c>
      <c r="AI8" s="10">
        <v>504000</v>
      </c>
      <c r="AJ8" s="11">
        <v>317520</v>
      </c>
    </row>
    <row r="9" spans="1:36" ht="18.600000000000001" thickBot="1">
      <c r="A9" s="7" t="s">
        <v>145</v>
      </c>
      <c r="B9" s="7" t="s">
        <v>146</v>
      </c>
      <c r="C9" s="7" t="s">
        <v>160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7</v>
      </c>
      <c r="K9" s="8">
        <v>7</v>
      </c>
      <c r="L9" s="9">
        <v>17500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7</v>
      </c>
      <c r="AF9" s="8">
        <v>7</v>
      </c>
      <c r="AG9" s="9">
        <v>17500</v>
      </c>
      <c r="AH9" s="9">
        <v>11025</v>
      </c>
      <c r="AI9" s="10">
        <v>17500</v>
      </c>
      <c r="AJ9" s="11">
        <v>11025</v>
      </c>
    </row>
    <row r="10" spans="1:36">
      <c r="A10" s="7" t="s">
        <v>155</v>
      </c>
      <c r="B10" s="7" t="s">
        <v>156</v>
      </c>
      <c r="C10" s="7" t="s">
        <v>160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22</v>
      </c>
      <c r="K10" s="8">
        <v>22</v>
      </c>
      <c r="L10" s="9">
        <v>44000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22</v>
      </c>
      <c r="AF10" s="8">
        <v>22</v>
      </c>
      <c r="AG10" s="9">
        <v>44000</v>
      </c>
      <c r="AH10" s="9">
        <v>27720</v>
      </c>
      <c r="AI10" s="10">
        <v>44000</v>
      </c>
      <c r="AJ10" s="11">
        <v>27720</v>
      </c>
    </row>
    <row r="11" spans="1:36">
      <c r="AJ11" s="15">
        <f>SUM(AJ2:AJ10)</f>
        <v>1391985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합계(1)</vt:lpstr>
      <vt:lpstr>더컴퍼니</vt:lpstr>
      <vt:lpstr>에필로그</vt:lpstr>
      <vt:lpstr>밀리의 서재</vt:lpstr>
      <vt:lpstr>더컴퍼니!Extract</vt:lpstr>
      <vt:lpstr>'밀리의 서재'!Extract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2022-02-07T06:06:27Z</dcterms:modified>
</cp:coreProperties>
</file>