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activeTab="1"/>
  </bookViews>
  <sheets>
    <sheet name="정산내역 요약" sheetId="1" r:id="rId1"/>
    <sheet name="이상윤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M9" i="2" l="1"/>
  <c r="M5" i="2"/>
  <c r="L20" i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<sst xmlns="http://schemas.openxmlformats.org/spreadsheetml/2006/main" count="118" uniqueCount="63">
  <si>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</si>
  <si>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</si>
  <si>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</si>
  <si>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</si>
  <si>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</si>
  <si>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2022-01</t>
  </si>
  <si>
    <t>#4 수신자 : jihee.kim@kt.com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</si>
  <si>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</si>
  <si>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</si>
  <si>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</si>
  <si>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</si>
  <si>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</si>
  <si>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</si>
  <si>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</si>
  <si>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</si>
  <si>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</si>
  <si>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</si>
  <si>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판매금액</t>
  </si>
  <si>
    <t>운영/결제수수료</t>
  </si>
  <si>
    <t>순매출액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</si>
  <si>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</si>
  <si>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</si>
  <si>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</si>
  <si>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</si>
  <si>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</si>
  <si>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</si>
  <si>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구원</t>
  </si>
  <si>
    <t>합계</t>
  </si>
  <si>
    <t>정산월</t>
  </si>
  <si>
    <t>플랫폼작품명 KOR</t>
  </si>
  <si>
    <t>캐시타입</t>
  </si>
  <si>
    <t>BM 유형</t>
  </si>
  <si>
    <t>통화</t>
  </si>
  <si>
    <t>원화 매출</t>
  </si>
  <si>
    <t>정산율</t>
  </si>
  <si>
    <t>수익분배율</t>
  </si>
  <si>
    <t>작품별 정산금액</t>
  </si>
  <si>
    <t>2022-01</t>
  </si>
  <si>
    <t>ANDROID</t>
  </si>
  <si>
    <t>재연재</t>
  </si>
  <si>
    <t>KRW</t>
  </si>
  <si>
    <t>EVENT CASH</t>
  </si>
  <si>
    <t>WEB</t>
  </si>
  <si>
    <t>IOS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</si>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</sst>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15" fillId="0" borderId="0" xfId="0" applyNumberFormat="1" applyFont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41" fontId="9" fillId="0" borderId="0" xfId="0" applyNumberFormat="1" applyFont="1" applyAlignment="1">
      <alignment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="92" zoomScaleNormal="100" workbookViewId="0">
      <selection activeCell="L4" sqref="L4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13.6992187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4">
      <c r="C5" s="10" t="s">
        <v>1</v>
      </c>
      <c r="D5" s="10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1" t="s">
        <v>3</v>
      </c>
      <c r="M7" s="5"/>
    </row>
    <row r="8" spans="1:13" x14ac:dyDescent="0.35">
      <c r="D8" s="11" t="s">
        <v>4</v>
      </c>
      <c r="M8" s="5"/>
    </row>
    <row r="9" spans="1:13" x14ac:dyDescent="0.35">
      <c r="D9" s="11" t="s">
        <v>5</v>
      </c>
      <c r="M9" s="5"/>
    </row>
    <row r="10" spans="1:13" x14ac:dyDescent="0.35">
      <c r="D10" s="11" t="s">
        <v>6</v>
      </c>
      <c r="M10" s="5"/>
    </row>
    <row r="11" spans="1:13" x14ac:dyDescent="0.35">
      <c r="D11" s="11" t="s">
        <v>7</v>
      </c>
      <c r="M11" s="5"/>
    </row>
    <row r="12" spans="1:13" ht="17.399999999999999" x14ac:dyDescent="0.4">
      <c r="D12" t="s">
        <v>8</v>
      </c>
      <c r="M12" s="5"/>
    </row>
    <row r="13" spans="1:13" x14ac:dyDescent="0.4">
      <c r="M13" s="5"/>
    </row>
    <row r="14" spans="1:13" x14ac:dyDescent="0.35">
      <c r="C14" s="11" t="s">
        <v>9</v>
      </c>
      <c r="D14" s="11" t="s">
        <v>10</v>
      </c>
      <c r="E14" s="12">
        <v>1980803</v>
      </c>
      <c r="F14" s="13" t="s">
        <v>11</v>
      </c>
      <c r="M14" s="5"/>
    </row>
    <row r="15" spans="1:13" x14ac:dyDescent="0.4">
      <c r="M15" s="5"/>
    </row>
    <row r="16" spans="1:13" ht="17.399999999999999" x14ac:dyDescent="0.4">
      <c r="C16" s="14" t="s">
        <v>12</v>
      </c>
      <c r="D16" s="11" t="s">
        <v>13</v>
      </c>
      <c r="M16" s="5"/>
    </row>
    <row r="17" spans="4:13" ht="17.399999999999999" x14ac:dyDescent="0.4">
      <c r="D17" s="15" t="s">
        <v>14</v>
      </c>
      <c r="E17" s="15" t="s">
        <v>15</v>
      </c>
      <c r="F17" s="15" t="s">
        <v>16</v>
      </c>
      <c r="G17" s="15" t="s">
        <v>17</v>
      </c>
      <c r="H17" s="15" t="s">
        <v>18</v>
      </c>
      <c r="I17" s="15" t="s">
        <v>19</v>
      </c>
      <c r="J17" s="15" t="s">
        <v>20</v>
      </c>
      <c r="K17" s="15" t="s">
        <v>21</v>
      </c>
      <c r="L17" s="15" t="s">
        <v>22</v>
      </c>
      <c r="M17" s="5"/>
    </row>
    <row r="18" spans="4:13" ht="17.399999999999999" x14ac:dyDescent="0.4">
      <c r="D18" s="27" t="s">
        <v>23</v>
      </c>
      <c r="E18" s="27" t="s">
        <v>24</v>
      </c>
      <c r="F18" s="16" t="s">
        <v>25</v>
      </c>
      <c r="G18" s="17">
        <v>3433524</v>
      </c>
      <c r="H18" s="17">
        <v>603806</v>
      </c>
      <c r="I18" s="17">
        <v>2829718</v>
      </c>
      <c r="J18" s="17">
        <v>1980803</v>
      </c>
      <c r="K18" s="17">
        <v>0</v>
      </c>
      <c r="L18" s="17">
        <v>1980803</v>
      </c>
      <c r="M18" s="5"/>
    </row>
    <row r="19" spans="4:13" ht="17.399999999999999" x14ac:dyDescent="0.4">
      <c r="D19" s="28"/>
      <c r="E19" s="28"/>
      <c r="F19" s="16" t="s">
        <v>26</v>
      </c>
      <c r="G19" s="17">
        <v>2504591</v>
      </c>
      <c r="H19" s="17">
        <v>549801</v>
      </c>
      <c r="I19" s="17">
        <v>1954790</v>
      </c>
      <c r="J19" s="17">
        <v>1368353</v>
      </c>
      <c r="K19" s="17">
        <v>1368353</v>
      </c>
      <c r="L19" s="17">
        <v>0</v>
      </c>
      <c r="M19" s="5"/>
    </row>
    <row r="20" spans="4:13" ht="17.399999999999999" x14ac:dyDescent="0.4">
      <c r="D20" s="27" t="s">
        <v>27</v>
      </c>
      <c r="E20" s="29"/>
      <c r="F20" s="30"/>
      <c r="G20" s="17">
        <f t="shared" ref="G20:L20" si="0">SUM(G18:G19)</f>
        <v>5938115</v>
      </c>
      <c r="H20" s="17">
        <f t="shared" si="0"/>
        <v>1153607</v>
      </c>
      <c r="I20" s="17">
        <f t="shared" si="0"/>
        <v>4784508</v>
      </c>
      <c r="J20" s="17">
        <f t="shared" si="0"/>
        <v>3349156</v>
      </c>
      <c r="K20" s="17">
        <f t="shared" si="0"/>
        <v>1368353</v>
      </c>
      <c r="L20" s="17">
        <f t="shared" si="0"/>
        <v>1980803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3">
    <mergeCell ref="D18:D19"/>
    <mergeCell ref="E18:E19"/>
    <mergeCell ref="D20:F20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J24" sqref="J24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3" x14ac:dyDescent="0.4">
      <c r="A1" s="18" t="s">
        <v>28</v>
      </c>
      <c r="B1" s="18" t="s">
        <v>14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18</v>
      </c>
      <c r="J1" s="18" t="s">
        <v>19</v>
      </c>
      <c r="K1" s="18" t="s">
        <v>35</v>
      </c>
      <c r="L1" s="18" t="s">
        <v>36</v>
      </c>
    </row>
    <row r="2" spans="1:13" x14ac:dyDescent="0.3">
      <c r="A2" s="19" t="s">
        <v>37</v>
      </c>
      <c r="B2" s="20" t="s">
        <v>23</v>
      </c>
      <c r="C2" s="20" t="s">
        <v>25</v>
      </c>
      <c r="D2" s="20" t="s">
        <v>38</v>
      </c>
      <c r="E2" s="20" t="s">
        <v>39</v>
      </c>
      <c r="F2" s="20" t="s">
        <v>40</v>
      </c>
      <c r="G2" s="21">
        <v>1177650</v>
      </c>
      <c r="H2" s="22">
        <v>0.06</v>
      </c>
      <c r="I2" s="23">
        <v>70659</v>
      </c>
      <c r="J2" s="23">
        <v>1106991</v>
      </c>
      <c r="K2" s="22">
        <v>0.7</v>
      </c>
      <c r="L2" s="23">
        <v>774894</v>
      </c>
    </row>
    <row r="3" spans="1:13" x14ac:dyDescent="0.3">
      <c r="A3" s="19" t="s">
        <v>37</v>
      </c>
      <c r="B3" s="20" t="s">
        <v>23</v>
      </c>
      <c r="C3" s="20" t="s">
        <v>25</v>
      </c>
      <c r="D3" s="20" t="s">
        <v>41</v>
      </c>
      <c r="E3" s="20" t="s">
        <v>39</v>
      </c>
      <c r="F3" s="20" t="s">
        <v>40</v>
      </c>
      <c r="G3" s="21">
        <v>945735</v>
      </c>
      <c r="H3" s="22">
        <v>0.3</v>
      </c>
      <c r="I3" s="23">
        <v>283721</v>
      </c>
      <c r="J3" s="23">
        <v>662014</v>
      </c>
      <c r="K3" s="22">
        <v>0.7</v>
      </c>
      <c r="L3" s="23">
        <v>463410</v>
      </c>
    </row>
    <row r="4" spans="1:13" x14ac:dyDescent="0.3">
      <c r="A4" s="19" t="s">
        <v>37</v>
      </c>
      <c r="B4" s="20" t="s">
        <v>23</v>
      </c>
      <c r="C4" s="20" t="s">
        <v>25</v>
      </c>
      <c r="D4" s="20" t="s">
        <v>42</v>
      </c>
      <c r="E4" s="20" t="s">
        <v>39</v>
      </c>
      <c r="F4" s="20" t="s">
        <v>40</v>
      </c>
      <c r="G4" s="21">
        <v>598400</v>
      </c>
      <c r="H4" s="22">
        <v>0.06</v>
      </c>
      <c r="I4" s="23">
        <v>35904</v>
      </c>
      <c r="J4" s="23">
        <v>562496</v>
      </c>
      <c r="K4" s="22">
        <v>0.7</v>
      </c>
      <c r="L4" s="23">
        <v>393747</v>
      </c>
    </row>
    <row r="5" spans="1:13" x14ac:dyDescent="0.3">
      <c r="A5" s="19" t="s">
        <v>37</v>
      </c>
      <c r="B5" s="20" t="s">
        <v>23</v>
      </c>
      <c r="C5" s="20" t="s">
        <v>25</v>
      </c>
      <c r="D5" s="20" t="s">
        <v>43</v>
      </c>
      <c r="E5" s="20" t="s">
        <v>39</v>
      </c>
      <c r="F5" s="20" t="s">
        <v>40</v>
      </c>
      <c r="G5" s="21">
        <v>711739</v>
      </c>
      <c r="H5" s="22">
        <v>0.3</v>
      </c>
      <c r="I5" s="23">
        <v>213522</v>
      </c>
      <c r="J5" s="23">
        <v>498217</v>
      </c>
      <c r="K5" s="22">
        <v>0.7</v>
      </c>
      <c r="L5" s="23">
        <v>348752</v>
      </c>
      <c r="M5" s="35">
        <f>SUM(L2:L5)</f>
        <v>1980803</v>
      </c>
    </row>
    <row r="6" spans="1:13" x14ac:dyDescent="0.3">
      <c r="A6" s="19" t="s">
        <v>37</v>
      </c>
      <c r="B6" s="20" t="s">
        <v>23</v>
      </c>
      <c r="C6" s="20" t="s">
        <v>26</v>
      </c>
      <c r="D6" s="20" t="s">
        <v>38</v>
      </c>
      <c r="E6" s="20" t="s">
        <v>44</v>
      </c>
      <c r="F6" s="20" t="s">
        <v>40</v>
      </c>
      <c r="G6" s="23">
        <v>609600</v>
      </c>
      <c r="H6" s="22">
        <v>0.06</v>
      </c>
      <c r="I6" s="23">
        <v>36576</v>
      </c>
      <c r="J6" s="23">
        <v>573024</v>
      </c>
      <c r="K6" s="22">
        <v>0.7</v>
      </c>
      <c r="L6" s="23">
        <v>401117</v>
      </c>
    </row>
    <row r="7" spans="1:13" x14ac:dyDescent="0.3">
      <c r="A7" s="19" t="s">
        <v>37</v>
      </c>
      <c r="B7" s="20" t="s">
        <v>23</v>
      </c>
      <c r="C7" s="20" t="s">
        <v>26</v>
      </c>
      <c r="D7" s="20" t="s">
        <v>43</v>
      </c>
      <c r="E7" s="20" t="s">
        <v>44</v>
      </c>
      <c r="F7" s="20" t="s">
        <v>40</v>
      </c>
      <c r="G7" s="23">
        <v>414827</v>
      </c>
      <c r="H7" s="22">
        <v>0.3</v>
      </c>
      <c r="I7" s="23">
        <v>124448</v>
      </c>
      <c r="J7" s="23">
        <v>290379</v>
      </c>
      <c r="K7" s="22">
        <v>0.7</v>
      </c>
      <c r="L7" s="23">
        <v>203265</v>
      </c>
    </row>
    <row r="8" spans="1:13" x14ac:dyDescent="0.3">
      <c r="A8" s="19" t="s">
        <v>37</v>
      </c>
      <c r="B8" s="20" t="s">
        <v>23</v>
      </c>
      <c r="C8" s="20" t="s">
        <v>26</v>
      </c>
      <c r="D8" s="20" t="s">
        <v>41</v>
      </c>
      <c r="E8" s="20" t="s">
        <v>44</v>
      </c>
      <c r="F8" s="20" t="s">
        <v>40</v>
      </c>
      <c r="G8" s="23">
        <v>1249864</v>
      </c>
      <c r="H8" s="22">
        <v>0.3</v>
      </c>
      <c r="I8" s="23">
        <v>374959</v>
      </c>
      <c r="J8" s="23">
        <v>874905</v>
      </c>
      <c r="K8" s="22">
        <v>0.7</v>
      </c>
      <c r="L8" s="23">
        <v>612434</v>
      </c>
    </row>
    <row r="9" spans="1:13" x14ac:dyDescent="0.3">
      <c r="A9" s="19" t="s">
        <v>37</v>
      </c>
      <c r="B9" s="20" t="s">
        <v>23</v>
      </c>
      <c r="C9" s="20" t="s">
        <v>26</v>
      </c>
      <c r="D9" s="20" t="s">
        <v>42</v>
      </c>
      <c r="E9" s="20" t="s">
        <v>44</v>
      </c>
      <c r="F9" s="20" t="s">
        <v>40</v>
      </c>
      <c r="G9" s="23">
        <v>230300</v>
      </c>
      <c r="H9" s="22">
        <v>0.06</v>
      </c>
      <c r="I9" s="23">
        <v>13818</v>
      </c>
      <c r="J9" s="23">
        <v>216482</v>
      </c>
      <c r="K9" s="22">
        <v>0.7</v>
      </c>
      <c r="L9" s="23">
        <v>151537</v>
      </c>
      <c r="M9" s="35">
        <f>SUM(L6:L9)</f>
        <v>1368353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A2"/>
    </sheetView>
  </sheetViews>
  <sheetFormatPr defaultRowHeight="17.399999999999999" x14ac:dyDescent="0.4"/>
  <cols>
    <col min="1" max="8" width="20" style="9" customWidth="1"/>
  </cols>
  <sheetData>
    <row r="1" spans="1:8" x14ac:dyDescent="0.4">
      <c r="A1" s="31" t="s">
        <v>16</v>
      </c>
      <c r="B1" s="31" t="s">
        <v>28</v>
      </c>
      <c r="C1" s="31" t="s">
        <v>45</v>
      </c>
      <c r="D1" s="31" t="s">
        <v>46</v>
      </c>
      <c r="E1" s="30"/>
      <c r="F1" s="31" t="s">
        <v>47</v>
      </c>
      <c r="G1" s="31" t="s">
        <v>48</v>
      </c>
      <c r="H1" s="31" t="s">
        <v>49</v>
      </c>
    </row>
    <row r="2" spans="1:8" x14ac:dyDescent="0.4">
      <c r="A2" s="28"/>
      <c r="B2" s="28"/>
      <c r="C2" s="28"/>
      <c r="D2" s="24" t="s">
        <v>50</v>
      </c>
      <c r="E2" s="24" t="s">
        <v>51</v>
      </c>
      <c r="F2" s="28"/>
      <c r="G2" s="28"/>
      <c r="H2" s="28"/>
    </row>
    <row r="3" spans="1:8" x14ac:dyDescent="0.4">
      <c r="A3" s="33" t="s">
        <v>26</v>
      </c>
      <c r="B3" s="32" t="s">
        <v>52</v>
      </c>
      <c r="C3" s="25" t="s">
        <v>53</v>
      </c>
      <c r="D3" s="26">
        <v>0</v>
      </c>
      <c r="E3" s="26">
        <v>40000000</v>
      </c>
      <c r="F3" s="26">
        <v>1634352</v>
      </c>
      <c r="G3" s="26">
        <v>38365648</v>
      </c>
      <c r="H3" s="26">
        <v>0</v>
      </c>
    </row>
    <row r="4" spans="1:8" x14ac:dyDescent="0.4">
      <c r="A4" s="34"/>
      <c r="B4" s="32" t="s">
        <v>54</v>
      </c>
      <c r="C4" s="25" t="s">
        <v>53</v>
      </c>
      <c r="D4" s="26">
        <v>38365648</v>
      </c>
      <c r="E4" s="26">
        <v>0</v>
      </c>
      <c r="F4" s="26">
        <v>2005354</v>
      </c>
      <c r="G4" s="26">
        <v>36360294</v>
      </c>
      <c r="H4" s="26">
        <v>0</v>
      </c>
    </row>
    <row r="5" spans="1:8" x14ac:dyDescent="0.4">
      <c r="A5" s="34"/>
      <c r="B5" s="32" t="s">
        <v>55</v>
      </c>
      <c r="C5" s="25" t="s">
        <v>53</v>
      </c>
      <c r="D5" s="26">
        <v>36360294</v>
      </c>
      <c r="E5" s="26">
        <v>0</v>
      </c>
      <c r="F5" s="26">
        <v>2044892</v>
      </c>
      <c r="G5" s="26">
        <v>34315402</v>
      </c>
      <c r="H5" s="26">
        <v>0</v>
      </c>
    </row>
    <row r="6" spans="1:8" x14ac:dyDescent="0.4">
      <c r="A6" s="34"/>
      <c r="B6" s="32" t="s">
        <v>56</v>
      </c>
      <c r="C6" s="25" t="s">
        <v>53</v>
      </c>
      <c r="D6" s="26">
        <v>34315402</v>
      </c>
      <c r="E6" s="26">
        <v>0</v>
      </c>
      <c r="F6" s="26">
        <v>1433705</v>
      </c>
      <c r="G6" s="26">
        <v>32881697</v>
      </c>
      <c r="H6" s="26">
        <v>0</v>
      </c>
    </row>
    <row r="7" spans="1:8" x14ac:dyDescent="0.4">
      <c r="A7" s="34"/>
      <c r="B7" s="32" t="s">
        <v>57</v>
      </c>
      <c r="C7" s="25" t="s">
        <v>53</v>
      </c>
      <c r="D7" s="26">
        <v>32881697</v>
      </c>
      <c r="E7" s="26">
        <v>0</v>
      </c>
      <c r="F7" s="26">
        <v>2044938</v>
      </c>
      <c r="G7" s="26">
        <v>30836759</v>
      </c>
      <c r="H7" s="26">
        <v>0</v>
      </c>
    </row>
    <row r="8" spans="1:8" x14ac:dyDescent="0.4">
      <c r="A8" s="34"/>
      <c r="B8" s="32" t="s">
        <v>58</v>
      </c>
      <c r="C8" s="25" t="s">
        <v>53</v>
      </c>
      <c r="D8" s="26">
        <v>30836759</v>
      </c>
      <c r="E8" s="26">
        <v>0</v>
      </c>
      <c r="F8" s="26">
        <v>925342</v>
      </c>
      <c r="G8" s="26">
        <v>29911417</v>
      </c>
      <c r="H8" s="26">
        <v>0</v>
      </c>
    </row>
    <row r="9" spans="1:8" x14ac:dyDescent="0.4">
      <c r="A9" s="34"/>
      <c r="B9" s="32" t="s">
        <v>59</v>
      </c>
      <c r="C9" s="25" t="s">
        <v>53</v>
      </c>
      <c r="D9" s="26">
        <v>29911417</v>
      </c>
      <c r="E9" s="26">
        <v>0</v>
      </c>
      <c r="F9" s="26">
        <v>849269</v>
      </c>
      <c r="G9" s="26">
        <v>29062148</v>
      </c>
      <c r="H9" s="26">
        <v>0</v>
      </c>
    </row>
    <row r="10" spans="1:8" x14ac:dyDescent="0.4">
      <c r="A10" s="34"/>
      <c r="B10" s="32" t="s">
        <v>60</v>
      </c>
      <c r="C10" s="25" t="s">
        <v>53</v>
      </c>
      <c r="D10" s="26">
        <v>29062148</v>
      </c>
      <c r="E10" s="26">
        <v>0</v>
      </c>
      <c r="F10" s="26">
        <v>566393</v>
      </c>
      <c r="G10" s="26">
        <v>28495755</v>
      </c>
      <c r="H10" s="26">
        <v>0</v>
      </c>
    </row>
    <row r="11" spans="1:8" x14ac:dyDescent="0.4">
      <c r="A11" s="34"/>
      <c r="B11" s="32" t="s">
        <v>61</v>
      </c>
      <c r="C11" s="25" t="s">
        <v>53</v>
      </c>
      <c r="D11" s="26">
        <v>28495755</v>
      </c>
      <c r="E11" s="26">
        <v>0</v>
      </c>
      <c r="F11" s="26">
        <v>577678</v>
      </c>
      <c r="G11" s="26">
        <v>27918077</v>
      </c>
      <c r="H11" s="26">
        <v>0</v>
      </c>
    </row>
    <row r="12" spans="1:8" x14ac:dyDescent="0.4">
      <c r="A12" s="28"/>
      <c r="B12" s="32" t="s">
        <v>62</v>
      </c>
      <c r="C12" s="25" t="s">
        <v>53</v>
      </c>
      <c r="D12" s="26">
        <v>27918077</v>
      </c>
      <c r="E12" s="26">
        <v>0</v>
      </c>
      <c r="F12" s="26">
        <v>1368353</v>
      </c>
      <c r="G12" s="26">
        <v>26549724</v>
      </c>
      <c r="H12" s="26">
        <v>0</v>
      </c>
    </row>
  </sheetData>
  <mergeCells count="18">
    <mergeCell ref="B11"/>
    <mergeCell ref="B12"/>
    <mergeCell ref="A3:A12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이상윤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jihui</cp:lastModifiedBy>
  <dcterms:created xsi:type="dcterms:W3CDTF">2021-06-21T05:22:17Z</dcterms:created>
  <dcterms:modified xsi:type="dcterms:W3CDTF">2022-02-07T02:49:29Z</dcterms:modified>
</cp:coreProperties>
</file>