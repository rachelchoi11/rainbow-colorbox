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766"/>
  </bookViews>
  <sheets>
    <sheet name="합계(1)" sheetId="7" r:id="rId1"/>
    <sheet name="더컴퍼니" sheetId="8" r:id="rId2"/>
    <sheet name="진엔터" sheetId="9" r:id="rId3"/>
    <sheet name="세상" sheetId="10" r:id="rId4"/>
    <sheet name="혜원" sheetId="11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0" hidden="1">'합계(1)'!$A$1:$AE$43</definedName>
    <definedName name="AFFMST">[1]AFFMST!$A$1:$E$42</definedName>
    <definedName name="B1057365" localSheetId="3">#REF!</definedName>
    <definedName name="B1057365" localSheetId="4">#REF!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3">'[2]コイン報告書_foreign CP'!#REF!</definedName>
    <definedName name="direct_item" localSheetId="0">'[2]コイン報告書_foreign CP'!#REF!</definedName>
    <definedName name="direct_item" localSheetId="4">'[2]コイン報告書_foreign CP'!#REF!</definedName>
    <definedName name="direct_item">'[2]コイン報告書_foreign CP'!#REF!</definedName>
    <definedName name="direct_items" localSheetId="3">'[2]コイン報告書_foreign CP'!#REF!</definedName>
    <definedName name="direct_items" localSheetId="0">'[2]コイン報告書_foreign CP'!#REF!</definedName>
    <definedName name="direct_items" localSheetId="4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3">'[2]コイン報告書_foreign CP'!#REF!</definedName>
    <definedName name="direct_report_ym" localSheetId="0">'[2]コイン報告書_foreign CP'!#REF!</definedName>
    <definedName name="direct_report_ym" localSheetId="4">'[2]コイン報告書_foreign CP'!#REF!</definedName>
    <definedName name="direct_report_ym">'[2]コイン報告書_foreign CP'!#REF!</definedName>
    <definedName name="_xlnm.Extract" localSheetId="1">더컴퍼니!$A$1:$AE$1</definedName>
    <definedName name="_xlnm.Extract" localSheetId="3">세상!$A$1:$AE$1</definedName>
    <definedName name="_xlnm.Extract" localSheetId="2">진엔터!$A$1:$AE$1</definedName>
    <definedName name="_xlnm.Extract" localSheetId="0">'합계(1)'!#REF!</definedName>
    <definedName name="_xlnm.Extract" localSheetId="4">혜원!$A$1:$AE$1</definedName>
    <definedName name="FFF" localSheetId="3">'[2]コイン報告書_foreign CP'!#REF!</definedName>
    <definedName name="FFF" localSheetId="0">'[2]コイン報告書_foreign CP'!#REF!</definedName>
    <definedName name="FFF" localSheetId="4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3">'[2]コイン報告書_foreign CP'!#REF!</definedName>
    <definedName name="ws_items" localSheetId="0">'[2]コイン報告書_foreign CP'!#REF!</definedName>
    <definedName name="ws_items" localSheetId="4">'[2]コイン報告書_foreign CP'!#REF!</definedName>
    <definedName name="ws_items">'[2]コイン報告書_foreign CP'!#REF!</definedName>
    <definedName name="ws_report_rs_ratio" localSheetId="3">'[2]コイン報告書_foreign CP'!#REF!</definedName>
    <definedName name="ws_report_rs_ratio" localSheetId="0">'[2]コイン報告書_foreign CP'!#REF!</definedName>
    <definedName name="ws_report_rs_ratio" localSheetId="4">'[2]コイン報告書_foreign CP'!#REF!</definedName>
    <definedName name="ws_report_rs_ratio">'[2]コイン報告書_foreign CP'!#REF!</definedName>
    <definedName name="ws_report_rs_ratio1" localSheetId="3">'[2]コイン報告書_foreign CP'!#REF!</definedName>
    <definedName name="ws_report_rs_ratio1" localSheetId="0">'[2]コイン報告書_foreign CP'!#REF!</definedName>
    <definedName name="ws_report_rs_ratio1" localSheetId="4">'[2]コイン報告書_foreign CP'!#REF!</definedName>
    <definedName name="ws_report_rs_ratio1">'[2]コイン報告書_foreign CP'!#REF!</definedName>
    <definedName name="ws_report_rs_ratio2" localSheetId="3">'[2]コイン報告書_foreign CP'!#REF!</definedName>
    <definedName name="ws_report_rs_ratio2" localSheetId="0">'[2]コイン報告書_foreign CP'!#REF!</definedName>
    <definedName name="ws_report_rs_ratio2" localSheetId="4">'[2]コイン報告書_foreign CP'!#REF!</definedName>
    <definedName name="ws_report_rs_ratio2">'[2]コイン報告書_foreign CP'!#REF!</definedName>
    <definedName name="ws_report_ym" localSheetId="3">'[2]コイン報告書_foreign CP'!#REF!</definedName>
    <definedName name="ws_report_ym" localSheetId="0">'[2]コイン報告書_foreign CP'!#REF!</definedName>
    <definedName name="ws_report_ym" localSheetId="4">'[2]コイン報告書_foreign CP'!#REF!</definedName>
    <definedName name="ws_report_ym">'[2]コイン報告書_foreign CP'!#REF!</definedName>
    <definedName name="ㄹ" localSheetId="3">'[3]コイン報告書_foreign CP'!#REF!</definedName>
    <definedName name="ㄹ" localSheetId="0">'[3]コイン報告書_foreign CP'!#REF!</definedName>
    <definedName name="ㄹ" localSheetId="4">'[3]コイン報告書_foreign CP'!#REF!</definedName>
    <definedName name="ㄹ">'[3]コイン報告書_foreign CP'!#REF!</definedName>
    <definedName name="타이틀명">[4]hidden!$A$2:$A$120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8" l="1"/>
  <c r="AD42" i="7" l="1"/>
  <c r="V42" i="7"/>
  <c r="W42" i="7" s="1"/>
  <c r="R42" i="7"/>
  <c r="AD41" i="7"/>
  <c r="V41" i="7"/>
  <c r="W41" i="7" s="1"/>
  <c r="R41" i="7"/>
  <c r="S41" i="7" s="1"/>
  <c r="AD40" i="7"/>
  <c r="V40" i="7"/>
  <c r="W40" i="7" s="1"/>
  <c r="R40" i="7"/>
  <c r="S40" i="7" s="1"/>
  <c r="AD39" i="7"/>
  <c r="V39" i="7"/>
  <c r="W39" i="7" s="1"/>
  <c r="R39" i="7"/>
  <c r="AD38" i="7"/>
  <c r="V38" i="7"/>
  <c r="W38" i="7" s="1"/>
  <c r="R38" i="7"/>
  <c r="S38" i="7" s="1"/>
  <c r="AD37" i="7"/>
  <c r="V37" i="7"/>
  <c r="W37" i="7" s="1"/>
  <c r="R37" i="7"/>
  <c r="AD36" i="7"/>
  <c r="V36" i="7"/>
  <c r="W36" i="7" s="1"/>
  <c r="R36" i="7"/>
  <c r="S36" i="7" s="1"/>
  <c r="AD35" i="7"/>
  <c r="V35" i="7"/>
  <c r="W35" i="7" s="1"/>
  <c r="R35" i="7"/>
  <c r="AD34" i="7"/>
  <c r="V34" i="7"/>
  <c r="R34" i="7"/>
  <c r="S34" i="7" s="1"/>
  <c r="AD33" i="7"/>
  <c r="V33" i="7"/>
  <c r="R33" i="7"/>
  <c r="S33" i="7" s="1"/>
  <c r="AD32" i="7"/>
  <c r="V32" i="7"/>
  <c r="W32" i="7" s="1"/>
  <c r="R32" i="7"/>
  <c r="S32" i="7" s="1"/>
  <c r="AD31" i="7"/>
  <c r="V31" i="7"/>
  <c r="W31" i="7" s="1"/>
  <c r="R31" i="7"/>
  <c r="AD30" i="7"/>
  <c r="V30" i="7"/>
  <c r="W30" i="7" s="1"/>
  <c r="R30" i="7"/>
  <c r="S30" i="7" s="1"/>
  <c r="AD29" i="7"/>
  <c r="V29" i="7"/>
  <c r="W29" i="7" s="1"/>
  <c r="R29" i="7"/>
  <c r="AD28" i="7"/>
  <c r="V28" i="7"/>
  <c r="W28" i="7" s="1"/>
  <c r="R28" i="7"/>
  <c r="AD27" i="7"/>
  <c r="V27" i="7"/>
  <c r="W27" i="7" s="1"/>
  <c r="R27" i="7"/>
  <c r="S27" i="7" s="1"/>
  <c r="AD26" i="7"/>
  <c r="V26" i="7"/>
  <c r="R26" i="7"/>
  <c r="S26" i="7" s="1"/>
  <c r="AD25" i="7"/>
  <c r="V25" i="7"/>
  <c r="R25" i="7"/>
  <c r="S25" i="7" s="1"/>
  <c r="AD24" i="7"/>
  <c r="V24" i="7"/>
  <c r="W24" i="7" s="1"/>
  <c r="R24" i="7"/>
  <c r="S24" i="7" s="1"/>
  <c r="AD23" i="7"/>
  <c r="V23" i="7"/>
  <c r="W23" i="7" s="1"/>
  <c r="R23" i="7"/>
  <c r="AD22" i="7"/>
  <c r="V22" i="7"/>
  <c r="W22" i="7" s="1"/>
  <c r="R22" i="7"/>
  <c r="S22" i="7" s="1"/>
  <c r="AD21" i="7"/>
  <c r="V21" i="7"/>
  <c r="W21" i="7" s="1"/>
  <c r="R21" i="7"/>
  <c r="S21" i="7" s="1"/>
  <c r="AD20" i="7"/>
  <c r="V20" i="7"/>
  <c r="W20" i="7" s="1"/>
  <c r="R20" i="7"/>
  <c r="S20" i="7" s="1"/>
  <c r="AD19" i="7"/>
  <c r="V19" i="7"/>
  <c r="W19" i="7" s="1"/>
  <c r="R19" i="7"/>
  <c r="AD18" i="7"/>
  <c r="V18" i="7"/>
  <c r="R18" i="7"/>
  <c r="S18" i="7" s="1"/>
  <c r="AD17" i="7"/>
  <c r="V17" i="7"/>
  <c r="R17" i="7"/>
  <c r="S17" i="7" s="1"/>
  <c r="AD16" i="7"/>
  <c r="V16" i="7"/>
  <c r="W16" i="7" s="1"/>
  <c r="R16" i="7"/>
  <c r="S16" i="7" s="1"/>
  <c r="AD15" i="7"/>
  <c r="V15" i="7"/>
  <c r="W15" i="7" s="1"/>
  <c r="R15" i="7"/>
  <c r="AD14" i="7"/>
  <c r="V14" i="7"/>
  <c r="W14" i="7" s="1"/>
  <c r="R14" i="7"/>
  <c r="S14" i="7" s="1"/>
  <c r="AD13" i="7"/>
  <c r="V13" i="7"/>
  <c r="W13" i="7" s="1"/>
  <c r="R13" i="7"/>
  <c r="AD12" i="7"/>
  <c r="V12" i="7"/>
  <c r="W12" i="7" s="1"/>
  <c r="R12" i="7"/>
  <c r="AD11" i="7"/>
  <c r="V11" i="7"/>
  <c r="W11" i="7" s="1"/>
  <c r="R11" i="7"/>
  <c r="S11" i="7" s="1"/>
  <c r="AD10" i="7"/>
  <c r="V10" i="7"/>
  <c r="R10" i="7"/>
  <c r="S10" i="7" s="1"/>
  <c r="AD9" i="7"/>
  <c r="V9" i="7"/>
  <c r="R9" i="7"/>
  <c r="S9" i="7" s="1"/>
  <c r="AD8" i="7"/>
  <c r="V8" i="7"/>
  <c r="W8" i="7" s="1"/>
  <c r="R8" i="7"/>
  <c r="S8" i="7" s="1"/>
  <c r="AD7" i="7"/>
  <c r="V7" i="7"/>
  <c r="W7" i="7" s="1"/>
  <c r="R7" i="7"/>
  <c r="AD6" i="7"/>
  <c r="V6" i="7"/>
  <c r="W6" i="7" s="1"/>
  <c r="R6" i="7"/>
  <c r="S6" i="7" s="1"/>
  <c r="AD5" i="7"/>
  <c r="V5" i="7"/>
  <c r="W5" i="7" s="1"/>
  <c r="R5" i="7"/>
  <c r="AD4" i="7"/>
  <c r="V4" i="7"/>
  <c r="W4" i="7" s="1"/>
  <c r="R4" i="7"/>
  <c r="S4" i="7" s="1"/>
  <c r="AD3" i="7"/>
  <c r="V3" i="7"/>
  <c r="W3" i="7" s="1"/>
  <c r="R3" i="7"/>
  <c r="S3" i="7" s="1"/>
  <c r="AD2" i="7"/>
  <c r="V2" i="7"/>
  <c r="W2" i="7" s="1"/>
  <c r="R2" i="7"/>
  <c r="Y12" i="7" l="1"/>
  <c r="Y7" i="7"/>
  <c r="Y31" i="7"/>
  <c r="X16" i="7"/>
  <c r="AA16" i="7" s="1"/>
  <c r="AB16" i="7" s="1"/>
  <c r="AC16" i="7" s="1"/>
  <c r="AE16" i="7" s="1"/>
  <c r="X32" i="7"/>
  <c r="AA32" i="7" s="1"/>
  <c r="AB32" i="7" s="1"/>
  <c r="AC32" i="7" s="1"/>
  <c r="AE32" i="7" s="1"/>
  <c r="X40" i="7"/>
  <c r="AA40" i="7" s="1"/>
  <c r="AB40" i="7" s="1"/>
  <c r="AC40" i="7" s="1"/>
  <c r="AE40" i="7" s="1"/>
  <c r="Y19" i="7"/>
  <c r="Y42" i="7"/>
  <c r="Y17" i="7"/>
  <c r="Y37" i="7"/>
  <c r="X4" i="7"/>
  <c r="AA4" i="7" s="1"/>
  <c r="AB4" i="7" s="1"/>
  <c r="AC4" i="7" s="1"/>
  <c r="AE4" i="7" s="1"/>
  <c r="Y34" i="7"/>
  <c r="X27" i="7"/>
  <c r="AA27" i="7" s="1"/>
  <c r="AB27" i="7" s="1"/>
  <c r="AC27" i="7" s="1"/>
  <c r="AE27" i="7" s="1"/>
  <c r="Y5" i="7"/>
  <c r="Y16" i="7"/>
  <c r="Y18" i="7"/>
  <c r="Y35" i="7"/>
  <c r="Y25" i="7"/>
  <c r="Y13" i="7"/>
  <c r="Y26" i="7"/>
  <c r="S35" i="7"/>
  <c r="X35" i="7" s="1"/>
  <c r="AA35" i="7" s="1"/>
  <c r="AB35" i="7" s="1"/>
  <c r="AC35" i="7" s="1"/>
  <c r="AE35" i="7" s="1"/>
  <c r="Y2" i="7"/>
  <c r="Y29" i="7"/>
  <c r="S2" i="7"/>
  <c r="X2" i="7" s="1"/>
  <c r="AA2" i="7" s="1"/>
  <c r="AB2" i="7" s="1"/>
  <c r="AC2" i="7" s="1"/>
  <c r="AC43" i="7" s="1"/>
  <c r="S29" i="7"/>
  <c r="X29" i="7" s="1"/>
  <c r="AA29" i="7" s="1"/>
  <c r="AB29" i="7" s="1"/>
  <c r="AC29" i="7" s="1"/>
  <c r="AE29" i="7" s="1"/>
  <c r="X38" i="7"/>
  <c r="AA38" i="7" s="1"/>
  <c r="AB38" i="7" s="1"/>
  <c r="AC38" i="7" s="1"/>
  <c r="AE38" i="7" s="1"/>
  <c r="X30" i="7"/>
  <c r="AA30" i="7" s="1"/>
  <c r="AB30" i="7" s="1"/>
  <c r="AC30" i="7" s="1"/>
  <c r="AE30" i="7" s="1"/>
  <c r="X3" i="7"/>
  <c r="AA3" i="7" s="1"/>
  <c r="AB3" i="7" s="1"/>
  <c r="AC3" i="7" s="1"/>
  <c r="AE3" i="7" s="1"/>
  <c r="Y24" i="7"/>
  <c r="Y9" i="7"/>
  <c r="X11" i="7"/>
  <c r="AA11" i="7" s="1"/>
  <c r="AB11" i="7" s="1"/>
  <c r="AC11" i="7" s="1"/>
  <c r="AE11" i="7" s="1"/>
  <c r="S13" i="7"/>
  <c r="X13" i="7" s="1"/>
  <c r="AA13" i="7" s="1"/>
  <c r="AB13" i="7" s="1"/>
  <c r="AC13" i="7" s="1"/>
  <c r="AE13" i="7" s="1"/>
  <c r="Y15" i="7"/>
  <c r="S19" i="7"/>
  <c r="X19" i="7" s="1"/>
  <c r="AA19" i="7" s="1"/>
  <c r="AB19" i="7" s="1"/>
  <c r="AC19" i="7" s="1"/>
  <c r="AE19" i="7" s="1"/>
  <c r="Y21" i="7"/>
  <c r="Y32" i="7"/>
  <c r="X36" i="7"/>
  <c r="AA36" i="7" s="1"/>
  <c r="AB36" i="7" s="1"/>
  <c r="AC36" i="7" s="1"/>
  <c r="AE36" i="7" s="1"/>
  <c r="S5" i="7"/>
  <c r="X5" i="7" s="1"/>
  <c r="AA5" i="7" s="1"/>
  <c r="AB5" i="7" s="1"/>
  <c r="AC5" i="7" s="1"/>
  <c r="AE5" i="7" s="1"/>
  <c r="S42" i="7"/>
  <c r="X42" i="7" s="1"/>
  <c r="AA42" i="7" s="1"/>
  <c r="AB42" i="7" s="1"/>
  <c r="AC42" i="7" s="1"/>
  <c r="AE42" i="7" s="1"/>
  <c r="X21" i="7"/>
  <c r="AA21" i="7" s="1"/>
  <c r="AB21" i="7" s="1"/>
  <c r="AC21" i="7" s="1"/>
  <c r="AE21" i="7" s="1"/>
  <c r="Y23" i="7"/>
  <c r="Y40" i="7"/>
  <c r="Y4" i="7"/>
  <c r="X6" i="7"/>
  <c r="AA6" i="7" s="1"/>
  <c r="AB6" i="7" s="1"/>
  <c r="AC6" i="7" s="1"/>
  <c r="AE6" i="7" s="1"/>
  <c r="S12" i="7"/>
  <c r="X12" i="7" s="1"/>
  <c r="AA12" i="7" s="1"/>
  <c r="AB12" i="7" s="1"/>
  <c r="AC12" i="7" s="1"/>
  <c r="AE12" i="7" s="1"/>
  <c r="Y20" i="7"/>
  <c r="Y33" i="7"/>
  <c r="S37" i="7"/>
  <c r="X37" i="7" s="1"/>
  <c r="AA37" i="7" s="1"/>
  <c r="AB37" i="7" s="1"/>
  <c r="AC37" i="7" s="1"/>
  <c r="AE37" i="7" s="1"/>
  <c r="Y39" i="7"/>
  <c r="X20" i="7"/>
  <c r="AA20" i="7" s="1"/>
  <c r="AB20" i="7" s="1"/>
  <c r="AC20" i="7" s="1"/>
  <c r="AE20" i="7" s="1"/>
  <c r="Y28" i="7"/>
  <c r="X41" i="7"/>
  <c r="AA41" i="7" s="1"/>
  <c r="AB41" i="7" s="1"/>
  <c r="AC41" i="7" s="1"/>
  <c r="AE41" i="7" s="1"/>
  <c r="Y10" i="7"/>
  <c r="X14" i="7"/>
  <c r="AA14" i="7" s="1"/>
  <c r="AB14" i="7" s="1"/>
  <c r="AC14" i="7" s="1"/>
  <c r="AE14" i="7" s="1"/>
  <c r="Y3" i="7"/>
  <c r="Y8" i="7"/>
  <c r="X22" i="7"/>
  <c r="AA22" i="7" s="1"/>
  <c r="AB22" i="7" s="1"/>
  <c r="AC22" i="7" s="1"/>
  <c r="AE22" i="7" s="1"/>
  <c r="S28" i="7"/>
  <c r="X28" i="7" s="1"/>
  <c r="AA28" i="7" s="1"/>
  <c r="AB28" i="7" s="1"/>
  <c r="AC28" i="7" s="1"/>
  <c r="AE28" i="7" s="1"/>
  <c r="Y36" i="7"/>
  <c r="X8" i="7"/>
  <c r="AA8" i="7" s="1"/>
  <c r="AB8" i="7" s="1"/>
  <c r="AC8" i="7" s="1"/>
  <c r="AE8" i="7" s="1"/>
  <c r="X24" i="7"/>
  <c r="AA24" i="7" s="1"/>
  <c r="AB24" i="7" s="1"/>
  <c r="AC24" i="7" s="1"/>
  <c r="AE24" i="7" s="1"/>
  <c r="S7" i="7"/>
  <c r="X7" i="7" s="1"/>
  <c r="AA7" i="7" s="1"/>
  <c r="AB7" i="7" s="1"/>
  <c r="AC7" i="7" s="1"/>
  <c r="AE7" i="7" s="1"/>
  <c r="W9" i="7"/>
  <c r="X9" i="7" s="1"/>
  <c r="AA9" i="7" s="1"/>
  <c r="AB9" i="7" s="1"/>
  <c r="AC9" i="7" s="1"/>
  <c r="AE9" i="7" s="1"/>
  <c r="Y11" i="7"/>
  <c r="S15" i="7"/>
  <c r="X15" i="7" s="1"/>
  <c r="AA15" i="7" s="1"/>
  <c r="AB15" i="7" s="1"/>
  <c r="AC15" i="7" s="1"/>
  <c r="AE15" i="7" s="1"/>
  <c r="W17" i="7"/>
  <c r="X17" i="7" s="1"/>
  <c r="AA17" i="7" s="1"/>
  <c r="AB17" i="7" s="1"/>
  <c r="AC17" i="7" s="1"/>
  <c r="AE17" i="7" s="1"/>
  <c r="S23" i="7"/>
  <c r="X23" i="7" s="1"/>
  <c r="AA23" i="7" s="1"/>
  <c r="AB23" i="7" s="1"/>
  <c r="AC23" i="7" s="1"/>
  <c r="AE23" i="7" s="1"/>
  <c r="W25" i="7"/>
  <c r="X25" i="7" s="1"/>
  <c r="AA25" i="7" s="1"/>
  <c r="AB25" i="7" s="1"/>
  <c r="AC25" i="7" s="1"/>
  <c r="AE25" i="7" s="1"/>
  <c r="Y27" i="7"/>
  <c r="S31" i="7"/>
  <c r="X31" i="7" s="1"/>
  <c r="AA31" i="7" s="1"/>
  <c r="AB31" i="7" s="1"/>
  <c r="AC31" i="7" s="1"/>
  <c r="AE31" i="7" s="1"/>
  <c r="W33" i="7"/>
  <c r="X33" i="7" s="1"/>
  <c r="AA33" i="7" s="1"/>
  <c r="AB33" i="7" s="1"/>
  <c r="AC33" i="7" s="1"/>
  <c r="AE33" i="7" s="1"/>
  <c r="S39" i="7"/>
  <c r="X39" i="7" s="1"/>
  <c r="AA39" i="7" s="1"/>
  <c r="AB39" i="7" s="1"/>
  <c r="AC39" i="7" s="1"/>
  <c r="AE39" i="7" s="1"/>
  <c r="Y41" i="7"/>
  <c r="Y6" i="7"/>
  <c r="Y14" i="7"/>
  <c r="Y22" i="7"/>
  <c r="Y30" i="7"/>
  <c r="Y38" i="7"/>
  <c r="W10" i="7"/>
  <c r="X10" i="7" s="1"/>
  <c r="AA10" i="7" s="1"/>
  <c r="AB10" i="7" s="1"/>
  <c r="AC10" i="7" s="1"/>
  <c r="AE10" i="7" s="1"/>
  <c r="W18" i="7"/>
  <c r="X18" i="7" s="1"/>
  <c r="AA18" i="7" s="1"/>
  <c r="AB18" i="7" s="1"/>
  <c r="AC18" i="7" s="1"/>
  <c r="AE18" i="7" s="1"/>
  <c r="W26" i="7"/>
  <c r="X26" i="7" s="1"/>
  <c r="AA26" i="7" s="1"/>
  <c r="AB26" i="7" s="1"/>
  <c r="AC26" i="7" s="1"/>
  <c r="AE26" i="7" s="1"/>
  <c r="W34" i="7"/>
  <c r="X34" i="7" s="1"/>
  <c r="AA34" i="7" s="1"/>
  <c r="AB34" i="7" s="1"/>
  <c r="AC34" i="7" s="1"/>
  <c r="AE34" i="7" s="1"/>
  <c r="AE2" i="7" l="1"/>
</calcChain>
</file>

<file path=xl/comments1.xml><?xml version="1.0" encoding="utf-8"?>
<comments xmlns="http://schemas.openxmlformats.org/spreadsheetml/2006/main">
  <authors>
    <author>Windows 사용자</author>
  </authors>
  <commentList>
    <comment ref="AE1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<sst xmlns="http://schemas.openxmlformats.org/spreadsheetml/2006/main" count="859" uniqueCount="123">
  <si>
    <t>No</t>
  </si>
  <si>
    <t>구분</t>
  </si>
  <si>
    <t>만화idx</t>
  </si>
  <si>
    <t>상태</t>
  </si>
  <si>
    <t>요일</t>
  </si>
  <si>
    <t>만화명</t>
  </si>
  <si>
    <t>CP회사명</t>
  </si>
  <si>
    <t>MCP</t>
  </si>
  <si>
    <t>작가명</t>
  </si>
  <si>
    <t>웹코인합계</t>
  </si>
  <si>
    <t>웹정산율</t>
  </si>
  <si>
    <t>앱코인합계</t>
  </si>
  <si>
    <t>앱정산율</t>
  </si>
  <si>
    <t>RS정산액</t>
    <phoneticPr fontId="4" type="noConversion"/>
  </si>
  <si>
    <t>RS-MG</t>
    <phoneticPr fontId="4" type="noConversion"/>
  </si>
  <si>
    <t>CP(정산처)</t>
    <phoneticPr fontId="6" type="noConversion"/>
  </si>
  <si>
    <t>구분</t>
    <phoneticPr fontId="4" type="noConversion"/>
  </si>
  <si>
    <t>비고</t>
    <phoneticPr fontId="4" type="noConversion"/>
  </si>
  <si>
    <t>이월 차감잔액</t>
    <phoneticPr fontId="4" type="noConversion"/>
  </si>
  <si>
    <t>콘텐츠 MG</t>
    <phoneticPr fontId="4" type="noConversion"/>
  </si>
  <si>
    <t>실지급 MG</t>
    <phoneticPr fontId="4" type="noConversion"/>
  </si>
  <si>
    <t>웹매출액</t>
    <phoneticPr fontId="4" type="noConversion"/>
  </si>
  <si>
    <t>웹정산액</t>
    <phoneticPr fontId="4" type="noConversion"/>
  </si>
  <si>
    <t>앱매출액</t>
    <phoneticPr fontId="4" type="noConversion"/>
  </si>
  <si>
    <t>앱정산액</t>
    <phoneticPr fontId="4" type="noConversion"/>
  </si>
  <si>
    <t>정산액(웹+앱)</t>
    <phoneticPr fontId="4" type="noConversion"/>
  </si>
  <si>
    <t>총매출액</t>
    <phoneticPr fontId="4" type="noConversion"/>
  </si>
  <si>
    <t>글/그림</t>
    <phoneticPr fontId="4" type="noConversion"/>
  </si>
  <si>
    <t>RS지급액(MG-RS)</t>
    <phoneticPr fontId="4" type="noConversion"/>
  </si>
  <si>
    <t>차감잔액</t>
    <phoneticPr fontId="4" type="noConversion"/>
  </si>
  <si>
    <t>MG(당월 소멸)</t>
    <phoneticPr fontId="6" type="noConversion"/>
  </si>
  <si>
    <t>단행본</t>
  </si>
  <si>
    <t>70.0%</t>
  </si>
  <si>
    <t>60.0%</t>
  </si>
  <si>
    <t>연재</t>
  </si>
  <si>
    <t>요일연재</t>
  </si>
  <si>
    <t>2.면세</t>
  </si>
  <si>
    <t>54.0%</t>
  </si>
  <si>
    <t>42.0%</t>
  </si>
  <si>
    <t>폐하, 옥체 보존하세요!</t>
  </si>
  <si>
    <t>스토리위즈(웹툰)</t>
  </si>
  <si>
    <t>백스테이지 키스신</t>
  </si>
  <si>
    <t>내 남편의 스토커</t>
  </si>
  <si>
    <t>혜원</t>
  </si>
  <si>
    <t>스토리위즈(단행본)</t>
  </si>
  <si>
    <t>수</t>
  </si>
  <si>
    <t>너랑 나랑 하면</t>
  </si>
  <si>
    <t>감옥실험</t>
  </si>
  <si>
    <t>이삼세&amp;자견</t>
  </si>
  <si>
    <t>최도비&amp;수정과</t>
  </si>
  <si>
    <t>Kantetsu&amp;Minase chiho</t>
  </si>
  <si>
    <t>녹야천학&amp;유지교자</t>
  </si>
  <si>
    <t>금</t>
  </si>
  <si>
    <t>공주전쟁</t>
  </si>
  <si>
    <t>Hujing&amp;Luojie</t>
  </si>
  <si>
    <t>단행본소설</t>
  </si>
  <si>
    <t>나는 내 연인의 것</t>
  </si>
  <si>
    <t>SISSI</t>
  </si>
  <si>
    <t>자비를 베푸소서(Miserere Nobis)</t>
  </si>
  <si>
    <t>마지막 춤은, 악인과 함께</t>
  </si>
  <si>
    <t>엠프티(Empty)</t>
  </si>
  <si>
    <t>라돌체</t>
  </si>
  <si>
    <t>신들의 성소</t>
  </si>
  <si>
    <t>중년바나나</t>
  </si>
  <si>
    <t>페이버릿 나이트메어(Favorite Nightmare)</t>
  </si>
  <si>
    <t>하지</t>
  </si>
  <si>
    <t>칼의 기억</t>
  </si>
  <si>
    <t>스토리위즈유통(웹소설)</t>
  </si>
  <si>
    <t>택스 프리(TAX FREE)</t>
  </si>
  <si>
    <t>익스클루시브(Exclusive)</t>
  </si>
  <si>
    <t>컬러 러쉬</t>
  </si>
  <si>
    <t>스토리위즈(웹소설)</t>
  </si>
  <si>
    <t>세상</t>
  </si>
  <si>
    <t>로맨스는 아닙니다</t>
  </si>
  <si>
    <t>사냥꾼</t>
  </si>
  <si>
    <t>우리의 늪에서부터</t>
  </si>
  <si>
    <t>더컴퍼니</t>
  </si>
  <si>
    <t>채플린</t>
  </si>
  <si>
    <t>신사동 그 사람</t>
  </si>
  <si>
    <t>폭군의 공물</t>
  </si>
  <si>
    <t>여러해살이풀</t>
  </si>
  <si>
    <t>헤로샤</t>
  </si>
  <si>
    <t>jooki</t>
  </si>
  <si>
    <t>음양상열지사</t>
  </si>
  <si>
    <t>이염</t>
  </si>
  <si>
    <t>뉴욕 키스 스캔들</t>
  </si>
  <si>
    <t>용가리맛쿠키</t>
  </si>
  <si>
    <t>사틴</t>
  </si>
  <si>
    <t>더티독</t>
  </si>
  <si>
    <t>개만도 못한,</t>
  </si>
  <si>
    <t>진도넛</t>
  </si>
  <si>
    <t>거울 호흡</t>
  </si>
  <si>
    <t>키도</t>
  </si>
  <si>
    <t>그 순간, 별이 빛났다</t>
  </si>
  <si>
    <t>성실</t>
  </si>
  <si>
    <t>낯선 소꿉친구</t>
  </si>
  <si>
    <t>사나림</t>
  </si>
  <si>
    <t>너만 모르는 연애</t>
  </si>
  <si>
    <t>카에트</t>
  </si>
  <si>
    <t>다정한 내일을 위한 새벽</t>
  </si>
  <si>
    <t>나나코</t>
  </si>
  <si>
    <t>더블 파울(Double Foul)</t>
  </si>
  <si>
    <t>붉은 가을이 깃드는 너에게</t>
  </si>
  <si>
    <t>선배님, 흔들어 주세요</t>
  </si>
  <si>
    <t>김매콤</t>
  </si>
  <si>
    <t>홍염의 덫</t>
  </si>
  <si>
    <t>무슈슈</t>
  </si>
  <si>
    <t>라에르</t>
  </si>
  <si>
    <t>비터, 비터(Bitter, Bitter)</t>
  </si>
  <si>
    <t>하루하루</t>
  </si>
  <si>
    <t>너드 공략집</t>
  </si>
  <si>
    <t>이다겸</t>
  </si>
  <si>
    <t>월하연인</t>
  </si>
  <si>
    <t>귀수: 나비가 머문 별</t>
  </si>
  <si>
    <t>꼭꼭 숨어라(Wherever you are)</t>
  </si>
  <si>
    <t>감또개</t>
  </si>
  <si>
    <t>해양정원</t>
    <phoneticPr fontId="4" type="noConversion"/>
  </si>
  <si>
    <t>웹툰</t>
    <phoneticPr fontId="4" type="noConversion"/>
  </si>
  <si>
    <t>웹툰</t>
    <phoneticPr fontId="4" type="noConversion"/>
  </si>
  <si>
    <t>웹툰</t>
    <phoneticPr fontId="4" type="noConversion"/>
  </si>
  <si>
    <t>소설</t>
    <phoneticPr fontId="4" type="noConversion"/>
  </si>
  <si>
    <t>스토리위즈</t>
    <phoneticPr fontId="4" type="noConversion"/>
  </si>
  <si>
    <t>스토리위즈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</si>
</sst>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#,##0_ 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b/>
      <sz val="10"/>
      <color rgb="FF006100"/>
      <name val="다키 L"/>
      <family val="3"/>
      <charset val="129"/>
    </font>
    <font>
      <sz val="10"/>
      <color theme="1"/>
      <name val="다키 L"/>
      <family val="3"/>
      <charset val="129"/>
    </font>
    <font>
      <sz val="10"/>
      <color indexed="8"/>
      <name val="Helvetica"/>
      <family val="2"/>
    </font>
    <font>
      <sz val="12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Protection="0">
      <alignment vertical="top" wrapText="1"/>
    </xf>
    <xf numFmtId="0" fontId="10" fillId="0" borderId="0"/>
    <xf numFmtId="0" fontId="11" fillId="0" borderId="0"/>
    <xf numFmtId="177" fontId="12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16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8" fillId="4" borderId="1" xfId="0" applyFont="1" applyFill="1" applyBorder="1" applyAlignment="1">
      <alignment horizontal="center" vertical="center"/>
    </xf>
    <xf numFmtId="176" fontId="8" fillId="4" borderId="1" xfId="4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9" fontId="8" fillId="4" borderId="1" xfId="5" applyFont="1" applyFill="1" applyBorder="1" applyAlignment="1">
      <alignment horizontal="center" vertical="center"/>
    </xf>
    <xf numFmtId="41" fontId="8" fillId="4" borderId="1" xfId="4" applyFont="1" applyFill="1" applyBorder="1" applyAlignment="1">
      <alignment horizontal="center" vertical="center"/>
    </xf>
    <xf numFmtId="0" fontId="5" fillId="4" borderId="2" xfId="2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176" fontId="7" fillId="4" borderId="2" xfId="1" applyNumberFormat="1" applyFont="1" applyFill="1" applyBorder="1" applyAlignment="1">
      <alignment horizontal="center" vertical="center"/>
    </xf>
    <xf numFmtId="0" fontId="8" fillId="0" borderId="0" xfId="3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41" fontId="8" fillId="0" borderId="2" xfId="25" applyFont="1" applyBorder="1" applyAlignment="1">
      <alignment vertical="center"/>
    </xf>
    <xf numFmtId="41" fontId="8" fillId="0" borderId="3" xfId="25" applyFont="1" applyBorder="1" applyAlignment="1">
      <alignment vertical="center"/>
    </xf>
    <xf numFmtId="41" fontId="8" fillId="0" borderId="1" xfId="25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3" fontId="15" fillId="0" borderId="2" xfId="0" applyNumberFormat="1" applyFont="1" applyBorder="1" applyAlignment="1">
      <alignment vertical="center"/>
    </xf>
    <xf numFmtId="49" fontId="15" fillId="0" borderId="2" xfId="0" applyNumberFormat="1" applyFont="1" applyBorder="1" applyAlignment="1">
      <alignment vertical="center"/>
    </xf>
    <xf numFmtId="0" fontId="0" fillId="0" borderId="1" xfId="0" applyNumberFormat="1" applyBorder="1" applyAlignment="1">
      <alignment vertical="center"/>
    </xf>
    <xf numFmtId="49" fontId="15" fillId="0" borderId="3" xfId="0" applyNumberFormat="1" applyFont="1" applyBorder="1" applyAlignment="1">
      <alignment vertical="center"/>
    </xf>
    <xf numFmtId="41" fontId="15" fillId="0" borderId="2" xfId="25" applyFont="1" applyBorder="1" applyAlignment="1">
      <alignment vertical="center"/>
    </xf>
    <xf numFmtId="179" fontId="15" fillId="0" borderId="2" xfId="0" applyNumberFormat="1" applyFont="1" applyBorder="1" applyAlignment="1">
      <alignment vertical="center"/>
    </xf>
    <xf numFmtId="176" fontId="8" fillId="4" borderId="0" xfId="0" applyNumberFormat="1" applyFont="1" applyFill="1" applyAlignment="1">
      <alignment vertical="center"/>
    </xf>
    <xf numFmtId="41" fontId="0" fillId="4" borderId="0" xfId="0" applyNumberFormat="1" applyFill="1">
      <alignment vertical="center"/>
    </xf>
  </cellXfs>
  <cellStyles count="26">
    <cellStyle name="Comma [0] 2" xfId="9"/>
    <cellStyle name="Comma [0] 2 2" xfId="22"/>
    <cellStyle name="Normal 2" xfId="8"/>
    <cellStyle name="Normal 3" xfId="11"/>
    <cellStyle name="나쁨" xfId="2" builtinId="27"/>
    <cellStyle name="백분율 2" xfId="5"/>
    <cellStyle name="쉼표 [0]" xfId="25" builtinId="6"/>
    <cellStyle name="쉼표 [0] 2" xfId="4"/>
    <cellStyle name="쉼표 [0] 2 2" xfId="21"/>
    <cellStyle name="쉼표 [0] 3" xfId="12"/>
    <cellStyle name="쉼표 [0] 3 2" xfId="24"/>
    <cellStyle name="쉼표 [0] 4" xfId="20"/>
    <cellStyle name="쉼표 2" xfId="10"/>
    <cellStyle name="쉼표 2 2" xfId="23"/>
    <cellStyle name="좋음" xfId="1" builtinId="26"/>
    <cellStyle name="표준" xfId="0" builtinId="0"/>
    <cellStyle name="표준 2" xfId="6"/>
    <cellStyle name="표준 2 2" xfId="3"/>
    <cellStyle name="표준 2 2 2" xfId="13"/>
    <cellStyle name="표준 2 2 2 2" xfId="14"/>
    <cellStyle name="표준 2 2 2 2 2" xfId="15"/>
    <cellStyle name="표준 2 2 2 2 2 2" xfId="16"/>
    <cellStyle name="표준 2 2 2 2 2 2 2" xfId="17"/>
    <cellStyle name="표준 2 2 2 2 2 2 2 2" xfId="18"/>
    <cellStyle name="표준 2 22" xfId="7"/>
    <cellStyle name="표준 3 2 2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43"/>
  <sheetViews>
    <sheetView showGridLines="0" tabSelected="1" zoomScale="65" zoomScaleNormal="65" workbookViewId="0">
      <selection activeCell="K14" sqref="K14"/>
    </sheetView>
  </sheetViews>
  <sheetFormatPr defaultColWidth="8.69921875" defaultRowHeight="13.2"/>
  <cols>
    <col min="1" max="1" width="8.69921875" style="7" bestFit="1" customWidth="1"/>
    <col min="2" max="2" width="9" style="7" bestFit="1" customWidth="1"/>
    <col min="3" max="3" width="8.796875" style="7" bestFit="1" customWidth="1"/>
    <col min="4" max="4" width="9.796875" style="7" hidden="1" customWidth="1"/>
    <col min="5" max="5" width="7.19921875" style="7" hidden="1" customWidth="1"/>
    <col min="6" max="6" width="27.19921875" style="7" customWidth="1"/>
    <col min="7" max="7" width="19.69921875" style="7" hidden="1" customWidth="1"/>
    <col min="8" max="8" width="10.19921875" style="7" hidden="1" customWidth="1"/>
    <col min="9" max="9" width="18.19921875" style="7" customWidth="1"/>
    <col min="10" max="11" width="14.19921875" style="7" customWidth="1"/>
    <col min="12" max="12" width="14.19921875" style="7" hidden="1" customWidth="1"/>
    <col min="13" max="13" width="14.19921875" style="11" hidden="1" customWidth="1"/>
    <col min="14" max="15" width="16.19921875" style="7" hidden="1" customWidth="1"/>
    <col min="16" max="16" width="10" style="7" bestFit="1" customWidth="1"/>
    <col min="17" max="17" width="8.19921875" style="7" customWidth="1"/>
    <col min="18" max="19" width="14.796875" style="7" bestFit="1" customWidth="1"/>
    <col min="20" max="20" width="10" style="7" bestFit="1" customWidth="1"/>
    <col min="21" max="21" width="8.19921875" style="7" customWidth="1"/>
    <col min="22" max="22" width="14.796875" style="7" bestFit="1" customWidth="1"/>
    <col min="23" max="23" width="13.69921875" style="7" bestFit="1" customWidth="1"/>
    <col min="24" max="24" width="15.296875" style="7" bestFit="1" customWidth="1"/>
    <col min="25" max="25" width="14.796875" style="7" bestFit="1" customWidth="1"/>
    <col min="26" max="26" width="6.796875" style="7" bestFit="1" customWidth="1"/>
    <col min="27" max="28" width="14.796875" style="7" bestFit="1" customWidth="1"/>
    <col min="29" max="29" width="18.796875" style="11" bestFit="1" customWidth="1"/>
    <col min="30" max="31" width="14.69921875" style="7" bestFit="1" customWidth="1"/>
    <col min="32" max="16384" width="8.69921875" style="7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 ht="17.399999999999999">
      <c r="A2" s="15">
        <v>1103</v>
      </c>
      <c r="B2" s="15" t="s">
        <v>34</v>
      </c>
      <c r="C2" s="15">
        <v>20472</v>
      </c>
      <c r="D2" s="15" t="s">
        <v>55</v>
      </c>
      <c r="E2" s="16"/>
      <c r="F2" s="15" t="s">
        <v>88</v>
      </c>
      <c r="G2" s="15" t="s">
        <v>67</v>
      </c>
      <c r="H2" s="16"/>
      <c r="I2" s="15" t="s">
        <v>86</v>
      </c>
      <c r="J2" s="17" t="s">
        <v>76</v>
      </c>
      <c r="K2" s="17" t="s">
        <v>36</v>
      </c>
      <c r="L2" s="15"/>
      <c r="M2" s="21">
        <v>0</v>
      </c>
      <c r="N2" s="15"/>
      <c r="O2" s="15"/>
      <c r="P2" s="15">
        <v>414</v>
      </c>
      <c r="Q2" s="18" t="s">
        <v>32</v>
      </c>
      <c r="R2" s="12">
        <f t="shared" ref="R2:R42" si="0">P2*180</f>
        <v>74520</v>
      </c>
      <c r="S2" s="12">
        <f t="shared" ref="S2:S42" si="1">R2*Q2</f>
        <v>52164</v>
      </c>
      <c r="T2" s="15">
        <v>847</v>
      </c>
      <c r="U2" s="20" t="s">
        <v>33</v>
      </c>
      <c r="V2" s="14">
        <f t="shared" ref="V2:V42" si="2">T2*180</f>
        <v>152460</v>
      </c>
      <c r="W2" s="14">
        <f t="shared" ref="W2:W42" si="3">V2*U2</f>
        <v>91476</v>
      </c>
      <c r="X2" s="14">
        <f t="shared" ref="X2:X42" si="4">S2+W2</f>
        <v>143640</v>
      </c>
      <c r="Y2" s="14">
        <f t="shared" ref="Y2:Y42" si="5">R2+V2</f>
        <v>226980</v>
      </c>
      <c r="Z2" s="19"/>
      <c r="AA2" s="12">
        <f t="shared" ref="AA2:AA42" si="6">IF(COUNT(Z2),X2*Z2,X2)</f>
        <v>143640</v>
      </c>
      <c r="AB2" s="12">
        <f t="shared" ref="AB2:AB42" si="7">AA2-O2</f>
        <v>143640</v>
      </c>
      <c r="AC2" s="12">
        <f t="shared" ref="AC2:AC42" si="8">ROUND(IF(AB2+M2&lt;0,0,AB2+M2),0)</f>
        <v>143640</v>
      </c>
      <c r="AD2" s="13">
        <f t="shared" ref="AD2:AD42" si="9">IF(M2=0,0,IF(AC2=0,AA2+M2-O2,0))</f>
        <v>0</v>
      </c>
      <c r="AE2" s="14">
        <f t="shared" ref="AE2:AE42" si="10">IF(AND(O2&gt;0,AC2&lt;=0),AA2-O2,0)</f>
        <v>0</v>
      </c>
    </row>
    <row r="3" spans="1:31" ht="17.399999999999999">
      <c r="A3" s="15">
        <v>1132</v>
      </c>
      <c r="B3" s="15" t="s">
        <v>34</v>
      </c>
      <c r="C3" s="15">
        <v>17911</v>
      </c>
      <c r="D3" s="15" t="s">
        <v>55</v>
      </c>
      <c r="E3" s="16"/>
      <c r="F3" s="15" t="s">
        <v>79</v>
      </c>
      <c r="G3" s="15" t="s">
        <v>67</v>
      </c>
      <c r="H3" s="16"/>
      <c r="I3" s="15" t="s">
        <v>80</v>
      </c>
      <c r="J3" s="17" t="s">
        <v>76</v>
      </c>
      <c r="K3" s="17" t="s">
        <v>36</v>
      </c>
      <c r="L3" s="15"/>
      <c r="M3" s="21">
        <v>0</v>
      </c>
      <c r="N3" s="15"/>
      <c r="O3" s="15"/>
      <c r="P3" s="15">
        <v>602</v>
      </c>
      <c r="Q3" s="18" t="s">
        <v>32</v>
      </c>
      <c r="R3" s="12">
        <f t="shared" si="0"/>
        <v>108360</v>
      </c>
      <c r="S3" s="12">
        <f t="shared" si="1"/>
        <v>75852</v>
      </c>
      <c r="T3" s="15">
        <v>650</v>
      </c>
      <c r="U3" s="20" t="s">
        <v>33</v>
      </c>
      <c r="V3" s="14">
        <f t="shared" si="2"/>
        <v>117000</v>
      </c>
      <c r="W3" s="14">
        <f t="shared" si="3"/>
        <v>70200</v>
      </c>
      <c r="X3" s="14">
        <f t="shared" si="4"/>
        <v>146052</v>
      </c>
      <c r="Y3" s="14">
        <f t="shared" si="5"/>
        <v>225360</v>
      </c>
      <c r="Z3" s="19"/>
      <c r="AA3" s="12">
        <f t="shared" si="6"/>
        <v>146052</v>
      </c>
      <c r="AB3" s="12">
        <f t="shared" si="7"/>
        <v>146052</v>
      </c>
      <c r="AC3" s="12">
        <f t="shared" si="8"/>
        <v>146052</v>
      </c>
      <c r="AD3" s="13">
        <f t="shared" si="9"/>
        <v>0</v>
      </c>
      <c r="AE3" s="14">
        <f t="shared" si="10"/>
        <v>0</v>
      </c>
    </row>
    <row r="4" spans="1:31" ht="17.399999999999999">
      <c r="A4" s="15">
        <v>1593</v>
      </c>
      <c r="B4" s="15" t="s">
        <v>34</v>
      </c>
      <c r="C4" s="15">
        <v>21469</v>
      </c>
      <c r="D4" s="15" t="s">
        <v>55</v>
      </c>
      <c r="E4" s="16"/>
      <c r="F4" s="15" t="s">
        <v>108</v>
      </c>
      <c r="G4" s="15" t="s">
        <v>67</v>
      </c>
      <c r="H4" s="16"/>
      <c r="I4" s="15" t="s">
        <v>107</v>
      </c>
      <c r="J4" s="17" t="s">
        <v>76</v>
      </c>
      <c r="K4" s="17" t="s">
        <v>36</v>
      </c>
      <c r="L4" s="15"/>
      <c r="M4" s="22"/>
      <c r="N4" s="15"/>
      <c r="O4" s="15"/>
      <c r="P4" s="15">
        <v>356</v>
      </c>
      <c r="Q4" s="18" t="s">
        <v>32</v>
      </c>
      <c r="R4" s="12">
        <f t="shared" si="0"/>
        <v>64080</v>
      </c>
      <c r="S4" s="12">
        <f t="shared" si="1"/>
        <v>44856</v>
      </c>
      <c r="T4" s="15">
        <v>212</v>
      </c>
      <c r="U4" s="20" t="s">
        <v>33</v>
      </c>
      <c r="V4" s="14">
        <f t="shared" si="2"/>
        <v>38160</v>
      </c>
      <c r="W4" s="14">
        <f t="shared" si="3"/>
        <v>22896</v>
      </c>
      <c r="X4" s="14">
        <f t="shared" si="4"/>
        <v>67752</v>
      </c>
      <c r="Y4" s="14">
        <f t="shared" si="5"/>
        <v>102240</v>
      </c>
      <c r="Z4" s="19"/>
      <c r="AA4" s="12">
        <f t="shared" si="6"/>
        <v>67752</v>
      </c>
      <c r="AB4" s="12">
        <f t="shared" si="7"/>
        <v>67752</v>
      </c>
      <c r="AC4" s="12">
        <f t="shared" si="8"/>
        <v>67752</v>
      </c>
      <c r="AD4" s="13">
        <f t="shared" si="9"/>
        <v>0</v>
      </c>
      <c r="AE4" s="14">
        <f t="shared" si="10"/>
        <v>0</v>
      </c>
    </row>
    <row r="5" spans="1:31" ht="17.399999999999999">
      <c r="A5" s="15">
        <v>1778</v>
      </c>
      <c r="B5" s="15" t="s">
        <v>117</v>
      </c>
      <c r="C5" s="15">
        <v>15833</v>
      </c>
      <c r="D5" s="15" t="s">
        <v>35</v>
      </c>
      <c r="E5" s="15" t="s">
        <v>45</v>
      </c>
      <c r="F5" s="15" t="s">
        <v>46</v>
      </c>
      <c r="G5" s="15" t="s">
        <v>40</v>
      </c>
      <c r="H5" s="16"/>
      <c r="I5" s="15" t="s">
        <v>48</v>
      </c>
      <c r="J5" s="17" t="s">
        <v>121</v>
      </c>
      <c r="K5" s="17" t="s">
        <v>36</v>
      </c>
      <c r="L5" s="15"/>
      <c r="M5" s="21">
        <v>0</v>
      </c>
      <c r="N5" s="15"/>
      <c r="O5" s="15"/>
      <c r="P5" s="15">
        <v>138</v>
      </c>
      <c r="Q5" s="18" t="s">
        <v>37</v>
      </c>
      <c r="R5" s="12">
        <f t="shared" si="0"/>
        <v>24840</v>
      </c>
      <c r="S5" s="12">
        <f t="shared" si="1"/>
        <v>13413.6</v>
      </c>
      <c r="T5" s="15">
        <v>419</v>
      </c>
      <c r="U5" s="20" t="s">
        <v>38</v>
      </c>
      <c r="V5" s="14">
        <f t="shared" si="2"/>
        <v>75420</v>
      </c>
      <c r="W5" s="14">
        <f t="shared" si="3"/>
        <v>31676.399999999998</v>
      </c>
      <c r="X5" s="14">
        <f t="shared" si="4"/>
        <v>45090</v>
      </c>
      <c r="Y5" s="14">
        <f t="shared" si="5"/>
        <v>100260</v>
      </c>
      <c r="Z5" s="19"/>
      <c r="AA5" s="12">
        <f t="shared" si="6"/>
        <v>45090</v>
      </c>
      <c r="AB5" s="12">
        <f t="shared" si="7"/>
        <v>45090</v>
      </c>
      <c r="AC5" s="12">
        <f t="shared" si="8"/>
        <v>45090</v>
      </c>
      <c r="AD5" s="13">
        <f t="shared" si="9"/>
        <v>0</v>
      </c>
      <c r="AE5" s="14">
        <f t="shared" si="10"/>
        <v>0</v>
      </c>
    </row>
    <row r="6" spans="1:31" ht="17.399999999999999">
      <c r="A6" s="15">
        <v>1985</v>
      </c>
      <c r="B6" s="15" t="s">
        <v>34</v>
      </c>
      <c r="C6" s="15">
        <v>21589</v>
      </c>
      <c r="D6" s="15" t="s">
        <v>55</v>
      </c>
      <c r="E6" s="16"/>
      <c r="F6" s="15" t="s">
        <v>109</v>
      </c>
      <c r="G6" s="15" t="s">
        <v>67</v>
      </c>
      <c r="H6" s="16"/>
      <c r="I6" s="15" t="s">
        <v>87</v>
      </c>
      <c r="J6" s="17" t="s">
        <v>76</v>
      </c>
      <c r="K6" s="17" t="s">
        <v>36</v>
      </c>
      <c r="L6" s="15"/>
      <c r="M6" s="22"/>
      <c r="N6" s="15"/>
      <c r="O6" s="15"/>
      <c r="P6" s="15">
        <v>176</v>
      </c>
      <c r="Q6" s="18" t="s">
        <v>32</v>
      </c>
      <c r="R6" s="12">
        <f t="shared" si="0"/>
        <v>31680</v>
      </c>
      <c r="S6" s="12">
        <f t="shared" si="1"/>
        <v>22176</v>
      </c>
      <c r="T6" s="15">
        <v>226</v>
      </c>
      <c r="U6" s="20" t="s">
        <v>33</v>
      </c>
      <c r="V6" s="14">
        <f t="shared" si="2"/>
        <v>40680</v>
      </c>
      <c r="W6" s="14">
        <f t="shared" si="3"/>
        <v>24408</v>
      </c>
      <c r="X6" s="14">
        <f t="shared" si="4"/>
        <v>46584</v>
      </c>
      <c r="Y6" s="14">
        <f t="shared" si="5"/>
        <v>72360</v>
      </c>
      <c r="Z6" s="19"/>
      <c r="AA6" s="12">
        <f t="shared" si="6"/>
        <v>46584</v>
      </c>
      <c r="AB6" s="12">
        <f t="shared" si="7"/>
        <v>46584</v>
      </c>
      <c r="AC6" s="12">
        <f t="shared" si="8"/>
        <v>46584</v>
      </c>
      <c r="AD6" s="13">
        <f t="shared" si="9"/>
        <v>0</v>
      </c>
      <c r="AE6" s="14">
        <f t="shared" si="10"/>
        <v>0</v>
      </c>
    </row>
    <row r="7" spans="1:31" ht="17.399999999999999">
      <c r="A7" s="15">
        <v>2011</v>
      </c>
      <c r="B7" s="15" t="s">
        <v>34</v>
      </c>
      <c r="C7" s="15">
        <v>21514</v>
      </c>
      <c r="D7" s="15" t="s">
        <v>55</v>
      </c>
      <c r="E7" s="16"/>
      <c r="F7" s="15" t="s">
        <v>110</v>
      </c>
      <c r="G7" s="15" t="s">
        <v>67</v>
      </c>
      <c r="H7" s="16"/>
      <c r="I7" s="15" t="s">
        <v>111</v>
      </c>
      <c r="J7" s="17" t="s">
        <v>76</v>
      </c>
      <c r="K7" s="17" t="s">
        <v>36</v>
      </c>
      <c r="L7" s="15"/>
      <c r="M7" s="22"/>
      <c r="N7" s="15"/>
      <c r="O7" s="15"/>
      <c r="P7" s="15">
        <v>252</v>
      </c>
      <c r="Q7" s="18" t="s">
        <v>32</v>
      </c>
      <c r="R7" s="12">
        <f t="shared" si="0"/>
        <v>45360</v>
      </c>
      <c r="S7" s="12">
        <f t="shared" si="1"/>
        <v>31751.999999999996</v>
      </c>
      <c r="T7" s="15">
        <v>146</v>
      </c>
      <c r="U7" s="20" t="s">
        <v>33</v>
      </c>
      <c r="V7" s="14">
        <f t="shared" si="2"/>
        <v>26280</v>
      </c>
      <c r="W7" s="14">
        <f t="shared" si="3"/>
        <v>15768</v>
      </c>
      <c r="X7" s="14">
        <f t="shared" si="4"/>
        <v>47520</v>
      </c>
      <c r="Y7" s="14">
        <f t="shared" si="5"/>
        <v>71640</v>
      </c>
      <c r="Z7" s="19"/>
      <c r="AA7" s="12">
        <f t="shared" si="6"/>
        <v>47520</v>
      </c>
      <c r="AB7" s="12">
        <f t="shared" si="7"/>
        <v>47520</v>
      </c>
      <c r="AC7" s="12">
        <f t="shared" si="8"/>
        <v>47520</v>
      </c>
      <c r="AD7" s="13">
        <f t="shared" si="9"/>
        <v>0</v>
      </c>
      <c r="AE7" s="14">
        <f t="shared" si="10"/>
        <v>0</v>
      </c>
    </row>
    <row r="8" spans="1:31" ht="17.399999999999999">
      <c r="A8" s="15">
        <v>2222</v>
      </c>
      <c r="B8" s="15" t="s">
        <v>34</v>
      </c>
      <c r="C8" s="15">
        <v>21695</v>
      </c>
      <c r="D8" s="15" t="s">
        <v>55</v>
      </c>
      <c r="E8" s="16"/>
      <c r="F8" s="15" t="s">
        <v>112</v>
      </c>
      <c r="G8" s="15" t="s">
        <v>67</v>
      </c>
      <c r="H8" s="16"/>
      <c r="I8" s="15" t="s">
        <v>106</v>
      </c>
      <c r="J8" s="17" t="s">
        <v>76</v>
      </c>
      <c r="K8" s="17" t="s">
        <v>36</v>
      </c>
      <c r="L8" s="15"/>
      <c r="M8" s="22"/>
      <c r="N8" s="15"/>
      <c r="O8" s="15"/>
      <c r="P8" s="15">
        <v>149</v>
      </c>
      <c r="Q8" s="18" t="s">
        <v>32</v>
      </c>
      <c r="R8" s="12">
        <f t="shared" si="0"/>
        <v>26820</v>
      </c>
      <c r="S8" s="12">
        <f t="shared" si="1"/>
        <v>18774</v>
      </c>
      <c r="T8" s="15">
        <v>176</v>
      </c>
      <c r="U8" s="20" t="s">
        <v>33</v>
      </c>
      <c r="V8" s="14">
        <f t="shared" si="2"/>
        <v>31680</v>
      </c>
      <c r="W8" s="14">
        <f t="shared" si="3"/>
        <v>19008</v>
      </c>
      <c r="X8" s="14">
        <f t="shared" si="4"/>
        <v>37782</v>
      </c>
      <c r="Y8" s="14">
        <f t="shared" si="5"/>
        <v>58500</v>
      </c>
      <c r="Z8" s="19"/>
      <c r="AA8" s="12">
        <f t="shared" si="6"/>
        <v>37782</v>
      </c>
      <c r="AB8" s="12">
        <f t="shared" si="7"/>
        <v>37782</v>
      </c>
      <c r="AC8" s="12">
        <f t="shared" si="8"/>
        <v>37782</v>
      </c>
      <c r="AD8" s="13">
        <f t="shared" si="9"/>
        <v>0</v>
      </c>
      <c r="AE8" s="14">
        <f t="shared" si="10"/>
        <v>0</v>
      </c>
    </row>
    <row r="9" spans="1:31" ht="17.399999999999999">
      <c r="A9" s="15">
        <v>2414</v>
      </c>
      <c r="B9" s="15" t="s">
        <v>34</v>
      </c>
      <c r="C9" s="15">
        <v>19290</v>
      </c>
      <c r="D9" s="15" t="s">
        <v>55</v>
      </c>
      <c r="E9" s="16"/>
      <c r="F9" s="15" t="s">
        <v>69</v>
      </c>
      <c r="G9" s="15" t="s">
        <v>67</v>
      </c>
      <c r="H9" s="16"/>
      <c r="I9" s="15" t="s">
        <v>87</v>
      </c>
      <c r="J9" s="17" t="s">
        <v>76</v>
      </c>
      <c r="K9" s="17" t="s">
        <v>36</v>
      </c>
      <c r="L9" s="15"/>
      <c r="M9" s="21">
        <v>0</v>
      </c>
      <c r="N9" s="15"/>
      <c r="O9" s="15"/>
      <c r="P9" s="15">
        <v>145</v>
      </c>
      <c r="Q9" s="18" t="s">
        <v>32</v>
      </c>
      <c r="R9" s="12">
        <f t="shared" si="0"/>
        <v>26100</v>
      </c>
      <c r="S9" s="12">
        <f t="shared" si="1"/>
        <v>18270</v>
      </c>
      <c r="T9" s="15">
        <v>131</v>
      </c>
      <c r="U9" s="20" t="s">
        <v>33</v>
      </c>
      <c r="V9" s="14">
        <f t="shared" si="2"/>
        <v>23580</v>
      </c>
      <c r="W9" s="14">
        <f t="shared" si="3"/>
        <v>14148</v>
      </c>
      <c r="X9" s="14">
        <f t="shared" si="4"/>
        <v>32418</v>
      </c>
      <c r="Y9" s="14">
        <f t="shared" si="5"/>
        <v>49680</v>
      </c>
      <c r="Z9" s="19"/>
      <c r="AA9" s="12">
        <f t="shared" si="6"/>
        <v>32418</v>
      </c>
      <c r="AB9" s="12">
        <f t="shared" si="7"/>
        <v>32418</v>
      </c>
      <c r="AC9" s="12">
        <f t="shared" si="8"/>
        <v>32418</v>
      </c>
      <c r="AD9" s="13">
        <f t="shared" si="9"/>
        <v>0</v>
      </c>
      <c r="AE9" s="14">
        <f t="shared" si="10"/>
        <v>0</v>
      </c>
    </row>
    <row r="10" spans="1:31" ht="17.399999999999999">
      <c r="A10" s="15">
        <v>2706</v>
      </c>
      <c r="B10" s="15" t="s">
        <v>117</v>
      </c>
      <c r="C10" s="15">
        <v>17324</v>
      </c>
      <c r="D10" s="15" t="s">
        <v>35</v>
      </c>
      <c r="E10" s="15" t="s">
        <v>52</v>
      </c>
      <c r="F10" s="15" t="s">
        <v>53</v>
      </c>
      <c r="G10" s="15" t="s">
        <v>40</v>
      </c>
      <c r="H10" s="16"/>
      <c r="I10" s="15" t="s">
        <v>54</v>
      </c>
      <c r="J10" s="17" t="s">
        <v>121</v>
      </c>
      <c r="K10" s="17" t="s">
        <v>36</v>
      </c>
      <c r="L10" s="15"/>
      <c r="M10" s="21">
        <v>0</v>
      </c>
      <c r="N10" s="15"/>
      <c r="O10" s="15"/>
      <c r="P10" s="15">
        <v>15</v>
      </c>
      <c r="Q10" s="18" t="s">
        <v>37</v>
      </c>
      <c r="R10" s="12">
        <f t="shared" si="0"/>
        <v>2700</v>
      </c>
      <c r="S10" s="12">
        <f t="shared" si="1"/>
        <v>1458</v>
      </c>
      <c r="T10" s="15">
        <v>199</v>
      </c>
      <c r="U10" s="20" t="s">
        <v>38</v>
      </c>
      <c r="V10" s="14">
        <f t="shared" si="2"/>
        <v>35820</v>
      </c>
      <c r="W10" s="14">
        <f t="shared" si="3"/>
        <v>15044.4</v>
      </c>
      <c r="X10" s="14">
        <f t="shared" si="4"/>
        <v>16502.400000000001</v>
      </c>
      <c r="Y10" s="14">
        <f t="shared" si="5"/>
        <v>38520</v>
      </c>
      <c r="Z10" s="19"/>
      <c r="AA10" s="12">
        <f t="shared" si="6"/>
        <v>16502.400000000001</v>
      </c>
      <c r="AB10" s="12">
        <f t="shared" si="7"/>
        <v>16502.400000000001</v>
      </c>
      <c r="AC10" s="12">
        <f t="shared" si="8"/>
        <v>16502</v>
      </c>
      <c r="AD10" s="13">
        <f t="shared" si="9"/>
        <v>0</v>
      </c>
      <c r="AE10" s="14">
        <f t="shared" si="10"/>
        <v>0</v>
      </c>
    </row>
    <row r="11" spans="1:31" ht="17.399999999999999">
      <c r="A11" s="15">
        <v>2797</v>
      </c>
      <c r="B11" s="15" t="s">
        <v>34</v>
      </c>
      <c r="C11" s="15">
        <v>17015</v>
      </c>
      <c r="D11" s="15" t="s">
        <v>55</v>
      </c>
      <c r="E11" s="16"/>
      <c r="F11" s="15" t="s">
        <v>60</v>
      </c>
      <c r="G11" s="15" t="s">
        <v>67</v>
      </c>
      <c r="H11" s="16"/>
      <c r="I11" s="15" t="s">
        <v>61</v>
      </c>
      <c r="J11" s="17" t="s">
        <v>76</v>
      </c>
      <c r="K11" s="17" t="s">
        <v>36</v>
      </c>
      <c r="L11" s="15"/>
      <c r="M11" s="21">
        <v>0</v>
      </c>
      <c r="N11" s="15"/>
      <c r="O11" s="15"/>
      <c r="P11" s="15">
        <v>48</v>
      </c>
      <c r="Q11" s="18" t="s">
        <v>32</v>
      </c>
      <c r="R11" s="12">
        <f t="shared" si="0"/>
        <v>8640</v>
      </c>
      <c r="S11" s="12">
        <f t="shared" si="1"/>
        <v>6048</v>
      </c>
      <c r="T11" s="15">
        <v>148</v>
      </c>
      <c r="U11" s="20" t="s">
        <v>33</v>
      </c>
      <c r="V11" s="14">
        <f t="shared" si="2"/>
        <v>26640</v>
      </c>
      <c r="W11" s="14">
        <f t="shared" si="3"/>
        <v>15984</v>
      </c>
      <c r="X11" s="14">
        <f t="shared" si="4"/>
        <v>22032</v>
      </c>
      <c r="Y11" s="14">
        <f t="shared" si="5"/>
        <v>35280</v>
      </c>
      <c r="Z11" s="19"/>
      <c r="AA11" s="12">
        <f t="shared" si="6"/>
        <v>22032</v>
      </c>
      <c r="AB11" s="12">
        <f t="shared" si="7"/>
        <v>22032</v>
      </c>
      <c r="AC11" s="12">
        <f t="shared" si="8"/>
        <v>22032</v>
      </c>
      <c r="AD11" s="13">
        <f t="shared" si="9"/>
        <v>0</v>
      </c>
      <c r="AE11" s="14">
        <f t="shared" si="10"/>
        <v>0</v>
      </c>
    </row>
    <row r="12" spans="1:31" ht="17.399999999999999">
      <c r="A12" s="15">
        <v>2905</v>
      </c>
      <c r="B12" s="15" t="s">
        <v>34</v>
      </c>
      <c r="C12" s="15">
        <v>18944</v>
      </c>
      <c r="D12" s="15" t="s">
        <v>55</v>
      </c>
      <c r="E12" s="16"/>
      <c r="F12" s="15" t="s">
        <v>56</v>
      </c>
      <c r="G12" s="15" t="s">
        <v>67</v>
      </c>
      <c r="H12" s="16"/>
      <c r="I12" s="15" t="s">
        <v>57</v>
      </c>
      <c r="J12" s="17" t="s">
        <v>76</v>
      </c>
      <c r="K12" s="17" t="s">
        <v>36</v>
      </c>
      <c r="L12" s="15"/>
      <c r="M12" s="21">
        <v>0</v>
      </c>
      <c r="N12" s="15"/>
      <c r="O12" s="15"/>
      <c r="P12" s="15">
        <v>94</v>
      </c>
      <c r="Q12" s="18" t="s">
        <v>32</v>
      </c>
      <c r="R12" s="12">
        <f t="shared" si="0"/>
        <v>16920</v>
      </c>
      <c r="S12" s="12">
        <f t="shared" si="1"/>
        <v>11844</v>
      </c>
      <c r="T12" s="15">
        <v>139</v>
      </c>
      <c r="U12" s="20" t="s">
        <v>33</v>
      </c>
      <c r="V12" s="14">
        <f t="shared" si="2"/>
        <v>25020</v>
      </c>
      <c r="W12" s="14">
        <f t="shared" si="3"/>
        <v>15012</v>
      </c>
      <c r="X12" s="14">
        <f t="shared" si="4"/>
        <v>26856</v>
      </c>
      <c r="Y12" s="14">
        <f t="shared" si="5"/>
        <v>41940</v>
      </c>
      <c r="Z12" s="19"/>
      <c r="AA12" s="12">
        <f t="shared" si="6"/>
        <v>26856</v>
      </c>
      <c r="AB12" s="12">
        <f t="shared" si="7"/>
        <v>26856</v>
      </c>
      <c r="AC12" s="12">
        <f t="shared" si="8"/>
        <v>26856</v>
      </c>
      <c r="AD12" s="13">
        <f t="shared" si="9"/>
        <v>0</v>
      </c>
      <c r="AE12" s="14">
        <f t="shared" si="10"/>
        <v>0</v>
      </c>
    </row>
    <row r="13" spans="1:31" ht="17.399999999999999">
      <c r="A13" s="15">
        <v>3227</v>
      </c>
      <c r="B13" s="15" t="s">
        <v>34</v>
      </c>
      <c r="C13" s="15">
        <v>17408</v>
      </c>
      <c r="D13" s="15" t="s">
        <v>55</v>
      </c>
      <c r="E13" s="16"/>
      <c r="F13" s="15" t="s">
        <v>62</v>
      </c>
      <c r="G13" s="15" t="s">
        <v>67</v>
      </c>
      <c r="H13" s="16"/>
      <c r="I13" s="15" t="s">
        <v>63</v>
      </c>
      <c r="J13" s="17" t="s">
        <v>76</v>
      </c>
      <c r="K13" s="17" t="s">
        <v>36</v>
      </c>
      <c r="L13" s="15"/>
      <c r="M13" s="21">
        <v>0</v>
      </c>
      <c r="N13" s="15"/>
      <c r="O13" s="15"/>
      <c r="P13" s="15">
        <v>67</v>
      </c>
      <c r="Q13" s="18" t="s">
        <v>32</v>
      </c>
      <c r="R13" s="12">
        <f t="shared" si="0"/>
        <v>12060</v>
      </c>
      <c r="S13" s="12">
        <f t="shared" si="1"/>
        <v>8442</v>
      </c>
      <c r="T13" s="15">
        <v>59</v>
      </c>
      <c r="U13" s="20" t="s">
        <v>33</v>
      </c>
      <c r="V13" s="14">
        <f t="shared" si="2"/>
        <v>10620</v>
      </c>
      <c r="W13" s="14">
        <f t="shared" si="3"/>
        <v>6372</v>
      </c>
      <c r="X13" s="14">
        <f t="shared" si="4"/>
        <v>14814</v>
      </c>
      <c r="Y13" s="14">
        <f t="shared" si="5"/>
        <v>22680</v>
      </c>
      <c r="Z13" s="19"/>
      <c r="AA13" s="12">
        <f t="shared" si="6"/>
        <v>14814</v>
      </c>
      <c r="AB13" s="12">
        <f t="shared" si="7"/>
        <v>14814</v>
      </c>
      <c r="AC13" s="12">
        <f t="shared" si="8"/>
        <v>14814</v>
      </c>
      <c r="AD13" s="13">
        <f t="shared" si="9"/>
        <v>0</v>
      </c>
      <c r="AE13" s="14">
        <f t="shared" si="10"/>
        <v>0</v>
      </c>
    </row>
    <row r="14" spans="1:31" ht="17.399999999999999">
      <c r="A14" s="15">
        <v>3558</v>
      </c>
      <c r="B14" s="15" t="s">
        <v>34</v>
      </c>
      <c r="C14" s="15">
        <v>21078</v>
      </c>
      <c r="D14" s="15" t="s">
        <v>55</v>
      </c>
      <c r="E14" s="16"/>
      <c r="F14" s="15" t="s">
        <v>89</v>
      </c>
      <c r="G14" s="15" t="s">
        <v>67</v>
      </c>
      <c r="H14" s="16"/>
      <c r="I14" s="15" t="s">
        <v>90</v>
      </c>
      <c r="J14" s="17" t="s">
        <v>76</v>
      </c>
      <c r="K14" s="17" t="s">
        <v>36</v>
      </c>
      <c r="L14" s="15"/>
      <c r="M14" s="21">
        <v>0</v>
      </c>
      <c r="N14" s="15"/>
      <c r="O14" s="15"/>
      <c r="P14" s="15">
        <v>70</v>
      </c>
      <c r="Q14" s="18" t="s">
        <v>32</v>
      </c>
      <c r="R14" s="12">
        <f t="shared" si="0"/>
        <v>12600</v>
      </c>
      <c r="S14" s="12">
        <f t="shared" si="1"/>
        <v>8820</v>
      </c>
      <c r="T14" s="15">
        <v>38</v>
      </c>
      <c r="U14" s="20" t="s">
        <v>33</v>
      </c>
      <c r="V14" s="14">
        <f t="shared" si="2"/>
        <v>6840</v>
      </c>
      <c r="W14" s="14">
        <f t="shared" si="3"/>
        <v>4104</v>
      </c>
      <c r="X14" s="14">
        <f t="shared" si="4"/>
        <v>12924</v>
      </c>
      <c r="Y14" s="14">
        <f t="shared" si="5"/>
        <v>19440</v>
      </c>
      <c r="Z14" s="19"/>
      <c r="AA14" s="12">
        <f t="shared" si="6"/>
        <v>12924</v>
      </c>
      <c r="AB14" s="12">
        <f t="shared" si="7"/>
        <v>12924</v>
      </c>
      <c r="AC14" s="12">
        <f t="shared" si="8"/>
        <v>12924</v>
      </c>
      <c r="AD14" s="13">
        <f t="shared" si="9"/>
        <v>0</v>
      </c>
      <c r="AE14" s="14">
        <f t="shared" si="10"/>
        <v>0</v>
      </c>
    </row>
    <row r="15" spans="1:31" ht="17.399999999999999">
      <c r="A15" s="15">
        <v>3576</v>
      </c>
      <c r="B15" s="15" t="s">
        <v>34</v>
      </c>
      <c r="C15" s="15">
        <v>21039</v>
      </c>
      <c r="D15" s="15" t="s">
        <v>55</v>
      </c>
      <c r="E15" s="16"/>
      <c r="F15" s="15" t="s">
        <v>105</v>
      </c>
      <c r="G15" s="15" t="s">
        <v>67</v>
      </c>
      <c r="H15" s="16"/>
      <c r="I15" s="15" t="s">
        <v>106</v>
      </c>
      <c r="J15" s="17" t="s">
        <v>76</v>
      </c>
      <c r="K15" s="17" t="s">
        <v>36</v>
      </c>
      <c r="L15" s="15"/>
      <c r="M15" s="21">
        <v>0</v>
      </c>
      <c r="N15" s="15"/>
      <c r="O15" s="15"/>
      <c r="P15" s="15">
        <v>81</v>
      </c>
      <c r="Q15" s="18" t="s">
        <v>32</v>
      </c>
      <c r="R15" s="12">
        <f t="shared" si="0"/>
        <v>14580</v>
      </c>
      <c r="S15" s="12">
        <f t="shared" si="1"/>
        <v>10206</v>
      </c>
      <c r="T15" s="15">
        <v>74</v>
      </c>
      <c r="U15" s="20" t="s">
        <v>33</v>
      </c>
      <c r="V15" s="14">
        <f t="shared" si="2"/>
        <v>13320</v>
      </c>
      <c r="W15" s="14">
        <f t="shared" si="3"/>
        <v>7992</v>
      </c>
      <c r="X15" s="14">
        <f t="shared" si="4"/>
        <v>18198</v>
      </c>
      <c r="Y15" s="14">
        <f t="shared" si="5"/>
        <v>27900</v>
      </c>
      <c r="Z15" s="19"/>
      <c r="AA15" s="12">
        <f t="shared" si="6"/>
        <v>18198</v>
      </c>
      <c r="AB15" s="12">
        <f t="shared" si="7"/>
        <v>18198</v>
      </c>
      <c r="AC15" s="12">
        <f t="shared" si="8"/>
        <v>18198</v>
      </c>
      <c r="AD15" s="13">
        <f t="shared" si="9"/>
        <v>0</v>
      </c>
      <c r="AE15" s="14">
        <f t="shared" si="10"/>
        <v>0</v>
      </c>
    </row>
    <row r="16" spans="1:31" ht="17.399999999999999">
      <c r="A16" s="15">
        <v>3637</v>
      </c>
      <c r="B16" s="15" t="s">
        <v>34</v>
      </c>
      <c r="C16" s="15">
        <v>18761</v>
      </c>
      <c r="D16" s="15" t="s">
        <v>55</v>
      </c>
      <c r="E16" s="16"/>
      <c r="F16" s="15" t="s">
        <v>78</v>
      </c>
      <c r="G16" s="15" t="s">
        <v>67</v>
      </c>
      <c r="H16" s="16"/>
      <c r="I16" s="15" t="s">
        <v>57</v>
      </c>
      <c r="J16" s="17" t="s">
        <v>76</v>
      </c>
      <c r="K16" s="17" t="s">
        <v>36</v>
      </c>
      <c r="L16" s="15"/>
      <c r="M16" s="21">
        <v>0</v>
      </c>
      <c r="N16" s="15"/>
      <c r="O16" s="15"/>
      <c r="P16" s="15">
        <v>34</v>
      </c>
      <c r="Q16" s="18" t="s">
        <v>32</v>
      </c>
      <c r="R16" s="12">
        <f t="shared" si="0"/>
        <v>6120</v>
      </c>
      <c r="S16" s="12">
        <f t="shared" si="1"/>
        <v>4284</v>
      </c>
      <c r="T16" s="15">
        <v>86</v>
      </c>
      <c r="U16" s="20" t="s">
        <v>33</v>
      </c>
      <c r="V16" s="14">
        <f t="shared" si="2"/>
        <v>15480</v>
      </c>
      <c r="W16" s="14">
        <f t="shared" si="3"/>
        <v>9288</v>
      </c>
      <c r="X16" s="14">
        <f t="shared" si="4"/>
        <v>13572</v>
      </c>
      <c r="Y16" s="14">
        <f t="shared" si="5"/>
        <v>21600</v>
      </c>
      <c r="Z16" s="19"/>
      <c r="AA16" s="12">
        <f t="shared" si="6"/>
        <v>13572</v>
      </c>
      <c r="AB16" s="12">
        <f t="shared" si="7"/>
        <v>13572</v>
      </c>
      <c r="AC16" s="12">
        <f t="shared" si="8"/>
        <v>13572</v>
      </c>
      <c r="AD16" s="13">
        <f t="shared" si="9"/>
        <v>0</v>
      </c>
      <c r="AE16" s="14">
        <f t="shared" si="10"/>
        <v>0</v>
      </c>
    </row>
    <row r="17" spans="1:31" ht="17.399999999999999">
      <c r="A17" s="15">
        <v>3646</v>
      </c>
      <c r="B17" s="15" t="s">
        <v>34</v>
      </c>
      <c r="C17" s="15">
        <v>19188</v>
      </c>
      <c r="D17" s="15" t="s">
        <v>55</v>
      </c>
      <c r="E17" s="16"/>
      <c r="F17" s="15" t="s">
        <v>59</v>
      </c>
      <c r="G17" s="15" t="s">
        <v>67</v>
      </c>
      <c r="H17" s="16"/>
      <c r="I17" s="15" t="s">
        <v>57</v>
      </c>
      <c r="J17" s="17" t="s">
        <v>76</v>
      </c>
      <c r="K17" s="17" t="s">
        <v>36</v>
      </c>
      <c r="L17" s="15"/>
      <c r="M17" s="21">
        <v>0</v>
      </c>
      <c r="N17" s="15"/>
      <c r="O17" s="15"/>
      <c r="P17" s="15">
        <v>53</v>
      </c>
      <c r="Q17" s="18" t="s">
        <v>32</v>
      </c>
      <c r="R17" s="12">
        <f t="shared" si="0"/>
        <v>9540</v>
      </c>
      <c r="S17" s="12">
        <f t="shared" si="1"/>
        <v>6678</v>
      </c>
      <c r="T17" s="15">
        <v>96</v>
      </c>
      <c r="U17" s="20" t="s">
        <v>33</v>
      </c>
      <c r="V17" s="14">
        <f t="shared" si="2"/>
        <v>17280</v>
      </c>
      <c r="W17" s="14">
        <f t="shared" si="3"/>
        <v>10368</v>
      </c>
      <c r="X17" s="14">
        <f t="shared" si="4"/>
        <v>17046</v>
      </c>
      <c r="Y17" s="14">
        <f t="shared" si="5"/>
        <v>26820</v>
      </c>
      <c r="Z17" s="19"/>
      <c r="AA17" s="12">
        <f t="shared" si="6"/>
        <v>17046</v>
      </c>
      <c r="AB17" s="12">
        <f t="shared" si="7"/>
        <v>17046</v>
      </c>
      <c r="AC17" s="12">
        <f t="shared" si="8"/>
        <v>17046</v>
      </c>
      <c r="AD17" s="13">
        <f t="shared" si="9"/>
        <v>0</v>
      </c>
      <c r="AE17" s="14">
        <f t="shared" si="10"/>
        <v>0</v>
      </c>
    </row>
    <row r="18" spans="1:31" ht="17.399999999999999">
      <c r="A18" s="15">
        <v>3799</v>
      </c>
      <c r="B18" s="15" t="s">
        <v>34</v>
      </c>
      <c r="C18" s="15">
        <v>18938</v>
      </c>
      <c r="D18" s="15" t="s">
        <v>55</v>
      </c>
      <c r="E18" s="16"/>
      <c r="F18" s="15" t="s">
        <v>58</v>
      </c>
      <c r="G18" s="15" t="s">
        <v>67</v>
      </c>
      <c r="H18" s="16"/>
      <c r="I18" s="15" t="s">
        <v>57</v>
      </c>
      <c r="J18" s="17" t="s">
        <v>76</v>
      </c>
      <c r="K18" s="17" t="s">
        <v>36</v>
      </c>
      <c r="L18" s="15"/>
      <c r="M18" s="21">
        <v>0</v>
      </c>
      <c r="N18" s="15"/>
      <c r="O18" s="15"/>
      <c r="P18" s="15">
        <v>31</v>
      </c>
      <c r="Q18" s="18" t="s">
        <v>32</v>
      </c>
      <c r="R18" s="12">
        <f t="shared" si="0"/>
        <v>5580</v>
      </c>
      <c r="S18" s="12">
        <f t="shared" si="1"/>
        <v>3905.9999999999995</v>
      </c>
      <c r="T18" s="15">
        <v>73</v>
      </c>
      <c r="U18" s="20" t="s">
        <v>33</v>
      </c>
      <c r="V18" s="14">
        <f t="shared" si="2"/>
        <v>13140</v>
      </c>
      <c r="W18" s="14">
        <f t="shared" si="3"/>
        <v>7884</v>
      </c>
      <c r="X18" s="14">
        <f t="shared" si="4"/>
        <v>11790</v>
      </c>
      <c r="Y18" s="14">
        <f t="shared" si="5"/>
        <v>18720</v>
      </c>
      <c r="Z18" s="19"/>
      <c r="AA18" s="12">
        <f t="shared" si="6"/>
        <v>11790</v>
      </c>
      <c r="AB18" s="12">
        <f t="shared" si="7"/>
        <v>11790</v>
      </c>
      <c r="AC18" s="12">
        <f t="shared" si="8"/>
        <v>11790</v>
      </c>
      <c r="AD18" s="13">
        <f t="shared" si="9"/>
        <v>0</v>
      </c>
      <c r="AE18" s="14">
        <f t="shared" si="10"/>
        <v>0</v>
      </c>
    </row>
    <row r="19" spans="1:31" ht="17.399999999999999">
      <c r="A19" s="15">
        <v>3834</v>
      </c>
      <c r="B19" s="15" t="s">
        <v>34</v>
      </c>
      <c r="C19" s="15">
        <v>19275</v>
      </c>
      <c r="D19" s="15" t="s">
        <v>55</v>
      </c>
      <c r="E19" s="16"/>
      <c r="F19" s="15" t="s">
        <v>66</v>
      </c>
      <c r="G19" s="15" t="s">
        <v>67</v>
      </c>
      <c r="H19" s="16"/>
      <c r="I19" s="15" t="s">
        <v>57</v>
      </c>
      <c r="J19" s="17" t="s">
        <v>76</v>
      </c>
      <c r="K19" s="17" t="s">
        <v>36</v>
      </c>
      <c r="L19" s="15"/>
      <c r="M19" s="21">
        <v>0</v>
      </c>
      <c r="N19" s="15"/>
      <c r="O19" s="15"/>
      <c r="P19" s="15">
        <v>2</v>
      </c>
      <c r="Q19" s="18" t="s">
        <v>32</v>
      </c>
      <c r="R19" s="12">
        <f t="shared" si="0"/>
        <v>360</v>
      </c>
      <c r="S19" s="12">
        <f t="shared" si="1"/>
        <v>251.99999999999997</v>
      </c>
      <c r="T19" s="15">
        <v>81</v>
      </c>
      <c r="U19" s="20" t="s">
        <v>33</v>
      </c>
      <c r="V19" s="14">
        <f t="shared" si="2"/>
        <v>14580</v>
      </c>
      <c r="W19" s="14">
        <f t="shared" si="3"/>
        <v>8748</v>
      </c>
      <c r="X19" s="14">
        <f t="shared" si="4"/>
        <v>9000</v>
      </c>
      <c r="Y19" s="14">
        <f t="shared" si="5"/>
        <v>14940</v>
      </c>
      <c r="Z19" s="19"/>
      <c r="AA19" s="12">
        <f t="shared" si="6"/>
        <v>9000</v>
      </c>
      <c r="AB19" s="12">
        <f t="shared" si="7"/>
        <v>9000</v>
      </c>
      <c r="AC19" s="12">
        <f t="shared" si="8"/>
        <v>9000</v>
      </c>
      <c r="AD19" s="13">
        <f t="shared" si="9"/>
        <v>0</v>
      </c>
      <c r="AE19" s="14">
        <f t="shared" si="10"/>
        <v>0</v>
      </c>
    </row>
    <row r="20" spans="1:31" ht="17.399999999999999">
      <c r="A20" s="15">
        <v>3910</v>
      </c>
      <c r="B20" s="15" t="s">
        <v>34</v>
      </c>
      <c r="C20" s="15">
        <v>19680</v>
      </c>
      <c r="D20" s="15" t="s">
        <v>55</v>
      </c>
      <c r="E20" s="16"/>
      <c r="F20" s="15" t="s">
        <v>75</v>
      </c>
      <c r="G20" s="15" t="s">
        <v>67</v>
      </c>
      <c r="H20" s="16"/>
      <c r="I20" s="15" t="s">
        <v>107</v>
      </c>
      <c r="J20" s="17" t="s">
        <v>76</v>
      </c>
      <c r="K20" s="17" t="s">
        <v>36</v>
      </c>
      <c r="L20" s="15"/>
      <c r="M20" s="21">
        <v>0</v>
      </c>
      <c r="N20" s="15"/>
      <c r="O20" s="15"/>
      <c r="P20" s="15">
        <v>45</v>
      </c>
      <c r="Q20" s="18" t="s">
        <v>32</v>
      </c>
      <c r="R20" s="12">
        <f t="shared" si="0"/>
        <v>8100</v>
      </c>
      <c r="S20" s="12">
        <f t="shared" si="1"/>
        <v>5670</v>
      </c>
      <c r="T20" s="15">
        <v>81</v>
      </c>
      <c r="U20" s="20" t="s">
        <v>33</v>
      </c>
      <c r="V20" s="14">
        <f t="shared" si="2"/>
        <v>14580</v>
      </c>
      <c r="W20" s="14">
        <f t="shared" si="3"/>
        <v>8748</v>
      </c>
      <c r="X20" s="14">
        <f t="shared" si="4"/>
        <v>14418</v>
      </c>
      <c r="Y20" s="14">
        <f t="shared" si="5"/>
        <v>22680</v>
      </c>
      <c r="Z20" s="19"/>
      <c r="AA20" s="12">
        <f t="shared" si="6"/>
        <v>14418</v>
      </c>
      <c r="AB20" s="12">
        <f t="shared" si="7"/>
        <v>14418</v>
      </c>
      <c r="AC20" s="12">
        <f t="shared" si="8"/>
        <v>14418</v>
      </c>
      <c r="AD20" s="13">
        <f t="shared" si="9"/>
        <v>0</v>
      </c>
      <c r="AE20" s="14">
        <f t="shared" si="10"/>
        <v>0</v>
      </c>
    </row>
    <row r="21" spans="1:31" ht="17.399999999999999">
      <c r="A21" s="15">
        <v>4081</v>
      </c>
      <c r="B21" s="15" t="s">
        <v>34</v>
      </c>
      <c r="C21" s="15">
        <v>21517</v>
      </c>
      <c r="D21" s="15" t="s">
        <v>55</v>
      </c>
      <c r="E21" s="16"/>
      <c r="F21" s="15" t="s">
        <v>113</v>
      </c>
      <c r="G21" s="15" t="s">
        <v>67</v>
      </c>
      <c r="H21" s="16"/>
      <c r="I21" s="15" t="s">
        <v>92</v>
      </c>
      <c r="J21" s="17" t="s">
        <v>76</v>
      </c>
      <c r="K21" s="17" t="s">
        <v>36</v>
      </c>
      <c r="L21" s="15"/>
      <c r="M21" s="22"/>
      <c r="N21" s="15"/>
      <c r="O21" s="15"/>
      <c r="P21" s="15">
        <v>51</v>
      </c>
      <c r="Q21" s="18" t="s">
        <v>32</v>
      </c>
      <c r="R21" s="12">
        <f t="shared" si="0"/>
        <v>9180</v>
      </c>
      <c r="S21" s="12">
        <f t="shared" si="1"/>
        <v>6426</v>
      </c>
      <c r="T21" s="15">
        <v>33</v>
      </c>
      <c r="U21" s="20" t="s">
        <v>33</v>
      </c>
      <c r="V21" s="14">
        <f t="shared" si="2"/>
        <v>5940</v>
      </c>
      <c r="W21" s="14">
        <f t="shared" si="3"/>
        <v>3564</v>
      </c>
      <c r="X21" s="14">
        <f t="shared" si="4"/>
        <v>9990</v>
      </c>
      <c r="Y21" s="14">
        <f t="shared" si="5"/>
        <v>15120</v>
      </c>
      <c r="Z21" s="19"/>
      <c r="AA21" s="12">
        <f t="shared" si="6"/>
        <v>9990</v>
      </c>
      <c r="AB21" s="12">
        <f t="shared" si="7"/>
        <v>9990</v>
      </c>
      <c r="AC21" s="12">
        <f t="shared" si="8"/>
        <v>9990</v>
      </c>
      <c r="AD21" s="13">
        <f t="shared" si="9"/>
        <v>0</v>
      </c>
      <c r="AE21" s="14">
        <f t="shared" si="10"/>
        <v>0</v>
      </c>
    </row>
    <row r="22" spans="1:31" ht="17.399999999999999">
      <c r="A22" s="15">
        <v>4273</v>
      </c>
      <c r="B22" s="15" t="s">
        <v>34</v>
      </c>
      <c r="C22" s="15">
        <v>21193</v>
      </c>
      <c r="D22" s="15" t="s">
        <v>55</v>
      </c>
      <c r="E22" s="16"/>
      <c r="F22" s="15" t="s">
        <v>91</v>
      </c>
      <c r="G22" s="15" t="s">
        <v>67</v>
      </c>
      <c r="H22" s="16"/>
      <c r="I22" s="15" t="s">
        <v>92</v>
      </c>
      <c r="J22" s="17" t="s">
        <v>76</v>
      </c>
      <c r="K22" s="17" t="s">
        <v>36</v>
      </c>
      <c r="L22" s="15"/>
      <c r="M22" s="21">
        <v>0</v>
      </c>
      <c r="N22" s="15"/>
      <c r="O22" s="15"/>
      <c r="P22" s="15">
        <v>60</v>
      </c>
      <c r="Q22" s="18" t="s">
        <v>32</v>
      </c>
      <c r="R22" s="12">
        <f t="shared" si="0"/>
        <v>10800</v>
      </c>
      <c r="S22" s="12">
        <f t="shared" si="1"/>
        <v>7559.9999999999991</v>
      </c>
      <c r="T22" s="15">
        <v>2</v>
      </c>
      <c r="U22" s="20" t="s">
        <v>33</v>
      </c>
      <c r="V22" s="14">
        <f t="shared" si="2"/>
        <v>360</v>
      </c>
      <c r="W22" s="14">
        <f t="shared" si="3"/>
        <v>216</v>
      </c>
      <c r="X22" s="14">
        <f t="shared" si="4"/>
        <v>7775.9999999999991</v>
      </c>
      <c r="Y22" s="14">
        <f t="shared" si="5"/>
        <v>11160</v>
      </c>
      <c r="Z22" s="19"/>
      <c r="AA22" s="12">
        <f t="shared" si="6"/>
        <v>7775.9999999999991</v>
      </c>
      <c r="AB22" s="12">
        <f t="shared" si="7"/>
        <v>7775.9999999999991</v>
      </c>
      <c r="AC22" s="12">
        <f t="shared" si="8"/>
        <v>7776</v>
      </c>
      <c r="AD22" s="13">
        <f t="shared" si="9"/>
        <v>0</v>
      </c>
      <c r="AE22" s="14">
        <f t="shared" si="10"/>
        <v>0</v>
      </c>
    </row>
    <row r="23" spans="1:31" ht="17.399999999999999">
      <c r="A23" s="15">
        <v>4376</v>
      </c>
      <c r="B23" s="15" t="s">
        <v>34</v>
      </c>
      <c r="C23" s="15">
        <v>20155</v>
      </c>
      <c r="D23" s="15" t="s">
        <v>55</v>
      </c>
      <c r="E23" s="16"/>
      <c r="F23" s="15" t="s">
        <v>85</v>
      </c>
      <c r="G23" s="15" t="s">
        <v>67</v>
      </c>
      <c r="H23" s="16"/>
      <c r="I23" s="15" t="s">
        <v>86</v>
      </c>
      <c r="J23" s="17" t="s">
        <v>76</v>
      </c>
      <c r="K23" s="17" t="s">
        <v>36</v>
      </c>
      <c r="L23" s="15"/>
      <c r="M23" s="21">
        <v>0</v>
      </c>
      <c r="N23" s="15"/>
      <c r="O23" s="15"/>
      <c r="P23" s="15">
        <v>5</v>
      </c>
      <c r="Q23" s="18" t="s">
        <v>32</v>
      </c>
      <c r="R23" s="12">
        <f t="shared" si="0"/>
        <v>900</v>
      </c>
      <c r="S23" s="12">
        <f t="shared" si="1"/>
        <v>630</v>
      </c>
      <c r="T23" s="15">
        <v>55</v>
      </c>
      <c r="U23" s="20" t="s">
        <v>33</v>
      </c>
      <c r="V23" s="14">
        <f t="shared" si="2"/>
        <v>9900</v>
      </c>
      <c r="W23" s="14">
        <f t="shared" si="3"/>
        <v>5940</v>
      </c>
      <c r="X23" s="14">
        <f t="shared" si="4"/>
        <v>6570</v>
      </c>
      <c r="Y23" s="14">
        <f t="shared" si="5"/>
        <v>10800</v>
      </c>
      <c r="Z23" s="19"/>
      <c r="AA23" s="12">
        <f t="shared" si="6"/>
        <v>6570</v>
      </c>
      <c r="AB23" s="12">
        <f t="shared" si="7"/>
        <v>6570</v>
      </c>
      <c r="AC23" s="12">
        <f t="shared" si="8"/>
        <v>6570</v>
      </c>
      <c r="AD23" s="13">
        <f t="shared" si="9"/>
        <v>0</v>
      </c>
      <c r="AE23" s="14">
        <f t="shared" si="10"/>
        <v>0</v>
      </c>
    </row>
    <row r="24" spans="1:31" ht="17.399999999999999">
      <c r="A24" s="15">
        <v>4633</v>
      </c>
      <c r="B24" s="15" t="s">
        <v>34</v>
      </c>
      <c r="C24" s="15">
        <v>19292</v>
      </c>
      <c r="D24" s="15" t="s">
        <v>55</v>
      </c>
      <c r="E24" s="16"/>
      <c r="F24" s="15" t="s">
        <v>68</v>
      </c>
      <c r="G24" s="15" t="s">
        <v>67</v>
      </c>
      <c r="H24" s="16"/>
      <c r="I24" s="15" t="s">
        <v>57</v>
      </c>
      <c r="J24" s="17" t="s">
        <v>76</v>
      </c>
      <c r="K24" s="17" t="s">
        <v>36</v>
      </c>
      <c r="L24" s="15"/>
      <c r="M24" s="21">
        <v>0</v>
      </c>
      <c r="N24" s="15"/>
      <c r="O24" s="15"/>
      <c r="P24" s="15">
        <v>29</v>
      </c>
      <c r="Q24" s="18" t="s">
        <v>32</v>
      </c>
      <c r="R24" s="12">
        <f t="shared" si="0"/>
        <v>5220</v>
      </c>
      <c r="S24" s="12">
        <f t="shared" si="1"/>
        <v>3653.9999999999995</v>
      </c>
      <c r="T24" s="15">
        <v>33</v>
      </c>
      <c r="U24" s="20" t="s">
        <v>33</v>
      </c>
      <c r="V24" s="14">
        <f t="shared" si="2"/>
        <v>5940</v>
      </c>
      <c r="W24" s="14">
        <f t="shared" si="3"/>
        <v>3564</v>
      </c>
      <c r="X24" s="14">
        <f t="shared" si="4"/>
        <v>7218</v>
      </c>
      <c r="Y24" s="14">
        <f t="shared" si="5"/>
        <v>11160</v>
      </c>
      <c r="Z24" s="19"/>
      <c r="AA24" s="12">
        <f t="shared" si="6"/>
        <v>7218</v>
      </c>
      <c r="AB24" s="12">
        <f t="shared" si="7"/>
        <v>7218</v>
      </c>
      <c r="AC24" s="12">
        <f t="shared" si="8"/>
        <v>7218</v>
      </c>
      <c r="AD24" s="13">
        <f t="shared" si="9"/>
        <v>0</v>
      </c>
      <c r="AE24" s="14">
        <f t="shared" si="10"/>
        <v>0</v>
      </c>
    </row>
    <row r="25" spans="1:31" ht="17.399999999999999">
      <c r="A25" s="15">
        <v>4798</v>
      </c>
      <c r="B25" s="15" t="s">
        <v>34</v>
      </c>
      <c r="C25" s="15">
        <v>21066</v>
      </c>
      <c r="D25" s="15" t="s">
        <v>55</v>
      </c>
      <c r="E25" s="16"/>
      <c r="F25" s="15" t="s">
        <v>99</v>
      </c>
      <c r="G25" s="15" t="s">
        <v>67</v>
      </c>
      <c r="H25" s="16"/>
      <c r="I25" s="15" t="s">
        <v>100</v>
      </c>
      <c r="J25" s="17" t="s">
        <v>76</v>
      </c>
      <c r="K25" s="17" t="s">
        <v>36</v>
      </c>
      <c r="L25" s="15"/>
      <c r="M25" s="21">
        <v>0</v>
      </c>
      <c r="N25" s="15"/>
      <c r="O25" s="15"/>
      <c r="P25" s="15">
        <v>35</v>
      </c>
      <c r="Q25" s="18" t="s">
        <v>32</v>
      </c>
      <c r="R25" s="12">
        <f t="shared" si="0"/>
        <v>6300</v>
      </c>
      <c r="S25" s="12">
        <f t="shared" si="1"/>
        <v>4410</v>
      </c>
      <c r="T25" s="15">
        <v>0</v>
      </c>
      <c r="U25" s="20" t="s">
        <v>33</v>
      </c>
      <c r="V25" s="14">
        <f t="shared" si="2"/>
        <v>0</v>
      </c>
      <c r="W25" s="14">
        <f t="shared" si="3"/>
        <v>0</v>
      </c>
      <c r="X25" s="14">
        <f t="shared" si="4"/>
        <v>4410</v>
      </c>
      <c r="Y25" s="14">
        <f t="shared" si="5"/>
        <v>6300</v>
      </c>
      <c r="Z25" s="19"/>
      <c r="AA25" s="12">
        <f t="shared" si="6"/>
        <v>4410</v>
      </c>
      <c r="AB25" s="12">
        <f t="shared" si="7"/>
        <v>4410</v>
      </c>
      <c r="AC25" s="12">
        <f t="shared" si="8"/>
        <v>4410</v>
      </c>
      <c r="AD25" s="13">
        <f t="shared" si="9"/>
        <v>0</v>
      </c>
      <c r="AE25" s="14">
        <f t="shared" si="10"/>
        <v>0</v>
      </c>
    </row>
    <row r="26" spans="1:31" ht="17.399999999999999">
      <c r="A26" s="15">
        <v>4826</v>
      </c>
      <c r="B26" s="15" t="s">
        <v>34</v>
      </c>
      <c r="C26" s="15">
        <v>20149</v>
      </c>
      <c r="D26" s="15" t="s">
        <v>55</v>
      </c>
      <c r="E26" s="16"/>
      <c r="F26" s="15" t="s">
        <v>74</v>
      </c>
      <c r="G26" s="15" t="s">
        <v>67</v>
      </c>
      <c r="H26" s="16"/>
      <c r="I26" s="15" t="s">
        <v>61</v>
      </c>
      <c r="J26" s="17" t="s">
        <v>76</v>
      </c>
      <c r="K26" s="17" t="s">
        <v>36</v>
      </c>
      <c r="L26" s="15"/>
      <c r="M26" s="21">
        <v>0</v>
      </c>
      <c r="N26" s="15"/>
      <c r="O26" s="15"/>
      <c r="P26" s="15">
        <v>0</v>
      </c>
      <c r="Q26" s="18" t="s">
        <v>32</v>
      </c>
      <c r="R26" s="12">
        <f t="shared" si="0"/>
        <v>0</v>
      </c>
      <c r="S26" s="12">
        <f t="shared" si="1"/>
        <v>0</v>
      </c>
      <c r="T26" s="15">
        <v>78</v>
      </c>
      <c r="U26" s="20" t="s">
        <v>33</v>
      </c>
      <c r="V26" s="14">
        <f t="shared" si="2"/>
        <v>14040</v>
      </c>
      <c r="W26" s="14">
        <f t="shared" si="3"/>
        <v>8424</v>
      </c>
      <c r="X26" s="14">
        <f t="shared" si="4"/>
        <v>8424</v>
      </c>
      <c r="Y26" s="14">
        <f t="shared" si="5"/>
        <v>14040</v>
      </c>
      <c r="Z26" s="19"/>
      <c r="AA26" s="12">
        <f t="shared" si="6"/>
        <v>8424</v>
      </c>
      <c r="AB26" s="12">
        <f t="shared" si="7"/>
        <v>8424</v>
      </c>
      <c r="AC26" s="12">
        <f t="shared" si="8"/>
        <v>8424</v>
      </c>
      <c r="AD26" s="13">
        <f t="shared" si="9"/>
        <v>0</v>
      </c>
      <c r="AE26" s="14">
        <f t="shared" si="10"/>
        <v>0</v>
      </c>
    </row>
    <row r="27" spans="1:31" ht="17.399999999999999">
      <c r="A27" s="15">
        <v>4924</v>
      </c>
      <c r="B27" s="15" t="s">
        <v>117</v>
      </c>
      <c r="C27" s="15">
        <v>16275</v>
      </c>
      <c r="D27" s="15" t="s">
        <v>31</v>
      </c>
      <c r="E27" s="16"/>
      <c r="F27" s="15" t="s">
        <v>47</v>
      </c>
      <c r="G27" s="15" t="s">
        <v>44</v>
      </c>
      <c r="H27" s="16"/>
      <c r="I27" s="15" t="s">
        <v>50</v>
      </c>
      <c r="J27" s="17" t="s">
        <v>121</v>
      </c>
      <c r="K27" s="17" t="s">
        <v>36</v>
      </c>
      <c r="L27" s="15"/>
      <c r="M27" s="21">
        <v>0</v>
      </c>
      <c r="N27" s="15"/>
      <c r="O27" s="15"/>
      <c r="P27" s="15">
        <v>28</v>
      </c>
      <c r="Q27" s="18" t="s">
        <v>32</v>
      </c>
      <c r="R27" s="12">
        <f t="shared" si="0"/>
        <v>5040</v>
      </c>
      <c r="S27" s="12">
        <f t="shared" si="1"/>
        <v>3528</v>
      </c>
      <c r="T27" s="15">
        <v>0</v>
      </c>
      <c r="U27" s="20" t="s">
        <v>33</v>
      </c>
      <c r="V27" s="14">
        <f t="shared" si="2"/>
        <v>0</v>
      </c>
      <c r="W27" s="14">
        <f t="shared" si="3"/>
        <v>0</v>
      </c>
      <c r="X27" s="14">
        <f t="shared" si="4"/>
        <v>3528</v>
      </c>
      <c r="Y27" s="14">
        <f t="shared" si="5"/>
        <v>5040</v>
      </c>
      <c r="Z27" s="19"/>
      <c r="AA27" s="12">
        <f t="shared" si="6"/>
        <v>3528</v>
      </c>
      <c r="AB27" s="12">
        <f t="shared" si="7"/>
        <v>3528</v>
      </c>
      <c r="AC27" s="12">
        <f t="shared" si="8"/>
        <v>3528</v>
      </c>
      <c r="AD27" s="13">
        <f t="shared" si="9"/>
        <v>0</v>
      </c>
      <c r="AE27" s="14">
        <f t="shared" si="10"/>
        <v>0</v>
      </c>
    </row>
    <row r="28" spans="1:31" ht="17.399999999999999">
      <c r="A28" s="15">
        <v>5149</v>
      </c>
      <c r="B28" s="15" t="s">
        <v>118</v>
      </c>
      <c r="C28" s="15">
        <v>14522</v>
      </c>
      <c r="D28" s="15" t="s">
        <v>35</v>
      </c>
      <c r="E28" s="16"/>
      <c r="F28" s="15" t="s">
        <v>41</v>
      </c>
      <c r="G28" s="15" t="s">
        <v>40</v>
      </c>
      <c r="H28" s="16"/>
      <c r="I28" s="15" t="s">
        <v>49</v>
      </c>
      <c r="J28" s="17" t="s">
        <v>121</v>
      </c>
      <c r="K28" s="17" t="s">
        <v>36</v>
      </c>
      <c r="L28" s="15"/>
      <c r="M28" s="21">
        <v>0</v>
      </c>
      <c r="N28" s="15"/>
      <c r="O28" s="15"/>
      <c r="P28" s="15">
        <v>0</v>
      </c>
      <c r="Q28" s="18" t="s">
        <v>37</v>
      </c>
      <c r="R28" s="12">
        <f t="shared" si="0"/>
        <v>0</v>
      </c>
      <c r="S28" s="12">
        <f t="shared" si="1"/>
        <v>0</v>
      </c>
      <c r="T28" s="15">
        <v>42</v>
      </c>
      <c r="U28" s="20" t="s">
        <v>38</v>
      </c>
      <c r="V28" s="14">
        <f t="shared" si="2"/>
        <v>7560</v>
      </c>
      <c r="W28" s="14">
        <f t="shared" si="3"/>
        <v>3175.2</v>
      </c>
      <c r="X28" s="14">
        <f t="shared" si="4"/>
        <v>3175.2</v>
      </c>
      <c r="Y28" s="14">
        <f t="shared" si="5"/>
        <v>7560</v>
      </c>
      <c r="Z28" s="19"/>
      <c r="AA28" s="12">
        <f t="shared" si="6"/>
        <v>3175.2</v>
      </c>
      <c r="AB28" s="12">
        <f t="shared" si="7"/>
        <v>3175.2</v>
      </c>
      <c r="AC28" s="12">
        <f t="shared" si="8"/>
        <v>3175</v>
      </c>
      <c r="AD28" s="13">
        <f t="shared" si="9"/>
        <v>0</v>
      </c>
      <c r="AE28" s="14">
        <f t="shared" si="10"/>
        <v>0</v>
      </c>
    </row>
    <row r="29" spans="1:31" ht="17.399999999999999">
      <c r="A29" s="15">
        <v>5817</v>
      </c>
      <c r="B29" s="15" t="s">
        <v>34</v>
      </c>
      <c r="C29" s="15">
        <v>21340</v>
      </c>
      <c r="D29" s="15" t="s">
        <v>55</v>
      </c>
      <c r="E29" s="16"/>
      <c r="F29" s="15" t="s">
        <v>102</v>
      </c>
      <c r="G29" s="15" t="s">
        <v>67</v>
      </c>
      <c r="H29" s="16"/>
      <c r="I29" s="15" t="s">
        <v>77</v>
      </c>
      <c r="J29" s="17" t="s">
        <v>76</v>
      </c>
      <c r="K29" s="17" t="s">
        <v>36</v>
      </c>
      <c r="L29" s="15"/>
      <c r="M29" s="21">
        <v>0</v>
      </c>
      <c r="N29" s="15"/>
      <c r="O29" s="15"/>
      <c r="P29" s="15">
        <v>50</v>
      </c>
      <c r="Q29" s="18" t="s">
        <v>32</v>
      </c>
      <c r="R29" s="12">
        <f t="shared" si="0"/>
        <v>9000</v>
      </c>
      <c r="S29" s="12">
        <f t="shared" si="1"/>
        <v>6300</v>
      </c>
      <c r="T29" s="15">
        <v>0</v>
      </c>
      <c r="U29" s="20" t="s">
        <v>33</v>
      </c>
      <c r="V29" s="14">
        <f t="shared" si="2"/>
        <v>0</v>
      </c>
      <c r="W29" s="14">
        <f t="shared" si="3"/>
        <v>0</v>
      </c>
      <c r="X29" s="14">
        <f t="shared" si="4"/>
        <v>6300</v>
      </c>
      <c r="Y29" s="14">
        <f t="shared" si="5"/>
        <v>9000</v>
      </c>
      <c r="Z29" s="19"/>
      <c r="AA29" s="12">
        <f t="shared" si="6"/>
        <v>6300</v>
      </c>
      <c r="AB29" s="12">
        <f t="shared" si="7"/>
        <v>6300</v>
      </c>
      <c r="AC29" s="12">
        <f t="shared" si="8"/>
        <v>6300</v>
      </c>
      <c r="AD29" s="13">
        <f t="shared" si="9"/>
        <v>0</v>
      </c>
      <c r="AE29" s="14">
        <f t="shared" si="10"/>
        <v>0</v>
      </c>
    </row>
    <row r="30" spans="1:31" ht="17.399999999999999">
      <c r="A30" s="15">
        <v>5951</v>
      </c>
      <c r="B30" s="15" t="s">
        <v>34</v>
      </c>
      <c r="C30" s="15">
        <v>18940</v>
      </c>
      <c r="D30" s="15" t="s">
        <v>55</v>
      </c>
      <c r="E30" s="16"/>
      <c r="F30" s="15" t="s">
        <v>64</v>
      </c>
      <c r="G30" s="15" t="s">
        <v>67</v>
      </c>
      <c r="H30" s="16"/>
      <c r="I30" s="15" t="s">
        <v>65</v>
      </c>
      <c r="J30" s="17" t="s">
        <v>76</v>
      </c>
      <c r="K30" s="17" t="s">
        <v>36</v>
      </c>
      <c r="L30" s="15"/>
      <c r="M30" s="21">
        <v>0</v>
      </c>
      <c r="N30" s="15"/>
      <c r="O30" s="15"/>
      <c r="P30" s="15">
        <v>0</v>
      </c>
      <c r="Q30" s="18" t="s">
        <v>32</v>
      </c>
      <c r="R30" s="12">
        <f t="shared" si="0"/>
        <v>0</v>
      </c>
      <c r="S30" s="12">
        <f t="shared" si="1"/>
        <v>0</v>
      </c>
      <c r="T30" s="15">
        <v>46</v>
      </c>
      <c r="U30" s="20" t="s">
        <v>33</v>
      </c>
      <c r="V30" s="14">
        <f t="shared" si="2"/>
        <v>8280</v>
      </c>
      <c r="W30" s="14">
        <f t="shared" si="3"/>
        <v>4968</v>
      </c>
      <c r="X30" s="14">
        <f t="shared" si="4"/>
        <v>4968</v>
      </c>
      <c r="Y30" s="14">
        <f t="shared" si="5"/>
        <v>8280</v>
      </c>
      <c r="Z30" s="19"/>
      <c r="AA30" s="12">
        <f t="shared" si="6"/>
        <v>4968</v>
      </c>
      <c r="AB30" s="12">
        <f t="shared" si="7"/>
        <v>4968</v>
      </c>
      <c r="AC30" s="12">
        <f t="shared" si="8"/>
        <v>4968</v>
      </c>
      <c r="AD30" s="13">
        <f t="shared" si="9"/>
        <v>0</v>
      </c>
      <c r="AE30" s="14">
        <f t="shared" si="10"/>
        <v>0</v>
      </c>
    </row>
    <row r="31" spans="1:31" ht="17.399999999999999">
      <c r="A31" s="15">
        <v>5990</v>
      </c>
      <c r="B31" s="15" t="s">
        <v>34</v>
      </c>
      <c r="C31" s="15">
        <v>19676</v>
      </c>
      <c r="D31" s="15" t="s">
        <v>55</v>
      </c>
      <c r="E31" s="16"/>
      <c r="F31" s="15" t="s">
        <v>73</v>
      </c>
      <c r="G31" s="15" t="s">
        <v>67</v>
      </c>
      <c r="H31" s="16"/>
      <c r="I31" s="15" t="s">
        <v>116</v>
      </c>
      <c r="J31" s="17" t="s">
        <v>76</v>
      </c>
      <c r="K31" s="17" t="s">
        <v>36</v>
      </c>
      <c r="L31" s="15"/>
      <c r="M31" s="21">
        <v>0</v>
      </c>
      <c r="N31" s="15"/>
      <c r="O31" s="15"/>
      <c r="P31" s="15">
        <v>8</v>
      </c>
      <c r="Q31" s="18" t="s">
        <v>32</v>
      </c>
      <c r="R31" s="12">
        <f t="shared" si="0"/>
        <v>1440</v>
      </c>
      <c r="S31" s="12">
        <f t="shared" si="1"/>
        <v>1007.9999999999999</v>
      </c>
      <c r="T31" s="15">
        <v>38</v>
      </c>
      <c r="U31" s="20" t="s">
        <v>33</v>
      </c>
      <c r="V31" s="14">
        <f t="shared" si="2"/>
        <v>6840</v>
      </c>
      <c r="W31" s="14">
        <f t="shared" si="3"/>
        <v>4104</v>
      </c>
      <c r="X31" s="14">
        <f t="shared" si="4"/>
        <v>5112</v>
      </c>
      <c r="Y31" s="14">
        <f t="shared" si="5"/>
        <v>8280</v>
      </c>
      <c r="Z31" s="19"/>
      <c r="AA31" s="12">
        <f t="shared" si="6"/>
        <v>5112</v>
      </c>
      <c r="AB31" s="12">
        <f t="shared" si="7"/>
        <v>5112</v>
      </c>
      <c r="AC31" s="12">
        <f t="shared" si="8"/>
        <v>5112</v>
      </c>
      <c r="AD31" s="13">
        <f t="shared" si="9"/>
        <v>0</v>
      </c>
      <c r="AE31" s="14">
        <f t="shared" si="10"/>
        <v>0</v>
      </c>
    </row>
    <row r="32" spans="1:31" ht="17.399999999999999">
      <c r="A32" s="15">
        <v>6329</v>
      </c>
      <c r="B32" s="15" t="s">
        <v>34</v>
      </c>
      <c r="C32" s="15">
        <v>18320</v>
      </c>
      <c r="D32" s="15" t="s">
        <v>55</v>
      </c>
      <c r="E32" s="16"/>
      <c r="F32" s="15" t="s">
        <v>81</v>
      </c>
      <c r="G32" s="15" t="s">
        <v>67</v>
      </c>
      <c r="H32" s="16"/>
      <c r="I32" s="15" t="s">
        <v>82</v>
      </c>
      <c r="J32" s="17" t="s">
        <v>76</v>
      </c>
      <c r="K32" s="17" t="s">
        <v>36</v>
      </c>
      <c r="L32" s="15"/>
      <c r="M32" s="21">
        <v>0</v>
      </c>
      <c r="N32" s="15"/>
      <c r="O32" s="15"/>
      <c r="P32" s="15">
        <v>4</v>
      </c>
      <c r="Q32" s="18" t="s">
        <v>32</v>
      </c>
      <c r="R32" s="12">
        <f t="shared" si="0"/>
        <v>720</v>
      </c>
      <c r="S32" s="12">
        <f t="shared" si="1"/>
        <v>503.99999999999994</v>
      </c>
      <c r="T32" s="15">
        <v>35</v>
      </c>
      <c r="U32" s="20" t="s">
        <v>33</v>
      </c>
      <c r="V32" s="14">
        <f t="shared" si="2"/>
        <v>6300</v>
      </c>
      <c r="W32" s="14">
        <f t="shared" si="3"/>
        <v>3780</v>
      </c>
      <c r="X32" s="14">
        <f t="shared" si="4"/>
        <v>4284</v>
      </c>
      <c r="Y32" s="14">
        <f t="shared" si="5"/>
        <v>7020</v>
      </c>
      <c r="Z32" s="19"/>
      <c r="AA32" s="12">
        <f t="shared" si="6"/>
        <v>4284</v>
      </c>
      <c r="AB32" s="12">
        <f t="shared" si="7"/>
        <v>4284</v>
      </c>
      <c r="AC32" s="12">
        <f t="shared" si="8"/>
        <v>4284</v>
      </c>
      <c r="AD32" s="13">
        <f t="shared" si="9"/>
        <v>0</v>
      </c>
      <c r="AE32" s="14">
        <f t="shared" si="10"/>
        <v>0</v>
      </c>
    </row>
    <row r="33" spans="1:31" ht="17.399999999999999">
      <c r="A33" s="15">
        <v>6375</v>
      </c>
      <c r="B33" s="15" t="s">
        <v>34</v>
      </c>
      <c r="C33" s="15">
        <v>21124</v>
      </c>
      <c r="D33" s="15" t="s">
        <v>55</v>
      </c>
      <c r="E33" s="16"/>
      <c r="F33" s="15" t="s">
        <v>97</v>
      </c>
      <c r="G33" s="15" t="s">
        <v>67</v>
      </c>
      <c r="H33" s="16"/>
      <c r="I33" s="15" t="s">
        <v>98</v>
      </c>
      <c r="J33" s="17" t="s">
        <v>76</v>
      </c>
      <c r="K33" s="17" t="s">
        <v>36</v>
      </c>
      <c r="L33" s="15"/>
      <c r="M33" s="21">
        <v>0</v>
      </c>
      <c r="N33" s="15"/>
      <c r="O33" s="15"/>
      <c r="P33" s="15">
        <v>8</v>
      </c>
      <c r="Q33" s="18" t="s">
        <v>32</v>
      </c>
      <c r="R33" s="12">
        <f t="shared" si="0"/>
        <v>1440</v>
      </c>
      <c r="S33" s="12">
        <f t="shared" si="1"/>
        <v>1007.9999999999999</v>
      </c>
      <c r="T33" s="15">
        <v>26</v>
      </c>
      <c r="U33" s="20" t="s">
        <v>33</v>
      </c>
      <c r="V33" s="14">
        <f t="shared" si="2"/>
        <v>4680</v>
      </c>
      <c r="W33" s="14">
        <f t="shared" si="3"/>
        <v>2808</v>
      </c>
      <c r="X33" s="14">
        <f t="shared" si="4"/>
        <v>3816</v>
      </c>
      <c r="Y33" s="14">
        <f t="shared" si="5"/>
        <v>6120</v>
      </c>
      <c r="Z33" s="19"/>
      <c r="AA33" s="12">
        <f t="shared" si="6"/>
        <v>3816</v>
      </c>
      <c r="AB33" s="12">
        <f t="shared" si="7"/>
        <v>3816</v>
      </c>
      <c r="AC33" s="12">
        <f t="shared" si="8"/>
        <v>3816</v>
      </c>
      <c r="AD33" s="13">
        <f t="shared" si="9"/>
        <v>0</v>
      </c>
      <c r="AE33" s="14">
        <f t="shared" si="10"/>
        <v>0</v>
      </c>
    </row>
    <row r="34" spans="1:31" ht="17.399999999999999">
      <c r="A34" s="15">
        <v>6776</v>
      </c>
      <c r="B34" s="15" t="s">
        <v>34</v>
      </c>
      <c r="C34" s="15">
        <v>20150</v>
      </c>
      <c r="D34" s="15" t="s">
        <v>55</v>
      </c>
      <c r="E34" s="16"/>
      <c r="F34" s="15" t="s">
        <v>83</v>
      </c>
      <c r="G34" s="15" t="s">
        <v>67</v>
      </c>
      <c r="H34" s="16"/>
      <c r="I34" s="15" t="s">
        <v>84</v>
      </c>
      <c r="J34" s="17" t="s">
        <v>76</v>
      </c>
      <c r="K34" s="17" t="s">
        <v>36</v>
      </c>
      <c r="L34" s="15"/>
      <c r="M34" s="21">
        <v>0</v>
      </c>
      <c r="N34" s="15"/>
      <c r="O34" s="15"/>
      <c r="P34" s="15">
        <v>0</v>
      </c>
      <c r="Q34" s="18" t="s">
        <v>32</v>
      </c>
      <c r="R34" s="12">
        <f t="shared" si="0"/>
        <v>0</v>
      </c>
      <c r="S34" s="12">
        <f t="shared" si="1"/>
        <v>0</v>
      </c>
      <c r="T34" s="15">
        <v>14</v>
      </c>
      <c r="U34" s="20" t="s">
        <v>33</v>
      </c>
      <c r="V34" s="14">
        <f t="shared" si="2"/>
        <v>2520</v>
      </c>
      <c r="W34" s="14">
        <f t="shared" si="3"/>
        <v>1512</v>
      </c>
      <c r="X34" s="14">
        <f t="shared" si="4"/>
        <v>1512</v>
      </c>
      <c r="Y34" s="14">
        <f t="shared" si="5"/>
        <v>2520</v>
      </c>
      <c r="Z34" s="19"/>
      <c r="AA34" s="12">
        <f t="shared" si="6"/>
        <v>1512</v>
      </c>
      <c r="AB34" s="12">
        <f t="shared" si="7"/>
        <v>1512</v>
      </c>
      <c r="AC34" s="12">
        <f t="shared" si="8"/>
        <v>1512</v>
      </c>
      <c r="AD34" s="13">
        <f t="shared" si="9"/>
        <v>0</v>
      </c>
      <c r="AE34" s="14">
        <f t="shared" si="10"/>
        <v>0</v>
      </c>
    </row>
    <row r="35" spans="1:31" ht="17.399999999999999">
      <c r="A35" s="15">
        <v>6999</v>
      </c>
      <c r="B35" s="15" t="s">
        <v>34</v>
      </c>
      <c r="C35" s="15">
        <v>21696</v>
      </c>
      <c r="D35" s="15" t="s">
        <v>55</v>
      </c>
      <c r="E35" s="16"/>
      <c r="F35" s="15" t="s">
        <v>114</v>
      </c>
      <c r="G35" s="15" t="s">
        <v>67</v>
      </c>
      <c r="H35" s="16"/>
      <c r="I35" s="15" t="s">
        <v>115</v>
      </c>
      <c r="J35" s="17" t="s">
        <v>76</v>
      </c>
      <c r="K35" s="17" t="s">
        <v>36</v>
      </c>
      <c r="L35" s="15"/>
      <c r="M35" s="22"/>
      <c r="N35" s="15"/>
      <c r="O35" s="15"/>
      <c r="P35" s="15">
        <v>17</v>
      </c>
      <c r="Q35" s="18" t="s">
        <v>32</v>
      </c>
      <c r="R35" s="12">
        <f t="shared" si="0"/>
        <v>3060</v>
      </c>
      <c r="S35" s="12">
        <f t="shared" si="1"/>
        <v>2142</v>
      </c>
      <c r="T35" s="15">
        <v>11</v>
      </c>
      <c r="U35" s="20" t="s">
        <v>33</v>
      </c>
      <c r="V35" s="14">
        <f t="shared" si="2"/>
        <v>1980</v>
      </c>
      <c r="W35" s="14">
        <f t="shared" si="3"/>
        <v>1188</v>
      </c>
      <c r="X35" s="14">
        <f t="shared" si="4"/>
        <v>3330</v>
      </c>
      <c r="Y35" s="14">
        <f t="shared" si="5"/>
        <v>5040</v>
      </c>
      <c r="Z35" s="19"/>
      <c r="AA35" s="12">
        <f t="shared" si="6"/>
        <v>3330</v>
      </c>
      <c r="AB35" s="12">
        <f t="shared" si="7"/>
        <v>3330</v>
      </c>
      <c r="AC35" s="12">
        <f t="shared" si="8"/>
        <v>3330</v>
      </c>
      <c r="AD35" s="13">
        <f t="shared" si="9"/>
        <v>0</v>
      </c>
      <c r="AE35" s="14">
        <f t="shared" si="10"/>
        <v>0</v>
      </c>
    </row>
    <row r="36" spans="1:31" ht="17.399999999999999">
      <c r="A36" s="15">
        <v>7458</v>
      </c>
      <c r="B36" s="15" t="s">
        <v>34</v>
      </c>
      <c r="C36" s="15">
        <v>21084</v>
      </c>
      <c r="D36" s="15" t="s">
        <v>55</v>
      </c>
      <c r="E36" s="16"/>
      <c r="F36" s="15" t="s">
        <v>103</v>
      </c>
      <c r="G36" s="15" t="s">
        <v>67</v>
      </c>
      <c r="H36" s="16"/>
      <c r="I36" s="15" t="s">
        <v>104</v>
      </c>
      <c r="J36" s="17" t="s">
        <v>76</v>
      </c>
      <c r="K36" s="17" t="s">
        <v>36</v>
      </c>
      <c r="L36" s="15"/>
      <c r="M36" s="21">
        <v>0</v>
      </c>
      <c r="N36" s="15"/>
      <c r="O36" s="15"/>
      <c r="P36" s="15">
        <v>5</v>
      </c>
      <c r="Q36" s="18" t="s">
        <v>32</v>
      </c>
      <c r="R36" s="12">
        <f t="shared" si="0"/>
        <v>900</v>
      </c>
      <c r="S36" s="12">
        <f t="shared" si="1"/>
        <v>630</v>
      </c>
      <c r="T36" s="15">
        <v>17</v>
      </c>
      <c r="U36" s="20" t="s">
        <v>33</v>
      </c>
      <c r="V36" s="14">
        <f t="shared" si="2"/>
        <v>3060</v>
      </c>
      <c r="W36" s="14">
        <f t="shared" si="3"/>
        <v>1836</v>
      </c>
      <c r="X36" s="14">
        <f t="shared" si="4"/>
        <v>2466</v>
      </c>
      <c r="Y36" s="14">
        <f t="shared" si="5"/>
        <v>3960</v>
      </c>
      <c r="Z36" s="19"/>
      <c r="AA36" s="12">
        <f t="shared" si="6"/>
        <v>2466</v>
      </c>
      <c r="AB36" s="12">
        <f t="shared" si="7"/>
        <v>2466</v>
      </c>
      <c r="AC36" s="12">
        <f t="shared" si="8"/>
        <v>2466</v>
      </c>
      <c r="AD36" s="13">
        <f t="shared" si="9"/>
        <v>0</v>
      </c>
      <c r="AE36" s="14">
        <f t="shared" si="10"/>
        <v>0</v>
      </c>
    </row>
    <row r="37" spans="1:31" ht="17.399999999999999">
      <c r="A37" s="15">
        <v>8833</v>
      </c>
      <c r="B37" s="15" t="s">
        <v>34</v>
      </c>
      <c r="C37" s="15">
        <v>21083</v>
      </c>
      <c r="D37" s="15" t="s">
        <v>55</v>
      </c>
      <c r="E37" s="16"/>
      <c r="F37" s="15" t="s">
        <v>101</v>
      </c>
      <c r="G37" s="15" t="s">
        <v>67</v>
      </c>
      <c r="H37" s="16"/>
      <c r="I37" s="15" t="s">
        <v>100</v>
      </c>
      <c r="J37" s="17" t="s">
        <v>76</v>
      </c>
      <c r="K37" s="17" t="s">
        <v>36</v>
      </c>
      <c r="L37" s="15"/>
      <c r="M37" s="21">
        <v>0</v>
      </c>
      <c r="N37" s="15"/>
      <c r="O37" s="15"/>
      <c r="P37" s="15">
        <v>10</v>
      </c>
      <c r="Q37" s="18" t="s">
        <v>32</v>
      </c>
      <c r="R37" s="12">
        <f t="shared" si="0"/>
        <v>1800</v>
      </c>
      <c r="S37" s="12">
        <f t="shared" si="1"/>
        <v>1260</v>
      </c>
      <c r="T37" s="15">
        <v>1</v>
      </c>
      <c r="U37" s="20" t="s">
        <v>33</v>
      </c>
      <c r="V37" s="14">
        <f t="shared" si="2"/>
        <v>180</v>
      </c>
      <c r="W37" s="14">
        <f t="shared" si="3"/>
        <v>108</v>
      </c>
      <c r="X37" s="14">
        <f t="shared" si="4"/>
        <v>1368</v>
      </c>
      <c r="Y37" s="14">
        <f t="shared" si="5"/>
        <v>1980</v>
      </c>
      <c r="Z37" s="19"/>
      <c r="AA37" s="12">
        <f t="shared" si="6"/>
        <v>1368</v>
      </c>
      <c r="AB37" s="12">
        <f t="shared" si="7"/>
        <v>1368</v>
      </c>
      <c r="AC37" s="12">
        <f t="shared" si="8"/>
        <v>1368</v>
      </c>
      <c r="AD37" s="13">
        <f t="shared" si="9"/>
        <v>0</v>
      </c>
      <c r="AE37" s="14">
        <f t="shared" si="10"/>
        <v>0</v>
      </c>
    </row>
    <row r="38" spans="1:31" ht="17.399999999999999">
      <c r="A38" s="15">
        <v>9919</v>
      </c>
      <c r="B38" s="15" t="s">
        <v>119</v>
      </c>
      <c r="C38" s="15">
        <v>14539</v>
      </c>
      <c r="D38" s="15" t="s">
        <v>35</v>
      </c>
      <c r="E38" s="16"/>
      <c r="F38" s="15" t="s">
        <v>39</v>
      </c>
      <c r="G38" s="15" t="s">
        <v>40</v>
      </c>
      <c r="H38" s="16"/>
      <c r="I38" s="15" t="s">
        <v>51</v>
      </c>
      <c r="J38" s="17" t="s">
        <v>122</v>
      </c>
      <c r="K38" s="17" t="s">
        <v>36</v>
      </c>
      <c r="L38" s="15"/>
      <c r="M38" s="21">
        <v>0</v>
      </c>
      <c r="N38" s="15"/>
      <c r="O38" s="15"/>
      <c r="P38" s="15">
        <v>0</v>
      </c>
      <c r="Q38" s="18" t="s">
        <v>37</v>
      </c>
      <c r="R38" s="12">
        <f t="shared" si="0"/>
        <v>0</v>
      </c>
      <c r="S38" s="12">
        <f t="shared" si="1"/>
        <v>0</v>
      </c>
      <c r="T38" s="15">
        <v>5</v>
      </c>
      <c r="U38" s="20" t="s">
        <v>38</v>
      </c>
      <c r="V38" s="14">
        <f t="shared" si="2"/>
        <v>900</v>
      </c>
      <c r="W38" s="14">
        <f t="shared" si="3"/>
        <v>378</v>
      </c>
      <c r="X38" s="14">
        <f t="shared" si="4"/>
        <v>378</v>
      </c>
      <c r="Y38" s="14">
        <f t="shared" si="5"/>
        <v>900</v>
      </c>
      <c r="Z38" s="19"/>
      <c r="AA38" s="12">
        <f t="shared" si="6"/>
        <v>378</v>
      </c>
      <c r="AB38" s="12">
        <f t="shared" si="7"/>
        <v>378</v>
      </c>
      <c r="AC38" s="12">
        <f t="shared" si="8"/>
        <v>378</v>
      </c>
      <c r="AD38" s="13">
        <f t="shared" si="9"/>
        <v>0</v>
      </c>
      <c r="AE38" s="14">
        <f t="shared" si="10"/>
        <v>0</v>
      </c>
    </row>
    <row r="39" spans="1:31" ht="17.399999999999999">
      <c r="A39" s="15">
        <v>10051</v>
      </c>
      <c r="B39" s="15" t="s">
        <v>34</v>
      </c>
      <c r="C39" s="15">
        <v>21063</v>
      </c>
      <c r="D39" s="15" t="s">
        <v>55</v>
      </c>
      <c r="E39" s="16"/>
      <c r="F39" s="15" t="s">
        <v>95</v>
      </c>
      <c r="G39" s="15" t="s">
        <v>67</v>
      </c>
      <c r="H39" s="16"/>
      <c r="I39" s="15" t="s">
        <v>96</v>
      </c>
      <c r="J39" s="17" t="s">
        <v>76</v>
      </c>
      <c r="K39" s="17" t="s">
        <v>36</v>
      </c>
      <c r="L39" s="15"/>
      <c r="M39" s="21">
        <v>0</v>
      </c>
      <c r="N39" s="15"/>
      <c r="O39" s="15"/>
      <c r="P39" s="15">
        <v>0</v>
      </c>
      <c r="Q39" s="18" t="s">
        <v>32</v>
      </c>
      <c r="R39" s="12">
        <f t="shared" si="0"/>
        <v>0</v>
      </c>
      <c r="S39" s="12">
        <f t="shared" si="1"/>
        <v>0</v>
      </c>
      <c r="T39" s="15">
        <v>4</v>
      </c>
      <c r="U39" s="20" t="s">
        <v>33</v>
      </c>
      <c r="V39" s="14">
        <f t="shared" si="2"/>
        <v>720</v>
      </c>
      <c r="W39" s="14">
        <f t="shared" si="3"/>
        <v>432</v>
      </c>
      <c r="X39" s="14">
        <f t="shared" si="4"/>
        <v>432</v>
      </c>
      <c r="Y39" s="14">
        <f t="shared" si="5"/>
        <v>720</v>
      </c>
      <c r="Z39" s="19"/>
      <c r="AA39" s="12">
        <f t="shared" si="6"/>
        <v>432</v>
      </c>
      <c r="AB39" s="12">
        <f t="shared" si="7"/>
        <v>432</v>
      </c>
      <c r="AC39" s="12">
        <f t="shared" si="8"/>
        <v>432</v>
      </c>
      <c r="AD39" s="13">
        <f t="shared" si="9"/>
        <v>0</v>
      </c>
      <c r="AE39" s="14">
        <f t="shared" si="10"/>
        <v>0</v>
      </c>
    </row>
    <row r="40" spans="1:31" ht="17.399999999999999">
      <c r="A40" s="15">
        <v>10083</v>
      </c>
      <c r="B40" s="15" t="s">
        <v>120</v>
      </c>
      <c r="C40" s="15">
        <v>19294</v>
      </c>
      <c r="D40" s="15" t="s">
        <v>55</v>
      </c>
      <c r="E40" s="16"/>
      <c r="F40" s="15" t="s">
        <v>70</v>
      </c>
      <c r="G40" s="15" t="s">
        <v>71</v>
      </c>
      <c r="H40" s="16"/>
      <c r="I40" s="15" t="s">
        <v>72</v>
      </c>
      <c r="J40" s="17" t="s">
        <v>121</v>
      </c>
      <c r="K40" s="17" t="s">
        <v>36</v>
      </c>
      <c r="L40" s="15"/>
      <c r="M40" s="21">
        <v>0</v>
      </c>
      <c r="N40" s="15"/>
      <c r="O40" s="15"/>
      <c r="P40" s="15">
        <v>0</v>
      </c>
      <c r="Q40" s="18" t="s">
        <v>32</v>
      </c>
      <c r="R40" s="12">
        <f t="shared" si="0"/>
        <v>0</v>
      </c>
      <c r="S40" s="12">
        <f t="shared" si="1"/>
        <v>0</v>
      </c>
      <c r="T40" s="15">
        <v>2</v>
      </c>
      <c r="U40" s="20" t="s">
        <v>33</v>
      </c>
      <c r="V40" s="14">
        <f t="shared" si="2"/>
        <v>360</v>
      </c>
      <c r="W40" s="14">
        <f t="shared" si="3"/>
        <v>216</v>
      </c>
      <c r="X40" s="14">
        <f t="shared" si="4"/>
        <v>216</v>
      </c>
      <c r="Y40" s="14">
        <f t="shared" si="5"/>
        <v>360</v>
      </c>
      <c r="Z40" s="19"/>
      <c r="AA40" s="12">
        <f t="shared" si="6"/>
        <v>216</v>
      </c>
      <c r="AB40" s="12">
        <f t="shared" si="7"/>
        <v>216</v>
      </c>
      <c r="AC40" s="12">
        <f t="shared" si="8"/>
        <v>216</v>
      </c>
      <c r="AD40" s="13">
        <f t="shared" si="9"/>
        <v>0</v>
      </c>
      <c r="AE40" s="14">
        <f t="shared" si="10"/>
        <v>0</v>
      </c>
    </row>
    <row r="41" spans="1:31" ht="17.399999999999999">
      <c r="A41" s="15">
        <v>10925</v>
      </c>
      <c r="B41" s="15" t="s">
        <v>117</v>
      </c>
      <c r="C41" s="15">
        <v>14529</v>
      </c>
      <c r="D41" s="15" t="s">
        <v>35</v>
      </c>
      <c r="E41" s="16"/>
      <c r="F41" s="15" t="s">
        <v>42</v>
      </c>
      <c r="G41" s="15" t="s">
        <v>40</v>
      </c>
      <c r="H41" s="16"/>
      <c r="I41" s="15" t="s">
        <v>43</v>
      </c>
      <c r="J41" s="17" t="s">
        <v>121</v>
      </c>
      <c r="K41" s="17" t="s">
        <v>36</v>
      </c>
      <c r="L41" s="15"/>
      <c r="M41" s="21">
        <v>0</v>
      </c>
      <c r="N41" s="15"/>
      <c r="O41" s="15"/>
      <c r="P41" s="15">
        <v>0</v>
      </c>
      <c r="Q41" s="18" t="s">
        <v>37</v>
      </c>
      <c r="R41" s="12">
        <f t="shared" si="0"/>
        <v>0</v>
      </c>
      <c r="S41" s="12">
        <f t="shared" si="1"/>
        <v>0</v>
      </c>
      <c r="T41" s="15">
        <v>2</v>
      </c>
      <c r="U41" s="20" t="s">
        <v>38</v>
      </c>
      <c r="V41" s="14">
        <f t="shared" si="2"/>
        <v>360</v>
      </c>
      <c r="W41" s="14">
        <f t="shared" si="3"/>
        <v>151.19999999999999</v>
      </c>
      <c r="X41" s="14">
        <f t="shared" si="4"/>
        <v>151.19999999999999</v>
      </c>
      <c r="Y41" s="14">
        <f t="shared" si="5"/>
        <v>360</v>
      </c>
      <c r="Z41" s="19"/>
      <c r="AA41" s="12">
        <f t="shared" si="6"/>
        <v>151.19999999999999</v>
      </c>
      <c r="AB41" s="12">
        <f t="shared" si="7"/>
        <v>151.19999999999999</v>
      </c>
      <c r="AC41" s="12">
        <f t="shared" si="8"/>
        <v>151</v>
      </c>
      <c r="AD41" s="13">
        <f t="shared" si="9"/>
        <v>0</v>
      </c>
      <c r="AE41" s="14">
        <f t="shared" si="10"/>
        <v>0</v>
      </c>
    </row>
    <row r="42" spans="1:31" ht="17.399999999999999">
      <c r="A42" s="15">
        <v>11120</v>
      </c>
      <c r="B42" s="15" t="s">
        <v>34</v>
      </c>
      <c r="C42" s="15">
        <v>21081</v>
      </c>
      <c r="D42" s="15" t="s">
        <v>55</v>
      </c>
      <c r="E42" s="16"/>
      <c r="F42" s="15" t="s">
        <v>93</v>
      </c>
      <c r="G42" s="15" t="s">
        <v>67</v>
      </c>
      <c r="H42" s="16"/>
      <c r="I42" s="15" t="s">
        <v>94</v>
      </c>
      <c r="J42" s="17" t="s">
        <v>76</v>
      </c>
      <c r="K42" s="17" t="s">
        <v>36</v>
      </c>
      <c r="L42" s="15"/>
      <c r="M42" s="21">
        <v>0</v>
      </c>
      <c r="N42" s="15"/>
      <c r="O42" s="15"/>
      <c r="P42" s="15">
        <v>0</v>
      </c>
      <c r="Q42" s="18" t="s">
        <v>32</v>
      </c>
      <c r="R42" s="12">
        <f t="shared" si="0"/>
        <v>0</v>
      </c>
      <c r="S42" s="12">
        <f t="shared" si="1"/>
        <v>0</v>
      </c>
      <c r="T42" s="15">
        <v>1</v>
      </c>
      <c r="U42" s="20" t="s">
        <v>33</v>
      </c>
      <c r="V42" s="14">
        <f t="shared" si="2"/>
        <v>180</v>
      </c>
      <c r="W42" s="14">
        <f t="shared" si="3"/>
        <v>108</v>
      </c>
      <c r="X42" s="14">
        <f t="shared" si="4"/>
        <v>108</v>
      </c>
      <c r="Y42" s="14">
        <f t="shared" si="5"/>
        <v>180</v>
      </c>
      <c r="Z42" s="19"/>
      <c r="AA42" s="12">
        <f t="shared" si="6"/>
        <v>108</v>
      </c>
      <c r="AB42" s="12">
        <f t="shared" si="7"/>
        <v>108</v>
      </c>
      <c r="AC42" s="12">
        <f t="shared" si="8"/>
        <v>108</v>
      </c>
      <c r="AD42" s="13">
        <f t="shared" si="9"/>
        <v>0</v>
      </c>
      <c r="AE42" s="14">
        <f t="shared" si="10"/>
        <v>0</v>
      </c>
    </row>
    <row r="43" spans="1:31">
      <c r="AC43" s="23">
        <f>SUBTOTAL(9,AC2:AC42)</f>
        <v>829522</v>
      </c>
    </row>
  </sheetData>
  <phoneticPr fontId="4" type="noConversion"/>
  <pageMargins left="0.75" right="0.75" top="1" bottom="1" header="0.5" footer="0.5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36"/>
  <sheetViews>
    <sheetView topLeftCell="G2" zoomScale="66" zoomScaleNormal="66" workbookViewId="0">
      <selection activeCell="AC36" sqref="AC36"/>
    </sheetView>
  </sheetViews>
  <sheetFormatPr defaultRowHeight="17.399999999999999"/>
  <cols>
    <col min="1" max="1" width="5.8984375" bestFit="1" customWidth="1"/>
    <col min="2" max="2" width="5" bestFit="1" customWidth="1"/>
    <col min="3" max="3" width="7.69921875" bestFit="1" customWidth="1"/>
    <col min="4" max="4" width="9.8984375" bestFit="1" customWidth="1"/>
    <col min="5" max="5" width="5" bestFit="1" customWidth="1"/>
    <col min="6" max="6" width="35.09765625" bestFit="1" customWidth="1"/>
    <col min="7" max="7" width="20.19921875" bestFit="1" customWidth="1"/>
    <col min="8" max="8" width="4.09765625" bestFit="1" customWidth="1"/>
    <col min="9" max="9" width="11.69921875" bestFit="1" customWidth="1"/>
    <col min="10" max="10" width="10.3984375" bestFit="1" customWidth="1"/>
    <col min="11" max="12" width="5" bestFit="1" customWidth="1"/>
    <col min="13" max="13" width="13.3984375" bestFit="1" customWidth="1"/>
    <col min="14" max="15" width="9.5" bestFit="1" customWidth="1"/>
    <col min="16" max="16" width="10.3984375" bestFit="1" customWidth="1"/>
    <col min="17" max="17" width="8.59765625" bestFit="1" customWidth="1"/>
    <col min="18" max="18" width="9.5" bestFit="1" customWidth="1"/>
    <col min="19" max="19" width="8.59765625" bestFit="1" customWidth="1"/>
    <col min="20" max="20" width="10.3984375" bestFit="1" customWidth="1"/>
    <col min="21" max="21" width="8.59765625" bestFit="1" customWidth="1"/>
    <col min="22" max="22" width="9.5" bestFit="1" customWidth="1"/>
    <col min="23" max="23" width="8.59765625" bestFit="1" customWidth="1"/>
    <col min="24" max="24" width="13.3984375" bestFit="1" customWidth="1"/>
    <col min="25" max="25" width="9.5" bestFit="1" customWidth="1"/>
    <col min="26" max="26" width="7.69921875" bestFit="1" customWidth="1"/>
    <col min="27" max="28" width="9.5" bestFit="1" customWidth="1"/>
    <col min="29" max="29" width="16.59765625" bestFit="1" customWidth="1"/>
    <col min="30" max="30" width="10.3984375" bestFit="1" customWidth="1"/>
    <col min="31" max="31" width="13.3984375" bestFit="1" customWidth="1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>
      <c r="A2" s="15">
        <v>1103</v>
      </c>
      <c r="B2" s="15" t="s">
        <v>34</v>
      </c>
      <c r="C2" s="15">
        <v>20472</v>
      </c>
      <c r="D2" s="15" t="s">
        <v>55</v>
      </c>
      <c r="E2" s="16"/>
      <c r="F2" s="15" t="s">
        <v>88</v>
      </c>
      <c r="G2" s="15" t="s">
        <v>67</v>
      </c>
      <c r="H2" s="16"/>
      <c r="I2" s="15" t="s">
        <v>86</v>
      </c>
      <c r="J2" s="17" t="s">
        <v>76</v>
      </c>
      <c r="K2" s="15" t="s">
        <v>34</v>
      </c>
      <c r="L2" s="15"/>
      <c r="M2" s="21">
        <v>0</v>
      </c>
      <c r="N2" s="15"/>
      <c r="O2" s="15"/>
      <c r="P2" s="15">
        <v>414</v>
      </c>
      <c r="Q2" s="18" t="s">
        <v>32</v>
      </c>
      <c r="R2" s="12">
        <v>74520</v>
      </c>
      <c r="S2" s="12">
        <v>52164</v>
      </c>
      <c r="T2" s="15">
        <v>847</v>
      </c>
      <c r="U2" s="20" t="s">
        <v>33</v>
      </c>
      <c r="V2" s="14">
        <v>152460</v>
      </c>
      <c r="W2" s="14">
        <v>91476</v>
      </c>
      <c r="X2" s="14">
        <v>143640</v>
      </c>
      <c r="Y2" s="14">
        <v>226980</v>
      </c>
      <c r="Z2" s="19"/>
      <c r="AA2" s="12">
        <v>143640</v>
      </c>
      <c r="AB2" s="12">
        <v>143640</v>
      </c>
      <c r="AC2" s="12">
        <v>143640</v>
      </c>
      <c r="AD2" s="13">
        <v>0</v>
      </c>
      <c r="AE2" s="14">
        <v>0</v>
      </c>
    </row>
    <row r="3" spans="1:31">
      <c r="A3" s="15">
        <v>1132</v>
      </c>
      <c r="B3" s="15" t="s">
        <v>34</v>
      </c>
      <c r="C3" s="15">
        <v>17911</v>
      </c>
      <c r="D3" s="15" t="s">
        <v>55</v>
      </c>
      <c r="E3" s="16"/>
      <c r="F3" s="15" t="s">
        <v>79</v>
      </c>
      <c r="G3" s="15" t="s">
        <v>67</v>
      </c>
      <c r="H3" s="16"/>
      <c r="I3" s="15" t="s">
        <v>80</v>
      </c>
      <c r="J3" s="17" t="s">
        <v>76</v>
      </c>
      <c r="K3" s="15" t="s">
        <v>34</v>
      </c>
      <c r="L3" s="15"/>
      <c r="M3" s="21">
        <v>0</v>
      </c>
      <c r="N3" s="15"/>
      <c r="O3" s="15"/>
      <c r="P3" s="15">
        <v>602</v>
      </c>
      <c r="Q3" s="18" t="s">
        <v>32</v>
      </c>
      <c r="R3" s="12">
        <v>108360</v>
      </c>
      <c r="S3" s="12">
        <v>75852</v>
      </c>
      <c r="T3" s="15">
        <v>650</v>
      </c>
      <c r="U3" s="20" t="s">
        <v>33</v>
      </c>
      <c r="V3" s="14">
        <v>117000</v>
      </c>
      <c r="W3" s="14">
        <v>70200</v>
      </c>
      <c r="X3" s="14">
        <v>146052</v>
      </c>
      <c r="Y3" s="14">
        <v>225360</v>
      </c>
      <c r="Z3" s="19"/>
      <c r="AA3" s="12">
        <v>146052</v>
      </c>
      <c r="AB3" s="12">
        <v>146052</v>
      </c>
      <c r="AC3" s="12">
        <v>146052</v>
      </c>
      <c r="AD3" s="13">
        <v>0</v>
      </c>
      <c r="AE3" s="14">
        <v>0</v>
      </c>
    </row>
    <row r="4" spans="1:31">
      <c r="A4" s="15">
        <v>1593</v>
      </c>
      <c r="B4" s="15" t="s">
        <v>34</v>
      </c>
      <c r="C4" s="15">
        <v>21469</v>
      </c>
      <c r="D4" s="15" t="s">
        <v>55</v>
      </c>
      <c r="E4" s="16"/>
      <c r="F4" s="15" t="s">
        <v>108</v>
      </c>
      <c r="G4" s="15" t="s">
        <v>67</v>
      </c>
      <c r="H4" s="16"/>
      <c r="I4" s="15" t="s">
        <v>107</v>
      </c>
      <c r="J4" s="17" t="s">
        <v>76</v>
      </c>
      <c r="K4" s="15" t="s">
        <v>34</v>
      </c>
      <c r="L4" s="15"/>
      <c r="M4" s="22"/>
      <c r="N4" s="15"/>
      <c r="O4" s="15"/>
      <c r="P4" s="15">
        <v>356</v>
      </c>
      <c r="Q4" s="18" t="s">
        <v>32</v>
      </c>
      <c r="R4" s="12">
        <v>64080</v>
      </c>
      <c r="S4" s="12">
        <v>44856</v>
      </c>
      <c r="T4" s="15">
        <v>212</v>
      </c>
      <c r="U4" s="20" t="s">
        <v>33</v>
      </c>
      <c r="V4" s="14">
        <v>38160</v>
      </c>
      <c r="W4" s="14">
        <v>22896</v>
      </c>
      <c r="X4" s="14">
        <v>67752</v>
      </c>
      <c r="Y4" s="14">
        <v>102240</v>
      </c>
      <c r="Z4" s="19"/>
      <c r="AA4" s="12">
        <v>67752</v>
      </c>
      <c r="AB4" s="12">
        <v>67752</v>
      </c>
      <c r="AC4" s="12">
        <v>67752</v>
      </c>
      <c r="AD4" s="13">
        <v>0</v>
      </c>
      <c r="AE4" s="14">
        <v>0</v>
      </c>
    </row>
    <row r="5" spans="1:31">
      <c r="A5" s="15">
        <v>1985</v>
      </c>
      <c r="B5" s="15" t="s">
        <v>34</v>
      </c>
      <c r="C5" s="15">
        <v>21589</v>
      </c>
      <c r="D5" s="15" t="s">
        <v>55</v>
      </c>
      <c r="E5" s="16"/>
      <c r="F5" s="15" t="s">
        <v>109</v>
      </c>
      <c r="G5" s="15" t="s">
        <v>67</v>
      </c>
      <c r="H5" s="16"/>
      <c r="I5" s="15" t="s">
        <v>87</v>
      </c>
      <c r="J5" s="17" t="s">
        <v>76</v>
      </c>
      <c r="K5" s="15" t="s">
        <v>34</v>
      </c>
      <c r="L5" s="15"/>
      <c r="M5" s="22"/>
      <c r="N5" s="15"/>
      <c r="O5" s="15"/>
      <c r="P5" s="15">
        <v>176</v>
      </c>
      <c r="Q5" s="18" t="s">
        <v>32</v>
      </c>
      <c r="R5" s="12">
        <v>31680</v>
      </c>
      <c r="S5" s="12">
        <v>22176</v>
      </c>
      <c r="T5" s="15">
        <v>226</v>
      </c>
      <c r="U5" s="20" t="s">
        <v>33</v>
      </c>
      <c r="V5" s="14">
        <v>40680</v>
      </c>
      <c r="W5" s="14">
        <v>24408</v>
      </c>
      <c r="X5" s="14">
        <v>46584</v>
      </c>
      <c r="Y5" s="14">
        <v>72360</v>
      </c>
      <c r="Z5" s="19"/>
      <c r="AA5" s="12">
        <v>46584</v>
      </c>
      <c r="AB5" s="12">
        <v>46584</v>
      </c>
      <c r="AC5" s="12">
        <v>46584</v>
      </c>
      <c r="AD5" s="13">
        <v>0</v>
      </c>
      <c r="AE5" s="14">
        <v>0</v>
      </c>
    </row>
    <row r="6" spans="1:31">
      <c r="A6" s="15">
        <v>2011</v>
      </c>
      <c r="B6" s="15" t="s">
        <v>34</v>
      </c>
      <c r="C6" s="15">
        <v>21514</v>
      </c>
      <c r="D6" s="15" t="s">
        <v>55</v>
      </c>
      <c r="E6" s="16"/>
      <c r="F6" s="15" t="s">
        <v>110</v>
      </c>
      <c r="G6" s="15" t="s">
        <v>67</v>
      </c>
      <c r="H6" s="16"/>
      <c r="I6" s="15" t="s">
        <v>111</v>
      </c>
      <c r="J6" s="17" t="s">
        <v>76</v>
      </c>
      <c r="K6" s="15" t="s">
        <v>34</v>
      </c>
      <c r="L6" s="15"/>
      <c r="M6" s="22"/>
      <c r="N6" s="15"/>
      <c r="O6" s="15"/>
      <c r="P6" s="15">
        <v>252</v>
      </c>
      <c r="Q6" s="18" t="s">
        <v>32</v>
      </c>
      <c r="R6" s="12">
        <v>45360</v>
      </c>
      <c r="S6" s="12">
        <v>31751.999999999996</v>
      </c>
      <c r="T6" s="15">
        <v>146</v>
      </c>
      <c r="U6" s="20" t="s">
        <v>33</v>
      </c>
      <c r="V6" s="14">
        <v>26280</v>
      </c>
      <c r="W6" s="14">
        <v>15768</v>
      </c>
      <c r="X6" s="14">
        <v>47520</v>
      </c>
      <c r="Y6" s="14">
        <v>71640</v>
      </c>
      <c r="Z6" s="19"/>
      <c r="AA6" s="12">
        <v>47520</v>
      </c>
      <c r="AB6" s="12">
        <v>47520</v>
      </c>
      <c r="AC6" s="12">
        <v>47520</v>
      </c>
      <c r="AD6" s="13">
        <v>0</v>
      </c>
      <c r="AE6" s="14">
        <v>0</v>
      </c>
    </row>
    <row r="7" spans="1:31">
      <c r="A7" s="15">
        <v>2222</v>
      </c>
      <c r="B7" s="15" t="s">
        <v>34</v>
      </c>
      <c r="C7" s="15">
        <v>21695</v>
      </c>
      <c r="D7" s="15" t="s">
        <v>55</v>
      </c>
      <c r="E7" s="16"/>
      <c r="F7" s="15" t="s">
        <v>112</v>
      </c>
      <c r="G7" s="15" t="s">
        <v>67</v>
      </c>
      <c r="H7" s="16"/>
      <c r="I7" s="15" t="s">
        <v>106</v>
      </c>
      <c r="J7" s="17" t="s">
        <v>76</v>
      </c>
      <c r="K7" s="15" t="s">
        <v>34</v>
      </c>
      <c r="L7" s="15"/>
      <c r="M7" s="22"/>
      <c r="N7" s="15"/>
      <c r="O7" s="15"/>
      <c r="P7" s="15">
        <v>149</v>
      </c>
      <c r="Q7" s="18" t="s">
        <v>32</v>
      </c>
      <c r="R7" s="12">
        <v>26820</v>
      </c>
      <c r="S7" s="12">
        <v>18774</v>
      </c>
      <c r="T7" s="15">
        <v>176</v>
      </c>
      <c r="U7" s="20" t="s">
        <v>33</v>
      </c>
      <c r="V7" s="14">
        <v>31680</v>
      </c>
      <c r="W7" s="14">
        <v>19008</v>
      </c>
      <c r="X7" s="14">
        <v>37782</v>
      </c>
      <c r="Y7" s="14">
        <v>58500</v>
      </c>
      <c r="Z7" s="19"/>
      <c r="AA7" s="12">
        <v>37782</v>
      </c>
      <c r="AB7" s="12">
        <v>37782</v>
      </c>
      <c r="AC7" s="12">
        <v>37782</v>
      </c>
      <c r="AD7" s="13">
        <v>0</v>
      </c>
      <c r="AE7" s="14">
        <v>0</v>
      </c>
    </row>
    <row r="8" spans="1:31">
      <c r="A8" s="15">
        <v>2414</v>
      </c>
      <c r="B8" s="15" t="s">
        <v>34</v>
      </c>
      <c r="C8" s="15">
        <v>19290</v>
      </c>
      <c r="D8" s="15" t="s">
        <v>55</v>
      </c>
      <c r="E8" s="16"/>
      <c r="F8" s="15" t="s">
        <v>69</v>
      </c>
      <c r="G8" s="15" t="s">
        <v>67</v>
      </c>
      <c r="H8" s="16"/>
      <c r="I8" s="15" t="s">
        <v>87</v>
      </c>
      <c r="J8" s="17" t="s">
        <v>76</v>
      </c>
      <c r="K8" s="15" t="s">
        <v>34</v>
      </c>
      <c r="L8" s="15"/>
      <c r="M8" s="21">
        <v>0</v>
      </c>
      <c r="N8" s="15"/>
      <c r="O8" s="15"/>
      <c r="P8" s="15">
        <v>145</v>
      </c>
      <c r="Q8" s="18" t="s">
        <v>32</v>
      </c>
      <c r="R8" s="12">
        <v>26100</v>
      </c>
      <c r="S8" s="12">
        <v>18270</v>
      </c>
      <c r="T8" s="15">
        <v>131</v>
      </c>
      <c r="U8" s="20" t="s">
        <v>33</v>
      </c>
      <c r="V8" s="14">
        <v>23580</v>
      </c>
      <c r="W8" s="14">
        <v>14148</v>
      </c>
      <c r="X8" s="14">
        <v>32418</v>
      </c>
      <c r="Y8" s="14">
        <v>49680</v>
      </c>
      <c r="Z8" s="19"/>
      <c r="AA8" s="12">
        <v>32418</v>
      </c>
      <c r="AB8" s="12">
        <v>32418</v>
      </c>
      <c r="AC8" s="12">
        <v>32418</v>
      </c>
      <c r="AD8" s="13">
        <v>0</v>
      </c>
      <c r="AE8" s="14">
        <v>0</v>
      </c>
    </row>
    <row r="9" spans="1:31">
      <c r="A9" s="15">
        <v>2797</v>
      </c>
      <c r="B9" s="15" t="s">
        <v>34</v>
      </c>
      <c r="C9" s="15">
        <v>17015</v>
      </c>
      <c r="D9" s="15" t="s">
        <v>55</v>
      </c>
      <c r="E9" s="16"/>
      <c r="F9" s="15" t="s">
        <v>60</v>
      </c>
      <c r="G9" s="15" t="s">
        <v>67</v>
      </c>
      <c r="H9" s="16"/>
      <c r="I9" s="15" t="s">
        <v>61</v>
      </c>
      <c r="J9" s="17" t="s">
        <v>76</v>
      </c>
      <c r="K9" s="15" t="s">
        <v>34</v>
      </c>
      <c r="L9" s="15"/>
      <c r="M9" s="21">
        <v>0</v>
      </c>
      <c r="N9" s="15"/>
      <c r="O9" s="15"/>
      <c r="P9" s="15">
        <v>48</v>
      </c>
      <c r="Q9" s="18" t="s">
        <v>32</v>
      </c>
      <c r="R9" s="12">
        <v>8640</v>
      </c>
      <c r="S9" s="12">
        <v>6048</v>
      </c>
      <c r="T9" s="15">
        <v>148</v>
      </c>
      <c r="U9" s="20" t="s">
        <v>33</v>
      </c>
      <c r="V9" s="14">
        <v>26640</v>
      </c>
      <c r="W9" s="14">
        <v>15984</v>
      </c>
      <c r="X9" s="14">
        <v>22032</v>
      </c>
      <c r="Y9" s="14">
        <v>35280</v>
      </c>
      <c r="Z9" s="19"/>
      <c r="AA9" s="12">
        <v>22032</v>
      </c>
      <c r="AB9" s="12">
        <v>22032</v>
      </c>
      <c r="AC9" s="12">
        <v>22032</v>
      </c>
      <c r="AD9" s="13">
        <v>0</v>
      </c>
      <c r="AE9" s="14">
        <v>0</v>
      </c>
    </row>
    <row r="10" spans="1:31">
      <c r="A10" s="15">
        <v>2905</v>
      </c>
      <c r="B10" s="15" t="s">
        <v>34</v>
      </c>
      <c r="C10" s="15">
        <v>18944</v>
      </c>
      <c r="D10" s="15" t="s">
        <v>55</v>
      </c>
      <c r="E10" s="16"/>
      <c r="F10" s="15" t="s">
        <v>56</v>
      </c>
      <c r="G10" s="15" t="s">
        <v>67</v>
      </c>
      <c r="H10" s="16"/>
      <c r="I10" s="15" t="s">
        <v>57</v>
      </c>
      <c r="J10" s="17" t="s">
        <v>76</v>
      </c>
      <c r="K10" s="15" t="s">
        <v>34</v>
      </c>
      <c r="L10" s="15"/>
      <c r="M10" s="21">
        <v>0</v>
      </c>
      <c r="N10" s="15"/>
      <c r="O10" s="15"/>
      <c r="P10" s="15">
        <v>94</v>
      </c>
      <c r="Q10" s="18" t="s">
        <v>32</v>
      </c>
      <c r="R10" s="12">
        <v>16920</v>
      </c>
      <c r="S10" s="12">
        <v>11844</v>
      </c>
      <c r="T10" s="15">
        <v>139</v>
      </c>
      <c r="U10" s="20" t="s">
        <v>33</v>
      </c>
      <c r="V10" s="14">
        <v>25020</v>
      </c>
      <c r="W10" s="14">
        <v>15012</v>
      </c>
      <c r="X10" s="14">
        <v>26856</v>
      </c>
      <c r="Y10" s="14">
        <v>41940</v>
      </c>
      <c r="Z10" s="19"/>
      <c r="AA10" s="12">
        <v>26856</v>
      </c>
      <c r="AB10" s="12">
        <v>26856</v>
      </c>
      <c r="AC10" s="12">
        <v>26856</v>
      </c>
      <c r="AD10" s="13">
        <v>0</v>
      </c>
      <c r="AE10" s="14">
        <v>0</v>
      </c>
    </row>
    <row r="11" spans="1:31">
      <c r="A11" s="15">
        <v>3227</v>
      </c>
      <c r="B11" s="15" t="s">
        <v>34</v>
      </c>
      <c r="C11" s="15">
        <v>17408</v>
      </c>
      <c r="D11" s="15" t="s">
        <v>55</v>
      </c>
      <c r="E11" s="16"/>
      <c r="F11" s="15" t="s">
        <v>62</v>
      </c>
      <c r="G11" s="15" t="s">
        <v>67</v>
      </c>
      <c r="H11" s="16"/>
      <c r="I11" s="15" t="s">
        <v>63</v>
      </c>
      <c r="J11" s="17" t="s">
        <v>76</v>
      </c>
      <c r="K11" s="15" t="s">
        <v>34</v>
      </c>
      <c r="L11" s="15"/>
      <c r="M11" s="21">
        <v>0</v>
      </c>
      <c r="N11" s="15"/>
      <c r="O11" s="15"/>
      <c r="P11" s="15">
        <v>67</v>
      </c>
      <c r="Q11" s="18" t="s">
        <v>32</v>
      </c>
      <c r="R11" s="12">
        <v>12060</v>
      </c>
      <c r="S11" s="12">
        <v>8442</v>
      </c>
      <c r="T11" s="15">
        <v>59</v>
      </c>
      <c r="U11" s="20" t="s">
        <v>33</v>
      </c>
      <c r="V11" s="14">
        <v>10620</v>
      </c>
      <c r="W11" s="14">
        <v>6372</v>
      </c>
      <c r="X11" s="14">
        <v>14814</v>
      </c>
      <c r="Y11" s="14">
        <v>22680</v>
      </c>
      <c r="Z11" s="19"/>
      <c r="AA11" s="12">
        <v>14814</v>
      </c>
      <c r="AB11" s="12">
        <v>14814</v>
      </c>
      <c r="AC11" s="12">
        <v>14814</v>
      </c>
      <c r="AD11" s="13">
        <v>0</v>
      </c>
      <c r="AE11" s="14">
        <v>0</v>
      </c>
    </row>
    <row r="12" spans="1:31">
      <c r="A12" s="15">
        <v>3558</v>
      </c>
      <c r="B12" s="15" t="s">
        <v>34</v>
      </c>
      <c r="C12" s="15">
        <v>21078</v>
      </c>
      <c r="D12" s="15" t="s">
        <v>55</v>
      </c>
      <c r="E12" s="16"/>
      <c r="F12" s="15" t="s">
        <v>89</v>
      </c>
      <c r="G12" s="15" t="s">
        <v>67</v>
      </c>
      <c r="H12" s="16"/>
      <c r="I12" s="15" t="s">
        <v>90</v>
      </c>
      <c r="J12" s="17" t="s">
        <v>76</v>
      </c>
      <c r="K12" s="15" t="s">
        <v>34</v>
      </c>
      <c r="L12" s="15"/>
      <c r="M12" s="21">
        <v>0</v>
      </c>
      <c r="N12" s="15"/>
      <c r="O12" s="15"/>
      <c r="P12" s="15">
        <v>70</v>
      </c>
      <c r="Q12" s="18" t="s">
        <v>32</v>
      </c>
      <c r="R12" s="12">
        <v>12600</v>
      </c>
      <c r="S12" s="12">
        <v>8820</v>
      </c>
      <c r="T12" s="15">
        <v>38</v>
      </c>
      <c r="U12" s="20" t="s">
        <v>33</v>
      </c>
      <c r="V12" s="14">
        <v>6840</v>
      </c>
      <c r="W12" s="14">
        <v>4104</v>
      </c>
      <c r="X12" s="14">
        <v>12924</v>
      </c>
      <c r="Y12" s="14">
        <v>19440</v>
      </c>
      <c r="Z12" s="19"/>
      <c r="AA12" s="12">
        <v>12924</v>
      </c>
      <c r="AB12" s="12">
        <v>12924</v>
      </c>
      <c r="AC12" s="12">
        <v>12924</v>
      </c>
      <c r="AD12" s="13">
        <v>0</v>
      </c>
      <c r="AE12" s="14">
        <v>0</v>
      </c>
    </row>
    <row r="13" spans="1:31">
      <c r="A13" s="15">
        <v>3576</v>
      </c>
      <c r="B13" s="15" t="s">
        <v>34</v>
      </c>
      <c r="C13" s="15">
        <v>21039</v>
      </c>
      <c r="D13" s="15" t="s">
        <v>55</v>
      </c>
      <c r="E13" s="16"/>
      <c r="F13" s="15" t="s">
        <v>105</v>
      </c>
      <c r="G13" s="15" t="s">
        <v>67</v>
      </c>
      <c r="H13" s="16"/>
      <c r="I13" s="15" t="s">
        <v>106</v>
      </c>
      <c r="J13" s="17" t="s">
        <v>76</v>
      </c>
      <c r="K13" s="15" t="s">
        <v>34</v>
      </c>
      <c r="L13" s="15"/>
      <c r="M13" s="21">
        <v>0</v>
      </c>
      <c r="N13" s="15"/>
      <c r="O13" s="15"/>
      <c r="P13" s="15">
        <v>81</v>
      </c>
      <c r="Q13" s="18" t="s">
        <v>32</v>
      </c>
      <c r="R13" s="12">
        <v>14580</v>
      </c>
      <c r="S13" s="12">
        <v>10206</v>
      </c>
      <c r="T13" s="15">
        <v>74</v>
      </c>
      <c r="U13" s="20" t="s">
        <v>33</v>
      </c>
      <c r="V13" s="14">
        <v>13320</v>
      </c>
      <c r="W13" s="14">
        <v>7992</v>
      </c>
      <c r="X13" s="14">
        <v>18198</v>
      </c>
      <c r="Y13" s="14">
        <v>27900</v>
      </c>
      <c r="Z13" s="19"/>
      <c r="AA13" s="12">
        <v>18198</v>
      </c>
      <c r="AB13" s="12">
        <v>18198</v>
      </c>
      <c r="AC13" s="12">
        <v>18198</v>
      </c>
      <c r="AD13" s="13">
        <v>0</v>
      </c>
      <c r="AE13" s="14">
        <v>0</v>
      </c>
    </row>
    <row r="14" spans="1:31">
      <c r="A14" s="15">
        <v>3637</v>
      </c>
      <c r="B14" s="15" t="s">
        <v>34</v>
      </c>
      <c r="C14" s="15">
        <v>18761</v>
      </c>
      <c r="D14" s="15" t="s">
        <v>55</v>
      </c>
      <c r="E14" s="16"/>
      <c r="F14" s="15" t="s">
        <v>78</v>
      </c>
      <c r="G14" s="15" t="s">
        <v>67</v>
      </c>
      <c r="H14" s="16"/>
      <c r="I14" s="15" t="s">
        <v>57</v>
      </c>
      <c r="J14" s="17" t="s">
        <v>76</v>
      </c>
      <c r="K14" s="15" t="s">
        <v>34</v>
      </c>
      <c r="L14" s="15"/>
      <c r="M14" s="21">
        <v>0</v>
      </c>
      <c r="N14" s="15"/>
      <c r="O14" s="15"/>
      <c r="P14" s="15">
        <v>34</v>
      </c>
      <c r="Q14" s="18" t="s">
        <v>32</v>
      </c>
      <c r="R14" s="12">
        <v>6120</v>
      </c>
      <c r="S14" s="12">
        <v>4284</v>
      </c>
      <c r="T14" s="15">
        <v>86</v>
      </c>
      <c r="U14" s="20" t="s">
        <v>33</v>
      </c>
      <c r="V14" s="14">
        <v>15480</v>
      </c>
      <c r="W14" s="14">
        <v>9288</v>
      </c>
      <c r="X14" s="14">
        <v>13572</v>
      </c>
      <c r="Y14" s="14">
        <v>21600</v>
      </c>
      <c r="Z14" s="19"/>
      <c r="AA14" s="12">
        <v>13572</v>
      </c>
      <c r="AB14" s="12">
        <v>13572</v>
      </c>
      <c r="AC14" s="12">
        <v>13572</v>
      </c>
      <c r="AD14" s="13">
        <v>0</v>
      </c>
      <c r="AE14" s="14">
        <v>0</v>
      </c>
    </row>
    <row r="15" spans="1:31">
      <c r="A15" s="15">
        <v>3646</v>
      </c>
      <c r="B15" s="15" t="s">
        <v>34</v>
      </c>
      <c r="C15" s="15">
        <v>19188</v>
      </c>
      <c r="D15" s="15" t="s">
        <v>55</v>
      </c>
      <c r="E15" s="16"/>
      <c r="F15" s="15" t="s">
        <v>59</v>
      </c>
      <c r="G15" s="15" t="s">
        <v>67</v>
      </c>
      <c r="H15" s="16"/>
      <c r="I15" s="15" t="s">
        <v>57</v>
      </c>
      <c r="J15" s="17" t="s">
        <v>76</v>
      </c>
      <c r="K15" s="15" t="s">
        <v>34</v>
      </c>
      <c r="L15" s="15"/>
      <c r="M15" s="21">
        <v>0</v>
      </c>
      <c r="N15" s="15"/>
      <c r="O15" s="15"/>
      <c r="P15" s="15">
        <v>53</v>
      </c>
      <c r="Q15" s="18" t="s">
        <v>32</v>
      </c>
      <c r="R15" s="12">
        <v>9540</v>
      </c>
      <c r="S15" s="12">
        <v>6678</v>
      </c>
      <c r="T15" s="15">
        <v>96</v>
      </c>
      <c r="U15" s="20" t="s">
        <v>33</v>
      </c>
      <c r="V15" s="14">
        <v>17280</v>
      </c>
      <c r="W15" s="14">
        <v>10368</v>
      </c>
      <c r="X15" s="14">
        <v>17046</v>
      </c>
      <c r="Y15" s="14">
        <v>26820</v>
      </c>
      <c r="Z15" s="19"/>
      <c r="AA15" s="12">
        <v>17046</v>
      </c>
      <c r="AB15" s="12">
        <v>17046</v>
      </c>
      <c r="AC15" s="12">
        <v>17046</v>
      </c>
      <c r="AD15" s="13">
        <v>0</v>
      </c>
      <c r="AE15" s="14">
        <v>0</v>
      </c>
    </row>
    <row r="16" spans="1:31">
      <c r="A16" s="15">
        <v>3799</v>
      </c>
      <c r="B16" s="15" t="s">
        <v>34</v>
      </c>
      <c r="C16" s="15">
        <v>18938</v>
      </c>
      <c r="D16" s="15" t="s">
        <v>55</v>
      </c>
      <c r="E16" s="16"/>
      <c r="F16" s="15" t="s">
        <v>58</v>
      </c>
      <c r="G16" s="15" t="s">
        <v>67</v>
      </c>
      <c r="H16" s="16"/>
      <c r="I16" s="15" t="s">
        <v>57</v>
      </c>
      <c r="J16" s="17" t="s">
        <v>76</v>
      </c>
      <c r="K16" s="15" t="s">
        <v>34</v>
      </c>
      <c r="L16" s="15"/>
      <c r="M16" s="21">
        <v>0</v>
      </c>
      <c r="N16" s="15"/>
      <c r="O16" s="15"/>
      <c r="P16" s="15">
        <v>31</v>
      </c>
      <c r="Q16" s="18" t="s">
        <v>32</v>
      </c>
      <c r="R16" s="12">
        <v>5580</v>
      </c>
      <c r="S16" s="12">
        <v>3905.9999999999995</v>
      </c>
      <c r="T16" s="15">
        <v>73</v>
      </c>
      <c r="U16" s="20" t="s">
        <v>33</v>
      </c>
      <c r="V16" s="14">
        <v>13140</v>
      </c>
      <c r="W16" s="14">
        <v>7884</v>
      </c>
      <c r="X16" s="14">
        <v>11790</v>
      </c>
      <c r="Y16" s="14">
        <v>18720</v>
      </c>
      <c r="Z16" s="19"/>
      <c r="AA16" s="12">
        <v>11790</v>
      </c>
      <c r="AB16" s="12">
        <v>11790</v>
      </c>
      <c r="AC16" s="12">
        <v>11790</v>
      </c>
      <c r="AD16" s="13">
        <v>0</v>
      </c>
      <c r="AE16" s="14">
        <v>0</v>
      </c>
    </row>
    <row r="17" spans="1:31">
      <c r="A17" s="15">
        <v>3834</v>
      </c>
      <c r="B17" s="15" t="s">
        <v>34</v>
      </c>
      <c r="C17" s="15">
        <v>19275</v>
      </c>
      <c r="D17" s="15" t="s">
        <v>55</v>
      </c>
      <c r="E17" s="16"/>
      <c r="F17" s="15" t="s">
        <v>66</v>
      </c>
      <c r="G17" s="15" t="s">
        <v>67</v>
      </c>
      <c r="H17" s="16"/>
      <c r="I17" s="15" t="s">
        <v>57</v>
      </c>
      <c r="J17" s="17" t="s">
        <v>76</v>
      </c>
      <c r="K17" s="15" t="s">
        <v>34</v>
      </c>
      <c r="L17" s="15"/>
      <c r="M17" s="21">
        <v>0</v>
      </c>
      <c r="N17" s="15"/>
      <c r="O17" s="15"/>
      <c r="P17" s="15">
        <v>2</v>
      </c>
      <c r="Q17" s="18" t="s">
        <v>32</v>
      </c>
      <c r="R17" s="12">
        <v>360</v>
      </c>
      <c r="S17" s="12">
        <v>251.99999999999997</v>
      </c>
      <c r="T17" s="15">
        <v>81</v>
      </c>
      <c r="U17" s="20" t="s">
        <v>33</v>
      </c>
      <c r="V17" s="14">
        <v>14580</v>
      </c>
      <c r="W17" s="14">
        <v>8748</v>
      </c>
      <c r="X17" s="14">
        <v>9000</v>
      </c>
      <c r="Y17" s="14">
        <v>14940</v>
      </c>
      <c r="Z17" s="19"/>
      <c r="AA17" s="12">
        <v>9000</v>
      </c>
      <c r="AB17" s="12">
        <v>9000</v>
      </c>
      <c r="AC17" s="12">
        <v>9000</v>
      </c>
      <c r="AD17" s="13">
        <v>0</v>
      </c>
      <c r="AE17" s="14">
        <v>0</v>
      </c>
    </row>
    <row r="18" spans="1:31">
      <c r="A18" s="15">
        <v>3910</v>
      </c>
      <c r="B18" s="15" t="s">
        <v>34</v>
      </c>
      <c r="C18" s="15">
        <v>19680</v>
      </c>
      <c r="D18" s="15" t="s">
        <v>55</v>
      </c>
      <c r="E18" s="16"/>
      <c r="F18" s="15" t="s">
        <v>75</v>
      </c>
      <c r="G18" s="15" t="s">
        <v>67</v>
      </c>
      <c r="H18" s="16"/>
      <c r="I18" s="15" t="s">
        <v>107</v>
      </c>
      <c r="J18" s="17" t="s">
        <v>76</v>
      </c>
      <c r="K18" s="15" t="s">
        <v>34</v>
      </c>
      <c r="L18" s="15"/>
      <c r="M18" s="21">
        <v>0</v>
      </c>
      <c r="N18" s="15"/>
      <c r="O18" s="15"/>
      <c r="P18" s="15">
        <v>45</v>
      </c>
      <c r="Q18" s="18" t="s">
        <v>32</v>
      </c>
      <c r="R18" s="12">
        <v>8100</v>
      </c>
      <c r="S18" s="12">
        <v>5670</v>
      </c>
      <c r="T18" s="15">
        <v>81</v>
      </c>
      <c r="U18" s="20" t="s">
        <v>33</v>
      </c>
      <c r="V18" s="14">
        <v>14580</v>
      </c>
      <c r="W18" s="14">
        <v>8748</v>
      </c>
      <c r="X18" s="14">
        <v>14418</v>
      </c>
      <c r="Y18" s="14">
        <v>22680</v>
      </c>
      <c r="Z18" s="19"/>
      <c r="AA18" s="12">
        <v>14418</v>
      </c>
      <c r="AB18" s="12">
        <v>14418</v>
      </c>
      <c r="AC18" s="12">
        <v>14418</v>
      </c>
      <c r="AD18" s="13">
        <v>0</v>
      </c>
      <c r="AE18" s="14">
        <v>0</v>
      </c>
    </row>
    <row r="19" spans="1:31">
      <c r="A19" s="15">
        <v>4081</v>
      </c>
      <c r="B19" s="15" t="s">
        <v>34</v>
      </c>
      <c r="C19" s="15">
        <v>21517</v>
      </c>
      <c r="D19" s="15" t="s">
        <v>55</v>
      </c>
      <c r="E19" s="16"/>
      <c r="F19" s="15" t="s">
        <v>113</v>
      </c>
      <c r="G19" s="15" t="s">
        <v>67</v>
      </c>
      <c r="H19" s="16"/>
      <c r="I19" s="15" t="s">
        <v>92</v>
      </c>
      <c r="J19" s="17" t="s">
        <v>76</v>
      </c>
      <c r="K19" s="15" t="s">
        <v>34</v>
      </c>
      <c r="L19" s="15"/>
      <c r="M19" s="22"/>
      <c r="N19" s="15"/>
      <c r="O19" s="15"/>
      <c r="P19" s="15">
        <v>51</v>
      </c>
      <c r="Q19" s="18" t="s">
        <v>32</v>
      </c>
      <c r="R19" s="12">
        <v>9180</v>
      </c>
      <c r="S19" s="12">
        <v>6426</v>
      </c>
      <c r="T19" s="15">
        <v>33</v>
      </c>
      <c r="U19" s="20" t="s">
        <v>33</v>
      </c>
      <c r="V19" s="14">
        <v>5940</v>
      </c>
      <c r="W19" s="14">
        <v>3564</v>
      </c>
      <c r="X19" s="14">
        <v>9990</v>
      </c>
      <c r="Y19" s="14">
        <v>15120</v>
      </c>
      <c r="Z19" s="19"/>
      <c r="AA19" s="12">
        <v>9990</v>
      </c>
      <c r="AB19" s="12">
        <v>9990</v>
      </c>
      <c r="AC19" s="12">
        <v>9990</v>
      </c>
      <c r="AD19" s="13">
        <v>0</v>
      </c>
      <c r="AE19" s="14">
        <v>0</v>
      </c>
    </row>
    <row r="20" spans="1:31">
      <c r="A20" s="15">
        <v>4273</v>
      </c>
      <c r="B20" s="15" t="s">
        <v>34</v>
      </c>
      <c r="C20" s="15">
        <v>21193</v>
      </c>
      <c r="D20" s="15" t="s">
        <v>55</v>
      </c>
      <c r="E20" s="16"/>
      <c r="F20" s="15" t="s">
        <v>91</v>
      </c>
      <c r="G20" s="15" t="s">
        <v>67</v>
      </c>
      <c r="H20" s="16"/>
      <c r="I20" s="15" t="s">
        <v>92</v>
      </c>
      <c r="J20" s="17" t="s">
        <v>76</v>
      </c>
      <c r="K20" s="15" t="s">
        <v>34</v>
      </c>
      <c r="L20" s="15"/>
      <c r="M20" s="21">
        <v>0</v>
      </c>
      <c r="N20" s="15"/>
      <c r="O20" s="15"/>
      <c r="P20" s="15">
        <v>60</v>
      </c>
      <c r="Q20" s="18" t="s">
        <v>32</v>
      </c>
      <c r="R20" s="12">
        <v>10800</v>
      </c>
      <c r="S20" s="12">
        <v>7559.9999999999991</v>
      </c>
      <c r="T20" s="15">
        <v>2</v>
      </c>
      <c r="U20" s="20" t="s">
        <v>33</v>
      </c>
      <c r="V20" s="14">
        <v>360</v>
      </c>
      <c r="W20" s="14">
        <v>216</v>
      </c>
      <c r="X20" s="14">
        <v>7775.9999999999991</v>
      </c>
      <c r="Y20" s="14">
        <v>11160</v>
      </c>
      <c r="Z20" s="19"/>
      <c r="AA20" s="12">
        <v>7775.9999999999991</v>
      </c>
      <c r="AB20" s="12">
        <v>7775.9999999999991</v>
      </c>
      <c r="AC20" s="12">
        <v>7776</v>
      </c>
      <c r="AD20" s="13">
        <v>0</v>
      </c>
      <c r="AE20" s="14">
        <v>0</v>
      </c>
    </row>
    <row r="21" spans="1:31">
      <c r="A21" s="15">
        <v>4376</v>
      </c>
      <c r="B21" s="15" t="s">
        <v>34</v>
      </c>
      <c r="C21" s="15">
        <v>20155</v>
      </c>
      <c r="D21" s="15" t="s">
        <v>55</v>
      </c>
      <c r="E21" s="16"/>
      <c r="F21" s="15" t="s">
        <v>85</v>
      </c>
      <c r="G21" s="15" t="s">
        <v>67</v>
      </c>
      <c r="H21" s="16"/>
      <c r="I21" s="15" t="s">
        <v>86</v>
      </c>
      <c r="J21" s="17" t="s">
        <v>76</v>
      </c>
      <c r="K21" s="15" t="s">
        <v>34</v>
      </c>
      <c r="L21" s="15"/>
      <c r="M21" s="21">
        <v>0</v>
      </c>
      <c r="N21" s="15"/>
      <c r="O21" s="15"/>
      <c r="P21" s="15">
        <v>5</v>
      </c>
      <c r="Q21" s="18" t="s">
        <v>32</v>
      </c>
      <c r="R21" s="12">
        <v>900</v>
      </c>
      <c r="S21" s="12">
        <v>630</v>
      </c>
      <c r="T21" s="15">
        <v>55</v>
      </c>
      <c r="U21" s="20" t="s">
        <v>33</v>
      </c>
      <c r="V21" s="14">
        <v>9900</v>
      </c>
      <c r="W21" s="14">
        <v>5940</v>
      </c>
      <c r="X21" s="14">
        <v>6570</v>
      </c>
      <c r="Y21" s="14">
        <v>10800</v>
      </c>
      <c r="Z21" s="19"/>
      <c r="AA21" s="12">
        <v>6570</v>
      </c>
      <c r="AB21" s="12">
        <v>6570</v>
      </c>
      <c r="AC21" s="12">
        <v>6570</v>
      </c>
      <c r="AD21" s="13">
        <v>0</v>
      </c>
      <c r="AE21" s="14">
        <v>0</v>
      </c>
    </row>
    <row r="22" spans="1:31">
      <c r="A22" s="15">
        <v>4633</v>
      </c>
      <c r="B22" s="15" t="s">
        <v>34</v>
      </c>
      <c r="C22" s="15">
        <v>19292</v>
      </c>
      <c r="D22" s="15" t="s">
        <v>55</v>
      </c>
      <c r="E22" s="16"/>
      <c r="F22" s="15" t="s">
        <v>68</v>
      </c>
      <c r="G22" s="15" t="s">
        <v>67</v>
      </c>
      <c r="H22" s="16"/>
      <c r="I22" s="15" t="s">
        <v>57</v>
      </c>
      <c r="J22" s="17" t="s">
        <v>76</v>
      </c>
      <c r="K22" s="15" t="s">
        <v>34</v>
      </c>
      <c r="L22" s="15"/>
      <c r="M22" s="21">
        <v>0</v>
      </c>
      <c r="N22" s="15"/>
      <c r="O22" s="15"/>
      <c r="P22" s="15">
        <v>29</v>
      </c>
      <c r="Q22" s="18" t="s">
        <v>32</v>
      </c>
      <c r="R22" s="12">
        <v>5220</v>
      </c>
      <c r="S22" s="12">
        <v>3653.9999999999995</v>
      </c>
      <c r="T22" s="15">
        <v>33</v>
      </c>
      <c r="U22" s="20" t="s">
        <v>33</v>
      </c>
      <c r="V22" s="14">
        <v>5940</v>
      </c>
      <c r="W22" s="14">
        <v>3564</v>
      </c>
      <c r="X22" s="14">
        <v>7218</v>
      </c>
      <c r="Y22" s="14">
        <v>11160</v>
      </c>
      <c r="Z22" s="19"/>
      <c r="AA22" s="12">
        <v>7218</v>
      </c>
      <c r="AB22" s="12">
        <v>7218</v>
      </c>
      <c r="AC22" s="12">
        <v>7218</v>
      </c>
      <c r="AD22" s="13">
        <v>0</v>
      </c>
      <c r="AE22" s="14">
        <v>0</v>
      </c>
    </row>
    <row r="23" spans="1:31">
      <c r="A23" s="15">
        <v>4798</v>
      </c>
      <c r="B23" s="15" t="s">
        <v>34</v>
      </c>
      <c r="C23" s="15">
        <v>21066</v>
      </c>
      <c r="D23" s="15" t="s">
        <v>55</v>
      </c>
      <c r="E23" s="16"/>
      <c r="F23" s="15" t="s">
        <v>99</v>
      </c>
      <c r="G23" s="15" t="s">
        <v>67</v>
      </c>
      <c r="H23" s="16"/>
      <c r="I23" s="15" t="s">
        <v>100</v>
      </c>
      <c r="J23" s="17" t="s">
        <v>76</v>
      </c>
      <c r="K23" s="15" t="s">
        <v>34</v>
      </c>
      <c r="L23" s="15"/>
      <c r="M23" s="21">
        <v>0</v>
      </c>
      <c r="N23" s="15"/>
      <c r="O23" s="15"/>
      <c r="P23" s="15">
        <v>35</v>
      </c>
      <c r="Q23" s="18" t="s">
        <v>32</v>
      </c>
      <c r="R23" s="12">
        <v>6300</v>
      </c>
      <c r="S23" s="12">
        <v>4410</v>
      </c>
      <c r="T23" s="15">
        <v>0</v>
      </c>
      <c r="U23" s="20" t="s">
        <v>33</v>
      </c>
      <c r="V23" s="14">
        <v>0</v>
      </c>
      <c r="W23" s="14">
        <v>0</v>
      </c>
      <c r="X23" s="14">
        <v>4410</v>
      </c>
      <c r="Y23" s="14">
        <v>6300</v>
      </c>
      <c r="Z23" s="19"/>
      <c r="AA23" s="12">
        <v>4410</v>
      </c>
      <c r="AB23" s="12">
        <v>4410</v>
      </c>
      <c r="AC23" s="12">
        <v>4410</v>
      </c>
      <c r="AD23" s="13">
        <v>0</v>
      </c>
      <c r="AE23" s="14">
        <v>0</v>
      </c>
    </row>
    <row r="24" spans="1:31">
      <c r="A24" s="15">
        <v>4826</v>
      </c>
      <c r="B24" s="15" t="s">
        <v>34</v>
      </c>
      <c r="C24" s="15">
        <v>20149</v>
      </c>
      <c r="D24" s="15" t="s">
        <v>55</v>
      </c>
      <c r="E24" s="16"/>
      <c r="F24" s="15" t="s">
        <v>74</v>
      </c>
      <c r="G24" s="15" t="s">
        <v>67</v>
      </c>
      <c r="H24" s="16"/>
      <c r="I24" s="15" t="s">
        <v>61</v>
      </c>
      <c r="J24" s="17" t="s">
        <v>76</v>
      </c>
      <c r="K24" s="15" t="s">
        <v>34</v>
      </c>
      <c r="L24" s="15"/>
      <c r="M24" s="21">
        <v>0</v>
      </c>
      <c r="N24" s="15"/>
      <c r="O24" s="15"/>
      <c r="P24" s="15">
        <v>0</v>
      </c>
      <c r="Q24" s="18" t="s">
        <v>32</v>
      </c>
      <c r="R24" s="12">
        <v>0</v>
      </c>
      <c r="S24" s="12">
        <v>0</v>
      </c>
      <c r="T24" s="15">
        <v>78</v>
      </c>
      <c r="U24" s="20" t="s">
        <v>33</v>
      </c>
      <c r="V24" s="14">
        <v>14040</v>
      </c>
      <c r="W24" s="14">
        <v>8424</v>
      </c>
      <c r="X24" s="14">
        <v>8424</v>
      </c>
      <c r="Y24" s="14">
        <v>14040</v>
      </c>
      <c r="Z24" s="19"/>
      <c r="AA24" s="12">
        <v>8424</v>
      </c>
      <c r="AB24" s="12">
        <v>8424</v>
      </c>
      <c r="AC24" s="12">
        <v>8424</v>
      </c>
      <c r="AD24" s="13">
        <v>0</v>
      </c>
      <c r="AE24" s="14">
        <v>0</v>
      </c>
    </row>
    <row r="25" spans="1:31">
      <c r="A25" s="15">
        <v>5817</v>
      </c>
      <c r="B25" s="15" t="s">
        <v>34</v>
      </c>
      <c r="C25" s="15">
        <v>21340</v>
      </c>
      <c r="D25" s="15" t="s">
        <v>55</v>
      </c>
      <c r="E25" s="16"/>
      <c r="F25" s="15" t="s">
        <v>102</v>
      </c>
      <c r="G25" s="15" t="s">
        <v>67</v>
      </c>
      <c r="H25" s="16"/>
      <c r="I25" s="15" t="s">
        <v>77</v>
      </c>
      <c r="J25" s="17" t="s">
        <v>76</v>
      </c>
      <c r="K25" s="15" t="s">
        <v>34</v>
      </c>
      <c r="L25" s="15"/>
      <c r="M25" s="21">
        <v>0</v>
      </c>
      <c r="N25" s="15"/>
      <c r="O25" s="15"/>
      <c r="P25" s="15">
        <v>50</v>
      </c>
      <c r="Q25" s="18" t="s">
        <v>32</v>
      </c>
      <c r="R25" s="12">
        <v>9000</v>
      </c>
      <c r="S25" s="12">
        <v>6300</v>
      </c>
      <c r="T25" s="15">
        <v>0</v>
      </c>
      <c r="U25" s="20" t="s">
        <v>33</v>
      </c>
      <c r="V25" s="14">
        <v>0</v>
      </c>
      <c r="W25" s="14">
        <v>0</v>
      </c>
      <c r="X25" s="14">
        <v>6300</v>
      </c>
      <c r="Y25" s="14">
        <v>9000</v>
      </c>
      <c r="Z25" s="19"/>
      <c r="AA25" s="12">
        <v>6300</v>
      </c>
      <c r="AB25" s="12">
        <v>6300</v>
      </c>
      <c r="AC25" s="12">
        <v>6300</v>
      </c>
      <c r="AD25" s="13">
        <v>0</v>
      </c>
      <c r="AE25" s="14">
        <v>0</v>
      </c>
    </row>
    <row r="26" spans="1:31">
      <c r="A26" s="15">
        <v>5951</v>
      </c>
      <c r="B26" s="15" t="s">
        <v>34</v>
      </c>
      <c r="C26" s="15">
        <v>18940</v>
      </c>
      <c r="D26" s="15" t="s">
        <v>55</v>
      </c>
      <c r="E26" s="16"/>
      <c r="F26" s="15" t="s">
        <v>64</v>
      </c>
      <c r="G26" s="15" t="s">
        <v>67</v>
      </c>
      <c r="H26" s="16"/>
      <c r="I26" s="15" t="s">
        <v>65</v>
      </c>
      <c r="J26" s="17" t="s">
        <v>76</v>
      </c>
      <c r="K26" s="15" t="s">
        <v>34</v>
      </c>
      <c r="L26" s="15"/>
      <c r="M26" s="21">
        <v>0</v>
      </c>
      <c r="N26" s="15"/>
      <c r="O26" s="15"/>
      <c r="P26" s="15">
        <v>0</v>
      </c>
      <c r="Q26" s="18" t="s">
        <v>32</v>
      </c>
      <c r="R26" s="12">
        <v>0</v>
      </c>
      <c r="S26" s="12">
        <v>0</v>
      </c>
      <c r="T26" s="15">
        <v>46</v>
      </c>
      <c r="U26" s="20" t="s">
        <v>33</v>
      </c>
      <c r="V26" s="14">
        <v>8280</v>
      </c>
      <c r="W26" s="14">
        <v>4968</v>
      </c>
      <c r="X26" s="14">
        <v>4968</v>
      </c>
      <c r="Y26" s="14">
        <v>8280</v>
      </c>
      <c r="Z26" s="19"/>
      <c r="AA26" s="12">
        <v>4968</v>
      </c>
      <c r="AB26" s="12">
        <v>4968</v>
      </c>
      <c r="AC26" s="12">
        <v>4968</v>
      </c>
      <c r="AD26" s="13">
        <v>0</v>
      </c>
      <c r="AE26" s="14">
        <v>0</v>
      </c>
    </row>
    <row r="27" spans="1:31">
      <c r="A27" s="15">
        <v>5990</v>
      </c>
      <c r="B27" s="15" t="s">
        <v>34</v>
      </c>
      <c r="C27" s="15">
        <v>19676</v>
      </c>
      <c r="D27" s="15" t="s">
        <v>55</v>
      </c>
      <c r="E27" s="16"/>
      <c r="F27" s="15" t="s">
        <v>73</v>
      </c>
      <c r="G27" s="15" t="s">
        <v>67</v>
      </c>
      <c r="H27" s="16"/>
      <c r="I27" s="15" t="s">
        <v>116</v>
      </c>
      <c r="J27" s="17" t="s">
        <v>76</v>
      </c>
      <c r="K27" s="15" t="s">
        <v>34</v>
      </c>
      <c r="L27" s="15"/>
      <c r="M27" s="21">
        <v>0</v>
      </c>
      <c r="N27" s="15"/>
      <c r="O27" s="15"/>
      <c r="P27" s="15">
        <v>8</v>
      </c>
      <c r="Q27" s="18" t="s">
        <v>32</v>
      </c>
      <c r="R27" s="12">
        <v>1440</v>
      </c>
      <c r="S27" s="12">
        <v>1007.9999999999999</v>
      </c>
      <c r="T27" s="15">
        <v>38</v>
      </c>
      <c r="U27" s="20" t="s">
        <v>33</v>
      </c>
      <c r="V27" s="14">
        <v>6840</v>
      </c>
      <c r="W27" s="14">
        <v>4104</v>
      </c>
      <c r="X27" s="14">
        <v>5112</v>
      </c>
      <c r="Y27" s="14">
        <v>8280</v>
      </c>
      <c r="Z27" s="19"/>
      <c r="AA27" s="12">
        <v>5112</v>
      </c>
      <c r="AB27" s="12">
        <v>5112</v>
      </c>
      <c r="AC27" s="12">
        <v>5112</v>
      </c>
      <c r="AD27" s="13">
        <v>0</v>
      </c>
      <c r="AE27" s="14">
        <v>0</v>
      </c>
    </row>
    <row r="28" spans="1:31">
      <c r="A28" s="15">
        <v>6329</v>
      </c>
      <c r="B28" s="15" t="s">
        <v>34</v>
      </c>
      <c r="C28" s="15">
        <v>18320</v>
      </c>
      <c r="D28" s="15" t="s">
        <v>55</v>
      </c>
      <c r="E28" s="16"/>
      <c r="F28" s="15" t="s">
        <v>81</v>
      </c>
      <c r="G28" s="15" t="s">
        <v>67</v>
      </c>
      <c r="H28" s="16"/>
      <c r="I28" s="15" t="s">
        <v>82</v>
      </c>
      <c r="J28" s="17" t="s">
        <v>76</v>
      </c>
      <c r="K28" s="15" t="s">
        <v>34</v>
      </c>
      <c r="L28" s="15"/>
      <c r="M28" s="21">
        <v>0</v>
      </c>
      <c r="N28" s="15"/>
      <c r="O28" s="15"/>
      <c r="P28" s="15">
        <v>4</v>
      </c>
      <c r="Q28" s="18" t="s">
        <v>32</v>
      </c>
      <c r="R28" s="12">
        <v>720</v>
      </c>
      <c r="S28" s="12">
        <v>503.99999999999994</v>
      </c>
      <c r="T28" s="15">
        <v>35</v>
      </c>
      <c r="U28" s="20" t="s">
        <v>33</v>
      </c>
      <c r="V28" s="14">
        <v>6300</v>
      </c>
      <c r="W28" s="14">
        <v>3780</v>
      </c>
      <c r="X28" s="14">
        <v>4284</v>
      </c>
      <c r="Y28" s="14">
        <v>7020</v>
      </c>
      <c r="Z28" s="19"/>
      <c r="AA28" s="12">
        <v>4284</v>
      </c>
      <c r="AB28" s="12">
        <v>4284</v>
      </c>
      <c r="AC28" s="12">
        <v>4284</v>
      </c>
      <c r="AD28" s="13">
        <v>0</v>
      </c>
      <c r="AE28" s="14">
        <v>0</v>
      </c>
    </row>
    <row r="29" spans="1:31">
      <c r="A29" s="15">
        <v>6375</v>
      </c>
      <c r="B29" s="15" t="s">
        <v>34</v>
      </c>
      <c r="C29" s="15">
        <v>21124</v>
      </c>
      <c r="D29" s="15" t="s">
        <v>55</v>
      </c>
      <c r="E29" s="16"/>
      <c r="F29" s="15" t="s">
        <v>97</v>
      </c>
      <c r="G29" s="15" t="s">
        <v>67</v>
      </c>
      <c r="H29" s="16"/>
      <c r="I29" s="15" t="s">
        <v>98</v>
      </c>
      <c r="J29" s="17" t="s">
        <v>76</v>
      </c>
      <c r="K29" s="15" t="s">
        <v>34</v>
      </c>
      <c r="L29" s="15"/>
      <c r="M29" s="21">
        <v>0</v>
      </c>
      <c r="N29" s="15"/>
      <c r="O29" s="15"/>
      <c r="P29" s="15">
        <v>8</v>
      </c>
      <c r="Q29" s="18" t="s">
        <v>32</v>
      </c>
      <c r="R29" s="12">
        <v>1440</v>
      </c>
      <c r="S29" s="12">
        <v>1007.9999999999999</v>
      </c>
      <c r="T29" s="15">
        <v>26</v>
      </c>
      <c r="U29" s="20" t="s">
        <v>33</v>
      </c>
      <c r="V29" s="14">
        <v>4680</v>
      </c>
      <c r="W29" s="14">
        <v>2808</v>
      </c>
      <c r="X29" s="14">
        <v>3816</v>
      </c>
      <c r="Y29" s="14">
        <v>6120</v>
      </c>
      <c r="Z29" s="19"/>
      <c r="AA29" s="12">
        <v>3816</v>
      </c>
      <c r="AB29" s="12">
        <v>3816</v>
      </c>
      <c r="AC29" s="12">
        <v>3816</v>
      </c>
      <c r="AD29" s="13">
        <v>0</v>
      </c>
      <c r="AE29" s="14">
        <v>0</v>
      </c>
    </row>
    <row r="30" spans="1:31">
      <c r="A30" s="15">
        <v>6776</v>
      </c>
      <c r="B30" s="15" t="s">
        <v>34</v>
      </c>
      <c r="C30" s="15">
        <v>20150</v>
      </c>
      <c r="D30" s="15" t="s">
        <v>55</v>
      </c>
      <c r="E30" s="16"/>
      <c r="F30" s="15" t="s">
        <v>83</v>
      </c>
      <c r="G30" s="15" t="s">
        <v>67</v>
      </c>
      <c r="H30" s="16"/>
      <c r="I30" s="15" t="s">
        <v>84</v>
      </c>
      <c r="J30" s="17" t="s">
        <v>76</v>
      </c>
      <c r="K30" s="15" t="s">
        <v>34</v>
      </c>
      <c r="L30" s="15"/>
      <c r="M30" s="21">
        <v>0</v>
      </c>
      <c r="N30" s="15"/>
      <c r="O30" s="15"/>
      <c r="P30" s="15">
        <v>0</v>
      </c>
      <c r="Q30" s="18" t="s">
        <v>32</v>
      </c>
      <c r="R30" s="12">
        <v>0</v>
      </c>
      <c r="S30" s="12">
        <v>0</v>
      </c>
      <c r="T30" s="15">
        <v>14</v>
      </c>
      <c r="U30" s="20" t="s">
        <v>33</v>
      </c>
      <c r="V30" s="14">
        <v>2520</v>
      </c>
      <c r="W30" s="14">
        <v>1512</v>
      </c>
      <c r="X30" s="14">
        <v>1512</v>
      </c>
      <c r="Y30" s="14">
        <v>2520</v>
      </c>
      <c r="Z30" s="19"/>
      <c r="AA30" s="12">
        <v>1512</v>
      </c>
      <c r="AB30" s="12">
        <v>1512</v>
      </c>
      <c r="AC30" s="12">
        <v>1512</v>
      </c>
      <c r="AD30" s="13">
        <v>0</v>
      </c>
      <c r="AE30" s="14">
        <v>0</v>
      </c>
    </row>
    <row r="31" spans="1:31">
      <c r="A31" s="15">
        <v>6999</v>
      </c>
      <c r="B31" s="15" t="s">
        <v>34</v>
      </c>
      <c r="C31" s="15">
        <v>21696</v>
      </c>
      <c r="D31" s="15" t="s">
        <v>55</v>
      </c>
      <c r="E31" s="16"/>
      <c r="F31" s="15" t="s">
        <v>114</v>
      </c>
      <c r="G31" s="15" t="s">
        <v>67</v>
      </c>
      <c r="H31" s="16"/>
      <c r="I31" s="15" t="s">
        <v>115</v>
      </c>
      <c r="J31" s="17" t="s">
        <v>76</v>
      </c>
      <c r="K31" s="15" t="s">
        <v>34</v>
      </c>
      <c r="L31" s="15"/>
      <c r="M31" s="22"/>
      <c r="N31" s="15"/>
      <c r="O31" s="15"/>
      <c r="P31" s="15">
        <v>17</v>
      </c>
      <c r="Q31" s="18" t="s">
        <v>32</v>
      </c>
      <c r="R31" s="12">
        <v>3060</v>
      </c>
      <c r="S31" s="12">
        <v>2142</v>
      </c>
      <c r="T31" s="15">
        <v>11</v>
      </c>
      <c r="U31" s="20" t="s">
        <v>33</v>
      </c>
      <c r="V31" s="14">
        <v>1980</v>
      </c>
      <c r="W31" s="14">
        <v>1188</v>
      </c>
      <c r="X31" s="14">
        <v>3330</v>
      </c>
      <c r="Y31" s="14">
        <v>5040</v>
      </c>
      <c r="Z31" s="19"/>
      <c r="AA31" s="12">
        <v>3330</v>
      </c>
      <c r="AB31" s="12">
        <v>3330</v>
      </c>
      <c r="AC31" s="12">
        <v>3330</v>
      </c>
      <c r="AD31" s="13">
        <v>0</v>
      </c>
      <c r="AE31" s="14">
        <v>0</v>
      </c>
    </row>
    <row r="32" spans="1:31">
      <c r="A32" s="15">
        <v>7458</v>
      </c>
      <c r="B32" s="15" t="s">
        <v>34</v>
      </c>
      <c r="C32" s="15">
        <v>21084</v>
      </c>
      <c r="D32" s="15" t="s">
        <v>55</v>
      </c>
      <c r="E32" s="16"/>
      <c r="F32" s="15" t="s">
        <v>103</v>
      </c>
      <c r="G32" s="15" t="s">
        <v>67</v>
      </c>
      <c r="H32" s="16"/>
      <c r="I32" s="15" t="s">
        <v>104</v>
      </c>
      <c r="J32" s="17" t="s">
        <v>76</v>
      </c>
      <c r="K32" s="15" t="s">
        <v>34</v>
      </c>
      <c r="L32" s="15"/>
      <c r="M32" s="21">
        <v>0</v>
      </c>
      <c r="N32" s="15"/>
      <c r="O32" s="15"/>
      <c r="P32" s="15">
        <v>5</v>
      </c>
      <c r="Q32" s="18" t="s">
        <v>32</v>
      </c>
      <c r="R32" s="12">
        <v>900</v>
      </c>
      <c r="S32" s="12">
        <v>630</v>
      </c>
      <c r="T32" s="15">
        <v>17</v>
      </c>
      <c r="U32" s="20" t="s">
        <v>33</v>
      </c>
      <c r="V32" s="14">
        <v>3060</v>
      </c>
      <c r="W32" s="14">
        <v>1836</v>
      </c>
      <c r="X32" s="14">
        <v>2466</v>
      </c>
      <c r="Y32" s="14">
        <v>3960</v>
      </c>
      <c r="Z32" s="19"/>
      <c r="AA32" s="12">
        <v>2466</v>
      </c>
      <c r="AB32" s="12">
        <v>2466</v>
      </c>
      <c r="AC32" s="12">
        <v>2466</v>
      </c>
      <c r="AD32" s="13">
        <v>0</v>
      </c>
      <c r="AE32" s="14">
        <v>0</v>
      </c>
    </row>
    <row r="33" spans="1:31">
      <c r="A33" s="15">
        <v>8833</v>
      </c>
      <c r="B33" s="15" t="s">
        <v>34</v>
      </c>
      <c r="C33" s="15">
        <v>21083</v>
      </c>
      <c r="D33" s="15" t="s">
        <v>55</v>
      </c>
      <c r="E33" s="16"/>
      <c r="F33" s="15" t="s">
        <v>101</v>
      </c>
      <c r="G33" s="15" t="s">
        <v>67</v>
      </c>
      <c r="H33" s="16"/>
      <c r="I33" s="15" t="s">
        <v>100</v>
      </c>
      <c r="J33" s="17" t="s">
        <v>76</v>
      </c>
      <c r="K33" s="15" t="s">
        <v>34</v>
      </c>
      <c r="L33" s="15"/>
      <c r="M33" s="21">
        <v>0</v>
      </c>
      <c r="N33" s="15"/>
      <c r="O33" s="15"/>
      <c r="P33" s="15">
        <v>10</v>
      </c>
      <c r="Q33" s="18" t="s">
        <v>32</v>
      </c>
      <c r="R33" s="12">
        <v>1800</v>
      </c>
      <c r="S33" s="12">
        <v>1260</v>
      </c>
      <c r="T33" s="15">
        <v>1</v>
      </c>
      <c r="U33" s="20" t="s">
        <v>33</v>
      </c>
      <c r="V33" s="14">
        <v>180</v>
      </c>
      <c r="W33" s="14">
        <v>108</v>
      </c>
      <c r="X33" s="14">
        <v>1368</v>
      </c>
      <c r="Y33" s="14">
        <v>1980</v>
      </c>
      <c r="Z33" s="19"/>
      <c r="AA33" s="12">
        <v>1368</v>
      </c>
      <c r="AB33" s="12">
        <v>1368</v>
      </c>
      <c r="AC33" s="12">
        <v>1368</v>
      </c>
      <c r="AD33" s="13">
        <v>0</v>
      </c>
      <c r="AE33" s="14">
        <v>0</v>
      </c>
    </row>
    <row r="34" spans="1:31">
      <c r="A34" s="15">
        <v>10051</v>
      </c>
      <c r="B34" s="15" t="s">
        <v>34</v>
      </c>
      <c r="C34" s="15">
        <v>21063</v>
      </c>
      <c r="D34" s="15" t="s">
        <v>55</v>
      </c>
      <c r="E34" s="16"/>
      <c r="F34" s="15" t="s">
        <v>95</v>
      </c>
      <c r="G34" s="15" t="s">
        <v>67</v>
      </c>
      <c r="H34" s="16"/>
      <c r="I34" s="15" t="s">
        <v>96</v>
      </c>
      <c r="J34" s="17" t="s">
        <v>76</v>
      </c>
      <c r="K34" s="15" t="s">
        <v>34</v>
      </c>
      <c r="L34" s="15"/>
      <c r="M34" s="21">
        <v>0</v>
      </c>
      <c r="N34" s="15"/>
      <c r="O34" s="15"/>
      <c r="P34" s="15">
        <v>0</v>
      </c>
      <c r="Q34" s="18" t="s">
        <v>32</v>
      </c>
      <c r="R34" s="12">
        <v>0</v>
      </c>
      <c r="S34" s="12">
        <v>0</v>
      </c>
      <c r="T34" s="15">
        <v>4</v>
      </c>
      <c r="U34" s="20" t="s">
        <v>33</v>
      </c>
      <c r="V34" s="14">
        <v>720</v>
      </c>
      <c r="W34" s="14">
        <v>432</v>
      </c>
      <c r="X34" s="14">
        <v>432</v>
      </c>
      <c r="Y34" s="14">
        <v>720</v>
      </c>
      <c r="Z34" s="19"/>
      <c r="AA34" s="12">
        <v>432</v>
      </c>
      <c r="AB34" s="12">
        <v>432</v>
      </c>
      <c r="AC34" s="12">
        <v>432</v>
      </c>
      <c r="AD34" s="13">
        <v>0</v>
      </c>
      <c r="AE34" s="14">
        <v>0</v>
      </c>
    </row>
    <row r="35" spans="1:31">
      <c r="A35" s="15">
        <v>11120</v>
      </c>
      <c r="B35" s="15" t="s">
        <v>34</v>
      </c>
      <c r="C35" s="15">
        <v>21081</v>
      </c>
      <c r="D35" s="15" t="s">
        <v>55</v>
      </c>
      <c r="E35" s="16"/>
      <c r="F35" s="15" t="s">
        <v>93</v>
      </c>
      <c r="G35" s="15" t="s">
        <v>67</v>
      </c>
      <c r="H35" s="16"/>
      <c r="I35" s="15" t="s">
        <v>94</v>
      </c>
      <c r="J35" s="17" t="s">
        <v>76</v>
      </c>
      <c r="K35" s="15" t="s">
        <v>34</v>
      </c>
      <c r="L35" s="15"/>
      <c r="M35" s="21">
        <v>0</v>
      </c>
      <c r="N35" s="15"/>
      <c r="O35" s="15"/>
      <c r="P35" s="15">
        <v>0</v>
      </c>
      <c r="Q35" s="18" t="s">
        <v>32</v>
      </c>
      <c r="R35" s="12">
        <v>0</v>
      </c>
      <c r="S35" s="12">
        <v>0</v>
      </c>
      <c r="T35" s="15">
        <v>1</v>
      </c>
      <c r="U35" s="20" t="s">
        <v>33</v>
      </c>
      <c r="V35" s="14">
        <v>180</v>
      </c>
      <c r="W35" s="14">
        <v>108</v>
      </c>
      <c r="X35" s="14">
        <v>108</v>
      </c>
      <c r="Y35" s="14">
        <v>180</v>
      </c>
      <c r="Z35" s="19"/>
      <c r="AA35" s="12">
        <v>108</v>
      </c>
      <c r="AB35" s="12">
        <v>108</v>
      </c>
      <c r="AC35" s="12">
        <v>108</v>
      </c>
      <c r="AD35" s="13">
        <v>0</v>
      </c>
      <c r="AE35" s="14">
        <v>0</v>
      </c>
    </row>
    <row r="36" spans="1:31">
      <c r="AC36" s="24">
        <f>SUM(AC2:AC35)</f>
        <v>760482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2"/>
  <sheetViews>
    <sheetView zoomScale="72" zoomScaleNormal="72" workbookViewId="0">
      <selection activeCell="A3" sqref="A3:XFD5"/>
    </sheetView>
  </sheetViews>
  <sheetFormatPr defaultRowHeight="17.399999999999999"/>
  <cols>
    <col min="1" max="1" width="5.8984375" bestFit="1" customWidth="1"/>
    <col min="2" max="2" width="5" bestFit="1" customWidth="1"/>
    <col min="3" max="3" width="7.69921875" bestFit="1" customWidth="1"/>
    <col min="4" max="4" width="9.8984375" bestFit="1" customWidth="1"/>
    <col min="5" max="5" width="5" bestFit="1" customWidth="1"/>
    <col min="6" max="6" width="19.59765625" bestFit="1" customWidth="1"/>
    <col min="7" max="7" width="16.5" bestFit="1" customWidth="1"/>
    <col min="8" max="8" width="4.09765625" bestFit="1" customWidth="1"/>
    <col min="9" max="9" width="20.69921875" bestFit="1" customWidth="1"/>
    <col min="10" max="10" width="10.3984375" bestFit="1" customWidth="1"/>
    <col min="11" max="12" width="5" bestFit="1" customWidth="1"/>
    <col min="13" max="13" width="13.3984375" bestFit="1" customWidth="1"/>
    <col min="14" max="15" width="9.5" bestFit="1" customWidth="1"/>
    <col min="16" max="16" width="10.3984375" bestFit="1" customWidth="1"/>
    <col min="17" max="19" width="8.59765625" bestFit="1" customWidth="1"/>
    <col min="20" max="20" width="10.3984375" bestFit="1" customWidth="1"/>
    <col min="21" max="23" width="8.59765625" bestFit="1" customWidth="1"/>
    <col min="24" max="24" width="13.3984375" bestFit="1" customWidth="1"/>
    <col min="25" max="25" width="9.5" bestFit="1" customWidth="1"/>
    <col min="26" max="26" width="7.69921875" bestFit="1" customWidth="1"/>
    <col min="27" max="28" width="8.59765625" bestFit="1" customWidth="1"/>
    <col min="29" max="29" width="16.59765625" bestFit="1" customWidth="1"/>
    <col min="30" max="30" width="10.3984375" bestFit="1" customWidth="1"/>
    <col min="31" max="31" width="13.3984375" bestFit="1" customWidth="1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>
      <c r="A2" s="15">
        <v>5149</v>
      </c>
      <c r="B2" s="15" t="s">
        <v>117</v>
      </c>
      <c r="C2" s="15">
        <v>14522</v>
      </c>
      <c r="D2" s="15" t="s">
        <v>35</v>
      </c>
      <c r="E2" s="16"/>
      <c r="F2" s="15" t="s">
        <v>41</v>
      </c>
      <c r="G2" s="15" t="s">
        <v>40</v>
      </c>
      <c r="H2" s="16"/>
      <c r="I2" s="15" t="s">
        <v>49</v>
      </c>
      <c r="J2" s="17" t="s">
        <v>121</v>
      </c>
      <c r="K2" s="15" t="s">
        <v>117</v>
      </c>
      <c r="L2" s="15"/>
      <c r="M2" s="21">
        <v>0</v>
      </c>
      <c r="N2" s="15"/>
      <c r="O2" s="15"/>
      <c r="P2" s="15">
        <v>0</v>
      </c>
      <c r="Q2" s="18" t="s">
        <v>37</v>
      </c>
      <c r="R2" s="12">
        <v>0</v>
      </c>
      <c r="S2" s="12">
        <v>0</v>
      </c>
      <c r="T2" s="15">
        <v>42</v>
      </c>
      <c r="U2" s="20" t="s">
        <v>38</v>
      </c>
      <c r="V2" s="14">
        <v>7560</v>
      </c>
      <c r="W2" s="14">
        <v>3175.2</v>
      </c>
      <c r="X2" s="14">
        <v>3175.2</v>
      </c>
      <c r="Y2" s="14">
        <v>7560</v>
      </c>
      <c r="Z2" s="19"/>
      <c r="AA2" s="12">
        <v>3175.2</v>
      </c>
      <c r="AB2" s="12">
        <v>3175.2</v>
      </c>
      <c r="AC2" s="12">
        <v>3175</v>
      </c>
      <c r="AD2" s="13">
        <v>0</v>
      </c>
      <c r="AE2" s="14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2"/>
  <sheetViews>
    <sheetView zoomScale="72" zoomScaleNormal="72" workbookViewId="0">
      <selection activeCell="A3" sqref="A3:XFD3"/>
    </sheetView>
  </sheetViews>
  <sheetFormatPr defaultRowHeight="17.399999999999999"/>
  <cols>
    <col min="1" max="1" width="5.8984375" bestFit="1" customWidth="1"/>
    <col min="2" max="2" width="5" bestFit="1" customWidth="1"/>
    <col min="3" max="3" width="7.69921875" bestFit="1" customWidth="1"/>
    <col min="4" max="4" width="9.8984375" bestFit="1" customWidth="1"/>
    <col min="5" max="5" width="5" bestFit="1" customWidth="1"/>
    <col min="6" max="6" width="19.59765625" bestFit="1" customWidth="1"/>
    <col min="7" max="7" width="16.5" bestFit="1" customWidth="1"/>
    <col min="8" max="8" width="4.09765625" bestFit="1" customWidth="1"/>
    <col min="9" max="9" width="20.69921875" bestFit="1" customWidth="1"/>
    <col min="10" max="10" width="10.3984375" bestFit="1" customWidth="1"/>
    <col min="11" max="12" width="5" bestFit="1" customWidth="1"/>
    <col min="13" max="13" width="13.3984375" bestFit="1" customWidth="1"/>
    <col min="14" max="15" width="9.5" bestFit="1" customWidth="1"/>
    <col min="16" max="16" width="10.3984375" bestFit="1" customWidth="1"/>
    <col min="17" max="19" width="8.59765625" bestFit="1" customWidth="1"/>
    <col min="20" max="20" width="10.3984375" bestFit="1" customWidth="1"/>
    <col min="21" max="23" width="8.59765625" bestFit="1" customWidth="1"/>
    <col min="24" max="24" width="13.3984375" bestFit="1" customWidth="1"/>
    <col min="25" max="25" width="9.5" bestFit="1" customWidth="1"/>
    <col min="26" max="26" width="7.69921875" bestFit="1" customWidth="1"/>
    <col min="27" max="28" width="8.59765625" bestFit="1" customWidth="1"/>
    <col min="29" max="29" width="16.59765625" bestFit="1" customWidth="1"/>
    <col min="30" max="30" width="10.3984375" bestFit="1" customWidth="1"/>
    <col min="31" max="31" width="13.3984375" bestFit="1" customWidth="1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>
      <c r="A2" s="15">
        <v>10083</v>
      </c>
      <c r="B2" s="15" t="s">
        <v>120</v>
      </c>
      <c r="C2" s="15">
        <v>19294</v>
      </c>
      <c r="D2" s="15" t="s">
        <v>55</v>
      </c>
      <c r="E2" s="16"/>
      <c r="F2" s="15" t="s">
        <v>70</v>
      </c>
      <c r="G2" s="15" t="s">
        <v>71</v>
      </c>
      <c r="H2" s="16"/>
      <c r="I2" s="15" t="s">
        <v>72</v>
      </c>
      <c r="J2" s="17" t="s">
        <v>121</v>
      </c>
      <c r="K2" s="15" t="s">
        <v>120</v>
      </c>
      <c r="L2" s="15"/>
      <c r="M2" s="21">
        <v>0</v>
      </c>
      <c r="N2" s="15"/>
      <c r="O2" s="15"/>
      <c r="P2" s="15">
        <v>0</v>
      </c>
      <c r="Q2" s="18" t="s">
        <v>32</v>
      </c>
      <c r="R2" s="12">
        <v>0</v>
      </c>
      <c r="S2" s="12">
        <v>0</v>
      </c>
      <c r="T2" s="15">
        <v>2</v>
      </c>
      <c r="U2" s="20" t="s">
        <v>33</v>
      </c>
      <c r="V2" s="14">
        <v>360</v>
      </c>
      <c r="W2" s="14">
        <v>216</v>
      </c>
      <c r="X2" s="14">
        <v>216</v>
      </c>
      <c r="Y2" s="14">
        <v>360</v>
      </c>
      <c r="Z2" s="19"/>
      <c r="AA2" s="12">
        <v>216</v>
      </c>
      <c r="AB2" s="12">
        <v>216</v>
      </c>
      <c r="AC2" s="12">
        <v>216</v>
      </c>
      <c r="AD2" s="13">
        <v>0</v>
      </c>
      <c r="AE2" s="14">
        <v>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E2"/>
  <sheetViews>
    <sheetView zoomScale="72" zoomScaleNormal="72" workbookViewId="0">
      <selection activeCell="I23" sqref="I23"/>
    </sheetView>
  </sheetViews>
  <sheetFormatPr defaultRowHeight="17.399999999999999"/>
  <cols>
    <col min="1" max="1" width="5.8984375" bestFit="1" customWidth="1"/>
    <col min="2" max="2" width="5" bestFit="1" customWidth="1"/>
    <col min="3" max="3" width="7.69921875" bestFit="1" customWidth="1"/>
    <col min="4" max="4" width="9.8984375" bestFit="1" customWidth="1"/>
    <col min="5" max="5" width="5" bestFit="1" customWidth="1"/>
    <col min="6" max="6" width="19.59765625" bestFit="1" customWidth="1"/>
    <col min="7" max="7" width="16.5" bestFit="1" customWidth="1"/>
    <col min="8" max="8" width="4.09765625" bestFit="1" customWidth="1"/>
    <col min="9" max="9" width="20.69921875" bestFit="1" customWidth="1"/>
    <col min="10" max="10" width="10.3984375" bestFit="1" customWidth="1"/>
    <col min="11" max="12" width="5" bestFit="1" customWidth="1"/>
    <col min="13" max="13" width="13.3984375" bestFit="1" customWidth="1"/>
    <col min="14" max="15" width="9.5" bestFit="1" customWidth="1"/>
    <col min="16" max="16" width="10.3984375" bestFit="1" customWidth="1"/>
    <col min="17" max="19" width="8.59765625" bestFit="1" customWidth="1"/>
    <col min="20" max="20" width="10.3984375" bestFit="1" customWidth="1"/>
    <col min="21" max="23" width="8.59765625" bestFit="1" customWidth="1"/>
    <col min="24" max="24" width="13.3984375" bestFit="1" customWidth="1"/>
    <col min="25" max="25" width="9.5" bestFit="1" customWidth="1"/>
    <col min="26" max="26" width="7.69921875" bestFit="1" customWidth="1"/>
    <col min="27" max="28" width="8.59765625" bestFit="1" customWidth="1"/>
    <col min="29" max="29" width="16.59765625" bestFit="1" customWidth="1"/>
    <col min="30" max="30" width="10.3984375" bestFit="1" customWidth="1"/>
    <col min="31" max="31" width="13.3984375" bestFit="1" customWidth="1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15</v>
      </c>
      <c r="K1" s="1" t="s">
        <v>16</v>
      </c>
      <c r="L1" s="1" t="s">
        <v>17</v>
      </c>
      <c r="M1" s="2" t="s">
        <v>18</v>
      </c>
      <c r="N1" s="3" t="s">
        <v>19</v>
      </c>
      <c r="O1" s="3" t="s">
        <v>20</v>
      </c>
      <c r="P1" s="8" t="s">
        <v>9</v>
      </c>
      <c r="Q1" s="8" t="s">
        <v>10</v>
      </c>
      <c r="R1" s="2" t="s">
        <v>21</v>
      </c>
      <c r="S1" s="3" t="s">
        <v>22</v>
      </c>
      <c r="T1" s="8" t="s">
        <v>11</v>
      </c>
      <c r="U1" s="8" t="s">
        <v>12</v>
      </c>
      <c r="V1" s="2" t="s">
        <v>23</v>
      </c>
      <c r="W1" s="3" t="s">
        <v>24</v>
      </c>
      <c r="X1" s="1" t="s">
        <v>25</v>
      </c>
      <c r="Y1" s="1" t="s">
        <v>26</v>
      </c>
      <c r="Z1" s="4" t="s">
        <v>27</v>
      </c>
      <c r="AA1" s="1" t="s">
        <v>13</v>
      </c>
      <c r="AB1" s="1" t="s">
        <v>14</v>
      </c>
      <c r="AC1" s="9" t="s">
        <v>28</v>
      </c>
      <c r="AD1" s="5" t="s">
        <v>29</v>
      </c>
      <c r="AE1" s="10" t="s">
        <v>30</v>
      </c>
    </row>
    <row r="2" spans="1:31">
      <c r="A2" s="15">
        <v>10925</v>
      </c>
      <c r="B2" s="15" t="s">
        <v>117</v>
      </c>
      <c r="C2" s="15">
        <v>14529</v>
      </c>
      <c r="D2" s="15" t="s">
        <v>35</v>
      </c>
      <c r="E2" s="16"/>
      <c r="F2" s="15" t="s">
        <v>42</v>
      </c>
      <c r="G2" s="15" t="s">
        <v>40</v>
      </c>
      <c r="H2" s="16"/>
      <c r="I2" s="15" t="s">
        <v>43</v>
      </c>
      <c r="J2" s="17" t="s">
        <v>121</v>
      </c>
      <c r="K2" s="15" t="s">
        <v>117</v>
      </c>
      <c r="L2" s="15"/>
      <c r="M2" s="21">
        <v>0</v>
      </c>
      <c r="N2" s="15"/>
      <c r="O2" s="15"/>
      <c r="P2" s="15">
        <v>0</v>
      </c>
      <c r="Q2" s="18" t="s">
        <v>37</v>
      </c>
      <c r="R2" s="12">
        <v>0</v>
      </c>
      <c r="S2" s="12">
        <v>0</v>
      </c>
      <c r="T2" s="15">
        <v>2</v>
      </c>
      <c r="U2" s="20" t="s">
        <v>38</v>
      </c>
      <c r="V2" s="14">
        <v>360</v>
      </c>
      <c r="W2" s="14">
        <v>151.19999999999999</v>
      </c>
      <c r="X2" s="14">
        <v>151.19999999999999</v>
      </c>
      <c r="Y2" s="14">
        <v>360</v>
      </c>
      <c r="Z2" s="19"/>
      <c r="AA2" s="12">
        <v>151.19999999999999</v>
      </c>
      <c r="AB2" s="12">
        <v>151.19999999999999</v>
      </c>
      <c r="AC2" s="12">
        <v>151</v>
      </c>
      <c r="AD2" s="13">
        <v>0</v>
      </c>
      <c r="AE2" s="14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합계(1)</vt:lpstr>
      <vt:lpstr>더컴퍼니</vt:lpstr>
      <vt:lpstr>진엔터</vt:lpstr>
      <vt:lpstr>세상</vt:lpstr>
      <vt:lpstr>혜원</vt:lpstr>
      <vt:lpstr>더컴퍼니!Extract</vt:lpstr>
      <vt:lpstr>세상!Extract</vt:lpstr>
      <vt:lpstr>진엔터!Extract</vt:lpstr>
      <vt:lpstr>혜원!Extract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Daouincube_J.I.KO</dc:creator>
  <cp:lastModifiedBy>jihui</cp:lastModifiedBy>
  <dcterms:created xsi:type="dcterms:W3CDTF">2018-07-13T01:51:38Z</dcterms:created>
  <dcterms:modified xsi:type="dcterms:W3CDTF">2022-02-07T06:31:10Z</dcterms:modified>
</cp:coreProperties>
</file>