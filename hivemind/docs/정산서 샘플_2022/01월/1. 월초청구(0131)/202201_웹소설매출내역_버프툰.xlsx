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8952"/>
  </bookViews>
  <sheets>
    <sheet name="정산내역(1)" sheetId="2" r:id="rId1"/>
    <sheet name="이동열" sheetId="3" r:id="rId2"/>
    <sheet name="예로나" sheetId="4" r:id="rId3"/>
    <sheet name="김광수" sheetId="5" r:id="rId4"/>
    <sheet name="무장" sheetId="6" r:id="rId5"/>
    <sheet name="하이후" sheetId="7" r:id="rId6"/>
    <sheet name="군주" sheetId="8" r:id="rId7"/>
    <sheet name="청빙" sheetId="9" r:id="rId8"/>
    <sheet name="찬동" sheetId="10" r:id="rId9"/>
    <sheet name="독고진" sheetId="11" r:id="rId10"/>
    <sheet name="담화공" sheetId="12" r:id="rId11"/>
  </sheets>
  <definedNames>
    <definedName name="_xlnm._FilterDatabase" localSheetId="0" hidden="1">'정산내역(1)'!$A$1:$S$19</definedName>
    <definedName name="_xlnm.Extract" localSheetId="6">군주!$A$1:$S$1</definedName>
    <definedName name="_xlnm.Extract" localSheetId="3">김광수!$A$1:$S$1</definedName>
    <definedName name="_xlnm.Extract" localSheetId="10">담화공!$A$1:$S$1</definedName>
    <definedName name="_xlnm.Extract" localSheetId="9">독고진!$A$1:$S$1</definedName>
    <definedName name="_xlnm.Extract" localSheetId="4">무장!$A$1:$S$1</definedName>
    <definedName name="_xlnm.Extract" localSheetId="2">예로나!$A$1:$S$1</definedName>
    <definedName name="_xlnm.Extract" localSheetId="1">이동열!$A$1:$S$1</definedName>
    <definedName name="_xlnm.Extract" localSheetId="0">'정산내역(1)'!#REF!</definedName>
    <definedName name="_xlnm.Extract" localSheetId="8">찬동!$A$1:$S$1</definedName>
    <definedName name="_xlnm.Extract" localSheetId="7">청빙!$A$1:$S$1</definedName>
    <definedName name="_xlnm.Extract" localSheetId="5">하이후!$A$1:$S$1</definedName>
  </definedNames>
  <calcPr calcId="152511"/>
</workbook>
</file>

<file path=xl/calcChain.xml><?xml version="1.0" encoding="utf-8"?>
<calcChain xmlns="http://schemas.openxmlformats.org/spreadsheetml/2006/main">
  <c r="S4" i="11" l="1"/>
  <c r="S4" i="10"/>
  <c r="S4" i="9"/>
  <c r="S7" i="5"/>
  <c r="S19" i="2" l="1"/>
</calcChain>
</file>

<file path=xl/sharedStrings.xml><?xml version="1.0" encoding="utf-8"?>
<sst xmlns="http://schemas.openxmlformats.org/spreadsheetml/2006/main" count="683" uniqueCount="61">
  <si>
    <t>-</t>
  </si>
  <si>
    <t>작품번호</t>
  </si>
  <si>
    <t>작품명</t>
  </si>
  <si>
    <t>연동계정명</t>
  </si>
  <si>
    <t>주문상태</t>
  </si>
  <si>
    <t>주문유형</t>
  </si>
  <si>
    <t>주문건수</t>
  </si>
  <si>
    <t>합계금액</t>
  </si>
  <si>
    <t>작품기간할인</t>
  </si>
  <si>
    <t>일괄구매할인</t>
  </si>
  <si>
    <t>모아무이용권</t>
  </si>
  <si>
    <t>이용권</t>
  </si>
  <si>
    <t>유료코인</t>
  </si>
  <si>
    <t>이벤트코인</t>
  </si>
  <si>
    <t>보너스코인</t>
  </si>
  <si>
    <t>IOS유료코인</t>
  </si>
  <si>
    <t>IOS이벤트코인</t>
  </si>
  <si>
    <t>IOS보너스코인</t>
  </si>
  <si>
    <t>정산금액</t>
  </si>
  <si>
    <t>1007390</t>
  </si>
  <si>
    <t>나 혼자만 일일 보상</t>
  </si>
  <si>
    <t>스토리위즈</t>
  </si>
  <si>
    <t>주문완료</t>
  </si>
  <si>
    <t>구매</t>
  </si>
  <si>
    <t>대여</t>
  </si>
  <si>
    <t>1007394</t>
  </si>
  <si>
    <t>기사가문 망나니는 10클래스</t>
  </si>
  <si>
    <t>1007399</t>
  </si>
  <si>
    <t>회귀의 전설 1부</t>
  </si>
  <si>
    <t>1007400</t>
  </si>
  <si>
    <t>회귀의 전설 2부</t>
  </si>
  <si>
    <t>작가명</t>
    <phoneticPr fontId="21" type="noConversion"/>
  </si>
  <si>
    <t>1007657</t>
  </si>
  <si>
    <t>최종 보스 : 빛을 향해 달리는 그림자</t>
  </si>
  <si>
    <t>1007660</t>
  </si>
  <si>
    <t>이과생 둘이 회귀했다</t>
  </si>
  <si>
    <t>1007662</t>
  </si>
  <si>
    <t>작가무림</t>
  </si>
  <si>
    <t>1007668</t>
  </si>
  <si>
    <t>라스트 서바이버 : 진화로 살아남아라!</t>
  </si>
  <si>
    <t>1007669</t>
  </si>
  <si>
    <t>게임 속 유닛</t>
  </si>
  <si>
    <t>1007670</t>
  </si>
  <si>
    <t>스트라이커</t>
  </si>
  <si>
    <t>1007672</t>
  </si>
  <si>
    <t>화산지애</t>
  </si>
  <si>
    <t>이동열</t>
  </si>
  <si>
    <t>예로나</t>
  </si>
  <si>
    <t>하이후</t>
  </si>
  <si>
    <t>군주</t>
  </si>
  <si>
    <t>김광수</t>
  </si>
  <si>
    <t>찬동</t>
  </si>
  <si>
    <t>독고진</t>
  </si>
  <si>
    <t>1007398</t>
  </si>
  <si>
    <t>바람의 기사 아르테온</t>
  </si>
  <si>
    <t>1007724</t>
  </si>
  <si>
    <t>디버프 마스터</t>
  </si>
  <si>
    <t>김광수</t>
    <phoneticPr fontId="21" type="noConversion"/>
  </si>
  <si>
    <t>담화공</t>
  </si>
  <si>
    <t>무장</t>
    <phoneticPr fontId="21" type="noConversion"/>
  </si>
  <si>
    <t>청빙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</si>
</sst>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right" vertical="center"/>
    </xf>
    <xf numFmtId="3" fontId="0" fillId="4" borderId="0" xfId="0" applyNumberFormat="1" applyFill="1">
      <alignment vertical="center"/>
    </xf>
    <xf numFmtId="3" fontId="20" fillId="3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9"/>
  <sheetViews>
    <sheetView showGridLines="0" tabSelected="1" zoomScale="59" zoomScaleNormal="59" workbookViewId="0">
      <selection activeCell="C12" sqref="C12"/>
    </sheetView>
  </sheetViews>
  <sheetFormatPr defaultColWidth="20.796875" defaultRowHeight="30" customHeight="1" x14ac:dyDescent="0.4"/>
  <cols>
    <col min="1" max="1" width="7.8984375" customWidth="1"/>
    <col min="2" max="2" width="26.69921875" customWidth="1"/>
    <col min="4" max="4" width="13.8984375" customWidth="1"/>
    <col min="10" max="10" width="11" customWidth="1"/>
    <col min="11" max="11" width="11.59765625" customWidth="1"/>
    <col min="12" max="12" width="12.296875" customWidth="1"/>
    <col min="13" max="13" width="10" customWidth="1"/>
    <col min="14" max="14" width="11" customWidth="1"/>
    <col min="15" max="15" width="14.5" customWidth="1"/>
    <col min="16" max="16" width="14.69921875" customWidth="1"/>
    <col min="17" max="17" width="11.796875" customWidth="1"/>
    <col min="18" max="18" width="12.09765625" customWidth="1"/>
    <col min="19" max="19" width="10.69921875" customWidth="1"/>
  </cols>
  <sheetData>
    <row r="1" spans="1:19" ht="17.399999999999999" x14ac:dyDescent="0.4">
      <c r="A1" s="2" t="s">
        <v>1</v>
      </c>
      <c r="B1" s="3" t="s">
        <v>2</v>
      </c>
      <c r="C1" s="1" t="s">
        <v>31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ht="30" customHeight="1" x14ac:dyDescent="0.4">
      <c r="A2" s="20" t="s">
        <v>19</v>
      </c>
      <c r="B2" s="20" t="s">
        <v>20</v>
      </c>
      <c r="C2" s="20" t="s">
        <v>46</v>
      </c>
      <c r="D2" s="20" t="s">
        <v>21</v>
      </c>
      <c r="E2" s="20" t="s">
        <v>22</v>
      </c>
      <c r="F2" s="20" t="s">
        <v>23</v>
      </c>
      <c r="G2" s="22">
        <v>55</v>
      </c>
      <c r="H2" s="22">
        <v>5500</v>
      </c>
      <c r="I2" s="20" t="s">
        <v>0</v>
      </c>
      <c r="J2" s="20" t="s">
        <v>0</v>
      </c>
      <c r="K2" s="20" t="s">
        <v>0</v>
      </c>
      <c r="L2" s="20" t="s">
        <v>0</v>
      </c>
      <c r="M2" s="22">
        <v>5300</v>
      </c>
      <c r="N2" s="22">
        <v>200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3479</v>
      </c>
    </row>
    <row r="3" spans="1:19" ht="30" customHeight="1" x14ac:dyDescent="0.4">
      <c r="A3" s="20" t="s">
        <v>25</v>
      </c>
      <c r="B3" s="20" t="s">
        <v>26</v>
      </c>
      <c r="C3" s="20" t="s">
        <v>47</v>
      </c>
      <c r="D3" s="20" t="s">
        <v>21</v>
      </c>
      <c r="E3" s="20" t="s">
        <v>22</v>
      </c>
      <c r="F3" s="20" t="s">
        <v>23</v>
      </c>
      <c r="G3" s="22">
        <v>1</v>
      </c>
      <c r="H3" s="22">
        <v>100</v>
      </c>
      <c r="I3" s="20" t="s">
        <v>0</v>
      </c>
      <c r="J3" s="20" t="s">
        <v>0</v>
      </c>
      <c r="K3" s="20" t="s">
        <v>0</v>
      </c>
      <c r="L3" s="20" t="s">
        <v>0</v>
      </c>
      <c r="M3" s="22">
        <v>100</v>
      </c>
      <c r="N3" s="20" t="s">
        <v>0</v>
      </c>
      <c r="O3" s="20" t="s">
        <v>0</v>
      </c>
      <c r="P3" s="20" t="s">
        <v>0</v>
      </c>
      <c r="Q3" s="20" t="s">
        <v>0</v>
      </c>
      <c r="R3" s="20" t="s">
        <v>0</v>
      </c>
      <c r="S3" s="22">
        <v>63</v>
      </c>
    </row>
    <row r="4" spans="1:19" ht="30" customHeight="1" x14ac:dyDescent="0.4">
      <c r="A4" s="20" t="s">
        <v>53</v>
      </c>
      <c r="B4" s="20" t="s">
        <v>54</v>
      </c>
      <c r="C4" s="20" t="s">
        <v>50</v>
      </c>
      <c r="D4" s="20" t="s">
        <v>21</v>
      </c>
      <c r="E4" s="20" t="s">
        <v>22</v>
      </c>
      <c r="F4" s="20" t="s">
        <v>23</v>
      </c>
      <c r="G4" s="22">
        <v>1</v>
      </c>
      <c r="H4" s="22">
        <v>100</v>
      </c>
      <c r="I4" s="20" t="s">
        <v>0</v>
      </c>
      <c r="J4" s="20" t="s">
        <v>0</v>
      </c>
      <c r="K4" s="20" t="s">
        <v>0</v>
      </c>
      <c r="L4" s="20" t="s">
        <v>0</v>
      </c>
      <c r="M4" s="20" t="s">
        <v>0</v>
      </c>
      <c r="N4" s="20" t="s">
        <v>0</v>
      </c>
      <c r="O4" s="20" t="s">
        <v>0</v>
      </c>
      <c r="P4" s="22">
        <v>100</v>
      </c>
      <c r="Q4" s="20" t="s">
        <v>0</v>
      </c>
      <c r="R4" s="20" t="s">
        <v>0</v>
      </c>
      <c r="S4" s="22">
        <v>49</v>
      </c>
    </row>
    <row r="5" spans="1:19" ht="30" customHeight="1" x14ac:dyDescent="0.4">
      <c r="A5" s="20" t="s">
        <v>27</v>
      </c>
      <c r="B5" s="20" t="s">
        <v>28</v>
      </c>
      <c r="C5" s="20" t="s">
        <v>57</v>
      </c>
      <c r="D5" s="20" t="s">
        <v>21</v>
      </c>
      <c r="E5" s="20" t="s">
        <v>22</v>
      </c>
      <c r="F5" s="20" t="s">
        <v>23</v>
      </c>
      <c r="G5" s="22">
        <v>1101</v>
      </c>
      <c r="H5" s="22">
        <v>110100</v>
      </c>
      <c r="I5" s="20" t="s">
        <v>0</v>
      </c>
      <c r="J5" s="20" t="s">
        <v>0</v>
      </c>
      <c r="K5" s="20" t="s">
        <v>0</v>
      </c>
      <c r="L5" s="20" t="s">
        <v>0</v>
      </c>
      <c r="M5" s="22">
        <v>93400</v>
      </c>
      <c r="N5" s="22">
        <v>2800</v>
      </c>
      <c r="O5" s="20" t="s">
        <v>0</v>
      </c>
      <c r="P5" s="22">
        <v>12700</v>
      </c>
      <c r="Q5" s="22">
        <v>1200</v>
      </c>
      <c r="R5" s="20" t="s">
        <v>0</v>
      </c>
      <c r="S5" s="22">
        <v>67865</v>
      </c>
    </row>
    <row r="6" spans="1:19" ht="30" customHeight="1" x14ac:dyDescent="0.4">
      <c r="A6" s="20" t="s">
        <v>29</v>
      </c>
      <c r="B6" s="20" t="s">
        <v>30</v>
      </c>
      <c r="C6" s="20" t="s">
        <v>57</v>
      </c>
      <c r="D6" s="20" t="s">
        <v>21</v>
      </c>
      <c r="E6" s="20" t="s">
        <v>22</v>
      </c>
      <c r="F6" s="20" t="s">
        <v>23</v>
      </c>
      <c r="G6" s="22">
        <v>935</v>
      </c>
      <c r="H6" s="22">
        <v>93500</v>
      </c>
      <c r="I6" s="20" t="s">
        <v>0</v>
      </c>
      <c r="J6" s="20" t="s">
        <v>0</v>
      </c>
      <c r="K6" s="20" t="s">
        <v>0</v>
      </c>
      <c r="L6" s="20" t="s">
        <v>0</v>
      </c>
      <c r="M6" s="22">
        <v>53500</v>
      </c>
      <c r="N6" s="22">
        <v>9400</v>
      </c>
      <c r="O6" s="22">
        <v>30600</v>
      </c>
      <c r="P6" s="20" t="s">
        <v>0</v>
      </c>
      <c r="Q6" s="20" t="s">
        <v>0</v>
      </c>
      <c r="R6" s="20" t="s">
        <v>0</v>
      </c>
      <c r="S6" s="22">
        <v>61705</v>
      </c>
    </row>
    <row r="7" spans="1:19" ht="30" customHeight="1" x14ac:dyDescent="0.4">
      <c r="A7" s="20" t="s">
        <v>32</v>
      </c>
      <c r="B7" s="20" t="s">
        <v>33</v>
      </c>
      <c r="C7" s="20" t="s">
        <v>59</v>
      </c>
      <c r="D7" s="20" t="s">
        <v>21</v>
      </c>
      <c r="E7" s="20" t="s">
        <v>22</v>
      </c>
      <c r="F7" s="20" t="s">
        <v>23</v>
      </c>
      <c r="G7" s="22">
        <v>372</v>
      </c>
      <c r="H7" s="22">
        <v>37200</v>
      </c>
      <c r="I7" s="20" t="s">
        <v>0</v>
      </c>
      <c r="J7" s="20" t="s">
        <v>0</v>
      </c>
      <c r="K7" s="20" t="s">
        <v>0</v>
      </c>
      <c r="L7" s="20" t="s">
        <v>0</v>
      </c>
      <c r="M7" s="22">
        <v>32700</v>
      </c>
      <c r="N7" s="22">
        <v>2500</v>
      </c>
      <c r="O7" s="22">
        <v>2000</v>
      </c>
      <c r="P7" s="20" t="s">
        <v>0</v>
      </c>
      <c r="Q7" s="20" t="s">
        <v>0</v>
      </c>
      <c r="R7" s="20" t="s">
        <v>0</v>
      </c>
      <c r="S7" s="22">
        <v>23751</v>
      </c>
    </row>
    <row r="8" spans="1:19" ht="30" customHeight="1" x14ac:dyDescent="0.4">
      <c r="A8" s="20" t="s">
        <v>34</v>
      </c>
      <c r="B8" s="20" t="s">
        <v>35</v>
      </c>
      <c r="C8" s="20" t="s">
        <v>48</v>
      </c>
      <c r="D8" s="20" t="s">
        <v>21</v>
      </c>
      <c r="E8" s="20" t="s">
        <v>22</v>
      </c>
      <c r="F8" s="20" t="s">
        <v>23</v>
      </c>
      <c r="G8" s="22">
        <v>253</v>
      </c>
      <c r="H8" s="22">
        <v>25300</v>
      </c>
      <c r="I8" s="20" t="s">
        <v>0</v>
      </c>
      <c r="J8" s="20" t="s">
        <v>0</v>
      </c>
      <c r="K8" s="20" t="s">
        <v>0</v>
      </c>
      <c r="L8" s="20" t="s">
        <v>0</v>
      </c>
      <c r="M8" s="22">
        <v>20000</v>
      </c>
      <c r="N8" s="22">
        <v>3800</v>
      </c>
      <c r="O8" s="22">
        <v>1500</v>
      </c>
      <c r="P8" s="20" t="s">
        <v>0</v>
      </c>
      <c r="Q8" s="20" t="s">
        <v>0</v>
      </c>
      <c r="R8" s="20" t="s">
        <v>0</v>
      </c>
      <c r="S8" s="22">
        <v>16310</v>
      </c>
    </row>
    <row r="9" spans="1:19" ht="30" customHeight="1" x14ac:dyDescent="0.4">
      <c r="A9" s="20" t="s">
        <v>36</v>
      </c>
      <c r="B9" s="20" t="s">
        <v>37</v>
      </c>
      <c r="C9" s="20" t="s">
        <v>49</v>
      </c>
      <c r="D9" s="20" t="s">
        <v>21</v>
      </c>
      <c r="E9" s="20" t="s">
        <v>22</v>
      </c>
      <c r="F9" s="20" t="s">
        <v>23</v>
      </c>
      <c r="G9" s="22">
        <v>26</v>
      </c>
      <c r="H9" s="22">
        <v>2600</v>
      </c>
      <c r="I9" s="20" t="s">
        <v>0</v>
      </c>
      <c r="J9" s="20" t="s">
        <v>0</v>
      </c>
      <c r="K9" s="20" t="s">
        <v>0</v>
      </c>
      <c r="L9" s="20" t="s">
        <v>0</v>
      </c>
      <c r="M9" s="22">
        <v>2600</v>
      </c>
      <c r="N9" s="20" t="s">
        <v>0</v>
      </c>
      <c r="O9" s="20" t="s">
        <v>0</v>
      </c>
      <c r="P9" s="20" t="s">
        <v>0</v>
      </c>
      <c r="Q9" s="20" t="s">
        <v>0</v>
      </c>
      <c r="R9" s="20" t="s">
        <v>0</v>
      </c>
      <c r="S9" s="22">
        <v>1638</v>
      </c>
    </row>
    <row r="10" spans="1:19" ht="30" customHeight="1" x14ac:dyDescent="0.4">
      <c r="A10" s="20" t="s">
        <v>38</v>
      </c>
      <c r="B10" s="20" t="s">
        <v>39</v>
      </c>
      <c r="C10" s="20" t="s">
        <v>60</v>
      </c>
      <c r="D10" s="20" t="s">
        <v>21</v>
      </c>
      <c r="E10" s="20" t="s">
        <v>22</v>
      </c>
      <c r="F10" s="20" t="s">
        <v>24</v>
      </c>
      <c r="G10" s="22">
        <v>35</v>
      </c>
      <c r="H10" s="22">
        <v>3500</v>
      </c>
      <c r="I10" s="20" t="s">
        <v>0</v>
      </c>
      <c r="J10" s="20" t="s">
        <v>0</v>
      </c>
      <c r="K10" s="22">
        <v>3500</v>
      </c>
      <c r="L10" s="20" t="s">
        <v>0</v>
      </c>
      <c r="M10" s="20" t="s">
        <v>0</v>
      </c>
      <c r="N10" s="20" t="s">
        <v>0</v>
      </c>
      <c r="O10" s="20" t="s">
        <v>0</v>
      </c>
      <c r="P10" s="20" t="s">
        <v>0</v>
      </c>
      <c r="Q10" s="20" t="s">
        <v>0</v>
      </c>
      <c r="R10" s="20" t="s">
        <v>0</v>
      </c>
      <c r="S10" s="22">
        <v>2450</v>
      </c>
    </row>
    <row r="11" spans="1:19" ht="30" customHeight="1" x14ac:dyDescent="0.4">
      <c r="A11" s="20" t="s">
        <v>38</v>
      </c>
      <c r="B11" s="20" t="s">
        <v>39</v>
      </c>
      <c r="C11" s="20" t="s">
        <v>60</v>
      </c>
      <c r="D11" s="20" t="s">
        <v>21</v>
      </c>
      <c r="E11" s="20" t="s">
        <v>22</v>
      </c>
      <c r="F11" s="20" t="s">
        <v>23</v>
      </c>
      <c r="G11" s="22">
        <v>277</v>
      </c>
      <c r="H11" s="22">
        <v>27700</v>
      </c>
      <c r="I11" s="20" t="s">
        <v>0</v>
      </c>
      <c r="J11" s="20" t="s">
        <v>0</v>
      </c>
      <c r="K11" s="20" t="s">
        <v>0</v>
      </c>
      <c r="L11" s="20" t="s">
        <v>0</v>
      </c>
      <c r="M11" s="22">
        <v>27700</v>
      </c>
      <c r="N11" s="20" t="s">
        <v>0</v>
      </c>
      <c r="O11" s="20" t="s">
        <v>0</v>
      </c>
      <c r="P11" s="20" t="s">
        <v>0</v>
      </c>
      <c r="Q11" s="20" t="s">
        <v>0</v>
      </c>
      <c r="R11" s="20" t="s">
        <v>0</v>
      </c>
      <c r="S11" s="22">
        <v>17451</v>
      </c>
    </row>
    <row r="12" spans="1:19" ht="30" customHeight="1" x14ac:dyDescent="0.4">
      <c r="A12" s="20" t="s">
        <v>40</v>
      </c>
      <c r="B12" s="20" t="s">
        <v>41</v>
      </c>
      <c r="C12" s="20" t="s">
        <v>51</v>
      </c>
      <c r="D12" s="20" t="s">
        <v>21</v>
      </c>
      <c r="E12" s="20" t="s">
        <v>22</v>
      </c>
      <c r="F12" s="20" t="s">
        <v>24</v>
      </c>
      <c r="G12" s="22">
        <v>61</v>
      </c>
      <c r="H12" s="22">
        <v>6100</v>
      </c>
      <c r="I12" s="20" t="s">
        <v>0</v>
      </c>
      <c r="J12" s="20" t="s">
        <v>0</v>
      </c>
      <c r="K12" s="22">
        <v>6100</v>
      </c>
      <c r="L12" s="20" t="s">
        <v>0</v>
      </c>
      <c r="M12" s="20" t="s">
        <v>0</v>
      </c>
      <c r="N12" s="20" t="s">
        <v>0</v>
      </c>
      <c r="O12" s="20" t="s">
        <v>0</v>
      </c>
      <c r="P12" s="20" t="s">
        <v>0</v>
      </c>
      <c r="Q12" s="20" t="s">
        <v>0</v>
      </c>
      <c r="R12" s="20" t="s">
        <v>0</v>
      </c>
      <c r="S12" s="22">
        <v>4270</v>
      </c>
    </row>
    <row r="13" spans="1:19" ht="30" customHeight="1" x14ac:dyDescent="0.4">
      <c r="A13" s="20" t="s">
        <v>40</v>
      </c>
      <c r="B13" s="20" t="s">
        <v>41</v>
      </c>
      <c r="C13" s="20" t="s">
        <v>51</v>
      </c>
      <c r="D13" s="20" t="s">
        <v>21</v>
      </c>
      <c r="E13" s="20" t="s">
        <v>22</v>
      </c>
      <c r="F13" s="20" t="s">
        <v>23</v>
      </c>
      <c r="G13" s="22">
        <v>2</v>
      </c>
      <c r="H13" s="22">
        <v>200</v>
      </c>
      <c r="I13" s="20" t="s">
        <v>0</v>
      </c>
      <c r="J13" s="20" t="s">
        <v>0</v>
      </c>
      <c r="K13" s="20" t="s">
        <v>0</v>
      </c>
      <c r="L13" s="20" t="s">
        <v>0</v>
      </c>
      <c r="M13" s="20" t="s">
        <v>0</v>
      </c>
      <c r="N13" s="22">
        <v>200</v>
      </c>
      <c r="O13" s="20" t="s">
        <v>0</v>
      </c>
      <c r="P13" s="20" t="s">
        <v>0</v>
      </c>
      <c r="Q13" s="20" t="s">
        <v>0</v>
      </c>
      <c r="R13" s="20" t="s">
        <v>0</v>
      </c>
      <c r="S13" s="22">
        <v>140</v>
      </c>
    </row>
    <row r="14" spans="1:19" ht="30" customHeight="1" x14ac:dyDescent="0.4">
      <c r="A14" s="20" t="s">
        <v>42</v>
      </c>
      <c r="B14" s="20" t="s">
        <v>43</v>
      </c>
      <c r="C14" s="20" t="s">
        <v>52</v>
      </c>
      <c r="D14" s="20" t="s">
        <v>21</v>
      </c>
      <c r="E14" s="20" t="s">
        <v>22</v>
      </c>
      <c r="F14" s="20" t="s">
        <v>24</v>
      </c>
      <c r="G14" s="22">
        <v>113</v>
      </c>
      <c r="H14" s="22">
        <v>11300</v>
      </c>
      <c r="I14" s="20" t="s">
        <v>0</v>
      </c>
      <c r="J14" s="20" t="s">
        <v>0</v>
      </c>
      <c r="K14" s="22">
        <v>11300</v>
      </c>
      <c r="L14" s="20" t="s">
        <v>0</v>
      </c>
      <c r="M14" s="20" t="s">
        <v>0</v>
      </c>
      <c r="N14" s="20" t="s">
        <v>0</v>
      </c>
      <c r="O14" s="20" t="s">
        <v>0</v>
      </c>
      <c r="P14" s="20" t="s">
        <v>0</v>
      </c>
      <c r="Q14" s="20" t="s">
        <v>0</v>
      </c>
      <c r="R14" s="20" t="s">
        <v>0</v>
      </c>
      <c r="S14" s="22">
        <v>7910</v>
      </c>
    </row>
    <row r="15" spans="1:19" ht="30" customHeight="1" x14ac:dyDescent="0.4">
      <c r="A15" s="20" t="s">
        <v>42</v>
      </c>
      <c r="B15" s="20" t="s">
        <v>43</v>
      </c>
      <c r="C15" s="20" t="s">
        <v>52</v>
      </c>
      <c r="D15" s="20" t="s">
        <v>21</v>
      </c>
      <c r="E15" s="20" t="s">
        <v>22</v>
      </c>
      <c r="F15" s="20" t="s">
        <v>23</v>
      </c>
      <c r="G15" s="22">
        <v>73</v>
      </c>
      <c r="H15" s="22">
        <v>7300</v>
      </c>
      <c r="I15" s="20" t="s">
        <v>0</v>
      </c>
      <c r="J15" s="20" t="s">
        <v>0</v>
      </c>
      <c r="K15" s="20" t="s">
        <v>0</v>
      </c>
      <c r="L15" s="20" t="s">
        <v>0</v>
      </c>
      <c r="M15" s="20" t="s">
        <v>0</v>
      </c>
      <c r="N15" s="22">
        <v>7300</v>
      </c>
      <c r="O15" s="20" t="s">
        <v>0</v>
      </c>
      <c r="P15" s="20" t="s">
        <v>0</v>
      </c>
      <c r="Q15" s="20" t="s">
        <v>0</v>
      </c>
      <c r="R15" s="20" t="s">
        <v>0</v>
      </c>
      <c r="S15" s="22">
        <v>5110</v>
      </c>
    </row>
    <row r="16" spans="1:19" ht="30" customHeight="1" x14ac:dyDescent="0.4">
      <c r="A16" s="20" t="s">
        <v>44</v>
      </c>
      <c r="B16" s="20" t="s">
        <v>45</v>
      </c>
      <c r="C16" s="20" t="s">
        <v>50</v>
      </c>
      <c r="D16" s="20" t="s">
        <v>21</v>
      </c>
      <c r="E16" s="20" t="s">
        <v>22</v>
      </c>
      <c r="F16" s="20" t="s">
        <v>24</v>
      </c>
      <c r="G16" s="22">
        <v>40</v>
      </c>
      <c r="H16" s="22">
        <v>4000</v>
      </c>
      <c r="I16" s="20" t="s">
        <v>0</v>
      </c>
      <c r="J16" s="20" t="s">
        <v>0</v>
      </c>
      <c r="K16" s="22">
        <v>4000</v>
      </c>
      <c r="L16" s="20" t="s">
        <v>0</v>
      </c>
      <c r="M16" s="20" t="s">
        <v>0</v>
      </c>
      <c r="N16" s="20" t="s">
        <v>0</v>
      </c>
      <c r="O16" s="20" t="s">
        <v>0</v>
      </c>
      <c r="P16" s="20" t="s">
        <v>0</v>
      </c>
      <c r="Q16" s="20" t="s">
        <v>0</v>
      </c>
      <c r="R16" s="20" t="s">
        <v>0</v>
      </c>
      <c r="S16" s="22">
        <v>2800</v>
      </c>
    </row>
    <row r="17" spans="1:19" ht="30" customHeight="1" x14ac:dyDescent="0.4">
      <c r="A17" s="20" t="s">
        <v>44</v>
      </c>
      <c r="B17" s="20" t="s">
        <v>45</v>
      </c>
      <c r="C17" s="20" t="s">
        <v>50</v>
      </c>
      <c r="D17" s="20" t="s">
        <v>21</v>
      </c>
      <c r="E17" s="20" t="s">
        <v>22</v>
      </c>
      <c r="F17" s="20" t="s">
        <v>23</v>
      </c>
      <c r="G17" s="22">
        <v>118</v>
      </c>
      <c r="H17" s="22">
        <v>11800</v>
      </c>
      <c r="I17" s="20" t="s">
        <v>0</v>
      </c>
      <c r="J17" s="20" t="s">
        <v>0</v>
      </c>
      <c r="K17" s="20" t="s">
        <v>0</v>
      </c>
      <c r="L17" s="20" t="s">
        <v>0</v>
      </c>
      <c r="M17" s="22">
        <v>6400</v>
      </c>
      <c r="N17" s="22">
        <v>5300</v>
      </c>
      <c r="O17" s="22">
        <v>100</v>
      </c>
      <c r="P17" s="20" t="s">
        <v>0</v>
      </c>
      <c r="Q17" s="20" t="s">
        <v>0</v>
      </c>
      <c r="R17" s="20" t="s">
        <v>0</v>
      </c>
      <c r="S17" s="22">
        <v>7812</v>
      </c>
    </row>
    <row r="18" spans="1:19" ht="30" customHeight="1" x14ac:dyDescent="0.4">
      <c r="A18" s="20" t="s">
        <v>55</v>
      </c>
      <c r="B18" s="20" t="s">
        <v>56</v>
      </c>
      <c r="C18" s="20" t="s">
        <v>58</v>
      </c>
      <c r="D18" s="20" t="s">
        <v>21</v>
      </c>
      <c r="E18" s="20" t="s">
        <v>22</v>
      </c>
      <c r="F18" s="20" t="s">
        <v>23</v>
      </c>
      <c r="G18" s="22">
        <v>4154</v>
      </c>
      <c r="H18" s="22">
        <v>415400</v>
      </c>
      <c r="I18" s="20" t="s">
        <v>0</v>
      </c>
      <c r="J18" s="20" t="s">
        <v>0</v>
      </c>
      <c r="K18" s="20" t="s">
        <v>0</v>
      </c>
      <c r="L18" s="22">
        <v>105500</v>
      </c>
      <c r="M18" s="22">
        <v>272900</v>
      </c>
      <c r="N18" s="22">
        <v>12100</v>
      </c>
      <c r="O18" s="22">
        <v>18800</v>
      </c>
      <c r="P18" s="22">
        <v>1900</v>
      </c>
      <c r="Q18" s="22">
        <v>200</v>
      </c>
      <c r="R18" s="22">
        <v>4000</v>
      </c>
      <c r="S18" s="22">
        <v>271278</v>
      </c>
    </row>
    <row r="19" spans="1:19" ht="30" customHeight="1" x14ac:dyDescent="0.4">
      <c r="S19" s="21">
        <f>SUM(S2:S18)</f>
        <v>494081</v>
      </c>
    </row>
  </sheetData>
  <phoneticPr fontId="2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2"/>
  <sheetViews>
    <sheetView workbookViewId="0"/>
  </sheetViews>
  <sheetFormatPr defaultRowHeight="17.399999999999999" x14ac:dyDescent="0.4"/>
  <cols>
    <col min="1" max="1" width="8.59765625" bestFit="1" customWidth="1"/>
    <col min="2" max="2" width="18.29687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31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19</v>
      </c>
      <c r="B2" s="20" t="s">
        <v>20</v>
      </c>
      <c r="C2" s="20" t="s">
        <v>46</v>
      </c>
      <c r="D2" s="20" t="s">
        <v>21</v>
      </c>
      <c r="E2" s="20" t="s">
        <v>22</v>
      </c>
      <c r="F2" s="20" t="s">
        <v>23</v>
      </c>
      <c r="G2" s="22">
        <v>55</v>
      </c>
      <c r="H2" s="22">
        <v>5500</v>
      </c>
      <c r="I2" s="20" t="s">
        <v>0</v>
      </c>
      <c r="J2" s="20" t="s">
        <v>0</v>
      </c>
      <c r="K2" s="20" t="s">
        <v>0</v>
      </c>
      <c r="L2" s="20" t="s">
        <v>0</v>
      </c>
      <c r="M2" s="22">
        <v>5300</v>
      </c>
      <c r="N2" s="22">
        <v>200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3479</v>
      </c>
    </row>
  </sheetData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S2"/>
  <sheetViews>
    <sheetView workbookViewId="0"/>
  </sheetViews>
  <sheetFormatPr defaultRowHeight="17.399999999999999" x14ac:dyDescent="0.4"/>
  <cols>
    <col min="1" max="1" width="8.59765625" bestFit="1" customWidth="1"/>
    <col min="2" max="2" width="25.6992187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31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25</v>
      </c>
      <c r="B2" s="20" t="s">
        <v>26</v>
      </c>
      <c r="C2" s="20" t="s">
        <v>47</v>
      </c>
      <c r="D2" s="20" t="s">
        <v>21</v>
      </c>
      <c r="E2" s="20" t="s">
        <v>22</v>
      </c>
      <c r="F2" s="20" t="s">
        <v>23</v>
      </c>
      <c r="G2" s="22">
        <v>1</v>
      </c>
      <c r="H2" s="22">
        <v>100</v>
      </c>
      <c r="I2" s="20" t="s">
        <v>0</v>
      </c>
      <c r="J2" s="20" t="s">
        <v>0</v>
      </c>
      <c r="K2" s="20" t="s">
        <v>0</v>
      </c>
      <c r="L2" s="20" t="s">
        <v>0</v>
      </c>
      <c r="M2" s="22">
        <v>100</v>
      </c>
      <c r="N2" s="20" t="s">
        <v>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63</v>
      </c>
    </row>
  </sheetData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S7"/>
  <sheetViews>
    <sheetView topLeftCell="C1" workbookViewId="0">
      <selection activeCell="S7" sqref="S7"/>
    </sheetView>
  </sheetViews>
  <sheetFormatPr defaultRowHeight="17.399999999999999" x14ac:dyDescent="0.4"/>
  <cols>
    <col min="1" max="1" width="8.59765625" bestFit="1" customWidth="1"/>
    <col min="2" max="2" width="19.5976562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31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53</v>
      </c>
      <c r="B2" s="20" t="s">
        <v>54</v>
      </c>
      <c r="C2" s="20" t="s">
        <v>50</v>
      </c>
      <c r="D2" s="20" t="s">
        <v>21</v>
      </c>
      <c r="E2" s="20" t="s">
        <v>22</v>
      </c>
      <c r="F2" s="20" t="s">
        <v>23</v>
      </c>
      <c r="G2" s="22">
        <v>1</v>
      </c>
      <c r="H2" s="22">
        <v>100</v>
      </c>
      <c r="I2" s="20" t="s">
        <v>0</v>
      </c>
      <c r="J2" s="20" t="s">
        <v>0</v>
      </c>
      <c r="K2" s="20" t="s">
        <v>0</v>
      </c>
      <c r="L2" s="20" t="s">
        <v>0</v>
      </c>
      <c r="M2" s="20" t="s">
        <v>0</v>
      </c>
      <c r="N2" s="20" t="s">
        <v>0</v>
      </c>
      <c r="O2" s="20" t="s">
        <v>0</v>
      </c>
      <c r="P2" s="22">
        <v>100</v>
      </c>
      <c r="Q2" s="20" t="s">
        <v>0</v>
      </c>
      <c r="R2" s="20" t="s">
        <v>0</v>
      </c>
      <c r="S2" s="22">
        <v>49</v>
      </c>
    </row>
    <row r="3" spans="1:19" x14ac:dyDescent="0.4">
      <c r="A3" s="20" t="s">
        <v>27</v>
      </c>
      <c r="B3" s="20" t="s">
        <v>28</v>
      </c>
      <c r="C3" s="20" t="s">
        <v>57</v>
      </c>
      <c r="D3" s="20" t="s">
        <v>21</v>
      </c>
      <c r="E3" s="20" t="s">
        <v>22</v>
      </c>
      <c r="F3" s="20" t="s">
        <v>23</v>
      </c>
      <c r="G3" s="22">
        <v>1101</v>
      </c>
      <c r="H3" s="22">
        <v>110100</v>
      </c>
      <c r="I3" s="20" t="s">
        <v>0</v>
      </c>
      <c r="J3" s="20" t="s">
        <v>0</v>
      </c>
      <c r="K3" s="20" t="s">
        <v>0</v>
      </c>
      <c r="L3" s="20" t="s">
        <v>0</v>
      </c>
      <c r="M3" s="22">
        <v>93400</v>
      </c>
      <c r="N3" s="22">
        <v>2800</v>
      </c>
      <c r="O3" s="20" t="s">
        <v>0</v>
      </c>
      <c r="P3" s="22">
        <v>12700</v>
      </c>
      <c r="Q3" s="22">
        <v>1200</v>
      </c>
      <c r="R3" s="20" t="s">
        <v>0</v>
      </c>
      <c r="S3" s="22">
        <v>67865</v>
      </c>
    </row>
    <row r="4" spans="1:19" x14ac:dyDescent="0.4">
      <c r="A4" s="20" t="s">
        <v>29</v>
      </c>
      <c r="B4" s="20" t="s">
        <v>30</v>
      </c>
      <c r="C4" s="20" t="s">
        <v>57</v>
      </c>
      <c r="D4" s="20" t="s">
        <v>21</v>
      </c>
      <c r="E4" s="20" t="s">
        <v>22</v>
      </c>
      <c r="F4" s="20" t="s">
        <v>23</v>
      </c>
      <c r="G4" s="22">
        <v>935</v>
      </c>
      <c r="H4" s="22">
        <v>93500</v>
      </c>
      <c r="I4" s="20" t="s">
        <v>0</v>
      </c>
      <c r="J4" s="20" t="s">
        <v>0</v>
      </c>
      <c r="K4" s="20" t="s">
        <v>0</v>
      </c>
      <c r="L4" s="20" t="s">
        <v>0</v>
      </c>
      <c r="M4" s="22">
        <v>53500</v>
      </c>
      <c r="N4" s="22">
        <v>9400</v>
      </c>
      <c r="O4" s="22">
        <v>30600</v>
      </c>
      <c r="P4" s="20" t="s">
        <v>0</v>
      </c>
      <c r="Q4" s="20" t="s">
        <v>0</v>
      </c>
      <c r="R4" s="20" t="s">
        <v>0</v>
      </c>
      <c r="S4" s="22">
        <v>61705</v>
      </c>
    </row>
    <row r="5" spans="1:19" x14ac:dyDescent="0.4">
      <c r="A5" s="20" t="s">
        <v>44</v>
      </c>
      <c r="B5" s="20" t="s">
        <v>45</v>
      </c>
      <c r="C5" s="20" t="s">
        <v>50</v>
      </c>
      <c r="D5" s="20" t="s">
        <v>21</v>
      </c>
      <c r="E5" s="20" t="s">
        <v>22</v>
      </c>
      <c r="F5" s="20" t="s">
        <v>24</v>
      </c>
      <c r="G5" s="22">
        <v>40</v>
      </c>
      <c r="H5" s="22">
        <v>4000</v>
      </c>
      <c r="I5" s="20" t="s">
        <v>0</v>
      </c>
      <c r="J5" s="20" t="s">
        <v>0</v>
      </c>
      <c r="K5" s="22">
        <v>4000</v>
      </c>
      <c r="L5" s="20" t="s">
        <v>0</v>
      </c>
      <c r="M5" s="20" t="s">
        <v>0</v>
      </c>
      <c r="N5" s="20" t="s">
        <v>0</v>
      </c>
      <c r="O5" s="20" t="s">
        <v>0</v>
      </c>
      <c r="P5" s="20" t="s">
        <v>0</v>
      </c>
      <c r="Q5" s="20" t="s">
        <v>0</v>
      </c>
      <c r="R5" s="20" t="s">
        <v>0</v>
      </c>
      <c r="S5" s="22">
        <v>2800</v>
      </c>
    </row>
    <row r="6" spans="1:19" x14ac:dyDescent="0.4">
      <c r="A6" s="20" t="s">
        <v>44</v>
      </c>
      <c r="B6" s="20" t="s">
        <v>45</v>
      </c>
      <c r="C6" s="20" t="s">
        <v>50</v>
      </c>
      <c r="D6" s="20" t="s">
        <v>21</v>
      </c>
      <c r="E6" s="20" t="s">
        <v>22</v>
      </c>
      <c r="F6" s="20" t="s">
        <v>23</v>
      </c>
      <c r="G6" s="22">
        <v>118</v>
      </c>
      <c r="H6" s="22">
        <v>11800</v>
      </c>
      <c r="I6" s="20" t="s">
        <v>0</v>
      </c>
      <c r="J6" s="20" t="s">
        <v>0</v>
      </c>
      <c r="K6" s="20" t="s">
        <v>0</v>
      </c>
      <c r="L6" s="20" t="s">
        <v>0</v>
      </c>
      <c r="M6" s="22">
        <v>6400</v>
      </c>
      <c r="N6" s="22">
        <v>5300</v>
      </c>
      <c r="O6" s="22">
        <v>100</v>
      </c>
      <c r="P6" s="20" t="s">
        <v>0</v>
      </c>
      <c r="Q6" s="20" t="s">
        <v>0</v>
      </c>
      <c r="R6" s="20" t="s">
        <v>0</v>
      </c>
      <c r="S6" s="22">
        <v>7812</v>
      </c>
    </row>
    <row r="7" spans="1:19" x14ac:dyDescent="0.4">
      <c r="S7" s="21">
        <f>SUM(S2:S6)</f>
        <v>140231</v>
      </c>
    </row>
  </sheetData>
  <phoneticPr fontId="2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S2"/>
  <sheetViews>
    <sheetView workbookViewId="0"/>
  </sheetViews>
  <sheetFormatPr defaultRowHeight="17.399999999999999" x14ac:dyDescent="0.4"/>
  <cols>
    <col min="1" max="1" width="8.59765625" bestFit="1" customWidth="1"/>
    <col min="2" max="2" width="32.398437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31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32</v>
      </c>
      <c r="B2" s="20" t="s">
        <v>33</v>
      </c>
      <c r="C2" s="20" t="s">
        <v>59</v>
      </c>
      <c r="D2" s="20" t="s">
        <v>21</v>
      </c>
      <c r="E2" s="20" t="s">
        <v>22</v>
      </c>
      <c r="F2" s="20" t="s">
        <v>23</v>
      </c>
      <c r="G2" s="22">
        <v>372</v>
      </c>
      <c r="H2" s="22">
        <v>37200</v>
      </c>
      <c r="I2" s="20" t="s">
        <v>0</v>
      </c>
      <c r="J2" s="20" t="s">
        <v>0</v>
      </c>
      <c r="K2" s="20" t="s">
        <v>0</v>
      </c>
      <c r="L2" s="20" t="s">
        <v>0</v>
      </c>
      <c r="M2" s="22">
        <v>32700</v>
      </c>
      <c r="N2" s="22">
        <v>2500</v>
      </c>
      <c r="O2" s="22">
        <v>2000</v>
      </c>
      <c r="P2" s="20" t="s">
        <v>0</v>
      </c>
      <c r="Q2" s="20" t="s">
        <v>0</v>
      </c>
      <c r="R2" s="20" t="s">
        <v>0</v>
      </c>
      <c r="S2" s="22">
        <v>23751</v>
      </c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S2"/>
  <sheetViews>
    <sheetView workbookViewId="0"/>
  </sheetViews>
  <sheetFormatPr defaultRowHeight="17.399999999999999" x14ac:dyDescent="0.4"/>
  <cols>
    <col min="1" max="1" width="8.59765625" bestFit="1" customWidth="1"/>
    <col min="2" max="2" width="19.5976562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31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34</v>
      </c>
      <c r="B2" s="20" t="s">
        <v>35</v>
      </c>
      <c r="C2" s="20" t="s">
        <v>48</v>
      </c>
      <c r="D2" s="20" t="s">
        <v>21</v>
      </c>
      <c r="E2" s="20" t="s">
        <v>22</v>
      </c>
      <c r="F2" s="20" t="s">
        <v>23</v>
      </c>
      <c r="G2" s="22">
        <v>253</v>
      </c>
      <c r="H2" s="22">
        <v>25300</v>
      </c>
      <c r="I2" s="20" t="s">
        <v>0</v>
      </c>
      <c r="J2" s="20" t="s">
        <v>0</v>
      </c>
      <c r="K2" s="20" t="s">
        <v>0</v>
      </c>
      <c r="L2" s="20" t="s">
        <v>0</v>
      </c>
      <c r="M2" s="22">
        <v>20000</v>
      </c>
      <c r="N2" s="22">
        <v>3800</v>
      </c>
      <c r="O2" s="22">
        <v>1500</v>
      </c>
      <c r="P2" s="20" t="s">
        <v>0</v>
      </c>
      <c r="Q2" s="20" t="s">
        <v>0</v>
      </c>
      <c r="R2" s="20" t="s">
        <v>0</v>
      </c>
      <c r="S2" s="22">
        <v>16310</v>
      </c>
    </row>
  </sheetData>
  <phoneticPr fontId="2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S2"/>
  <sheetViews>
    <sheetView workbookViewId="0"/>
  </sheetViews>
  <sheetFormatPr defaultRowHeight="17.399999999999999" x14ac:dyDescent="0.4"/>
  <cols>
    <col min="1" max="2" width="8.5976562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31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36</v>
      </c>
      <c r="B2" s="20" t="s">
        <v>37</v>
      </c>
      <c r="C2" s="20" t="s">
        <v>49</v>
      </c>
      <c r="D2" s="20" t="s">
        <v>21</v>
      </c>
      <c r="E2" s="20" t="s">
        <v>22</v>
      </c>
      <c r="F2" s="20" t="s">
        <v>23</v>
      </c>
      <c r="G2" s="22">
        <v>26</v>
      </c>
      <c r="H2" s="22">
        <v>2600</v>
      </c>
      <c r="I2" s="20" t="s">
        <v>0</v>
      </c>
      <c r="J2" s="20" t="s">
        <v>0</v>
      </c>
      <c r="K2" s="20" t="s">
        <v>0</v>
      </c>
      <c r="L2" s="20" t="s">
        <v>0</v>
      </c>
      <c r="M2" s="22">
        <v>2600</v>
      </c>
      <c r="N2" s="20" t="s">
        <v>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1638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S4"/>
  <sheetViews>
    <sheetView topLeftCell="C1" workbookViewId="0">
      <selection activeCell="S4" sqref="S4"/>
    </sheetView>
  </sheetViews>
  <sheetFormatPr defaultRowHeight="17.399999999999999" x14ac:dyDescent="0.4"/>
  <cols>
    <col min="1" max="1" width="8.59765625" bestFit="1" customWidth="1"/>
    <col min="2" max="2" width="33.5976562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31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38</v>
      </c>
      <c r="B2" s="20" t="s">
        <v>39</v>
      </c>
      <c r="C2" s="20" t="s">
        <v>60</v>
      </c>
      <c r="D2" s="20" t="s">
        <v>21</v>
      </c>
      <c r="E2" s="20" t="s">
        <v>22</v>
      </c>
      <c r="F2" s="20" t="s">
        <v>24</v>
      </c>
      <c r="G2" s="22">
        <v>35</v>
      </c>
      <c r="H2" s="22">
        <v>3500</v>
      </c>
      <c r="I2" s="20" t="s">
        <v>0</v>
      </c>
      <c r="J2" s="20" t="s">
        <v>0</v>
      </c>
      <c r="K2" s="22">
        <v>3500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2450</v>
      </c>
    </row>
    <row r="3" spans="1:19" x14ac:dyDescent="0.4">
      <c r="A3" s="20" t="s">
        <v>38</v>
      </c>
      <c r="B3" s="20" t="s">
        <v>39</v>
      </c>
      <c r="C3" s="20" t="s">
        <v>60</v>
      </c>
      <c r="D3" s="20" t="s">
        <v>21</v>
      </c>
      <c r="E3" s="20" t="s">
        <v>22</v>
      </c>
      <c r="F3" s="20" t="s">
        <v>23</v>
      </c>
      <c r="G3" s="22">
        <v>277</v>
      </c>
      <c r="H3" s="22">
        <v>27700</v>
      </c>
      <c r="I3" s="20" t="s">
        <v>0</v>
      </c>
      <c r="J3" s="20" t="s">
        <v>0</v>
      </c>
      <c r="K3" s="20" t="s">
        <v>0</v>
      </c>
      <c r="L3" s="20" t="s">
        <v>0</v>
      </c>
      <c r="M3" s="22">
        <v>27700</v>
      </c>
      <c r="N3" s="20" t="s">
        <v>0</v>
      </c>
      <c r="O3" s="20" t="s">
        <v>0</v>
      </c>
      <c r="P3" s="20" t="s">
        <v>0</v>
      </c>
      <c r="Q3" s="20" t="s">
        <v>0</v>
      </c>
      <c r="R3" s="20" t="s">
        <v>0</v>
      </c>
      <c r="S3" s="22">
        <v>17451</v>
      </c>
    </row>
    <row r="4" spans="1:19" x14ac:dyDescent="0.4">
      <c r="S4" s="21">
        <f>SUM(S2:S3)</f>
        <v>19901</v>
      </c>
    </row>
  </sheetData>
  <phoneticPr fontId="2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S4"/>
  <sheetViews>
    <sheetView topLeftCell="B1" workbookViewId="0">
      <selection activeCell="S4" sqref="S4"/>
    </sheetView>
  </sheetViews>
  <sheetFormatPr defaultRowHeight="17.399999999999999" x14ac:dyDescent="0.4"/>
  <cols>
    <col min="1" max="1" width="8.59765625" bestFit="1" customWidth="1"/>
    <col min="2" max="2" width="11.6992187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31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40</v>
      </c>
      <c r="B2" s="20" t="s">
        <v>41</v>
      </c>
      <c r="C2" s="20" t="s">
        <v>51</v>
      </c>
      <c r="D2" s="20" t="s">
        <v>21</v>
      </c>
      <c r="E2" s="20" t="s">
        <v>22</v>
      </c>
      <c r="F2" s="20" t="s">
        <v>24</v>
      </c>
      <c r="G2" s="22">
        <v>61</v>
      </c>
      <c r="H2" s="22">
        <v>6100</v>
      </c>
      <c r="I2" s="20" t="s">
        <v>0</v>
      </c>
      <c r="J2" s="20" t="s">
        <v>0</v>
      </c>
      <c r="K2" s="22">
        <v>6100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4270</v>
      </c>
    </row>
    <row r="3" spans="1:19" x14ac:dyDescent="0.4">
      <c r="A3" s="20" t="s">
        <v>40</v>
      </c>
      <c r="B3" s="20" t="s">
        <v>41</v>
      </c>
      <c r="C3" s="20" t="s">
        <v>51</v>
      </c>
      <c r="D3" s="20" t="s">
        <v>21</v>
      </c>
      <c r="E3" s="20" t="s">
        <v>22</v>
      </c>
      <c r="F3" s="20" t="s">
        <v>23</v>
      </c>
      <c r="G3" s="22">
        <v>2</v>
      </c>
      <c r="H3" s="22">
        <v>200</v>
      </c>
      <c r="I3" s="20" t="s">
        <v>0</v>
      </c>
      <c r="J3" s="20" t="s">
        <v>0</v>
      </c>
      <c r="K3" s="20" t="s">
        <v>0</v>
      </c>
      <c r="L3" s="20" t="s">
        <v>0</v>
      </c>
      <c r="M3" s="20" t="s">
        <v>0</v>
      </c>
      <c r="N3" s="22">
        <v>200</v>
      </c>
      <c r="O3" s="20" t="s">
        <v>0</v>
      </c>
      <c r="P3" s="20" t="s">
        <v>0</v>
      </c>
      <c r="Q3" s="20" t="s">
        <v>0</v>
      </c>
      <c r="R3" s="20" t="s">
        <v>0</v>
      </c>
      <c r="S3" s="22">
        <v>140</v>
      </c>
    </row>
    <row r="4" spans="1:19" x14ac:dyDescent="0.4">
      <c r="S4" s="21">
        <f>SUM(S2:S3)</f>
        <v>4410</v>
      </c>
    </row>
  </sheetData>
  <phoneticPr fontId="2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S4"/>
  <sheetViews>
    <sheetView topLeftCell="B1" workbookViewId="0">
      <selection activeCell="S4" sqref="S4"/>
    </sheetView>
  </sheetViews>
  <sheetFormatPr defaultRowHeight="17.399999999999999" x14ac:dyDescent="0.4"/>
  <cols>
    <col min="1" max="1" width="8.59765625" bestFit="1" customWidth="1"/>
    <col min="2" max="2" width="10.3984375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6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31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42</v>
      </c>
      <c r="B2" s="20" t="s">
        <v>43</v>
      </c>
      <c r="C2" s="20" t="s">
        <v>52</v>
      </c>
      <c r="D2" s="20" t="s">
        <v>21</v>
      </c>
      <c r="E2" s="20" t="s">
        <v>22</v>
      </c>
      <c r="F2" s="20" t="s">
        <v>24</v>
      </c>
      <c r="G2" s="22">
        <v>113</v>
      </c>
      <c r="H2" s="22">
        <v>11300</v>
      </c>
      <c r="I2" s="20" t="s">
        <v>0</v>
      </c>
      <c r="J2" s="20" t="s">
        <v>0</v>
      </c>
      <c r="K2" s="22">
        <v>11300</v>
      </c>
      <c r="L2" s="20" t="s">
        <v>0</v>
      </c>
      <c r="M2" s="20" t="s">
        <v>0</v>
      </c>
      <c r="N2" s="20" t="s">
        <v>0</v>
      </c>
      <c r="O2" s="20" t="s">
        <v>0</v>
      </c>
      <c r="P2" s="20" t="s">
        <v>0</v>
      </c>
      <c r="Q2" s="20" t="s">
        <v>0</v>
      </c>
      <c r="R2" s="20" t="s">
        <v>0</v>
      </c>
      <c r="S2" s="22">
        <v>7910</v>
      </c>
    </row>
    <row r="3" spans="1:19" x14ac:dyDescent="0.4">
      <c r="A3" s="20" t="s">
        <v>42</v>
      </c>
      <c r="B3" s="20" t="s">
        <v>43</v>
      </c>
      <c r="C3" s="20" t="s">
        <v>52</v>
      </c>
      <c r="D3" s="20" t="s">
        <v>21</v>
      </c>
      <c r="E3" s="20" t="s">
        <v>22</v>
      </c>
      <c r="F3" s="20" t="s">
        <v>23</v>
      </c>
      <c r="G3" s="22">
        <v>73</v>
      </c>
      <c r="H3" s="22">
        <v>7300</v>
      </c>
      <c r="I3" s="20" t="s">
        <v>0</v>
      </c>
      <c r="J3" s="20" t="s">
        <v>0</v>
      </c>
      <c r="K3" s="20" t="s">
        <v>0</v>
      </c>
      <c r="L3" s="20" t="s">
        <v>0</v>
      </c>
      <c r="M3" s="20" t="s">
        <v>0</v>
      </c>
      <c r="N3" s="22">
        <v>7300</v>
      </c>
      <c r="O3" s="20" t="s">
        <v>0</v>
      </c>
      <c r="P3" s="20" t="s">
        <v>0</v>
      </c>
      <c r="Q3" s="20" t="s">
        <v>0</v>
      </c>
      <c r="R3" s="20" t="s">
        <v>0</v>
      </c>
      <c r="S3" s="22">
        <v>5110</v>
      </c>
    </row>
    <row r="4" spans="1:19" x14ac:dyDescent="0.4">
      <c r="S4" s="21">
        <f>SUM(S2:S3)</f>
        <v>13020</v>
      </c>
    </row>
  </sheetData>
  <phoneticPr fontId="2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S2"/>
  <sheetViews>
    <sheetView workbookViewId="0"/>
  </sheetViews>
  <sheetFormatPr defaultRowHeight="17.399999999999999" x14ac:dyDescent="0.4"/>
  <cols>
    <col min="1" max="1" width="8.59765625" bestFit="1" customWidth="1"/>
    <col min="2" max="2" width="13" bestFit="1" customWidth="1"/>
    <col min="3" max="3" width="6.796875" bestFit="1" customWidth="1"/>
    <col min="4" max="4" width="10.3984375" bestFit="1" customWidth="1"/>
    <col min="5" max="8" width="8.59765625" bestFit="1" customWidth="1"/>
    <col min="9" max="11" width="12.3984375" bestFit="1" customWidth="1"/>
    <col min="12" max="12" width="7.796875" bestFit="1" customWidth="1"/>
    <col min="13" max="13" width="8.59765625" bestFit="1" customWidth="1"/>
    <col min="14" max="15" width="10.3984375" bestFit="1" customWidth="1"/>
    <col min="16" max="16" width="11.69921875" bestFit="1" customWidth="1"/>
    <col min="17" max="18" width="13.69921875" bestFit="1" customWidth="1"/>
    <col min="19" max="19" width="8.59765625" bestFit="1" customWidth="1"/>
  </cols>
  <sheetData>
    <row r="1" spans="1:19" x14ac:dyDescent="0.4">
      <c r="A1" s="2" t="s">
        <v>1</v>
      </c>
      <c r="B1" s="3" t="s">
        <v>2</v>
      </c>
      <c r="C1" s="1" t="s">
        <v>31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</row>
    <row r="2" spans="1:19" x14ac:dyDescent="0.4">
      <c r="A2" s="20" t="s">
        <v>55</v>
      </c>
      <c r="B2" s="20" t="s">
        <v>56</v>
      </c>
      <c r="C2" s="20" t="s">
        <v>58</v>
      </c>
      <c r="D2" s="20" t="s">
        <v>21</v>
      </c>
      <c r="E2" s="20" t="s">
        <v>22</v>
      </c>
      <c r="F2" s="20" t="s">
        <v>23</v>
      </c>
      <c r="G2" s="22">
        <v>4154</v>
      </c>
      <c r="H2" s="22">
        <v>415400</v>
      </c>
      <c r="I2" s="20" t="s">
        <v>0</v>
      </c>
      <c r="J2" s="20" t="s">
        <v>0</v>
      </c>
      <c r="K2" s="20" t="s">
        <v>0</v>
      </c>
      <c r="L2" s="22">
        <v>105500</v>
      </c>
      <c r="M2" s="22">
        <v>272900</v>
      </c>
      <c r="N2" s="22">
        <v>12100</v>
      </c>
      <c r="O2" s="22">
        <v>18800</v>
      </c>
      <c r="P2" s="22">
        <v>1900</v>
      </c>
      <c r="Q2" s="22">
        <v>200</v>
      </c>
      <c r="R2" s="22">
        <v>4000</v>
      </c>
      <c r="S2" s="22">
        <v>271278</v>
      </c>
    </row>
  </sheetData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10</vt:i4>
      </vt:variant>
    </vt:vector>
  </HeadingPairs>
  <TitlesOfParts>
    <vt:vector size="21" baseType="lpstr">
      <vt:lpstr>정산내역(1)</vt:lpstr>
      <vt:lpstr>이동열</vt:lpstr>
      <vt:lpstr>예로나</vt:lpstr>
      <vt:lpstr>김광수</vt:lpstr>
      <vt:lpstr>무장</vt:lpstr>
      <vt:lpstr>하이후</vt:lpstr>
      <vt:lpstr>군주</vt:lpstr>
      <vt:lpstr>청빙</vt:lpstr>
      <vt:lpstr>찬동</vt:lpstr>
      <vt:lpstr>독고진</vt:lpstr>
      <vt:lpstr>담화공</vt:lpstr>
      <vt:lpstr>군주!Extract</vt:lpstr>
      <vt:lpstr>김광수!Extract</vt:lpstr>
      <vt:lpstr>담화공!Extract</vt:lpstr>
      <vt:lpstr>독고진!Extract</vt:lpstr>
      <vt:lpstr>무장!Extract</vt:lpstr>
      <vt:lpstr>예로나!Extract</vt:lpstr>
      <vt:lpstr>이동열!Extract</vt:lpstr>
      <vt:lpstr>찬동!Extract</vt:lpstr>
      <vt:lpstr>청빙!Extract</vt:lpstr>
      <vt:lpstr>하이후!Extract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2021-11-08T05:19:07Z</dcterms:created>
  <dcterms:modified xsi:type="dcterms:W3CDTF">2022-02-07T06:20:56Z</dcterms:modified>
</cp:coreProperties>
</file>