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미스터블루\"/>
    </mc:Choice>
  </mc:AlternateContent>
  <bookViews>
    <workbookView xWindow="2340" yWindow="2340" windowWidth="24510" windowHeight="12840"/>
  </bookViews>
  <sheets>
    <sheet name="정산내역서" sheetId="88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1" i="88" l="1"/>
  <c r="E21" i="88" s="1"/>
  <c r="C18" i="88"/>
  <c r="C15" i="88"/>
  <c r="N9" i="88"/>
  <c r="L9" i="88"/>
  <c r="K9" i="88"/>
  <c r="O9" i="88" s="1"/>
  <c r="N8" i="88"/>
  <c r="K8" i="88"/>
  <c r="O8" i="88" s="1"/>
  <c r="L8" i="88"/>
  <c r="N10" i="88" l="1"/>
  <c r="K10" i="88"/>
  <c r="O10" i="88" s="1"/>
  <c r="L10" i="88" l="1"/>
  <c r="N7" i="88"/>
  <c r="K7" i="88"/>
  <c r="O7" i="88" s="1"/>
  <c r="N6" i="88"/>
  <c r="K6" i="88"/>
  <c r="O6" i="88" s="1"/>
  <c r="N5" i="88"/>
  <c r="K5" i="88"/>
  <c r="O5" i="88" s="1"/>
  <c r="L7" i="88" l="1"/>
  <c r="L6" i="88"/>
  <c r="L5" i="88"/>
  <c r="P11" i="88" l="1"/>
  <c r="E18" i="88" s="1"/>
  <c r="E15" i="88"/>
  <c r="F21" i="88" l="1"/>
</calcChain>
</file>

<file path=xl/sharedStrings.xml><?xml version="1.0" encoding="utf-8"?>
<sst xmlns="http://schemas.openxmlformats.org/spreadsheetml/2006/main" count="68" uniqueCount="44">
  <si>
    <t>(세금)계산서 발행일자</t>
  </si>
  <si>
    <t>(세금)계산서 보내실 곳</t>
  </si>
  <si>
    <t>계산서 기입 내용</t>
  </si>
  <si>
    <t>2. 법인명 : 미스터블루㈜</t>
  </si>
  <si>
    <t>3. 대표자명: 조승진</t>
  </si>
  <si>
    <t>5. 업태 : 서비스 외</t>
  </si>
  <si>
    <t>6. 종목 : 온라인정보제공 외</t>
  </si>
  <si>
    <t>서울시 마포구 월드컵북로6길 18 미스터블루빌딩 7층</t>
    <phoneticPr fontId="18" type="noConversion"/>
  </si>
  <si>
    <t>1. 사업자등록번호 : 107-88-30967</t>
    <phoneticPr fontId="18" type="noConversion"/>
  </si>
  <si>
    <t>이메일 : account@mrblue.com</t>
    <phoneticPr fontId="3" type="noConversion"/>
  </si>
  <si>
    <t>정산내역 문의</t>
    <phoneticPr fontId="18" type="noConversion"/>
  </si>
  <si>
    <t>내역</t>
    <phoneticPr fontId="18" type="noConversion"/>
  </si>
  <si>
    <t>공급가액</t>
    <phoneticPr fontId="18" type="noConversion"/>
  </si>
  <si>
    <t>세액</t>
    <phoneticPr fontId="18" type="noConversion"/>
  </si>
  <si>
    <t>합계액</t>
    <phoneticPr fontId="18" type="noConversion"/>
  </si>
  <si>
    <t>mrbluetax@mrblue.com</t>
    <phoneticPr fontId="18" type="noConversion"/>
  </si>
  <si>
    <t>1. 정산내역</t>
    <phoneticPr fontId="18" type="noConversion"/>
  </si>
  <si>
    <t>제공사명</t>
  </si>
  <si>
    <t>계정ID</t>
  </si>
  <si>
    <t>종량제</t>
    <phoneticPr fontId="18" type="noConversion"/>
  </si>
  <si>
    <t>정액제</t>
    <phoneticPr fontId="18" type="noConversion"/>
  </si>
  <si>
    <t>총 합계액</t>
    <phoneticPr fontId="18" type="noConversion"/>
  </si>
  <si>
    <t>블루머니 + A.앱머니</t>
  </si>
  <si>
    <t>I.앱머니</t>
  </si>
  <si>
    <t>합계</t>
    <phoneticPr fontId="18" type="noConversion"/>
  </si>
  <si>
    <t>판매액</t>
  </si>
  <si>
    <t>수익배분율(%)</t>
    <phoneticPr fontId="18" type="noConversion"/>
  </si>
  <si>
    <t>제반수수료(%)</t>
    <phoneticPr fontId="18" type="noConversion"/>
  </si>
  <si>
    <t>정산액</t>
  </si>
  <si>
    <t xml:space="preserve">2. 계산서 발행 </t>
    <phoneticPr fontId="18" type="noConversion"/>
  </si>
  <si>
    <t>3. 공급받는자 정보</t>
    <phoneticPr fontId="18" type="noConversion"/>
  </si>
  <si>
    <t>KT_n</t>
  </si>
  <si>
    <t>KT_n_02</t>
  </si>
  <si>
    <t>KT_n_03</t>
    <phoneticPr fontId="8" type="noConversion"/>
  </si>
  <si>
    <t>박아영 02-337-0610(#256)</t>
    <phoneticPr fontId="3" type="noConversion"/>
  </si>
  <si>
    <t>스토리위즈</t>
  </si>
  <si>
    <t>KT_n_04</t>
    <phoneticPr fontId="8" type="noConversion"/>
  </si>
  <si>
    <t>연락처 : 02-337-0610(#206)</t>
    <phoneticPr fontId="3" type="noConversion"/>
  </si>
  <si>
    <t>storywiz_w</t>
    <phoneticPr fontId="8" type="noConversion"/>
  </si>
  <si>
    <t>storywiz_c</t>
    <phoneticPr fontId="8" type="noConversion"/>
  </si>
  <si>
    <t>콘텐츠제공(9월)_웹툰</t>
    <phoneticPr fontId="18" type="noConversion"/>
  </si>
  <si>
    <t>콘텐츠제공(9월)_만화</t>
    <phoneticPr fontId="18" type="noConversion"/>
  </si>
  <si>
    <t>콘텐츠제공(9월)_소설</t>
    <phoneticPr fontId="18" type="noConversion"/>
  </si>
  <si>
    <t>* 블루머니와  A.앱머니가 분리된 상세내역은 정산 CMS(http://calc.cms.mrblue.com/client/)에서 확인하실 수 있습니다.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</si>
</sst>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&quot;₩&quot;#,##0.00;[Red]&quot;₩&quot;&quot;₩&quot;&quot;₩&quot;&quot;₩&quot;&quot;₩&quot;&quot;₩&quot;&quot;₩&quot;\-#,##0.00"/>
    <numFmt numFmtId="179" formatCode="#,##0_);[Red]\(#,##0\)"/>
  </numFmts>
  <fonts count="41">
    <font>
      <sz val="10"/>
      <color theme="1"/>
      <name val="나눔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나눔고딕"/>
      <family val="2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8"/>
      <name val="돋움"/>
      <family val="3"/>
      <charset val="129"/>
    </font>
    <font>
      <b/>
      <sz val="10"/>
      <color theme="4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sz val="18"/>
      <color theme="3"/>
      <name val="맑은 고딕"/>
      <family val="2"/>
      <charset val="129"/>
      <scheme val="major"/>
    </font>
    <font>
      <sz val="10"/>
      <name val="맑은 고딕"/>
      <family val="3"/>
      <charset val="129"/>
    </font>
    <font>
      <sz val="10"/>
      <color theme="0"/>
      <name val="나눔고딕"/>
      <family val="2"/>
      <charset val="129"/>
    </font>
    <font>
      <sz val="10"/>
      <color rgb="FFFF0000"/>
      <name val="나눔고딕"/>
      <family val="2"/>
      <charset val="129"/>
    </font>
    <font>
      <b/>
      <sz val="10"/>
      <color rgb="FFFA7D00"/>
      <name val="나눔고딕"/>
      <family val="2"/>
      <charset val="129"/>
    </font>
    <font>
      <sz val="10"/>
      <color rgb="FF9C0006"/>
      <name val="나눔고딕"/>
      <family val="2"/>
      <charset val="129"/>
    </font>
    <font>
      <sz val="10"/>
      <color rgb="FF9C5700"/>
      <name val="나눔고딕"/>
      <family val="2"/>
      <charset val="129"/>
    </font>
    <font>
      <i/>
      <sz val="10"/>
      <color rgb="FF7F7F7F"/>
      <name val="나눔고딕"/>
      <family val="2"/>
      <charset val="129"/>
    </font>
    <font>
      <b/>
      <sz val="10"/>
      <color theme="0"/>
      <name val="나눔고딕"/>
      <family val="2"/>
      <charset val="129"/>
    </font>
    <font>
      <sz val="10"/>
      <color rgb="FFFA7D00"/>
      <name val="나눔고딕"/>
      <family val="2"/>
      <charset val="129"/>
    </font>
    <font>
      <b/>
      <sz val="10"/>
      <color theme="1"/>
      <name val="나눔고딕"/>
      <family val="2"/>
      <charset val="129"/>
    </font>
    <font>
      <sz val="10"/>
      <color rgb="FF3F3F76"/>
      <name val="나눔고딕"/>
      <family val="2"/>
      <charset val="129"/>
    </font>
    <font>
      <b/>
      <sz val="15"/>
      <color theme="3"/>
      <name val="나눔고딕"/>
      <family val="2"/>
      <charset val="129"/>
    </font>
    <font>
      <b/>
      <sz val="13"/>
      <color theme="3"/>
      <name val="나눔고딕"/>
      <family val="2"/>
      <charset val="129"/>
    </font>
    <font>
      <b/>
      <sz val="11"/>
      <color theme="3"/>
      <name val="나눔고딕"/>
      <family val="2"/>
      <charset val="129"/>
    </font>
    <font>
      <sz val="10"/>
      <color rgb="FF006100"/>
      <name val="나눔고딕"/>
      <family val="2"/>
      <charset val="129"/>
    </font>
    <font>
      <b/>
      <sz val="10"/>
      <color rgb="FF3F3F3F"/>
      <name val="나눔고딕"/>
      <family val="2"/>
      <charset val="129"/>
    </font>
    <font>
      <sz val="8"/>
      <name val="나눔고딕"/>
      <family val="2"/>
      <charset val="129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0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6" borderId="3" applyNumberFormat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4" fillId="28" borderId="4" applyNumberFormat="0" applyFont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0" borderId="5" applyNumberFormat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31" borderId="3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26" borderId="11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5" fillId="0" borderId="0"/>
    <xf numFmtId="0" fontId="15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0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0" fillId="0" borderId="0"/>
    <xf numFmtId="0" fontId="11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7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0" fillId="38" borderId="1" xfId="0" applyFont="1" applyFill="1" applyBorder="1" applyAlignment="1">
      <alignment horizontal="center" vertical="center"/>
    </xf>
    <xf numFmtId="0" fontId="20" fillId="39" borderId="1" xfId="0" applyFont="1" applyFill="1" applyBorder="1" applyAlignment="1">
      <alignment horizontal="center" vertical="center"/>
    </xf>
    <xf numFmtId="0" fontId="21" fillId="37" borderId="1" xfId="0" applyFont="1" applyFill="1" applyBorder="1" applyAlignment="1">
      <alignment horizontal="center" vertical="center"/>
    </xf>
    <xf numFmtId="0" fontId="20" fillId="0" borderId="1" xfId="0" applyFont="1" applyBorder="1">
      <alignment vertical="center"/>
    </xf>
    <xf numFmtId="179" fontId="20" fillId="0" borderId="1" xfId="0" applyNumberFormat="1" applyFont="1" applyBorder="1">
      <alignment vertical="center"/>
    </xf>
    <xf numFmtId="49" fontId="6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center" indent="1"/>
    </xf>
    <xf numFmtId="49" fontId="7" fillId="0" borderId="0" xfId="0" applyNumberFormat="1" applyFont="1">
      <alignment vertical="center"/>
    </xf>
    <xf numFmtId="3" fontId="7" fillId="40" borderId="1" xfId="0" applyNumberFormat="1" applyFont="1" applyFill="1" applyBorder="1" applyAlignment="1">
      <alignment horizontal="center" vertical="center" wrapText="1"/>
    </xf>
    <xf numFmtId="9" fontId="7" fillId="40" borderId="1" xfId="0" applyNumberFormat="1" applyFont="1" applyFill="1" applyBorder="1" applyAlignment="1">
      <alignment horizontal="center" vertical="center" wrapText="1"/>
    </xf>
    <xf numFmtId="0" fontId="7" fillId="33" borderId="0" xfId="0" applyFont="1" applyFill="1">
      <alignment vertical="center"/>
    </xf>
    <xf numFmtId="179" fontId="7" fillId="33" borderId="1" xfId="0" applyNumberFormat="1" applyFont="1" applyFill="1" applyBorder="1" applyAlignment="1">
      <alignment vertical="center" wrapText="1"/>
    </xf>
    <xf numFmtId="0" fontId="7" fillId="33" borderId="0" xfId="0" applyFont="1" applyFill="1" applyAlignment="1">
      <alignment horizontal="center" vertical="center" wrapText="1"/>
    </xf>
    <xf numFmtId="179" fontId="7" fillId="33" borderId="0" xfId="0" applyNumberFormat="1" applyFont="1" applyFill="1" applyAlignment="1">
      <alignment vertical="center" wrapText="1"/>
    </xf>
    <xf numFmtId="0" fontId="7" fillId="40" borderId="14" xfId="0" applyFont="1" applyFill="1" applyBorder="1">
      <alignment vertical="center"/>
    </xf>
    <xf numFmtId="0" fontId="7" fillId="40" borderId="17" xfId="0" applyFont="1" applyFill="1" applyBorder="1">
      <alignment vertical="center"/>
    </xf>
    <xf numFmtId="0" fontId="7" fillId="40" borderId="16" xfId="0" applyFont="1" applyFill="1" applyBorder="1">
      <alignment vertical="center"/>
    </xf>
    <xf numFmtId="0" fontId="7" fillId="40" borderId="12" xfId="0" applyFont="1" applyFill="1" applyBorder="1">
      <alignment vertical="center"/>
    </xf>
    <xf numFmtId="0" fontId="7" fillId="40" borderId="15" xfId="0" applyFont="1" applyFill="1" applyBorder="1">
      <alignment vertical="center"/>
    </xf>
    <xf numFmtId="0" fontId="7" fillId="40" borderId="18" xfId="0" applyFont="1" applyFill="1" applyBorder="1">
      <alignment vertical="center"/>
    </xf>
    <xf numFmtId="0" fontId="7" fillId="0" borderId="0" xfId="0" applyFont="1" applyAlignment="1">
      <alignment horizontal="center" vertical="center"/>
    </xf>
    <xf numFmtId="38" fontId="20" fillId="38" borderId="1" xfId="0" applyNumberFormat="1" applyFont="1" applyFill="1" applyBorder="1" applyAlignment="1">
      <alignment horizontal="center" vertical="center"/>
    </xf>
    <xf numFmtId="9" fontId="20" fillId="0" borderId="1" xfId="78" applyFont="1" applyBorder="1">
      <alignment vertical="center"/>
    </xf>
    <xf numFmtId="179" fontId="24" fillId="0" borderId="19" xfId="0" applyNumberFormat="1" applyFont="1" applyBorder="1">
      <alignment vertical="center"/>
    </xf>
    <xf numFmtId="0" fontId="20" fillId="0" borderId="1" xfId="0" applyFont="1" applyBorder="1" applyAlignment="1">
      <alignment horizontal="center" vertical="center"/>
    </xf>
    <xf numFmtId="179" fontId="7" fillId="0" borderId="0" xfId="0" applyNumberFormat="1" applyFont="1">
      <alignment vertical="center"/>
    </xf>
    <xf numFmtId="179" fontId="7" fillId="33" borderId="0" xfId="0" applyNumberFormat="1" applyFont="1" applyFill="1">
      <alignment vertical="center"/>
    </xf>
    <xf numFmtId="0" fontId="7" fillId="0" borderId="1" xfId="0" applyFont="1" applyBorder="1" applyAlignment="1">
      <alignment horizontal="left" vertical="center"/>
    </xf>
    <xf numFmtId="0" fontId="7" fillId="33" borderId="13" xfId="0" applyFont="1" applyFill="1" applyBorder="1" applyAlignment="1">
      <alignment horizontal="center" vertical="center" wrapText="1"/>
    </xf>
    <xf numFmtId="0" fontId="7" fillId="33" borderId="2" xfId="0" applyFont="1" applyFill="1" applyBorder="1" applyAlignment="1">
      <alignment horizontal="center" vertical="center" wrapText="1"/>
    </xf>
    <xf numFmtId="0" fontId="7" fillId="40" borderId="13" xfId="0" applyFont="1" applyFill="1" applyBorder="1" applyAlignment="1">
      <alignment horizontal="left" vertical="center"/>
    </xf>
    <xf numFmtId="0" fontId="7" fillId="40" borderId="2" xfId="0" applyFont="1" applyFill="1" applyBorder="1" applyAlignment="1">
      <alignment horizontal="left" vertical="center"/>
    </xf>
    <xf numFmtId="31" fontId="9" fillId="0" borderId="1" xfId="0" applyNumberFormat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7" fillId="40" borderId="13" xfId="0" applyFont="1" applyFill="1" applyBorder="1" applyAlignment="1">
      <alignment horizontal="center" vertical="center" wrapText="1"/>
    </xf>
    <xf numFmtId="0" fontId="7" fillId="40" borderId="2" xfId="0" applyFont="1" applyFill="1" applyBorder="1" applyAlignment="1">
      <alignment horizontal="center" vertical="center" wrapText="1"/>
    </xf>
    <xf numFmtId="0" fontId="20" fillId="35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21" fillId="37" borderId="1" xfId="0" applyFont="1" applyFill="1" applyBorder="1" applyAlignment="1">
      <alignment horizontal="center" vertical="center"/>
    </xf>
    <xf numFmtId="0" fontId="20" fillId="38" borderId="1" xfId="0" applyFont="1" applyFill="1" applyBorder="1" applyAlignment="1">
      <alignment horizontal="center" vertical="center"/>
    </xf>
    <xf numFmtId="38" fontId="20" fillId="38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</cellXfs>
  <cellStyles count="80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ÅëÈ­ [0]_INQUIRY ¿µ¾÷ÃßÁø " xfId="44"/>
    <cellStyle name="AeE­ [0]_INQUIRY ¿μ¾÷AßAø " xfId="45"/>
    <cellStyle name="ÅëÈ­_INQUIRY ¿µ¾÷ÃßÁø " xfId="46"/>
    <cellStyle name="AeE­_INQUIRY ¿μ¾÷AßAø " xfId="47"/>
    <cellStyle name="AÞ¸¶ [0]_½CAuCoE² " xfId="48"/>
    <cellStyle name="ÄÞ¸¶ [0]_INQUIRY ¿µ¾÷ÃßÁø " xfId="49"/>
    <cellStyle name="AÞ¸¶ [0]_INQUIRY ¿μ¾÷AßAø " xfId="50"/>
    <cellStyle name="AÞ¸¶_½CAuCoE² " xfId="51"/>
    <cellStyle name="ÄÞ¸¶_INQUIRY ¿µ¾÷ÃßÁø " xfId="52"/>
    <cellStyle name="AÞ¸¶_INQUIRY ¿μ¾÷AßAø " xfId="53"/>
    <cellStyle name="C￥AØ_¿μ¾÷CoE² " xfId="54"/>
    <cellStyle name="Ç¥ÁØ_»ç¾÷ºÎº° ÃÑ°è " xfId="55"/>
    <cellStyle name="C￥AØ_≫c¾÷ºIº° AN°e " xfId="56"/>
    <cellStyle name="Ç¥ÁØ_0N-HANDLING " xfId="57"/>
    <cellStyle name="C￥AØ_5-1±¤°i " xfId="58"/>
    <cellStyle name="Ç¥ÁØ_5-1±¤°í " xfId="59"/>
    <cellStyle name="C￥AØ_CoAo¹yAI °A¾×¿ⓒ½A " xfId="60"/>
    <cellStyle name="Ç¥ÁØ_Sheet1_¿µ¾÷ÇöÈ² " xfId="61"/>
    <cellStyle name="C￥AØ_Sheet1_¿μ¾÷CoE² " xfId="62"/>
    <cellStyle name="Ç¥ÁØ_Sheet1_0N-HANDLING " xfId="63"/>
    <cellStyle name="C￥AØ_Sheet1_Ay°eC￥(2¿u) " xfId="64"/>
    <cellStyle name="Ç¥ÁØ_Sheet1_Áý°èÇ¥(2¿ù) " xfId="65"/>
    <cellStyle name="comma" xfId="66"/>
    <cellStyle name="Comma [0]" xfId="67"/>
    <cellStyle name="Comma^ODCOS " xfId="68"/>
    <cellStyle name="Comma_ SG&amp;A Bridge " xfId="69"/>
    <cellStyle name="Currency [0]" xfId="70"/>
    <cellStyle name="Currency_ SG&amp;A Bridge " xfId="71"/>
    <cellStyle name="Currency1" xfId="72"/>
    <cellStyle name="Normal_ SG&amp;A Bridge " xfId="73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" xfId="78" builtinId="5"/>
    <cellStyle name="보통" xfId="29" builtinId="28" customBuiltin="1"/>
    <cellStyle name="새귑[0]_롤痰삠悧 " xfId="74"/>
    <cellStyle name="새귑_롤痰삠悧 " xfId="75"/>
    <cellStyle name="설명 텍스트" xfId="30" builtinId="53" customBuiltin="1"/>
    <cellStyle name="셀 확인" xfId="31" builtinId="23" customBuiltin="1"/>
    <cellStyle name="연결된 셀" xfId="32" builtinId="24" customBuiltin="1"/>
    <cellStyle name="열어 본 하이퍼링크" xfId="33" builtinId="9" hidden="1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콤마 [0]_  종  합  " xfId="76"/>
    <cellStyle name="콤마_  종  합  " xfId="77"/>
    <cellStyle name="표준" xfId="0" builtinId="0" customBuiltin="1"/>
    <cellStyle name="표준 6" xfId="79"/>
    <cellStyle name="하이퍼링크" xfId="43" builtinId="8" hidden="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showGridLines="0" tabSelected="1" topLeftCell="A25" zoomScaleNormal="100" workbookViewId="0">
      <selection activeCell="L13" sqref="L13"/>
    </sheetView>
  </sheetViews>
  <sheetFormatPr defaultColWidth="10" defaultRowHeight="20.100000000000001" customHeight="1"/>
  <cols>
    <col min="1" max="1" width="15.28515625" style="24" customWidth="1"/>
    <col min="2" max="2" width="13.28515625" style="2" customWidth="1"/>
    <col min="3" max="16" width="11.28515625" style="2" customWidth="1"/>
    <col min="17" max="16384" width="10" style="2"/>
  </cols>
  <sheetData>
    <row r="1" spans="1:16" ht="20.100000000000001" customHeight="1">
      <c r="A1" s="1" t="s">
        <v>16</v>
      </c>
    </row>
    <row r="2" spans="1:16" ht="20.100000000000001" customHeight="1">
      <c r="A2" s="40" t="s">
        <v>17</v>
      </c>
      <c r="B2" s="40" t="s">
        <v>18</v>
      </c>
      <c r="C2" s="41" t="s">
        <v>19</v>
      </c>
      <c r="D2" s="41"/>
      <c r="E2" s="41"/>
      <c r="F2" s="41"/>
      <c r="G2" s="41"/>
      <c r="H2" s="41"/>
      <c r="I2" s="41"/>
      <c r="J2" s="41"/>
      <c r="K2" s="41"/>
      <c r="L2" s="41"/>
      <c r="M2" s="42" t="s">
        <v>20</v>
      </c>
      <c r="N2" s="42"/>
      <c r="O2" s="43" t="s">
        <v>21</v>
      </c>
      <c r="P2" s="43"/>
    </row>
    <row r="3" spans="1:16" ht="20.100000000000001" customHeight="1">
      <c r="A3" s="40"/>
      <c r="B3" s="40"/>
      <c r="C3" s="44" t="s">
        <v>22</v>
      </c>
      <c r="D3" s="44"/>
      <c r="E3" s="44"/>
      <c r="F3" s="44"/>
      <c r="G3" s="44" t="s">
        <v>23</v>
      </c>
      <c r="H3" s="44"/>
      <c r="I3" s="44"/>
      <c r="J3" s="44"/>
      <c r="K3" s="45" t="s">
        <v>24</v>
      </c>
      <c r="L3" s="45"/>
      <c r="M3" s="42"/>
      <c r="N3" s="42"/>
      <c r="O3" s="43"/>
      <c r="P3" s="43"/>
    </row>
    <row r="4" spans="1:16" ht="20.100000000000001" customHeight="1">
      <c r="A4" s="40"/>
      <c r="B4" s="40"/>
      <c r="C4" s="25" t="s">
        <v>25</v>
      </c>
      <c r="D4" s="3" t="s">
        <v>26</v>
      </c>
      <c r="E4" s="3" t="s">
        <v>27</v>
      </c>
      <c r="F4" s="25" t="s">
        <v>28</v>
      </c>
      <c r="G4" s="25" t="s">
        <v>25</v>
      </c>
      <c r="H4" s="3" t="s">
        <v>26</v>
      </c>
      <c r="I4" s="3" t="s">
        <v>27</v>
      </c>
      <c r="J4" s="25" t="s">
        <v>28</v>
      </c>
      <c r="K4" s="25" t="s">
        <v>25</v>
      </c>
      <c r="L4" s="25" t="s">
        <v>28</v>
      </c>
      <c r="M4" s="4" t="s">
        <v>25</v>
      </c>
      <c r="N4" s="4" t="s">
        <v>28</v>
      </c>
      <c r="O4" s="5" t="s">
        <v>25</v>
      </c>
      <c r="P4" s="5" t="s">
        <v>28</v>
      </c>
    </row>
    <row r="5" spans="1:16" ht="20.100000000000001" customHeight="1">
      <c r="A5" s="28" t="s">
        <v>35</v>
      </c>
      <c r="B5" s="6" t="s">
        <v>31</v>
      </c>
      <c r="C5" s="27">
        <v>3875934</v>
      </c>
      <c r="D5" s="26"/>
      <c r="E5" s="26"/>
      <c r="F5" s="7"/>
      <c r="G5" s="27">
        <v>42420</v>
      </c>
      <c r="H5" s="26"/>
      <c r="I5" s="26"/>
      <c r="J5" s="7"/>
      <c r="K5" s="7">
        <f>C5+G5</f>
        <v>3918354</v>
      </c>
      <c r="L5" s="7">
        <f>F5+J5</f>
        <v>0</v>
      </c>
      <c r="M5" s="7">
        <v>0</v>
      </c>
      <c r="N5" s="7">
        <f>M5*63%</f>
        <v>0</v>
      </c>
      <c r="O5" s="7">
        <f>K5+M5</f>
        <v>3918354</v>
      </c>
      <c r="P5" s="7">
        <v>2462624.2200000002</v>
      </c>
    </row>
    <row r="6" spans="1:16" ht="20.100000000000001" customHeight="1">
      <c r="A6" s="28" t="s">
        <v>35</v>
      </c>
      <c r="B6" s="6" t="s">
        <v>32</v>
      </c>
      <c r="C6" s="27">
        <v>3421142</v>
      </c>
      <c r="D6" s="26"/>
      <c r="E6" s="26"/>
      <c r="F6" s="7"/>
      <c r="G6" s="27">
        <v>24840</v>
      </c>
      <c r="H6" s="26"/>
      <c r="I6" s="26"/>
      <c r="J6" s="7"/>
      <c r="K6" s="7">
        <f t="shared" ref="K6:K9" si="0">C6+G6</f>
        <v>3445982</v>
      </c>
      <c r="L6" s="7">
        <f t="shared" ref="L6:L9" si="1">F6+J6</f>
        <v>0</v>
      </c>
      <c r="M6" s="7">
        <v>0</v>
      </c>
      <c r="N6" s="7">
        <f t="shared" ref="N6:N9" si="2">M6*63%</f>
        <v>0</v>
      </c>
      <c r="O6" s="7">
        <f t="shared" ref="O6:O9" si="3">K6+M6</f>
        <v>3445982</v>
      </c>
      <c r="P6" s="7">
        <v>2167491.06</v>
      </c>
    </row>
    <row r="7" spans="1:16" ht="20.100000000000001" customHeight="1">
      <c r="A7" s="28" t="s">
        <v>35</v>
      </c>
      <c r="B7" s="6" t="s">
        <v>33</v>
      </c>
      <c r="C7" s="27">
        <v>8192760</v>
      </c>
      <c r="D7" s="26"/>
      <c r="E7" s="26"/>
      <c r="F7" s="7"/>
      <c r="G7" s="27">
        <v>93396</v>
      </c>
      <c r="H7" s="26"/>
      <c r="I7" s="26"/>
      <c r="J7" s="7"/>
      <c r="K7" s="7">
        <f t="shared" si="0"/>
        <v>8286156</v>
      </c>
      <c r="L7" s="7">
        <f t="shared" si="1"/>
        <v>0</v>
      </c>
      <c r="M7" s="7">
        <v>0</v>
      </c>
      <c r="N7" s="7">
        <f t="shared" si="2"/>
        <v>0</v>
      </c>
      <c r="O7" s="7">
        <f t="shared" si="3"/>
        <v>8286156</v>
      </c>
      <c r="P7" s="7">
        <v>5207202.84</v>
      </c>
    </row>
    <row r="8" spans="1:16" ht="20.100000000000001" customHeight="1">
      <c r="A8" s="28" t="s">
        <v>35</v>
      </c>
      <c r="B8" s="6" t="s">
        <v>36</v>
      </c>
      <c r="C8" s="27">
        <v>1926150</v>
      </c>
      <c r="D8" s="26"/>
      <c r="E8" s="26"/>
      <c r="F8" s="7"/>
      <c r="G8" s="27">
        <v>9720</v>
      </c>
      <c r="H8" s="26"/>
      <c r="I8" s="26"/>
      <c r="J8" s="7"/>
      <c r="K8" s="7">
        <f t="shared" si="0"/>
        <v>1935870</v>
      </c>
      <c r="L8" s="7">
        <f t="shared" si="1"/>
        <v>0</v>
      </c>
      <c r="M8" s="7">
        <v>0</v>
      </c>
      <c r="N8" s="7">
        <f t="shared" si="2"/>
        <v>0</v>
      </c>
      <c r="O8" s="7">
        <f t="shared" si="3"/>
        <v>1935870</v>
      </c>
      <c r="P8" s="7">
        <v>1218237.3</v>
      </c>
    </row>
    <row r="9" spans="1:16" ht="20.100000000000001" customHeight="1">
      <c r="A9" s="28" t="s">
        <v>35</v>
      </c>
      <c r="B9" s="6" t="s">
        <v>38</v>
      </c>
      <c r="C9" s="27">
        <v>38560</v>
      </c>
      <c r="D9" s="26"/>
      <c r="E9" s="26"/>
      <c r="F9" s="7"/>
      <c r="G9" s="27">
        <v>0</v>
      </c>
      <c r="H9" s="26"/>
      <c r="I9" s="26"/>
      <c r="J9" s="7"/>
      <c r="K9" s="7">
        <f t="shared" si="0"/>
        <v>38560</v>
      </c>
      <c r="L9" s="7">
        <f t="shared" si="1"/>
        <v>0</v>
      </c>
      <c r="M9" s="7">
        <v>0</v>
      </c>
      <c r="N9" s="7">
        <f t="shared" si="2"/>
        <v>0</v>
      </c>
      <c r="O9" s="7">
        <f t="shared" si="3"/>
        <v>38560</v>
      </c>
      <c r="P9" s="7">
        <v>23136</v>
      </c>
    </row>
    <row r="10" spans="1:16" ht="20.100000000000001" customHeight="1">
      <c r="A10" s="28" t="s">
        <v>35</v>
      </c>
      <c r="B10" s="6" t="s">
        <v>39</v>
      </c>
      <c r="C10" s="27">
        <v>1547840</v>
      </c>
      <c r="D10" s="26"/>
      <c r="E10" s="26"/>
      <c r="F10" s="7"/>
      <c r="G10" s="27">
        <v>480</v>
      </c>
      <c r="H10" s="26"/>
      <c r="I10" s="26"/>
      <c r="J10" s="7"/>
      <c r="K10" s="7">
        <f t="shared" ref="K10" si="4">C10+G10</f>
        <v>1548320</v>
      </c>
      <c r="L10" s="7">
        <f t="shared" ref="L10" si="5">F10+J10</f>
        <v>0</v>
      </c>
      <c r="M10" s="7">
        <v>0</v>
      </c>
      <c r="N10" s="7">
        <f t="shared" ref="N10" si="6">M10*63%</f>
        <v>0</v>
      </c>
      <c r="O10" s="7">
        <f t="shared" ref="O10" si="7">K10+M10</f>
        <v>1548320</v>
      </c>
      <c r="P10" s="7">
        <v>938252.4</v>
      </c>
    </row>
    <row r="11" spans="1:16" ht="20.100000000000001" customHeight="1">
      <c r="A11" s="1" t="s">
        <v>43</v>
      </c>
      <c r="O11" s="29"/>
      <c r="P11" s="29">
        <f>SUM(P5:P10)</f>
        <v>12016943.820000002</v>
      </c>
    </row>
    <row r="12" spans="1:16" ht="20.100000000000001" customHeight="1">
      <c r="A12" s="2"/>
    </row>
    <row r="13" spans="1:16" ht="20.100000000000001" customHeight="1">
      <c r="A13" s="8" t="s">
        <v>29</v>
      </c>
      <c r="B13" s="9"/>
      <c r="C13" s="10"/>
      <c r="D13" s="11"/>
      <c r="E13" s="11"/>
      <c r="F13" s="11"/>
    </row>
    <row r="14" spans="1:16" ht="20.100000000000001" customHeight="1">
      <c r="A14" s="38" t="s">
        <v>11</v>
      </c>
      <c r="B14" s="39"/>
      <c r="C14" s="12" t="s">
        <v>12</v>
      </c>
      <c r="D14" s="13" t="s">
        <v>13</v>
      </c>
      <c r="E14" s="12" t="s">
        <v>14</v>
      </c>
      <c r="F14" s="14"/>
    </row>
    <row r="15" spans="1:16" ht="20.100000000000001" customHeight="1">
      <c r="A15" s="32" t="s">
        <v>42</v>
      </c>
      <c r="B15" s="33"/>
      <c r="C15" s="15">
        <f>P6+P5+P7+P8</f>
        <v>11055555.420000002</v>
      </c>
      <c r="D15" s="15">
        <v>0</v>
      </c>
      <c r="E15" s="15">
        <f>C15+D15</f>
        <v>11055555.420000002</v>
      </c>
      <c r="F15" s="14"/>
    </row>
    <row r="16" spans="1:16" ht="20.100000000000001" customHeight="1">
      <c r="A16" s="16"/>
      <c r="B16" s="16"/>
      <c r="C16" s="17"/>
      <c r="D16" s="17"/>
      <c r="E16" s="17"/>
      <c r="F16" s="14"/>
    </row>
    <row r="17" spans="1:6" ht="20.100000000000001" customHeight="1">
      <c r="A17" s="38" t="s">
        <v>11</v>
      </c>
      <c r="B17" s="39"/>
      <c r="C17" s="12" t="s">
        <v>12</v>
      </c>
      <c r="D17" s="13" t="s">
        <v>13</v>
      </c>
      <c r="E17" s="12" t="s">
        <v>14</v>
      </c>
      <c r="F17" s="14"/>
    </row>
    <row r="18" spans="1:6" ht="20.100000000000001" customHeight="1">
      <c r="A18" s="32" t="s">
        <v>41</v>
      </c>
      <c r="B18" s="33"/>
      <c r="C18" s="15">
        <f>P10</f>
        <v>938252.4</v>
      </c>
      <c r="D18" s="15">
        <v>0</v>
      </c>
      <c r="E18" s="15">
        <f>C18+D18</f>
        <v>938252.4</v>
      </c>
      <c r="F18" s="14"/>
    </row>
    <row r="19" spans="1:6" ht="20.100000000000001" customHeight="1">
      <c r="A19" s="16"/>
      <c r="B19" s="16"/>
      <c r="C19" s="17"/>
      <c r="D19" s="17"/>
      <c r="E19" s="17"/>
      <c r="F19" s="14"/>
    </row>
    <row r="20" spans="1:6" ht="20.100000000000001" customHeight="1">
      <c r="A20" s="38" t="s">
        <v>11</v>
      </c>
      <c r="B20" s="39"/>
      <c r="C20" s="12" t="s">
        <v>12</v>
      </c>
      <c r="D20" s="13" t="s">
        <v>13</v>
      </c>
      <c r="E20" s="12" t="s">
        <v>14</v>
      </c>
      <c r="F20" s="14"/>
    </row>
    <row r="21" spans="1:6" ht="20.100000000000001" customHeight="1">
      <c r="A21" s="32" t="s">
        <v>40</v>
      </c>
      <c r="B21" s="33"/>
      <c r="C21" s="15">
        <f>P9</f>
        <v>23136</v>
      </c>
      <c r="D21" s="15">
        <v>0</v>
      </c>
      <c r="E21" s="15">
        <f>C21+D21</f>
        <v>23136</v>
      </c>
      <c r="F21" s="30">
        <f>E15+E18+E21</f>
        <v>12016943.820000002</v>
      </c>
    </row>
    <row r="22" spans="1:6" ht="20.100000000000001" customHeight="1">
      <c r="A22" s="16"/>
      <c r="B22" s="16"/>
      <c r="C22" s="17"/>
      <c r="D22" s="17"/>
      <c r="E22" s="17"/>
      <c r="F22" s="14"/>
    </row>
    <row r="23" spans="1:6" ht="20.100000000000001" customHeight="1">
      <c r="A23" s="14"/>
      <c r="B23" s="14"/>
      <c r="C23" s="14"/>
      <c r="D23" s="14"/>
      <c r="E23" s="14"/>
      <c r="F23" s="14"/>
    </row>
    <row r="24" spans="1:6" ht="20.100000000000001" customHeight="1">
      <c r="A24" s="8" t="s">
        <v>30</v>
      </c>
      <c r="B24" s="9"/>
      <c r="C24" s="10"/>
      <c r="D24" s="11"/>
      <c r="E24" s="11"/>
      <c r="F24" s="11"/>
    </row>
    <row r="25" spans="1:6" ht="20.100000000000001" customHeight="1">
      <c r="A25" s="34" t="s">
        <v>0</v>
      </c>
      <c r="B25" s="35"/>
      <c r="C25" s="36">
        <v>44834</v>
      </c>
      <c r="D25" s="36"/>
      <c r="E25" s="36"/>
      <c r="F25" s="36"/>
    </row>
    <row r="26" spans="1:6" ht="20.100000000000001" customHeight="1">
      <c r="A26" s="18" t="s">
        <v>1</v>
      </c>
      <c r="B26" s="19"/>
      <c r="C26" s="37" t="s">
        <v>34</v>
      </c>
      <c r="D26" s="37"/>
      <c r="E26" s="37"/>
      <c r="F26" s="37"/>
    </row>
    <row r="27" spans="1:6" ht="20.100000000000001" customHeight="1">
      <c r="A27" s="20"/>
      <c r="B27" s="21"/>
      <c r="C27" s="46" t="s">
        <v>15</v>
      </c>
      <c r="D27" s="46"/>
      <c r="E27" s="46"/>
      <c r="F27" s="46"/>
    </row>
    <row r="28" spans="1:6" ht="20.100000000000001" customHeight="1">
      <c r="A28" s="22"/>
      <c r="B28" s="23"/>
      <c r="C28" s="31" t="s">
        <v>7</v>
      </c>
      <c r="D28" s="31"/>
      <c r="E28" s="31"/>
      <c r="F28" s="31"/>
    </row>
    <row r="29" spans="1:6" ht="20.100000000000001" customHeight="1">
      <c r="A29" s="18" t="s">
        <v>2</v>
      </c>
      <c r="B29" s="19"/>
      <c r="C29" s="31" t="s">
        <v>8</v>
      </c>
      <c r="D29" s="31"/>
      <c r="E29" s="31"/>
      <c r="F29" s="31"/>
    </row>
    <row r="30" spans="1:6" ht="20.100000000000001" customHeight="1">
      <c r="A30" s="20"/>
      <c r="B30" s="21"/>
      <c r="C30" s="31" t="s">
        <v>3</v>
      </c>
      <c r="D30" s="31"/>
      <c r="E30" s="31"/>
      <c r="F30" s="31"/>
    </row>
    <row r="31" spans="1:6" ht="20.100000000000001" customHeight="1">
      <c r="A31" s="20"/>
      <c r="B31" s="21"/>
      <c r="C31" s="31" t="s">
        <v>4</v>
      </c>
      <c r="D31" s="31"/>
      <c r="E31" s="31"/>
      <c r="F31" s="31"/>
    </row>
    <row r="32" spans="1:6" ht="20.100000000000001" customHeight="1">
      <c r="A32" s="20"/>
      <c r="B32" s="21"/>
      <c r="C32" s="31" t="s">
        <v>7</v>
      </c>
      <c r="D32" s="31"/>
      <c r="E32" s="31"/>
      <c r="F32" s="31"/>
    </row>
    <row r="33" spans="1:6" ht="20.100000000000001" customHeight="1">
      <c r="A33" s="20"/>
      <c r="B33" s="21"/>
      <c r="C33" s="31" t="s">
        <v>5</v>
      </c>
      <c r="D33" s="31"/>
      <c r="E33" s="31"/>
      <c r="F33" s="31"/>
    </row>
    <row r="34" spans="1:6" ht="20.100000000000001" customHeight="1">
      <c r="A34" s="22"/>
      <c r="B34" s="23"/>
      <c r="C34" s="31" t="s">
        <v>6</v>
      </c>
      <c r="D34" s="31"/>
      <c r="E34" s="31"/>
      <c r="F34" s="31"/>
    </row>
    <row r="35" spans="1:6" ht="20.100000000000001" customHeight="1">
      <c r="A35" s="18" t="s">
        <v>10</v>
      </c>
      <c r="B35" s="19"/>
      <c r="C35" s="31" t="s">
        <v>37</v>
      </c>
      <c r="D35" s="31"/>
      <c r="E35" s="31"/>
      <c r="F35" s="31"/>
    </row>
    <row r="36" spans="1:6" ht="20.100000000000001" customHeight="1">
      <c r="A36" s="22"/>
      <c r="B36" s="23"/>
      <c r="C36" s="31" t="s">
        <v>9</v>
      </c>
      <c r="D36" s="31"/>
      <c r="E36" s="31"/>
      <c r="F36" s="31"/>
    </row>
  </sheetData>
  <mergeCells count="27">
    <mergeCell ref="O2:P3"/>
    <mergeCell ref="C3:F3"/>
    <mergeCell ref="G3:J3"/>
    <mergeCell ref="K3:L3"/>
    <mergeCell ref="C27:F27"/>
    <mergeCell ref="A2:A4"/>
    <mergeCell ref="B2:B4"/>
    <mergeCell ref="C2:L2"/>
    <mergeCell ref="M2:N3"/>
    <mergeCell ref="A14:B14"/>
    <mergeCell ref="A15:B15"/>
    <mergeCell ref="A25:B25"/>
    <mergeCell ref="C25:F25"/>
    <mergeCell ref="C26:F26"/>
    <mergeCell ref="C34:F34"/>
    <mergeCell ref="A17:B17"/>
    <mergeCell ref="A18:B18"/>
    <mergeCell ref="A20:B20"/>
    <mergeCell ref="A21:B21"/>
    <mergeCell ref="C35:F35"/>
    <mergeCell ref="C36:F36"/>
    <mergeCell ref="C28:F28"/>
    <mergeCell ref="C29:F29"/>
    <mergeCell ref="C30:F30"/>
    <mergeCell ref="C31:F31"/>
    <mergeCell ref="C32:F32"/>
    <mergeCell ref="C33:F33"/>
  </mergeCells>
  <phoneticPr fontId="8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2022-10-05T07:29:39Z</dcterms:modified>
</cp:coreProperties>
</file>