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28680" yWindow="-120" windowWidth="29040" windowHeight="13170"/>
  </bookViews>
  <sheets>
    <sheet name="합계(7)" sheetId="15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9" i="15" l="1"/>
  <c r="N38" i="15"/>
  <c r="N37" i="15"/>
  <c r="N36" i="15"/>
</calcChain>
</file>

<file path=xl/sharedStrings.xml><?xml version="1.0" encoding="utf-8"?>
<sst xmlns="http://schemas.openxmlformats.org/spreadsheetml/2006/main" count="342" uniqueCount="63">
  <si>
    <t>정산기준</t>
    <phoneticPr fontId="2" type="noConversion"/>
  </si>
  <si>
    <t>매출월</t>
    <phoneticPr fontId="2" type="noConversion"/>
  </si>
  <si>
    <t>정산월</t>
    <phoneticPr fontId="2" type="noConversion"/>
  </si>
  <si>
    <t>플랫폼</t>
    <phoneticPr fontId="2" type="noConversion"/>
  </si>
  <si>
    <t>상품명</t>
    <phoneticPr fontId="2" type="noConversion"/>
  </si>
  <si>
    <t>저자명</t>
    <phoneticPr fontId="2" type="noConversion"/>
  </si>
  <si>
    <t>출판사</t>
    <phoneticPr fontId="2" type="noConversion"/>
  </si>
  <si>
    <t>정산업체</t>
    <phoneticPr fontId="2" type="noConversion"/>
  </si>
  <si>
    <t>인세인</t>
    <phoneticPr fontId="2" type="noConversion"/>
  </si>
  <si>
    <t>인세율</t>
    <phoneticPr fontId="2" type="noConversion"/>
  </si>
  <si>
    <t>구분</t>
    <phoneticPr fontId="2" type="noConversion"/>
  </si>
  <si>
    <t>누온</t>
  </si>
  <si>
    <t>정산액</t>
  </si>
  <si>
    <t>트리거 6화</t>
  </si>
  <si>
    <t>류은립, 블랙커피</t>
  </si>
  <si>
    <t>스튜디오 온</t>
  </si>
  <si>
    <t>웹툰</t>
    <phoneticPr fontId="2" type="noConversion"/>
  </si>
  <si>
    <t>트리거 5화</t>
  </si>
  <si>
    <t>트리거 3화</t>
  </si>
  <si>
    <t>트리거 4화</t>
  </si>
  <si>
    <t>트리거 7화</t>
  </si>
  <si>
    <t>트리거 8화</t>
  </si>
  <si>
    <t>트리거 2화</t>
  </si>
  <si>
    <t>트리거 1화</t>
  </si>
  <si>
    <t>트리거 9화</t>
  </si>
  <si>
    <t>트리거 10화</t>
  </si>
  <si>
    <t>트리거 11화</t>
  </si>
  <si>
    <t>트리거 12화</t>
  </si>
  <si>
    <t>수정매출처</t>
    <phoneticPr fontId="2" type="noConversion"/>
  </si>
  <si>
    <t>정산-매출</t>
    <phoneticPr fontId="2" type="noConversion"/>
  </si>
  <si>
    <t>정산-발행</t>
    <phoneticPr fontId="2" type="noConversion"/>
  </si>
  <si>
    <t>정산-인세</t>
    <phoneticPr fontId="2" type="noConversion"/>
  </si>
  <si>
    <t>트리거 13화</t>
  </si>
  <si>
    <t>트리거 14화</t>
  </si>
  <si>
    <t>트리거 15화</t>
  </si>
  <si>
    <t>트리거 16화</t>
  </si>
  <si>
    <t>트리거 17화</t>
  </si>
  <si>
    <t>트리거 18화</t>
  </si>
  <si>
    <t>트리거 19화</t>
  </si>
  <si>
    <t>트리거 20화</t>
  </si>
  <si>
    <t>트리거 21화</t>
  </si>
  <si>
    <t>트리거 22화</t>
  </si>
  <si>
    <t>스토리위즈(사업자)</t>
  </si>
  <si>
    <t>리디북스</t>
    <phoneticPr fontId="2" type="noConversion"/>
  </si>
  <si>
    <t>트리거 23화</t>
  </si>
  <si>
    <t>트리거 24화</t>
  </si>
  <si>
    <t>트리거 25화</t>
  </si>
  <si>
    <t>트리거 27화</t>
  </si>
  <si>
    <t>트리거 26화</t>
  </si>
  <si>
    <t>트리거 28화</t>
  </si>
  <si>
    <t>트리거 29화</t>
  </si>
  <si>
    <t>리디북스</t>
    <phoneticPr fontId="2" type="noConversion"/>
  </si>
  <si>
    <t>트리거 30화</t>
  </si>
  <si>
    <t>리디북스</t>
    <phoneticPr fontId="2" type="noConversion"/>
  </si>
  <si>
    <t>트리거 31화</t>
  </si>
  <si>
    <t>트리거 32화</t>
  </si>
  <si>
    <t>트리거 33화</t>
  </si>
  <si>
    <t>트리거 34화</t>
  </si>
  <si>
    <t>웹툰</t>
    <phoneticPr fontId="2" type="noConversion"/>
  </si>
  <si>
    <t>델리툰</t>
    <phoneticPr fontId="2" type="noConversion"/>
  </si>
  <si>
    <t>누온</t>
    <phoneticPr fontId="2" type="noConversion"/>
  </si>
  <si>
    <t>누온</t>
    <phoneticPr fontId="2" type="noConversion"/>
  </si>
  <si>
    <t>트리거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</si>
</sst>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15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8" fillId="3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0" xfId="0" applyNumberFormat="1">
      <alignment vertical="center"/>
    </xf>
  </cellXfs>
  <cellStyles count="4">
    <cellStyle name="쉼표 [0]" xfId="1" builtinId="6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topLeftCell="A25" zoomScale="94" zoomScaleNormal="94" workbookViewId="0">
      <selection activeCell="N40" sqref="N40"/>
    </sheetView>
  </sheetViews>
  <sheetFormatPr defaultRowHeight="16.5" x14ac:dyDescent="0.3"/>
  <cols>
    <col min="1" max="2" width="11" bestFit="1" customWidth="1"/>
    <col min="3" max="3" width="8.75" customWidth="1"/>
    <col min="5" max="5" width="11.25" bestFit="1" customWidth="1"/>
    <col min="6" max="6" width="16.625" bestFit="1" customWidth="1"/>
    <col min="7" max="7" width="11.875" customWidth="1"/>
    <col min="9" max="9" width="11" customWidth="1"/>
    <col min="11" max="11" width="16.75" bestFit="1" customWidth="1"/>
    <col min="14" max="14" width="10.5" bestFit="1" customWidth="1"/>
  </cols>
  <sheetData>
    <row r="1" spans="1:15" x14ac:dyDescent="0.3">
      <c r="A1" s="1" t="s">
        <v>1</v>
      </c>
      <c r="B1" s="1" t="s">
        <v>2</v>
      </c>
      <c r="C1" s="1" t="s">
        <v>3</v>
      </c>
      <c r="D1" s="1" t="s">
        <v>28</v>
      </c>
      <c r="E1" s="1" t="s">
        <v>4</v>
      </c>
      <c r="F1" s="1" t="s">
        <v>5</v>
      </c>
      <c r="G1" s="1" t="s">
        <v>6</v>
      </c>
      <c r="H1" s="2" t="s">
        <v>29</v>
      </c>
      <c r="I1" s="2" t="s">
        <v>30</v>
      </c>
      <c r="J1" s="1" t="s">
        <v>7</v>
      </c>
      <c r="K1" s="1" t="s">
        <v>8</v>
      </c>
      <c r="L1" s="1" t="s">
        <v>0</v>
      </c>
      <c r="M1" s="1" t="s">
        <v>9</v>
      </c>
      <c r="N1" s="2" t="s">
        <v>31</v>
      </c>
      <c r="O1" s="1" t="s">
        <v>10</v>
      </c>
    </row>
    <row r="2" spans="1:15" x14ac:dyDescent="0.3">
      <c r="A2" s="5">
        <v>44773</v>
      </c>
      <c r="B2" s="5">
        <v>44834</v>
      </c>
      <c r="C2" s="6" t="s">
        <v>51</v>
      </c>
      <c r="D2" s="7" t="s">
        <v>11</v>
      </c>
      <c r="E2" s="8" t="s">
        <v>52</v>
      </c>
      <c r="F2" s="8" t="s">
        <v>14</v>
      </c>
      <c r="G2" s="8" t="s">
        <v>15</v>
      </c>
      <c r="H2" s="9">
        <v>661800</v>
      </c>
      <c r="I2" s="9">
        <v>391632.16</v>
      </c>
      <c r="J2" s="10" t="s">
        <v>11</v>
      </c>
      <c r="K2" s="10" t="s">
        <v>42</v>
      </c>
      <c r="L2" s="10" t="s">
        <v>12</v>
      </c>
      <c r="M2" s="10">
        <v>0.1</v>
      </c>
      <c r="N2" s="4">
        <v>39163.216</v>
      </c>
      <c r="O2" s="3" t="s">
        <v>16</v>
      </c>
    </row>
    <row r="3" spans="1:15" x14ac:dyDescent="0.3">
      <c r="A3" s="5">
        <v>44773</v>
      </c>
      <c r="B3" s="5">
        <v>44834</v>
      </c>
      <c r="C3" s="6" t="s">
        <v>53</v>
      </c>
      <c r="D3" s="7" t="s">
        <v>11</v>
      </c>
      <c r="E3" s="8" t="s">
        <v>54</v>
      </c>
      <c r="F3" s="8" t="s">
        <v>14</v>
      </c>
      <c r="G3" s="8" t="s">
        <v>15</v>
      </c>
      <c r="H3" s="9">
        <v>600200</v>
      </c>
      <c r="I3" s="9">
        <v>355164.4</v>
      </c>
      <c r="J3" s="10" t="s">
        <v>11</v>
      </c>
      <c r="K3" s="10" t="s">
        <v>42</v>
      </c>
      <c r="L3" s="10" t="s">
        <v>12</v>
      </c>
      <c r="M3" s="10">
        <v>0.1</v>
      </c>
      <c r="N3" s="4">
        <v>35516.44</v>
      </c>
      <c r="O3" s="3" t="s">
        <v>16</v>
      </c>
    </row>
    <row r="4" spans="1:15" x14ac:dyDescent="0.3">
      <c r="A4" s="5">
        <v>44773</v>
      </c>
      <c r="B4" s="5">
        <v>44834</v>
      </c>
      <c r="C4" s="6" t="s">
        <v>43</v>
      </c>
      <c r="D4" s="7" t="s">
        <v>11</v>
      </c>
      <c r="E4" s="8" t="s">
        <v>55</v>
      </c>
      <c r="F4" s="8" t="s">
        <v>14</v>
      </c>
      <c r="G4" s="8" t="s">
        <v>15</v>
      </c>
      <c r="H4" s="9">
        <v>546400</v>
      </c>
      <c r="I4" s="9">
        <v>323403.48</v>
      </c>
      <c r="J4" s="10" t="s">
        <v>11</v>
      </c>
      <c r="K4" s="10" t="s">
        <v>42</v>
      </c>
      <c r="L4" s="10" t="s">
        <v>12</v>
      </c>
      <c r="M4" s="10">
        <v>0.1</v>
      </c>
      <c r="N4" s="4">
        <v>32340.347999999998</v>
      </c>
      <c r="O4" s="3" t="s">
        <v>16</v>
      </c>
    </row>
    <row r="5" spans="1:15" x14ac:dyDescent="0.3">
      <c r="A5" s="5">
        <v>44773</v>
      </c>
      <c r="B5" s="5">
        <v>44834</v>
      </c>
      <c r="C5" s="6" t="s">
        <v>43</v>
      </c>
      <c r="D5" s="7" t="s">
        <v>11</v>
      </c>
      <c r="E5" s="8" t="s">
        <v>56</v>
      </c>
      <c r="F5" s="8" t="s">
        <v>14</v>
      </c>
      <c r="G5" s="8" t="s">
        <v>15</v>
      </c>
      <c r="H5" s="9">
        <v>491400</v>
      </c>
      <c r="I5" s="9">
        <v>290620.14</v>
      </c>
      <c r="J5" s="10" t="s">
        <v>11</v>
      </c>
      <c r="K5" s="10" t="s">
        <v>42</v>
      </c>
      <c r="L5" s="10" t="s">
        <v>12</v>
      </c>
      <c r="M5" s="10">
        <v>0.1</v>
      </c>
      <c r="N5" s="4">
        <v>29062.014000000003</v>
      </c>
      <c r="O5" s="3" t="s">
        <v>16</v>
      </c>
    </row>
    <row r="6" spans="1:15" x14ac:dyDescent="0.3">
      <c r="A6" s="5">
        <v>44773</v>
      </c>
      <c r="B6" s="5">
        <v>44834</v>
      </c>
      <c r="C6" s="6" t="s">
        <v>53</v>
      </c>
      <c r="D6" s="7" t="s">
        <v>11</v>
      </c>
      <c r="E6" s="8" t="s">
        <v>57</v>
      </c>
      <c r="F6" s="8" t="s">
        <v>14</v>
      </c>
      <c r="G6" s="8" t="s">
        <v>15</v>
      </c>
      <c r="H6" s="9">
        <v>399800</v>
      </c>
      <c r="I6" s="9">
        <v>236489.76</v>
      </c>
      <c r="J6" s="10" t="s">
        <v>11</v>
      </c>
      <c r="K6" s="10" t="s">
        <v>42</v>
      </c>
      <c r="L6" s="10" t="s">
        <v>12</v>
      </c>
      <c r="M6" s="10">
        <v>0.1</v>
      </c>
      <c r="N6" s="4">
        <v>23648.976000000002</v>
      </c>
      <c r="O6" s="3" t="s">
        <v>16</v>
      </c>
    </row>
    <row r="7" spans="1:15" x14ac:dyDescent="0.3">
      <c r="A7" s="5">
        <v>44773</v>
      </c>
      <c r="B7" s="5">
        <v>44834</v>
      </c>
      <c r="C7" s="6" t="s">
        <v>53</v>
      </c>
      <c r="D7" s="7" t="s">
        <v>11</v>
      </c>
      <c r="E7" s="8" t="s">
        <v>50</v>
      </c>
      <c r="F7" s="8" t="s">
        <v>14</v>
      </c>
      <c r="G7" s="8" t="s">
        <v>15</v>
      </c>
      <c r="H7" s="9">
        <v>187100</v>
      </c>
      <c r="I7" s="9">
        <v>110528.92</v>
      </c>
      <c r="J7" s="10" t="s">
        <v>11</v>
      </c>
      <c r="K7" s="10" t="s">
        <v>42</v>
      </c>
      <c r="L7" s="10" t="s">
        <v>12</v>
      </c>
      <c r="M7" s="10">
        <v>0.1</v>
      </c>
      <c r="N7" s="4">
        <v>11052.892</v>
      </c>
      <c r="O7" s="3" t="s">
        <v>16</v>
      </c>
    </row>
    <row r="8" spans="1:15" x14ac:dyDescent="0.3">
      <c r="A8" s="5">
        <v>44773</v>
      </c>
      <c r="B8" s="5">
        <v>44834</v>
      </c>
      <c r="C8" s="6" t="s">
        <v>53</v>
      </c>
      <c r="D8" s="7" t="s">
        <v>11</v>
      </c>
      <c r="E8" s="8" t="s">
        <v>47</v>
      </c>
      <c r="F8" s="8" t="s">
        <v>14</v>
      </c>
      <c r="G8" s="8" t="s">
        <v>15</v>
      </c>
      <c r="H8" s="9">
        <v>153600</v>
      </c>
      <c r="I8" s="9">
        <v>90226.31</v>
      </c>
      <c r="J8" s="10" t="s">
        <v>11</v>
      </c>
      <c r="K8" s="10" t="s">
        <v>42</v>
      </c>
      <c r="L8" s="10" t="s">
        <v>12</v>
      </c>
      <c r="M8" s="10">
        <v>0.1</v>
      </c>
      <c r="N8" s="4">
        <v>9022.6309999999994</v>
      </c>
      <c r="O8" s="3" t="s">
        <v>16</v>
      </c>
    </row>
    <row r="9" spans="1:15" x14ac:dyDescent="0.3">
      <c r="A9" s="5">
        <v>44773</v>
      </c>
      <c r="B9" s="5">
        <v>44834</v>
      </c>
      <c r="C9" s="6" t="s">
        <v>43</v>
      </c>
      <c r="D9" s="7" t="s">
        <v>11</v>
      </c>
      <c r="E9" s="8" t="s">
        <v>49</v>
      </c>
      <c r="F9" s="8" t="s">
        <v>14</v>
      </c>
      <c r="G9" s="8" t="s">
        <v>15</v>
      </c>
      <c r="H9" s="9">
        <v>130700</v>
      </c>
      <c r="I9" s="9">
        <v>76771.67</v>
      </c>
      <c r="J9" s="10" t="s">
        <v>11</v>
      </c>
      <c r="K9" s="10" t="s">
        <v>42</v>
      </c>
      <c r="L9" s="10" t="s">
        <v>12</v>
      </c>
      <c r="M9" s="10">
        <v>0.1</v>
      </c>
      <c r="N9" s="4">
        <v>7677.1670000000004</v>
      </c>
      <c r="O9" s="3" t="s">
        <v>16</v>
      </c>
    </row>
    <row r="10" spans="1:15" x14ac:dyDescent="0.3">
      <c r="A10" s="5">
        <v>44773</v>
      </c>
      <c r="B10" s="5">
        <v>44834</v>
      </c>
      <c r="C10" s="6" t="s">
        <v>43</v>
      </c>
      <c r="D10" s="7" t="s">
        <v>11</v>
      </c>
      <c r="E10" s="8" t="s">
        <v>22</v>
      </c>
      <c r="F10" s="8" t="s">
        <v>14</v>
      </c>
      <c r="G10" s="8" t="s">
        <v>15</v>
      </c>
      <c r="H10" s="9">
        <v>144900</v>
      </c>
      <c r="I10" s="9">
        <v>84371.04</v>
      </c>
      <c r="J10" s="10" t="s">
        <v>11</v>
      </c>
      <c r="K10" s="10" t="s">
        <v>42</v>
      </c>
      <c r="L10" s="10" t="s">
        <v>12</v>
      </c>
      <c r="M10" s="10">
        <v>0.1</v>
      </c>
      <c r="N10" s="4">
        <v>8437.1039999999994</v>
      </c>
      <c r="O10" s="3" t="s">
        <v>16</v>
      </c>
    </row>
    <row r="11" spans="1:15" x14ac:dyDescent="0.3">
      <c r="A11" s="5">
        <v>44773</v>
      </c>
      <c r="B11" s="5">
        <v>44834</v>
      </c>
      <c r="C11" s="6" t="s">
        <v>53</v>
      </c>
      <c r="D11" s="7" t="s">
        <v>11</v>
      </c>
      <c r="E11" s="8" t="s">
        <v>41</v>
      </c>
      <c r="F11" s="8" t="s">
        <v>14</v>
      </c>
      <c r="G11" s="8" t="s">
        <v>15</v>
      </c>
      <c r="H11" s="9">
        <v>127600</v>
      </c>
      <c r="I11" s="9">
        <v>74731.83</v>
      </c>
      <c r="J11" s="10" t="s">
        <v>11</v>
      </c>
      <c r="K11" s="10" t="s">
        <v>42</v>
      </c>
      <c r="L11" s="10" t="s">
        <v>12</v>
      </c>
      <c r="M11" s="10">
        <v>0.1</v>
      </c>
      <c r="N11" s="4">
        <v>7473.1830000000009</v>
      </c>
      <c r="O11" s="3" t="s">
        <v>16</v>
      </c>
    </row>
    <row r="12" spans="1:15" x14ac:dyDescent="0.3">
      <c r="A12" s="5">
        <v>44773</v>
      </c>
      <c r="B12" s="5">
        <v>44834</v>
      </c>
      <c r="C12" s="6" t="s">
        <v>43</v>
      </c>
      <c r="D12" s="7" t="s">
        <v>11</v>
      </c>
      <c r="E12" s="8" t="s">
        <v>13</v>
      </c>
      <c r="F12" s="8" t="s">
        <v>14</v>
      </c>
      <c r="G12" s="8" t="s">
        <v>15</v>
      </c>
      <c r="H12" s="9">
        <v>119000</v>
      </c>
      <c r="I12" s="9">
        <v>69181.009999999995</v>
      </c>
      <c r="J12" s="10" t="s">
        <v>11</v>
      </c>
      <c r="K12" s="10" t="s">
        <v>42</v>
      </c>
      <c r="L12" s="10" t="s">
        <v>12</v>
      </c>
      <c r="M12" s="10">
        <v>0.1</v>
      </c>
      <c r="N12" s="4">
        <v>6918.1009999999997</v>
      </c>
      <c r="O12" s="3" t="s">
        <v>16</v>
      </c>
    </row>
    <row r="13" spans="1:15" x14ac:dyDescent="0.3">
      <c r="A13" s="5">
        <v>44773</v>
      </c>
      <c r="B13" s="5">
        <v>44834</v>
      </c>
      <c r="C13" s="6" t="s">
        <v>53</v>
      </c>
      <c r="D13" s="7" t="s">
        <v>11</v>
      </c>
      <c r="E13" s="8" t="s">
        <v>44</v>
      </c>
      <c r="F13" s="8" t="s">
        <v>14</v>
      </c>
      <c r="G13" s="8" t="s">
        <v>15</v>
      </c>
      <c r="H13" s="9">
        <v>120600</v>
      </c>
      <c r="I13" s="9">
        <v>70589.429999999993</v>
      </c>
      <c r="J13" s="10" t="s">
        <v>11</v>
      </c>
      <c r="K13" s="10" t="s">
        <v>42</v>
      </c>
      <c r="L13" s="10" t="s">
        <v>12</v>
      </c>
      <c r="M13" s="10">
        <v>0.1</v>
      </c>
      <c r="N13" s="4">
        <v>7058.9429999999993</v>
      </c>
      <c r="O13" s="3" t="s">
        <v>16</v>
      </c>
    </row>
    <row r="14" spans="1:15" x14ac:dyDescent="0.3">
      <c r="A14" s="5">
        <v>44773</v>
      </c>
      <c r="B14" s="5">
        <v>44834</v>
      </c>
      <c r="C14" s="6" t="s">
        <v>43</v>
      </c>
      <c r="D14" s="7" t="s">
        <v>11</v>
      </c>
      <c r="E14" s="8" t="s">
        <v>48</v>
      </c>
      <c r="F14" s="8" t="s">
        <v>14</v>
      </c>
      <c r="G14" s="8" t="s">
        <v>15</v>
      </c>
      <c r="H14" s="9">
        <v>109400</v>
      </c>
      <c r="I14" s="9">
        <v>64268.87</v>
      </c>
      <c r="J14" s="10" t="s">
        <v>11</v>
      </c>
      <c r="K14" s="10" t="s">
        <v>42</v>
      </c>
      <c r="L14" s="10" t="s">
        <v>12</v>
      </c>
      <c r="M14" s="10">
        <v>0.1</v>
      </c>
      <c r="N14" s="4">
        <v>6426.8870000000006</v>
      </c>
      <c r="O14" s="3" t="s">
        <v>58</v>
      </c>
    </row>
    <row r="15" spans="1:15" x14ac:dyDescent="0.3">
      <c r="A15" s="5">
        <v>44773</v>
      </c>
      <c r="B15" s="5">
        <v>44834</v>
      </c>
      <c r="C15" s="6" t="s">
        <v>53</v>
      </c>
      <c r="D15" s="7" t="s">
        <v>11</v>
      </c>
      <c r="E15" s="8" t="s">
        <v>40</v>
      </c>
      <c r="F15" s="8" t="s">
        <v>14</v>
      </c>
      <c r="G15" s="8" t="s">
        <v>15</v>
      </c>
      <c r="H15" s="9">
        <v>103200</v>
      </c>
      <c r="I15" s="9">
        <v>60352.7</v>
      </c>
      <c r="J15" s="10" t="s">
        <v>11</v>
      </c>
      <c r="K15" s="10" t="s">
        <v>42</v>
      </c>
      <c r="L15" s="10" t="s">
        <v>12</v>
      </c>
      <c r="M15" s="10">
        <v>0.1</v>
      </c>
      <c r="N15" s="4">
        <v>6035.27</v>
      </c>
      <c r="O15" s="3" t="s">
        <v>58</v>
      </c>
    </row>
    <row r="16" spans="1:15" x14ac:dyDescent="0.3">
      <c r="A16" s="5">
        <v>44773</v>
      </c>
      <c r="B16" s="5">
        <v>44834</v>
      </c>
      <c r="C16" s="6" t="s">
        <v>43</v>
      </c>
      <c r="D16" s="7" t="s">
        <v>11</v>
      </c>
      <c r="E16" s="8" t="s">
        <v>20</v>
      </c>
      <c r="F16" s="8" t="s">
        <v>14</v>
      </c>
      <c r="G16" s="8" t="s">
        <v>15</v>
      </c>
      <c r="H16" s="9">
        <v>104700</v>
      </c>
      <c r="I16" s="9">
        <v>60996.52</v>
      </c>
      <c r="J16" s="10" t="s">
        <v>11</v>
      </c>
      <c r="K16" s="10" t="s">
        <v>42</v>
      </c>
      <c r="L16" s="10" t="s">
        <v>12</v>
      </c>
      <c r="M16" s="10">
        <v>0.1</v>
      </c>
      <c r="N16" s="4">
        <v>6099.652</v>
      </c>
      <c r="O16" s="3" t="s">
        <v>16</v>
      </c>
    </row>
    <row r="17" spans="1:15" x14ac:dyDescent="0.3">
      <c r="A17" s="5">
        <v>44773</v>
      </c>
      <c r="B17" s="5">
        <v>44834</v>
      </c>
      <c r="C17" s="6" t="s">
        <v>53</v>
      </c>
      <c r="D17" s="7" t="s">
        <v>11</v>
      </c>
      <c r="E17" s="8" t="s">
        <v>18</v>
      </c>
      <c r="F17" s="8" t="s">
        <v>14</v>
      </c>
      <c r="G17" s="8" t="s">
        <v>15</v>
      </c>
      <c r="H17" s="9">
        <v>106100</v>
      </c>
      <c r="I17" s="9">
        <v>61625.32</v>
      </c>
      <c r="J17" s="10" t="s">
        <v>11</v>
      </c>
      <c r="K17" s="10" t="s">
        <v>42</v>
      </c>
      <c r="L17" s="10" t="s">
        <v>12</v>
      </c>
      <c r="M17" s="10">
        <v>0.1</v>
      </c>
      <c r="N17" s="4">
        <v>6162.5320000000002</v>
      </c>
      <c r="O17" s="3" t="s">
        <v>16</v>
      </c>
    </row>
    <row r="18" spans="1:15" x14ac:dyDescent="0.3">
      <c r="A18" s="5">
        <v>44773</v>
      </c>
      <c r="B18" s="5">
        <v>44834</v>
      </c>
      <c r="C18" s="6" t="s">
        <v>43</v>
      </c>
      <c r="D18" s="7" t="s">
        <v>11</v>
      </c>
      <c r="E18" s="8" t="s">
        <v>17</v>
      </c>
      <c r="F18" s="8" t="s">
        <v>14</v>
      </c>
      <c r="G18" s="8" t="s">
        <v>15</v>
      </c>
      <c r="H18" s="9">
        <v>103500</v>
      </c>
      <c r="I18" s="9">
        <v>60026.68</v>
      </c>
      <c r="J18" s="10" t="s">
        <v>11</v>
      </c>
      <c r="K18" s="10" t="s">
        <v>42</v>
      </c>
      <c r="L18" s="10" t="s">
        <v>12</v>
      </c>
      <c r="M18" s="10">
        <v>0.1</v>
      </c>
      <c r="N18" s="4">
        <v>6002.6680000000006</v>
      </c>
      <c r="O18" s="3" t="s">
        <v>16</v>
      </c>
    </row>
    <row r="19" spans="1:15" x14ac:dyDescent="0.3">
      <c r="A19" s="5">
        <v>44773</v>
      </c>
      <c r="B19" s="5">
        <v>44834</v>
      </c>
      <c r="C19" s="6" t="s">
        <v>43</v>
      </c>
      <c r="D19" s="7" t="s">
        <v>11</v>
      </c>
      <c r="E19" s="8" t="s">
        <v>46</v>
      </c>
      <c r="F19" s="8" t="s">
        <v>14</v>
      </c>
      <c r="G19" s="8" t="s">
        <v>15</v>
      </c>
      <c r="H19" s="9">
        <v>92700</v>
      </c>
      <c r="I19" s="9">
        <v>54383.18</v>
      </c>
      <c r="J19" s="10" t="s">
        <v>11</v>
      </c>
      <c r="K19" s="10" t="s">
        <v>42</v>
      </c>
      <c r="L19" s="10" t="s">
        <v>12</v>
      </c>
      <c r="M19" s="10">
        <v>0.1</v>
      </c>
      <c r="N19" s="4">
        <v>5438.3180000000002</v>
      </c>
      <c r="O19" s="3" t="s">
        <v>16</v>
      </c>
    </row>
    <row r="20" spans="1:15" x14ac:dyDescent="0.3">
      <c r="A20" s="5">
        <v>44773</v>
      </c>
      <c r="B20" s="5">
        <v>44834</v>
      </c>
      <c r="C20" s="6" t="s">
        <v>43</v>
      </c>
      <c r="D20" s="7" t="s">
        <v>11</v>
      </c>
      <c r="E20" s="8" t="s">
        <v>19</v>
      </c>
      <c r="F20" s="8" t="s">
        <v>14</v>
      </c>
      <c r="G20" s="8" t="s">
        <v>15</v>
      </c>
      <c r="H20" s="9">
        <v>98400</v>
      </c>
      <c r="I20" s="9">
        <v>57145.48</v>
      </c>
      <c r="J20" s="10" t="s">
        <v>11</v>
      </c>
      <c r="K20" s="10" t="s">
        <v>42</v>
      </c>
      <c r="L20" s="10" t="s">
        <v>12</v>
      </c>
      <c r="M20" s="10">
        <v>0.1</v>
      </c>
      <c r="N20" s="4">
        <v>5714.5480000000007</v>
      </c>
      <c r="O20" s="3" t="s">
        <v>58</v>
      </c>
    </row>
    <row r="21" spans="1:15" x14ac:dyDescent="0.3">
      <c r="A21" s="5">
        <v>44773</v>
      </c>
      <c r="B21" s="5">
        <v>44834</v>
      </c>
      <c r="C21" s="6" t="s">
        <v>43</v>
      </c>
      <c r="D21" s="7" t="s">
        <v>11</v>
      </c>
      <c r="E21" s="8" t="s">
        <v>21</v>
      </c>
      <c r="F21" s="8" t="s">
        <v>14</v>
      </c>
      <c r="G21" s="8" t="s">
        <v>15</v>
      </c>
      <c r="H21" s="9">
        <v>93400</v>
      </c>
      <c r="I21" s="9">
        <v>54440.2</v>
      </c>
      <c r="J21" s="10" t="s">
        <v>11</v>
      </c>
      <c r="K21" s="10" t="s">
        <v>42</v>
      </c>
      <c r="L21" s="10" t="s">
        <v>12</v>
      </c>
      <c r="M21" s="10">
        <v>0.1</v>
      </c>
      <c r="N21" s="4">
        <v>5444.02</v>
      </c>
      <c r="O21" s="3" t="s">
        <v>16</v>
      </c>
    </row>
    <row r="22" spans="1:15" x14ac:dyDescent="0.3">
      <c r="A22" s="5">
        <v>44773</v>
      </c>
      <c r="B22" s="5">
        <v>44834</v>
      </c>
      <c r="C22" s="6" t="s">
        <v>53</v>
      </c>
      <c r="D22" s="7" t="s">
        <v>11</v>
      </c>
      <c r="E22" s="8" t="s">
        <v>34</v>
      </c>
      <c r="F22" s="8" t="s">
        <v>14</v>
      </c>
      <c r="G22" s="8" t="s">
        <v>15</v>
      </c>
      <c r="H22" s="9">
        <v>88700</v>
      </c>
      <c r="I22" s="9">
        <v>51909.7</v>
      </c>
      <c r="J22" s="10" t="s">
        <v>11</v>
      </c>
      <c r="K22" s="10" t="s">
        <v>42</v>
      </c>
      <c r="L22" s="10" t="s">
        <v>12</v>
      </c>
      <c r="M22" s="10">
        <v>0.1</v>
      </c>
      <c r="N22" s="4">
        <v>5190.97</v>
      </c>
      <c r="O22" s="3" t="s">
        <v>16</v>
      </c>
    </row>
    <row r="23" spans="1:15" x14ac:dyDescent="0.3">
      <c r="A23" s="5">
        <v>44773</v>
      </c>
      <c r="B23" s="5">
        <v>44834</v>
      </c>
      <c r="C23" s="6" t="s">
        <v>43</v>
      </c>
      <c r="D23" s="7" t="s">
        <v>11</v>
      </c>
      <c r="E23" s="8" t="s">
        <v>45</v>
      </c>
      <c r="F23" s="8" t="s">
        <v>14</v>
      </c>
      <c r="G23" s="8" t="s">
        <v>15</v>
      </c>
      <c r="H23" s="9">
        <v>87600</v>
      </c>
      <c r="I23" s="9">
        <v>51306.47</v>
      </c>
      <c r="J23" s="10" t="s">
        <v>11</v>
      </c>
      <c r="K23" s="10" t="s">
        <v>42</v>
      </c>
      <c r="L23" s="10" t="s">
        <v>12</v>
      </c>
      <c r="M23" s="10">
        <v>0.1</v>
      </c>
      <c r="N23" s="4">
        <v>5130.6470000000008</v>
      </c>
      <c r="O23" s="3" t="s">
        <v>16</v>
      </c>
    </row>
    <row r="24" spans="1:15" x14ac:dyDescent="0.3">
      <c r="A24" s="5">
        <v>44773</v>
      </c>
      <c r="B24" s="5">
        <v>44834</v>
      </c>
      <c r="C24" s="6" t="s">
        <v>43</v>
      </c>
      <c r="D24" s="7" t="s">
        <v>11</v>
      </c>
      <c r="E24" s="8" t="s">
        <v>24</v>
      </c>
      <c r="F24" s="8" t="s">
        <v>14</v>
      </c>
      <c r="G24" s="8" t="s">
        <v>15</v>
      </c>
      <c r="H24" s="9">
        <v>88700</v>
      </c>
      <c r="I24" s="9">
        <v>51821.279999999999</v>
      </c>
      <c r="J24" s="10" t="s">
        <v>11</v>
      </c>
      <c r="K24" s="10" t="s">
        <v>42</v>
      </c>
      <c r="L24" s="10" t="s">
        <v>12</v>
      </c>
      <c r="M24" s="10">
        <v>0.1</v>
      </c>
      <c r="N24" s="4">
        <v>5182.1280000000006</v>
      </c>
      <c r="O24" s="3" t="s">
        <v>16</v>
      </c>
    </row>
    <row r="25" spans="1:15" x14ac:dyDescent="0.3">
      <c r="A25" s="5">
        <v>44773</v>
      </c>
      <c r="B25" s="5">
        <v>44834</v>
      </c>
      <c r="C25" s="6" t="s">
        <v>43</v>
      </c>
      <c r="D25" s="7" t="s">
        <v>11</v>
      </c>
      <c r="E25" s="8" t="s">
        <v>33</v>
      </c>
      <c r="F25" s="8" t="s">
        <v>14</v>
      </c>
      <c r="G25" s="8" t="s">
        <v>15</v>
      </c>
      <c r="H25" s="9">
        <v>86600</v>
      </c>
      <c r="I25" s="9">
        <v>50572.31</v>
      </c>
      <c r="J25" s="10" t="s">
        <v>11</v>
      </c>
      <c r="K25" s="10" t="s">
        <v>42</v>
      </c>
      <c r="L25" s="10" t="s">
        <v>12</v>
      </c>
      <c r="M25" s="10">
        <v>0.1</v>
      </c>
      <c r="N25" s="4">
        <v>5057.2309999999998</v>
      </c>
      <c r="O25" s="3" t="s">
        <v>16</v>
      </c>
    </row>
    <row r="26" spans="1:15" x14ac:dyDescent="0.3">
      <c r="A26" s="5">
        <v>44773</v>
      </c>
      <c r="B26" s="5">
        <v>44834</v>
      </c>
      <c r="C26" s="6" t="s">
        <v>43</v>
      </c>
      <c r="D26" s="7" t="s">
        <v>11</v>
      </c>
      <c r="E26" s="8" t="s">
        <v>35</v>
      </c>
      <c r="F26" s="8" t="s">
        <v>14</v>
      </c>
      <c r="G26" s="8" t="s">
        <v>15</v>
      </c>
      <c r="H26" s="9">
        <v>84500</v>
      </c>
      <c r="I26" s="9">
        <v>49413.32</v>
      </c>
      <c r="J26" s="10" t="s">
        <v>11</v>
      </c>
      <c r="K26" s="10" t="s">
        <v>42</v>
      </c>
      <c r="L26" s="10" t="s">
        <v>12</v>
      </c>
      <c r="M26" s="10">
        <v>0.1</v>
      </c>
      <c r="N26" s="4">
        <v>4941.3320000000003</v>
      </c>
      <c r="O26" s="3" t="s">
        <v>16</v>
      </c>
    </row>
    <row r="27" spans="1:15" x14ac:dyDescent="0.3">
      <c r="A27" s="5">
        <v>44773</v>
      </c>
      <c r="B27" s="5">
        <v>44834</v>
      </c>
      <c r="C27" s="6" t="s">
        <v>43</v>
      </c>
      <c r="D27" s="7" t="s">
        <v>11</v>
      </c>
      <c r="E27" s="8" t="s">
        <v>39</v>
      </c>
      <c r="F27" s="8" t="s">
        <v>14</v>
      </c>
      <c r="G27" s="8" t="s">
        <v>15</v>
      </c>
      <c r="H27" s="9">
        <v>82500</v>
      </c>
      <c r="I27" s="9">
        <v>48283.3</v>
      </c>
      <c r="J27" s="10" t="s">
        <v>11</v>
      </c>
      <c r="K27" s="10" t="s">
        <v>42</v>
      </c>
      <c r="L27" s="10" t="s">
        <v>12</v>
      </c>
      <c r="M27" s="10">
        <v>0.1</v>
      </c>
      <c r="N27" s="4">
        <v>4828.3300000000008</v>
      </c>
      <c r="O27" s="3" t="s">
        <v>16</v>
      </c>
    </row>
    <row r="28" spans="1:15" x14ac:dyDescent="0.3">
      <c r="A28" s="5">
        <v>44773</v>
      </c>
      <c r="B28" s="5">
        <v>44834</v>
      </c>
      <c r="C28" s="6" t="s">
        <v>43</v>
      </c>
      <c r="D28" s="7" t="s">
        <v>11</v>
      </c>
      <c r="E28" s="8" t="s">
        <v>25</v>
      </c>
      <c r="F28" s="8" t="s">
        <v>14</v>
      </c>
      <c r="G28" s="8" t="s">
        <v>15</v>
      </c>
      <c r="H28" s="9">
        <v>84100</v>
      </c>
      <c r="I28" s="9">
        <v>49130.400000000001</v>
      </c>
      <c r="J28" s="10" t="s">
        <v>11</v>
      </c>
      <c r="K28" s="10" t="s">
        <v>42</v>
      </c>
      <c r="L28" s="10" t="s">
        <v>12</v>
      </c>
      <c r="M28" s="10">
        <v>0.1</v>
      </c>
      <c r="N28" s="4">
        <v>4913.0400000000009</v>
      </c>
      <c r="O28" s="3" t="s">
        <v>16</v>
      </c>
    </row>
    <row r="29" spans="1:15" x14ac:dyDescent="0.3">
      <c r="A29" s="5">
        <v>44773</v>
      </c>
      <c r="B29" s="5">
        <v>44834</v>
      </c>
      <c r="C29" s="6" t="s">
        <v>43</v>
      </c>
      <c r="D29" s="7" t="s">
        <v>11</v>
      </c>
      <c r="E29" s="8" t="s">
        <v>36</v>
      </c>
      <c r="F29" s="8" t="s">
        <v>14</v>
      </c>
      <c r="G29" s="8" t="s">
        <v>15</v>
      </c>
      <c r="H29" s="9">
        <v>81600</v>
      </c>
      <c r="I29" s="9">
        <v>47654.559999999998</v>
      </c>
      <c r="J29" s="10" t="s">
        <v>11</v>
      </c>
      <c r="K29" s="10" t="s">
        <v>42</v>
      </c>
      <c r="L29" s="10" t="s">
        <v>12</v>
      </c>
      <c r="M29" s="10">
        <v>0.1</v>
      </c>
      <c r="N29" s="4">
        <v>4765.4560000000001</v>
      </c>
      <c r="O29" s="3" t="s">
        <v>16</v>
      </c>
    </row>
    <row r="30" spans="1:15" x14ac:dyDescent="0.3">
      <c r="A30" s="5">
        <v>44773</v>
      </c>
      <c r="B30" s="5">
        <v>44834</v>
      </c>
      <c r="C30" s="6" t="s">
        <v>53</v>
      </c>
      <c r="D30" s="7" t="s">
        <v>11</v>
      </c>
      <c r="E30" s="8" t="s">
        <v>27</v>
      </c>
      <c r="F30" s="8" t="s">
        <v>14</v>
      </c>
      <c r="G30" s="8" t="s">
        <v>15</v>
      </c>
      <c r="H30" s="9">
        <v>84400</v>
      </c>
      <c r="I30" s="9">
        <v>49261.36</v>
      </c>
      <c r="J30" s="10" t="s">
        <v>11</v>
      </c>
      <c r="K30" s="10" t="s">
        <v>42</v>
      </c>
      <c r="L30" s="10" t="s">
        <v>12</v>
      </c>
      <c r="M30" s="10">
        <v>0.1</v>
      </c>
      <c r="N30" s="4">
        <v>4926.1360000000004</v>
      </c>
      <c r="O30" s="3" t="s">
        <v>16</v>
      </c>
    </row>
    <row r="31" spans="1:15" x14ac:dyDescent="0.3">
      <c r="A31" s="5">
        <v>44773</v>
      </c>
      <c r="B31" s="5">
        <v>44834</v>
      </c>
      <c r="C31" s="6" t="s">
        <v>43</v>
      </c>
      <c r="D31" s="7" t="s">
        <v>11</v>
      </c>
      <c r="E31" s="8" t="s">
        <v>26</v>
      </c>
      <c r="F31" s="8" t="s">
        <v>14</v>
      </c>
      <c r="G31" s="8" t="s">
        <v>15</v>
      </c>
      <c r="H31" s="9">
        <v>86500</v>
      </c>
      <c r="I31" s="9">
        <v>50520.4</v>
      </c>
      <c r="J31" s="10" t="s">
        <v>11</v>
      </c>
      <c r="K31" s="10" t="s">
        <v>42</v>
      </c>
      <c r="L31" s="10" t="s">
        <v>12</v>
      </c>
      <c r="M31" s="10">
        <v>0.1</v>
      </c>
      <c r="N31" s="4">
        <v>5052.0400000000009</v>
      </c>
      <c r="O31" s="3" t="s">
        <v>16</v>
      </c>
    </row>
    <row r="32" spans="1:15" x14ac:dyDescent="0.3">
      <c r="A32" s="5">
        <v>44773</v>
      </c>
      <c r="B32" s="5">
        <v>44834</v>
      </c>
      <c r="C32" s="6" t="s">
        <v>43</v>
      </c>
      <c r="D32" s="7" t="s">
        <v>11</v>
      </c>
      <c r="E32" s="8" t="s">
        <v>37</v>
      </c>
      <c r="F32" s="8" t="s">
        <v>14</v>
      </c>
      <c r="G32" s="8" t="s">
        <v>15</v>
      </c>
      <c r="H32" s="9">
        <v>79000</v>
      </c>
      <c r="I32" s="9">
        <v>46215.17</v>
      </c>
      <c r="J32" s="10" t="s">
        <v>11</v>
      </c>
      <c r="K32" s="10" t="s">
        <v>42</v>
      </c>
      <c r="L32" s="10" t="s">
        <v>12</v>
      </c>
      <c r="M32" s="10">
        <v>0.1</v>
      </c>
      <c r="N32" s="4">
        <v>4621.5169999999998</v>
      </c>
      <c r="O32" s="3" t="s">
        <v>16</v>
      </c>
    </row>
    <row r="33" spans="1:15" x14ac:dyDescent="0.3">
      <c r="A33" s="5">
        <v>44773</v>
      </c>
      <c r="B33" s="5">
        <v>44834</v>
      </c>
      <c r="C33" s="6" t="s">
        <v>53</v>
      </c>
      <c r="D33" s="7" t="s">
        <v>11</v>
      </c>
      <c r="E33" s="8" t="s">
        <v>38</v>
      </c>
      <c r="F33" s="8" t="s">
        <v>14</v>
      </c>
      <c r="G33" s="8" t="s">
        <v>15</v>
      </c>
      <c r="H33" s="9">
        <v>79900</v>
      </c>
      <c r="I33" s="9">
        <v>46698.34</v>
      </c>
      <c r="J33" s="10" t="s">
        <v>11</v>
      </c>
      <c r="K33" s="10" t="s">
        <v>42</v>
      </c>
      <c r="L33" s="10" t="s">
        <v>12</v>
      </c>
      <c r="M33" s="10">
        <v>0.1</v>
      </c>
      <c r="N33" s="4">
        <v>4669.8339999999998</v>
      </c>
      <c r="O33" s="3" t="s">
        <v>58</v>
      </c>
    </row>
    <row r="34" spans="1:15" x14ac:dyDescent="0.3">
      <c r="A34" s="5">
        <v>44773</v>
      </c>
      <c r="B34" s="5">
        <v>44834</v>
      </c>
      <c r="C34" s="6" t="s">
        <v>43</v>
      </c>
      <c r="D34" s="7" t="s">
        <v>11</v>
      </c>
      <c r="E34" s="8" t="s">
        <v>32</v>
      </c>
      <c r="F34" s="8" t="s">
        <v>14</v>
      </c>
      <c r="G34" s="8" t="s">
        <v>15</v>
      </c>
      <c r="H34" s="9">
        <v>78800</v>
      </c>
      <c r="I34" s="9">
        <v>46011.41</v>
      </c>
      <c r="J34" s="10" t="s">
        <v>11</v>
      </c>
      <c r="K34" s="10" t="s">
        <v>42</v>
      </c>
      <c r="L34" s="10" t="s">
        <v>12</v>
      </c>
      <c r="M34" s="10">
        <v>0.1</v>
      </c>
      <c r="N34" s="4">
        <v>4601.1410000000005</v>
      </c>
      <c r="O34" s="3" t="s">
        <v>16</v>
      </c>
    </row>
    <row r="35" spans="1:15" x14ac:dyDescent="0.3">
      <c r="A35" s="5">
        <v>44773</v>
      </c>
      <c r="B35" s="5">
        <v>44834</v>
      </c>
      <c r="C35" s="6" t="s">
        <v>53</v>
      </c>
      <c r="D35" s="7" t="s">
        <v>11</v>
      </c>
      <c r="E35" s="8" t="s">
        <v>23</v>
      </c>
      <c r="F35" s="8" t="s">
        <v>14</v>
      </c>
      <c r="G35" s="8" t="s">
        <v>15</v>
      </c>
      <c r="H35" s="9">
        <v>13500</v>
      </c>
      <c r="I35" s="9">
        <v>8004</v>
      </c>
      <c r="J35" s="10" t="s">
        <v>11</v>
      </c>
      <c r="K35" s="10" t="s">
        <v>42</v>
      </c>
      <c r="L35" s="10" t="s">
        <v>12</v>
      </c>
      <c r="M35" s="10">
        <v>0.1</v>
      </c>
      <c r="N35" s="4">
        <v>800.40000000000009</v>
      </c>
      <c r="O35" s="3" t="s">
        <v>16</v>
      </c>
    </row>
    <row r="36" spans="1:15" x14ac:dyDescent="0.3">
      <c r="A36" s="11">
        <v>44681</v>
      </c>
      <c r="B36" s="11">
        <v>44834</v>
      </c>
      <c r="C36" s="12" t="s">
        <v>59</v>
      </c>
      <c r="D36" s="12" t="s">
        <v>61</v>
      </c>
      <c r="E36" s="12" t="s">
        <v>62</v>
      </c>
      <c r="F36" s="12"/>
      <c r="G36" s="12"/>
      <c r="H36" s="12"/>
      <c r="I36" s="13">
        <v>68447.181600000011</v>
      </c>
      <c r="J36" s="10" t="s">
        <v>11</v>
      </c>
      <c r="K36" s="10" t="s">
        <v>42</v>
      </c>
      <c r="L36" s="10" t="s">
        <v>12</v>
      </c>
      <c r="M36" s="10">
        <v>0.1</v>
      </c>
      <c r="N36" s="13">
        <f>+I36*M36</f>
        <v>6844.7181600000013</v>
      </c>
      <c r="O36" s="3" t="s">
        <v>16</v>
      </c>
    </row>
    <row r="37" spans="1:15" x14ac:dyDescent="0.3">
      <c r="A37" s="11">
        <v>44712</v>
      </c>
      <c r="B37" s="11">
        <v>44834</v>
      </c>
      <c r="C37" s="12" t="s">
        <v>59</v>
      </c>
      <c r="D37" s="12" t="s">
        <v>61</v>
      </c>
      <c r="E37" s="12" t="s">
        <v>62</v>
      </c>
      <c r="F37" s="12"/>
      <c r="G37" s="12"/>
      <c r="H37" s="12"/>
      <c r="I37" s="13">
        <v>43792.341359999999</v>
      </c>
      <c r="J37" s="10" t="s">
        <v>11</v>
      </c>
      <c r="K37" s="10" t="s">
        <v>42</v>
      </c>
      <c r="L37" s="10" t="s">
        <v>12</v>
      </c>
      <c r="M37" s="10">
        <v>0.1</v>
      </c>
      <c r="N37" s="13">
        <f>+I37*M37</f>
        <v>4379.234136</v>
      </c>
      <c r="O37" s="3" t="s">
        <v>16</v>
      </c>
    </row>
    <row r="38" spans="1:15" x14ac:dyDescent="0.3">
      <c r="A38" s="11">
        <v>44742</v>
      </c>
      <c r="B38" s="11">
        <v>44834</v>
      </c>
      <c r="C38" s="12" t="s">
        <v>59</v>
      </c>
      <c r="D38" s="12" t="s">
        <v>60</v>
      </c>
      <c r="E38" s="12" t="s">
        <v>62</v>
      </c>
      <c r="F38" s="12"/>
      <c r="G38" s="12"/>
      <c r="H38" s="12"/>
      <c r="I38" s="13">
        <v>51733.063199999997</v>
      </c>
      <c r="J38" s="10" t="s">
        <v>11</v>
      </c>
      <c r="K38" s="10" t="s">
        <v>42</v>
      </c>
      <c r="L38" s="10" t="s">
        <v>12</v>
      </c>
      <c r="M38" s="10">
        <v>0.1</v>
      </c>
      <c r="N38" s="13">
        <f>+I38*M38</f>
        <v>5173.3063199999997</v>
      </c>
      <c r="O38" s="3" t="s">
        <v>16</v>
      </c>
    </row>
    <row r="39" spans="1:15" x14ac:dyDescent="0.3">
      <c r="N39" s="14">
        <f>SUM(N2:N38)</f>
        <v>345772.37061599985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pcy</dc:creator>
  <cp:lastModifiedBy>storywiz</cp:lastModifiedBy>
  <dcterms:created xsi:type="dcterms:W3CDTF">2013-08-26T07:15:46Z</dcterms:created>
  <dcterms:modified xsi:type="dcterms:W3CDTF">2022-09-30T00:44:43Z</dcterms:modified>
</cp:coreProperties>
</file>