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9월마감\"/>
    </mc:Choice>
  </mc:AlternateContent>
  <bookViews>
    <workbookView xWindow="19320" yWindow="3240" windowWidth="20556" windowHeight="19140"/>
  </bookViews>
  <sheets>
    <sheet name="정산내역 요약" sheetId="1" r:id="rId1"/>
    <sheet name="정산내역 상세" sheetId="2" r:id="rId2"/>
    <sheet name="선급금내역_카카오 웹툰 국내" sheetId="3" r:id="rId3"/>
    <sheet name="정산 안내" sheetId="4" r:id="rId4"/>
  </sheets>
  <calcPr calcId="152511"/>
</workbook>
</file>

<file path=xl/calcChain.xml><?xml version="1.0" encoding="utf-8"?>
<calcChain xmlns="http://schemas.openxmlformats.org/spreadsheetml/2006/main">
  <c r="J20" i="1" l="1"/>
  <c r="I20" i="1"/>
  <c r="H20" i="1"/>
  <c r="G20" i="1"/>
  <c r="F20" i="1"/>
</calcChain>
</file>

<file path=xl/sharedStrings.xml><?xml version="1.0" encoding="utf-8"?>
<sst xmlns="http://schemas.openxmlformats.org/spreadsheetml/2006/main" count="149" uniqueCount="85">
  <si>
    <t>카카오 웹툰 국내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</si>
  <si>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</si>
  <si>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</si>
  <si>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</si>
  <si>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</si>
  <si>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2022-09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</si>
  <si>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</si>
  <si>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</si>
  <si>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</si>
  <si>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</si>
  <si>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</si>
  <si>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</si>
  <si>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</si>
  <si>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</si>
  <si>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</si>
  <si>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</si>
  <si>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</si>
  <si>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순매출(합계)</t>
  </si>
  <si>
    <t>작품 정산금</t>
  </si>
  <si>
    <t>선급금 소진금액</t>
  </si>
  <si>
    <t>최종 정산금액</t>
  </si>
  <si>
    <t>주식회사 스토리위즈</t>
  </si>
  <si>
    <t>괴물아기</t>
  </si>
  <si>
    <t>구원</t>
  </si>
  <si>
    <t>합계</t>
  </si>
  <si>
    <t>정산월</t>
  </si>
  <si>
    <t>플랫폼작품명 KOR</t>
  </si>
  <si>
    <t>ISBN (유/무)</t>
  </si>
  <si>
    <t>캐시 구분</t>
  </si>
  <si>
    <t>OS 구분</t>
  </si>
  <si>
    <t>BM 유형</t>
  </si>
  <si>
    <t>거래액(캐시)</t>
  </si>
  <si>
    <t>거래액(원화)</t>
  </si>
  <si>
    <t>플랫폼 정산율</t>
  </si>
  <si>
    <t>순매출액</t>
  </si>
  <si>
    <t>작품 정산율</t>
  </si>
  <si>
    <t>2022-09</t>
  </si>
  <si>
    <t>Y</t>
  </si>
  <si>
    <t>무상캐시</t>
  </si>
  <si>
    <t>EVENT CASH</t>
  </si>
  <si>
    <t>일반유료</t>
  </si>
  <si>
    <t>유상캐시</t>
  </si>
  <si>
    <t>GIAP</t>
  </si>
  <si>
    <t>IOS</t>
  </si>
  <si>
    <t>WEB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</si>
  <si>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</si>
  <si>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</si>
  <si>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</si>
  <si>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</si>
  <si>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</si>
  <si>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</si>
  <si>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</si>
  <si>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</si>
  <si>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</si>
  <si>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</si>
  <si>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</si>
  <si>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</si>
  <si>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</si>
  <si>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</si>
  <si>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</si>
  <si>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</si>
  <si>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</si>
  <si>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</si>
  <si>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</si>
  <si>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</si>
  <si>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</si>
  <si>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</si>
  <si>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</si>
  <si>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</si>
  <si>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</si>
  <si>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</si>
  <si>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</si>
  <si>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카카오웹툰 정산 안내</t>
  </si>
  <si>
    <t>캐시 구분 및 수수료 안내</t>
  </si>
  <si>
    <t>NO</t>
  </si>
  <si>
    <t>캐시구분</t>
  </si>
  <si>
    <t>세부내용</t>
  </si>
  <si>
    <t>결제수수료
(거래액(원화) x %)</t>
  </si>
  <si>
    <t xml:space="preserve"> 안드로이(Android) 앱내 결제로 구매(충전) 된 캐시</t>
  </si>
  <si>
    <t xml:space="preserve"> PG(PC/Mobile Web) 결제로 구매(충전) 된 캐시</t>
  </si>
  <si>
    <t>iOS</t>
  </si>
  <si>
    <t xml:space="preserve"> 애플(iOS) 앱내 결제로 구매(충전) 된 캐시</t>
  </si>
  <si>
    <t>EVENT</t>
  </si>
  <si>
    <t xml:space="preserve"> 카카오엔터테인먼트에서 사용자들에게 무상으로 지급하는 이벤트캐시</t>
  </si>
  <si>
    <t>운영수수료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</si>
</sst>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#%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rgb="FF00B0F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64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3" fillId="0" borderId="0" xfId="4" applyFont="1" applyAlignment="1">
      <alignment vertical="center"/>
    </xf>
    <xf numFmtId="0" fontId="14" fillId="5" borderId="2" xfId="4" applyFont="1" applyFill="1" applyBorder="1" applyAlignment="1">
      <alignment horizontal="center" vertical="center"/>
    </xf>
    <xf numFmtId="0" fontId="14" fillId="5" borderId="3" xfId="4" applyFont="1" applyFill="1" applyBorder="1" applyAlignment="1">
      <alignment horizontal="center" vertical="center"/>
    </xf>
    <xf numFmtId="0" fontId="15" fillId="5" borderId="5" xfId="4" applyFont="1" applyFill="1" applyBorder="1" applyAlignment="1">
      <alignment horizontal="center" vertical="center" wrapText="1"/>
    </xf>
    <xf numFmtId="0" fontId="17" fillId="0" borderId="2" xfId="4" applyFont="1" applyBorder="1" applyAlignment="1">
      <alignment horizontal="left" vertical="center" indent="1"/>
    </xf>
    <xf numFmtId="0" fontId="17" fillId="0" borderId="3" xfId="4" applyFont="1" applyBorder="1" applyAlignment="1">
      <alignment horizontal="center" vertical="center"/>
    </xf>
    <xf numFmtId="9" fontId="16" fillId="0" borderId="5" xfId="4" applyNumberFormat="1" applyFont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4" applyFill="1" applyAlignment="1">
      <alignment vertical="center"/>
    </xf>
    <xf numFmtId="0" fontId="16" fillId="2" borderId="0" xfId="4" applyFont="1" applyFill="1" applyAlignment="1">
      <alignment horizontal="center" vertical="center"/>
    </xf>
    <xf numFmtId="0" fontId="16" fillId="2" borderId="0" xfId="4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3" fillId="2" borderId="0" xfId="4" applyFont="1" applyFill="1" applyAlignment="1">
      <alignment vertical="center"/>
    </xf>
    <xf numFmtId="0" fontId="18" fillId="2" borderId="0" xfId="4" applyFont="1" applyFill="1" applyAlignment="1">
      <alignment vertical="center"/>
    </xf>
    <xf numFmtId="0" fontId="0" fillId="0" borderId="0" xfId="0" applyAlignment="1"/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vertical="top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3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right"/>
    </xf>
    <xf numFmtId="0" fontId="23" fillId="6" borderId="10" xfId="0" applyFont="1" applyFill="1" applyBorder="1" applyAlignment="1">
      <alignment horizontal="center" vertical="center"/>
    </xf>
    <xf numFmtId="41" fontId="23" fillId="6" borderId="10" xfId="1" applyFont="1" applyFill="1" applyBorder="1" applyAlignment="1">
      <alignment horizontal="center" vertical="center"/>
    </xf>
    <xf numFmtId="41" fontId="23" fillId="6" borderId="10" xfId="0" applyNumberFormat="1" applyFont="1" applyFill="1" applyBorder="1" applyAlignment="1">
      <alignment horizontal="center" vertical="center"/>
    </xf>
    <xf numFmtId="9" fontId="23" fillId="6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/>
    </xf>
    <xf numFmtId="3" fontId="23" fillId="0" borderId="0" xfId="1" applyNumberFormat="1" applyFont="1" applyAlignment="1">
      <alignment vertical="top"/>
    </xf>
    <xf numFmtId="3" fontId="23" fillId="0" borderId="0" xfId="0" applyNumberFormat="1" applyFont="1" applyAlignment="1">
      <alignment vertical="top"/>
    </xf>
    <xf numFmtId="9" fontId="23" fillId="0" borderId="0" xfId="0" applyNumberFormat="1" applyFont="1" applyAlignment="1">
      <alignment vertical="top"/>
    </xf>
    <xf numFmtId="176" fontId="23" fillId="0" borderId="0" xfId="0" applyNumberFormat="1" applyFont="1" applyAlignment="1">
      <alignment vertical="top"/>
    </xf>
    <xf numFmtId="0" fontId="23" fillId="0" borderId="10" xfId="0" applyFont="1" applyBorder="1" applyAlignment="1">
      <alignment horizontal="center" vertical="center"/>
    </xf>
    <xf numFmtId="3" fontId="23" fillId="0" borderId="10" xfId="0" applyNumberFormat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6" borderId="10" xfId="0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16" fillId="0" borderId="5" xfId="4" applyFont="1" applyBorder="1" applyAlignment="1">
      <alignment vertical="center"/>
    </xf>
    <xf numFmtId="0" fontId="0" fillId="0" borderId="4" xfId="0" applyBorder="1" applyAlignment="1"/>
    <xf numFmtId="0" fontId="12" fillId="4" borderId="1" xfId="4" applyFont="1" applyFill="1" applyBorder="1" applyAlignment="1">
      <alignment vertical="center"/>
    </xf>
    <xf numFmtId="0" fontId="0" fillId="0" borderId="8" xfId="0" applyBorder="1" applyAlignment="1"/>
    <xf numFmtId="0" fontId="0" fillId="0" borderId="9" xfId="0" applyBorder="1" applyAlignment="1"/>
    <xf numFmtId="0" fontId="15" fillId="5" borderId="5" xfId="4" applyFont="1" applyFill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0" fillId="0" borderId="7" xfId="0" applyBorder="1" applyAlignment="1"/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E21" sqref="E21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28.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35">
      <c r="C5" s="25" t="s">
        <v>1</v>
      </c>
      <c r="D5" s="26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27" t="s">
        <v>3</v>
      </c>
      <c r="M7" s="5"/>
    </row>
    <row r="8" spans="1:13" x14ac:dyDescent="0.35">
      <c r="D8" s="27" t="s">
        <v>4</v>
      </c>
      <c r="M8" s="5"/>
    </row>
    <row r="9" spans="1:13" x14ac:dyDescent="0.35">
      <c r="D9" s="27" t="s">
        <v>5</v>
      </c>
      <c r="M9" s="5"/>
    </row>
    <row r="10" spans="1:13" x14ac:dyDescent="0.35">
      <c r="D10" s="27" t="s">
        <v>6</v>
      </c>
      <c r="M10" s="5"/>
    </row>
    <row r="11" spans="1:13" x14ac:dyDescent="0.35">
      <c r="D11" s="27" t="s">
        <v>7</v>
      </c>
      <c r="M11" s="5"/>
    </row>
    <row r="12" spans="1:13" ht="17.399999999999999" x14ac:dyDescent="0.4">
      <c r="D12" s="28" t="s">
        <v>8</v>
      </c>
      <c r="M12" s="5"/>
    </row>
    <row r="13" spans="1:13" x14ac:dyDescent="0.4">
      <c r="M13" s="5"/>
    </row>
    <row r="14" spans="1:13" x14ac:dyDescent="0.35">
      <c r="C14" s="29" t="s">
        <v>9</v>
      </c>
      <c r="D14" s="30" t="s">
        <v>10</v>
      </c>
      <c r="E14" s="31">
        <v>139898</v>
      </c>
      <c r="F14" s="32" t="s">
        <v>11</v>
      </c>
      <c r="M14" s="5"/>
    </row>
    <row r="15" spans="1:13" x14ac:dyDescent="0.4">
      <c r="M15" s="5"/>
    </row>
    <row r="16" spans="1:13" ht="17.399999999999999" x14ac:dyDescent="0.35">
      <c r="C16" s="33" t="s">
        <v>12</v>
      </c>
      <c r="D16" s="27" t="s">
        <v>13</v>
      </c>
      <c r="M16" s="5"/>
    </row>
    <row r="17" spans="4:13" ht="17.399999999999999" x14ac:dyDescent="0.4">
      <c r="D17" s="34" t="s">
        <v>14</v>
      </c>
      <c r="E17" s="34" t="s">
        <v>15</v>
      </c>
      <c r="F17" s="34" t="s">
        <v>16</v>
      </c>
      <c r="G17" s="34" t="s">
        <v>17</v>
      </c>
      <c r="H17" s="34" t="s">
        <v>18</v>
      </c>
      <c r="I17" s="34" t="s">
        <v>19</v>
      </c>
      <c r="J17" s="34" t="s">
        <v>20</v>
      </c>
      <c r="M17" s="5"/>
    </row>
    <row r="18" spans="4:13" ht="17.399999999999999" x14ac:dyDescent="0.4">
      <c r="D18" s="49" t="s">
        <v>21</v>
      </c>
      <c r="E18" s="35" t="s">
        <v>22</v>
      </c>
      <c r="F18" s="36">
        <v>228265</v>
      </c>
      <c r="G18" s="36">
        <v>199854</v>
      </c>
      <c r="H18" s="36">
        <v>139898</v>
      </c>
      <c r="I18" s="36">
        <v>0</v>
      </c>
      <c r="J18" s="36">
        <v>139898</v>
      </c>
      <c r="M18" s="5"/>
    </row>
    <row r="19" spans="4:13" ht="17.399999999999999" x14ac:dyDescent="0.4">
      <c r="D19" s="50"/>
      <c r="E19" s="35" t="s">
        <v>23</v>
      </c>
      <c r="F19" s="36">
        <v>1183770</v>
      </c>
      <c r="G19" s="36">
        <v>1038898</v>
      </c>
      <c r="H19" s="36">
        <v>727229</v>
      </c>
      <c r="I19" s="36">
        <v>727229</v>
      </c>
      <c r="J19" s="36">
        <v>0</v>
      </c>
      <c r="M19" s="5"/>
    </row>
    <row r="20" spans="4:13" ht="17.399999999999999" x14ac:dyDescent="0.4">
      <c r="D20" s="49" t="s">
        <v>24</v>
      </c>
      <c r="E20" s="51"/>
      <c r="F20" s="36">
        <f>SUM(F18:F19)</f>
        <v>1412035</v>
      </c>
      <c r="G20" s="36">
        <f>SUM(G18:G19)</f>
        <v>1238752</v>
      </c>
      <c r="H20" s="36">
        <f>SUM(H18:H19)</f>
        <v>867127</v>
      </c>
      <c r="I20" s="36">
        <f>SUM(I18:I19)</f>
        <v>727229</v>
      </c>
      <c r="J20" s="36">
        <f>SUM(J18:J19)</f>
        <v>139898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2">
    <mergeCell ref="D18:D19"/>
    <mergeCell ref="D20:E20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B23" sqref="B23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37" t="s">
        <v>25</v>
      </c>
      <c r="B1" s="37" t="s">
        <v>26</v>
      </c>
      <c r="C1" s="37" t="s">
        <v>27</v>
      </c>
      <c r="D1" s="37" t="s">
        <v>28</v>
      </c>
      <c r="E1" s="37" t="s">
        <v>29</v>
      </c>
      <c r="F1" s="37" t="s">
        <v>30</v>
      </c>
      <c r="G1" s="38" t="s">
        <v>31</v>
      </c>
      <c r="H1" s="39" t="s">
        <v>32</v>
      </c>
      <c r="I1" s="39" t="s">
        <v>33</v>
      </c>
      <c r="J1" s="40" t="s">
        <v>34</v>
      </c>
      <c r="K1" s="39" t="s">
        <v>35</v>
      </c>
      <c r="L1" s="37" t="s">
        <v>18</v>
      </c>
    </row>
    <row r="2" spans="1:12" x14ac:dyDescent="0.4">
      <c r="A2" s="41" t="s">
        <v>36</v>
      </c>
      <c r="B2" s="42" t="s">
        <v>22</v>
      </c>
      <c r="C2" s="42" t="s">
        <v>37</v>
      </c>
      <c r="D2" s="42" t="s">
        <v>38</v>
      </c>
      <c r="E2" s="42" t="s">
        <v>39</v>
      </c>
      <c r="F2" s="42" t="s">
        <v>40</v>
      </c>
      <c r="G2" s="43">
        <v>38500</v>
      </c>
      <c r="H2" s="44">
        <v>38500</v>
      </c>
      <c r="I2" s="45">
        <v>0.9</v>
      </c>
      <c r="J2" s="44">
        <v>34650</v>
      </c>
      <c r="K2" s="46">
        <v>0.7</v>
      </c>
      <c r="L2" s="44">
        <v>24255</v>
      </c>
    </row>
    <row r="3" spans="1:12" x14ac:dyDescent="0.4">
      <c r="A3" s="41" t="s">
        <v>36</v>
      </c>
      <c r="B3" s="42" t="s">
        <v>22</v>
      </c>
      <c r="C3" s="42" t="s">
        <v>37</v>
      </c>
      <c r="D3" s="42" t="s">
        <v>41</v>
      </c>
      <c r="E3" s="42" t="s">
        <v>42</v>
      </c>
      <c r="F3" s="42" t="s">
        <v>40</v>
      </c>
      <c r="G3" s="43">
        <v>51600</v>
      </c>
      <c r="H3" s="44">
        <v>61945</v>
      </c>
      <c r="I3" s="45">
        <v>0.9</v>
      </c>
      <c r="J3" s="44">
        <v>55750</v>
      </c>
      <c r="K3" s="46">
        <v>0.7</v>
      </c>
      <c r="L3" s="44">
        <v>39025</v>
      </c>
    </row>
    <row r="4" spans="1:12" x14ac:dyDescent="0.4">
      <c r="A4" s="41" t="s">
        <v>36</v>
      </c>
      <c r="B4" s="42" t="s">
        <v>22</v>
      </c>
      <c r="C4" s="42" t="s">
        <v>37</v>
      </c>
      <c r="D4" s="42" t="s">
        <v>41</v>
      </c>
      <c r="E4" s="42" t="s">
        <v>43</v>
      </c>
      <c r="F4" s="42" t="s">
        <v>40</v>
      </c>
      <c r="G4" s="43">
        <v>45200</v>
      </c>
      <c r="H4" s="44">
        <v>53820</v>
      </c>
      <c r="I4" s="45">
        <v>0.7</v>
      </c>
      <c r="J4" s="44">
        <v>37674</v>
      </c>
      <c r="K4" s="46">
        <v>0.7</v>
      </c>
      <c r="L4" s="44">
        <v>26372</v>
      </c>
    </row>
    <row r="5" spans="1:12" x14ac:dyDescent="0.4">
      <c r="A5" s="41" t="s">
        <v>36</v>
      </c>
      <c r="B5" s="42" t="s">
        <v>22</v>
      </c>
      <c r="C5" s="42" t="s">
        <v>37</v>
      </c>
      <c r="D5" s="42" t="s">
        <v>41</v>
      </c>
      <c r="E5" s="42" t="s">
        <v>44</v>
      </c>
      <c r="F5" s="42" t="s">
        <v>40</v>
      </c>
      <c r="G5" s="44">
        <v>74000</v>
      </c>
      <c r="H5" s="44">
        <v>74000</v>
      </c>
      <c r="I5" s="45">
        <v>0.97</v>
      </c>
      <c r="J5" s="44">
        <v>71780</v>
      </c>
      <c r="K5" s="46">
        <v>0.7</v>
      </c>
      <c r="L5" s="44">
        <v>50246</v>
      </c>
    </row>
    <row r="6" spans="1:12" x14ac:dyDescent="0.4">
      <c r="A6" s="41" t="s">
        <v>36</v>
      </c>
      <c r="B6" s="42" t="s">
        <v>23</v>
      </c>
      <c r="C6" s="42" t="s">
        <v>37</v>
      </c>
      <c r="D6" s="42" t="s">
        <v>41</v>
      </c>
      <c r="E6" s="42" t="s">
        <v>42</v>
      </c>
      <c r="F6" s="42" t="s">
        <v>45</v>
      </c>
      <c r="G6" s="44">
        <v>204750</v>
      </c>
      <c r="H6" s="44">
        <v>245798</v>
      </c>
      <c r="I6" s="45">
        <v>0.9</v>
      </c>
      <c r="J6" s="44">
        <v>221218</v>
      </c>
      <c r="K6" s="46">
        <v>0.7</v>
      </c>
      <c r="L6" s="44">
        <v>154853</v>
      </c>
    </row>
    <row r="7" spans="1:12" x14ac:dyDescent="0.4">
      <c r="A7" s="41" t="s">
        <v>36</v>
      </c>
      <c r="B7" s="42" t="s">
        <v>23</v>
      </c>
      <c r="C7" s="42" t="s">
        <v>37</v>
      </c>
      <c r="D7" s="42" t="s">
        <v>38</v>
      </c>
      <c r="E7" s="42" t="s">
        <v>39</v>
      </c>
      <c r="F7" s="42" t="s">
        <v>45</v>
      </c>
      <c r="G7" s="44">
        <v>485780</v>
      </c>
      <c r="H7" s="44">
        <v>485780</v>
      </c>
      <c r="I7" s="45">
        <v>0.9</v>
      </c>
      <c r="J7" s="44">
        <v>437202</v>
      </c>
      <c r="K7" s="46">
        <v>0.7</v>
      </c>
      <c r="L7" s="44">
        <v>306041</v>
      </c>
    </row>
    <row r="8" spans="1:12" x14ac:dyDescent="0.4">
      <c r="A8" s="41" t="s">
        <v>36</v>
      </c>
      <c r="B8" s="42" t="s">
        <v>23</v>
      </c>
      <c r="C8" s="42" t="s">
        <v>37</v>
      </c>
      <c r="D8" s="42" t="s">
        <v>41</v>
      </c>
      <c r="E8" s="42" t="s">
        <v>43</v>
      </c>
      <c r="F8" s="42" t="s">
        <v>45</v>
      </c>
      <c r="G8" s="44">
        <v>180840</v>
      </c>
      <c r="H8" s="44">
        <v>215362</v>
      </c>
      <c r="I8" s="45">
        <v>0.7</v>
      </c>
      <c r="J8" s="44">
        <v>150753</v>
      </c>
      <c r="K8" s="46">
        <v>0.7</v>
      </c>
      <c r="L8" s="44">
        <v>105527</v>
      </c>
    </row>
    <row r="9" spans="1:12" x14ac:dyDescent="0.4">
      <c r="A9" s="41" t="s">
        <v>36</v>
      </c>
      <c r="B9" s="42" t="s">
        <v>23</v>
      </c>
      <c r="C9" s="42" t="s">
        <v>37</v>
      </c>
      <c r="D9" s="42" t="s">
        <v>41</v>
      </c>
      <c r="E9" s="42" t="s">
        <v>44</v>
      </c>
      <c r="F9" s="42" t="s">
        <v>45</v>
      </c>
      <c r="G9" s="44">
        <v>236830</v>
      </c>
      <c r="H9" s="44">
        <v>236830</v>
      </c>
      <c r="I9" s="45">
        <v>0.97</v>
      </c>
      <c r="J9" s="44">
        <v>229725</v>
      </c>
      <c r="K9" s="46">
        <v>0.7</v>
      </c>
      <c r="L9" s="44">
        <v>160808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E16" sqref="E16"/>
    </sheetView>
  </sheetViews>
  <sheetFormatPr defaultRowHeight="17.399999999999999" x14ac:dyDescent="0.4"/>
  <cols>
    <col min="1" max="8" width="20" style="24" customWidth="1"/>
  </cols>
  <sheetData>
    <row r="1" spans="1:8" x14ac:dyDescent="0.4">
      <c r="A1" s="52" t="s">
        <v>15</v>
      </c>
      <c r="B1" s="52" t="s">
        <v>25</v>
      </c>
      <c r="C1" s="52" t="s">
        <v>46</v>
      </c>
      <c r="D1" s="52" t="s">
        <v>47</v>
      </c>
      <c r="E1" s="51"/>
      <c r="F1" s="52" t="s">
        <v>48</v>
      </c>
      <c r="G1" s="52" t="s">
        <v>49</v>
      </c>
      <c r="H1" s="52" t="s">
        <v>50</v>
      </c>
    </row>
    <row r="2" spans="1:8" x14ac:dyDescent="0.4">
      <c r="A2" s="50"/>
      <c r="B2" s="50"/>
      <c r="C2" s="50"/>
      <c r="D2" s="34" t="s">
        <v>51</v>
      </c>
      <c r="E2" s="34" t="s">
        <v>52</v>
      </c>
      <c r="F2" s="50"/>
      <c r="G2" s="50"/>
      <c r="H2" s="50"/>
    </row>
    <row r="3" spans="1:8" x14ac:dyDescent="0.4">
      <c r="A3" s="54" t="s">
        <v>23</v>
      </c>
      <c r="B3" s="53" t="s">
        <v>53</v>
      </c>
      <c r="C3" s="47" t="s">
        <v>54</v>
      </c>
      <c r="D3" s="48">
        <v>0</v>
      </c>
      <c r="E3" s="48">
        <v>40000000</v>
      </c>
      <c r="F3" s="48">
        <v>1634352</v>
      </c>
      <c r="G3" s="48">
        <v>38365648</v>
      </c>
      <c r="H3" s="48">
        <v>0</v>
      </c>
    </row>
    <row r="4" spans="1:8" x14ac:dyDescent="0.4">
      <c r="A4" s="55"/>
      <c r="B4" s="53" t="s">
        <v>55</v>
      </c>
      <c r="C4" s="47" t="s">
        <v>54</v>
      </c>
      <c r="D4" s="48">
        <v>38365648</v>
      </c>
      <c r="E4" s="48">
        <v>0</v>
      </c>
      <c r="F4" s="48">
        <v>2005354</v>
      </c>
      <c r="G4" s="48">
        <v>36360294</v>
      </c>
      <c r="H4" s="48">
        <v>0</v>
      </c>
    </row>
    <row r="5" spans="1:8" x14ac:dyDescent="0.4">
      <c r="A5" s="55"/>
      <c r="B5" s="53" t="s">
        <v>56</v>
      </c>
      <c r="C5" s="47" t="s">
        <v>54</v>
      </c>
      <c r="D5" s="48">
        <v>36360294</v>
      </c>
      <c r="E5" s="48">
        <v>0</v>
      </c>
      <c r="F5" s="48">
        <v>2044892</v>
      </c>
      <c r="G5" s="48">
        <v>34315402</v>
      </c>
      <c r="H5" s="48">
        <v>0</v>
      </c>
    </row>
    <row r="6" spans="1:8" x14ac:dyDescent="0.4">
      <c r="A6" s="55"/>
      <c r="B6" s="53" t="s">
        <v>57</v>
      </c>
      <c r="C6" s="47" t="s">
        <v>54</v>
      </c>
      <c r="D6" s="48">
        <v>34315402</v>
      </c>
      <c r="E6" s="48">
        <v>0</v>
      </c>
      <c r="F6" s="48">
        <v>1433705</v>
      </c>
      <c r="G6" s="48">
        <v>32881697</v>
      </c>
      <c r="H6" s="48">
        <v>0</v>
      </c>
    </row>
    <row r="7" spans="1:8" x14ac:dyDescent="0.4">
      <c r="A7" s="55"/>
      <c r="B7" s="53" t="s">
        <v>58</v>
      </c>
      <c r="C7" s="47" t="s">
        <v>54</v>
      </c>
      <c r="D7" s="48">
        <v>32881697</v>
      </c>
      <c r="E7" s="48">
        <v>0</v>
      </c>
      <c r="F7" s="48">
        <v>2044938</v>
      </c>
      <c r="G7" s="48">
        <v>30836759</v>
      </c>
      <c r="H7" s="48">
        <v>0</v>
      </c>
    </row>
    <row r="8" spans="1:8" x14ac:dyDescent="0.4">
      <c r="A8" s="55"/>
      <c r="B8" s="53" t="s">
        <v>59</v>
      </c>
      <c r="C8" s="47" t="s">
        <v>54</v>
      </c>
      <c r="D8" s="48">
        <v>30836759</v>
      </c>
      <c r="E8" s="48">
        <v>0</v>
      </c>
      <c r="F8" s="48">
        <v>925342</v>
      </c>
      <c r="G8" s="48">
        <v>29911417</v>
      </c>
      <c r="H8" s="48">
        <v>0</v>
      </c>
    </row>
    <row r="9" spans="1:8" x14ac:dyDescent="0.4">
      <c r="A9" s="55"/>
      <c r="B9" s="53" t="s">
        <v>60</v>
      </c>
      <c r="C9" s="47" t="s">
        <v>54</v>
      </c>
      <c r="D9" s="48">
        <v>29911417</v>
      </c>
      <c r="E9" s="48">
        <v>0</v>
      </c>
      <c r="F9" s="48">
        <v>849269</v>
      </c>
      <c r="G9" s="48">
        <v>29062148</v>
      </c>
      <c r="H9" s="48">
        <v>0</v>
      </c>
    </row>
    <row r="10" spans="1:8" x14ac:dyDescent="0.4">
      <c r="A10" s="55"/>
      <c r="B10" s="53" t="s">
        <v>61</v>
      </c>
      <c r="C10" s="47" t="s">
        <v>54</v>
      </c>
      <c r="D10" s="48">
        <v>29062148</v>
      </c>
      <c r="E10" s="48">
        <v>0</v>
      </c>
      <c r="F10" s="48">
        <v>566393</v>
      </c>
      <c r="G10" s="48">
        <v>28495755</v>
      </c>
      <c r="H10" s="48">
        <v>0</v>
      </c>
    </row>
    <row r="11" spans="1:8" x14ac:dyDescent="0.4">
      <c r="A11" s="55"/>
      <c r="B11" s="53" t="s">
        <v>62</v>
      </c>
      <c r="C11" s="47" t="s">
        <v>54</v>
      </c>
      <c r="D11" s="48">
        <v>28495755</v>
      </c>
      <c r="E11" s="48">
        <v>0</v>
      </c>
      <c r="F11" s="48">
        <v>577678</v>
      </c>
      <c r="G11" s="48">
        <v>27918077</v>
      </c>
      <c r="H11" s="48">
        <v>0</v>
      </c>
    </row>
    <row r="12" spans="1:8" x14ac:dyDescent="0.4">
      <c r="A12" s="55"/>
      <c r="B12" s="53" t="s">
        <v>63</v>
      </c>
      <c r="C12" s="47" t="s">
        <v>54</v>
      </c>
      <c r="D12" s="48">
        <v>27918077</v>
      </c>
      <c r="E12" s="48">
        <v>0</v>
      </c>
      <c r="F12" s="48">
        <v>1368353</v>
      </c>
      <c r="G12" s="48">
        <v>26549724</v>
      </c>
      <c r="H12" s="48">
        <v>0</v>
      </c>
    </row>
    <row r="13" spans="1:8" x14ac:dyDescent="0.4">
      <c r="A13" s="55"/>
      <c r="B13" s="53" t="s">
        <v>64</v>
      </c>
      <c r="C13" s="47" t="s">
        <v>54</v>
      </c>
      <c r="D13" s="48">
        <v>26549724</v>
      </c>
      <c r="E13" s="48">
        <v>0</v>
      </c>
      <c r="F13" s="48">
        <v>483830</v>
      </c>
      <c r="G13" s="48">
        <v>26065894</v>
      </c>
      <c r="H13" s="48">
        <v>0</v>
      </c>
    </row>
    <row r="14" spans="1:8" x14ac:dyDescent="0.4">
      <c r="A14" s="55"/>
      <c r="B14" s="53" t="s">
        <v>65</v>
      </c>
      <c r="C14" s="47" t="s">
        <v>54</v>
      </c>
      <c r="D14" s="48">
        <v>26065894</v>
      </c>
      <c r="E14" s="48">
        <v>0</v>
      </c>
      <c r="F14" s="48">
        <v>455173</v>
      </c>
      <c r="G14" s="48">
        <v>25610721</v>
      </c>
      <c r="H14" s="48">
        <v>0</v>
      </c>
    </row>
    <row r="15" spans="1:8" x14ac:dyDescent="0.4">
      <c r="A15" s="55"/>
      <c r="B15" s="53" t="s">
        <v>66</v>
      </c>
      <c r="C15" s="47" t="s">
        <v>54</v>
      </c>
      <c r="D15" s="48">
        <v>25610721</v>
      </c>
      <c r="E15" s="48">
        <v>0</v>
      </c>
      <c r="F15" s="48">
        <v>376740</v>
      </c>
      <c r="G15" s="48">
        <v>25233981</v>
      </c>
      <c r="H15" s="48">
        <v>0</v>
      </c>
    </row>
    <row r="16" spans="1:8" x14ac:dyDescent="0.4">
      <c r="A16" s="55"/>
      <c r="B16" s="53" t="s">
        <v>67</v>
      </c>
      <c r="C16" s="47" t="s">
        <v>54</v>
      </c>
      <c r="D16" s="48">
        <v>25233981</v>
      </c>
      <c r="E16" s="48">
        <v>0</v>
      </c>
      <c r="F16" s="48">
        <v>606254</v>
      </c>
      <c r="G16" s="48">
        <v>24627727</v>
      </c>
      <c r="H16" s="48">
        <v>0</v>
      </c>
    </row>
    <row r="17" spans="1:8" x14ac:dyDescent="0.4">
      <c r="A17" s="55"/>
      <c r="B17" s="53" t="s">
        <v>68</v>
      </c>
      <c r="C17" s="47" t="s">
        <v>54</v>
      </c>
      <c r="D17" s="48">
        <v>24627727</v>
      </c>
      <c r="E17" s="48">
        <v>0</v>
      </c>
      <c r="F17" s="48">
        <v>390078</v>
      </c>
      <c r="G17" s="48">
        <v>24237649</v>
      </c>
      <c r="H17" s="48">
        <v>0</v>
      </c>
    </row>
    <row r="18" spans="1:8" x14ac:dyDescent="0.4">
      <c r="A18" s="55"/>
      <c r="B18" s="53" t="s">
        <v>69</v>
      </c>
      <c r="C18" s="47" t="s">
        <v>54</v>
      </c>
      <c r="D18" s="48">
        <v>24237649</v>
      </c>
      <c r="E18" s="48">
        <v>0</v>
      </c>
      <c r="F18" s="48">
        <v>281572</v>
      </c>
      <c r="G18" s="48">
        <v>23956077</v>
      </c>
      <c r="H18" s="48">
        <v>0</v>
      </c>
    </row>
    <row r="19" spans="1:8" x14ac:dyDescent="0.4">
      <c r="A19" s="55"/>
      <c r="B19" s="53" t="s">
        <v>70</v>
      </c>
      <c r="C19" s="47" t="s">
        <v>54</v>
      </c>
      <c r="D19" s="48">
        <v>23956077</v>
      </c>
      <c r="E19" s="48">
        <v>0</v>
      </c>
      <c r="F19" s="48">
        <v>268996</v>
      </c>
      <c r="G19" s="48">
        <v>23687081</v>
      </c>
      <c r="H19" s="48">
        <v>0</v>
      </c>
    </row>
    <row r="20" spans="1:8" x14ac:dyDescent="0.4">
      <c r="A20" s="50"/>
      <c r="B20" s="53" t="s">
        <v>71</v>
      </c>
      <c r="C20" s="47" t="s">
        <v>54</v>
      </c>
      <c r="D20" s="48">
        <v>23687081</v>
      </c>
      <c r="E20" s="48">
        <v>0</v>
      </c>
      <c r="F20" s="48">
        <v>727229</v>
      </c>
      <c r="G20" s="48">
        <v>22959852</v>
      </c>
      <c r="H20" s="48">
        <v>0</v>
      </c>
    </row>
  </sheetData>
  <mergeCells count="26">
    <mergeCell ref="A3:A20"/>
    <mergeCell ref="B16"/>
    <mergeCell ref="B17"/>
    <mergeCell ref="B18"/>
    <mergeCell ref="B19"/>
    <mergeCell ref="B20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D30" sqref="D30"/>
    </sheetView>
  </sheetViews>
  <sheetFormatPr defaultColWidth="10.796875" defaultRowHeight="17.399999999999999" x14ac:dyDescent="0.4"/>
  <cols>
    <col min="1" max="1" width="10.796875" style="17" customWidth="1"/>
    <col min="2" max="2" width="7.19921875" style="17" customWidth="1"/>
    <col min="3" max="3" width="18" style="17" customWidth="1"/>
    <col min="4" max="4" width="17.5" style="17" customWidth="1"/>
    <col min="5" max="5" width="10.796875" style="17" customWidth="1"/>
    <col min="6" max="6" width="45.19921875" style="17" customWidth="1"/>
    <col min="7" max="7" width="17.5" style="17" customWidth="1"/>
    <col min="8" max="8" width="10.796875" style="17" customWidth="1"/>
    <col min="9" max="16384" width="10.796875" style="17"/>
  </cols>
  <sheetData>
    <row r="1" spans="1:9" x14ac:dyDescent="0.4">
      <c r="A1" s="18"/>
      <c r="B1" s="18"/>
      <c r="C1" s="18"/>
      <c r="D1" s="18"/>
      <c r="E1" s="18"/>
      <c r="F1" s="18"/>
      <c r="G1" s="18"/>
      <c r="H1" s="18"/>
      <c r="I1" s="18"/>
    </row>
    <row r="2" spans="1:9" ht="27" customHeight="1" x14ac:dyDescent="0.4">
      <c r="A2" s="18"/>
      <c r="B2" s="58" t="s">
        <v>72</v>
      </c>
      <c r="C2" s="59"/>
      <c r="D2" s="59"/>
      <c r="E2" s="59"/>
      <c r="F2" s="59"/>
      <c r="G2" s="60"/>
      <c r="H2" s="18"/>
      <c r="I2" s="18"/>
    </row>
    <row r="3" spans="1:9" x14ac:dyDescent="0.4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4">
      <c r="A4" s="18"/>
      <c r="B4" s="9" t="s">
        <v>73</v>
      </c>
      <c r="C4" s="9"/>
      <c r="D4" s="22"/>
      <c r="E4" s="18"/>
      <c r="F4" s="18"/>
      <c r="G4" s="18"/>
      <c r="H4" s="18"/>
      <c r="I4" s="18"/>
    </row>
    <row r="5" spans="1:9" ht="31.05" customHeight="1" x14ac:dyDescent="0.4">
      <c r="A5" s="19"/>
      <c r="B5" s="10" t="s">
        <v>74</v>
      </c>
      <c r="C5" s="11" t="s">
        <v>75</v>
      </c>
      <c r="D5" s="11" t="s">
        <v>29</v>
      </c>
      <c r="E5" s="61" t="s">
        <v>76</v>
      </c>
      <c r="F5" s="57"/>
      <c r="G5" s="12" t="s">
        <v>77</v>
      </c>
      <c r="H5" s="19"/>
      <c r="I5" s="19"/>
    </row>
    <row r="6" spans="1:9" x14ac:dyDescent="0.4">
      <c r="A6" s="20"/>
      <c r="B6" s="13">
        <v>1</v>
      </c>
      <c r="C6" s="62" t="s">
        <v>41</v>
      </c>
      <c r="D6" s="14" t="s">
        <v>42</v>
      </c>
      <c r="E6" s="56" t="s">
        <v>78</v>
      </c>
      <c r="F6" s="57"/>
      <c r="G6" s="15">
        <v>0.1</v>
      </c>
      <c r="H6" s="20"/>
      <c r="I6" s="20"/>
    </row>
    <row r="7" spans="1:9" x14ac:dyDescent="0.4">
      <c r="A7" s="20"/>
      <c r="B7" s="13">
        <v>2</v>
      </c>
      <c r="C7" s="63"/>
      <c r="D7" s="14" t="s">
        <v>44</v>
      </c>
      <c r="E7" s="56" t="s">
        <v>79</v>
      </c>
      <c r="F7" s="57"/>
      <c r="G7" s="15">
        <v>0.03</v>
      </c>
      <c r="H7" s="20"/>
      <c r="I7" s="20"/>
    </row>
    <row r="8" spans="1:9" x14ac:dyDescent="0.4">
      <c r="A8" s="20"/>
      <c r="B8" s="13">
        <v>3</v>
      </c>
      <c r="C8" s="63"/>
      <c r="D8" s="14" t="s">
        <v>80</v>
      </c>
      <c r="E8" s="56" t="s">
        <v>81</v>
      </c>
      <c r="F8" s="57"/>
      <c r="G8" s="15">
        <v>0.3</v>
      </c>
      <c r="H8" s="20"/>
      <c r="I8" s="20"/>
    </row>
    <row r="9" spans="1:9" x14ac:dyDescent="0.4">
      <c r="A9" s="20"/>
      <c r="B9" s="13">
        <v>4</v>
      </c>
      <c r="C9" s="14" t="s">
        <v>38</v>
      </c>
      <c r="D9" s="14" t="s">
        <v>82</v>
      </c>
      <c r="E9" s="56" t="s">
        <v>83</v>
      </c>
      <c r="F9" s="57"/>
      <c r="G9" s="16" t="s">
        <v>84</v>
      </c>
      <c r="H9" s="20"/>
      <c r="I9" s="20"/>
    </row>
    <row r="10" spans="1:9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x14ac:dyDescent="0.4">
      <c r="A11" s="18"/>
      <c r="B11" s="21"/>
      <c r="C11" s="21"/>
      <c r="D11" s="21"/>
      <c r="E11" s="21"/>
      <c r="F11" s="21"/>
      <c r="G11" s="18"/>
      <c r="H11" s="18"/>
      <c r="I11" s="18"/>
    </row>
    <row r="12" spans="1:9" x14ac:dyDescent="0.4">
      <c r="A12" s="18"/>
      <c r="B12" s="22"/>
      <c r="C12" s="23"/>
      <c r="D12" s="22"/>
      <c r="E12" s="21"/>
      <c r="F12" s="21"/>
      <c r="G12" s="18"/>
      <c r="H12" s="18"/>
      <c r="I12" s="18"/>
    </row>
    <row r="13" spans="1:9" x14ac:dyDescent="0.4">
      <c r="A13" s="18"/>
      <c r="B13" s="21"/>
      <c r="C13" s="21"/>
      <c r="D13" s="21"/>
      <c r="E13" s="21"/>
      <c r="F13" s="21"/>
      <c r="G13" s="18"/>
      <c r="H13" s="18"/>
      <c r="I13" s="18"/>
    </row>
    <row r="14" spans="1:9" x14ac:dyDescent="0.4">
      <c r="A14" s="18"/>
      <c r="B14" s="18"/>
      <c r="C14" s="18"/>
      <c r="D14" s="18"/>
      <c r="E14" s="18"/>
      <c r="F14" s="18"/>
      <c r="G14" s="18"/>
      <c r="H14" s="18"/>
      <c r="I14" s="18"/>
    </row>
    <row r="15" spans="1:9" x14ac:dyDescent="0.4">
      <c r="A15" s="18"/>
      <c r="B15" s="18"/>
      <c r="C15" s="18"/>
      <c r="D15" s="18"/>
      <c r="E15" s="18"/>
      <c r="F15" s="18"/>
      <c r="G15" s="18"/>
      <c r="H15" s="18"/>
      <c r="I15" s="18"/>
    </row>
    <row r="16" spans="1:9" x14ac:dyDescent="0.4">
      <c r="A16" s="18"/>
      <c r="B16" s="18"/>
      <c r="C16" s="18"/>
      <c r="D16" s="18"/>
      <c r="E16" s="18"/>
      <c r="F16" s="18"/>
      <c r="G16" s="18"/>
      <c r="H16" s="18"/>
      <c r="I16" s="18"/>
    </row>
    <row r="17" spans="1:9" x14ac:dyDescent="0.4">
      <c r="A17" s="18"/>
      <c r="B17" s="18"/>
      <c r="C17" s="18"/>
      <c r="D17" s="18"/>
      <c r="E17" s="18"/>
      <c r="F17" s="18"/>
      <c r="G17" s="18"/>
      <c r="H17" s="18"/>
      <c r="I17" s="18"/>
    </row>
    <row r="18" spans="1:9" x14ac:dyDescent="0.4">
      <c r="A18" s="18"/>
      <c r="B18" s="18"/>
      <c r="C18" s="18"/>
      <c r="D18" s="18"/>
      <c r="E18" s="18"/>
      <c r="F18" s="18"/>
      <c r="G18" s="18"/>
      <c r="H18" s="18"/>
      <c r="I18" s="18"/>
    </row>
  </sheetData>
  <mergeCells count="7">
    <mergeCell ref="E9:F9"/>
    <mergeCell ref="B2:G2"/>
    <mergeCell ref="E5:F5"/>
    <mergeCell ref="C6:C8"/>
    <mergeCell ref="E6:F6"/>
    <mergeCell ref="E7:F7"/>
    <mergeCell ref="E8:F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정산내역 요약</vt:lpstr>
      <vt:lpstr>정산내역 상세</vt:lpstr>
      <vt:lpstr>선급금내역_카카오 웹툰 국내</vt:lpstr>
      <vt:lpstr>정산 안내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2022-10-04T08:24:49Z</dcterms:modified>
</cp:coreProperties>
</file>