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5" i="1"/>
  <c r="I17" i="1" l="1"/>
</calcChain>
</file>

<file path=xl/sharedStrings.xml><?xml version="1.0" encoding="utf-8"?>
<sst xmlns="http://schemas.openxmlformats.org/spreadsheetml/2006/main" count="77" uniqueCount="31">
  <si>
    <t>저작권자 수익 금액</t>
  </si>
  <si>
    <t>수익분배율%</t>
  </si>
  <si>
    <t>원천세</t>
  </si>
  <si>
    <t>원천세 정산후</t>
  </si>
  <si>
    <t>작품명</t>
  </si>
  <si>
    <t>성인/비성인</t>
  </si>
  <si>
    <t>수익분배 대상 금액</t>
  </si>
  <si>
    <t>비성인</t>
  </si>
  <si>
    <t>총 매출액</t>
    <phoneticPr fontId="1" type="noConversion"/>
  </si>
  <si>
    <t>&lt;옹주의 호위무사 mg차감&gt;</t>
    <phoneticPr fontId="1" type="noConversion"/>
  </si>
  <si>
    <t>계산서발행금액</t>
    <phoneticPr fontId="1" type="noConversion"/>
  </si>
  <si>
    <t>2022/09</t>
  </si>
  <si>
    <t>역전의 샤이닝스타</t>
  </si>
  <si>
    <t>한국어</t>
  </si>
  <si>
    <t>60.00%</t>
  </si>
  <si>
    <t>별빛 아래 우리</t>
  </si>
  <si>
    <t>옹주의 호위무사 [글로벌 전용]</t>
  </si>
  <si>
    <t>Italiano</t>
  </si>
  <si>
    <t>50.00%</t>
  </si>
  <si>
    <t>악역이지만, 남주는 꼬시지 않아요</t>
  </si>
  <si>
    <t>달콤한 결혼</t>
  </si>
  <si>
    <t>백스테이지 키스신</t>
  </si>
  <si>
    <t>결혼전쟁</t>
  </si>
  <si>
    <t>최애에게 들켜버렸다</t>
  </si>
  <si>
    <t>보스오빠, 살살!</t>
  </si>
  <si>
    <t>계약연애, 오늘부터 1일</t>
  </si>
  <si>
    <t>폭군의 눈물</t>
  </si>
  <si>
    <t>달콤한 그와 결혼했습니다</t>
  </si>
  <si>
    <t>요괴님은 수련중</t>
  </si>
  <si>
    <t>판매월</t>
    <phoneticPr fontId="1" type="noConversion"/>
  </si>
  <si>
    <t>언어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</si>
</sst>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1" fontId="6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7" fillId="3" borderId="0" xfId="1" applyFont="1" applyFill="1">
      <alignment vertical="center"/>
    </xf>
    <xf numFmtId="41" fontId="6" fillId="0" borderId="0" xfId="1" applyFont="1" applyFill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I17" sqref="I17"/>
    </sheetView>
  </sheetViews>
  <sheetFormatPr defaultRowHeight="16.5" x14ac:dyDescent="0.3"/>
  <cols>
    <col min="1" max="1" width="6.625" customWidth="1"/>
    <col min="2" max="2" width="32.125" bestFit="1" customWidth="1"/>
    <col min="3" max="3" width="7.875" bestFit="1" customWidth="1"/>
    <col min="4" max="4" width="14.375" customWidth="1"/>
    <col min="5" max="5" width="16.75" customWidth="1"/>
    <col min="6" max="6" width="16.75" bestFit="1" customWidth="1"/>
    <col min="7" max="7" width="11.375" bestFit="1" customWidth="1"/>
    <col min="8" max="8" width="21" bestFit="1" customWidth="1"/>
    <col min="9" max="9" width="16.875" customWidth="1"/>
  </cols>
  <sheetData>
    <row r="1" spans="1:9" ht="17.25" thickBot="1" x14ac:dyDescent="0.35">
      <c r="A1" s="1" t="s">
        <v>29</v>
      </c>
      <c r="B1" s="2" t="s">
        <v>4</v>
      </c>
      <c r="C1" s="2" t="s">
        <v>30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3">
      <c r="A2" s="8" t="s">
        <v>11</v>
      </c>
      <c r="B2" s="8" t="s">
        <v>12</v>
      </c>
      <c r="C2" s="8" t="s">
        <v>13</v>
      </c>
      <c r="D2" s="8" t="s">
        <v>7</v>
      </c>
      <c r="E2" s="10">
        <v>6251</v>
      </c>
      <c r="F2" s="10">
        <v>3750.6</v>
      </c>
      <c r="G2" s="9" t="s">
        <v>14</v>
      </c>
      <c r="H2" s="9">
        <v>0</v>
      </c>
      <c r="I2" s="10">
        <v>3750.6</v>
      </c>
    </row>
    <row r="3" spans="1:9" x14ac:dyDescent="0.3">
      <c r="A3" s="8" t="s">
        <v>11</v>
      </c>
      <c r="B3" s="8" t="s">
        <v>15</v>
      </c>
      <c r="C3" s="8" t="s">
        <v>13</v>
      </c>
      <c r="D3" s="8" t="s">
        <v>7</v>
      </c>
      <c r="E3" s="10">
        <v>1929032</v>
      </c>
      <c r="F3" s="10">
        <v>1157419.2</v>
      </c>
      <c r="G3" s="9" t="s">
        <v>14</v>
      </c>
      <c r="H3" s="9">
        <v>0</v>
      </c>
      <c r="I3" s="10">
        <v>1157419.2</v>
      </c>
    </row>
    <row r="4" spans="1:9" x14ac:dyDescent="0.3">
      <c r="A4" s="8" t="s">
        <v>11</v>
      </c>
      <c r="B4" s="8" t="s">
        <v>16</v>
      </c>
      <c r="C4" s="8" t="s">
        <v>17</v>
      </c>
      <c r="D4" s="8" t="s">
        <v>7</v>
      </c>
      <c r="E4" s="9">
        <v>798</v>
      </c>
      <c r="F4" s="9">
        <v>399</v>
      </c>
      <c r="G4" s="9" t="s">
        <v>18</v>
      </c>
      <c r="H4" s="9">
        <v>0</v>
      </c>
      <c r="I4" s="9">
        <v>399</v>
      </c>
    </row>
    <row r="5" spans="1:9" x14ac:dyDescent="0.3">
      <c r="A5" s="8" t="s">
        <v>11</v>
      </c>
      <c r="B5" s="8" t="s">
        <v>19</v>
      </c>
      <c r="C5" s="8" t="s">
        <v>13</v>
      </c>
      <c r="D5" s="8" t="s">
        <v>7</v>
      </c>
      <c r="E5" s="10">
        <v>39368</v>
      </c>
      <c r="F5" s="10">
        <v>23620.799999999999</v>
      </c>
      <c r="G5" s="9" t="s">
        <v>14</v>
      </c>
      <c r="H5" s="9">
        <v>0</v>
      </c>
      <c r="I5" s="10">
        <v>23620.799999999999</v>
      </c>
    </row>
    <row r="6" spans="1:9" x14ac:dyDescent="0.3">
      <c r="A6" s="8" t="s">
        <v>11</v>
      </c>
      <c r="B6" s="8" t="s">
        <v>20</v>
      </c>
      <c r="C6" s="8" t="s">
        <v>13</v>
      </c>
      <c r="D6" s="8" t="s">
        <v>7</v>
      </c>
      <c r="E6" s="10">
        <v>3857</v>
      </c>
      <c r="F6" s="10">
        <v>2314.1999999999998</v>
      </c>
      <c r="G6" s="9" t="s">
        <v>14</v>
      </c>
      <c r="H6" s="9">
        <v>0</v>
      </c>
      <c r="I6" s="10">
        <v>2314.1999999999998</v>
      </c>
    </row>
    <row r="7" spans="1:9" x14ac:dyDescent="0.3">
      <c r="A7" s="8" t="s">
        <v>11</v>
      </c>
      <c r="B7" s="8" t="s">
        <v>21</v>
      </c>
      <c r="C7" s="8" t="s">
        <v>13</v>
      </c>
      <c r="D7" s="8" t="s">
        <v>7</v>
      </c>
      <c r="E7" s="10">
        <v>1064</v>
      </c>
      <c r="F7" s="9">
        <v>638.4</v>
      </c>
      <c r="G7" s="9" t="s">
        <v>14</v>
      </c>
      <c r="H7" s="9">
        <v>0</v>
      </c>
      <c r="I7" s="9">
        <v>638.4</v>
      </c>
    </row>
    <row r="8" spans="1:9" x14ac:dyDescent="0.3">
      <c r="A8" s="8" t="s">
        <v>11</v>
      </c>
      <c r="B8" s="8" t="s">
        <v>22</v>
      </c>
      <c r="C8" s="8" t="s">
        <v>13</v>
      </c>
      <c r="D8" s="8" t="s">
        <v>7</v>
      </c>
      <c r="E8" s="10">
        <v>1064</v>
      </c>
      <c r="F8" s="9">
        <v>638.4</v>
      </c>
      <c r="G8" s="9" t="s">
        <v>14</v>
      </c>
      <c r="H8" s="9">
        <v>0</v>
      </c>
      <c r="I8" s="9">
        <v>638.4</v>
      </c>
    </row>
    <row r="9" spans="1:9" x14ac:dyDescent="0.3">
      <c r="A9" s="8" t="s">
        <v>11</v>
      </c>
      <c r="B9" s="8" t="s">
        <v>23</v>
      </c>
      <c r="C9" s="8" t="s">
        <v>13</v>
      </c>
      <c r="D9" s="8" t="s">
        <v>7</v>
      </c>
      <c r="E9" s="10">
        <v>25004</v>
      </c>
      <c r="F9" s="10">
        <v>15002.4</v>
      </c>
      <c r="G9" s="9" t="s">
        <v>14</v>
      </c>
      <c r="H9" s="9">
        <v>0</v>
      </c>
      <c r="I9" s="10">
        <v>15002.4</v>
      </c>
    </row>
    <row r="10" spans="1:9" x14ac:dyDescent="0.3">
      <c r="A10" s="8" t="s">
        <v>11</v>
      </c>
      <c r="B10" s="8" t="s">
        <v>24</v>
      </c>
      <c r="C10" s="8" t="s">
        <v>13</v>
      </c>
      <c r="D10" s="8" t="s">
        <v>7</v>
      </c>
      <c r="E10" s="9">
        <v>266</v>
      </c>
      <c r="F10" s="9">
        <v>159.6</v>
      </c>
      <c r="G10" s="9" t="s">
        <v>14</v>
      </c>
      <c r="H10" s="9">
        <v>0</v>
      </c>
      <c r="I10" s="9">
        <v>159.6</v>
      </c>
    </row>
    <row r="11" spans="1:9" x14ac:dyDescent="0.3">
      <c r="A11" s="8" t="s">
        <v>11</v>
      </c>
      <c r="B11" s="8" t="s">
        <v>25</v>
      </c>
      <c r="C11" s="8" t="s">
        <v>13</v>
      </c>
      <c r="D11" s="8" t="s">
        <v>7</v>
      </c>
      <c r="E11" s="9">
        <v>133</v>
      </c>
      <c r="F11" s="9">
        <v>79.8</v>
      </c>
      <c r="G11" s="9" t="s">
        <v>14</v>
      </c>
      <c r="H11" s="9">
        <v>0</v>
      </c>
      <c r="I11" s="9">
        <v>79.8</v>
      </c>
    </row>
    <row r="12" spans="1:9" x14ac:dyDescent="0.3">
      <c r="A12" s="8" t="s">
        <v>11</v>
      </c>
      <c r="B12" s="8" t="s">
        <v>26</v>
      </c>
      <c r="C12" s="8" t="s">
        <v>13</v>
      </c>
      <c r="D12" s="8" t="s">
        <v>7</v>
      </c>
      <c r="E12" s="10">
        <v>10374</v>
      </c>
      <c r="F12" s="10">
        <v>6224.4</v>
      </c>
      <c r="G12" s="9" t="s">
        <v>14</v>
      </c>
      <c r="H12" s="9">
        <v>0</v>
      </c>
      <c r="I12" s="10">
        <v>6224.4</v>
      </c>
    </row>
    <row r="13" spans="1:9" x14ac:dyDescent="0.3">
      <c r="A13" s="8" t="s">
        <v>11</v>
      </c>
      <c r="B13" s="8" t="s">
        <v>27</v>
      </c>
      <c r="C13" s="8" t="s">
        <v>13</v>
      </c>
      <c r="D13" s="8" t="s">
        <v>7</v>
      </c>
      <c r="E13" s="9">
        <v>133</v>
      </c>
      <c r="F13" s="9">
        <v>79.8</v>
      </c>
      <c r="G13" s="9" t="s">
        <v>14</v>
      </c>
      <c r="H13" s="9">
        <v>0</v>
      </c>
      <c r="I13" s="9">
        <v>79.8</v>
      </c>
    </row>
    <row r="14" spans="1:9" x14ac:dyDescent="0.3">
      <c r="A14" s="8" t="s">
        <v>11</v>
      </c>
      <c r="B14" s="8" t="s">
        <v>28</v>
      </c>
      <c r="C14" s="8" t="s">
        <v>13</v>
      </c>
      <c r="D14" s="8" t="s">
        <v>7</v>
      </c>
      <c r="E14" s="9">
        <v>266</v>
      </c>
      <c r="F14" s="9">
        <v>159.6</v>
      </c>
      <c r="G14" s="9" t="s">
        <v>14</v>
      </c>
      <c r="H14" s="9">
        <v>0</v>
      </c>
      <c r="I14" s="9">
        <v>159.6</v>
      </c>
    </row>
    <row r="15" spans="1:9" x14ac:dyDescent="0.3">
      <c r="H15" s="4" t="s">
        <v>8</v>
      </c>
      <c r="I15" s="7">
        <f>SUM(I2:I14)</f>
        <v>1210486.2</v>
      </c>
    </row>
    <row r="16" spans="1:9" x14ac:dyDescent="0.3">
      <c r="H16" s="5" t="s">
        <v>9</v>
      </c>
      <c r="I16" s="3">
        <f>I4</f>
        <v>399</v>
      </c>
    </row>
    <row r="17" spans="8:9" x14ac:dyDescent="0.3">
      <c r="H17" s="5" t="s">
        <v>10</v>
      </c>
      <c r="I17" s="6">
        <f>I15-I16</f>
        <v>1210087.2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2022-10-04T08:05:20Z</dcterms:modified>
</cp:coreProperties>
</file>