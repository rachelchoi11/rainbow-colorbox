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비용\매출취합\"/>
    </mc:Choice>
  </mc:AlternateContent>
  <bookViews>
    <workbookView xWindow="0" yWindow="0" windowWidth="23040" windowHeight="8592"/>
  </bookViews>
  <sheets>
    <sheet name="합계(9)" sheetId="1" r:id="rId1"/>
    <sheet name="후타바샤" sheetId="2" r:id="rId2"/>
    <sheet name="콰이칸" sheetId="3" r:id="rId3"/>
    <sheet name="진엔터테인먼트" sheetId="4" r:id="rId4"/>
    <sheet name="컨텐츠헤라" sheetId="5" r:id="rId5"/>
    <sheet name="링크슈어" sheetId="6" r:id="rId6"/>
    <sheet name="울트라미디어" sheetId="7" r:id="rId7"/>
    <sheet name="구디스튜디오" sheetId="8" r:id="rId8"/>
    <sheet name="케이툰" sheetId="9" r:id="rId9"/>
  </sheets>
  <definedNames>
    <definedName name="_xlnm._FilterDatabase" localSheetId="0" hidden="1">'합계(9)'!$A$1:$J$16</definedName>
    <definedName name="_xlnm.Extract" localSheetId="7">구디스튜디오!$A$1:$J$1</definedName>
    <definedName name="_xlnm.Extract" localSheetId="5">링크슈어!$A$1:$J$1</definedName>
    <definedName name="_xlnm.Extract" localSheetId="6">울트라미디어!$A$1:$J$1</definedName>
    <definedName name="_xlnm.Extract" localSheetId="3">진엔터테인먼트!$A$1:$J$1</definedName>
    <definedName name="_xlnm.Extract" localSheetId="4">컨텐츠헤라!$A$1:$J$1</definedName>
    <definedName name="_xlnm.Extract" localSheetId="8">케이툰!$A$1:$J$1</definedName>
    <definedName name="_xlnm.Extract" localSheetId="2">콰이칸!$A$1:$J$1</definedName>
    <definedName name="_xlnm.Extract" localSheetId="0">'합계(9)'!#REF!</definedName>
    <definedName name="_xlnm.Extract" localSheetId="1">후타바샤!$A$1:$J$1</definedName>
  </definedNames>
  <calcPr calcId="152511"/>
</workbook>
</file>

<file path=xl/calcChain.xml><?xml version="1.0" encoding="utf-8"?>
<calcChain xmlns="http://schemas.openxmlformats.org/spreadsheetml/2006/main">
  <c r="H16" i="1" l="1"/>
</calcChain>
</file>

<file path=xl/sharedStrings.xml><?xml version="1.0" encoding="utf-8"?>
<sst xmlns="http://schemas.openxmlformats.org/spreadsheetml/2006/main" count="174" uniqueCount="33">
  <si>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</si>
  <si>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</si>
  <si>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</si>
  <si>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</si>
  <si>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</si>
  <si>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</si>
  <si>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</si>
  <si>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</si>
  <si>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</si>
  <si>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감옥실험</t>
  </si>
  <si>
    <t>최애에게 들켜버렸다 [연재]</t>
  </si>
  <si>
    <t>별빛 아래 우리 [연재]</t>
  </si>
  <si>
    <t>백스테이지 키스신</t>
  </si>
  <si>
    <t>내 남편의 스토커</t>
  </si>
  <si>
    <t>피치 소르베</t>
  </si>
  <si>
    <t>커피여우 김삼월 [연재]</t>
  </si>
  <si>
    <t>악역이지만, 남주는 꼬시지 않아요 [연재]</t>
  </si>
  <si>
    <t>요괴님은 수련중 [연재]</t>
  </si>
  <si>
    <t>개천고 세계편</t>
  </si>
  <si>
    <t>폭군의 눈물</t>
  </si>
  <si>
    <t>출판사</t>
    <phoneticPr fontId="22" type="noConversion"/>
  </si>
  <si>
    <t>공주전쟁</t>
  </si>
  <si>
    <t>가출천사 육성계약</t>
  </si>
  <si>
    <t>스토리위즈</t>
  </si>
  <si>
    <t>후타바샤</t>
  </si>
  <si>
    <t>콰이칸</t>
  </si>
  <si>
    <t>진엔터테인먼트</t>
  </si>
  <si>
    <t>컨텐츠헤라</t>
  </si>
  <si>
    <t>링크슈어</t>
  </si>
  <si>
    <t>울트라미디어</t>
  </si>
  <si>
    <t>구디스튜디오</t>
  </si>
  <si>
    <t>케이툰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</si>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</sst>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666666"/>
      <name val="Segoe UI"/>
      <family val="2"/>
    </font>
    <font>
      <sz val="8"/>
      <color rgb="FF333333"/>
      <name val="Segoe UI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0" fillId="34" borderId="10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right" vertical="top" wrapText="1"/>
    </xf>
    <xf numFmtId="3" fontId="20" fillId="34" borderId="10" xfId="0" applyNumberFormat="1" applyFont="1" applyFill="1" applyBorder="1" applyAlignment="1">
      <alignment horizontal="right" vertical="top" wrapText="1"/>
    </xf>
    <xf numFmtId="0" fontId="19" fillId="34" borderId="10" xfId="0" applyFont="1" applyFill="1" applyBorder="1" applyAlignment="1">
      <alignment horizontal="center"/>
    </xf>
    <xf numFmtId="3" fontId="24" fillId="33" borderId="0" xfId="0" applyNumberFormat="1" applyFont="1" applyFill="1">
      <alignment vertical="center"/>
    </xf>
    <xf numFmtId="0" fontId="25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6"/>
  <sheetViews>
    <sheetView tabSelected="1" topLeftCell="B1" workbookViewId="0">
      <selection activeCell="B4" sqref="B4"/>
    </sheetView>
  </sheetViews>
  <sheetFormatPr defaultRowHeight="17.399999999999999" x14ac:dyDescent="0.4"/>
  <cols>
    <col min="1" max="1" width="31.69921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69921875" bestFit="1" customWidth="1"/>
    <col min="8" max="8" width="12.09765625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18" thickBot="1" x14ac:dyDescent="0.45">
      <c r="A2" s="1" t="s">
        <v>8</v>
      </c>
      <c r="B2" s="2">
        <v>18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3">
        <v>1512</v>
      </c>
      <c r="I2" s="6" t="s">
        <v>23</v>
      </c>
      <c r="J2" s="6" t="s">
        <v>24</v>
      </c>
    </row>
    <row r="3" spans="1:10" ht="18" thickBot="1" x14ac:dyDescent="0.45">
      <c r="A3" s="1" t="s">
        <v>9</v>
      </c>
      <c r="B3" s="3">
        <v>1161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3">
        <v>97524</v>
      </c>
      <c r="I3" s="6" t="s">
        <v>23</v>
      </c>
      <c r="J3" s="6" t="s">
        <v>24</v>
      </c>
    </row>
    <row r="4" spans="1:10" ht="18" thickBot="1" x14ac:dyDescent="0.45">
      <c r="A4" s="1" t="s">
        <v>10</v>
      </c>
      <c r="B4" s="2">
        <v>170</v>
      </c>
      <c r="C4" s="2">
        <v>84</v>
      </c>
      <c r="D4" s="2">
        <v>84</v>
      </c>
      <c r="E4" s="2">
        <v>0</v>
      </c>
      <c r="F4" s="2">
        <v>0</v>
      </c>
      <c r="G4" s="2">
        <v>0</v>
      </c>
      <c r="H4" s="3">
        <v>14280</v>
      </c>
      <c r="I4" s="6" t="s">
        <v>23</v>
      </c>
      <c r="J4" s="6" t="s">
        <v>25</v>
      </c>
    </row>
    <row r="5" spans="1:10" ht="18" thickBot="1" x14ac:dyDescent="0.45">
      <c r="A5" s="1" t="s">
        <v>19</v>
      </c>
      <c r="B5" s="2">
        <v>3</v>
      </c>
      <c r="C5" s="2">
        <v>84</v>
      </c>
      <c r="D5" s="2">
        <v>84</v>
      </c>
      <c r="E5" s="2">
        <v>0</v>
      </c>
      <c r="F5" s="2">
        <v>0</v>
      </c>
      <c r="G5" s="2">
        <v>0</v>
      </c>
      <c r="H5" s="2">
        <v>252</v>
      </c>
      <c r="I5" s="6" t="s">
        <v>23</v>
      </c>
      <c r="J5" s="6" t="s">
        <v>25</v>
      </c>
    </row>
    <row r="6" spans="1:10" ht="18" thickBot="1" x14ac:dyDescent="0.45">
      <c r="A6" s="1" t="s">
        <v>11</v>
      </c>
      <c r="B6" s="3">
        <v>2052</v>
      </c>
      <c r="C6" s="2">
        <v>84</v>
      </c>
      <c r="D6" s="2">
        <v>84</v>
      </c>
      <c r="E6" s="2">
        <v>0</v>
      </c>
      <c r="F6" s="2">
        <v>0</v>
      </c>
      <c r="G6" s="2">
        <v>0</v>
      </c>
      <c r="H6" s="3">
        <v>172368</v>
      </c>
      <c r="I6" s="6" t="s">
        <v>23</v>
      </c>
      <c r="J6" s="6" t="s">
        <v>25</v>
      </c>
    </row>
    <row r="7" spans="1:10" ht="18" thickBot="1" x14ac:dyDescent="0.45">
      <c r="A7" s="1" t="s">
        <v>12</v>
      </c>
      <c r="B7" s="2">
        <v>6</v>
      </c>
      <c r="C7" s="2">
        <v>50</v>
      </c>
      <c r="D7" s="2">
        <v>50</v>
      </c>
      <c r="E7" s="2">
        <v>0</v>
      </c>
      <c r="F7" s="2">
        <v>0</v>
      </c>
      <c r="G7" s="2">
        <v>0</v>
      </c>
      <c r="H7" s="2">
        <v>300</v>
      </c>
      <c r="I7" s="6" t="s">
        <v>26</v>
      </c>
      <c r="J7" s="6" t="s">
        <v>26</v>
      </c>
    </row>
    <row r="8" spans="1:10" ht="18" thickBot="1" x14ac:dyDescent="0.45">
      <c r="A8" s="1" t="s">
        <v>13</v>
      </c>
      <c r="B8" s="2">
        <v>2</v>
      </c>
      <c r="C8" s="2">
        <v>50</v>
      </c>
      <c r="D8" s="2">
        <v>50</v>
      </c>
      <c r="E8" s="2">
        <v>0</v>
      </c>
      <c r="F8" s="2">
        <v>0</v>
      </c>
      <c r="G8" s="2">
        <v>0</v>
      </c>
      <c r="H8" s="2">
        <v>100</v>
      </c>
      <c r="I8" s="6" t="s">
        <v>27</v>
      </c>
      <c r="J8" s="6" t="s">
        <v>27</v>
      </c>
    </row>
    <row r="9" spans="1:10" ht="18" thickBot="1" x14ac:dyDescent="0.45">
      <c r="A9" s="1" t="s">
        <v>21</v>
      </c>
      <c r="B9" s="2">
        <v>26</v>
      </c>
      <c r="C9" s="2">
        <v>84</v>
      </c>
      <c r="D9" s="2">
        <v>84</v>
      </c>
      <c r="E9" s="2">
        <v>0</v>
      </c>
      <c r="F9" s="2">
        <v>0</v>
      </c>
      <c r="G9" s="2">
        <v>0</v>
      </c>
      <c r="H9" s="3">
        <v>2184</v>
      </c>
      <c r="I9" s="6" t="s">
        <v>23</v>
      </c>
      <c r="J9" s="6" t="s">
        <v>28</v>
      </c>
    </row>
    <row r="10" spans="1:10" ht="18" thickBot="1" x14ac:dyDescent="0.45">
      <c r="A10" s="1" t="s">
        <v>14</v>
      </c>
      <c r="B10" s="3">
        <v>612672</v>
      </c>
      <c r="C10" s="2">
        <v>50</v>
      </c>
      <c r="D10" s="2">
        <v>50</v>
      </c>
      <c r="E10" s="2">
        <v>0</v>
      </c>
      <c r="F10" s="2">
        <v>0</v>
      </c>
      <c r="G10" s="2">
        <v>0</v>
      </c>
      <c r="H10" s="3">
        <v>30633600</v>
      </c>
      <c r="I10" s="6" t="s">
        <v>29</v>
      </c>
      <c r="J10" s="6" t="s">
        <v>29</v>
      </c>
    </row>
    <row r="11" spans="1:10" ht="18" thickBot="1" x14ac:dyDescent="0.45">
      <c r="A11" s="1" t="s">
        <v>15</v>
      </c>
      <c r="B11" s="2">
        <v>207</v>
      </c>
      <c r="C11" s="2">
        <v>50</v>
      </c>
      <c r="D11" s="2">
        <v>50</v>
      </c>
      <c r="E11" s="2">
        <v>0</v>
      </c>
      <c r="F11" s="2">
        <v>0</v>
      </c>
      <c r="G11" s="2">
        <v>0</v>
      </c>
      <c r="H11" s="3">
        <v>10350</v>
      </c>
      <c r="I11" s="6" t="s">
        <v>23</v>
      </c>
      <c r="J11" s="6" t="s">
        <v>30</v>
      </c>
    </row>
    <row r="12" spans="1:10" ht="18" thickBot="1" x14ac:dyDescent="0.45">
      <c r="A12" s="1" t="s">
        <v>16</v>
      </c>
      <c r="B12" s="2">
        <v>634</v>
      </c>
      <c r="C12" s="2">
        <v>84</v>
      </c>
      <c r="D12" s="2">
        <v>84</v>
      </c>
      <c r="E12" s="2">
        <v>0</v>
      </c>
      <c r="F12" s="2">
        <v>0</v>
      </c>
      <c r="G12" s="2">
        <v>0</v>
      </c>
      <c r="H12" s="3">
        <v>53256</v>
      </c>
      <c r="I12" s="6" t="s">
        <v>23</v>
      </c>
      <c r="J12" s="6" t="s">
        <v>28</v>
      </c>
    </row>
    <row r="13" spans="1:10" ht="18" thickBot="1" x14ac:dyDescent="0.45">
      <c r="A13" s="1" t="s">
        <v>17</v>
      </c>
      <c r="B13" s="2">
        <v>18</v>
      </c>
      <c r="C13" s="2">
        <v>84</v>
      </c>
      <c r="D13" s="2">
        <v>84</v>
      </c>
      <c r="E13" s="2">
        <v>0</v>
      </c>
      <c r="F13" s="2">
        <v>0</v>
      </c>
      <c r="G13" s="2">
        <v>0</v>
      </c>
      <c r="H13" s="3">
        <v>1512</v>
      </c>
      <c r="I13" s="6" t="s">
        <v>23</v>
      </c>
      <c r="J13" s="6" t="s">
        <v>28</v>
      </c>
    </row>
    <row r="14" spans="1:10" ht="18" thickBot="1" x14ac:dyDescent="0.45">
      <c r="A14" s="1" t="s">
        <v>22</v>
      </c>
      <c r="B14" s="2">
        <v>294</v>
      </c>
      <c r="C14" s="2">
        <v>50</v>
      </c>
      <c r="D14" s="2">
        <v>50</v>
      </c>
      <c r="E14" s="2">
        <v>0</v>
      </c>
      <c r="F14" s="2">
        <v>0</v>
      </c>
      <c r="G14" s="2">
        <v>0</v>
      </c>
      <c r="H14" s="3">
        <v>14700</v>
      </c>
      <c r="I14" s="6" t="s">
        <v>23</v>
      </c>
      <c r="J14" s="6" t="s">
        <v>30</v>
      </c>
    </row>
    <row r="15" spans="1:10" ht="18" thickBot="1" x14ac:dyDescent="0.45">
      <c r="A15" s="1" t="s">
        <v>18</v>
      </c>
      <c r="B15" s="2">
        <v>366</v>
      </c>
      <c r="C15" s="2">
        <v>50</v>
      </c>
      <c r="D15" s="2">
        <v>50</v>
      </c>
      <c r="E15" s="2">
        <v>0</v>
      </c>
      <c r="F15" s="2">
        <v>0</v>
      </c>
      <c r="G15" s="2">
        <v>0</v>
      </c>
      <c r="H15" s="3">
        <v>18300</v>
      </c>
      <c r="I15" s="6" t="s">
        <v>31</v>
      </c>
      <c r="J15" s="6" t="s">
        <v>31</v>
      </c>
    </row>
    <row r="16" spans="1:10" x14ac:dyDescent="0.4">
      <c r="H16" s="5">
        <f>SUM(H2:H15)</f>
        <v>31020238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"/>
  <sheetViews>
    <sheetView workbookViewId="0"/>
  </sheetViews>
  <sheetFormatPr defaultRowHeight="17.399999999999999" x14ac:dyDescent="0.4"/>
  <cols>
    <col min="1" max="1" width="8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9" width="7.69921875" bestFit="1" customWidth="1"/>
    <col min="10" max="10" width="7.296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34.799999999999997" thickBot="1" x14ac:dyDescent="0.45">
      <c r="A2" s="1" t="s">
        <v>8</v>
      </c>
      <c r="B2" s="2">
        <v>18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3">
        <v>1512</v>
      </c>
      <c r="I2" s="6" t="s">
        <v>23</v>
      </c>
      <c r="J2" s="6" t="s">
        <v>24</v>
      </c>
    </row>
    <row r="3" spans="1:10" ht="18" thickBot="1" x14ac:dyDescent="0.45">
      <c r="A3" s="1" t="s">
        <v>9</v>
      </c>
      <c r="B3" s="3">
        <v>1161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3">
        <v>97524</v>
      </c>
      <c r="I3" s="6" t="s">
        <v>23</v>
      </c>
      <c r="J3" s="6" t="s">
        <v>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"/>
  <sheetViews>
    <sheetView workbookViewId="0"/>
  </sheetViews>
  <sheetFormatPr defaultRowHeight="17.399999999999999" x14ac:dyDescent="0.4"/>
  <cols>
    <col min="1" max="1" width="9.0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9" width="7.69921875" bestFit="1" customWidth="1"/>
    <col min="10" max="10" width="7.296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34.799999999999997" thickBot="1" x14ac:dyDescent="0.45">
      <c r="A2" s="1" t="s">
        <v>10</v>
      </c>
      <c r="B2" s="2">
        <v>170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3">
        <v>14280</v>
      </c>
      <c r="I2" s="6" t="s">
        <v>23</v>
      </c>
      <c r="J2" s="6" t="s">
        <v>25</v>
      </c>
    </row>
    <row r="3" spans="1:10" ht="18" thickBot="1" x14ac:dyDescent="0.45">
      <c r="A3" s="1" t="s">
        <v>19</v>
      </c>
      <c r="B3" s="2">
        <v>3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2">
        <v>252</v>
      </c>
      <c r="I3" s="6" t="s">
        <v>23</v>
      </c>
      <c r="J3" s="6" t="s">
        <v>25</v>
      </c>
    </row>
    <row r="4" spans="1:10" ht="23.4" thickBot="1" x14ac:dyDescent="0.45">
      <c r="A4" s="1" t="s">
        <v>11</v>
      </c>
      <c r="B4" s="3">
        <v>2052</v>
      </c>
      <c r="C4" s="2">
        <v>84</v>
      </c>
      <c r="D4" s="2">
        <v>84</v>
      </c>
      <c r="E4" s="2">
        <v>0</v>
      </c>
      <c r="F4" s="2">
        <v>0</v>
      </c>
      <c r="G4" s="2">
        <v>0</v>
      </c>
      <c r="H4" s="3">
        <v>172368</v>
      </c>
      <c r="I4" s="6" t="s">
        <v>23</v>
      </c>
      <c r="J4" s="6" t="s">
        <v>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"/>
  <sheetViews>
    <sheetView workbookViewId="0"/>
  </sheetViews>
  <sheetFormatPr defaultRowHeight="17.399999999999999" x14ac:dyDescent="0.4"/>
  <cols>
    <col min="1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10" width="10.296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23.4" thickBot="1" x14ac:dyDescent="0.45">
      <c r="A2" s="1" t="s">
        <v>12</v>
      </c>
      <c r="B2" s="2">
        <v>6</v>
      </c>
      <c r="C2" s="2">
        <v>50</v>
      </c>
      <c r="D2" s="2">
        <v>50</v>
      </c>
      <c r="E2" s="2">
        <v>0</v>
      </c>
      <c r="F2" s="2">
        <v>0</v>
      </c>
      <c r="G2" s="2">
        <v>0</v>
      </c>
      <c r="H2" s="2">
        <v>300</v>
      </c>
      <c r="I2" s="6" t="s">
        <v>26</v>
      </c>
      <c r="J2" s="6" t="s">
        <v>26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"/>
  <sheetViews>
    <sheetView workbookViewId="0"/>
  </sheetViews>
  <sheetFormatPr defaultRowHeight="17.399999999999999" x14ac:dyDescent="0.4"/>
  <cols>
    <col min="1" max="1" width="7.5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10" width="7.69921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23.4" thickBot="1" x14ac:dyDescent="0.45">
      <c r="A2" s="1" t="s">
        <v>13</v>
      </c>
      <c r="B2" s="2">
        <v>2</v>
      </c>
      <c r="C2" s="2">
        <v>50</v>
      </c>
      <c r="D2" s="2">
        <v>50</v>
      </c>
      <c r="E2" s="2">
        <v>0</v>
      </c>
      <c r="F2" s="2">
        <v>0</v>
      </c>
      <c r="G2" s="2">
        <v>0</v>
      </c>
      <c r="H2" s="2">
        <v>100</v>
      </c>
      <c r="I2" s="6" t="s">
        <v>27</v>
      </c>
      <c r="J2" s="6" t="s">
        <v>27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4"/>
  <sheetViews>
    <sheetView workbookViewId="0"/>
  </sheetViews>
  <sheetFormatPr defaultRowHeight="17.399999999999999" x14ac:dyDescent="0.4"/>
  <cols>
    <col min="1" max="1" width="9.0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9" width="7.69921875" bestFit="1" customWidth="1"/>
    <col min="10" max="10" width="7.296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18" thickBot="1" x14ac:dyDescent="0.45">
      <c r="A2" s="1" t="s">
        <v>21</v>
      </c>
      <c r="B2" s="2">
        <v>26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3">
        <v>2184</v>
      </c>
      <c r="I2" s="6" t="s">
        <v>23</v>
      </c>
      <c r="J2" s="6" t="s">
        <v>28</v>
      </c>
    </row>
    <row r="3" spans="1:10" ht="46.2" thickBot="1" x14ac:dyDescent="0.45">
      <c r="A3" s="1" t="s">
        <v>16</v>
      </c>
      <c r="B3" s="2">
        <v>634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3">
        <v>53256</v>
      </c>
      <c r="I3" s="6" t="s">
        <v>23</v>
      </c>
      <c r="J3" s="6" t="s">
        <v>28</v>
      </c>
    </row>
    <row r="4" spans="1:10" ht="23.4" thickBot="1" x14ac:dyDescent="0.45">
      <c r="A4" s="1" t="s">
        <v>17</v>
      </c>
      <c r="B4" s="2">
        <v>18</v>
      </c>
      <c r="C4" s="2">
        <v>84</v>
      </c>
      <c r="D4" s="2">
        <v>84</v>
      </c>
      <c r="E4" s="2">
        <v>0</v>
      </c>
      <c r="F4" s="2">
        <v>0</v>
      </c>
      <c r="G4" s="2">
        <v>0</v>
      </c>
      <c r="H4" s="3">
        <v>1512</v>
      </c>
      <c r="I4" s="6" t="s">
        <v>23</v>
      </c>
      <c r="J4" s="6" t="s">
        <v>28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cols>
    <col min="1" max="1" width="9.0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7.3984375" bestFit="1" customWidth="1"/>
    <col min="9" max="10" width="9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18" thickBot="1" x14ac:dyDescent="0.45">
      <c r="A2" s="1" t="s">
        <v>14</v>
      </c>
      <c r="B2" s="3">
        <v>612672</v>
      </c>
      <c r="C2" s="2">
        <v>50</v>
      </c>
      <c r="D2" s="2">
        <v>50</v>
      </c>
      <c r="E2" s="2">
        <v>0</v>
      </c>
      <c r="F2" s="2">
        <v>0</v>
      </c>
      <c r="G2" s="2">
        <v>0</v>
      </c>
      <c r="H2" s="3">
        <v>30633600</v>
      </c>
      <c r="I2" s="6" t="s">
        <v>29</v>
      </c>
      <c r="J2" s="6" t="s">
        <v>29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3"/>
  <sheetViews>
    <sheetView workbookViewId="0"/>
  </sheetViews>
  <sheetFormatPr defaultRowHeight="17.399999999999999" x14ac:dyDescent="0.4"/>
  <cols>
    <col min="1" max="1" width="9.0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9" width="7.69921875" bestFit="1" customWidth="1"/>
    <col min="10" max="10" width="9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23.4" thickBot="1" x14ac:dyDescent="0.45">
      <c r="A2" s="1" t="s">
        <v>15</v>
      </c>
      <c r="B2" s="2">
        <v>207</v>
      </c>
      <c r="C2" s="2">
        <v>50</v>
      </c>
      <c r="D2" s="2">
        <v>50</v>
      </c>
      <c r="E2" s="2">
        <v>0</v>
      </c>
      <c r="F2" s="2">
        <v>0</v>
      </c>
      <c r="G2" s="2">
        <v>0</v>
      </c>
      <c r="H2" s="3">
        <v>10350</v>
      </c>
      <c r="I2" s="6" t="s">
        <v>23</v>
      </c>
      <c r="J2" s="6" t="s">
        <v>30</v>
      </c>
    </row>
    <row r="3" spans="1:10" ht="23.4" thickBot="1" x14ac:dyDescent="0.45">
      <c r="A3" s="1" t="s">
        <v>22</v>
      </c>
      <c r="B3" s="2">
        <v>294</v>
      </c>
      <c r="C3" s="2">
        <v>50</v>
      </c>
      <c r="D3" s="2">
        <v>50</v>
      </c>
      <c r="E3" s="2">
        <v>0</v>
      </c>
      <c r="F3" s="2">
        <v>0</v>
      </c>
      <c r="G3" s="2">
        <v>0</v>
      </c>
      <c r="H3" s="3">
        <v>14700</v>
      </c>
      <c r="I3" s="6" t="s">
        <v>23</v>
      </c>
      <c r="J3" s="6" t="s">
        <v>30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"/>
  <sheetViews>
    <sheetView workbookViewId="0"/>
  </sheetViews>
  <sheetFormatPr defaultRowHeight="17.399999999999999" x14ac:dyDescent="0.4"/>
  <cols>
    <col min="1" max="1" width="7.59765625" bestFit="1" customWidth="1"/>
    <col min="2" max="2" width="8.69921875" bestFit="1" customWidth="1"/>
    <col min="3" max="3" width="13.09765625" bestFit="1" customWidth="1"/>
    <col min="4" max="4" width="14.3984375" bestFit="1" customWidth="1"/>
    <col min="5" max="5" width="6" bestFit="1" customWidth="1"/>
    <col min="6" max="6" width="3.19921875" bestFit="1" customWidth="1"/>
    <col min="7" max="7" width="6" bestFit="1" customWidth="1"/>
    <col min="8" max="8" width="6.296875" bestFit="1" customWidth="1"/>
    <col min="9" max="9" width="5.09765625" bestFit="1" customWidth="1"/>
    <col min="10" max="10" width="7.296875" bestFit="1" customWidth="1"/>
  </cols>
  <sheetData>
    <row r="1" spans="1:10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</v>
      </c>
      <c r="J1" s="4" t="s">
        <v>32</v>
      </c>
    </row>
    <row r="2" spans="1:10" ht="23.4" thickBot="1" x14ac:dyDescent="0.45">
      <c r="A2" s="1" t="s">
        <v>18</v>
      </c>
      <c r="B2" s="2">
        <v>366</v>
      </c>
      <c r="C2" s="2">
        <v>50</v>
      </c>
      <c r="D2" s="2">
        <v>50</v>
      </c>
      <c r="E2" s="2">
        <v>0</v>
      </c>
      <c r="F2" s="2">
        <v>0</v>
      </c>
      <c r="G2" s="2">
        <v>0</v>
      </c>
      <c r="H2" s="3">
        <v>18300</v>
      </c>
      <c r="I2" s="6" t="s">
        <v>31</v>
      </c>
      <c r="J2" s="6" t="s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8</vt:i4>
      </vt:variant>
    </vt:vector>
  </HeadingPairs>
  <TitlesOfParts>
    <vt:vector size="17" baseType="lpstr">
      <vt:lpstr>합계(9)</vt:lpstr>
      <vt:lpstr>후타바샤</vt:lpstr>
      <vt:lpstr>콰이칸</vt:lpstr>
      <vt:lpstr>진엔터테인먼트</vt:lpstr>
      <vt:lpstr>컨텐츠헤라</vt:lpstr>
      <vt:lpstr>링크슈어</vt:lpstr>
      <vt:lpstr>울트라미디어</vt:lpstr>
      <vt:lpstr>구디스튜디오</vt:lpstr>
      <vt:lpstr>케이툰</vt:lpstr>
      <vt:lpstr>구디스튜디오!Extract</vt:lpstr>
      <vt:lpstr>링크슈어!Extract</vt:lpstr>
      <vt:lpstr>울트라미디어!Extract</vt:lpstr>
      <vt:lpstr>진엔터테인먼트!Extract</vt:lpstr>
      <vt:lpstr>컨텐츠헤라!Extract</vt:lpstr>
      <vt:lpstr>케이툰!Extract</vt:lpstr>
      <vt:lpstr>콰이칸!Extract</vt:lpstr>
      <vt:lpstr>후타바샤!Extract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2022-10-07T01:21:06Z</dcterms:modified>
</cp:coreProperties>
</file>