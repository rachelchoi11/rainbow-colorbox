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네이버\"/>
    </mc:Choice>
  </mc:AlternateContent>
  <bookViews>
    <workbookView xWindow="0" yWindow="0" windowWidth="23040" windowHeight="8952" tabRatio="766"/>
  </bookViews>
  <sheets>
    <sheet name="합계(9)" sheetId="412" r:id="rId1"/>
  </sheets>
  <definedNames>
    <definedName name="_xlnm._FilterDatabase" localSheetId="0" hidden="1">'합계(9)'!$A$1:$AM$1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BO63" i="412" l="1"/>
  <c r="BN53" i="412"/>
  <c r="BO53" i="412"/>
  <c r="BN54" i="412"/>
  <c r="BO54" i="412" s="1"/>
  <c r="BN55" i="412"/>
  <c r="BO55" i="412"/>
  <c r="BN56" i="412"/>
  <c r="BO56" i="412" s="1"/>
  <c r="BN57" i="412"/>
  <c r="BO57" i="412"/>
  <c r="BN58" i="412"/>
  <c r="BO58" i="412" s="1"/>
  <c r="BN59" i="412"/>
  <c r="BO59" i="412"/>
  <c r="BN60" i="412"/>
  <c r="BO60" i="412" s="1"/>
  <c r="BN61" i="412"/>
  <c r="BO61" i="412"/>
  <c r="BN62" i="412"/>
  <c r="BO62" i="412" s="1"/>
  <c r="BN41" i="412" l="1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33" i="412" l="1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28" i="412" l="1"/>
  <c r="BO28" i="412" s="1"/>
  <c r="BN29" i="412"/>
  <c r="BO29" i="412" s="1"/>
  <c r="BN30" i="412"/>
  <c r="BO30" i="412" s="1"/>
  <c r="BN31" i="412"/>
  <c r="BO31" i="412" s="1"/>
  <c r="BN32" i="412"/>
  <c r="BO32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" i="412"/>
  <c r="BO2" i="412" s="1"/>
  <c r="BN3" i="412"/>
  <c r="BO3" i="412" s="1"/>
</calcChain>
</file>

<file path=xl/comments1.xml><?xml version="1.0" encoding="utf-8"?>
<comments xmlns="http://schemas.openxmlformats.org/spreadsheetml/2006/main">
  <authors>
    <author>storywiz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</t>
        </r>
        <r>
          <rPr>
            <b/>
            <sz val="9"/>
            <color indexed="81"/>
            <rFont val="돋움"/>
            <family val="3"/>
            <charset val="129"/>
          </rPr>
          <t>스토어</t>
        </r>
        <r>
          <rPr>
            <b/>
            <sz val="9"/>
            <color indexed="81"/>
            <rFont val="Tahoma"/>
            <family val="2"/>
          </rPr>
          <t>(PC)
PC</t>
        </r>
        <r>
          <rPr>
            <b/>
            <sz val="9"/>
            <color indexed="81"/>
            <rFont val="돋움"/>
            <family val="3"/>
            <charset val="129"/>
          </rPr>
          <t>뷰어</t>
        </r>
        <r>
          <rPr>
            <b/>
            <sz val="9"/>
            <color indexed="81"/>
            <rFont val="Tahoma"/>
            <family val="2"/>
          </rPr>
          <t>(PC)
N</t>
        </r>
        <r>
          <rPr>
            <b/>
            <sz val="9"/>
            <color indexed="81"/>
            <rFont val="돋움"/>
            <family val="3"/>
            <charset val="129"/>
          </rPr>
          <t>스토어</t>
        </r>
        <r>
          <rPr>
            <b/>
            <sz val="9"/>
            <color indexed="81"/>
            <rFont val="Tahoma"/>
            <family val="2"/>
          </rPr>
          <t>(MW)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<sst xmlns="http://schemas.openxmlformats.org/spreadsheetml/2006/main" count="496" uniqueCount="152">
  <si>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</si>
  <si>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</si>
  <si>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</si>
  <si>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</si>
  <si>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</si>
  <si>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</si>
  <si>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</si>
  <si>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</si>
  <si>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</si>
  <si>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</si>
  <si>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</si>
  <si>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</si>
  <si>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</si>
  <si>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</si>
  <si>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</si>
  <si>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</si>
  <si>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</si>
  <si>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</si>
  <si>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</si>
  <si>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</si>
  <si>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</si>
  <si>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주식회사 스토리위즈</t>
  </si>
  <si>
    <t>21세기 대마법사 [단행본]</t>
  </si>
  <si>
    <t>2014.07.24</t>
  </si>
  <si>
    <t>하프블러드 [단행본]</t>
  </si>
  <si>
    <t>2014.10.21</t>
  </si>
  <si>
    <t>마왕 데이몬 [단행본]</t>
  </si>
  <si>
    <t>데이몬 [단행본]</t>
  </si>
  <si>
    <t>2014.10.20</t>
  </si>
  <si>
    <t>블레이드헌터 [단행본]</t>
  </si>
  <si>
    <t>전혁</t>
  </si>
  <si>
    <t>2015.05.27</t>
  </si>
  <si>
    <t>스피릿 소드</t>
  </si>
  <si>
    <t>2016.07.06</t>
  </si>
  <si>
    <t>스트라이커</t>
  </si>
  <si>
    <t>독고진</t>
  </si>
  <si>
    <t>2016.05.25</t>
  </si>
  <si>
    <t>신궁전설 [단행본]</t>
  </si>
  <si>
    <t>2015.05.28</t>
  </si>
  <si>
    <t>2017.08.22</t>
  </si>
  <si>
    <t>2020.08.07</t>
  </si>
  <si>
    <t>두경</t>
  </si>
  <si>
    <t>천조를 가진 남자 [단행본]</t>
  </si>
  <si>
    <t>절륜공자 [단행본]</t>
  </si>
  <si>
    <t>합계</t>
  </si>
  <si>
    <t>순매출(합계-수수료)</t>
    <phoneticPr fontId="20" type="noConversion"/>
  </si>
  <si>
    <t>2021.08.12</t>
  </si>
  <si>
    <t>SW 매출</t>
    <phoneticPr fontId="20" type="noConversion"/>
  </si>
  <si>
    <t>앱마켓수수료</t>
  </si>
  <si>
    <t>칼 [단행본]</t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</si>
  <si>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</si>
  <si>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</si>
  <si>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</si>
  <si>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</si>
  <si>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</si>
  <si>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</si>
  <si>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</si>
  <si>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</si>
  <si>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</si>
  <si>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</si>
  <si>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</si>
  <si>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</si>
  <si>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</si>
  <si>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</si>
  <si>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</si>
  <si>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</si>
  <si>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</si>
  <si>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</si>
  <si>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</si>
  <si>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</si>
  <si>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</si>
  <si>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</si>
  <si>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</si>
  <si>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</si>
  <si>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</si>
  <si>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</si>
  <si>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</si>
  <si>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</si>
  <si>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</si>
  <si>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</si>
  <si>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</si>
  <si>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</si>
  <si>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</si>
  <si>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</si>
  <si>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</si>
  <si>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</si>
  <si>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</si>
  <si>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</si>
  <si>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</si>
  <si>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</si>
  <si>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</si>
  <si>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</si>
  <si>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</si>
  <si>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</si>
  <si>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</si>
  <si>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</si>
  <si>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</si>
  <si>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</si>
  <si>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</si>
  <si>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</si>
  <si>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</si>
  <si>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</si>
  <si>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</si>
  <si>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</si>
  <si>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</si>
  <si>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</si>
  <si>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N스토어(PC)</t>
  </si>
  <si>
    <t>PC뷰어(PC)</t>
  </si>
  <si>
    <t>N스토어(MW)</t>
  </si>
  <si>
    <t>검산도해</t>
  </si>
  <si>
    <t>2020.04.28</t>
  </si>
  <si>
    <t>2020.09.11</t>
  </si>
  <si>
    <t>용중신권</t>
  </si>
  <si>
    <t>철중쟁쟁 [단행본]</t>
  </si>
  <si>
    <t>2016.03.17</t>
  </si>
  <si>
    <t>스트라이커 [완전판] [단행본]</t>
  </si>
  <si>
    <t>2016.11.29</t>
  </si>
  <si>
    <t>게이트 헌터 [완전판] [단행본]</t>
  </si>
  <si>
    <t>2017.04.26</t>
  </si>
  <si>
    <t>천조를 가진 남자</t>
  </si>
  <si>
    <t>2017.11.15</t>
  </si>
  <si>
    <t>소드엠페러</t>
  </si>
  <si>
    <t>2020.12.18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</si>
  <si>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</si>
  <si>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</si>
  <si>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수적왕 [단행본]</t>
  </si>
  <si>
    <t>2016.03.15</t>
  </si>
  <si>
    <t>아나크레온 [단행본]</t>
  </si>
  <si>
    <t>2014.11.18</t>
  </si>
  <si>
    <t>스피릿 소드 [단행본]</t>
  </si>
  <si>
    <t>2017.03.23</t>
  </si>
  <si>
    <t>독종무쌍 [단행본]</t>
  </si>
  <si>
    <t>2015.04.17</t>
  </si>
  <si>
    <t>컨텐츠 헤라</t>
  </si>
  <si>
    <t>컨텐츠헤라</t>
  </si>
  <si>
    <t>데이몬</t>
  </si>
  <si>
    <t>2020.10.27</t>
  </si>
  <si>
    <t>아나크레온</t>
  </si>
  <si>
    <t>2014.10.29</t>
  </si>
  <si>
    <t>월풍 [단행본]</t>
  </si>
  <si>
    <t>화산지애 [단행본]</t>
  </si>
  <si>
    <t>2015.03.05</t>
  </si>
  <si>
    <t>파계 [단행본]</t>
  </si>
  <si>
    <t>2016.06.10</t>
  </si>
  <si>
    <t>마스터 K [단행본]</t>
  </si>
  <si>
    <t>2014.07.02</t>
  </si>
  <si>
    <t>신을 죽이러 갑니다</t>
  </si>
  <si>
    <t>2018.08.24</t>
  </si>
  <si>
    <t>하프블러드</t>
  </si>
  <si>
    <t>독종무쌍</t>
  </si>
  <si>
    <t>2020.09.16</t>
  </si>
  <si>
    <t>절대비만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</si>
</sst>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7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41" fontId="27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Q63"/>
  <sheetViews>
    <sheetView tabSelected="1" topLeftCell="BE42" zoomScaleNormal="100" workbookViewId="0">
      <selection activeCell="BO51" sqref="BO51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2" customWidth="1"/>
  </cols>
  <sheetData>
    <row r="1" spans="1:69" ht="27" customHeight="1" x14ac:dyDescent="0.4">
      <c r="A1" s="2" t="s">
        <v>50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51</v>
      </c>
      <c r="I1" s="13" t="s">
        <v>6</v>
      </c>
      <c r="J1" s="11" t="s">
        <v>52</v>
      </c>
      <c r="K1" s="11" t="s">
        <v>53</v>
      </c>
      <c r="L1" s="11" t="s">
        <v>54</v>
      </c>
      <c r="M1" s="11" t="s">
        <v>55</v>
      </c>
      <c r="N1" s="11" t="s">
        <v>56</v>
      </c>
      <c r="O1" s="11" t="s">
        <v>57</v>
      </c>
      <c r="P1" s="11" t="s">
        <v>58</v>
      </c>
      <c r="Q1" s="11" t="s">
        <v>59</v>
      </c>
      <c r="R1" s="11" t="s">
        <v>60</v>
      </c>
      <c r="S1" s="11" t="s">
        <v>61</v>
      </c>
      <c r="T1" s="11" t="s">
        <v>62</v>
      </c>
      <c r="U1" s="11" t="s">
        <v>63</v>
      </c>
      <c r="V1" s="11" t="s">
        <v>64</v>
      </c>
      <c r="W1" s="11" t="s">
        <v>65</v>
      </c>
      <c r="X1" s="11" t="s">
        <v>66</v>
      </c>
      <c r="Y1" s="11" t="s">
        <v>67</v>
      </c>
      <c r="Z1" s="11" t="s">
        <v>68</v>
      </c>
      <c r="AA1" s="11" t="s">
        <v>69</v>
      </c>
      <c r="AB1" s="11" t="s">
        <v>70</v>
      </c>
      <c r="AC1" s="11" t="s">
        <v>71</v>
      </c>
      <c r="AD1" s="11" t="s">
        <v>72</v>
      </c>
      <c r="AE1" s="11" t="s">
        <v>73</v>
      </c>
      <c r="AF1" s="11" t="s">
        <v>74</v>
      </c>
      <c r="AG1" s="11" t="s">
        <v>75</v>
      </c>
      <c r="AH1" s="11" t="s">
        <v>76</v>
      </c>
      <c r="AI1" s="11" t="s">
        <v>77</v>
      </c>
      <c r="AJ1" s="11" t="s">
        <v>78</v>
      </c>
      <c r="AK1" s="11" t="s">
        <v>79</v>
      </c>
      <c r="AL1" s="11" t="s">
        <v>80</v>
      </c>
      <c r="AM1" s="11" t="s">
        <v>81</v>
      </c>
      <c r="AN1" s="11" t="s">
        <v>82</v>
      </c>
      <c r="AO1" s="11" t="s">
        <v>83</v>
      </c>
      <c r="AP1" s="11" t="s">
        <v>84</v>
      </c>
      <c r="AQ1" s="11" t="s">
        <v>85</v>
      </c>
      <c r="AR1" s="11" t="s">
        <v>86</v>
      </c>
      <c r="AS1" s="11" t="s">
        <v>87</v>
      </c>
      <c r="AT1" s="11" t="s">
        <v>88</v>
      </c>
      <c r="AU1" s="11" t="s">
        <v>89</v>
      </c>
      <c r="AV1" s="11" t="s">
        <v>90</v>
      </c>
      <c r="AW1" s="11" t="s">
        <v>91</v>
      </c>
      <c r="AX1" s="11" t="s">
        <v>92</v>
      </c>
      <c r="AY1" s="11" t="s">
        <v>93</v>
      </c>
      <c r="AZ1" s="11" t="s">
        <v>94</v>
      </c>
      <c r="BA1" s="11" t="s">
        <v>95</v>
      </c>
      <c r="BB1" s="11" t="s">
        <v>96</v>
      </c>
      <c r="BC1" s="11" t="s">
        <v>97</v>
      </c>
      <c r="BD1" s="11" t="s">
        <v>98</v>
      </c>
      <c r="BE1" s="11" t="s">
        <v>99</v>
      </c>
      <c r="BF1" s="11" t="s">
        <v>100</v>
      </c>
      <c r="BG1" s="11" t="s">
        <v>101</v>
      </c>
      <c r="BH1" s="11" t="s">
        <v>102</v>
      </c>
      <c r="BI1" s="11" t="s">
        <v>103</v>
      </c>
      <c r="BJ1" s="11" t="s">
        <v>104</v>
      </c>
      <c r="BK1" s="11" t="s">
        <v>105</v>
      </c>
      <c r="BL1" s="11" t="s">
        <v>48</v>
      </c>
      <c r="BM1" s="11" t="s">
        <v>44</v>
      </c>
      <c r="BN1" s="11" t="s">
        <v>45</v>
      </c>
      <c r="BO1" s="11" t="s">
        <v>47</v>
      </c>
      <c r="BP1" s="11" t="s">
        <v>123</v>
      </c>
      <c r="BQ1" s="11" t="s">
        <v>124</v>
      </c>
    </row>
    <row r="2" spans="1:69" x14ac:dyDescent="0.4">
      <c r="A2" s="5" t="s">
        <v>106</v>
      </c>
      <c r="B2" s="5" t="s">
        <v>15</v>
      </c>
      <c r="C2" s="5">
        <v>159260</v>
      </c>
      <c r="D2" s="6"/>
      <c r="E2" s="5" t="s">
        <v>11</v>
      </c>
      <c r="F2" s="5" t="s">
        <v>16</v>
      </c>
      <c r="G2" s="5" t="s">
        <v>11</v>
      </c>
      <c r="H2" s="7" t="s">
        <v>7</v>
      </c>
      <c r="I2" s="7" t="s">
        <v>17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7</v>
      </c>
      <c r="AC2" s="8">
        <v>6200</v>
      </c>
      <c r="AD2" s="7">
        <v>100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3</v>
      </c>
      <c r="AO2" s="8">
        <v>2700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9">
        <v>9000</v>
      </c>
      <c r="BN2" s="14">
        <f t="shared" ref="BN2:BN3" si="0">BM2-BL2</f>
        <v>9000</v>
      </c>
      <c r="BO2" s="15">
        <f t="shared" ref="BO2:BO3" si="1">BN2*70%</f>
        <v>6300</v>
      </c>
    </row>
    <row r="3" spans="1:69" x14ac:dyDescent="0.4">
      <c r="A3" s="5" t="s">
        <v>106</v>
      </c>
      <c r="B3" s="5" t="s">
        <v>20</v>
      </c>
      <c r="C3" s="5">
        <v>159270</v>
      </c>
      <c r="D3" s="6"/>
      <c r="E3" s="5" t="s">
        <v>11</v>
      </c>
      <c r="F3" s="5" t="s">
        <v>16</v>
      </c>
      <c r="G3" s="5" t="s">
        <v>11</v>
      </c>
      <c r="H3" s="7" t="s">
        <v>10</v>
      </c>
      <c r="I3" s="7" t="s">
        <v>19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5</v>
      </c>
      <c r="AC3" s="8">
        <v>4500</v>
      </c>
      <c r="AD3" s="7">
        <v>0</v>
      </c>
      <c r="AE3" s="7">
        <v>0</v>
      </c>
      <c r="AF3" s="7">
        <v>0</v>
      </c>
      <c r="AG3" s="7">
        <v>0</v>
      </c>
      <c r="AH3" s="7">
        <v>1</v>
      </c>
      <c r="AI3" s="8">
        <v>1080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3</v>
      </c>
      <c r="BA3" s="8">
        <v>3240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518.4</v>
      </c>
      <c r="BM3" s="9">
        <v>8820</v>
      </c>
      <c r="BN3" s="14">
        <f t="shared" si="0"/>
        <v>8301.6</v>
      </c>
      <c r="BO3" s="15">
        <f t="shared" si="1"/>
        <v>5811.12</v>
      </c>
    </row>
    <row r="4" spans="1:69" x14ac:dyDescent="0.4">
      <c r="A4" s="5" t="s">
        <v>106</v>
      </c>
      <c r="B4" s="5" t="s">
        <v>14</v>
      </c>
      <c r="C4" s="5">
        <v>355332</v>
      </c>
      <c r="D4" s="6"/>
      <c r="E4" s="5" t="s">
        <v>11</v>
      </c>
      <c r="F4" s="5" t="s">
        <v>13</v>
      </c>
      <c r="G4" s="5" t="s">
        <v>11</v>
      </c>
      <c r="H4" s="7" t="s">
        <v>8</v>
      </c>
      <c r="I4" s="7" t="s">
        <v>46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44</v>
      </c>
      <c r="AF4" s="8">
        <v>2120</v>
      </c>
      <c r="AG4" s="8">
        <v>2300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1</v>
      </c>
      <c r="AR4" s="7">
        <v>100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9</v>
      </c>
      <c r="BD4" s="8">
        <v>1080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64.8</v>
      </c>
      <c r="BM4" s="9">
        <v>5600</v>
      </c>
      <c r="BN4" s="14">
        <f t="shared" ref="BN4:BN27" si="2">BM4-BL4</f>
        <v>5535.2</v>
      </c>
      <c r="BO4" s="15">
        <f t="shared" ref="BO4:BO27" si="3">BN4*70%</f>
        <v>3874.6399999999994</v>
      </c>
    </row>
    <row r="5" spans="1:69" x14ac:dyDescent="0.4">
      <c r="A5" s="5" t="s">
        <v>106</v>
      </c>
      <c r="B5" s="5" t="s">
        <v>26</v>
      </c>
      <c r="C5" s="5">
        <v>159258</v>
      </c>
      <c r="D5" s="6"/>
      <c r="E5" s="5" t="s">
        <v>11</v>
      </c>
      <c r="F5" s="5" t="s">
        <v>16</v>
      </c>
      <c r="G5" s="5" t="s">
        <v>11</v>
      </c>
      <c r="H5" s="7" t="s">
        <v>7</v>
      </c>
      <c r="I5" s="7" t="s">
        <v>25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2</v>
      </c>
      <c r="AC5" s="8">
        <v>1800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3</v>
      </c>
      <c r="AO5" s="8">
        <v>2700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9">
        <v>4500</v>
      </c>
      <c r="BN5" s="14">
        <f t="shared" si="2"/>
        <v>4500</v>
      </c>
      <c r="BO5" s="15">
        <f t="shared" si="3"/>
        <v>3150</v>
      </c>
    </row>
    <row r="6" spans="1:69" x14ac:dyDescent="0.4">
      <c r="A6" s="5" t="s">
        <v>106</v>
      </c>
      <c r="B6" s="5" t="s">
        <v>125</v>
      </c>
      <c r="C6" s="5">
        <v>229599</v>
      </c>
      <c r="D6" s="6"/>
      <c r="E6" s="5" t="s">
        <v>11</v>
      </c>
      <c r="F6" s="5" t="s">
        <v>12</v>
      </c>
      <c r="G6" s="5" t="s">
        <v>11</v>
      </c>
      <c r="H6" s="7" t="s">
        <v>7</v>
      </c>
      <c r="I6" s="7" t="s">
        <v>126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4</v>
      </c>
      <c r="AC6" s="8">
        <v>3600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9">
        <v>3600</v>
      </c>
      <c r="BN6" s="14">
        <f t="shared" si="2"/>
        <v>3600</v>
      </c>
      <c r="BO6" s="15">
        <f t="shared" si="3"/>
        <v>2520</v>
      </c>
    </row>
    <row r="7" spans="1:69" ht="19.2" x14ac:dyDescent="0.4">
      <c r="A7" s="5" t="s">
        <v>106</v>
      </c>
      <c r="B7" s="5" t="s">
        <v>43</v>
      </c>
      <c r="C7" s="5">
        <v>406370</v>
      </c>
      <c r="D7" s="6"/>
      <c r="E7" s="5" t="s">
        <v>11</v>
      </c>
      <c r="F7" s="5" t="s">
        <v>30</v>
      </c>
      <c r="G7" s="5" t="s">
        <v>21</v>
      </c>
      <c r="H7" s="7" t="s">
        <v>8</v>
      </c>
      <c r="I7" s="7" t="s">
        <v>40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4</v>
      </c>
      <c r="AC7" s="8">
        <v>3600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9">
        <v>3600</v>
      </c>
      <c r="BN7" s="14">
        <f t="shared" si="2"/>
        <v>3600</v>
      </c>
      <c r="BO7" s="15">
        <f t="shared" si="3"/>
        <v>2520</v>
      </c>
    </row>
    <row r="8" spans="1:69" x14ac:dyDescent="0.4">
      <c r="A8" s="5" t="s">
        <v>106</v>
      </c>
      <c r="B8" s="5" t="s">
        <v>127</v>
      </c>
      <c r="C8" s="5">
        <v>173863</v>
      </c>
      <c r="D8" s="6"/>
      <c r="E8" s="5" t="s">
        <v>11</v>
      </c>
      <c r="F8" s="5" t="s">
        <v>16</v>
      </c>
      <c r="G8" s="5" t="s">
        <v>11</v>
      </c>
      <c r="H8" s="7" t="s">
        <v>7</v>
      </c>
      <c r="I8" s="7" t="s">
        <v>128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1</v>
      </c>
      <c r="AR8" s="8">
        <v>3200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9">
        <v>3200</v>
      </c>
      <c r="BN8" s="14">
        <f t="shared" si="2"/>
        <v>3200</v>
      </c>
      <c r="BO8" s="15">
        <f t="shared" si="3"/>
        <v>2240</v>
      </c>
    </row>
    <row r="9" spans="1:69" x14ac:dyDescent="0.4">
      <c r="A9" s="5" t="s">
        <v>106</v>
      </c>
      <c r="B9" s="5" t="s">
        <v>22</v>
      </c>
      <c r="C9" s="5">
        <v>161447</v>
      </c>
      <c r="D9" s="6"/>
      <c r="E9" s="5" t="s">
        <v>11</v>
      </c>
      <c r="F9" s="5" t="s">
        <v>13</v>
      </c>
      <c r="G9" s="5" t="s">
        <v>11</v>
      </c>
      <c r="H9" s="7" t="s">
        <v>7</v>
      </c>
      <c r="I9" s="7" t="s">
        <v>23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3</v>
      </c>
      <c r="AO9" s="8">
        <v>2700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9">
        <v>2700</v>
      </c>
      <c r="BN9" s="14">
        <f t="shared" si="2"/>
        <v>2700</v>
      </c>
      <c r="BO9" s="15">
        <f t="shared" si="3"/>
        <v>1889.9999999999998</v>
      </c>
    </row>
    <row r="10" spans="1:69" x14ac:dyDescent="0.4">
      <c r="A10" s="5" t="s">
        <v>106</v>
      </c>
      <c r="B10" s="5" t="s">
        <v>37</v>
      </c>
      <c r="C10" s="5">
        <v>192729</v>
      </c>
      <c r="D10" s="6"/>
      <c r="E10" s="5" t="s">
        <v>11</v>
      </c>
      <c r="F10" s="5" t="s">
        <v>30</v>
      </c>
      <c r="G10" s="5" t="s">
        <v>11</v>
      </c>
      <c r="H10" s="7" t="s">
        <v>7</v>
      </c>
      <c r="I10" s="7" t="s">
        <v>38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3</v>
      </c>
      <c r="AC10" s="8">
        <v>2700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9">
        <v>2700</v>
      </c>
      <c r="BN10" s="14">
        <f t="shared" si="2"/>
        <v>2700</v>
      </c>
      <c r="BO10" s="15">
        <f t="shared" si="3"/>
        <v>1889.9999999999998</v>
      </c>
    </row>
    <row r="11" spans="1:69" x14ac:dyDescent="0.4">
      <c r="A11" s="5" t="s">
        <v>106</v>
      </c>
      <c r="B11" s="5" t="s">
        <v>129</v>
      </c>
      <c r="C11" s="5">
        <v>268655</v>
      </c>
      <c r="D11" s="6"/>
      <c r="E11" s="5" t="s">
        <v>11</v>
      </c>
      <c r="F11" s="5" t="s">
        <v>16</v>
      </c>
      <c r="G11" s="5" t="s">
        <v>11</v>
      </c>
      <c r="H11" s="7" t="s">
        <v>7</v>
      </c>
      <c r="I11" s="7" t="s">
        <v>130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2</v>
      </c>
      <c r="AC11" s="8">
        <v>1800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9">
        <v>1800</v>
      </c>
      <c r="BN11" s="14">
        <f t="shared" si="2"/>
        <v>1800</v>
      </c>
      <c r="BO11" s="15">
        <f t="shared" si="3"/>
        <v>1260</v>
      </c>
    </row>
    <row r="12" spans="1:69" x14ac:dyDescent="0.4">
      <c r="A12" s="5" t="s">
        <v>106</v>
      </c>
      <c r="B12" s="5" t="s">
        <v>115</v>
      </c>
      <c r="C12" s="5">
        <v>258201</v>
      </c>
      <c r="D12" s="6"/>
      <c r="E12" s="5" t="s">
        <v>11</v>
      </c>
      <c r="F12" s="5" t="s">
        <v>35</v>
      </c>
      <c r="G12" s="5" t="s">
        <v>11</v>
      </c>
      <c r="H12" s="7" t="s">
        <v>7</v>
      </c>
      <c r="I12" s="7" t="s">
        <v>116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</v>
      </c>
      <c r="AC12" s="7">
        <v>900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1</v>
      </c>
      <c r="AO12" s="7">
        <v>900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9">
        <v>1800</v>
      </c>
      <c r="BN12" s="14">
        <f t="shared" si="2"/>
        <v>1800</v>
      </c>
      <c r="BO12" s="15">
        <f t="shared" si="3"/>
        <v>1260</v>
      </c>
    </row>
    <row r="13" spans="1:69" x14ac:dyDescent="0.4">
      <c r="A13" s="5" t="s">
        <v>106</v>
      </c>
      <c r="B13" s="5" t="s">
        <v>29</v>
      </c>
      <c r="C13" s="5">
        <v>159266</v>
      </c>
      <c r="D13" s="6"/>
      <c r="E13" s="5" t="s">
        <v>11</v>
      </c>
      <c r="F13" s="5" t="s">
        <v>16</v>
      </c>
      <c r="G13" s="5" t="s">
        <v>11</v>
      </c>
      <c r="H13" s="7" t="s">
        <v>7</v>
      </c>
      <c r="I13" s="7" t="s">
        <v>25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2</v>
      </c>
      <c r="AC13" s="8">
        <v>1800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9">
        <v>1800</v>
      </c>
      <c r="BN13" s="14">
        <f t="shared" si="2"/>
        <v>1800</v>
      </c>
      <c r="BO13" s="15">
        <f t="shared" si="3"/>
        <v>1260</v>
      </c>
    </row>
    <row r="14" spans="1:69" x14ac:dyDescent="0.4">
      <c r="A14" s="5" t="s">
        <v>106</v>
      </c>
      <c r="B14" s="5" t="s">
        <v>113</v>
      </c>
      <c r="C14" s="5">
        <v>229857</v>
      </c>
      <c r="D14" s="6"/>
      <c r="E14" s="5" t="s">
        <v>11</v>
      </c>
      <c r="F14" s="5" t="s">
        <v>12</v>
      </c>
      <c r="G14" s="5" t="s">
        <v>11</v>
      </c>
      <c r="H14" s="7" t="s">
        <v>10</v>
      </c>
      <c r="I14" s="7" t="s">
        <v>114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2</v>
      </c>
      <c r="AO14" s="8">
        <v>1800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9">
        <v>1800</v>
      </c>
      <c r="BN14" s="14">
        <f t="shared" si="2"/>
        <v>1800</v>
      </c>
      <c r="BO14" s="15">
        <f t="shared" si="3"/>
        <v>1260</v>
      </c>
    </row>
    <row r="15" spans="1:69" x14ac:dyDescent="0.4">
      <c r="A15" s="5" t="s">
        <v>106</v>
      </c>
      <c r="B15" s="5" t="s">
        <v>117</v>
      </c>
      <c r="C15" s="5">
        <v>272304</v>
      </c>
      <c r="D15" s="6"/>
      <c r="E15" s="5" t="s">
        <v>11</v>
      </c>
      <c r="F15" s="5" t="s">
        <v>12</v>
      </c>
      <c r="G15" s="5" t="s">
        <v>11</v>
      </c>
      <c r="H15" s="7" t="s">
        <v>7</v>
      </c>
      <c r="I15" s="7" t="s">
        <v>118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</v>
      </c>
      <c r="AC15" s="7">
        <v>900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900</v>
      </c>
      <c r="BN15" s="14">
        <f t="shared" si="2"/>
        <v>900</v>
      </c>
      <c r="BO15" s="15">
        <f t="shared" si="3"/>
        <v>630</v>
      </c>
    </row>
    <row r="16" spans="1:69" x14ac:dyDescent="0.4">
      <c r="A16" s="5" t="s">
        <v>106</v>
      </c>
      <c r="B16" s="5" t="s">
        <v>27</v>
      </c>
      <c r="C16" s="5">
        <v>159255</v>
      </c>
      <c r="D16" s="6"/>
      <c r="E16" s="5" t="s">
        <v>11</v>
      </c>
      <c r="F16" s="5" t="s">
        <v>16</v>
      </c>
      <c r="G16" s="5" t="s">
        <v>11</v>
      </c>
      <c r="H16" s="7" t="s">
        <v>8</v>
      </c>
      <c r="I16" s="7" t="s">
        <v>28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</v>
      </c>
      <c r="AC16" s="7">
        <v>900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900</v>
      </c>
      <c r="BN16" s="14">
        <f t="shared" si="2"/>
        <v>900</v>
      </c>
      <c r="BO16" s="15">
        <f t="shared" si="3"/>
        <v>630</v>
      </c>
    </row>
    <row r="17" spans="1:67" x14ac:dyDescent="0.4">
      <c r="A17" s="5" t="s">
        <v>106</v>
      </c>
      <c r="B17" s="5" t="s">
        <v>131</v>
      </c>
      <c r="C17" s="5">
        <v>189476</v>
      </c>
      <c r="D17" s="6"/>
      <c r="E17" s="5" t="s">
        <v>11</v>
      </c>
      <c r="F17" s="5" t="s">
        <v>30</v>
      </c>
      <c r="G17" s="5" t="s">
        <v>11</v>
      </c>
      <c r="H17" s="7" t="s">
        <v>7</v>
      </c>
      <c r="I17" s="7" t="s">
        <v>132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</v>
      </c>
      <c r="AC17" s="7">
        <v>900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900</v>
      </c>
      <c r="BN17" s="14">
        <f t="shared" si="2"/>
        <v>900</v>
      </c>
      <c r="BO17" s="15">
        <f t="shared" si="3"/>
        <v>630</v>
      </c>
    </row>
    <row r="18" spans="1:67" x14ac:dyDescent="0.4">
      <c r="A18" s="5" t="s">
        <v>106</v>
      </c>
      <c r="B18" s="5" t="s">
        <v>42</v>
      </c>
      <c r="C18" s="5">
        <v>305089</v>
      </c>
      <c r="D18" s="6"/>
      <c r="E18" s="5" t="s">
        <v>133</v>
      </c>
      <c r="F18" s="5" t="s">
        <v>41</v>
      </c>
      <c r="G18" s="5" t="s">
        <v>134</v>
      </c>
      <c r="H18" s="7" t="s">
        <v>7</v>
      </c>
      <c r="I18" s="7" t="s">
        <v>9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</v>
      </c>
      <c r="AC18" s="7">
        <v>900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900</v>
      </c>
      <c r="BN18" s="14">
        <f t="shared" si="2"/>
        <v>900</v>
      </c>
      <c r="BO18" s="15">
        <f t="shared" si="3"/>
        <v>630</v>
      </c>
    </row>
    <row r="19" spans="1:67" ht="19.2" x14ac:dyDescent="0.4">
      <c r="A19" s="5" t="s">
        <v>106</v>
      </c>
      <c r="B19" s="5" t="s">
        <v>135</v>
      </c>
      <c r="C19" s="5">
        <v>413545</v>
      </c>
      <c r="D19" s="6"/>
      <c r="E19" s="5" t="s">
        <v>11</v>
      </c>
      <c r="F19" s="5" t="s">
        <v>16</v>
      </c>
      <c r="G19" s="5" t="s">
        <v>21</v>
      </c>
      <c r="H19" s="7" t="s">
        <v>8</v>
      </c>
      <c r="I19" s="7" t="s">
        <v>136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5</v>
      </c>
      <c r="AF19" s="7">
        <v>500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500</v>
      </c>
      <c r="BN19" s="14">
        <f t="shared" si="2"/>
        <v>500</v>
      </c>
      <c r="BO19" s="15">
        <f t="shared" si="3"/>
        <v>350</v>
      </c>
    </row>
    <row r="20" spans="1:67" x14ac:dyDescent="0.4">
      <c r="A20" s="5" t="s">
        <v>106</v>
      </c>
      <c r="B20" s="5" t="s">
        <v>34</v>
      </c>
      <c r="C20" s="5">
        <v>215737</v>
      </c>
      <c r="D20" s="6"/>
      <c r="E20" s="5" t="s">
        <v>11</v>
      </c>
      <c r="F20" s="5" t="s">
        <v>35</v>
      </c>
      <c r="G20" s="5" t="s">
        <v>11</v>
      </c>
      <c r="H20" s="7" t="s">
        <v>7</v>
      </c>
      <c r="I20" s="7" t="s">
        <v>36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4</v>
      </c>
      <c r="AF20" s="7">
        <v>400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400</v>
      </c>
      <c r="BN20" s="14">
        <f t="shared" si="2"/>
        <v>400</v>
      </c>
      <c r="BO20" s="15">
        <f t="shared" si="3"/>
        <v>280</v>
      </c>
    </row>
    <row r="21" spans="1:67" x14ac:dyDescent="0.4">
      <c r="A21" s="5" t="s">
        <v>106</v>
      </c>
      <c r="B21" s="5" t="s">
        <v>109</v>
      </c>
      <c r="C21" s="5">
        <v>395747</v>
      </c>
      <c r="D21" s="6"/>
      <c r="E21" s="5" t="s">
        <v>11</v>
      </c>
      <c r="F21" s="5" t="s">
        <v>12</v>
      </c>
      <c r="G21" s="5" t="s">
        <v>11</v>
      </c>
      <c r="H21" s="7" t="s">
        <v>7</v>
      </c>
      <c r="I21" s="7" t="s">
        <v>110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4</v>
      </c>
      <c r="AF21" s="7">
        <v>400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400</v>
      </c>
      <c r="BN21" s="14">
        <f t="shared" si="2"/>
        <v>400</v>
      </c>
      <c r="BO21" s="15">
        <f t="shared" si="3"/>
        <v>280</v>
      </c>
    </row>
    <row r="22" spans="1:67" ht="19.2" x14ac:dyDescent="0.4">
      <c r="A22" s="5" t="s">
        <v>106</v>
      </c>
      <c r="B22" s="5" t="s">
        <v>112</v>
      </c>
      <c r="C22" s="5">
        <v>408450</v>
      </c>
      <c r="D22" s="6"/>
      <c r="E22" s="5" t="s">
        <v>11</v>
      </c>
      <c r="F22" s="5" t="s">
        <v>12</v>
      </c>
      <c r="G22" s="5" t="s">
        <v>21</v>
      </c>
      <c r="H22" s="7" t="s">
        <v>7</v>
      </c>
      <c r="I22" s="7" t="s">
        <v>111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2</v>
      </c>
      <c r="AF22" s="7">
        <v>200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1</v>
      </c>
      <c r="BD22" s="7">
        <v>120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7.2</v>
      </c>
      <c r="BM22" s="10">
        <v>320</v>
      </c>
      <c r="BN22" s="14">
        <f t="shared" si="2"/>
        <v>312.8</v>
      </c>
      <c r="BO22" s="15">
        <f t="shared" si="3"/>
        <v>218.96</v>
      </c>
    </row>
    <row r="23" spans="1:67" x14ac:dyDescent="0.4">
      <c r="A23" s="5" t="s">
        <v>106</v>
      </c>
      <c r="B23" s="5" t="s">
        <v>137</v>
      </c>
      <c r="C23" s="5">
        <v>99966</v>
      </c>
      <c r="D23" s="6"/>
      <c r="E23" s="5" t="s">
        <v>11</v>
      </c>
      <c r="F23" s="5" t="s">
        <v>16</v>
      </c>
      <c r="G23" s="5" t="s">
        <v>11</v>
      </c>
      <c r="H23" s="7" t="s">
        <v>10</v>
      </c>
      <c r="I23" s="7" t="s">
        <v>138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1</v>
      </c>
      <c r="AL23" s="7">
        <v>120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36</v>
      </c>
      <c r="BM23" s="10">
        <v>120</v>
      </c>
      <c r="BN23" s="14">
        <f t="shared" si="2"/>
        <v>84</v>
      </c>
      <c r="BO23" s="15">
        <f t="shared" si="3"/>
        <v>58.8</v>
      </c>
    </row>
    <row r="24" spans="1:67" x14ac:dyDescent="0.4">
      <c r="A24" s="5" t="s">
        <v>107</v>
      </c>
      <c r="B24" s="5" t="s">
        <v>14</v>
      </c>
      <c r="C24" s="5">
        <v>355332</v>
      </c>
      <c r="D24" s="6"/>
      <c r="E24" s="5" t="s">
        <v>11</v>
      </c>
      <c r="F24" s="5" t="s">
        <v>13</v>
      </c>
      <c r="G24" s="5" t="s">
        <v>11</v>
      </c>
      <c r="H24" s="7" t="s">
        <v>8</v>
      </c>
      <c r="I24" s="7" t="s">
        <v>46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8">
        <v>1078</v>
      </c>
      <c r="AF24" s="8">
        <v>105400</v>
      </c>
      <c r="AG24" s="8">
        <v>2400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27</v>
      </c>
      <c r="AR24" s="8">
        <v>2400</v>
      </c>
      <c r="AS24" s="7">
        <v>300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39</v>
      </c>
      <c r="BD24" s="8">
        <v>4680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280.8</v>
      </c>
      <c r="BM24" s="9">
        <v>115180</v>
      </c>
      <c r="BN24" s="14">
        <f t="shared" si="2"/>
        <v>114899.2</v>
      </c>
      <c r="BO24" s="15">
        <f t="shared" si="3"/>
        <v>80429.439999999988</v>
      </c>
    </row>
    <row r="25" spans="1:67" x14ac:dyDescent="0.4">
      <c r="A25" s="5" t="s">
        <v>107</v>
      </c>
      <c r="B25" s="5" t="s">
        <v>15</v>
      </c>
      <c r="C25" s="5">
        <v>159260</v>
      </c>
      <c r="D25" s="6"/>
      <c r="E25" s="5" t="s">
        <v>11</v>
      </c>
      <c r="F25" s="5" t="s">
        <v>16</v>
      </c>
      <c r="G25" s="5" t="s">
        <v>11</v>
      </c>
      <c r="H25" s="7" t="s">
        <v>7</v>
      </c>
      <c r="I25" s="7" t="s">
        <v>17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17</v>
      </c>
      <c r="AC25" s="8">
        <v>15300</v>
      </c>
      <c r="AD25" s="7">
        <v>0</v>
      </c>
      <c r="AE25" s="7">
        <v>2</v>
      </c>
      <c r="AF25" s="8">
        <v>6400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1</v>
      </c>
      <c r="AO25" s="7">
        <v>900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1</v>
      </c>
      <c r="BA25" s="8">
        <v>1080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64.8</v>
      </c>
      <c r="BM25" s="9">
        <v>23680</v>
      </c>
      <c r="BN25" s="14">
        <f t="shared" si="2"/>
        <v>23615.200000000001</v>
      </c>
      <c r="BO25" s="15">
        <f t="shared" si="3"/>
        <v>16530.64</v>
      </c>
    </row>
    <row r="26" spans="1:67" x14ac:dyDescent="0.4">
      <c r="A26" s="5" t="s">
        <v>107</v>
      </c>
      <c r="B26" s="5" t="s">
        <v>109</v>
      </c>
      <c r="C26" s="5">
        <v>395747</v>
      </c>
      <c r="D26" s="6"/>
      <c r="E26" s="5" t="s">
        <v>11</v>
      </c>
      <c r="F26" s="5" t="s">
        <v>12</v>
      </c>
      <c r="G26" s="5" t="s">
        <v>11</v>
      </c>
      <c r="H26" s="7" t="s">
        <v>7</v>
      </c>
      <c r="I26" s="7" t="s">
        <v>110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188</v>
      </c>
      <c r="AF26" s="8">
        <v>18800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9">
        <v>18800</v>
      </c>
      <c r="BN26" s="14">
        <f t="shared" si="2"/>
        <v>18800</v>
      </c>
      <c r="BO26" s="15">
        <f t="shared" si="3"/>
        <v>13160</v>
      </c>
    </row>
    <row r="27" spans="1:67" x14ac:dyDescent="0.4">
      <c r="A27" s="5" t="s">
        <v>107</v>
      </c>
      <c r="B27" s="5" t="s">
        <v>20</v>
      </c>
      <c r="C27" s="5">
        <v>159270</v>
      </c>
      <c r="D27" s="6"/>
      <c r="E27" s="5" t="s">
        <v>11</v>
      </c>
      <c r="F27" s="5" t="s">
        <v>16</v>
      </c>
      <c r="G27" s="5" t="s">
        <v>11</v>
      </c>
      <c r="H27" s="7" t="s">
        <v>10</v>
      </c>
      <c r="I27" s="7" t="s">
        <v>19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9</v>
      </c>
      <c r="AC27" s="8">
        <v>8100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5</v>
      </c>
      <c r="AU27" s="8">
        <v>5400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540</v>
      </c>
      <c r="BM27" s="9">
        <v>13500</v>
      </c>
      <c r="BN27" s="14">
        <f t="shared" si="2"/>
        <v>12960</v>
      </c>
      <c r="BO27" s="15">
        <f t="shared" si="3"/>
        <v>9072</v>
      </c>
    </row>
    <row r="28" spans="1:67" x14ac:dyDescent="0.4">
      <c r="A28" s="5" t="s">
        <v>107</v>
      </c>
      <c r="B28" s="5" t="s">
        <v>129</v>
      </c>
      <c r="C28" s="5">
        <v>268655</v>
      </c>
      <c r="D28" s="6"/>
      <c r="E28" s="5" t="s">
        <v>11</v>
      </c>
      <c r="F28" s="5" t="s">
        <v>16</v>
      </c>
      <c r="G28" s="5" t="s">
        <v>11</v>
      </c>
      <c r="H28" s="7" t="s">
        <v>7</v>
      </c>
      <c r="I28" s="7" t="s">
        <v>130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9</v>
      </c>
      <c r="AC28" s="8">
        <v>7400</v>
      </c>
      <c r="AD28" s="7">
        <v>0</v>
      </c>
      <c r="AE28" s="7">
        <v>1</v>
      </c>
      <c r="AF28" s="8">
        <v>3200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2</v>
      </c>
      <c r="BA28" s="7">
        <v>840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50.4</v>
      </c>
      <c r="BM28" s="9">
        <v>11440</v>
      </c>
      <c r="BN28" s="14">
        <f t="shared" ref="BN28:BN32" si="4">BM28-BL28</f>
        <v>11389.6</v>
      </c>
      <c r="BO28" s="15">
        <f t="shared" ref="BO28:BO32" si="5">BN28*70%</f>
        <v>7972.7199999999993</v>
      </c>
    </row>
    <row r="29" spans="1:67" ht="19.2" x14ac:dyDescent="0.4">
      <c r="A29" s="5" t="s">
        <v>107</v>
      </c>
      <c r="B29" s="5" t="s">
        <v>112</v>
      </c>
      <c r="C29" s="5">
        <v>408450</v>
      </c>
      <c r="D29" s="6"/>
      <c r="E29" s="5" t="s">
        <v>11</v>
      </c>
      <c r="F29" s="5" t="s">
        <v>12</v>
      </c>
      <c r="G29" s="5" t="s">
        <v>21</v>
      </c>
      <c r="H29" s="7" t="s">
        <v>7</v>
      </c>
      <c r="I29" s="7" t="s">
        <v>111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33</v>
      </c>
      <c r="AF29" s="8">
        <v>3300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76</v>
      </c>
      <c r="AR29" s="8">
        <v>7100</v>
      </c>
      <c r="AS29" s="7">
        <v>500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4</v>
      </c>
      <c r="BD29" s="7">
        <v>480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28.8</v>
      </c>
      <c r="BM29" s="9">
        <v>11380</v>
      </c>
      <c r="BN29" s="14">
        <f t="shared" si="4"/>
        <v>11351.2</v>
      </c>
      <c r="BO29" s="15">
        <f t="shared" si="5"/>
        <v>7945.84</v>
      </c>
    </row>
    <row r="30" spans="1:67" x14ac:dyDescent="0.4">
      <c r="A30" s="5" t="s">
        <v>107</v>
      </c>
      <c r="B30" s="5" t="s">
        <v>26</v>
      </c>
      <c r="C30" s="5">
        <v>159258</v>
      </c>
      <c r="D30" s="6"/>
      <c r="E30" s="5" t="s">
        <v>11</v>
      </c>
      <c r="F30" s="5" t="s">
        <v>16</v>
      </c>
      <c r="G30" s="5" t="s">
        <v>11</v>
      </c>
      <c r="H30" s="7" t="s">
        <v>7</v>
      </c>
      <c r="I30" s="7" t="s">
        <v>25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1</v>
      </c>
      <c r="AC30" s="7">
        <v>900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10</v>
      </c>
      <c r="AO30" s="8">
        <v>8800</v>
      </c>
      <c r="AP30" s="7">
        <v>200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9">
        <v>9900</v>
      </c>
      <c r="BN30" s="14">
        <f t="shared" si="4"/>
        <v>9900</v>
      </c>
      <c r="BO30" s="15">
        <f t="shared" si="5"/>
        <v>6930</v>
      </c>
    </row>
    <row r="31" spans="1:67" x14ac:dyDescent="0.4">
      <c r="A31" s="5" t="s">
        <v>107</v>
      </c>
      <c r="B31" s="5" t="s">
        <v>121</v>
      </c>
      <c r="C31" s="5">
        <v>418829</v>
      </c>
      <c r="D31" s="6"/>
      <c r="E31" s="5" t="s">
        <v>11</v>
      </c>
      <c r="F31" s="5" t="s">
        <v>16</v>
      </c>
      <c r="G31" s="5" t="s">
        <v>11</v>
      </c>
      <c r="H31" s="7" t="s">
        <v>7</v>
      </c>
      <c r="I31" s="7" t="s">
        <v>122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49</v>
      </c>
      <c r="AF31" s="8">
        <v>4900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39</v>
      </c>
      <c r="AX31" s="8">
        <v>4680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468</v>
      </c>
      <c r="BM31" s="9">
        <v>9580</v>
      </c>
      <c r="BN31" s="14">
        <f t="shared" si="4"/>
        <v>9112</v>
      </c>
      <c r="BO31" s="15">
        <f t="shared" si="5"/>
        <v>6378.4</v>
      </c>
    </row>
    <row r="32" spans="1:67" x14ac:dyDescent="0.4">
      <c r="A32" s="5" t="s">
        <v>107</v>
      </c>
      <c r="B32" s="5" t="s">
        <v>139</v>
      </c>
      <c r="C32" s="5">
        <v>192732</v>
      </c>
      <c r="D32" s="6"/>
      <c r="E32" s="5" t="s">
        <v>11</v>
      </c>
      <c r="F32" s="5" t="s">
        <v>30</v>
      </c>
      <c r="G32" s="5" t="s">
        <v>11</v>
      </c>
      <c r="H32" s="7" t="s">
        <v>7</v>
      </c>
      <c r="I32" s="7" t="s">
        <v>31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</v>
      </c>
      <c r="AF32" s="8">
        <v>3200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7</v>
      </c>
      <c r="AO32" s="8">
        <v>6300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9">
        <v>9500</v>
      </c>
      <c r="BN32" s="14">
        <f t="shared" si="4"/>
        <v>9500</v>
      </c>
      <c r="BO32" s="15">
        <f t="shared" si="5"/>
        <v>6650</v>
      </c>
    </row>
    <row r="33" spans="1:67" x14ac:dyDescent="0.4">
      <c r="A33" s="5" t="s">
        <v>107</v>
      </c>
      <c r="B33" s="5" t="s">
        <v>29</v>
      </c>
      <c r="C33" s="5">
        <v>159266</v>
      </c>
      <c r="D33" s="6"/>
      <c r="E33" s="5" t="s">
        <v>11</v>
      </c>
      <c r="F33" s="5" t="s">
        <v>16</v>
      </c>
      <c r="G33" s="5" t="s">
        <v>11</v>
      </c>
      <c r="H33" s="7" t="s">
        <v>7</v>
      </c>
      <c r="I33" s="7" t="s">
        <v>25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10</v>
      </c>
      <c r="AC33" s="8">
        <v>9000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9">
        <v>9000</v>
      </c>
      <c r="BN33" s="14">
        <f t="shared" ref="BN33:BN40" si="6">BM33-BL33</f>
        <v>9000</v>
      </c>
      <c r="BO33" s="15">
        <f t="shared" ref="BO33:BO40" si="7">BN33*70%</f>
        <v>6300</v>
      </c>
    </row>
    <row r="34" spans="1:67" x14ac:dyDescent="0.4">
      <c r="A34" s="5" t="s">
        <v>107</v>
      </c>
      <c r="B34" s="5" t="s">
        <v>22</v>
      </c>
      <c r="C34" s="5">
        <v>161447</v>
      </c>
      <c r="D34" s="6"/>
      <c r="E34" s="5" t="s">
        <v>11</v>
      </c>
      <c r="F34" s="5" t="s">
        <v>13</v>
      </c>
      <c r="G34" s="5" t="s">
        <v>11</v>
      </c>
      <c r="H34" s="7" t="s">
        <v>7</v>
      </c>
      <c r="I34" s="7" t="s">
        <v>23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10</v>
      </c>
      <c r="AO34" s="8">
        <v>8800</v>
      </c>
      <c r="AP34" s="7">
        <v>200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9">
        <v>9000</v>
      </c>
      <c r="BN34" s="14">
        <f t="shared" si="6"/>
        <v>9000</v>
      </c>
      <c r="BO34" s="15">
        <f t="shared" si="7"/>
        <v>6300</v>
      </c>
    </row>
    <row r="35" spans="1:67" x14ac:dyDescent="0.4">
      <c r="A35" s="5" t="s">
        <v>107</v>
      </c>
      <c r="B35" s="5" t="s">
        <v>37</v>
      </c>
      <c r="C35" s="5">
        <v>192729</v>
      </c>
      <c r="D35" s="6"/>
      <c r="E35" s="5" t="s">
        <v>11</v>
      </c>
      <c r="F35" s="5" t="s">
        <v>30</v>
      </c>
      <c r="G35" s="5" t="s">
        <v>11</v>
      </c>
      <c r="H35" s="7" t="s">
        <v>7</v>
      </c>
      <c r="I35" s="7" t="s">
        <v>38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9</v>
      </c>
      <c r="AC35" s="8">
        <v>8100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9">
        <v>8100</v>
      </c>
      <c r="BN35" s="14">
        <f t="shared" si="6"/>
        <v>8100</v>
      </c>
      <c r="BO35" s="15">
        <f t="shared" si="7"/>
        <v>5670</v>
      </c>
    </row>
    <row r="36" spans="1:67" x14ac:dyDescent="0.4">
      <c r="A36" s="5" t="s">
        <v>107</v>
      </c>
      <c r="B36" s="5" t="s">
        <v>113</v>
      </c>
      <c r="C36" s="5">
        <v>229857</v>
      </c>
      <c r="D36" s="6"/>
      <c r="E36" s="5" t="s">
        <v>11</v>
      </c>
      <c r="F36" s="5" t="s">
        <v>12</v>
      </c>
      <c r="G36" s="5" t="s">
        <v>11</v>
      </c>
      <c r="H36" s="7" t="s">
        <v>10</v>
      </c>
      <c r="I36" s="7" t="s">
        <v>114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7</v>
      </c>
      <c r="AO36" s="8">
        <v>6100</v>
      </c>
      <c r="AP36" s="7">
        <v>200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9">
        <v>6300</v>
      </c>
      <c r="BN36" s="14">
        <f t="shared" si="6"/>
        <v>6300</v>
      </c>
      <c r="BO36" s="15">
        <f t="shared" si="7"/>
        <v>4410</v>
      </c>
    </row>
    <row r="37" spans="1:67" x14ac:dyDescent="0.4">
      <c r="A37" s="5" t="s">
        <v>107</v>
      </c>
      <c r="B37" s="5" t="s">
        <v>32</v>
      </c>
      <c r="C37" s="5">
        <v>194565</v>
      </c>
      <c r="D37" s="6"/>
      <c r="E37" s="5" t="s">
        <v>11</v>
      </c>
      <c r="F37" s="5" t="s">
        <v>16</v>
      </c>
      <c r="G37" s="5" t="s">
        <v>11</v>
      </c>
      <c r="H37" s="7" t="s">
        <v>7</v>
      </c>
      <c r="I37" s="7" t="s">
        <v>33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59</v>
      </c>
      <c r="AR37" s="8">
        <v>5900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9">
        <v>5900</v>
      </c>
      <c r="BN37" s="14">
        <f t="shared" si="6"/>
        <v>5900</v>
      </c>
      <c r="BO37" s="15">
        <f t="shared" si="7"/>
        <v>4130</v>
      </c>
    </row>
    <row r="38" spans="1:67" x14ac:dyDescent="0.4">
      <c r="A38" s="5" t="s">
        <v>107</v>
      </c>
      <c r="B38" s="5" t="s">
        <v>18</v>
      </c>
      <c r="C38" s="5">
        <v>161539</v>
      </c>
      <c r="D38" s="6"/>
      <c r="E38" s="5" t="s">
        <v>11</v>
      </c>
      <c r="F38" s="5" t="s">
        <v>16</v>
      </c>
      <c r="G38" s="5" t="s">
        <v>11</v>
      </c>
      <c r="H38" s="7" t="s">
        <v>7</v>
      </c>
      <c r="I38" s="7" t="s">
        <v>19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6</v>
      </c>
      <c r="AC38" s="8">
        <v>5400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9">
        <v>5400</v>
      </c>
      <c r="BN38" s="14">
        <f t="shared" si="6"/>
        <v>5400</v>
      </c>
      <c r="BO38" s="15">
        <f t="shared" si="7"/>
        <v>3779.9999999999995</v>
      </c>
    </row>
    <row r="39" spans="1:67" x14ac:dyDescent="0.4">
      <c r="A39" s="5" t="s">
        <v>107</v>
      </c>
      <c r="B39" s="5" t="s">
        <v>24</v>
      </c>
      <c r="C39" s="5">
        <v>159268</v>
      </c>
      <c r="D39" s="6"/>
      <c r="E39" s="5" t="s">
        <v>11</v>
      </c>
      <c r="F39" s="5" t="s">
        <v>16</v>
      </c>
      <c r="G39" s="5" t="s">
        <v>11</v>
      </c>
      <c r="H39" s="7" t="s">
        <v>7</v>
      </c>
      <c r="I39" s="7" t="s">
        <v>25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5</v>
      </c>
      <c r="AC39" s="8">
        <v>4500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9">
        <v>4500</v>
      </c>
      <c r="BN39" s="14">
        <f t="shared" si="6"/>
        <v>4500</v>
      </c>
      <c r="BO39" s="15">
        <f t="shared" si="7"/>
        <v>3150</v>
      </c>
    </row>
    <row r="40" spans="1:67" x14ac:dyDescent="0.4">
      <c r="A40" s="5" t="s">
        <v>107</v>
      </c>
      <c r="B40" s="5" t="s">
        <v>34</v>
      </c>
      <c r="C40" s="5">
        <v>215737</v>
      </c>
      <c r="D40" s="6"/>
      <c r="E40" s="5" t="s">
        <v>11</v>
      </c>
      <c r="F40" s="5" t="s">
        <v>35</v>
      </c>
      <c r="G40" s="5" t="s">
        <v>11</v>
      </c>
      <c r="H40" s="7" t="s">
        <v>7</v>
      </c>
      <c r="I40" s="7" t="s">
        <v>36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38</v>
      </c>
      <c r="AF40" s="8">
        <v>3800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9">
        <v>3800</v>
      </c>
      <c r="BN40" s="14">
        <f t="shared" si="6"/>
        <v>3800</v>
      </c>
      <c r="BO40" s="15">
        <f t="shared" si="7"/>
        <v>2660</v>
      </c>
    </row>
    <row r="41" spans="1:67" x14ac:dyDescent="0.4">
      <c r="A41" s="5" t="s">
        <v>107</v>
      </c>
      <c r="B41" s="5" t="s">
        <v>140</v>
      </c>
      <c r="C41" s="5">
        <v>183137</v>
      </c>
      <c r="D41" s="6"/>
      <c r="E41" s="5" t="s">
        <v>11</v>
      </c>
      <c r="F41" s="5" t="s">
        <v>13</v>
      </c>
      <c r="G41" s="5" t="s">
        <v>11</v>
      </c>
      <c r="H41" s="7" t="s">
        <v>7</v>
      </c>
      <c r="I41" s="7" t="s">
        <v>141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4</v>
      </c>
      <c r="AC41" s="8">
        <v>3600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9">
        <v>3600</v>
      </c>
      <c r="BN41" s="14">
        <f t="shared" ref="BN41:BN52" si="8">BM41-BL41</f>
        <v>3600</v>
      </c>
      <c r="BO41" s="15">
        <f t="shared" ref="BO41:BO52" si="9">BN41*70%</f>
        <v>2520</v>
      </c>
    </row>
    <row r="42" spans="1:67" x14ac:dyDescent="0.4">
      <c r="A42" s="5" t="s">
        <v>107</v>
      </c>
      <c r="B42" s="5" t="s">
        <v>142</v>
      </c>
      <c r="C42" s="5">
        <v>239858</v>
      </c>
      <c r="D42" s="6"/>
      <c r="E42" s="5" t="s">
        <v>11</v>
      </c>
      <c r="F42" s="5" t="s">
        <v>12</v>
      </c>
      <c r="G42" s="5" t="s">
        <v>11</v>
      </c>
      <c r="H42" s="7" t="s">
        <v>7</v>
      </c>
      <c r="I42" s="7" t="s">
        <v>143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4</v>
      </c>
      <c r="AO42" s="8">
        <v>3600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9">
        <v>3600</v>
      </c>
      <c r="BN42" s="14">
        <f t="shared" si="8"/>
        <v>3600</v>
      </c>
      <c r="BO42" s="15">
        <f t="shared" si="9"/>
        <v>2520</v>
      </c>
    </row>
    <row r="43" spans="1:67" x14ac:dyDescent="0.4">
      <c r="A43" s="5" t="s">
        <v>107</v>
      </c>
      <c r="B43" s="5" t="s">
        <v>144</v>
      </c>
      <c r="C43" s="5">
        <v>159483</v>
      </c>
      <c r="D43" s="6"/>
      <c r="E43" s="5" t="s">
        <v>11</v>
      </c>
      <c r="F43" s="5" t="s">
        <v>13</v>
      </c>
      <c r="G43" s="5" t="s">
        <v>11</v>
      </c>
      <c r="H43" s="7" t="s">
        <v>7</v>
      </c>
      <c r="I43" s="7" t="s">
        <v>145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</v>
      </c>
      <c r="AF43" s="8">
        <v>3200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9">
        <v>3200</v>
      </c>
      <c r="BN43" s="14">
        <f t="shared" si="8"/>
        <v>3200</v>
      </c>
      <c r="BO43" s="15">
        <f t="shared" si="9"/>
        <v>2240</v>
      </c>
    </row>
    <row r="44" spans="1:67" x14ac:dyDescent="0.4">
      <c r="A44" s="5" t="s">
        <v>107</v>
      </c>
      <c r="B44" s="5" t="s">
        <v>146</v>
      </c>
      <c r="C44" s="5">
        <v>300910</v>
      </c>
      <c r="D44" s="6"/>
      <c r="E44" s="5" t="s">
        <v>11</v>
      </c>
      <c r="F44" s="5" t="s">
        <v>35</v>
      </c>
      <c r="G44" s="5" t="s">
        <v>11</v>
      </c>
      <c r="H44" s="7" t="s">
        <v>7</v>
      </c>
      <c r="I44" s="7" t="s">
        <v>147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25</v>
      </c>
      <c r="AF44" s="8">
        <v>2500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4</v>
      </c>
      <c r="BD44" s="7">
        <v>480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28.8</v>
      </c>
      <c r="BM44" s="9">
        <v>2980</v>
      </c>
      <c r="BN44" s="14">
        <f t="shared" si="8"/>
        <v>2951.2</v>
      </c>
      <c r="BO44" s="15">
        <f t="shared" si="9"/>
        <v>2065.8399999999997</v>
      </c>
    </row>
    <row r="45" spans="1:67" x14ac:dyDescent="0.4">
      <c r="A45" s="5" t="s">
        <v>107</v>
      </c>
      <c r="B45" s="5" t="s">
        <v>117</v>
      </c>
      <c r="C45" s="5">
        <v>272304</v>
      </c>
      <c r="D45" s="6"/>
      <c r="E45" s="5" t="s">
        <v>11</v>
      </c>
      <c r="F45" s="5" t="s">
        <v>12</v>
      </c>
      <c r="G45" s="5" t="s">
        <v>11</v>
      </c>
      <c r="H45" s="7" t="s">
        <v>7</v>
      </c>
      <c r="I45" s="7" t="s">
        <v>118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3</v>
      </c>
      <c r="AC45" s="8">
        <v>1800</v>
      </c>
      <c r="AD45" s="7">
        <v>900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9">
        <v>2700</v>
      </c>
      <c r="BN45" s="14">
        <f t="shared" si="8"/>
        <v>2700</v>
      </c>
      <c r="BO45" s="15">
        <f t="shared" si="9"/>
        <v>1889.9999999999998</v>
      </c>
    </row>
    <row r="46" spans="1:67" x14ac:dyDescent="0.4">
      <c r="A46" s="5" t="s">
        <v>107</v>
      </c>
      <c r="B46" s="5" t="s">
        <v>127</v>
      </c>
      <c r="C46" s="5">
        <v>173863</v>
      </c>
      <c r="D46" s="6"/>
      <c r="E46" s="5" t="s">
        <v>11</v>
      </c>
      <c r="F46" s="5" t="s">
        <v>16</v>
      </c>
      <c r="G46" s="5" t="s">
        <v>11</v>
      </c>
      <c r="H46" s="7" t="s">
        <v>7</v>
      </c>
      <c r="I46" s="7" t="s">
        <v>128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2</v>
      </c>
      <c r="BA46" s="8">
        <v>2160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129.6</v>
      </c>
      <c r="BM46" s="9">
        <v>2160</v>
      </c>
      <c r="BN46" s="14">
        <f t="shared" si="8"/>
        <v>2030.4</v>
      </c>
      <c r="BO46" s="15">
        <f t="shared" si="9"/>
        <v>1421.28</v>
      </c>
    </row>
    <row r="47" spans="1:67" x14ac:dyDescent="0.4">
      <c r="A47" s="5" t="s">
        <v>107</v>
      </c>
      <c r="B47" s="5" t="s">
        <v>115</v>
      </c>
      <c r="C47" s="5">
        <v>258201</v>
      </c>
      <c r="D47" s="6"/>
      <c r="E47" s="5" t="s">
        <v>11</v>
      </c>
      <c r="F47" s="5" t="s">
        <v>35</v>
      </c>
      <c r="G47" s="5" t="s">
        <v>11</v>
      </c>
      <c r="H47" s="7" t="s">
        <v>7</v>
      </c>
      <c r="I47" s="7" t="s">
        <v>116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1</v>
      </c>
      <c r="AC47" s="7">
        <v>900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1</v>
      </c>
      <c r="AO47" s="7">
        <v>900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9">
        <v>1800</v>
      </c>
      <c r="BN47" s="14">
        <f t="shared" si="8"/>
        <v>1800</v>
      </c>
      <c r="BO47" s="15">
        <f t="shared" si="9"/>
        <v>1260</v>
      </c>
    </row>
    <row r="48" spans="1:67" x14ac:dyDescent="0.4">
      <c r="A48" s="5" t="s">
        <v>107</v>
      </c>
      <c r="B48" s="5" t="s">
        <v>148</v>
      </c>
      <c r="C48" s="5">
        <v>418830</v>
      </c>
      <c r="D48" s="6"/>
      <c r="E48" s="5" t="s">
        <v>11</v>
      </c>
      <c r="F48" s="5" t="s">
        <v>16</v>
      </c>
      <c r="G48" s="5" t="s">
        <v>11</v>
      </c>
      <c r="H48" s="7" t="s">
        <v>7</v>
      </c>
      <c r="I48" s="7" t="s">
        <v>122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11</v>
      </c>
      <c r="AR48" s="8">
        <v>1100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9">
        <v>1100</v>
      </c>
      <c r="BN48" s="14">
        <f t="shared" si="8"/>
        <v>1100</v>
      </c>
      <c r="BO48" s="15">
        <f t="shared" si="9"/>
        <v>770</v>
      </c>
    </row>
    <row r="49" spans="1:67" x14ac:dyDescent="0.4">
      <c r="A49" s="5" t="s">
        <v>107</v>
      </c>
      <c r="B49" s="5" t="s">
        <v>119</v>
      </c>
      <c r="C49" s="5">
        <v>287064</v>
      </c>
      <c r="D49" s="6"/>
      <c r="E49" s="5" t="s">
        <v>133</v>
      </c>
      <c r="F49" s="5" t="s">
        <v>41</v>
      </c>
      <c r="G49" s="5" t="s">
        <v>134</v>
      </c>
      <c r="H49" s="7" t="s">
        <v>7</v>
      </c>
      <c r="I49" s="7" t="s">
        <v>120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11</v>
      </c>
      <c r="AF49" s="8">
        <v>1100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9">
        <v>1100</v>
      </c>
      <c r="BN49" s="14">
        <f t="shared" si="8"/>
        <v>1100</v>
      </c>
      <c r="BO49" s="15">
        <f t="shared" si="9"/>
        <v>770</v>
      </c>
    </row>
    <row r="50" spans="1:67" x14ac:dyDescent="0.4">
      <c r="A50" s="5" t="s">
        <v>107</v>
      </c>
      <c r="B50" s="5" t="s">
        <v>49</v>
      </c>
      <c r="C50" s="5">
        <v>285994</v>
      </c>
      <c r="D50" s="6"/>
      <c r="E50" s="5" t="s">
        <v>11</v>
      </c>
      <c r="F50" s="5" t="s">
        <v>12</v>
      </c>
      <c r="G50" s="5" t="s">
        <v>11</v>
      </c>
      <c r="H50" s="7" t="s">
        <v>7</v>
      </c>
      <c r="I50" s="7" t="s">
        <v>39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1</v>
      </c>
      <c r="AC50" s="7">
        <v>900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900</v>
      </c>
      <c r="BN50" s="14">
        <f t="shared" si="8"/>
        <v>900</v>
      </c>
      <c r="BO50" s="15">
        <f t="shared" si="9"/>
        <v>630</v>
      </c>
    </row>
    <row r="51" spans="1:67" x14ac:dyDescent="0.4">
      <c r="A51" s="5" t="s">
        <v>107</v>
      </c>
      <c r="B51" s="5" t="s">
        <v>131</v>
      </c>
      <c r="C51" s="5">
        <v>189476</v>
      </c>
      <c r="D51" s="6"/>
      <c r="E51" s="5" t="s">
        <v>11</v>
      </c>
      <c r="F51" s="5" t="s">
        <v>30</v>
      </c>
      <c r="G51" s="5" t="s">
        <v>11</v>
      </c>
      <c r="H51" s="7" t="s">
        <v>7</v>
      </c>
      <c r="I51" s="7" t="s">
        <v>132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</v>
      </c>
      <c r="AC51" s="7">
        <v>900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900</v>
      </c>
      <c r="BN51" s="14">
        <f t="shared" si="8"/>
        <v>900</v>
      </c>
      <c r="BO51" s="15">
        <f t="shared" si="9"/>
        <v>630</v>
      </c>
    </row>
    <row r="52" spans="1:67" x14ac:dyDescent="0.4">
      <c r="A52" s="5" t="s">
        <v>107</v>
      </c>
      <c r="B52" s="5" t="s">
        <v>125</v>
      </c>
      <c r="C52" s="5">
        <v>229599</v>
      </c>
      <c r="D52" s="6"/>
      <c r="E52" s="5" t="s">
        <v>11</v>
      </c>
      <c r="F52" s="5" t="s">
        <v>12</v>
      </c>
      <c r="G52" s="5" t="s">
        <v>11</v>
      </c>
      <c r="H52" s="7" t="s">
        <v>7</v>
      </c>
      <c r="I52" s="7" t="s">
        <v>126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1</v>
      </c>
      <c r="AC52" s="7">
        <v>900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0">
        <v>900</v>
      </c>
      <c r="BN52" s="14">
        <f t="shared" si="8"/>
        <v>900</v>
      </c>
      <c r="BO52" s="15">
        <f t="shared" si="9"/>
        <v>630</v>
      </c>
    </row>
    <row r="53" spans="1:67" ht="19.2" x14ac:dyDescent="0.4">
      <c r="A53" s="5" t="s">
        <v>107</v>
      </c>
      <c r="B53" s="5" t="s">
        <v>149</v>
      </c>
      <c r="C53" s="5">
        <v>409409</v>
      </c>
      <c r="D53" s="6"/>
      <c r="E53" s="5" t="s">
        <v>11</v>
      </c>
      <c r="F53" s="5" t="s">
        <v>30</v>
      </c>
      <c r="G53" s="5" t="s">
        <v>21</v>
      </c>
      <c r="H53" s="7" t="s">
        <v>7</v>
      </c>
      <c r="I53" s="7" t="s">
        <v>150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8</v>
      </c>
      <c r="AF53" s="7">
        <v>800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800</v>
      </c>
      <c r="BN53" s="14">
        <f t="shared" ref="BN53:BN62" si="10">BM53-BL53</f>
        <v>800</v>
      </c>
      <c r="BO53" s="15">
        <f t="shared" ref="BO53:BO62" si="11">BN53*70%</f>
        <v>560</v>
      </c>
    </row>
    <row r="54" spans="1:67" x14ac:dyDescent="0.4">
      <c r="A54" s="5" t="s">
        <v>108</v>
      </c>
      <c r="B54" s="5" t="s">
        <v>15</v>
      </c>
      <c r="C54" s="5">
        <v>159260</v>
      </c>
      <c r="D54" s="6"/>
      <c r="E54" s="5" t="s">
        <v>11</v>
      </c>
      <c r="F54" s="5" t="s">
        <v>16</v>
      </c>
      <c r="G54" s="5" t="s">
        <v>11</v>
      </c>
      <c r="H54" s="7" t="s">
        <v>7</v>
      </c>
      <c r="I54" s="7" t="s">
        <v>17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1</v>
      </c>
      <c r="AC54" s="7">
        <v>900</v>
      </c>
      <c r="AD54" s="7">
        <v>0</v>
      </c>
      <c r="AE54" s="7">
        <v>1</v>
      </c>
      <c r="AF54" s="8">
        <v>2400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1</v>
      </c>
      <c r="AX54" s="7">
        <v>960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96</v>
      </c>
      <c r="BM54" s="9">
        <v>4260</v>
      </c>
      <c r="BN54" s="14">
        <f t="shared" si="10"/>
        <v>4164</v>
      </c>
      <c r="BO54" s="15">
        <f t="shared" si="11"/>
        <v>2914.7999999999997</v>
      </c>
    </row>
    <row r="55" spans="1:67" x14ac:dyDescent="0.4">
      <c r="A55" s="5" t="s">
        <v>108</v>
      </c>
      <c r="B55" s="5" t="s">
        <v>26</v>
      </c>
      <c r="C55" s="5">
        <v>159258</v>
      </c>
      <c r="D55" s="6"/>
      <c r="E55" s="5" t="s">
        <v>11</v>
      </c>
      <c r="F55" s="5" t="s">
        <v>16</v>
      </c>
      <c r="G55" s="5" t="s">
        <v>11</v>
      </c>
      <c r="H55" s="7" t="s">
        <v>7</v>
      </c>
      <c r="I55" s="7" t="s">
        <v>25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3</v>
      </c>
      <c r="AC55" s="8">
        <v>2700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9">
        <v>2700</v>
      </c>
      <c r="BN55" s="14">
        <f t="shared" si="10"/>
        <v>2700</v>
      </c>
      <c r="BO55" s="15">
        <f t="shared" si="11"/>
        <v>1889.9999999999998</v>
      </c>
    </row>
    <row r="56" spans="1:67" x14ac:dyDescent="0.4">
      <c r="A56" s="5" t="s">
        <v>108</v>
      </c>
      <c r="B56" s="5" t="s">
        <v>20</v>
      </c>
      <c r="C56" s="5">
        <v>159270</v>
      </c>
      <c r="D56" s="6"/>
      <c r="E56" s="5" t="s">
        <v>11</v>
      </c>
      <c r="F56" s="5" t="s">
        <v>16</v>
      </c>
      <c r="G56" s="5" t="s">
        <v>11</v>
      </c>
      <c r="H56" s="7" t="s">
        <v>10</v>
      </c>
      <c r="I56" s="7" t="s">
        <v>19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2</v>
      </c>
      <c r="AC56" s="8">
        <v>1800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9">
        <v>1800</v>
      </c>
      <c r="BN56" s="14">
        <f t="shared" si="10"/>
        <v>1800</v>
      </c>
      <c r="BO56" s="15">
        <f t="shared" si="11"/>
        <v>1260</v>
      </c>
    </row>
    <row r="57" spans="1:67" x14ac:dyDescent="0.4">
      <c r="A57" s="5" t="s">
        <v>108</v>
      </c>
      <c r="B57" s="5" t="s">
        <v>14</v>
      </c>
      <c r="C57" s="5">
        <v>355332</v>
      </c>
      <c r="D57" s="6"/>
      <c r="E57" s="5" t="s">
        <v>11</v>
      </c>
      <c r="F57" s="5" t="s">
        <v>13</v>
      </c>
      <c r="G57" s="5" t="s">
        <v>11</v>
      </c>
      <c r="H57" s="7" t="s">
        <v>8</v>
      </c>
      <c r="I57" s="7" t="s">
        <v>46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11</v>
      </c>
      <c r="AF57" s="8">
        <v>1020</v>
      </c>
      <c r="AG57" s="7">
        <v>100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1</v>
      </c>
      <c r="AR57" s="7">
        <v>100</v>
      </c>
      <c r="AS57" s="7">
        <v>0</v>
      </c>
      <c r="AT57" s="7">
        <v>0</v>
      </c>
      <c r="AU57" s="7">
        <v>0</v>
      </c>
      <c r="AV57" s="7">
        <v>0</v>
      </c>
      <c r="AW57" s="7">
        <v>1</v>
      </c>
      <c r="AX57" s="7">
        <v>120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12</v>
      </c>
      <c r="BM57" s="9">
        <v>1340</v>
      </c>
      <c r="BN57" s="14">
        <f t="shared" si="10"/>
        <v>1328</v>
      </c>
      <c r="BO57" s="15">
        <f t="shared" si="11"/>
        <v>929.59999999999991</v>
      </c>
    </row>
    <row r="58" spans="1:67" x14ac:dyDescent="0.4">
      <c r="A58" s="5" t="s">
        <v>108</v>
      </c>
      <c r="B58" s="5" t="s">
        <v>139</v>
      </c>
      <c r="C58" s="5">
        <v>192732</v>
      </c>
      <c r="D58" s="6"/>
      <c r="E58" s="5" t="s">
        <v>11</v>
      </c>
      <c r="F58" s="5" t="s">
        <v>30</v>
      </c>
      <c r="G58" s="5" t="s">
        <v>11</v>
      </c>
      <c r="H58" s="7" t="s">
        <v>7</v>
      </c>
      <c r="I58" s="7" t="s">
        <v>31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1</v>
      </c>
      <c r="AC58" s="7">
        <v>900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900</v>
      </c>
      <c r="BN58" s="14">
        <f t="shared" si="10"/>
        <v>900</v>
      </c>
      <c r="BO58" s="15">
        <f t="shared" si="11"/>
        <v>630</v>
      </c>
    </row>
    <row r="59" spans="1:67" x14ac:dyDescent="0.4">
      <c r="A59" s="5" t="s">
        <v>108</v>
      </c>
      <c r="B59" s="5" t="s">
        <v>151</v>
      </c>
      <c r="C59" s="5">
        <v>192728</v>
      </c>
      <c r="D59" s="6"/>
      <c r="E59" s="5" t="s">
        <v>11</v>
      </c>
      <c r="F59" s="5" t="s">
        <v>30</v>
      </c>
      <c r="G59" s="5" t="s">
        <v>11</v>
      </c>
      <c r="H59" s="7" t="s">
        <v>7</v>
      </c>
      <c r="I59" s="7" t="s">
        <v>31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1</v>
      </c>
      <c r="AC59" s="7">
        <v>900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900</v>
      </c>
      <c r="BN59" s="14">
        <f t="shared" si="10"/>
        <v>900</v>
      </c>
      <c r="BO59" s="15">
        <f t="shared" si="11"/>
        <v>630</v>
      </c>
    </row>
    <row r="60" spans="1:67" x14ac:dyDescent="0.4">
      <c r="A60" s="5" t="s">
        <v>108</v>
      </c>
      <c r="B60" s="5" t="s">
        <v>131</v>
      </c>
      <c r="C60" s="5">
        <v>189476</v>
      </c>
      <c r="D60" s="6"/>
      <c r="E60" s="5" t="s">
        <v>11</v>
      </c>
      <c r="F60" s="5" t="s">
        <v>30</v>
      </c>
      <c r="G60" s="5" t="s">
        <v>11</v>
      </c>
      <c r="H60" s="7" t="s">
        <v>7</v>
      </c>
      <c r="I60" s="7" t="s">
        <v>132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900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0">
        <v>900</v>
      </c>
      <c r="BN60" s="14">
        <f t="shared" si="10"/>
        <v>900</v>
      </c>
      <c r="BO60" s="15">
        <f t="shared" si="11"/>
        <v>630</v>
      </c>
    </row>
    <row r="61" spans="1:67" x14ac:dyDescent="0.4">
      <c r="A61" s="5" t="s">
        <v>108</v>
      </c>
      <c r="B61" s="5" t="s">
        <v>22</v>
      </c>
      <c r="C61" s="5">
        <v>161447</v>
      </c>
      <c r="D61" s="6"/>
      <c r="E61" s="5" t="s">
        <v>11</v>
      </c>
      <c r="F61" s="5" t="s">
        <v>13</v>
      </c>
      <c r="G61" s="5" t="s">
        <v>11</v>
      </c>
      <c r="H61" s="7" t="s">
        <v>7</v>
      </c>
      <c r="I61" s="7" t="s">
        <v>23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900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900</v>
      </c>
      <c r="BN61" s="14">
        <f t="shared" si="10"/>
        <v>900</v>
      </c>
      <c r="BO61" s="15">
        <f t="shared" si="11"/>
        <v>630</v>
      </c>
    </row>
    <row r="62" spans="1:67" x14ac:dyDescent="0.4">
      <c r="A62" s="5" t="s">
        <v>108</v>
      </c>
      <c r="B62" s="5" t="s">
        <v>24</v>
      </c>
      <c r="C62" s="5">
        <v>159268</v>
      </c>
      <c r="D62" s="6"/>
      <c r="E62" s="5" t="s">
        <v>11</v>
      </c>
      <c r="F62" s="5" t="s">
        <v>16</v>
      </c>
      <c r="G62" s="5" t="s">
        <v>11</v>
      </c>
      <c r="H62" s="7" t="s">
        <v>7</v>
      </c>
      <c r="I62" s="7" t="s">
        <v>25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900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900</v>
      </c>
      <c r="BN62" s="14">
        <f t="shared" si="10"/>
        <v>900</v>
      </c>
      <c r="BO62" s="15">
        <f t="shared" si="11"/>
        <v>630</v>
      </c>
    </row>
    <row r="63" spans="1:67" x14ac:dyDescent="0.4">
      <c r="BO63" s="16">
        <f>SUM(BO2:BO62)</f>
        <v>258464.07999999996</v>
      </c>
    </row>
  </sheetData>
  <phoneticPr fontId="20" type="noConversion"/>
  <pageMargins left="0.75" right="0.75" top="1" bottom="1" header="0.5" footer="0.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2022-10-05T02:21:22Z</dcterms:modified>
</cp:coreProperties>
</file>