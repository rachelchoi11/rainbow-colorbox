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'합계(9)'!$A$1:$AM$1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63" i="412" l="1"/>
  <c r="BN27" i="412" l="1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" i="412" l="1"/>
  <c r="BO2" i="412" l="1"/>
</calcChain>
</file>

<file path=xl/sharedStrings.xml><?xml version="1.0" encoding="utf-8"?>
<sst xmlns="http://schemas.openxmlformats.org/spreadsheetml/2006/main" count="496" uniqueCount="204">
  <si>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</si>
  <si>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</si>
  <si>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</si>
  <si>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</si>
  <si>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</si>
  <si>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</si>
  <si>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</si>
  <si>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</si>
  <si>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</si>
  <si>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</si>
  <si>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</si>
  <si>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</si>
  <si>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</si>
  <si>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스토리위즈_2</t>
  </si>
  <si>
    <t>백범(白帆)</t>
  </si>
  <si>
    <t>에필로그</t>
  </si>
  <si>
    <t>법보다 주먹</t>
  </si>
  <si>
    <t>일교차 [단행본]</t>
  </si>
  <si>
    <t>해화</t>
  </si>
  <si>
    <t>밀리오리지널</t>
  </si>
  <si>
    <t>2022.04.08</t>
  </si>
  <si>
    <t>19세 이상 이용가능</t>
  </si>
  <si>
    <t>용가리맛쿠키</t>
  </si>
  <si>
    <t>블러쉬</t>
  </si>
  <si>
    <t>서혜은</t>
  </si>
  <si>
    <t>최재봉</t>
  </si>
  <si>
    <t>협행마</t>
  </si>
  <si>
    <t>진짜 사나이 [단행본]</t>
  </si>
  <si>
    <t>2021.12.15</t>
  </si>
  <si>
    <t>이차적 일탈 [단행본]</t>
  </si>
  <si>
    <t>2022.03.04</t>
  </si>
  <si>
    <t>너만 보면 두근두근 [단행본]</t>
  </si>
  <si>
    <t>정경하</t>
  </si>
  <si>
    <t>2022.01.14</t>
  </si>
  <si>
    <t>더티독 [BL][단행본]</t>
  </si>
  <si>
    <t>2020.04.09</t>
  </si>
  <si>
    <t>설국연가 [단행본]</t>
  </si>
  <si>
    <t>마뇽</t>
  </si>
  <si>
    <t>2022.01.17</t>
  </si>
  <si>
    <t>더티독 외전 [BL][단행본]</t>
  </si>
  <si>
    <t>무심코 [단행본]</t>
  </si>
  <si>
    <t>달로</t>
  </si>
  <si>
    <t>2022.06.03</t>
  </si>
  <si>
    <t>한 번은 이별하자 [단행본]</t>
  </si>
  <si>
    <t>서연</t>
  </si>
  <si>
    <t>2022.06.20</t>
  </si>
  <si>
    <t>위사무적 [단행본]</t>
  </si>
  <si>
    <t>2020.09.11</t>
  </si>
  <si>
    <t>하일군재래(何日君再來) [단행본]</t>
  </si>
  <si>
    <t>신윤희(에드가)</t>
  </si>
  <si>
    <t>2022.07.14</t>
  </si>
  <si>
    <t>봄볕이 아른아른 [단행본]</t>
  </si>
  <si>
    <t>송여희</t>
  </si>
  <si>
    <t>2022.07.07</t>
  </si>
  <si>
    <t>탈각 [단행본]</t>
  </si>
  <si>
    <t>공호</t>
  </si>
  <si>
    <t>2022.06.29</t>
  </si>
  <si>
    <t>남창목가 [단행본]</t>
  </si>
  <si>
    <t>2020.05.18</t>
  </si>
  <si>
    <t>빠져들다 [단행본]</t>
  </si>
  <si>
    <t>알리시아</t>
  </si>
  <si>
    <t>2022.07.21</t>
  </si>
  <si>
    <t>근수저 오크는 근손실이 싫다 [독점]</t>
  </si>
  <si>
    <t>ARC곽도우</t>
  </si>
  <si>
    <t>스토리아크</t>
  </si>
  <si>
    <t>N스토어(PC)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</si>
  <si>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</si>
  <si>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</si>
  <si>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</si>
  <si>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</si>
  <si>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</si>
  <si>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</si>
  <si>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</si>
  <si>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</si>
  <si>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</si>
  <si>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</si>
  <si>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</si>
  <si>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</si>
  <si>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</si>
  <si>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</si>
  <si>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</si>
  <si>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</si>
  <si>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</si>
  <si>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</si>
  <si>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</si>
  <si>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</si>
  <si>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</si>
  <si>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</si>
  <si>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</si>
  <si>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</si>
  <si>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</si>
  <si>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</si>
  <si>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</si>
  <si>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</si>
  <si>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</si>
  <si>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</si>
  <si>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</si>
  <si>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</si>
  <si>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</si>
  <si>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</si>
  <si>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</si>
  <si>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</si>
  <si>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</si>
  <si>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</si>
  <si>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</si>
  <si>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</si>
  <si>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</si>
  <si>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</si>
  <si>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</si>
  <si>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</si>
  <si>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</si>
  <si>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</si>
  <si>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</si>
  <si>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</si>
  <si>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</si>
  <si>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</si>
  <si>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</si>
  <si>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</si>
  <si>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</si>
  <si>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</si>
  <si>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</si>
  <si>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</si>
  <si>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</si>
  <si>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</si>
  <si>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</si>
  <si>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티끌모아 대박 [단행본]</t>
  </si>
  <si>
    <t>2022.07.29</t>
  </si>
  <si>
    <t>너는 천사 [단행본]</t>
  </si>
  <si>
    <t>2022.08.25</t>
  </si>
  <si>
    <t>차크</t>
  </si>
  <si>
    <t>주해나</t>
  </si>
  <si>
    <t>쉬즈노블</t>
  </si>
  <si>
    <t>PC 뷰어(PC)</t>
    <phoneticPr fontId="20" type="noConversion"/>
  </si>
  <si>
    <t>티끌모아 대박</t>
  </si>
  <si>
    <t>2022.08.11</t>
  </si>
  <si>
    <t>남궁세가 건달공자 [단행본]</t>
  </si>
  <si>
    <t>2019.06.18</t>
  </si>
  <si>
    <t>강호, 미치다</t>
  </si>
  <si>
    <t>2019.09.18</t>
  </si>
  <si>
    <t>작열감 [단행본]</t>
  </si>
  <si>
    <t>리밀</t>
  </si>
  <si>
    <t>연애의 시작 [단행본]</t>
  </si>
  <si>
    <t>2022.02.18</t>
  </si>
  <si>
    <t>불순한 재회 [단행본]</t>
  </si>
  <si>
    <t>장현미</t>
  </si>
  <si>
    <t>2022.08.04</t>
  </si>
  <si>
    <t>벗어 주세요 [단행본]</t>
  </si>
  <si>
    <t>2019.02.15</t>
  </si>
  <si>
    <t>비엘스토리</t>
  </si>
  <si>
    <t>N스토어(PC)</t>
    <phoneticPr fontId="20" type="noConversion"/>
  </si>
  <si>
    <t>PC 뷰어(PC)</t>
    <phoneticPr fontId="20" type="noConversion"/>
  </si>
  <si>
    <t>PC 뷰어(PC)</t>
    <phoneticPr fontId="20" type="noConversion"/>
  </si>
  <si>
    <t>N스토어(MW)</t>
    <phoneticPr fontId="20" type="noConversion"/>
  </si>
  <si>
    <t>눈부시게 아찔한 [단행본]</t>
  </si>
  <si>
    <t>적랑</t>
  </si>
  <si>
    <t>2022.09.15</t>
  </si>
  <si>
    <t>진령군 도망기 [단행본]</t>
  </si>
  <si>
    <t>정은숙</t>
  </si>
  <si>
    <t>2022.09.01</t>
  </si>
  <si>
    <t>어게인(Again) [단행본]</t>
  </si>
  <si>
    <t>최준서</t>
  </si>
  <si>
    <t>2022.04.27</t>
  </si>
  <si>
    <t>브레이크 어웨이(Break Away) [단행본]</t>
  </si>
  <si>
    <t>서정윤</t>
  </si>
  <si>
    <t>2022.05.23</t>
  </si>
  <si>
    <t>무림병장 [단행본]</t>
  </si>
  <si>
    <t>2021.02.08</t>
  </si>
  <si>
    <t>2022.10.05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</si>
  <si>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</si>
  <si>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</si>
  <si>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강호, 미치다 [단행본]</t>
  </si>
  <si>
    <t>더 캡틴</t>
  </si>
  <si>
    <t>2022.01.21</t>
  </si>
  <si>
    <t>사냥꾼은 마왕이 되기 싫다 [독점]</t>
  </si>
  <si>
    <t>강명운</t>
  </si>
  <si>
    <t>2022.01.03</t>
  </si>
  <si>
    <t>전설이 돼라 [개정판][단행본]</t>
  </si>
  <si>
    <t>2022.03.02</t>
  </si>
  <si>
    <t>베르사유의 장미 [BL]</t>
  </si>
  <si>
    <t>SISSI</t>
  </si>
  <si>
    <t>2020.04.21</t>
  </si>
  <si>
    <t>테이크 백(Take Back) [단행본]</t>
  </si>
  <si>
    <t>일락</t>
  </si>
  <si>
    <t>2022.06.24</t>
  </si>
  <si>
    <t>나쁜 피 [BL][단행본]</t>
  </si>
  <si>
    <t>이예즈</t>
  </si>
  <si>
    <t>2019.03.12</t>
  </si>
  <si>
    <t>끝도 없이 젖어드는 [단행본]</t>
  </si>
  <si>
    <t>이서윤</t>
  </si>
  <si>
    <t>2019.05.10</t>
  </si>
  <si>
    <t>달보드레 [BL] [단행본]</t>
  </si>
  <si>
    <t>시아</t>
  </si>
  <si>
    <t>2018.05.18</t>
  </si>
  <si>
    <t>익스클루시브(Exclusive) [BL][단행본]</t>
  </si>
  <si>
    <t>사틴</t>
  </si>
  <si>
    <t>2021.08.13</t>
  </si>
  <si>
    <t>슈크림 [단행본]</t>
  </si>
  <si>
    <t>송민선</t>
  </si>
  <si>
    <t>2022.04.15</t>
  </si>
  <si>
    <t>깃들다 [단행본]</t>
  </si>
  <si>
    <t>현진서</t>
  </si>
  <si>
    <t>2022.06.22</t>
  </si>
  <si>
    <t>달보드레 외전 [BL] [단행본]</t>
  </si>
  <si>
    <t>2018.08.10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</si>
</sst>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2" fillId="0" borderId="0" xfId="0" applyFont="1">
      <alignment vertical="center"/>
    </xf>
    <xf numFmtId="41" fontId="24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71"/>
  <sheetViews>
    <sheetView tabSelected="1" topLeftCell="BA46" zoomScaleNormal="100" workbookViewId="0">
      <selection activeCell="BL56" sqref="BL56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6" bestFit="1" customWidth="1"/>
    <col min="67" max="67" width="13.3984375" style="14" customWidth="1"/>
  </cols>
  <sheetData>
    <row r="1" spans="1:69" ht="27" customHeight="1" x14ac:dyDescent="0.4">
      <c r="A1" s="2" t="s">
        <v>67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68</v>
      </c>
      <c r="I1" s="13" t="s">
        <v>6</v>
      </c>
      <c r="J1" s="12" t="s">
        <v>69</v>
      </c>
      <c r="K1" s="12" t="s">
        <v>70</v>
      </c>
      <c r="L1" s="12" t="s">
        <v>71</v>
      </c>
      <c r="M1" s="12" t="s">
        <v>72</v>
      </c>
      <c r="N1" s="12" t="s">
        <v>73</v>
      </c>
      <c r="O1" s="12" t="s">
        <v>74</v>
      </c>
      <c r="P1" s="12" t="s">
        <v>75</v>
      </c>
      <c r="Q1" s="12" t="s">
        <v>76</v>
      </c>
      <c r="R1" s="12" t="s">
        <v>77</v>
      </c>
      <c r="S1" s="12" t="s">
        <v>78</v>
      </c>
      <c r="T1" s="12" t="s">
        <v>79</v>
      </c>
      <c r="U1" s="12" t="s">
        <v>80</v>
      </c>
      <c r="V1" s="12" t="s">
        <v>81</v>
      </c>
      <c r="W1" s="12" t="s">
        <v>82</v>
      </c>
      <c r="X1" s="12" t="s">
        <v>83</v>
      </c>
      <c r="Y1" s="12" t="s">
        <v>84</v>
      </c>
      <c r="Z1" s="12" t="s">
        <v>85</v>
      </c>
      <c r="AA1" s="12" t="s">
        <v>86</v>
      </c>
      <c r="AB1" s="12" t="s">
        <v>87</v>
      </c>
      <c r="AC1" s="12" t="s">
        <v>88</v>
      </c>
      <c r="AD1" s="12" t="s">
        <v>89</v>
      </c>
      <c r="AE1" s="12" t="s">
        <v>90</v>
      </c>
      <c r="AF1" s="12" t="s">
        <v>91</v>
      </c>
      <c r="AG1" s="12" t="s">
        <v>92</v>
      </c>
      <c r="AH1" s="12" t="s">
        <v>93</v>
      </c>
      <c r="AI1" s="12" t="s">
        <v>94</v>
      </c>
      <c r="AJ1" s="12" t="s">
        <v>95</v>
      </c>
      <c r="AK1" s="12" t="s">
        <v>96</v>
      </c>
      <c r="AL1" s="12" t="s">
        <v>97</v>
      </c>
      <c r="AM1" s="12" t="s">
        <v>98</v>
      </c>
      <c r="AN1" s="12" t="s">
        <v>99</v>
      </c>
      <c r="AO1" s="12" t="s">
        <v>100</v>
      </c>
      <c r="AP1" s="12" t="s">
        <v>101</v>
      </c>
      <c r="AQ1" s="12" t="s">
        <v>102</v>
      </c>
      <c r="AR1" s="12" t="s">
        <v>103</v>
      </c>
      <c r="AS1" s="12" t="s">
        <v>104</v>
      </c>
      <c r="AT1" s="12" t="s">
        <v>105</v>
      </c>
      <c r="AU1" s="12" t="s">
        <v>106</v>
      </c>
      <c r="AV1" s="12" t="s">
        <v>107</v>
      </c>
      <c r="AW1" s="12" t="s">
        <v>108</v>
      </c>
      <c r="AX1" s="12" t="s">
        <v>109</v>
      </c>
      <c r="AY1" s="12" t="s">
        <v>110</v>
      </c>
      <c r="AZ1" s="12" t="s">
        <v>111</v>
      </c>
      <c r="BA1" s="12" t="s">
        <v>112</v>
      </c>
      <c r="BB1" s="12" t="s">
        <v>113</v>
      </c>
      <c r="BC1" s="12" t="s">
        <v>114</v>
      </c>
      <c r="BD1" s="12" t="s">
        <v>115</v>
      </c>
      <c r="BE1" s="12" t="s">
        <v>116</v>
      </c>
      <c r="BF1" s="12" t="s">
        <v>117</v>
      </c>
      <c r="BG1" s="12" t="s">
        <v>118</v>
      </c>
      <c r="BH1" s="12" t="s">
        <v>119</v>
      </c>
      <c r="BI1" s="12" t="s">
        <v>120</v>
      </c>
      <c r="BJ1" s="12" t="s">
        <v>121</v>
      </c>
      <c r="BK1" s="12" t="s">
        <v>122</v>
      </c>
      <c r="BL1" s="12" t="s">
        <v>11</v>
      </c>
      <c r="BM1" s="12" t="s">
        <v>10</v>
      </c>
      <c r="BN1" s="12" t="s">
        <v>123</v>
      </c>
      <c r="BO1" s="12" t="s">
        <v>124</v>
      </c>
      <c r="BP1" s="12" t="s">
        <v>168</v>
      </c>
      <c r="BQ1" s="12" t="s">
        <v>169</v>
      </c>
    </row>
    <row r="2" spans="1:69" x14ac:dyDescent="0.4">
      <c r="A2" s="5" t="s">
        <v>65</v>
      </c>
      <c r="B2" s="5" t="s">
        <v>153</v>
      </c>
      <c r="C2" s="5">
        <v>480607</v>
      </c>
      <c r="D2" s="6"/>
      <c r="E2" s="5" t="s">
        <v>13</v>
      </c>
      <c r="F2" s="5" t="s">
        <v>154</v>
      </c>
      <c r="G2" s="5" t="s">
        <v>19</v>
      </c>
      <c r="H2" s="7" t="s">
        <v>21</v>
      </c>
      <c r="I2" s="7" t="s">
        <v>155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6</v>
      </c>
      <c r="AF2" s="8">
        <v>15000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15000</v>
      </c>
      <c r="BN2" s="14">
        <f>BM2-BL2</f>
        <v>15000</v>
      </c>
      <c r="BO2" s="15">
        <f>BN2*70%</f>
        <v>10500</v>
      </c>
    </row>
    <row r="3" spans="1:69" x14ac:dyDescent="0.4">
      <c r="A3" s="5" t="s">
        <v>65</v>
      </c>
      <c r="B3" s="5" t="s">
        <v>34</v>
      </c>
      <c r="C3" s="5">
        <v>395231</v>
      </c>
      <c r="D3" s="6"/>
      <c r="E3" s="5" t="s">
        <v>13</v>
      </c>
      <c r="F3" s="5" t="s">
        <v>22</v>
      </c>
      <c r="G3" s="5" t="s">
        <v>23</v>
      </c>
      <c r="H3" s="7" t="s">
        <v>21</v>
      </c>
      <c r="I3" s="7" t="s">
        <v>35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</v>
      </c>
      <c r="AF3" s="8">
        <v>6800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1</v>
      </c>
      <c r="BD3" s="7">
        <v>240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14.4</v>
      </c>
      <c r="BM3" s="10">
        <v>7040</v>
      </c>
      <c r="BN3" s="14">
        <f t="shared" ref="BN3:BN26" si="0">BM3-BL3</f>
        <v>7025.6</v>
      </c>
      <c r="BO3" s="15">
        <f t="shared" ref="BO3:BO26" si="1">BN3*70%</f>
        <v>4917.92</v>
      </c>
    </row>
    <row r="4" spans="1:69" x14ac:dyDescent="0.4">
      <c r="A4" s="5" t="s">
        <v>65</v>
      </c>
      <c r="B4" s="5" t="s">
        <v>40</v>
      </c>
      <c r="C4" s="5">
        <v>470383</v>
      </c>
      <c r="D4" s="6"/>
      <c r="E4" s="5" t="s">
        <v>13</v>
      </c>
      <c r="F4" s="5" t="s">
        <v>41</v>
      </c>
      <c r="G4" s="5" t="s">
        <v>19</v>
      </c>
      <c r="H4" s="7" t="s">
        <v>21</v>
      </c>
      <c r="I4" s="7" t="s">
        <v>42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3</v>
      </c>
      <c r="AF4" s="8">
        <v>2000</v>
      </c>
      <c r="AG4" s="7">
        <v>600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1</v>
      </c>
      <c r="AR4" s="7">
        <v>0</v>
      </c>
      <c r="AS4" s="8">
        <v>1600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1</v>
      </c>
      <c r="BJ4" s="8">
        <v>2160</v>
      </c>
      <c r="BK4" s="7">
        <v>0</v>
      </c>
      <c r="BL4" s="7">
        <v>108</v>
      </c>
      <c r="BM4" s="10">
        <v>6360</v>
      </c>
      <c r="BN4" s="14">
        <f t="shared" si="0"/>
        <v>6252</v>
      </c>
      <c r="BO4" s="15">
        <f t="shared" si="1"/>
        <v>4376.3999999999996</v>
      </c>
    </row>
    <row r="5" spans="1:69" x14ac:dyDescent="0.4">
      <c r="A5" s="5" t="s">
        <v>65</v>
      </c>
      <c r="B5" s="5" t="s">
        <v>156</v>
      </c>
      <c r="C5" s="5">
        <v>480605</v>
      </c>
      <c r="D5" s="6"/>
      <c r="E5" s="5" t="s">
        <v>13</v>
      </c>
      <c r="F5" s="5" t="s">
        <v>157</v>
      </c>
      <c r="G5" s="5" t="s">
        <v>19</v>
      </c>
      <c r="H5" s="7" t="s">
        <v>21</v>
      </c>
      <c r="I5" s="7" t="s">
        <v>158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</v>
      </c>
      <c r="AF5" s="7">
        <v>0</v>
      </c>
      <c r="AG5" s="8">
        <v>2000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2</v>
      </c>
      <c r="AR5" s="8">
        <v>4000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6000</v>
      </c>
      <c r="BN5" s="14">
        <f t="shared" si="0"/>
        <v>6000</v>
      </c>
      <c r="BO5" s="15">
        <f t="shared" si="1"/>
        <v>4200</v>
      </c>
    </row>
    <row r="6" spans="1:69" x14ac:dyDescent="0.4">
      <c r="A6" s="5" t="s">
        <v>65</v>
      </c>
      <c r="B6" s="5" t="s">
        <v>127</v>
      </c>
      <c r="C6" s="5">
        <v>477493</v>
      </c>
      <c r="D6" s="6"/>
      <c r="E6" s="5" t="s">
        <v>13</v>
      </c>
      <c r="F6" s="5" t="s">
        <v>32</v>
      </c>
      <c r="G6" s="5" t="s">
        <v>19</v>
      </c>
      <c r="H6" s="7" t="s">
        <v>7</v>
      </c>
      <c r="I6" s="7" t="s">
        <v>128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</v>
      </c>
      <c r="AF6" s="8">
        <v>4000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4000</v>
      </c>
      <c r="BN6" s="14">
        <f t="shared" si="0"/>
        <v>4000</v>
      </c>
      <c r="BO6" s="15">
        <f t="shared" si="1"/>
        <v>2800</v>
      </c>
    </row>
    <row r="7" spans="1:69" x14ac:dyDescent="0.4">
      <c r="A7" s="5" t="s">
        <v>149</v>
      </c>
      <c r="B7" s="5" t="s">
        <v>159</v>
      </c>
      <c r="C7" s="5">
        <v>465773</v>
      </c>
      <c r="D7" s="6"/>
      <c r="E7" s="5" t="s">
        <v>13</v>
      </c>
      <c r="F7" s="5" t="s">
        <v>160</v>
      </c>
      <c r="G7" s="5" t="s">
        <v>19</v>
      </c>
      <c r="H7" s="7" t="s">
        <v>21</v>
      </c>
      <c r="I7" s="7" t="s">
        <v>161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8">
        <v>3500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3500</v>
      </c>
      <c r="BN7" s="14">
        <f t="shared" si="0"/>
        <v>3500</v>
      </c>
      <c r="BO7" s="15">
        <f t="shared" si="1"/>
        <v>2450</v>
      </c>
    </row>
    <row r="8" spans="1:69" x14ac:dyDescent="0.4">
      <c r="A8" s="5" t="s">
        <v>65</v>
      </c>
      <c r="B8" s="5" t="s">
        <v>141</v>
      </c>
      <c r="C8" s="5">
        <v>459229</v>
      </c>
      <c r="D8" s="6"/>
      <c r="E8" s="5" t="s">
        <v>13</v>
      </c>
      <c r="F8" s="5" t="s">
        <v>129</v>
      </c>
      <c r="G8" s="5" t="s">
        <v>19</v>
      </c>
      <c r="H8" s="7" t="s">
        <v>21</v>
      </c>
      <c r="I8" s="7" t="s">
        <v>142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8">
        <v>3000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3000</v>
      </c>
      <c r="BN8" s="14">
        <f t="shared" si="0"/>
        <v>3000</v>
      </c>
      <c r="BO8" s="15">
        <f t="shared" si="1"/>
        <v>2100</v>
      </c>
    </row>
    <row r="9" spans="1:69" x14ac:dyDescent="0.4">
      <c r="A9" s="5" t="s">
        <v>149</v>
      </c>
      <c r="B9" s="5" t="s">
        <v>54</v>
      </c>
      <c r="C9" s="5">
        <v>472520</v>
      </c>
      <c r="D9" s="6"/>
      <c r="E9" s="5" t="s">
        <v>13</v>
      </c>
      <c r="F9" s="5" t="s">
        <v>55</v>
      </c>
      <c r="G9" s="5" t="s">
        <v>19</v>
      </c>
      <c r="H9" s="7" t="s">
        <v>21</v>
      </c>
      <c r="I9" s="7" t="s">
        <v>56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</v>
      </c>
      <c r="AF9" s="8">
        <v>3000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3000</v>
      </c>
      <c r="BN9" s="14">
        <f t="shared" si="0"/>
        <v>3000</v>
      </c>
      <c r="BO9" s="15">
        <f t="shared" si="1"/>
        <v>2100</v>
      </c>
    </row>
    <row r="10" spans="1:69" x14ac:dyDescent="0.4">
      <c r="A10" s="5" t="s">
        <v>149</v>
      </c>
      <c r="B10" s="5" t="s">
        <v>57</v>
      </c>
      <c r="C10" s="5">
        <v>380954</v>
      </c>
      <c r="D10" s="6"/>
      <c r="E10" s="5" t="s">
        <v>13</v>
      </c>
      <c r="F10" s="5" t="s">
        <v>25</v>
      </c>
      <c r="G10" s="5" t="s">
        <v>15</v>
      </c>
      <c r="H10" s="7" t="s">
        <v>7</v>
      </c>
      <c r="I10" s="7" t="s">
        <v>58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8">
        <v>2500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2500</v>
      </c>
      <c r="BN10" s="14">
        <f t="shared" si="0"/>
        <v>2500</v>
      </c>
      <c r="BO10" s="15">
        <f t="shared" si="1"/>
        <v>1750</v>
      </c>
    </row>
    <row r="11" spans="1:69" x14ac:dyDescent="0.4">
      <c r="A11" s="5" t="s">
        <v>149</v>
      </c>
      <c r="B11" s="5" t="s">
        <v>17</v>
      </c>
      <c r="C11" s="5">
        <v>464786</v>
      </c>
      <c r="D11" s="6"/>
      <c r="E11" s="5" t="s">
        <v>13</v>
      </c>
      <c r="F11" s="5" t="s">
        <v>18</v>
      </c>
      <c r="G11" s="5" t="s">
        <v>19</v>
      </c>
      <c r="H11" s="7" t="s">
        <v>9</v>
      </c>
      <c r="I11" s="7" t="s">
        <v>20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</v>
      </c>
      <c r="AR11" s="8">
        <v>2500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2500</v>
      </c>
      <c r="BN11" s="14">
        <f t="shared" si="0"/>
        <v>2500</v>
      </c>
      <c r="BO11" s="15">
        <f t="shared" si="1"/>
        <v>1750</v>
      </c>
    </row>
    <row r="12" spans="1:69" ht="19.2" x14ac:dyDescent="0.4">
      <c r="A12" s="5" t="s">
        <v>65</v>
      </c>
      <c r="B12" s="5" t="s">
        <v>162</v>
      </c>
      <c r="C12" s="5">
        <v>468582</v>
      </c>
      <c r="D12" s="6"/>
      <c r="E12" s="5" t="s">
        <v>13</v>
      </c>
      <c r="F12" s="5" t="s">
        <v>163</v>
      </c>
      <c r="G12" s="5" t="s">
        <v>19</v>
      </c>
      <c r="H12" s="7" t="s">
        <v>9</v>
      </c>
      <c r="I12" s="7" t="s">
        <v>164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8">
        <v>1300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1</v>
      </c>
      <c r="AR12" s="8">
        <v>1200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2500</v>
      </c>
      <c r="BN12" s="14">
        <f t="shared" si="0"/>
        <v>2500</v>
      </c>
      <c r="BO12" s="15">
        <f t="shared" si="1"/>
        <v>1750</v>
      </c>
    </row>
    <row r="13" spans="1:69" x14ac:dyDescent="0.4">
      <c r="A13" s="5" t="s">
        <v>65</v>
      </c>
      <c r="B13" s="5" t="s">
        <v>29</v>
      </c>
      <c r="C13" s="5">
        <v>461347</v>
      </c>
      <c r="D13" s="6"/>
      <c r="E13" s="5" t="s">
        <v>13</v>
      </c>
      <c r="F13" s="5" t="s">
        <v>24</v>
      </c>
      <c r="G13" s="5" t="s">
        <v>19</v>
      </c>
      <c r="H13" s="7" t="s">
        <v>21</v>
      </c>
      <c r="I13" s="7" t="s">
        <v>30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1</v>
      </c>
      <c r="AR13" s="8">
        <v>2000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2000</v>
      </c>
      <c r="BN13" s="14">
        <f t="shared" si="0"/>
        <v>2000</v>
      </c>
      <c r="BO13" s="15">
        <f t="shared" si="1"/>
        <v>1400</v>
      </c>
    </row>
    <row r="14" spans="1:69" x14ac:dyDescent="0.4">
      <c r="A14" s="5" t="s">
        <v>65</v>
      </c>
      <c r="B14" s="5" t="s">
        <v>43</v>
      </c>
      <c r="C14" s="5">
        <v>472516</v>
      </c>
      <c r="D14" s="6"/>
      <c r="E14" s="5" t="s">
        <v>13</v>
      </c>
      <c r="F14" s="5" t="s">
        <v>44</v>
      </c>
      <c r="G14" s="5" t="s">
        <v>19</v>
      </c>
      <c r="H14" s="7" t="s">
        <v>21</v>
      </c>
      <c r="I14" s="7" t="s">
        <v>45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1</v>
      </c>
      <c r="AL14" s="7">
        <v>0</v>
      </c>
      <c r="AM14" s="8">
        <v>2000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2000</v>
      </c>
      <c r="BN14" s="14">
        <f t="shared" si="0"/>
        <v>2000</v>
      </c>
      <c r="BO14" s="15">
        <f t="shared" si="1"/>
        <v>1400</v>
      </c>
    </row>
    <row r="15" spans="1:69" x14ac:dyDescent="0.4">
      <c r="A15" s="5" t="s">
        <v>149</v>
      </c>
      <c r="B15" s="5" t="s">
        <v>46</v>
      </c>
      <c r="C15" s="5">
        <v>408836</v>
      </c>
      <c r="D15" s="6"/>
      <c r="E15" s="5" t="s">
        <v>13</v>
      </c>
      <c r="F15" s="5" t="s">
        <v>26</v>
      </c>
      <c r="G15" s="5" t="s">
        <v>15</v>
      </c>
      <c r="H15" s="7" t="s">
        <v>7</v>
      </c>
      <c r="I15" s="7" t="s">
        <v>47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</v>
      </c>
      <c r="AC15" s="8">
        <v>1400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1400</v>
      </c>
      <c r="BN15" s="14">
        <f t="shared" si="0"/>
        <v>1400</v>
      </c>
      <c r="BO15" s="15">
        <f t="shared" si="1"/>
        <v>979.99999999999989</v>
      </c>
    </row>
    <row r="16" spans="1:69" x14ac:dyDescent="0.4">
      <c r="A16" s="5" t="s">
        <v>149</v>
      </c>
      <c r="B16" s="5" t="s">
        <v>135</v>
      </c>
      <c r="C16" s="5">
        <v>365225</v>
      </c>
      <c r="D16" s="6"/>
      <c r="E16" s="5" t="s">
        <v>13</v>
      </c>
      <c r="F16" s="5" t="s">
        <v>26</v>
      </c>
      <c r="G16" s="5" t="s">
        <v>15</v>
      </c>
      <c r="H16" s="7" t="s">
        <v>7</v>
      </c>
      <c r="I16" s="7" t="s">
        <v>136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900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900</v>
      </c>
      <c r="BN16" s="14">
        <f t="shared" si="0"/>
        <v>900</v>
      </c>
      <c r="BO16" s="15">
        <f t="shared" si="1"/>
        <v>630</v>
      </c>
    </row>
    <row r="17" spans="1:67" x14ac:dyDescent="0.4">
      <c r="A17" s="5" t="s">
        <v>149</v>
      </c>
      <c r="B17" s="5" t="s">
        <v>165</v>
      </c>
      <c r="C17" s="5">
        <v>424315</v>
      </c>
      <c r="D17" s="6"/>
      <c r="E17" s="5" t="s">
        <v>13</v>
      </c>
      <c r="F17" s="5" t="s">
        <v>26</v>
      </c>
      <c r="G17" s="5" t="s">
        <v>15</v>
      </c>
      <c r="H17" s="7" t="s">
        <v>7</v>
      </c>
      <c r="I17" s="7" t="s">
        <v>166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7">
        <v>900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900</v>
      </c>
      <c r="BN17" s="14">
        <f t="shared" si="0"/>
        <v>900</v>
      </c>
      <c r="BO17" s="15">
        <f t="shared" si="1"/>
        <v>630</v>
      </c>
    </row>
    <row r="18" spans="1:67" x14ac:dyDescent="0.4">
      <c r="A18" s="5" t="s">
        <v>149</v>
      </c>
      <c r="B18" s="5" t="s">
        <v>62</v>
      </c>
      <c r="C18" s="5">
        <v>469971</v>
      </c>
      <c r="D18" s="6"/>
      <c r="E18" s="5" t="s">
        <v>13</v>
      </c>
      <c r="F18" s="5" t="s">
        <v>63</v>
      </c>
      <c r="G18" s="5" t="s">
        <v>64</v>
      </c>
      <c r="H18" s="7" t="s">
        <v>7</v>
      </c>
      <c r="I18" s="7" t="s">
        <v>167</v>
      </c>
      <c r="J18" s="7">
        <v>0</v>
      </c>
      <c r="K18" s="7">
        <v>9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3</v>
      </c>
      <c r="AF18" s="7">
        <v>300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1</v>
      </c>
      <c r="BD18" s="7">
        <v>120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7.2</v>
      </c>
      <c r="BM18" s="11">
        <v>420</v>
      </c>
      <c r="BN18" s="14">
        <f t="shared" si="0"/>
        <v>412.8</v>
      </c>
      <c r="BO18" s="15">
        <f t="shared" si="1"/>
        <v>288.95999999999998</v>
      </c>
    </row>
    <row r="19" spans="1:67" x14ac:dyDescent="0.4">
      <c r="A19" s="5" t="s">
        <v>149</v>
      </c>
      <c r="B19" s="5" t="s">
        <v>39</v>
      </c>
      <c r="C19" s="5">
        <v>395237</v>
      </c>
      <c r="D19" s="6"/>
      <c r="E19" s="5" t="s">
        <v>13</v>
      </c>
      <c r="F19" s="5" t="s">
        <v>22</v>
      </c>
      <c r="G19" s="5" t="s">
        <v>23</v>
      </c>
      <c r="H19" s="7" t="s">
        <v>21</v>
      </c>
      <c r="I19" s="7" t="s">
        <v>35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</v>
      </c>
      <c r="BD19" s="7">
        <v>240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14.4</v>
      </c>
      <c r="BM19" s="11">
        <v>240</v>
      </c>
      <c r="BN19" s="14">
        <f t="shared" si="0"/>
        <v>225.6</v>
      </c>
      <c r="BO19" s="15">
        <f t="shared" si="1"/>
        <v>157.91999999999999</v>
      </c>
    </row>
    <row r="20" spans="1:67" x14ac:dyDescent="0.4">
      <c r="A20" s="5" t="s">
        <v>149</v>
      </c>
      <c r="B20" s="5" t="s">
        <v>16</v>
      </c>
      <c r="C20" s="5">
        <v>451051</v>
      </c>
      <c r="D20" s="6"/>
      <c r="E20" s="5" t="s">
        <v>13</v>
      </c>
      <c r="F20" s="5" t="s">
        <v>14</v>
      </c>
      <c r="G20" s="5" t="s">
        <v>15</v>
      </c>
      <c r="H20" s="7" t="s">
        <v>9</v>
      </c>
      <c r="I20" s="7" t="s">
        <v>12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</v>
      </c>
      <c r="AF20" s="7">
        <v>200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200</v>
      </c>
      <c r="BN20" s="14">
        <f t="shared" si="0"/>
        <v>200</v>
      </c>
      <c r="BO20" s="15">
        <f t="shared" si="1"/>
        <v>140</v>
      </c>
    </row>
    <row r="21" spans="1:67" x14ac:dyDescent="0.4">
      <c r="A21" s="5" t="s">
        <v>149</v>
      </c>
      <c r="B21" s="5" t="s">
        <v>137</v>
      </c>
      <c r="C21" s="5">
        <v>367415</v>
      </c>
      <c r="D21" s="6"/>
      <c r="E21" s="5" t="s">
        <v>13</v>
      </c>
      <c r="F21" s="5" t="s">
        <v>25</v>
      </c>
      <c r="G21" s="5" t="s">
        <v>15</v>
      </c>
      <c r="H21" s="7" t="s">
        <v>7</v>
      </c>
      <c r="I21" s="7" t="s">
        <v>138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5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0</v>
      </c>
      <c r="BN21" s="14">
        <f t="shared" si="0"/>
        <v>0</v>
      </c>
      <c r="BO21" s="15">
        <f t="shared" si="1"/>
        <v>0</v>
      </c>
    </row>
    <row r="22" spans="1:67" x14ac:dyDescent="0.4">
      <c r="A22" s="5" t="s">
        <v>150</v>
      </c>
      <c r="B22" s="5" t="s">
        <v>16</v>
      </c>
      <c r="C22" s="5">
        <v>451051</v>
      </c>
      <c r="D22" s="6"/>
      <c r="E22" s="5" t="s">
        <v>13</v>
      </c>
      <c r="F22" s="5" t="s">
        <v>14</v>
      </c>
      <c r="G22" s="5" t="s">
        <v>15</v>
      </c>
      <c r="H22" s="7" t="s">
        <v>9</v>
      </c>
      <c r="I22" s="7" t="s">
        <v>12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40</v>
      </c>
      <c r="AF22" s="7">
        <v>0</v>
      </c>
      <c r="AG22" s="8">
        <v>4000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301</v>
      </c>
      <c r="AR22" s="8">
        <v>29600</v>
      </c>
      <c r="AS22" s="7">
        <v>500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34100</v>
      </c>
      <c r="BN22" s="14">
        <f t="shared" si="0"/>
        <v>34100</v>
      </c>
      <c r="BO22" s="15">
        <f t="shared" si="1"/>
        <v>23870</v>
      </c>
    </row>
    <row r="23" spans="1:67" x14ac:dyDescent="0.4">
      <c r="A23" s="5" t="s">
        <v>151</v>
      </c>
      <c r="B23" s="5" t="s">
        <v>170</v>
      </c>
      <c r="C23" s="5">
        <v>367412</v>
      </c>
      <c r="D23" s="6"/>
      <c r="E23" s="5" t="s">
        <v>13</v>
      </c>
      <c r="F23" s="5" t="s">
        <v>25</v>
      </c>
      <c r="G23" s="5" t="s">
        <v>15</v>
      </c>
      <c r="H23" s="7" t="s">
        <v>7</v>
      </c>
      <c r="I23" s="7" t="s">
        <v>58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2</v>
      </c>
      <c r="AF23" s="7">
        <v>0</v>
      </c>
      <c r="AG23" s="7">
        <v>500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9</v>
      </c>
      <c r="AR23" s="8">
        <v>27700</v>
      </c>
      <c r="AS23" s="7">
        <v>600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28800</v>
      </c>
      <c r="BN23" s="14">
        <f t="shared" si="0"/>
        <v>28800</v>
      </c>
      <c r="BO23" s="15">
        <f t="shared" si="1"/>
        <v>20160</v>
      </c>
    </row>
    <row r="24" spans="1:67" x14ac:dyDescent="0.4">
      <c r="A24" s="5" t="s">
        <v>151</v>
      </c>
      <c r="B24" s="5" t="s">
        <v>125</v>
      </c>
      <c r="C24" s="5">
        <v>453656</v>
      </c>
      <c r="D24" s="6"/>
      <c r="E24" s="5" t="s">
        <v>13</v>
      </c>
      <c r="F24" s="5" t="s">
        <v>14</v>
      </c>
      <c r="G24" s="5" t="s">
        <v>15</v>
      </c>
      <c r="H24" s="7" t="s">
        <v>7</v>
      </c>
      <c r="I24" s="7" t="s">
        <v>126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13</v>
      </c>
      <c r="AC24" s="8">
        <v>11100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1</v>
      </c>
      <c r="AO24" s="7">
        <v>900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1</v>
      </c>
      <c r="BA24" s="7">
        <v>720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43.2</v>
      </c>
      <c r="BM24" s="10">
        <v>12720</v>
      </c>
      <c r="BN24" s="14">
        <f t="shared" si="0"/>
        <v>12676.8</v>
      </c>
      <c r="BO24" s="15">
        <f t="shared" si="1"/>
        <v>8873.7599999999984</v>
      </c>
    </row>
    <row r="25" spans="1:67" x14ac:dyDescent="0.4">
      <c r="A25" s="5" t="s">
        <v>151</v>
      </c>
      <c r="B25" s="5" t="s">
        <v>137</v>
      </c>
      <c r="C25" s="5">
        <v>367415</v>
      </c>
      <c r="D25" s="6"/>
      <c r="E25" s="5" t="s">
        <v>13</v>
      </c>
      <c r="F25" s="5" t="s">
        <v>25</v>
      </c>
      <c r="G25" s="5" t="s">
        <v>15</v>
      </c>
      <c r="H25" s="7" t="s">
        <v>7</v>
      </c>
      <c r="I25" s="7" t="s">
        <v>138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12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86</v>
      </c>
      <c r="AF25" s="8">
        <v>8600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8600</v>
      </c>
      <c r="BN25" s="14">
        <f t="shared" si="0"/>
        <v>8600</v>
      </c>
      <c r="BO25" s="15">
        <f t="shared" si="1"/>
        <v>6020</v>
      </c>
    </row>
    <row r="26" spans="1:67" x14ac:dyDescent="0.4">
      <c r="A26" s="5" t="s">
        <v>132</v>
      </c>
      <c r="B26" s="5" t="s">
        <v>27</v>
      </c>
      <c r="C26" s="5">
        <v>453445</v>
      </c>
      <c r="D26" s="6"/>
      <c r="E26" s="5" t="s">
        <v>13</v>
      </c>
      <c r="F26" s="5" t="s">
        <v>14</v>
      </c>
      <c r="G26" s="5" t="s">
        <v>15</v>
      </c>
      <c r="H26" s="7" t="s">
        <v>8</v>
      </c>
      <c r="I26" s="7" t="s">
        <v>28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7</v>
      </c>
      <c r="AC26" s="8">
        <v>6300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2</v>
      </c>
      <c r="AO26" s="8">
        <v>1800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8100</v>
      </c>
      <c r="BN26" s="14">
        <f t="shared" si="0"/>
        <v>8100</v>
      </c>
      <c r="BO26" s="15">
        <f t="shared" si="1"/>
        <v>5670</v>
      </c>
    </row>
    <row r="27" spans="1:67" x14ac:dyDescent="0.4">
      <c r="A27" s="5" t="s">
        <v>151</v>
      </c>
      <c r="B27" s="5" t="s">
        <v>171</v>
      </c>
      <c r="C27" s="5">
        <v>455896</v>
      </c>
      <c r="D27" s="6"/>
      <c r="E27" s="5" t="s">
        <v>13</v>
      </c>
      <c r="F27" s="5" t="s">
        <v>14</v>
      </c>
      <c r="G27" s="5" t="s">
        <v>15</v>
      </c>
      <c r="H27" s="7" t="s">
        <v>7</v>
      </c>
      <c r="I27" s="7" t="s">
        <v>172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57</v>
      </c>
      <c r="AF27" s="8">
        <v>5700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5700</v>
      </c>
      <c r="BN27" s="14">
        <f t="shared" ref="BN27:BN62" si="2">BM27-BL27</f>
        <v>5700</v>
      </c>
      <c r="BO27" s="15">
        <f t="shared" ref="BO27:BO62" si="3">BN27*70%</f>
        <v>3989.9999999999995</v>
      </c>
    </row>
    <row r="28" spans="1:67" x14ac:dyDescent="0.4">
      <c r="A28" s="5" t="s">
        <v>151</v>
      </c>
      <c r="B28" s="5" t="s">
        <v>46</v>
      </c>
      <c r="C28" s="5">
        <v>408836</v>
      </c>
      <c r="D28" s="6"/>
      <c r="E28" s="5" t="s">
        <v>13</v>
      </c>
      <c r="F28" s="5" t="s">
        <v>26</v>
      </c>
      <c r="G28" s="5" t="s">
        <v>15</v>
      </c>
      <c r="H28" s="7" t="s">
        <v>7</v>
      </c>
      <c r="I28" s="7" t="s">
        <v>47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5</v>
      </c>
      <c r="AC28" s="8">
        <v>3500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3500</v>
      </c>
      <c r="BN28" s="14">
        <f t="shared" si="2"/>
        <v>3500</v>
      </c>
      <c r="BO28" s="15">
        <f t="shared" si="3"/>
        <v>2450</v>
      </c>
    </row>
    <row r="29" spans="1:67" x14ac:dyDescent="0.4">
      <c r="A29" s="5" t="s">
        <v>151</v>
      </c>
      <c r="B29" s="5" t="s">
        <v>62</v>
      </c>
      <c r="C29" s="5">
        <v>469971</v>
      </c>
      <c r="D29" s="6"/>
      <c r="E29" s="5" t="s">
        <v>13</v>
      </c>
      <c r="F29" s="5" t="s">
        <v>63</v>
      </c>
      <c r="G29" s="5" t="s">
        <v>64</v>
      </c>
      <c r="H29" s="7" t="s">
        <v>7</v>
      </c>
      <c r="I29" s="7" t="s">
        <v>167</v>
      </c>
      <c r="J29" s="7">
        <v>0</v>
      </c>
      <c r="K29" s="7">
        <v>4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21</v>
      </c>
      <c r="AF29" s="8">
        <v>2100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3</v>
      </c>
      <c r="BD29" s="7">
        <v>360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21.6</v>
      </c>
      <c r="BM29" s="10">
        <v>2460</v>
      </c>
      <c r="BN29" s="14">
        <f t="shared" si="2"/>
        <v>2438.4</v>
      </c>
      <c r="BO29" s="15">
        <f t="shared" si="3"/>
        <v>1706.8799999999999</v>
      </c>
    </row>
    <row r="30" spans="1:67" x14ac:dyDescent="0.4">
      <c r="A30" s="5" t="s">
        <v>132</v>
      </c>
      <c r="B30" s="5" t="s">
        <v>57</v>
      </c>
      <c r="C30" s="5">
        <v>380954</v>
      </c>
      <c r="D30" s="6"/>
      <c r="E30" s="5" t="s">
        <v>13</v>
      </c>
      <c r="F30" s="5" t="s">
        <v>25</v>
      </c>
      <c r="G30" s="5" t="s">
        <v>15</v>
      </c>
      <c r="H30" s="7" t="s">
        <v>7</v>
      </c>
      <c r="I30" s="7" t="s">
        <v>58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2</v>
      </c>
      <c r="BA30" s="8">
        <v>2160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129.6</v>
      </c>
      <c r="BM30" s="10">
        <v>2160</v>
      </c>
      <c r="BN30" s="14">
        <f t="shared" si="2"/>
        <v>2030.4</v>
      </c>
      <c r="BO30" s="15">
        <f t="shared" si="3"/>
        <v>1421.28</v>
      </c>
    </row>
    <row r="31" spans="1:67" x14ac:dyDescent="0.4">
      <c r="A31" s="5" t="s">
        <v>132</v>
      </c>
      <c r="B31" s="5" t="s">
        <v>135</v>
      </c>
      <c r="C31" s="5">
        <v>365225</v>
      </c>
      <c r="D31" s="6"/>
      <c r="E31" s="5" t="s">
        <v>13</v>
      </c>
      <c r="F31" s="5" t="s">
        <v>26</v>
      </c>
      <c r="G31" s="5" t="s">
        <v>15</v>
      </c>
      <c r="H31" s="7" t="s">
        <v>7</v>
      </c>
      <c r="I31" s="7" t="s">
        <v>136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2</v>
      </c>
      <c r="AC31" s="8">
        <v>1800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1800</v>
      </c>
      <c r="BN31" s="14">
        <f t="shared" si="2"/>
        <v>1800</v>
      </c>
      <c r="BO31" s="15">
        <f t="shared" si="3"/>
        <v>1260</v>
      </c>
    </row>
    <row r="32" spans="1:67" x14ac:dyDescent="0.4">
      <c r="A32" s="5" t="s">
        <v>151</v>
      </c>
      <c r="B32" s="5" t="s">
        <v>173</v>
      </c>
      <c r="C32" s="5">
        <v>440710</v>
      </c>
      <c r="D32" s="6"/>
      <c r="E32" s="5" t="s">
        <v>13</v>
      </c>
      <c r="F32" s="5" t="s">
        <v>174</v>
      </c>
      <c r="G32" s="5" t="s">
        <v>64</v>
      </c>
      <c r="H32" s="7" t="s">
        <v>7</v>
      </c>
      <c r="I32" s="7" t="s">
        <v>175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12</v>
      </c>
      <c r="AR32" s="8">
        <v>1200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1200</v>
      </c>
      <c r="BN32" s="14">
        <f t="shared" si="2"/>
        <v>1200</v>
      </c>
      <c r="BO32" s="15">
        <f t="shared" si="3"/>
        <v>840</v>
      </c>
    </row>
    <row r="33" spans="1:67" x14ac:dyDescent="0.4">
      <c r="A33" s="5" t="s">
        <v>151</v>
      </c>
      <c r="B33" s="5" t="s">
        <v>133</v>
      </c>
      <c r="C33" s="5">
        <v>453478</v>
      </c>
      <c r="D33" s="6"/>
      <c r="E33" s="5" t="s">
        <v>13</v>
      </c>
      <c r="F33" s="5" t="s">
        <v>14</v>
      </c>
      <c r="G33" s="5" t="s">
        <v>15</v>
      </c>
      <c r="H33" s="7" t="s">
        <v>7</v>
      </c>
      <c r="I33" s="7" t="s">
        <v>134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11</v>
      </c>
      <c r="AR33" s="8">
        <v>1100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1100</v>
      </c>
      <c r="BN33" s="14">
        <f t="shared" si="2"/>
        <v>1100</v>
      </c>
      <c r="BO33" s="15">
        <f t="shared" si="3"/>
        <v>770</v>
      </c>
    </row>
    <row r="34" spans="1:67" x14ac:dyDescent="0.4">
      <c r="A34" s="5" t="s">
        <v>132</v>
      </c>
      <c r="B34" s="5" t="s">
        <v>165</v>
      </c>
      <c r="C34" s="5">
        <v>424315</v>
      </c>
      <c r="D34" s="6"/>
      <c r="E34" s="5" t="s">
        <v>13</v>
      </c>
      <c r="F34" s="5" t="s">
        <v>26</v>
      </c>
      <c r="G34" s="5" t="s">
        <v>15</v>
      </c>
      <c r="H34" s="7" t="s">
        <v>7</v>
      </c>
      <c r="I34" s="7" t="s">
        <v>166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1</v>
      </c>
      <c r="AC34" s="7">
        <v>900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1">
        <v>900</v>
      </c>
      <c r="BN34" s="14">
        <f t="shared" si="2"/>
        <v>900</v>
      </c>
      <c r="BO34" s="15">
        <f t="shared" si="3"/>
        <v>630</v>
      </c>
    </row>
    <row r="35" spans="1:67" x14ac:dyDescent="0.4">
      <c r="A35" s="5" t="s">
        <v>132</v>
      </c>
      <c r="B35" s="5" t="s">
        <v>176</v>
      </c>
      <c r="C35" s="5">
        <v>461450</v>
      </c>
      <c r="D35" s="6"/>
      <c r="E35" s="5" t="s">
        <v>13</v>
      </c>
      <c r="F35" s="5" t="s">
        <v>14</v>
      </c>
      <c r="G35" s="5" t="s">
        <v>15</v>
      </c>
      <c r="H35" s="7" t="s">
        <v>9</v>
      </c>
      <c r="I35" s="7" t="s">
        <v>177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1</v>
      </c>
      <c r="AC35" s="7">
        <v>900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900</v>
      </c>
      <c r="BN35" s="14">
        <f t="shared" si="2"/>
        <v>900</v>
      </c>
      <c r="BO35" s="15">
        <f t="shared" si="3"/>
        <v>630</v>
      </c>
    </row>
    <row r="36" spans="1:67" x14ac:dyDescent="0.4">
      <c r="A36" s="5" t="s">
        <v>132</v>
      </c>
      <c r="B36" s="5" t="s">
        <v>178</v>
      </c>
      <c r="C36" s="5">
        <v>396049</v>
      </c>
      <c r="D36" s="6"/>
      <c r="E36" s="5" t="s">
        <v>13</v>
      </c>
      <c r="F36" s="5" t="s">
        <v>179</v>
      </c>
      <c r="G36" s="5" t="s">
        <v>23</v>
      </c>
      <c r="H36" s="7" t="s">
        <v>8</v>
      </c>
      <c r="I36" s="7" t="s">
        <v>180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1</v>
      </c>
      <c r="BD36" s="7">
        <v>120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7.2</v>
      </c>
      <c r="BM36" s="11">
        <v>120</v>
      </c>
      <c r="BN36" s="14">
        <f t="shared" si="2"/>
        <v>112.8</v>
      </c>
      <c r="BO36" s="15">
        <f t="shared" si="3"/>
        <v>78.959999999999994</v>
      </c>
    </row>
    <row r="37" spans="1:67" x14ac:dyDescent="0.4">
      <c r="A37" s="5" t="s">
        <v>66</v>
      </c>
      <c r="B37" s="5" t="s">
        <v>153</v>
      </c>
      <c r="C37" s="5">
        <v>480607</v>
      </c>
      <c r="D37" s="6"/>
      <c r="E37" s="5" t="s">
        <v>13</v>
      </c>
      <c r="F37" s="5" t="s">
        <v>154</v>
      </c>
      <c r="G37" s="5" t="s">
        <v>19</v>
      </c>
      <c r="H37" s="7" t="s">
        <v>21</v>
      </c>
      <c r="I37" s="7" t="s">
        <v>155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12</v>
      </c>
      <c r="AF37" s="8">
        <v>30000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3</v>
      </c>
      <c r="AR37" s="8">
        <v>7500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1</v>
      </c>
      <c r="BD37" s="8">
        <v>3000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180</v>
      </c>
      <c r="BM37" s="10">
        <v>40500</v>
      </c>
      <c r="BN37" s="14">
        <f t="shared" si="2"/>
        <v>40320</v>
      </c>
      <c r="BO37" s="15">
        <f t="shared" si="3"/>
        <v>28224</v>
      </c>
    </row>
    <row r="38" spans="1:67" x14ac:dyDescent="0.4">
      <c r="A38" s="5" t="s">
        <v>152</v>
      </c>
      <c r="B38" s="5" t="s">
        <v>40</v>
      </c>
      <c r="C38" s="5">
        <v>470383</v>
      </c>
      <c r="D38" s="6"/>
      <c r="E38" s="5" t="s">
        <v>13</v>
      </c>
      <c r="F38" s="5" t="s">
        <v>41</v>
      </c>
      <c r="G38" s="5" t="s">
        <v>19</v>
      </c>
      <c r="H38" s="7" t="s">
        <v>21</v>
      </c>
      <c r="I38" s="7" t="s">
        <v>42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16</v>
      </c>
      <c r="AF38" s="8">
        <v>16900</v>
      </c>
      <c r="AG38" s="8">
        <v>13700</v>
      </c>
      <c r="AH38" s="7">
        <v>0</v>
      </c>
      <c r="AI38" s="7">
        <v>0</v>
      </c>
      <c r="AJ38" s="7">
        <v>0</v>
      </c>
      <c r="AK38" s="7">
        <v>3</v>
      </c>
      <c r="AL38" s="7">
        <v>0</v>
      </c>
      <c r="AM38" s="8">
        <v>2900</v>
      </c>
      <c r="AN38" s="7">
        <v>0</v>
      </c>
      <c r="AO38" s="7">
        <v>0</v>
      </c>
      <c r="AP38" s="7">
        <v>0</v>
      </c>
      <c r="AQ38" s="7">
        <v>3</v>
      </c>
      <c r="AR38" s="8">
        <v>6000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1</v>
      </c>
      <c r="BD38" s="7">
        <v>600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36</v>
      </c>
      <c r="BM38" s="10">
        <v>40100</v>
      </c>
      <c r="BN38" s="14">
        <f t="shared" si="2"/>
        <v>40064</v>
      </c>
      <c r="BO38" s="15">
        <f t="shared" si="3"/>
        <v>28044.799999999999</v>
      </c>
    </row>
    <row r="39" spans="1:67" x14ac:dyDescent="0.4">
      <c r="A39" s="5" t="s">
        <v>66</v>
      </c>
      <c r="B39" s="5" t="s">
        <v>181</v>
      </c>
      <c r="C39" s="5">
        <v>472518</v>
      </c>
      <c r="D39" s="6"/>
      <c r="E39" s="5" t="s">
        <v>13</v>
      </c>
      <c r="F39" s="5" t="s">
        <v>182</v>
      </c>
      <c r="G39" s="5" t="s">
        <v>19</v>
      </c>
      <c r="H39" s="7" t="s">
        <v>21</v>
      </c>
      <c r="I39" s="7" t="s">
        <v>183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8</v>
      </c>
      <c r="AF39" s="8">
        <v>15000</v>
      </c>
      <c r="AG39" s="8">
        <v>1800</v>
      </c>
      <c r="AH39" s="7">
        <v>0</v>
      </c>
      <c r="AI39" s="7">
        <v>0</v>
      </c>
      <c r="AJ39" s="7">
        <v>0</v>
      </c>
      <c r="AK39" s="7">
        <v>1</v>
      </c>
      <c r="AL39" s="7">
        <v>0</v>
      </c>
      <c r="AM39" s="8">
        <v>1700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1</v>
      </c>
      <c r="AX39" s="8">
        <v>1800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180</v>
      </c>
      <c r="BM39" s="10">
        <v>20300</v>
      </c>
      <c r="BN39" s="14">
        <f t="shared" si="2"/>
        <v>20120</v>
      </c>
      <c r="BO39" s="15">
        <f t="shared" si="3"/>
        <v>14084</v>
      </c>
    </row>
    <row r="40" spans="1:67" x14ac:dyDescent="0.4">
      <c r="A40" s="5" t="s">
        <v>152</v>
      </c>
      <c r="B40" s="5" t="s">
        <v>29</v>
      </c>
      <c r="C40" s="5">
        <v>461347</v>
      </c>
      <c r="D40" s="6"/>
      <c r="E40" s="5" t="s">
        <v>13</v>
      </c>
      <c r="F40" s="5" t="s">
        <v>24</v>
      </c>
      <c r="G40" s="5" t="s">
        <v>19</v>
      </c>
      <c r="H40" s="7" t="s">
        <v>21</v>
      </c>
      <c r="I40" s="7" t="s">
        <v>30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5</v>
      </c>
      <c r="AF40" s="8">
        <v>6500</v>
      </c>
      <c r="AG40" s="7">
        <v>800</v>
      </c>
      <c r="AH40" s="7">
        <v>0</v>
      </c>
      <c r="AI40" s="7">
        <v>0</v>
      </c>
      <c r="AJ40" s="7">
        <v>0</v>
      </c>
      <c r="AK40" s="7">
        <v>2</v>
      </c>
      <c r="AL40" s="8">
        <v>3240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972</v>
      </c>
      <c r="BM40" s="10">
        <v>10540</v>
      </c>
      <c r="BN40" s="14">
        <f t="shared" si="2"/>
        <v>9568</v>
      </c>
      <c r="BO40" s="15">
        <f t="shared" si="3"/>
        <v>6697.5999999999995</v>
      </c>
    </row>
    <row r="41" spans="1:67" x14ac:dyDescent="0.4">
      <c r="A41" s="5" t="s">
        <v>152</v>
      </c>
      <c r="B41" s="5" t="s">
        <v>156</v>
      </c>
      <c r="C41" s="5">
        <v>480605</v>
      </c>
      <c r="D41" s="6"/>
      <c r="E41" s="5" t="s">
        <v>13</v>
      </c>
      <c r="F41" s="5" t="s">
        <v>157</v>
      </c>
      <c r="G41" s="5" t="s">
        <v>19</v>
      </c>
      <c r="H41" s="7" t="s">
        <v>21</v>
      </c>
      <c r="I41" s="7" t="s">
        <v>158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4</v>
      </c>
      <c r="AF41" s="8">
        <v>6000</v>
      </c>
      <c r="AG41" s="8">
        <v>2000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1</v>
      </c>
      <c r="BD41" s="8">
        <v>2400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144</v>
      </c>
      <c r="BM41" s="10">
        <v>10400</v>
      </c>
      <c r="BN41" s="14">
        <f t="shared" si="2"/>
        <v>10256</v>
      </c>
      <c r="BO41" s="15">
        <f t="shared" si="3"/>
        <v>7179.2</v>
      </c>
    </row>
    <row r="42" spans="1:67" x14ac:dyDescent="0.4">
      <c r="A42" s="5" t="s">
        <v>66</v>
      </c>
      <c r="B42" s="5" t="s">
        <v>31</v>
      </c>
      <c r="C42" s="5">
        <v>457533</v>
      </c>
      <c r="D42" s="6"/>
      <c r="E42" s="5" t="s">
        <v>13</v>
      </c>
      <c r="F42" s="5" t="s">
        <v>32</v>
      </c>
      <c r="G42" s="5" t="s">
        <v>19</v>
      </c>
      <c r="H42" s="7" t="s">
        <v>21</v>
      </c>
      <c r="I42" s="7" t="s">
        <v>33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4</v>
      </c>
      <c r="AF42" s="8">
        <v>7500</v>
      </c>
      <c r="AG42" s="8">
        <v>2000</v>
      </c>
      <c r="AH42" s="7">
        <v>0</v>
      </c>
      <c r="AI42" s="7">
        <v>0</v>
      </c>
      <c r="AJ42" s="7">
        <v>0</v>
      </c>
      <c r="AK42" s="7">
        <v>1</v>
      </c>
      <c r="AL42" s="7">
        <v>0</v>
      </c>
      <c r="AM42" s="7">
        <v>500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10000</v>
      </c>
      <c r="BN42" s="14">
        <f t="shared" si="2"/>
        <v>10000</v>
      </c>
      <c r="BO42" s="15">
        <f t="shared" si="3"/>
        <v>7000</v>
      </c>
    </row>
    <row r="43" spans="1:67" x14ac:dyDescent="0.4">
      <c r="A43" s="5" t="s">
        <v>66</v>
      </c>
      <c r="B43" s="5" t="s">
        <v>48</v>
      </c>
      <c r="C43" s="5">
        <v>474766</v>
      </c>
      <c r="D43" s="6"/>
      <c r="E43" s="5" t="s">
        <v>13</v>
      </c>
      <c r="F43" s="5" t="s">
        <v>49</v>
      </c>
      <c r="G43" s="5" t="s">
        <v>19</v>
      </c>
      <c r="H43" s="7" t="s">
        <v>21</v>
      </c>
      <c r="I43" s="7" t="s">
        <v>50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7">
        <v>0</v>
      </c>
      <c r="AG43" s="7">
        <v>200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2</v>
      </c>
      <c r="AR43" s="8">
        <v>4800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5000</v>
      </c>
      <c r="BN43" s="14">
        <f t="shared" si="2"/>
        <v>5000</v>
      </c>
      <c r="BO43" s="15">
        <f t="shared" si="3"/>
        <v>3500</v>
      </c>
    </row>
    <row r="44" spans="1:67" x14ac:dyDescent="0.4">
      <c r="A44" s="5" t="s">
        <v>152</v>
      </c>
      <c r="B44" s="5" t="s">
        <v>51</v>
      </c>
      <c r="C44" s="5">
        <v>474765</v>
      </c>
      <c r="D44" s="6"/>
      <c r="E44" s="5" t="s">
        <v>13</v>
      </c>
      <c r="F44" s="5" t="s">
        <v>52</v>
      </c>
      <c r="G44" s="5" t="s">
        <v>19</v>
      </c>
      <c r="H44" s="7" t="s">
        <v>21</v>
      </c>
      <c r="I44" s="7" t="s">
        <v>53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8">
        <v>2000</v>
      </c>
      <c r="AG44" s="7">
        <v>0</v>
      </c>
      <c r="AH44" s="7">
        <v>0</v>
      </c>
      <c r="AI44" s="7">
        <v>0</v>
      </c>
      <c r="AJ44" s="7">
        <v>0</v>
      </c>
      <c r="AK44" s="7">
        <v>1</v>
      </c>
      <c r="AL44" s="8">
        <v>2400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720</v>
      </c>
      <c r="BM44" s="10">
        <v>4400</v>
      </c>
      <c r="BN44" s="14">
        <f t="shared" si="2"/>
        <v>3680</v>
      </c>
      <c r="BO44" s="15">
        <f t="shared" si="3"/>
        <v>2576</v>
      </c>
    </row>
    <row r="45" spans="1:67" x14ac:dyDescent="0.4">
      <c r="A45" s="5" t="s">
        <v>66</v>
      </c>
      <c r="B45" s="5" t="s">
        <v>127</v>
      </c>
      <c r="C45" s="5">
        <v>477493</v>
      </c>
      <c r="D45" s="6"/>
      <c r="E45" s="5" t="s">
        <v>13</v>
      </c>
      <c r="F45" s="5" t="s">
        <v>32</v>
      </c>
      <c r="G45" s="5" t="s">
        <v>19</v>
      </c>
      <c r="H45" s="7" t="s">
        <v>7</v>
      </c>
      <c r="I45" s="7" t="s">
        <v>128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2</v>
      </c>
      <c r="AF45" s="8">
        <v>2600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1</v>
      </c>
      <c r="BD45" s="8">
        <v>1680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100.8</v>
      </c>
      <c r="BM45" s="10">
        <v>4280</v>
      </c>
      <c r="BN45" s="14">
        <f t="shared" si="2"/>
        <v>4179.2</v>
      </c>
      <c r="BO45" s="15">
        <f t="shared" si="3"/>
        <v>2925.4399999999996</v>
      </c>
    </row>
    <row r="46" spans="1:67" x14ac:dyDescent="0.4">
      <c r="A46" s="5" t="s">
        <v>66</v>
      </c>
      <c r="B46" s="5" t="s">
        <v>43</v>
      </c>
      <c r="C46" s="5">
        <v>472516</v>
      </c>
      <c r="D46" s="6"/>
      <c r="E46" s="5" t="s">
        <v>13</v>
      </c>
      <c r="F46" s="5" t="s">
        <v>44</v>
      </c>
      <c r="G46" s="5" t="s">
        <v>19</v>
      </c>
      <c r="H46" s="7" t="s">
        <v>21</v>
      </c>
      <c r="I46" s="7" t="s">
        <v>45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8">
        <v>2000</v>
      </c>
      <c r="AG46" s="7">
        <v>0</v>
      </c>
      <c r="AH46" s="7">
        <v>0</v>
      </c>
      <c r="AI46" s="7">
        <v>0</v>
      </c>
      <c r="AJ46" s="7">
        <v>0</v>
      </c>
      <c r="AK46" s="7">
        <v>1</v>
      </c>
      <c r="AL46" s="7">
        <v>0</v>
      </c>
      <c r="AM46" s="8">
        <v>2000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4000</v>
      </c>
      <c r="BN46" s="14">
        <f t="shared" si="2"/>
        <v>4000</v>
      </c>
      <c r="BO46" s="15">
        <f t="shared" si="3"/>
        <v>2800</v>
      </c>
    </row>
    <row r="47" spans="1:67" x14ac:dyDescent="0.4">
      <c r="A47" s="5" t="s">
        <v>66</v>
      </c>
      <c r="B47" s="5" t="s">
        <v>146</v>
      </c>
      <c r="C47" s="5">
        <v>352812</v>
      </c>
      <c r="D47" s="6"/>
      <c r="E47" s="5" t="s">
        <v>13</v>
      </c>
      <c r="F47" s="5" t="s">
        <v>130</v>
      </c>
      <c r="G47" s="5" t="s">
        <v>131</v>
      </c>
      <c r="H47" s="7" t="s">
        <v>21</v>
      </c>
      <c r="I47" s="7" t="s">
        <v>147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</v>
      </c>
      <c r="AF47" s="7">
        <v>0</v>
      </c>
      <c r="AG47" s="7">
        <v>800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1</v>
      </c>
      <c r="AR47" s="8">
        <v>2800</v>
      </c>
      <c r="AS47" s="7">
        <v>200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3800</v>
      </c>
      <c r="BN47" s="14">
        <f t="shared" si="2"/>
        <v>3800</v>
      </c>
      <c r="BO47" s="15">
        <f t="shared" si="3"/>
        <v>2660</v>
      </c>
    </row>
    <row r="48" spans="1:67" x14ac:dyDescent="0.4">
      <c r="A48" s="5" t="s">
        <v>66</v>
      </c>
      <c r="B48" s="5" t="s">
        <v>159</v>
      </c>
      <c r="C48" s="5">
        <v>465773</v>
      </c>
      <c r="D48" s="6"/>
      <c r="E48" s="5" t="s">
        <v>13</v>
      </c>
      <c r="F48" s="5" t="s">
        <v>160</v>
      </c>
      <c r="G48" s="5" t="s">
        <v>19</v>
      </c>
      <c r="H48" s="7" t="s">
        <v>21</v>
      </c>
      <c r="I48" s="7" t="s">
        <v>161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8">
        <v>3500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3500</v>
      </c>
      <c r="BN48" s="14">
        <f t="shared" si="2"/>
        <v>3500</v>
      </c>
      <c r="BO48" s="15">
        <f t="shared" si="3"/>
        <v>2450</v>
      </c>
    </row>
    <row r="49" spans="1:67" x14ac:dyDescent="0.4">
      <c r="A49" s="5" t="s">
        <v>152</v>
      </c>
      <c r="B49" s="5" t="s">
        <v>184</v>
      </c>
      <c r="C49" s="5">
        <v>355226</v>
      </c>
      <c r="D49" s="6"/>
      <c r="E49" s="5" t="s">
        <v>13</v>
      </c>
      <c r="F49" s="5" t="s">
        <v>185</v>
      </c>
      <c r="G49" s="5" t="s">
        <v>23</v>
      </c>
      <c r="H49" s="7" t="s">
        <v>21</v>
      </c>
      <c r="I49" s="7" t="s">
        <v>186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</v>
      </c>
      <c r="AF49" s="8">
        <v>3400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3400</v>
      </c>
      <c r="BN49" s="14">
        <f t="shared" si="2"/>
        <v>3400</v>
      </c>
      <c r="BO49" s="15">
        <f t="shared" si="3"/>
        <v>2380</v>
      </c>
    </row>
    <row r="50" spans="1:67" x14ac:dyDescent="0.4">
      <c r="A50" s="5" t="s">
        <v>152</v>
      </c>
      <c r="B50" s="5" t="s">
        <v>187</v>
      </c>
      <c r="C50" s="5">
        <v>361632</v>
      </c>
      <c r="D50" s="6"/>
      <c r="E50" s="5" t="s">
        <v>13</v>
      </c>
      <c r="F50" s="5" t="s">
        <v>188</v>
      </c>
      <c r="G50" s="5" t="s">
        <v>131</v>
      </c>
      <c r="H50" s="7" t="s">
        <v>21</v>
      </c>
      <c r="I50" s="7" t="s">
        <v>189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1</v>
      </c>
      <c r="AR50" s="8">
        <v>3200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3200</v>
      </c>
      <c r="BN50" s="14">
        <f t="shared" si="2"/>
        <v>3200</v>
      </c>
      <c r="BO50" s="15">
        <f t="shared" si="3"/>
        <v>2240</v>
      </c>
    </row>
    <row r="51" spans="1:67" x14ac:dyDescent="0.4">
      <c r="A51" s="5" t="s">
        <v>66</v>
      </c>
      <c r="B51" s="5" t="s">
        <v>190</v>
      </c>
      <c r="C51" s="5">
        <v>315388</v>
      </c>
      <c r="D51" s="6"/>
      <c r="E51" s="5" t="s">
        <v>13</v>
      </c>
      <c r="F51" s="5" t="s">
        <v>191</v>
      </c>
      <c r="G51" s="5" t="s">
        <v>148</v>
      </c>
      <c r="H51" s="7" t="s">
        <v>8</v>
      </c>
      <c r="I51" s="7" t="s">
        <v>192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8">
        <v>3200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3200</v>
      </c>
      <c r="BN51" s="14">
        <f t="shared" si="2"/>
        <v>3200</v>
      </c>
      <c r="BO51" s="15">
        <f t="shared" si="3"/>
        <v>2240</v>
      </c>
    </row>
    <row r="52" spans="1:67" x14ac:dyDescent="0.4">
      <c r="A52" s="5" t="s">
        <v>152</v>
      </c>
      <c r="B52" s="5" t="s">
        <v>54</v>
      </c>
      <c r="C52" s="5">
        <v>472520</v>
      </c>
      <c r="D52" s="6"/>
      <c r="E52" s="5" t="s">
        <v>13</v>
      </c>
      <c r="F52" s="5" t="s">
        <v>55</v>
      </c>
      <c r="G52" s="5" t="s">
        <v>19</v>
      </c>
      <c r="H52" s="7" t="s">
        <v>21</v>
      </c>
      <c r="I52" s="7" t="s">
        <v>56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8">
        <v>2400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</v>
      </c>
      <c r="BD52" s="7">
        <v>720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43.2</v>
      </c>
      <c r="BM52" s="10">
        <v>3120</v>
      </c>
      <c r="BN52" s="14">
        <f t="shared" si="2"/>
        <v>3076.8</v>
      </c>
      <c r="BO52" s="15">
        <f t="shared" si="3"/>
        <v>2153.7599999999998</v>
      </c>
    </row>
    <row r="53" spans="1:67" x14ac:dyDescent="0.4">
      <c r="A53" s="5" t="s">
        <v>66</v>
      </c>
      <c r="B53" s="5" t="s">
        <v>143</v>
      </c>
      <c r="C53" s="5">
        <v>477487</v>
      </c>
      <c r="D53" s="6"/>
      <c r="E53" s="5" t="s">
        <v>13</v>
      </c>
      <c r="F53" s="5" t="s">
        <v>144</v>
      </c>
      <c r="G53" s="5" t="s">
        <v>19</v>
      </c>
      <c r="H53" s="7" t="s">
        <v>21</v>
      </c>
      <c r="I53" s="7" t="s">
        <v>145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1</v>
      </c>
      <c r="BD53" s="8">
        <v>3000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180</v>
      </c>
      <c r="BM53" s="10">
        <v>3000</v>
      </c>
      <c r="BN53" s="14">
        <f t="shared" si="2"/>
        <v>2820</v>
      </c>
      <c r="BO53" s="15">
        <f t="shared" si="3"/>
        <v>1973.9999999999998</v>
      </c>
    </row>
    <row r="54" spans="1:67" ht="19.2" x14ac:dyDescent="0.4">
      <c r="A54" s="5" t="s">
        <v>152</v>
      </c>
      <c r="B54" s="5" t="s">
        <v>193</v>
      </c>
      <c r="C54" s="5">
        <v>442667</v>
      </c>
      <c r="D54" s="6"/>
      <c r="E54" s="5" t="s">
        <v>13</v>
      </c>
      <c r="F54" s="5" t="s">
        <v>194</v>
      </c>
      <c r="G54" s="5" t="s">
        <v>23</v>
      </c>
      <c r="H54" s="7" t="s">
        <v>21</v>
      </c>
      <c r="I54" s="7" t="s">
        <v>195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1</v>
      </c>
      <c r="AL54" s="7">
        <v>0</v>
      </c>
      <c r="AM54" s="8">
        <v>3000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3000</v>
      </c>
      <c r="BN54" s="14">
        <f t="shared" si="2"/>
        <v>3000</v>
      </c>
      <c r="BO54" s="15">
        <f t="shared" si="3"/>
        <v>2100</v>
      </c>
    </row>
    <row r="55" spans="1:67" x14ac:dyDescent="0.4">
      <c r="A55" s="5" t="s">
        <v>66</v>
      </c>
      <c r="B55" s="5" t="s">
        <v>141</v>
      </c>
      <c r="C55" s="5">
        <v>459229</v>
      </c>
      <c r="D55" s="6"/>
      <c r="E55" s="5" t="s">
        <v>13</v>
      </c>
      <c r="F55" s="5" t="s">
        <v>129</v>
      </c>
      <c r="G55" s="5" t="s">
        <v>19</v>
      </c>
      <c r="H55" s="7" t="s">
        <v>21</v>
      </c>
      <c r="I55" s="7" t="s">
        <v>142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8">
        <v>3000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3000</v>
      </c>
      <c r="BN55" s="14">
        <f t="shared" si="2"/>
        <v>3000</v>
      </c>
      <c r="BO55" s="15">
        <f t="shared" si="3"/>
        <v>2100</v>
      </c>
    </row>
    <row r="56" spans="1:67" x14ac:dyDescent="0.4">
      <c r="A56" s="5" t="s">
        <v>152</v>
      </c>
      <c r="B56" s="5" t="s">
        <v>59</v>
      </c>
      <c r="C56" s="5">
        <v>474767</v>
      </c>
      <c r="D56" s="6"/>
      <c r="E56" s="5" t="s">
        <v>13</v>
      </c>
      <c r="F56" s="5" t="s">
        <v>60</v>
      </c>
      <c r="G56" s="5" t="s">
        <v>19</v>
      </c>
      <c r="H56" s="7" t="s">
        <v>21</v>
      </c>
      <c r="I56" s="7" t="s">
        <v>61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8">
        <v>2500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2500</v>
      </c>
      <c r="BN56" s="14">
        <f t="shared" si="2"/>
        <v>2500</v>
      </c>
      <c r="BO56" s="15">
        <f t="shared" si="3"/>
        <v>1750</v>
      </c>
    </row>
    <row r="57" spans="1:67" x14ac:dyDescent="0.4">
      <c r="A57" s="5" t="s">
        <v>152</v>
      </c>
      <c r="B57" s="5" t="s">
        <v>196</v>
      </c>
      <c r="C57" s="5">
        <v>464792</v>
      </c>
      <c r="D57" s="6"/>
      <c r="E57" s="5" t="s">
        <v>13</v>
      </c>
      <c r="F57" s="5" t="s">
        <v>197</v>
      </c>
      <c r="G57" s="5" t="s">
        <v>19</v>
      </c>
      <c r="H57" s="7" t="s">
        <v>21</v>
      </c>
      <c r="I57" s="7" t="s">
        <v>198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8">
        <v>2400</v>
      </c>
      <c r="AG57" s="7">
        <v>100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2500</v>
      </c>
      <c r="BN57" s="14">
        <f t="shared" si="2"/>
        <v>2500</v>
      </c>
      <c r="BO57" s="15">
        <f t="shared" si="3"/>
        <v>1750</v>
      </c>
    </row>
    <row r="58" spans="1:67" x14ac:dyDescent="0.4">
      <c r="A58" s="5" t="s">
        <v>66</v>
      </c>
      <c r="B58" s="5" t="s">
        <v>17</v>
      </c>
      <c r="C58" s="5">
        <v>464786</v>
      </c>
      <c r="D58" s="6"/>
      <c r="E58" s="5" t="s">
        <v>13</v>
      </c>
      <c r="F58" s="5" t="s">
        <v>18</v>
      </c>
      <c r="G58" s="5" t="s">
        <v>19</v>
      </c>
      <c r="H58" s="7" t="s">
        <v>9</v>
      </c>
      <c r="I58" s="7" t="s">
        <v>20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7">
        <v>0</v>
      </c>
      <c r="AG58" s="7">
        <v>500</v>
      </c>
      <c r="AH58" s="7">
        <v>0</v>
      </c>
      <c r="AI58" s="7">
        <v>0</v>
      </c>
      <c r="AJ58" s="7">
        <v>0</v>
      </c>
      <c r="AK58" s="7">
        <v>1</v>
      </c>
      <c r="AL58" s="7">
        <v>0</v>
      </c>
      <c r="AM58" s="8">
        <v>2000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2500</v>
      </c>
      <c r="BN58" s="14">
        <f t="shared" si="2"/>
        <v>2500</v>
      </c>
      <c r="BO58" s="15">
        <f t="shared" si="3"/>
        <v>1750</v>
      </c>
    </row>
    <row r="59" spans="1:67" x14ac:dyDescent="0.4">
      <c r="A59" s="5" t="s">
        <v>66</v>
      </c>
      <c r="B59" s="5" t="s">
        <v>199</v>
      </c>
      <c r="C59" s="5">
        <v>472517</v>
      </c>
      <c r="D59" s="6"/>
      <c r="E59" s="5" t="s">
        <v>13</v>
      </c>
      <c r="F59" s="5" t="s">
        <v>200</v>
      </c>
      <c r="G59" s="5" t="s">
        <v>19</v>
      </c>
      <c r="H59" s="7" t="s">
        <v>21</v>
      </c>
      <c r="I59" s="7" t="s">
        <v>201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</v>
      </c>
      <c r="AF59" s="8">
        <v>2500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2500</v>
      </c>
      <c r="BN59" s="14">
        <f t="shared" si="2"/>
        <v>2500</v>
      </c>
      <c r="BO59" s="15">
        <f t="shared" si="3"/>
        <v>1750</v>
      </c>
    </row>
    <row r="60" spans="1:67" x14ac:dyDescent="0.4">
      <c r="A60" s="5" t="s">
        <v>66</v>
      </c>
      <c r="B60" s="5" t="s">
        <v>139</v>
      </c>
      <c r="C60" s="5">
        <v>477489</v>
      </c>
      <c r="D60" s="6"/>
      <c r="E60" s="5" t="s">
        <v>13</v>
      </c>
      <c r="F60" s="5" t="s">
        <v>140</v>
      </c>
      <c r="G60" s="5" t="s">
        <v>19</v>
      </c>
      <c r="H60" s="7" t="s">
        <v>21</v>
      </c>
      <c r="I60" s="7" t="s">
        <v>134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8">
        <v>2000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2000</v>
      </c>
      <c r="BN60" s="14">
        <f t="shared" si="2"/>
        <v>2000</v>
      </c>
      <c r="BO60" s="15">
        <f t="shared" si="3"/>
        <v>1400</v>
      </c>
    </row>
    <row r="61" spans="1:67" x14ac:dyDescent="0.4">
      <c r="A61" s="5" t="s">
        <v>66</v>
      </c>
      <c r="B61" s="5" t="s">
        <v>36</v>
      </c>
      <c r="C61" s="5">
        <v>457534</v>
      </c>
      <c r="D61" s="6"/>
      <c r="E61" s="5" t="s">
        <v>13</v>
      </c>
      <c r="F61" s="5" t="s">
        <v>37</v>
      </c>
      <c r="G61" s="5" t="s">
        <v>19</v>
      </c>
      <c r="H61" s="7" t="s">
        <v>21</v>
      </c>
      <c r="I61" s="7" t="s">
        <v>38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8">
        <v>2000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2000</v>
      </c>
      <c r="BN61" s="14">
        <f t="shared" si="2"/>
        <v>2000</v>
      </c>
      <c r="BO61" s="15">
        <f t="shared" si="3"/>
        <v>1400</v>
      </c>
    </row>
    <row r="62" spans="1:67" x14ac:dyDescent="0.4">
      <c r="A62" s="5" t="s">
        <v>66</v>
      </c>
      <c r="B62" s="5" t="s">
        <v>202</v>
      </c>
      <c r="C62" s="5">
        <v>324393</v>
      </c>
      <c r="D62" s="6"/>
      <c r="E62" s="5" t="s">
        <v>13</v>
      </c>
      <c r="F62" s="5" t="s">
        <v>191</v>
      </c>
      <c r="G62" s="5" t="s">
        <v>148</v>
      </c>
      <c r="H62" s="7" t="s">
        <v>21</v>
      </c>
      <c r="I62" s="7" t="s">
        <v>203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8">
        <v>1000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1000</v>
      </c>
      <c r="BN62" s="14">
        <f t="shared" si="2"/>
        <v>1000</v>
      </c>
      <c r="BO62" s="15">
        <f t="shared" si="3"/>
        <v>700</v>
      </c>
    </row>
    <row r="63" spans="1:67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  <c r="BO63" s="17">
        <f>SUM(BO2:BO62)</f>
        <v>256520.88000000003</v>
      </c>
    </row>
    <row r="64" spans="1:67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8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8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8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8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8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8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1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1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1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1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1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1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1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1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1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8"/>
      <c r="AM133" s="8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9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8"/>
      <c r="AD134" s="7"/>
      <c r="AE134" s="7"/>
      <c r="AF134" s="7"/>
      <c r="AG134" s="7"/>
      <c r="AH134" s="7"/>
      <c r="AI134" s="8"/>
      <c r="AJ134" s="7"/>
      <c r="AK134" s="7"/>
      <c r="AL134" s="7"/>
      <c r="AM134" s="7"/>
      <c r="AN134" s="7"/>
      <c r="AO134" s="8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9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8"/>
      <c r="AM136" s="8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9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9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8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9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8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8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  <c r="AH143" s="7"/>
      <c r="AI143" s="7"/>
      <c r="AJ143" s="7"/>
      <c r="AK143" s="7"/>
      <c r="AL143" s="8"/>
      <c r="AM143" s="8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8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9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8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9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8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9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9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8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8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8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8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1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1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1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1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1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8"/>
      <c r="L242" s="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8"/>
      <c r="AF242" s="8"/>
      <c r="AG242" s="8"/>
      <c r="AH242" s="7"/>
      <c r="AI242" s="7"/>
      <c r="AJ242" s="7"/>
      <c r="AK242" s="8"/>
      <c r="AL242" s="8"/>
      <c r="AM242" s="8"/>
      <c r="AN242" s="7"/>
      <c r="AO242" s="7"/>
      <c r="AP242" s="7"/>
      <c r="AQ242" s="8"/>
      <c r="AR242" s="8"/>
      <c r="AS242" s="8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9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8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8"/>
      <c r="AF243" s="8"/>
      <c r="AG243" s="8"/>
      <c r="AH243" s="7"/>
      <c r="AI243" s="7"/>
      <c r="AJ243" s="7"/>
      <c r="AK243" s="8"/>
      <c r="AL243" s="8"/>
      <c r="AM243" s="8"/>
      <c r="AN243" s="7"/>
      <c r="AO243" s="7"/>
      <c r="AP243" s="7"/>
      <c r="AQ243" s="7"/>
      <c r="AR243" s="8"/>
      <c r="AS243" s="8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8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8"/>
      <c r="AF244" s="8"/>
      <c r="AG244" s="8"/>
      <c r="AH244" s="7"/>
      <c r="AI244" s="7"/>
      <c r="AJ244" s="7"/>
      <c r="AK244" s="8"/>
      <c r="AL244" s="8"/>
      <c r="AM244" s="8"/>
      <c r="AN244" s="7"/>
      <c r="AO244" s="7"/>
      <c r="AP244" s="7"/>
      <c r="AQ244" s="8"/>
      <c r="AR244" s="8"/>
      <c r="AS244" s="8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9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8"/>
      <c r="AF245" s="8"/>
      <c r="AG245" s="8"/>
      <c r="AH245" s="7"/>
      <c r="AI245" s="7"/>
      <c r="AJ245" s="7"/>
      <c r="AK245" s="8"/>
      <c r="AL245" s="8"/>
      <c r="AM245" s="8"/>
      <c r="AN245" s="7"/>
      <c r="AO245" s="7"/>
      <c r="AP245" s="7"/>
      <c r="AQ245" s="8"/>
      <c r="AR245" s="8"/>
      <c r="AS245" s="8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9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8"/>
      <c r="AH246" s="7"/>
      <c r="AI246" s="7"/>
      <c r="AJ246" s="7"/>
      <c r="AK246" s="7"/>
      <c r="AL246" s="8"/>
      <c r="AM246" s="8"/>
      <c r="AN246" s="7"/>
      <c r="AO246" s="7"/>
      <c r="AP246" s="7"/>
      <c r="AQ246" s="7"/>
      <c r="AR246" s="8"/>
      <c r="AS246" s="8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8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8"/>
      <c r="AF247" s="8"/>
      <c r="AG247" s="8"/>
      <c r="AH247" s="7"/>
      <c r="AI247" s="7"/>
      <c r="AJ247" s="7"/>
      <c r="AK247" s="8"/>
      <c r="AL247" s="8"/>
      <c r="AM247" s="8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8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8"/>
      <c r="AF248" s="8"/>
      <c r="AG248" s="8"/>
      <c r="AH248" s="7"/>
      <c r="AI248" s="7"/>
      <c r="AJ248" s="7"/>
      <c r="AK248" s="8"/>
      <c r="AL248" s="8"/>
      <c r="AM248" s="8"/>
      <c r="AN248" s="7"/>
      <c r="AO248" s="7"/>
      <c r="AP248" s="7"/>
      <c r="AQ248" s="7"/>
      <c r="AR248" s="8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9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8"/>
      <c r="AG249" s="8"/>
      <c r="AH249" s="7"/>
      <c r="AI249" s="7"/>
      <c r="AJ249" s="7"/>
      <c r="AK249" s="8"/>
      <c r="AL249" s="8"/>
      <c r="AM249" s="8"/>
      <c r="AN249" s="7"/>
      <c r="AO249" s="7"/>
      <c r="AP249" s="7"/>
      <c r="AQ249" s="7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8"/>
      <c r="L250" s="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8"/>
      <c r="AF250" s="8"/>
      <c r="AG250" s="8"/>
      <c r="AH250" s="7"/>
      <c r="AI250" s="7"/>
      <c r="AJ250" s="7"/>
      <c r="AK250" s="8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7"/>
      <c r="AR251" s="8"/>
      <c r="AS251" s="8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7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8"/>
      <c r="AH253" s="7"/>
      <c r="AI253" s="7"/>
      <c r="AJ253" s="7"/>
      <c r="AK253" s="8"/>
      <c r="AL253" s="8"/>
      <c r="AM253" s="8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8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8"/>
      <c r="K255" s="7"/>
      <c r="L255" s="8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8"/>
      <c r="AH255" s="7"/>
      <c r="AI255" s="7"/>
      <c r="AJ255" s="7"/>
      <c r="AK255" s="7"/>
      <c r="AL255" s="8"/>
      <c r="AM255" s="8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8"/>
      <c r="AM256" s="8"/>
      <c r="AN256" s="7"/>
      <c r="AO256" s="7"/>
      <c r="AP256" s="7"/>
      <c r="AQ256" s="7"/>
      <c r="AR256" s="8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8"/>
      <c r="AM257" s="8"/>
      <c r="AN257" s="7"/>
      <c r="AO257" s="7"/>
      <c r="AP257" s="7"/>
      <c r="AQ257" s="7"/>
      <c r="AR257" s="8"/>
      <c r="AS257" s="8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8"/>
      <c r="AM258" s="8"/>
      <c r="AN258" s="7"/>
      <c r="AO258" s="7"/>
      <c r="AP258" s="7"/>
      <c r="AQ258" s="7"/>
      <c r="AR258" s="8"/>
      <c r="AS258" s="8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8"/>
      <c r="AJ259" s="8"/>
      <c r="AK259" s="7"/>
      <c r="AL259" s="7"/>
      <c r="AM259" s="7"/>
      <c r="AN259" s="7"/>
      <c r="AO259" s="7"/>
      <c r="AP259" s="7"/>
      <c r="AQ259" s="7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8"/>
      <c r="AM260" s="8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8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8"/>
      <c r="AM262" s="7"/>
      <c r="AN262" s="7"/>
      <c r="AO262" s="7"/>
      <c r="AP262" s="7"/>
      <c r="AQ262" s="7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8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8"/>
      <c r="AM268" s="8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8"/>
      <c r="AM269" s="8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8"/>
      <c r="AH274" s="7"/>
      <c r="AI274" s="7"/>
      <c r="AJ274" s="7"/>
      <c r="AK274" s="7"/>
      <c r="AL274" s="8"/>
      <c r="AM274" s="8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8"/>
      <c r="AN275" s="7"/>
      <c r="AO275" s="7"/>
      <c r="AP275" s="7"/>
      <c r="AQ275" s="7"/>
      <c r="AR275" s="8"/>
      <c r="AS275" s="8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8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8"/>
      <c r="AM287" s="8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  <c r="AJ288" s="7"/>
      <c r="AK288" s="7"/>
      <c r="AL288" s="8"/>
      <c r="AM288" s="7"/>
      <c r="AN288" s="7"/>
      <c r="AO288" s="8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8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8"/>
      <c r="AS294" s="8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8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7"/>
      <c r="AM297" s="8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8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8"/>
      <c r="AN303" s="7"/>
      <c r="AO303" s="7"/>
      <c r="AP303" s="7"/>
      <c r="AQ303" s="7"/>
      <c r="AR303" s="8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8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8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8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8"/>
      <c r="AH317" s="7"/>
      <c r="AI317" s="7"/>
      <c r="AJ317" s="7"/>
      <c r="AK317" s="7"/>
      <c r="AL317" s="7"/>
      <c r="AM317" s="8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8"/>
      <c r="AH318" s="7"/>
      <c r="AI318" s="7"/>
      <c r="AJ318" s="7"/>
      <c r="AK318" s="7"/>
      <c r="AL318" s="7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8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8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8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8"/>
      <c r="AH334" s="7"/>
      <c r="AI334" s="7"/>
      <c r="AJ334" s="7"/>
      <c r="AK334" s="7"/>
      <c r="AL334" s="7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8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8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8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8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1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1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1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1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1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1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1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1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1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1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2022-10-05T03:01:28Z</dcterms:modified>
</cp:coreProperties>
</file>