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네이버\"/>
    </mc:Choice>
  </mc:AlternateContent>
  <bookViews>
    <workbookView xWindow="0" yWindow="0" windowWidth="23040" windowHeight="8952" tabRatio="766"/>
  </bookViews>
  <sheets>
    <sheet name="합계(9)" sheetId="412" r:id="rId1"/>
  </sheets>
  <definedNames>
    <definedName name="_xlnm._FilterDatabase" localSheetId="0" hidden="1">'합계(9)'!$A$1:$BQ$71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BO178" i="412" l="1"/>
  <c r="BN72" i="412" l="1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 s="1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170" i="412"/>
  <c r="BO170" i="412" s="1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177" i="412"/>
  <c r="BO177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2" i="412" l="1"/>
  <c r="BO2" i="412" l="1"/>
</calcChain>
</file>

<file path=xl/sharedStrings.xml><?xml version="1.0" encoding="utf-8"?>
<sst xmlns="http://schemas.openxmlformats.org/spreadsheetml/2006/main" count="1304" uniqueCount="351">
  <si>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</si>
  <si>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</si>
  <si>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</si>
  <si>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</si>
  <si>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</si>
  <si>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</si>
  <si>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</si>
  <si>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</si>
  <si>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</si>
  <si>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</si>
  <si>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</si>
  <si>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합계</t>
  </si>
  <si>
    <t>SW 매출</t>
    <phoneticPr fontId="20" type="noConversion"/>
  </si>
  <si>
    <t>앱마켓수수료</t>
  </si>
  <si>
    <t>2022.03.16</t>
  </si>
  <si>
    <t>법보다 주먹 [단행본]</t>
  </si>
  <si>
    <t>스토리위즈_2</t>
  </si>
  <si>
    <t>백범(白帆)</t>
  </si>
  <si>
    <t>에필로그</t>
  </si>
  <si>
    <t>2022.04.13</t>
  </si>
  <si>
    <t>법보다 주먹</t>
  </si>
  <si>
    <t>일교차 [단행본]</t>
  </si>
  <si>
    <t>해화</t>
  </si>
  <si>
    <t>밀리오리지널</t>
  </si>
  <si>
    <t>2022.04.08</t>
  </si>
  <si>
    <t>연애의 시작 [단행본]</t>
  </si>
  <si>
    <t>차크</t>
  </si>
  <si>
    <t>19세 이상 이용가능</t>
  </si>
  <si>
    <t>2022.02.18</t>
  </si>
  <si>
    <t>어딜 봐요? [외전증보판]</t>
  </si>
  <si>
    <t>주해나</t>
  </si>
  <si>
    <t>쉬즈노블</t>
  </si>
  <si>
    <t>2019.07.10</t>
  </si>
  <si>
    <t>더티독 [BL]</t>
  </si>
  <si>
    <t>용가리맛쿠키</t>
  </si>
  <si>
    <t>블러쉬</t>
  </si>
  <si>
    <t>2020.04.13</t>
  </si>
  <si>
    <t>어게인(Again) [단행본]</t>
  </si>
  <si>
    <t>최준서</t>
  </si>
  <si>
    <t>2022.04.27</t>
  </si>
  <si>
    <t>악당의 리턴!</t>
  </si>
  <si>
    <t>354950</t>
  </si>
  <si>
    <t>2019.06.20</t>
  </si>
  <si>
    <t>전설이 돼라 [개정판]</t>
  </si>
  <si>
    <t>2022.03.02</t>
  </si>
  <si>
    <t>최현자</t>
  </si>
  <si>
    <t>반하는 세계 [BL]</t>
  </si>
  <si>
    <t>나나코</t>
  </si>
  <si>
    <t>히즈노블</t>
  </si>
  <si>
    <t>2019.08.17</t>
  </si>
  <si>
    <t>서혜은</t>
  </si>
  <si>
    <t>전설이 돼라 [개정판][단행본]</t>
  </si>
  <si>
    <t>남창목가 [단행본]</t>
  </si>
  <si>
    <t>최재봉</t>
  </si>
  <si>
    <t>2020.05.18</t>
  </si>
  <si>
    <t>이세계 최강 군바리</t>
  </si>
  <si>
    <t>협행마</t>
  </si>
  <si>
    <t>2019.07.31</t>
  </si>
  <si>
    <t>집착의 맛</t>
  </si>
  <si>
    <t>sJessi</t>
  </si>
  <si>
    <t>쉬라즈</t>
  </si>
  <si>
    <t>2021.12.31</t>
  </si>
  <si>
    <t>브레이크 어웨이(Break Away) [단행본]</t>
  </si>
  <si>
    <t>서정윤</t>
  </si>
  <si>
    <t>2022.05.23</t>
  </si>
  <si>
    <t>남창목가 [외전 독점]</t>
  </si>
  <si>
    <t>2019.11.18</t>
  </si>
  <si>
    <t>다정한 내일을 위한 새벽 [BL]</t>
  </si>
  <si>
    <t>2019.08.13</t>
  </si>
  <si>
    <t>진짜 사나이 [단행본]</t>
  </si>
  <si>
    <t>2021.12.15</t>
  </si>
  <si>
    <t>사냥꾼은 마왕이 되기 싫다 [독점]</t>
  </si>
  <si>
    <t>강명운</t>
  </si>
  <si>
    <t>스토리아크</t>
  </si>
  <si>
    <t>2022.01.03</t>
  </si>
  <si>
    <t>이차적 일탈 [단행본]</t>
  </si>
  <si>
    <t>2022.03.04</t>
  </si>
  <si>
    <t>2020.09.10</t>
  </si>
  <si>
    <t>사랑 그리고 그 후 [단행본]</t>
  </si>
  <si>
    <t>2022.03.14</t>
  </si>
  <si>
    <t>너만 보면 두근두근 [단행본]</t>
  </si>
  <si>
    <t>정경하</t>
  </si>
  <si>
    <t>2022.01.14</t>
  </si>
  <si>
    <t>이세계 최강 군바리 [단행본]</t>
  </si>
  <si>
    <t>2019.11.04</t>
  </si>
  <si>
    <t>흠뻑 적셔줄게 [BL]</t>
  </si>
  <si>
    <t>묜수</t>
  </si>
  <si>
    <t>2021.08.27</t>
  </si>
  <si>
    <t>악당의 리턴! [단행본]</t>
  </si>
  <si>
    <t>2019.11.26</t>
  </si>
  <si>
    <t>더티독 [BL][단행본]</t>
  </si>
  <si>
    <t>2020.04.09</t>
  </si>
  <si>
    <t>더 캡틴</t>
  </si>
  <si>
    <t>2022.01.21</t>
  </si>
  <si>
    <t>수련</t>
  </si>
  <si>
    <t>사틴</t>
  </si>
  <si>
    <t>설국연가 [단행본]</t>
  </si>
  <si>
    <t>마뇽</t>
  </si>
  <si>
    <t>2022.01.17</t>
  </si>
  <si>
    <t>2021.09.14</t>
  </si>
  <si>
    <t>대공의 아내 [단행본]</t>
  </si>
  <si>
    <t>문시티</t>
  </si>
  <si>
    <t>2020.01.16</t>
  </si>
  <si>
    <t>최강주</t>
  </si>
  <si>
    <t>SISSI</t>
  </si>
  <si>
    <t>너는 싱그러운 여름처럼 [단행본]</t>
  </si>
  <si>
    <t>박지영</t>
  </si>
  <si>
    <t>2022.04.25</t>
  </si>
  <si>
    <t>뉴욕 키스 스캔들 [BL][단행본]</t>
  </si>
  <si>
    <t>2018.06.12</t>
  </si>
  <si>
    <t>라이큐</t>
  </si>
  <si>
    <t>2022.02.17</t>
  </si>
  <si>
    <t>벗어 주세요</t>
  </si>
  <si>
    <t>2019.03.07</t>
  </si>
  <si>
    <t>무적살수 [단행본]</t>
  </si>
  <si>
    <t>2020.09.09</t>
  </si>
  <si>
    <t>진짜 사나이</t>
  </si>
  <si>
    <t>2021.08.24</t>
  </si>
  <si>
    <t>그 순간, 별이 빛났다 [BL]</t>
  </si>
  <si>
    <t>성실</t>
  </si>
  <si>
    <t>2021.09.09</t>
  </si>
  <si>
    <t>계략적 관계 [독점]</t>
  </si>
  <si>
    <t>진태이</t>
  </si>
  <si>
    <t>2021.10.13</t>
  </si>
  <si>
    <t>남궁세가 건달공자 [단행본]</t>
  </si>
  <si>
    <t>2019.06.18</t>
  </si>
  <si>
    <t>더 캡틴 [단행본]</t>
  </si>
  <si>
    <t>사계(Four Season) [BL]</t>
  </si>
  <si>
    <t>2020.06.17</t>
  </si>
  <si>
    <t>2021.08.30</t>
  </si>
  <si>
    <t>지니</t>
  </si>
  <si>
    <t>송여희</t>
  </si>
  <si>
    <t>만나러 갈게 [단행본]</t>
  </si>
  <si>
    <t>박샛별</t>
  </si>
  <si>
    <t>2022.02.04</t>
  </si>
  <si>
    <t>강호, 미치다</t>
  </si>
  <si>
    <t>2019.09.18</t>
  </si>
  <si>
    <t>키도</t>
  </si>
  <si>
    <t>이서윤</t>
  </si>
  <si>
    <t>무림병장 [단행본]</t>
  </si>
  <si>
    <t>2021.02.08</t>
  </si>
  <si>
    <t>미확인 사고</t>
  </si>
  <si>
    <t>2019.03.20</t>
  </si>
  <si>
    <t>이리 와 봐 외전 [단행본]</t>
  </si>
  <si>
    <t>2018.10.19</t>
  </si>
  <si>
    <t>위사무적</t>
  </si>
  <si>
    <t>위사무적 [단행본]</t>
  </si>
  <si>
    <t>2020.09.11</t>
  </si>
  <si>
    <t>마왕의 구원자 [BL]</t>
  </si>
  <si>
    <t>끝도 없이 젖어드는</t>
  </si>
  <si>
    <t>2019.06.21</t>
  </si>
  <si>
    <t>강호, 미치다 [단행본]</t>
  </si>
  <si>
    <t>짝사랑 중입니다 [단행본]</t>
  </si>
  <si>
    <t>진양</t>
  </si>
  <si>
    <t>2022.06.27</t>
  </si>
  <si>
    <t>아득히 먼 훗날 우리가 [단행본]</t>
  </si>
  <si>
    <t>2022.06.13</t>
  </si>
  <si>
    <t>베르사유의 장미 [BL]</t>
  </si>
  <si>
    <t>2020.04.21</t>
  </si>
  <si>
    <t>ARC곽도우</t>
  </si>
  <si>
    <t>무심코 [단행본]</t>
  </si>
  <si>
    <t>달로</t>
  </si>
  <si>
    <t>2022.06.03</t>
  </si>
  <si>
    <t>깃들다 [단행본]</t>
  </si>
  <si>
    <t>현진서</t>
  </si>
  <si>
    <t>2022.06.22</t>
  </si>
  <si>
    <t>테이크 백(Take Back) [단행본]</t>
  </si>
  <si>
    <t>일락</t>
  </si>
  <si>
    <t>2022.06.24</t>
  </si>
  <si>
    <t>한 번은 이별하자 [단행본]</t>
  </si>
  <si>
    <t>서연</t>
  </si>
  <si>
    <t>2022.06.20</t>
  </si>
  <si>
    <t>근수저 오크는 근손실이 싫다 [독점]</t>
  </si>
  <si>
    <t>불건전한 수컷</t>
  </si>
  <si>
    <t>가장 완벽한 인질</t>
  </si>
  <si>
    <t>2020.12.07</t>
  </si>
  <si>
    <t>동대륙의 낭인무사 [단행본]</t>
  </si>
  <si>
    <t>2020.09.08</t>
  </si>
  <si>
    <t>연유</t>
  </si>
  <si>
    <t>2019.10.30</t>
  </si>
  <si>
    <t>바보가 만드는 멋진 세상 [개정판]</t>
  </si>
  <si>
    <t>탈각 [단행본]</t>
  </si>
  <si>
    <t>공호</t>
  </si>
  <si>
    <t>2022.06.29</t>
  </si>
  <si>
    <t>봄볕이 아른아른 [단행본]</t>
  </si>
  <si>
    <t>2022.07.07</t>
  </si>
  <si>
    <t>하일군재래(何日君再來) [단행본]</t>
  </si>
  <si>
    <t>신윤희(에드가)</t>
  </si>
  <si>
    <t>2022.07.14</t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</si>
  <si>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</si>
  <si>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</si>
  <si>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</si>
  <si>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</si>
  <si>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</si>
  <si>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</si>
  <si>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</si>
  <si>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</si>
  <si>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</si>
  <si>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</si>
  <si>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</si>
  <si>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</si>
  <si>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</si>
  <si>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</si>
  <si>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</si>
  <si>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</si>
  <si>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</si>
  <si>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</si>
  <si>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</si>
  <si>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</si>
  <si>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</si>
  <si>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</si>
  <si>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</si>
  <si>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</si>
  <si>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</si>
  <si>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</si>
  <si>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</si>
  <si>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</si>
  <si>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</si>
  <si>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</si>
  <si>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</si>
  <si>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</si>
  <si>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</si>
  <si>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</si>
  <si>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</si>
  <si>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</si>
  <si>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</si>
  <si>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</si>
  <si>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</si>
  <si>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</si>
  <si>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</si>
  <si>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</si>
  <si>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</si>
  <si>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</si>
  <si>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</si>
  <si>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</si>
  <si>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</si>
  <si>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</si>
  <si>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</si>
  <si>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</si>
  <si>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</si>
  <si>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</si>
  <si>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</si>
  <si>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</si>
  <si>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</si>
  <si>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</si>
  <si>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시리즈(APP)</t>
    <phoneticPr fontId="20" type="noConversion"/>
  </si>
  <si>
    <t>시리즈(APP)</t>
    <phoneticPr fontId="20" type="noConversion"/>
  </si>
  <si>
    <t>티끌모아 대박 [단행본]</t>
  </si>
  <si>
    <t>2022.07.29</t>
  </si>
  <si>
    <t>티끌모아 대박</t>
  </si>
  <si>
    <t>2022.08.11</t>
  </si>
  <si>
    <t>시리즈(APP)</t>
    <phoneticPr fontId="20" type="noConversion"/>
  </si>
  <si>
    <t>너는 천사 [단행본]</t>
  </si>
  <si>
    <t>2022.08.25</t>
  </si>
  <si>
    <t>시리즈(APP)</t>
    <phoneticPr fontId="20" type="noConversion"/>
  </si>
  <si>
    <t>이기적인 파트너 [외전증보판]</t>
  </si>
  <si>
    <t>강소아</t>
  </si>
  <si>
    <t>2019.03.29</t>
  </si>
  <si>
    <t>다정한 악몽 [단행본]</t>
  </si>
  <si>
    <t>하루가</t>
  </si>
  <si>
    <t>2022.08.18</t>
  </si>
  <si>
    <t>불시착한 우주 [BL]</t>
  </si>
  <si>
    <t>시리즈 완전판(APP)</t>
    <phoneticPr fontId="20" type="noConversion"/>
  </si>
  <si>
    <t>시리즈 완전판(APP)</t>
    <phoneticPr fontId="20" type="noConversion"/>
  </si>
  <si>
    <t>연애의 끝 [단행본]</t>
  </si>
  <si>
    <t>2022.07.28</t>
  </si>
  <si>
    <t>작열감 [단행본]</t>
  </si>
  <si>
    <t>리밀</t>
  </si>
  <si>
    <t>시리즈 완전판(APP)</t>
    <phoneticPr fontId="20" type="noConversion"/>
  </si>
  <si>
    <t>불순한 재회 [단행본]</t>
  </si>
  <si>
    <t>장현미</t>
  </si>
  <si>
    <t>2022.08.04</t>
  </si>
  <si>
    <t>그 순간, 별이 빛났다 [BL][단행본]</t>
  </si>
  <si>
    <t>2021.08.16</t>
  </si>
  <si>
    <t>넘어와 [단행본]</t>
  </si>
  <si>
    <t>2022.04.04</t>
  </si>
  <si>
    <t>우리 집 악마 새끼 [BL][단행본]</t>
  </si>
  <si>
    <t>2019.11.12</t>
  </si>
  <si>
    <t>향기로운 뿔 [단행본]</t>
  </si>
  <si>
    <t>이진희</t>
  </si>
  <si>
    <t>2022.02.16</t>
  </si>
  <si>
    <t>낯선 소꿉친구 [BL]</t>
  </si>
  <si>
    <t>사나림</t>
  </si>
  <si>
    <t>발칙한 연애 외전 [단행본]</t>
  </si>
  <si>
    <t>더티독 외전 [BL][단행본]</t>
  </si>
  <si>
    <t>끝까지, 지독하게</t>
  </si>
  <si>
    <t>2021.09.17</t>
  </si>
  <si>
    <t>시리즈(iOS)</t>
    <phoneticPr fontId="20" type="noConversion"/>
  </si>
  <si>
    <t>시리즈(iOS)</t>
    <phoneticPr fontId="20" type="noConversion"/>
  </si>
  <si>
    <t>시리즈(iOS)</t>
    <phoneticPr fontId="20" type="noConversion"/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</si>
  <si>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</si>
  <si>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</si>
  <si>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2022.10.05</t>
  </si>
  <si>
    <t>용병수칙 [단행본]</t>
  </si>
  <si>
    <t>전장의 금기 [단행본]</t>
  </si>
  <si>
    <t>2020.09.13</t>
  </si>
  <si>
    <t>유일한 취미 [단행본]</t>
  </si>
  <si>
    <t>2022.05.06</t>
  </si>
  <si>
    <t>내일은 커플 [단행본]</t>
  </si>
  <si>
    <t>전혜진</t>
  </si>
  <si>
    <t>2022.09.08</t>
  </si>
  <si>
    <t>기획에 산다 [단행본]</t>
  </si>
  <si>
    <t>헌터 킹 [단행본]</t>
  </si>
  <si>
    <t>2021.12.10</t>
  </si>
  <si>
    <t>마티네(Matinée) [BL]</t>
  </si>
  <si>
    <t>꿈속의 연인 [단행본]</t>
  </si>
  <si>
    <t>하이지</t>
  </si>
  <si>
    <t>2022.09.22</t>
  </si>
  <si>
    <t>소울 슈터 9권 [단행본]</t>
  </si>
  <si>
    <t>2022.09.27</t>
  </si>
  <si>
    <t>눈부시게 아찔한 [단행본]</t>
  </si>
  <si>
    <t>적랑</t>
  </si>
  <si>
    <t>2022.09.15</t>
  </si>
  <si>
    <t>여우비가 내리던 날 [BL]</t>
  </si>
  <si>
    <t>사냥꾼은 마왕이 되기 싫다 [단행본]</t>
  </si>
  <si>
    <t>헌터 킹</t>
  </si>
  <si>
    <t>무림병장 [독점]</t>
  </si>
  <si>
    <t>2020.08.29</t>
  </si>
  <si>
    <t>소울 슈터</t>
  </si>
  <si>
    <t>진령군 도망기 [단행본]</t>
  </si>
  <si>
    <t>정은숙</t>
  </si>
  <si>
    <t>2022.09.01</t>
  </si>
  <si>
    <t>붉은 정자-살라댕 [단행본]</t>
  </si>
  <si>
    <t>라벤더블루</t>
  </si>
  <si>
    <t>2022.01.10</t>
  </si>
  <si>
    <t>나는 내 연인의 것 [BL][단행본]</t>
  </si>
  <si>
    <t>2021.02.01</t>
  </si>
  <si>
    <t>로맨틱 아이디얼(Romantic Ideal) [BL][단행본]</t>
  </si>
  <si>
    <t>2019.01.24</t>
  </si>
  <si>
    <t>불시착한 우주 [BL][단행본]</t>
  </si>
  <si>
    <t>2020.11.11</t>
  </si>
  <si>
    <t>익스클루시브(Exclusive) [BL][단행본]</t>
  </si>
  <si>
    <t>2021.08.13</t>
  </si>
  <si>
    <t>슈트의 품격 [단행본]</t>
  </si>
  <si>
    <t>2018.06.18</t>
  </si>
  <si>
    <t>천년을 내리는 눈 [외전증보판][단행본]</t>
  </si>
  <si>
    <t>2019.03.25</t>
  </si>
  <si>
    <t>제, 정신병원에 어서 오세요 [BL][단행본]</t>
  </si>
  <si>
    <t>벨벳해머(AreYOUok)</t>
  </si>
  <si>
    <t>2019.03.06</t>
  </si>
  <si>
    <t>여우비가 내리던 날 [BL][단행본]</t>
  </si>
  <si>
    <t>2020.11.16</t>
  </si>
  <si>
    <t>베로나에서 그를 만나다 [단행본]</t>
  </si>
  <si>
    <t>원성혜</t>
  </si>
  <si>
    <t>2022.03.23</t>
  </si>
  <si>
    <t>나는 내 연인의 것 외전 [BL][단행본]</t>
  </si>
  <si>
    <t>불시착한 우주 외전 [BL][단행본]</t>
  </si>
  <si>
    <t>슈트의 품격 외전 [단행본]</t>
  </si>
  <si>
    <t>내 하루에 네가 피어나 [단행본]</t>
  </si>
  <si>
    <t>2022.03.11</t>
  </si>
  <si>
    <t>바보가 만드는 멋진 세상 [개정판][단행본]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</si>
</sst>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2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222"/>
  <sheetViews>
    <sheetView tabSelected="1" topLeftCell="AW163" zoomScaleNormal="100" workbookViewId="0">
      <selection activeCell="BI170" sqref="BI170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bestFit="1" customWidth="1"/>
    <col min="67" max="67" width="13.3984375" style="13" customWidth="1"/>
  </cols>
  <sheetData>
    <row r="1" spans="1:69" ht="27" customHeight="1" x14ac:dyDescent="0.4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189</v>
      </c>
      <c r="I1" s="14" t="s">
        <v>6</v>
      </c>
      <c r="J1" s="12" t="s">
        <v>190</v>
      </c>
      <c r="K1" s="12" t="s">
        <v>191</v>
      </c>
      <c r="L1" s="12" t="s">
        <v>192</v>
      </c>
      <c r="M1" s="12" t="s">
        <v>193</v>
      </c>
      <c r="N1" s="12" t="s">
        <v>194</v>
      </c>
      <c r="O1" s="12" t="s">
        <v>195</v>
      </c>
      <c r="P1" s="12" t="s">
        <v>196</v>
      </c>
      <c r="Q1" s="12" t="s">
        <v>197</v>
      </c>
      <c r="R1" s="12" t="s">
        <v>198</v>
      </c>
      <c r="S1" s="12" t="s">
        <v>199</v>
      </c>
      <c r="T1" s="12" t="s">
        <v>200</v>
      </c>
      <c r="U1" s="12" t="s">
        <v>201</v>
      </c>
      <c r="V1" s="12" t="s">
        <v>202</v>
      </c>
      <c r="W1" s="12" t="s">
        <v>203</v>
      </c>
      <c r="X1" s="12" t="s">
        <v>204</v>
      </c>
      <c r="Y1" s="12" t="s">
        <v>205</v>
      </c>
      <c r="Z1" s="12" t="s">
        <v>206</v>
      </c>
      <c r="AA1" s="12" t="s">
        <v>207</v>
      </c>
      <c r="AB1" s="12" t="s">
        <v>208</v>
      </c>
      <c r="AC1" s="12" t="s">
        <v>209</v>
      </c>
      <c r="AD1" s="12" t="s">
        <v>210</v>
      </c>
      <c r="AE1" s="12" t="s">
        <v>211</v>
      </c>
      <c r="AF1" s="12" t="s">
        <v>212</v>
      </c>
      <c r="AG1" s="12" t="s">
        <v>213</v>
      </c>
      <c r="AH1" s="12" t="s">
        <v>214</v>
      </c>
      <c r="AI1" s="12" t="s">
        <v>215</v>
      </c>
      <c r="AJ1" s="12" t="s">
        <v>216</v>
      </c>
      <c r="AK1" s="12" t="s">
        <v>217</v>
      </c>
      <c r="AL1" s="12" t="s">
        <v>218</v>
      </c>
      <c r="AM1" s="12" t="s">
        <v>219</v>
      </c>
      <c r="AN1" s="12" t="s">
        <v>220</v>
      </c>
      <c r="AO1" s="12" t="s">
        <v>221</v>
      </c>
      <c r="AP1" s="12" t="s">
        <v>222</v>
      </c>
      <c r="AQ1" s="12" t="s">
        <v>223</v>
      </c>
      <c r="AR1" s="12" t="s">
        <v>224</v>
      </c>
      <c r="AS1" s="12" t="s">
        <v>225</v>
      </c>
      <c r="AT1" s="12" t="s">
        <v>226</v>
      </c>
      <c r="AU1" s="12" t="s">
        <v>227</v>
      </c>
      <c r="AV1" s="12" t="s">
        <v>228</v>
      </c>
      <c r="AW1" s="12" t="s">
        <v>229</v>
      </c>
      <c r="AX1" s="12" t="s">
        <v>230</v>
      </c>
      <c r="AY1" s="12" t="s">
        <v>231</v>
      </c>
      <c r="AZ1" s="12" t="s">
        <v>232</v>
      </c>
      <c r="BA1" s="12" t="s">
        <v>233</v>
      </c>
      <c r="BB1" s="12" t="s">
        <v>234</v>
      </c>
      <c r="BC1" s="12" t="s">
        <v>235</v>
      </c>
      <c r="BD1" s="12" t="s">
        <v>236</v>
      </c>
      <c r="BE1" s="12" t="s">
        <v>237</v>
      </c>
      <c r="BF1" s="12" t="s">
        <v>238</v>
      </c>
      <c r="BG1" s="12" t="s">
        <v>239</v>
      </c>
      <c r="BH1" s="12" t="s">
        <v>240</v>
      </c>
      <c r="BI1" s="12" t="s">
        <v>241</v>
      </c>
      <c r="BJ1" s="12" t="s">
        <v>242</v>
      </c>
      <c r="BK1" s="12" t="s">
        <v>243</v>
      </c>
      <c r="BL1" s="12" t="s">
        <v>13</v>
      </c>
      <c r="BM1" s="12" t="s">
        <v>11</v>
      </c>
      <c r="BN1" s="12" t="s">
        <v>244</v>
      </c>
      <c r="BO1" s="12" t="s">
        <v>12</v>
      </c>
      <c r="BP1" s="12" t="s">
        <v>290</v>
      </c>
      <c r="BQ1" s="12" t="s">
        <v>291</v>
      </c>
    </row>
    <row r="2" spans="1:69" x14ac:dyDescent="0.4">
      <c r="A2" s="5" t="s">
        <v>245</v>
      </c>
      <c r="B2" s="5" t="s">
        <v>172</v>
      </c>
      <c r="C2" s="5">
        <v>469971</v>
      </c>
      <c r="D2" s="6"/>
      <c r="E2" s="5" t="s">
        <v>16</v>
      </c>
      <c r="F2" s="5" t="s">
        <v>159</v>
      </c>
      <c r="G2" s="5" t="s">
        <v>73</v>
      </c>
      <c r="H2" s="7" t="s">
        <v>7</v>
      </c>
      <c r="I2" s="7" t="s">
        <v>292</v>
      </c>
      <c r="J2" s="7">
        <v>0</v>
      </c>
      <c r="K2" s="8">
        <v>3971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1617</v>
      </c>
      <c r="AF2" s="8">
        <v>119560</v>
      </c>
      <c r="AG2" s="8">
        <v>45400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796</v>
      </c>
      <c r="AR2" s="8">
        <v>78000</v>
      </c>
      <c r="AS2" s="8">
        <v>1600</v>
      </c>
      <c r="AT2" s="7">
        <v>0</v>
      </c>
      <c r="AU2" s="7">
        <v>0</v>
      </c>
      <c r="AV2" s="7">
        <v>0</v>
      </c>
      <c r="AW2" s="7">
        <v>369</v>
      </c>
      <c r="AX2" s="8">
        <v>42240</v>
      </c>
      <c r="AY2" s="8">
        <v>1700</v>
      </c>
      <c r="AZ2" s="7">
        <v>0</v>
      </c>
      <c r="BA2" s="7">
        <v>0</v>
      </c>
      <c r="BB2" s="7">
        <v>0</v>
      </c>
      <c r="BC2" s="8">
        <v>1421</v>
      </c>
      <c r="BD2" s="8">
        <v>168360</v>
      </c>
      <c r="BE2" s="8">
        <v>1800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9">
        <v>14325.6</v>
      </c>
      <c r="BM2" s="10">
        <v>458660</v>
      </c>
      <c r="BN2" s="15">
        <f>BM2-BL2</f>
        <v>444334.4</v>
      </c>
      <c r="BO2" s="15">
        <f>BN2*0.7</f>
        <v>311034.08</v>
      </c>
    </row>
    <row r="3" spans="1:69" x14ac:dyDescent="0.4">
      <c r="A3" s="5" t="s">
        <v>246</v>
      </c>
      <c r="B3" s="5" t="s">
        <v>20</v>
      </c>
      <c r="C3" s="5">
        <v>451051</v>
      </c>
      <c r="D3" s="6"/>
      <c r="E3" s="5" t="s">
        <v>16</v>
      </c>
      <c r="F3" s="5" t="s">
        <v>17</v>
      </c>
      <c r="G3" s="5" t="s">
        <v>18</v>
      </c>
      <c r="H3" s="7" t="s">
        <v>10</v>
      </c>
      <c r="I3" s="7" t="s">
        <v>14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8">
        <v>1370</v>
      </c>
      <c r="AF3" s="8">
        <v>129280</v>
      </c>
      <c r="AG3" s="8">
        <v>28900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476</v>
      </c>
      <c r="AR3" s="8">
        <v>46700</v>
      </c>
      <c r="AS3" s="7">
        <v>900</v>
      </c>
      <c r="AT3" s="7">
        <v>0</v>
      </c>
      <c r="AU3" s="7">
        <v>0</v>
      </c>
      <c r="AV3" s="7">
        <v>0</v>
      </c>
      <c r="AW3" s="7">
        <v>246</v>
      </c>
      <c r="AX3" s="8">
        <v>29520</v>
      </c>
      <c r="AY3" s="7">
        <v>0</v>
      </c>
      <c r="AZ3" s="7">
        <v>0</v>
      </c>
      <c r="BA3" s="7">
        <v>0</v>
      </c>
      <c r="BB3" s="7">
        <v>0</v>
      </c>
      <c r="BC3" s="7">
        <v>340</v>
      </c>
      <c r="BD3" s="8">
        <v>40800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9">
        <v>5400</v>
      </c>
      <c r="BM3" s="10">
        <v>276100</v>
      </c>
      <c r="BN3" s="15">
        <f t="shared" ref="BN3:BN66" si="0">BM3-BL3</f>
        <v>270700</v>
      </c>
      <c r="BO3" s="15">
        <f t="shared" ref="BO3:BO66" si="1">BN3*0.7</f>
        <v>189490</v>
      </c>
    </row>
    <row r="4" spans="1:69" x14ac:dyDescent="0.4">
      <c r="A4" s="5" t="s">
        <v>246</v>
      </c>
      <c r="B4" s="5" t="s">
        <v>247</v>
      </c>
      <c r="C4" s="5">
        <v>453656</v>
      </c>
      <c r="D4" s="6"/>
      <c r="E4" s="5" t="s">
        <v>16</v>
      </c>
      <c r="F4" s="5" t="s">
        <v>17</v>
      </c>
      <c r="G4" s="5" t="s">
        <v>18</v>
      </c>
      <c r="H4" s="7" t="s">
        <v>7</v>
      </c>
      <c r="I4" s="7" t="s">
        <v>248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52</v>
      </c>
      <c r="AC4" s="8">
        <v>34920</v>
      </c>
      <c r="AD4" s="8">
        <v>9400</v>
      </c>
      <c r="AE4" s="7">
        <v>1</v>
      </c>
      <c r="AF4" s="7">
        <v>0</v>
      </c>
      <c r="AG4" s="7">
        <v>200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47</v>
      </c>
      <c r="AO4" s="8">
        <v>41200</v>
      </c>
      <c r="AP4" s="7">
        <v>400</v>
      </c>
      <c r="AQ4" s="7">
        <v>3</v>
      </c>
      <c r="AR4" s="8">
        <v>6000</v>
      </c>
      <c r="AS4" s="7">
        <v>0</v>
      </c>
      <c r="AT4" s="7">
        <v>8</v>
      </c>
      <c r="AU4" s="8">
        <v>8640</v>
      </c>
      <c r="AV4" s="7">
        <v>0</v>
      </c>
      <c r="AW4" s="7">
        <v>0</v>
      </c>
      <c r="AX4" s="7">
        <v>0</v>
      </c>
      <c r="AY4" s="7">
        <v>0</v>
      </c>
      <c r="AZ4" s="7">
        <v>92</v>
      </c>
      <c r="BA4" s="8">
        <v>97800</v>
      </c>
      <c r="BB4" s="7">
        <v>0</v>
      </c>
      <c r="BC4" s="7">
        <v>12</v>
      </c>
      <c r="BD4" s="8">
        <v>28560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9">
        <v>8445.6</v>
      </c>
      <c r="BM4" s="10">
        <v>227120</v>
      </c>
      <c r="BN4" s="15">
        <f t="shared" si="0"/>
        <v>218674.4</v>
      </c>
      <c r="BO4" s="15">
        <f t="shared" si="1"/>
        <v>153072.07999999999</v>
      </c>
    </row>
    <row r="5" spans="1:69" x14ac:dyDescent="0.4">
      <c r="A5" s="5" t="s">
        <v>246</v>
      </c>
      <c r="B5" s="5" t="s">
        <v>15</v>
      </c>
      <c r="C5" s="5">
        <v>465998</v>
      </c>
      <c r="D5" s="6"/>
      <c r="E5" s="5" t="s">
        <v>16</v>
      </c>
      <c r="F5" s="5" t="s">
        <v>17</v>
      </c>
      <c r="G5" s="5" t="s">
        <v>18</v>
      </c>
      <c r="H5" s="7" t="s">
        <v>10</v>
      </c>
      <c r="I5" s="7" t="s">
        <v>19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48</v>
      </c>
      <c r="AC5" s="8">
        <v>43560</v>
      </c>
      <c r="AD5" s="8">
        <v>4500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58</v>
      </c>
      <c r="AO5" s="8">
        <v>50900</v>
      </c>
      <c r="AP5" s="8">
        <v>1300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100</v>
      </c>
      <c r="BA5" s="8">
        <v>108000</v>
      </c>
      <c r="BB5" s="7">
        <v>0</v>
      </c>
      <c r="BC5" s="7">
        <v>1</v>
      </c>
      <c r="BD5" s="8">
        <v>2400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9">
        <v>6624</v>
      </c>
      <c r="BM5" s="10">
        <v>210660</v>
      </c>
      <c r="BN5" s="15">
        <f t="shared" si="0"/>
        <v>204036</v>
      </c>
      <c r="BO5" s="15">
        <f t="shared" si="1"/>
        <v>142825.19999999998</v>
      </c>
    </row>
    <row r="6" spans="1:69" x14ac:dyDescent="0.4">
      <c r="A6" s="5" t="s">
        <v>246</v>
      </c>
      <c r="B6" s="5" t="s">
        <v>135</v>
      </c>
      <c r="C6" s="5">
        <v>367415</v>
      </c>
      <c r="D6" s="6"/>
      <c r="E6" s="5" t="s">
        <v>16</v>
      </c>
      <c r="F6" s="5" t="s">
        <v>53</v>
      </c>
      <c r="G6" s="5" t="s">
        <v>18</v>
      </c>
      <c r="H6" s="7" t="s">
        <v>7</v>
      </c>
      <c r="I6" s="7" t="s">
        <v>136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36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400</v>
      </c>
      <c r="AF6" s="8">
        <v>41260</v>
      </c>
      <c r="AG6" s="8">
        <v>1900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9</v>
      </c>
      <c r="AR6" s="7">
        <v>700</v>
      </c>
      <c r="AS6" s="7">
        <v>200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8">
        <v>1040</v>
      </c>
      <c r="BD6" s="8">
        <v>124800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9">
        <v>7488</v>
      </c>
      <c r="BM6" s="10">
        <v>168860</v>
      </c>
      <c r="BN6" s="15">
        <f t="shared" si="0"/>
        <v>161372</v>
      </c>
      <c r="BO6" s="15">
        <f t="shared" si="1"/>
        <v>112960.4</v>
      </c>
    </row>
    <row r="7" spans="1:69" x14ac:dyDescent="0.4">
      <c r="A7" s="5" t="s">
        <v>245</v>
      </c>
      <c r="B7" s="5" t="s">
        <v>21</v>
      </c>
      <c r="C7" s="5">
        <v>464786</v>
      </c>
      <c r="D7" s="6"/>
      <c r="E7" s="5" t="s">
        <v>16</v>
      </c>
      <c r="F7" s="5" t="s">
        <v>22</v>
      </c>
      <c r="G7" s="5" t="s">
        <v>23</v>
      </c>
      <c r="H7" s="7" t="s">
        <v>10</v>
      </c>
      <c r="I7" s="7" t="s">
        <v>24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16</v>
      </c>
      <c r="AF7" s="8">
        <v>11000</v>
      </c>
      <c r="AG7" s="8">
        <v>27000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3</v>
      </c>
      <c r="AR7" s="8">
        <v>7300</v>
      </c>
      <c r="AS7" s="7">
        <v>200</v>
      </c>
      <c r="AT7" s="7">
        <v>0</v>
      </c>
      <c r="AU7" s="7">
        <v>0</v>
      </c>
      <c r="AV7" s="7">
        <v>0</v>
      </c>
      <c r="AW7" s="7">
        <v>5</v>
      </c>
      <c r="AX7" s="8">
        <v>13800</v>
      </c>
      <c r="AY7" s="7">
        <v>0</v>
      </c>
      <c r="AZ7" s="7">
        <v>0</v>
      </c>
      <c r="BA7" s="7">
        <v>0</v>
      </c>
      <c r="BB7" s="7">
        <v>0</v>
      </c>
      <c r="BC7" s="7">
        <v>23</v>
      </c>
      <c r="BD7" s="8">
        <v>65400</v>
      </c>
      <c r="BE7" s="8">
        <v>1000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9">
        <v>5304</v>
      </c>
      <c r="BM7" s="10">
        <v>125700</v>
      </c>
      <c r="BN7" s="15">
        <f t="shared" si="0"/>
        <v>120396</v>
      </c>
      <c r="BO7" s="15">
        <f t="shared" si="1"/>
        <v>84277.2</v>
      </c>
    </row>
    <row r="8" spans="1:69" x14ac:dyDescent="0.4">
      <c r="A8" s="5" t="s">
        <v>245</v>
      </c>
      <c r="B8" s="5" t="s">
        <v>249</v>
      </c>
      <c r="C8" s="5">
        <v>453478</v>
      </c>
      <c r="D8" s="6"/>
      <c r="E8" s="5" t="s">
        <v>16</v>
      </c>
      <c r="F8" s="5" t="s">
        <v>17</v>
      </c>
      <c r="G8" s="5" t="s">
        <v>18</v>
      </c>
      <c r="H8" s="7" t="s">
        <v>7</v>
      </c>
      <c r="I8" s="7" t="s">
        <v>250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144</v>
      </c>
      <c r="AF8" s="8">
        <v>7080</v>
      </c>
      <c r="AG8" s="8">
        <v>7500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224</v>
      </c>
      <c r="AR8" s="8">
        <v>21700</v>
      </c>
      <c r="AS8" s="7">
        <v>700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471</v>
      </c>
      <c r="BD8" s="8">
        <v>56520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9">
        <v>3391.2</v>
      </c>
      <c r="BM8" s="10">
        <v>93500</v>
      </c>
      <c r="BN8" s="15">
        <f t="shared" si="0"/>
        <v>90108.800000000003</v>
      </c>
      <c r="BO8" s="15">
        <f t="shared" si="1"/>
        <v>63076.159999999996</v>
      </c>
    </row>
    <row r="9" spans="1:69" x14ac:dyDescent="0.4">
      <c r="A9" s="5" t="s">
        <v>245</v>
      </c>
      <c r="B9" s="5" t="s">
        <v>43</v>
      </c>
      <c r="C9" s="5">
        <v>461432</v>
      </c>
      <c r="D9" s="6"/>
      <c r="E9" s="5" t="s">
        <v>16</v>
      </c>
      <c r="F9" s="5" t="s">
        <v>17</v>
      </c>
      <c r="G9" s="5" t="s">
        <v>18</v>
      </c>
      <c r="H9" s="7" t="s">
        <v>10</v>
      </c>
      <c r="I9" s="7" t="s">
        <v>44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33</v>
      </c>
      <c r="AF9" s="7">
        <v>0</v>
      </c>
      <c r="AG9" s="8">
        <v>3300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2</v>
      </c>
      <c r="AR9" s="7">
        <v>100</v>
      </c>
      <c r="AS9" s="7">
        <v>100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537</v>
      </c>
      <c r="BD9" s="8">
        <v>64440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9">
        <v>3866.4</v>
      </c>
      <c r="BM9" s="10">
        <v>67940</v>
      </c>
      <c r="BN9" s="15">
        <f t="shared" si="0"/>
        <v>64073.599999999999</v>
      </c>
      <c r="BO9" s="15">
        <f t="shared" si="1"/>
        <v>44851.519999999997</v>
      </c>
    </row>
    <row r="10" spans="1:69" x14ac:dyDescent="0.4">
      <c r="A10" s="5" t="s">
        <v>245</v>
      </c>
      <c r="B10" s="5" t="s">
        <v>33</v>
      </c>
      <c r="C10" s="5">
        <v>395341</v>
      </c>
      <c r="D10" s="6"/>
      <c r="E10" s="5" t="s">
        <v>16</v>
      </c>
      <c r="F10" s="5" t="s">
        <v>34</v>
      </c>
      <c r="G10" s="5" t="s">
        <v>35</v>
      </c>
      <c r="H10" s="7" t="s">
        <v>8</v>
      </c>
      <c r="I10" s="7" t="s">
        <v>36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326</v>
      </c>
      <c r="AF10" s="8">
        <v>7200</v>
      </c>
      <c r="AG10" s="8">
        <v>25400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1</v>
      </c>
      <c r="AX10" s="7">
        <v>120</v>
      </c>
      <c r="AY10" s="7">
        <v>0</v>
      </c>
      <c r="AZ10" s="7">
        <v>0</v>
      </c>
      <c r="BA10" s="7">
        <v>0</v>
      </c>
      <c r="BB10" s="7">
        <v>0</v>
      </c>
      <c r="BC10" s="7">
        <v>281</v>
      </c>
      <c r="BD10" s="8">
        <v>33720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9">
        <v>2035.2</v>
      </c>
      <c r="BM10" s="10">
        <v>66440</v>
      </c>
      <c r="BN10" s="15">
        <f t="shared" si="0"/>
        <v>64404.800000000003</v>
      </c>
      <c r="BO10" s="15">
        <f t="shared" si="1"/>
        <v>45083.360000000001</v>
      </c>
    </row>
    <row r="11" spans="1:69" x14ac:dyDescent="0.4">
      <c r="A11" s="5" t="s">
        <v>245</v>
      </c>
      <c r="B11" s="5" t="s">
        <v>252</v>
      </c>
      <c r="C11" s="5">
        <v>477493</v>
      </c>
      <c r="D11" s="6"/>
      <c r="E11" s="5" t="s">
        <v>16</v>
      </c>
      <c r="F11" s="5" t="s">
        <v>81</v>
      </c>
      <c r="G11" s="5" t="s">
        <v>23</v>
      </c>
      <c r="H11" s="7" t="s">
        <v>7</v>
      </c>
      <c r="I11" s="7" t="s">
        <v>253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7</v>
      </c>
      <c r="AF11" s="8">
        <v>4000</v>
      </c>
      <c r="AG11" s="8">
        <v>8200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5</v>
      </c>
      <c r="AR11" s="8">
        <v>9800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11</v>
      </c>
      <c r="BD11" s="8">
        <v>26400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9">
        <v>1584</v>
      </c>
      <c r="BM11" s="10">
        <v>48400</v>
      </c>
      <c r="BN11" s="15">
        <f t="shared" si="0"/>
        <v>46816</v>
      </c>
      <c r="BO11" s="15">
        <f t="shared" si="1"/>
        <v>32771.199999999997</v>
      </c>
    </row>
    <row r="12" spans="1:69" x14ac:dyDescent="0.4">
      <c r="A12" s="5" t="s">
        <v>246</v>
      </c>
      <c r="B12" s="5" t="s">
        <v>29</v>
      </c>
      <c r="C12" s="5">
        <v>368432</v>
      </c>
      <c r="D12" s="6"/>
      <c r="E12" s="5" t="s">
        <v>16</v>
      </c>
      <c r="F12" s="5" t="s">
        <v>30</v>
      </c>
      <c r="G12" s="5" t="s">
        <v>31</v>
      </c>
      <c r="H12" s="7" t="s">
        <v>8</v>
      </c>
      <c r="I12" s="7" t="s">
        <v>32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1</v>
      </c>
      <c r="AF12" s="7">
        <v>0</v>
      </c>
      <c r="AG12" s="7">
        <v>100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94</v>
      </c>
      <c r="AR12" s="8">
        <v>9300</v>
      </c>
      <c r="AS12" s="7">
        <v>100</v>
      </c>
      <c r="AT12" s="7">
        <v>0</v>
      </c>
      <c r="AU12" s="7">
        <v>0</v>
      </c>
      <c r="AV12" s="7">
        <v>0</v>
      </c>
      <c r="AW12" s="7">
        <v>22</v>
      </c>
      <c r="AX12" s="8">
        <v>2640</v>
      </c>
      <c r="AY12" s="7">
        <v>0</v>
      </c>
      <c r="AZ12" s="7">
        <v>0</v>
      </c>
      <c r="BA12" s="7">
        <v>0</v>
      </c>
      <c r="BB12" s="7">
        <v>0</v>
      </c>
      <c r="BC12" s="7">
        <v>288</v>
      </c>
      <c r="BD12" s="8">
        <v>34560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9">
        <v>2337.6</v>
      </c>
      <c r="BM12" s="10">
        <v>46700</v>
      </c>
      <c r="BN12" s="15">
        <f t="shared" si="0"/>
        <v>44362.400000000001</v>
      </c>
      <c r="BO12" s="15">
        <f t="shared" si="1"/>
        <v>31053.68</v>
      </c>
    </row>
    <row r="13" spans="1:69" x14ac:dyDescent="0.4">
      <c r="A13" s="5" t="s">
        <v>245</v>
      </c>
      <c r="B13" s="5" t="s">
        <v>88</v>
      </c>
      <c r="C13" s="5">
        <v>382098</v>
      </c>
      <c r="D13" s="6"/>
      <c r="E13" s="5" t="s">
        <v>16</v>
      </c>
      <c r="F13" s="5" t="s">
        <v>17</v>
      </c>
      <c r="G13" s="5" t="s">
        <v>18</v>
      </c>
      <c r="H13" s="7" t="s">
        <v>7</v>
      </c>
      <c r="I13" s="7" t="s">
        <v>89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11</v>
      </c>
      <c r="BD13" s="8">
        <v>42240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9">
        <v>2534.4</v>
      </c>
      <c r="BM13" s="10">
        <v>42240</v>
      </c>
      <c r="BN13" s="15">
        <f t="shared" si="0"/>
        <v>39705.599999999999</v>
      </c>
      <c r="BO13" s="15">
        <f t="shared" si="1"/>
        <v>27793.919999999998</v>
      </c>
    </row>
    <row r="14" spans="1:69" x14ac:dyDescent="0.4">
      <c r="A14" s="5" t="s">
        <v>245</v>
      </c>
      <c r="B14" s="5" t="s">
        <v>52</v>
      </c>
      <c r="C14" s="5">
        <v>380954</v>
      </c>
      <c r="D14" s="6"/>
      <c r="E14" s="5" t="s">
        <v>16</v>
      </c>
      <c r="F14" s="5" t="s">
        <v>53</v>
      </c>
      <c r="G14" s="5" t="s">
        <v>18</v>
      </c>
      <c r="H14" s="7" t="s">
        <v>7</v>
      </c>
      <c r="I14" s="7" t="s">
        <v>54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32</v>
      </c>
      <c r="AC14" s="8">
        <v>31320</v>
      </c>
      <c r="AD14" s="8">
        <v>2700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7</v>
      </c>
      <c r="BA14" s="8">
        <v>7560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453.6</v>
      </c>
      <c r="BM14" s="10">
        <v>41580</v>
      </c>
      <c r="BN14" s="15">
        <f t="shared" si="0"/>
        <v>41126.400000000001</v>
      </c>
      <c r="BO14" s="15">
        <f t="shared" si="1"/>
        <v>28788.48</v>
      </c>
    </row>
    <row r="15" spans="1:69" x14ac:dyDescent="0.4">
      <c r="A15" s="5" t="s">
        <v>246</v>
      </c>
      <c r="B15" s="5" t="s">
        <v>152</v>
      </c>
      <c r="C15" s="5">
        <v>472519</v>
      </c>
      <c r="D15" s="6"/>
      <c r="E15" s="5" t="s">
        <v>16</v>
      </c>
      <c r="F15" s="5" t="s">
        <v>153</v>
      </c>
      <c r="G15" s="5" t="s">
        <v>23</v>
      </c>
      <c r="H15" s="7" t="s">
        <v>7</v>
      </c>
      <c r="I15" s="7" t="s">
        <v>154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4</v>
      </c>
      <c r="AF15" s="8">
        <v>7920</v>
      </c>
      <c r="AG15" s="8">
        <v>7200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5</v>
      </c>
      <c r="BD15" s="8">
        <v>21600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9">
        <v>1296</v>
      </c>
      <c r="BM15" s="10">
        <v>36720</v>
      </c>
      <c r="BN15" s="15">
        <f t="shared" si="0"/>
        <v>35424</v>
      </c>
      <c r="BO15" s="15">
        <f t="shared" si="1"/>
        <v>24796.799999999999</v>
      </c>
    </row>
    <row r="16" spans="1:69" ht="19.2" x14ac:dyDescent="0.4">
      <c r="A16" s="5" t="s">
        <v>251</v>
      </c>
      <c r="B16" s="5" t="s">
        <v>62</v>
      </c>
      <c r="C16" s="5">
        <v>468582</v>
      </c>
      <c r="D16" s="6"/>
      <c r="E16" s="5" t="s">
        <v>16</v>
      </c>
      <c r="F16" s="5" t="s">
        <v>63</v>
      </c>
      <c r="G16" s="5" t="s">
        <v>23</v>
      </c>
      <c r="H16" s="7" t="s">
        <v>10</v>
      </c>
      <c r="I16" s="7" t="s">
        <v>64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4</v>
      </c>
      <c r="AF16" s="8">
        <v>1500</v>
      </c>
      <c r="AG16" s="8">
        <v>6400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2</v>
      </c>
      <c r="AR16" s="8">
        <v>5000</v>
      </c>
      <c r="AS16" s="7">
        <v>0</v>
      </c>
      <c r="AT16" s="7">
        <v>0</v>
      </c>
      <c r="AU16" s="7">
        <v>0</v>
      </c>
      <c r="AV16" s="7">
        <v>0</v>
      </c>
      <c r="AW16" s="7">
        <v>2</v>
      </c>
      <c r="AX16" s="8">
        <v>6125</v>
      </c>
      <c r="AY16" s="7">
        <v>0</v>
      </c>
      <c r="AZ16" s="7">
        <v>0</v>
      </c>
      <c r="BA16" s="7">
        <v>0</v>
      </c>
      <c r="BB16" s="7">
        <v>0</v>
      </c>
      <c r="BC16" s="7">
        <v>6</v>
      </c>
      <c r="BD16" s="8">
        <v>17520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9">
        <v>1663.7</v>
      </c>
      <c r="BM16" s="10">
        <v>36545</v>
      </c>
      <c r="BN16" s="15">
        <f t="shared" si="0"/>
        <v>34881.300000000003</v>
      </c>
      <c r="BO16" s="15">
        <f t="shared" si="1"/>
        <v>24416.91</v>
      </c>
    </row>
    <row r="17" spans="1:67" x14ac:dyDescent="0.4">
      <c r="A17" s="5" t="s">
        <v>245</v>
      </c>
      <c r="B17" s="5" t="s">
        <v>118</v>
      </c>
      <c r="C17" s="5">
        <v>445220</v>
      </c>
      <c r="D17" s="6"/>
      <c r="E17" s="5" t="s">
        <v>16</v>
      </c>
      <c r="F17" s="5" t="s">
        <v>119</v>
      </c>
      <c r="G17" s="5" t="s">
        <v>35</v>
      </c>
      <c r="H17" s="7" t="s">
        <v>8</v>
      </c>
      <c r="I17" s="7" t="s">
        <v>120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83</v>
      </c>
      <c r="AF17" s="7">
        <v>120</v>
      </c>
      <c r="AG17" s="8">
        <v>8200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40</v>
      </c>
      <c r="AR17" s="7">
        <v>200</v>
      </c>
      <c r="AS17" s="8">
        <v>3800</v>
      </c>
      <c r="AT17" s="7">
        <v>0</v>
      </c>
      <c r="AU17" s="7">
        <v>0</v>
      </c>
      <c r="AV17" s="7">
        <v>0</v>
      </c>
      <c r="AW17" s="7">
        <v>184</v>
      </c>
      <c r="AX17" s="8">
        <v>22080</v>
      </c>
      <c r="AY17" s="7">
        <v>0</v>
      </c>
      <c r="AZ17" s="7">
        <v>0</v>
      </c>
      <c r="BA17" s="7">
        <v>0</v>
      </c>
      <c r="BB17" s="7">
        <v>0</v>
      </c>
      <c r="BC17" s="7">
        <v>16</v>
      </c>
      <c r="BD17" s="8">
        <v>1920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9">
        <v>2323.1999999999998</v>
      </c>
      <c r="BM17" s="10">
        <v>36320</v>
      </c>
      <c r="BN17" s="15">
        <f t="shared" si="0"/>
        <v>33996.800000000003</v>
      </c>
      <c r="BO17" s="15">
        <f t="shared" si="1"/>
        <v>23797.760000000002</v>
      </c>
    </row>
    <row r="18" spans="1:67" x14ac:dyDescent="0.4">
      <c r="A18" s="5" t="s">
        <v>245</v>
      </c>
      <c r="B18" s="5" t="s">
        <v>293</v>
      </c>
      <c r="C18" s="5">
        <v>408834</v>
      </c>
      <c r="D18" s="6"/>
      <c r="E18" s="5" t="s">
        <v>16</v>
      </c>
      <c r="F18" s="5" t="s">
        <v>56</v>
      </c>
      <c r="G18" s="5" t="s">
        <v>18</v>
      </c>
      <c r="H18" s="7" t="s">
        <v>7</v>
      </c>
      <c r="I18" s="7" t="s">
        <v>77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4</v>
      </c>
      <c r="AF18" s="8">
        <v>10000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10</v>
      </c>
      <c r="AO18" s="8">
        <v>9000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15</v>
      </c>
      <c r="BA18" s="8">
        <v>16200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972</v>
      </c>
      <c r="BM18" s="10">
        <v>35200</v>
      </c>
      <c r="BN18" s="15">
        <f t="shared" si="0"/>
        <v>34228</v>
      </c>
      <c r="BO18" s="15">
        <f t="shared" si="1"/>
        <v>23959.599999999999</v>
      </c>
    </row>
    <row r="19" spans="1:67" x14ac:dyDescent="0.4">
      <c r="A19" s="5" t="s">
        <v>245</v>
      </c>
      <c r="B19" s="5" t="s">
        <v>40</v>
      </c>
      <c r="C19" s="5">
        <v>354950</v>
      </c>
      <c r="D19" s="6" t="s">
        <v>41</v>
      </c>
      <c r="E19" s="5" t="s">
        <v>16</v>
      </c>
      <c r="F19" s="5" t="s">
        <v>17</v>
      </c>
      <c r="G19" s="5" t="s">
        <v>18</v>
      </c>
      <c r="H19" s="7" t="s">
        <v>7</v>
      </c>
      <c r="I19" s="7" t="s">
        <v>42</v>
      </c>
      <c r="J19" s="7">
        <v>0</v>
      </c>
      <c r="K19" s="7">
        <v>22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5</v>
      </c>
      <c r="T19" s="7">
        <v>11</v>
      </c>
      <c r="U19" s="7">
        <v>0</v>
      </c>
      <c r="V19" s="7">
        <v>500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8</v>
      </c>
      <c r="AF19" s="7">
        <v>0</v>
      </c>
      <c r="AG19" s="7">
        <v>800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111</v>
      </c>
      <c r="AR19" s="8">
        <v>11100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183</v>
      </c>
      <c r="BD19" s="8">
        <v>21960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9">
        <v>1317.6</v>
      </c>
      <c r="BM19" s="10">
        <v>34360</v>
      </c>
      <c r="BN19" s="15">
        <f t="shared" si="0"/>
        <v>33042.400000000001</v>
      </c>
      <c r="BO19" s="15">
        <f t="shared" si="1"/>
        <v>23129.68</v>
      </c>
    </row>
    <row r="20" spans="1:67" x14ac:dyDescent="0.4">
      <c r="A20" s="5" t="s">
        <v>245</v>
      </c>
      <c r="B20" s="5" t="s">
        <v>145</v>
      </c>
      <c r="C20" s="5">
        <v>408838</v>
      </c>
      <c r="D20" s="6"/>
      <c r="E20" s="5" t="s">
        <v>16</v>
      </c>
      <c r="F20" s="5" t="s">
        <v>56</v>
      </c>
      <c r="G20" s="5" t="s">
        <v>18</v>
      </c>
      <c r="H20" s="7" t="s">
        <v>7</v>
      </c>
      <c r="I20" s="7" t="s">
        <v>77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112</v>
      </c>
      <c r="AF20" s="8">
        <v>3260</v>
      </c>
      <c r="AG20" s="8">
        <v>8000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80</v>
      </c>
      <c r="AR20" s="8">
        <v>8000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125</v>
      </c>
      <c r="BD20" s="8">
        <v>15000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900</v>
      </c>
      <c r="BM20" s="10">
        <v>34260</v>
      </c>
      <c r="BN20" s="15">
        <f t="shared" si="0"/>
        <v>33360</v>
      </c>
      <c r="BO20" s="15">
        <f t="shared" si="1"/>
        <v>23352</v>
      </c>
    </row>
    <row r="21" spans="1:67" x14ac:dyDescent="0.4">
      <c r="A21" s="5" t="s">
        <v>245</v>
      </c>
      <c r="B21" s="5" t="s">
        <v>51</v>
      </c>
      <c r="C21" s="5">
        <v>461450</v>
      </c>
      <c r="D21" s="6"/>
      <c r="E21" s="5" t="s">
        <v>16</v>
      </c>
      <c r="F21" s="5" t="s">
        <v>17</v>
      </c>
      <c r="G21" s="5" t="s">
        <v>18</v>
      </c>
      <c r="H21" s="7" t="s">
        <v>10</v>
      </c>
      <c r="I21" s="7" t="s">
        <v>44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10</v>
      </c>
      <c r="AO21" s="8">
        <v>7700</v>
      </c>
      <c r="AP21" s="7">
        <v>100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16</v>
      </c>
      <c r="BA21" s="8">
        <v>16560</v>
      </c>
      <c r="BB21" s="7">
        <v>0</v>
      </c>
      <c r="BC21" s="7">
        <v>0</v>
      </c>
      <c r="BD21" s="7">
        <v>0</v>
      </c>
      <c r="BE21" s="7">
        <v>0</v>
      </c>
      <c r="BF21" s="7">
        <v>7</v>
      </c>
      <c r="BG21" s="8">
        <v>7560</v>
      </c>
      <c r="BH21" s="7">
        <v>0</v>
      </c>
      <c r="BI21" s="7">
        <v>0</v>
      </c>
      <c r="BJ21" s="7">
        <v>0</v>
      </c>
      <c r="BK21" s="7">
        <v>0</v>
      </c>
      <c r="BL21" s="9">
        <v>1371.6</v>
      </c>
      <c r="BM21" s="10">
        <v>31920</v>
      </c>
      <c r="BN21" s="15">
        <f t="shared" si="0"/>
        <v>30548.400000000001</v>
      </c>
      <c r="BO21" s="15">
        <f t="shared" si="1"/>
        <v>21383.88</v>
      </c>
    </row>
    <row r="22" spans="1:67" x14ac:dyDescent="0.4">
      <c r="A22" s="5" t="s">
        <v>245</v>
      </c>
      <c r="B22" s="5" t="s">
        <v>65</v>
      </c>
      <c r="C22" s="5">
        <v>369060</v>
      </c>
      <c r="D22" s="6"/>
      <c r="E22" s="5" t="s">
        <v>16</v>
      </c>
      <c r="F22" s="5" t="s">
        <v>53</v>
      </c>
      <c r="G22" s="5" t="s">
        <v>18</v>
      </c>
      <c r="H22" s="7" t="s">
        <v>7</v>
      </c>
      <c r="I22" s="7" t="s">
        <v>66</v>
      </c>
      <c r="J22" s="7">
        <v>0</v>
      </c>
      <c r="K22" s="7">
        <v>10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14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51</v>
      </c>
      <c r="AF22" s="7">
        <v>120</v>
      </c>
      <c r="AG22" s="8">
        <v>5000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1</v>
      </c>
      <c r="AR22" s="7">
        <v>100</v>
      </c>
      <c r="AS22" s="7">
        <v>0</v>
      </c>
      <c r="AT22" s="7">
        <v>0</v>
      </c>
      <c r="AU22" s="7">
        <v>0</v>
      </c>
      <c r="AV22" s="7">
        <v>0</v>
      </c>
      <c r="AW22" s="7">
        <v>164</v>
      </c>
      <c r="AX22" s="8">
        <v>19680</v>
      </c>
      <c r="AY22" s="7">
        <v>0</v>
      </c>
      <c r="AZ22" s="7">
        <v>0</v>
      </c>
      <c r="BA22" s="7">
        <v>0</v>
      </c>
      <c r="BB22" s="7">
        <v>0</v>
      </c>
      <c r="BC22" s="7">
        <v>58</v>
      </c>
      <c r="BD22" s="8">
        <v>6960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9">
        <v>2385.6</v>
      </c>
      <c r="BM22" s="10">
        <v>31860</v>
      </c>
      <c r="BN22" s="15">
        <f t="shared" si="0"/>
        <v>29474.400000000001</v>
      </c>
      <c r="BO22" s="15">
        <f t="shared" si="1"/>
        <v>20632.079999999998</v>
      </c>
    </row>
    <row r="23" spans="1:67" x14ac:dyDescent="0.4">
      <c r="A23" s="5" t="s">
        <v>246</v>
      </c>
      <c r="B23" s="5" t="s">
        <v>112</v>
      </c>
      <c r="C23" s="5">
        <v>354768</v>
      </c>
      <c r="D23" s="6"/>
      <c r="E23" s="5" t="s">
        <v>16</v>
      </c>
      <c r="F23" s="5" t="s">
        <v>30</v>
      </c>
      <c r="G23" s="5" t="s">
        <v>31</v>
      </c>
      <c r="H23" s="7" t="s">
        <v>8</v>
      </c>
      <c r="I23" s="7" t="s">
        <v>113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72</v>
      </c>
      <c r="AF23" s="8">
        <v>4900</v>
      </c>
      <c r="AG23" s="8">
        <v>2300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95</v>
      </c>
      <c r="AR23" s="8">
        <v>9300</v>
      </c>
      <c r="AS23" s="7">
        <v>200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107</v>
      </c>
      <c r="BD23" s="8">
        <v>12840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770.4</v>
      </c>
      <c r="BM23" s="10">
        <v>29540</v>
      </c>
      <c r="BN23" s="15">
        <f t="shared" si="0"/>
        <v>28769.599999999999</v>
      </c>
      <c r="BO23" s="15">
        <f t="shared" si="1"/>
        <v>20138.719999999998</v>
      </c>
    </row>
    <row r="24" spans="1:67" x14ac:dyDescent="0.4">
      <c r="A24" s="5" t="s">
        <v>245</v>
      </c>
      <c r="B24" s="5" t="s">
        <v>124</v>
      </c>
      <c r="C24" s="5">
        <v>365225</v>
      </c>
      <c r="D24" s="6"/>
      <c r="E24" s="5" t="s">
        <v>16</v>
      </c>
      <c r="F24" s="5" t="s">
        <v>56</v>
      </c>
      <c r="G24" s="5" t="s">
        <v>18</v>
      </c>
      <c r="H24" s="7" t="s">
        <v>7</v>
      </c>
      <c r="I24" s="7" t="s">
        <v>125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9</v>
      </c>
      <c r="AC24" s="8">
        <v>8100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3</v>
      </c>
      <c r="AU24" s="8">
        <v>3240</v>
      </c>
      <c r="AV24" s="7">
        <v>0</v>
      </c>
      <c r="AW24" s="7">
        <v>0</v>
      </c>
      <c r="AX24" s="7">
        <v>0</v>
      </c>
      <c r="AY24" s="7">
        <v>0</v>
      </c>
      <c r="AZ24" s="7">
        <v>5</v>
      </c>
      <c r="BA24" s="8">
        <v>5400</v>
      </c>
      <c r="BB24" s="7">
        <v>0</v>
      </c>
      <c r="BC24" s="7">
        <v>4</v>
      </c>
      <c r="BD24" s="8">
        <v>12000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9">
        <v>1368</v>
      </c>
      <c r="BM24" s="10">
        <v>28740</v>
      </c>
      <c r="BN24" s="15">
        <f t="shared" si="0"/>
        <v>27372</v>
      </c>
      <c r="BO24" s="15">
        <f t="shared" si="1"/>
        <v>19160.399999999998</v>
      </c>
    </row>
    <row r="25" spans="1:67" x14ac:dyDescent="0.4">
      <c r="A25" s="5" t="s">
        <v>246</v>
      </c>
      <c r="B25" s="5" t="s">
        <v>146</v>
      </c>
      <c r="C25" s="5">
        <v>408836</v>
      </c>
      <c r="D25" s="6"/>
      <c r="E25" s="5" t="s">
        <v>16</v>
      </c>
      <c r="F25" s="5" t="s">
        <v>56</v>
      </c>
      <c r="G25" s="5" t="s">
        <v>18</v>
      </c>
      <c r="H25" s="7" t="s">
        <v>7</v>
      </c>
      <c r="I25" s="7" t="s">
        <v>147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4</v>
      </c>
      <c r="AC25" s="8">
        <v>2760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7</v>
      </c>
      <c r="AO25" s="8">
        <v>4900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18</v>
      </c>
      <c r="BA25" s="8">
        <v>13680</v>
      </c>
      <c r="BB25" s="8">
        <v>1000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820.8</v>
      </c>
      <c r="BM25" s="10">
        <v>22340</v>
      </c>
      <c r="BN25" s="15">
        <f t="shared" si="0"/>
        <v>21519.200000000001</v>
      </c>
      <c r="BO25" s="15">
        <f t="shared" si="1"/>
        <v>15063.439999999999</v>
      </c>
    </row>
    <row r="26" spans="1:67" x14ac:dyDescent="0.4">
      <c r="A26" s="5" t="s">
        <v>245</v>
      </c>
      <c r="B26" s="5" t="s">
        <v>92</v>
      </c>
      <c r="C26" s="5">
        <v>455896</v>
      </c>
      <c r="D26" s="6"/>
      <c r="E26" s="5" t="s">
        <v>16</v>
      </c>
      <c r="F26" s="5" t="s">
        <v>17</v>
      </c>
      <c r="G26" s="5" t="s">
        <v>18</v>
      </c>
      <c r="H26" s="7" t="s">
        <v>7</v>
      </c>
      <c r="I26" s="7" t="s">
        <v>93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5</v>
      </c>
      <c r="AF26" s="7">
        <v>200</v>
      </c>
      <c r="AG26" s="7">
        <v>300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116</v>
      </c>
      <c r="AR26" s="8">
        <v>11400</v>
      </c>
      <c r="AS26" s="7">
        <v>200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84</v>
      </c>
      <c r="BD26" s="8">
        <v>10080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604.79999999999995</v>
      </c>
      <c r="BM26" s="10">
        <v>22180</v>
      </c>
      <c r="BN26" s="15">
        <f t="shared" si="0"/>
        <v>21575.200000000001</v>
      </c>
      <c r="BO26" s="15">
        <f t="shared" si="1"/>
        <v>15102.64</v>
      </c>
    </row>
    <row r="27" spans="1:67" x14ac:dyDescent="0.4">
      <c r="A27" s="5" t="s">
        <v>246</v>
      </c>
      <c r="B27" s="5" t="s">
        <v>151</v>
      </c>
      <c r="C27" s="5">
        <v>367412</v>
      </c>
      <c r="D27" s="6"/>
      <c r="E27" s="5" t="s">
        <v>16</v>
      </c>
      <c r="F27" s="5" t="s">
        <v>53</v>
      </c>
      <c r="G27" s="5" t="s">
        <v>18</v>
      </c>
      <c r="H27" s="7" t="s">
        <v>7</v>
      </c>
      <c r="I27" s="7" t="s">
        <v>54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1</v>
      </c>
      <c r="AF27" s="7">
        <v>0</v>
      </c>
      <c r="AG27" s="8">
        <v>3200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5</v>
      </c>
      <c r="AR27" s="8">
        <v>15800</v>
      </c>
      <c r="AS27" s="7">
        <v>200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19200</v>
      </c>
      <c r="BN27" s="15">
        <f t="shared" si="0"/>
        <v>19200</v>
      </c>
      <c r="BO27" s="15">
        <f t="shared" si="1"/>
        <v>13440</v>
      </c>
    </row>
    <row r="28" spans="1:67" x14ac:dyDescent="0.4">
      <c r="A28" s="5" t="s">
        <v>245</v>
      </c>
      <c r="B28" s="5" t="s">
        <v>83</v>
      </c>
      <c r="C28" s="5">
        <v>379289</v>
      </c>
      <c r="D28" s="6"/>
      <c r="E28" s="5" t="s">
        <v>16</v>
      </c>
      <c r="F28" s="5" t="s">
        <v>56</v>
      </c>
      <c r="G28" s="5" t="s">
        <v>18</v>
      </c>
      <c r="H28" s="7" t="s">
        <v>7</v>
      </c>
      <c r="I28" s="7" t="s">
        <v>84</v>
      </c>
      <c r="J28" s="7">
        <v>0</v>
      </c>
      <c r="K28" s="7">
        <v>2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15</v>
      </c>
      <c r="BA28" s="8">
        <v>16200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972</v>
      </c>
      <c r="BM28" s="10">
        <v>16200</v>
      </c>
      <c r="BN28" s="15">
        <f t="shared" si="0"/>
        <v>15228</v>
      </c>
      <c r="BO28" s="15">
        <f t="shared" si="1"/>
        <v>10659.599999999999</v>
      </c>
    </row>
    <row r="29" spans="1:67" x14ac:dyDescent="0.4">
      <c r="A29" s="5" t="s">
        <v>245</v>
      </c>
      <c r="B29" s="5" t="s">
        <v>294</v>
      </c>
      <c r="C29" s="5">
        <v>408846</v>
      </c>
      <c r="D29" s="6"/>
      <c r="E29" s="5" t="s">
        <v>16</v>
      </c>
      <c r="F29" s="5" t="s">
        <v>56</v>
      </c>
      <c r="G29" s="5" t="s">
        <v>18</v>
      </c>
      <c r="H29" s="7" t="s">
        <v>7</v>
      </c>
      <c r="I29" s="7" t="s">
        <v>295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8</v>
      </c>
      <c r="AO29" s="8">
        <v>6700</v>
      </c>
      <c r="AP29" s="7">
        <v>500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7</v>
      </c>
      <c r="BA29" s="8">
        <v>7560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453.6</v>
      </c>
      <c r="BM29" s="10">
        <v>14760</v>
      </c>
      <c r="BN29" s="15">
        <f t="shared" si="0"/>
        <v>14306.4</v>
      </c>
      <c r="BO29" s="15">
        <f t="shared" si="1"/>
        <v>10014.48</v>
      </c>
    </row>
    <row r="30" spans="1:67" x14ac:dyDescent="0.4">
      <c r="A30" s="5" t="s">
        <v>246</v>
      </c>
      <c r="B30" s="5" t="s">
        <v>255</v>
      </c>
      <c r="C30" s="5">
        <v>357331</v>
      </c>
      <c r="D30" s="6"/>
      <c r="E30" s="5" t="s">
        <v>16</v>
      </c>
      <c r="F30" s="5" t="s">
        <v>256</v>
      </c>
      <c r="G30" s="5" t="s">
        <v>31</v>
      </c>
      <c r="H30" s="7" t="s">
        <v>8</v>
      </c>
      <c r="I30" s="7" t="s">
        <v>257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9</v>
      </c>
      <c r="AF30" s="7">
        <v>760</v>
      </c>
      <c r="AG30" s="7">
        <v>200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23</v>
      </c>
      <c r="AR30" s="8">
        <v>2300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95</v>
      </c>
      <c r="BD30" s="8">
        <v>11400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684</v>
      </c>
      <c r="BM30" s="10">
        <v>14660</v>
      </c>
      <c r="BN30" s="15">
        <f t="shared" si="0"/>
        <v>13976</v>
      </c>
      <c r="BO30" s="15">
        <f t="shared" si="1"/>
        <v>9783.1999999999989</v>
      </c>
    </row>
    <row r="31" spans="1:67" x14ac:dyDescent="0.4">
      <c r="A31" s="5" t="s">
        <v>245</v>
      </c>
      <c r="B31" s="5" t="s">
        <v>67</v>
      </c>
      <c r="C31" s="5">
        <v>372422</v>
      </c>
      <c r="D31" s="6"/>
      <c r="E31" s="5" t="s">
        <v>16</v>
      </c>
      <c r="F31" s="5" t="s">
        <v>47</v>
      </c>
      <c r="G31" s="5" t="s">
        <v>48</v>
      </c>
      <c r="H31" s="7" t="s">
        <v>8</v>
      </c>
      <c r="I31" s="7" t="s">
        <v>68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19</v>
      </c>
      <c r="AF31" s="7">
        <v>0</v>
      </c>
      <c r="AG31" s="8">
        <v>1900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1</v>
      </c>
      <c r="AR31" s="7">
        <v>100</v>
      </c>
      <c r="AS31" s="7">
        <v>0</v>
      </c>
      <c r="AT31" s="7">
        <v>0</v>
      </c>
      <c r="AU31" s="7">
        <v>0</v>
      </c>
      <c r="AV31" s="7">
        <v>0</v>
      </c>
      <c r="AW31" s="7">
        <v>17</v>
      </c>
      <c r="AX31" s="8">
        <v>2040</v>
      </c>
      <c r="AY31" s="7">
        <v>0</v>
      </c>
      <c r="AZ31" s="7">
        <v>0</v>
      </c>
      <c r="BA31" s="7">
        <v>0</v>
      </c>
      <c r="BB31" s="7">
        <v>0</v>
      </c>
      <c r="BC31" s="7">
        <v>88</v>
      </c>
      <c r="BD31" s="8">
        <v>10560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837.6</v>
      </c>
      <c r="BM31" s="10">
        <v>14600</v>
      </c>
      <c r="BN31" s="15">
        <f t="shared" si="0"/>
        <v>13762.4</v>
      </c>
      <c r="BO31" s="15">
        <f t="shared" si="1"/>
        <v>9633.6799999999985</v>
      </c>
    </row>
    <row r="32" spans="1:67" x14ac:dyDescent="0.4">
      <c r="A32" s="5" t="s">
        <v>245</v>
      </c>
      <c r="B32" s="5" t="s">
        <v>55</v>
      </c>
      <c r="C32" s="5">
        <v>361185</v>
      </c>
      <c r="D32" s="6"/>
      <c r="E32" s="5" t="s">
        <v>16</v>
      </c>
      <c r="F32" s="5" t="s">
        <v>56</v>
      </c>
      <c r="G32" s="5" t="s">
        <v>18</v>
      </c>
      <c r="H32" s="7" t="s">
        <v>7</v>
      </c>
      <c r="I32" s="7" t="s">
        <v>57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24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</v>
      </c>
      <c r="AF32" s="7">
        <v>100</v>
      </c>
      <c r="AG32" s="7">
        <v>100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103</v>
      </c>
      <c r="BD32" s="8">
        <v>12360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741.6</v>
      </c>
      <c r="BM32" s="10">
        <v>12560</v>
      </c>
      <c r="BN32" s="15">
        <f t="shared" si="0"/>
        <v>11818.4</v>
      </c>
      <c r="BO32" s="15">
        <f t="shared" si="1"/>
        <v>8272.8799999999992</v>
      </c>
    </row>
    <row r="33" spans="1:67" x14ac:dyDescent="0.4">
      <c r="A33" s="5" t="s">
        <v>245</v>
      </c>
      <c r="B33" s="5" t="s">
        <v>116</v>
      </c>
      <c r="C33" s="5">
        <v>453397</v>
      </c>
      <c r="D33" s="6"/>
      <c r="E33" s="5" t="s">
        <v>16</v>
      </c>
      <c r="F33" s="5" t="s">
        <v>17</v>
      </c>
      <c r="G33" s="5" t="s">
        <v>18</v>
      </c>
      <c r="H33" s="7" t="s">
        <v>8</v>
      </c>
      <c r="I33" s="7" t="s">
        <v>70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54</v>
      </c>
      <c r="AX33" s="8">
        <v>6738</v>
      </c>
      <c r="AY33" s="7">
        <v>0</v>
      </c>
      <c r="AZ33" s="7">
        <v>0</v>
      </c>
      <c r="BA33" s="7">
        <v>0</v>
      </c>
      <c r="BB33" s="7">
        <v>0</v>
      </c>
      <c r="BC33" s="7">
        <v>46</v>
      </c>
      <c r="BD33" s="8">
        <v>5520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9">
        <v>1005</v>
      </c>
      <c r="BM33" s="10">
        <v>12258</v>
      </c>
      <c r="BN33" s="15">
        <f t="shared" si="0"/>
        <v>11253</v>
      </c>
      <c r="BO33" s="15">
        <f t="shared" si="1"/>
        <v>7877.0999999999995</v>
      </c>
    </row>
    <row r="34" spans="1:67" x14ac:dyDescent="0.4">
      <c r="A34" s="5" t="s">
        <v>245</v>
      </c>
      <c r="B34" s="5" t="s">
        <v>105</v>
      </c>
      <c r="C34" s="5">
        <v>465771</v>
      </c>
      <c r="D34" s="6"/>
      <c r="E34" s="5" t="s">
        <v>16</v>
      </c>
      <c r="F34" s="5" t="s">
        <v>106</v>
      </c>
      <c r="G34" s="5" t="s">
        <v>23</v>
      </c>
      <c r="H34" s="7" t="s">
        <v>10</v>
      </c>
      <c r="I34" s="7" t="s">
        <v>107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1</v>
      </c>
      <c r="AR34" s="8">
        <v>2000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4</v>
      </c>
      <c r="BD34" s="8">
        <v>9600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576</v>
      </c>
      <c r="BM34" s="10">
        <v>11600</v>
      </c>
      <c r="BN34" s="15">
        <f t="shared" si="0"/>
        <v>11024</v>
      </c>
      <c r="BO34" s="15">
        <f t="shared" si="1"/>
        <v>7716.7999999999993</v>
      </c>
    </row>
    <row r="35" spans="1:67" x14ac:dyDescent="0.4">
      <c r="A35" s="5" t="s">
        <v>245</v>
      </c>
      <c r="B35" s="5" t="s">
        <v>114</v>
      </c>
      <c r="C35" s="5">
        <v>408833</v>
      </c>
      <c r="D35" s="6"/>
      <c r="E35" s="5" t="s">
        <v>16</v>
      </c>
      <c r="F35" s="5" t="s">
        <v>56</v>
      </c>
      <c r="G35" s="5" t="s">
        <v>18</v>
      </c>
      <c r="H35" s="7" t="s">
        <v>7</v>
      </c>
      <c r="I35" s="7" t="s">
        <v>115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3</v>
      </c>
      <c r="AC35" s="8">
        <v>2700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1</v>
      </c>
      <c r="AU35" s="8">
        <v>1080</v>
      </c>
      <c r="AV35" s="7">
        <v>0</v>
      </c>
      <c r="AW35" s="7">
        <v>0</v>
      </c>
      <c r="AX35" s="7">
        <v>0</v>
      </c>
      <c r="AY35" s="7">
        <v>0</v>
      </c>
      <c r="AZ35" s="7">
        <v>7</v>
      </c>
      <c r="BA35" s="8">
        <v>7560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561.6</v>
      </c>
      <c r="BM35" s="10">
        <v>11340</v>
      </c>
      <c r="BN35" s="15">
        <f t="shared" si="0"/>
        <v>10778.4</v>
      </c>
      <c r="BO35" s="15">
        <f t="shared" si="1"/>
        <v>7544.8799999999992</v>
      </c>
    </row>
    <row r="36" spans="1:67" x14ac:dyDescent="0.4">
      <c r="A36" s="5" t="s">
        <v>245</v>
      </c>
      <c r="B36" s="5" t="s">
        <v>155</v>
      </c>
      <c r="C36" s="5">
        <v>470433</v>
      </c>
      <c r="D36" s="6"/>
      <c r="E36" s="5" t="s">
        <v>16</v>
      </c>
      <c r="F36" s="5" t="s">
        <v>94</v>
      </c>
      <c r="G36" s="5" t="s">
        <v>23</v>
      </c>
      <c r="H36" s="7" t="s">
        <v>7</v>
      </c>
      <c r="I36" s="7" t="s">
        <v>156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2</v>
      </c>
      <c r="AF36" s="8">
        <v>2500</v>
      </c>
      <c r="AG36" s="8">
        <v>2500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2</v>
      </c>
      <c r="BD36" s="8">
        <v>6000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360</v>
      </c>
      <c r="BM36" s="10">
        <v>11000</v>
      </c>
      <c r="BN36" s="15">
        <f t="shared" si="0"/>
        <v>10640</v>
      </c>
      <c r="BO36" s="15">
        <f t="shared" si="1"/>
        <v>7447.9999999999991</v>
      </c>
    </row>
    <row r="37" spans="1:67" x14ac:dyDescent="0.4">
      <c r="A37" s="5" t="s">
        <v>246</v>
      </c>
      <c r="B37" s="5" t="s">
        <v>173</v>
      </c>
      <c r="C37" s="5">
        <v>443969</v>
      </c>
      <c r="D37" s="6"/>
      <c r="E37" s="5" t="s">
        <v>16</v>
      </c>
      <c r="F37" s="5" t="s">
        <v>59</v>
      </c>
      <c r="G37" s="5" t="s">
        <v>60</v>
      </c>
      <c r="H37" s="7" t="s">
        <v>8</v>
      </c>
      <c r="I37" s="7" t="s">
        <v>129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6</v>
      </c>
      <c r="AF37" s="7">
        <v>600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81</v>
      </c>
      <c r="BD37" s="8">
        <v>9720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583.20000000000005</v>
      </c>
      <c r="BM37" s="10">
        <v>10320</v>
      </c>
      <c r="BN37" s="15">
        <f t="shared" si="0"/>
        <v>9736.7999999999993</v>
      </c>
      <c r="BO37" s="15">
        <f t="shared" si="1"/>
        <v>6815.7599999999993</v>
      </c>
    </row>
    <row r="38" spans="1:67" x14ac:dyDescent="0.4">
      <c r="A38" s="5" t="s">
        <v>246</v>
      </c>
      <c r="B38" s="5" t="s">
        <v>58</v>
      </c>
      <c r="C38" s="5">
        <v>456187</v>
      </c>
      <c r="D38" s="6"/>
      <c r="E38" s="5" t="s">
        <v>16</v>
      </c>
      <c r="F38" s="5" t="s">
        <v>59</v>
      </c>
      <c r="G38" s="5" t="s">
        <v>60</v>
      </c>
      <c r="H38" s="7" t="s">
        <v>8</v>
      </c>
      <c r="I38" s="7" t="s">
        <v>61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23</v>
      </c>
      <c r="AF38" s="7">
        <v>0</v>
      </c>
      <c r="AG38" s="8">
        <v>2300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63</v>
      </c>
      <c r="BD38" s="8">
        <v>7560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453.6</v>
      </c>
      <c r="BM38" s="10">
        <v>9860</v>
      </c>
      <c r="BN38" s="15">
        <f t="shared" si="0"/>
        <v>9406.4</v>
      </c>
      <c r="BO38" s="15">
        <f t="shared" si="1"/>
        <v>6584.48</v>
      </c>
    </row>
    <row r="39" spans="1:67" x14ac:dyDescent="0.4">
      <c r="A39" s="5" t="s">
        <v>245</v>
      </c>
      <c r="B39" s="5" t="s">
        <v>46</v>
      </c>
      <c r="C39" s="5">
        <v>372841</v>
      </c>
      <c r="D39" s="6"/>
      <c r="E39" s="5" t="s">
        <v>16</v>
      </c>
      <c r="F39" s="5" t="s">
        <v>47</v>
      </c>
      <c r="G39" s="5" t="s">
        <v>48</v>
      </c>
      <c r="H39" s="7" t="s">
        <v>8</v>
      </c>
      <c r="I39" s="7" t="s">
        <v>49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7</v>
      </c>
      <c r="AF39" s="7">
        <v>360</v>
      </c>
      <c r="AG39" s="7">
        <v>400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12</v>
      </c>
      <c r="AX39" s="8">
        <v>1416</v>
      </c>
      <c r="AY39" s="7">
        <v>0</v>
      </c>
      <c r="AZ39" s="7">
        <v>0</v>
      </c>
      <c r="BA39" s="7">
        <v>0</v>
      </c>
      <c r="BB39" s="7">
        <v>0</v>
      </c>
      <c r="BC39" s="7">
        <v>62</v>
      </c>
      <c r="BD39" s="8">
        <v>7440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588</v>
      </c>
      <c r="BM39" s="10">
        <v>9616</v>
      </c>
      <c r="BN39" s="15">
        <f t="shared" si="0"/>
        <v>9028</v>
      </c>
      <c r="BO39" s="15">
        <f t="shared" si="1"/>
        <v>6319.5999999999995</v>
      </c>
    </row>
    <row r="40" spans="1:67" x14ac:dyDescent="0.4">
      <c r="A40" s="5" t="s">
        <v>245</v>
      </c>
      <c r="B40" s="5" t="s">
        <v>296</v>
      </c>
      <c r="C40" s="5">
        <v>467559</v>
      </c>
      <c r="D40" s="6"/>
      <c r="E40" s="5" t="s">
        <v>16</v>
      </c>
      <c r="F40" s="5" t="s">
        <v>50</v>
      </c>
      <c r="G40" s="5" t="s">
        <v>23</v>
      </c>
      <c r="H40" s="7" t="s">
        <v>7</v>
      </c>
      <c r="I40" s="7" t="s">
        <v>297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1</v>
      </c>
      <c r="AR40" s="8">
        <v>2000</v>
      </c>
      <c r="AS40" s="7">
        <v>0</v>
      </c>
      <c r="AT40" s="7">
        <v>0</v>
      </c>
      <c r="AU40" s="7">
        <v>0</v>
      </c>
      <c r="AV40" s="7">
        <v>0</v>
      </c>
      <c r="AW40" s="7">
        <v>1</v>
      </c>
      <c r="AX40" s="8">
        <v>2400</v>
      </c>
      <c r="AY40" s="7">
        <v>0</v>
      </c>
      <c r="AZ40" s="7">
        <v>0</v>
      </c>
      <c r="BA40" s="7">
        <v>0</v>
      </c>
      <c r="BB40" s="7">
        <v>0</v>
      </c>
      <c r="BC40" s="7">
        <v>2</v>
      </c>
      <c r="BD40" s="8">
        <v>4800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528</v>
      </c>
      <c r="BM40" s="10">
        <v>9200</v>
      </c>
      <c r="BN40" s="15">
        <f t="shared" si="0"/>
        <v>8672</v>
      </c>
      <c r="BO40" s="15">
        <f t="shared" si="1"/>
        <v>6070.4</v>
      </c>
    </row>
    <row r="41" spans="1:67" x14ac:dyDescent="0.4">
      <c r="A41" s="5" t="s">
        <v>246</v>
      </c>
      <c r="B41" s="5" t="s">
        <v>132</v>
      </c>
      <c r="C41" s="5">
        <v>459224</v>
      </c>
      <c r="D41" s="6"/>
      <c r="E41" s="5" t="s">
        <v>16</v>
      </c>
      <c r="F41" s="5" t="s">
        <v>133</v>
      </c>
      <c r="G41" s="5" t="s">
        <v>23</v>
      </c>
      <c r="H41" s="7" t="s">
        <v>7</v>
      </c>
      <c r="I41" s="7" t="s">
        <v>134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2</v>
      </c>
      <c r="AF41" s="8">
        <v>3800</v>
      </c>
      <c r="AG41" s="7">
        <v>500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2</v>
      </c>
      <c r="BD41" s="8">
        <v>4800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288</v>
      </c>
      <c r="BM41" s="10">
        <v>9100</v>
      </c>
      <c r="BN41" s="15">
        <f t="shared" si="0"/>
        <v>8812</v>
      </c>
      <c r="BO41" s="15">
        <f t="shared" si="1"/>
        <v>6168.4</v>
      </c>
    </row>
    <row r="42" spans="1:67" x14ac:dyDescent="0.4">
      <c r="A42" s="5" t="s">
        <v>245</v>
      </c>
      <c r="B42" s="5" t="s">
        <v>298</v>
      </c>
      <c r="C42" s="5">
        <v>480606</v>
      </c>
      <c r="D42" s="6"/>
      <c r="E42" s="5" t="s">
        <v>16</v>
      </c>
      <c r="F42" s="5" t="s">
        <v>299</v>
      </c>
      <c r="G42" s="5" t="s">
        <v>23</v>
      </c>
      <c r="H42" s="7" t="s">
        <v>7</v>
      </c>
      <c r="I42" s="7" t="s">
        <v>300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1</v>
      </c>
      <c r="AX42" s="8">
        <v>3000</v>
      </c>
      <c r="AY42" s="7">
        <v>0</v>
      </c>
      <c r="AZ42" s="7">
        <v>0</v>
      </c>
      <c r="BA42" s="7">
        <v>0</v>
      </c>
      <c r="BB42" s="7">
        <v>0</v>
      </c>
      <c r="BC42" s="7">
        <v>2</v>
      </c>
      <c r="BD42" s="8">
        <v>6000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660</v>
      </c>
      <c r="BM42" s="10">
        <v>9000</v>
      </c>
      <c r="BN42" s="15">
        <f t="shared" si="0"/>
        <v>8340</v>
      </c>
      <c r="BO42" s="15">
        <f t="shared" si="1"/>
        <v>5838</v>
      </c>
    </row>
    <row r="43" spans="1:67" x14ac:dyDescent="0.4">
      <c r="A43" s="5" t="s">
        <v>245</v>
      </c>
      <c r="B43" s="5" t="s">
        <v>301</v>
      </c>
      <c r="C43" s="5">
        <v>451972</v>
      </c>
      <c r="D43" s="6"/>
      <c r="E43" s="5" t="s">
        <v>16</v>
      </c>
      <c r="F43" s="5" t="s">
        <v>17</v>
      </c>
      <c r="G43" s="5" t="s">
        <v>18</v>
      </c>
      <c r="H43" s="7" t="s">
        <v>7</v>
      </c>
      <c r="I43" s="7" t="s">
        <v>70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10</v>
      </c>
      <c r="AC43" s="8">
        <v>9000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0">
        <v>9000</v>
      </c>
      <c r="BN43" s="15">
        <f t="shared" si="0"/>
        <v>9000</v>
      </c>
      <c r="BO43" s="15">
        <f t="shared" si="1"/>
        <v>6300</v>
      </c>
    </row>
    <row r="44" spans="1:67" x14ac:dyDescent="0.4">
      <c r="A44" s="5" t="s">
        <v>254</v>
      </c>
      <c r="B44" s="5" t="s">
        <v>302</v>
      </c>
      <c r="C44" s="5">
        <v>454228</v>
      </c>
      <c r="D44" s="6"/>
      <c r="E44" s="5" t="s">
        <v>16</v>
      </c>
      <c r="F44" s="5" t="s">
        <v>17</v>
      </c>
      <c r="G44" s="5" t="s">
        <v>18</v>
      </c>
      <c r="H44" s="7" t="s">
        <v>7</v>
      </c>
      <c r="I44" s="7" t="s">
        <v>303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2</v>
      </c>
      <c r="AC44" s="8">
        <v>1800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7</v>
      </c>
      <c r="AO44" s="8">
        <v>6300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0">
        <v>8100</v>
      </c>
      <c r="BN44" s="15">
        <f t="shared" si="0"/>
        <v>8100</v>
      </c>
      <c r="BO44" s="15">
        <f t="shared" si="1"/>
        <v>5670</v>
      </c>
    </row>
    <row r="45" spans="1:67" x14ac:dyDescent="0.4">
      <c r="A45" s="5" t="s">
        <v>246</v>
      </c>
      <c r="B45" s="5" t="s">
        <v>176</v>
      </c>
      <c r="C45" s="5">
        <v>408303</v>
      </c>
      <c r="D45" s="6"/>
      <c r="E45" s="5" t="s">
        <v>16</v>
      </c>
      <c r="F45" s="5" t="s">
        <v>56</v>
      </c>
      <c r="G45" s="5" t="s">
        <v>18</v>
      </c>
      <c r="H45" s="7" t="s">
        <v>7</v>
      </c>
      <c r="I45" s="7" t="s">
        <v>177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9</v>
      </c>
      <c r="AO45" s="8">
        <v>8100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0">
        <v>8100</v>
      </c>
      <c r="BN45" s="15">
        <f t="shared" si="0"/>
        <v>8100</v>
      </c>
      <c r="BO45" s="15">
        <f t="shared" si="1"/>
        <v>5670</v>
      </c>
    </row>
    <row r="46" spans="1:67" x14ac:dyDescent="0.4">
      <c r="A46" s="5" t="s">
        <v>246</v>
      </c>
      <c r="B46" s="5" t="s">
        <v>100</v>
      </c>
      <c r="C46" s="5">
        <v>387161</v>
      </c>
      <c r="D46" s="6"/>
      <c r="E46" s="5" t="s">
        <v>16</v>
      </c>
      <c r="F46" s="5" t="s">
        <v>101</v>
      </c>
      <c r="G46" s="5" t="s">
        <v>60</v>
      </c>
      <c r="H46" s="7" t="s">
        <v>27</v>
      </c>
      <c r="I46" s="7" t="s">
        <v>102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2</v>
      </c>
      <c r="BD46" s="8">
        <v>7680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460.8</v>
      </c>
      <c r="BM46" s="10">
        <v>7680</v>
      </c>
      <c r="BN46" s="15">
        <f t="shared" si="0"/>
        <v>7219.2</v>
      </c>
      <c r="BO46" s="15">
        <f t="shared" si="1"/>
        <v>5053.4399999999996</v>
      </c>
    </row>
    <row r="47" spans="1:67" x14ac:dyDescent="0.4">
      <c r="A47" s="5" t="s">
        <v>245</v>
      </c>
      <c r="B47" s="5" t="s">
        <v>304</v>
      </c>
      <c r="C47" s="5">
        <v>443531</v>
      </c>
      <c r="D47" s="6"/>
      <c r="E47" s="5" t="s">
        <v>16</v>
      </c>
      <c r="F47" s="5" t="s">
        <v>104</v>
      </c>
      <c r="G47" s="5" t="s">
        <v>35</v>
      </c>
      <c r="H47" s="7" t="s">
        <v>8</v>
      </c>
      <c r="I47" s="7" t="s">
        <v>117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55</v>
      </c>
      <c r="BD47" s="8">
        <v>6600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396</v>
      </c>
      <c r="BM47" s="10">
        <v>6600</v>
      </c>
      <c r="BN47" s="15">
        <f t="shared" si="0"/>
        <v>6204</v>
      </c>
      <c r="BO47" s="15">
        <f t="shared" si="1"/>
        <v>4342.7999999999993</v>
      </c>
    </row>
    <row r="48" spans="1:67" x14ac:dyDescent="0.4">
      <c r="A48" s="5" t="s">
        <v>246</v>
      </c>
      <c r="B48" s="5" t="s">
        <v>139</v>
      </c>
      <c r="C48" s="5">
        <v>424315</v>
      </c>
      <c r="D48" s="6"/>
      <c r="E48" s="5" t="s">
        <v>16</v>
      </c>
      <c r="F48" s="5" t="s">
        <v>56</v>
      </c>
      <c r="G48" s="5" t="s">
        <v>18</v>
      </c>
      <c r="H48" s="7" t="s">
        <v>7</v>
      </c>
      <c r="I48" s="7" t="s">
        <v>140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3</v>
      </c>
      <c r="AC48" s="8">
        <v>3240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3</v>
      </c>
      <c r="BA48" s="8">
        <v>3240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194.4</v>
      </c>
      <c r="BM48" s="10">
        <v>6480</v>
      </c>
      <c r="BN48" s="15">
        <f t="shared" si="0"/>
        <v>6285.6</v>
      </c>
      <c r="BO48" s="15">
        <f t="shared" si="1"/>
        <v>4399.92</v>
      </c>
    </row>
    <row r="49" spans="1:67" x14ac:dyDescent="0.4">
      <c r="A49" s="5" t="s">
        <v>246</v>
      </c>
      <c r="B49" s="5" t="s">
        <v>141</v>
      </c>
      <c r="C49" s="5">
        <v>356315</v>
      </c>
      <c r="D49" s="6"/>
      <c r="E49" s="5" t="s">
        <v>16</v>
      </c>
      <c r="F49" s="5" t="s">
        <v>30</v>
      </c>
      <c r="G49" s="5" t="s">
        <v>31</v>
      </c>
      <c r="H49" s="7" t="s">
        <v>8</v>
      </c>
      <c r="I49" s="7" t="s">
        <v>142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45</v>
      </c>
      <c r="BD49" s="8">
        <v>5400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324</v>
      </c>
      <c r="BM49" s="10">
        <v>5400</v>
      </c>
      <c r="BN49" s="15">
        <f t="shared" si="0"/>
        <v>5076</v>
      </c>
      <c r="BO49" s="15">
        <f t="shared" si="1"/>
        <v>3553.2</v>
      </c>
    </row>
    <row r="50" spans="1:67" x14ac:dyDescent="0.4">
      <c r="A50" s="5" t="s">
        <v>246</v>
      </c>
      <c r="B50" s="5" t="s">
        <v>71</v>
      </c>
      <c r="C50" s="5">
        <v>440710</v>
      </c>
      <c r="D50" s="6"/>
      <c r="E50" s="5" t="s">
        <v>16</v>
      </c>
      <c r="F50" s="5" t="s">
        <v>72</v>
      </c>
      <c r="G50" s="5" t="s">
        <v>73</v>
      </c>
      <c r="H50" s="7" t="s">
        <v>7</v>
      </c>
      <c r="I50" s="7" t="s">
        <v>74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43</v>
      </c>
      <c r="AF50" s="7">
        <v>400</v>
      </c>
      <c r="AG50" s="8">
        <v>3900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2</v>
      </c>
      <c r="AX50" s="7">
        <v>264</v>
      </c>
      <c r="AY50" s="7">
        <v>0</v>
      </c>
      <c r="AZ50" s="7">
        <v>0</v>
      </c>
      <c r="BA50" s="7">
        <v>0</v>
      </c>
      <c r="BB50" s="7">
        <v>0</v>
      </c>
      <c r="BC50" s="7">
        <v>1</v>
      </c>
      <c r="BD50" s="7">
        <v>120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33.6</v>
      </c>
      <c r="BM50" s="10">
        <v>4684</v>
      </c>
      <c r="BN50" s="15">
        <f t="shared" si="0"/>
        <v>4650.3999999999996</v>
      </c>
      <c r="BO50" s="15">
        <f t="shared" si="1"/>
        <v>3255.2799999999997</v>
      </c>
    </row>
    <row r="51" spans="1:67" x14ac:dyDescent="0.4">
      <c r="A51" s="5" t="s">
        <v>246</v>
      </c>
      <c r="B51" s="5" t="s">
        <v>160</v>
      </c>
      <c r="C51" s="5">
        <v>470383</v>
      </c>
      <c r="D51" s="6"/>
      <c r="E51" s="5" t="s">
        <v>16</v>
      </c>
      <c r="F51" s="5" t="s">
        <v>161</v>
      </c>
      <c r="G51" s="5" t="s">
        <v>23</v>
      </c>
      <c r="H51" s="7" t="s">
        <v>27</v>
      </c>
      <c r="I51" s="7" t="s">
        <v>162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2</v>
      </c>
      <c r="AF51" s="8">
        <v>2000</v>
      </c>
      <c r="AG51" s="8">
        <v>2000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4000</v>
      </c>
      <c r="BN51" s="15">
        <f t="shared" si="0"/>
        <v>4000</v>
      </c>
      <c r="BO51" s="15">
        <f t="shared" si="1"/>
        <v>2800</v>
      </c>
    </row>
    <row r="52" spans="1:67" x14ac:dyDescent="0.4">
      <c r="A52" s="5" t="s">
        <v>246</v>
      </c>
      <c r="B52" s="5" t="s">
        <v>127</v>
      </c>
      <c r="C52" s="5">
        <v>401407</v>
      </c>
      <c r="D52" s="6"/>
      <c r="E52" s="5" t="s">
        <v>16</v>
      </c>
      <c r="F52" s="5" t="s">
        <v>47</v>
      </c>
      <c r="G52" s="5" t="s">
        <v>35</v>
      </c>
      <c r="H52" s="7" t="s">
        <v>8</v>
      </c>
      <c r="I52" s="7" t="s">
        <v>128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38</v>
      </c>
      <c r="AF52" s="7">
        <v>0</v>
      </c>
      <c r="AG52" s="8">
        <v>3800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0">
        <v>3800</v>
      </c>
      <c r="BN52" s="15">
        <f t="shared" si="0"/>
        <v>3800</v>
      </c>
      <c r="BO52" s="15">
        <f t="shared" si="1"/>
        <v>2660</v>
      </c>
    </row>
    <row r="53" spans="1:67" x14ac:dyDescent="0.4">
      <c r="A53" s="5" t="s">
        <v>246</v>
      </c>
      <c r="B53" s="5" t="s">
        <v>121</v>
      </c>
      <c r="C53" s="5">
        <v>448030</v>
      </c>
      <c r="D53" s="6"/>
      <c r="E53" s="5" t="s">
        <v>16</v>
      </c>
      <c r="F53" s="5" t="s">
        <v>122</v>
      </c>
      <c r="G53" s="5" t="s">
        <v>60</v>
      </c>
      <c r="H53" s="7" t="s">
        <v>8</v>
      </c>
      <c r="I53" s="7" t="s">
        <v>123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29</v>
      </c>
      <c r="AF53" s="8">
        <v>3240</v>
      </c>
      <c r="AG53" s="7">
        <v>200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3440</v>
      </c>
      <c r="BN53" s="15">
        <f t="shared" si="0"/>
        <v>3440</v>
      </c>
      <c r="BO53" s="15">
        <f t="shared" si="1"/>
        <v>2408</v>
      </c>
    </row>
    <row r="54" spans="1:67" x14ac:dyDescent="0.4">
      <c r="A54" s="5" t="s">
        <v>246</v>
      </c>
      <c r="B54" s="5" t="s">
        <v>149</v>
      </c>
      <c r="C54" s="5">
        <v>366373</v>
      </c>
      <c r="D54" s="6"/>
      <c r="E54" s="5" t="s">
        <v>16</v>
      </c>
      <c r="F54" s="5" t="s">
        <v>138</v>
      </c>
      <c r="G54" s="5" t="s">
        <v>31</v>
      </c>
      <c r="H54" s="7" t="s">
        <v>8</v>
      </c>
      <c r="I54" s="7" t="s">
        <v>150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16</v>
      </c>
      <c r="AX54" s="8">
        <v>1920</v>
      </c>
      <c r="AY54" s="7">
        <v>0</v>
      </c>
      <c r="AZ54" s="7">
        <v>0</v>
      </c>
      <c r="BA54" s="7">
        <v>0</v>
      </c>
      <c r="BB54" s="7">
        <v>0</v>
      </c>
      <c r="BC54" s="7">
        <v>12</v>
      </c>
      <c r="BD54" s="8">
        <v>1440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278.39999999999998</v>
      </c>
      <c r="BM54" s="10">
        <v>3360</v>
      </c>
      <c r="BN54" s="15">
        <f t="shared" si="0"/>
        <v>3081.6</v>
      </c>
      <c r="BO54" s="15">
        <f t="shared" si="1"/>
        <v>2157.12</v>
      </c>
    </row>
    <row r="55" spans="1:67" x14ac:dyDescent="0.4">
      <c r="A55" s="5" t="s">
        <v>245</v>
      </c>
      <c r="B55" s="5" t="s">
        <v>305</v>
      </c>
      <c r="C55" s="5">
        <v>480608</v>
      </c>
      <c r="D55" s="6"/>
      <c r="E55" s="5" t="s">
        <v>16</v>
      </c>
      <c r="F55" s="5" t="s">
        <v>306</v>
      </c>
      <c r="G55" s="5" t="s">
        <v>23</v>
      </c>
      <c r="H55" s="7" t="s">
        <v>7</v>
      </c>
      <c r="I55" s="7" t="s">
        <v>307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</v>
      </c>
      <c r="AF55" s="7">
        <v>0</v>
      </c>
      <c r="AG55" s="7">
        <v>300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1</v>
      </c>
      <c r="BD55" s="8">
        <v>2640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158.4</v>
      </c>
      <c r="BM55" s="10">
        <v>2940</v>
      </c>
      <c r="BN55" s="15">
        <f t="shared" si="0"/>
        <v>2781.6</v>
      </c>
      <c r="BO55" s="15">
        <f t="shared" si="1"/>
        <v>1947.12</v>
      </c>
    </row>
    <row r="56" spans="1:67" x14ac:dyDescent="0.4">
      <c r="A56" s="5" t="s">
        <v>246</v>
      </c>
      <c r="B56" s="5" t="s">
        <v>308</v>
      </c>
      <c r="C56" s="5">
        <v>483764</v>
      </c>
      <c r="D56" s="6"/>
      <c r="E56" s="5" t="s">
        <v>16</v>
      </c>
      <c r="F56" s="5" t="s">
        <v>110</v>
      </c>
      <c r="G56" s="5" t="s">
        <v>73</v>
      </c>
      <c r="H56" s="7" t="s">
        <v>7</v>
      </c>
      <c r="I56" s="7" t="s">
        <v>309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1</v>
      </c>
      <c r="BD56" s="8">
        <v>2880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172.8</v>
      </c>
      <c r="BM56" s="10">
        <v>2880</v>
      </c>
      <c r="BN56" s="15">
        <f t="shared" si="0"/>
        <v>2707.2</v>
      </c>
      <c r="BO56" s="15">
        <f t="shared" si="1"/>
        <v>1895.0399999999997</v>
      </c>
    </row>
    <row r="57" spans="1:67" x14ac:dyDescent="0.4">
      <c r="A57" s="5" t="s">
        <v>246</v>
      </c>
      <c r="B57" s="5" t="s">
        <v>126</v>
      </c>
      <c r="C57" s="5">
        <v>455900</v>
      </c>
      <c r="D57" s="6"/>
      <c r="E57" s="5" t="s">
        <v>16</v>
      </c>
      <c r="F57" s="5" t="s">
        <v>17</v>
      </c>
      <c r="G57" s="5" t="s">
        <v>18</v>
      </c>
      <c r="H57" s="7" t="s">
        <v>7</v>
      </c>
      <c r="I57" s="7" t="s">
        <v>93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2</v>
      </c>
      <c r="AO57" s="8">
        <v>1800</v>
      </c>
      <c r="AP57" s="7">
        <v>0</v>
      </c>
      <c r="AQ57" s="7">
        <v>0</v>
      </c>
      <c r="AR57" s="7">
        <v>0</v>
      </c>
      <c r="AS57" s="7">
        <v>0</v>
      </c>
      <c r="AT57" s="7">
        <v>1</v>
      </c>
      <c r="AU57" s="8">
        <v>1080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108</v>
      </c>
      <c r="BM57" s="10">
        <v>2880</v>
      </c>
      <c r="BN57" s="15">
        <f t="shared" si="0"/>
        <v>2772</v>
      </c>
      <c r="BO57" s="15">
        <f t="shared" si="1"/>
        <v>1940.3999999999999</v>
      </c>
    </row>
    <row r="58" spans="1:67" x14ac:dyDescent="0.4">
      <c r="A58" s="5" t="s">
        <v>246</v>
      </c>
      <c r="B58" s="5" t="s">
        <v>310</v>
      </c>
      <c r="C58" s="5">
        <v>480607</v>
      </c>
      <c r="D58" s="6"/>
      <c r="E58" s="5" t="s">
        <v>16</v>
      </c>
      <c r="F58" s="5" t="s">
        <v>311</v>
      </c>
      <c r="G58" s="5" t="s">
        <v>23</v>
      </c>
      <c r="H58" s="7" t="s">
        <v>27</v>
      </c>
      <c r="I58" s="7" t="s">
        <v>312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</v>
      </c>
      <c r="AF58" s="8">
        <v>2500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0">
        <v>2500</v>
      </c>
      <c r="BN58" s="15">
        <f t="shared" si="0"/>
        <v>2500</v>
      </c>
      <c r="BO58" s="15">
        <f t="shared" si="1"/>
        <v>1750</v>
      </c>
    </row>
    <row r="59" spans="1:67" x14ac:dyDescent="0.4">
      <c r="A59" s="5" t="s">
        <v>246</v>
      </c>
      <c r="B59" s="5" t="s">
        <v>274</v>
      </c>
      <c r="C59" s="5">
        <v>464782</v>
      </c>
      <c r="D59" s="6"/>
      <c r="E59" s="5" t="s">
        <v>16</v>
      </c>
      <c r="F59" s="5" t="s">
        <v>131</v>
      </c>
      <c r="G59" s="5" t="s">
        <v>23</v>
      </c>
      <c r="H59" s="7" t="s">
        <v>27</v>
      </c>
      <c r="I59" s="7" t="s">
        <v>275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</v>
      </c>
      <c r="AF59" s="8">
        <v>2160</v>
      </c>
      <c r="AG59" s="7">
        <v>200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10">
        <v>2360</v>
      </c>
      <c r="BN59" s="15">
        <f t="shared" si="0"/>
        <v>2360</v>
      </c>
      <c r="BO59" s="15">
        <f t="shared" si="1"/>
        <v>1652</v>
      </c>
    </row>
    <row r="60" spans="1:67" x14ac:dyDescent="0.4">
      <c r="A60" s="5" t="s">
        <v>246</v>
      </c>
      <c r="B60" s="5" t="s">
        <v>281</v>
      </c>
      <c r="C60" s="5">
        <v>443989</v>
      </c>
      <c r="D60" s="6"/>
      <c r="E60" s="5" t="s">
        <v>16</v>
      </c>
      <c r="F60" s="5" t="s">
        <v>282</v>
      </c>
      <c r="G60" s="5" t="s">
        <v>35</v>
      </c>
      <c r="H60" s="7" t="s">
        <v>8</v>
      </c>
      <c r="I60" s="7" t="s">
        <v>129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19</v>
      </c>
      <c r="BD60" s="8">
        <v>2280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136.80000000000001</v>
      </c>
      <c r="BM60" s="10">
        <v>2280</v>
      </c>
      <c r="BN60" s="15">
        <f t="shared" si="0"/>
        <v>2143.1999999999998</v>
      </c>
      <c r="BO60" s="15">
        <f t="shared" si="1"/>
        <v>1500.2399999999998</v>
      </c>
    </row>
    <row r="61" spans="1:67" x14ac:dyDescent="0.4">
      <c r="A61" s="5" t="s">
        <v>246</v>
      </c>
      <c r="B61" s="5" t="s">
        <v>258</v>
      </c>
      <c r="C61" s="5">
        <v>477491</v>
      </c>
      <c r="D61" s="6"/>
      <c r="E61" s="5" t="s">
        <v>16</v>
      </c>
      <c r="F61" s="5" t="s">
        <v>259</v>
      </c>
      <c r="G61" s="5" t="s">
        <v>23</v>
      </c>
      <c r="H61" s="7" t="s">
        <v>10</v>
      </c>
      <c r="I61" s="7" t="s">
        <v>260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</v>
      </c>
      <c r="AF61" s="7">
        <v>0</v>
      </c>
      <c r="AG61" s="8">
        <v>2000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2000</v>
      </c>
      <c r="BN61" s="15">
        <f t="shared" si="0"/>
        <v>2000</v>
      </c>
      <c r="BO61" s="15">
        <f t="shared" si="1"/>
        <v>1400</v>
      </c>
    </row>
    <row r="62" spans="1:67" x14ac:dyDescent="0.4">
      <c r="A62" s="5" t="s">
        <v>246</v>
      </c>
      <c r="B62" s="5" t="s">
        <v>69</v>
      </c>
      <c r="C62" s="5">
        <v>453445</v>
      </c>
      <c r="D62" s="6"/>
      <c r="E62" s="5" t="s">
        <v>16</v>
      </c>
      <c r="F62" s="5" t="s">
        <v>17</v>
      </c>
      <c r="G62" s="5" t="s">
        <v>18</v>
      </c>
      <c r="H62" s="7" t="s">
        <v>8</v>
      </c>
      <c r="I62" s="7" t="s">
        <v>70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1</v>
      </c>
      <c r="AC62" s="7">
        <v>900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1</v>
      </c>
      <c r="AO62" s="7">
        <v>900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1800</v>
      </c>
      <c r="BN62" s="15">
        <f t="shared" si="0"/>
        <v>1800</v>
      </c>
      <c r="BO62" s="15">
        <f t="shared" si="1"/>
        <v>1260</v>
      </c>
    </row>
    <row r="63" spans="1:67" ht="19.2" x14ac:dyDescent="0.4">
      <c r="A63" s="5" t="s">
        <v>263</v>
      </c>
      <c r="B63" s="5" t="s">
        <v>313</v>
      </c>
      <c r="C63" s="5">
        <v>443816</v>
      </c>
      <c r="D63" s="6"/>
      <c r="E63" s="5" t="s">
        <v>16</v>
      </c>
      <c r="F63" s="5" t="s">
        <v>137</v>
      </c>
      <c r="G63" s="5" t="s">
        <v>35</v>
      </c>
      <c r="H63" s="7" t="s">
        <v>8</v>
      </c>
      <c r="I63" s="7" t="s">
        <v>87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15</v>
      </c>
      <c r="AF63" s="7">
        <v>0</v>
      </c>
      <c r="AG63" s="8">
        <v>1500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1500</v>
      </c>
      <c r="BN63" s="15">
        <f t="shared" si="0"/>
        <v>1500</v>
      </c>
      <c r="BO63" s="15">
        <f t="shared" si="1"/>
        <v>1050</v>
      </c>
    </row>
    <row r="64" spans="1:67" ht="19.2" x14ac:dyDescent="0.4">
      <c r="A64" s="5" t="s">
        <v>262</v>
      </c>
      <c r="B64" s="5" t="s">
        <v>85</v>
      </c>
      <c r="C64" s="5">
        <v>443833</v>
      </c>
      <c r="D64" s="6"/>
      <c r="E64" s="5" t="s">
        <v>16</v>
      </c>
      <c r="F64" s="5" t="s">
        <v>86</v>
      </c>
      <c r="G64" s="5" t="s">
        <v>35</v>
      </c>
      <c r="H64" s="7" t="s">
        <v>8</v>
      </c>
      <c r="I64" s="7" t="s">
        <v>87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13</v>
      </c>
      <c r="AF64" s="8">
        <v>1100</v>
      </c>
      <c r="AG64" s="7">
        <v>200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1</v>
      </c>
      <c r="BD64" s="7">
        <v>120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7.2</v>
      </c>
      <c r="BM64" s="10">
        <v>1420</v>
      </c>
      <c r="BN64" s="15">
        <f t="shared" si="0"/>
        <v>1412.8</v>
      </c>
      <c r="BO64" s="15">
        <f t="shared" si="1"/>
        <v>988.95999999999992</v>
      </c>
    </row>
    <row r="65" spans="1:67" ht="19.2" x14ac:dyDescent="0.4">
      <c r="A65" s="5" t="s">
        <v>263</v>
      </c>
      <c r="B65" s="5" t="s">
        <v>314</v>
      </c>
      <c r="C65" s="5">
        <v>483760</v>
      </c>
      <c r="D65" s="6"/>
      <c r="E65" s="5" t="s">
        <v>16</v>
      </c>
      <c r="F65" s="5" t="s">
        <v>72</v>
      </c>
      <c r="G65" s="5" t="s">
        <v>73</v>
      </c>
      <c r="H65" s="7" t="s">
        <v>7</v>
      </c>
      <c r="I65" s="7" t="s">
        <v>309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1</v>
      </c>
      <c r="BA65" s="8">
        <v>1080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64.8</v>
      </c>
      <c r="BM65" s="10">
        <v>1080</v>
      </c>
      <c r="BN65" s="15">
        <f t="shared" si="0"/>
        <v>1015.2</v>
      </c>
      <c r="BO65" s="15">
        <f t="shared" si="1"/>
        <v>710.64</v>
      </c>
    </row>
    <row r="66" spans="1:67" ht="19.2" x14ac:dyDescent="0.4">
      <c r="A66" s="5" t="s">
        <v>262</v>
      </c>
      <c r="B66" s="5" t="s">
        <v>157</v>
      </c>
      <c r="C66" s="5">
        <v>396049</v>
      </c>
      <c r="D66" s="6"/>
      <c r="E66" s="5" t="s">
        <v>16</v>
      </c>
      <c r="F66" s="5" t="s">
        <v>104</v>
      </c>
      <c r="G66" s="5" t="s">
        <v>35</v>
      </c>
      <c r="H66" s="7" t="s">
        <v>8</v>
      </c>
      <c r="I66" s="7" t="s">
        <v>158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2</v>
      </c>
      <c r="AF66" s="7">
        <v>0</v>
      </c>
      <c r="AG66" s="7">
        <v>200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7</v>
      </c>
      <c r="AX66" s="7">
        <v>840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84</v>
      </c>
      <c r="BM66" s="10">
        <v>1040</v>
      </c>
      <c r="BN66" s="15">
        <f t="shared" si="0"/>
        <v>956</v>
      </c>
      <c r="BO66" s="15">
        <f t="shared" si="1"/>
        <v>669.19999999999993</v>
      </c>
    </row>
    <row r="67" spans="1:67" ht="19.2" x14ac:dyDescent="0.4">
      <c r="A67" s="5" t="s">
        <v>263</v>
      </c>
      <c r="B67" s="5" t="s">
        <v>180</v>
      </c>
      <c r="C67" s="5">
        <v>445598</v>
      </c>
      <c r="D67" s="6"/>
      <c r="E67" s="5" t="s">
        <v>16</v>
      </c>
      <c r="F67" s="5" t="s">
        <v>17</v>
      </c>
      <c r="G67" s="5" t="s">
        <v>18</v>
      </c>
      <c r="H67" s="7" t="s">
        <v>7</v>
      </c>
      <c r="I67" s="7" t="s">
        <v>99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10</v>
      </c>
      <c r="AF67" s="7">
        <v>0</v>
      </c>
      <c r="AG67" s="8">
        <v>1000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1000</v>
      </c>
      <c r="BN67" s="15">
        <f t="shared" ref="BN67:BN71" si="2">BM67-BL67</f>
        <v>1000</v>
      </c>
      <c r="BO67" s="15">
        <f t="shared" ref="BO67:BO71" si="3">BN67*0.7</f>
        <v>700</v>
      </c>
    </row>
    <row r="68" spans="1:67" ht="19.2" x14ac:dyDescent="0.4">
      <c r="A68" s="5" t="s">
        <v>263</v>
      </c>
      <c r="B68" s="5" t="s">
        <v>261</v>
      </c>
      <c r="C68" s="5">
        <v>443543</v>
      </c>
      <c r="D68" s="6"/>
      <c r="E68" s="5" t="s">
        <v>16</v>
      </c>
      <c r="F68" s="5" t="s">
        <v>47</v>
      </c>
      <c r="G68" s="5" t="s">
        <v>35</v>
      </c>
      <c r="H68" s="7" t="s">
        <v>8</v>
      </c>
      <c r="I68" s="7" t="s">
        <v>117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1</v>
      </c>
      <c r="AF68" s="7">
        <v>0</v>
      </c>
      <c r="AG68" s="7">
        <v>100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1</v>
      </c>
      <c r="AR68" s="7">
        <v>100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6</v>
      </c>
      <c r="BD68" s="7">
        <v>720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43.2</v>
      </c>
      <c r="BM68" s="11">
        <v>920</v>
      </c>
      <c r="BN68" s="15">
        <f t="shared" si="2"/>
        <v>876.8</v>
      </c>
      <c r="BO68" s="15">
        <f t="shared" si="3"/>
        <v>613.75999999999988</v>
      </c>
    </row>
    <row r="69" spans="1:67" ht="19.2" x14ac:dyDescent="0.4">
      <c r="A69" s="5" t="s">
        <v>263</v>
      </c>
      <c r="B69" s="5" t="s">
        <v>315</v>
      </c>
      <c r="C69" s="5">
        <v>454224</v>
      </c>
      <c r="D69" s="6"/>
      <c r="E69" s="5" t="s">
        <v>16</v>
      </c>
      <c r="F69" s="5" t="s">
        <v>17</v>
      </c>
      <c r="G69" s="5" t="s">
        <v>18</v>
      </c>
      <c r="H69" s="7" t="s">
        <v>7</v>
      </c>
      <c r="I69" s="7" t="s">
        <v>303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3</v>
      </c>
      <c r="BD69" s="7">
        <v>360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21.6</v>
      </c>
      <c r="BM69" s="11">
        <v>360</v>
      </c>
      <c r="BN69" s="15">
        <f t="shared" si="2"/>
        <v>338.4</v>
      </c>
      <c r="BO69" s="15">
        <f t="shared" si="3"/>
        <v>236.87999999999997</v>
      </c>
    </row>
    <row r="70" spans="1:67" ht="19.2" x14ac:dyDescent="0.4">
      <c r="A70" s="5" t="s">
        <v>263</v>
      </c>
      <c r="B70" s="5" t="s">
        <v>174</v>
      </c>
      <c r="C70" s="5">
        <v>418030</v>
      </c>
      <c r="D70" s="6"/>
      <c r="E70" s="5" t="s">
        <v>16</v>
      </c>
      <c r="F70" s="5" t="s">
        <v>30</v>
      </c>
      <c r="G70" s="5" t="s">
        <v>60</v>
      </c>
      <c r="H70" s="7" t="s">
        <v>8</v>
      </c>
      <c r="I70" s="7" t="s">
        <v>175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3</v>
      </c>
      <c r="BD70" s="7">
        <v>360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21.6</v>
      </c>
      <c r="BM70" s="11">
        <v>360</v>
      </c>
      <c r="BN70" s="15">
        <f t="shared" si="2"/>
        <v>338.4</v>
      </c>
      <c r="BO70" s="15">
        <f t="shared" si="3"/>
        <v>236.87999999999997</v>
      </c>
    </row>
    <row r="71" spans="1:67" ht="19.2" x14ac:dyDescent="0.4">
      <c r="A71" s="5" t="s">
        <v>263</v>
      </c>
      <c r="B71" s="5" t="s">
        <v>316</v>
      </c>
      <c r="C71" s="5">
        <v>397687</v>
      </c>
      <c r="D71" s="6"/>
      <c r="E71" s="5" t="s">
        <v>16</v>
      </c>
      <c r="F71" s="5" t="s">
        <v>56</v>
      </c>
      <c r="G71" s="5" t="s">
        <v>18</v>
      </c>
      <c r="H71" s="7" t="s">
        <v>7</v>
      </c>
      <c r="I71" s="7" t="s">
        <v>317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2</v>
      </c>
      <c r="BD71" s="7">
        <v>240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14.4</v>
      </c>
      <c r="BM71" s="11">
        <v>240</v>
      </c>
      <c r="BN71" s="15">
        <f t="shared" si="2"/>
        <v>225.6</v>
      </c>
      <c r="BO71" s="15">
        <f t="shared" si="3"/>
        <v>157.91999999999999</v>
      </c>
    </row>
    <row r="72" spans="1:67" ht="19.2" x14ac:dyDescent="0.4">
      <c r="A72" s="5" t="s">
        <v>263</v>
      </c>
      <c r="B72" s="5" t="s">
        <v>285</v>
      </c>
      <c r="C72" s="5">
        <v>445954</v>
      </c>
      <c r="D72" s="6"/>
      <c r="E72" s="5" t="s">
        <v>16</v>
      </c>
      <c r="F72" s="5" t="s">
        <v>122</v>
      </c>
      <c r="G72" s="5" t="s">
        <v>60</v>
      </c>
      <c r="H72" s="7" t="s">
        <v>8</v>
      </c>
      <c r="I72" s="7" t="s">
        <v>286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2</v>
      </c>
      <c r="AR72" s="7">
        <v>200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1">
        <v>200</v>
      </c>
      <c r="BN72" s="15">
        <f t="shared" ref="BN72:BN134" si="4">BM72-BL72</f>
        <v>200</v>
      </c>
      <c r="BO72" s="15">
        <f t="shared" ref="BO72:BO134" si="5">BN72*0.7</f>
        <v>140</v>
      </c>
    </row>
    <row r="73" spans="1:67" ht="19.2" x14ac:dyDescent="0.4">
      <c r="A73" s="5" t="s">
        <v>263</v>
      </c>
      <c r="B73" s="5" t="s">
        <v>318</v>
      </c>
      <c r="C73" s="5">
        <v>442342</v>
      </c>
      <c r="D73" s="6"/>
      <c r="E73" s="5" t="s">
        <v>16</v>
      </c>
      <c r="F73" s="5" t="s">
        <v>110</v>
      </c>
      <c r="G73" s="5" t="s">
        <v>73</v>
      </c>
      <c r="H73" s="7" t="s">
        <v>7</v>
      </c>
      <c r="I73" s="7" t="s">
        <v>111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1</v>
      </c>
      <c r="BD73" s="7">
        <v>120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7.2</v>
      </c>
      <c r="BM73" s="11">
        <v>120</v>
      </c>
      <c r="BN73" s="15">
        <f t="shared" si="4"/>
        <v>112.8</v>
      </c>
      <c r="BO73" s="15">
        <f t="shared" si="5"/>
        <v>78.959999999999994</v>
      </c>
    </row>
    <row r="74" spans="1:67" ht="19.2" x14ac:dyDescent="0.4">
      <c r="A74" s="5" t="s">
        <v>262</v>
      </c>
      <c r="B74" s="5" t="s">
        <v>21</v>
      </c>
      <c r="C74" s="5">
        <v>464786</v>
      </c>
      <c r="D74" s="6"/>
      <c r="E74" s="5" t="s">
        <v>16</v>
      </c>
      <c r="F74" s="5" t="s">
        <v>22</v>
      </c>
      <c r="G74" s="5" t="s">
        <v>23</v>
      </c>
      <c r="H74" s="7" t="s">
        <v>10</v>
      </c>
      <c r="I74" s="7" t="s">
        <v>24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16</v>
      </c>
      <c r="AF74" s="8">
        <v>20000</v>
      </c>
      <c r="AG74" s="8">
        <v>22500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2</v>
      </c>
      <c r="AR74" s="8">
        <v>5000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5</v>
      </c>
      <c r="BJ74" s="8">
        <v>15000</v>
      </c>
      <c r="BK74" s="7">
        <v>0</v>
      </c>
      <c r="BL74" s="7">
        <v>750</v>
      </c>
      <c r="BM74" s="10">
        <v>62500</v>
      </c>
      <c r="BN74" s="15">
        <f t="shared" si="4"/>
        <v>61750</v>
      </c>
      <c r="BO74" s="15">
        <f t="shared" si="5"/>
        <v>43225</v>
      </c>
    </row>
    <row r="75" spans="1:67" ht="19.2" x14ac:dyDescent="0.4">
      <c r="A75" s="5" t="s">
        <v>263</v>
      </c>
      <c r="B75" s="5" t="s">
        <v>160</v>
      </c>
      <c r="C75" s="5">
        <v>470383</v>
      </c>
      <c r="D75" s="6"/>
      <c r="E75" s="5" t="s">
        <v>16</v>
      </c>
      <c r="F75" s="5" t="s">
        <v>161</v>
      </c>
      <c r="G75" s="5" t="s">
        <v>23</v>
      </c>
      <c r="H75" s="7" t="s">
        <v>27</v>
      </c>
      <c r="I75" s="7" t="s">
        <v>162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20</v>
      </c>
      <c r="AF75" s="8">
        <v>11300</v>
      </c>
      <c r="AG75" s="8">
        <v>29500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5</v>
      </c>
      <c r="AR75" s="8">
        <v>9800</v>
      </c>
      <c r="AS75" s="7">
        <v>200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4</v>
      </c>
      <c r="BJ75" s="8">
        <v>9600</v>
      </c>
      <c r="BK75" s="7">
        <v>0</v>
      </c>
      <c r="BL75" s="7">
        <v>480</v>
      </c>
      <c r="BM75" s="10">
        <v>60400</v>
      </c>
      <c r="BN75" s="15">
        <f t="shared" si="4"/>
        <v>59920</v>
      </c>
      <c r="BO75" s="15">
        <f t="shared" si="5"/>
        <v>41944</v>
      </c>
    </row>
    <row r="76" spans="1:67" ht="19.2" x14ac:dyDescent="0.4">
      <c r="A76" s="5" t="s">
        <v>263</v>
      </c>
      <c r="B76" s="5" t="s">
        <v>135</v>
      </c>
      <c r="C76" s="5">
        <v>367415</v>
      </c>
      <c r="D76" s="6"/>
      <c r="E76" s="5" t="s">
        <v>16</v>
      </c>
      <c r="F76" s="5" t="s">
        <v>53</v>
      </c>
      <c r="G76" s="5" t="s">
        <v>18</v>
      </c>
      <c r="H76" s="7" t="s">
        <v>7</v>
      </c>
      <c r="I76" s="7" t="s">
        <v>136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0</v>
      </c>
      <c r="U76" s="7">
        <v>0</v>
      </c>
      <c r="V76" s="7">
        <v>100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424</v>
      </c>
      <c r="AF76" s="8">
        <v>50160</v>
      </c>
      <c r="AG76" s="7">
        <v>600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50860</v>
      </c>
      <c r="BN76" s="15">
        <f t="shared" si="4"/>
        <v>50860</v>
      </c>
      <c r="BO76" s="15">
        <f t="shared" si="5"/>
        <v>35602</v>
      </c>
    </row>
    <row r="77" spans="1:67" ht="19.2" x14ac:dyDescent="0.4">
      <c r="A77" s="5" t="s">
        <v>263</v>
      </c>
      <c r="B77" s="5" t="s">
        <v>172</v>
      </c>
      <c r="C77" s="5">
        <v>469971</v>
      </c>
      <c r="D77" s="6"/>
      <c r="E77" s="5" t="s">
        <v>16</v>
      </c>
      <c r="F77" s="5" t="s">
        <v>159</v>
      </c>
      <c r="G77" s="5" t="s">
        <v>73</v>
      </c>
      <c r="H77" s="7" t="s">
        <v>7</v>
      </c>
      <c r="I77" s="7" t="s">
        <v>292</v>
      </c>
      <c r="J77" s="7">
        <v>0</v>
      </c>
      <c r="K77" s="7">
        <v>385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148</v>
      </c>
      <c r="AF77" s="8">
        <v>12260</v>
      </c>
      <c r="AG77" s="8">
        <v>3600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76</v>
      </c>
      <c r="AR77" s="8">
        <v>7500</v>
      </c>
      <c r="AS77" s="7">
        <v>100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90</v>
      </c>
      <c r="BJ77" s="8">
        <v>10800</v>
      </c>
      <c r="BK77" s="7">
        <v>0</v>
      </c>
      <c r="BL77" s="7">
        <v>540</v>
      </c>
      <c r="BM77" s="10">
        <v>34260</v>
      </c>
      <c r="BN77" s="15">
        <f t="shared" si="4"/>
        <v>33720</v>
      </c>
      <c r="BO77" s="15">
        <f t="shared" si="5"/>
        <v>23604</v>
      </c>
    </row>
    <row r="78" spans="1:67" ht="19.2" x14ac:dyDescent="0.4">
      <c r="A78" s="5" t="s">
        <v>262</v>
      </c>
      <c r="B78" s="5" t="s">
        <v>264</v>
      </c>
      <c r="C78" s="5">
        <v>474768</v>
      </c>
      <c r="D78" s="6"/>
      <c r="E78" s="5" t="s">
        <v>16</v>
      </c>
      <c r="F78" s="5" t="s">
        <v>26</v>
      </c>
      <c r="G78" s="5" t="s">
        <v>23</v>
      </c>
      <c r="H78" s="7" t="s">
        <v>27</v>
      </c>
      <c r="I78" s="7" t="s">
        <v>265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9</v>
      </c>
      <c r="AF78" s="8">
        <v>12600</v>
      </c>
      <c r="AG78" s="8">
        <v>21000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33600</v>
      </c>
      <c r="BN78" s="15">
        <f t="shared" si="4"/>
        <v>33600</v>
      </c>
      <c r="BO78" s="15">
        <f t="shared" si="5"/>
        <v>23520</v>
      </c>
    </row>
    <row r="79" spans="1:67" ht="19.2" x14ac:dyDescent="0.4">
      <c r="A79" s="5" t="s">
        <v>263</v>
      </c>
      <c r="B79" s="5" t="s">
        <v>92</v>
      </c>
      <c r="C79" s="5">
        <v>455896</v>
      </c>
      <c r="D79" s="6"/>
      <c r="E79" s="5" t="s">
        <v>16</v>
      </c>
      <c r="F79" s="5" t="s">
        <v>17</v>
      </c>
      <c r="G79" s="5" t="s">
        <v>18</v>
      </c>
      <c r="H79" s="7" t="s">
        <v>7</v>
      </c>
      <c r="I79" s="7" t="s">
        <v>93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86</v>
      </c>
      <c r="BD79" s="8">
        <v>10320</v>
      </c>
      <c r="BE79" s="7">
        <v>0</v>
      </c>
      <c r="BF79" s="7">
        <v>0</v>
      </c>
      <c r="BG79" s="7">
        <v>0</v>
      </c>
      <c r="BH79" s="7">
        <v>0</v>
      </c>
      <c r="BI79" s="7">
        <v>167</v>
      </c>
      <c r="BJ79" s="8">
        <v>20040</v>
      </c>
      <c r="BK79" s="7">
        <v>0</v>
      </c>
      <c r="BL79" s="9">
        <v>1621.2</v>
      </c>
      <c r="BM79" s="10">
        <v>30360</v>
      </c>
      <c r="BN79" s="15">
        <f t="shared" si="4"/>
        <v>28738.799999999999</v>
      </c>
      <c r="BO79" s="15">
        <f t="shared" si="5"/>
        <v>20117.16</v>
      </c>
    </row>
    <row r="80" spans="1:67" ht="19.2" x14ac:dyDescent="0.4">
      <c r="A80" s="5" t="s">
        <v>263</v>
      </c>
      <c r="B80" s="5" t="s">
        <v>252</v>
      </c>
      <c r="C80" s="5">
        <v>477493</v>
      </c>
      <c r="D80" s="6"/>
      <c r="E80" s="5" t="s">
        <v>16</v>
      </c>
      <c r="F80" s="5" t="s">
        <v>81</v>
      </c>
      <c r="G80" s="5" t="s">
        <v>23</v>
      </c>
      <c r="H80" s="7" t="s">
        <v>7</v>
      </c>
      <c r="I80" s="7" t="s">
        <v>253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11</v>
      </c>
      <c r="AF80" s="8">
        <v>16800</v>
      </c>
      <c r="AG80" s="8">
        <v>6700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1</v>
      </c>
      <c r="AR80" s="8">
        <v>1300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2</v>
      </c>
      <c r="BJ80" s="8">
        <v>4800</v>
      </c>
      <c r="BK80" s="7">
        <v>0</v>
      </c>
      <c r="BL80" s="7">
        <v>240</v>
      </c>
      <c r="BM80" s="10">
        <v>29600</v>
      </c>
      <c r="BN80" s="15">
        <f t="shared" si="4"/>
        <v>29360</v>
      </c>
      <c r="BO80" s="15">
        <f t="shared" si="5"/>
        <v>20552</v>
      </c>
    </row>
    <row r="81" spans="1:67" ht="19.2" x14ac:dyDescent="0.4">
      <c r="A81" s="5" t="s">
        <v>263</v>
      </c>
      <c r="B81" s="5" t="s">
        <v>152</v>
      </c>
      <c r="C81" s="5">
        <v>472519</v>
      </c>
      <c r="D81" s="6"/>
      <c r="E81" s="5" t="s">
        <v>16</v>
      </c>
      <c r="F81" s="5" t="s">
        <v>153</v>
      </c>
      <c r="G81" s="5" t="s">
        <v>23</v>
      </c>
      <c r="H81" s="7" t="s">
        <v>7</v>
      </c>
      <c r="I81" s="7" t="s">
        <v>154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4</v>
      </c>
      <c r="AF81" s="8">
        <v>3600</v>
      </c>
      <c r="AG81" s="8">
        <v>10800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3</v>
      </c>
      <c r="BJ81" s="8">
        <v>12960</v>
      </c>
      <c r="BK81" s="7">
        <v>0</v>
      </c>
      <c r="BL81" s="7">
        <v>648</v>
      </c>
      <c r="BM81" s="10">
        <v>27360</v>
      </c>
      <c r="BN81" s="15">
        <f t="shared" si="4"/>
        <v>26712</v>
      </c>
      <c r="BO81" s="15">
        <f t="shared" si="5"/>
        <v>18698.399999999998</v>
      </c>
    </row>
    <row r="82" spans="1:67" ht="19.2" x14ac:dyDescent="0.4">
      <c r="A82" s="5" t="s">
        <v>263</v>
      </c>
      <c r="B82" s="5" t="s">
        <v>80</v>
      </c>
      <c r="C82" s="5">
        <v>457533</v>
      </c>
      <c r="D82" s="6"/>
      <c r="E82" s="5" t="s">
        <v>16</v>
      </c>
      <c r="F82" s="5" t="s">
        <v>81</v>
      </c>
      <c r="G82" s="5" t="s">
        <v>23</v>
      </c>
      <c r="H82" s="7" t="s">
        <v>27</v>
      </c>
      <c r="I82" s="7" t="s">
        <v>82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8</v>
      </c>
      <c r="AF82" s="8">
        <v>9000</v>
      </c>
      <c r="AG82" s="8">
        <v>12500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1</v>
      </c>
      <c r="AR82" s="8">
        <v>2500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1</v>
      </c>
      <c r="BJ82" s="8">
        <v>3000</v>
      </c>
      <c r="BK82" s="7">
        <v>0</v>
      </c>
      <c r="BL82" s="7">
        <v>150</v>
      </c>
      <c r="BM82" s="10">
        <v>27000</v>
      </c>
      <c r="BN82" s="15">
        <f t="shared" si="4"/>
        <v>26850</v>
      </c>
      <c r="BO82" s="15">
        <f t="shared" si="5"/>
        <v>18795</v>
      </c>
    </row>
    <row r="83" spans="1:67" ht="19.2" x14ac:dyDescent="0.4">
      <c r="A83" s="5" t="s">
        <v>263</v>
      </c>
      <c r="B83" s="5" t="s">
        <v>319</v>
      </c>
      <c r="C83" s="5">
        <v>480605</v>
      </c>
      <c r="D83" s="6"/>
      <c r="E83" s="5" t="s">
        <v>16</v>
      </c>
      <c r="F83" s="5" t="s">
        <v>320</v>
      </c>
      <c r="G83" s="5" t="s">
        <v>23</v>
      </c>
      <c r="H83" s="7" t="s">
        <v>27</v>
      </c>
      <c r="I83" s="7" t="s">
        <v>321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8</v>
      </c>
      <c r="AF83" s="8">
        <v>11600</v>
      </c>
      <c r="AG83" s="8">
        <v>6000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1</v>
      </c>
      <c r="AR83" s="8">
        <v>2000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3</v>
      </c>
      <c r="BJ83" s="8">
        <v>7200</v>
      </c>
      <c r="BK83" s="7">
        <v>0</v>
      </c>
      <c r="BL83" s="7">
        <v>360</v>
      </c>
      <c r="BM83" s="10">
        <v>26800</v>
      </c>
      <c r="BN83" s="15">
        <f t="shared" si="4"/>
        <v>26440</v>
      </c>
      <c r="BO83" s="15">
        <f t="shared" si="5"/>
        <v>18508</v>
      </c>
    </row>
    <row r="84" spans="1:67" ht="19.2" x14ac:dyDescent="0.4">
      <c r="A84" s="5" t="s">
        <v>263</v>
      </c>
      <c r="B84" s="5" t="s">
        <v>100</v>
      </c>
      <c r="C84" s="5">
        <v>387161</v>
      </c>
      <c r="D84" s="6"/>
      <c r="E84" s="5" t="s">
        <v>16</v>
      </c>
      <c r="F84" s="5" t="s">
        <v>101</v>
      </c>
      <c r="G84" s="5" t="s">
        <v>60</v>
      </c>
      <c r="H84" s="7" t="s">
        <v>27</v>
      </c>
      <c r="I84" s="7" t="s">
        <v>102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7</v>
      </c>
      <c r="AF84" s="8">
        <v>19200</v>
      </c>
      <c r="AG84" s="8">
        <v>6400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10">
        <v>25600</v>
      </c>
      <c r="BN84" s="15">
        <f t="shared" si="4"/>
        <v>25600</v>
      </c>
      <c r="BO84" s="15">
        <f t="shared" si="5"/>
        <v>17920</v>
      </c>
    </row>
    <row r="85" spans="1:67" ht="19.2" x14ac:dyDescent="0.4">
      <c r="A85" s="5" t="s">
        <v>263</v>
      </c>
      <c r="B85" s="5" t="s">
        <v>310</v>
      </c>
      <c r="C85" s="5">
        <v>480607</v>
      </c>
      <c r="D85" s="6"/>
      <c r="E85" s="5" t="s">
        <v>16</v>
      </c>
      <c r="F85" s="5" t="s">
        <v>311</v>
      </c>
      <c r="G85" s="5" t="s">
        <v>23</v>
      </c>
      <c r="H85" s="7" t="s">
        <v>27</v>
      </c>
      <c r="I85" s="7" t="s">
        <v>312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5</v>
      </c>
      <c r="AF85" s="8">
        <v>8500</v>
      </c>
      <c r="AG85" s="8">
        <v>5000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3</v>
      </c>
      <c r="BJ85" s="8">
        <v>9000</v>
      </c>
      <c r="BK85" s="7">
        <v>0</v>
      </c>
      <c r="BL85" s="7">
        <v>450</v>
      </c>
      <c r="BM85" s="10">
        <v>22500</v>
      </c>
      <c r="BN85" s="15">
        <f t="shared" si="4"/>
        <v>22050</v>
      </c>
      <c r="BO85" s="15">
        <f t="shared" si="5"/>
        <v>15434.999999999998</v>
      </c>
    </row>
    <row r="86" spans="1:67" ht="19.2" x14ac:dyDescent="0.4">
      <c r="A86" s="5" t="s">
        <v>263</v>
      </c>
      <c r="B86" s="5" t="s">
        <v>62</v>
      </c>
      <c r="C86" s="5">
        <v>468582</v>
      </c>
      <c r="D86" s="6"/>
      <c r="E86" s="5" t="s">
        <v>16</v>
      </c>
      <c r="F86" s="5" t="s">
        <v>63</v>
      </c>
      <c r="G86" s="5" t="s">
        <v>23</v>
      </c>
      <c r="H86" s="7" t="s">
        <v>10</v>
      </c>
      <c r="I86" s="7" t="s">
        <v>64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7</v>
      </c>
      <c r="AF86" s="8">
        <v>8500</v>
      </c>
      <c r="AG86" s="8">
        <v>10000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1</v>
      </c>
      <c r="AR86" s="8">
        <v>2500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0">
        <v>21000</v>
      </c>
      <c r="BN86" s="15">
        <f t="shared" si="4"/>
        <v>21000</v>
      </c>
      <c r="BO86" s="15">
        <f t="shared" si="5"/>
        <v>14699.999999999998</v>
      </c>
    </row>
    <row r="87" spans="1:67" ht="19.2" x14ac:dyDescent="0.4">
      <c r="A87" s="5" t="s">
        <v>263</v>
      </c>
      <c r="B87" s="5" t="s">
        <v>25</v>
      </c>
      <c r="C87" s="5">
        <v>459229</v>
      </c>
      <c r="D87" s="6"/>
      <c r="E87" s="5" t="s">
        <v>16</v>
      </c>
      <c r="F87" s="5" t="s">
        <v>26</v>
      </c>
      <c r="G87" s="5" t="s">
        <v>23</v>
      </c>
      <c r="H87" s="7" t="s">
        <v>27</v>
      </c>
      <c r="I87" s="7" t="s">
        <v>28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5</v>
      </c>
      <c r="AF87" s="8">
        <v>10800</v>
      </c>
      <c r="AG87" s="8">
        <v>3700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2</v>
      </c>
      <c r="BJ87" s="8">
        <v>6360</v>
      </c>
      <c r="BK87" s="7">
        <v>0</v>
      </c>
      <c r="BL87" s="7">
        <v>318</v>
      </c>
      <c r="BM87" s="10">
        <v>20860</v>
      </c>
      <c r="BN87" s="15">
        <f t="shared" si="4"/>
        <v>20542</v>
      </c>
      <c r="BO87" s="15">
        <f t="shared" si="5"/>
        <v>14379.4</v>
      </c>
    </row>
    <row r="88" spans="1:67" ht="19.2" x14ac:dyDescent="0.4">
      <c r="A88" s="5" t="s">
        <v>263</v>
      </c>
      <c r="B88" s="5" t="s">
        <v>96</v>
      </c>
      <c r="C88" s="5">
        <v>457534</v>
      </c>
      <c r="D88" s="6"/>
      <c r="E88" s="5" t="s">
        <v>16</v>
      </c>
      <c r="F88" s="5" t="s">
        <v>97</v>
      </c>
      <c r="G88" s="5" t="s">
        <v>23</v>
      </c>
      <c r="H88" s="7" t="s">
        <v>27</v>
      </c>
      <c r="I88" s="7" t="s">
        <v>98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2</v>
      </c>
      <c r="AF88" s="8">
        <v>2520</v>
      </c>
      <c r="AG88" s="7">
        <v>500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2</v>
      </c>
      <c r="AR88" s="8">
        <v>4000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4</v>
      </c>
      <c r="BJ88" s="8">
        <v>8880</v>
      </c>
      <c r="BK88" s="7">
        <v>0</v>
      </c>
      <c r="BL88" s="7">
        <v>444</v>
      </c>
      <c r="BM88" s="10">
        <v>15900</v>
      </c>
      <c r="BN88" s="15">
        <f t="shared" si="4"/>
        <v>15456</v>
      </c>
      <c r="BO88" s="15">
        <f t="shared" si="5"/>
        <v>10819.199999999999</v>
      </c>
    </row>
    <row r="89" spans="1:67" ht="19.2" x14ac:dyDescent="0.4">
      <c r="A89" s="5" t="s">
        <v>263</v>
      </c>
      <c r="B89" s="5" t="s">
        <v>90</v>
      </c>
      <c r="C89" s="5">
        <v>395231</v>
      </c>
      <c r="D89" s="6"/>
      <c r="E89" s="5" t="s">
        <v>16</v>
      </c>
      <c r="F89" s="5" t="s">
        <v>34</v>
      </c>
      <c r="G89" s="5" t="s">
        <v>35</v>
      </c>
      <c r="H89" s="7" t="s">
        <v>27</v>
      </c>
      <c r="I89" s="7" t="s">
        <v>91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2</v>
      </c>
      <c r="AF89" s="7">
        <v>0</v>
      </c>
      <c r="AG89" s="8">
        <v>7000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2</v>
      </c>
      <c r="BJ89" s="8">
        <v>8400</v>
      </c>
      <c r="BK89" s="7">
        <v>0</v>
      </c>
      <c r="BL89" s="7">
        <v>420</v>
      </c>
      <c r="BM89" s="10">
        <v>15400</v>
      </c>
      <c r="BN89" s="15">
        <f t="shared" si="4"/>
        <v>14980</v>
      </c>
      <c r="BO89" s="15">
        <f t="shared" si="5"/>
        <v>10486</v>
      </c>
    </row>
    <row r="90" spans="1:67" ht="19.2" x14ac:dyDescent="0.4">
      <c r="A90" s="5" t="s">
        <v>262</v>
      </c>
      <c r="B90" s="5" t="s">
        <v>322</v>
      </c>
      <c r="C90" s="5">
        <v>457068</v>
      </c>
      <c r="D90" s="6"/>
      <c r="E90" s="5" t="s">
        <v>16</v>
      </c>
      <c r="F90" s="5" t="s">
        <v>323</v>
      </c>
      <c r="G90" s="5" t="s">
        <v>23</v>
      </c>
      <c r="H90" s="7" t="s">
        <v>27</v>
      </c>
      <c r="I90" s="7" t="s">
        <v>324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4</v>
      </c>
      <c r="AF90" s="8">
        <v>6100</v>
      </c>
      <c r="AG90" s="8">
        <v>2800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1</v>
      </c>
      <c r="AR90" s="8">
        <v>1600</v>
      </c>
      <c r="AS90" s="7">
        <v>0</v>
      </c>
      <c r="AT90" s="7">
        <v>0</v>
      </c>
      <c r="AU90" s="7">
        <v>0</v>
      </c>
      <c r="AV90" s="7">
        <v>0</v>
      </c>
      <c r="AW90" s="7">
        <v>1</v>
      </c>
      <c r="AX90" s="8">
        <v>3000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300</v>
      </c>
      <c r="BM90" s="10">
        <v>13500</v>
      </c>
      <c r="BN90" s="15">
        <f t="shared" si="4"/>
        <v>13200</v>
      </c>
      <c r="BO90" s="15">
        <f t="shared" si="5"/>
        <v>9240</v>
      </c>
    </row>
    <row r="91" spans="1:67" ht="19.2" x14ac:dyDescent="0.4">
      <c r="A91" s="5" t="s">
        <v>263</v>
      </c>
      <c r="B91" s="5" t="s">
        <v>127</v>
      </c>
      <c r="C91" s="5">
        <v>401407</v>
      </c>
      <c r="D91" s="6"/>
      <c r="E91" s="5" t="s">
        <v>16</v>
      </c>
      <c r="F91" s="5" t="s">
        <v>47</v>
      </c>
      <c r="G91" s="5" t="s">
        <v>35</v>
      </c>
      <c r="H91" s="7" t="s">
        <v>8</v>
      </c>
      <c r="I91" s="7" t="s">
        <v>128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130</v>
      </c>
      <c r="AF91" s="7">
        <v>240</v>
      </c>
      <c r="AG91" s="8">
        <v>12800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0">
        <v>13040</v>
      </c>
      <c r="BN91" s="15">
        <f t="shared" si="4"/>
        <v>13040</v>
      </c>
      <c r="BO91" s="15">
        <f t="shared" si="5"/>
        <v>9128</v>
      </c>
    </row>
    <row r="92" spans="1:67" ht="19.2" x14ac:dyDescent="0.4">
      <c r="A92" s="5" t="s">
        <v>263</v>
      </c>
      <c r="B92" s="5" t="s">
        <v>46</v>
      </c>
      <c r="C92" s="5">
        <v>372841</v>
      </c>
      <c r="D92" s="6"/>
      <c r="E92" s="5" t="s">
        <v>16</v>
      </c>
      <c r="F92" s="5" t="s">
        <v>47</v>
      </c>
      <c r="G92" s="5" t="s">
        <v>48</v>
      </c>
      <c r="H92" s="7" t="s">
        <v>8</v>
      </c>
      <c r="I92" s="7" t="s">
        <v>49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94</v>
      </c>
      <c r="AF92" s="8">
        <v>11200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0">
        <v>11200</v>
      </c>
      <c r="BN92" s="15">
        <f t="shared" si="4"/>
        <v>11200</v>
      </c>
      <c r="BO92" s="15">
        <f t="shared" si="5"/>
        <v>7839.9999999999991</v>
      </c>
    </row>
    <row r="93" spans="1:67" ht="19.2" x14ac:dyDescent="0.4">
      <c r="A93" s="5" t="s">
        <v>263</v>
      </c>
      <c r="B93" s="5" t="s">
        <v>247</v>
      </c>
      <c r="C93" s="5">
        <v>453656</v>
      </c>
      <c r="D93" s="6"/>
      <c r="E93" s="5" t="s">
        <v>16</v>
      </c>
      <c r="F93" s="5" t="s">
        <v>17</v>
      </c>
      <c r="G93" s="5" t="s">
        <v>18</v>
      </c>
      <c r="H93" s="7" t="s">
        <v>7</v>
      </c>
      <c r="I93" s="7" t="s">
        <v>248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4</v>
      </c>
      <c r="AC93" s="7">
        <v>0</v>
      </c>
      <c r="AD93" s="8">
        <v>2800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9</v>
      </c>
      <c r="AO93" s="8">
        <v>7500</v>
      </c>
      <c r="AP93" s="7">
        <v>200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1</v>
      </c>
      <c r="BG93" s="7">
        <v>360</v>
      </c>
      <c r="BH93" s="7">
        <v>0</v>
      </c>
      <c r="BI93" s="7">
        <v>0</v>
      </c>
      <c r="BJ93" s="7">
        <v>0</v>
      </c>
      <c r="BK93" s="7">
        <v>0</v>
      </c>
      <c r="BL93" s="7">
        <v>18</v>
      </c>
      <c r="BM93" s="10">
        <v>10860</v>
      </c>
      <c r="BN93" s="15">
        <f t="shared" si="4"/>
        <v>10842</v>
      </c>
      <c r="BO93" s="15">
        <f t="shared" si="5"/>
        <v>7589.4</v>
      </c>
    </row>
    <row r="94" spans="1:67" ht="19.2" x14ac:dyDescent="0.4">
      <c r="A94" s="5" t="s">
        <v>263</v>
      </c>
      <c r="B94" s="5" t="s">
        <v>181</v>
      </c>
      <c r="C94" s="5">
        <v>472520</v>
      </c>
      <c r="D94" s="6"/>
      <c r="E94" s="5" t="s">
        <v>16</v>
      </c>
      <c r="F94" s="5" t="s">
        <v>182</v>
      </c>
      <c r="G94" s="5" t="s">
        <v>23</v>
      </c>
      <c r="H94" s="7" t="s">
        <v>27</v>
      </c>
      <c r="I94" s="7" t="s">
        <v>183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3</v>
      </c>
      <c r="AF94" s="8">
        <v>8800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1</v>
      </c>
      <c r="BJ94" s="8">
        <v>1680</v>
      </c>
      <c r="BK94" s="7">
        <v>0</v>
      </c>
      <c r="BL94" s="7">
        <v>84</v>
      </c>
      <c r="BM94" s="10">
        <v>10480</v>
      </c>
      <c r="BN94" s="15">
        <f t="shared" si="4"/>
        <v>10396</v>
      </c>
      <c r="BO94" s="15">
        <f t="shared" si="5"/>
        <v>7277.2</v>
      </c>
    </row>
    <row r="95" spans="1:67" ht="19.2" x14ac:dyDescent="0.4">
      <c r="A95" s="5" t="s">
        <v>263</v>
      </c>
      <c r="B95" s="5" t="s">
        <v>296</v>
      </c>
      <c r="C95" s="5">
        <v>467559</v>
      </c>
      <c r="D95" s="6"/>
      <c r="E95" s="5" t="s">
        <v>16</v>
      </c>
      <c r="F95" s="5" t="s">
        <v>50</v>
      </c>
      <c r="G95" s="5" t="s">
        <v>23</v>
      </c>
      <c r="H95" s="7" t="s">
        <v>7</v>
      </c>
      <c r="I95" s="7" t="s">
        <v>297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3</v>
      </c>
      <c r="AF95" s="8">
        <v>4000</v>
      </c>
      <c r="AG95" s="8">
        <v>2000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1</v>
      </c>
      <c r="AR95" s="8">
        <v>2000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1</v>
      </c>
      <c r="BJ95" s="8">
        <v>2400</v>
      </c>
      <c r="BK95" s="7">
        <v>0</v>
      </c>
      <c r="BL95" s="7">
        <v>120</v>
      </c>
      <c r="BM95" s="10">
        <v>10400</v>
      </c>
      <c r="BN95" s="15">
        <f t="shared" si="4"/>
        <v>10280</v>
      </c>
      <c r="BO95" s="15">
        <f t="shared" si="5"/>
        <v>7195.9999999999991</v>
      </c>
    </row>
    <row r="96" spans="1:67" ht="19.2" x14ac:dyDescent="0.4">
      <c r="A96" s="5" t="s">
        <v>263</v>
      </c>
      <c r="B96" s="5" t="s">
        <v>118</v>
      </c>
      <c r="C96" s="5">
        <v>445220</v>
      </c>
      <c r="D96" s="6"/>
      <c r="E96" s="5" t="s">
        <v>16</v>
      </c>
      <c r="F96" s="5" t="s">
        <v>119</v>
      </c>
      <c r="G96" s="5" t="s">
        <v>35</v>
      </c>
      <c r="H96" s="7" t="s">
        <v>8</v>
      </c>
      <c r="I96" s="7" t="s">
        <v>120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70</v>
      </c>
      <c r="AF96" s="7">
        <v>120</v>
      </c>
      <c r="AG96" s="8">
        <v>6900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10</v>
      </c>
      <c r="AR96" s="7">
        <v>800</v>
      </c>
      <c r="AS96" s="7">
        <v>200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17</v>
      </c>
      <c r="BJ96" s="8">
        <v>2040</v>
      </c>
      <c r="BK96" s="7">
        <v>0</v>
      </c>
      <c r="BL96" s="7">
        <v>102</v>
      </c>
      <c r="BM96" s="10">
        <v>10060</v>
      </c>
      <c r="BN96" s="15">
        <f t="shared" si="4"/>
        <v>9958</v>
      </c>
      <c r="BO96" s="15">
        <f t="shared" si="5"/>
        <v>6970.5999999999995</v>
      </c>
    </row>
    <row r="97" spans="1:67" ht="19.2" x14ac:dyDescent="0.4">
      <c r="A97" s="5" t="s">
        <v>263</v>
      </c>
      <c r="B97" s="5" t="s">
        <v>325</v>
      </c>
      <c r="C97" s="5">
        <v>423507</v>
      </c>
      <c r="D97" s="6"/>
      <c r="E97" s="5" t="s">
        <v>16</v>
      </c>
      <c r="F97" s="5" t="s">
        <v>104</v>
      </c>
      <c r="G97" s="5" t="s">
        <v>35</v>
      </c>
      <c r="H97" s="7" t="s">
        <v>27</v>
      </c>
      <c r="I97" s="7" t="s">
        <v>326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2</v>
      </c>
      <c r="AF97" s="8">
        <v>6400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1</v>
      </c>
      <c r="AR97" s="8">
        <v>3200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10">
        <v>9600</v>
      </c>
      <c r="BN97" s="15">
        <f t="shared" si="4"/>
        <v>9600</v>
      </c>
      <c r="BO97" s="15">
        <f t="shared" si="5"/>
        <v>6720</v>
      </c>
    </row>
    <row r="98" spans="1:67" ht="19.2" x14ac:dyDescent="0.4">
      <c r="A98" s="5" t="s">
        <v>262</v>
      </c>
      <c r="B98" s="5" t="s">
        <v>327</v>
      </c>
      <c r="C98" s="5">
        <v>351091</v>
      </c>
      <c r="D98" s="6"/>
      <c r="E98" s="5" t="s">
        <v>16</v>
      </c>
      <c r="F98" s="5" t="s">
        <v>47</v>
      </c>
      <c r="G98" s="5" t="s">
        <v>35</v>
      </c>
      <c r="H98" s="7" t="s">
        <v>27</v>
      </c>
      <c r="I98" s="7" t="s">
        <v>328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2</v>
      </c>
      <c r="AF98" s="8">
        <v>8640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10">
        <v>8640</v>
      </c>
      <c r="BN98" s="15">
        <f t="shared" si="4"/>
        <v>8640</v>
      </c>
      <c r="BO98" s="15">
        <f t="shared" si="5"/>
        <v>6048</v>
      </c>
    </row>
    <row r="99" spans="1:67" ht="19.2" x14ac:dyDescent="0.4">
      <c r="A99" s="5" t="s">
        <v>263</v>
      </c>
      <c r="B99" s="5" t="s">
        <v>276</v>
      </c>
      <c r="C99" s="5">
        <v>381424</v>
      </c>
      <c r="D99" s="6"/>
      <c r="E99" s="5" t="s">
        <v>16</v>
      </c>
      <c r="F99" s="5" t="s">
        <v>34</v>
      </c>
      <c r="G99" s="5" t="s">
        <v>35</v>
      </c>
      <c r="H99" s="7" t="s">
        <v>27</v>
      </c>
      <c r="I99" s="7" t="s">
        <v>277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2</v>
      </c>
      <c r="BJ99" s="8">
        <v>8400</v>
      </c>
      <c r="BK99" s="7">
        <v>0</v>
      </c>
      <c r="BL99" s="7">
        <v>420</v>
      </c>
      <c r="BM99" s="10">
        <v>8400</v>
      </c>
      <c r="BN99" s="15">
        <f t="shared" si="4"/>
        <v>7980</v>
      </c>
      <c r="BO99" s="15">
        <f t="shared" si="5"/>
        <v>5586</v>
      </c>
    </row>
    <row r="100" spans="1:67" ht="19.2" x14ac:dyDescent="0.4">
      <c r="A100" s="5" t="s">
        <v>263</v>
      </c>
      <c r="B100" s="5" t="s">
        <v>329</v>
      </c>
      <c r="C100" s="5">
        <v>416187</v>
      </c>
      <c r="D100" s="6"/>
      <c r="E100" s="5" t="s">
        <v>16</v>
      </c>
      <c r="F100" s="5" t="s">
        <v>47</v>
      </c>
      <c r="G100" s="5" t="s">
        <v>35</v>
      </c>
      <c r="H100" s="7" t="s">
        <v>27</v>
      </c>
      <c r="I100" s="7" t="s">
        <v>330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2</v>
      </c>
      <c r="AF100" s="8">
        <v>8160</v>
      </c>
      <c r="AG100" s="7">
        <v>200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0">
        <v>8360</v>
      </c>
      <c r="BN100" s="15">
        <f t="shared" si="4"/>
        <v>8360</v>
      </c>
      <c r="BO100" s="15">
        <f t="shared" si="5"/>
        <v>5852</v>
      </c>
    </row>
    <row r="101" spans="1:67" ht="19.2" x14ac:dyDescent="0.4">
      <c r="A101" s="5" t="s">
        <v>263</v>
      </c>
      <c r="B101" s="5" t="s">
        <v>37</v>
      </c>
      <c r="C101" s="5">
        <v>465773</v>
      </c>
      <c r="D101" s="6"/>
      <c r="E101" s="5" t="s">
        <v>16</v>
      </c>
      <c r="F101" s="5" t="s">
        <v>38</v>
      </c>
      <c r="G101" s="5" t="s">
        <v>23</v>
      </c>
      <c r="H101" s="7" t="s">
        <v>27</v>
      </c>
      <c r="I101" s="7" t="s">
        <v>39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2</v>
      </c>
      <c r="AF101" s="8">
        <v>4200</v>
      </c>
      <c r="AG101" s="8">
        <v>3500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10">
        <v>7700</v>
      </c>
      <c r="BN101" s="15">
        <f t="shared" si="4"/>
        <v>7700</v>
      </c>
      <c r="BO101" s="15">
        <f t="shared" si="5"/>
        <v>5390</v>
      </c>
    </row>
    <row r="102" spans="1:67" ht="19.2" x14ac:dyDescent="0.4">
      <c r="A102" s="5" t="s">
        <v>263</v>
      </c>
      <c r="B102" s="5" t="s">
        <v>33</v>
      </c>
      <c r="C102" s="5">
        <v>395341</v>
      </c>
      <c r="D102" s="6"/>
      <c r="E102" s="5" t="s">
        <v>16</v>
      </c>
      <c r="F102" s="5" t="s">
        <v>34</v>
      </c>
      <c r="G102" s="5" t="s">
        <v>35</v>
      </c>
      <c r="H102" s="7" t="s">
        <v>8</v>
      </c>
      <c r="I102" s="7" t="s">
        <v>36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4</v>
      </c>
      <c r="AF102" s="7">
        <v>0</v>
      </c>
      <c r="AG102" s="7">
        <v>400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72</v>
      </c>
      <c r="AR102" s="8">
        <v>7200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10">
        <v>7600</v>
      </c>
      <c r="BN102" s="15">
        <f t="shared" si="4"/>
        <v>7600</v>
      </c>
      <c r="BO102" s="15">
        <f t="shared" si="5"/>
        <v>5320</v>
      </c>
    </row>
    <row r="103" spans="1:67" ht="19.2" x14ac:dyDescent="0.4">
      <c r="A103" s="5" t="s">
        <v>263</v>
      </c>
      <c r="B103" s="5" t="s">
        <v>139</v>
      </c>
      <c r="C103" s="5">
        <v>424315</v>
      </c>
      <c r="D103" s="6"/>
      <c r="E103" s="5" t="s">
        <v>16</v>
      </c>
      <c r="F103" s="5" t="s">
        <v>56</v>
      </c>
      <c r="G103" s="5" t="s">
        <v>18</v>
      </c>
      <c r="H103" s="7" t="s">
        <v>7</v>
      </c>
      <c r="I103" s="7" t="s">
        <v>140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7</v>
      </c>
      <c r="AC103" s="8">
        <v>7560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10">
        <v>7560</v>
      </c>
      <c r="BN103" s="15">
        <f t="shared" si="4"/>
        <v>7560</v>
      </c>
      <c r="BO103" s="15">
        <f t="shared" si="5"/>
        <v>5292</v>
      </c>
    </row>
    <row r="104" spans="1:67" ht="19.2" x14ac:dyDescent="0.4">
      <c r="A104" s="5" t="s">
        <v>263</v>
      </c>
      <c r="B104" s="5" t="s">
        <v>272</v>
      </c>
      <c r="C104" s="5">
        <v>442669</v>
      </c>
      <c r="D104" s="6"/>
      <c r="E104" s="5" t="s">
        <v>16</v>
      </c>
      <c r="F104" s="5" t="s">
        <v>119</v>
      </c>
      <c r="G104" s="5" t="s">
        <v>35</v>
      </c>
      <c r="H104" s="7" t="s">
        <v>27</v>
      </c>
      <c r="I104" s="7" t="s">
        <v>273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2</v>
      </c>
      <c r="AR104" s="8">
        <v>7000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0">
        <v>7000</v>
      </c>
      <c r="BN104" s="15">
        <f t="shared" si="4"/>
        <v>7000</v>
      </c>
      <c r="BO104" s="15">
        <f t="shared" si="5"/>
        <v>4900</v>
      </c>
    </row>
    <row r="105" spans="1:67" ht="19.2" x14ac:dyDescent="0.4">
      <c r="A105" s="5" t="s">
        <v>263</v>
      </c>
      <c r="B105" s="5" t="s">
        <v>186</v>
      </c>
      <c r="C105" s="5">
        <v>474766</v>
      </c>
      <c r="D105" s="6"/>
      <c r="E105" s="5" t="s">
        <v>16</v>
      </c>
      <c r="F105" s="5" t="s">
        <v>187</v>
      </c>
      <c r="G105" s="5" t="s">
        <v>23</v>
      </c>
      <c r="H105" s="7" t="s">
        <v>27</v>
      </c>
      <c r="I105" s="7" t="s">
        <v>188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2</v>
      </c>
      <c r="AF105" s="8">
        <v>6000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10">
        <v>6000</v>
      </c>
      <c r="BN105" s="15">
        <f t="shared" si="4"/>
        <v>6000</v>
      </c>
      <c r="BO105" s="15">
        <f t="shared" si="5"/>
        <v>4200</v>
      </c>
    </row>
    <row r="106" spans="1:67" ht="19.2" x14ac:dyDescent="0.4">
      <c r="A106" s="5" t="s">
        <v>262</v>
      </c>
      <c r="B106" s="5" t="s">
        <v>331</v>
      </c>
      <c r="C106" s="5">
        <v>442667</v>
      </c>
      <c r="D106" s="6"/>
      <c r="E106" s="5" t="s">
        <v>16</v>
      </c>
      <c r="F106" s="5" t="s">
        <v>95</v>
      </c>
      <c r="G106" s="5" t="s">
        <v>35</v>
      </c>
      <c r="H106" s="7" t="s">
        <v>27</v>
      </c>
      <c r="I106" s="7" t="s">
        <v>332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2</v>
      </c>
      <c r="AF106" s="7">
        <v>0</v>
      </c>
      <c r="AG106" s="8">
        <v>6000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0">
        <v>6000</v>
      </c>
      <c r="BN106" s="15">
        <f t="shared" si="4"/>
        <v>6000</v>
      </c>
      <c r="BO106" s="15">
        <f t="shared" si="5"/>
        <v>4200</v>
      </c>
    </row>
    <row r="107" spans="1:67" ht="19.2" x14ac:dyDescent="0.4">
      <c r="A107" s="5" t="s">
        <v>263</v>
      </c>
      <c r="B107" s="5" t="s">
        <v>269</v>
      </c>
      <c r="C107" s="5">
        <v>477487</v>
      </c>
      <c r="D107" s="6"/>
      <c r="E107" s="5" t="s">
        <v>16</v>
      </c>
      <c r="F107" s="5" t="s">
        <v>270</v>
      </c>
      <c r="G107" s="5" t="s">
        <v>23</v>
      </c>
      <c r="H107" s="7" t="s">
        <v>27</v>
      </c>
      <c r="I107" s="7" t="s">
        <v>271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2</v>
      </c>
      <c r="AF107" s="8">
        <v>5500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10">
        <v>5500</v>
      </c>
      <c r="BN107" s="15">
        <f t="shared" si="4"/>
        <v>5500</v>
      </c>
      <c r="BO107" s="15">
        <f t="shared" si="5"/>
        <v>3849.9999999999995</v>
      </c>
    </row>
    <row r="108" spans="1:67" ht="19.2" x14ac:dyDescent="0.4">
      <c r="A108" s="5" t="s">
        <v>263</v>
      </c>
      <c r="B108" s="5" t="s">
        <v>108</v>
      </c>
      <c r="C108" s="5">
        <v>317429</v>
      </c>
      <c r="D108" s="6"/>
      <c r="E108" s="5" t="s">
        <v>16</v>
      </c>
      <c r="F108" s="5" t="s">
        <v>34</v>
      </c>
      <c r="G108" s="5" t="s">
        <v>35</v>
      </c>
      <c r="H108" s="7" t="s">
        <v>8</v>
      </c>
      <c r="I108" s="7" t="s">
        <v>109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1</v>
      </c>
      <c r="BJ108" s="8">
        <v>5280</v>
      </c>
      <c r="BK108" s="7">
        <v>0</v>
      </c>
      <c r="BL108" s="7">
        <v>264</v>
      </c>
      <c r="BM108" s="10">
        <v>5280</v>
      </c>
      <c r="BN108" s="15">
        <f t="shared" si="4"/>
        <v>5016</v>
      </c>
      <c r="BO108" s="15">
        <f t="shared" si="5"/>
        <v>3511.2</v>
      </c>
    </row>
    <row r="109" spans="1:67" ht="19.2" x14ac:dyDescent="0.4">
      <c r="A109" s="5" t="s">
        <v>262</v>
      </c>
      <c r="B109" s="5" t="s">
        <v>333</v>
      </c>
      <c r="C109" s="5">
        <v>318161</v>
      </c>
      <c r="D109" s="6"/>
      <c r="E109" s="5" t="s">
        <v>16</v>
      </c>
      <c r="F109" s="5" t="s">
        <v>130</v>
      </c>
      <c r="G109" s="5" t="s">
        <v>60</v>
      </c>
      <c r="H109" s="7" t="s">
        <v>27</v>
      </c>
      <c r="I109" s="7" t="s">
        <v>334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1</v>
      </c>
      <c r="BJ109" s="8">
        <v>5160</v>
      </c>
      <c r="BK109" s="7">
        <v>0</v>
      </c>
      <c r="BL109" s="7">
        <v>258</v>
      </c>
      <c r="BM109" s="10">
        <v>5160</v>
      </c>
      <c r="BN109" s="15">
        <f t="shared" si="4"/>
        <v>4902</v>
      </c>
      <c r="BO109" s="15">
        <f t="shared" si="5"/>
        <v>3431.3999999999996</v>
      </c>
    </row>
    <row r="110" spans="1:67" ht="19.2" x14ac:dyDescent="0.4">
      <c r="A110" s="5" t="s">
        <v>263</v>
      </c>
      <c r="B110" s="5" t="s">
        <v>163</v>
      </c>
      <c r="C110" s="5">
        <v>472517</v>
      </c>
      <c r="D110" s="6"/>
      <c r="E110" s="5" t="s">
        <v>16</v>
      </c>
      <c r="F110" s="5" t="s">
        <v>164</v>
      </c>
      <c r="G110" s="5" t="s">
        <v>23</v>
      </c>
      <c r="H110" s="7" t="s">
        <v>27</v>
      </c>
      <c r="I110" s="7" t="s">
        <v>165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2</v>
      </c>
      <c r="AF110" s="8">
        <v>2200</v>
      </c>
      <c r="AG110" s="8">
        <v>2800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5000</v>
      </c>
      <c r="BN110" s="15">
        <f t="shared" si="4"/>
        <v>5000</v>
      </c>
      <c r="BO110" s="15">
        <f t="shared" si="5"/>
        <v>3500</v>
      </c>
    </row>
    <row r="111" spans="1:67" ht="19.2" x14ac:dyDescent="0.4">
      <c r="A111" s="5" t="s">
        <v>263</v>
      </c>
      <c r="B111" s="5" t="s">
        <v>298</v>
      </c>
      <c r="C111" s="5">
        <v>480606</v>
      </c>
      <c r="D111" s="6"/>
      <c r="E111" s="5" t="s">
        <v>16</v>
      </c>
      <c r="F111" s="5" t="s">
        <v>299</v>
      </c>
      <c r="G111" s="5" t="s">
        <v>23</v>
      </c>
      <c r="H111" s="7" t="s">
        <v>7</v>
      </c>
      <c r="I111" s="7" t="s">
        <v>300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2</v>
      </c>
      <c r="AF111" s="7">
        <v>0</v>
      </c>
      <c r="AG111" s="8">
        <v>5000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10">
        <v>5000</v>
      </c>
      <c r="BN111" s="15">
        <f t="shared" si="4"/>
        <v>5000</v>
      </c>
      <c r="BO111" s="15">
        <f t="shared" si="5"/>
        <v>3500</v>
      </c>
    </row>
    <row r="112" spans="1:67" ht="19.2" x14ac:dyDescent="0.4">
      <c r="A112" s="5" t="s">
        <v>263</v>
      </c>
      <c r="B112" s="5" t="s">
        <v>166</v>
      </c>
      <c r="C112" s="5">
        <v>472518</v>
      </c>
      <c r="D112" s="6"/>
      <c r="E112" s="5" t="s">
        <v>16</v>
      </c>
      <c r="F112" s="5" t="s">
        <v>167</v>
      </c>
      <c r="G112" s="5" t="s">
        <v>23</v>
      </c>
      <c r="H112" s="7" t="s">
        <v>27</v>
      </c>
      <c r="I112" s="7" t="s">
        <v>168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2</v>
      </c>
      <c r="AF112" s="7">
        <v>0</v>
      </c>
      <c r="AG112" s="8">
        <v>5000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5000</v>
      </c>
      <c r="BN112" s="15">
        <f t="shared" si="4"/>
        <v>5000</v>
      </c>
      <c r="BO112" s="15">
        <f t="shared" si="5"/>
        <v>3500</v>
      </c>
    </row>
    <row r="113" spans="1:67" ht="19.2" x14ac:dyDescent="0.4">
      <c r="A113" s="5" t="s">
        <v>263</v>
      </c>
      <c r="B113" s="5" t="s">
        <v>335</v>
      </c>
      <c r="C113" s="5">
        <v>356059</v>
      </c>
      <c r="D113" s="6"/>
      <c r="E113" s="5" t="s">
        <v>16</v>
      </c>
      <c r="F113" s="5" t="s">
        <v>178</v>
      </c>
      <c r="G113" s="5" t="s">
        <v>31</v>
      </c>
      <c r="H113" s="7" t="s">
        <v>27</v>
      </c>
      <c r="I113" s="7" t="s">
        <v>336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1</v>
      </c>
      <c r="AF113" s="7">
        <v>700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1</v>
      </c>
      <c r="BJ113" s="8">
        <v>4200</v>
      </c>
      <c r="BK113" s="7">
        <v>0</v>
      </c>
      <c r="BL113" s="7">
        <v>210</v>
      </c>
      <c r="BM113" s="10">
        <v>4900</v>
      </c>
      <c r="BN113" s="15">
        <f t="shared" si="4"/>
        <v>4690</v>
      </c>
      <c r="BO113" s="15">
        <f t="shared" si="5"/>
        <v>3283</v>
      </c>
    </row>
    <row r="114" spans="1:67" ht="19.2" x14ac:dyDescent="0.4">
      <c r="A114" s="5" t="s">
        <v>262</v>
      </c>
      <c r="B114" s="5" t="s">
        <v>169</v>
      </c>
      <c r="C114" s="5">
        <v>472516</v>
      </c>
      <c r="D114" s="6"/>
      <c r="E114" s="5" t="s">
        <v>16</v>
      </c>
      <c r="F114" s="5" t="s">
        <v>170</v>
      </c>
      <c r="G114" s="5" t="s">
        <v>23</v>
      </c>
      <c r="H114" s="7" t="s">
        <v>27</v>
      </c>
      <c r="I114" s="7" t="s">
        <v>171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1</v>
      </c>
      <c r="AF114" s="8">
        <v>2400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1</v>
      </c>
      <c r="BJ114" s="8">
        <v>2400</v>
      </c>
      <c r="BK114" s="7">
        <v>0</v>
      </c>
      <c r="BL114" s="7">
        <v>120</v>
      </c>
      <c r="BM114" s="10">
        <v>4800</v>
      </c>
      <c r="BN114" s="15">
        <f t="shared" si="4"/>
        <v>4680</v>
      </c>
      <c r="BO114" s="15">
        <f t="shared" si="5"/>
        <v>3276</v>
      </c>
    </row>
    <row r="115" spans="1:67" ht="19.2" x14ac:dyDescent="0.4">
      <c r="A115" s="5" t="s">
        <v>263</v>
      </c>
      <c r="B115" s="5" t="s">
        <v>337</v>
      </c>
      <c r="C115" s="5">
        <v>354631</v>
      </c>
      <c r="D115" s="6"/>
      <c r="E115" s="5" t="s">
        <v>16</v>
      </c>
      <c r="F115" s="5" t="s">
        <v>338</v>
      </c>
      <c r="G115" s="5" t="s">
        <v>35</v>
      </c>
      <c r="H115" s="7" t="s">
        <v>27</v>
      </c>
      <c r="I115" s="7" t="s">
        <v>339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</v>
      </c>
      <c r="AF115" s="8">
        <v>4800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10">
        <v>4800</v>
      </c>
      <c r="BN115" s="15">
        <f t="shared" si="4"/>
        <v>4800</v>
      </c>
      <c r="BO115" s="15">
        <f t="shared" si="5"/>
        <v>3360</v>
      </c>
    </row>
    <row r="116" spans="1:67" ht="19.2" x14ac:dyDescent="0.4">
      <c r="A116" s="5" t="s">
        <v>263</v>
      </c>
      <c r="B116" s="5" t="s">
        <v>266</v>
      </c>
      <c r="C116" s="5">
        <v>477489</v>
      </c>
      <c r="D116" s="6"/>
      <c r="E116" s="5" t="s">
        <v>16</v>
      </c>
      <c r="F116" s="5" t="s">
        <v>267</v>
      </c>
      <c r="G116" s="5" t="s">
        <v>23</v>
      </c>
      <c r="H116" s="7" t="s">
        <v>27</v>
      </c>
      <c r="I116" s="7" t="s">
        <v>250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2</v>
      </c>
      <c r="AF116" s="8">
        <v>2400</v>
      </c>
      <c r="AG116" s="8">
        <v>2000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4400</v>
      </c>
      <c r="BN116" s="15">
        <f t="shared" si="4"/>
        <v>4400</v>
      </c>
      <c r="BO116" s="15">
        <f t="shared" si="5"/>
        <v>3080</v>
      </c>
    </row>
    <row r="117" spans="1:67" ht="19.2" x14ac:dyDescent="0.4">
      <c r="A117" s="5" t="s">
        <v>263</v>
      </c>
      <c r="B117" s="5" t="s">
        <v>55</v>
      </c>
      <c r="C117" s="5">
        <v>361185</v>
      </c>
      <c r="D117" s="6"/>
      <c r="E117" s="5" t="s">
        <v>16</v>
      </c>
      <c r="F117" s="5" t="s">
        <v>56</v>
      </c>
      <c r="G117" s="5" t="s">
        <v>18</v>
      </c>
      <c r="H117" s="7" t="s">
        <v>7</v>
      </c>
      <c r="I117" s="7" t="s">
        <v>57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35</v>
      </c>
      <c r="AF117" s="8">
        <v>4200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0">
        <v>4200</v>
      </c>
      <c r="BN117" s="15">
        <f t="shared" si="4"/>
        <v>4200</v>
      </c>
      <c r="BO117" s="15">
        <f t="shared" si="5"/>
        <v>2940</v>
      </c>
    </row>
    <row r="118" spans="1:67" ht="19.2" x14ac:dyDescent="0.4">
      <c r="A118" s="5" t="s">
        <v>263</v>
      </c>
      <c r="B118" s="5" t="s">
        <v>278</v>
      </c>
      <c r="C118" s="5">
        <v>459228</v>
      </c>
      <c r="D118" s="6"/>
      <c r="E118" s="5" t="s">
        <v>16</v>
      </c>
      <c r="F118" s="5" t="s">
        <v>279</v>
      </c>
      <c r="G118" s="5" t="s">
        <v>23</v>
      </c>
      <c r="H118" s="7" t="s">
        <v>27</v>
      </c>
      <c r="I118" s="7" t="s">
        <v>280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1</v>
      </c>
      <c r="AF118" s="8">
        <v>3600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0">
        <v>3600</v>
      </c>
      <c r="BN118" s="15">
        <f t="shared" si="4"/>
        <v>3600</v>
      </c>
      <c r="BO118" s="15">
        <f t="shared" si="5"/>
        <v>2520</v>
      </c>
    </row>
    <row r="119" spans="1:67" ht="19.2" x14ac:dyDescent="0.4">
      <c r="A119" s="5" t="s">
        <v>263</v>
      </c>
      <c r="B119" s="5" t="s">
        <v>145</v>
      </c>
      <c r="C119" s="5">
        <v>408838</v>
      </c>
      <c r="D119" s="6"/>
      <c r="E119" s="5" t="s">
        <v>16</v>
      </c>
      <c r="F119" s="5" t="s">
        <v>56</v>
      </c>
      <c r="G119" s="5" t="s">
        <v>18</v>
      </c>
      <c r="H119" s="7" t="s">
        <v>7</v>
      </c>
      <c r="I119" s="7" t="s">
        <v>77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28</v>
      </c>
      <c r="AF119" s="8">
        <v>3360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0">
        <v>3360</v>
      </c>
      <c r="BN119" s="15">
        <f t="shared" si="4"/>
        <v>3360</v>
      </c>
      <c r="BO119" s="15">
        <f t="shared" si="5"/>
        <v>2352</v>
      </c>
    </row>
    <row r="120" spans="1:67" ht="19.2" x14ac:dyDescent="0.4">
      <c r="A120" s="5" t="s">
        <v>263</v>
      </c>
      <c r="B120" s="5" t="s">
        <v>261</v>
      </c>
      <c r="C120" s="5">
        <v>443543</v>
      </c>
      <c r="D120" s="6"/>
      <c r="E120" s="5" t="s">
        <v>16</v>
      </c>
      <c r="F120" s="5" t="s">
        <v>47</v>
      </c>
      <c r="G120" s="5" t="s">
        <v>35</v>
      </c>
      <c r="H120" s="7" t="s">
        <v>8</v>
      </c>
      <c r="I120" s="7" t="s">
        <v>117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27</v>
      </c>
      <c r="BJ120" s="8">
        <v>3240</v>
      </c>
      <c r="BK120" s="7">
        <v>0</v>
      </c>
      <c r="BL120" s="7">
        <v>162</v>
      </c>
      <c r="BM120" s="10">
        <v>3240</v>
      </c>
      <c r="BN120" s="15">
        <f t="shared" si="4"/>
        <v>3078</v>
      </c>
      <c r="BO120" s="15">
        <f t="shared" si="5"/>
        <v>2154.6</v>
      </c>
    </row>
    <row r="121" spans="1:67" ht="19.2" x14ac:dyDescent="0.4">
      <c r="A121" s="5" t="s">
        <v>263</v>
      </c>
      <c r="B121" s="5" t="s">
        <v>340</v>
      </c>
      <c r="C121" s="5">
        <v>416220</v>
      </c>
      <c r="D121" s="6"/>
      <c r="E121" s="5" t="s">
        <v>16</v>
      </c>
      <c r="F121" s="5" t="s">
        <v>137</v>
      </c>
      <c r="G121" s="5" t="s">
        <v>35</v>
      </c>
      <c r="H121" s="7" t="s">
        <v>27</v>
      </c>
      <c r="I121" s="7" t="s">
        <v>341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1</v>
      </c>
      <c r="AF121" s="7">
        <v>0</v>
      </c>
      <c r="AG121" s="8">
        <v>2800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0">
        <v>2800</v>
      </c>
      <c r="BN121" s="15">
        <f t="shared" si="4"/>
        <v>2800</v>
      </c>
      <c r="BO121" s="15">
        <f t="shared" si="5"/>
        <v>1959.9999999999998</v>
      </c>
    </row>
    <row r="122" spans="1:67" ht="19.2" x14ac:dyDescent="0.4">
      <c r="A122" s="5" t="s">
        <v>263</v>
      </c>
      <c r="B122" s="5" t="s">
        <v>69</v>
      </c>
      <c r="C122" s="5">
        <v>453445</v>
      </c>
      <c r="D122" s="6"/>
      <c r="E122" s="5" t="s">
        <v>16</v>
      </c>
      <c r="F122" s="5" t="s">
        <v>17</v>
      </c>
      <c r="G122" s="5" t="s">
        <v>18</v>
      </c>
      <c r="H122" s="7" t="s">
        <v>8</v>
      </c>
      <c r="I122" s="7" t="s">
        <v>70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3</v>
      </c>
      <c r="AO122" s="8">
        <v>2700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2700</v>
      </c>
      <c r="BN122" s="15">
        <f t="shared" si="4"/>
        <v>2700</v>
      </c>
      <c r="BO122" s="15">
        <f t="shared" si="5"/>
        <v>1889.9999999999998</v>
      </c>
    </row>
    <row r="123" spans="1:67" ht="19.2" x14ac:dyDescent="0.4">
      <c r="A123" s="5" t="s">
        <v>262</v>
      </c>
      <c r="B123" s="5" t="s">
        <v>71</v>
      </c>
      <c r="C123" s="5">
        <v>440710</v>
      </c>
      <c r="D123" s="6"/>
      <c r="E123" s="5" t="s">
        <v>16</v>
      </c>
      <c r="F123" s="5" t="s">
        <v>72</v>
      </c>
      <c r="G123" s="5" t="s">
        <v>73</v>
      </c>
      <c r="H123" s="7" t="s">
        <v>7</v>
      </c>
      <c r="I123" s="7" t="s">
        <v>74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12</v>
      </c>
      <c r="AF123" s="8">
        <v>1200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1</v>
      </c>
      <c r="AR123" s="7">
        <v>100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11</v>
      </c>
      <c r="BJ123" s="8">
        <v>1320</v>
      </c>
      <c r="BK123" s="7">
        <v>0</v>
      </c>
      <c r="BL123" s="7">
        <v>66</v>
      </c>
      <c r="BM123" s="10">
        <v>2620</v>
      </c>
      <c r="BN123" s="15">
        <f t="shared" si="4"/>
        <v>2554</v>
      </c>
      <c r="BO123" s="15">
        <f t="shared" si="5"/>
        <v>1787.8</v>
      </c>
    </row>
    <row r="124" spans="1:67" ht="19.2" x14ac:dyDescent="0.4">
      <c r="A124" s="5" t="s">
        <v>263</v>
      </c>
      <c r="B124" s="5" t="s">
        <v>342</v>
      </c>
      <c r="C124" s="5">
        <v>461355</v>
      </c>
      <c r="D124" s="6"/>
      <c r="E124" s="5" t="s">
        <v>16</v>
      </c>
      <c r="F124" s="5" t="s">
        <v>343</v>
      </c>
      <c r="G124" s="5" t="s">
        <v>23</v>
      </c>
      <c r="H124" s="7" t="s">
        <v>7</v>
      </c>
      <c r="I124" s="7" t="s">
        <v>344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1</v>
      </c>
      <c r="AF124" s="8">
        <v>2400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0">
        <v>2400</v>
      </c>
      <c r="BN124" s="15">
        <f t="shared" si="4"/>
        <v>2400</v>
      </c>
      <c r="BO124" s="15">
        <f t="shared" si="5"/>
        <v>1680</v>
      </c>
    </row>
    <row r="125" spans="1:67" ht="19.2" x14ac:dyDescent="0.4">
      <c r="A125" s="5" t="s">
        <v>263</v>
      </c>
      <c r="B125" s="5" t="s">
        <v>126</v>
      </c>
      <c r="C125" s="5">
        <v>455900</v>
      </c>
      <c r="D125" s="6"/>
      <c r="E125" s="5" t="s">
        <v>16</v>
      </c>
      <c r="F125" s="5" t="s">
        <v>17</v>
      </c>
      <c r="G125" s="5" t="s">
        <v>18</v>
      </c>
      <c r="H125" s="7" t="s">
        <v>7</v>
      </c>
      <c r="I125" s="7" t="s">
        <v>93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1</v>
      </c>
      <c r="AL125" s="8">
        <v>2400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720</v>
      </c>
      <c r="BM125" s="10">
        <v>2400</v>
      </c>
      <c r="BN125" s="15">
        <f t="shared" si="4"/>
        <v>1680</v>
      </c>
      <c r="BO125" s="15">
        <f t="shared" si="5"/>
        <v>1176</v>
      </c>
    </row>
    <row r="126" spans="1:67" ht="19.2" x14ac:dyDescent="0.4">
      <c r="A126" s="5" t="s">
        <v>262</v>
      </c>
      <c r="B126" s="5" t="s">
        <v>184</v>
      </c>
      <c r="C126" s="5">
        <v>474765</v>
      </c>
      <c r="D126" s="6"/>
      <c r="E126" s="5" t="s">
        <v>16</v>
      </c>
      <c r="F126" s="5" t="s">
        <v>131</v>
      </c>
      <c r="G126" s="5" t="s">
        <v>23</v>
      </c>
      <c r="H126" s="7" t="s">
        <v>27</v>
      </c>
      <c r="I126" s="7" t="s">
        <v>185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1</v>
      </c>
      <c r="BJ126" s="8">
        <v>2400</v>
      </c>
      <c r="BK126" s="7">
        <v>0</v>
      </c>
      <c r="BL126" s="7">
        <v>120</v>
      </c>
      <c r="BM126" s="10">
        <v>2400</v>
      </c>
      <c r="BN126" s="15">
        <f t="shared" si="4"/>
        <v>2280</v>
      </c>
      <c r="BO126" s="15">
        <f t="shared" si="5"/>
        <v>1596</v>
      </c>
    </row>
    <row r="127" spans="1:67" ht="19.2" x14ac:dyDescent="0.4">
      <c r="A127" s="5" t="s">
        <v>263</v>
      </c>
      <c r="B127" s="5" t="s">
        <v>132</v>
      </c>
      <c r="C127" s="5">
        <v>459224</v>
      </c>
      <c r="D127" s="6"/>
      <c r="E127" s="5" t="s">
        <v>16</v>
      </c>
      <c r="F127" s="5" t="s">
        <v>133</v>
      </c>
      <c r="G127" s="5" t="s">
        <v>23</v>
      </c>
      <c r="H127" s="7" t="s">
        <v>7</v>
      </c>
      <c r="I127" s="7" t="s">
        <v>134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1</v>
      </c>
      <c r="BJ127" s="8">
        <v>2400</v>
      </c>
      <c r="BK127" s="7">
        <v>0</v>
      </c>
      <c r="BL127" s="7">
        <v>120</v>
      </c>
      <c r="BM127" s="10">
        <v>2400</v>
      </c>
      <c r="BN127" s="15">
        <f t="shared" si="4"/>
        <v>2280</v>
      </c>
      <c r="BO127" s="15">
        <f t="shared" si="5"/>
        <v>1596</v>
      </c>
    </row>
    <row r="128" spans="1:67" ht="19.2" x14ac:dyDescent="0.4">
      <c r="A128" s="5" t="s">
        <v>263</v>
      </c>
      <c r="B128" s="5" t="s">
        <v>78</v>
      </c>
      <c r="C128" s="5">
        <v>461351</v>
      </c>
      <c r="D128" s="6"/>
      <c r="E128" s="5" t="s">
        <v>16</v>
      </c>
      <c r="F128" s="5" t="s">
        <v>45</v>
      </c>
      <c r="G128" s="5" t="s">
        <v>23</v>
      </c>
      <c r="H128" s="7" t="s">
        <v>27</v>
      </c>
      <c r="I128" s="7" t="s">
        <v>79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1</v>
      </c>
      <c r="AF128" s="8">
        <v>1800</v>
      </c>
      <c r="AG128" s="7">
        <v>500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10">
        <v>2300</v>
      </c>
      <c r="BN128" s="15">
        <f t="shared" si="4"/>
        <v>2300</v>
      </c>
      <c r="BO128" s="15">
        <f t="shared" si="5"/>
        <v>1610</v>
      </c>
    </row>
    <row r="129" spans="1:67" ht="19.2" x14ac:dyDescent="0.4">
      <c r="A129" s="5" t="s">
        <v>262</v>
      </c>
      <c r="B129" s="5" t="s">
        <v>75</v>
      </c>
      <c r="C129" s="5">
        <v>461347</v>
      </c>
      <c r="D129" s="6"/>
      <c r="E129" s="5" t="s">
        <v>16</v>
      </c>
      <c r="F129" s="5" t="s">
        <v>50</v>
      </c>
      <c r="G129" s="5" t="s">
        <v>23</v>
      </c>
      <c r="H129" s="7" t="s">
        <v>27</v>
      </c>
      <c r="I129" s="7" t="s">
        <v>76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1</v>
      </c>
      <c r="AF129" s="7">
        <v>300</v>
      </c>
      <c r="AG129" s="8">
        <v>1700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10">
        <v>2000</v>
      </c>
      <c r="BN129" s="15">
        <f t="shared" si="4"/>
        <v>2000</v>
      </c>
      <c r="BO129" s="15">
        <f t="shared" si="5"/>
        <v>1400</v>
      </c>
    </row>
    <row r="130" spans="1:67" ht="19.2" x14ac:dyDescent="0.4">
      <c r="A130" s="5" t="s">
        <v>268</v>
      </c>
      <c r="B130" s="5" t="s">
        <v>283</v>
      </c>
      <c r="C130" s="5">
        <v>379819</v>
      </c>
      <c r="D130" s="6"/>
      <c r="E130" s="5" t="s">
        <v>16</v>
      </c>
      <c r="F130" s="5" t="s">
        <v>178</v>
      </c>
      <c r="G130" s="5" t="s">
        <v>31</v>
      </c>
      <c r="H130" s="7" t="s">
        <v>27</v>
      </c>
      <c r="I130" s="7" t="s">
        <v>179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1</v>
      </c>
      <c r="AF130" s="8">
        <v>1400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0">
        <v>1400</v>
      </c>
      <c r="BN130" s="15">
        <f t="shared" si="4"/>
        <v>1400</v>
      </c>
      <c r="BO130" s="15">
        <f t="shared" si="5"/>
        <v>979.99999999999989</v>
      </c>
    </row>
    <row r="131" spans="1:67" ht="19.2" x14ac:dyDescent="0.4">
      <c r="A131" s="5" t="s">
        <v>263</v>
      </c>
      <c r="B131" s="5" t="s">
        <v>58</v>
      </c>
      <c r="C131" s="5">
        <v>456187</v>
      </c>
      <c r="D131" s="6"/>
      <c r="E131" s="5" t="s">
        <v>16</v>
      </c>
      <c r="F131" s="5" t="s">
        <v>59</v>
      </c>
      <c r="G131" s="5" t="s">
        <v>60</v>
      </c>
      <c r="H131" s="7" t="s">
        <v>8</v>
      </c>
      <c r="I131" s="7" t="s">
        <v>61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2</v>
      </c>
      <c r="AF131" s="7">
        <v>0</v>
      </c>
      <c r="AG131" s="7">
        <v>200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10</v>
      </c>
      <c r="AR131" s="8">
        <v>1000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0">
        <v>1200</v>
      </c>
      <c r="BN131" s="15">
        <f t="shared" si="4"/>
        <v>1200</v>
      </c>
      <c r="BO131" s="15">
        <f t="shared" si="5"/>
        <v>840</v>
      </c>
    </row>
    <row r="132" spans="1:67" ht="19.2" x14ac:dyDescent="0.4">
      <c r="A132" s="5" t="s">
        <v>263</v>
      </c>
      <c r="B132" s="5" t="s">
        <v>345</v>
      </c>
      <c r="C132" s="5">
        <v>423519</v>
      </c>
      <c r="D132" s="6"/>
      <c r="E132" s="5" t="s">
        <v>16</v>
      </c>
      <c r="F132" s="5" t="s">
        <v>104</v>
      </c>
      <c r="G132" s="5" t="s">
        <v>35</v>
      </c>
      <c r="H132" s="7" t="s">
        <v>27</v>
      </c>
      <c r="I132" s="7" t="s">
        <v>326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</v>
      </c>
      <c r="AF132" s="7">
        <v>600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1</v>
      </c>
      <c r="AR132" s="7">
        <v>0</v>
      </c>
      <c r="AS132" s="7">
        <v>600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10">
        <v>1200</v>
      </c>
      <c r="BN132" s="15">
        <f t="shared" si="4"/>
        <v>1200</v>
      </c>
      <c r="BO132" s="15">
        <f t="shared" si="5"/>
        <v>840</v>
      </c>
    </row>
    <row r="133" spans="1:67" ht="19.2" x14ac:dyDescent="0.4">
      <c r="A133" s="5" t="s">
        <v>263</v>
      </c>
      <c r="B133" s="5" t="s">
        <v>346</v>
      </c>
      <c r="C133" s="5">
        <v>416189</v>
      </c>
      <c r="D133" s="6"/>
      <c r="E133" s="5" t="s">
        <v>16</v>
      </c>
      <c r="F133" s="5" t="s">
        <v>47</v>
      </c>
      <c r="G133" s="5" t="s">
        <v>35</v>
      </c>
      <c r="H133" s="7" t="s">
        <v>27</v>
      </c>
      <c r="I133" s="7" t="s">
        <v>330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1</v>
      </c>
      <c r="AF133" s="7">
        <v>720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11">
        <v>720</v>
      </c>
      <c r="BN133" s="15">
        <f t="shared" si="4"/>
        <v>720</v>
      </c>
      <c r="BO133" s="15">
        <f t="shared" si="5"/>
        <v>503.99999999999994</v>
      </c>
    </row>
    <row r="134" spans="1:67" ht="19.2" x14ac:dyDescent="0.4">
      <c r="A134" s="5" t="s">
        <v>263</v>
      </c>
      <c r="B134" s="5" t="s">
        <v>143</v>
      </c>
      <c r="C134" s="5">
        <v>331754</v>
      </c>
      <c r="D134" s="6"/>
      <c r="E134" s="5" t="s">
        <v>16</v>
      </c>
      <c r="F134" s="5" t="s">
        <v>103</v>
      </c>
      <c r="G134" s="5" t="s">
        <v>60</v>
      </c>
      <c r="H134" s="7" t="s">
        <v>27</v>
      </c>
      <c r="I134" s="7" t="s">
        <v>144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1</v>
      </c>
      <c r="BJ134" s="7">
        <v>720</v>
      </c>
      <c r="BK134" s="7">
        <v>0</v>
      </c>
      <c r="BL134" s="7">
        <v>36</v>
      </c>
      <c r="BM134" s="11">
        <v>720</v>
      </c>
      <c r="BN134" s="15">
        <f t="shared" si="4"/>
        <v>684</v>
      </c>
      <c r="BO134" s="15">
        <f t="shared" si="5"/>
        <v>478.79999999999995</v>
      </c>
    </row>
    <row r="135" spans="1:67" ht="19.2" x14ac:dyDescent="0.4">
      <c r="A135" s="5" t="s">
        <v>263</v>
      </c>
      <c r="B135" s="5" t="s">
        <v>316</v>
      </c>
      <c r="C135" s="5">
        <v>397687</v>
      </c>
      <c r="D135" s="6"/>
      <c r="E135" s="5" t="s">
        <v>16</v>
      </c>
      <c r="F135" s="5" t="s">
        <v>56</v>
      </c>
      <c r="G135" s="5" t="s">
        <v>18</v>
      </c>
      <c r="H135" s="7" t="s">
        <v>7</v>
      </c>
      <c r="I135" s="7" t="s">
        <v>317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6</v>
      </c>
      <c r="AF135" s="7">
        <v>0</v>
      </c>
      <c r="AG135" s="7">
        <v>600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1">
        <v>600</v>
      </c>
      <c r="BN135" s="15">
        <f t="shared" ref="BN135:BN177" si="6">BM135-BL135</f>
        <v>600</v>
      </c>
      <c r="BO135" s="15">
        <f t="shared" ref="BO135:BO177" si="7">BN135*0.7</f>
        <v>420</v>
      </c>
    </row>
    <row r="136" spans="1:67" ht="19.2" x14ac:dyDescent="0.4">
      <c r="A136" s="5" t="s">
        <v>263</v>
      </c>
      <c r="B136" s="5" t="s">
        <v>347</v>
      </c>
      <c r="C136" s="5">
        <v>331753</v>
      </c>
      <c r="D136" s="6"/>
      <c r="E136" s="5" t="s">
        <v>16</v>
      </c>
      <c r="F136" s="5" t="s">
        <v>130</v>
      </c>
      <c r="G136" s="5" t="s">
        <v>60</v>
      </c>
      <c r="H136" s="7" t="s">
        <v>27</v>
      </c>
      <c r="I136" s="7" t="s">
        <v>144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1</v>
      </c>
      <c r="BJ136" s="7">
        <v>600</v>
      </c>
      <c r="BK136" s="7">
        <v>0</v>
      </c>
      <c r="BL136" s="7">
        <v>30</v>
      </c>
      <c r="BM136" s="11">
        <v>600</v>
      </c>
      <c r="BN136" s="15">
        <f t="shared" si="6"/>
        <v>570</v>
      </c>
      <c r="BO136" s="15">
        <f t="shared" si="7"/>
        <v>399</v>
      </c>
    </row>
    <row r="137" spans="1:67" ht="19.2" x14ac:dyDescent="0.4">
      <c r="A137" s="5" t="s">
        <v>263</v>
      </c>
      <c r="B137" s="5" t="s">
        <v>284</v>
      </c>
      <c r="C137" s="5">
        <v>395237</v>
      </c>
      <c r="D137" s="6"/>
      <c r="E137" s="5" t="s">
        <v>16</v>
      </c>
      <c r="F137" s="5" t="s">
        <v>34</v>
      </c>
      <c r="G137" s="5" t="s">
        <v>35</v>
      </c>
      <c r="H137" s="7" t="s">
        <v>27</v>
      </c>
      <c r="I137" s="7" t="s">
        <v>91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1</v>
      </c>
      <c r="AF137" s="7">
        <v>200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1</v>
      </c>
      <c r="BJ137" s="7">
        <v>240</v>
      </c>
      <c r="BK137" s="7">
        <v>0</v>
      </c>
      <c r="BL137" s="7">
        <v>12</v>
      </c>
      <c r="BM137" s="11">
        <v>440</v>
      </c>
      <c r="BN137" s="15">
        <f t="shared" si="6"/>
        <v>428</v>
      </c>
      <c r="BO137" s="15">
        <f t="shared" si="7"/>
        <v>299.59999999999997</v>
      </c>
    </row>
    <row r="138" spans="1:67" ht="19.2" x14ac:dyDescent="0.4">
      <c r="A138" s="5" t="s">
        <v>263</v>
      </c>
      <c r="B138" s="5" t="s">
        <v>249</v>
      </c>
      <c r="C138" s="5">
        <v>453478</v>
      </c>
      <c r="D138" s="6"/>
      <c r="E138" s="5" t="s">
        <v>16</v>
      </c>
      <c r="F138" s="5" t="s">
        <v>17</v>
      </c>
      <c r="G138" s="5" t="s">
        <v>18</v>
      </c>
      <c r="H138" s="7" t="s">
        <v>7</v>
      </c>
      <c r="I138" s="7" t="s">
        <v>250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2</v>
      </c>
      <c r="BJ138" s="7">
        <v>240</v>
      </c>
      <c r="BK138" s="7">
        <v>0</v>
      </c>
      <c r="BL138" s="7">
        <v>12</v>
      </c>
      <c r="BM138" s="11">
        <v>240</v>
      </c>
      <c r="BN138" s="15">
        <f t="shared" si="6"/>
        <v>228</v>
      </c>
      <c r="BO138" s="15">
        <f t="shared" si="7"/>
        <v>159.6</v>
      </c>
    </row>
    <row r="139" spans="1:67" ht="19.2" x14ac:dyDescent="0.4">
      <c r="A139" s="5" t="s">
        <v>263</v>
      </c>
      <c r="B139" s="5" t="s">
        <v>40</v>
      </c>
      <c r="C139" s="5">
        <v>354950</v>
      </c>
      <c r="D139" s="6" t="s">
        <v>41</v>
      </c>
      <c r="E139" s="5" t="s">
        <v>16</v>
      </c>
      <c r="F139" s="5" t="s">
        <v>17</v>
      </c>
      <c r="G139" s="5" t="s">
        <v>18</v>
      </c>
      <c r="H139" s="7" t="s">
        <v>7</v>
      </c>
      <c r="I139" s="7" t="s">
        <v>42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31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2</v>
      </c>
      <c r="AR139" s="7">
        <v>200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11">
        <v>200</v>
      </c>
      <c r="BN139" s="15">
        <f t="shared" si="6"/>
        <v>200</v>
      </c>
      <c r="BO139" s="15">
        <f t="shared" si="7"/>
        <v>140</v>
      </c>
    </row>
    <row r="140" spans="1:67" ht="19.2" x14ac:dyDescent="0.4">
      <c r="A140" s="5" t="s">
        <v>262</v>
      </c>
      <c r="B140" s="5" t="s">
        <v>173</v>
      </c>
      <c r="C140" s="5">
        <v>443969</v>
      </c>
      <c r="D140" s="6"/>
      <c r="E140" s="5" t="s">
        <v>16</v>
      </c>
      <c r="F140" s="5" t="s">
        <v>59</v>
      </c>
      <c r="G140" s="5" t="s">
        <v>60</v>
      </c>
      <c r="H140" s="7" t="s">
        <v>8</v>
      </c>
      <c r="I140" s="7" t="s">
        <v>129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1</v>
      </c>
      <c r="AF140" s="7">
        <v>120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11">
        <v>120</v>
      </c>
      <c r="BN140" s="15">
        <f t="shared" si="6"/>
        <v>120</v>
      </c>
      <c r="BO140" s="15">
        <f t="shared" si="7"/>
        <v>84</v>
      </c>
    </row>
    <row r="141" spans="1:67" ht="19.2" x14ac:dyDescent="0.4">
      <c r="A141" s="5" t="s">
        <v>262</v>
      </c>
      <c r="B141" s="5" t="s">
        <v>112</v>
      </c>
      <c r="C141" s="5">
        <v>354768</v>
      </c>
      <c r="D141" s="6"/>
      <c r="E141" s="5" t="s">
        <v>16</v>
      </c>
      <c r="F141" s="5" t="s">
        <v>30</v>
      </c>
      <c r="G141" s="5" t="s">
        <v>31</v>
      </c>
      <c r="H141" s="7" t="s">
        <v>8</v>
      </c>
      <c r="I141" s="7" t="s">
        <v>113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1</v>
      </c>
      <c r="BJ141" s="7">
        <v>120</v>
      </c>
      <c r="BK141" s="7">
        <v>0</v>
      </c>
      <c r="BL141" s="7">
        <v>6</v>
      </c>
      <c r="BM141" s="11">
        <v>120</v>
      </c>
      <c r="BN141" s="15">
        <f t="shared" si="6"/>
        <v>114</v>
      </c>
      <c r="BO141" s="15">
        <f t="shared" si="7"/>
        <v>79.8</v>
      </c>
    </row>
    <row r="142" spans="1:67" ht="19.2" x14ac:dyDescent="0.4">
      <c r="A142" s="5" t="s">
        <v>262</v>
      </c>
      <c r="B142" s="5" t="s">
        <v>65</v>
      </c>
      <c r="C142" s="5">
        <v>369060</v>
      </c>
      <c r="D142" s="6"/>
      <c r="E142" s="5" t="s">
        <v>16</v>
      </c>
      <c r="F142" s="5" t="s">
        <v>53</v>
      </c>
      <c r="G142" s="5" t="s">
        <v>18</v>
      </c>
      <c r="H142" s="7" t="s">
        <v>7</v>
      </c>
      <c r="I142" s="7" t="s">
        <v>66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1</v>
      </c>
      <c r="AF142" s="7">
        <v>120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11">
        <v>120</v>
      </c>
      <c r="BN142" s="15">
        <f t="shared" si="6"/>
        <v>120</v>
      </c>
      <c r="BO142" s="15">
        <f t="shared" si="7"/>
        <v>84</v>
      </c>
    </row>
    <row r="143" spans="1:67" x14ac:dyDescent="0.4">
      <c r="A143" s="5" t="s">
        <v>287</v>
      </c>
      <c r="B143" s="5" t="s">
        <v>172</v>
      </c>
      <c r="C143" s="5">
        <v>469971</v>
      </c>
      <c r="D143" s="6"/>
      <c r="E143" s="5" t="s">
        <v>16</v>
      </c>
      <c r="F143" s="5" t="s">
        <v>159</v>
      </c>
      <c r="G143" s="5" t="s">
        <v>73</v>
      </c>
      <c r="H143" s="7" t="s">
        <v>7</v>
      </c>
      <c r="I143" s="7" t="s">
        <v>292</v>
      </c>
      <c r="J143" s="7">
        <v>0</v>
      </c>
      <c r="K143" s="7">
        <v>547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342</v>
      </c>
      <c r="AF143" s="8">
        <v>27300</v>
      </c>
      <c r="AG143" s="8">
        <v>6900</v>
      </c>
      <c r="AH143" s="7">
        <v>0</v>
      </c>
      <c r="AI143" s="7">
        <v>0</v>
      </c>
      <c r="AJ143" s="7">
        <v>0</v>
      </c>
      <c r="AK143" s="7">
        <v>215</v>
      </c>
      <c r="AL143" s="8">
        <v>23648</v>
      </c>
      <c r="AM143" s="8">
        <v>1800</v>
      </c>
      <c r="AN143" s="7">
        <v>0</v>
      </c>
      <c r="AO143" s="7">
        <v>0</v>
      </c>
      <c r="AP143" s="7">
        <v>0</v>
      </c>
      <c r="AQ143" s="7">
        <v>257</v>
      </c>
      <c r="AR143" s="8">
        <v>23700</v>
      </c>
      <c r="AS143" s="8">
        <v>2000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9">
        <v>7094.4</v>
      </c>
      <c r="BM143" s="10">
        <v>85348</v>
      </c>
      <c r="BN143" s="15">
        <f t="shared" si="6"/>
        <v>78253.600000000006</v>
      </c>
      <c r="BO143" s="15">
        <f t="shared" si="7"/>
        <v>54777.520000000004</v>
      </c>
    </row>
    <row r="144" spans="1:67" x14ac:dyDescent="0.4">
      <c r="A144" s="5" t="s">
        <v>287</v>
      </c>
      <c r="B144" s="5" t="s">
        <v>249</v>
      </c>
      <c r="C144" s="5">
        <v>453478</v>
      </c>
      <c r="D144" s="6"/>
      <c r="E144" s="5" t="s">
        <v>16</v>
      </c>
      <c r="F144" s="5" t="s">
        <v>17</v>
      </c>
      <c r="G144" s="5" t="s">
        <v>18</v>
      </c>
      <c r="H144" s="7" t="s">
        <v>7</v>
      </c>
      <c r="I144" s="7" t="s">
        <v>250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124</v>
      </c>
      <c r="AF144" s="8">
        <v>12400</v>
      </c>
      <c r="AG144" s="7">
        <v>0</v>
      </c>
      <c r="AH144" s="7">
        <v>0</v>
      </c>
      <c r="AI144" s="7">
        <v>0</v>
      </c>
      <c r="AJ144" s="7">
        <v>0</v>
      </c>
      <c r="AK144" s="7">
        <v>274</v>
      </c>
      <c r="AL144" s="8">
        <v>32880</v>
      </c>
      <c r="AM144" s="7">
        <v>0</v>
      </c>
      <c r="AN144" s="7">
        <v>0</v>
      </c>
      <c r="AO144" s="7">
        <v>0</v>
      </c>
      <c r="AP144" s="7">
        <v>0</v>
      </c>
      <c r="AQ144" s="7">
        <v>26</v>
      </c>
      <c r="AR144" s="8">
        <v>2000</v>
      </c>
      <c r="AS144" s="7">
        <v>600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9">
        <v>9864</v>
      </c>
      <c r="BM144" s="10">
        <v>47880</v>
      </c>
      <c r="BN144" s="15">
        <f t="shared" si="6"/>
        <v>38016</v>
      </c>
      <c r="BO144" s="15">
        <f t="shared" si="7"/>
        <v>26611.199999999997</v>
      </c>
    </row>
    <row r="145" spans="1:67" x14ac:dyDescent="0.4">
      <c r="A145" s="5" t="s">
        <v>288</v>
      </c>
      <c r="B145" s="5" t="s">
        <v>21</v>
      </c>
      <c r="C145" s="5">
        <v>464786</v>
      </c>
      <c r="D145" s="6"/>
      <c r="E145" s="5" t="s">
        <v>16</v>
      </c>
      <c r="F145" s="5" t="s">
        <v>22</v>
      </c>
      <c r="G145" s="5" t="s">
        <v>23</v>
      </c>
      <c r="H145" s="7" t="s">
        <v>10</v>
      </c>
      <c r="I145" s="7" t="s">
        <v>24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6</v>
      </c>
      <c r="AF145" s="8">
        <v>9200</v>
      </c>
      <c r="AG145" s="8">
        <v>1300</v>
      </c>
      <c r="AH145" s="7">
        <v>0</v>
      </c>
      <c r="AI145" s="7">
        <v>0</v>
      </c>
      <c r="AJ145" s="7">
        <v>0</v>
      </c>
      <c r="AK145" s="7">
        <v>10</v>
      </c>
      <c r="AL145" s="8">
        <v>3000</v>
      </c>
      <c r="AM145" s="8">
        <v>19500</v>
      </c>
      <c r="AN145" s="7">
        <v>0</v>
      </c>
      <c r="AO145" s="7">
        <v>0</v>
      </c>
      <c r="AP145" s="7">
        <v>0</v>
      </c>
      <c r="AQ145" s="7">
        <v>2</v>
      </c>
      <c r="AR145" s="8">
        <v>4100</v>
      </c>
      <c r="AS145" s="7">
        <v>900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s="7">
        <v>0</v>
      </c>
      <c r="BC145" s="7">
        <v>1</v>
      </c>
      <c r="BD145" s="8">
        <v>3000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0</v>
      </c>
      <c r="BL145" s="9">
        <v>1080</v>
      </c>
      <c r="BM145" s="10">
        <v>41000</v>
      </c>
      <c r="BN145" s="15">
        <f t="shared" si="6"/>
        <v>39920</v>
      </c>
      <c r="BO145" s="15">
        <f t="shared" si="7"/>
        <v>27944</v>
      </c>
    </row>
    <row r="146" spans="1:67" x14ac:dyDescent="0.4">
      <c r="A146" s="5" t="s">
        <v>287</v>
      </c>
      <c r="B146" s="5" t="s">
        <v>52</v>
      </c>
      <c r="C146" s="5">
        <v>380954</v>
      </c>
      <c r="D146" s="6"/>
      <c r="E146" s="5" t="s">
        <v>16</v>
      </c>
      <c r="F146" s="5" t="s">
        <v>53</v>
      </c>
      <c r="G146" s="5" t="s">
        <v>18</v>
      </c>
      <c r="H146" s="7" t="s">
        <v>7</v>
      </c>
      <c r="I146" s="7" t="s">
        <v>54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8</v>
      </c>
      <c r="AF146" s="8">
        <v>20000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s="7">
        <v>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0</v>
      </c>
      <c r="BL146" s="7">
        <v>0</v>
      </c>
      <c r="BM146" s="10">
        <v>20000</v>
      </c>
      <c r="BN146" s="15">
        <f t="shared" si="6"/>
        <v>20000</v>
      </c>
      <c r="BO146" s="15">
        <f t="shared" si="7"/>
        <v>14000</v>
      </c>
    </row>
    <row r="147" spans="1:67" x14ac:dyDescent="0.4">
      <c r="A147" s="5" t="s">
        <v>288</v>
      </c>
      <c r="B147" s="5" t="s">
        <v>247</v>
      </c>
      <c r="C147" s="5">
        <v>453656</v>
      </c>
      <c r="D147" s="6"/>
      <c r="E147" s="5" t="s">
        <v>16</v>
      </c>
      <c r="F147" s="5" t="s">
        <v>17</v>
      </c>
      <c r="G147" s="5" t="s">
        <v>18</v>
      </c>
      <c r="H147" s="7" t="s">
        <v>7</v>
      </c>
      <c r="I147" s="7" t="s">
        <v>248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13</v>
      </c>
      <c r="AC147" s="8">
        <v>11300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9</v>
      </c>
      <c r="AO147" s="8">
        <v>7400</v>
      </c>
      <c r="AP147" s="7">
        <v>200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0</v>
      </c>
      <c r="BL147" s="7">
        <v>0</v>
      </c>
      <c r="BM147" s="10">
        <v>18900</v>
      </c>
      <c r="BN147" s="15">
        <f t="shared" si="6"/>
        <v>18900</v>
      </c>
      <c r="BO147" s="15">
        <f t="shared" si="7"/>
        <v>13230</v>
      </c>
    </row>
    <row r="148" spans="1:67" x14ac:dyDescent="0.4">
      <c r="A148" s="5" t="s">
        <v>288</v>
      </c>
      <c r="B148" s="5" t="s">
        <v>135</v>
      </c>
      <c r="C148" s="5">
        <v>367415</v>
      </c>
      <c r="D148" s="6"/>
      <c r="E148" s="5" t="s">
        <v>16</v>
      </c>
      <c r="F148" s="5" t="s">
        <v>53</v>
      </c>
      <c r="G148" s="5" t="s">
        <v>18</v>
      </c>
      <c r="H148" s="7" t="s">
        <v>7</v>
      </c>
      <c r="I148" s="7" t="s">
        <v>136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122</v>
      </c>
      <c r="AF148" s="8">
        <v>12200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3</v>
      </c>
      <c r="AR148" s="7">
        <v>300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s="7">
        <v>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0</v>
      </c>
      <c r="BL148" s="7">
        <v>0</v>
      </c>
      <c r="BM148" s="10">
        <v>12500</v>
      </c>
      <c r="BN148" s="15">
        <f t="shared" si="6"/>
        <v>12500</v>
      </c>
      <c r="BO148" s="15">
        <f t="shared" si="7"/>
        <v>8750</v>
      </c>
    </row>
    <row r="149" spans="1:67" x14ac:dyDescent="0.4">
      <c r="A149" s="5" t="s">
        <v>288</v>
      </c>
      <c r="B149" s="5" t="s">
        <v>145</v>
      </c>
      <c r="C149" s="5">
        <v>408838</v>
      </c>
      <c r="D149" s="6"/>
      <c r="E149" s="5" t="s">
        <v>16</v>
      </c>
      <c r="F149" s="5" t="s">
        <v>56</v>
      </c>
      <c r="G149" s="5" t="s">
        <v>18</v>
      </c>
      <c r="H149" s="7" t="s">
        <v>7</v>
      </c>
      <c r="I149" s="7" t="s">
        <v>77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80</v>
      </c>
      <c r="AF149" s="8">
        <v>8000</v>
      </c>
      <c r="AG149" s="7">
        <v>0</v>
      </c>
      <c r="AH149" s="7">
        <v>0</v>
      </c>
      <c r="AI149" s="7">
        <v>0</v>
      </c>
      <c r="AJ149" s="7">
        <v>0</v>
      </c>
      <c r="AK149" s="7">
        <v>33</v>
      </c>
      <c r="AL149" s="8">
        <v>3960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0</v>
      </c>
      <c r="BL149" s="9">
        <v>1188</v>
      </c>
      <c r="BM149" s="10">
        <v>11960</v>
      </c>
      <c r="BN149" s="15">
        <f t="shared" si="6"/>
        <v>10772</v>
      </c>
      <c r="BO149" s="15">
        <f t="shared" si="7"/>
        <v>7540.4</v>
      </c>
    </row>
    <row r="150" spans="1:67" x14ac:dyDescent="0.4">
      <c r="A150" s="5" t="s">
        <v>288</v>
      </c>
      <c r="B150" s="5" t="s">
        <v>40</v>
      </c>
      <c r="C150" s="5">
        <v>354950</v>
      </c>
      <c r="D150" s="6" t="s">
        <v>41</v>
      </c>
      <c r="E150" s="5" t="s">
        <v>16</v>
      </c>
      <c r="F150" s="5" t="s">
        <v>17</v>
      </c>
      <c r="G150" s="5" t="s">
        <v>18</v>
      </c>
      <c r="H150" s="7" t="s">
        <v>7</v>
      </c>
      <c r="I150" s="7" t="s">
        <v>42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1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11</v>
      </c>
      <c r="AF150" s="7">
        <v>800</v>
      </c>
      <c r="AG150" s="7">
        <v>300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95</v>
      </c>
      <c r="AR150" s="8">
        <v>9300</v>
      </c>
      <c r="AS150" s="7">
        <v>200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0</v>
      </c>
      <c r="BL150" s="7">
        <v>0</v>
      </c>
      <c r="BM150" s="10">
        <v>10600</v>
      </c>
      <c r="BN150" s="15">
        <f t="shared" si="6"/>
        <v>10600</v>
      </c>
      <c r="BO150" s="15">
        <f t="shared" si="7"/>
        <v>7419.9999999999991</v>
      </c>
    </row>
    <row r="151" spans="1:67" x14ac:dyDescent="0.4">
      <c r="A151" s="5" t="s">
        <v>288</v>
      </c>
      <c r="B151" s="5" t="s">
        <v>118</v>
      </c>
      <c r="C151" s="5">
        <v>445220</v>
      </c>
      <c r="D151" s="6"/>
      <c r="E151" s="5" t="s">
        <v>16</v>
      </c>
      <c r="F151" s="5" t="s">
        <v>119</v>
      </c>
      <c r="G151" s="5" t="s">
        <v>35</v>
      </c>
      <c r="H151" s="7" t="s">
        <v>8</v>
      </c>
      <c r="I151" s="7" t="s">
        <v>120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105</v>
      </c>
      <c r="AF151" s="8">
        <v>10500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0</v>
      </c>
      <c r="BL151" s="7">
        <v>0</v>
      </c>
      <c r="BM151" s="10">
        <v>10500</v>
      </c>
      <c r="BN151" s="15">
        <f t="shared" si="6"/>
        <v>10500</v>
      </c>
      <c r="BO151" s="15">
        <f t="shared" si="7"/>
        <v>7349.9999999999991</v>
      </c>
    </row>
    <row r="152" spans="1:67" ht="19.2" x14ac:dyDescent="0.4">
      <c r="A152" s="5" t="s">
        <v>288</v>
      </c>
      <c r="B152" s="5" t="s">
        <v>62</v>
      </c>
      <c r="C152" s="5">
        <v>468582</v>
      </c>
      <c r="D152" s="6"/>
      <c r="E152" s="5" t="s">
        <v>16</v>
      </c>
      <c r="F152" s="5" t="s">
        <v>63</v>
      </c>
      <c r="G152" s="5" t="s">
        <v>23</v>
      </c>
      <c r="H152" s="7" t="s">
        <v>10</v>
      </c>
      <c r="I152" s="7" t="s">
        <v>64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2</v>
      </c>
      <c r="AF152" s="8">
        <v>2100</v>
      </c>
      <c r="AG152" s="8">
        <v>2500</v>
      </c>
      <c r="AH152" s="7">
        <v>0</v>
      </c>
      <c r="AI152" s="7">
        <v>0</v>
      </c>
      <c r="AJ152" s="7">
        <v>0</v>
      </c>
      <c r="AK152" s="7">
        <v>3</v>
      </c>
      <c r="AL152" s="8">
        <v>3000</v>
      </c>
      <c r="AM152" s="8">
        <v>2900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0</v>
      </c>
      <c r="BL152" s="7">
        <v>900</v>
      </c>
      <c r="BM152" s="10">
        <v>10500</v>
      </c>
      <c r="BN152" s="15">
        <f t="shared" si="6"/>
        <v>9600</v>
      </c>
      <c r="BO152" s="15">
        <f t="shared" si="7"/>
        <v>6720</v>
      </c>
    </row>
    <row r="153" spans="1:67" x14ac:dyDescent="0.4">
      <c r="A153" s="5" t="s">
        <v>288</v>
      </c>
      <c r="B153" s="5" t="s">
        <v>261</v>
      </c>
      <c r="C153" s="5">
        <v>443543</v>
      </c>
      <c r="D153" s="6"/>
      <c r="E153" s="5" t="s">
        <v>16</v>
      </c>
      <c r="F153" s="5" t="s">
        <v>47</v>
      </c>
      <c r="G153" s="5" t="s">
        <v>35</v>
      </c>
      <c r="H153" s="7" t="s">
        <v>8</v>
      </c>
      <c r="I153" s="7" t="s">
        <v>117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76</v>
      </c>
      <c r="AR153" s="8">
        <v>7400</v>
      </c>
      <c r="AS153" s="7">
        <v>200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0</v>
      </c>
      <c r="BL153" s="7">
        <v>0</v>
      </c>
      <c r="BM153" s="10">
        <v>7600</v>
      </c>
      <c r="BN153" s="15">
        <f t="shared" si="6"/>
        <v>7600</v>
      </c>
      <c r="BO153" s="15">
        <f t="shared" si="7"/>
        <v>5320</v>
      </c>
    </row>
    <row r="154" spans="1:67" x14ac:dyDescent="0.4">
      <c r="A154" s="5" t="s">
        <v>287</v>
      </c>
      <c r="B154" s="5" t="s">
        <v>152</v>
      </c>
      <c r="C154" s="5">
        <v>472519</v>
      </c>
      <c r="D154" s="6"/>
      <c r="E154" s="5" t="s">
        <v>16</v>
      </c>
      <c r="F154" s="5" t="s">
        <v>153</v>
      </c>
      <c r="G154" s="5" t="s">
        <v>23</v>
      </c>
      <c r="H154" s="7" t="s">
        <v>7</v>
      </c>
      <c r="I154" s="7" t="s">
        <v>154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1</v>
      </c>
      <c r="AF154" s="7">
        <v>0</v>
      </c>
      <c r="AG154" s="8">
        <v>3300</v>
      </c>
      <c r="AH154" s="7">
        <v>0</v>
      </c>
      <c r="AI154" s="7">
        <v>0</v>
      </c>
      <c r="AJ154" s="7">
        <v>0</v>
      </c>
      <c r="AK154" s="7">
        <v>1</v>
      </c>
      <c r="AL154" s="7">
        <v>0</v>
      </c>
      <c r="AM154" s="7">
        <v>300</v>
      </c>
      <c r="AN154" s="7">
        <v>0</v>
      </c>
      <c r="AO154" s="7">
        <v>0</v>
      </c>
      <c r="AP154" s="7">
        <v>0</v>
      </c>
      <c r="AQ154" s="7">
        <v>1</v>
      </c>
      <c r="AR154" s="8">
        <v>3600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0</v>
      </c>
      <c r="BL154" s="7">
        <v>0</v>
      </c>
      <c r="BM154" s="10">
        <v>7200</v>
      </c>
      <c r="BN154" s="15">
        <f t="shared" si="6"/>
        <v>7200</v>
      </c>
      <c r="BO154" s="15">
        <f t="shared" si="7"/>
        <v>5040</v>
      </c>
    </row>
    <row r="155" spans="1:67" x14ac:dyDescent="0.4">
      <c r="A155" s="5" t="s">
        <v>288</v>
      </c>
      <c r="B155" s="5" t="s">
        <v>121</v>
      </c>
      <c r="C155" s="5">
        <v>448030</v>
      </c>
      <c r="D155" s="6"/>
      <c r="E155" s="5" t="s">
        <v>16</v>
      </c>
      <c r="F155" s="5" t="s">
        <v>122</v>
      </c>
      <c r="G155" s="5" t="s">
        <v>60</v>
      </c>
      <c r="H155" s="7" t="s">
        <v>8</v>
      </c>
      <c r="I155" s="7" t="s">
        <v>123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65</v>
      </c>
      <c r="AF155" s="8">
        <v>6500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0</v>
      </c>
      <c r="BL155" s="7">
        <v>0</v>
      </c>
      <c r="BM155" s="10">
        <v>6500</v>
      </c>
      <c r="BN155" s="15">
        <f t="shared" si="6"/>
        <v>6500</v>
      </c>
      <c r="BO155" s="15">
        <f t="shared" si="7"/>
        <v>4550</v>
      </c>
    </row>
    <row r="156" spans="1:67" x14ac:dyDescent="0.4">
      <c r="A156" s="5" t="s">
        <v>287</v>
      </c>
      <c r="B156" s="5" t="s">
        <v>252</v>
      </c>
      <c r="C156" s="5">
        <v>477493</v>
      </c>
      <c r="D156" s="6"/>
      <c r="E156" s="5" t="s">
        <v>16</v>
      </c>
      <c r="F156" s="5" t="s">
        <v>81</v>
      </c>
      <c r="G156" s="5" t="s">
        <v>23</v>
      </c>
      <c r="H156" s="7" t="s">
        <v>7</v>
      </c>
      <c r="I156" s="7" t="s">
        <v>253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3</v>
      </c>
      <c r="AF156" s="7">
        <v>0</v>
      </c>
      <c r="AG156" s="8">
        <v>2200</v>
      </c>
      <c r="AH156" s="7">
        <v>0</v>
      </c>
      <c r="AI156" s="7">
        <v>0</v>
      </c>
      <c r="AJ156" s="7">
        <v>0</v>
      </c>
      <c r="AK156" s="7">
        <v>3</v>
      </c>
      <c r="AL156" s="7">
        <v>0</v>
      </c>
      <c r="AM156" s="8">
        <v>3800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0</v>
      </c>
      <c r="BL156" s="7">
        <v>0</v>
      </c>
      <c r="BM156" s="10">
        <v>6000</v>
      </c>
      <c r="BN156" s="15">
        <f t="shared" si="6"/>
        <v>6000</v>
      </c>
      <c r="BO156" s="15">
        <f t="shared" si="7"/>
        <v>4200</v>
      </c>
    </row>
    <row r="157" spans="1:67" x14ac:dyDescent="0.4">
      <c r="A157" s="5" t="s">
        <v>288</v>
      </c>
      <c r="B157" s="5" t="s">
        <v>65</v>
      </c>
      <c r="C157" s="5">
        <v>369060</v>
      </c>
      <c r="D157" s="6"/>
      <c r="E157" s="5" t="s">
        <v>16</v>
      </c>
      <c r="F157" s="5" t="s">
        <v>53</v>
      </c>
      <c r="G157" s="5" t="s">
        <v>18</v>
      </c>
      <c r="H157" s="7" t="s">
        <v>7</v>
      </c>
      <c r="I157" s="7" t="s">
        <v>66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60</v>
      </c>
      <c r="AR157" s="8">
        <v>6000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0</v>
      </c>
      <c r="BL157" s="7">
        <v>0</v>
      </c>
      <c r="BM157" s="10">
        <v>6000</v>
      </c>
      <c r="BN157" s="15">
        <f t="shared" si="6"/>
        <v>6000</v>
      </c>
      <c r="BO157" s="15">
        <f t="shared" si="7"/>
        <v>4200</v>
      </c>
    </row>
    <row r="158" spans="1:67" x14ac:dyDescent="0.4">
      <c r="A158" s="5" t="s">
        <v>288</v>
      </c>
      <c r="B158" s="5" t="s">
        <v>304</v>
      </c>
      <c r="C158" s="5">
        <v>443531</v>
      </c>
      <c r="D158" s="6"/>
      <c r="E158" s="5" t="s">
        <v>16</v>
      </c>
      <c r="F158" s="5" t="s">
        <v>104</v>
      </c>
      <c r="G158" s="5" t="s">
        <v>35</v>
      </c>
      <c r="H158" s="7" t="s">
        <v>8</v>
      </c>
      <c r="I158" s="7" t="s">
        <v>117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58</v>
      </c>
      <c r="AL158" s="7">
        <v>0</v>
      </c>
      <c r="AM158" s="8">
        <v>5800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0</v>
      </c>
      <c r="BL158" s="7">
        <v>0</v>
      </c>
      <c r="BM158" s="10">
        <v>5800</v>
      </c>
      <c r="BN158" s="15">
        <f t="shared" si="6"/>
        <v>5800</v>
      </c>
      <c r="BO158" s="15">
        <f t="shared" si="7"/>
        <v>4059.9999999999995</v>
      </c>
    </row>
    <row r="159" spans="1:67" x14ac:dyDescent="0.4">
      <c r="A159" s="5" t="s">
        <v>287</v>
      </c>
      <c r="B159" s="5" t="s">
        <v>55</v>
      </c>
      <c r="C159" s="5">
        <v>361185</v>
      </c>
      <c r="D159" s="6"/>
      <c r="E159" s="5" t="s">
        <v>16</v>
      </c>
      <c r="F159" s="5" t="s">
        <v>56</v>
      </c>
      <c r="G159" s="5" t="s">
        <v>18</v>
      </c>
      <c r="H159" s="7" t="s">
        <v>7</v>
      </c>
      <c r="I159" s="7" t="s">
        <v>57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2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53</v>
      </c>
      <c r="AR159" s="8">
        <v>5300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0</v>
      </c>
      <c r="BL159" s="7">
        <v>0</v>
      </c>
      <c r="BM159" s="10">
        <v>5300</v>
      </c>
      <c r="BN159" s="15">
        <f t="shared" si="6"/>
        <v>5300</v>
      </c>
      <c r="BO159" s="15">
        <f t="shared" si="7"/>
        <v>3709.9999999999995</v>
      </c>
    </row>
    <row r="160" spans="1:67" x14ac:dyDescent="0.4">
      <c r="A160" s="5" t="s">
        <v>288</v>
      </c>
      <c r="B160" s="5" t="s">
        <v>33</v>
      </c>
      <c r="C160" s="5">
        <v>395341</v>
      </c>
      <c r="D160" s="6"/>
      <c r="E160" s="5" t="s">
        <v>16</v>
      </c>
      <c r="F160" s="5" t="s">
        <v>34</v>
      </c>
      <c r="G160" s="5" t="s">
        <v>35</v>
      </c>
      <c r="H160" s="7" t="s">
        <v>8</v>
      </c>
      <c r="I160" s="7" t="s">
        <v>36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43</v>
      </c>
      <c r="AL160" s="8">
        <v>2520</v>
      </c>
      <c r="AM160" s="8">
        <v>2200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0</v>
      </c>
      <c r="BL160" s="7">
        <v>756</v>
      </c>
      <c r="BM160" s="10">
        <v>4720</v>
      </c>
      <c r="BN160" s="15">
        <f t="shared" si="6"/>
        <v>3964</v>
      </c>
      <c r="BO160" s="15">
        <f t="shared" si="7"/>
        <v>2774.7999999999997</v>
      </c>
    </row>
    <row r="161" spans="1:67" x14ac:dyDescent="0.4">
      <c r="A161" s="5" t="s">
        <v>288</v>
      </c>
      <c r="B161" s="5" t="s">
        <v>88</v>
      </c>
      <c r="C161" s="5">
        <v>382098</v>
      </c>
      <c r="D161" s="6"/>
      <c r="E161" s="5" t="s">
        <v>16</v>
      </c>
      <c r="F161" s="5" t="s">
        <v>17</v>
      </c>
      <c r="G161" s="5" t="s">
        <v>18</v>
      </c>
      <c r="H161" s="7" t="s">
        <v>7</v>
      </c>
      <c r="I161" s="7" t="s">
        <v>89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5</v>
      </c>
      <c r="AO161" s="8">
        <v>4300</v>
      </c>
      <c r="AP161" s="7">
        <v>200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0</v>
      </c>
      <c r="BL161" s="7">
        <v>0</v>
      </c>
      <c r="BM161" s="10">
        <v>4500</v>
      </c>
      <c r="BN161" s="15">
        <f t="shared" si="6"/>
        <v>4500</v>
      </c>
      <c r="BO161" s="15">
        <f t="shared" si="7"/>
        <v>3150</v>
      </c>
    </row>
    <row r="162" spans="1:67" x14ac:dyDescent="0.4">
      <c r="A162" s="5" t="s">
        <v>288</v>
      </c>
      <c r="B162" s="5" t="s">
        <v>285</v>
      </c>
      <c r="C162" s="5">
        <v>445954</v>
      </c>
      <c r="D162" s="6"/>
      <c r="E162" s="5" t="s">
        <v>16</v>
      </c>
      <c r="F162" s="5" t="s">
        <v>122</v>
      </c>
      <c r="G162" s="5" t="s">
        <v>60</v>
      </c>
      <c r="H162" s="7" t="s">
        <v>8</v>
      </c>
      <c r="I162" s="7" t="s">
        <v>286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35</v>
      </c>
      <c r="AF162" s="8">
        <v>3500</v>
      </c>
      <c r="AG162" s="7">
        <v>0</v>
      </c>
      <c r="AH162" s="7">
        <v>0</v>
      </c>
      <c r="AI162" s="7">
        <v>0</v>
      </c>
      <c r="AJ162" s="7">
        <v>0</v>
      </c>
      <c r="AK162" s="7">
        <v>4</v>
      </c>
      <c r="AL162" s="7">
        <v>480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0</v>
      </c>
      <c r="BL162" s="7">
        <v>144</v>
      </c>
      <c r="BM162" s="10">
        <v>3980</v>
      </c>
      <c r="BN162" s="15">
        <f t="shared" si="6"/>
        <v>3836</v>
      </c>
      <c r="BO162" s="15">
        <f t="shared" si="7"/>
        <v>2685.2</v>
      </c>
    </row>
    <row r="163" spans="1:67" x14ac:dyDescent="0.4">
      <c r="A163" s="5" t="s">
        <v>288</v>
      </c>
      <c r="B163" s="5" t="s">
        <v>43</v>
      </c>
      <c r="C163" s="5">
        <v>461432</v>
      </c>
      <c r="D163" s="6"/>
      <c r="E163" s="5" t="s">
        <v>16</v>
      </c>
      <c r="F163" s="5" t="s">
        <v>17</v>
      </c>
      <c r="G163" s="5" t="s">
        <v>18</v>
      </c>
      <c r="H163" s="7" t="s">
        <v>10</v>
      </c>
      <c r="I163" s="7" t="s">
        <v>44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36</v>
      </c>
      <c r="AF163" s="8">
        <v>3600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0</v>
      </c>
      <c r="BL163" s="7">
        <v>0</v>
      </c>
      <c r="BM163" s="10">
        <v>3600</v>
      </c>
      <c r="BN163" s="15">
        <f t="shared" si="6"/>
        <v>3600</v>
      </c>
      <c r="BO163" s="15">
        <f t="shared" si="7"/>
        <v>2520</v>
      </c>
    </row>
    <row r="164" spans="1:67" x14ac:dyDescent="0.4">
      <c r="A164" s="5" t="s">
        <v>287</v>
      </c>
      <c r="B164" s="5" t="s">
        <v>83</v>
      </c>
      <c r="C164" s="5">
        <v>379289</v>
      </c>
      <c r="D164" s="6"/>
      <c r="E164" s="5" t="s">
        <v>16</v>
      </c>
      <c r="F164" s="5" t="s">
        <v>56</v>
      </c>
      <c r="G164" s="5" t="s">
        <v>18</v>
      </c>
      <c r="H164" s="7" t="s">
        <v>7</v>
      </c>
      <c r="I164" s="7" t="s">
        <v>84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4</v>
      </c>
      <c r="AO164" s="8">
        <v>3600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0</v>
      </c>
      <c r="BL164" s="7">
        <v>0</v>
      </c>
      <c r="BM164" s="10">
        <v>3600</v>
      </c>
      <c r="BN164" s="15">
        <f t="shared" si="6"/>
        <v>3600</v>
      </c>
      <c r="BO164" s="15">
        <f t="shared" si="7"/>
        <v>2520</v>
      </c>
    </row>
    <row r="165" spans="1:67" x14ac:dyDescent="0.4">
      <c r="A165" s="5" t="s">
        <v>288</v>
      </c>
      <c r="B165" s="5" t="s">
        <v>264</v>
      </c>
      <c r="C165" s="5">
        <v>474768</v>
      </c>
      <c r="D165" s="6"/>
      <c r="E165" s="5" t="s">
        <v>16</v>
      </c>
      <c r="F165" s="5" t="s">
        <v>26</v>
      </c>
      <c r="G165" s="5" t="s">
        <v>23</v>
      </c>
      <c r="H165" s="7" t="s">
        <v>27</v>
      </c>
      <c r="I165" s="7" t="s">
        <v>265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1</v>
      </c>
      <c r="AL165" s="7">
        <v>0</v>
      </c>
      <c r="AM165" s="8">
        <v>3500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0</v>
      </c>
      <c r="BL165" s="7">
        <v>0</v>
      </c>
      <c r="BM165" s="10">
        <v>3500</v>
      </c>
      <c r="BN165" s="15">
        <f t="shared" si="6"/>
        <v>3500</v>
      </c>
      <c r="BO165" s="15">
        <f t="shared" si="7"/>
        <v>2450</v>
      </c>
    </row>
    <row r="166" spans="1:67" x14ac:dyDescent="0.4">
      <c r="A166" s="5" t="s">
        <v>289</v>
      </c>
      <c r="B166" s="5" t="s">
        <v>112</v>
      </c>
      <c r="C166" s="5">
        <v>354768</v>
      </c>
      <c r="D166" s="6"/>
      <c r="E166" s="5" t="s">
        <v>16</v>
      </c>
      <c r="F166" s="5" t="s">
        <v>30</v>
      </c>
      <c r="G166" s="5" t="s">
        <v>31</v>
      </c>
      <c r="H166" s="7" t="s">
        <v>8</v>
      </c>
      <c r="I166" s="7" t="s">
        <v>113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10</v>
      </c>
      <c r="AF166" s="8">
        <v>1000</v>
      </c>
      <c r="AG166" s="7">
        <v>0</v>
      </c>
      <c r="AH166" s="7">
        <v>0</v>
      </c>
      <c r="AI166" s="7">
        <v>0</v>
      </c>
      <c r="AJ166" s="7">
        <v>0</v>
      </c>
      <c r="AK166" s="7">
        <v>22</v>
      </c>
      <c r="AL166" s="8">
        <v>1200</v>
      </c>
      <c r="AM166" s="8">
        <v>1200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0</v>
      </c>
      <c r="BL166" s="7">
        <v>360</v>
      </c>
      <c r="BM166" s="10">
        <v>3400</v>
      </c>
      <c r="BN166" s="15">
        <f t="shared" si="6"/>
        <v>3040</v>
      </c>
      <c r="BO166" s="15">
        <f t="shared" si="7"/>
        <v>2128</v>
      </c>
    </row>
    <row r="167" spans="1:67" x14ac:dyDescent="0.4">
      <c r="A167" s="5" t="s">
        <v>288</v>
      </c>
      <c r="B167" s="5" t="s">
        <v>298</v>
      </c>
      <c r="C167" s="5">
        <v>480606</v>
      </c>
      <c r="D167" s="6"/>
      <c r="E167" s="5" t="s">
        <v>16</v>
      </c>
      <c r="F167" s="5" t="s">
        <v>299</v>
      </c>
      <c r="G167" s="5" t="s">
        <v>23</v>
      </c>
      <c r="H167" s="7" t="s">
        <v>7</v>
      </c>
      <c r="I167" s="7" t="s">
        <v>300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1</v>
      </c>
      <c r="AL167" s="8">
        <v>3000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0</v>
      </c>
      <c r="BL167" s="7">
        <v>900</v>
      </c>
      <c r="BM167" s="10">
        <v>3000</v>
      </c>
      <c r="BN167" s="15">
        <f t="shared" si="6"/>
        <v>2100</v>
      </c>
      <c r="BO167" s="15">
        <f t="shared" si="7"/>
        <v>1470</v>
      </c>
    </row>
    <row r="168" spans="1:67" x14ac:dyDescent="0.4">
      <c r="A168" s="5" t="s">
        <v>288</v>
      </c>
      <c r="B168" s="5" t="s">
        <v>29</v>
      </c>
      <c r="C168" s="5">
        <v>368432</v>
      </c>
      <c r="D168" s="6"/>
      <c r="E168" s="5" t="s">
        <v>16</v>
      </c>
      <c r="F168" s="5" t="s">
        <v>30</v>
      </c>
      <c r="G168" s="5" t="s">
        <v>31</v>
      </c>
      <c r="H168" s="7" t="s">
        <v>8</v>
      </c>
      <c r="I168" s="7" t="s">
        <v>32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1</v>
      </c>
      <c r="AF168" s="7">
        <v>100</v>
      </c>
      <c r="AG168" s="7">
        <v>0</v>
      </c>
      <c r="AH168" s="7">
        <v>0</v>
      </c>
      <c r="AI168" s="7">
        <v>0</v>
      </c>
      <c r="AJ168" s="7">
        <v>0</v>
      </c>
      <c r="AK168" s="7">
        <v>25</v>
      </c>
      <c r="AL168" s="8">
        <v>1320</v>
      </c>
      <c r="AM168" s="8">
        <v>1400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0</v>
      </c>
      <c r="BL168" s="7">
        <v>396</v>
      </c>
      <c r="BM168" s="10">
        <v>2820</v>
      </c>
      <c r="BN168" s="15">
        <f t="shared" si="6"/>
        <v>2424</v>
      </c>
      <c r="BO168" s="15">
        <f t="shared" si="7"/>
        <v>1696.8</v>
      </c>
    </row>
    <row r="169" spans="1:67" x14ac:dyDescent="0.4">
      <c r="A169" s="5" t="s">
        <v>288</v>
      </c>
      <c r="B169" s="5" t="s">
        <v>348</v>
      </c>
      <c r="C169" s="5">
        <v>461348</v>
      </c>
      <c r="D169" s="6"/>
      <c r="E169" s="5" t="s">
        <v>16</v>
      </c>
      <c r="F169" s="5" t="s">
        <v>320</v>
      </c>
      <c r="G169" s="5" t="s">
        <v>23</v>
      </c>
      <c r="H169" s="7" t="s">
        <v>10</v>
      </c>
      <c r="I169" s="7" t="s">
        <v>349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1</v>
      </c>
      <c r="AF169" s="7">
        <v>0</v>
      </c>
      <c r="AG169" s="7">
        <v>200</v>
      </c>
      <c r="AH169" s="7">
        <v>0</v>
      </c>
      <c r="AI169" s="7">
        <v>0</v>
      </c>
      <c r="AJ169" s="7">
        <v>0</v>
      </c>
      <c r="AK169" s="7">
        <v>1</v>
      </c>
      <c r="AL169" s="7">
        <v>0</v>
      </c>
      <c r="AM169" s="8">
        <v>1800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0</v>
      </c>
      <c r="BL169" s="7">
        <v>0</v>
      </c>
      <c r="BM169" s="10">
        <v>2000</v>
      </c>
      <c r="BN169" s="15">
        <f t="shared" si="6"/>
        <v>2000</v>
      </c>
      <c r="BO169" s="15">
        <f t="shared" si="7"/>
        <v>1400</v>
      </c>
    </row>
    <row r="170" spans="1:67" x14ac:dyDescent="0.4">
      <c r="A170" s="5" t="s">
        <v>288</v>
      </c>
      <c r="B170" s="5" t="s">
        <v>132</v>
      </c>
      <c r="C170" s="5">
        <v>459224</v>
      </c>
      <c r="D170" s="6"/>
      <c r="E170" s="5" t="s">
        <v>16</v>
      </c>
      <c r="F170" s="5" t="s">
        <v>133</v>
      </c>
      <c r="G170" s="5" t="s">
        <v>23</v>
      </c>
      <c r="H170" s="7" t="s">
        <v>7</v>
      </c>
      <c r="I170" s="7" t="s">
        <v>134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1</v>
      </c>
      <c r="AF170" s="7">
        <v>0</v>
      </c>
      <c r="AG170" s="7">
        <v>300</v>
      </c>
      <c r="AH170" s="7">
        <v>0</v>
      </c>
      <c r="AI170" s="7">
        <v>0</v>
      </c>
      <c r="AJ170" s="7">
        <v>0</v>
      </c>
      <c r="AK170" s="7">
        <v>1</v>
      </c>
      <c r="AL170" s="7">
        <v>0</v>
      </c>
      <c r="AM170" s="8">
        <v>1700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0</v>
      </c>
      <c r="BL170" s="7">
        <v>0</v>
      </c>
      <c r="BM170" s="10">
        <v>2000</v>
      </c>
      <c r="BN170" s="15">
        <f t="shared" si="6"/>
        <v>2000</v>
      </c>
      <c r="BO170" s="15">
        <f t="shared" si="7"/>
        <v>1400</v>
      </c>
    </row>
    <row r="171" spans="1:67" x14ac:dyDescent="0.4">
      <c r="A171" s="5" t="s">
        <v>288</v>
      </c>
      <c r="B171" s="5" t="s">
        <v>105</v>
      </c>
      <c r="C171" s="5">
        <v>465771</v>
      </c>
      <c r="D171" s="6"/>
      <c r="E171" s="5" t="s">
        <v>16</v>
      </c>
      <c r="F171" s="5" t="s">
        <v>106</v>
      </c>
      <c r="G171" s="5" t="s">
        <v>23</v>
      </c>
      <c r="H171" s="7" t="s">
        <v>10</v>
      </c>
      <c r="I171" s="7" t="s">
        <v>107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1</v>
      </c>
      <c r="AL171" s="7">
        <v>0</v>
      </c>
      <c r="AM171" s="8">
        <v>2000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0</v>
      </c>
      <c r="BL171" s="7">
        <v>0</v>
      </c>
      <c r="BM171" s="10">
        <v>2000</v>
      </c>
      <c r="BN171" s="15">
        <f t="shared" si="6"/>
        <v>2000</v>
      </c>
      <c r="BO171" s="15">
        <f t="shared" si="7"/>
        <v>1400</v>
      </c>
    </row>
    <row r="172" spans="1:67" x14ac:dyDescent="0.4">
      <c r="A172" s="5" t="s">
        <v>288</v>
      </c>
      <c r="B172" s="5" t="s">
        <v>255</v>
      </c>
      <c r="C172" s="5">
        <v>357331</v>
      </c>
      <c r="D172" s="6"/>
      <c r="E172" s="5" t="s">
        <v>16</v>
      </c>
      <c r="F172" s="5" t="s">
        <v>256</v>
      </c>
      <c r="G172" s="5" t="s">
        <v>31</v>
      </c>
      <c r="H172" s="7" t="s">
        <v>8</v>
      </c>
      <c r="I172" s="7" t="s">
        <v>257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16</v>
      </c>
      <c r="AL172" s="8">
        <v>1920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0</v>
      </c>
      <c r="BL172" s="7">
        <v>576</v>
      </c>
      <c r="BM172" s="10">
        <v>1920</v>
      </c>
      <c r="BN172" s="15">
        <f t="shared" si="6"/>
        <v>1344</v>
      </c>
      <c r="BO172" s="15">
        <f t="shared" si="7"/>
        <v>940.8</v>
      </c>
    </row>
    <row r="173" spans="1:67" x14ac:dyDescent="0.4">
      <c r="A173" s="5" t="s">
        <v>288</v>
      </c>
      <c r="B173" s="5" t="s">
        <v>58</v>
      </c>
      <c r="C173" s="5">
        <v>456187</v>
      </c>
      <c r="D173" s="6"/>
      <c r="E173" s="5" t="s">
        <v>16</v>
      </c>
      <c r="F173" s="5" t="s">
        <v>59</v>
      </c>
      <c r="G173" s="5" t="s">
        <v>60</v>
      </c>
      <c r="H173" s="7" t="s">
        <v>8</v>
      </c>
      <c r="I173" s="7" t="s">
        <v>61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11</v>
      </c>
      <c r="AL173" s="8">
        <v>1320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0</v>
      </c>
      <c r="BL173" s="7">
        <v>396</v>
      </c>
      <c r="BM173" s="10">
        <v>1320</v>
      </c>
      <c r="BN173" s="15">
        <f t="shared" si="6"/>
        <v>924</v>
      </c>
      <c r="BO173" s="15">
        <f t="shared" si="7"/>
        <v>646.79999999999995</v>
      </c>
    </row>
    <row r="174" spans="1:67" x14ac:dyDescent="0.4">
      <c r="A174" s="5" t="s">
        <v>287</v>
      </c>
      <c r="B174" s="5" t="s">
        <v>20</v>
      </c>
      <c r="C174" s="5">
        <v>451051</v>
      </c>
      <c r="D174" s="6"/>
      <c r="E174" s="5" t="s">
        <v>16</v>
      </c>
      <c r="F174" s="5" t="s">
        <v>17</v>
      </c>
      <c r="G174" s="5" t="s">
        <v>18</v>
      </c>
      <c r="H174" s="7" t="s">
        <v>10</v>
      </c>
      <c r="I174" s="7" t="s">
        <v>14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10</v>
      </c>
      <c r="AL174" s="8">
        <v>1200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0</v>
      </c>
      <c r="BL174" s="7">
        <v>360</v>
      </c>
      <c r="BM174" s="10">
        <v>1200</v>
      </c>
      <c r="BN174" s="15">
        <f t="shared" si="6"/>
        <v>840</v>
      </c>
      <c r="BO174" s="15">
        <f t="shared" si="7"/>
        <v>588</v>
      </c>
    </row>
    <row r="175" spans="1:67" x14ac:dyDescent="0.4">
      <c r="A175" s="5" t="s">
        <v>288</v>
      </c>
      <c r="B175" s="5" t="s">
        <v>148</v>
      </c>
      <c r="C175" s="5">
        <v>443521</v>
      </c>
      <c r="D175" s="6"/>
      <c r="E175" s="5" t="s">
        <v>16</v>
      </c>
      <c r="F175" s="5" t="s">
        <v>104</v>
      </c>
      <c r="G175" s="5" t="s">
        <v>35</v>
      </c>
      <c r="H175" s="7" t="s">
        <v>8</v>
      </c>
      <c r="I175" s="7" t="s">
        <v>117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7</v>
      </c>
      <c r="AL175" s="7">
        <v>0</v>
      </c>
      <c r="AM175" s="7">
        <v>700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0</v>
      </c>
      <c r="BL175" s="7">
        <v>0</v>
      </c>
      <c r="BM175" s="11">
        <v>700</v>
      </c>
      <c r="BN175" s="15">
        <f t="shared" si="6"/>
        <v>700</v>
      </c>
      <c r="BO175" s="15">
        <f t="shared" si="7"/>
        <v>489.99999999999994</v>
      </c>
    </row>
    <row r="176" spans="1:67" x14ac:dyDescent="0.4">
      <c r="A176" s="5" t="s">
        <v>288</v>
      </c>
      <c r="B176" s="5" t="s">
        <v>71</v>
      </c>
      <c r="C176" s="5">
        <v>440710</v>
      </c>
      <c r="D176" s="6"/>
      <c r="E176" s="5" t="s">
        <v>16</v>
      </c>
      <c r="F176" s="5" t="s">
        <v>72</v>
      </c>
      <c r="G176" s="5" t="s">
        <v>73</v>
      </c>
      <c r="H176" s="7" t="s">
        <v>7</v>
      </c>
      <c r="I176" s="7" t="s">
        <v>74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1</v>
      </c>
      <c r="AF176" s="7">
        <v>100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0</v>
      </c>
      <c r="BL176" s="7">
        <v>0</v>
      </c>
      <c r="BM176" s="11">
        <v>100</v>
      </c>
      <c r="BN176" s="15">
        <f t="shared" si="6"/>
        <v>100</v>
      </c>
      <c r="BO176" s="15">
        <f t="shared" si="7"/>
        <v>70</v>
      </c>
    </row>
    <row r="177" spans="1:67" ht="19.2" x14ac:dyDescent="0.4">
      <c r="A177" s="5" t="s">
        <v>287</v>
      </c>
      <c r="B177" s="5" t="s">
        <v>350</v>
      </c>
      <c r="C177" s="5">
        <v>445576</v>
      </c>
      <c r="D177" s="6"/>
      <c r="E177" s="5" t="s">
        <v>16</v>
      </c>
      <c r="F177" s="5" t="s">
        <v>17</v>
      </c>
      <c r="G177" s="5" t="s">
        <v>18</v>
      </c>
      <c r="H177" s="7" t="s">
        <v>7</v>
      </c>
      <c r="I177" s="7" t="s">
        <v>99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0</v>
      </c>
      <c r="BL177" s="7">
        <v>0</v>
      </c>
      <c r="BM177" s="11">
        <v>0</v>
      </c>
      <c r="BN177" s="15">
        <f t="shared" si="6"/>
        <v>0</v>
      </c>
      <c r="BO177" s="15">
        <f t="shared" si="7"/>
        <v>0</v>
      </c>
    </row>
    <row r="178" spans="1:67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  <c r="BO178" s="16">
        <f>SUM(BO2:BO177)</f>
        <v>2474466.8899999983</v>
      </c>
    </row>
    <row r="179" spans="1:67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8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7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8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7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7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7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7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7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8"/>
      <c r="AH185" s="7"/>
      <c r="AI185" s="7"/>
      <c r="AJ185" s="7"/>
      <c r="AK185" s="7"/>
      <c r="AL185" s="7"/>
      <c r="AM185" s="8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7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7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8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7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8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7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8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7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8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7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7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8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8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8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8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8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8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8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1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1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1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1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1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1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1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1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1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1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1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1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1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1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2022-10-05T02:56:22Z</dcterms:modified>
</cp:coreProperties>
</file>