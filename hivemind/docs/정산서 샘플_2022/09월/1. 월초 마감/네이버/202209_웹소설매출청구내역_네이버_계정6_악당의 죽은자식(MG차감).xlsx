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172" windowHeight="0" tabRatio="766"/>
  </bookViews>
  <sheets>
    <sheet name="합계(9)" sheetId="412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D7" i="412" l="1"/>
  <c r="D6" i="412"/>
  <c r="C6" i="412"/>
  <c r="B7" i="412" l="1"/>
  <c r="BN2" i="412" l="1"/>
  <c r="BO2" i="412" s="1"/>
  <c r="BO3" i="412" l="1"/>
  <c r="C7" i="412" l="1"/>
</calcChain>
</file>

<file path=xl/sharedStrings.xml><?xml version="1.0" encoding="utf-8"?>
<sst xmlns="http://schemas.openxmlformats.org/spreadsheetml/2006/main" count="81" uniqueCount="81">
  <si>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</si>
  <si>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</si>
  <si>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</si>
  <si>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</si>
  <si>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</si>
  <si>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</si>
  <si>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</si>
  <si>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</si>
  <si>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</si>
  <si>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</si>
  <si>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</si>
  <si>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</si>
  <si>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</si>
  <si>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</si>
  <si>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합계</t>
    <phoneticPr fontId="20" type="noConversion"/>
  </si>
  <si>
    <t>스토리위즈</t>
  </si>
  <si>
    <t>전체이용가</t>
  </si>
  <si>
    <t>시리즈(APP)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</si>
  <si>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</si>
  <si>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</si>
  <si>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</si>
  <si>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</si>
  <si>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</si>
  <si>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</si>
  <si>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</si>
  <si>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</si>
  <si>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</si>
  <si>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</si>
  <si>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</si>
  <si>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</si>
  <si>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</si>
  <si>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</si>
  <si>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</si>
  <si>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</si>
  <si>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</si>
  <si>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</si>
  <si>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</si>
  <si>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</si>
  <si>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</si>
  <si>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</si>
  <si>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</si>
  <si>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</si>
  <si>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</si>
  <si>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</si>
  <si>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</si>
  <si>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</si>
  <si>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</si>
  <si>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</si>
  <si>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</si>
  <si>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</si>
  <si>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</si>
  <si>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</si>
  <si>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</si>
  <si>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</si>
  <si>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</si>
  <si>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</si>
  <si>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</si>
  <si>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</si>
  <si>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</si>
  <si>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</si>
  <si>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</si>
  <si>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</si>
  <si>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</si>
  <si>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</si>
  <si>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</si>
  <si>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</si>
  <si>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</si>
  <si>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</si>
  <si>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</si>
  <si>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</si>
  <si>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</si>
  <si>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</si>
  <si>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</si>
  <si>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</si>
  <si>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</si>
  <si>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</si>
  <si>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&lt;악당의 죽은자식&gt; MG차감내역</t>
    <phoneticPr fontId="20" type="noConversion"/>
  </si>
  <si>
    <t>악당의 죽은 자식 [독점]</t>
  </si>
  <si>
    <t>스토리위즈_악당의죽은자식_MG</t>
  </si>
  <si>
    <t>탄E</t>
  </si>
  <si>
    <t>2022.10.05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</si>
</sst>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18" fillId="0" borderId="0" xfId="42" applyFont="1" applyAlignment="1">
      <alignment vertical="center" wrapText="1"/>
    </xf>
    <xf numFmtId="41" fontId="25" fillId="34" borderId="0" xfId="42" applyFont="1" applyFill="1" applyAlignment="1">
      <alignment vertical="center" wrapText="1"/>
    </xf>
    <xf numFmtId="3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>
      <alignment vertical="center"/>
    </xf>
    <xf numFmtId="41" fontId="24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24" fillId="36" borderId="10" xfId="0" applyNumberFormat="1" applyFont="1" applyFill="1" applyBorder="1" applyAlignment="1">
      <alignment horizontal="right" vertical="center"/>
    </xf>
    <xf numFmtId="41" fontId="24" fillId="36" borderId="10" xfId="0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10"/>
  <sheetViews>
    <sheetView tabSelected="1" topLeftCell="X1" zoomScale="115" zoomScaleNormal="115" workbookViewId="0">
      <selection activeCell="AG2" sqref="AG2"/>
    </sheetView>
  </sheetViews>
  <sheetFormatPr defaultRowHeight="17.399999999999999" x14ac:dyDescent="0.4"/>
  <cols>
    <col min="1" max="1" width="11.8984375" style="1" customWidth="1"/>
    <col min="2" max="2" width="20" bestFit="1" customWidth="1"/>
    <col min="3" max="3" width="7.69921875" bestFit="1" customWidth="1"/>
    <col min="4" max="4" width="8.3984375" bestFit="1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27" customHeight="1" x14ac:dyDescent="0.4">
      <c r="A1" s="2" t="s">
        <v>18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19</v>
      </c>
      <c r="I1" s="14" t="s">
        <v>6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12" t="s">
        <v>41</v>
      </c>
      <c r="AF1" s="12" t="s">
        <v>42</v>
      </c>
      <c r="AG1" s="12" t="s">
        <v>43</v>
      </c>
      <c r="AH1" s="12" t="s">
        <v>44</v>
      </c>
      <c r="AI1" s="12" t="s">
        <v>45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54</v>
      </c>
      <c r="AS1" s="12" t="s">
        <v>55</v>
      </c>
      <c r="AT1" s="12" t="s">
        <v>56</v>
      </c>
      <c r="AU1" s="12" t="s">
        <v>57</v>
      </c>
      <c r="AV1" s="12" t="s">
        <v>58</v>
      </c>
      <c r="AW1" s="12" t="s">
        <v>59</v>
      </c>
      <c r="AX1" s="12" t="s">
        <v>60</v>
      </c>
      <c r="AY1" s="12" t="s">
        <v>61</v>
      </c>
      <c r="AZ1" s="12" t="s">
        <v>62</v>
      </c>
      <c r="BA1" s="12" t="s">
        <v>63</v>
      </c>
      <c r="BB1" s="12" t="s">
        <v>64</v>
      </c>
      <c r="BC1" s="12" t="s">
        <v>65</v>
      </c>
      <c r="BD1" s="12" t="s">
        <v>66</v>
      </c>
      <c r="BE1" s="12" t="s">
        <v>67</v>
      </c>
      <c r="BF1" s="12" t="s">
        <v>68</v>
      </c>
      <c r="BG1" s="12" t="s">
        <v>69</v>
      </c>
      <c r="BH1" s="12" t="s">
        <v>70</v>
      </c>
      <c r="BI1" s="12" t="s">
        <v>71</v>
      </c>
      <c r="BJ1" s="12" t="s">
        <v>72</v>
      </c>
      <c r="BK1" s="12" t="s">
        <v>73</v>
      </c>
      <c r="BL1" s="12" t="s">
        <v>8</v>
      </c>
      <c r="BM1" s="12" t="s">
        <v>7</v>
      </c>
      <c r="BN1" s="12" t="s">
        <v>74</v>
      </c>
      <c r="BO1" s="12" t="s">
        <v>75</v>
      </c>
    </row>
    <row r="2" spans="1:67" ht="19.2" x14ac:dyDescent="0.4">
      <c r="A2" s="5" t="s">
        <v>17</v>
      </c>
      <c r="B2" s="5" t="s">
        <v>77</v>
      </c>
      <c r="C2" s="5">
        <v>479547</v>
      </c>
      <c r="D2" s="6"/>
      <c r="E2" s="5" t="s">
        <v>78</v>
      </c>
      <c r="F2" s="5" t="s">
        <v>79</v>
      </c>
      <c r="G2" s="5" t="s">
        <v>15</v>
      </c>
      <c r="H2" s="7" t="s">
        <v>16</v>
      </c>
      <c r="I2" s="7" t="s">
        <v>80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41</v>
      </c>
      <c r="AF2" s="7">
        <v>0</v>
      </c>
      <c r="AG2" s="8">
        <v>4100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4100</v>
      </c>
      <c r="BN2" s="23">
        <f>BM2-BL2</f>
        <v>4100</v>
      </c>
      <c r="BO2" s="23">
        <f>BN2*70%</f>
        <v>2870</v>
      </c>
    </row>
    <row r="3" spans="1:67" x14ac:dyDescent="0.4">
      <c r="A3" s="5"/>
      <c r="B3" s="5"/>
      <c r="C3" s="5"/>
      <c r="D3" s="6"/>
      <c r="E3" s="5"/>
      <c r="F3" s="5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8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10"/>
      <c r="BN3" s="22"/>
      <c r="BO3" s="24">
        <f>SUM(BO2:BO2)</f>
        <v>2870</v>
      </c>
    </row>
    <row r="4" spans="1:67" s="17" customFormat="1" ht="15.6" customHeight="1" x14ac:dyDescent="0.4">
      <c r="A4" s="15" t="s">
        <v>76</v>
      </c>
      <c r="B4" s="16"/>
      <c r="AU4" s="18"/>
      <c r="AW4" s="18"/>
      <c r="BO4" s="21"/>
    </row>
    <row r="5" spans="1:67" s="17" customFormat="1" ht="15.6" customHeight="1" x14ac:dyDescent="0.4">
      <c r="A5" s="19" t="s">
        <v>9</v>
      </c>
      <c r="B5" s="19" t="s">
        <v>10</v>
      </c>
      <c r="C5" s="19" t="s">
        <v>11</v>
      </c>
      <c r="D5" s="19" t="s">
        <v>12</v>
      </c>
      <c r="J5" s="17" t="s">
        <v>13</v>
      </c>
    </row>
    <row r="6" spans="1:67" s="17" customFormat="1" ht="15.6" customHeight="1" x14ac:dyDescent="0.4">
      <c r="A6" s="20">
        <v>22.09</v>
      </c>
      <c r="B6" s="25">
        <v>20000000</v>
      </c>
      <c r="C6" s="26">
        <f>BO3</f>
        <v>2870</v>
      </c>
      <c r="D6" s="27">
        <f>B6-C6</f>
        <v>19997130</v>
      </c>
    </row>
    <row r="7" spans="1:67" s="17" customFormat="1" ht="15.6" customHeight="1" x14ac:dyDescent="0.4">
      <c r="A7" s="28" t="s">
        <v>14</v>
      </c>
      <c r="B7" s="29">
        <f>SUM(B6:B6)</f>
        <v>20000000</v>
      </c>
      <c r="C7" s="30">
        <f>SUM(C6:C6)</f>
        <v>2870</v>
      </c>
      <c r="D7" s="30">
        <f>SUM(D6:D6)</f>
        <v>19997130</v>
      </c>
    </row>
    <row r="8" spans="1:67" x14ac:dyDescent="0.4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1"/>
    </row>
    <row r="9" spans="1:67" x14ac:dyDescent="0.4">
      <c r="A9" s="5"/>
      <c r="B9" s="5"/>
      <c r="C9" s="5"/>
      <c r="D9" s="6"/>
      <c r="E9" s="5"/>
      <c r="F9" s="5"/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11"/>
    </row>
    <row r="10" spans="1:67" x14ac:dyDescent="0.4">
      <c r="A10" s="5"/>
      <c r="B10" s="5"/>
      <c r="C10" s="5"/>
      <c r="D10" s="6"/>
      <c r="E10" s="5"/>
      <c r="F10" s="5"/>
      <c r="G10" s="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  <c r="AG10" s="8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10"/>
    </row>
    <row r="11" spans="1:67" x14ac:dyDescent="0.4">
      <c r="A11" s="5"/>
      <c r="B11" s="5"/>
      <c r="C11" s="5"/>
      <c r="D11" s="6"/>
      <c r="E11" s="5"/>
      <c r="F11" s="5"/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  <c r="AG11" s="8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10"/>
    </row>
    <row r="12" spans="1:67" x14ac:dyDescent="0.4">
      <c r="A12" s="5"/>
      <c r="B12" s="5"/>
      <c r="C12" s="5"/>
      <c r="D12" s="6"/>
      <c r="E12" s="5"/>
      <c r="F12" s="5"/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  <c r="AG12" s="8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10"/>
    </row>
    <row r="13" spans="1:67" x14ac:dyDescent="0.4">
      <c r="A13" s="5"/>
      <c r="B13" s="5"/>
      <c r="C13" s="5"/>
      <c r="D13" s="6"/>
      <c r="E13" s="5"/>
      <c r="F13" s="5"/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8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8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10"/>
    </row>
    <row r="14" spans="1:67" x14ac:dyDescent="0.4">
      <c r="A14" s="5"/>
      <c r="B14" s="5"/>
      <c r="C14" s="5"/>
      <c r="D14" s="6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8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8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0"/>
    </row>
    <row r="15" spans="1:67" x14ac:dyDescent="0.4">
      <c r="A15" s="5"/>
      <c r="B15" s="5"/>
      <c r="C15" s="5"/>
      <c r="D15" s="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8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0"/>
    </row>
    <row r="16" spans="1:67" x14ac:dyDescent="0.4">
      <c r="A16" s="5"/>
      <c r="B16" s="5"/>
      <c r="C16" s="5"/>
      <c r="D16" s="6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0"/>
    </row>
    <row r="17" spans="1:65" x14ac:dyDescent="0.4">
      <c r="A17" s="5"/>
      <c r="B17" s="5"/>
      <c r="C17" s="5"/>
      <c r="D17" s="6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0"/>
    </row>
    <row r="18" spans="1:65" x14ac:dyDescent="0.4">
      <c r="A18" s="5"/>
      <c r="B18" s="5"/>
      <c r="C18" s="5"/>
      <c r="D18" s="6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8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0"/>
    </row>
    <row r="19" spans="1:65" x14ac:dyDescent="0.4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0"/>
    </row>
    <row r="20" spans="1:65" x14ac:dyDescent="0.4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8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0"/>
    </row>
    <row r="21" spans="1:65" x14ac:dyDescent="0.4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0"/>
    </row>
    <row r="22" spans="1:65" x14ac:dyDescent="0.4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</row>
    <row r="23" spans="1:65" x14ac:dyDescent="0.4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8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5" x14ac:dyDescent="0.4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5" x14ac:dyDescent="0.4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8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5" x14ac:dyDescent="0.4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8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5" x14ac:dyDescent="0.4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8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5" x14ac:dyDescent="0.4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8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5" x14ac:dyDescent="0.4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5" x14ac:dyDescent="0.4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5" x14ac:dyDescent="0.4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8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5" x14ac:dyDescent="0.4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8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4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4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8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4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8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4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8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4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8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8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8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8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1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1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1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1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1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1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1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1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1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1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8"/>
      <c r="L110" s="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8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8"/>
      <c r="AR110" s="8"/>
      <c r="AS110" s="8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8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8"/>
      <c r="AD112" s="8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8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8"/>
      <c r="L113" s="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8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8"/>
      <c r="K114" s="8"/>
      <c r="L114" s="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8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8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8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8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8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8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8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8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8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8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8"/>
      <c r="AD131" s="7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8"/>
      <c r="AP131" s="8"/>
      <c r="AQ131" s="7"/>
      <c r="AR131" s="8"/>
      <c r="AS131" s="8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8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8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8"/>
      <c r="AD139" s="8"/>
      <c r="AE139" s="7"/>
      <c r="AF139" s="7"/>
      <c r="AG139" s="8"/>
      <c r="AH139" s="7"/>
      <c r="AI139" s="7"/>
      <c r="AJ139" s="7"/>
      <c r="AK139" s="7"/>
      <c r="AL139" s="7"/>
      <c r="AM139" s="7"/>
      <c r="AN139" s="7"/>
      <c r="AO139" s="8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8"/>
      <c r="AD161" s="8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8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8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8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8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8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8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8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8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1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1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1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1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1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1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1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1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1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1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1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1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8"/>
      <c r="L281" s="8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8"/>
      <c r="AF281" s="8"/>
      <c r="AG281" s="8"/>
      <c r="AH281" s="7"/>
      <c r="AI281" s="7"/>
      <c r="AJ281" s="7"/>
      <c r="AK281" s="8"/>
      <c r="AL281" s="8"/>
      <c r="AM281" s="8"/>
      <c r="AN281" s="7"/>
      <c r="AO281" s="7"/>
      <c r="AP281" s="7"/>
      <c r="AQ281" s="8"/>
      <c r="AR281" s="8"/>
      <c r="AS281" s="8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8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8"/>
      <c r="AF282" s="8"/>
      <c r="AG282" s="8"/>
      <c r="AH282" s="7"/>
      <c r="AI282" s="7"/>
      <c r="AJ282" s="7"/>
      <c r="AK282" s="8"/>
      <c r="AL282" s="8"/>
      <c r="AM282" s="8"/>
      <c r="AN282" s="7"/>
      <c r="AO282" s="7"/>
      <c r="AP282" s="7"/>
      <c r="AQ282" s="7"/>
      <c r="AR282" s="8"/>
      <c r="AS282" s="8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8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8"/>
      <c r="AF283" s="8"/>
      <c r="AG283" s="8"/>
      <c r="AH283" s="7"/>
      <c r="AI283" s="7"/>
      <c r="AJ283" s="7"/>
      <c r="AK283" s="8"/>
      <c r="AL283" s="8"/>
      <c r="AM283" s="8"/>
      <c r="AN283" s="7"/>
      <c r="AO283" s="7"/>
      <c r="AP283" s="7"/>
      <c r="AQ283" s="8"/>
      <c r="AR283" s="8"/>
      <c r="AS283" s="8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8"/>
      <c r="AF284" s="8"/>
      <c r="AG284" s="8"/>
      <c r="AH284" s="7"/>
      <c r="AI284" s="7"/>
      <c r="AJ284" s="7"/>
      <c r="AK284" s="8"/>
      <c r="AL284" s="8"/>
      <c r="AM284" s="8"/>
      <c r="AN284" s="7"/>
      <c r="AO284" s="7"/>
      <c r="AP284" s="7"/>
      <c r="AQ284" s="8"/>
      <c r="AR284" s="8"/>
      <c r="AS284" s="8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8"/>
      <c r="AH285" s="7"/>
      <c r="AI285" s="7"/>
      <c r="AJ285" s="7"/>
      <c r="AK285" s="7"/>
      <c r="AL285" s="8"/>
      <c r="AM285" s="8"/>
      <c r="AN285" s="7"/>
      <c r="AO285" s="7"/>
      <c r="AP285" s="7"/>
      <c r="AQ285" s="7"/>
      <c r="AR285" s="8"/>
      <c r="AS285" s="8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8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8"/>
      <c r="AF286" s="8"/>
      <c r="AG286" s="8"/>
      <c r="AH286" s="7"/>
      <c r="AI286" s="7"/>
      <c r="AJ286" s="7"/>
      <c r="AK286" s="8"/>
      <c r="AL286" s="8"/>
      <c r="AM286" s="8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8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8"/>
      <c r="AG287" s="8"/>
      <c r="AH287" s="7"/>
      <c r="AI287" s="7"/>
      <c r="AJ287" s="7"/>
      <c r="AK287" s="8"/>
      <c r="AL287" s="8"/>
      <c r="AM287" s="8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8"/>
      <c r="AG288" s="8"/>
      <c r="AH288" s="7"/>
      <c r="AI288" s="7"/>
      <c r="AJ288" s="7"/>
      <c r="AK288" s="8"/>
      <c r="AL288" s="8"/>
      <c r="AM288" s="8"/>
      <c r="AN288" s="7"/>
      <c r="AO288" s="7"/>
      <c r="AP288" s="7"/>
      <c r="AQ288" s="7"/>
      <c r="AR288" s="8"/>
      <c r="AS288" s="8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8"/>
      <c r="L289" s="8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8"/>
      <c r="AG289" s="8"/>
      <c r="AH289" s="7"/>
      <c r="AI289" s="7"/>
      <c r="AJ289" s="7"/>
      <c r="AK289" s="8"/>
      <c r="AL289" s="8"/>
      <c r="AM289" s="8"/>
      <c r="AN289" s="7"/>
      <c r="AO289" s="7"/>
      <c r="AP289" s="7"/>
      <c r="AQ289" s="7"/>
      <c r="AR289" s="8"/>
      <c r="AS289" s="8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8"/>
      <c r="AF290" s="8"/>
      <c r="AG290" s="8"/>
      <c r="AH290" s="7"/>
      <c r="AI290" s="7"/>
      <c r="AJ290" s="7"/>
      <c r="AK290" s="8"/>
      <c r="AL290" s="8"/>
      <c r="AM290" s="8"/>
      <c r="AN290" s="7"/>
      <c r="AO290" s="7"/>
      <c r="AP290" s="7"/>
      <c r="AQ290" s="7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8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8"/>
      <c r="AF291" s="8"/>
      <c r="AG291" s="8"/>
      <c r="AH291" s="7"/>
      <c r="AI291" s="7"/>
      <c r="AJ291" s="7"/>
      <c r="AK291" s="8"/>
      <c r="AL291" s="8"/>
      <c r="AM291" s="8"/>
      <c r="AN291" s="7"/>
      <c r="AO291" s="7"/>
      <c r="AP291" s="7"/>
      <c r="AQ291" s="7"/>
      <c r="AR291" s="8"/>
      <c r="AS291" s="8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8"/>
      <c r="AH292" s="7"/>
      <c r="AI292" s="7"/>
      <c r="AJ292" s="7"/>
      <c r="AK292" s="8"/>
      <c r="AL292" s="8"/>
      <c r="AM292" s="8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8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8"/>
      <c r="K294" s="7"/>
      <c r="L294" s="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8"/>
      <c r="AH294" s="7"/>
      <c r="AI294" s="7"/>
      <c r="AJ294" s="7"/>
      <c r="AK294" s="7"/>
      <c r="AL294" s="8"/>
      <c r="AM294" s="8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8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8"/>
      <c r="AS296" s="8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8"/>
      <c r="AH297" s="7"/>
      <c r="AI297" s="7"/>
      <c r="AJ297" s="7"/>
      <c r="AK297" s="7"/>
      <c r="AL297" s="8"/>
      <c r="AM297" s="8"/>
      <c r="AN297" s="7"/>
      <c r="AO297" s="7"/>
      <c r="AP297" s="7"/>
      <c r="AQ297" s="7"/>
      <c r="AR297" s="8"/>
      <c r="AS297" s="8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8"/>
      <c r="AJ298" s="8"/>
      <c r="AK298" s="7"/>
      <c r="AL298" s="7"/>
      <c r="AM298" s="7"/>
      <c r="AN298" s="7"/>
      <c r="AO298" s="7"/>
      <c r="AP298" s="7"/>
      <c r="AQ298" s="7"/>
      <c r="AR298" s="8"/>
      <c r="AS298" s="8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8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8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8"/>
      <c r="AS301" s="8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8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8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8"/>
      <c r="AN307" s="7"/>
      <c r="AO307" s="7"/>
      <c r="AP307" s="7"/>
      <c r="AQ307" s="7"/>
      <c r="AR307" s="8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8"/>
      <c r="AH308" s="7"/>
      <c r="AI308" s="7"/>
      <c r="AJ308" s="7"/>
      <c r="AK308" s="7"/>
      <c r="AL308" s="8"/>
      <c r="AM308" s="8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8"/>
      <c r="AH312" s="7"/>
      <c r="AI312" s="7"/>
      <c r="AJ312" s="7"/>
      <c r="AK312" s="7"/>
      <c r="AL312" s="8"/>
      <c r="AM312" s="8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8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8"/>
      <c r="AS314" s="8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8"/>
      <c r="AH315" s="7"/>
      <c r="AI315" s="7"/>
      <c r="AJ315" s="7"/>
      <c r="AK315" s="7"/>
      <c r="AL315" s="8"/>
      <c r="AM315" s="8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8"/>
      <c r="AJ327" s="7"/>
      <c r="AK327" s="7"/>
      <c r="AL327" s="8"/>
      <c r="AM327" s="7"/>
      <c r="AN327" s="7"/>
      <c r="AO327" s="8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8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8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8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8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8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8"/>
      <c r="AH356" s="7"/>
      <c r="AI356" s="7"/>
      <c r="AJ356" s="7"/>
      <c r="AK356" s="7"/>
      <c r="AL356" s="7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8"/>
      <c r="AH357" s="7"/>
      <c r="AI357" s="7"/>
      <c r="AJ357" s="7"/>
      <c r="AK357" s="7"/>
      <c r="AL357" s="7"/>
      <c r="AM357" s="8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8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8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8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8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7"/>
      <c r="AM382" s="8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7"/>
      <c r="AM383" s="8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8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8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1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1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1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1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1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1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1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1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1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1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1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1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1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1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2022-10-05T04:53:11Z</dcterms:modified>
</cp:coreProperties>
</file>