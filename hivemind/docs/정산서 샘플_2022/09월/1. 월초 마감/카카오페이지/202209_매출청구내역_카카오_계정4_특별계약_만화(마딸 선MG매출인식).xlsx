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카카오페이지\"/>
    </mc:Choice>
  </mc:AlternateContent>
  <bookViews>
    <workbookView xWindow="0" yWindow="0" windowWidth="23040" windowHeight="9300"/>
  </bookViews>
  <sheets>
    <sheet name="합계(9)" sheetId="1" r:id="rId1"/>
    <sheet name="컨헤라_마왕의 딸" sheetId="2" r:id="rId2"/>
    <sheet name="컨헤라_회귀의 전설" sheetId="3" r:id="rId3"/>
    <sheet name="구디스튜디오_간신이 나라를 살림" sheetId="6" r:id="rId4"/>
    <sheet name="구디스튜디오_기사가문" sheetId="7" r:id="rId5"/>
    <sheet name="구디스튜디오_신을 죽이러" sheetId="9" r:id="rId6"/>
    <sheet name="스토리위즈_새파랗게 어린" sheetId="8" r:id="rId7"/>
    <sheet name="스토리위즈_황녀, 미친 꽃으로 피어나다" sheetId="5" r:id="rId8"/>
    <sheet name="스토리위즈_착한 언니는 없다" sheetId="4" r:id="rId9"/>
  </sheets>
  <definedNames>
    <definedName name="_xlnm._FilterDatabase" localSheetId="0" hidden="1">'합계(9)'!$A$1:$AV$1</definedName>
    <definedName name="_xlnm.Extract" localSheetId="3">'구디스튜디오_간신이 나라를 살림'!$A$1:$AV$1</definedName>
    <definedName name="_xlnm.Extract" localSheetId="4">구디스튜디오_기사가문!$A$1:$AV$1</definedName>
    <definedName name="_xlnm.Extract" localSheetId="6">'스토리위즈_새파랗게 어린'!$A$1:$AV$1</definedName>
    <definedName name="_xlnm.Extract" localSheetId="8">'스토리위즈_착한 언니는 없다'!$A$1:$AV$1</definedName>
    <definedName name="_xlnm.Extract" localSheetId="7">'스토리위즈_황녀, 미친 꽃으로 피어나다'!$A$1:$AV$1</definedName>
    <definedName name="_xlnm.Extract" localSheetId="1">'컨헤라_마왕의 딸'!$A$1:$AV$1</definedName>
    <definedName name="_xlnm.Extract" localSheetId="2">'컨헤라_회귀의 전설'!$A$1:$AV$1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D14" i="9" l="1"/>
  <c r="AU10" i="9"/>
  <c r="C14" i="9" s="1"/>
  <c r="C19" i="7"/>
  <c r="C17" i="4"/>
  <c r="C18" i="5"/>
  <c r="C17" i="8"/>
  <c r="AU9" i="8"/>
  <c r="C16" i="8" s="1"/>
  <c r="C18" i="7"/>
  <c r="C25" i="6"/>
  <c r="C19" i="6"/>
  <c r="C17" i="5"/>
  <c r="C16" i="4"/>
  <c r="C27" i="3"/>
  <c r="C26" i="3"/>
  <c r="AU10" i="2"/>
  <c r="C53" i="2"/>
  <c r="C54" i="2" s="1"/>
  <c r="D16" i="4"/>
  <c r="C15" i="9" l="1"/>
  <c r="B15" i="9"/>
  <c r="AU65" i="1"/>
  <c r="D25" i="3" l="1"/>
  <c r="D26" i="3" s="1"/>
  <c r="D24" i="3"/>
  <c r="D52" i="2"/>
  <c r="D53" i="2" s="1"/>
  <c r="D51" i="2"/>
  <c r="D50" i="2"/>
  <c r="B27" i="3"/>
  <c r="AU10" i="3"/>
  <c r="B18" i="5"/>
  <c r="D16" i="5"/>
  <c r="D17" i="5" s="1"/>
  <c r="AU10" i="5"/>
  <c r="D15" i="5"/>
  <c r="D14" i="5"/>
  <c r="B17" i="8"/>
  <c r="D13" i="8"/>
  <c r="B19" i="7"/>
  <c r="D17" i="7"/>
  <c r="D18" i="7" s="1"/>
  <c r="AU10" i="7"/>
  <c r="D15" i="7"/>
  <c r="B25" i="6"/>
  <c r="D18" i="6"/>
  <c r="D19" i="6" s="1"/>
  <c r="AU10" i="6"/>
  <c r="D14" i="6"/>
  <c r="D15" i="6" s="1"/>
  <c r="D16" i="6" s="1"/>
  <c r="B17" i="4"/>
  <c r="D15" i="4"/>
  <c r="AU10" i="4"/>
  <c r="D14" i="3"/>
  <c r="D15" i="3" s="1"/>
  <c r="D16" i="3" s="1"/>
  <c r="D17" i="3" s="1"/>
  <c r="D18" i="3" s="1"/>
  <c r="D19" i="3" s="1"/>
  <c r="D20" i="3" s="1"/>
  <c r="D21" i="3" s="1"/>
  <c r="D22" i="3" s="1"/>
  <c r="D23" i="3" s="1"/>
  <c r="B54" i="2"/>
  <c r="D26" i="2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14" i="8" l="1"/>
  <c r="D15" i="8" s="1"/>
  <c r="D16" i="8" s="1"/>
  <c r="D16" i="7"/>
  <c r="D17" i="6"/>
</calcChain>
</file>

<file path=xl/comments1.xml><?xml version="1.0" encoding="utf-8"?>
<comments xmlns="http://schemas.openxmlformats.org/spreadsheetml/2006/main">
  <authors>
    <author>jihui</author>
  </authors>
  <commentLis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<sst xmlns="http://schemas.openxmlformats.org/spreadsheetml/2006/main" count="3381" uniqueCount="142">
  <si>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</si>
  <si>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</si>
  <si>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</si>
  <si>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</si>
  <si>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</si>
  <si>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</si>
  <si>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</si>
  <si>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</si>
  <si>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</si>
  <si>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</si>
  <si>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</si>
  <si>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</si>
  <si>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</si>
  <si>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</si>
  <si>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</si>
  <si>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</si>
  <si>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</si>
  <si>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</si>
  <si>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</si>
  <si>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</si>
  <si>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</si>
  <si>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</si>
  <si>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</si>
  <si>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</si>
  <si>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</si>
  <si>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</si>
  <si>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</si>
  <si>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</si>
  <si>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</si>
  <si>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</si>
  <si>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</si>
  <si>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</si>
  <si>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</si>
  <si>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</si>
  <si>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</si>
  <si>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</si>
  <si>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</si>
  <si>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</si>
  <si>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</si>
  <si>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</si>
  <si>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</si>
  <si>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</si>
  <si>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</si>
  <si>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</si>
  <si>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</si>
  <si>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</si>
  <si>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</si>
  <si>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</si>
  <si>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</si>
  <si>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카카오페이지 선투자 계약</t>
  </si>
  <si>
    <t>N</t>
  </si>
  <si>
    <t>면세</t>
  </si>
  <si>
    <t/>
  </si>
  <si>
    <t>유</t>
  </si>
  <si>
    <t>단일 이용권</t>
  </si>
  <si>
    <t>시리즈 이용권 패키지</t>
  </si>
  <si>
    <t>간신이 나라를 살림</t>
  </si>
  <si>
    <t>기사가문 망나니는 10클래스</t>
  </si>
  <si>
    <t>단일 대여 이용권</t>
  </si>
  <si>
    <t>시리즈 대여 이용권 패키지</t>
  </si>
  <si>
    <t>회귀의 전설</t>
  </si>
  <si>
    <t>storywiz</t>
  </si>
  <si>
    <t>1944</t>
  </si>
  <si>
    <t>만화</t>
  </si>
  <si>
    <t>53361105</t>
  </si>
  <si>
    <t>마왕의 딸로 태어났습니다</t>
  </si>
  <si>
    <t>2019-10-31</t>
  </si>
  <si>
    <t>은민,여울</t>
  </si>
  <si>
    <t>2531</t>
  </si>
  <si>
    <t>스토리위즈_회귀의 전설_선투자</t>
  </si>
  <si>
    <t>57928448</t>
  </si>
  <si>
    <t>2021-09-30</t>
  </si>
  <si>
    <t>송진우,김광수</t>
  </si>
  <si>
    <t>3377</t>
  </si>
  <si>
    <t>스토리위즈_황녀, 미친 꽃으로 피어나다</t>
  </si>
  <si>
    <t>59603265</t>
  </si>
  <si>
    <t>황녀, 미친 꽃으로 피어나다</t>
  </si>
  <si>
    <t>2022-06-21</t>
  </si>
  <si>
    <t>황만주,문토,한보연</t>
  </si>
  <si>
    <t>3464</t>
  </si>
  <si>
    <t>스토리위즈_간신이 나라를 살림_선투자+2차</t>
  </si>
  <si>
    <t>59078106</t>
  </si>
  <si>
    <t>2022-04-05</t>
  </si>
  <si>
    <t>써드리오,Azul,루이세</t>
  </si>
  <si>
    <t>3465</t>
  </si>
  <si>
    <t>스토리위즈_기사가문 망나니는 10클래스_선투자+2차</t>
  </si>
  <si>
    <t>59628363</t>
  </si>
  <si>
    <t>2022-06-28</t>
  </si>
  <si>
    <t>조작가,최진규,예로나</t>
  </si>
  <si>
    <t>3552</t>
  </si>
  <si>
    <t>스토리위즈_새파랗게 어린_선투자+2차</t>
  </si>
  <si>
    <t>59603081</t>
  </si>
  <si>
    <t>새파랗게 어린</t>
  </si>
  <si>
    <t>2022-06-17</t>
  </si>
  <si>
    <t>광야,늡이버섯,유엘,룽다</t>
  </si>
  <si>
    <t>스토리위즈_마왕의 딸</t>
  </si>
  <si>
    <t>3085</t>
  </si>
  <si>
    <t>스토리위즈_착한 언니는 없다</t>
  </si>
  <si>
    <t>59900672</t>
  </si>
  <si>
    <t>착한 언니는 없다</t>
  </si>
  <si>
    <t>2022-08-03</t>
  </si>
  <si>
    <t>주기,세림,내일,윤여음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</si>
  <si>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</si>
  <si>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</si>
  <si>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5" type="noConversion"/>
  </si>
  <si>
    <t xml:space="preserve">KT 매출 </t>
    <phoneticPr fontId="5" type="noConversion"/>
  </si>
  <si>
    <t>MG 잔여</t>
    <phoneticPr fontId="5" type="noConversion"/>
  </si>
  <si>
    <t>202111(카카오웹툰9,10월)</t>
    <phoneticPr fontId="1" type="noConversion"/>
  </si>
  <si>
    <t>202112(카카오웹툰11월)</t>
    <phoneticPr fontId="1" type="noConversion"/>
  </si>
  <si>
    <t>202201(카카오웹툰12월)</t>
    <phoneticPr fontId="1" type="noConversion"/>
  </si>
  <si>
    <t>202202(카카오웹툰1월)</t>
    <phoneticPr fontId="1" type="noConversion"/>
  </si>
  <si>
    <t>합계</t>
    <phoneticPr fontId="1" type="noConversion"/>
  </si>
  <si>
    <t>※ &lt;마왕의 딸로 태어났습니다&gt;, &lt;옹주의 호위무사&gt;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</si>
  <si>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</si>
  <si>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</si>
  <si>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※ '21.01 선MG 분할인식 금액</t>
    <phoneticPr fontId="1" type="noConversion"/>
  </si>
  <si>
    <t>ㅇ MG차감 내역(회귀의 전설)</t>
    <phoneticPr fontId="1" type="noConversion"/>
  </si>
  <si>
    <t>유통년월</t>
    <phoneticPr fontId="1" type="noConversion"/>
  </si>
  <si>
    <t xml:space="preserve">스토리위즈 매출 </t>
    <phoneticPr fontId="5" type="noConversion"/>
  </si>
  <si>
    <t>MG 잔여</t>
    <phoneticPr fontId="5" type="noConversion"/>
  </si>
  <si>
    <t>※ 2021.05.01 특별계약 1차 체결(국내 MG 5천만원)</t>
    <phoneticPr fontId="1" type="noConversion"/>
  </si>
  <si>
    <t>※ 2021.11 특별계약 2차 체결(국내 MG 5천만원)</t>
    <phoneticPr fontId="1" type="noConversion"/>
  </si>
  <si>
    <t>※ 2022.02 특별계약 3차 체결(국내 MG 5천만원)</t>
    <phoneticPr fontId="1" type="noConversion"/>
  </si>
  <si>
    <t>※ 2022.04 특별계약 4차 체결(국내 MG 5천만원)</t>
    <phoneticPr fontId="1" type="noConversion"/>
  </si>
  <si>
    <t>ㅇ MG차감 내역(착한 언니는 없다)</t>
    <phoneticPr fontId="1" type="noConversion"/>
  </si>
  <si>
    <t>ㅇ MG차감 내역(간신이 나라를 살림)</t>
    <phoneticPr fontId="1" type="noConversion"/>
  </si>
  <si>
    <t xml:space="preserve">선MG </t>
    <phoneticPr fontId="5" type="noConversion"/>
  </si>
  <si>
    <t xml:space="preserve">스토리위즈 매출 </t>
    <phoneticPr fontId="5" type="noConversion"/>
  </si>
  <si>
    <t>ㅇ MG차감 내역(기사가문 망나니는 10클래스)</t>
    <phoneticPr fontId="1" type="noConversion"/>
  </si>
  <si>
    <t>유통년월</t>
    <phoneticPr fontId="1" type="noConversion"/>
  </si>
  <si>
    <t>MG 잔여</t>
    <phoneticPr fontId="5" type="noConversion"/>
  </si>
  <si>
    <t>합계</t>
    <phoneticPr fontId="1" type="noConversion"/>
  </si>
  <si>
    <t>ㅇ MG차감 내역(새파랗게 어린)</t>
    <phoneticPr fontId="1" type="noConversion"/>
  </si>
  <si>
    <t>ㅇ MG차감 내역(황녀, 미친 꽃으로 피어나다)</t>
    <phoneticPr fontId="1" type="noConversion"/>
  </si>
  <si>
    <t>60.00</t>
  </si>
  <si>
    <t>3467</t>
  </si>
  <si>
    <t>스토리위즈_신을 죽이러 갑니다_선투자+2차</t>
  </si>
  <si>
    <t>60200962</t>
  </si>
  <si>
    <t>신을 죽이러 갑니다</t>
  </si>
  <si>
    <t>2022-09-14</t>
  </si>
  <si>
    <t>Voidmap,산개,독고진</t>
  </si>
  <si>
    <t>ㅇ MG차감 내역(신을 죽이러 갑니다)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</si>
</sst>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3" borderId="0" xfId="0" applyNumberFormat="1" applyFill="1">
      <alignment vertic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4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2" xfId="3" applyFont="1" applyFill="1" applyBorder="1">
      <alignment vertical="center"/>
    </xf>
    <xf numFmtId="41" fontId="0" fillId="0" borderId="1" xfId="0" applyNumberFormat="1" applyBorder="1">
      <alignment vertical="center"/>
    </xf>
    <xf numFmtId="41" fontId="6" fillId="0" borderId="1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41" fontId="8" fillId="0" borderId="1" xfId="0" applyNumberFormat="1" applyFont="1" applyFill="1" applyBorder="1">
      <alignment vertical="center"/>
    </xf>
    <xf numFmtId="41" fontId="9" fillId="0" borderId="1" xfId="0" applyNumberFormat="1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41" fontId="10" fillId="0" borderId="1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41" fontId="13" fillId="0" borderId="0" xfId="0" applyNumberFormat="1" applyFont="1">
      <alignment vertical="center"/>
    </xf>
    <xf numFmtId="41" fontId="8" fillId="0" borderId="1" xfId="3" applyFont="1" applyFill="1" applyBorder="1">
      <alignment vertical="center"/>
    </xf>
    <xf numFmtId="3" fontId="0" fillId="0" borderId="1" xfId="0" applyNumberFormat="1" applyBorder="1">
      <alignment vertical="center"/>
    </xf>
    <xf numFmtId="3" fontId="10" fillId="0" borderId="1" xfId="0" applyNumberFormat="1" applyFont="1" applyBorder="1">
      <alignment vertical="center"/>
    </xf>
    <xf numFmtId="41" fontId="8" fillId="0" borderId="2" xfId="3" applyFont="1" applyFill="1" applyBorder="1">
      <alignment vertical="center"/>
    </xf>
    <xf numFmtId="41" fontId="12" fillId="0" borderId="1" xfId="3" applyFont="1" applyFill="1" applyBorder="1">
      <alignment vertical="center"/>
    </xf>
    <xf numFmtId="41" fontId="8" fillId="0" borderId="0" xfId="3" applyFont="1" applyFill="1" applyBorder="1">
      <alignment vertical="center"/>
    </xf>
    <xf numFmtId="41" fontId="9" fillId="0" borderId="1" xfId="3" applyFont="1" applyFill="1" applyBorder="1">
      <alignment vertical="center"/>
    </xf>
    <xf numFmtId="0" fontId="10" fillId="0" borderId="1" xfId="0" applyFont="1" applyBorder="1">
      <alignment vertical="center"/>
    </xf>
    <xf numFmtId="3" fontId="10" fillId="3" borderId="0" xfId="0" applyNumberFormat="1" applyFont="1" applyFill="1">
      <alignment vertical="center"/>
    </xf>
    <xf numFmtId="3" fontId="0" fillId="0" borderId="0" xfId="0" applyNumberFormat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V65"/>
  <sheetViews>
    <sheetView tabSelected="1" zoomScale="73" zoomScaleNormal="73" workbookViewId="0"/>
  </sheetViews>
  <sheetFormatPr defaultRowHeight="16.5" x14ac:dyDescent="0.3"/>
  <cols>
    <col min="5" max="5" width="23.5" bestFit="1" customWidth="1"/>
    <col min="8" max="8" width="48.75" bestFit="1" customWidth="1"/>
    <col min="12" max="12" width="25.75" bestFit="1" customWidth="1"/>
    <col min="47" max="47" width="11.25" bestFit="1" customWidth="1"/>
    <col min="48" max="48" width="8.75" style="3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62</v>
      </c>
      <c r="H2" s="3" t="s">
        <v>95</v>
      </c>
      <c r="I2" s="3" t="s">
        <v>51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52</v>
      </c>
      <c r="O2" s="3" t="s">
        <v>52</v>
      </c>
      <c r="P2" s="3" t="s">
        <v>52</v>
      </c>
      <c r="Q2" s="3" t="s">
        <v>67</v>
      </c>
      <c r="R2" s="3" t="s">
        <v>53</v>
      </c>
      <c r="S2" s="3" t="s">
        <v>54</v>
      </c>
      <c r="T2" s="1">
        <v>12400</v>
      </c>
      <c r="U2" s="1">
        <v>3800</v>
      </c>
      <c r="V2" s="1">
        <v>4800</v>
      </c>
      <c r="W2" s="1">
        <v>8200</v>
      </c>
      <c r="X2" s="1">
        <v>21000</v>
      </c>
      <c r="Y2" s="1">
        <v>8200</v>
      </c>
      <c r="Z2" s="1">
        <v>29200</v>
      </c>
      <c r="AA2" s="1">
        <v>14880</v>
      </c>
      <c r="AB2" s="1">
        <v>3800</v>
      </c>
      <c r="AC2" s="1">
        <v>5760</v>
      </c>
      <c r="AD2" s="1">
        <v>8200</v>
      </c>
      <c r="AE2" s="1">
        <v>24440</v>
      </c>
      <c r="AF2" s="1">
        <v>8200</v>
      </c>
      <c r="AG2" s="1">
        <v>32640</v>
      </c>
      <c r="AH2" s="1">
        <v>13392</v>
      </c>
      <c r="AI2" s="1">
        <v>3686</v>
      </c>
      <c r="AJ2" s="1">
        <v>4032</v>
      </c>
      <c r="AK2" s="1">
        <v>7380</v>
      </c>
      <c r="AL2" s="1">
        <v>21110</v>
      </c>
      <c r="AM2" s="1">
        <v>7380</v>
      </c>
      <c r="AN2" s="1">
        <v>28490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17094</v>
      </c>
      <c r="AT2" s="1">
        <v>0</v>
      </c>
      <c r="AU2" s="1">
        <v>17094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62</v>
      </c>
      <c r="H3" s="3" t="s">
        <v>95</v>
      </c>
      <c r="I3" s="3" t="s">
        <v>51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52</v>
      </c>
      <c r="O3" s="3" t="s">
        <v>52</v>
      </c>
      <c r="P3" s="3" t="s">
        <v>52</v>
      </c>
      <c r="Q3" s="3" t="s">
        <v>67</v>
      </c>
      <c r="R3" s="3" t="s">
        <v>53</v>
      </c>
      <c r="S3" s="3" t="s">
        <v>55</v>
      </c>
      <c r="T3" s="1">
        <v>25200</v>
      </c>
      <c r="U3" s="1">
        <v>18200</v>
      </c>
      <c r="V3" s="1">
        <v>14400</v>
      </c>
      <c r="W3" s="1">
        <v>3000</v>
      </c>
      <c r="X3" s="1">
        <v>57800</v>
      </c>
      <c r="Y3" s="1">
        <v>3000</v>
      </c>
      <c r="Z3" s="1">
        <v>60800</v>
      </c>
      <c r="AA3" s="1">
        <v>30240</v>
      </c>
      <c r="AB3" s="1">
        <v>18200</v>
      </c>
      <c r="AC3" s="1">
        <v>17280</v>
      </c>
      <c r="AD3" s="1">
        <v>3000</v>
      </c>
      <c r="AE3" s="1">
        <v>65720</v>
      </c>
      <c r="AF3" s="1">
        <v>3000</v>
      </c>
      <c r="AG3" s="1">
        <v>68720</v>
      </c>
      <c r="AH3" s="1">
        <v>27216</v>
      </c>
      <c r="AI3" s="1">
        <v>17654</v>
      </c>
      <c r="AJ3" s="1">
        <v>12096</v>
      </c>
      <c r="AK3" s="1">
        <v>2700</v>
      </c>
      <c r="AL3" s="1">
        <v>56966</v>
      </c>
      <c r="AM3" s="1">
        <v>2700</v>
      </c>
      <c r="AN3" s="1">
        <v>59666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35800</v>
      </c>
      <c r="AT3" s="1">
        <v>0</v>
      </c>
      <c r="AU3" s="1">
        <v>35800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62</v>
      </c>
      <c r="H4" s="3" t="s">
        <v>95</v>
      </c>
      <c r="I4" s="3" t="s">
        <v>51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52</v>
      </c>
      <c r="O4" s="3" t="s">
        <v>52</v>
      </c>
      <c r="P4" s="3" t="s">
        <v>52</v>
      </c>
      <c r="Q4" s="3" t="s">
        <v>67</v>
      </c>
      <c r="R4" s="3" t="s">
        <v>53</v>
      </c>
      <c r="S4" s="3" t="s">
        <v>55</v>
      </c>
      <c r="T4" s="1">
        <v>10800</v>
      </c>
      <c r="U4" s="1">
        <v>12000</v>
      </c>
      <c r="V4" s="1">
        <v>10800</v>
      </c>
      <c r="W4" s="1">
        <v>0</v>
      </c>
      <c r="X4" s="1">
        <v>33600</v>
      </c>
      <c r="Y4" s="1">
        <v>0</v>
      </c>
      <c r="Z4" s="1">
        <v>33600</v>
      </c>
      <c r="AA4" s="1">
        <v>12960</v>
      </c>
      <c r="AB4" s="1">
        <v>12000</v>
      </c>
      <c r="AC4" s="1">
        <v>12960</v>
      </c>
      <c r="AD4" s="1">
        <v>0</v>
      </c>
      <c r="AE4" s="1">
        <v>37920</v>
      </c>
      <c r="AF4" s="1">
        <v>0</v>
      </c>
      <c r="AG4" s="1">
        <v>37920</v>
      </c>
      <c r="AH4" s="1">
        <v>11664</v>
      </c>
      <c r="AI4" s="1">
        <v>11640</v>
      </c>
      <c r="AJ4" s="1">
        <v>9072</v>
      </c>
      <c r="AK4" s="1">
        <v>0</v>
      </c>
      <c r="AL4" s="1">
        <v>32376</v>
      </c>
      <c r="AM4" s="1">
        <v>0</v>
      </c>
      <c r="AN4" s="1">
        <v>32376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19425</v>
      </c>
      <c r="AT4" s="1">
        <v>0</v>
      </c>
      <c r="AU4" s="1">
        <v>19425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62</v>
      </c>
      <c r="H5" s="3" t="s">
        <v>95</v>
      </c>
      <c r="I5" s="3" t="s">
        <v>51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52</v>
      </c>
      <c r="O5" s="3" t="s">
        <v>52</v>
      </c>
      <c r="P5" s="3" t="s">
        <v>52</v>
      </c>
      <c r="Q5" s="3" t="s">
        <v>67</v>
      </c>
      <c r="R5" s="3" t="s">
        <v>53</v>
      </c>
      <c r="S5" s="3" t="s">
        <v>55</v>
      </c>
      <c r="T5" s="1">
        <v>54000</v>
      </c>
      <c r="U5" s="1">
        <v>119500</v>
      </c>
      <c r="V5" s="1">
        <v>106800</v>
      </c>
      <c r="W5" s="1">
        <v>100</v>
      </c>
      <c r="X5" s="1">
        <v>280300</v>
      </c>
      <c r="Y5" s="1">
        <v>100</v>
      </c>
      <c r="Z5" s="1">
        <v>280400</v>
      </c>
      <c r="AA5" s="1">
        <v>64800</v>
      </c>
      <c r="AB5" s="1">
        <v>119500</v>
      </c>
      <c r="AC5" s="1">
        <v>128160</v>
      </c>
      <c r="AD5" s="1">
        <v>100</v>
      </c>
      <c r="AE5" s="1">
        <v>312460</v>
      </c>
      <c r="AF5" s="1">
        <v>100</v>
      </c>
      <c r="AG5" s="1">
        <v>312560</v>
      </c>
      <c r="AH5" s="1">
        <v>58320</v>
      </c>
      <c r="AI5" s="1">
        <v>115915</v>
      </c>
      <c r="AJ5" s="1">
        <v>89712</v>
      </c>
      <c r="AK5" s="1">
        <v>90</v>
      </c>
      <c r="AL5" s="1">
        <v>263947</v>
      </c>
      <c r="AM5" s="1">
        <v>90</v>
      </c>
      <c r="AN5" s="1">
        <v>264037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158422</v>
      </c>
      <c r="AT5" s="1">
        <v>0</v>
      </c>
      <c r="AU5" s="1">
        <v>158422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62</v>
      </c>
      <c r="H6" s="3" t="s">
        <v>95</v>
      </c>
      <c r="I6" s="3" t="s">
        <v>51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52</v>
      </c>
      <c r="O6" s="3" t="s">
        <v>52</v>
      </c>
      <c r="P6" s="3" t="s">
        <v>52</v>
      </c>
      <c r="Q6" s="3" t="s">
        <v>67</v>
      </c>
      <c r="R6" s="3" t="s">
        <v>53</v>
      </c>
      <c r="S6" s="3" t="s">
        <v>58</v>
      </c>
      <c r="T6" s="1">
        <v>293350</v>
      </c>
      <c r="U6" s="1">
        <v>192950</v>
      </c>
      <c r="V6" s="1">
        <v>114760</v>
      </c>
      <c r="W6" s="1">
        <v>259540</v>
      </c>
      <c r="X6" s="1">
        <v>601060</v>
      </c>
      <c r="Y6" s="1">
        <v>259540</v>
      </c>
      <c r="Z6" s="1">
        <v>860600</v>
      </c>
      <c r="AA6" s="1">
        <v>352020</v>
      </c>
      <c r="AB6" s="1">
        <v>192950</v>
      </c>
      <c r="AC6" s="1">
        <v>137392</v>
      </c>
      <c r="AD6" s="1">
        <v>259540</v>
      </c>
      <c r="AE6" s="1">
        <v>682362</v>
      </c>
      <c r="AF6" s="1">
        <v>259540</v>
      </c>
      <c r="AG6" s="1">
        <v>941902</v>
      </c>
      <c r="AH6" s="1">
        <v>316818</v>
      </c>
      <c r="AI6" s="1">
        <v>187161.5</v>
      </c>
      <c r="AJ6" s="1">
        <v>96174.399999999994</v>
      </c>
      <c r="AK6" s="1">
        <v>233586</v>
      </c>
      <c r="AL6" s="1">
        <v>600153.9</v>
      </c>
      <c r="AM6" s="1">
        <v>233586</v>
      </c>
      <c r="AN6" s="1">
        <v>833739.9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500245</v>
      </c>
      <c r="AT6" s="1">
        <v>0</v>
      </c>
      <c r="AU6" s="1">
        <v>500245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62</v>
      </c>
      <c r="H7" s="3" t="s">
        <v>95</v>
      </c>
      <c r="I7" s="3" t="s">
        <v>51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52</v>
      </c>
      <c r="O7" s="3" t="s">
        <v>52</v>
      </c>
      <c r="P7" s="3" t="s">
        <v>52</v>
      </c>
      <c r="Q7" s="3" t="s">
        <v>67</v>
      </c>
      <c r="R7" s="3" t="s">
        <v>53</v>
      </c>
      <c r="S7" s="3" t="s">
        <v>59</v>
      </c>
      <c r="T7" s="1">
        <v>304500</v>
      </c>
      <c r="U7" s="1">
        <v>253080</v>
      </c>
      <c r="V7" s="1">
        <v>59000</v>
      </c>
      <c r="W7" s="1">
        <v>96420</v>
      </c>
      <c r="X7" s="1">
        <v>616580</v>
      </c>
      <c r="Y7" s="1">
        <v>96420</v>
      </c>
      <c r="Z7" s="1">
        <v>713000</v>
      </c>
      <c r="AA7" s="1">
        <v>365400</v>
      </c>
      <c r="AB7" s="1">
        <v>253080</v>
      </c>
      <c r="AC7" s="1">
        <v>70650</v>
      </c>
      <c r="AD7" s="1">
        <v>96420</v>
      </c>
      <c r="AE7" s="1">
        <v>689130</v>
      </c>
      <c r="AF7" s="1">
        <v>96420</v>
      </c>
      <c r="AG7" s="1">
        <v>785550</v>
      </c>
      <c r="AH7" s="1">
        <v>328860</v>
      </c>
      <c r="AI7" s="1">
        <v>245487.6</v>
      </c>
      <c r="AJ7" s="1">
        <v>49455</v>
      </c>
      <c r="AK7" s="1">
        <v>86778</v>
      </c>
      <c r="AL7" s="1">
        <v>623802.6</v>
      </c>
      <c r="AM7" s="1">
        <v>86778</v>
      </c>
      <c r="AN7" s="1">
        <v>710580.6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426349</v>
      </c>
      <c r="AT7" s="1">
        <v>0</v>
      </c>
      <c r="AU7" s="1">
        <v>426349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62</v>
      </c>
      <c r="H8" s="3" t="s">
        <v>95</v>
      </c>
      <c r="I8" s="3" t="s">
        <v>51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52</v>
      </c>
      <c r="O8" s="3" t="s">
        <v>52</v>
      </c>
      <c r="P8" s="3" t="s">
        <v>52</v>
      </c>
      <c r="Q8" s="3" t="s">
        <v>67</v>
      </c>
      <c r="R8" s="3" t="s">
        <v>53</v>
      </c>
      <c r="S8" s="3" t="s">
        <v>59</v>
      </c>
      <c r="T8" s="1">
        <v>270390</v>
      </c>
      <c r="U8" s="1">
        <v>198900</v>
      </c>
      <c r="V8" s="1">
        <v>64900</v>
      </c>
      <c r="W8" s="1">
        <v>17210</v>
      </c>
      <c r="X8" s="1">
        <v>534190</v>
      </c>
      <c r="Y8" s="1">
        <v>17210</v>
      </c>
      <c r="Z8" s="1">
        <v>551400</v>
      </c>
      <c r="AA8" s="1">
        <v>324468</v>
      </c>
      <c r="AB8" s="1">
        <v>198900</v>
      </c>
      <c r="AC8" s="1">
        <v>77880</v>
      </c>
      <c r="AD8" s="1">
        <v>17210</v>
      </c>
      <c r="AE8" s="1">
        <v>601248</v>
      </c>
      <c r="AF8" s="1">
        <v>17210</v>
      </c>
      <c r="AG8" s="1">
        <v>618458</v>
      </c>
      <c r="AH8" s="1">
        <v>292021.2</v>
      </c>
      <c r="AI8" s="1">
        <v>192933</v>
      </c>
      <c r="AJ8" s="1">
        <v>54516</v>
      </c>
      <c r="AK8" s="1">
        <v>15489</v>
      </c>
      <c r="AL8" s="1">
        <v>539470.19999999995</v>
      </c>
      <c r="AM8" s="1">
        <v>15489</v>
      </c>
      <c r="AN8" s="1">
        <v>554959.19999999995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332976</v>
      </c>
      <c r="AT8" s="1">
        <v>0</v>
      </c>
      <c r="AU8" s="1">
        <v>332976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62</v>
      </c>
      <c r="H9" s="3" t="s">
        <v>95</v>
      </c>
      <c r="I9" s="3" t="s">
        <v>51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52</v>
      </c>
      <c r="O9" s="3" t="s">
        <v>52</v>
      </c>
      <c r="P9" s="3" t="s">
        <v>52</v>
      </c>
      <c r="Q9" s="3" t="s">
        <v>67</v>
      </c>
      <c r="R9" s="3" t="s">
        <v>53</v>
      </c>
      <c r="S9" s="3" t="s">
        <v>59</v>
      </c>
      <c r="T9" s="1">
        <v>662100</v>
      </c>
      <c r="U9" s="1">
        <v>184580</v>
      </c>
      <c r="V9" s="1">
        <v>101800</v>
      </c>
      <c r="W9" s="1">
        <v>20920</v>
      </c>
      <c r="X9" s="1">
        <v>948480</v>
      </c>
      <c r="Y9" s="1">
        <v>20920</v>
      </c>
      <c r="Z9" s="1">
        <v>969400</v>
      </c>
      <c r="AA9" s="1">
        <v>794520</v>
      </c>
      <c r="AB9" s="1">
        <v>184580</v>
      </c>
      <c r="AC9" s="1">
        <v>122160</v>
      </c>
      <c r="AD9" s="1">
        <v>20920</v>
      </c>
      <c r="AE9" s="1">
        <v>1101260</v>
      </c>
      <c r="AF9" s="1">
        <v>20920</v>
      </c>
      <c r="AG9" s="1">
        <v>1122180</v>
      </c>
      <c r="AH9" s="1">
        <v>715068</v>
      </c>
      <c r="AI9" s="1">
        <v>179042.6</v>
      </c>
      <c r="AJ9" s="1">
        <v>85512</v>
      </c>
      <c r="AK9" s="1">
        <v>18828</v>
      </c>
      <c r="AL9" s="1">
        <v>979622.6</v>
      </c>
      <c r="AM9" s="1">
        <v>18828</v>
      </c>
      <c r="AN9" s="1">
        <v>998450.6</v>
      </c>
      <c r="AO9" s="3" t="s">
        <v>134</v>
      </c>
      <c r="AP9" s="3" t="s">
        <v>134</v>
      </c>
      <c r="AQ9" s="3" t="s">
        <v>134</v>
      </c>
      <c r="AR9" s="3" t="s">
        <v>134</v>
      </c>
      <c r="AS9" s="1">
        <v>599071</v>
      </c>
      <c r="AT9" s="1">
        <v>0</v>
      </c>
      <c r="AU9" s="1">
        <v>599071</v>
      </c>
    </row>
    <row r="10" spans="1:47" s="3" customFormat="1" x14ac:dyDescent="0.3">
      <c r="A10" s="3" t="s">
        <v>46</v>
      </c>
      <c r="B10" s="3" t="s">
        <v>47</v>
      </c>
      <c r="C10" s="3" t="s">
        <v>48</v>
      </c>
      <c r="D10" s="3" t="s">
        <v>61</v>
      </c>
      <c r="E10" s="3" t="s">
        <v>49</v>
      </c>
      <c r="F10" s="3" t="s">
        <v>50</v>
      </c>
      <c r="G10" s="3" t="s">
        <v>68</v>
      </c>
      <c r="H10" s="3" t="s">
        <v>69</v>
      </c>
      <c r="I10" s="3" t="s">
        <v>51</v>
      </c>
      <c r="J10" s="3" t="s">
        <v>63</v>
      </c>
      <c r="K10" s="3" t="s">
        <v>70</v>
      </c>
      <c r="L10" s="3" t="s">
        <v>60</v>
      </c>
      <c r="M10" s="3" t="s">
        <v>71</v>
      </c>
      <c r="N10" s="3" t="s">
        <v>52</v>
      </c>
      <c r="O10" s="3" t="s">
        <v>52</v>
      </c>
      <c r="P10" s="3" t="s">
        <v>52</v>
      </c>
      <c r="Q10" s="3" t="s">
        <v>72</v>
      </c>
      <c r="R10" s="3" t="s">
        <v>53</v>
      </c>
      <c r="S10" s="3" t="s">
        <v>54</v>
      </c>
      <c r="T10" s="1">
        <v>176280</v>
      </c>
      <c r="U10" s="1">
        <v>188080</v>
      </c>
      <c r="V10" s="1">
        <v>25100</v>
      </c>
      <c r="W10" s="1">
        <v>108940</v>
      </c>
      <c r="X10" s="1">
        <v>389460</v>
      </c>
      <c r="Y10" s="1">
        <v>108940</v>
      </c>
      <c r="Z10" s="1">
        <v>498400</v>
      </c>
      <c r="AA10" s="1">
        <v>211536</v>
      </c>
      <c r="AB10" s="1">
        <v>188080</v>
      </c>
      <c r="AC10" s="1">
        <v>30070</v>
      </c>
      <c r="AD10" s="1">
        <v>108940</v>
      </c>
      <c r="AE10" s="1">
        <v>429686</v>
      </c>
      <c r="AF10" s="1">
        <v>108940</v>
      </c>
      <c r="AG10" s="1">
        <v>538626</v>
      </c>
      <c r="AH10" s="1">
        <v>190382.4</v>
      </c>
      <c r="AI10" s="1">
        <v>182437.6</v>
      </c>
      <c r="AJ10" s="1">
        <v>21049</v>
      </c>
      <c r="AK10" s="1">
        <v>98046</v>
      </c>
      <c r="AL10" s="1">
        <v>393869</v>
      </c>
      <c r="AM10" s="1">
        <v>98046</v>
      </c>
      <c r="AN10" s="1">
        <v>491915</v>
      </c>
      <c r="AO10" s="3" t="s">
        <v>134</v>
      </c>
      <c r="AP10" s="3" t="s">
        <v>134</v>
      </c>
      <c r="AQ10" s="3" t="s">
        <v>134</v>
      </c>
      <c r="AR10" s="3" t="s">
        <v>134</v>
      </c>
      <c r="AS10" s="1">
        <v>295149</v>
      </c>
      <c r="AT10" s="1">
        <v>0</v>
      </c>
      <c r="AU10" s="1">
        <v>295149</v>
      </c>
    </row>
    <row r="11" spans="1:47" s="3" customFormat="1" x14ac:dyDescent="0.3">
      <c r="A11" s="3" t="s">
        <v>46</v>
      </c>
      <c r="B11" s="3" t="s">
        <v>47</v>
      </c>
      <c r="C11" s="3" t="s">
        <v>48</v>
      </c>
      <c r="D11" s="3" t="s">
        <v>61</v>
      </c>
      <c r="E11" s="3" t="s">
        <v>49</v>
      </c>
      <c r="F11" s="3" t="s">
        <v>50</v>
      </c>
      <c r="G11" s="3" t="s">
        <v>68</v>
      </c>
      <c r="H11" s="3" t="s">
        <v>69</v>
      </c>
      <c r="I11" s="3" t="s">
        <v>51</v>
      </c>
      <c r="J11" s="3" t="s">
        <v>63</v>
      </c>
      <c r="K11" s="3" t="s">
        <v>70</v>
      </c>
      <c r="L11" s="3" t="s">
        <v>60</v>
      </c>
      <c r="M11" s="3" t="s">
        <v>71</v>
      </c>
      <c r="N11" s="3" t="s">
        <v>52</v>
      </c>
      <c r="O11" s="3" t="s">
        <v>52</v>
      </c>
      <c r="P11" s="3" t="s">
        <v>52</v>
      </c>
      <c r="Q11" s="3" t="s">
        <v>72</v>
      </c>
      <c r="R11" s="3" t="s">
        <v>53</v>
      </c>
      <c r="S11" s="3" t="s">
        <v>55</v>
      </c>
      <c r="T11" s="1">
        <v>79200</v>
      </c>
      <c r="U11" s="1">
        <v>281640</v>
      </c>
      <c r="V11" s="1">
        <v>10800</v>
      </c>
      <c r="W11" s="1">
        <v>15160</v>
      </c>
      <c r="X11" s="1">
        <v>371640</v>
      </c>
      <c r="Y11" s="1">
        <v>15160</v>
      </c>
      <c r="Z11" s="1">
        <v>386800</v>
      </c>
      <c r="AA11" s="1">
        <v>95040</v>
      </c>
      <c r="AB11" s="1">
        <v>281640</v>
      </c>
      <c r="AC11" s="1">
        <v>12960</v>
      </c>
      <c r="AD11" s="1">
        <v>15160</v>
      </c>
      <c r="AE11" s="1">
        <v>389640</v>
      </c>
      <c r="AF11" s="1">
        <v>15160</v>
      </c>
      <c r="AG11" s="1">
        <v>404800</v>
      </c>
      <c r="AH11" s="1">
        <v>85536</v>
      </c>
      <c r="AI11" s="1">
        <v>273190.8</v>
      </c>
      <c r="AJ11" s="1">
        <v>9072</v>
      </c>
      <c r="AK11" s="1">
        <v>13644</v>
      </c>
      <c r="AL11" s="1">
        <v>367798.8</v>
      </c>
      <c r="AM11" s="1">
        <v>13644</v>
      </c>
      <c r="AN11" s="1">
        <v>381442.8</v>
      </c>
      <c r="AO11" s="3" t="s">
        <v>134</v>
      </c>
      <c r="AP11" s="3" t="s">
        <v>134</v>
      </c>
      <c r="AQ11" s="3" t="s">
        <v>134</v>
      </c>
      <c r="AR11" s="3" t="s">
        <v>134</v>
      </c>
      <c r="AS11" s="1">
        <v>228865</v>
      </c>
      <c r="AT11" s="1">
        <v>0</v>
      </c>
      <c r="AU11" s="1">
        <v>228865</v>
      </c>
    </row>
    <row r="12" spans="1:47" s="3" customFormat="1" x14ac:dyDescent="0.3">
      <c r="A12" s="3" t="s">
        <v>46</v>
      </c>
      <c r="B12" s="3" t="s">
        <v>47</v>
      </c>
      <c r="C12" s="3" t="s">
        <v>48</v>
      </c>
      <c r="D12" s="3" t="s">
        <v>61</v>
      </c>
      <c r="E12" s="3" t="s">
        <v>49</v>
      </c>
      <c r="F12" s="3" t="s">
        <v>50</v>
      </c>
      <c r="G12" s="3" t="s">
        <v>68</v>
      </c>
      <c r="H12" s="3" t="s">
        <v>69</v>
      </c>
      <c r="I12" s="3" t="s">
        <v>51</v>
      </c>
      <c r="J12" s="3" t="s">
        <v>63</v>
      </c>
      <c r="K12" s="3" t="s">
        <v>70</v>
      </c>
      <c r="L12" s="3" t="s">
        <v>60</v>
      </c>
      <c r="M12" s="3" t="s">
        <v>71</v>
      </c>
      <c r="N12" s="3" t="s">
        <v>52</v>
      </c>
      <c r="O12" s="3" t="s">
        <v>52</v>
      </c>
      <c r="P12" s="3" t="s">
        <v>52</v>
      </c>
      <c r="Q12" s="3" t="s">
        <v>72</v>
      </c>
      <c r="R12" s="3" t="s">
        <v>53</v>
      </c>
      <c r="S12" s="3" t="s">
        <v>55</v>
      </c>
      <c r="T12" s="1">
        <v>43200</v>
      </c>
      <c r="U12" s="1">
        <v>113000</v>
      </c>
      <c r="V12" s="1">
        <v>0</v>
      </c>
      <c r="W12" s="1">
        <v>5800</v>
      </c>
      <c r="X12" s="1">
        <v>156200</v>
      </c>
      <c r="Y12" s="1">
        <v>5800</v>
      </c>
      <c r="Z12" s="1">
        <v>162000</v>
      </c>
      <c r="AA12" s="1">
        <v>51840</v>
      </c>
      <c r="AB12" s="1">
        <v>113000</v>
      </c>
      <c r="AC12" s="1">
        <v>0</v>
      </c>
      <c r="AD12" s="1">
        <v>5800</v>
      </c>
      <c r="AE12" s="1">
        <v>164840</v>
      </c>
      <c r="AF12" s="1">
        <v>5800</v>
      </c>
      <c r="AG12" s="1">
        <v>170640</v>
      </c>
      <c r="AH12" s="1">
        <v>46656</v>
      </c>
      <c r="AI12" s="1">
        <v>109610</v>
      </c>
      <c r="AJ12" s="1">
        <v>0</v>
      </c>
      <c r="AK12" s="1">
        <v>5220</v>
      </c>
      <c r="AL12" s="1">
        <v>156266</v>
      </c>
      <c r="AM12" s="1">
        <v>5220</v>
      </c>
      <c r="AN12" s="1">
        <v>161486</v>
      </c>
      <c r="AO12" s="3" t="s">
        <v>134</v>
      </c>
      <c r="AP12" s="3" t="s">
        <v>134</v>
      </c>
      <c r="AQ12" s="3" t="s">
        <v>134</v>
      </c>
      <c r="AR12" s="3" t="s">
        <v>134</v>
      </c>
      <c r="AS12" s="1">
        <v>96892</v>
      </c>
      <c r="AT12" s="1">
        <v>0</v>
      </c>
      <c r="AU12" s="1">
        <v>96892</v>
      </c>
    </row>
    <row r="13" spans="1:47" s="3" customFormat="1" x14ac:dyDescent="0.3">
      <c r="A13" s="3" t="s">
        <v>46</v>
      </c>
      <c r="B13" s="3" t="s">
        <v>47</v>
      </c>
      <c r="C13" s="3" t="s">
        <v>48</v>
      </c>
      <c r="D13" s="3" t="s">
        <v>61</v>
      </c>
      <c r="E13" s="3" t="s">
        <v>49</v>
      </c>
      <c r="F13" s="3" t="s">
        <v>50</v>
      </c>
      <c r="G13" s="3" t="s">
        <v>68</v>
      </c>
      <c r="H13" s="3" t="s">
        <v>69</v>
      </c>
      <c r="I13" s="3" t="s">
        <v>51</v>
      </c>
      <c r="J13" s="3" t="s">
        <v>63</v>
      </c>
      <c r="K13" s="3" t="s">
        <v>70</v>
      </c>
      <c r="L13" s="3" t="s">
        <v>60</v>
      </c>
      <c r="M13" s="3" t="s">
        <v>71</v>
      </c>
      <c r="N13" s="3" t="s">
        <v>52</v>
      </c>
      <c r="O13" s="3" t="s">
        <v>52</v>
      </c>
      <c r="P13" s="3" t="s">
        <v>52</v>
      </c>
      <c r="Q13" s="3" t="s">
        <v>72</v>
      </c>
      <c r="R13" s="3" t="s">
        <v>53</v>
      </c>
      <c r="S13" s="3" t="s">
        <v>55</v>
      </c>
      <c r="T13" s="1">
        <v>179700</v>
      </c>
      <c r="U13" s="1">
        <v>107600</v>
      </c>
      <c r="V13" s="1">
        <v>84200</v>
      </c>
      <c r="W13" s="1">
        <v>8500</v>
      </c>
      <c r="X13" s="1">
        <v>371500</v>
      </c>
      <c r="Y13" s="1">
        <v>8500</v>
      </c>
      <c r="Z13" s="1">
        <v>380000</v>
      </c>
      <c r="AA13" s="1">
        <v>215640</v>
      </c>
      <c r="AB13" s="1">
        <v>107600</v>
      </c>
      <c r="AC13" s="1">
        <v>101040</v>
      </c>
      <c r="AD13" s="1">
        <v>8500</v>
      </c>
      <c r="AE13" s="1">
        <v>424280</v>
      </c>
      <c r="AF13" s="1">
        <v>8500</v>
      </c>
      <c r="AG13" s="1">
        <v>432780</v>
      </c>
      <c r="AH13" s="1">
        <v>194076</v>
      </c>
      <c r="AI13" s="1">
        <v>104372</v>
      </c>
      <c r="AJ13" s="1">
        <v>70728</v>
      </c>
      <c r="AK13" s="1">
        <v>7650</v>
      </c>
      <c r="AL13" s="1">
        <v>369176</v>
      </c>
      <c r="AM13" s="1">
        <v>7650</v>
      </c>
      <c r="AN13" s="1">
        <v>376826</v>
      </c>
      <c r="AO13" s="3" t="s">
        <v>134</v>
      </c>
      <c r="AP13" s="3" t="s">
        <v>134</v>
      </c>
      <c r="AQ13" s="3" t="s">
        <v>134</v>
      </c>
      <c r="AR13" s="3" t="s">
        <v>134</v>
      </c>
      <c r="AS13" s="1">
        <v>226096</v>
      </c>
      <c r="AT13" s="1">
        <v>0</v>
      </c>
      <c r="AU13" s="1">
        <v>226096</v>
      </c>
    </row>
    <row r="14" spans="1:47" s="3" customFormat="1" x14ac:dyDescent="0.3">
      <c r="A14" s="3" t="s">
        <v>46</v>
      </c>
      <c r="B14" s="3" t="s">
        <v>47</v>
      </c>
      <c r="C14" s="3" t="s">
        <v>48</v>
      </c>
      <c r="D14" s="3" t="s">
        <v>61</v>
      </c>
      <c r="E14" s="3" t="s">
        <v>49</v>
      </c>
      <c r="F14" s="3" t="s">
        <v>50</v>
      </c>
      <c r="G14" s="3" t="s">
        <v>68</v>
      </c>
      <c r="H14" s="3" t="s">
        <v>69</v>
      </c>
      <c r="I14" s="3" t="s">
        <v>51</v>
      </c>
      <c r="J14" s="3" t="s">
        <v>63</v>
      </c>
      <c r="K14" s="3" t="s">
        <v>70</v>
      </c>
      <c r="L14" s="3" t="s">
        <v>60</v>
      </c>
      <c r="M14" s="3" t="s">
        <v>71</v>
      </c>
      <c r="N14" s="3" t="s">
        <v>52</v>
      </c>
      <c r="O14" s="3" t="s">
        <v>52</v>
      </c>
      <c r="P14" s="3" t="s">
        <v>52</v>
      </c>
      <c r="Q14" s="3" t="s">
        <v>72</v>
      </c>
      <c r="R14" s="3" t="s">
        <v>53</v>
      </c>
      <c r="S14" s="3" t="s">
        <v>58</v>
      </c>
      <c r="T14" s="1">
        <v>4275900</v>
      </c>
      <c r="U14" s="1">
        <v>3377510</v>
      </c>
      <c r="V14" s="1">
        <v>639780</v>
      </c>
      <c r="W14" s="1">
        <v>4337010</v>
      </c>
      <c r="X14" s="1">
        <v>8293190</v>
      </c>
      <c r="Y14" s="1">
        <v>4337010</v>
      </c>
      <c r="Z14" s="1">
        <v>12630200</v>
      </c>
      <c r="AA14" s="1">
        <v>5131080</v>
      </c>
      <c r="AB14" s="1">
        <v>3377510</v>
      </c>
      <c r="AC14" s="1">
        <v>766031</v>
      </c>
      <c r="AD14" s="1">
        <v>4337010</v>
      </c>
      <c r="AE14" s="1">
        <v>9274621</v>
      </c>
      <c r="AF14" s="1">
        <v>4337010</v>
      </c>
      <c r="AG14" s="1">
        <v>13611631</v>
      </c>
      <c r="AH14" s="1">
        <v>4617972</v>
      </c>
      <c r="AI14" s="1">
        <v>3276184.7</v>
      </c>
      <c r="AJ14" s="1">
        <v>536221.69999999995</v>
      </c>
      <c r="AK14" s="1">
        <v>3903309</v>
      </c>
      <c r="AL14" s="1">
        <v>8430378.4000000004</v>
      </c>
      <c r="AM14" s="1">
        <v>3903309</v>
      </c>
      <c r="AN14" s="1">
        <v>12333687.4</v>
      </c>
      <c r="AO14" s="3" t="s">
        <v>134</v>
      </c>
      <c r="AP14" s="3" t="s">
        <v>134</v>
      </c>
      <c r="AQ14" s="3" t="s">
        <v>134</v>
      </c>
      <c r="AR14" s="3" t="s">
        <v>134</v>
      </c>
      <c r="AS14" s="1">
        <v>7400212</v>
      </c>
      <c r="AT14" s="1">
        <v>0</v>
      </c>
      <c r="AU14" s="1">
        <v>7400212</v>
      </c>
    </row>
    <row r="15" spans="1:47" s="3" customFormat="1" x14ac:dyDescent="0.3">
      <c r="A15" s="3" t="s">
        <v>46</v>
      </c>
      <c r="B15" s="3" t="s">
        <v>47</v>
      </c>
      <c r="C15" s="3" t="s">
        <v>48</v>
      </c>
      <c r="D15" s="3" t="s">
        <v>61</v>
      </c>
      <c r="E15" s="3" t="s">
        <v>49</v>
      </c>
      <c r="F15" s="3" t="s">
        <v>50</v>
      </c>
      <c r="G15" s="3" t="s">
        <v>68</v>
      </c>
      <c r="H15" s="3" t="s">
        <v>69</v>
      </c>
      <c r="I15" s="3" t="s">
        <v>51</v>
      </c>
      <c r="J15" s="3" t="s">
        <v>63</v>
      </c>
      <c r="K15" s="3" t="s">
        <v>70</v>
      </c>
      <c r="L15" s="3" t="s">
        <v>60</v>
      </c>
      <c r="M15" s="3" t="s">
        <v>71</v>
      </c>
      <c r="N15" s="3" t="s">
        <v>52</v>
      </c>
      <c r="O15" s="3" t="s">
        <v>52</v>
      </c>
      <c r="P15" s="3" t="s">
        <v>52</v>
      </c>
      <c r="Q15" s="3" t="s">
        <v>72</v>
      </c>
      <c r="R15" s="3" t="s">
        <v>53</v>
      </c>
      <c r="S15" s="3" t="s">
        <v>59</v>
      </c>
      <c r="T15" s="1">
        <v>2505040</v>
      </c>
      <c r="U15" s="1">
        <v>2700270</v>
      </c>
      <c r="V15" s="1">
        <v>314180</v>
      </c>
      <c r="W15" s="1">
        <v>975710</v>
      </c>
      <c r="X15" s="1">
        <v>5519490</v>
      </c>
      <c r="Y15" s="1">
        <v>975710</v>
      </c>
      <c r="Z15" s="1">
        <v>6495200</v>
      </c>
      <c r="AA15" s="1">
        <v>3006048</v>
      </c>
      <c r="AB15" s="1">
        <v>2700270</v>
      </c>
      <c r="AC15" s="1">
        <v>375791</v>
      </c>
      <c r="AD15" s="1">
        <v>975710</v>
      </c>
      <c r="AE15" s="1">
        <v>6082109</v>
      </c>
      <c r="AF15" s="1">
        <v>975710</v>
      </c>
      <c r="AG15" s="1">
        <v>7057819</v>
      </c>
      <c r="AH15" s="1">
        <v>2705443.2</v>
      </c>
      <c r="AI15" s="1">
        <v>2619261.9</v>
      </c>
      <c r="AJ15" s="1">
        <v>263053.7</v>
      </c>
      <c r="AK15" s="1">
        <v>878139</v>
      </c>
      <c r="AL15" s="1">
        <v>5587758.7999999998</v>
      </c>
      <c r="AM15" s="1">
        <v>878139</v>
      </c>
      <c r="AN15" s="1">
        <v>6465897.7999999998</v>
      </c>
      <c r="AO15" s="3" t="s">
        <v>134</v>
      </c>
      <c r="AP15" s="3" t="s">
        <v>134</v>
      </c>
      <c r="AQ15" s="3" t="s">
        <v>134</v>
      </c>
      <c r="AR15" s="3" t="s">
        <v>134</v>
      </c>
      <c r="AS15" s="1">
        <v>3879538</v>
      </c>
      <c r="AT15" s="1">
        <v>0</v>
      </c>
      <c r="AU15" s="1">
        <v>3879538</v>
      </c>
    </row>
    <row r="16" spans="1:47" s="3" customFormat="1" x14ac:dyDescent="0.3">
      <c r="A16" s="3" t="s">
        <v>46</v>
      </c>
      <c r="B16" s="3" t="s">
        <v>47</v>
      </c>
      <c r="C16" s="3" t="s">
        <v>48</v>
      </c>
      <c r="D16" s="3" t="s">
        <v>61</v>
      </c>
      <c r="E16" s="3" t="s">
        <v>49</v>
      </c>
      <c r="F16" s="3" t="s">
        <v>50</v>
      </c>
      <c r="G16" s="3" t="s">
        <v>68</v>
      </c>
      <c r="H16" s="3" t="s">
        <v>69</v>
      </c>
      <c r="I16" s="3" t="s">
        <v>51</v>
      </c>
      <c r="J16" s="3" t="s">
        <v>63</v>
      </c>
      <c r="K16" s="3" t="s">
        <v>70</v>
      </c>
      <c r="L16" s="3" t="s">
        <v>60</v>
      </c>
      <c r="M16" s="3" t="s">
        <v>71</v>
      </c>
      <c r="N16" s="3" t="s">
        <v>52</v>
      </c>
      <c r="O16" s="3" t="s">
        <v>52</v>
      </c>
      <c r="P16" s="3" t="s">
        <v>52</v>
      </c>
      <c r="Q16" s="3" t="s">
        <v>72</v>
      </c>
      <c r="R16" s="3" t="s">
        <v>53</v>
      </c>
      <c r="S16" s="3" t="s">
        <v>59</v>
      </c>
      <c r="T16" s="1">
        <v>774080</v>
      </c>
      <c r="U16" s="1">
        <v>762680</v>
      </c>
      <c r="V16" s="1">
        <v>181740</v>
      </c>
      <c r="W16" s="1">
        <v>132100</v>
      </c>
      <c r="X16" s="1">
        <v>1718500</v>
      </c>
      <c r="Y16" s="1">
        <v>132100</v>
      </c>
      <c r="Z16" s="1">
        <v>1850600</v>
      </c>
      <c r="AA16" s="1">
        <v>928896</v>
      </c>
      <c r="AB16" s="1">
        <v>762680</v>
      </c>
      <c r="AC16" s="1">
        <v>216888</v>
      </c>
      <c r="AD16" s="1">
        <v>132100</v>
      </c>
      <c r="AE16" s="1">
        <v>1908464</v>
      </c>
      <c r="AF16" s="1">
        <v>132100</v>
      </c>
      <c r="AG16" s="1">
        <v>2040564</v>
      </c>
      <c r="AH16" s="1">
        <v>836006.40000000002</v>
      </c>
      <c r="AI16" s="1">
        <v>739799.6</v>
      </c>
      <c r="AJ16" s="1">
        <v>151821.6</v>
      </c>
      <c r="AK16" s="1">
        <v>118890</v>
      </c>
      <c r="AL16" s="1">
        <v>1727627.6</v>
      </c>
      <c r="AM16" s="1">
        <v>118890</v>
      </c>
      <c r="AN16" s="1">
        <v>1846517.6</v>
      </c>
      <c r="AO16" s="3" t="s">
        <v>134</v>
      </c>
      <c r="AP16" s="3" t="s">
        <v>134</v>
      </c>
      <c r="AQ16" s="3" t="s">
        <v>134</v>
      </c>
      <c r="AR16" s="3" t="s">
        <v>134</v>
      </c>
      <c r="AS16" s="1">
        <v>1107911</v>
      </c>
      <c r="AT16" s="1">
        <v>0</v>
      </c>
      <c r="AU16" s="1">
        <v>1107911</v>
      </c>
    </row>
    <row r="17" spans="1:47" s="3" customFormat="1" x14ac:dyDescent="0.3">
      <c r="A17" s="3" t="s">
        <v>46</v>
      </c>
      <c r="B17" s="3" t="s">
        <v>47</v>
      </c>
      <c r="C17" s="3" t="s">
        <v>48</v>
      </c>
      <c r="D17" s="3" t="s">
        <v>61</v>
      </c>
      <c r="E17" s="3" t="s">
        <v>49</v>
      </c>
      <c r="F17" s="3" t="s">
        <v>50</v>
      </c>
      <c r="G17" s="3" t="s">
        <v>68</v>
      </c>
      <c r="H17" s="3" t="s">
        <v>69</v>
      </c>
      <c r="I17" s="3" t="s">
        <v>51</v>
      </c>
      <c r="J17" s="3" t="s">
        <v>63</v>
      </c>
      <c r="K17" s="3" t="s">
        <v>70</v>
      </c>
      <c r="L17" s="3" t="s">
        <v>60</v>
      </c>
      <c r="M17" s="3" t="s">
        <v>71</v>
      </c>
      <c r="N17" s="3" t="s">
        <v>52</v>
      </c>
      <c r="O17" s="3" t="s">
        <v>52</v>
      </c>
      <c r="P17" s="3" t="s">
        <v>52</v>
      </c>
      <c r="Q17" s="3" t="s">
        <v>72</v>
      </c>
      <c r="R17" s="3" t="s">
        <v>53</v>
      </c>
      <c r="S17" s="3" t="s">
        <v>59</v>
      </c>
      <c r="T17" s="1">
        <v>1415510</v>
      </c>
      <c r="U17" s="1">
        <v>843490</v>
      </c>
      <c r="V17" s="1">
        <v>190000</v>
      </c>
      <c r="W17" s="1">
        <v>78600</v>
      </c>
      <c r="X17" s="1">
        <v>2449000</v>
      </c>
      <c r="Y17" s="1">
        <v>78600</v>
      </c>
      <c r="Z17" s="1">
        <v>2527600</v>
      </c>
      <c r="AA17" s="1">
        <v>1698612</v>
      </c>
      <c r="AB17" s="1">
        <v>843490</v>
      </c>
      <c r="AC17" s="1">
        <v>227660</v>
      </c>
      <c r="AD17" s="1">
        <v>78600</v>
      </c>
      <c r="AE17" s="1">
        <v>2769762</v>
      </c>
      <c r="AF17" s="1">
        <v>78600</v>
      </c>
      <c r="AG17" s="1">
        <v>2848362</v>
      </c>
      <c r="AH17" s="1">
        <v>1528750.8</v>
      </c>
      <c r="AI17" s="1">
        <v>818185.3</v>
      </c>
      <c r="AJ17" s="1">
        <v>159362</v>
      </c>
      <c r="AK17" s="1">
        <v>70740</v>
      </c>
      <c r="AL17" s="1">
        <v>2506298.1</v>
      </c>
      <c r="AM17" s="1">
        <v>70740</v>
      </c>
      <c r="AN17" s="1">
        <v>2577038.1</v>
      </c>
      <c r="AO17" s="3" t="s">
        <v>134</v>
      </c>
      <c r="AP17" s="3" t="s">
        <v>134</v>
      </c>
      <c r="AQ17" s="3" t="s">
        <v>134</v>
      </c>
      <c r="AR17" s="3" t="s">
        <v>134</v>
      </c>
      <c r="AS17" s="1">
        <v>1546222</v>
      </c>
      <c r="AT17" s="1">
        <v>0</v>
      </c>
      <c r="AU17" s="1">
        <v>1546222</v>
      </c>
    </row>
    <row r="18" spans="1:47" s="3" customFormat="1" x14ac:dyDescent="0.3">
      <c r="A18" s="3" t="s">
        <v>46</v>
      </c>
      <c r="B18" s="3" t="s">
        <v>47</v>
      </c>
      <c r="C18" s="3" t="s">
        <v>48</v>
      </c>
      <c r="D18" s="3" t="s">
        <v>61</v>
      </c>
      <c r="E18" s="3" t="s">
        <v>49</v>
      </c>
      <c r="F18" s="3" t="s">
        <v>50</v>
      </c>
      <c r="G18" s="3" t="s">
        <v>96</v>
      </c>
      <c r="H18" s="3" t="s">
        <v>97</v>
      </c>
      <c r="I18" s="3" t="s">
        <v>51</v>
      </c>
      <c r="J18" s="3" t="s">
        <v>63</v>
      </c>
      <c r="K18" s="3" t="s">
        <v>98</v>
      </c>
      <c r="L18" s="3" t="s">
        <v>99</v>
      </c>
      <c r="M18" s="3" t="s">
        <v>100</v>
      </c>
      <c r="N18" s="3" t="s">
        <v>52</v>
      </c>
      <c r="O18" s="3" t="s">
        <v>52</v>
      </c>
      <c r="P18" s="3" t="s">
        <v>52</v>
      </c>
      <c r="Q18" s="3" t="s">
        <v>101</v>
      </c>
      <c r="R18" s="3" t="s">
        <v>53</v>
      </c>
      <c r="S18" s="3" t="s">
        <v>54</v>
      </c>
      <c r="T18" s="1">
        <v>304460</v>
      </c>
      <c r="U18" s="1">
        <v>440660</v>
      </c>
      <c r="V18" s="1">
        <v>59000</v>
      </c>
      <c r="W18" s="1">
        <v>83380</v>
      </c>
      <c r="X18" s="1">
        <v>804120</v>
      </c>
      <c r="Y18" s="1">
        <v>83380</v>
      </c>
      <c r="Z18" s="1">
        <v>887500</v>
      </c>
      <c r="AA18" s="1">
        <v>365352</v>
      </c>
      <c r="AB18" s="1">
        <v>440660</v>
      </c>
      <c r="AC18" s="1">
        <v>70800</v>
      </c>
      <c r="AD18" s="1">
        <v>83380</v>
      </c>
      <c r="AE18" s="1">
        <v>876812</v>
      </c>
      <c r="AF18" s="1">
        <v>83380</v>
      </c>
      <c r="AG18" s="1">
        <v>960192</v>
      </c>
      <c r="AH18" s="1">
        <v>328816.8</v>
      </c>
      <c r="AI18" s="1">
        <v>427440.2</v>
      </c>
      <c r="AJ18" s="1">
        <v>49560</v>
      </c>
      <c r="AK18" s="1">
        <v>75042</v>
      </c>
      <c r="AL18" s="1">
        <v>805817</v>
      </c>
      <c r="AM18" s="1">
        <v>75042</v>
      </c>
      <c r="AN18" s="1">
        <v>880859</v>
      </c>
      <c r="AO18" s="3" t="s">
        <v>134</v>
      </c>
      <c r="AP18" s="3" t="s">
        <v>134</v>
      </c>
      <c r="AQ18" s="3" t="s">
        <v>134</v>
      </c>
      <c r="AR18" s="3" t="s">
        <v>134</v>
      </c>
      <c r="AS18" s="1">
        <v>528515</v>
      </c>
      <c r="AT18" s="1">
        <v>0</v>
      </c>
      <c r="AU18" s="1">
        <v>528515</v>
      </c>
    </row>
    <row r="19" spans="1:47" s="3" customFormat="1" x14ac:dyDescent="0.3">
      <c r="A19" s="3" t="s">
        <v>46</v>
      </c>
      <c r="B19" s="3" t="s">
        <v>47</v>
      </c>
      <c r="C19" s="3" t="s">
        <v>48</v>
      </c>
      <c r="D19" s="3" t="s">
        <v>61</v>
      </c>
      <c r="E19" s="3" t="s">
        <v>49</v>
      </c>
      <c r="F19" s="3" t="s">
        <v>50</v>
      </c>
      <c r="G19" s="3" t="s">
        <v>96</v>
      </c>
      <c r="H19" s="3" t="s">
        <v>97</v>
      </c>
      <c r="I19" s="3" t="s">
        <v>51</v>
      </c>
      <c r="J19" s="3" t="s">
        <v>63</v>
      </c>
      <c r="K19" s="3" t="s">
        <v>98</v>
      </c>
      <c r="L19" s="3" t="s">
        <v>99</v>
      </c>
      <c r="M19" s="3" t="s">
        <v>100</v>
      </c>
      <c r="N19" s="3" t="s">
        <v>52</v>
      </c>
      <c r="O19" s="3" t="s">
        <v>52</v>
      </c>
      <c r="P19" s="3" t="s">
        <v>52</v>
      </c>
      <c r="Q19" s="3" t="s">
        <v>101</v>
      </c>
      <c r="R19" s="3" t="s">
        <v>53</v>
      </c>
      <c r="S19" s="3" t="s">
        <v>55</v>
      </c>
      <c r="T19" s="1">
        <v>134300</v>
      </c>
      <c r="U19" s="1">
        <v>576280</v>
      </c>
      <c r="V19" s="1">
        <v>31210</v>
      </c>
      <c r="W19" s="1">
        <v>54210</v>
      </c>
      <c r="X19" s="1">
        <v>741790</v>
      </c>
      <c r="Y19" s="1">
        <v>54210</v>
      </c>
      <c r="Z19" s="1">
        <v>796000</v>
      </c>
      <c r="AA19" s="1">
        <v>161160</v>
      </c>
      <c r="AB19" s="1">
        <v>576280</v>
      </c>
      <c r="AC19" s="1">
        <v>37452</v>
      </c>
      <c r="AD19" s="1">
        <v>54210</v>
      </c>
      <c r="AE19" s="1">
        <v>774892</v>
      </c>
      <c r="AF19" s="1">
        <v>54210</v>
      </c>
      <c r="AG19" s="1">
        <v>829102</v>
      </c>
      <c r="AH19" s="1">
        <v>145044</v>
      </c>
      <c r="AI19" s="1">
        <v>558991.6</v>
      </c>
      <c r="AJ19" s="1">
        <v>26216.400000000001</v>
      </c>
      <c r="AK19" s="1">
        <v>48789</v>
      </c>
      <c r="AL19" s="1">
        <v>730252</v>
      </c>
      <c r="AM19" s="1">
        <v>48789</v>
      </c>
      <c r="AN19" s="1">
        <v>779041</v>
      </c>
      <c r="AO19" s="3" t="s">
        <v>134</v>
      </c>
      <c r="AP19" s="3" t="s">
        <v>134</v>
      </c>
      <c r="AQ19" s="3" t="s">
        <v>134</v>
      </c>
      <c r="AR19" s="3" t="s">
        <v>134</v>
      </c>
      <c r="AS19" s="1">
        <v>467424</v>
      </c>
      <c r="AT19" s="1">
        <v>0</v>
      </c>
      <c r="AU19" s="1">
        <v>467424</v>
      </c>
    </row>
    <row r="20" spans="1:47" s="3" customFormat="1" x14ac:dyDescent="0.3">
      <c r="A20" s="3" t="s">
        <v>46</v>
      </c>
      <c r="B20" s="3" t="s">
        <v>47</v>
      </c>
      <c r="C20" s="3" t="s">
        <v>48</v>
      </c>
      <c r="D20" s="3" t="s">
        <v>61</v>
      </c>
      <c r="E20" s="3" t="s">
        <v>49</v>
      </c>
      <c r="F20" s="3" t="s">
        <v>50</v>
      </c>
      <c r="G20" s="3" t="s">
        <v>96</v>
      </c>
      <c r="H20" s="3" t="s">
        <v>97</v>
      </c>
      <c r="I20" s="3" t="s">
        <v>51</v>
      </c>
      <c r="J20" s="3" t="s">
        <v>63</v>
      </c>
      <c r="K20" s="3" t="s">
        <v>98</v>
      </c>
      <c r="L20" s="3" t="s">
        <v>99</v>
      </c>
      <c r="M20" s="3" t="s">
        <v>100</v>
      </c>
      <c r="N20" s="3" t="s">
        <v>52</v>
      </c>
      <c r="O20" s="3" t="s">
        <v>52</v>
      </c>
      <c r="P20" s="3" t="s">
        <v>52</v>
      </c>
      <c r="Q20" s="3" t="s">
        <v>101</v>
      </c>
      <c r="R20" s="3" t="s">
        <v>53</v>
      </c>
      <c r="S20" s="3" t="s">
        <v>55</v>
      </c>
      <c r="T20" s="1">
        <v>89900</v>
      </c>
      <c r="U20" s="1">
        <v>172300</v>
      </c>
      <c r="V20" s="1">
        <v>42300</v>
      </c>
      <c r="W20" s="1">
        <v>26500</v>
      </c>
      <c r="X20" s="1">
        <v>304500</v>
      </c>
      <c r="Y20" s="1">
        <v>26500</v>
      </c>
      <c r="Z20" s="1">
        <v>331000</v>
      </c>
      <c r="AA20" s="1">
        <v>107880</v>
      </c>
      <c r="AB20" s="1">
        <v>172300</v>
      </c>
      <c r="AC20" s="1">
        <v>50980</v>
      </c>
      <c r="AD20" s="1">
        <v>26500</v>
      </c>
      <c r="AE20" s="1">
        <v>331160</v>
      </c>
      <c r="AF20" s="1">
        <v>26500</v>
      </c>
      <c r="AG20" s="1">
        <v>357660</v>
      </c>
      <c r="AH20" s="1">
        <v>97092</v>
      </c>
      <c r="AI20" s="1">
        <v>167131</v>
      </c>
      <c r="AJ20" s="1">
        <v>35686</v>
      </c>
      <c r="AK20" s="1">
        <v>23850</v>
      </c>
      <c r="AL20" s="1">
        <v>299909</v>
      </c>
      <c r="AM20" s="1">
        <v>23850</v>
      </c>
      <c r="AN20" s="1">
        <v>323759</v>
      </c>
      <c r="AO20" s="3" t="s">
        <v>134</v>
      </c>
      <c r="AP20" s="3" t="s">
        <v>134</v>
      </c>
      <c r="AQ20" s="3" t="s">
        <v>134</v>
      </c>
      <c r="AR20" s="3" t="s">
        <v>134</v>
      </c>
      <c r="AS20" s="1">
        <v>194256</v>
      </c>
      <c r="AT20" s="1">
        <v>0</v>
      </c>
      <c r="AU20" s="1">
        <v>194256</v>
      </c>
    </row>
    <row r="21" spans="1:47" s="3" customFormat="1" x14ac:dyDescent="0.3">
      <c r="A21" s="3" t="s">
        <v>46</v>
      </c>
      <c r="B21" s="3" t="s">
        <v>47</v>
      </c>
      <c r="C21" s="3" t="s">
        <v>48</v>
      </c>
      <c r="D21" s="3" t="s">
        <v>61</v>
      </c>
      <c r="E21" s="3" t="s">
        <v>49</v>
      </c>
      <c r="F21" s="3" t="s">
        <v>50</v>
      </c>
      <c r="G21" s="3" t="s">
        <v>96</v>
      </c>
      <c r="H21" s="3" t="s">
        <v>97</v>
      </c>
      <c r="I21" s="3" t="s">
        <v>51</v>
      </c>
      <c r="J21" s="3" t="s">
        <v>63</v>
      </c>
      <c r="K21" s="3" t="s">
        <v>98</v>
      </c>
      <c r="L21" s="3" t="s">
        <v>99</v>
      </c>
      <c r="M21" s="3" t="s">
        <v>100</v>
      </c>
      <c r="N21" s="3" t="s">
        <v>52</v>
      </c>
      <c r="O21" s="3" t="s">
        <v>52</v>
      </c>
      <c r="P21" s="3" t="s">
        <v>52</v>
      </c>
      <c r="Q21" s="3" t="s">
        <v>101</v>
      </c>
      <c r="R21" s="3" t="s">
        <v>53</v>
      </c>
      <c r="S21" s="3" t="s">
        <v>55</v>
      </c>
      <c r="T21" s="1">
        <v>-3000</v>
      </c>
      <c r="U21" s="1">
        <v>156700</v>
      </c>
      <c r="V21" s="1">
        <v>-1300</v>
      </c>
      <c r="W21" s="1">
        <v>100</v>
      </c>
      <c r="X21" s="1">
        <v>152400</v>
      </c>
      <c r="Y21" s="1">
        <v>100</v>
      </c>
      <c r="Z21" s="1">
        <v>152500</v>
      </c>
      <c r="AA21" s="1">
        <v>-3600</v>
      </c>
      <c r="AB21" s="1">
        <v>156700</v>
      </c>
      <c r="AC21" s="1">
        <v>-1560</v>
      </c>
      <c r="AD21" s="1">
        <v>100</v>
      </c>
      <c r="AE21" s="1">
        <v>151540</v>
      </c>
      <c r="AF21" s="1">
        <v>100</v>
      </c>
      <c r="AG21" s="1">
        <v>151640</v>
      </c>
      <c r="AH21" s="1">
        <v>-3240</v>
      </c>
      <c r="AI21" s="1">
        <v>151999</v>
      </c>
      <c r="AJ21" s="1">
        <v>-1092</v>
      </c>
      <c r="AK21" s="1">
        <v>90</v>
      </c>
      <c r="AL21" s="1">
        <v>147667</v>
      </c>
      <c r="AM21" s="1">
        <v>90</v>
      </c>
      <c r="AN21" s="1">
        <v>147757</v>
      </c>
      <c r="AO21" s="3" t="s">
        <v>134</v>
      </c>
      <c r="AP21" s="3" t="s">
        <v>134</v>
      </c>
      <c r="AQ21" s="3" t="s">
        <v>134</v>
      </c>
      <c r="AR21" s="3" t="s">
        <v>134</v>
      </c>
      <c r="AS21" s="1">
        <v>88654</v>
      </c>
      <c r="AT21" s="1">
        <v>0</v>
      </c>
      <c r="AU21" s="1">
        <v>88654</v>
      </c>
    </row>
    <row r="22" spans="1:47" s="3" customFormat="1" x14ac:dyDescent="0.3">
      <c r="A22" s="3" t="s">
        <v>46</v>
      </c>
      <c r="B22" s="3" t="s">
        <v>47</v>
      </c>
      <c r="C22" s="3" t="s">
        <v>48</v>
      </c>
      <c r="D22" s="3" t="s">
        <v>61</v>
      </c>
      <c r="E22" s="3" t="s">
        <v>49</v>
      </c>
      <c r="F22" s="3" t="s">
        <v>50</v>
      </c>
      <c r="G22" s="3" t="s">
        <v>96</v>
      </c>
      <c r="H22" s="3" t="s">
        <v>97</v>
      </c>
      <c r="I22" s="3" t="s">
        <v>51</v>
      </c>
      <c r="J22" s="3" t="s">
        <v>63</v>
      </c>
      <c r="K22" s="3" t="s">
        <v>98</v>
      </c>
      <c r="L22" s="3" t="s">
        <v>99</v>
      </c>
      <c r="M22" s="3" t="s">
        <v>100</v>
      </c>
      <c r="N22" s="3" t="s">
        <v>52</v>
      </c>
      <c r="O22" s="3" t="s">
        <v>52</v>
      </c>
      <c r="P22" s="3" t="s">
        <v>52</v>
      </c>
      <c r="Q22" s="3" t="s">
        <v>101</v>
      </c>
      <c r="R22" s="3" t="s">
        <v>53</v>
      </c>
      <c r="S22" s="3" t="s">
        <v>58</v>
      </c>
      <c r="T22" s="1">
        <v>3741410</v>
      </c>
      <c r="U22" s="1">
        <v>3744740</v>
      </c>
      <c r="V22" s="1">
        <v>871090</v>
      </c>
      <c r="W22" s="1">
        <v>2641760</v>
      </c>
      <c r="X22" s="1">
        <v>8357240</v>
      </c>
      <c r="Y22" s="1">
        <v>2641760</v>
      </c>
      <c r="Z22" s="1">
        <v>10999000</v>
      </c>
      <c r="AA22" s="1">
        <v>4489692</v>
      </c>
      <c r="AB22" s="1">
        <v>3744740</v>
      </c>
      <c r="AC22" s="1">
        <v>1044299</v>
      </c>
      <c r="AD22" s="1">
        <v>2641760</v>
      </c>
      <c r="AE22" s="1">
        <v>9278731</v>
      </c>
      <c r="AF22" s="1">
        <v>2641760</v>
      </c>
      <c r="AG22" s="1">
        <v>11920491</v>
      </c>
      <c r="AH22" s="1">
        <v>4040722.8</v>
      </c>
      <c r="AI22" s="1">
        <v>3632397.8</v>
      </c>
      <c r="AJ22" s="1">
        <v>731009.3</v>
      </c>
      <c r="AK22" s="1">
        <v>2377584</v>
      </c>
      <c r="AL22" s="1">
        <v>8404129.9000000004</v>
      </c>
      <c r="AM22" s="1">
        <v>2377584</v>
      </c>
      <c r="AN22" s="1">
        <v>10781713.9</v>
      </c>
      <c r="AO22" s="3" t="s">
        <v>134</v>
      </c>
      <c r="AP22" s="3" t="s">
        <v>134</v>
      </c>
      <c r="AQ22" s="3" t="s">
        <v>134</v>
      </c>
      <c r="AR22" s="3" t="s">
        <v>134</v>
      </c>
      <c r="AS22" s="1">
        <v>6469029</v>
      </c>
      <c r="AT22" s="1">
        <v>0</v>
      </c>
      <c r="AU22" s="1">
        <v>6469029</v>
      </c>
    </row>
    <row r="23" spans="1:47" s="3" customFormat="1" x14ac:dyDescent="0.3">
      <c r="A23" s="3" t="s">
        <v>46</v>
      </c>
      <c r="B23" s="3" t="s">
        <v>47</v>
      </c>
      <c r="C23" s="3" t="s">
        <v>48</v>
      </c>
      <c r="D23" s="3" t="s">
        <v>61</v>
      </c>
      <c r="E23" s="3" t="s">
        <v>49</v>
      </c>
      <c r="F23" s="3" t="s">
        <v>50</v>
      </c>
      <c r="G23" s="3" t="s">
        <v>96</v>
      </c>
      <c r="H23" s="3" t="s">
        <v>97</v>
      </c>
      <c r="I23" s="3" t="s">
        <v>51</v>
      </c>
      <c r="J23" s="3" t="s">
        <v>63</v>
      </c>
      <c r="K23" s="3" t="s">
        <v>98</v>
      </c>
      <c r="L23" s="3" t="s">
        <v>99</v>
      </c>
      <c r="M23" s="3" t="s">
        <v>100</v>
      </c>
      <c r="N23" s="3" t="s">
        <v>52</v>
      </c>
      <c r="O23" s="3" t="s">
        <v>52</v>
      </c>
      <c r="P23" s="3" t="s">
        <v>52</v>
      </c>
      <c r="Q23" s="3" t="s">
        <v>101</v>
      </c>
      <c r="R23" s="3" t="s">
        <v>53</v>
      </c>
      <c r="S23" s="3" t="s">
        <v>59</v>
      </c>
      <c r="T23" s="1">
        <v>1206300</v>
      </c>
      <c r="U23" s="1">
        <v>2799350</v>
      </c>
      <c r="V23" s="1">
        <v>332310</v>
      </c>
      <c r="W23" s="1">
        <v>689840</v>
      </c>
      <c r="X23" s="1">
        <v>4337960</v>
      </c>
      <c r="Y23" s="1">
        <v>689840</v>
      </c>
      <c r="Z23" s="1">
        <v>5027800</v>
      </c>
      <c r="AA23" s="1">
        <v>1447560</v>
      </c>
      <c r="AB23" s="1">
        <v>2799350</v>
      </c>
      <c r="AC23" s="1">
        <v>398772</v>
      </c>
      <c r="AD23" s="1">
        <v>689840</v>
      </c>
      <c r="AE23" s="1">
        <v>4645682</v>
      </c>
      <c r="AF23" s="1">
        <v>689840</v>
      </c>
      <c r="AG23" s="1">
        <v>5335522</v>
      </c>
      <c r="AH23" s="1">
        <v>1302804</v>
      </c>
      <c r="AI23" s="1">
        <v>2715369.5</v>
      </c>
      <c r="AJ23" s="1">
        <v>279140.40000000002</v>
      </c>
      <c r="AK23" s="1">
        <v>620856</v>
      </c>
      <c r="AL23" s="1">
        <v>4297313.9000000004</v>
      </c>
      <c r="AM23" s="1">
        <v>620856</v>
      </c>
      <c r="AN23" s="1">
        <v>4918169.9000000004</v>
      </c>
      <c r="AO23" s="3" t="s">
        <v>134</v>
      </c>
      <c r="AP23" s="3" t="s">
        <v>134</v>
      </c>
      <c r="AQ23" s="3" t="s">
        <v>134</v>
      </c>
      <c r="AR23" s="3" t="s">
        <v>134</v>
      </c>
      <c r="AS23" s="1">
        <v>2950902</v>
      </c>
      <c r="AT23" s="1">
        <v>0</v>
      </c>
      <c r="AU23" s="1">
        <v>2950902</v>
      </c>
    </row>
    <row r="24" spans="1:47" s="3" customFormat="1" x14ac:dyDescent="0.3">
      <c r="A24" s="3" t="s">
        <v>46</v>
      </c>
      <c r="B24" s="3" t="s">
        <v>47</v>
      </c>
      <c r="C24" s="3" t="s">
        <v>48</v>
      </c>
      <c r="D24" s="3" t="s">
        <v>61</v>
      </c>
      <c r="E24" s="3" t="s">
        <v>49</v>
      </c>
      <c r="F24" s="3" t="s">
        <v>50</v>
      </c>
      <c r="G24" s="3" t="s">
        <v>96</v>
      </c>
      <c r="H24" s="3" t="s">
        <v>97</v>
      </c>
      <c r="I24" s="3" t="s">
        <v>51</v>
      </c>
      <c r="J24" s="3" t="s">
        <v>63</v>
      </c>
      <c r="K24" s="3" t="s">
        <v>98</v>
      </c>
      <c r="L24" s="3" t="s">
        <v>99</v>
      </c>
      <c r="M24" s="3" t="s">
        <v>100</v>
      </c>
      <c r="N24" s="3" t="s">
        <v>52</v>
      </c>
      <c r="O24" s="3" t="s">
        <v>52</v>
      </c>
      <c r="P24" s="3" t="s">
        <v>52</v>
      </c>
      <c r="Q24" s="3" t="s">
        <v>101</v>
      </c>
      <c r="R24" s="3" t="s">
        <v>53</v>
      </c>
      <c r="S24" s="3" t="s">
        <v>59</v>
      </c>
      <c r="T24" s="1">
        <v>480380</v>
      </c>
      <c r="U24" s="1">
        <v>756060</v>
      </c>
      <c r="V24" s="1">
        <v>142840</v>
      </c>
      <c r="W24" s="1">
        <v>102920</v>
      </c>
      <c r="X24" s="1">
        <v>1379280</v>
      </c>
      <c r="Y24" s="1">
        <v>102920</v>
      </c>
      <c r="Z24" s="1">
        <v>1482200</v>
      </c>
      <c r="AA24" s="1">
        <v>576456</v>
      </c>
      <c r="AB24" s="1">
        <v>756060</v>
      </c>
      <c r="AC24" s="1">
        <v>171408</v>
      </c>
      <c r="AD24" s="1">
        <v>102920</v>
      </c>
      <c r="AE24" s="1">
        <v>1503924</v>
      </c>
      <c r="AF24" s="1">
        <v>102920</v>
      </c>
      <c r="AG24" s="1">
        <v>1606844</v>
      </c>
      <c r="AH24" s="1">
        <v>518810.4</v>
      </c>
      <c r="AI24" s="1">
        <v>733378.2</v>
      </c>
      <c r="AJ24" s="1">
        <v>119985.60000000001</v>
      </c>
      <c r="AK24" s="1">
        <v>92628</v>
      </c>
      <c r="AL24" s="1">
        <v>1372174.2</v>
      </c>
      <c r="AM24" s="1">
        <v>92628</v>
      </c>
      <c r="AN24" s="1">
        <v>1464802.2</v>
      </c>
      <c r="AO24" s="3" t="s">
        <v>134</v>
      </c>
      <c r="AP24" s="3" t="s">
        <v>134</v>
      </c>
      <c r="AQ24" s="3" t="s">
        <v>134</v>
      </c>
      <c r="AR24" s="3" t="s">
        <v>134</v>
      </c>
      <c r="AS24" s="1">
        <v>878881</v>
      </c>
      <c r="AT24" s="1">
        <v>0</v>
      </c>
      <c r="AU24" s="1">
        <v>878881</v>
      </c>
    </row>
    <row r="25" spans="1:47" s="3" customFormat="1" x14ac:dyDescent="0.3">
      <c r="A25" s="3" t="s">
        <v>46</v>
      </c>
      <c r="B25" s="3" t="s">
        <v>47</v>
      </c>
      <c r="C25" s="3" t="s">
        <v>48</v>
      </c>
      <c r="D25" s="3" t="s">
        <v>61</v>
      </c>
      <c r="E25" s="3" t="s">
        <v>49</v>
      </c>
      <c r="F25" s="3" t="s">
        <v>50</v>
      </c>
      <c r="G25" s="3" t="s">
        <v>96</v>
      </c>
      <c r="H25" s="3" t="s">
        <v>97</v>
      </c>
      <c r="I25" s="3" t="s">
        <v>51</v>
      </c>
      <c r="J25" s="3" t="s">
        <v>63</v>
      </c>
      <c r="K25" s="3" t="s">
        <v>98</v>
      </c>
      <c r="L25" s="3" t="s">
        <v>99</v>
      </c>
      <c r="M25" s="3" t="s">
        <v>100</v>
      </c>
      <c r="N25" s="3" t="s">
        <v>52</v>
      </c>
      <c r="O25" s="3" t="s">
        <v>52</v>
      </c>
      <c r="P25" s="3" t="s">
        <v>52</v>
      </c>
      <c r="Q25" s="3" t="s">
        <v>101</v>
      </c>
      <c r="R25" s="3" t="s">
        <v>53</v>
      </c>
      <c r="S25" s="3" t="s">
        <v>59</v>
      </c>
      <c r="T25" s="1">
        <v>56900</v>
      </c>
      <c r="U25" s="1">
        <v>114900</v>
      </c>
      <c r="V25" s="1">
        <v>-1400</v>
      </c>
      <c r="W25" s="1">
        <v>35000</v>
      </c>
      <c r="X25" s="1">
        <v>170400</v>
      </c>
      <c r="Y25" s="1">
        <v>35000</v>
      </c>
      <c r="Z25" s="1">
        <v>205400</v>
      </c>
      <c r="AA25" s="1">
        <v>68280</v>
      </c>
      <c r="AB25" s="1">
        <v>114900</v>
      </c>
      <c r="AC25" s="1">
        <v>-1680</v>
      </c>
      <c r="AD25" s="1">
        <v>35000</v>
      </c>
      <c r="AE25" s="1">
        <v>181500</v>
      </c>
      <c r="AF25" s="1">
        <v>35000</v>
      </c>
      <c r="AG25" s="1">
        <v>216500</v>
      </c>
      <c r="AH25" s="1">
        <v>61452</v>
      </c>
      <c r="AI25" s="1">
        <v>111453</v>
      </c>
      <c r="AJ25" s="1">
        <v>-1176</v>
      </c>
      <c r="AK25" s="1">
        <v>31500</v>
      </c>
      <c r="AL25" s="1">
        <v>171729</v>
      </c>
      <c r="AM25" s="1">
        <v>31500</v>
      </c>
      <c r="AN25" s="1">
        <v>203229</v>
      </c>
      <c r="AO25" s="3" t="s">
        <v>134</v>
      </c>
      <c r="AP25" s="3" t="s">
        <v>134</v>
      </c>
      <c r="AQ25" s="3" t="s">
        <v>134</v>
      </c>
      <c r="AR25" s="3" t="s">
        <v>134</v>
      </c>
      <c r="AS25" s="1">
        <v>121937</v>
      </c>
      <c r="AT25" s="1">
        <v>0</v>
      </c>
      <c r="AU25" s="1">
        <v>121937</v>
      </c>
    </row>
    <row r="26" spans="1:47" s="3" customFormat="1" x14ac:dyDescent="0.3">
      <c r="A26" s="3" t="s">
        <v>46</v>
      </c>
      <c r="B26" s="3" t="s">
        <v>47</v>
      </c>
      <c r="C26" s="3" t="s">
        <v>48</v>
      </c>
      <c r="D26" s="3" t="s">
        <v>61</v>
      </c>
      <c r="E26" s="3" t="s">
        <v>49</v>
      </c>
      <c r="F26" s="3" t="s">
        <v>50</v>
      </c>
      <c r="G26" s="3" t="s">
        <v>73</v>
      </c>
      <c r="H26" s="3" t="s">
        <v>74</v>
      </c>
      <c r="I26" s="3" t="s">
        <v>51</v>
      </c>
      <c r="J26" s="3" t="s">
        <v>63</v>
      </c>
      <c r="K26" s="3" t="s">
        <v>75</v>
      </c>
      <c r="L26" s="3" t="s">
        <v>76</v>
      </c>
      <c r="M26" s="3" t="s">
        <v>77</v>
      </c>
      <c r="N26" s="3" t="s">
        <v>52</v>
      </c>
      <c r="O26" s="3" t="s">
        <v>52</v>
      </c>
      <c r="P26" s="3" t="s">
        <v>52</v>
      </c>
      <c r="Q26" s="3" t="s">
        <v>78</v>
      </c>
      <c r="R26" s="3" t="s">
        <v>53</v>
      </c>
      <c r="S26" s="3" t="s">
        <v>54</v>
      </c>
      <c r="T26" s="1">
        <v>99200</v>
      </c>
      <c r="U26" s="1">
        <v>288540</v>
      </c>
      <c r="V26" s="1">
        <v>41800</v>
      </c>
      <c r="W26" s="1">
        <v>58460</v>
      </c>
      <c r="X26" s="1">
        <v>429540</v>
      </c>
      <c r="Y26" s="1">
        <v>58460</v>
      </c>
      <c r="Z26" s="1">
        <v>488000</v>
      </c>
      <c r="AA26" s="1">
        <v>119040</v>
      </c>
      <c r="AB26" s="1">
        <v>288540</v>
      </c>
      <c r="AC26" s="1">
        <v>50160</v>
      </c>
      <c r="AD26" s="1">
        <v>58460</v>
      </c>
      <c r="AE26" s="1">
        <v>457740</v>
      </c>
      <c r="AF26" s="1">
        <v>58460</v>
      </c>
      <c r="AG26" s="1">
        <v>516200</v>
      </c>
      <c r="AH26" s="1">
        <v>107136</v>
      </c>
      <c r="AI26" s="1">
        <v>279883.8</v>
      </c>
      <c r="AJ26" s="1">
        <v>35112</v>
      </c>
      <c r="AK26" s="1">
        <v>52614</v>
      </c>
      <c r="AL26" s="1">
        <v>422131.8</v>
      </c>
      <c r="AM26" s="1">
        <v>52614</v>
      </c>
      <c r="AN26" s="1">
        <v>474745.8</v>
      </c>
      <c r="AO26" s="3" t="s">
        <v>134</v>
      </c>
      <c r="AP26" s="3" t="s">
        <v>134</v>
      </c>
      <c r="AQ26" s="3" t="s">
        <v>134</v>
      </c>
      <c r="AR26" s="3" t="s">
        <v>134</v>
      </c>
      <c r="AS26" s="1">
        <v>284847</v>
      </c>
      <c r="AT26" s="1">
        <v>0</v>
      </c>
      <c r="AU26" s="1">
        <v>284847</v>
      </c>
    </row>
    <row r="27" spans="1:47" s="3" customFormat="1" x14ac:dyDescent="0.3">
      <c r="A27" s="3" t="s">
        <v>46</v>
      </c>
      <c r="B27" s="3" t="s">
        <v>47</v>
      </c>
      <c r="C27" s="3" t="s">
        <v>48</v>
      </c>
      <c r="D27" s="3" t="s">
        <v>61</v>
      </c>
      <c r="E27" s="3" t="s">
        <v>49</v>
      </c>
      <c r="F27" s="3" t="s">
        <v>50</v>
      </c>
      <c r="G27" s="3" t="s">
        <v>73</v>
      </c>
      <c r="H27" s="3" t="s">
        <v>74</v>
      </c>
      <c r="I27" s="3" t="s">
        <v>51</v>
      </c>
      <c r="J27" s="3" t="s">
        <v>63</v>
      </c>
      <c r="K27" s="3" t="s">
        <v>75</v>
      </c>
      <c r="L27" s="3" t="s">
        <v>76</v>
      </c>
      <c r="M27" s="3" t="s">
        <v>77</v>
      </c>
      <c r="N27" s="3" t="s">
        <v>52</v>
      </c>
      <c r="O27" s="3" t="s">
        <v>52</v>
      </c>
      <c r="P27" s="3" t="s">
        <v>52</v>
      </c>
      <c r="Q27" s="3" t="s">
        <v>78</v>
      </c>
      <c r="R27" s="3" t="s">
        <v>53</v>
      </c>
      <c r="S27" s="3" t="s">
        <v>55</v>
      </c>
      <c r="T27" s="1">
        <v>108200</v>
      </c>
      <c r="U27" s="1">
        <v>357720</v>
      </c>
      <c r="V27" s="1">
        <v>8500</v>
      </c>
      <c r="W27" s="1">
        <v>13580</v>
      </c>
      <c r="X27" s="1">
        <v>474420</v>
      </c>
      <c r="Y27" s="1">
        <v>13580</v>
      </c>
      <c r="Z27" s="1">
        <v>488000</v>
      </c>
      <c r="AA27" s="1">
        <v>129840</v>
      </c>
      <c r="AB27" s="1">
        <v>357720</v>
      </c>
      <c r="AC27" s="1">
        <v>10200</v>
      </c>
      <c r="AD27" s="1">
        <v>13580</v>
      </c>
      <c r="AE27" s="1">
        <v>497760</v>
      </c>
      <c r="AF27" s="1">
        <v>13580</v>
      </c>
      <c r="AG27" s="1">
        <v>511340</v>
      </c>
      <c r="AH27" s="1">
        <v>116856</v>
      </c>
      <c r="AI27" s="1">
        <v>346988.4</v>
      </c>
      <c r="AJ27" s="1">
        <v>7140</v>
      </c>
      <c r="AK27" s="1">
        <v>12222</v>
      </c>
      <c r="AL27" s="1">
        <v>470984.4</v>
      </c>
      <c r="AM27" s="1">
        <v>12222</v>
      </c>
      <c r="AN27" s="1">
        <v>483206.40000000002</v>
      </c>
      <c r="AO27" s="3" t="s">
        <v>134</v>
      </c>
      <c r="AP27" s="3" t="s">
        <v>134</v>
      </c>
      <c r="AQ27" s="3" t="s">
        <v>134</v>
      </c>
      <c r="AR27" s="3" t="s">
        <v>134</v>
      </c>
      <c r="AS27" s="1">
        <v>289924</v>
      </c>
      <c r="AT27" s="1">
        <v>0</v>
      </c>
      <c r="AU27" s="1">
        <v>289924</v>
      </c>
    </row>
    <row r="28" spans="1:47" s="3" customFormat="1" x14ac:dyDescent="0.3">
      <c r="A28" s="3" t="s">
        <v>46</v>
      </c>
      <c r="B28" s="3" t="s">
        <v>47</v>
      </c>
      <c r="C28" s="3" t="s">
        <v>48</v>
      </c>
      <c r="D28" s="3" t="s">
        <v>61</v>
      </c>
      <c r="E28" s="3" t="s">
        <v>49</v>
      </c>
      <c r="F28" s="3" t="s">
        <v>50</v>
      </c>
      <c r="G28" s="3" t="s">
        <v>73</v>
      </c>
      <c r="H28" s="3" t="s">
        <v>74</v>
      </c>
      <c r="I28" s="3" t="s">
        <v>51</v>
      </c>
      <c r="J28" s="3" t="s">
        <v>63</v>
      </c>
      <c r="K28" s="3" t="s">
        <v>75</v>
      </c>
      <c r="L28" s="3" t="s">
        <v>76</v>
      </c>
      <c r="M28" s="3" t="s">
        <v>77</v>
      </c>
      <c r="N28" s="3" t="s">
        <v>52</v>
      </c>
      <c r="O28" s="3" t="s">
        <v>52</v>
      </c>
      <c r="P28" s="3" t="s">
        <v>52</v>
      </c>
      <c r="Q28" s="3" t="s">
        <v>78</v>
      </c>
      <c r="R28" s="3" t="s">
        <v>53</v>
      </c>
      <c r="S28" s="3" t="s">
        <v>55</v>
      </c>
      <c r="T28" s="1">
        <v>36000</v>
      </c>
      <c r="U28" s="1">
        <v>166700</v>
      </c>
      <c r="V28" s="1">
        <v>36000</v>
      </c>
      <c r="W28" s="1">
        <v>13300</v>
      </c>
      <c r="X28" s="1">
        <v>238700</v>
      </c>
      <c r="Y28" s="1">
        <v>13300</v>
      </c>
      <c r="Z28" s="1">
        <v>252000</v>
      </c>
      <c r="AA28" s="1">
        <v>43200</v>
      </c>
      <c r="AB28" s="1">
        <v>166700</v>
      </c>
      <c r="AC28" s="1">
        <v>43200</v>
      </c>
      <c r="AD28" s="1">
        <v>13300</v>
      </c>
      <c r="AE28" s="1">
        <v>253100</v>
      </c>
      <c r="AF28" s="1">
        <v>13300</v>
      </c>
      <c r="AG28" s="1">
        <v>266400</v>
      </c>
      <c r="AH28" s="1">
        <v>38880</v>
      </c>
      <c r="AI28" s="1">
        <v>161699</v>
      </c>
      <c r="AJ28" s="1">
        <v>30240</v>
      </c>
      <c r="AK28" s="1">
        <v>11970</v>
      </c>
      <c r="AL28" s="1">
        <v>230819</v>
      </c>
      <c r="AM28" s="1">
        <v>11970</v>
      </c>
      <c r="AN28" s="1">
        <v>242789</v>
      </c>
      <c r="AO28" s="3" t="s">
        <v>134</v>
      </c>
      <c r="AP28" s="3" t="s">
        <v>134</v>
      </c>
      <c r="AQ28" s="3" t="s">
        <v>134</v>
      </c>
      <c r="AR28" s="3" t="s">
        <v>134</v>
      </c>
      <c r="AS28" s="1">
        <v>145673</v>
      </c>
      <c r="AT28" s="1">
        <v>0</v>
      </c>
      <c r="AU28" s="1">
        <v>145673</v>
      </c>
    </row>
    <row r="29" spans="1:47" s="3" customFormat="1" x14ac:dyDescent="0.3">
      <c r="A29" s="3" t="s">
        <v>46</v>
      </c>
      <c r="B29" s="3" t="s">
        <v>47</v>
      </c>
      <c r="C29" s="3" t="s">
        <v>48</v>
      </c>
      <c r="D29" s="3" t="s">
        <v>61</v>
      </c>
      <c r="E29" s="3" t="s">
        <v>49</v>
      </c>
      <c r="F29" s="3" t="s">
        <v>50</v>
      </c>
      <c r="G29" s="3" t="s">
        <v>73</v>
      </c>
      <c r="H29" s="3" t="s">
        <v>74</v>
      </c>
      <c r="I29" s="3" t="s">
        <v>51</v>
      </c>
      <c r="J29" s="3" t="s">
        <v>63</v>
      </c>
      <c r="K29" s="3" t="s">
        <v>75</v>
      </c>
      <c r="L29" s="3" t="s">
        <v>76</v>
      </c>
      <c r="M29" s="3" t="s">
        <v>77</v>
      </c>
      <c r="N29" s="3" t="s">
        <v>52</v>
      </c>
      <c r="O29" s="3" t="s">
        <v>52</v>
      </c>
      <c r="P29" s="3" t="s">
        <v>52</v>
      </c>
      <c r="Q29" s="3" t="s">
        <v>78</v>
      </c>
      <c r="R29" s="3" t="s">
        <v>53</v>
      </c>
      <c r="S29" s="3" t="s">
        <v>55</v>
      </c>
      <c r="T29" s="1">
        <v>27000</v>
      </c>
      <c r="U29" s="1">
        <v>100900</v>
      </c>
      <c r="V29" s="1">
        <v>0</v>
      </c>
      <c r="W29" s="1">
        <v>34100</v>
      </c>
      <c r="X29" s="1">
        <v>127900</v>
      </c>
      <c r="Y29" s="1">
        <v>34100</v>
      </c>
      <c r="Z29" s="1">
        <v>162000</v>
      </c>
      <c r="AA29" s="1">
        <v>32400</v>
      </c>
      <c r="AB29" s="1">
        <v>100900</v>
      </c>
      <c r="AC29" s="1">
        <v>0</v>
      </c>
      <c r="AD29" s="1">
        <v>34100</v>
      </c>
      <c r="AE29" s="1">
        <v>133300</v>
      </c>
      <c r="AF29" s="1">
        <v>34100</v>
      </c>
      <c r="AG29" s="1">
        <v>167400</v>
      </c>
      <c r="AH29" s="1">
        <v>29160</v>
      </c>
      <c r="AI29" s="1">
        <v>97873</v>
      </c>
      <c r="AJ29" s="1">
        <v>0</v>
      </c>
      <c r="AK29" s="1">
        <v>30690</v>
      </c>
      <c r="AL29" s="1">
        <v>127033</v>
      </c>
      <c r="AM29" s="1">
        <v>30690</v>
      </c>
      <c r="AN29" s="1">
        <v>157723</v>
      </c>
      <c r="AO29" s="3" t="s">
        <v>134</v>
      </c>
      <c r="AP29" s="3" t="s">
        <v>134</v>
      </c>
      <c r="AQ29" s="3" t="s">
        <v>134</v>
      </c>
      <c r="AR29" s="3" t="s">
        <v>134</v>
      </c>
      <c r="AS29" s="1">
        <v>94634</v>
      </c>
      <c r="AT29" s="1">
        <v>0</v>
      </c>
      <c r="AU29" s="1">
        <v>94634</v>
      </c>
    </row>
    <row r="30" spans="1:47" s="3" customFormat="1" x14ac:dyDescent="0.3">
      <c r="A30" s="3" t="s">
        <v>46</v>
      </c>
      <c r="B30" s="3" t="s">
        <v>47</v>
      </c>
      <c r="C30" s="3" t="s">
        <v>48</v>
      </c>
      <c r="D30" s="3" t="s">
        <v>61</v>
      </c>
      <c r="E30" s="3" t="s">
        <v>49</v>
      </c>
      <c r="F30" s="3" t="s">
        <v>50</v>
      </c>
      <c r="G30" s="3" t="s">
        <v>73</v>
      </c>
      <c r="H30" s="3" t="s">
        <v>74</v>
      </c>
      <c r="I30" s="3" t="s">
        <v>51</v>
      </c>
      <c r="J30" s="3" t="s">
        <v>63</v>
      </c>
      <c r="K30" s="3" t="s">
        <v>75</v>
      </c>
      <c r="L30" s="3" t="s">
        <v>76</v>
      </c>
      <c r="M30" s="3" t="s">
        <v>77</v>
      </c>
      <c r="N30" s="3" t="s">
        <v>52</v>
      </c>
      <c r="O30" s="3" t="s">
        <v>52</v>
      </c>
      <c r="P30" s="3" t="s">
        <v>52</v>
      </c>
      <c r="Q30" s="3" t="s">
        <v>78</v>
      </c>
      <c r="R30" s="3" t="s">
        <v>53</v>
      </c>
      <c r="S30" s="3" t="s">
        <v>58</v>
      </c>
      <c r="T30" s="1">
        <v>2136790</v>
      </c>
      <c r="U30" s="1">
        <v>2340260</v>
      </c>
      <c r="V30" s="1">
        <v>569680</v>
      </c>
      <c r="W30" s="1">
        <v>1390270</v>
      </c>
      <c r="X30" s="1">
        <v>5046730</v>
      </c>
      <c r="Y30" s="1">
        <v>1390270</v>
      </c>
      <c r="Z30" s="1">
        <v>6437000</v>
      </c>
      <c r="AA30" s="1">
        <v>2564148</v>
      </c>
      <c r="AB30" s="1">
        <v>2340260</v>
      </c>
      <c r="AC30" s="1">
        <v>683576</v>
      </c>
      <c r="AD30" s="1">
        <v>1390270</v>
      </c>
      <c r="AE30" s="1">
        <v>5587984</v>
      </c>
      <c r="AF30" s="1">
        <v>1390270</v>
      </c>
      <c r="AG30" s="1">
        <v>6978254</v>
      </c>
      <c r="AH30" s="1">
        <v>2307733.2000000002</v>
      </c>
      <c r="AI30" s="1">
        <v>2270052.2000000002</v>
      </c>
      <c r="AJ30" s="1">
        <v>478503.2</v>
      </c>
      <c r="AK30" s="1">
        <v>1251243</v>
      </c>
      <c r="AL30" s="1">
        <v>5056288.5999999996</v>
      </c>
      <c r="AM30" s="1">
        <v>1251243</v>
      </c>
      <c r="AN30" s="1">
        <v>6307531.5999999996</v>
      </c>
      <c r="AO30" s="3" t="s">
        <v>134</v>
      </c>
      <c r="AP30" s="3" t="s">
        <v>134</v>
      </c>
      <c r="AQ30" s="3" t="s">
        <v>134</v>
      </c>
      <c r="AR30" s="3" t="s">
        <v>134</v>
      </c>
      <c r="AS30" s="1">
        <v>3784519</v>
      </c>
      <c r="AT30" s="1">
        <v>0</v>
      </c>
      <c r="AU30" s="1">
        <v>3784519</v>
      </c>
    </row>
    <row r="31" spans="1:47" s="3" customFormat="1" x14ac:dyDescent="0.3">
      <c r="A31" s="3" t="s">
        <v>46</v>
      </c>
      <c r="B31" s="3" t="s">
        <v>47</v>
      </c>
      <c r="C31" s="3" t="s">
        <v>48</v>
      </c>
      <c r="D31" s="3" t="s">
        <v>61</v>
      </c>
      <c r="E31" s="3" t="s">
        <v>49</v>
      </c>
      <c r="F31" s="3" t="s">
        <v>50</v>
      </c>
      <c r="G31" s="3" t="s">
        <v>73</v>
      </c>
      <c r="H31" s="3" t="s">
        <v>74</v>
      </c>
      <c r="I31" s="3" t="s">
        <v>51</v>
      </c>
      <c r="J31" s="3" t="s">
        <v>63</v>
      </c>
      <c r="K31" s="3" t="s">
        <v>75</v>
      </c>
      <c r="L31" s="3" t="s">
        <v>76</v>
      </c>
      <c r="M31" s="3" t="s">
        <v>77</v>
      </c>
      <c r="N31" s="3" t="s">
        <v>52</v>
      </c>
      <c r="O31" s="3" t="s">
        <v>52</v>
      </c>
      <c r="P31" s="3" t="s">
        <v>52</v>
      </c>
      <c r="Q31" s="3" t="s">
        <v>78</v>
      </c>
      <c r="R31" s="3" t="s">
        <v>53</v>
      </c>
      <c r="S31" s="3" t="s">
        <v>59</v>
      </c>
      <c r="T31" s="1">
        <v>1664920</v>
      </c>
      <c r="U31" s="1">
        <v>2564560</v>
      </c>
      <c r="V31" s="1">
        <v>293340</v>
      </c>
      <c r="W31" s="1">
        <v>608580</v>
      </c>
      <c r="X31" s="1">
        <v>4522820</v>
      </c>
      <c r="Y31" s="1">
        <v>608580</v>
      </c>
      <c r="Z31" s="1">
        <v>5131400</v>
      </c>
      <c r="AA31" s="1">
        <v>1997904</v>
      </c>
      <c r="AB31" s="1">
        <v>2564560</v>
      </c>
      <c r="AC31" s="1">
        <v>352118</v>
      </c>
      <c r="AD31" s="1">
        <v>608580</v>
      </c>
      <c r="AE31" s="1">
        <v>4914582</v>
      </c>
      <c r="AF31" s="1">
        <v>608580</v>
      </c>
      <c r="AG31" s="1">
        <v>5523162</v>
      </c>
      <c r="AH31" s="1">
        <v>1798113.6</v>
      </c>
      <c r="AI31" s="1">
        <v>2487623.2000000002</v>
      </c>
      <c r="AJ31" s="1">
        <v>246482.6</v>
      </c>
      <c r="AK31" s="1">
        <v>547722</v>
      </c>
      <c r="AL31" s="1">
        <v>4532219.4000000004</v>
      </c>
      <c r="AM31" s="1">
        <v>547722</v>
      </c>
      <c r="AN31" s="1">
        <v>5079941.4000000004</v>
      </c>
      <c r="AO31" s="3" t="s">
        <v>134</v>
      </c>
      <c r="AP31" s="3" t="s">
        <v>134</v>
      </c>
      <c r="AQ31" s="3" t="s">
        <v>134</v>
      </c>
      <c r="AR31" s="3" t="s">
        <v>134</v>
      </c>
      <c r="AS31" s="1">
        <v>3047965</v>
      </c>
      <c r="AT31" s="1">
        <v>0</v>
      </c>
      <c r="AU31" s="1">
        <v>3047965</v>
      </c>
    </row>
    <row r="32" spans="1:47" s="3" customFormat="1" x14ac:dyDescent="0.3">
      <c r="A32" s="3" t="s">
        <v>46</v>
      </c>
      <c r="B32" s="3" t="s">
        <v>47</v>
      </c>
      <c r="C32" s="3" t="s">
        <v>48</v>
      </c>
      <c r="D32" s="3" t="s">
        <v>61</v>
      </c>
      <c r="E32" s="3" t="s">
        <v>49</v>
      </c>
      <c r="F32" s="3" t="s">
        <v>50</v>
      </c>
      <c r="G32" s="3" t="s">
        <v>73</v>
      </c>
      <c r="H32" s="3" t="s">
        <v>74</v>
      </c>
      <c r="I32" s="3" t="s">
        <v>51</v>
      </c>
      <c r="J32" s="3" t="s">
        <v>63</v>
      </c>
      <c r="K32" s="3" t="s">
        <v>75</v>
      </c>
      <c r="L32" s="3" t="s">
        <v>76</v>
      </c>
      <c r="M32" s="3" t="s">
        <v>77</v>
      </c>
      <c r="N32" s="3" t="s">
        <v>52</v>
      </c>
      <c r="O32" s="3" t="s">
        <v>52</v>
      </c>
      <c r="P32" s="3" t="s">
        <v>52</v>
      </c>
      <c r="Q32" s="3" t="s">
        <v>78</v>
      </c>
      <c r="R32" s="3" t="s">
        <v>53</v>
      </c>
      <c r="S32" s="3" t="s">
        <v>59</v>
      </c>
      <c r="T32" s="1">
        <v>441000</v>
      </c>
      <c r="U32" s="1">
        <v>678500</v>
      </c>
      <c r="V32" s="1">
        <v>111900</v>
      </c>
      <c r="W32" s="1">
        <v>84200</v>
      </c>
      <c r="X32" s="1">
        <v>1231400</v>
      </c>
      <c r="Y32" s="1">
        <v>84200</v>
      </c>
      <c r="Z32" s="1">
        <v>1315600</v>
      </c>
      <c r="AA32" s="1">
        <v>529200</v>
      </c>
      <c r="AB32" s="1">
        <v>678500</v>
      </c>
      <c r="AC32" s="1">
        <v>134280</v>
      </c>
      <c r="AD32" s="1">
        <v>84200</v>
      </c>
      <c r="AE32" s="1">
        <v>1341980</v>
      </c>
      <c r="AF32" s="1">
        <v>84200</v>
      </c>
      <c r="AG32" s="1">
        <v>1426180</v>
      </c>
      <c r="AH32" s="1">
        <v>476280</v>
      </c>
      <c r="AI32" s="1">
        <v>658145</v>
      </c>
      <c r="AJ32" s="1">
        <v>93996</v>
      </c>
      <c r="AK32" s="1">
        <v>75780</v>
      </c>
      <c r="AL32" s="1">
        <v>1228421</v>
      </c>
      <c r="AM32" s="1">
        <v>75780</v>
      </c>
      <c r="AN32" s="1">
        <v>1304201</v>
      </c>
      <c r="AO32" s="3" t="s">
        <v>134</v>
      </c>
      <c r="AP32" s="3" t="s">
        <v>134</v>
      </c>
      <c r="AQ32" s="3" t="s">
        <v>134</v>
      </c>
      <c r="AR32" s="3" t="s">
        <v>134</v>
      </c>
      <c r="AS32" s="1">
        <v>782521</v>
      </c>
      <c r="AT32" s="1">
        <v>0</v>
      </c>
      <c r="AU32" s="1">
        <v>782521</v>
      </c>
    </row>
    <row r="33" spans="1:47" s="3" customFormat="1" x14ac:dyDescent="0.3">
      <c r="A33" s="3" t="s">
        <v>46</v>
      </c>
      <c r="B33" s="3" t="s">
        <v>47</v>
      </c>
      <c r="C33" s="3" t="s">
        <v>48</v>
      </c>
      <c r="D33" s="3" t="s">
        <v>61</v>
      </c>
      <c r="E33" s="3" t="s">
        <v>49</v>
      </c>
      <c r="F33" s="3" t="s">
        <v>50</v>
      </c>
      <c r="G33" s="3" t="s">
        <v>73</v>
      </c>
      <c r="H33" s="3" t="s">
        <v>74</v>
      </c>
      <c r="I33" s="3" t="s">
        <v>51</v>
      </c>
      <c r="J33" s="3" t="s">
        <v>63</v>
      </c>
      <c r="K33" s="3" t="s">
        <v>75</v>
      </c>
      <c r="L33" s="3" t="s">
        <v>76</v>
      </c>
      <c r="M33" s="3" t="s">
        <v>77</v>
      </c>
      <c r="N33" s="3" t="s">
        <v>52</v>
      </c>
      <c r="O33" s="3" t="s">
        <v>52</v>
      </c>
      <c r="P33" s="3" t="s">
        <v>52</v>
      </c>
      <c r="Q33" s="3" t="s">
        <v>78</v>
      </c>
      <c r="R33" s="3" t="s">
        <v>53</v>
      </c>
      <c r="S33" s="3" t="s">
        <v>59</v>
      </c>
      <c r="T33" s="1">
        <v>165600</v>
      </c>
      <c r="U33" s="1">
        <v>242100</v>
      </c>
      <c r="V33" s="1">
        <v>37800</v>
      </c>
      <c r="W33" s="1">
        <v>34700</v>
      </c>
      <c r="X33" s="1">
        <v>445500</v>
      </c>
      <c r="Y33" s="1">
        <v>34700</v>
      </c>
      <c r="Z33" s="1">
        <v>480200</v>
      </c>
      <c r="AA33" s="1">
        <v>198720</v>
      </c>
      <c r="AB33" s="1">
        <v>242100</v>
      </c>
      <c r="AC33" s="1">
        <v>45360</v>
      </c>
      <c r="AD33" s="1">
        <v>34700</v>
      </c>
      <c r="AE33" s="1">
        <v>486180</v>
      </c>
      <c r="AF33" s="1">
        <v>34700</v>
      </c>
      <c r="AG33" s="1">
        <v>520880</v>
      </c>
      <c r="AH33" s="1">
        <v>178848</v>
      </c>
      <c r="AI33" s="1">
        <v>234837</v>
      </c>
      <c r="AJ33" s="1">
        <v>31752</v>
      </c>
      <c r="AK33" s="1">
        <v>31230</v>
      </c>
      <c r="AL33" s="1">
        <v>445437</v>
      </c>
      <c r="AM33" s="1">
        <v>31230</v>
      </c>
      <c r="AN33" s="1">
        <v>476667</v>
      </c>
      <c r="AO33" s="3" t="s">
        <v>134</v>
      </c>
      <c r="AP33" s="3" t="s">
        <v>134</v>
      </c>
      <c r="AQ33" s="3" t="s">
        <v>134</v>
      </c>
      <c r="AR33" s="3" t="s">
        <v>134</v>
      </c>
      <c r="AS33" s="1">
        <v>286000</v>
      </c>
      <c r="AT33" s="1">
        <v>0</v>
      </c>
      <c r="AU33" s="1">
        <v>286000</v>
      </c>
    </row>
    <row r="34" spans="1:47" s="3" customFormat="1" x14ac:dyDescent="0.3">
      <c r="A34" s="3" t="s">
        <v>46</v>
      </c>
      <c r="B34" s="3" t="s">
        <v>47</v>
      </c>
      <c r="C34" s="3" t="s">
        <v>48</v>
      </c>
      <c r="D34" s="3" t="s">
        <v>61</v>
      </c>
      <c r="E34" s="3" t="s">
        <v>49</v>
      </c>
      <c r="F34" s="3" t="s">
        <v>50</v>
      </c>
      <c r="G34" s="3" t="s">
        <v>79</v>
      </c>
      <c r="H34" s="3" t="s">
        <v>80</v>
      </c>
      <c r="I34" s="3" t="s">
        <v>51</v>
      </c>
      <c r="J34" s="3" t="s">
        <v>63</v>
      </c>
      <c r="K34" s="3" t="s">
        <v>81</v>
      </c>
      <c r="L34" s="3" t="s">
        <v>56</v>
      </c>
      <c r="M34" s="3" t="s">
        <v>82</v>
      </c>
      <c r="N34" s="3" t="s">
        <v>52</v>
      </c>
      <c r="O34" s="3" t="s">
        <v>52</v>
      </c>
      <c r="P34" s="3" t="s">
        <v>52</v>
      </c>
      <c r="Q34" s="3" t="s">
        <v>83</v>
      </c>
      <c r="R34" s="3" t="s">
        <v>53</v>
      </c>
      <c r="S34" s="3" t="s">
        <v>54</v>
      </c>
      <c r="T34" s="1">
        <v>12300</v>
      </c>
      <c r="U34" s="1">
        <v>34820</v>
      </c>
      <c r="V34" s="1">
        <v>400</v>
      </c>
      <c r="W34" s="1">
        <v>20880</v>
      </c>
      <c r="X34" s="1">
        <v>47520</v>
      </c>
      <c r="Y34" s="1">
        <v>20880</v>
      </c>
      <c r="Z34" s="1">
        <v>68400</v>
      </c>
      <c r="AA34" s="1">
        <v>14760</v>
      </c>
      <c r="AB34" s="1">
        <v>34820</v>
      </c>
      <c r="AC34" s="1">
        <v>480</v>
      </c>
      <c r="AD34" s="1">
        <v>20880</v>
      </c>
      <c r="AE34" s="1">
        <v>50060</v>
      </c>
      <c r="AF34" s="1">
        <v>20880</v>
      </c>
      <c r="AG34" s="1">
        <v>70940</v>
      </c>
      <c r="AH34" s="1">
        <v>13284</v>
      </c>
      <c r="AI34" s="1">
        <v>33775.4</v>
      </c>
      <c r="AJ34" s="1">
        <v>336</v>
      </c>
      <c r="AK34" s="1">
        <v>18792</v>
      </c>
      <c r="AL34" s="1">
        <v>47395.4</v>
      </c>
      <c r="AM34" s="1">
        <v>18792</v>
      </c>
      <c r="AN34" s="1">
        <v>66187.399999999994</v>
      </c>
      <c r="AO34" s="3" t="s">
        <v>134</v>
      </c>
      <c r="AP34" s="3" t="s">
        <v>134</v>
      </c>
      <c r="AQ34" s="3" t="s">
        <v>134</v>
      </c>
      <c r="AR34" s="3" t="s">
        <v>134</v>
      </c>
      <c r="AS34" s="1">
        <v>39712</v>
      </c>
      <c r="AT34" s="1">
        <v>0</v>
      </c>
      <c r="AU34" s="1">
        <v>39712</v>
      </c>
    </row>
    <row r="35" spans="1:47" s="3" customFormat="1" x14ac:dyDescent="0.3">
      <c r="A35" s="3" t="s">
        <v>46</v>
      </c>
      <c r="B35" s="3" t="s">
        <v>47</v>
      </c>
      <c r="C35" s="3" t="s">
        <v>48</v>
      </c>
      <c r="D35" s="3" t="s">
        <v>61</v>
      </c>
      <c r="E35" s="3" t="s">
        <v>49</v>
      </c>
      <c r="F35" s="3" t="s">
        <v>50</v>
      </c>
      <c r="G35" s="3" t="s">
        <v>79</v>
      </c>
      <c r="H35" s="3" t="s">
        <v>80</v>
      </c>
      <c r="I35" s="3" t="s">
        <v>51</v>
      </c>
      <c r="J35" s="3" t="s">
        <v>63</v>
      </c>
      <c r="K35" s="3" t="s">
        <v>81</v>
      </c>
      <c r="L35" s="3" t="s">
        <v>56</v>
      </c>
      <c r="M35" s="3" t="s">
        <v>82</v>
      </c>
      <c r="N35" s="3" t="s">
        <v>52</v>
      </c>
      <c r="O35" s="3" t="s">
        <v>52</v>
      </c>
      <c r="P35" s="3" t="s">
        <v>52</v>
      </c>
      <c r="Q35" s="3" t="s">
        <v>83</v>
      </c>
      <c r="R35" s="3" t="s">
        <v>53</v>
      </c>
      <c r="S35" s="3" t="s">
        <v>55</v>
      </c>
      <c r="T35" s="1">
        <v>25200</v>
      </c>
      <c r="U35" s="1">
        <v>99800</v>
      </c>
      <c r="V35" s="1">
        <v>3600</v>
      </c>
      <c r="W35" s="1">
        <v>4600</v>
      </c>
      <c r="X35" s="1">
        <v>128600</v>
      </c>
      <c r="Y35" s="1">
        <v>4600</v>
      </c>
      <c r="Z35" s="1">
        <v>133200</v>
      </c>
      <c r="AA35" s="1">
        <v>30240</v>
      </c>
      <c r="AB35" s="1">
        <v>99800</v>
      </c>
      <c r="AC35" s="1">
        <v>4320</v>
      </c>
      <c r="AD35" s="1">
        <v>4600</v>
      </c>
      <c r="AE35" s="1">
        <v>134360</v>
      </c>
      <c r="AF35" s="1">
        <v>4600</v>
      </c>
      <c r="AG35" s="1">
        <v>138960</v>
      </c>
      <c r="AH35" s="1">
        <v>27216</v>
      </c>
      <c r="AI35" s="1">
        <v>96806</v>
      </c>
      <c r="AJ35" s="1">
        <v>3024</v>
      </c>
      <c r="AK35" s="1">
        <v>4140</v>
      </c>
      <c r="AL35" s="1">
        <v>127046</v>
      </c>
      <c r="AM35" s="1">
        <v>4140</v>
      </c>
      <c r="AN35" s="1">
        <v>131186</v>
      </c>
      <c r="AO35" s="3" t="s">
        <v>134</v>
      </c>
      <c r="AP35" s="3" t="s">
        <v>134</v>
      </c>
      <c r="AQ35" s="3" t="s">
        <v>134</v>
      </c>
      <c r="AR35" s="3" t="s">
        <v>134</v>
      </c>
      <c r="AS35" s="1">
        <v>78712</v>
      </c>
      <c r="AT35" s="1">
        <v>0</v>
      </c>
      <c r="AU35" s="1">
        <v>78712</v>
      </c>
    </row>
    <row r="36" spans="1:47" s="3" customFormat="1" x14ac:dyDescent="0.3">
      <c r="A36" s="3" t="s">
        <v>46</v>
      </c>
      <c r="B36" s="3" t="s">
        <v>47</v>
      </c>
      <c r="C36" s="3" t="s">
        <v>48</v>
      </c>
      <c r="D36" s="3" t="s">
        <v>61</v>
      </c>
      <c r="E36" s="3" t="s">
        <v>49</v>
      </c>
      <c r="F36" s="3" t="s">
        <v>50</v>
      </c>
      <c r="G36" s="3" t="s">
        <v>79</v>
      </c>
      <c r="H36" s="3" t="s">
        <v>80</v>
      </c>
      <c r="I36" s="3" t="s">
        <v>51</v>
      </c>
      <c r="J36" s="3" t="s">
        <v>63</v>
      </c>
      <c r="K36" s="3" t="s">
        <v>81</v>
      </c>
      <c r="L36" s="3" t="s">
        <v>56</v>
      </c>
      <c r="M36" s="3" t="s">
        <v>82</v>
      </c>
      <c r="N36" s="3" t="s">
        <v>52</v>
      </c>
      <c r="O36" s="3" t="s">
        <v>52</v>
      </c>
      <c r="P36" s="3" t="s">
        <v>52</v>
      </c>
      <c r="Q36" s="3" t="s">
        <v>83</v>
      </c>
      <c r="R36" s="3" t="s">
        <v>53</v>
      </c>
      <c r="S36" s="3" t="s">
        <v>55</v>
      </c>
      <c r="T36" s="1">
        <v>10800</v>
      </c>
      <c r="U36" s="1">
        <v>10800</v>
      </c>
      <c r="V36" s="1">
        <v>0</v>
      </c>
      <c r="W36" s="1">
        <v>0</v>
      </c>
      <c r="X36" s="1">
        <v>21600</v>
      </c>
      <c r="Y36" s="1">
        <v>0</v>
      </c>
      <c r="Z36" s="1">
        <v>21600</v>
      </c>
      <c r="AA36" s="1">
        <v>12960</v>
      </c>
      <c r="AB36" s="1">
        <v>10800</v>
      </c>
      <c r="AC36" s="1">
        <v>0</v>
      </c>
      <c r="AD36" s="1">
        <v>0</v>
      </c>
      <c r="AE36" s="1">
        <v>23760</v>
      </c>
      <c r="AF36" s="1">
        <v>0</v>
      </c>
      <c r="AG36" s="1">
        <v>23760</v>
      </c>
      <c r="AH36" s="1">
        <v>11664</v>
      </c>
      <c r="AI36" s="1">
        <v>10476</v>
      </c>
      <c r="AJ36" s="1">
        <v>0</v>
      </c>
      <c r="AK36" s="1">
        <v>0</v>
      </c>
      <c r="AL36" s="1">
        <v>22140</v>
      </c>
      <c r="AM36" s="1">
        <v>0</v>
      </c>
      <c r="AN36" s="1">
        <v>22140</v>
      </c>
      <c r="AO36" s="3" t="s">
        <v>134</v>
      </c>
      <c r="AP36" s="3" t="s">
        <v>134</v>
      </c>
      <c r="AQ36" s="3" t="s">
        <v>134</v>
      </c>
      <c r="AR36" s="3" t="s">
        <v>134</v>
      </c>
      <c r="AS36" s="1">
        <v>13284</v>
      </c>
      <c r="AT36" s="1">
        <v>0</v>
      </c>
      <c r="AU36" s="1">
        <v>13284</v>
      </c>
    </row>
    <row r="37" spans="1:47" s="3" customFormat="1" x14ac:dyDescent="0.3">
      <c r="A37" s="3" t="s">
        <v>46</v>
      </c>
      <c r="B37" s="3" t="s">
        <v>47</v>
      </c>
      <c r="C37" s="3" t="s">
        <v>48</v>
      </c>
      <c r="D37" s="3" t="s">
        <v>61</v>
      </c>
      <c r="E37" s="3" t="s">
        <v>49</v>
      </c>
      <c r="F37" s="3" t="s">
        <v>50</v>
      </c>
      <c r="G37" s="3" t="s">
        <v>79</v>
      </c>
      <c r="H37" s="3" t="s">
        <v>80</v>
      </c>
      <c r="I37" s="3" t="s">
        <v>51</v>
      </c>
      <c r="J37" s="3" t="s">
        <v>63</v>
      </c>
      <c r="K37" s="3" t="s">
        <v>81</v>
      </c>
      <c r="L37" s="3" t="s">
        <v>56</v>
      </c>
      <c r="M37" s="3" t="s">
        <v>82</v>
      </c>
      <c r="N37" s="3" t="s">
        <v>52</v>
      </c>
      <c r="O37" s="3" t="s">
        <v>52</v>
      </c>
      <c r="P37" s="3" t="s">
        <v>52</v>
      </c>
      <c r="Q37" s="3" t="s">
        <v>83</v>
      </c>
      <c r="R37" s="3" t="s">
        <v>53</v>
      </c>
      <c r="S37" s="3" t="s">
        <v>55</v>
      </c>
      <c r="T37" s="1">
        <v>0</v>
      </c>
      <c r="U37" s="1">
        <v>22600</v>
      </c>
      <c r="V37" s="1">
        <v>0</v>
      </c>
      <c r="W37" s="1">
        <v>1800</v>
      </c>
      <c r="X37" s="1">
        <v>22600</v>
      </c>
      <c r="Y37" s="1">
        <v>1800</v>
      </c>
      <c r="Z37" s="1">
        <v>24400</v>
      </c>
      <c r="AA37" s="1">
        <v>0</v>
      </c>
      <c r="AB37" s="1">
        <v>22600</v>
      </c>
      <c r="AC37" s="1">
        <v>0</v>
      </c>
      <c r="AD37" s="1">
        <v>1800</v>
      </c>
      <c r="AE37" s="1">
        <v>22600</v>
      </c>
      <c r="AF37" s="1">
        <v>1800</v>
      </c>
      <c r="AG37" s="1">
        <v>24400</v>
      </c>
      <c r="AH37" s="1">
        <v>0</v>
      </c>
      <c r="AI37" s="1">
        <v>21922</v>
      </c>
      <c r="AJ37" s="1">
        <v>0</v>
      </c>
      <c r="AK37" s="1">
        <v>1620</v>
      </c>
      <c r="AL37" s="1">
        <v>21922</v>
      </c>
      <c r="AM37" s="1">
        <v>1620</v>
      </c>
      <c r="AN37" s="1">
        <v>23542</v>
      </c>
      <c r="AO37" s="3" t="s">
        <v>134</v>
      </c>
      <c r="AP37" s="3" t="s">
        <v>134</v>
      </c>
      <c r="AQ37" s="3" t="s">
        <v>134</v>
      </c>
      <c r="AR37" s="3" t="s">
        <v>134</v>
      </c>
      <c r="AS37" s="1">
        <v>14125</v>
      </c>
      <c r="AT37" s="1">
        <v>0</v>
      </c>
      <c r="AU37" s="1">
        <v>14125</v>
      </c>
    </row>
    <row r="38" spans="1:47" s="3" customFormat="1" x14ac:dyDescent="0.3">
      <c r="A38" s="3" t="s">
        <v>46</v>
      </c>
      <c r="B38" s="3" t="s">
        <v>47</v>
      </c>
      <c r="C38" s="3" t="s">
        <v>48</v>
      </c>
      <c r="D38" s="3" t="s">
        <v>61</v>
      </c>
      <c r="E38" s="3" t="s">
        <v>49</v>
      </c>
      <c r="F38" s="3" t="s">
        <v>50</v>
      </c>
      <c r="G38" s="3" t="s">
        <v>79</v>
      </c>
      <c r="H38" s="3" t="s">
        <v>80</v>
      </c>
      <c r="I38" s="3" t="s">
        <v>51</v>
      </c>
      <c r="J38" s="3" t="s">
        <v>63</v>
      </c>
      <c r="K38" s="3" t="s">
        <v>81</v>
      </c>
      <c r="L38" s="3" t="s">
        <v>56</v>
      </c>
      <c r="M38" s="3" t="s">
        <v>82</v>
      </c>
      <c r="N38" s="3" t="s">
        <v>52</v>
      </c>
      <c r="O38" s="3" t="s">
        <v>52</v>
      </c>
      <c r="P38" s="3" t="s">
        <v>52</v>
      </c>
      <c r="Q38" s="3" t="s">
        <v>83</v>
      </c>
      <c r="R38" s="3" t="s">
        <v>53</v>
      </c>
      <c r="S38" s="3" t="s">
        <v>58</v>
      </c>
      <c r="T38" s="1">
        <v>193040</v>
      </c>
      <c r="U38" s="1">
        <v>334200</v>
      </c>
      <c r="V38" s="1">
        <v>26200</v>
      </c>
      <c r="W38" s="1">
        <v>157560</v>
      </c>
      <c r="X38" s="1">
        <v>553440</v>
      </c>
      <c r="Y38" s="1">
        <v>157560</v>
      </c>
      <c r="Z38" s="1">
        <v>711000</v>
      </c>
      <c r="AA38" s="1">
        <v>231648</v>
      </c>
      <c r="AB38" s="1">
        <v>334200</v>
      </c>
      <c r="AC38" s="1">
        <v>31440</v>
      </c>
      <c r="AD38" s="1">
        <v>157560</v>
      </c>
      <c r="AE38" s="1">
        <v>597288</v>
      </c>
      <c r="AF38" s="1">
        <v>157560</v>
      </c>
      <c r="AG38" s="1">
        <v>754848</v>
      </c>
      <c r="AH38" s="1">
        <v>208483.20000000001</v>
      </c>
      <c r="AI38" s="1">
        <v>324174</v>
      </c>
      <c r="AJ38" s="1">
        <v>22008</v>
      </c>
      <c r="AK38" s="1">
        <v>141804</v>
      </c>
      <c r="AL38" s="1">
        <v>554665.19999999995</v>
      </c>
      <c r="AM38" s="1">
        <v>141804</v>
      </c>
      <c r="AN38" s="1">
        <v>696469.2</v>
      </c>
      <c r="AO38" s="3" t="s">
        <v>134</v>
      </c>
      <c r="AP38" s="3" t="s">
        <v>134</v>
      </c>
      <c r="AQ38" s="3" t="s">
        <v>134</v>
      </c>
      <c r="AR38" s="3" t="s">
        <v>134</v>
      </c>
      <c r="AS38" s="1">
        <v>417881</v>
      </c>
      <c r="AT38" s="1">
        <v>0</v>
      </c>
      <c r="AU38" s="1">
        <v>417881</v>
      </c>
    </row>
    <row r="39" spans="1:47" s="3" customFormat="1" x14ac:dyDescent="0.3">
      <c r="A39" s="3" t="s">
        <v>46</v>
      </c>
      <c r="B39" s="3" t="s">
        <v>47</v>
      </c>
      <c r="C39" s="3" t="s">
        <v>48</v>
      </c>
      <c r="D39" s="3" t="s">
        <v>61</v>
      </c>
      <c r="E39" s="3" t="s">
        <v>49</v>
      </c>
      <c r="F39" s="3" t="s">
        <v>50</v>
      </c>
      <c r="G39" s="3" t="s">
        <v>79</v>
      </c>
      <c r="H39" s="3" t="s">
        <v>80</v>
      </c>
      <c r="I39" s="3" t="s">
        <v>51</v>
      </c>
      <c r="J39" s="3" t="s">
        <v>63</v>
      </c>
      <c r="K39" s="3" t="s">
        <v>81</v>
      </c>
      <c r="L39" s="3" t="s">
        <v>56</v>
      </c>
      <c r="M39" s="3" t="s">
        <v>82</v>
      </c>
      <c r="N39" s="3" t="s">
        <v>52</v>
      </c>
      <c r="O39" s="3" t="s">
        <v>52</v>
      </c>
      <c r="P39" s="3" t="s">
        <v>52</v>
      </c>
      <c r="Q39" s="3" t="s">
        <v>83</v>
      </c>
      <c r="R39" s="3" t="s">
        <v>53</v>
      </c>
      <c r="S39" s="3" t="s">
        <v>59</v>
      </c>
      <c r="T39" s="1">
        <v>190700</v>
      </c>
      <c r="U39" s="1">
        <v>492120</v>
      </c>
      <c r="V39" s="1">
        <v>22100</v>
      </c>
      <c r="W39" s="1">
        <v>66880</v>
      </c>
      <c r="X39" s="1">
        <v>704920</v>
      </c>
      <c r="Y39" s="1">
        <v>66880</v>
      </c>
      <c r="Z39" s="1">
        <v>771800</v>
      </c>
      <c r="AA39" s="1">
        <v>228840</v>
      </c>
      <c r="AB39" s="1">
        <v>492120</v>
      </c>
      <c r="AC39" s="1">
        <v>26520</v>
      </c>
      <c r="AD39" s="1">
        <v>66880</v>
      </c>
      <c r="AE39" s="1">
        <v>747480</v>
      </c>
      <c r="AF39" s="1">
        <v>66880</v>
      </c>
      <c r="AG39" s="1">
        <v>814360</v>
      </c>
      <c r="AH39" s="1">
        <v>205956</v>
      </c>
      <c r="AI39" s="1">
        <v>477356.4</v>
      </c>
      <c r="AJ39" s="1">
        <v>18564</v>
      </c>
      <c r="AK39" s="1">
        <v>60192</v>
      </c>
      <c r="AL39" s="1">
        <v>701876.4</v>
      </c>
      <c r="AM39" s="1">
        <v>60192</v>
      </c>
      <c r="AN39" s="1">
        <v>762068.4</v>
      </c>
      <c r="AO39" s="3" t="s">
        <v>134</v>
      </c>
      <c r="AP39" s="3" t="s">
        <v>134</v>
      </c>
      <c r="AQ39" s="3" t="s">
        <v>134</v>
      </c>
      <c r="AR39" s="3" t="s">
        <v>134</v>
      </c>
      <c r="AS39" s="1">
        <v>457241</v>
      </c>
      <c r="AT39" s="1">
        <v>0</v>
      </c>
      <c r="AU39" s="1">
        <v>457241</v>
      </c>
    </row>
    <row r="40" spans="1:47" s="3" customFormat="1" x14ac:dyDescent="0.3">
      <c r="A40" s="3" t="s">
        <v>46</v>
      </c>
      <c r="B40" s="3" t="s">
        <v>47</v>
      </c>
      <c r="C40" s="3" t="s">
        <v>48</v>
      </c>
      <c r="D40" s="3" t="s">
        <v>61</v>
      </c>
      <c r="E40" s="3" t="s">
        <v>49</v>
      </c>
      <c r="F40" s="3" t="s">
        <v>50</v>
      </c>
      <c r="G40" s="3" t="s">
        <v>79</v>
      </c>
      <c r="H40" s="3" t="s">
        <v>80</v>
      </c>
      <c r="I40" s="3" t="s">
        <v>51</v>
      </c>
      <c r="J40" s="3" t="s">
        <v>63</v>
      </c>
      <c r="K40" s="3" t="s">
        <v>81</v>
      </c>
      <c r="L40" s="3" t="s">
        <v>56</v>
      </c>
      <c r="M40" s="3" t="s">
        <v>82</v>
      </c>
      <c r="N40" s="3" t="s">
        <v>52</v>
      </c>
      <c r="O40" s="3" t="s">
        <v>52</v>
      </c>
      <c r="P40" s="3" t="s">
        <v>52</v>
      </c>
      <c r="Q40" s="3" t="s">
        <v>83</v>
      </c>
      <c r="R40" s="3" t="s">
        <v>53</v>
      </c>
      <c r="S40" s="3" t="s">
        <v>59</v>
      </c>
      <c r="T40" s="1">
        <v>73800</v>
      </c>
      <c r="U40" s="1">
        <v>169500</v>
      </c>
      <c r="V40" s="1">
        <v>27300</v>
      </c>
      <c r="W40" s="1">
        <v>21000</v>
      </c>
      <c r="X40" s="1">
        <v>270600</v>
      </c>
      <c r="Y40" s="1">
        <v>21000</v>
      </c>
      <c r="Z40" s="1">
        <v>291600</v>
      </c>
      <c r="AA40" s="1">
        <v>88560</v>
      </c>
      <c r="AB40" s="1">
        <v>169500</v>
      </c>
      <c r="AC40" s="1">
        <v>32760</v>
      </c>
      <c r="AD40" s="1">
        <v>21000</v>
      </c>
      <c r="AE40" s="1">
        <v>290820</v>
      </c>
      <c r="AF40" s="1">
        <v>21000</v>
      </c>
      <c r="AG40" s="1">
        <v>311820</v>
      </c>
      <c r="AH40" s="1">
        <v>79704</v>
      </c>
      <c r="AI40" s="1">
        <v>164415</v>
      </c>
      <c r="AJ40" s="1">
        <v>22932</v>
      </c>
      <c r="AK40" s="1">
        <v>18900</v>
      </c>
      <c r="AL40" s="1">
        <v>267051</v>
      </c>
      <c r="AM40" s="1">
        <v>18900</v>
      </c>
      <c r="AN40" s="1">
        <v>285951</v>
      </c>
      <c r="AO40" s="3" t="s">
        <v>134</v>
      </c>
      <c r="AP40" s="3" t="s">
        <v>134</v>
      </c>
      <c r="AQ40" s="3" t="s">
        <v>134</v>
      </c>
      <c r="AR40" s="3" t="s">
        <v>134</v>
      </c>
      <c r="AS40" s="1">
        <v>171570</v>
      </c>
      <c r="AT40" s="1">
        <v>0</v>
      </c>
      <c r="AU40" s="1">
        <v>171570</v>
      </c>
    </row>
    <row r="41" spans="1:47" s="3" customFormat="1" x14ac:dyDescent="0.3">
      <c r="A41" s="3" t="s">
        <v>46</v>
      </c>
      <c r="B41" s="3" t="s">
        <v>47</v>
      </c>
      <c r="C41" s="3" t="s">
        <v>48</v>
      </c>
      <c r="D41" s="3" t="s">
        <v>61</v>
      </c>
      <c r="E41" s="3" t="s">
        <v>49</v>
      </c>
      <c r="F41" s="3" t="s">
        <v>50</v>
      </c>
      <c r="G41" s="3" t="s">
        <v>79</v>
      </c>
      <c r="H41" s="3" t="s">
        <v>80</v>
      </c>
      <c r="I41" s="3" t="s">
        <v>51</v>
      </c>
      <c r="J41" s="3" t="s">
        <v>63</v>
      </c>
      <c r="K41" s="3" t="s">
        <v>81</v>
      </c>
      <c r="L41" s="3" t="s">
        <v>56</v>
      </c>
      <c r="M41" s="3" t="s">
        <v>82</v>
      </c>
      <c r="N41" s="3" t="s">
        <v>52</v>
      </c>
      <c r="O41" s="3" t="s">
        <v>52</v>
      </c>
      <c r="P41" s="3" t="s">
        <v>52</v>
      </c>
      <c r="Q41" s="3" t="s">
        <v>83</v>
      </c>
      <c r="R41" s="3" t="s">
        <v>53</v>
      </c>
      <c r="S41" s="3" t="s">
        <v>59</v>
      </c>
      <c r="T41" s="1">
        <v>43300</v>
      </c>
      <c r="U41" s="1">
        <v>36000</v>
      </c>
      <c r="V41" s="1">
        <v>-7400</v>
      </c>
      <c r="W41" s="1">
        <v>100</v>
      </c>
      <c r="X41" s="1">
        <v>71900</v>
      </c>
      <c r="Y41" s="1">
        <v>100</v>
      </c>
      <c r="Z41" s="1">
        <v>72000</v>
      </c>
      <c r="AA41" s="1">
        <v>51960</v>
      </c>
      <c r="AB41" s="1">
        <v>36000</v>
      </c>
      <c r="AC41" s="1">
        <v>-11225</v>
      </c>
      <c r="AD41" s="1">
        <v>100</v>
      </c>
      <c r="AE41" s="1">
        <v>76735</v>
      </c>
      <c r="AF41" s="1">
        <v>100</v>
      </c>
      <c r="AG41" s="1">
        <v>76835</v>
      </c>
      <c r="AH41" s="1">
        <v>46764</v>
      </c>
      <c r="AI41" s="1">
        <v>34920</v>
      </c>
      <c r="AJ41" s="1">
        <v>-7857.5</v>
      </c>
      <c r="AK41" s="1">
        <v>90</v>
      </c>
      <c r="AL41" s="1">
        <v>73826.5</v>
      </c>
      <c r="AM41" s="1">
        <v>90</v>
      </c>
      <c r="AN41" s="1">
        <v>73916.5</v>
      </c>
      <c r="AO41" s="3" t="s">
        <v>134</v>
      </c>
      <c r="AP41" s="3" t="s">
        <v>134</v>
      </c>
      <c r="AQ41" s="3" t="s">
        <v>134</v>
      </c>
      <c r="AR41" s="3" t="s">
        <v>134</v>
      </c>
      <c r="AS41" s="1">
        <v>44349</v>
      </c>
      <c r="AT41" s="1">
        <v>0</v>
      </c>
      <c r="AU41" s="1">
        <v>44349</v>
      </c>
    </row>
    <row r="42" spans="1:47" s="3" customFormat="1" x14ac:dyDescent="0.3">
      <c r="A42" s="3" t="s">
        <v>46</v>
      </c>
      <c r="B42" s="3" t="s">
        <v>47</v>
      </c>
      <c r="C42" s="3" t="s">
        <v>48</v>
      </c>
      <c r="D42" s="3" t="s">
        <v>61</v>
      </c>
      <c r="E42" s="3" t="s">
        <v>49</v>
      </c>
      <c r="F42" s="3" t="s">
        <v>50</v>
      </c>
      <c r="G42" s="3" t="s">
        <v>84</v>
      </c>
      <c r="H42" s="3" t="s">
        <v>85</v>
      </c>
      <c r="I42" s="3" t="s">
        <v>51</v>
      </c>
      <c r="J42" s="3" t="s">
        <v>63</v>
      </c>
      <c r="K42" s="3" t="s">
        <v>86</v>
      </c>
      <c r="L42" s="3" t="s">
        <v>57</v>
      </c>
      <c r="M42" s="3" t="s">
        <v>87</v>
      </c>
      <c r="N42" s="3" t="s">
        <v>52</v>
      </c>
      <c r="O42" s="3" t="s">
        <v>52</v>
      </c>
      <c r="P42" s="3" t="s">
        <v>52</v>
      </c>
      <c r="Q42" s="3" t="s">
        <v>88</v>
      </c>
      <c r="R42" s="3" t="s">
        <v>53</v>
      </c>
      <c r="S42" s="3" t="s">
        <v>54</v>
      </c>
      <c r="T42" s="1">
        <v>17700</v>
      </c>
      <c r="U42" s="1">
        <v>26700</v>
      </c>
      <c r="V42" s="1">
        <v>400</v>
      </c>
      <c r="W42" s="1">
        <v>4000</v>
      </c>
      <c r="X42" s="1">
        <v>44800</v>
      </c>
      <c r="Y42" s="1">
        <v>4000</v>
      </c>
      <c r="Z42" s="1">
        <v>48800</v>
      </c>
      <c r="AA42" s="1">
        <v>21240</v>
      </c>
      <c r="AB42" s="1">
        <v>26700</v>
      </c>
      <c r="AC42" s="1">
        <v>480</v>
      </c>
      <c r="AD42" s="1">
        <v>4000</v>
      </c>
      <c r="AE42" s="1">
        <v>48420</v>
      </c>
      <c r="AF42" s="1">
        <v>4000</v>
      </c>
      <c r="AG42" s="1">
        <v>52420</v>
      </c>
      <c r="AH42" s="1">
        <v>19116</v>
      </c>
      <c r="AI42" s="1">
        <v>25899</v>
      </c>
      <c r="AJ42" s="1">
        <v>336</v>
      </c>
      <c r="AK42" s="1">
        <v>3600</v>
      </c>
      <c r="AL42" s="1">
        <v>45351</v>
      </c>
      <c r="AM42" s="1">
        <v>3600</v>
      </c>
      <c r="AN42" s="1">
        <v>48951</v>
      </c>
      <c r="AO42" s="3" t="s">
        <v>134</v>
      </c>
      <c r="AP42" s="3" t="s">
        <v>134</v>
      </c>
      <c r="AQ42" s="3" t="s">
        <v>134</v>
      </c>
      <c r="AR42" s="3" t="s">
        <v>134</v>
      </c>
      <c r="AS42" s="1">
        <v>29371</v>
      </c>
      <c r="AT42" s="1">
        <v>0</v>
      </c>
      <c r="AU42" s="1">
        <v>29371</v>
      </c>
    </row>
    <row r="43" spans="1:47" s="3" customFormat="1" x14ac:dyDescent="0.3">
      <c r="A43" s="3" t="s">
        <v>46</v>
      </c>
      <c r="B43" s="3" t="s">
        <v>47</v>
      </c>
      <c r="C43" s="3" t="s">
        <v>48</v>
      </c>
      <c r="D43" s="3" t="s">
        <v>61</v>
      </c>
      <c r="E43" s="3" t="s">
        <v>49</v>
      </c>
      <c r="F43" s="3" t="s">
        <v>50</v>
      </c>
      <c r="G43" s="3" t="s">
        <v>84</v>
      </c>
      <c r="H43" s="3" t="s">
        <v>85</v>
      </c>
      <c r="I43" s="3" t="s">
        <v>51</v>
      </c>
      <c r="J43" s="3" t="s">
        <v>63</v>
      </c>
      <c r="K43" s="3" t="s">
        <v>86</v>
      </c>
      <c r="L43" s="3" t="s">
        <v>57</v>
      </c>
      <c r="M43" s="3" t="s">
        <v>87</v>
      </c>
      <c r="N43" s="3" t="s">
        <v>52</v>
      </c>
      <c r="O43" s="3" t="s">
        <v>52</v>
      </c>
      <c r="P43" s="3" t="s">
        <v>52</v>
      </c>
      <c r="Q43" s="3" t="s">
        <v>88</v>
      </c>
      <c r="R43" s="3" t="s">
        <v>53</v>
      </c>
      <c r="S43" s="3" t="s">
        <v>55</v>
      </c>
      <c r="T43" s="1">
        <v>21600</v>
      </c>
      <c r="U43" s="1">
        <v>24400</v>
      </c>
      <c r="V43" s="1">
        <v>0</v>
      </c>
      <c r="W43" s="1">
        <v>2400</v>
      </c>
      <c r="X43" s="1">
        <v>46000</v>
      </c>
      <c r="Y43" s="1">
        <v>2400</v>
      </c>
      <c r="Z43" s="1">
        <v>48400</v>
      </c>
      <c r="AA43" s="1">
        <v>25920</v>
      </c>
      <c r="AB43" s="1">
        <v>24400</v>
      </c>
      <c r="AC43" s="1">
        <v>0</v>
      </c>
      <c r="AD43" s="1">
        <v>2400</v>
      </c>
      <c r="AE43" s="1">
        <v>50320</v>
      </c>
      <c r="AF43" s="1">
        <v>2400</v>
      </c>
      <c r="AG43" s="1">
        <v>52720</v>
      </c>
      <c r="AH43" s="1">
        <v>23328</v>
      </c>
      <c r="AI43" s="1">
        <v>23668</v>
      </c>
      <c r="AJ43" s="1">
        <v>0</v>
      </c>
      <c r="AK43" s="1">
        <v>2160</v>
      </c>
      <c r="AL43" s="1">
        <v>46996</v>
      </c>
      <c r="AM43" s="1">
        <v>2160</v>
      </c>
      <c r="AN43" s="1">
        <v>49156</v>
      </c>
      <c r="AO43" s="3" t="s">
        <v>134</v>
      </c>
      <c r="AP43" s="3" t="s">
        <v>134</v>
      </c>
      <c r="AQ43" s="3" t="s">
        <v>134</v>
      </c>
      <c r="AR43" s="3" t="s">
        <v>134</v>
      </c>
      <c r="AS43" s="1">
        <v>29494</v>
      </c>
      <c r="AT43" s="1">
        <v>0</v>
      </c>
      <c r="AU43" s="1">
        <v>29494</v>
      </c>
    </row>
    <row r="44" spans="1:47" s="3" customFormat="1" x14ac:dyDescent="0.3">
      <c r="A44" s="3" t="s">
        <v>46</v>
      </c>
      <c r="B44" s="3" t="s">
        <v>47</v>
      </c>
      <c r="C44" s="3" t="s">
        <v>48</v>
      </c>
      <c r="D44" s="3" t="s">
        <v>61</v>
      </c>
      <c r="E44" s="3" t="s">
        <v>49</v>
      </c>
      <c r="F44" s="3" t="s">
        <v>50</v>
      </c>
      <c r="G44" s="3" t="s">
        <v>84</v>
      </c>
      <c r="H44" s="3" t="s">
        <v>85</v>
      </c>
      <c r="I44" s="3" t="s">
        <v>51</v>
      </c>
      <c r="J44" s="3" t="s">
        <v>63</v>
      </c>
      <c r="K44" s="3" t="s">
        <v>86</v>
      </c>
      <c r="L44" s="3" t="s">
        <v>57</v>
      </c>
      <c r="M44" s="3" t="s">
        <v>87</v>
      </c>
      <c r="N44" s="3" t="s">
        <v>52</v>
      </c>
      <c r="O44" s="3" t="s">
        <v>52</v>
      </c>
      <c r="P44" s="3" t="s">
        <v>52</v>
      </c>
      <c r="Q44" s="3" t="s">
        <v>88</v>
      </c>
      <c r="R44" s="3" t="s">
        <v>53</v>
      </c>
      <c r="S44" s="3" t="s">
        <v>55</v>
      </c>
      <c r="T44" s="1">
        <v>21600</v>
      </c>
      <c r="U44" s="1">
        <v>600</v>
      </c>
      <c r="V44" s="1">
        <v>0</v>
      </c>
      <c r="W44" s="1">
        <v>1000</v>
      </c>
      <c r="X44" s="1">
        <v>22200</v>
      </c>
      <c r="Y44" s="1">
        <v>1000</v>
      </c>
      <c r="Z44" s="1">
        <v>23200</v>
      </c>
      <c r="AA44" s="1">
        <v>25920</v>
      </c>
      <c r="AB44" s="1">
        <v>600</v>
      </c>
      <c r="AC44" s="1">
        <v>0</v>
      </c>
      <c r="AD44" s="1">
        <v>1000</v>
      </c>
      <c r="AE44" s="1">
        <v>26520</v>
      </c>
      <c r="AF44" s="1">
        <v>1000</v>
      </c>
      <c r="AG44" s="1">
        <v>27520</v>
      </c>
      <c r="AH44" s="1">
        <v>23328</v>
      </c>
      <c r="AI44" s="1">
        <v>582</v>
      </c>
      <c r="AJ44" s="1">
        <v>0</v>
      </c>
      <c r="AK44" s="1">
        <v>900</v>
      </c>
      <c r="AL44" s="1">
        <v>23910</v>
      </c>
      <c r="AM44" s="1">
        <v>900</v>
      </c>
      <c r="AN44" s="1">
        <v>24810</v>
      </c>
      <c r="AO44" s="3" t="s">
        <v>134</v>
      </c>
      <c r="AP44" s="3" t="s">
        <v>134</v>
      </c>
      <c r="AQ44" s="3" t="s">
        <v>134</v>
      </c>
      <c r="AR44" s="3" t="s">
        <v>134</v>
      </c>
      <c r="AS44" s="1">
        <v>14886</v>
      </c>
      <c r="AT44" s="1">
        <v>0</v>
      </c>
      <c r="AU44" s="1">
        <v>14886</v>
      </c>
    </row>
    <row r="45" spans="1:47" s="3" customFormat="1" x14ac:dyDescent="0.3">
      <c r="A45" s="3" t="s">
        <v>46</v>
      </c>
      <c r="B45" s="3" t="s">
        <v>47</v>
      </c>
      <c r="C45" s="3" t="s">
        <v>48</v>
      </c>
      <c r="D45" s="3" t="s">
        <v>61</v>
      </c>
      <c r="E45" s="3" t="s">
        <v>49</v>
      </c>
      <c r="F45" s="3" t="s">
        <v>50</v>
      </c>
      <c r="G45" s="3" t="s">
        <v>84</v>
      </c>
      <c r="H45" s="3" t="s">
        <v>85</v>
      </c>
      <c r="I45" s="3" t="s">
        <v>51</v>
      </c>
      <c r="J45" s="3" t="s">
        <v>63</v>
      </c>
      <c r="K45" s="3" t="s">
        <v>86</v>
      </c>
      <c r="L45" s="3" t="s">
        <v>57</v>
      </c>
      <c r="M45" s="3" t="s">
        <v>87</v>
      </c>
      <c r="N45" s="3" t="s">
        <v>52</v>
      </c>
      <c r="O45" s="3" t="s">
        <v>52</v>
      </c>
      <c r="P45" s="3" t="s">
        <v>52</v>
      </c>
      <c r="Q45" s="3" t="s">
        <v>88</v>
      </c>
      <c r="R45" s="3" t="s">
        <v>53</v>
      </c>
      <c r="S45" s="3" t="s">
        <v>55</v>
      </c>
      <c r="T45" s="1">
        <v>0</v>
      </c>
      <c r="U45" s="1">
        <v>800</v>
      </c>
      <c r="V45" s="1">
        <v>0</v>
      </c>
      <c r="W45" s="1">
        <v>10000</v>
      </c>
      <c r="X45" s="1">
        <v>800</v>
      </c>
      <c r="Y45" s="1">
        <v>10000</v>
      </c>
      <c r="Z45" s="1">
        <v>10800</v>
      </c>
      <c r="AA45" s="1">
        <v>0</v>
      </c>
      <c r="AB45" s="1">
        <v>800</v>
      </c>
      <c r="AC45" s="1">
        <v>0</v>
      </c>
      <c r="AD45" s="1">
        <v>10000</v>
      </c>
      <c r="AE45" s="1">
        <v>800</v>
      </c>
      <c r="AF45" s="1">
        <v>10000</v>
      </c>
      <c r="AG45" s="1">
        <v>10800</v>
      </c>
      <c r="AH45" s="1">
        <v>0</v>
      </c>
      <c r="AI45" s="1">
        <v>776</v>
      </c>
      <c r="AJ45" s="1">
        <v>0</v>
      </c>
      <c r="AK45" s="1">
        <v>9000</v>
      </c>
      <c r="AL45" s="1">
        <v>776</v>
      </c>
      <c r="AM45" s="1">
        <v>9000</v>
      </c>
      <c r="AN45" s="1">
        <v>9776</v>
      </c>
      <c r="AO45" s="3" t="s">
        <v>134</v>
      </c>
      <c r="AP45" s="3" t="s">
        <v>134</v>
      </c>
      <c r="AQ45" s="3" t="s">
        <v>134</v>
      </c>
      <c r="AR45" s="3" t="s">
        <v>134</v>
      </c>
      <c r="AS45" s="1">
        <v>5866</v>
      </c>
      <c r="AT45" s="1">
        <v>0</v>
      </c>
      <c r="AU45" s="1">
        <v>5866</v>
      </c>
    </row>
    <row r="46" spans="1:47" s="3" customFormat="1" x14ac:dyDescent="0.3">
      <c r="A46" s="3" t="s">
        <v>46</v>
      </c>
      <c r="B46" s="3" t="s">
        <v>47</v>
      </c>
      <c r="C46" s="3" t="s">
        <v>48</v>
      </c>
      <c r="D46" s="3" t="s">
        <v>61</v>
      </c>
      <c r="E46" s="3" t="s">
        <v>49</v>
      </c>
      <c r="F46" s="3" t="s">
        <v>50</v>
      </c>
      <c r="G46" s="3" t="s">
        <v>84</v>
      </c>
      <c r="H46" s="3" t="s">
        <v>85</v>
      </c>
      <c r="I46" s="3" t="s">
        <v>51</v>
      </c>
      <c r="J46" s="3" t="s">
        <v>63</v>
      </c>
      <c r="K46" s="3" t="s">
        <v>86</v>
      </c>
      <c r="L46" s="3" t="s">
        <v>57</v>
      </c>
      <c r="M46" s="3" t="s">
        <v>87</v>
      </c>
      <c r="N46" s="3" t="s">
        <v>52</v>
      </c>
      <c r="O46" s="3" t="s">
        <v>52</v>
      </c>
      <c r="P46" s="3" t="s">
        <v>52</v>
      </c>
      <c r="Q46" s="3" t="s">
        <v>88</v>
      </c>
      <c r="R46" s="3" t="s">
        <v>53</v>
      </c>
      <c r="S46" s="3" t="s">
        <v>58</v>
      </c>
      <c r="T46" s="1">
        <v>799700</v>
      </c>
      <c r="U46" s="1">
        <v>523410</v>
      </c>
      <c r="V46" s="1">
        <v>81800</v>
      </c>
      <c r="W46" s="1">
        <v>205290</v>
      </c>
      <c r="X46" s="1">
        <v>1404910</v>
      </c>
      <c r="Y46" s="1">
        <v>205290</v>
      </c>
      <c r="Z46" s="1">
        <v>1610200</v>
      </c>
      <c r="AA46" s="1">
        <v>959640</v>
      </c>
      <c r="AB46" s="1">
        <v>523410</v>
      </c>
      <c r="AC46" s="1">
        <v>98160</v>
      </c>
      <c r="AD46" s="1">
        <v>205290</v>
      </c>
      <c r="AE46" s="1">
        <v>1581210</v>
      </c>
      <c r="AF46" s="1">
        <v>205290</v>
      </c>
      <c r="AG46" s="1">
        <v>1786500</v>
      </c>
      <c r="AH46" s="1">
        <v>863676</v>
      </c>
      <c r="AI46" s="1">
        <v>507707.7</v>
      </c>
      <c r="AJ46" s="1">
        <v>68712</v>
      </c>
      <c r="AK46" s="1">
        <v>184761</v>
      </c>
      <c r="AL46" s="1">
        <v>1440095.7</v>
      </c>
      <c r="AM46" s="1">
        <v>184761</v>
      </c>
      <c r="AN46" s="1">
        <v>1624856.7</v>
      </c>
      <c r="AO46" s="3" t="s">
        <v>134</v>
      </c>
      <c r="AP46" s="3" t="s">
        <v>134</v>
      </c>
      <c r="AQ46" s="3" t="s">
        <v>134</v>
      </c>
      <c r="AR46" s="3" t="s">
        <v>134</v>
      </c>
      <c r="AS46" s="1">
        <v>974915</v>
      </c>
      <c r="AT46" s="1">
        <v>0</v>
      </c>
      <c r="AU46" s="1">
        <v>974915</v>
      </c>
    </row>
    <row r="47" spans="1:47" s="3" customFormat="1" x14ac:dyDescent="0.3">
      <c r="A47" s="3" t="s">
        <v>46</v>
      </c>
      <c r="B47" s="3" t="s">
        <v>47</v>
      </c>
      <c r="C47" s="3" t="s">
        <v>48</v>
      </c>
      <c r="D47" s="3" t="s">
        <v>61</v>
      </c>
      <c r="E47" s="3" t="s">
        <v>49</v>
      </c>
      <c r="F47" s="3" t="s">
        <v>50</v>
      </c>
      <c r="G47" s="3" t="s">
        <v>84</v>
      </c>
      <c r="H47" s="3" t="s">
        <v>85</v>
      </c>
      <c r="I47" s="3" t="s">
        <v>51</v>
      </c>
      <c r="J47" s="3" t="s">
        <v>63</v>
      </c>
      <c r="K47" s="3" t="s">
        <v>86</v>
      </c>
      <c r="L47" s="3" t="s">
        <v>57</v>
      </c>
      <c r="M47" s="3" t="s">
        <v>87</v>
      </c>
      <c r="N47" s="3" t="s">
        <v>52</v>
      </c>
      <c r="O47" s="3" t="s">
        <v>52</v>
      </c>
      <c r="P47" s="3" t="s">
        <v>52</v>
      </c>
      <c r="Q47" s="3" t="s">
        <v>88</v>
      </c>
      <c r="R47" s="3" t="s">
        <v>53</v>
      </c>
      <c r="S47" s="3" t="s">
        <v>59</v>
      </c>
      <c r="T47" s="1">
        <v>358940</v>
      </c>
      <c r="U47" s="1">
        <v>354820</v>
      </c>
      <c r="V47" s="1">
        <v>17600</v>
      </c>
      <c r="W47" s="1">
        <v>60440</v>
      </c>
      <c r="X47" s="1">
        <v>731360</v>
      </c>
      <c r="Y47" s="1">
        <v>60440</v>
      </c>
      <c r="Z47" s="1">
        <v>791800</v>
      </c>
      <c r="AA47" s="1">
        <v>430728</v>
      </c>
      <c r="AB47" s="1">
        <v>354820</v>
      </c>
      <c r="AC47" s="1">
        <v>21260</v>
      </c>
      <c r="AD47" s="1">
        <v>60440</v>
      </c>
      <c r="AE47" s="1">
        <v>806808</v>
      </c>
      <c r="AF47" s="1">
        <v>60440</v>
      </c>
      <c r="AG47" s="1">
        <v>867248</v>
      </c>
      <c r="AH47" s="1">
        <v>387655.2</v>
      </c>
      <c r="AI47" s="1">
        <v>344175.4</v>
      </c>
      <c r="AJ47" s="1">
        <v>14882</v>
      </c>
      <c r="AK47" s="1">
        <v>54396</v>
      </c>
      <c r="AL47" s="1">
        <v>746712.6</v>
      </c>
      <c r="AM47" s="1">
        <v>54396</v>
      </c>
      <c r="AN47" s="1">
        <v>801108.6</v>
      </c>
      <c r="AO47" s="3" t="s">
        <v>134</v>
      </c>
      <c r="AP47" s="3" t="s">
        <v>134</v>
      </c>
      <c r="AQ47" s="3" t="s">
        <v>134</v>
      </c>
      <c r="AR47" s="3" t="s">
        <v>134</v>
      </c>
      <c r="AS47" s="1">
        <v>480665</v>
      </c>
      <c r="AT47" s="1">
        <v>0</v>
      </c>
      <c r="AU47" s="1">
        <v>480665</v>
      </c>
    </row>
    <row r="48" spans="1:47" s="3" customFormat="1" x14ac:dyDescent="0.3">
      <c r="A48" s="3" t="s">
        <v>46</v>
      </c>
      <c r="B48" s="3" t="s">
        <v>47</v>
      </c>
      <c r="C48" s="3" t="s">
        <v>48</v>
      </c>
      <c r="D48" s="3" t="s">
        <v>61</v>
      </c>
      <c r="E48" s="3" t="s">
        <v>49</v>
      </c>
      <c r="F48" s="3" t="s">
        <v>50</v>
      </c>
      <c r="G48" s="3" t="s">
        <v>84</v>
      </c>
      <c r="H48" s="3" t="s">
        <v>85</v>
      </c>
      <c r="I48" s="3" t="s">
        <v>51</v>
      </c>
      <c r="J48" s="3" t="s">
        <v>63</v>
      </c>
      <c r="K48" s="3" t="s">
        <v>86</v>
      </c>
      <c r="L48" s="3" t="s">
        <v>57</v>
      </c>
      <c r="M48" s="3" t="s">
        <v>87</v>
      </c>
      <c r="N48" s="3" t="s">
        <v>52</v>
      </c>
      <c r="O48" s="3" t="s">
        <v>52</v>
      </c>
      <c r="P48" s="3" t="s">
        <v>52</v>
      </c>
      <c r="Q48" s="3" t="s">
        <v>88</v>
      </c>
      <c r="R48" s="3" t="s">
        <v>53</v>
      </c>
      <c r="S48" s="3" t="s">
        <v>59</v>
      </c>
      <c r="T48" s="1">
        <v>122200</v>
      </c>
      <c r="U48" s="1">
        <v>98900</v>
      </c>
      <c r="V48" s="1">
        <v>18000</v>
      </c>
      <c r="W48" s="1">
        <v>1300</v>
      </c>
      <c r="X48" s="1">
        <v>239100</v>
      </c>
      <c r="Y48" s="1">
        <v>1300</v>
      </c>
      <c r="Z48" s="1">
        <v>240400</v>
      </c>
      <c r="AA48" s="1">
        <v>146640</v>
      </c>
      <c r="AB48" s="1">
        <v>98900</v>
      </c>
      <c r="AC48" s="1">
        <v>21600</v>
      </c>
      <c r="AD48" s="1">
        <v>1300</v>
      </c>
      <c r="AE48" s="1">
        <v>267140</v>
      </c>
      <c r="AF48" s="1">
        <v>1300</v>
      </c>
      <c r="AG48" s="1">
        <v>268440</v>
      </c>
      <c r="AH48" s="1">
        <v>131976</v>
      </c>
      <c r="AI48" s="1">
        <v>95933</v>
      </c>
      <c r="AJ48" s="1">
        <v>15120</v>
      </c>
      <c r="AK48" s="1">
        <v>1170</v>
      </c>
      <c r="AL48" s="1">
        <v>243029</v>
      </c>
      <c r="AM48" s="1">
        <v>1170</v>
      </c>
      <c r="AN48" s="1">
        <v>244199</v>
      </c>
      <c r="AO48" s="3" t="s">
        <v>134</v>
      </c>
      <c r="AP48" s="3" t="s">
        <v>134</v>
      </c>
      <c r="AQ48" s="3" t="s">
        <v>134</v>
      </c>
      <c r="AR48" s="3" t="s">
        <v>134</v>
      </c>
      <c r="AS48" s="1">
        <v>146520</v>
      </c>
      <c r="AT48" s="1">
        <v>0</v>
      </c>
      <c r="AU48" s="1">
        <v>146520</v>
      </c>
    </row>
    <row r="49" spans="1:47" s="3" customFormat="1" x14ac:dyDescent="0.3">
      <c r="A49" s="3" t="s">
        <v>46</v>
      </c>
      <c r="B49" s="3" t="s">
        <v>47</v>
      </c>
      <c r="C49" s="3" t="s">
        <v>48</v>
      </c>
      <c r="D49" s="3" t="s">
        <v>61</v>
      </c>
      <c r="E49" s="3" t="s">
        <v>49</v>
      </c>
      <c r="F49" s="3" t="s">
        <v>50</v>
      </c>
      <c r="G49" s="3" t="s">
        <v>84</v>
      </c>
      <c r="H49" s="3" t="s">
        <v>85</v>
      </c>
      <c r="I49" s="3" t="s">
        <v>51</v>
      </c>
      <c r="J49" s="3" t="s">
        <v>63</v>
      </c>
      <c r="K49" s="3" t="s">
        <v>86</v>
      </c>
      <c r="L49" s="3" t="s">
        <v>57</v>
      </c>
      <c r="M49" s="3" t="s">
        <v>87</v>
      </c>
      <c r="N49" s="3" t="s">
        <v>52</v>
      </c>
      <c r="O49" s="3" t="s">
        <v>52</v>
      </c>
      <c r="P49" s="3" t="s">
        <v>52</v>
      </c>
      <c r="Q49" s="3" t="s">
        <v>88</v>
      </c>
      <c r="R49" s="3" t="s">
        <v>53</v>
      </c>
      <c r="S49" s="3" t="s">
        <v>59</v>
      </c>
      <c r="T49" s="1">
        <v>16200</v>
      </c>
      <c r="U49" s="1">
        <v>91800</v>
      </c>
      <c r="V49" s="1">
        <v>0</v>
      </c>
      <c r="W49" s="1">
        <v>1200</v>
      </c>
      <c r="X49" s="1">
        <v>108000</v>
      </c>
      <c r="Y49" s="1">
        <v>1200</v>
      </c>
      <c r="Z49" s="1">
        <v>109200</v>
      </c>
      <c r="AA49" s="1">
        <v>19440</v>
      </c>
      <c r="AB49" s="1">
        <v>91800</v>
      </c>
      <c r="AC49" s="1">
        <v>0</v>
      </c>
      <c r="AD49" s="1">
        <v>1200</v>
      </c>
      <c r="AE49" s="1">
        <v>111240</v>
      </c>
      <c r="AF49" s="1">
        <v>1200</v>
      </c>
      <c r="AG49" s="1">
        <v>112440</v>
      </c>
      <c r="AH49" s="1">
        <v>17496</v>
      </c>
      <c r="AI49" s="1">
        <v>89046</v>
      </c>
      <c r="AJ49" s="1">
        <v>0</v>
      </c>
      <c r="AK49" s="1">
        <v>1080</v>
      </c>
      <c r="AL49" s="1">
        <v>106542</v>
      </c>
      <c r="AM49" s="1">
        <v>1080</v>
      </c>
      <c r="AN49" s="1">
        <v>107622</v>
      </c>
      <c r="AO49" s="3" t="s">
        <v>134</v>
      </c>
      <c r="AP49" s="3" t="s">
        <v>134</v>
      </c>
      <c r="AQ49" s="3" t="s">
        <v>134</v>
      </c>
      <c r="AR49" s="3" t="s">
        <v>134</v>
      </c>
      <c r="AS49" s="1">
        <v>64574</v>
      </c>
      <c r="AT49" s="1">
        <v>0</v>
      </c>
      <c r="AU49" s="1">
        <v>64574</v>
      </c>
    </row>
    <row r="50" spans="1:47" s="3" customFormat="1" x14ac:dyDescent="0.3">
      <c r="A50" s="3" t="s">
        <v>46</v>
      </c>
      <c r="B50" s="3" t="s">
        <v>47</v>
      </c>
      <c r="C50" s="3" t="s">
        <v>48</v>
      </c>
      <c r="D50" s="3" t="s">
        <v>61</v>
      </c>
      <c r="E50" s="3" t="s">
        <v>49</v>
      </c>
      <c r="F50" s="3" t="s">
        <v>50</v>
      </c>
      <c r="G50" s="3" t="s">
        <v>135</v>
      </c>
      <c r="H50" s="3" t="s">
        <v>136</v>
      </c>
      <c r="I50" s="3" t="s">
        <v>51</v>
      </c>
      <c r="J50" s="3" t="s">
        <v>63</v>
      </c>
      <c r="K50" s="3" t="s">
        <v>137</v>
      </c>
      <c r="L50" s="3" t="s">
        <v>138</v>
      </c>
      <c r="M50" s="3" t="s">
        <v>139</v>
      </c>
      <c r="N50" s="3" t="s">
        <v>52</v>
      </c>
      <c r="O50" s="3" t="s">
        <v>52</v>
      </c>
      <c r="P50" s="3" t="s">
        <v>52</v>
      </c>
      <c r="Q50" s="3" t="s">
        <v>140</v>
      </c>
      <c r="R50" s="3" t="s">
        <v>53</v>
      </c>
      <c r="S50" s="3" t="s">
        <v>54</v>
      </c>
      <c r="T50" s="1">
        <v>125900</v>
      </c>
      <c r="U50" s="1">
        <v>122000</v>
      </c>
      <c r="V50" s="1">
        <v>19200</v>
      </c>
      <c r="W50" s="1">
        <v>34100</v>
      </c>
      <c r="X50" s="1">
        <v>267100</v>
      </c>
      <c r="Y50" s="1">
        <v>34100</v>
      </c>
      <c r="Z50" s="1">
        <v>301200</v>
      </c>
      <c r="AA50" s="1">
        <v>151080</v>
      </c>
      <c r="AB50" s="1">
        <v>122000</v>
      </c>
      <c r="AC50" s="1">
        <v>23040</v>
      </c>
      <c r="AD50" s="1">
        <v>34100</v>
      </c>
      <c r="AE50" s="1">
        <v>296120</v>
      </c>
      <c r="AF50" s="1">
        <v>34100</v>
      </c>
      <c r="AG50" s="1">
        <v>330220</v>
      </c>
      <c r="AH50" s="1">
        <v>135972</v>
      </c>
      <c r="AI50" s="1">
        <v>118340</v>
      </c>
      <c r="AJ50" s="1">
        <v>16128</v>
      </c>
      <c r="AK50" s="1">
        <v>30690</v>
      </c>
      <c r="AL50" s="1">
        <v>270440</v>
      </c>
      <c r="AM50" s="1">
        <v>30690</v>
      </c>
      <c r="AN50" s="1">
        <v>301130</v>
      </c>
      <c r="AO50" s="3" t="s">
        <v>134</v>
      </c>
      <c r="AP50" s="3" t="s">
        <v>134</v>
      </c>
      <c r="AQ50" s="3" t="s">
        <v>134</v>
      </c>
      <c r="AR50" s="3" t="s">
        <v>134</v>
      </c>
      <c r="AS50" s="1">
        <v>180678</v>
      </c>
      <c r="AT50" s="1">
        <v>0</v>
      </c>
      <c r="AU50" s="1">
        <v>180678</v>
      </c>
    </row>
    <row r="51" spans="1:47" s="3" customFormat="1" x14ac:dyDescent="0.3">
      <c r="A51" s="3" t="s">
        <v>46</v>
      </c>
      <c r="B51" s="3" t="s">
        <v>47</v>
      </c>
      <c r="C51" s="3" t="s">
        <v>48</v>
      </c>
      <c r="D51" s="3" t="s">
        <v>61</v>
      </c>
      <c r="E51" s="3" t="s">
        <v>49</v>
      </c>
      <c r="F51" s="3" t="s">
        <v>50</v>
      </c>
      <c r="G51" s="3" t="s">
        <v>135</v>
      </c>
      <c r="H51" s="3" t="s">
        <v>136</v>
      </c>
      <c r="I51" s="3" t="s">
        <v>51</v>
      </c>
      <c r="J51" s="3" t="s">
        <v>63</v>
      </c>
      <c r="K51" s="3" t="s">
        <v>137</v>
      </c>
      <c r="L51" s="3" t="s">
        <v>138</v>
      </c>
      <c r="M51" s="3" t="s">
        <v>139</v>
      </c>
      <c r="N51" s="3" t="s">
        <v>52</v>
      </c>
      <c r="O51" s="3" t="s">
        <v>52</v>
      </c>
      <c r="P51" s="3" t="s">
        <v>52</v>
      </c>
      <c r="Q51" s="3" t="s">
        <v>140</v>
      </c>
      <c r="R51" s="3" t="s">
        <v>53</v>
      </c>
      <c r="S51" s="3" t="s">
        <v>55</v>
      </c>
      <c r="T51" s="1">
        <v>189980</v>
      </c>
      <c r="U51" s="1">
        <v>358970</v>
      </c>
      <c r="V51" s="1">
        <v>36000</v>
      </c>
      <c r="W51" s="1">
        <v>33450</v>
      </c>
      <c r="X51" s="1">
        <v>584950</v>
      </c>
      <c r="Y51" s="1">
        <v>33450</v>
      </c>
      <c r="Z51" s="1">
        <v>618400</v>
      </c>
      <c r="AA51" s="1">
        <v>227976</v>
      </c>
      <c r="AB51" s="1">
        <v>358970</v>
      </c>
      <c r="AC51" s="1">
        <v>43200</v>
      </c>
      <c r="AD51" s="1">
        <v>33450</v>
      </c>
      <c r="AE51" s="1">
        <v>630146</v>
      </c>
      <c r="AF51" s="1">
        <v>33450</v>
      </c>
      <c r="AG51" s="1">
        <v>663596</v>
      </c>
      <c r="AH51" s="1">
        <v>205178.4</v>
      </c>
      <c r="AI51" s="1">
        <v>348200.9</v>
      </c>
      <c r="AJ51" s="1">
        <v>30240</v>
      </c>
      <c r="AK51" s="1">
        <v>30105</v>
      </c>
      <c r="AL51" s="1">
        <v>583619.30000000005</v>
      </c>
      <c r="AM51" s="1">
        <v>30105</v>
      </c>
      <c r="AN51" s="1">
        <v>613724.30000000005</v>
      </c>
      <c r="AO51" s="3" t="s">
        <v>134</v>
      </c>
      <c r="AP51" s="3" t="s">
        <v>134</v>
      </c>
      <c r="AQ51" s="3" t="s">
        <v>134</v>
      </c>
      <c r="AR51" s="3" t="s">
        <v>134</v>
      </c>
      <c r="AS51" s="1">
        <v>368235</v>
      </c>
      <c r="AT51" s="1">
        <v>0</v>
      </c>
      <c r="AU51" s="1">
        <v>368235</v>
      </c>
    </row>
    <row r="52" spans="1:47" s="3" customFormat="1" x14ac:dyDescent="0.3">
      <c r="A52" s="3" t="s">
        <v>46</v>
      </c>
      <c r="B52" s="3" t="s">
        <v>47</v>
      </c>
      <c r="C52" s="3" t="s">
        <v>48</v>
      </c>
      <c r="D52" s="3" t="s">
        <v>61</v>
      </c>
      <c r="E52" s="3" t="s">
        <v>49</v>
      </c>
      <c r="F52" s="3" t="s">
        <v>50</v>
      </c>
      <c r="G52" s="3" t="s">
        <v>135</v>
      </c>
      <c r="H52" s="3" t="s">
        <v>136</v>
      </c>
      <c r="I52" s="3" t="s">
        <v>51</v>
      </c>
      <c r="J52" s="3" t="s">
        <v>63</v>
      </c>
      <c r="K52" s="3" t="s">
        <v>137</v>
      </c>
      <c r="L52" s="3" t="s">
        <v>138</v>
      </c>
      <c r="M52" s="3" t="s">
        <v>139</v>
      </c>
      <c r="N52" s="3" t="s">
        <v>52</v>
      </c>
      <c r="O52" s="3" t="s">
        <v>52</v>
      </c>
      <c r="P52" s="3" t="s">
        <v>52</v>
      </c>
      <c r="Q52" s="3" t="s">
        <v>140</v>
      </c>
      <c r="R52" s="3" t="s">
        <v>53</v>
      </c>
      <c r="S52" s="3" t="s">
        <v>55</v>
      </c>
      <c r="T52" s="1">
        <v>74600</v>
      </c>
      <c r="U52" s="1">
        <v>213500</v>
      </c>
      <c r="V52" s="1">
        <v>14400</v>
      </c>
      <c r="W52" s="1">
        <v>8700</v>
      </c>
      <c r="X52" s="1">
        <v>302500</v>
      </c>
      <c r="Y52" s="1">
        <v>8700</v>
      </c>
      <c r="Z52" s="1">
        <v>311200</v>
      </c>
      <c r="AA52" s="1">
        <v>89520</v>
      </c>
      <c r="AB52" s="1">
        <v>213500</v>
      </c>
      <c r="AC52" s="1">
        <v>17280</v>
      </c>
      <c r="AD52" s="1">
        <v>8700</v>
      </c>
      <c r="AE52" s="1">
        <v>320300</v>
      </c>
      <c r="AF52" s="1">
        <v>8700</v>
      </c>
      <c r="AG52" s="1">
        <v>329000</v>
      </c>
      <c r="AH52" s="1">
        <v>80568</v>
      </c>
      <c r="AI52" s="1">
        <v>207095</v>
      </c>
      <c r="AJ52" s="1">
        <v>12096</v>
      </c>
      <c r="AK52" s="1">
        <v>7830</v>
      </c>
      <c r="AL52" s="1">
        <v>299759</v>
      </c>
      <c r="AM52" s="1">
        <v>7830</v>
      </c>
      <c r="AN52" s="1">
        <v>307589</v>
      </c>
      <c r="AO52" s="3" t="s">
        <v>134</v>
      </c>
      <c r="AP52" s="3" t="s">
        <v>134</v>
      </c>
      <c r="AQ52" s="3" t="s">
        <v>134</v>
      </c>
      <c r="AR52" s="3" t="s">
        <v>134</v>
      </c>
      <c r="AS52" s="1">
        <v>184554</v>
      </c>
      <c r="AT52" s="1">
        <v>0</v>
      </c>
      <c r="AU52" s="1">
        <v>184554</v>
      </c>
    </row>
    <row r="53" spans="1:47" s="3" customFormat="1" x14ac:dyDescent="0.3">
      <c r="A53" s="3" t="s">
        <v>46</v>
      </c>
      <c r="B53" s="3" t="s">
        <v>47</v>
      </c>
      <c r="C53" s="3" t="s">
        <v>48</v>
      </c>
      <c r="D53" s="3" t="s">
        <v>61</v>
      </c>
      <c r="E53" s="3" t="s">
        <v>49</v>
      </c>
      <c r="F53" s="3" t="s">
        <v>50</v>
      </c>
      <c r="G53" s="3" t="s">
        <v>135</v>
      </c>
      <c r="H53" s="3" t="s">
        <v>136</v>
      </c>
      <c r="I53" s="3" t="s">
        <v>51</v>
      </c>
      <c r="J53" s="3" t="s">
        <v>63</v>
      </c>
      <c r="K53" s="3" t="s">
        <v>137</v>
      </c>
      <c r="L53" s="3" t="s">
        <v>138</v>
      </c>
      <c r="M53" s="3" t="s">
        <v>139</v>
      </c>
      <c r="N53" s="3" t="s">
        <v>52</v>
      </c>
      <c r="O53" s="3" t="s">
        <v>52</v>
      </c>
      <c r="P53" s="3" t="s">
        <v>52</v>
      </c>
      <c r="Q53" s="3" t="s">
        <v>140</v>
      </c>
      <c r="R53" s="3" t="s">
        <v>53</v>
      </c>
      <c r="S53" s="3" t="s">
        <v>55</v>
      </c>
      <c r="T53" s="1">
        <v>100800</v>
      </c>
      <c r="U53" s="1">
        <v>110700</v>
      </c>
      <c r="V53" s="1">
        <v>0</v>
      </c>
      <c r="W53" s="1">
        <v>15300</v>
      </c>
      <c r="X53" s="1">
        <v>211500</v>
      </c>
      <c r="Y53" s="1">
        <v>15300</v>
      </c>
      <c r="Z53" s="1">
        <v>226800</v>
      </c>
      <c r="AA53" s="1">
        <v>120960</v>
      </c>
      <c r="AB53" s="1">
        <v>110700</v>
      </c>
      <c r="AC53" s="1">
        <v>0</v>
      </c>
      <c r="AD53" s="1">
        <v>15300</v>
      </c>
      <c r="AE53" s="1">
        <v>231660</v>
      </c>
      <c r="AF53" s="1">
        <v>15300</v>
      </c>
      <c r="AG53" s="1">
        <v>246960</v>
      </c>
      <c r="AH53" s="1">
        <v>108864</v>
      </c>
      <c r="AI53" s="1">
        <v>107379</v>
      </c>
      <c r="AJ53" s="1">
        <v>0</v>
      </c>
      <c r="AK53" s="1">
        <v>13770</v>
      </c>
      <c r="AL53" s="1">
        <v>216243</v>
      </c>
      <c r="AM53" s="1">
        <v>13770</v>
      </c>
      <c r="AN53" s="1">
        <v>230013</v>
      </c>
      <c r="AO53" s="3" t="s">
        <v>134</v>
      </c>
      <c r="AP53" s="3" t="s">
        <v>134</v>
      </c>
      <c r="AQ53" s="3" t="s">
        <v>134</v>
      </c>
      <c r="AR53" s="3" t="s">
        <v>134</v>
      </c>
      <c r="AS53" s="1">
        <v>138007</v>
      </c>
      <c r="AT53" s="1">
        <v>0</v>
      </c>
      <c r="AU53" s="1">
        <v>138007</v>
      </c>
    </row>
    <row r="54" spans="1:47" s="3" customFormat="1" x14ac:dyDescent="0.3">
      <c r="A54" s="3" t="s">
        <v>46</v>
      </c>
      <c r="B54" s="3" t="s">
        <v>47</v>
      </c>
      <c r="C54" s="3" t="s">
        <v>48</v>
      </c>
      <c r="D54" s="3" t="s">
        <v>61</v>
      </c>
      <c r="E54" s="3" t="s">
        <v>49</v>
      </c>
      <c r="F54" s="3" t="s">
        <v>50</v>
      </c>
      <c r="G54" s="3" t="s">
        <v>135</v>
      </c>
      <c r="H54" s="3" t="s">
        <v>136</v>
      </c>
      <c r="I54" s="3" t="s">
        <v>51</v>
      </c>
      <c r="J54" s="3" t="s">
        <v>63</v>
      </c>
      <c r="K54" s="3" t="s">
        <v>137</v>
      </c>
      <c r="L54" s="3" t="s">
        <v>138</v>
      </c>
      <c r="M54" s="3" t="s">
        <v>139</v>
      </c>
      <c r="N54" s="3" t="s">
        <v>52</v>
      </c>
      <c r="O54" s="3" t="s">
        <v>52</v>
      </c>
      <c r="P54" s="3" t="s">
        <v>52</v>
      </c>
      <c r="Q54" s="3" t="s">
        <v>140</v>
      </c>
      <c r="R54" s="3" t="s">
        <v>53</v>
      </c>
      <c r="S54" s="3" t="s">
        <v>58</v>
      </c>
      <c r="T54" s="1">
        <v>3731150</v>
      </c>
      <c r="U54" s="1">
        <v>2978410</v>
      </c>
      <c r="V54" s="1">
        <v>779990</v>
      </c>
      <c r="W54" s="1">
        <v>1453650</v>
      </c>
      <c r="X54" s="1">
        <v>7489550</v>
      </c>
      <c r="Y54" s="1">
        <v>1453650</v>
      </c>
      <c r="Z54" s="1">
        <v>8943200</v>
      </c>
      <c r="AA54" s="1">
        <v>4477380</v>
      </c>
      <c r="AB54" s="1">
        <v>2978410</v>
      </c>
      <c r="AC54" s="1">
        <v>935538</v>
      </c>
      <c r="AD54" s="1">
        <v>1453650</v>
      </c>
      <c r="AE54" s="1">
        <v>8391328</v>
      </c>
      <c r="AF54" s="1">
        <v>1453650</v>
      </c>
      <c r="AG54" s="1">
        <v>9844978</v>
      </c>
      <c r="AH54" s="1">
        <v>4029642</v>
      </c>
      <c r="AI54" s="1">
        <v>2889057.7</v>
      </c>
      <c r="AJ54" s="1">
        <v>654876.6</v>
      </c>
      <c r="AK54" s="1">
        <v>1308285</v>
      </c>
      <c r="AL54" s="1">
        <v>7573576.2999999998</v>
      </c>
      <c r="AM54" s="1">
        <v>1308285</v>
      </c>
      <c r="AN54" s="1">
        <v>8881861.3000000007</v>
      </c>
      <c r="AO54" s="3" t="s">
        <v>134</v>
      </c>
      <c r="AP54" s="3" t="s">
        <v>134</v>
      </c>
      <c r="AQ54" s="3" t="s">
        <v>134</v>
      </c>
      <c r="AR54" s="3" t="s">
        <v>134</v>
      </c>
      <c r="AS54" s="1">
        <v>5329117</v>
      </c>
      <c r="AT54" s="1">
        <v>0</v>
      </c>
      <c r="AU54" s="1">
        <v>5329117</v>
      </c>
    </row>
    <row r="55" spans="1:47" s="3" customFormat="1" x14ac:dyDescent="0.3">
      <c r="A55" s="3" t="s">
        <v>46</v>
      </c>
      <c r="B55" s="3" t="s">
        <v>47</v>
      </c>
      <c r="C55" s="3" t="s">
        <v>48</v>
      </c>
      <c r="D55" s="3" t="s">
        <v>61</v>
      </c>
      <c r="E55" s="3" t="s">
        <v>49</v>
      </c>
      <c r="F55" s="3" t="s">
        <v>50</v>
      </c>
      <c r="G55" s="3" t="s">
        <v>135</v>
      </c>
      <c r="H55" s="3" t="s">
        <v>136</v>
      </c>
      <c r="I55" s="3" t="s">
        <v>51</v>
      </c>
      <c r="J55" s="3" t="s">
        <v>63</v>
      </c>
      <c r="K55" s="3" t="s">
        <v>137</v>
      </c>
      <c r="L55" s="3" t="s">
        <v>138</v>
      </c>
      <c r="M55" s="3" t="s">
        <v>139</v>
      </c>
      <c r="N55" s="3" t="s">
        <v>52</v>
      </c>
      <c r="O55" s="3" t="s">
        <v>52</v>
      </c>
      <c r="P55" s="3" t="s">
        <v>52</v>
      </c>
      <c r="Q55" s="3" t="s">
        <v>140</v>
      </c>
      <c r="R55" s="3" t="s">
        <v>53</v>
      </c>
      <c r="S55" s="3" t="s">
        <v>59</v>
      </c>
      <c r="T55" s="1">
        <v>4721300</v>
      </c>
      <c r="U55" s="1">
        <v>5303040</v>
      </c>
      <c r="V55" s="1">
        <v>826160</v>
      </c>
      <c r="W55" s="1">
        <v>700900</v>
      </c>
      <c r="X55" s="1">
        <v>10850500</v>
      </c>
      <c r="Y55" s="1">
        <v>700900</v>
      </c>
      <c r="Z55" s="1">
        <v>11551400</v>
      </c>
      <c r="AA55" s="1">
        <v>5665560</v>
      </c>
      <c r="AB55" s="1">
        <v>5303040</v>
      </c>
      <c r="AC55" s="1">
        <v>990852</v>
      </c>
      <c r="AD55" s="1">
        <v>700900</v>
      </c>
      <c r="AE55" s="1">
        <v>11959452</v>
      </c>
      <c r="AF55" s="1">
        <v>700900</v>
      </c>
      <c r="AG55" s="1">
        <v>12660352</v>
      </c>
      <c r="AH55" s="1">
        <v>5099004</v>
      </c>
      <c r="AI55" s="1">
        <v>5143948.8</v>
      </c>
      <c r="AJ55" s="1">
        <v>693596.4</v>
      </c>
      <c r="AK55" s="1">
        <v>630810</v>
      </c>
      <c r="AL55" s="1">
        <v>10936549.199999999</v>
      </c>
      <c r="AM55" s="1">
        <v>630810</v>
      </c>
      <c r="AN55" s="1">
        <v>11567359.199999999</v>
      </c>
      <c r="AO55" s="3" t="s">
        <v>134</v>
      </c>
      <c r="AP55" s="3" t="s">
        <v>134</v>
      </c>
      <c r="AQ55" s="3" t="s">
        <v>134</v>
      </c>
      <c r="AR55" s="3" t="s">
        <v>134</v>
      </c>
      <c r="AS55" s="1">
        <v>6940415</v>
      </c>
      <c r="AT55" s="1">
        <v>0</v>
      </c>
      <c r="AU55" s="1">
        <v>6940415</v>
      </c>
    </row>
    <row r="56" spans="1:47" s="3" customFormat="1" x14ac:dyDescent="0.3">
      <c r="A56" s="3" t="s">
        <v>46</v>
      </c>
      <c r="B56" s="3" t="s">
        <v>47</v>
      </c>
      <c r="C56" s="3" t="s">
        <v>48</v>
      </c>
      <c r="D56" s="3" t="s">
        <v>61</v>
      </c>
      <c r="E56" s="3" t="s">
        <v>49</v>
      </c>
      <c r="F56" s="3" t="s">
        <v>50</v>
      </c>
      <c r="G56" s="3" t="s">
        <v>135</v>
      </c>
      <c r="H56" s="3" t="s">
        <v>136</v>
      </c>
      <c r="I56" s="3" t="s">
        <v>51</v>
      </c>
      <c r="J56" s="3" t="s">
        <v>63</v>
      </c>
      <c r="K56" s="3" t="s">
        <v>137</v>
      </c>
      <c r="L56" s="3" t="s">
        <v>138</v>
      </c>
      <c r="M56" s="3" t="s">
        <v>139</v>
      </c>
      <c r="N56" s="3" t="s">
        <v>52</v>
      </c>
      <c r="O56" s="3" t="s">
        <v>52</v>
      </c>
      <c r="P56" s="3" t="s">
        <v>52</v>
      </c>
      <c r="Q56" s="3" t="s">
        <v>140</v>
      </c>
      <c r="R56" s="3" t="s">
        <v>53</v>
      </c>
      <c r="S56" s="3" t="s">
        <v>59</v>
      </c>
      <c r="T56" s="1">
        <v>778330</v>
      </c>
      <c r="U56" s="1">
        <v>1102200</v>
      </c>
      <c r="V56" s="1">
        <v>151200</v>
      </c>
      <c r="W56" s="1">
        <v>99470</v>
      </c>
      <c r="X56" s="1">
        <v>2031730</v>
      </c>
      <c r="Y56" s="1">
        <v>99470</v>
      </c>
      <c r="Z56" s="1">
        <v>2131200</v>
      </c>
      <c r="AA56" s="1">
        <v>933996</v>
      </c>
      <c r="AB56" s="1">
        <v>1102200</v>
      </c>
      <c r="AC56" s="1">
        <v>181440</v>
      </c>
      <c r="AD56" s="1">
        <v>99470</v>
      </c>
      <c r="AE56" s="1">
        <v>2217636</v>
      </c>
      <c r="AF56" s="1">
        <v>99470</v>
      </c>
      <c r="AG56" s="1">
        <v>2317106</v>
      </c>
      <c r="AH56" s="1">
        <v>840596.4</v>
      </c>
      <c r="AI56" s="1">
        <v>1069134</v>
      </c>
      <c r="AJ56" s="1">
        <v>127008</v>
      </c>
      <c r="AK56" s="1">
        <v>89523</v>
      </c>
      <c r="AL56" s="1">
        <v>2036738.4</v>
      </c>
      <c r="AM56" s="1">
        <v>89523</v>
      </c>
      <c r="AN56" s="1">
        <v>2126261.4</v>
      </c>
      <c r="AO56" s="3" t="s">
        <v>134</v>
      </c>
      <c r="AP56" s="3" t="s">
        <v>134</v>
      </c>
      <c r="AQ56" s="3" t="s">
        <v>134</v>
      </c>
      <c r="AR56" s="3" t="s">
        <v>134</v>
      </c>
      <c r="AS56" s="1">
        <v>1275757</v>
      </c>
      <c r="AT56" s="1">
        <v>0</v>
      </c>
      <c r="AU56" s="1">
        <v>1275757</v>
      </c>
    </row>
    <row r="57" spans="1:47" s="3" customFormat="1" x14ac:dyDescent="0.3">
      <c r="A57" s="3" t="s">
        <v>46</v>
      </c>
      <c r="B57" s="3" t="s">
        <v>47</v>
      </c>
      <c r="C57" s="3" t="s">
        <v>48</v>
      </c>
      <c r="D57" s="3" t="s">
        <v>61</v>
      </c>
      <c r="E57" s="3" t="s">
        <v>49</v>
      </c>
      <c r="F57" s="3" t="s">
        <v>50</v>
      </c>
      <c r="G57" s="3" t="s">
        <v>135</v>
      </c>
      <c r="H57" s="3" t="s">
        <v>136</v>
      </c>
      <c r="I57" s="3" t="s">
        <v>51</v>
      </c>
      <c r="J57" s="3" t="s">
        <v>63</v>
      </c>
      <c r="K57" s="3" t="s">
        <v>137</v>
      </c>
      <c r="L57" s="3" t="s">
        <v>138</v>
      </c>
      <c r="M57" s="3" t="s">
        <v>139</v>
      </c>
      <c r="N57" s="3" t="s">
        <v>52</v>
      </c>
      <c r="O57" s="3" t="s">
        <v>52</v>
      </c>
      <c r="P57" s="3" t="s">
        <v>52</v>
      </c>
      <c r="Q57" s="3" t="s">
        <v>140</v>
      </c>
      <c r="R57" s="3" t="s">
        <v>53</v>
      </c>
      <c r="S57" s="3" t="s">
        <v>59</v>
      </c>
      <c r="T57" s="1">
        <v>339900</v>
      </c>
      <c r="U57" s="1">
        <v>402300</v>
      </c>
      <c r="V57" s="1">
        <v>48500</v>
      </c>
      <c r="W57" s="1">
        <v>54100</v>
      </c>
      <c r="X57" s="1">
        <v>790700</v>
      </c>
      <c r="Y57" s="1">
        <v>54100</v>
      </c>
      <c r="Z57" s="1">
        <v>844800</v>
      </c>
      <c r="AA57" s="1">
        <v>407880</v>
      </c>
      <c r="AB57" s="1">
        <v>402300</v>
      </c>
      <c r="AC57" s="1">
        <v>58200</v>
      </c>
      <c r="AD57" s="1">
        <v>54100</v>
      </c>
      <c r="AE57" s="1">
        <v>868380</v>
      </c>
      <c r="AF57" s="1">
        <v>54100</v>
      </c>
      <c r="AG57" s="1">
        <v>922480</v>
      </c>
      <c r="AH57" s="1">
        <v>367092</v>
      </c>
      <c r="AI57" s="1">
        <v>390231</v>
      </c>
      <c r="AJ57" s="1">
        <v>40740</v>
      </c>
      <c r="AK57" s="1">
        <v>48690</v>
      </c>
      <c r="AL57" s="1">
        <v>798063</v>
      </c>
      <c r="AM57" s="1">
        <v>48690</v>
      </c>
      <c r="AN57" s="1">
        <v>846753</v>
      </c>
      <c r="AO57" s="3" t="s">
        <v>134</v>
      </c>
      <c r="AP57" s="3" t="s">
        <v>134</v>
      </c>
      <c r="AQ57" s="3" t="s">
        <v>134</v>
      </c>
      <c r="AR57" s="3" t="s">
        <v>134</v>
      </c>
      <c r="AS57" s="1">
        <v>508052</v>
      </c>
      <c r="AT57" s="1">
        <v>0</v>
      </c>
      <c r="AU57" s="1">
        <v>508052</v>
      </c>
    </row>
    <row r="58" spans="1:47" s="3" customFormat="1" x14ac:dyDescent="0.3">
      <c r="A58" s="3" t="s">
        <v>46</v>
      </c>
      <c r="B58" s="3" t="s">
        <v>47</v>
      </c>
      <c r="C58" s="3" t="s">
        <v>48</v>
      </c>
      <c r="D58" s="3" t="s">
        <v>61</v>
      </c>
      <c r="E58" s="3" t="s">
        <v>49</v>
      </c>
      <c r="F58" s="3" t="s">
        <v>50</v>
      </c>
      <c r="G58" s="3" t="s">
        <v>89</v>
      </c>
      <c r="H58" s="3" t="s">
        <v>90</v>
      </c>
      <c r="I58" s="3" t="s">
        <v>51</v>
      </c>
      <c r="J58" s="3" t="s">
        <v>63</v>
      </c>
      <c r="K58" s="3" t="s">
        <v>91</v>
      </c>
      <c r="L58" s="3" t="s">
        <v>92</v>
      </c>
      <c r="M58" s="3" t="s">
        <v>93</v>
      </c>
      <c r="N58" s="3" t="s">
        <v>52</v>
      </c>
      <c r="O58" s="3" t="s">
        <v>52</v>
      </c>
      <c r="P58" s="3" t="s">
        <v>52</v>
      </c>
      <c r="Q58" s="3" t="s">
        <v>94</v>
      </c>
      <c r="R58" s="3" t="s">
        <v>53</v>
      </c>
      <c r="S58" s="3" t="s">
        <v>54</v>
      </c>
      <c r="T58" s="1">
        <v>3900</v>
      </c>
      <c r="U58" s="1">
        <v>4100</v>
      </c>
      <c r="V58" s="1">
        <v>400</v>
      </c>
      <c r="W58" s="1">
        <v>16800</v>
      </c>
      <c r="X58" s="1">
        <v>8400</v>
      </c>
      <c r="Y58" s="1">
        <v>16800</v>
      </c>
      <c r="Z58" s="1">
        <v>25200</v>
      </c>
      <c r="AA58" s="1">
        <v>4680</v>
      </c>
      <c r="AB58" s="1">
        <v>4100</v>
      </c>
      <c r="AC58" s="1">
        <v>480</v>
      </c>
      <c r="AD58" s="1">
        <v>16800</v>
      </c>
      <c r="AE58" s="1">
        <v>9260</v>
      </c>
      <c r="AF58" s="1">
        <v>16800</v>
      </c>
      <c r="AG58" s="1">
        <v>26060</v>
      </c>
      <c r="AH58" s="1">
        <v>4212</v>
      </c>
      <c r="AI58" s="1">
        <v>3977</v>
      </c>
      <c r="AJ58" s="1">
        <v>336</v>
      </c>
      <c r="AK58" s="1">
        <v>15120</v>
      </c>
      <c r="AL58" s="1">
        <v>8525</v>
      </c>
      <c r="AM58" s="1">
        <v>15120</v>
      </c>
      <c r="AN58" s="1">
        <v>23645</v>
      </c>
      <c r="AO58" s="3" t="s">
        <v>134</v>
      </c>
      <c r="AP58" s="3" t="s">
        <v>134</v>
      </c>
      <c r="AQ58" s="3" t="s">
        <v>134</v>
      </c>
      <c r="AR58" s="3" t="s">
        <v>134</v>
      </c>
      <c r="AS58" s="1">
        <v>14187</v>
      </c>
      <c r="AT58" s="1">
        <v>0</v>
      </c>
      <c r="AU58" s="1">
        <v>14187</v>
      </c>
    </row>
    <row r="59" spans="1:47" s="3" customFormat="1" x14ac:dyDescent="0.3">
      <c r="A59" s="3" t="s">
        <v>46</v>
      </c>
      <c r="B59" s="3" t="s">
        <v>47</v>
      </c>
      <c r="C59" s="3" t="s">
        <v>48</v>
      </c>
      <c r="D59" s="3" t="s">
        <v>61</v>
      </c>
      <c r="E59" s="3" t="s">
        <v>49</v>
      </c>
      <c r="F59" s="3" t="s">
        <v>50</v>
      </c>
      <c r="G59" s="3" t="s">
        <v>89</v>
      </c>
      <c r="H59" s="3" t="s">
        <v>90</v>
      </c>
      <c r="I59" s="3" t="s">
        <v>51</v>
      </c>
      <c r="J59" s="3" t="s">
        <v>63</v>
      </c>
      <c r="K59" s="3" t="s">
        <v>91</v>
      </c>
      <c r="L59" s="3" t="s">
        <v>92</v>
      </c>
      <c r="M59" s="3" t="s">
        <v>93</v>
      </c>
      <c r="N59" s="3" t="s">
        <v>52</v>
      </c>
      <c r="O59" s="3" t="s">
        <v>52</v>
      </c>
      <c r="P59" s="3" t="s">
        <v>52</v>
      </c>
      <c r="Q59" s="3" t="s">
        <v>94</v>
      </c>
      <c r="R59" s="3" t="s">
        <v>53</v>
      </c>
      <c r="S59" s="3" t="s">
        <v>55</v>
      </c>
      <c r="T59" s="1">
        <v>7150</v>
      </c>
      <c r="U59" s="1">
        <v>18050</v>
      </c>
      <c r="V59" s="1">
        <v>0</v>
      </c>
      <c r="W59" s="1">
        <v>14400</v>
      </c>
      <c r="X59" s="1">
        <v>25200</v>
      </c>
      <c r="Y59" s="1">
        <v>14400</v>
      </c>
      <c r="Z59" s="1">
        <v>39600</v>
      </c>
      <c r="AA59" s="1">
        <v>8580</v>
      </c>
      <c r="AB59" s="1">
        <v>18050</v>
      </c>
      <c r="AC59" s="1">
        <v>0</v>
      </c>
      <c r="AD59" s="1">
        <v>14400</v>
      </c>
      <c r="AE59" s="1">
        <v>26630</v>
      </c>
      <c r="AF59" s="1">
        <v>14400</v>
      </c>
      <c r="AG59" s="1">
        <v>41030</v>
      </c>
      <c r="AH59" s="1">
        <v>7722</v>
      </c>
      <c r="AI59" s="1">
        <v>17508.5</v>
      </c>
      <c r="AJ59" s="1">
        <v>0</v>
      </c>
      <c r="AK59" s="1">
        <v>12960</v>
      </c>
      <c r="AL59" s="1">
        <v>25230.5</v>
      </c>
      <c r="AM59" s="1">
        <v>12960</v>
      </c>
      <c r="AN59" s="1">
        <v>38190.5</v>
      </c>
      <c r="AO59" s="3" t="s">
        <v>134</v>
      </c>
      <c r="AP59" s="3" t="s">
        <v>134</v>
      </c>
      <c r="AQ59" s="3" t="s">
        <v>134</v>
      </c>
      <c r="AR59" s="3" t="s">
        <v>134</v>
      </c>
      <c r="AS59" s="1">
        <v>22914</v>
      </c>
      <c r="AT59" s="1">
        <v>0</v>
      </c>
      <c r="AU59" s="1">
        <v>22914</v>
      </c>
    </row>
    <row r="60" spans="1:47" s="3" customFormat="1" x14ac:dyDescent="0.3">
      <c r="A60" s="3" t="s">
        <v>46</v>
      </c>
      <c r="B60" s="3" t="s">
        <v>47</v>
      </c>
      <c r="C60" s="3" t="s">
        <v>48</v>
      </c>
      <c r="D60" s="3" t="s">
        <v>61</v>
      </c>
      <c r="E60" s="3" t="s">
        <v>49</v>
      </c>
      <c r="F60" s="3" t="s">
        <v>50</v>
      </c>
      <c r="G60" s="3" t="s">
        <v>89</v>
      </c>
      <c r="H60" s="3" t="s">
        <v>90</v>
      </c>
      <c r="I60" s="3" t="s">
        <v>51</v>
      </c>
      <c r="J60" s="3" t="s">
        <v>63</v>
      </c>
      <c r="K60" s="3" t="s">
        <v>91</v>
      </c>
      <c r="L60" s="3" t="s">
        <v>92</v>
      </c>
      <c r="M60" s="3" t="s">
        <v>93</v>
      </c>
      <c r="N60" s="3" t="s">
        <v>52</v>
      </c>
      <c r="O60" s="3" t="s">
        <v>52</v>
      </c>
      <c r="P60" s="3" t="s">
        <v>52</v>
      </c>
      <c r="Q60" s="3" t="s">
        <v>94</v>
      </c>
      <c r="R60" s="3" t="s">
        <v>53</v>
      </c>
      <c r="S60" s="3" t="s">
        <v>55</v>
      </c>
      <c r="T60" s="1">
        <v>0</v>
      </c>
      <c r="U60" s="1">
        <v>0</v>
      </c>
      <c r="V60" s="1">
        <v>0</v>
      </c>
      <c r="W60" s="1">
        <v>10800</v>
      </c>
      <c r="X60" s="1">
        <v>0</v>
      </c>
      <c r="Y60" s="1">
        <v>10800</v>
      </c>
      <c r="Z60" s="1">
        <v>10800</v>
      </c>
      <c r="AA60" s="1">
        <v>0</v>
      </c>
      <c r="AB60" s="1">
        <v>0</v>
      </c>
      <c r="AC60" s="1">
        <v>0</v>
      </c>
      <c r="AD60" s="1">
        <v>10800</v>
      </c>
      <c r="AE60" s="1">
        <v>0</v>
      </c>
      <c r="AF60" s="1">
        <v>10800</v>
      </c>
      <c r="AG60" s="1">
        <v>10800</v>
      </c>
      <c r="AH60" s="1">
        <v>0</v>
      </c>
      <c r="AI60" s="1">
        <v>0</v>
      </c>
      <c r="AJ60" s="1">
        <v>0</v>
      </c>
      <c r="AK60" s="1">
        <v>9720</v>
      </c>
      <c r="AL60" s="1">
        <v>0</v>
      </c>
      <c r="AM60" s="1">
        <v>9720</v>
      </c>
      <c r="AN60" s="1">
        <v>9720</v>
      </c>
      <c r="AO60" s="3" t="s">
        <v>134</v>
      </c>
      <c r="AP60" s="3" t="s">
        <v>134</v>
      </c>
      <c r="AQ60" s="3" t="s">
        <v>134</v>
      </c>
      <c r="AR60" s="3" t="s">
        <v>134</v>
      </c>
      <c r="AS60" s="1">
        <v>5832</v>
      </c>
      <c r="AT60" s="1">
        <v>0</v>
      </c>
      <c r="AU60" s="1">
        <v>5832</v>
      </c>
    </row>
    <row r="61" spans="1:47" s="3" customFormat="1" x14ac:dyDescent="0.3">
      <c r="A61" s="3" t="s">
        <v>46</v>
      </c>
      <c r="B61" s="3" t="s">
        <v>47</v>
      </c>
      <c r="C61" s="3" t="s">
        <v>48</v>
      </c>
      <c r="D61" s="3" t="s">
        <v>61</v>
      </c>
      <c r="E61" s="3" t="s">
        <v>49</v>
      </c>
      <c r="F61" s="3" t="s">
        <v>50</v>
      </c>
      <c r="G61" s="3" t="s">
        <v>89</v>
      </c>
      <c r="H61" s="3" t="s">
        <v>90</v>
      </c>
      <c r="I61" s="3" t="s">
        <v>51</v>
      </c>
      <c r="J61" s="3" t="s">
        <v>63</v>
      </c>
      <c r="K61" s="3" t="s">
        <v>91</v>
      </c>
      <c r="L61" s="3" t="s">
        <v>92</v>
      </c>
      <c r="M61" s="3" t="s">
        <v>93</v>
      </c>
      <c r="N61" s="3" t="s">
        <v>52</v>
      </c>
      <c r="O61" s="3" t="s">
        <v>52</v>
      </c>
      <c r="P61" s="3" t="s">
        <v>52</v>
      </c>
      <c r="Q61" s="3" t="s">
        <v>94</v>
      </c>
      <c r="R61" s="3" t="s">
        <v>53</v>
      </c>
      <c r="S61" s="3" t="s">
        <v>58</v>
      </c>
      <c r="T61" s="1">
        <v>148330</v>
      </c>
      <c r="U61" s="1">
        <v>105380</v>
      </c>
      <c r="V61" s="1">
        <v>36000</v>
      </c>
      <c r="W61" s="1">
        <v>301690</v>
      </c>
      <c r="X61" s="1">
        <v>289710</v>
      </c>
      <c r="Y61" s="1">
        <v>301690</v>
      </c>
      <c r="Z61" s="1">
        <v>591400</v>
      </c>
      <c r="AA61" s="1">
        <v>177996</v>
      </c>
      <c r="AB61" s="1">
        <v>105380</v>
      </c>
      <c r="AC61" s="1">
        <v>43160</v>
      </c>
      <c r="AD61" s="1">
        <v>301690</v>
      </c>
      <c r="AE61" s="1">
        <v>326536</v>
      </c>
      <c r="AF61" s="1">
        <v>301690</v>
      </c>
      <c r="AG61" s="1">
        <v>628226</v>
      </c>
      <c r="AH61" s="1">
        <v>160196.4</v>
      </c>
      <c r="AI61" s="1">
        <v>102218.6</v>
      </c>
      <c r="AJ61" s="1">
        <v>30212</v>
      </c>
      <c r="AK61" s="1">
        <v>271521</v>
      </c>
      <c r="AL61" s="1">
        <v>292627</v>
      </c>
      <c r="AM61" s="1">
        <v>271521</v>
      </c>
      <c r="AN61" s="1">
        <v>564148</v>
      </c>
      <c r="AO61" s="3" t="s">
        <v>134</v>
      </c>
      <c r="AP61" s="3" t="s">
        <v>134</v>
      </c>
      <c r="AQ61" s="3" t="s">
        <v>134</v>
      </c>
      <c r="AR61" s="3" t="s">
        <v>134</v>
      </c>
      <c r="AS61" s="1">
        <v>338489</v>
      </c>
      <c r="AT61" s="1">
        <v>0</v>
      </c>
      <c r="AU61" s="1">
        <v>338489</v>
      </c>
    </row>
    <row r="62" spans="1:47" s="3" customFormat="1" x14ac:dyDescent="0.3">
      <c r="A62" s="3" t="s">
        <v>46</v>
      </c>
      <c r="B62" s="3" t="s">
        <v>47</v>
      </c>
      <c r="C62" s="3" t="s">
        <v>48</v>
      </c>
      <c r="D62" s="3" t="s">
        <v>61</v>
      </c>
      <c r="E62" s="3" t="s">
        <v>49</v>
      </c>
      <c r="F62" s="3" t="s">
        <v>50</v>
      </c>
      <c r="G62" s="3" t="s">
        <v>89</v>
      </c>
      <c r="H62" s="3" t="s">
        <v>90</v>
      </c>
      <c r="I62" s="3" t="s">
        <v>51</v>
      </c>
      <c r="J62" s="3" t="s">
        <v>63</v>
      </c>
      <c r="K62" s="3" t="s">
        <v>91</v>
      </c>
      <c r="L62" s="3" t="s">
        <v>92</v>
      </c>
      <c r="M62" s="3" t="s">
        <v>93</v>
      </c>
      <c r="N62" s="3" t="s">
        <v>52</v>
      </c>
      <c r="O62" s="3" t="s">
        <v>52</v>
      </c>
      <c r="P62" s="3" t="s">
        <v>52</v>
      </c>
      <c r="Q62" s="3" t="s">
        <v>94</v>
      </c>
      <c r="R62" s="3" t="s">
        <v>53</v>
      </c>
      <c r="S62" s="3" t="s">
        <v>59</v>
      </c>
      <c r="T62" s="1">
        <v>56620</v>
      </c>
      <c r="U62" s="1">
        <v>86330</v>
      </c>
      <c r="V62" s="1">
        <v>10300</v>
      </c>
      <c r="W62" s="1">
        <v>63950</v>
      </c>
      <c r="X62" s="1">
        <v>153250</v>
      </c>
      <c r="Y62" s="1">
        <v>63950</v>
      </c>
      <c r="Z62" s="1">
        <v>217200</v>
      </c>
      <c r="AA62" s="1">
        <v>67944</v>
      </c>
      <c r="AB62" s="1">
        <v>86330</v>
      </c>
      <c r="AC62" s="1">
        <v>12360</v>
      </c>
      <c r="AD62" s="1">
        <v>63950</v>
      </c>
      <c r="AE62" s="1">
        <v>166634</v>
      </c>
      <c r="AF62" s="1">
        <v>63950</v>
      </c>
      <c r="AG62" s="1">
        <v>230584</v>
      </c>
      <c r="AH62" s="1">
        <v>61149.599999999999</v>
      </c>
      <c r="AI62" s="1">
        <v>83740.100000000006</v>
      </c>
      <c r="AJ62" s="1">
        <v>8652</v>
      </c>
      <c r="AK62" s="1">
        <v>57555</v>
      </c>
      <c r="AL62" s="1">
        <v>153541.70000000001</v>
      </c>
      <c r="AM62" s="1">
        <v>57555</v>
      </c>
      <c r="AN62" s="1">
        <v>211096.7</v>
      </c>
      <c r="AO62" s="3" t="s">
        <v>134</v>
      </c>
      <c r="AP62" s="3" t="s">
        <v>134</v>
      </c>
      <c r="AQ62" s="3" t="s">
        <v>134</v>
      </c>
      <c r="AR62" s="3" t="s">
        <v>134</v>
      </c>
      <c r="AS62" s="1">
        <v>126658</v>
      </c>
      <c r="AT62" s="1">
        <v>0</v>
      </c>
      <c r="AU62" s="1">
        <v>126658</v>
      </c>
    </row>
    <row r="63" spans="1:47" s="3" customFormat="1" x14ac:dyDescent="0.3">
      <c r="A63" s="3" t="s">
        <v>46</v>
      </c>
      <c r="B63" s="3" t="s">
        <v>47</v>
      </c>
      <c r="C63" s="3" t="s">
        <v>48</v>
      </c>
      <c r="D63" s="3" t="s">
        <v>61</v>
      </c>
      <c r="E63" s="3" t="s">
        <v>49</v>
      </c>
      <c r="F63" s="3" t="s">
        <v>50</v>
      </c>
      <c r="G63" s="3" t="s">
        <v>89</v>
      </c>
      <c r="H63" s="3" t="s">
        <v>90</v>
      </c>
      <c r="I63" s="3" t="s">
        <v>51</v>
      </c>
      <c r="J63" s="3" t="s">
        <v>63</v>
      </c>
      <c r="K63" s="3" t="s">
        <v>91</v>
      </c>
      <c r="L63" s="3" t="s">
        <v>92</v>
      </c>
      <c r="M63" s="3" t="s">
        <v>93</v>
      </c>
      <c r="N63" s="3" t="s">
        <v>52</v>
      </c>
      <c r="O63" s="3" t="s">
        <v>52</v>
      </c>
      <c r="P63" s="3" t="s">
        <v>52</v>
      </c>
      <c r="Q63" s="3" t="s">
        <v>94</v>
      </c>
      <c r="R63" s="3" t="s">
        <v>53</v>
      </c>
      <c r="S63" s="3" t="s">
        <v>59</v>
      </c>
      <c r="T63" s="1">
        <v>24840</v>
      </c>
      <c r="U63" s="1">
        <v>14400</v>
      </c>
      <c r="V63" s="1">
        <v>0</v>
      </c>
      <c r="W63" s="1">
        <v>11160</v>
      </c>
      <c r="X63" s="1">
        <v>39240</v>
      </c>
      <c r="Y63" s="1">
        <v>11160</v>
      </c>
      <c r="Z63" s="1">
        <v>50400</v>
      </c>
      <c r="AA63" s="1">
        <v>29808</v>
      </c>
      <c r="AB63" s="1">
        <v>14400</v>
      </c>
      <c r="AC63" s="1">
        <v>0</v>
      </c>
      <c r="AD63" s="1">
        <v>11160</v>
      </c>
      <c r="AE63" s="1">
        <v>44208</v>
      </c>
      <c r="AF63" s="1">
        <v>11160</v>
      </c>
      <c r="AG63" s="1">
        <v>55368</v>
      </c>
      <c r="AH63" s="1">
        <v>26827.200000000001</v>
      </c>
      <c r="AI63" s="1">
        <v>13968</v>
      </c>
      <c r="AJ63" s="1">
        <v>0</v>
      </c>
      <c r="AK63" s="1">
        <v>10044</v>
      </c>
      <c r="AL63" s="1">
        <v>40795.199999999997</v>
      </c>
      <c r="AM63" s="1">
        <v>10044</v>
      </c>
      <c r="AN63" s="1">
        <v>50839.199999999997</v>
      </c>
      <c r="AO63" s="3" t="s">
        <v>134</v>
      </c>
      <c r="AP63" s="3" t="s">
        <v>134</v>
      </c>
      <c r="AQ63" s="3" t="s">
        <v>134</v>
      </c>
      <c r="AR63" s="3" t="s">
        <v>134</v>
      </c>
      <c r="AS63" s="1">
        <v>30503</v>
      </c>
      <c r="AT63" s="1">
        <v>0</v>
      </c>
      <c r="AU63" s="1">
        <v>30503</v>
      </c>
    </row>
    <row r="64" spans="1:47" s="3" customFormat="1" x14ac:dyDescent="0.3">
      <c r="A64" s="3" t="s">
        <v>46</v>
      </c>
      <c r="B64" s="3" t="s">
        <v>47</v>
      </c>
      <c r="C64" s="3" t="s">
        <v>48</v>
      </c>
      <c r="D64" s="3" t="s">
        <v>61</v>
      </c>
      <c r="E64" s="3" t="s">
        <v>49</v>
      </c>
      <c r="F64" s="3" t="s">
        <v>50</v>
      </c>
      <c r="G64" s="3" t="s">
        <v>89</v>
      </c>
      <c r="H64" s="3" t="s">
        <v>90</v>
      </c>
      <c r="I64" s="3" t="s">
        <v>51</v>
      </c>
      <c r="J64" s="3" t="s">
        <v>63</v>
      </c>
      <c r="K64" s="3" t="s">
        <v>91</v>
      </c>
      <c r="L64" s="3" t="s">
        <v>92</v>
      </c>
      <c r="M64" s="3" t="s">
        <v>93</v>
      </c>
      <c r="N64" s="3" t="s">
        <v>52</v>
      </c>
      <c r="O64" s="3" t="s">
        <v>52</v>
      </c>
      <c r="P64" s="3" t="s">
        <v>52</v>
      </c>
      <c r="Q64" s="3" t="s">
        <v>94</v>
      </c>
      <c r="R64" s="3" t="s">
        <v>53</v>
      </c>
      <c r="S64" s="3" t="s">
        <v>59</v>
      </c>
      <c r="T64" s="1">
        <v>5400</v>
      </c>
      <c r="U64" s="1">
        <v>8300</v>
      </c>
      <c r="V64" s="1">
        <v>0</v>
      </c>
      <c r="W64" s="1">
        <v>2500</v>
      </c>
      <c r="X64" s="1">
        <v>13700</v>
      </c>
      <c r="Y64" s="1">
        <v>2500</v>
      </c>
      <c r="Z64" s="1">
        <v>16200</v>
      </c>
      <c r="AA64" s="1">
        <v>6480</v>
      </c>
      <c r="AB64" s="1">
        <v>8300</v>
      </c>
      <c r="AC64" s="1">
        <v>0</v>
      </c>
      <c r="AD64" s="1">
        <v>2500</v>
      </c>
      <c r="AE64" s="1">
        <v>14780</v>
      </c>
      <c r="AF64" s="1">
        <v>2500</v>
      </c>
      <c r="AG64" s="1">
        <v>17280</v>
      </c>
      <c r="AH64" s="1">
        <v>5832</v>
      </c>
      <c r="AI64" s="1">
        <v>8051</v>
      </c>
      <c r="AJ64" s="1">
        <v>0</v>
      </c>
      <c r="AK64" s="1">
        <v>2250</v>
      </c>
      <c r="AL64" s="1">
        <v>13883</v>
      </c>
      <c r="AM64" s="1">
        <v>2250</v>
      </c>
      <c r="AN64" s="1">
        <v>16133</v>
      </c>
      <c r="AO64" s="3" t="s">
        <v>134</v>
      </c>
      <c r="AP64" s="3" t="s">
        <v>134</v>
      </c>
      <c r="AQ64" s="3" t="s">
        <v>134</v>
      </c>
      <c r="AR64" s="3" t="s">
        <v>134</v>
      </c>
      <c r="AS64" s="1">
        <v>9680</v>
      </c>
      <c r="AT64" s="1">
        <v>0</v>
      </c>
      <c r="AU64" s="1">
        <v>9680</v>
      </c>
    </row>
    <row r="65" spans="47:47" x14ac:dyDescent="0.3">
      <c r="AU65" s="34">
        <f>SUM(AU2:AU64)</f>
        <v>55742191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59"/>
  <sheetViews>
    <sheetView topLeftCell="A26" workbookViewId="0">
      <selection activeCell="A54" sqref="A54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4.875" bestFit="1" customWidth="1"/>
    <col min="4" max="4" width="12.75" bestFit="1" customWidth="1"/>
    <col min="5" max="5" width="23.5" bestFit="1" customWidth="1"/>
    <col min="6" max="6" width="16.25" bestFit="1" customWidth="1"/>
    <col min="7" max="7" width="8.125" bestFit="1" customWidth="1"/>
    <col min="8" max="8" width="19.75" bestFit="1" customWidth="1"/>
    <col min="9" max="9" width="7.5" bestFit="1" customWidth="1"/>
    <col min="10" max="10" width="10.375" bestFit="1" customWidth="1"/>
    <col min="11" max="11" width="9.375" bestFit="1" customWidth="1"/>
    <col min="12" max="12" width="23.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9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9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62</v>
      </c>
      <c r="H2" s="3" t="s">
        <v>95</v>
      </c>
      <c r="I2" s="3" t="s">
        <v>51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52</v>
      </c>
      <c r="O2" s="3" t="s">
        <v>52</v>
      </c>
      <c r="P2" s="3" t="s">
        <v>52</v>
      </c>
      <c r="Q2" s="3" t="s">
        <v>67</v>
      </c>
      <c r="R2" s="3" t="s">
        <v>53</v>
      </c>
      <c r="S2" s="3" t="s">
        <v>54</v>
      </c>
      <c r="T2" s="1">
        <v>12400</v>
      </c>
      <c r="U2" s="1">
        <v>3800</v>
      </c>
      <c r="V2" s="1">
        <v>4800</v>
      </c>
      <c r="W2" s="1">
        <v>8200</v>
      </c>
      <c r="X2" s="1">
        <v>21000</v>
      </c>
      <c r="Y2" s="1">
        <v>8200</v>
      </c>
      <c r="Z2" s="1">
        <v>29200</v>
      </c>
      <c r="AA2" s="1">
        <v>14880</v>
      </c>
      <c r="AB2" s="1">
        <v>3800</v>
      </c>
      <c r="AC2" s="1">
        <v>5760</v>
      </c>
      <c r="AD2" s="1">
        <v>8200</v>
      </c>
      <c r="AE2" s="1">
        <v>24440</v>
      </c>
      <c r="AF2" s="1">
        <v>8200</v>
      </c>
      <c r="AG2" s="1">
        <v>32640</v>
      </c>
      <c r="AH2" s="1">
        <v>13392</v>
      </c>
      <c r="AI2" s="1">
        <v>3686</v>
      </c>
      <c r="AJ2" s="1">
        <v>4032</v>
      </c>
      <c r="AK2" s="1">
        <v>7380</v>
      </c>
      <c r="AL2" s="1">
        <v>21110</v>
      </c>
      <c r="AM2" s="1">
        <v>7380</v>
      </c>
      <c r="AN2" s="1">
        <v>28490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17094</v>
      </c>
      <c r="AT2" s="1">
        <v>0</v>
      </c>
      <c r="AU2" s="1">
        <v>17094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62</v>
      </c>
      <c r="H3" s="3" t="s">
        <v>95</v>
      </c>
      <c r="I3" s="3" t="s">
        <v>51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52</v>
      </c>
      <c r="O3" s="3" t="s">
        <v>52</v>
      </c>
      <c r="P3" s="3" t="s">
        <v>52</v>
      </c>
      <c r="Q3" s="3" t="s">
        <v>67</v>
      </c>
      <c r="R3" s="3" t="s">
        <v>53</v>
      </c>
      <c r="S3" s="3" t="s">
        <v>55</v>
      </c>
      <c r="T3" s="1">
        <v>25200</v>
      </c>
      <c r="U3" s="1">
        <v>18200</v>
      </c>
      <c r="V3" s="1">
        <v>14400</v>
      </c>
      <c r="W3" s="1">
        <v>3000</v>
      </c>
      <c r="X3" s="1">
        <v>57800</v>
      </c>
      <c r="Y3" s="1">
        <v>3000</v>
      </c>
      <c r="Z3" s="1">
        <v>60800</v>
      </c>
      <c r="AA3" s="1">
        <v>30240</v>
      </c>
      <c r="AB3" s="1">
        <v>18200</v>
      </c>
      <c r="AC3" s="1">
        <v>17280</v>
      </c>
      <c r="AD3" s="1">
        <v>3000</v>
      </c>
      <c r="AE3" s="1">
        <v>65720</v>
      </c>
      <c r="AF3" s="1">
        <v>3000</v>
      </c>
      <c r="AG3" s="1">
        <v>68720</v>
      </c>
      <c r="AH3" s="1">
        <v>27216</v>
      </c>
      <c r="AI3" s="1">
        <v>17654</v>
      </c>
      <c r="AJ3" s="1">
        <v>12096</v>
      </c>
      <c r="AK3" s="1">
        <v>2700</v>
      </c>
      <c r="AL3" s="1">
        <v>56966</v>
      </c>
      <c r="AM3" s="1">
        <v>2700</v>
      </c>
      <c r="AN3" s="1">
        <v>59666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35800</v>
      </c>
      <c r="AT3" s="1">
        <v>0</v>
      </c>
      <c r="AU3" s="1">
        <v>35800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62</v>
      </c>
      <c r="H4" s="3" t="s">
        <v>95</v>
      </c>
      <c r="I4" s="3" t="s">
        <v>51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52</v>
      </c>
      <c r="O4" s="3" t="s">
        <v>52</v>
      </c>
      <c r="P4" s="3" t="s">
        <v>52</v>
      </c>
      <c r="Q4" s="3" t="s">
        <v>67</v>
      </c>
      <c r="R4" s="3" t="s">
        <v>53</v>
      </c>
      <c r="S4" s="3" t="s">
        <v>55</v>
      </c>
      <c r="T4" s="1">
        <v>10800</v>
      </c>
      <c r="U4" s="1">
        <v>12000</v>
      </c>
      <c r="V4" s="1">
        <v>10800</v>
      </c>
      <c r="W4" s="1">
        <v>0</v>
      </c>
      <c r="X4" s="1">
        <v>33600</v>
      </c>
      <c r="Y4" s="1">
        <v>0</v>
      </c>
      <c r="Z4" s="1">
        <v>33600</v>
      </c>
      <c r="AA4" s="1">
        <v>12960</v>
      </c>
      <c r="AB4" s="1">
        <v>12000</v>
      </c>
      <c r="AC4" s="1">
        <v>12960</v>
      </c>
      <c r="AD4" s="1">
        <v>0</v>
      </c>
      <c r="AE4" s="1">
        <v>37920</v>
      </c>
      <c r="AF4" s="1">
        <v>0</v>
      </c>
      <c r="AG4" s="1">
        <v>37920</v>
      </c>
      <c r="AH4" s="1">
        <v>11664</v>
      </c>
      <c r="AI4" s="1">
        <v>11640</v>
      </c>
      <c r="AJ4" s="1">
        <v>9072</v>
      </c>
      <c r="AK4" s="1">
        <v>0</v>
      </c>
      <c r="AL4" s="1">
        <v>32376</v>
      </c>
      <c r="AM4" s="1">
        <v>0</v>
      </c>
      <c r="AN4" s="1">
        <v>32376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19425</v>
      </c>
      <c r="AT4" s="1">
        <v>0</v>
      </c>
      <c r="AU4" s="1">
        <v>19425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62</v>
      </c>
      <c r="H5" s="3" t="s">
        <v>95</v>
      </c>
      <c r="I5" s="3" t="s">
        <v>51</v>
      </c>
      <c r="J5" s="3" t="s">
        <v>63</v>
      </c>
      <c r="K5" s="3" t="s">
        <v>64</v>
      </c>
      <c r="L5" s="3" t="s">
        <v>65</v>
      </c>
      <c r="M5" s="3" t="s">
        <v>66</v>
      </c>
      <c r="N5" s="3" t="s">
        <v>52</v>
      </c>
      <c r="O5" s="3" t="s">
        <v>52</v>
      </c>
      <c r="P5" s="3" t="s">
        <v>52</v>
      </c>
      <c r="Q5" s="3" t="s">
        <v>67</v>
      </c>
      <c r="R5" s="3" t="s">
        <v>53</v>
      </c>
      <c r="S5" s="3" t="s">
        <v>55</v>
      </c>
      <c r="T5" s="1">
        <v>54000</v>
      </c>
      <c r="U5" s="1">
        <v>119500</v>
      </c>
      <c r="V5" s="1">
        <v>106800</v>
      </c>
      <c r="W5" s="1">
        <v>100</v>
      </c>
      <c r="X5" s="1">
        <v>280300</v>
      </c>
      <c r="Y5" s="1">
        <v>100</v>
      </c>
      <c r="Z5" s="1">
        <v>280400</v>
      </c>
      <c r="AA5" s="1">
        <v>64800</v>
      </c>
      <c r="AB5" s="1">
        <v>119500</v>
      </c>
      <c r="AC5" s="1">
        <v>128160</v>
      </c>
      <c r="AD5" s="1">
        <v>100</v>
      </c>
      <c r="AE5" s="1">
        <v>312460</v>
      </c>
      <c r="AF5" s="1">
        <v>100</v>
      </c>
      <c r="AG5" s="1">
        <v>312560</v>
      </c>
      <c r="AH5" s="1">
        <v>58320</v>
      </c>
      <c r="AI5" s="1">
        <v>115915</v>
      </c>
      <c r="AJ5" s="1">
        <v>89712</v>
      </c>
      <c r="AK5" s="1">
        <v>90</v>
      </c>
      <c r="AL5" s="1">
        <v>263947</v>
      </c>
      <c r="AM5" s="1">
        <v>90</v>
      </c>
      <c r="AN5" s="1">
        <v>264037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158422</v>
      </c>
      <c r="AT5" s="1">
        <v>0</v>
      </c>
      <c r="AU5" s="1">
        <v>158422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62</v>
      </c>
      <c r="H6" s="3" t="s">
        <v>95</v>
      </c>
      <c r="I6" s="3" t="s">
        <v>51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52</v>
      </c>
      <c r="O6" s="3" t="s">
        <v>52</v>
      </c>
      <c r="P6" s="3" t="s">
        <v>52</v>
      </c>
      <c r="Q6" s="3" t="s">
        <v>67</v>
      </c>
      <c r="R6" s="3" t="s">
        <v>53</v>
      </c>
      <c r="S6" s="3" t="s">
        <v>58</v>
      </c>
      <c r="T6" s="1">
        <v>293350</v>
      </c>
      <c r="U6" s="1">
        <v>192950</v>
      </c>
      <c r="V6" s="1">
        <v>114760</v>
      </c>
      <c r="W6" s="1">
        <v>259540</v>
      </c>
      <c r="X6" s="1">
        <v>601060</v>
      </c>
      <c r="Y6" s="1">
        <v>259540</v>
      </c>
      <c r="Z6" s="1">
        <v>860600</v>
      </c>
      <c r="AA6" s="1">
        <v>352020</v>
      </c>
      <c r="AB6" s="1">
        <v>192950</v>
      </c>
      <c r="AC6" s="1">
        <v>137392</v>
      </c>
      <c r="AD6" s="1">
        <v>259540</v>
      </c>
      <c r="AE6" s="1">
        <v>682362</v>
      </c>
      <c r="AF6" s="1">
        <v>259540</v>
      </c>
      <c r="AG6" s="1">
        <v>941902</v>
      </c>
      <c r="AH6" s="1">
        <v>316818</v>
      </c>
      <c r="AI6" s="1">
        <v>187161.5</v>
      </c>
      <c r="AJ6" s="1">
        <v>96174.399999999994</v>
      </c>
      <c r="AK6" s="1">
        <v>233586</v>
      </c>
      <c r="AL6" s="1">
        <v>600153.9</v>
      </c>
      <c r="AM6" s="1">
        <v>233586</v>
      </c>
      <c r="AN6" s="1">
        <v>833739.9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500245</v>
      </c>
      <c r="AT6" s="1">
        <v>0</v>
      </c>
      <c r="AU6" s="1">
        <v>500245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62</v>
      </c>
      <c r="H7" s="3" t="s">
        <v>95</v>
      </c>
      <c r="I7" s="3" t="s">
        <v>51</v>
      </c>
      <c r="J7" s="3" t="s">
        <v>63</v>
      </c>
      <c r="K7" s="3" t="s">
        <v>64</v>
      </c>
      <c r="L7" s="3" t="s">
        <v>65</v>
      </c>
      <c r="M7" s="3" t="s">
        <v>66</v>
      </c>
      <c r="N7" s="3" t="s">
        <v>52</v>
      </c>
      <c r="O7" s="3" t="s">
        <v>52</v>
      </c>
      <c r="P7" s="3" t="s">
        <v>52</v>
      </c>
      <c r="Q7" s="3" t="s">
        <v>67</v>
      </c>
      <c r="R7" s="3" t="s">
        <v>53</v>
      </c>
      <c r="S7" s="3" t="s">
        <v>59</v>
      </c>
      <c r="T7" s="1">
        <v>304500</v>
      </c>
      <c r="U7" s="1">
        <v>253080</v>
      </c>
      <c r="V7" s="1">
        <v>59000</v>
      </c>
      <c r="W7" s="1">
        <v>96420</v>
      </c>
      <c r="X7" s="1">
        <v>616580</v>
      </c>
      <c r="Y7" s="1">
        <v>96420</v>
      </c>
      <c r="Z7" s="1">
        <v>713000</v>
      </c>
      <c r="AA7" s="1">
        <v>365400</v>
      </c>
      <c r="AB7" s="1">
        <v>253080</v>
      </c>
      <c r="AC7" s="1">
        <v>70650</v>
      </c>
      <c r="AD7" s="1">
        <v>96420</v>
      </c>
      <c r="AE7" s="1">
        <v>689130</v>
      </c>
      <c r="AF7" s="1">
        <v>96420</v>
      </c>
      <c r="AG7" s="1">
        <v>785550</v>
      </c>
      <c r="AH7" s="1">
        <v>328860</v>
      </c>
      <c r="AI7" s="1">
        <v>245487.6</v>
      </c>
      <c r="AJ7" s="1">
        <v>49455</v>
      </c>
      <c r="AK7" s="1">
        <v>86778</v>
      </c>
      <c r="AL7" s="1">
        <v>623802.6</v>
      </c>
      <c r="AM7" s="1">
        <v>86778</v>
      </c>
      <c r="AN7" s="1">
        <v>710580.6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426349</v>
      </c>
      <c r="AT7" s="1">
        <v>0</v>
      </c>
      <c r="AU7" s="1">
        <v>426349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62</v>
      </c>
      <c r="H8" s="3" t="s">
        <v>95</v>
      </c>
      <c r="I8" s="3" t="s">
        <v>51</v>
      </c>
      <c r="J8" s="3" t="s">
        <v>63</v>
      </c>
      <c r="K8" s="3" t="s">
        <v>64</v>
      </c>
      <c r="L8" s="3" t="s">
        <v>65</v>
      </c>
      <c r="M8" s="3" t="s">
        <v>66</v>
      </c>
      <c r="N8" s="3" t="s">
        <v>52</v>
      </c>
      <c r="O8" s="3" t="s">
        <v>52</v>
      </c>
      <c r="P8" s="3" t="s">
        <v>52</v>
      </c>
      <c r="Q8" s="3" t="s">
        <v>67</v>
      </c>
      <c r="R8" s="3" t="s">
        <v>53</v>
      </c>
      <c r="S8" s="3" t="s">
        <v>59</v>
      </c>
      <c r="T8" s="1">
        <v>270390</v>
      </c>
      <c r="U8" s="1">
        <v>198900</v>
      </c>
      <c r="V8" s="1">
        <v>64900</v>
      </c>
      <c r="W8" s="1">
        <v>17210</v>
      </c>
      <c r="X8" s="1">
        <v>534190</v>
      </c>
      <c r="Y8" s="1">
        <v>17210</v>
      </c>
      <c r="Z8" s="1">
        <v>551400</v>
      </c>
      <c r="AA8" s="1">
        <v>324468</v>
      </c>
      <c r="AB8" s="1">
        <v>198900</v>
      </c>
      <c r="AC8" s="1">
        <v>77880</v>
      </c>
      <c r="AD8" s="1">
        <v>17210</v>
      </c>
      <c r="AE8" s="1">
        <v>601248</v>
      </c>
      <c r="AF8" s="1">
        <v>17210</v>
      </c>
      <c r="AG8" s="1">
        <v>618458</v>
      </c>
      <c r="AH8" s="1">
        <v>292021.2</v>
      </c>
      <c r="AI8" s="1">
        <v>192933</v>
      </c>
      <c r="AJ8" s="1">
        <v>54516</v>
      </c>
      <c r="AK8" s="1">
        <v>15489</v>
      </c>
      <c r="AL8" s="1">
        <v>539470.19999999995</v>
      </c>
      <c r="AM8" s="1">
        <v>15489</v>
      </c>
      <c r="AN8" s="1">
        <v>554959.19999999995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332976</v>
      </c>
      <c r="AT8" s="1">
        <v>0</v>
      </c>
      <c r="AU8" s="1">
        <v>332976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62</v>
      </c>
      <c r="H9" s="3" t="s">
        <v>95</v>
      </c>
      <c r="I9" s="3" t="s">
        <v>51</v>
      </c>
      <c r="J9" s="3" t="s">
        <v>63</v>
      </c>
      <c r="K9" s="3" t="s">
        <v>64</v>
      </c>
      <c r="L9" s="3" t="s">
        <v>65</v>
      </c>
      <c r="M9" s="3" t="s">
        <v>66</v>
      </c>
      <c r="N9" s="3" t="s">
        <v>52</v>
      </c>
      <c r="O9" s="3" t="s">
        <v>52</v>
      </c>
      <c r="P9" s="3" t="s">
        <v>52</v>
      </c>
      <c r="Q9" s="3" t="s">
        <v>67</v>
      </c>
      <c r="R9" s="3" t="s">
        <v>53</v>
      </c>
      <c r="S9" s="3" t="s">
        <v>59</v>
      </c>
      <c r="T9" s="1">
        <v>662100</v>
      </c>
      <c r="U9" s="1">
        <v>184580</v>
      </c>
      <c r="V9" s="1">
        <v>101800</v>
      </c>
      <c r="W9" s="1">
        <v>20920</v>
      </c>
      <c r="X9" s="1">
        <v>948480</v>
      </c>
      <c r="Y9" s="1">
        <v>20920</v>
      </c>
      <c r="Z9" s="1">
        <v>969400</v>
      </c>
      <c r="AA9" s="1">
        <v>794520</v>
      </c>
      <c r="AB9" s="1">
        <v>184580</v>
      </c>
      <c r="AC9" s="1">
        <v>122160</v>
      </c>
      <c r="AD9" s="1">
        <v>20920</v>
      </c>
      <c r="AE9" s="1">
        <v>1101260</v>
      </c>
      <c r="AF9" s="1">
        <v>20920</v>
      </c>
      <c r="AG9" s="1">
        <v>1122180</v>
      </c>
      <c r="AH9" s="1">
        <v>715068</v>
      </c>
      <c r="AI9" s="1">
        <v>179042.6</v>
      </c>
      <c r="AJ9" s="1">
        <v>85512</v>
      </c>
      <c r="AK9" s="1">
        <v>18828</v>
      </c>
      <c r="AL9" s="1">
        <v>979622.6</v>
      </c>
      <c r="AM9" s="1">
        <v>18828</v>
      </c>
      <c r="AN9" s="1">
        <v>998450.6</v>
      </c>
      <c r="AO9" s="3" t="s">
        <v>134</v>
      </c>
      <c r="AP9" s="3" t="s">
        <v>134</v>
      </c>
      <c r="AQ9" s="3" t="s">
        <v>134</v>
      </c>
      <c r="AR9" s="3" t="s">
        <v>134</v>
      </c>
      <c r="AS9" s="1">
        <v>599071</v>
      </c>
      <c r="AT9" s="1">
        <v>0</v>
      </c>
      <c r="AU9" s="1">
        <v>599071</v>
      </c>
    </row>
    <row r="10" spans="1:47" x14ac:dyDescent="0.3">
      <c r="AU10" s="5">
        <f>SUM(AU2:AU9)</f>
        <v>2089382</v>
      </c>
    </row>
    <row r="12" spans="1:47" s="3" customFormat="1" x14ac:dyDescent="0.3">
      <c r="A12" s="6" t="s">
        <v>102</v>
      </c>
      <c r="B12" s="7"/>
      <c r="C12" s="7"/>
      <c r="D12" s="8"/>
    </row>
    <row r="13" spans="1:47" s="3" customFormat="1" x14ac:dyDescent="0.3">
      <c r="A13" s="9" t="s">
        <v>103</v>
      </c>
      <c r="B13" s="9" t="s">
        <v>104</v>
      </c>
      <c r="C13" s="9" t="s">
        <v>105</v>
      </c>
      <c r="D13" s="9" t="s">
        <v>106</v>
      </c>
    </row>
    <row r="14" spans="1:47" s="3" customFormat="1" x14ac:dyDescent="0.3">
      <c r="A14" s="10">
        <v>201910</v>
      </c>
      <c r="B14" s="11">
        <v>100000000</v>
      </c>
      <c r="C14" s="12">
        <v>15070</v>
      </c>
      <c r="D14" s="13">
        <v>99984930</v>
      </c>
    </row>
    <row r="15" spans="1:47" s="3" customFormat="1" x14ac:dyDescent="0.3">
      <c r="A15" s="10">
        <v>201911</v>
      </c>
      <c r="B15" s="11">
        <v>100000000</v>
      </c>
      <c r="C15" s="14">
        <v>146479031</v>
      </c>
      <c r="D15" s="13">
        <v>53505899</v>
      </c>
    </row>
    <row r="16" spans="1:47" s="3" customFormat="1" x14ac:dyDescent="0.3">
      <c r="A16" s="10">
        <v>201912</v>
      </c>
      <c r="B16" s="11"/>
      <c r="C16" s="11">
        <v>39056831</v>
      </c>
      <c r="D16" s="13">
        <v>14449068</v>
      </c>
    </row>
    <row r="17" spans="1:4" s="3" customFormat="1" x14ac:dyDescent="0.3">
      <c r="A17" s="10">
        <v>202001</v>
      </c>
      <c r="B17" s="11">
        <v>100000000</v>
      </c>
      <c r="C17" s="11">
        <v>23647656</v>
      </c>
      <c r="D17" s="13">
        <v>90801412</v>
      </c>
    </row>
    <row r="18" spans="1:4" s="3" customFormat="1" x14ac:dyDescent="0.3">
      <c r="A18" s="10">
        <v>202002</v>
      </c>
      <c r="B18" s="11"/>
      <c r="C18" s="11">
        <v>21109952</v>
      </c>
      <c r="D18" s="13">
        <v>69691460</v>
      </c>
    </row>
    <row r="19" spans="1:4" s="3" customFormat="1" x14ac:dyDescent="0.3">
      <c r="A19" s="10">
        <v>202003</v>
      </c>
      <c r="B19" s="11"/>
      <c r="C19" s="11">
        <v>21756214</v>
      </c>
      <c r="D19" s="13">
        <v>47935246</v>
      </c>
    </row>
    <row r="20" spans="1:4" s="3" customFormat="1" x14ac:dyDescent="0.3">
      <c r="A20" s="10">
        <v>202004</v>
      </c>
      <c r="B20" s="11"/>
      <c r="C20" s="11">
        <v>24261551</v>
      </c>
      <c r="D20" s="13">
        <v>23673695</v>
      </c>
    </row>
    <row r="21" spans="1:4" s="3" customFormat="1" x14ac:dyDescent="0.3">
      <c r="A21" s="10">
        <v>202005</v>
      </c>
      <c r="B21" s="11">
        <v>100000000</v>
      </c>
      <c r="C21" s="13">
        <v>23103063</v>
      </c>
      <c r="D21" s="13">
        <v>100570632</v>
      </c>
    </row>
    <row r="22" spans="1:4" s="3" customFormat="1" x14ac:dyDescent="0.3">
      <c r="A22" s="10">
        <v>202006</v>
      </c>
      <c r="B22" s="15"/>
      <c r="C22" s="13">
        <v>8596724</v>
      </c>
      <c r="D22" s="13">
        <v>91973908</v>
      </c>
    </row>
    <row r="23" spans="1:4" s="3" customFormat="1" x14ac:dyDescent="0.3">
      <c r="A23" s="10">
        <v>202007</v>
      </c>
      <c r="B23" s="16"/>
      <c r="C23" s="13">
        <v>13651567</v>
      </c>
      <c r="D23" s="13">
        <v>78322341</v>
      </c>
    </row>
    <row r="24" spans="1:4" s="3" customFormat="1" x14ac:dyDescent="0.3">
      <c r="A24" s="10">
        <v>202008</v>
      </c>
      <c r="B24" s="16"/>
      <c r="C24" s="13">
        <v>18343073</v>
      </c>
      <c r="D24" s="13">
        <v>59979268</v>
      </c>
    </row>
    <row r="25" spans="1:4" s="3" customFormat="1" x14ac:dyDescent="0.3">
      <c r="A25" s="10">
        <v>202009</v>
      </c>
      <c r="B25" s="16"/>
      <c r="C25" s="13">
        <v>14450305</v>
      </c>
      <c r="D25" s="13">
        <v>45528963</v>
      </c>
    </row>
    <row r="26" spans="1:4" s="3" customFormat="1" x14ac:dyDescent="0.3">
      <c r="A26" s="10">
        <v>202010</v>
      </c>
      <c r="B26" s="16"/>
      <c r="C26" s="13">
        <v>12527006</v>
      </c>
      <c r="D26" s="13">
        <f>D25-C26</f>
        <v>33001957</v>
      </c>
    </row>
    <row r="27" spans="1:4" s="3" customFormat="1" x14ac:dyDescent="0.3">
      <c r="A27" s="10">
        <v>202011</v>
      </c>
      <c r="B27" s="16"/>
      <c r="C27" s="13">
        <v>12821778</v>
      </c>
      <c r="D27" s="13">
        <f>D26-C27</f>
        <v>20180179</v>
      </c>
    </row>
    <row r="28" spans="1:4" s="3" customFormat="1" x14ac:dyDescent="0.3">
      <c r="A28" s="10">
        <v>202012</v>
      </c>
      <c r="B28" s="16"/>
      <c r="C28" s="13">
        <v>15223282</v>
      </c>
      <c r="D28" s="13">
        <f>D27-C28</f>
        <v>4956897</v>
      </c>
    </row>
    <row r="29" spans="1:4" s="3" customFormat="1" x14ac:dyDescent="0.3">
      <c r="A29" s="10">
        <v>202101</v>
      </c>
      <c r="B29" s="11">
        <v>50000000</v>
      </c>
      <c r="C29" s="13">
        <v>17914270</v>
      </c>
      <c r="D29" s="13">
        <f>D28-C29+B29</f>
        <v>37042627</v>
      </c>
    </row>
    <row r="30" spans="1:4" s="3" customFormat="1" x14ac:dyDescent="0.3">
      <c r="A30" s="10">
        <v>202102</v>
      </c>
      <c r="B30" s="11"/>
      <c r="C30" s="13">
        <v>10971546</v>
      </c>
      <c r="D30" s="13">
        <f>D29-C30</f>
        <v>26071081</v>
      </c>
    </row>
    <row r="31" spans="1:4" s="3" customFormat="1" x14ac:dyDescent="0.3">
      <c r="A31" s="10">
        <v>202103</v>
      </c>
      <c r="B31" s="11"/>
      <c r="C31" s="13">
        <v>6609889</v>
      </c>
      <c r="D31" s="13">
        <f>D30-C31</f>
        <v>19461192</v>
      </c>
    </row>
    <row r="32" spans="1:4" s="3" customFormat="1" x14ac:dyDescent="0.3">
      <c r="A32" s="10">
        <v>202104</v>
      </c>
      <c r="B32" s="11"/>
      <c r="C32" s="13">
        <v>9397257</v>
      </c>
      <c r="D32" s="13">
        <f>D31-C32</f>
        <v>10063935</v>
      </c>
    </row>
    <row r="33" spans="1:4" s="3" customFormat="1" x14ac:dyDescent="0.3">
      <c r="A33" s="10">
        <v>202105</v>
      </c>
      <c r="B33" s="11">
        <v>50000000</v>
      </c>
      <c r="C33" s="13">
        <v>9786615</v>
      </c>
      <c r="D33" s="13">
        <f t="shared" ref="D33:D39" si="0">D32+B33-C33</f>
        <v>50277320</v>
      </c>
    </row>
    <row r="34" spans="1:4" s="3" customFormat="1" x14ac:dyDescent="0.3">
      <c r="A34" s="10">
        <v>202106</v>
      </c>
      <c r="B34" s="11"/>
      <c r="C34" s="13">
        <v>7451661</v>
      </c>
      <c r="D34" s="13">
        <f t="shared" si="0"/>
        <v>42825659</v>
      </c>
    </row>
    <row r="35" spans="1:4" s="3" customFormat="1" x14ac:dyDescent="0.3">
      <c r="A35" s="10">
        <v>202107</v>
      </c>
      <c r="B35" s="11"/>
      <c r="C35" s="13">
        <v>5117057</v>
      </c>
      <c r="D35" s="13">
        <f t="shared" si="0"/>
        <v>37708602</v>
      </c>
    </row>
    <row r="36" spans="1:4" s="3" customFormat="1" x14ac:dyDescent="0.3">
      <c r="A36" s="10">
        <v>202108</v>
      </c>
      <c r="B36" s="11"/>
      <c r="C36" s="13">
        <v>5697726</v>
      </c>
      <c r="D36" s="13">
        <f t="shared" si="0"/>
        <v>32010876</v>
      </c>
    </row>
    <row r="37" spans="1:4" s="3" customFormat="1" x14ac:dyDescent="0.3">
      <c r="A37" s="10">
        <v>202109</v>
      </c>
      <c r="B37" s="11"/>
      <c r="C37" s="13">
        <v>7919559</v>
      </c>
      <c r="D37" s="13">
        <f t="shared" si="0"/>
        <v>24091317</v>
      </c>
    </row>
    <row r="38" spans="1:4" s="3" customFormat="1" x14ac:dyDescent="0.3">
      <c r="A38" s="10">
        <v>202110</v>
      </c>
      <c r="B38" s="11"/>
      <c r="C38" s="13">
        <v>5921272</v>
      </c>
      <c r="D38" s="13">
        <f t="shared" si="0"/>
        <v>18170045</v>
      </c>
    </row>
    <row r="39" spans="1:4" s="3" customFormat="1" x14ac:dyDescent="0.3">
      <c r="A39" s="17" t="s">
        <v>107</v>
      </c>
      <c r="B39" s="16"/>
      <c r="C39" s="13">
        <v>10692025</v>
      </c>
      <c r="D39" s="13">
        <f t="shared" si="0"/>
        <v>7478020</v>
      </c>
    </row>
    <row r="40" spans="1:4" s="3" customFormat="1" x14ac:dyDescent="0.3">
      <c r="A40" s="10">
        <v>202111</v>
      </c>
      <c r="B40" s="11">
        <v>50000000</v>
      </c>
      <c r="C40" s="13">
        <v>4749362</v>
      </c>
      <c r="D40" s="13">
        <f>D39-C40+B40</f>
        <v>52728658</v>
      </c>
    </row>
    <row r="41" spans="1:4" s="3" customFormat="1" x14ac:dyDescent="0.3">
      <c r="A41" s="17" t="s">
        <v>108</v>
      </c>
      <c r="B41" s="16"/>
      <c r="C41" s="13">
        <v>1882176</v>
      </c>
      <c r="D41" s="13">
        <f t="shared" ref="D41:D48" si="1">D40-C41</f>
        <v>50846482</v>
      </c>
    </row>
    <row r="42" spans="1:4" s="3" customFormat="1" x14ac:dyDescent="0.3">
      <c r="A42" s="10">
        <v>202112</v>
      </c>
      <c r="B42" s="16"/>
      <c r="C42" s="13">
        <v>4278025</v>
      </c>
      <c r="D42" s="13">
        <f t="shared" si="1"/>
        <v>46568457</v>
      </c>
    </row>
    <row r="43" spans="1:4" s="3" customFormat="1" x14ac:dyDescent="0.3">
      <c r="A43" s="10" t="s">
        <v>109</v>
      </c>
      <c r="B43" s="16"/>
      <c r="C43" s="13">
        <v>1862306</v>
      </c>
      <c r="D43" s="13">
        <f t="shared" si="1"/>
        <v>44706151</v>
      </c>
    </row>
    <row r="44" spans="1:4" s="3" customFormat="1" x14ac:dyDescent="0.3">
      <c r="A44" s="10">
        <v>202201</v>
      </c>
      <c r="B44" s="16"/>
      <c r="C44" s="13">
        <v>3517155</v>
      </c>
      <c r="D44" s="13">
        <f t="shared" si="1"/>
        <v>41188996</v>
      </c>
    </row>
    <row r="45" spans="1:4" s="3" customFormat="1" x14ac:dyDescent="0.3">
      <c r="A45" s="10" t="s">
        <v>110</v>
      </c>
      <c r="B45" s="16"/>
      <c r="C45" s="13">
        <v>4017673</v>
      </c>
      <c r="D45" s="13">
        <f t="shared" si="1"/>
        <v>37171323</v>
      </c>
    </row>
    <row r="46" spans="1:4" s="3" customFormat="1" x14ac:dyDescent="0.3">
      <c r="A46" s="10">
        <v>202202</v>
      </c>
      <c r="B46" s="16"/>
      <c r="C46" s="18">
        <v>2302285</v>
      </c>
      <c r="D46" s="13">
        <f t="shared" si="1"/>
        <v>34869038</v>
      </c>
    </row>
    <row r="47" spans="1:4" s="3" customFormat="1" x14ac:dyDescent="0.3">
      <c r="A47" s="10">
        <v>202203</v>
      </c>
      <c r="B47" s="16"/>
      <c r="C47" s="18">
        <v>2654263</v>
      </c>
      <c r="D47" s="13">
        <f t="shared" si="1"/>
        <v>32214775</v>
      </c>
    </row>
    <row r="48" spans="1:4" s="3" customFormat="1" x14ac:dyDescent="0.3">
      <c r="A48" s="10">
        <v>202204</v>
      </c>
      <c r="B48" s="16"/>
      <c r="C48" s="19">
        <v>4176252</v>
      </c>
      <c r="D48" s="13">
        <f t="shared" si="1"/>
        <v>28038523</v>
      </c>
    </row>
    <row r="49" spans="1:4" s="3" customFormat="1" x14ac:dyDescent="0.3">
      <c r="A49" s="10">
        <v>202205</v>
      </c>
      <c r="B49" s="16"/>
      <c r="C49" s="19">
        <v>3489356</v>
      </c>
      <c r="D49" s="13">
        <f>D48-C49</f>
        <v>24549167</v>
      </c>
    </row>
    <row r="50" spans="1:4" s="3" customFormat="1" x14ac:dyDescent="0.3">
      <c r="A50" s="10">
        <v>202206</v>
      </c>
      <c r="B50" s="16"/>
      <c r="C50" s="18">
        <v>2127275</v>
      </c>
      <c r="D50" s="13">
        <f>D49-C50</f>
        <v>22421892</v>
      </c>
    </row>
    <row r="51" spans="1:4" s="3" customFormat="1" x14ac:dyDescent="0.3">
      <c r="A51" s="10">
        <v>202207</v>
      </c>
      <c r="B51" s="11"/>
      <c r="C51" s="18">
        <v>1471127</v>
      </c>
      <c r="D51" s="13">
        <f>D50-C51</f>
        <v>20950765</v>
      </c>
    </row>
    <row r="52" spans="1:4" s="3" customFormat="1" x14ac:dyDescent="0.3">
      <c r="A52" s="10">
        <v>202208</v>
      </c>
      <c r="B52" s="11">
        <v>30000000</v>
      </c>
      <c r="C52" s="18">
        <v>3604074</v>
      </c>
      <c r="D52" s="13">
        <f>D51+B52-C52</f>
        <v>47346691</v>
      </c>
    </row>
    <row r="53" spans="1:4" s="3" customFormat="1" x14ac:dyDescent="0.3">
      <c r="A53" s="10">
        <v>202209</v>
      </c>
      <c r="B53" s="11"/>
      <c r="C53" s="18">
        <f>AU10</f>
        <v>2089382</v>
      </c>
      <c r="D53" s="13">
        <f>D52+B53-C53</f>
        <v>45257309</v>
      </c>
    </row>
    <row r="54" spans="1:4" s="3" customFormat="1" x14ac:dyDescent="0.3">
      <c r="A54" s="20" t="s">
        <v>111</v>
      </c>
      <c r="B54" s="21">
        <f>SUM(B14:B51)</f>
        <v>550000000</v>
      </c>
      <c r="C54" s="21">
        <f>SUM(C14:C53)</f>
        <v>534742691</v>
      </c>
      <c r="D54" s="21"/>
    </row>
    <row r="55" spans="1:4" s="3" customFormat="1" x14ac:dyDescent="0.3"/>
    <row r="56" spans="1:4" s="3" customFormat="1" x14ac:dyDescent="0.3">
      <c r="A56" s="22" t="s">
        <v>112</v>
      </c>
    </row>
    <row r="57" spans="1:4" s="3" customFormat="1" x14ac:dyDescent="0.3">
      <c r="A57" s="22" t="s">
        <v>113</v>
      </c>
    </row>
    <row r="58" spans="1:4" s="3" customFormat="1" x14ac:dyDescent="0.3">
      <c r="A58" s="22" t="s">
        <v>114</v>
      </c>
    </row>
    <row r="59" spans="1:4" s="3" customFormat="1" x14ac:dyDescent="0.3">
      <c r="A59" s="23" t="s">
        <v>115</v>
      </c>
      <c r="B59" s="24"/>
      <c r="C59" s="24"/>
      <c r="D59" s="25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U32"/>
  <sheetViews>
    <sheetView workbookViewId="0">
      <selection activeCell="A15" sqref="A15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28.5" bestFit="1" customWidth="1"/>
    <col min="9" max="9" width="7.5" bestFit="1" customWidth="1"/>
    <col min="10" max="10" width="10.375" bestFit="1" customWidth="1"/>
    <col min="11" max="11" width="9.375" bestFit="1" customWidth="1"/>
    <col min="12" max="12" width="11.1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2.7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10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68</v>
      </c>
      <c r="H2" s="3" t="s">
        <v>69</v>
      </c>
      <c r="I2" s="3" t="s">
        <v>51</v>
      </c>
      <c r="J2" s="3" t="s">
        <v>63</v>
      </c>
      <c r="K2" s="3" t="s">
        <v>70</v>
      </c>
      <c r="L2" s="3" t="s">
        <v>60</v>
      </c>
      <c r="M2" s="3" t="s">
        <v>71</v>
      </c>
      <c r="N2" s="3" t="s">
        <v>52</v>
      </c>
      <c r="O2" s="3" t="s">
        <v>52</v>
      </c>
      <c r="P2" s="3" t="s">
        <v>52</v>
      </c>
      <c r="Q2" s="3" t="s">
        <v>72</v>
      </c>
      <c r="R2" s="3" t="s">
        <v>53</v>
      </c>
      <c r="S2" s="3" t="s">
        <v>54</v>
      </c>
      <c r="T2" s="1">
        <v>176280</v>
      </c>
      <c r="U2" s="1">
        <v>188080</v>
      </c>
      <c r="V2" s="1">
        <v>25100</v>
      </c>
      <c r="W2" s="1">
        <v>108940</v>
      </c>
      <c r="X2" s="1">
        <v>389460</v>
      </c>
      <c r="Y2" s="1">
        <v>108940</v>
      </c>
      <c r="Z2" s="1">
        <v>498400</v>
      </c>
      <c r="AA2" s="1">
        <v>211536</v>
      </c>
      <c r="AB2" s="1">
        <v>188080</v>
      </c>
      <c r="AC2" s="1">
        <v>30070</v>
      </c>
      <c r="AD2" s="1">
        <v>108940</v>
      </c>
      <c r="AE2" s="1">
        <v>429686</v>
      </c>
      <c r="AF2" s="1">
        <v>108940</v>
      </c>
      <c r="AG2" s="1">
        <v>538626</v>
      </c>
      <c r="AH2" s="1">
        <v>190382.4</v>
      </c>
      <c r="AI2" s="1">
        <v>182437.6</v>
      </c>
      <c r="AJ2" s="1">
        <v>21049</v>
      </c>
      <c r="AK2" s="1">
        <v>98046</v>
      </c>
      <c r="AL2" s="1">
        <v>393869</v>
      </c>
      <c r="AM2" s="1">
        <v>98046</v>
      </c>
      <c r="AN2" s="1">
        <v>491915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295149</v>
      </c>
      <c r="AT2" s="1">
        <v>0</v>
      </c>
      <c r="AU2" s="1">
        <v>295149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68</v>
      </c>
      <c r="H3" s="3" t="s">
        <v>69</v>
      </c>
      <c r="I3" s="3" t="s">
        <v>51</v>
      </c>
      <c r="J3" s="3" t="s">
        <v>63</v>
      </c>
      <c r="K3" s="3" t="s">
        <v>70</v>
      </c>
      <c r="L3" s="3" t="s">
        <v>60</v>
      </c>
      <c r="M3" s="3" t="s">
        <v>71</v>
      </c>
      <c r="N3" s="3" t="s">
        <v>52</v>
      </c>
      <c r="O3" s="3" t="s">
        <v>52</v>
      </c>
      <c r="P3" s="3" t="s">
        <v>52</v>
      </c>
      <c r="Q3" s="3" t="s">
        <v>72</v>
      </c>
      <c r="R3" s="3" t="s">
        <v>53</v>
      </c>
      <c r="S3" s="3" t="s">
        <v>55</v>
      </c>
      <c r="T3" s="1">
        <v>79200</v>
      </c>
      <c r="U3" s="1">
        <v>281640</v>
      </c>
      <c r="V3" s="1">
        <v>10800</v>
      </c>
      <c r="W3" s="1">
        <v>15160</v>
      </c>
      <c r="X3" s="1">
        <v>371640</v>
      </c>
      <c r="Y3" s="1">
        <v>15160</v>
      </c>
      <c r="Z3" s="1">
        <v>386800</v>
      </c>
      <c r="AA3" s="1">
        <v>95040</v>
      </c>
      <c r="AB3" s="1">
        <v>281640</v>
      </c>
      <c r="AC3" s="1">
        <v>12960</v>
      </c>
      <c r="AD3" s="1">
        <v>15160</v>
      </c>
      <c r="AE3" s="1">
        <v>389640</v>
      </c>
      <c r="AF3" s="1">
        <v>15160</v>
      </c>
      <c r="AG3" s="1">
        <v>404800</v>
      </c>
      <c r="AH3" s="1">
        <v>85536</v>
      </c>
      <c r="AI3" s="1">
        <v>273190.8</v>
      </c>
      <c r="AJ3" s="1">
        <v>9072</v>
      </c>
      <c r="AK3" s="1">
        <v>13644</v>
      </c>
      <c r="AL3" s="1">
        <v>367798.8</v>
      </c>
      <c r="AM3" s="1">
        <v>13644</v>
      </c>
      <c r="AN3" s="1">
        <v>381442.8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228865</v>
      </c>
      <c r="AT3" s="1">
        <v>0</v>
      </c>
      <c r="AU3" s="1">
        <v>228865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68</v>
      </c>
      <c r="H4" s="3" t="s">
        <v>69</v>
      </c>
      <c r="I4" s="3" t="s">
        <v>51</v>
      </c>
      <c r="J4" s="3" t="s">
        <v>63</v>
      </c>
      <c r="K4" s="3" t="s">
        <v>70</v>
      </c>
      <c r="L4" s="3" t="s">
        <v>60</v>
      </c>
      <c r="M4" s="3" t="s">
        <v>71</v>
      </c>
      <c r="N4" s="3" t="s">
        <v>52</v>
      </c>
      <c r="O4" s="3" t="s">
        <v>52</v>
      </c>
      <c r="P4" s="3" t="s">
        <v>52</v>
      </c>
      <c r="Q4" s="3" t="s">
        <v>72</v>
      </c>
      <c r="R4" s="3" t="s">
        <v>53</v>
      </c>
      <c r="S4" s="3" t="s">
        <v>55</v>
      </c>
      <c r="T4" s="1">
        <v>43200</v>
      </c>
      <c r="U4" s="1">
        <v>113000</v>
      </c>
      <c r="V4" s="1">
        <v>0</v>
      </c>
      <c r="W4" s="1">
        <v>5800</v>
      </c>
      <c r="X4" s="1">
        <v>156200</v>
      </c>
      <c r="Y4" s="1">
        <v>5800</v>
      </c>
      <c r="Z4" s="1">
        <v>162000</v>
      </c>
      <c r="AA4" s="1">
        <v>51840</v>
      </c>
      <c r="AB4" s="1">
        <v>113000</v>
      </c>
      <c r="AC4" s="1">
        <v>0</v>
      </c>
      <c r="AD4" s="1">
        <v>5800</v>
      </c>
      <c r="AE4" s="1">
        <v>164840</v>
      </c>
      <c r="AF4" s="1">
        <v>5800</v>
      </c>
      <c r="AG4" s="1">
        <v>170640</v>
      </c>
      <c r="AH4" s="1">
        <v>46656</v>
      </c>
      <c r="AI4" s="1">
        <v>109610</v>
      </c>
      <c r="AJ4" s="1">
        <v>0</v>
      </c>
      <c r="AK4" s="1">
        <v>5220</v>
      </c>
      <c r="AL4" s="1">
        <v>156266</v>
      </c>
      <c r="AM4" s="1">
        <v>5220</v>
      </c>
      <c r="AN4" s="1">
        <v>161486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96892</v>
      </c>
      <c r="AT4" s="1">
        <v>0</v>
      </c>
      <c r="AU4" s="1">
        <v>96892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68</v>
      </c>
      <c r="H5" s="3" t="s">
        <v>69</v>
      </c>
      <c r="I5" s="3" t="s">
        <v>51</v>
      </c>
      <c r="J5" s="3" t="s">
        <v>63</v>
      </c>
      <c r="K5" s="3" t="s">
        <v>70</v>
      </c>
      <c r="L5" s="3" t="s">
        <v>60</v>
      </c>
      <c r="M5" s="3" t="s">
        <v>71</v>
      </c>
      <c r="N5" s="3" t="s">
        <v>52</v>
      </c>
      <c r="O5" s="3" t="s">
        <v>52</v>
      </c>
      <c r="P5" s="3" t="s">
        <v>52</v>
      </c>
      <c r="Q5" s="3" t="s">
        <v>72</v>
      </c>
      <c r="R5" s="3" t="s">
        <v>53</v>
      </c>
      <c r="S5" s="3" t="s">
        <v>55</v>
      </c>
      <c r="T5" s="1">
        <v>179700</v>
      </c>
      <c r="U5" s="1">
        <v>107600</v>
      </c>
      <c r="V5" s="1">
        <v>84200</v>
      </c>
      <c r="W5" s="1">
        <v>8500</v>
      </c>
      <c r="X5" s="1">
        <v>371500</v>
      </c>
      <c r="Y5" s="1">
        <v>8500</v>
      </c>
      <c r="Z5" s="1">
        <v>380000</v>
      </c>
      <c r="AA5" s="1">
        <v>215640</v>
      </c>
      <c r="AB5" s="1">
        <v>107600</v>
      </c>
      <c r="AC5" s="1">
        <v>101040</v>
      </c>
      <c r="AD5" s="1">
        <v>8500</v>
      </c>
      <c r="AE5" s="1">
        <v>424280</v>
      </c>
      <c r="AF5" s="1">
        <v>8500</v>
      </c>
      <c r="AG5" s="1">
        <v>432780</v>
      </c>
      <c r="AH5" s="1">
        <v>194076</v>
      </c>
      <c r="AI5" s="1">
        <v>104372</v>
      </c>
      <c r="AJ5" s="1">
        <v>70728</v>
      </c>
      <c r="AK5" s="1">
        <v>7650</v>
      </c>
      <c r="AL5" s="1">
        <v>369176</v>
      </c>
      <c r="AM5" s="1">
        <v>7650</v>
      </c>
      <c r="AN5" s="1">
        <v>376826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226096</v>
      </c>
      <c r="AT5" s="1">
        <v>0</v>
      </c>
      <c r="AU5" s="1">
        <v>226096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68</v>
      </c>
      <c r="H6" s="3" t="s">
        <v>69</v>
      </c>
      <c r="I6" s="3" t="s">
        <v>51</v>
      </c>
      <c r="J6" s="3" t="s">
        <v>63</v>
      </c>
      <c r="K6" s="3" t="s">
        <v>70</v>
      </c>
      <c r="L6" s="3" t="s">
        <v>60</v>
      </c>
      <c r="M6" s="3" t="s">
        <v>71</v>
      </c>
      <c r="N6" s="3" t="s">
        <v>52</v>
      </c>
      <c r="O6" s="3" t="s">
        <v>52</v>
      </c>
      <c r="P6" s="3" t="s">
        <v>52</v>
      </c>
      <c r="Q6" s="3" t="s">
        <v>72</v>
      </c>
      <c r="R6" s="3" t="s">
        <v>53</v>
      </c>
      <c r="S6" s="3" t="s">
        <v>58</v>
      </c>
      <c r="T6" s="1">
        <v>4275900</v>
      </c>
      <c r="U6" s="1">
        <v>3377510</v>
      </c>
      <c r="V6" s="1">
        <v>639780</v>
      </c>
      <c r="W6" s="1">
        <v>4337010</v>
      </c>
      <c r="X6" s="1">
        <v>8293190</v>
      </c>
      <c r="Y6" s="1">
        <v>4337010</v>
      </c>
      <c r="Z6" s="1">
        <v>12630200</v>
      </c>
      <c r="AA6" s="1">
        <v>5131080</v>
      </c>
      <c r="AB6" s="1">
        <v>3377510</v>
      </c>
      <c r="AC6" s="1">
        <v>766031</v>
      </c>
      <c r="AD6" s="1">
        <v>4337010</v>
      </c>
      <c r="AE6" s="1">
        <v>9274621</v>
      </c>
      <c r="AF6" s="1">
        <v>4337010</v>
      </c>
      <c r="AG6" s="1">
        <v>13611631</v>
      </c>
      <c r="AH6" s="1">
        <v>4617972</v>
      </c>
      <c r="AI6" s="1">
        <v>3276184.7</v>
      </c>
      <c r="AJ6" s="1">
        <v>536221.69999999995</v>
      </c>
      <c r="AK6" s="1">
        <v>3903309</v>
      </c>
      <c r="AL6" s="1">
        <v>8430378.4000000004</v>
      </c>
      <c r="AM6" s="1">
        <v>3903309</v>
      </c>
      <c r="AN6" s="1">
        <v>12333687.4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7400212</v>
      </c>
      <c r="AT6" s="1">
        <v>0</v>
      </c>
      <c r="AU6" s="1">
        <v>7400212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68</v>
      </c>
      <c r="H7" s="3" t="s">
        <v>69</v>
      </c>
      <c r="I7" s="3" t="s">
        <v>51</v>
      </c>
      <c r="J7" s="3" t="s">
        <v>63</v>
      </c>
      <c r="K7" s="3" t="s">
        <v>70</v>
      </c>
      <c r="L7" s="3" t="s">
        <v>60</v>
      </c>
      <c r="M7" s="3" t="s">
        <v>71</v>
      </c>
      <c r="N7" s="3" t="s">
        <v>52</v>
      </c>
      <c r="O7" s="3" t="s">
        <v>52</v>
      </c>
      <c r="P7" s="3" t="s">
        <v>52</v>
      </c>
      <c r="Q7" s="3" t="s">
        <v>72</v>
      </c>
      <c r="R7" s="3" t="s">
        <v>53</v>
      </c>
      <c r="S7" s="3" t="s">
        <v>59</v>
      </c>
      <c r="T7" s="1">
        <v>2505040</v>
      </c>
      <c r="U7" s="1">
        <v>2700270</v>
      </c>
      <c r="V7" s="1">
        <v>314180</v>
      </c>
      <c r="W7" s="1">
        <v>975710</v>
      </c>
      <c r="X7" s="1">
        <v>5519490</v>
      </c>
      <c r="Y7" s="1">
        <v>975710</v>
      </c>
      <c r="Z7" s="1">
        <v>6495200</v>
      </c>
      <c r="AA7" s="1">
        <v>3006048</v>
      </c>
      <c r="AB7" s="1">
        <v>2700270</v>
      </c>
      <c r="AC7" s="1">
        <v>375791</v>
      </c>
      <c r="AD7" s="1">
        <v>975710</v>
      </c>
      <c r="AE7" s="1">
        <v>6082109</v>
      </c>
      <c r="AF7" s="1">
        <v>975710</v>
      </c>
      <c r="AG7" s="1">
        <v>7057819</v>
      </c>
      <c r="AH7" s="1">
        <v>2705443.2</v>
      </c>
      <c r="AI7" s="1">
        <v>2619261.9</v>
      </c>
      <c r="AJ7" s="1">
        <v>263053.7</v>
      </c>
      <c r="AK7" s="1">
        <v>878139</v>
      </c>
      <c r="AL7" s="1">
        <v>5587758.7999999998</v>
      </c>
      <c r="AM7" s="1">
        <v>878139</v>
      </c>
      <c r="AN7" s="1">
        <v>6465897.7999999998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3879538</v>
      </c>
      <c r="AT7" s="1">
        <v>0</v>
      </c>
      <c r="AU7" s="1">
        <v>3879538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68</v>
      </c>
      <c r="H8" s="3" t="s">
        <v>69</v>
      </c>
      <c r="I8" s="3" t="s">
        <v>51</v>
      </c>
      <c r="J8" s="3" t="s">
        <v>63</v>
      </c>
      <c r="K8" s="3" t="s">
        <v>70</v>
      </c>
      <c r="L8" s="3" t="s">
        <v>60</v>
      </c>
      <c r="M8" s="3" t="s">
        <v>71</v>
      </c>
      <c r="N8" s="3" t="s">
        <v>52</v>
      </c>
      <c r="O8" s="3" t="s">
        <v>52</v>
      </c>
      <c r="P8" s="3" t="s">
        <v>52</v>
      </c>
      <c r="Q8" s="3" t="s">
        <v>72</v>
      </c>
      <c r="R8" s="3" t="s">
        <v>53</v>
      </c>
      <c r="S8" s="3" t="s">
        <v>59</v>
      </c>
      <c r="T8" s="1">
        <v>774080</v>
      </c>
      <c r="U8" s="1">
        <v>762680</v>
      </c>
      <c r="V8" s="1">
        <v>181740</v>
      </c>
      <c r="W8" s="1">
        <v>132100</v>
      </c>
      <c r="X8" s="1">
        <v>1718500</v>
      </c>
      <c r="Y8" s="1">
        <v>132100</v>
      </c>
      <c r="Z8" s="1">
        <v>1850600</v>
      </c>
      <c r="AA8" s="1">
        <v>928896</v>
      </c>
      <c r="AB8" s="1">
        <v>762680</v>
      </c>
      <c r="AC8" s="1">
        <v>216888</v>
      </c>
      <c r="AD8" s="1">
        <v>132100</v>
      </c>
      <c r="AE8" s="1">
        <v>1908464</v>
      </c>
      <c r="AF8" s="1">
        <v>132100</v>
      </c>
      <c r="AG8" s="1">
        <v>2040564</v>
      </c>
      <c r="AH8" s="1">
        <v>836006.40000000002</v>
      </c>
      <c r="AI8" s="1">
        <v>739799.6</v>
      </c>
      <c r="AJ8" s="1">
        <v>151821.6</v>
      </c>
      <c r="AK8" s="1">
        <v>118890</v>
      </c>
      <c r="AL8" s="1">
        <v>1727627.6</v>
      </c>
      <c r="AM8" s="1">
        <v>118890</v>
      </c>
      <c r="AN8" s="1">
        <v>1846517.6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1107911</v>
      </c>
      <c r="AT8" s="1">
        <v>0</v>
      </c>
      <c r="AU8" s="1">
        <v>1107911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68</v>
      </c>
      <c r="H9" s="3" t="s">
        <v>69</v>
      </c>
      <c r="I9" s="3" t="s">
        <v>51</v>
      </c>
      <c r="J9" s="3" t="s">
        <v>63</v>
      </c>
      <c r="K9" s="3" t="s">
        <v>70</v>
      </c>
      <c r="L9" s="3" t="s">
        <v>60</v>
      </c>
      <c r="M9" s="3" t="s">
        <v>71</v>
      </c>
      <c r="N9" s="3" t="s">
        <v>52</v>
      </c>
      <c r="O9" s="3" t="s">
        <v>52</v>
      </c>
      <c r="P9" s="3" t="s">
        <v>52</v>
      </c>
      <c r="Q9" s="3" t="s">
        <v>72</v>
      </c>
      <c r="R9" s="3" t="s">
        <v>53</v>
      </c>
      <c r="S9" s="3" t="s">
        <v>59</v>
      </c>
      <c r="T9" s="1">
        <v>1415510</v>
      </c>
      <c r="U9" s="1">
        <v>843490</v>
      </c>
      <c r="V9" s="1">
        <v>190000</v>
      </c>
      <c r="W9" s="1">
        <v>78600</v>
      </c>
      <c r="X9" s="1">
        <v>2449000</v>
      </c>
      <c r="Y9" s="1">
        <v>78600</v>
      </c>
      <c r="Z9" s="1">
        <v>2527600</v>
      </c>
      <c r="AA9" s="1">
        <v>1698612</v>
      </c>
      <c r="AB9" s="1">
        <v>843490</v>
      </c>
      <c r="AC9" s="1">
        <v>227660</v>
      </c>
      <c r="AD9" s="1">
        <v>78600</v>
      </c>
      <c r="AE9" s="1">
        <v>2769762</v>
      </c>
      <c r="AF9" s="1">
        <v>78600</v>
      </c>
      <c r="AG9" s="1">
        <v>2848362</v>
      </c>
      <c r="AH9" s="1">
        <v>1528750.8</v>
      </c>
      <c r="AI9" s="1">
        <v>818185.3</v>
      </c>
      <c r="AJ9" s="1">
        <v>159362</v>
      </c>
      <c r="AK9" s="1">
        <v>70740</v>
      </c>
      <c r="AL9" s="1">
        <v>2506298.1</v>
      </c>
      <c r="AM9" s="1">
        <v>70740</v>
      </c>
      <c r="AN9" s="1">
        <v>2577038.1</v>
      </c>
      <c r="AO9" s="3" t="s">
        <v>134</v>
      </c>
      <c r="AP9" s="3" t="s">
        <v>134</v>
      </c>
      <c r="AQ9" s="3" t="s">
        <v>134</v>
      </c>
      <c r="AR9" s="3" t="s">
        <v>134</v>
      </c>
      <c r="AS9" s="1">
        <v>1546222</v>
      </c>
      <c r="AT9" s="1">
        <v>0</v>
      </c>
      <c r="AU9" s="1">
        <v>1546222</v>
      </c>
    </row>
    <row r="10" spans="1:47" x14ac:dyDescent="0.3">
      <c r="AU10" s="5">
        <f>SUM(AU2:AU9)</f>
        <v>14780885</v>
      </c>
    </row>
    <row r="12" spans="1:47" s="3" customFormat="1" x14ac:dyDescent="0.3">
      <c r="A12" s="6" t="s">
        <v>116</v>
      </c>
      <c r="B12" s="7"/>
      <c r="C12" s="7"/>
      <c r="D12" s="8"/>
    </row>
    <row r="13" spans="1:47" s="3" customFormat="1" x14ac:dyDescent="0.3">
      <c r="A13" s="9" t="s">
        <v>117</v>
      </c>
      <c r="B13" s="9" t="s">
        <v>104</v>
      </c>
      <c r="C13" s="9" t="s">
        <v>118</v>
      </c>
      <c r="D13" s="9" t="s">
        <v>119</v>
      </c>
    </row>
    <row r="14" spans="1:47" s="3" customFormat="1" x14ac:dyDescent="0.3">
      <c r="A14" s="10">
        <v>202109</v>
      </c>
      <c r="B14" s="11">
        <v>50000000</v>
      </c>
      <c r="C14" s="12">
        <v>83595</v>
      </c>
      <c r="D14" s="13">
        <f>B14-C14</f>
        <v>49916405</v>
      </c>
    </row>
    <row r="15" spans="1:47" s="3" customFormat="1" x14ac:dyDescent="0.3">
      <c r="A15" s="10">
        <v>202110</v>
      </c>
      <c r="B15" s="11"/>
      <c r="C15" s="14">
        <v>46964380</v>
      </c>
      <c r="D15" s="13">
        <f>D14-C15</f>
        <v>2952025</v>
      </c>
    </row>
    <row r="16" spans="1:47" s="3" customFormat="1" x14ac:dyDescent="0.3">
      <c r="A16" s="10">
        <v>202111</v>
      </c>
      <c r="B16" s="11">
        <v>50000000</v>
      </c>
      <c r="C16" s="11">
        <v>12173136</v>
      </c>
      <c r="D16" s="13">
        <f>D15+B16-C16</f>
        <v>40778889</v>
      </c>
    </row>
    <row r="17" spans="1:4" s="3" customFormat="1" x14ac:dyDescent="0.3">
      <c r="A17" s="10">
        <v>202112</v>
      </c>
      <c r="B17" s="11"/>
      <c r="C17" s="11">
        <v>16953709</v>
      </c>
      <c r="D17" s="13">
        <f>D16+B17-C17</f>
        <v>23825180</v>
      </c>
    </row>
    <row r="18" spans="1:4" s="3" customFormat="1" x14ac:dyDescent="0.3">
      <c r="A18" s="10">
        <v>202201</v>
      </c>
      <c r="B18" s="11"/>
      <c r="C18" s="11">
        <v>15233547</v>
      </c>
      <c r="D18" s="13">
        <f>D17-C18</f>
        <v>8591633</v>
      </c>
    </row>
    <row r="19" spans="1:4" s="3" customFormat="1" x14ac:dyDescent="0.3">
      <c r="A19" s="10">
        <v>202202</v>
      </c>
      <c r="B19" s="11">
        <v>50000000</v>
      </c>
      <c r="C19" s="26">
        <v>12280571</v>
      </c>
      <c r="D19" s="13">
        <f t="shared" ref="D19:D23" si="0">D18-C19+B19</f>
        <v>46311062</v>
      </c>
    </row>
    <row r="20" spans="1:4" s="3" customFormat="1" x14ac:dyDescent="0.3">
      <c r="A20" s="10">
        <v>202203</v>
      </c>
      <c r="B20" s="11"/>
      <c r="C20" s="11">
        <v>22760893</v>
      </c>
      <c r="D20" s="13">
        <f t="shared" si="0"/>
        <v>23550169</v>
      </c>
    </row>
    <row r="21" spans="1:4" s="3" customFormat="1" x14ac:dyDescent="0.3">
      <c r="A21" s="10">
        <v>202204</v>
      </c>
      <c r="B21" s="11">
        <v>50000000</v>
      </c>
      <c r="C21" s="18">
        <v>16301202</v>
      </c>
      <c r="D21" s="13">
        <f t="shared" si="0"/>
        <v>57248967</v>
      </c>
    </row>
    <row r="22" spans="1:4" s="3" customFormat="1" x14ac:dyDescent="0.3">
      <c r="A22" s="10">
        <v>202205</v>
      </c>
      <c r="B22" s="11"/>
      <c r="C22" s="18">
        <v>13436396</v>
      </c>
      <c r="D22" s="13">
        <f t="shared" si="0"/>
        <v>43812571</v>
      </c>
    </row>
    <row r="23" spans="1:4" s="3" customFormat="1" x14ac:dyDescent="0.3">
      <c r="A23" s="10">
        <v>202206</v>
      </c>
      <c r="B23" s="11"/>
      <c r="C23" s="18">
        <v>14612958</v>
      </c>
      <c r="D23" s="13">
        <f t="shared" si="0"/>
        <v>29199613</v>
      </c>
    </row>
    <row r="24" spans="1:4" s="3" customFormat="1" x14ac:dyDescent="0.3">
      <c r="A24" s="10">
        <v>202207</v>
      </c>
      <c r="B24" s="11">
        <v>50000000</v>
      </c>
      <c r="C24" s="18">
        <v>15014084</v>
      </c>
      <c r="D24" s="13">
        <f>D23-C24+B24</f>
        <v>64185529</v>
      </c>
    </row>
    <row r="25" spans="1:4" s="3" customFormat="1" x14ac:dyDescent="0.3">
      <c r="A25" s="10">
        <v>220208</v>
      </c>
      <c r="B25" s="16"/>
      <c r="C25" s="18">
        <v>13711379</v>
      </c>
      <c r="D25" s="13">
        <f>D24-C25+B25</f>
        <v>50474150</v>
      </c>
    </row>
    <row r="26" spans="1:4" s="3" customFormat="1" x14ac:dyDescent="0.3">
      <c r="A26" s="10">
        <v>202209</v>
      </c>
      <c r="B26" s="16"/>
      <c r="C26" s="18">
        <f>AU10</f>
        <v>14780885</v>
      </c>
      <c r="D26" s="13">
        <f>D25-C26+B26</f>
        <v>35693265</v>
      </c>
    </row>
    <row r="27" spans="1:4" s="3" customFormat="1" x14ac:dyDescent="0.3">
      <c r="A27" s="20" t="s">
        <v>111</v>
      </c>
      <c r="B27" s="21">
        <f>SUM(B14:B24)</f>
        <v>250000000</v>
      </c>
      <c r="C27" s="21">
        <f>SUM(C14:C26)</f>
        <v>214306735</v>
      </c>
      <c r="D27" s="21"/>
    </row>
    <row r="28" spans="1:4" s="3" customFormat="1" x14ac:dyDescent="0.3"/>
    <row r="29" spans="1:4" s="3" customFormat="1" x14ac:dyDescent="0.3">
      <c r="A29" s="22" t="s">
        <v>120</v>
      </c>
    </row>
    <row r="30" spans="1:4" s="3" customFormat="1" x14ac:dyDescent="0.3">
      <c r="A30" s="22" t="s">
        <v>121</v>
      </c>
    </row>
    <row r="31" spans="1:4" s="3" customFormat="1" x14ac:dyDescent="0.3">
      <c r="A31" s="22" t="s">
        <v>122</v>
      </c>
    </row>
    <row r="32" spans="1:4" s="3" customFormat="1" x14ac:dyDescent="0.3">
      <c r="A32" s="22" t="s">
        <v>123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25"/>
  <sheetViews>
    <sheetView workbookViewId="0">
      <selection activeCell="C26" sqref="C26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9.5" bestFit="1" customWidth="1"/>
    <col min="9" max="9" width="7.5" bestFit="1" customWidth="1"/>
    <col min="10" max="10" width="10.375" bestFit="1" customWidth="1"/>
    <col min="11" max="11" width="9.375" bestFit="1" customWidth="1"/>
    <col min="12" max="12" width="17.6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8.87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9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79</v>
      </c>
      <c r="H2" s="3" t="s">
        <v>80</v>
      </c>
      <c r="I2" s="3" t="s">
        <v>51</v>
      </c>
      <c r="J2" s="3" t="s">
        <v>63</v>
      </c>
      <c r="K2" s="3" t="s">
        <v>81</v>
      </c>
      <c r="L2" s="3" t="s">
        <v>56</v>
      </c>
      <c r="M2" s="3" t="s">
        <v>82</v>
      </c>
      <c r="N2" s="3" t="s">
        <v>52</v>
      </c>
      <c r="O2" s="3" t="s">
        <v>52</v>
      </c>
      <c r="P2" s="3" t="s">
        <v>52</v>
      </c>
      <c r="Q2" s="3" t="s">
        <v>83</v>
      </c>
      <c r="R2" s="3" t="s">
        <v>53</v>
      </c>
      <c r="S2" s="3" t="s">
        <v>54</v>
      </c>
      <c r="T2" s="1">
        <v>12300</v>
      </c>
      <c r="U2" s="1">
        <v>34820</v>
      </c>
      <c r="V2" s="1">
        <v>400</v>
      </c>
      <c r="W2" s="1">
        <v>20880</v>
      </c>
      <c r="X2" s="1">
        <v>47520</v>
      </c>
      <c r="Y2" s="1">
        <v>20880</v>
      </c>
      <c r="Z2" s="1">
        <v>68400</v>
      </c>
      <c r="AA2" s="1">
        <v>14760</v>
      </c>
      <c r="AB2" s="1">
        <v>34820</v>
      </c>
      <c r="AC2" s="1">
        <v>480</v>
      </c>
      <c r="AD2" s="1">
        <v>20880</v>
      </c>
      <c r="AE2" s="1">
        <v>50060</v>
      </c>
      <c r="AF2" s="1">
        <v>20880</v>
      </c>
      <c r="AG2" s="1">
        <v>70940</v>
      </c>
      <c r="AH2" s="1">
        <v>13284</v>
      </c>
      <c r="AI2" s="1">
        <v>33775.4</v>
      </c>
      <c r="AJ2" s="1">
        <v>336</v>
      </c>
      <c r="AK2" s="1">
        <v>18792</v>
      </c>
      <c r="AL2" s="1">
        <v>47395.4</v>
      </c>
      <c r="AM2" s="1">
        <v>18792</v>
      </c>
      <c r="AN2" s="1">
        <v>66187.399999999994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39712</v>
      </c>
      <c r="AT2" s="1">
        <v>0</v>
      </c>
      <c r="AU2" s="1">
        <v>39712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79</v>
      </c>
      <c r="H3" s="3" t="s">
        <v>80</v>
      </c>
      <c r="I3" s="3" t="s">
        <v>51</v>
      </c>
      <c r="J3" s="3" t="s">
        <v>63</v>
      </c>
      <c r="K3" s="3" t="s">
        <v>81</v>
      </c>
      <c r="L3" s="3" t="s">
        <v>56</v>
      </c>
      <c r="M3" s="3" t="s">
        <v>82</v>
      </c>
      <c r="N3" s="3" t="s">
        <v>52</v>
      </c>
      <c r="O3" s="3" t="s">
        <v>52</v>
      </c>
      <c r="P3" s="3" t="s">
        <v>52</v>
      </c>
      <c r="Q3" s="3" t="s">
        <v>83</v>
      </c>
      <c r="R3" s="3" t="s">
        <v>53</v>
      </c>
      <c r="S3" s="3" t="s">
        <v>55</v>
      </c>
      <c r="T3" s="1">
        <v>25200</v>
      </c>
      <c r="U3" s="1">
        <v>99800</v>
      </c>
      <c r="V3" s="1">
        <v>3600</v>
      </c>
      <c r="W3" s="1">
        <v>4600</v>
      </c>
      <c r="X3" s="1">
        <v>128600</v>
      </c>
      <c r="Y3" s="1">
        <v>4600</v>
      </c>
      <c r="Z3" s="1">
        <v>133200</v>
      </c>
      <c r="AA3" s="1">
        <v>30240</v>
      </c>
      <c r="AB3" s="1">
        <v>99800</v>
      </c>
      <c r="AC3" s="1">
        <v>4320</v>
      </c>
      <c r="AD3" s="1">
        <v>4600</v>
      </c>
      <c r="AE3" s="1">
        <v>134360</v>
      </c>
      <c r="AF3" s="1">
        <v>4600</v>
      </c>
      <c r="AG3" s="1">
        <v>138960</v>
      </c>
      <c r="AH3" s="1">
        <v>27216</v>
      </c>
      <c r="AI3" s="1">
        <v>96806</v>
      </c>
      <c r="AJ3" s="1">
        <v>3024</v>
      </c>
      <c r="AK3" s="1">
        <v>4140</v>
      </c>
      <c r="AL3" s="1">
        <v>127046</v>
      </c>
      <c r="AM3" s="1">
        <v>4140</v>
      </c>
      <c r="AN3" s="1">
        <v>131186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78712</v>
      </c>
      <c r="AT3" s="1">
        <v>0</v>
      </c>
      <c r="AU3" s="1">
        <v>78712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79</v>
      </c>
      <c r="H4" s="3" t="s">
        <v>80</v>
      </c>
      <c r="I4" s="3" t="s">
        <v>51</v>
      </c>
      <c r="J4" s="3" t="s">
        <v>63</v>
      </c>
      <c r="K4" s="3" t="s">
        <v>81</v>
      </c>
      <c r="L4" s="3" t="s">
        <v>56</v>
      </c>
      <c r="M4" s="3" t="s">
        <v>82</v>
      </c>
      <c r="N4" s="3" t="s">
        <v>52</v>
      </c>
      <c r="O4" s="3" t="s">
        <v>52</v>
      </c>
      <c r="P4" s="3" t="s">
        <v>52</v>
      </c>
      <c r="Q4" s="3" t="s">
        <v>83</v>
      </c>
      <c r="R4" s="3" t="s">
        <v>53</v>
      </c>
      <c r="S4" s="3" t="s">
        <v>55</v>
      </c>
      <c r="T4" s="1">
        <v>10800</v>
      </c>
      <c r="U4" s="1">
        <v>10800</v>
      </c>
      <c r="V4" s="1">
        <v>0</v>
      </c>
      <c r="W4" s="1">
        <v>0</v>
      </c>
      <c r="X4" s="1">
        <v>21600</v>
      </c>
      <c r="Y4" s="1">
        <v>0</v>
      </c>
      <c r="Z4" s="1">
        <v>21600</v>
      </c>
      <c r="AA4" s="1">
        <v>12960</v>
      </c>
      <c r="AB4" s="1">
        <v>10800</v>
      </c>
      <c r="AC4" s="1">
        <v>0</v>
      </c>
      <c r="AD4" s="1">
        <v>0</v>
      </c>
      <c r="AE4" s="1">
        <v>23760</v>
      </c>
      <c r="AF4" s="1">
        <v>0</v>
      </c>
      <c r="AG4" s="1">
        <v>23760</v>
      </c>
      <c r="AH4" s="1">
        <v>11664</v>
      </c>
      <c r="AI4" s="1">
        <v>10476</v>
      </c>
      <c r="AJ4" s="1">
        <v>0</v>
      </c>
      <c r="AK4" s="1">
        <v>0</v>
      </c>
      <c r="AL4" s="1">
        <v>22140</v>
      </c>
      <c r="AM4" s="1">
        <v>0</v>
      </c>
      <c r="AN4" s="1">
        <v>22140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13284</v>
      </c>
      <c r="AT4" s="1">
        <v>0</v>
      </c>
      <c r="AU4" s="1">
        <v>13284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79</v>
      </c>
      <c r="H5" s="3" t="s">
        <v>80</v>
      </c>
      <c r="I5" s="3" t="s">
        <v>51</v>
      </c>
      <c r="J5" s="3" t="s">
        <v>63</v>
      </c>
      <c r="K5" s="3" t="s">
        <v>81</v>
      </c>
      <c r="L5" s="3" t="s">
        <v>56</v>
      </c>
      <c r="M5" s="3" t="s">
        <v>82</v>
      </c>
      <c r="N5" s="3" t="s">
        <v>52</v>
      </c>
      <c r="O5" s="3" t="s">
        <v>52</v>
      </c>
      <c r="P5" s="3" t="s">
        <v>52</v>
      </c>
      <c r="Q5" s="3" t="s">
        <v>83</v>
      </c>
      <c r="R5" s="3" t="s">
        <v>53</v>
      </c>
      <c r="S5" s="3" t="s">
        <v>55</v>
      </c>
      <c r="T5" s="1">
        <v>0</v>
      </c>
      <c r="U5" s="1">
        <v>22600</v>
      </c>
      <c r="V5" s="1">
        <v>0</v>
      </c>
      <c r="W5" s="1">
        <v>1800</v>
      </c>
      <c r="X5" s="1">
        <v>22600</v>
      </c>
      <c r="Y5" s="1">
        <v>1800</v>
      </c>
      <c r="Z5" s="1">
        <v>24400</v>
      </c>
      <c r="AA5" s="1">
        <v>0</v>
      </c>
      <c r="AB5" s="1">
        <v>22600</v>
      </c>
      <c r="AC5" s="1">
        <v>0</v>
      </c>
      <c r="AD5" s="1">
        <v>1800</v>
      </c>
      <c r="AE5" s="1">
        <v>22600</v>
      </c>
      <c r="AF5" s="1">
        <v>1800</v>
      </c>
      <c r="AG5" s="1">
        <v>24400</v>
      </c>
      <c r="AH5" s="1">
        <v>0</v>
      </c>
      <c r="AI5" s="1">
        <v>21922</v>
      </c>
      <c r="AJ5" s="1">
        <v>0</v>
      </c>
      <c r="AK5" s="1">
        <v>1620</v>
      </c>
      <c r="AL5" s="1">
        <v>21922</v>
      </c>
      <c r="AM5" s="1">
        <v>1620</v>
      </c>
      <c r="AN5" s="1">
        <v>23542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14125</v>
      </c>
      <c r="AT5" s="1">
        <v>0</v>
      </c>
      <c r="AU5" s="1">
        <v>14125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79</v>
      </c>
      <c r="H6" s="3" t="s">
        <v>80</v>
      </c>
      <c r="I6" s="3" t="s">
        <v>51</v>
      </c>
      <c r="J6" s="3" t="s">
        <v>63</v>
      </c>
      <c r="K6" s="3" t="s">
        <v>81</v>
      </c>
      <c r="L6" s="3" t="s">
        <v>56</v>
      </c>
      <c r="M6" s="3" t="s">
        <v>82</v>
      </c>
      <c r="N6" s="3" t="s">
        <v>52</v>
      </c>
      <c r="O6" s="3" t="s">
        <v>52</v>
      </c>
      <c r="P6" s="3" t="s">
        <v>52</v>
      </c>
      <c r="Q6" s="3" t="s">
        <v>83</v>
      </c>
      <c r="R6" s="3" t="s">
        <v>53</v>
      </c>
      <c r="S6" s="3" t="s">
        <v>58</v>
      </c>
      <c r="T6" s="1">
        <v>193040</v>
      </c>
      <c r="U6" s="1">
        <v>334200</v>
      </c>
      <c r="V6" s="1">
        <v>26200</v>
      </c>
      <c r="W6" s="1">
        <v>157560</v>
      </c>
      <c r="X6" s="1">
        <v>553440</v>
      </c>
      <c r="Y6" s="1">
        <v>157560</v>
      </c>
      <c r="Z6" s="1">
        <v>711000</v>
      </c>
      <c r="AA6" s="1">
        <v>231648</v>
      </c>
      <c r="AB6" s="1">
        <v>334200</v>
      </c>
      <c r="AC6" s="1">
        <v>31440</v>
      </c>
      <c r="AD6" s="1">
        <v>157560</v>
      </c>
      <c r="AE6" s="1">
        <v>597288</v>
      </c>
      <c r="AF6" s="1">
        <v>157560</v>
      </c>
      <c r="AG6" s="1">
        <v>754848</v>
      </c>
      <c r="AH6" s="1">
        <v>208483.20000000001</v>
      </c>
      <c r="AI6" s="1">
        <v>324174</v>
      </c>
      <c r="AJ6" s="1">
        <v>22008</v>
      </c>
      <c r="AK6" s="1">
        <v>141804</v>
      </c>
      <c r="AL6" s="1">
        <v>554665.19999999995</v>
      </c>
      <c r="AM6" s="1">
        <v>141804</v>
      </c>
      <c r="AN6" s="1">
        <v>696469.2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417881</v>
      </c>
      <c r="AT6" s="1">
        <v>0</v>
      </c>
      <c r="AU6" s="1">
        <v>417881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79</v>
      </c>
      <c r="H7" s="3" t="s">
        <v>80</v>
      </c>
      <c r="I7" s="3" t="s">
        <v>51</v>
      </c>
      <c r="J7" s="3" t="s">
        <v>63</v>
      </c>
      <c r="K7" s="3" t="s">
        <v>81</v>
      </c>
      <c r="L7" s="3" t="s">
        <v>56</v>
      </c>
      <c r="M7" s="3" t="s">
        <v>82</v>
      </c>
      <c r="N7" s="3" t="s">
        <v>52</v>
      </c>
      <c r="O7" s="3" t="s">
        <v>52</v>
      </c>
      <c r="P7" s="3" t="s">
        <v>52</v>
      </c>
      <c r="Q7" s="3" t="s">
        <v>83</v>
      </c>
      <c r="R7" s="3" t="s">
        <v>53</v>
      </c>
      <c r="S7" s="3" t="s">
        <v>59</v>
      </c>
      <c r="T7" s="1">
        <v>190700</v>
      </c>
      <c r="U7" s="1">
        <v>492120</v>
      </c>
      <c r="V7" s="1">
        <v>22100</v>
      </c>
      <c r="W7" s="1">
        <v>66880</v>
      </c>
      <c r="X7" s="1">
        <v>704920</v>
      </c>
      <c r="Y7" s="1">
        <v>66880</v>
      </c>
      <c r="Z7" s="1">
        <v>771800</v>
      </c>
      <c r="AA7" s="1">
        <v>228840</v>
      </c>
      <c r="AB7" s="1">
        <v>492120</v>
      </c>
      <c r="AC7" s="1">
        <v>26520</v>
      </c>
      <c r="AD7" s="1">
        <v>66880</v>
      </c>
      <c r="AE7" s="1">
        <v>747480</v>
      </c>
      <c r="AF7" s="1">
        <v>66880</v>
      </c>
      <c r="AG7" s="1">
        <v>814360</v>
      </c>
      <c r="AH7" s="1">
        <v>205956</v>
      </c>
      <c r="AI7" s="1">
        <v>477356.4</v>
      </c>
      <c r="AJ7" s="1">
        <v>18564</v>
      </c>
      <c r="AK7" s="1">
        <v>60192</v>
      </c>
      <c r="AL7" s="1">
        <v>701876.4</v>
      </c>
      <c r="AM7" s="1">
        <v>60192</v>
      </c>
      <c r="AN7" s="1">
        <v>762068.4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457241</v>
      </c>
      <c r="AT7" s="1">
        <v>0</v>
      </c>
      <c r="AU7" s="1">
        <v>457241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79</v>
      </c>
      <c r="H8" s="3" t="s">
        <v>80</v>
      </c>
      <c r="I8" s="3" t="s">
        <v>51</v>
      </c>
      <c r="J8" s="3" t="s">
        <v>63</v>
      </c>
      <c r="K8" s="3" t="s">
        <v>81</v>
      </c>
      <c r="L8" s="3" t="s">
        <v>56</v>
      </c>
      <c r="M8" s="3" t="s">
        <v>82</v>
      </c>
      <c r="N8" s="3" t="s">
        <v>52</v>
      </c>
      <c r="O8" s="3" t="s">
        <v>52</v>
      </c>
      <c r="P8" s="3" t="s">
        <v>52</v>
      </c>
      <c r="Q8" s="3" t="s">
        <v>83</v>
      </c>
      <c r="R8" s="3" t="s">
        <v>53</v>
      </c>
      <c r="S8" s="3" t="s">
        <v>59</v>
      </c>
      <c r="T8" s="1">
        <v>73800</v>
      </c>
      <c r="U8" s="1">
        <v>169500</v>
      </c>
      <c r="V8" s="1">
        <v>27300</v>
      </c>
      <c r="W8" s="1">
        <v>21000</v>
      </c>
      <c r="X8" s="1">
        <v>270600</v>
      </c>
      <c r="Y8" s="1">
        <v>21000</v>
      </c>
      <c r="Z8" s="1">
        <v>291600</v>
      </c>
      <c r="AA8" s="1">
        <v>88560</v>
      </c>
      <c r="AB8" s="1">
        <v>169500</v>
      </c>
      <c r="AC8" s="1">
        <v>32760</v>
      </c>
      <c r="AD8" s="1">
        <v>21000</v>
      </c>
      <c r="AE8" s="1">
        <v>290820</v>
      </c>
      <c r="AF8" s="1">
        <v>21000</v>
      </c>
      <c r="AG8" s="1">
        <v>311820</v>
      </c>
      <c r="AH8" s="1">
        <v>79704</v>
      </c>
      <c r="AI8" s="1">
        <v>164415</v>
      </c>
      <c r="AJ8" s="1">
        <v>22932</v>
      </c>
      <c r="AK8" s="1">
        <v>18900</v>
      </c>
      <c r="AL8" s="1">
        <v>267051</v>
      </c>
      <c r="AM8" s="1">
        <v>18900</v>
      </c>
      <c r="AN8" s="1">
        <v>285951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171570</v>
      </c>
      <c r="AT8" s="1">
        <v>0</v>
      </c>
      <c r="AU8" s="1">
        <v>171570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79</v>
      </c>
      <c r="H9" s="3" t="s">
        <v>80</v>
      </c>
      <c r="I9" s="3" t="s">
        <v>51</v>
      </c>
      <c r="J9" s="3" t="s">
        <v>63</v>
      </c>
      <c r="K9" s="3" t="s">
        <v>81</v>
      </c>
      <c r="L9" s="3" t="s">
        <v>56</v>
      </c>
      <c r="M9" s="3" t="s">
        <v>82</v>
      </c>
      <c r="N9" s="3" t="s">
        <v>52</v>
      </c>
      <c r="O9" s="3" t="s">
        <v>52</v>
      </c>
      <c r="P9" s="3" t="s">
        <v>52</v>
      </c>
      <c r="Q9" s="3" t="s">
        <v>83</v>
      </c>
      <c r="R9" s="3" t="s">
        <v>53</v>
      </c>
      <c r="S9" s="3" t="s">
        <v>59</v>
      </c>
      <c r="T9" s="1">
        <v>43300</v>
      </c>
      <c r="U9" s="1">
        <v>36000</v>
      </c>
      <c r="V9" s="1">
        <v>-7400</v>
      </c>
      <c r="W9" s="1">
        <v>100</v>
      </c>
      <c r="X9" s="1">
        <v>71900</v>
      </c>
      <c r="Y9" s="1">
        <v>100</v>
      </c>
      <c r="Z9" s="1">
        <v>72000</v>
      </c>
      <c r="AA9" s="1">
        <v>51960</v>
      </c>
      <c r="AB9" s="1">
        <v>36000</v>
      </c>
      <c r="AC9" s="1">
        <v>-11225</v>
      </c>
      <c r="AD9" s="1">
        <v>100</v>
      </c>
      <c r="AE9" s="1">
        <v>76735</v>
      </c>
      <c r="AF9" s="1">
        <v>100</v>
      </c>
      <c r="AG9" s="1">
        <v>76835</v>
      </c>
      <c r="AH9" s="1">
        <v>46764</v>
      </c>
      <c r="AI9" s="1">
        <v>34920</v>
      </c>
      <c r="AJ9" s="1">
        <v>-7857.5</v>
      </c>
      <c r="AK9" s="1">
        <v>90</v>
      </c>
      <c r="AL9" s="1">
        <v>73826.5</v>
      </c>
      <c r="AM9" s="1">
        <v>90</v>
      </c>
      <c r="AN9" s="1">
        <v>73916.5</v>
      </c>
      <c r="AO9" s="3" t="s">
        <v>134</v>
      </c>
      <c r="AP9" s="3" t="s">
        <v>134</v>
      </c>
      <c r="AQ9" s="3" t="s">
        <v>134</v>
      </c>
      <c r="AR9" s="3" t="s">
        <v>134</v>
      </c>
      <c r="AS9" s="1">
        <v>44349</v>
      </c>
      <c r="AT9" s="1">
        <v>0</v>
      </c>
      <c r="AU9" s="1">
        <v>44349</v>
      </c>
    </row>
    <row r="10" spans="1:47" x14ac:dyDescent="0.3">
      <c r="AU10" s="5">
        <f>SUM(AU2:AU9)</f>
        <v>1236874</v>
      </c>
    </row>
    <row r="12" spans="1:47" s="3" customFormat="1" x14ac:dyDescent="0.3">
      <c r="A12" s="6" t="s">
        <v>125</v>
      </c>
      <c r="B12" s="7"/>
      <c r="C12" s="7"/>
      <c r="D12" s="8"/>
    </row>
    <row r="13" spans="1:47" s="3" customFormat="1" x14ac:dyDescent="0.3">
      <c r="A13" s="9" t="s">
        <v>103</v>
      </c>
      <c r="B13" s="9" t="s">
        <v>126</v>
      </c>
      <c r="C13" s="9" t="s">
        <v>127</v>
      </c>
      <c r="D13" s="9" t="s">
        <v>119</v>
      </c>
    </row>
    <row r="14" spans="1:47" s="3" customFormat="1" x14ac:dyDescent="0.3">
      <c r="A14" s="10">
        <v>202204</v>
      </c>
      <c r="B14" s="11">
        <v>60000000</v>
      </c>
      <c r="C14" s="29">
        <v>9290139</v>
      </c>
      <c r="D14" s="13">
        <f>B14-C14</f>
        <v>50709861</v>
      </c>
    </row>
    <row r="15" spans="1:47" s="3" customFormat="1" x14ac:dyDescent="0.3">
      <c r="A15" s="10">
        <v>202205</v>
      </c>
      <c r="B15" s="11"/>
      <c r="C15" s="30">
        <v>1592754</v>
      </c>
      <c r="D15" s="13">
        <f>D14-C15</f>
        <v>49117107</v>
      </c>
    </row>
    <row r="16" spans="1:47" s="3" customFormat="1" x14ac:dyDescent="0.3">
      <c r="A16" s="10">
        <v>202206</v>
      </c>
      <c r="B16" s="11"/>
      <c r="C16" s="26">
        <v>781248</v>
      </c>
      <c r="D16" s="13">
        <f>D15-C16</f>
        <v>48335859</v>
      </c>
    </row>
    <row r="17" spans="1:4" s="3" customFormat="1" x14ac:dyDescent="0.3">
      <c r="A17" s="10">
        <v>202207</v>
      </c>
      <c r="B17" s="11"/>
      <c r="C17" s="26">
        <v>689108</v>
      </c>
      <c r="D17" s="13">
        <f>D16-C17</f>
        <v>47646751</v>
      </c>
    </row>
    <row r="18" spans="1:4" s="3" customFormat="1" x14ac:dyDescent="0.3">
      <c r="A18" s="10">
        <v>202208</v>
      </c>
      <c r="B18" s="11"/>
      <c r="C18" s="11">
        <v>1152081</v>
      </c>
      <c r="D18" s="13">
        <f>D17-C18</f>
        <v>46494670</v>
      </c>
    </row>
    <row r="19" spans="1:4" s="3" customFormat="1" x14ac:dyDescent="0.3">
      <c r="A19" s="10">
        <v>202209</v>
      </c>
      <c r="B19" s="11"/>
      <c r="C19" s="11">
        <f>AU10</f>
        <v>1236874</v>
      </c>
      <c r="D19" s="13">
        <f>D18-C19</f>
        <v>45257796</v>
      </c>
    </row>
    <row r="20" spans="1:4" s="3" customFormat="1" x14ac:dyDescent="0.3">
      <c r="A20" s="10"/>
      <c r="B20" s="11"/>
      <c r="C20" s="11"/>
      <c r="D20" s="13"/>
    </row>
    <row r="21" spans="1:4" s="3" customFormat="1" x14ac:dyDescent="0.3">
      <c r="A21" s="10"/>
      <c r="B21" s="11"/>
      <c r="C21" s="13"/>
      <c r="D21" s="13"/>
    </row>
    <row r="22" spans="1:4" s="3" customFormat="1" x14ac:dyDescent="0.3">
      <c r="A22" s="10"/>
      <c r="B22" s="11"/>
      <c r="C22" s="13"/>
      <c r="D22" s="13"/>
    </row>
    <row r="23" spans="1:4" s="3" customFormat="1" x14ac:dyDescent="0.3">
      <c r="A23" s="10"/>
      <c r="B23" s="11"/>
      <c r="C23" s="13"/>
      <c r="D23" s="13"/>
    </row>
    <row r="24" spans="1:4" s="3" customFormat="1" x14ac:dyDescent="0.3">
      <c r="A24" s="10"/>
      <c r="B24" s="16"/>
      <c r="C24" s="13"/>
      <c r="D24" s="13"/>
    </row>
    <row r="25" spans="1:4" s="3" customFormat="1" x14ac:dyDescent="0.3">
      <c r="A25" s="20" t="s">
        <v>111</v>
      </c>
      <c r="B25" s="21">
        <f>SUM(B14:B24)</f>
        <v>60000000</v>
      </c>
      <c r="C25" s="21">
        <f>SUM(C14:C24)</f>
        <v>14742204</v>
      </c>
      <c r="D25" s="2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U19"/>
  <sheetViews>
    <sheetView workbookViewId="0">
      <selection activeCell="C20" sqref="C20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47.5" bestFit="1" customWidth="1"/>
    <col min="9" max="9" width="7.5" bestFit="1" customWidth="1"/>
    <col min="10" max="10" width="10.375" bestFit="1" customWidth="1"/>
    <col min="11" max="11" width="9.375" bestFit="1" customWidth="1"/>
    <col min="12" max="12" width="25.7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9.12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9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84</v>
      </c>
      <c r="H2" s="3" t="s">
        <v>85</v>
      </c>
      <c r="I2" s="3" t="s">
        <v>51</v>
      </c>
      <c r="J2" s="3" t="s">
        <v>63</v>
      </c>
      <c r="K2" s="3" t="s">
        <v>86</v>
      </c>
      <c r="L2" s="3" t="s">
        <v>57</v>
      </c>
      <c r="M2" s="3" t="s">
        <v>87</v>
      </c>
      <c r="N2" s="3" t="s">
        <v>52</v>
      </c>
      <c r="O2" s="3" t="s">
        <v>52</v>
      </c>
      <c r="P2" s="3" t="s">
        <v>52</v>
      </c>
      <c r="Q2" s="3" t="s">
        <v>88</v>
      </c>
      <c r="R2" s="3" t="s">
        <v>53</v>
      </c>
      <c r="S2" s="3" t="s">
        <v>54</v>
      </c>
      <c r="T2" s="1">
        <v>17700</v>
      </c>
      <c r="U2" s="1">
        <v>26700</v>
      </c>
      <c r="V2" s="1">
        <v>400</v>
      </c>
      <c r="W2" s="1">
        <v>4000</v>
      </c>
      <c r="X2" s="1">
        <v>44800</v>
      </c>
      <c r="Y2" s="1">
        <v>4000</v>
      </c>
      <c r="Z2" s="1">
        <v>48800</v>
      </c>
      <c r="AA2" s="1">
        <v>21240</v>
      </c>
      <c r="AB2" s="1">
        <v>26700</v>
      </c>
      <c r="AC2" s="1">
        <v>480</v>
      </c>
      <c r="AD2" s="1">
        <v>4000</v>
      </c>
      <c r="AE2" s="1">
        <v>48420</v>
      </c>
      <c r="AF2" s="1">
        <v>4000</v>
      </c>
      <c r="AG2" s="1">
        <v>52420</v>
      </c>
      <c r="AH2" s="1">
        <v>19116</v>
      </c>
      <c r="AI2" s="1">
        <v>25899</v>
      </c>
      <c r="AJ2" s="1">
        <v>336</v>
      </c>
      <c r="AK2" s="1">
        <v>3600</v>
      </c>
      <c r="AL2" s="1">
        <v>45351</v>
      </c>
      <c r="AM2" s="1">
        <v>3600</v>
      </c>
      <c r="AN2" s="1">
        <v>48951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29371</v>
      </c>
      <c r="AT2" s="1">
        <v>0</v>
      </c>
      <c r="AU2" s="1">
        <v>29371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84</v>
      </c>
      <c r="H3" s="3" t="s">
        <v>85</v>
      </c>
      <c r="I3" s="3" t="s">
        <v>51</v>
      </c>
      <c r="J3" s="3" t="s">
        <v>63</v>
      </c>
      <c r="K3" s="3" t="s">
        <v>86</v>
      </c>
      <c r="L3" s="3" t="s">
        <v>57</v>
      </c>
      <c r="M3" s="3" t="s">
        <v>87</v>
      </c>
      <c r="N3" s="3" t="s">
        <v>52</v>
      </c>
      <c r="O3" s="3" t="s">
        <v>52</v>
      </c>
      <c r="P3" s="3" t="s">
        <v>52</v>
      </c>
      <c r="Q3" s="3" t="s">
        <v>88</v>
      </c>
      <c r="R3" s="3" t="s">
        <v>53</v>
      </c>
      <c r="S3" s="3" t="s">
        <v>55</v>
      </c>
      <c r="T3" s="1">
        <v>21600</v>
      </c>
      <c r="U3" s="1">
        <v>24400</v>
      </c>
      <c r="V3" s="1">
        <v>0</v>
      </c>
      <c r="W3" s="1">
        <v>2400</v>
      </c>
      <c r="X3" s="1">
        <v>46000</v>
      </c>
      <c r="Y3" s="1">
        <v>2400</v>
      </c>
      <c r="Z3" s="1">
        <v>48400</v>
      </c>
      <c r="AA3" s="1">
        <v>25920</v>
      </c>
      <c r="AB3" s="1">
        <v>24400</v>
      </c>
      <c r="AC3" s="1">
        <v>0</v>
      </c>
      <c r="AD3" s="1">
        <v>2400</v>
      </c>
      <c r="AE3" s="1">
        <v>50320</v>
      </c>
      <c r="AF3" s="1">
        <v>2400</v>
      </c>
      <c r="AG3" s="1">
        <v>52720</v>
      </c>
      <c r="AH3" s="1">
        <v>23328</v>
      </c>
      <c r="AI3" s="1">
        <v>23668</v>
      </c>
      <c r="AJ3" s="1">
        <v>0</v>
      </c>
      <c r="AK3" s="1">
        <v>2160</v>
      </c>
      <c r="AL3" s="1">
        <v>46996</v>
      </c>
      <c r="AM3" s="1">
        <v>2160</v>
      </c>
      <c r="AN3" s="1">
        <v>49156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29494</v>
      </c>
      <c r="AT3" s="1">
        <v>0</v>
      </c>
      <c r="AU3" s="1">
        <v>29494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84</v>
      </c>
      <c r="H4" s="3" t="s">
        <v>85</v>
      </c>
      <c r="I4" s="3" t="s">
        <v>51</v>
      </c>
      <c r="J4" s="3" t="s">
        <v>63</v>
      </c>
      <c r="K4" s="3" t="s">
        <v>86</v>
      </c>
      <c r="L4" s="3" t="s">
        <v>57</v>
      </c>
      <c r="M4" s="3" t="s">
        <v>87</v>
      </c>
      <c r="N4" s="3" t="s">
        <v>52</v>
      </c>
      <c r="O4" s="3" t="s">
        <v>52</v>
      </c>
      <c r="P4" s="3" t="s">
        <v>52</v>
      </c>
      <c r="Q4" s="3" t="s">
        <v>88</v>
      </c>
      <c r="R4" s="3" t="s">
        <v>53</v>
      </c>
      <c r="S4" s="3" t="s">
        <v>55</v>
      </c>
      <c r="T4" s="1">
        <v>21600</v>
      </c>
      <c r="U4" s="1">
        <v>600</v>
      </c>
      <c r="V4" s="1">
        <v>0</v>
      </c>
      <c r="W4" s="1">
        <v>1000</v>
      </c>
      <c r="X4" s="1">
        <v>22200</v>
      </c>
      <c r="Y4" s="1">
        <v>1000</v>
      </c>
      <c r="Z4" s="1">
        <v>23200</v>
      </c>
      <c r="AA4" s="1">
        <v>25920</v>
      </c>
      <c r="AB4" s="1">
        <v>600</v>
      </c>
      <c r="AC4" s="1">
        <v>0</v>
      </c>
      <c r="AD4" s="1">
        <v>1000</v>
      </c>
      <c r="AE4" s="1">
        <v>26520</v>
      </c>
      <c r="AF4" s="1">
        <v>1000</v>
      </c>
      <c r="AG4" s="1">
        <v>27520</v>
      </c>
      <c r="AH4" s="1">
        <v>23328</v>
      </c>
      <c r="AI4" s="1">
        <v>582</v>
      </c>
      <c r="AJ4" s="1">
        <v>0</v>
      </c>
      <c r="AK4" s="1">
        <v>900</v>
      </c>
      <c r="AL4" s="1">
        <v>23910</v>
      </c>
      <c r="AM4" s="1">
        <v>900</v>
      </c>
      <c r="AN4" s="1">
        <v>24810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14886</v>
      </c>
      <c r="AT4" s="1">
        <v>0</v>
      </c>
      <c r="AU4" s="1">
        <v>14886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84</v>
      </c>
      <c r="H5" s="3" t="s">
        <v>85</v>
      </c>
      <c r="I5" s="3" t="s">
        <v>51</v>
      </c>
      <c r="J5" s="3" t="s">
        <v>63</v>
      </c>
      <c r="K5" s="3" t="s">
        <v>86</v>
      </c>
      <c r="L5" s="3" t="s">
        <v>57</v>
      </c>
      <c r="M5" s="3" t="s">
        <v>87</v>
      </c>
      <c r="N5" s="3" t="s">
        <v>52</v>
      </c>
      <c r="O5" s="3" t="s">
        <v>52</v>
      </c>
      <c r="P5" s="3" t="s">
        <v>52</v>
      </c>
      <c r="Q5" s="3" t="s">
        <v>88</v>
      </c>
      <c r="R5" s="3" t="s">
        <v>53</v>
      </c>
      <c r="S5" s="3" t="s">
        <v>55</v>
      </c>
      <c r="T5" s="1">
        <v>0</v>
      </c>
      <c r="U5" s="1">
        <v>800</v>
      </c>
      <c r="V5" s="1">
        <v>0</v>
      </c>
      <c r="W5" s="1">
        <v>10000</v>
      </c>
      <c r="X5" s="1">
        <v>800</v>
      </c>
      <c r="Y5" s="1">
        <v>10000</v>
      </c>
      <c r="Z5" s="1">
        <v>10800</v>
      </c>
      <c r="AA5" s="1">
        <v>0</v>
      </c>
      <c r="AB5" s="1">
        <v>800</v>
      </c>
      <c r="AC5" s="1">
        <v>0</v>
      </c>
      <c r="AD5" s="1">
        <v>10000</v>
      </c>
      <c r="AE5" s="1">
        <v>800</v>
      </c>
      <c r="AF5" s="1">
        <v>10000</v>
      </c>
      <c r="AG5" s="1">
        <v>10800</v>
      </c>
      <c r="AH5" s="1">
        <v>0</v>
      </c>
      <c r="AI5" s="1">
        <v>776</v>
      </c>
      <c r="AJ5" s="1">
        <v>0</v>
      </c>
      <c r="AK5" s="1">
        <v>9000</v>
      </c>
      <c r="AL5" s="1">
        <v>776</v>
      </c>
      <c r="AM5" s="1">
        <v>9000</v>
      </c>
      <c r="AN5" s="1">
        <v>9776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5866</v>
      </c>
      <c r="AT5" s="1">
        <v>0</v>
      </c>
      <c r="AU5" s="1">
        <v>5866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84</v>
      </c>
      <c r="H6" s="3" t="s">
        <v>85</v>
      </c>
      <c r="I6" s="3" t="s">
        <v>51</v>
      </c>
      <c r="J6" s="3" t="s">
        <v>63</v>
      </c>
      <c r="K6" s="3" t="s">
        <v>86</v>
      </c>
      <c r="L6" s="3" t="s">
        <v>57</v>
      </c>
      <c r="M6" s="3" t="s">
        <v>87</v>
      </c>
      <c r="N6" s="3" t="s">
        <v>52</v>
      </c>
      <c r="O6" s="3" t="s">
        <v>52</v>
      </c>
      <c r="P6" s="3" t="s">
        <v>52</v>
      </c>
      <c r="Q6" s="3" t="s">
        <v>88</v>
      </c>
      <c r="R6" s="3" t="s">
        <v>53</v>
      </c>
      <c r="S6" s="3" t="s">
        <v>58</v>
      </c>
      <c r="T6" s="1">
        <v>799700</v>
      </c>
      <c r="U6" s="1">
        <v>523410</v>
      </c>
      <c r="V6" s="1">
        <v>81800</v>
      </c>
      <c r="W6" s="1">
        <v>205290</v>
      </c>
      <c r="X6" s="1">
        <v>1404910</v>
      </c>
      <c r="Y6" s="1">
        <v>205290</v>
      </c>
      <c r="Z6" s="1">
        <v>1610200</v>
      </c>
      <c r="AA6" s="1">
        <v>959640</v>
      </c>
      <c r="AB6" s="1">
        <v>523410</v>
      </c>
      <c r="AC6" s="1">
        <v>98160</v>
      </c>
      <c r="AD6" s="1">
        <v>205290</v>
      </c>
      <c r="AE6" s="1">
        <v>1581210</v>
      </c>
      <c r="AF6" s="1">
        <v>205290</v>
      </c>
      <c r="AG6" s="1">
        <v>1786500</v>
      </c>
      <c r="AH6" s="1">
        <v>863676</v>
      </c>
      <c r="AI6" s="1">
        <v>507707.7</v>
      </c>
      <c r="AJ6" s="1">
        <v>68712</v>
      </c>
      <c r="AK6" s="1">
        <v>184761</v>
      </c>
      <c r="AL6" s="1">
        <v>1440095.7</v>
      </c>
      <c r="AM6" s="1">
        <v>184761</v>
      </c>
      <c r="AN6" s="1">
        <v>1624856.7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974915</v>
      </c>
      <c r="AT6" s="1">
        <v>0</v>
      </c>
      <c r="AU6" s="1">
        <v>974915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84</v>
      </c>
      <c r="H7" s="3" t="s">
        <v>85</v>
      </c>
      <c r="I7" s="3" t="s">
        <v>51</v>
      </c>
      <c r="J7" s="3" t="s">
        <v>63</v>
      </c>
      <c r="K7" s="3" t="s">
        <v>86</v>
      </c>
      <c r="L7" s="3" t="s">
        <v>57</v>
      </c>
      <c r="M7" s="3" t="s">
        <v>87</v>
      </c>
      <c r="N7" s="3" t="s">
        <v>52</v>
      </c>
      <c r="O7" s="3" t="s">
        <v>52</v>
      </c>
      <c r="P7" s="3" t="s">
        <v>52</v>
      </c>
      <c r="Q7" s="3" t="s">
        <v>88</v>
      </c>
      <c r="R7" s="3" t="s">
        <v>53</v>
      </c>
      <c r="S7" s="3" t="s">
        <v>59</v>
      </c>
      <c r="T7" s="1">
        <v>358940</v>
      </c>
      <c r="U7" s="1">
        <v>354820</v>
      </c>
      <c r="V7" s="1">
        <v>17600</v>
      </c>
      <c r="W7" s="1">
        <v>60440</v>
      </c>
      <c r="X7" s="1">
        <v>731360</v>
      </c>
      <c r="Y7" s="1">
        <v>60440</v>
      </c>
      <c r="Z7" s="1">
        <v>791800</v>
      </c>
      <c r="AA7" s="1">
        <v>430728</v>
      </c>
      <c r="AB7" s="1">
        <v>354820</v>
      </c>
      <c r="AC7" s="1">
        <v>21260</v>
      </c>
      <c r="AD7" s="1">
        <v>60440</v>
      </c>
      <c r="AE7" s="1">
        <v>806808</v>
      </c>
      <c r="AF7" s="1">
        <v>60440</v>
      </c>
      <c r="AG7" s="1">
        <v>867248</v>
      </c>
      <c r="AH7" s="1">
        <v>387655.2</v>
      </c>
      <c r="AI7" s="1">
        <v>344175.4</v>
      </c>
      <c r="AJ7" s="1">
        <v>14882</v>
      </c>
      <c r="AK7" s="1">
        <v>54396</v>
      </c>
      <c r="AL7" s="1">
        <v>746712.6</v>
      </c>
      <c r="AM7" s="1">
        <v>54396</v>
      </c>
      <c r="AN7" s="1">
        <v>801108.6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480665</v>
      </c>
      <c r="AT7" s="1">
        <v>0</v>
      </c>
      <c r="AU7" s="1">
        <v>480665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84</v>
      </c>
      <c r="H8" s="3" t="s">
        <v>85</v>
      </c>
      <c r="I8" s="3" t="s">
        <v>51</v>
      </c>
      <c r="J8" s="3" t="s">
        <v>63</v>
      </c>
      <c r="K8" s="3" t="s">
        <v>86</v>
      </c>
      <c r="L8" s="3" t="s">
        <v>57</v>
      </c>
      <c r="M8" s="3" t="s">
        <v>87</v>
      </c>
      <c r="N8" s="3" t="s">
        <v>52</v>
      </c>
      <c r="O8" s="3" t="s">
        <v>52</v>
      </c>
      <c r="P8" s="3" t="s">
        <v>52</v>
      </c>
      <c r="Q8" s="3" t="s">
        <v>88</v>
      </c>
      <c r="R8" s="3" t="s">
        <v>53</v>
      </c>
      <c r="S8" s="3" t="s">
        <v>59</v>
      </c>
      <c r="T8" s="1">
        <v>122200</v>
      </c>
      <c r="U8" s="1">
        <v>98900</v>
      </c>
      <c r="V8" s="1">
        <v>18000</v>
      </c>
      <c r="W8" s="1">
        <v>1300</v>
      </c>
      <c r="X8" s="1">
        <v>239100</v>
      </c>
      <c r="Y8" s="1">
        <v>1300</v>
      </c>
      <c r="Z8" s="1">
        <v>240400</v>
      </c>
      <c r="AA8" s="1">
        <v>146640</v>
      </c>
      <c r="AB8" s="1">
        <v>98900</v>
      </c>
      <c r="AC8" s="1">
        <v>21600</v>
      </c>
      <c r="AD8" s="1">
        <v>1300</v>
      </c>
      <c r="AE8" s="1">
        <v>267140</v>
      </c>
      <c r="AF8" s="1">
        <v>1300</v>
      </c>
      <c r="AG8" s="1">
        <v>268440</v>
      </c>
      <c r="AH8" s="1">
        <v>131976</v>
      </c>
      <c r="AI8" s="1">
        <v>95933</v>
      </c>
      <c r="AJ8" s="1">
        <v>15120</v>
      </c>
      <c r="AK8" s="1">
        <v>1170</v>
      </c>
      <c r="AL8" s="1">
        <v>243029</v>
      </c>
      <c r="AM8" s="1">
        <v>1170</v>
      </c>
      <c r="AN8" s="1">
        <v>244199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146520</v>
      </c>
      <c r="AT8" s="1">
        <v>0</v>
      </c>
      <c r="AU8" s="1">
        <v>146520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84</v>
      </c>
      <c r="H9" s="3" t="s">
        <v>85</v>
      </c>
      <c r="I9" s="3" t="s">
        <v>51</v>
      </c>
      <c r="J9" s="3" t="s">
        <v>63</v>
      </c>
      <c r="K9" s="3" t="s">
        <v>86</v>
      </c>
      <c r="L9" s="3" t="s">
        <v>57</v>
      </c>
      <c r="M9" s="3" t="s">
        <v>87</v>
      </c>
      <c r="N9" s="3" t="s">
        <v>52</v>
      </c>
      <c r="O9" s="3" t="s">
        <v>52</v>
      </c>
      <c r="P9" s="3" t="s">
        <v>52</v>
      </c>
      <c r="Q9" s="3" t="s">
        <v>88</v>
      </c>
      <c r="R9" s="3" t="s">
        <v>53</v>
      </c>
      <c r="S9" s="3" t="s">
        <v>59</v>
      </c>
      <c r="T9" s="1">
        <v>16200</v>
      </c>
      <c r="U9" s="1">
        <v>91800</v>
      </c>
      <c r="V9" s="1">
        <v>0</v>
      </c>
      <c r="W9" s="1">
        <v>1200</v>
      </c>
      <c r="X9" s="1">
        <v>108000</v>
      </c>
      <c r="Y9" s="1">
        <v>1200</v>
      </c>
      <c r="Z9" s="1">
        <v>109200</v>
      </c>
      <c r="AA9" s="1">
        <v>19440</v>
      </c>
      <c r="AB9" s="1">
        <v>91800</v>
      </c>
      <c r="AC9" s="1">
        <v>0</v>
      </c>
      <c r="AD9" s="1">
        <v>1200</v>
      </c>
      <c r="AE9" s="1">
        <v>111240</v>
      </c>
      <c r="AF9" s="1">
        <v>1200</v>
      </c>
      <c r="AG9" s="1">
        <v>112440</v>
      </c>
      <c r="AH9" s="1">
        <v>17496</v>
      </c>
      <c r="AI9" s="1">
        <v>89046</v>
      </c>
      <c r="AJ9" s="1">
        <v>0</v>
      </c>
      <c r="AK9" s="1">
        <v>1080</v>
      </c>
      <c r="AL9" s="1">
        <v>106542</v>
      </c>
      <c r="AM9" s="1">
        <v>1080</v>
      </c>
      <c r="AN9" s="1">
        <v>107622</v>
      </c>
      <c r="AO9" s="3" t="s">
        <v>134</v>
      </c>
      <c r="AP9" s="3" t="s">
        <v>134</v>
      </c>
      <c r="AQ9" s="3" t="s">
        <v>134</v>
      </c>
      <c r="AR9" s="3" t="s">
        <v>134</v>
      </c>
      <c r="AS9" s="1">
        <v>64574</v>
      </c>
      <c r="AT9" s="1">
        <v>0</v>
      </c>
      <c r="AU9" s="1">
        <v>64574</v>
      </c>
    </row>
    <row r="10" spans="1:47" x14ac:dyDescent="0.3">
      <c r="AU10" s="5">
        <f>SUM(AU2:AU9)</f>
        <v>1746291</v>
      </c>
    </row>
    <row r="13" spans="1:47" s="3" customFormat="1" x14ac:dyDescent="0.3">
      <c r="A13" s="6" t="s">
        <v>128</v>
      </c>
      <c r="B13" s="7"/>
      <c r="C13" s="7"/>
      <c r="D13" s="8"/>
    </row>
    <row r="14" spans="1:47" s="3" customFormat="1" x14ac:dyDescent="0.3">
      <c r="A14" s="9" t="s">
        <v>129</v>
      </c>
      <c r="B14" s="9" t="s">
        <v>126</v>
      </c>
      <c r="C14" s="9" t="s">
        <v>127</v>
      </c>
      <c r="D14" s="9" t="s">
        <v>130</v>
      </c>
    </row>
    <row r="15" spans="1:47" s="3" customFormat="1" x14ac:dyDescent="0.3">
      <c r="A15" s="10">
        <v>202206</v>
      </c>
      <c r="B15" s="11">
        <v>40000000</v>
      </c>
      <c r="C15" s="26">
        <v>7053658</v>
      </c>
      <c r="D15" s="11">
        <f>B15-C15</f>
        <v>32946342</v>
      </c>
    </row>
    <row r="16" spans="1:47" s="3" customFormat="1" x14ac:dyDescent="0.3">
      <c r="A16" s="10">
        <v>202207</v>
      </c>
      <c r="B16" s="16"/>
      <c r="C16" s="31">
        <v>5166886</v>
      </c>
      <c r="D16" s="11">
        <f>D15-C16</f>
        <v>27779456</v>
      </c>
    </row>
    <row r="17" spans="1:4" s="3" customFormat="1" x14ac:dyDescent="0.3">
      <c r="A17" s="10">
        <v>202208</v>
      </c>
      <c r="B17" s="16"/>
      <c r="C17" s="11">
        <v>2564578</v>
      </c>
      <c r="D17" s="11">
        <f>D16-C17</f>
        <v>25214878</v>
      </c>
    </row>
    <row r="18" spans="1:4" s="3" customFormat="1" x14ac:dyDescent="0.3">
      <c r="A18" s="10">
        <v>202209</v>
      </c>
      <c r="B18" s="16"/>
      <c r="C18" s="11">
        <f>AU10</f>
        <v>1746291</v>
      </c>
      <c r="D18" s="11">
        <f>D17-C18</f>
        <v>23468587</v>
      </c>
    </row>
    <row r="19" spans="1:4" s="3" customFormat="1" x14ac:dyDescent="0.3">
      <c r="A19" s="20" t="s">
        <v>131</v>
      </c>
      <c r="B19" s="21">
        <f>SUM(B15:B17)</f>
        <v>40000000</v>
      </c>
      <c r="C19" s="21">
        <f>SUM(C15:C18)</f>
        <v>16531413</v>
      </c>
      <c r="D19" s="1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5"/>
  <sheetViews>
    <sheetView topLeftCell="W1" workbookViewId="0">
      <selection activeCell="AU10" sqref="AU10"/>
    </sheetView>
  </sheetViews>
  <sheetFormatPr defaultRowHeight="16.5" x14ac:dyDescent="0.3"/>
  <cols>
    <col min="2" max="2" width="20" bestFit="1" customWidth="1"/>
    <col min="3" max="3" width="16.75" bestFit="1" customWidth="1"/>
    <col min="4" max="4" width="11.875" bestFit="1" customWidth="1"/>
    <col min="47" max="47" width="10.25" bestFit="1" customWidth="1"/>
  </cols>
  <sheetData>
    <row r="1" spans="1:4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135</v>
      </c>
      <c r="H2" s="3" t="s">
        <v>136</v>
      </c>
      <c r="I2" s="3" t="s">
        <v>51</v>
      </c>
      <c r="J2" s="3" t="s">
        <v>63</v>
      </c>
      <c r="K2" s="3" t="s">
        <v>137</v>
      </c>
      <c r="L2" s="3" t="s">
        <v>138</v>
      </c>
      <c r="M2" s="3" t="s">
        <v>139</v>
      </c>
      <c r="N2" s="3" t="s">
        <v>52</v>
      </c>
      <c r="O2" s="3" t="s">
        <v>52</v>
      </c>
      <c r="P2" s="3" t="s">
        <v>52</v>
      </c>
      <c r="Q2" s="3" t="s">
        <v>140</v>
      </c>
      <c r="R2" s="3" t="s">
        <v>53</v>
      </c>
      <c r="S2" s="3" t="s">
        <v>54</v>
      </c>
      <c r="T2" s="1">
        <v>125900</v>
      </c>
      <c r="U2" s="1">
        <v>122000</v>
      </c>
      <c r="V2" s="1">
        <v>19200</v>
      </c>
      <c r="W2" s="1">
        <v>34100</v>
      </c>
      <c r="X2" s="1">
        <v>267100</v>
      </c>
      <c r="Y2" s="1">
        <v>34100</v>
      </c>
      <c r="Z2" s="1">
        <v>301200</v>
      </c>
      <c r="AA2" s="1">
        <v>151080</v>
      </c>
      <c r="AB2" s="1">
        <v>122000</v>
      </c>
      <c r="AC2" s="1">
        <v>23040</v>
      </c>
      <c r="AD2" s="1">
        <v>34100</v>
      </c>
      <c r="AE2" s="1">
        <v>296120</v>
      </c>
      <c r="AF2" s="1">
        <v>34100</v>
      </c>
      <c r="AG2" s="1">
        <v>330220</v>
      </c>
      <c r="AH2" s="1">
        <v>135972</v>
      </c>
      <c r="AI2" s="1">
        <v>118340</v>
      </c>
      <c r="AJ2" s="1">
        <v>16128</v>
      </c>
      <c r="AK2" s="1">
        <v>30690</v>
      </c>
      <c r="AL2" s="1">
        <v>270440</v>
      </c>
      <c r="AM2" s="1">
        <v>30690</v>
      </c>
      <c r="AN2" s="1">
        <v>301130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180678</v>
      </c>
      <c r="AT2" s="1">
        <v>0</v>
      </c>
      <c r="AU2" s="1">
        <v>180678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135</v>
      </c>
      <c r="H3" s="3" t="s">
        <v>136</v>
      </c>
      <c r="I3" s="3" t="s">
        <v>51</v>
      </c>
      <c r="J3" s="3" t="s">
        <v>63</v>
      </c>
      <c r="K3" s="3" t="s">
        <v>137</v>
      </c>
      <c r="L3" s="3" t="s">
        <v>138</v>
      </c>
      <c r="M3" s="3" t="s">
        <v>139</v>
      </c>
      <c r="N3" s="3" t="s">
        <v>52</v>
      </c>
      <c r="O3" s="3" t="s">
        <v>52</v>
      </c>
      <c r="P3" s="3" t="s">
        <v>52</v>
      </c>
      <c r="Q3" s="3" t="s">
        <v>140</v>
      </c>
      <c r="R3" s="3" t="s">
        <v>53</v>
      </c>
      <c r="S3" s="3" t="s">
        <v>55</v>
      </c>
      <c r="T3" s="1">
        <v>189980</v>
      </c>
      <c r="U3" s="1">
        <v>358970</v>
      </c>
      <c r="V3" s="1">
        <v>36000</v>
      </c>
      <c r="W3" s="1">
        <v>33450</v>
      </c>
      <c r="X3" s="1">
        <v>584950</v>
      </c>
      <c r="Y3" s="1">
        <v>33450</v>
      </c>
      <c r="Z3" s="1">
        <v>618400</v>
      </c>
      <c r="AA3" s="1">
        <v>227976</v>
      </c>
      <c r="AB3" s="1">
        <v>358970</v>
      </c>
      <c r="AC3" s="1">
        <v>43200</v>
      </c>
      <c r="AD3" s="1">
        <v>33450</v>
      </c>
      <c r="AE3" s="1">
        <v>630146</v>
      </c>
      <c r="AF3" s="1">
        <v>33450</v>
      </c>
      <c r="AG3" s="1">
        <v>663596</v>
      </c>
      <c r="AH3" s="1">
        <v>205178.4</v>
      </c>
      <c r="AI3" s="1">
        <v>348200.9</v>
      </c>
      <c r="AJ3" s="1">
        <v>30240</v>
      </c>
      <c r="AK3" s="1">
        <v>30105</v>
      </c>
      <c r="AL3" s="1">
        <v>583619.30000000005</v>
      </c>
      <c r="AM3" s="1">
        <v>30105</v>
      </c>
      <c r="AN3" s="1">
        <v>613724.30000000005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368235</v>
      </c>
      <c r="AT3" s="1">
        <v>0</v>
      </c>
      <c r="AU3" s="1">
        <v>368235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135</v>
      </c>
      <c r="H4" s="3" t="s">
        <v>136</v>
      </c>
      <c r="I4" s="3" t="s">
        <v>51</v>
      </c>
      <c r="J4" s="3" t="s">
        <v>63</v>
      </c>
      <c r="K4" s="3" t="s">
        <v>137</v>
      </c>
      <c r="L4" s="3" t="s">
        <v>138</v>
      </c>
      <c r="M4" s="3" t="s">
        <v>139</v>
      </c>
      <c r="N4" s="3" t="s">
        <v>52</v>
      </c>
      <c r="O4" s="3" t="s">
        <v>52</v>
      </c>
      <c r="P4" s="3" t="s">
        <v>52</v>
      </c>
      <c r="Q4" s="3" t="s">
        <v>140</v>
      </c>
      <c r="R4" s="3" t="s">
        <v>53</v>
      </c>
      <c r="S4" s="3" t="s">
        <v>55</v>
      </c>
      <c r="T4" s="1">
        <v>74600</v>
      </c>
      <c r="U4" s="1">
        <v>213500</v>
      </c>
      <c r="V4" s="1">
        <v>14400</v>
      </c>
      <c r="W4" s="1">
        <v>8700</v>
      </c>
      <c r="X4" s="1">
        <v>302500</v>
      </c>
      <c r="Y4" s="1">
        <v>8700</v>
      </c>
      <c r="Z4" s="1">
        <v>311200</v>
      </c>
      <c r="AA4" s="1">
        <v>89520</v>
      </c>
      <c r="AB4" s="1">
        <v>213500</v>
      </c>
      <c r="AC4" s="1">
        <v>17280</v>
      </c>
      <c r="AD4" s="1">
        <v>8700</v>
      </c>
      <c r="AE4" s="1">
        <v>320300</v>
      </c>
      <c r="AF4" s="1">
        <v>8700</v>
      </c>
      <c r="AG4" s="1">
        <v>329000</v>
      </c>
      <c r="AH4" s="1">
        <v>80568</v>
      </c>
      <c r="AI4" s="1">
        <v>207095</v>
      </c>
      <c r="AJ4" s="1">
        <v>12096</v>
      </c>
      <c r="AK4" s="1">
        <v>7830</v>
      </c>
      <c r="AL4" s="1">
        <v>299759</v>
      </c>
      <c r="AM4" s="1">
        <v>7830</v>
      </c>
      <c r="AN4" s="1">
        <v>307589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184554</v>
      </c>
      <c r="AT4" s="1">
        <v>0</v>
      </c>
      <c r="AU4" s="1">
        <v>184554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135</v>
      </c>
      <c r="H5" s="3" t="s">
        <v>136</v>
      </c>
      <c r="I5" s="3" t="s">
        <v>51</v>
      </c>
      <c r="J5" s="3" t="s">
        <v>63</v>
      </c>
      <c r="K5" s="3" t="s">
        <v>137</v>
      </c>
      <c r="L5" s="3" t="s">
        <v>138</v>
      </c>
      <c r="M5" s="3" t="s">
        <v>139</v>
      </c>
      <c r="N5" s="3" t="s">
        <v>52</v>
      </c>
      <c r="O5" s="3" t="s">
        <v>52</v>
      </c>
      <c r="P5" s="3" t="s">
        <v>52</v>
      </c>
      <c r="Q5" s="3" t="s">
        <v>140</v>
      </c>
      <c r="R5" s="3" t="s">
        <v>53</v>
      </c>
      <c r="S5" s="3" t="s">
        <v>55</v>
      </c>
      <c r="T5" s="1">
        <v>100800</v>
      </c>
      <c r="U5" s="1">
        <v>110700</v>
      </c>
      <c r="V5" s="1">
        <v>0</v>
      </c>
      <c r="W5" s="1">
        <v>15300</v>
      </c>
      <c r="X5" s="1">
        <v>211500</v>
      </c>
      <c r="Y5" s="1">
        <v>15300</v>
      </c>
      <c r="Z5" s="1">
        <v>226800</v>
      </c>
      <c r="AA5" s="1">
        <v>120960</v>
      </c>
      <c r="AB5" s="1">
        <v>110700</v>
      </c>
      <c r="AC5" s="1">
        <v>0</v>
      </c>
      <c r="AD5" s="1">
        <v>15300</v>
      </c>
      <c r="AE5" s="1">
        <v>231660</v>
      </c>
      <c r="AF5" s="1">
        <v>15300</v>
      </c>
      <c r="AG5" s="1">
        <v>246960</v>
      </c>
      <c r="AH5" s="1">
        <v>108864</v>
      </c>
      <c r="AI5" s="1">
        <v>107379</v>
      </c>
      <c r="AJ5" s="1">
        <v>0</v>
      </c>
      <c r="AK5" s="1">
        <v>13770</v>
      </c>
      <c r="AL5" s="1">
        <v>216243</v>
      </c>
      <c r="AM5" s="1">
        <v>13770</v>
      </c>
      <c r="AN5" s="1">
        <v>230013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138007</v>
      </c>
      <c r="AT5" s="1">
        <v>0</v>
      </c>
      <c r="AU5" s="1">
        <v>138007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135</v>
      </c>
      <c r="H6" s="3" t="s">
        <v>136</v>
      </c>
      <c r="I6" s="3" t="s">
        <v>51</v>
      </c>
      <c r="J6" s="3" t="s">
        <v>63</v>
      </c>
      <c r="K6" s="3" t="s">
        <v>137</v>
      </c>
      <c r="L6" s="3" t="s">
        <v>138</v>
      </c>
      <c r="M6" s="3" t="s">
        <v>139</v>
      </c>
      <c r="N6" s="3" t="s">
        <v>52</v>
      </c>
      <c r="O6" s="3" t="s">
        <v>52</v>
      </c>
      <c r="P6" s="3" t="s">
        <v>52</v>
      </c>
      <c r="Q6" s="3" t="s">
        <v>140</v>
      </c>
      <c r="R6" s="3" t="s">
        <v>53</v>
      </c>
      <c r="S6" s="3" t="s">
        <v>58</v>
      </c>
      <c r="T6" s="1">
        <v>3731150</v>
      </c>
      <c r="U6" s="1">
        <v>2978410</v>
      </c>
      <c r="V6" s="1">
        <v>779990</v>
      </c>
      <c r="W6" s="1">
        <v>1453650</v>
      </c>
      <c r="X6" s="1">
        <v>7489550</v>
      </c>
      <c r="Y6" s="1">
        <v>1453650</v>
      </c>
      <c r="Z6" s="1">
        <v>8943200</v>
      </c>
      <c r="AA6" s="1">
        <v>4477380</v>
      </c>
      <c r="AB6" s="1">
        <v>2978410</v>
      </c>
      <c r="AC6" s="1">
        <v>935538</v>
      </c>
      <c r="AD6" s="1">
        <v>1453650</v>
      </c>
      <c r="AE6" s="1">
        <v>8391328</v>
      </c>
      <c r="AF6" s="1">
        <v>1453650</v>
      </c>
      <c r="AG6" s="1">
        <v>9844978</v>
      </c>
      <c r="AH6" s="1">
        <v>4029642</v>
      </c>
      <c r="AI6" s="1">
        <v>2889057.7</v>
      </c>
      <c r="AJ6" s="1">
        <v>654876.6</v>
      </c>
      <c r="AK6" s="1">
        <v>1308285</v>
      </c>
      <c r="AL6" s="1">
        <v>7573576.2999999998</v>
      </c>
      <c r="AM6" s="1">
        <v>1308285</v>
      </c>
      <c r="AN6" s="1">
        <v>8881861.3000000007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5329117</v>
      </c>
      <c r="AT6" s="1">
        <v>0</v>
      </c>
      <c r="AU6" s="1">
        <v>5329117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135</v>
      </c>
      <c r="H7" s="3" t="s">
        <v>136</v>
      </c>
      <c r="I7" s="3" t="s">
        <v>51</v>
      </c>
      <c r="J7" s="3" t="s">
        <v>63</v>
      </c>
      <c r="K7" s="3" t="s">
        <v>137</v>
      </c>
      <c r="L7" s="3" t="s">
        <v>138</v>
      </c>
      <c r="M7" s="3" t="s">
        <v>139</v>
      </c>
      <c r="N7" s="3" t="s">
        <v>52</v>
      </c>
      <c r="O7" s="3" t="s">
        <v>52</v>
      </c>
      <c r="P7" s="3" t="s">
        <v>52</v>
      </c>
      <c r="Q7" s="3" t="s">
        <v>140</v>
      </c>
      <c r="R7" s="3" t="s">
        <v>53</v>
      </c>
      <c r="S7" s="3" t="s">
        <v>59</v>
      </c>
      <c r="T7" s="1">
        <v>4721300</v>
      </c>
      <c r="U7" s="1">
        <v>5303040</v>
      </c>
      <c r="V7" s="1">
        <v>826160</v>
      </c>
      <c r="W7" s="1">
        <v>700900</v>
      </c>
      <c r="X7" s="1">
        <v>10850500</v>
      </c>
      <c r="Y7" s="1">
        <v>700900</v>
      </c>
      <c r="Z7" s="1">
        <v>11551400</v>
      </c>
      <c r="AA7" s="1">
        <v>5665560</v>
      </c>
      <c r="AB7" s="1">
        <v>5303040</v>
      </c>
      <c r="AC7" s="1">
        <v>990852</v>
      </c>
      <c r="AD7" s="1">
        <v>700900</v>
      </c>
      <c r="AE7" s="1">
        <v>11959452</v>
      </c>
      <c r="AF7" s="1">
        <v>700900</v>
      </c>
      <c r="AG7" s="1">
        <v>12660352</v>
      </c>
      <c r="AH7" s="1">
        <v>5099004</v>
      </c>
      <c r="AI7" s="1">
        <v>5143948.8</v>
      </c>
      <c r="AJ7" s="1">
        <v>693596.4</v>
      </c>
      <c r="AK7" s="1">
        <v>630810</v>
      </c>
      <c r="AL7" s="1">
        <v>10936549.199999999</v>
      </c>
      <c r="AM7" s="1">
        <v>630810</v>
      </c>
      <c r="AN7" s="1">
        <v>11567359.199999999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6940415</v>
      </c>
      <c r="AT7" s="1">
        <v>0</v>
      </c>
      <c r="AU7" s="1">
        <v>6940415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135</v>
      </c>
      <c r="H8" s="3" t="s">
        <v>136</v>
      </c>
      <c r="I8" s="3" t="s">
        <v>51</v>
      </c>
      <c r="J8" s="3" t="s">
        <v>63</v>
      </c>
      <c r="K8" s="3" t="s">
        <v>137</v>
      </c>
      <c r="L8" s="3" t="s">
        <v>138</v>
      </c>
      <c r="M8" s="3" t="s">
        <v>139</v>
      </c>
      <c r="N8" s="3" t="s">
        <v>52</v>
      </c>
      <c r="O8" s="3" t="s">
        <v>52</v>
      </c>
      <c r="P8" s="3" t="s">
        <v>52</v>
      </c>
      <c r="Q8" s="3" t="s">
        <v>140</v>
      </c>
      <c r="R8" s="3" t="s">
        <v>53</v>
      </c>
      <c r="S8" s="3" t="s">
        <v>59</v>
      </c>
      <c r="T8" s="1">
        <v>778330</v>
      </c>
      <c r="U8" s="1">
        <v>1102200</v>
      </c>
      <c r="V8" s="1">
        <v>151200</v>
      </c>
      <c r="W8" s="1">
        <v>99470</v>
      </c>
      <c r="X8" s="1">
        <v>2031730</v>
      </c>
      <c r="Y8" s="1">
        <v>99470</v>
      </c>
      <c r="Z8" s="1">
        <v>2131200</v>
      </c>
      <c r="AA8" s="1">
        <v>933996</v>
      </c>
      <c r="AB8" s="1">
        <v>1102200</v>
      </c>
      <c r="AC8" s="1">
        <v>181440</v>
      </c>
      <c r="AD8" s="1">
        <v>99470</v>
      </c>
      <c r="AE8" s="1">
        <v>2217636</v>
      </c>
      <c r="AF8" s="1">
        <v>99470</v>
      </c>
      <c r="AG8" s="1">
        <v>2317106</v>
      </c>
      <c r="AH8" s="1">
        <v>840596.4</v>
      </c>
      <c r="AI8" s="1">
        <v>1069134</v>
      </c>
      <c r="AJ8" s="1">
        <v>127008</v>
      </c>
      <c r="AK8" s="1">
        <v>89523</v>
      </c>
      <c r="AL8" s="1">
        <v>2036738.4</v>
      </c>
      <c r="AM8" s="1">
        <v>89523</v>
      </c>
      <c r="AN8" s="1">
        <v>2126261.4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1275757</v>
      </c>
      <c r="AT8" s="1">
        <v>0</v>
      </c>
      <c r="AU8" s="1">
        <v>1275757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135</v>
      </c>
      <c r="H9" s="3" t="s">
        <v>136</v>
      </c>
      <c r="I9" s="3" t="s">
        <v>51</v>
      </c>
      <c r="J9" s="3" t="s">
        <v>63</v>
      </c>
      <c r="K9" s="3" t="s">
        <v>137</v>
      </c>
      <c r="L9" s="3" t="s">
        <v>138</v>
      </c>
      <c r="M9" s="3" t="s">
        <v>139</v>
      </c>
      <c r="N9" s="3" t="s">
        <v>52</v>
      </c>
      <c r="O9" s="3" t="s">
        <v>52</v>
      </c>
      <c r="P9" s="3" t="s">
        <v>52</v>
      </c>
      <c r="Q9" s="3" t="s">
        <v>140</v>
      </c>
      <c r="R9" s="3" t="s">
        <v>53</v>
      </c>
      <c r="S9" s="3" t="s">
        <v>59</v>
      </c>
      <c r="T9" s="1">
        <v>339900</v>
      </c>
      <c r="U9" s="1">
        <v>402300</v>
      </c>
      <c r="V9" s="1">
        <v>48500</v>
      </c>
      <c r="W9" s="1">
        <v>54100</v>
      </c>
      <c r="X9" s="1">
        <v>790700</v>
      </c>
      <c r="Y9" s="1">
        <v>54100</v>
      </c>
      <c r="Z9" s="1">
        <v>844800</v>
      </c>
      <c r="AA9" s="1">
        <v>407880</v>
      </c>
      <c r="AB9" s="1">
        <v>402300</v>
      </c>
      <c r="AC9" s="1">
        <v>58200</v>
      </c>
      <c r="AD9" s="1">
        <v>54100</v>
      </c>
      <c r="AE9" s="1">
        <v>868380</v>
      </c>
      <c r="AF9" s="1">
        <v>54100</v>
      </c>
      <c r="AG9" s="1">
        <v>922480</v>
      </c>
      <c r="AH9" s="1">
        <v>367092</v>
      </c>
      <c r="AI9" s="1">
        <v>390231</v>
      </c>
      <c r="AJ9" s="1">
        <v>40740</v>
      </c>
      <c r="AK9" s="1">
        <v>48690</v>
      </c>
      <c r="AL9" s="1">
        <v>798063</v>
      </c>
      <c r="AM9" s="1">
        <v>48690</v>
      </c>
      <c r="AN9" s="1">
        <v>846753</v>
      </c>
      <c r="AO9" s="3" t="s">
        <v>134</v>
      </c>
      <c r="AP9" s="3" t="s">
        <v>134</v>
      </c>
      <c r="AQ9" s="3" t="s">
        <v>134</v>
      </c>
      <c r="AR9" s="3" t="s">
        <v>134</v>
      </c>
      <c r="AS9" s="1">
        <v>508052</v>
      </c>
      <c r="AT9" s="1">
        <v>0</v>
      </c>
      <c r="AU9" s="1">
        <v>508052</v>
      </c>
    </row>
    <row r="10" spans="1:47" x14ac:dyDescent="0.3">
      <c r="AU10" s="35">
        <f>SUM(AU2:AU9)</f>
        <v>14924815</v>
      </c>
    </row>
    <row r="12" spans="1:47" x14ac:dyDescent="0.3">
      <c r="A12" s="6" t="s">
        <v>141</v>
      </c>
      <c r="B12" s="7"/>
      <c r="C12" s="7"/>
      <c r="D12" s="8"/>
    </row>
    <row r="13" spans="1:47" x14ac:dyDescent="0.3">
      <c r="A13" s="9" t="s">
        <v>103</v>
      </c>
      <c r="B13" s="9" t="s">
        <v>104</v>
      </c>
      <c r="C13" s="9" t="s">
        <v>118</v>
      </c>
      <c r="D13" s="9" t="s">
        <v>106</v>
      </c>
    </row>
    <row r="14" spans="1:47" x14ac:dyDescent="0.3">
      <c r="A14" s="10">
        <v>202209</v>
      </c>
      <c r="B14" s="11">
        <v>60000000</v>
      </c>
      <c r="C14" s="27">
        <f>AU10</f>
        <v>14924815</v>
      </c>
      <c r="D14" s="13">
        <f>B14-C14</f>
        <v>45075185</v>
      </c>
    </row>
    <row r="15" spans="1:47" x14ac:dyDescent="0.3">
      <c r="A15" s="20" t="s">
        <v>111</v>
      </c>
      <c r="B15" s="21">
        <f>D14</f>
        <v>45075185</v>
      </c>
      <c r="C15" s="28">
        <f>SUM(C14:C14)</f>
        <v>14924815</v>
      </c>
      <c r="D15" s="16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U17"/>
  <sheetViews>
    <sheetView workbookViewId="0">
      <selection activeCell="C17" sqref="C17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4.875" bestFit="1" customWidth="1"/>
    <col min="9" max="9" width="7.5" bestFit="1" customWidth="1"/>
    <col min="10" max="10" width="10.375" bestFit="1" customWidth="1"/>
    <col min="11" max="11" width="9.375" bestFit="1" customWidth="1"/>
    <col min="12" max="12" width="13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21.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8.625" bestFit="1" customWidth="1"/>
    <col min="46" max="46" width="5" bestFit="1" customWidth="1"/>
    <col min="47" max="47" width="8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89</v>
      </c>
      <c r="H2" s="3" t="s">
        <v>90</v>
      </c>
      <c r="I2" s="3" t="s">
        <v>51</v>
      </c>
      <c r="J2" s="3" t="s">
        <v>63</v>
      </c>
      <c r="K2" s="3" t="s">
        <v>91</v>
      </c>
      <c r="L2" s="3" t="s">
        <v>92</v>
      </c>
      <c r="M2" s="3" t="s">
        <v>93</v>
      </c>
      <c r="N2" s="3" t="s">
        <v>52</v>
      </c>
      <c r="O2" s="3" t="s">
        <v>52</v>
      </c>
      <c r="P2" s="3" t="s">
        <v>52</v>
      </c>
      <c r="Q2" s="3" t="s">
        <v>94</v>
      </c>
      <c r="R2" s="3" t="s">
        <v>53</v>
      </c>
      <c r="S2" s="3" t="s">
        <v>54</v>
      </c>
      <c r="T2" s="1">
        <v>3900</v>
      </c>
      <c r="U2" s="1">
        <v>4100</v>
      </c>
      <c r="V2" s="1">
        <v>400</v>
      </c>
      <c r="W2" s="1">
        <v>16800</v>
      </c>
      <c r="X2" s="1">
        <v>8400</v>
      </c>
      <c r="Y2" s="1">
        <v>16800</v>
      </c>
      <c r="Z2" s="1">
        <v>25200</v>
      </c>
      <c r="AA2" s="1">
        <v>4680</v>
      </c>
      <c r="AB2" s="1">
        <v>4100</v>
      </c>
      <c r="AC2" s="1">
        <v>480</v>
      </c>
      <c r="AD2" s="1">
        <v>16800</v>
      </c>
      <c r="AE2" s="1">
        <v>9260</v>
      </c>
      <c r="AF2" s="1">
        <v>16800</v>
      </c>
      <c r="AG2" s="1">
        <v>26060</v>
      </c>
      <c r="AH2" s="1">
        <v>4212</v>
      </c>
      <c r="AI2" s="1">
        <v>3977</v>
      </c>
      <c r="AJ2" s="1">
        <v>336</v>
      </c>
      <c r="AK2" s="1">
        <v>15120</v>
      </c>
      <c r="AL2" s="1">
        <v>8525</v>
      </c>
      <c r="AM2" s="1">
        <v>15120</v>
      </c>
      <c r="AN2" s="1">
        <v>23645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14187</v>
      </c>
      <c r="AT2" s="1">
        <v>0</v>
      </c>
      <c r="AU2" s="1">
        <v>14187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89</v>
      </c>
      <c r="H3" s="3" t="s">
        <v>90</v>
      </c>
      <c r="I3" s="3" t="s">
        <v>51</v>
      </c>
      <c r="J3" s="3" t="s">
        <v>63</v>
      </c>
      <c r="K3" s="3" t="s">
        <v>91</v>
      </c>
      <c r="L3" s="3" t="s">
        <v>92</v>
      </c>
      <c r="M3" s="3" t="s">
        <v>93</v>
      </c>
      <c r="N3" s="3" t="s">
        <v>52</v>
      </c>
      <c r="O3" s="3" t="s">
        <v>52</v>
      </c>
      <c r="P3" s="3" t="s">
        <v>52</v>
      </c>
      <c r="Q3" s="3" t="s">
        <v>94</v>
      </c>
      <c r="R3" s="3" t="s">
        <v>53</v>
      </c>
      <c r="S3" s="3" t="s">
        <v>55</v>
      </c>
      <c r="T3" s="1">
        <v>7150</v>
      </c>
      <c r="U3" s="1">
        <v>18050</v>
      </c>
      <c r="V3" s="1">
        <v>0</v>
      </c>
      <c r="W3" s="1">
        <v>14400</v>
      </c>
      <c r="X3" s="1">
        <v>25200</v>
      </c>
      <c r="Y3" s="1">
        <v>14400</v>
      </c>
      <c r="Z3" s="1">
        <v>39600</v>
      </c>
      <c r="AA3" s="1">
        <v>8580</v>
      </c>
      <c r="AB3" s="1">
        <v>18050</v>
      </c>
      <c r="AC3" s="1">
        <v>0</v>
      </c>
      <c r="AD3" s="1">
        <v>14400</v>
      </c>
      <c r="AE3" s="1">
        <v>26630</v>
      </c>
      <c r="AF3" s="1">
        <v>14400</v>
      </c>
      <c r="AG3" s="1">
        <v>41030</v>
      </c>
      <c r="AH3" s="1">
        <v>7722</v>
      </c>
      <c r="AI3" s="1">
        <v>17508.5</v>
      </c>
      <c r="AJ3" s="1">
        <v>0</v>
      </c>
      <c r="AK3" s="1">
        <v>12960</v>
      </c>
      <c r="AL3" s="1">
        <v>25230.5</v>
      </c>
      <c r="AM3" s="1">
        <v>12960</v>
      </c>
      <c r="AN3" s="1">
        <v>38190.5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22914</v>
      </c>
      <c r="AT3" s="1">
        <v>0</v>
      </c>
      <c r="AU3" s="1">
        <v>22914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89</v>
      </c>
      <c r="H4" s="3" t="s">
        <v>90</v>
      </c>
      <c r="I4" s="3" t="s">
        <v>51</v>
      </c>
      <c r="J4" s="3" t="s">
        <v>63</v>
      </c>
      <c r="K4" s="3" t="s">
        <v>91</v>
      </c>
      <c r="L4" s="3" t="s">
        <v>92</v>
      </c>
      <c r="M4" s="3" t="s">
        <v>93</v>
      </c>
      <c r="N4" s="3" t="s">
        <v>52</v>
      </c>
      <c r="O4" s="3" t="s">
        <v>52</v>
      </c>
      <c r="P4" s="3" t="s">
        <v>52</v>
      </c>
      <c r="Q4" s="3" t="s">
        <v>94</v>
      </c>
      <c r="R4" s="3" t="s">
        <v>53</v>
      </c>
      <c r="S4" s="3" t="s">
        <v>55</v>
      </c>
      <c r="T4" s="1">
        <v>0</v>
      </c>
      <c r="U4" s="1">
        <v>0</v>
      </c>
      <c r="V4" s="1">
        <v>0</v>
      </c>
      <c r="W4" s="1">
        <v>10800</v>
      </c>
      <c r="X4" s="1">
        <v>0</v>
      </c>
      <c r="Y4" s="1">
        <v>10800</v>
      </c>
      <c r="Z4" s="1">
        <v>10800</v>
      </c>
      <c r="AA4" s="1">
        <v>0</v>
      </c>
      <c r="AB4" s="1">
        <v>0</v>
      </c>
      <c r="AC4" s="1">
        <v>0</v>
      </c>
      <c r="AD4" s="1">
        <v>10800</v>
      </c>
      <c r="AE4" s="1">
        <v>0</v>
      </c>
      <c r="AF4" s="1">
        <v>10800</v>
      </c>
      <c r="AG4" s="1">
        <v>10800</v>
      </c>
      <c r="AH4" s="1">
        <v>0</v>
      </c>
      <c r="AI4" s="1">
        <v>0</v>
      </c>
      <c r="AJ4" s="1">
        <v>0</v>
      </c>
      <c r="AK4" s="1">
        <v>9720</v>
      </c>
      <c r="AL4" s="1">
        <v>0</v>
      </c>
      <c r="AM4" s="1">
        <v>9720</v>
      </c>
      <c r="AN4" s="1">
        <v>9720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5832</v>
      </c>
      <c r="AT4" s="1">
        <v>0</v>
      </c>
      <c r="AU4" s="1">
        <v>5832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89</v>
      </c>
      <c r="H5" s="3" t="s">
        <v>90</v>
      </c>
      <c r="I5" s="3" t="s">
        <v>51</v>
      </c>
      <c r="J5" s="3" t="s">
        <v>63</v>
      </c>
      <c r="K5" s="3" t="s">
        <v>91</v>
      </c>
      <c r="L5" s="3" t="s">
        <v>92</v>
      </c>
      <c r="M5" s="3" t="s">
        <v>93</v>
      </c>
      <c r="N5" s="3" t="s">
        <v>52</v>
      </c>
      <c r="O5" s="3" t="s">
        <v>52</v>
      </c>
      <c r="P5" s="3" t="s">
        <v>52</v>
      </c>
      <c r="Q5" s="3" t="s">
        <v>94</v>
      </c>
      <c r="R5" s="3" t="s">
        <v>53</v>
      </c>
      <c r="S5" s="3" t="s">
        <v>58</v>
      </c>
      <c r="T5" s="1">
        <v>148330</v>
      </c>
      <c r="U5" s="1">
        <v>105380</v>
      </c>
      <c r="V5" s="1">
        <v>36000</v>
      </c>
      <c r="W5" s="1">
        <v>301690</v>
      </c>
      <c r="X5" s="1">
        <v>289710</v>
      </c>
      <c r="Y5" s="1">
        <v>301690</v>
      </c>
      <c r="Z5" s="1">
        <v>591400</v>
      </c>
      <c r="AA5" s="1">
        <v>177996</v>
      </c>
      <c r="AB5" s="1">
        <v>105380</v>
      </c>
      <c r="AC5" s="1">
        <v>43160</v>
      </c>
      <c r="AD5" s="1">
        <v>301690</v>
      </c>
      <c r="AE5" s="1">
        <v>326536</v>
      </c>
      <c r="AF5" s="1">
        <v>301690</v>
      </c>
      <c r="AG5" s="1">
        <v>628226</v>
      </c>
      <c r="AH5" s="1">
        <v>160196.4</v>
      </c>
      <c r="AI5" s="1">
        <v>102218.6</v>
      </c>
      <c r="AJ5" s="1">
        <v>30212</v>
      </c>
      <c r="AK5" s="1">
        <v>271521</v>
      </c>
      <c r="AL5" s="1">
        <v>292627</v>
      </c>
      <c r="AM5" s="1">
        <v>271521</v>
      </c>
      <c r="AN5" s="1">
        <v>564148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338489</v>
      </c>
      <c r="AT5" s="1">
        <v>0</v>
      </c>
      <c r="AU5" s="1">
        <v>338489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89</v>
      </c>
      <c r="H6" s="3" t="s">
        <v>90</v>
      </c>
      <c r="I6" s="3" t="s">
        <v>51</v>
      </c>
      <c r="J6" s="3" t="s">
        <v>63</v>
      </c>
      <c r="K6" s="3" t="s">
        <v>91</v>
      </c>
      <c r="L6" s="3" t="s">
        <v>92</v>
      </c>
      <c r="M6" s="3" t="s">
        <v>93</v>
      </c>
      <c r="N6" s="3" t="s">
        <v>52</v>
      </c>
      <c r="O6" s="3" t="s">
        <v>52</v>
      </c>
      <c r="P6" s="3" t="s">
        <v>52</v>
      </c>
      <c r="Q6" s="3" t="s">
        <v>94</v>
      </c>
      <c r="R6" s="3" t="s">
        <v>53</v>
      </c>
      <c r="S6" s="3" t="s">
        <v>59</v>
      </c>
      <c r="T6" s="1">
        <v>56620</v>
      </c>
      <c r="U6" s="1">
        <v>86330</v>
      </c>
      <c r="V6" s="1">
        <v>10300</v>
      </c>
      <c r="W6" s="1">
        <v>63950</v>
      </c>
      <c r="X6" s="1">
        <v>153250</v>
      </c>
      <c r="Y6" s="1">
        <v>63950</v>
      </c>
      <c r="Z6" s="1">
        <v>217200</v>
      </c>
      <c r="AA6" s="1">
        <v>67944</v>
      </c>
      <c r="AB6" s="1">
        <v>86330</v>
      </c>
      <c r="AC6" s="1">
        <v>12360</v>
      </c>
      <c r="AD6" s="1">
        <v>63950</v>
      </c>
      <c r="AE6" s="1">
        <v>166634</v>
      </c>
      <c r="AF6" s="1">
        <v>63950</v>
      </c>
      <c r="AG6" s="1">
        <v>230584</v>
      </c>
      <c r="AH6" s="1">
        <v>61149.599999999999</v>
      </c>
      <c r="AI6" s="1">
        <v>83740.100000000006</v>
      </c>
      <c r="AJ6" s="1">
        <v>8652</v>
      </c>
      <c r="AK6" s="1">
        <v>57555</v>
      </c>
      <c r="AL6" s="1">
        <v>153541.70000000001</v>
      </c>
      <c r="AM6" s="1">
        <v>57555</v>
      </c>
      <c r="AN6" s="1">
        <v>211096.7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126658</v>
      </c>
      <c r="AT6" s="1">
        <v>0</v>
      </c>
      <c r="AU6" s="1">
        <v>126658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89</v>
      </c>
      <c r="H7" s="3" t="s">
        <v>90</v>
      </c>
      <c r="I7" s="3" t="s">
        <v>51</v>
      </c>
      <c r="J7" s="3" t="s">
        <v>63</v>
      </c>
      <c r="K7" s="3" t="s">
        <v>91</v>
      </c>
      <c r="L7" s="3" t="s">
        <v>92</v>
      </c>
      <c r="M7" s="3" t="s">
        <v>93</v>
      </c>
      <c r="N7" s="3" t="s">
        <v>52</v>
      </c>
      <c r="O7" s="3" t="s">
        <v>52</v>
      </c>
      <c r="P7" s="3" t="s">
        <v>52</v>
      </c>
      <c r="Q7" s="3" t="s">
        <v>94</v>
      </c>
      <c r="R7" s="3" t="s">
        <v>53</v>
      </c>
      <c r="S7" s="3" t="s">
        <v>59</v>
      </c>
      <c r="T7" s="1">
        <v>24840</v>
      </c>
      <c r="U7" s="1">
        <v>14400</v>
      </c>
      <c r="V7" s="1">
        <v>0</v>
      </c>
      <c r="W7" s="1">
        <v>11160</v>
      </c>
      <c r="X7" s="1">
        <v>39240</v>
      </c>
      <c r="Y7" s="1">
        <v>11160</v>
      </c>
      <c r="Z7" s="1">
        <v>50400</v>
      </c>
      <c r="AA7" s="1">
        <v>29808</v>
      </c>
      <c r="AB7" s="1">
        <v>14400</v>
      </c>
      <c r="AC7" s="1">
        <v>0</v>
      </c>
      <c r="AD7" s="1">
        <v>11160</v>
      </c>
      <c r="AE7" s="1">
        <v>44208</v>
      </c>
      <c r="AF7" s="1">
        <v>11160</v>
      </c>
      <c r="AG7" s="1">
        <v>55368</v>
      </c>
      <c r="AH7" s="1">
        <v>26827.200000000001</v>
      </c>
      <c r="AI7" s="1">
        <v>13968</v>
      </c>
      <c r="AJ7" s="1">
        <v>0</v>
      </c>
      <c r="AK7" s="1">
        <v>10044</v>
      </c>
      <c r="AL7" s="1">
        <v>40795.199999999997</v>
      </c>
      <c r="AM7" s="1">
        <v>10044</v>
      </c>
      <c r="AN7" s="1">
        <v>50839.199999999997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30503</v>
      </c>
      <c r="AT7" s="1">
        <v>0</v>
      </c>
      <c r="AU7" s="1">
        <v>30503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89</v>
      </c>
      <c r="H8" s="3" t="s">
        <v>90</v>
      </c>
      <c r="I8" s="3" t="s">
        <v>51</v>
      </c>
      <c r="J8" s="3" t="s">
        <v>63</v>
      </c>
      <c r="K8" s="3" t="s">
        <v>91</v>
      </c>
      <c r="L8" s="3" t="s">
        <v>92</v>
      </c>
      <c r="M8" s="3" t="s">
        <v>93</v>
      </c>
      <c r="N8" s="3" t="s">
        <v>52</v>
      </c>
      <c r="O8" s="3" t="s">
        <v>52</v>
      </c>
      <c r="P8" s="3" t="s">
        <v>52</v>
      </c>
      <c r="Q8" s="3" t="s">
        <v>94</v>
      </c>
      <c r="R8" s="3" t="s">
        <v>53</v>
      </c>
      <c r="S8" s="3" t="s">
        <v>59</v>
      </c>
      <c r="T8" s="1">
        <v>5400</v>
      </c>
      <c r="U8" s="1">
        <v>8300</v>
      </c>
      <c r="V8" s="1">
        <v>0</v>
      </c>
      <c r="W8" s="1">
        <v>2500</v>
      </c>
      <c r="X8" s="1">
        <v>13700</v>
      </c>
      <c r="Y8" s="1">
        <v>2500</v>
      </c>
      <c r="Z8" s="1">
        <v>16200</v>
      </c>
      <c r="AA8" s="1">
        <v>6480</v>
      </c>
      <c r="AB8" s="1">
        <v>8300</v>
      </c>
      <c r="AC8" s="1">
        <v>0</v>
      </c>
      <c r="AD8" s="1">
        <v>2500</v>
      </c>
      <c r="AE8" s="1">
        <v>14780</v>
      </c>
      <c r="AF8" s="1">
        <v>2500</v>
      </c>
      <c r="AG8" s="1">
        <v>17280</v>
      </c>
      <c r="AH8" s="1">
        <v>5832</v>
      </c>
      <c r="AI8" s="1">
        <v>8051</v>
      </c>
      <c r="AJ8" s="1">
        <v>0</v>
      </c>
      <c r="AK8" s="1">
        <v>2250</v>
      </c>
      <c r="AL8" s="1">
        <v>13883</v>
      </c>
      <c r="AM8" s="1">
        <v>2250</v>
      </c>
      <c r="AN8" s="1">
        <v>16133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9680</v>
      </c>
      <c r="AT8" s="1">
        <v>0</v>
      </c>
      <c r="AU8" s="1">
        <v>9680</v>
      </c>
    </row>
    <row r="9" spans="1:47" x14ac:dyDescent="0.3">
      <c r="AU9" s="5">
        <f>SUM(AU2:AU8)</f>
        <v>548263</v>
      </c>
    </row>
    <row r="11" spans="1:47" s="3" customFormat="1" x14ac:dyDescent="0.3">
      <c r="A11" s="6" t="s">
        <v>132</v>
      </c>
      <c r="B11" s="7"/>
      <c r="C11" s="7"/>
      <c r="D11" s="8"/>
    </row>
    <row r="12" spans="1:47" s="3" customFormat="1" x14ac:dyDescent="0.3">
      <c r="A12" s="9" t="s">
        <v>129</v>
      </c>
      <c r="B12" s="9" t="s">
        <v>104</v>
      </c>
      <c r="C12" s="9" t="s">
        <v>127</v>
      </c>
      <c r="D12" s="9" t="s">
        <v>119</v>
      </c>
    </row>
    <row r="13" spans="1:47" s="3" customFormat="1" x14ac:dyDescent="0.3">
      <c r="A13" s="10">
        <v>202206</v>
      </c>
      <c r="B13" s="11">
        <v>20000000</v>
      </c>
      <c r="C13" s="26">
        <v>928040</v>
      </c>
      <c r="D13" s="11">
        <f>B13-C13</f>
        <v>19071960</v>
      </c>
    </row>
    <row r="14" spans="1:47" s="3" customFormat="1" x14ac:dyDescent="0.3">
      <c r="A14" s="10">
        <v>202207</v>
      </c>
      <c r="B14" s="11"/>
      <c r="C14" s="32">
        <v>789511</v>
      </c>
      <c r="D14" s="11">
        <f>D13-C14</f>
        <v>18282449</v>
      </c>
    </row>
    <row r="15" spans="1:47" s="3" customFormat="1" x14ac:dyDescent="0.3">
      <c r="A15" s="10">
        <v>202208</v>
      </c>
      <c r="B15" s="16"/>
      <c r="C15" s="11">
        <v>590337</v>
      </c>
      <c r="D15" s="11">
        <f>D14-C15</f>
        <v>17692112</v>
      </c>
    </row>
    <row r="16" spans="1:47" s="3" customFormat="1" x14ac:dyDescent="0.3">
      <c r="A16" s="10">
        <v>202209</v>
      </c>
      <c r="B16" s="16"/>
      <c r="C16" s="11">
        <f>AU9</f>
        <v>548263</v>
      </c>
      <c r="D16" s="11">
        <f>D15-C16</f>
        <v>17143849</v>
      </c>
    </row>
    <row r="17" spans="1:4" s="3" customFormat="1" x14ac:dyDescent="0.3">
      <c r="A17" s="20" t="s">
        <v>131</v>
      </c>
      <c r="B17" s="21">
        <f>SUM(B13:B15)</f>
        <v>20000000</v>
      </c>
      <c r="C17" s="21">
        <f>SUM(C13:C16)</f>
        <v>2856151</v>
      </c>
      <c r="D17" s="2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8"/>
  <sheetViews>
    <sheetView workbookViewId="0">
      <selection activeCell="C19" sqref="C19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1.75" bestFit="1" customWidth="1"/>
    <col min="5" max="5" width="23.5" bestFit="1" customWidth="1"/>
    <col min="6" max="6" width="16.25" bestFit="1" customWidth="1"/>
    <col min="7" max="7" width="8.125" bestFit="1" customWidth="1"/>
    <col min="8" max="8" width="35.25" bestFit="1" customWidth="1"/>
    <col min="9" max="9" width="7.5" bestFit="1" customWidth="1"/>
    <col min="10" max="10" width="10.375" bestFit="1" customWidth="1"/>
    <col min="11" max="11" width="9.375" bestFit="1" customWidth="1"/>
    <col min="12" max="12" width="24.62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7.25" bestFit="1" customWidth="1"/>
    <col min="18" max="18" width="10.75" bestFit="1" customWidth="1"/>
    <col min="19" max="19" width="24.125" bestFit="1" customWidth="1"/>
    <col min="20" max="20" width="9.75" bestFit="1" customWidth="1"/>
    <col min="21" max="21" width="9.375" bestFit="1" customWidth="1"/>
    <col min="22" max="22" width="8.625" bestFit="1" customWidth="1"/>
    <col min="23" max="23" width="11.125" bestFit="1" customWidth="1"/>
    <col min="24" max="25" width="13.25" bestFit="1" customWidth="1"/>
    <col min="26" max="26" width="11.25" bestFit="1" customWidth="1"/>
    <col min="27" max="27" width="9.75" bestFit="1" customWidth="1"/>
    <col min="28" max="28" width="9.375" bestFit="1" customWidth="1"/>
    <col min="29" max="29" width="8.6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9.25" bestFit="1" customWidth="1"/>
    <col min="46" max="46" width="5" bestFit="1" customWidth="1"/>
    <col min="47" max="47" width="9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73</v>
      </c>
      <c r="H2" s="3" t="s">
        <v>74</v>
      </c>
      <c r="I2" s="3" t="s">
        <v>51</v>
      </c>
      <c r="J2" s="3" t="s">
        <v>63</v>
      </c>
      <c r="K2" s="3" t="s">
        <v>75</v>
      </c>
      <c r="L2" s="3" t="s">
        <v>76</v>
      </c>
      <c r="M2" s="3" t="s">
        <v>77</v>
      </c>
      <c r="N2" s="3" t="s">
        <v>52</v>
      </c>
      <c r="O2" s="3" t="s">
        <v>52</v>
      </c>
      <c r="P2" s="3" t="s">
        <v>52</v>
      </c>
      <c r="Q2" s="3" t="s">
        <v>78</v>
      </c>
      <c r="R2" s="3" t="s">
        <v>53</v>
      </c>
      <c r="S2" s="3" t="s">
        <v>54</v>
      </c>
      <c r="T2" s="1">
        <v>99200</v>
      </c>
      <c r="U2" s="1">
        <v>288540</v>
      </c>
      <c r="V2" s="1">
        <v>41800</v>
      </c>
      <c r="W2" s="1">
        <v>58460</v>
      </c>
      <c r="X2" s="1">
        <v>429540</v>
      </c>
      <c r="Y2" s="1">
        <v>58460</v>
      </c>
      <c r="Z2" s="1">
        <v>488000</v>
      </c>
      <c r="AA2" s="1">
        <v>119040</v>
      </c>
      <c r="AB2" s="1">
        <v>288540</v>
      </c>
      <c r="AC2" s="1">
        <v>50160</v>
      </c>
      <c r="AD2" s="1">
        <v>58460</v>
      </c>
      <c r="AE2" s="1">
        <v>457740</v>
      </c>
      <c r="AF2" s="1">
        <v>58460</v>
      </c>
      <c r="AG2" s="1">
        <v>516200</v>
      </c>
      <c r="AH2" s="1">
        <v>107136</v>
      </c>
      <c r="AI2" s="1">
        <v>279883.8</v>
      </c>
      <c r="AJ2" s="1">
        <v>35112</v>
      </c>
      <c r="AK2" s="1">
        <v>52614</v>
      </c>
      <c r="AL2" s="1">
        <v>422131.8</v>
      </c>
      <c r="AM2" s="1">
        <v>52614</v>
      </c>
      <c r="AN2" s="1">
        <v>474745.8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284847</v>
      </c>
      <c r="AT2" s="1">
        <v>0</v>
      </c>
      <c r="AU2" s="1">
        <v>284847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73</v>
      </c>
      <c r="H3" s="3" t="s">
        <v>74</v>
      </c>
      <c r="I3" s="3" t="s">
        <v>51</v>
      </c>
      <c r="J3" s="3" t="s">
        <v>63</v>
      </c>
      <c r="K3" s="3" t="s">
        <v>75</v>
      </c>
      <c r="L3" s="3" t="s">
        <v>76</v>
      </c>
      <c r="M3" s="3" t="s">
        <v>77</v>
      </c>
      <c r="N3" s="3" t="s">
        <v>52</v>
      </c>
      <c r="O3" s="3" t="s">
        <v>52</v>
      </c>
      <c r="P3" s="3" t="s">
        <v>52</v>
      </c>
      <c r="Q3" s="3" t="s">
        <v>78</v>
      </c>
      <c r="R3" s="3" t="s">
        <v>53</v>
      </c>
      <c r="S3" s="3" t="s">
        <v>55</v>
      </c>
      <c r="T3" s="1">
        <v>108200</v>
      </c>
      <c r="U3" s="1">
        <v>357720</v>
      </c>
      <c r="V3" s="1">
        <v>8500</v>
      </c>
      <c r="W3" s="1">
        <v>13580</v>
      </c>
      <c r="X3" s="1">
        <v>474420</v>
      </c>
      <c r="Y3" s="1">
        <v>13580</v>
      </c>
      <c r="Z3" s="1">
        <v>488000</v>
      </c>
      <c r="AA3" s="1">
        <v>129840</v>
      </c>
      <c r="AB3" s="1">
        <v>357720</v>
      </c>
      <c r="AC3" s="1">
        <v>10200</v>
      </c>
      <c r="AD3" s="1">
        <v>13580</v>
      </c>
      <c r="AE3" s="1">
        <v>497760</v>
      </c>
      <c r="AF3" s="1">
        <v>13580</v>
      </c>
      <c r="AG3" s="1">
        <v>511340</v>
      </c>
      <c r="AH3" s="1">
        <v>116856</v>
      </c>
      <c r="AI3" s="1">
        <v>346988.4</v>
      </c>
      <c r="AJ3" s="1">
        <v>7140</v>
      </c>
      <c r="AK3" s="1">
        <v>12222</v>
      </c>
      <c r="AL3" s="1">
        <v>470984.4</v>
      </c>
      <c r="AM3" s="1">
        <v>12222</v>
      </c>
      <c r="AN3" s="1">
        <v>483206.40000000002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289924</v>
      </c>
      <c r="AT3" s="1">
        <v>0</v>
      </c>
      <c r="AU3" s="1">
        <v>289924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73</v>
      </c>
      <c r="H4" s="3" t="s">
        <v>74</v>
      </c>
      <c r="I4" s="3" t="s">
        <v>51</v>
      </c>
      <c r="J4" s="3" t="s">
        <v>63</v>
      </c>
      <c r="K4" s="3" t="s">
        <v>75</v>
      </c>
      <c r="L4" s="3" t="s">
        <v>76</v>
      </c>
      <c r="M4" s="3" t="s">
        <v>77</v>
      </c>
      <c r="N4" s="3" t="s">
        <v>52</v>
      </c>
      <c r="O4" s="3" t="s">
        <v>52</v>
      </c>
      <c r="P4" s="3" t="s">
        <v>52</v>
      </c>
      <c r="Q4" s="3" t="s">
        <v>78</v>
      </c>
      <c r="R4" s="3" t="s">
        <v>53</v>
      </c>
      <c r="S4" s="3" t="s">
        <v>55</v>
      </c>
      <c r="T4" s="1">
        <v>36000</v>
      </c>
      <c r="U4" s="1">
        <v>166700</v>
      </c>
      <c r="V4" s="1">
        <v>36000</v>
      </c>
      <c r="W4" s="1">
        <v>13300</v>
      </c>
      <c r="X4" s="1">
        <v>238700</v>
      </c>
      <c r="Y4" s="1">
        <v>13300</v>
      </c>
      <c r="Z4" s="1">
        <v>252000</v>
      </c>
      <c r="AA4" s="1">
        <v>43200</v>
      </c>
      <c r="AB4" s="1">
        <v>166700</v>
      </c>
      <c r="AC4" s="1">
        <v>43200</v>
      </c>
      <c r="AD4" s="1">
        <v>13300</v>
      </c>
      <c r="AE4" s="1">
        <v>253100</v>
      </c>
      <c r="AF4" s="1">
        <v>13300</v>
      </c>
      <c r="AG4" s="1">
        <v>266400</v>
      </c>
      <c r="AH4" s="1">
        <v>38880</v>
      </c>
      <c r="AI4" s="1">
        <v>161699</v>
      </c>
      <c r="AJ4" s="1">
        <v>30240</v>
      </c>
      <c r="AK4" s="1">
        <v>11970</v>
      </c>
      <c r="AL4" s="1">
        <v>230819</v>
      </c>
      <c r="AM4" s="1">
        <v>11970</v>
      </c>
      <c r="AN4" s="1">
        <v>242789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145673</v>
      </c>
      <c r="AT4" s="1">
        <v>0</v>
      </c>
      <c r="AU4" s="1">
        <v>145673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73</v>
      </c>
      <c r="H5" s="3" t="s">
        <v>74</v>
      </c>
      <c r="I5" s="3" t="s">
        <v>51</v>
      </c>
      <c r="J5" s="3" t="s">
        <v>63</v>
      </c>
      <c r="K5" s="3" t="s">
        <v>75</v>
      </c>
      <c r="L5" s="3" t="s">
        <v>76</v>
      </c>
      <c r="M5" s="3" t="s">
        <v>77</v>
      </c>
      <c r="N5" s="3" t="s">
        <v>52</v>
      </c>
      <c r="O5" s="3" t="s">
        <v>52</v>
      </c>
      <c r="P5" s="3" t="s">
        <v>52</v>
      </c>
      <c r="Q5" s="3" t="s">
        <v>78</v>
      </c>
      <c r="R5" s="3" t="s">
        <v>53</v>
      </c>
      <c r="S5" s="3" t="s">
        <v>55</v>
      </c>
      <c r="T5" s="1">
        <v>27000</v>
      </c>
      <c r="U5" s="1">
        <v>100900</v>
      </c>
      <c r="V5" s="1">
        <v>0</v>
      </c>
      <c r="W5" s="1">
        <v>34100</v>
      </c>
      <c r="X5" s="1">
        <v>127900</v>
      </c>
      <c r="Y5" s="1">
        <v>34100</v>
      </c>
      <c r="Z5" s="1">
        <v>162000</v>
      </c>
      <c r="AA5" s="1">
        <v>32400</v>
      </c>
      <c r="AB5" s="1">
        <v>100900</v>
      </c>
      <c r="AC5" s="1">
        <v>0</v>
      </c>
      <c r="AD5" s="1">
        <v>34100</v>
      </c>
      <c r="AE5" s="1">
        <v>133300</v>
      </c>
      <c r="AF5" s="1">
        <v>34100</v>
      </c>
      <c r="AG5" s="1">
        <v>167400</v>
      </c>
      <c r="AH5" s="1">
        <v>29160</v>
      </c>
      <c r="AI5" s="1">
        <v>97873</v>
      </c>
      <c r="AJ5" s="1">
        <v>0</v>
      </c>
      <c r="AK5" s="1">
        <v>30690</v>
      </c>
      <c r="AL5" s="1">
        <v>127033</v>
      </c>
      <c r="AM5" s="1">
        <v>30690</v>
      </c>
      <c r="AN5" s="1">
        <v>157723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94634</v>
      </c>
      <c r="AT5" s="1">
        <v>0</v>
      </c>
      <c r="AU5" s="1">
        <v>94634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73</v>
      </c>
      <c r="H6" s="3" t="s">
        <v>74</v>
      </c>
      <c r="I6" s="3" t="s">
        <v>51</v>
      </c>
      <c r="J6" s="3" t="s">
        <v>63</v>
      </c>
      <c r="K6" s="3" t="s">
        <v>75</v>
      </c>
      <c r="L6" s="3" t="s">
        <v>76</v>
      </c>
      <c r="M6" s="3" t="s">
        <v>77</v>
      </c>
      <c r="N6" s="3" t="s">
        <v>52</v>
      </c>
      <c r="O6" s="3" t="s">
        <v>52</v>
      </c>
      <c r="P6" s="3" t="s">
        <v>52</v>
      </c>
      <c r="Q6" s="3" t="s">
        <v>78</v>
      </c>
      <c r="R6" s="3" t="s">
        <v>53</v>
      </c>
      <c r="S6" s="3" t="s">
        <v>58</v>
      </c>
      <c r="T6" s="1">
        <v>2136790</v>
      </c>
      <c r="U6" s="1">
        <v>2340260</v>
      </c>
      <c r="V6" s="1">
        <v>569680</v>
      </c>
      <c r="W6" s="1">
        <v>1390270</v>
      </c>
      <c r="X6" s="1">
        <v>5046730</v>
      </c>
      <c r="Y6" s="1">
        <v>1390270</v>
      </c>
      <c r="Z6" s="1">
        <v>6437000</v>
      </c>
      <c r="AA6" s="1">
        <v>2564148</v>
      </c>
      <c r="AB6" s="1">
        <v>2340260</v>
      </c>
      <c r="AC6" s="1">
        <v>683576</v>
      </c>
      <c r="AD6" s="1">
        <v>1390270</v>
      </c>
      <c r="AE6" s="1">
        <v>5587984</v>
      </c>
      <c r="AF6" s="1">
        <v>1390270</v>
      </c>
      <c r="AG6" s="1">
        <v>6978254</v>
      </c>
      <c r="AH6" s="1">
        <v>2307733.2000000002</v>
      </c>
      <c r="AI6" s="1">
        <v>2270052.2000000002</v>
      </c>
      <c r="AJ6" s="1">
        <v>478503.2</v>
      </c>
      <c r="AK6" s="1">
        <v>1251243</v>
      </c>
      <c r="AL6" s="1">
        <v>5056288.5999999996</v>
      </c>
      <c r="AM6" s="1">
        <v>1251243</v>
      </c>
      <c r="AN6" s="1">
        <v>6307531.5999999996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3784519</v>
      </c>
      <c r="AT6" s="1">
        <v>0</v>
      </c>
      <c r="AU6" s="1">
        <v>3784519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73</v>
      </c>
      <c r="H7" s="3" t="s">
        <v>74</v>
      </c>
      <c r="I7" s="3" t="s">
        <v>51</v>
      </c>
      <c r="J7" s="3" t="s">
        <v>63</v>
      </c>
      <c r="K7" s="3" t="s">
        <v>75</v>
      </c>
      <c r="L7" s="3" t="s">
        <v>76</v>
      </c>
      <c r="M7" s="3" t="s">
        <v>77</v>
      </c>
      <c r="N7" s="3" t="s">
        <v>52</v>
      </c>
      <c r="O7" s="3" t="s">
        <v>52</v>
      </c>
      <c r="P7" s="3" t="s">
        <v>52</v>
      </c>
      <c r="Q7" s="3" t="s">
        <v>78</v>
      </c>
      <c r="R7" s="3" t="s">
        <v>53</v>
      </c>
      <c r="S7" s="3" t="s">
        <v>59</v>
      </c>
      <c r="T7" s="1">
        <v>1664920</v>
      </c>
      <c r="U7" s="1">
        <v>2564560</v>
      </c>
      <c r="V7" s="1">
        <v>293340</v>
      </c>
      <c r="W7" s="1">
        <v>608580</v>
      </c>
      <c r="X7" s="1">
        <v>4522820</v>
      </c>
      <c r="Y7" s="1">
        <v>608580</v>
      </c>
      <c r="Z7" s="1">
        <v>5131400</v>
      </c>
      <c r="AA7" s="1">
        <v>1997904</v>
      </c>
      <c r="AB7" s="1">
        <v>2564560</v>
      </c>
      <c r="AC7" s="1">
        <v>352118</v>
      </c>
      <c r="AD7" s="1">
        <v>608580</v>
      </c>
      <c r="AE7" s="1">
        <v>4914582</v>
      </c>
      <c r="AF7" s="1">
        <v>608580</v>
      </c>
      <c r="AG7" s="1">
        <v>5523162</v>
      </c>
      <c r="AH7" s="1">
        <v>1798113.6</v>
      </c>
      <c r="AI7" s="1">
        <v>2487623.2000000002</v>
      </c>
      <c r="AJ7" s="1">
        <v>246482.6</v>
      </c>
      <c r="AK7" s="1">
        <v>547722</v>
      </c>
      <c r="AL7" s="1">
        <v>4532219.4000000004</v>
      </c>
      <c r="AM7" s="1">
        <v>547722</v>
      </c>
      <c r="AN7" s="1">
        <v>5079941.4000000004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3047965</v>
      </c>
      <c r="AT7" s="1">
        <v>0</v>
      </c>
      <c r="AU7" s="1">
        <v>3047965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73</v>
      </c>
      <c r="H8" s="3" t="s">
        <v>74</v>
      </c>
      <c r="I8" s="3" t="s">
        <v>51</v>
      </c>
      <c r="J8" s="3" t="s">
        <v>63</v>
      </c>
      <c r="K8" s="3" t="s">
        <v>75</v>
      </c>
      <c r="L8" s="3" t="s">
        <v>76</v>
      </c>
      <c r="M8" s="3" t="s">
        <v>77</v>
      </c>
      <c r="N8" s="3" t="s">
        <v>52</v>
      </c>
      <c r="O8" s="3" t="s">
        <v>52</v>
      </c>
      <c r="P8" s="3" t="s">
        <v>52</v>
      </c>
      <c r="Q8" s="3" t="s">
        <v>78</v>
      </c>
      <c r="R8" s="3" t="s">
        <v>53</v>
      </c>
      <c r="S8" s="3" t="s">
        <v>59</v>
      </c>
      <c r="T8" s="1">
        <v>441000</v>
      </c>
      <c r="U8" s="1">
        <v>678500</v>
      </c>
      <c r="V8" s="1">
        <v>111900</v>
      </c>
      <c r="W8" s="1">
        <v>84200</v>
      </c>
      <c r="X8" s="1">
        <v>1231400</v>
      </c>
      <c r="Y8" s="1">
        <v>84200</v>
      </c>
      <c r="Z8" s="1">
        <v>1315600</v>
      </c>
      <c r="AA8" s="1">
        <v>529200</v>
      </c>
      <c r="AB8" s="1">
        <v>678500</v>
      </c>
      <c r="AC8" s="1">
        <v>134280</v>
      </c>
      <c r="AD8" s="1">
        <v>84200</v>
      </c>
      <c r="AE8" s="1">
        <v>1341980</v>
      </c>
      <c r="AF8" s="1">
        <v>84200</v>
      </c>
      <c r="AG8" s="1">
        <v>1426180</v>
      </c>
      <c r="AH8" s="1">
        <v>476280</v>
      </c>
      <c r="AI8" s="1">
        <v>658145</v>
      </c>
      <c r="AJ8" s="1">
        <v>93996</v>
      </c>
      <c r="AK8" s="1">
        <v>75780</v>
      </c>
      <c r="AL8" s="1">
        <v>1228421</v>
      </c>
      <c r="AM8" s="1">
        <v>75780</v>
      </c>
      <c r="AN8" s="1">
        <v>1304201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782521</v>
      </c>
      <c r="AT8" s="1">
        <v>0</v>
      </c>
      <c r="AU8" s="1">
        <v>782521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73</v>
      </c>
      <c r="H9" s="3" t="s">
        <v>74</v>
      </c>
      <c r="I9" s="3" t="s">
        <v>51</v>
      </c>
      <c r="J9" s="3" t="s">
        <v>63</v>
      </c>
      <c r="K9" s="3" t="s">
        <v>75</v>
      </c>
      <c r="L9" s="3" t="s">
        <v>76</v>
      </c>
      <c r="M9" s="3" t="s">
        <v>77</v>
      </c>
      <c r="N9" s="3" t="s">
        <v>52</v>
      </c>
      <c r="O9" s="3" t="s">
        <v>52</v>
      </c>
      <c r="P9" s="3" t="s">
        <v>52</v>
      </c>
      <c r="Q9" s="3" t="s">
        <v>78</v>
      </c>
      <c r="R9" s="3" t="s">
        <v>53</v>
      </c>
      <c r="S9" s="3" t="s">
        <v>59</v>
      </c>
      <c r="T9" s="1">
        <v>165600</v>
      </c>
      <c r="U9" s="1">
        <v>242100</v>
      </c>
      <c r="V9" s="1">
        <v>37800</v>
      </c>
      <c r="W9" s="1">
        <v>34700</v>
      </c>
      <c r="X9" s="1">
        <v>445500</v>
      </c>
      <c r="Y9" s="1">
        <v>34700</v>
      </c>
      <c r="Z9" s="1">
        <v>480200</v>
      </c>
      <c r="AA9" s="1">
        <v>198720</v>
      </c>
      <c r="AB9" s="1">
        <v>242100</v>
      </c>
      <c r="AC9" s="1">
        <v>45360</v>
      </c>
      <c r="AD9" s="1">
        <v>34700</v>
      </c>
      <c r="AE9" s="1">
        <v>486180</v>
      </c>
      <c r="AF9" s="1">
        <v>34700</v>
      </c>
      <c r="AG9" s="1">
        <v>520880</v>
      </c>
      <c r="AH9" s="1">
        <v>178848</v>
      </c>
      <c r="AI9" s="1">
        <v>234837</v>
      </c>
      <c r="AJ9" s="1">
        <v>31752</v>
      </c>
      <c r="AK9" s="1">
        <v>31230</v>
      </c>
      <c r="AL9" s="1">
        <v>445437</v>
      </c>
      <c r="AM9" s="1">
        <v>31230</v>
      </c>
      <c r="AN9" s="1">
        <v>476667</v>
      </c>
      <c r="AO9" s="3" t="s">
        <v>134</v>
      </c>
      <c r="AP9" s="3" t="s">
        <v>134</v>
      </c>
      <c r="AQ9" s="3" t="s">
        <v>134</v>
      </c>
      <c r="AR9" s="3" t="s">
        <v>134</v>
      </c>
      <c r="AS9" s="1">
        <v>286000</v>
      </c>
      <c r="AT9" s="1">
        <v>0</v>
      </c>
      <c r="AU9" s="1">
        <v>286000</v>
      </c>
    </row>
    <row r="10" spans="1:47" x14ac:dyDescent="0.3">
      <c r="AU10" s="5">
        <f>SUM(AU2:AU9)</f>
        <v>8716083</v>
      </c>
    </row>
    <row r="12" spans="1:47" s="3" customFormat="1" x14ac:dyDescent="0.3">
      <c r="A12" s="6" t="s">
        <v>133</v>
      </c>
      <c r="B12" s="7"/>
      <c r="C12" s="7"/>
      <c r="D12" s="8"/>
    </row>
    <row r="13" spans="1:47" s="3" customFormat="1" x14ac:dyDescent="0.3">
      <c r="A13" s="9" t="s">
        <v>129</v>
      </c>
      <c r="B13" s="9" t="s">
        <v>104</v>
      </c>
      <c r="C13" s="9" t="s">
        <v>127</v>
      </c>
      <c r="D13" s="9" t="s">
        <v>119</v>
      </c>
    </row>
    <row r="14" spans="1:47" s="3" customFormat="1" x14ac:dyDescent="0.3">
      <c r="A14" s="10">
        <v>202206</v>
      </c>
      <c r="B14" s="11">
        <v>50000000</v>
      </c>
      <c r="C14" s="26">
        <v>44943951</v>
      </c>
      <c r="D14" s="11">
        <f>B14-C14</f>
        <v>5056049</v>
      </c>
    </row>
    <row r="15" spans="1:47" s="3" customFormat="1" x14ac:dyDescent="0.3">
      <c r="A15" s="10">
        <v>202207</v>
      </c>
      <c r="B15" s="11">
        <v>50000000</v>
      </c>
      <c r="C15" s="26">
        <v>8501145</v>
      </c>
      <c r="D15" s="11">
        <f>D14+B15-C15</f>
        <v>46554904</v>
      </c>
    </row>
    <row r="16" spans="1:47" s="3" customFormat="1" x14ac:dyDescent="0.3">
      <c r="A16" s="10">
        <v>202208</v>
      </c>
      <c r="B16" s="11"/>
      <c r="C16" s="11">
        <v>6163090</v>
      </c>
      <c r="D16" s="11">
        <f>D15+B16-C16</f>
        <v>40391814</v>
      </c>
    </row>
    <row r="17" spans="1:4" s="3" customFormat="1" x14ac:dyDescent="0.3">
      <c r="A17" s="10">
        <v>202209</v>
      </c>
      <c r="B17" s="11"/>
      <c r="C17" s="11">
        <f>AU10</f>
        <v>8716083</v>
      </c>
      <c r="D17" s="11">
        <f>D16+B17-C17</f>
        <v>31675731</v>
      </c>
    </row>
    <row r="18" spans="1:4" s="3" customFormat="1" x14ac:dyDescent="0.3">
      <c r="A18" s="20" t="s">
        <v>111</v>
      </c>
      <c r="B18" s="21">
        <f>SUM(B14:B16)</f>
        <v>100000000</v>
      </c>
      <c r="C18" s="21">
        <f>SUM(C14:C17)</f>
        <v>68324269</v>
      </c>
      <c r="D18" s="3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17"/>
  <sheetViews>
    <sheetView workbookViewId="0">
      <selection activeCell="A12" sqref="A12:D17"/>
    </sheetView>
  </sheetViews>
  <sheetFormatPr defaultRowHeight="16.5" x14ac:dyDescent="0.3"/>
  <cols>
    <col min="1" max="1" width="9.25" bestFit="1" customWidth="1"/>
    <col min="2" max="2" width="18.875" bestFit="1" customWidth="1"/>
    <col min="3" max="3" width="15.75" bestFit="1" customWidth="1"/>
    <col min="4" max="4" width="13" bestFit="1" customWidth="1"/>
    <col min="5" max="5" width="23.5" bestFit="1" customWidth="1"/>
    <col min="6" max="6" width="16.25" bestFit="1" customWidth="1"/>
    <col min="7" max="7" width="8.125" bestFit="1" customWidth="1"/>
    <col min="8" max="8" width="26.25" bestFit="1" customWidth="1"/>
    <col min="9" max="9" width="7.5" bestFit="1" customWidth="1"/>
    <col min="10" max="10" width="10.375" bestFit="1" customWidth="1"/>
    <col min="11" max="11" width="9.375" bestFit="1" customWidth="1"/>
    <col min="12" max="12" width="15.75" bestFit="1" customWidth="1"/>
    <col min="13" max="13" width="10.875" bestFit="1" customWidth="1"/>
    <col min="14" max="14" width="10.375" bestFit="1" customWidth="1"/>
    <col min="15" max="15" width="31.125" bestFit="1" customWidth="1"/>
    <col min="16" max="16" width="6.75" bestFit="1" customWidth="1"/>
    <col min="17" max="17" width="19.625" bestFit="1" customWidth="1"/>
    <col min="18" max="18" width="10.75" bestFit="1" customWidth="1"/>
    <col min="19" max="19" width="24.125" bestFit="1" customWidth="1"/>
    <col min="20" max="21" width="10.25" bestFit="1" customWidth="1"/>
    <col min="22" max="22" width="9.25" bestFit="1" customWidth="1"/>
    <col min="23" max="23" width="11.125" bestFit="1" customWidth="1"/>
    <col min="24" max="25" width="13.25" bestFit="1" customWidth="1"/>
    <col min="26" max="26" width="11.25" bestFit="1" customWidth="1"/>
    <col min="27" max="28" width="10.25" bestFit="1" customWidth="1"/>
    <col min="29" max="29" width="9.25" bestFit="1" customWidth="1"/>
    <col min="30" max="30" width="11.125" bestFit="1" customWidth="1"/>
    <col min="31" max="32" width="13.25" bestFit="1" customWidth="1"/>
    <col min="33" max="33" width="11.25" bestFit="1" customWidth="1"/>
    <col min="34" max="34" width="11.625" bestFit="1" customWidth="1"/>
    <col min="35" max="35" width="11.25" bestFit="1" customWidth="1"/>
    <col min="36" max="36" width="10.375" bestFit="1" customWidth="1"/>
    <col min="37" max="37" width="13" bestFit="1" customWidth="1"/>
    <col min="38" max="39" width="15.125" bestFit="1" customWidth="1"/>
    <col min="40" max="40" width="11.25" bestFit="1" customWidth="1"/>
    <col min="41" max="41" width="19.75" bestFit="1" customWidth="1"/>
    <col min="42" max="42" width="13.875" bestFit="1" customWidth="1"/>
    <col min="43" max="43" width="12.875" bestFit="1" customWidth="1"/>
    <col min="44" max="44" width="19.75" bestFit="1" customWidth="1"/>
    <col min="45" max="45" width="10.25" bestFit="1" customWidth="1"/>
    <col min="46" max="46" width="5" bestFit="1" customWidth="1"/>
    <col min="47" max="47" width="10.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3">
      <c r="A2" s="3" t="s">
        <v>46</v>
      </c>
      <c r="B2" s="3" t="s">
        <v>47</v>
      </c>
      <c r="C2" s="3" t="s">
        <v>48</v>
      </c>
      <c r="D2" s="3" t="s">
        <v>61</v>
      </c>
      <c r="E2" s="3" t="s">
        <v>49</v>
      </c>
      <c r="F2" s="3" t="s">
        <v>50</v>
      </c>
      <c r="G2" s="3" t="s">
        <v>96</v>
      </c>
      <c r="H2" s="3" t="s">
        <v>97</v>
      </c>
      <c r="I2" s="3" t="s">
        <v>51</v>
      </c>
      <c r="J2" s="3" t="s">
        <v>63</v>
      </c>
      <c r="K2" s="3" t="s">
        <v>98</v>
      </c>
      <c r="L2" s="3" t="s">
        <v>99</v>
      </c>
      <c r="M2" s="3" t="s">
        <v>100</v>
      </c>
      <c r="N2" s="3" t="s">
        <v>52</v>
      </c>
      <c r="O2" s="3" t="s">
        <v>52</v>
      </c>
      <c r="P2" s="3" t="s">
        <v>52</v>
      </c>
      <c r="Q2" s="3" t="s">
        <v>101</v>
      </c>
      <c r="R2" s="3" t="s">
        <v>53</v>
      </c>
      <c r="S2" s="3" t="s">
        <v>54</v>
      </c>
      <c r="T2" s="1">
        <v>304460</v>
      </c>
      <c r="U2" s="1">
        <v>440660</v>
      </c>
      <c r="V2" s="1">
        <v>59000</v>
      </c>
      <c r="W2" s="1">
        <v>83380</v>
      </c>
      <c r="X2" s="1">
        <v>804120</v>
      </c>
      <c r="Y2" s="1">
        <v>83380</v>
      </c>
      <c r="Z2" s="1">
        <v>887500</v>
      </c>
      <c r="AA2" s="1">
        <v>365352</v>
      </c>
      <c r="AB2" s="1">
        <v>440660</v>
      </c>
      <c r="AC2" s="1">
        <v>70800</v>
      </c>
      <c r="AD2" s="1">
        <v>83380</v>
      </c>
      <c r="AE2" s="1">
        <v>876812</v>
      </c>
      <c r="AF2" s="1">
        <v>83380</v>
      </c>
      <c r="AG2" s="1">
        <v>960192</v>
      </c>
      <c r="AH2" s="1">
        <v>328816.8</v>
      </c>
      <c r="AI2" s="1">
        <v>427440.2</v>
      </c>
      <c r="AJ2" s="1">
        <v>49560</v>
      </c>
      <c r="AK2" s="1">
        <v>75042</v>
      </c>
      <c r="AL2" s="1">
        <v>805817</v>
      </c>
      <c r="AM2" s="1">
        <v>75042</v>
      </c>
      <c r="AN2" s="1">
        <v>880859</v>
      </c>
      <c r="AO2" s="3" t="s">
        <v>134</v>
      </c>
      <c r="AP2" s="3" t="s">
        <v>134</v>
      </c>
      <c r="AQ2" s="3" t="s">
        <v>134</v>
      </c>
      <c r="AR2" s="3" t="s">
        <v>134</v>
      </c>
      <c r="AS2" s="1">
        <v>528515</v>
      </c>
      <c r="AT2" s="1">
        <v>0</v>
      </c>
      <c r="AU2" s="1">
        <v>528515</v>
      </c>
    </row>
    <row r="3" spans="1:47" s="3" customFormat="1" x14ac:dyDescent="0.3">
      <c r="A3" s="3" t="s">
        <v>46</v>
      </c>
      <c r="B3" s="3" t="s">
        <v>47</v>
      </c>
      <c r="C3" s="3" t="s">
        <v>48</v>
      </c>
      <c r="D3" s="3" t="s">
        <v>61</v>
      </c>
      <c r="E3" s="3" t="s">
        <v>49</v>
      </c>
      <c r="F3" s="3" t="s">
        <v>50</v>
      </c>
      <c r="G3" s="3" t="s">
        <v>96</v>
      </c>
      <c r="H3" s="3" t="s">
        <v>97</v>
      </c>
      <c r="I3" s="3" t="s">
        <v>51</v>
      </c>
      <c r="J3" s="3" t="s">
        <v>63</v>
      </c>
      <c r="K3" s="3" t="s">
        <v>98</v>
      </c>
      <c r="L3" s="3" t="s">
        <v>99</v>
      </c>
      <c r="M3" s="3" t="s">
        <v>100</v>
      </c>
      <c r="N3" s="3" t="s">
        <v>52</v>
      </c>
      <c r="O3" s="3" t="s">
        <v>52</v>
      </c>
      <c r="P3" s="3" t="s">
        <v>52</v>
      </c>
      <c r="Q3" s="3" t="s">
        <v>101</v>
      </c>
      <c r="R3" s="3" t="s">
        <v>53</v>
      </c>
      <c r="S3" s="3" t="s">
        <v>55</v>
      </c>
      <c r="T3" s="1">
        <v>134300</v>
      </c>
      <c r="U3" s="1">
        <v>576280</v>
      </c>
      <c r="V3" s="1">
        <v>31210</v>
      </c>
      <c r="W3" s="1">
        <v>54210</v>
      </c>
      <c r="X3" s="1">
        <v>741790</v>
      </c>
      <c r="Y3" s="1">
        <v>54210</v>
      </c>
      <c r="Z3" s="1">
        <v>796000</v>
      </c>
      <c r="AA3" s="1">
        <v>161160</v>
      </c>
      <c r="AB3" s="1">
        <v>576280</v>
      </c>
      <c r="AC3" s="1">
        <v>37452</v>
      </c>
      <c r="AD3" s="1">
        <v>54210</v>
      </c>
      <c r="AE3" s="1">
        <v>774892</v>
      </c>
      <c r="AF3" s="1">
        <v>54210</v>
      </c>
      <c r="AG3" s="1">
        <v>829102</v>
      </c>
      <c r="AH3" s="1">
        <v>145044</v>
      </c>
      <c r="AI3" s="1">
        <v>558991.6</v>
      </c>
      <c r="AJ3" s="1">
        <v>26216.400000000001</v>
      </c>
      <c r="AK3" s="1">
        <v>48789</v>
      </c>
      <c r="AL3" s="1">
        <v>730252</v>
      </c>
      <c r="AM3" s="1">
        <v>48789</v>
      </c>
      <c r="AN3" s="1">
        <v>779041</v>
      </c>
      <c r="AO3" s="3" t="s">
        <v>134</v>
      </c>
      <c r="AP3" s="3" t="s">
        <v>134</v>
      </c>
      <c r="AQ3" s="3" t="s">
        <v>134</v>
      </c>
      <c r="AR3" s="3" t="s">
        <v>134</v>
      </c>
      <c r="AS3" s="1">
        <v>467424</v>
      </c>
      <c r="AT3" s="1">
        <v>0</v>
      </c>
      <c r="AU3" s="1">
        <v>467424</v>
      </c>
    </row>
    <row r="4" spans="1:47" s="3" customFormat="1" x14ac:dyDescent="0.3">
      <c r="A4" s="3" t="s">
        <v>46</v>
      </c>
      <c r="B4" s="3" t="s">
        <v>47</v>
      </c>
      <c r="C4" s="3" t="s">
        <v>48</v>
      </c>
      <c r="D4" s="3" t="s">
        <v>61</v>
      </c>
      <c r="E4" s="3" t="s">
        <v>49</v>
      </c>
      <c r="F4" s="3" t="s">
        <v>50</v>
      </c>
      <c r="G4" s="3" t="s">
        <v>96</v>
      </c>
      <c r="H4" s="3" t="s">
        <v>97</v>
      </c>
      <c r="I4" s="3" t="s">
        <v>51</v>
      </c>
      <c r="J4" s="3" t="s">
        <v>63</v>
      </c>
      <c r="K4" s="3" t="s">
        <v>98</v>
      </c>
      <c r="L4" s="3" t="s">
        <v>99</v>
      </c>
      <c r="M4" s="3" t="s">
        <v>100</v>
      </c>
      <c r="N4" s="3" t="s">
        <v>52</v>
      </c>
      <c r="O4" s="3" t="s">
        <v>52</v>
      </c>
      <c r="P4" s="3" t="s">
        <v>52</v>
      </c>
      <c r="Q4" s="3" t="s">
        <v>101</v>
      </c>
      <c r="R4" s="3" t="s">
        <v>53</v>
      </c>
      <c r="S4" s="3" t="s">
        <v>55</v>
      </c>
      <c r="T4" s="1">
        <v>89900</v>
      </c>
      <c r="U4" s="1">
        <v>172300</v>
      </c>
      <c r="V4" s="1">
        <v>42300</v>
      </c>
      <c r="W4" s="1">
        <v>26500</v>
      </c>
      <c r="X4" s="1">
        <v>304500</v>
      </c>
      <c r="Y4" s="1">
        <v>26500</v>
      </c>
      <c r="Z4" s="1">
        <v>331000</v>
      </c>
      <c r="AA4" s="1">
        <v>107880</v>
      </c>
      <c r="AB4" s="1">
        <v>172300</v>
      </c>
      <c r="AC4" s="1">
        <v>50980</v>
      </c>
      <c r="AD4" s="1">
        <v>26500</v>
      </c>
      <c r="AE4" s="1">
        <v>331160</v>
      </c>
      <c r="AF4" s="1">
        <v>26500</v>
      </c>
      <c r="AG4" s="1">
        <v>357660</v>
      </c>
      <c r="AH4" s="1">
        <v>97092</v>
      </c>
      <c r="AI4" s="1">
        <v>167131</v>
      </c>
      <c r="AJ4" s="1">
        <v>35686</v>
      </c>
      <c r="AK4" s="1">
        <v>23850</v>
      </c>
      <c r="AL4" s="1">
        <v>299909</v>
      </c>
      <c r="AM4" s="1">
        <v>23850</v>
      </c>
      <c r="AN4" s="1">
        <v>323759</v>
      </c>
      <c r="AO4" s="3" t="s">
        <v>134</v>
      </c>
      <c r="AP4" s="3" t="s">
        <v>134</v>
      </c>
      <c r="AQ4" s="3" t="s">
        <v>134</v>
      </c>
      <c r="AR4" s="3" t="s">
        <v>134</v>
      </c>
      <c r="AS4" s="1">
        <v>194256</v>
      </c>
      <c r="AT4" s="1">
        <v>0</v>
      </c>
      <c r="AU4" s="1">
        <v>194256</v>
      </c>
    </row>
    <row r="5" spans="1:47" s="3" customFormat="1" x14ac:dyDescent="0.3">
      <c r="A5" s="3" t="s">
        <v>46</v>
      </c>
      <c r="B5" s="3" t="s">
        <v>47</v>
      </c>
      <c r="C5" s="3" t="s">
        <v>48</v>
      </c>
      <c r="D5" s="3" t="s">
        <v>61</v>
      </c>
      <c r="E5" s="3" t="s">
        <v>49</v>
      </c>
      <c r="F5" s="3" t="s">
        <v>50</v>
      </c>
      <c r="G5" s="3" t="s">
        <v>96</v>
      </c>
      <c r="H5" s="3" t="s">
        <v>97</v>
      </c>
      <c r="I5" s="3" t="s">
        <v>51</v>
      </c>
      <c r="J5" s="3" t="s">
        <v>63</v>
      </c>
      <c r="K5" s="3" t="s">
        <v>98</v>
      </c>
      <c r="L5" s="3" t="s">
        <v>99</v>
      </c>
      <c r="M5" s="3" t="s">
        <v>100</v>
      </c>
      <c r="N5" s="3" t="s">
        <v>52</v>
      </c>
      <c r="O5" s="3" t="s">
        <v>52</v>
      </c>
      <c r="P5" s="3" t="s">
        <v>52</v>
      </c>
      <c r="Q5" s="3" t="s">
        <v>101</v>
      </c>
      <c r="R5" s="3" t="s">
        <v>53</v>
      </c>
      <c r="S5" s="3" t="s">
        <v>55</v>
      </c>
      <c r="T5" s="1">
        <v>-3000</v>
      </c>
      <c r="U5" s="1">
        <v>156700</v>
      </c>
      <c r="V5" s="1">
        <v>-1300</v>
      </c>
      <c r="W5" s="1">
        <v>100</v>
      </c>
      <c r="X5" s="1">
        <v>152400</v>
      </c>
      <c r="Y5" s="1">
        <v>100</v>
      </c>
      <c r="Z5" s="1">
        <v>152500</v>
      </c>
      <c r="AA5" s="1">
        <v>-3600</v>
      </c>
      <c r="AB5" s="1">
        <v>156700</v>
      </c>
      <c r="AC5" s="1">
        <v>-1560</v>
      </c>
      <c r="AD5" s="1">
        <v>100</v>
      </c>
      <c r="AE5" s="1">
        <v>151540</v>
      </c>
      <c r="AF5" s="1">
        <v>100</v>
      </c>
      <c r="AG5" s="1">
        <v>151640</v>
      </c>
      <c r="AH5" s="1">
        <v>-3240</v>
      </c>
      <c r="AI5" s="1">
        <v>151999</v>
      </c>
      <c r="AJ5" s="1">
        <v>-1092</v>
      </c>
      <c r="AK5" s="1">
        <v>90</v>
      </c>
      <c r="AL5" s="1">
        <v>147667</v>
      </c>
      <c r="AM5" s="1">
        <v>90</v>
      </c>
      <c r="AN5" s="1">
        <v>147757</v>
      </c>
      <c r="AO5" s="3" t="s">
        <v>134</v>
      </c>
      <c r="AP5" s="3" t="s">
        <v>134</v>
      </c>
      <c r="AQ5" s="3" t="s">
        <v>134</v>
      </c>
      <c r="AR5" s="3" t="s">
        <v>134</v>
      </c>
      <c r="AS5" s="1">
        <v>88654</v>
      </c>
      <c r="AT5" s="1">
        <v>0</v>
      </c>
      <c r="AU5" s="1">
        <v>88654</v>
      </c>
    </row>
    <row r="6" spans="1:47" s="3" customFormat="1" x14ac:dyDescent="0.3">
      <c r="A6" s="3" t="s">
        <v>46</v>
      </c>
      <c r="B6" s="3" t="s">
        <v>47</v>
      </c>
      <c r="C6" s="3" t="s">
        <v>48</v>
      </c>
      <c r="D6" s="3" t="s">
        <v>61</v>
      </c>
      <c r="E6" s="3" t="s">
        <v>49</v>
      </c>
      <c r="F6" s="3" t="s">
        <v>50</v>
      </c>
      <c r="G6" s="3" t="s">
        <v>96</v>
      </c>
      <c r="H6" s="3" t="s">
        <v>97</v>
      </c>
      <c r="I6" s="3" t="s">
        <v>51</v>
      </c>
      <c r="J6" s="3" t="s">
        <v>63</v>
      </c>
      <c r="K6" s="3" t="s">
        <v>98</v>
      </c>
      <c r="L6" s="3" t="s">
        <v>99</v>
      </c>
      <c r="M6" s="3" t="s">
        <v>100</v>
      </c>
      <c r="N6" s="3" t="s">
        <v>52</v>
      </c>
      <c r="O6" s="3" t="s">
        <v>52</v>
      </c>
      <c r="P6" s="3" t="s">
        <v>52</v>
      </c>
      <c r="Q6" s="3" t="s">
        <v>101</v>
      </c>
      <c r="R6" s="3" t="s">
        <v>53</v>
      </c>
      <c r="S6" s="3" t="s">
        <v>58</v>
      </c>
      <c r="T6" s="1">
        <v>3741410</v>
      </c>
      <c r="U6" s="1">
        <v>3744740</v>
      </c>
      <c r="V6" s="1">
        <v>871090</v>
      </c>
      <c r="W6" s="1">
        <v>2641760</v>
      </c>
      <c r="X6" s="1">
        <v>8357240</v>
      </c>
      <c r="Y6" s="1">
        <v>2641760</v>
      </c>
      <c r="Z6" s="1">
        <v>10999000</v>
      </c>
      <c r="AA6" s="1">
        <v>4489692</v>
      </c>
      <c r="AB6" s="1">
        <v>3744740</v>
      </c>
      <c r="AC6" s="1">
        <v>1044299</v>
      </c>
      <c r="AD6" s="1">
        <v>2641760</v>
      </c>
      <c r="AE6" s="1">
        <v>9278731</v>
      </c>
      <c r="AF6" s="1">
        <v>2641760</v>
      </c>
      <c r="AG6" s="1">
        <v>11920491</v>
      </c>
      <c r="AH6" s="1">
        <v>4040722.8</v>
      </c>
      <c r="AI6" s="1">
        <v>3632397.8</v>
      </c>
      <c r="AJ6" s="1">
        <v>731009.3</v>
      </c>
      <c r="AK6" s="1">
        <v>2377584</v>
      </c>
      <c r="AL6" s="1">
        <v>8404129.9000000004</v>
      </c>
      <c r="AM6" s="1">
        <v>2377584</v>
      </c>
      <c r="AN6" s="1">
        <v>10781713.9</v>
      </c>
      <c r="AO6" s="3" t="s">
        <v>134</v>
      </c>
      <c r="AP6" s="3" t="s">
        <v>134</v>
      </c>
      <c r="AQ6" s="3" t="s">
        <v>134</v>
      </c>
      <c r="AR6" s="3" t="s">
        <v>134</v>
      </c>
      <c r="AS6" s="1">
        <v>6469029</v>
      </c>
      <c r="AT6" s="1">
        <v>0</v>
      </c>
      <c r="AU6" s="1">
        <v>6469029</v>
      </c>
    </row>
    <row r="7" spans="1:47" s="3" customFormat="1" x14ac:dyDescent="0.3">
      <c r="A7" s="3" t="s">
        <v>46</v>
      </c>
      <c r="B7" s="3" t="s">
        <v>47</v>
      </c>
      <c r="C7" s="3" t="s">
        <v>48</v>
      </c>
      <c r="D7" s="3" t="s">
        <v>61</v>
      </c>
      <c r="E7" s="3" t="s">
        <v>49</v>
      </c>
      <c r="F7" s="3" t="s">
        <v>50</v>
      </c>
      <c r="G7" s="3" t="s">
        <v>96</v>
      </c>
      <c r="H7" s="3" t="s">
        <v>97</v>
      </c>
      <c r="I7" s="3" t="s">
        <v>51</v>
      </c>
      <c r="J7" s="3" t="s">
        <v>63</v>
      </c>
      <c r="K7" s="3" t="s">
        <v>98</v>
      </c>
      <c r="L7" s="3" t="s">
        <v>99</v>
      </c>
      <c r="M7" s="3" t="s">
        <v>100</v>
      </c>
      <c r="N7" s="3" t="s">
        <v>52</v>
      </c>
      <c r="O7" s="3" t="s">
        <v>52</v>
      </c>
      <c r="P7" s="3" t="s">
        <v>52</v>
      </c>
      <c r="Q7" s="3" t="s">
        <v>101</v>
      </c>
      <c r="R7" s="3" t="s">
        <v>53</v>
      </c>
      <c r="S7" s="3" t="s">
        <v>59</v>
      </c>
      <c r="T7" s="1">
        <v>1206300</v>
      </c>
      <c r="U7" s="1">
        <v>2799350</v>
      </c>
      <c r="V7" s="1">
        <v>332310</v>
      </c>
      <c r="W7" s="1">
        <v>689840</v>
      </c>
      <c r="X7" s="1">
        <v>4337960</v>
      </c>
      <c r="Y7" s="1">
        <v>689840</v>
      </c>
      <c r="Z7" s="1">
        <v>5027800</v>
      </c>
      <c r="AA7" s="1">
        <v>1447560</v>
      </c>
      <c r="AB7" s="1">
        <v>2799350</v>
      </c>
      <c r="AC7" s="1">
        <v>398772</v>
      </c>
      <c r="AD7" s="1">
        <v>689840</v>
      </c>
      <c r="AE7" s="1">
        <v>4645682</v>
      </c>
      <c r="AF7" s="1">
        <v>689840</v>
      </c>
      <c r="AG7" s="1">
        <v>5335522</v>
      </c>
      <c r="AH7" s="1">
        <v>1302804</v>
      </c>
      <c r="AI7" s="1">
        <v>2715369.5</v>
      </c>
      <c r="AJ7" s="1">
        <v>279140.40000000002</v>
      </c>
      <c r="AK7" s="1">
        <v>620856</v>
      </c>
      <c r="AL7" s="1">
        <v>4297313.9000000004</v>
      </c>
      <c r="AM7" s="1">
        <v>620856</v>
      </c>
      <c r="AN7" s="1">
        <v>4918169.9000000004</v>
      </c>
      <c r="AO7" s="3" t="s">
        <v>134</v>
      </c>
      <c r="AP7" s="3" t="s">
        <v>134</v>
      </c>
      <c r="AQ7" s="3" t="s">
        <v>134</v>
      </c>
      <c r="AR7" s="3" t="s">
        <v>134</v>
      </c>
      <c r="AS7" s="1">
        <v>2950902</v>
      </c>
      <c r="AT7" s="1">
        <v>0</v>
      </c>
      <c r="AU7" s="1">
        <v>2950902</v>
      </c>
    </row>
    <row r="8" spans="1:47" s="3" customFormat="1" x14ac:dyDescent="0.3">
      <c r="A8" s="3" t="s">
        <v>46</v>
      </c>
      <c r="B8" s="3" t="s">
        <v>47</v>
      </c>
      <c r="C8" s="3" t="s">
        <v>48</v>
      </c>
      <c r="D8" s="3" t="s">
        <v>61</v>
      </c>
      <c r="E8" s="3" t="s">
        <v>49</v>
      </c>
      <c r="F8" s="3" t="s">
        <v>50</v>
      </c>
      <c r="G8" s="3" t="s">
        <v>96</v>
      </c>
      <c r="H8" s="3" t="s">
        <v>97</v>
      </c>
      <c r="I8" s="3" t="s">
        <v>51</v>
      </c>
      <c r="J8" s="3" t="s">
        <v>63</v>
      </c>
      <c r="K8" s="3" t="s">
        <v>98</v>
      </c>
      <c r="L8" s="3" t="s">
        <v>99</v>
      </c>
      <c r="M8" s="3" t="s">
        <v>100</v>
      </c>
      <c r="N8" s="3" t="s">
        <v>52</v>
      </c>
      <c r="O8" s="3" t="s">
        <v>52</v>
      </c>
      <c r="P8" s="3" t="s">
        <v>52</v>
      </c>
      <c r="Q8" s="3" t="s">
        <v>101</v>
      </c>
      <c r="R8" s="3" t="s">
        <v>53</v>
      </c>
      <c r="S8" s="3" t="s">
        <v>59</v>
      </c>
      <c r="T8" s="1">
        <v>480380</v>
      </c>
      <c r="U8" s="1">
        <v>756060</v>
      </c>
      <c r="V8" s="1">
        <v>142840</v>
      </c>
      <c r="W8" s="1">
        <v>102920</v>
      </c>
      <c r="X8" s="1">
        <v>1379280</v>
      </c>
      <c r="Y8" s="1">
        <v>102920</v>
      </c>
      <c r="Z8" s="1">
        <v>1482200</v>
      </c>
      <c r="AA8" s="1">
        <v>576456</v>
      </c>
      <c r="AB8" s="1">
        <v>756060</v>
      </c>
      <c r="AC8" s="1">
        <v>171408</v>
      </c>
      <c r="AD8" s="1">
        <v>102920</v>
      </c>
      <c r="AE8" s="1">
        <v>1503924</v>
      </c>
      <c r="AF8" s="1">
        <v>102920</v>
      </c>
      <c r="AG8" s="1">
        <v>1606844</v>
      </c>
      <c r="AH8" s="1">
        <v>518810.4</v>
      </c>
      <c r="AI8" s="1">
        <v>733378.2</v>
      </c>
      <c r="AJ8" s="1">
        <v>119985.60000000001</v>
      </c>
      <c r="AK8" s="1">
        <v>92628</v>
      </c>
      <c r="AL8" s="1">
        <v>1372174.2</v>
      </c>
      <c r="AM8" s="1">
        <v>92628</v>
      </c>
      <c r="AN8" s="1">
        <v>1464802.2</v>
      </c>
      <c r="AO8" s="3" t="s">
        <v>134</v>
      </c>
      <c r="AP8" s="3" t="s">
        <v>134</v>
      </c>
      <c r="AQ8" s="3" t="s">
        <v>134</v>
      </c>
      <c r="AR8" s="3" t="s">
        <v>134</v>
      </c>
      <c r="AS8" s="1">
        <v>878881</v>
      </c>
      <c r="AT8" s="1">
        <v>0</v>
      </c>
      <c r="AU8" s="1">
        <v>878881</v>
      </c>
    </row>
    <row r="9" spans="1:47" s="3" customFormat="1" x14ac:dyDescent="0.3">
      <c r="A9" s="3" t="s">
        <v>46</v>
      </c>
      <c r="B9" s="3" t="s">
        <v>47</v>
      </c>
      <c r="C9" s="3" t="s">
        <v>48</v>
      </c>
      <c r="D9" s="3" t="s">
        <v>61</v>
      </c>
      <c r="E9" s="3" t="s">
        <v>49</v>
      </c>
      <c r="F9" s="3" t="s">
        <v>50</v>
      </c>
      <c r="G9" s="3" t="s">
        <v>96</v>
      </c>
      <c r="H9" s="3" t="s">
        <v>97</v>
      </c>
      <c r="I9" s="3" t="s">
        <v>51</v>
      </c>
      <c r="J9" s="3" t="s">
        <v>63</v>
      </c>
      <c r="K9" s="3" t="s">
        <v>98</v>
      </c>
      <c r="L9" s="3" t="s">
        <v>99</v>
      </c>
      <c r="M9" s="3" t="s">
        <v>100</v>
      </c>
      <c r="N9" s="3" t="s">
        <v>52</v>
      </c>
      <c r="O9" s="3" t="s">
        <v>52</v>
      </c>
      <c r="P9" s="3" t="s">
        <v>52</v>
      </c>
      <c r="Q9" s="3" t="s">
        <v>101</v>
      </c>
      <c r="R9" s="3" t="s">
        <v>53</v>
      </c>
      <c r="S9" s="3" t="s">
        <v>59</v>
      </c>
      <c r="T9" s="1">
        <v>56900</v>
      </c>
      <c r="U9" s="1">
        <v>114900</v>
      </c>
      <c r="V9" s="1">
        <v>-1400</v>
      </c>
      <c r="W9" s="1">
        <v>35000</v>
      </c>
      <c r="X9" s="1">
        <v>170400</v>
      </c>
      <c r="Y9" s="1">
        <v>35000</v>
      </c>
      <c r="Z9" s="1">
        <v>205400</v>
      </c>
      <c r="AA9" s="1">
        <v>68280</v>
      </c>
      <c r="AB9" s="1">
        <v>114900</v>
      </c>
      <c r="AC9" s="1">
        <v>-1680</v>
      </c>
      <c r="AD9" s="1">
        <v>35000</v>
      </c>
      <c r="AE9" s="1">
        <v>181500</v>
      </c>
      <c r="AF9" s="1">
        <v>35000</v>
      </c>
      <c r="AG9" s="1">
        <v>216500</v>
      </c>
      <c r="AH9" s="1">
        <v>61452</v>
      </c>
      <c r="AI9" s="1">
        <v>111453</v>
      </c>
      <c r="AJ9" s="1">
        <v>-1176</v>
      </c>
      <c r="AK9" s="1">
        <v>31500</v>
      </c>
      <c r="AL9" s="1">
        <v>171729</v>
      </c>
      <c r="AM9" s="1">
        <v>31500</v>
      </c>
      <c r="AN9" s="1">
        <v>203229</v>
      </c>
      <c r="AO9" s="3" t="s">
        <v>134</v>
      </c>
      <c r="AP9" s="3" t="s">
        <v>134</v>
      </c>
      <c r="AQ9" s="3" t="s">
        <v>134</v>
      </c>
      <c r="AR9" s="3" t="s">
        <v>134</v>
      </c>
      <c r="AS9" s="1">
        <v>121937</v>
      </c>
      <c r="AT9" s="1">
        <v>0</v>
      </c>
      <c r="AU9" s="1">
        <v>121937</v>
      </c>
    </row>
    <row r="10" spans="1:47" x14ac:dyDescent="0.3">
      <c r="AU10" s="5">
        <f>SUM(AU2:AU9)</f>
        <v>11699598</v>
      </c>
    </row>
    <row r="12" spans="1:47" x14ac:dyDescent="0.3">
      <c r="A12" s="6" t="s">
        <v>124</v>
      </c>
      <c r="B12" s="7"/>
      <c r="C12" s="7"/>
      <c r="D12" s="8"/>
    </row>
    <row r="13" spans="1:47" x14ac:dyDescent="0.3">
      <c r="A13" s="9" t="s">
        <v>117</v>
      </c>
      <c r="B13" s="9" t="s">
        <v>104</v>
      </c>
      <c r="C13" s="9" t="s">
        <v>118</v>
      </c>
      <c r="D13" s="9" t="s">
        <v>119</v>
      </c>
    </row>
    <row r="14" spans="1:47" x14ac:dyDescent="0.3">
      <c r="A14" s="10">
        <v>202208</v>
      </c>
      <c r="B14" s="11">
        <v>30000000</v>
      </c>
      <c r="C14" s="16"/>
      <c r="D14" s="13"/>
    </row>
    <row r="15" spans="1:47" x14ac:dyDescent="0.3">
      <c r="A15" s="10">
        <v>202208</v>
      </c>
      <c r="B15" s="11">
        <v>100000000</v>
      </c>
      <c r="C15" s="27">
        <v>79077465</v>
      </c>
      <c r="D15" s="13">
        <f>B14+B15-C15</f>
        <v>50922535</v>
      </c>
    </row>
    <row r="16" spans="1:47" s="3" customFormat="1" x14ac:dyDescent="0.3">
      <c r="A16" s="10">
        <v>202209</v>
      </c>
      <c r="B16" s="11"/>
      <c r="C16" s="27">
        <f>AU10</f>
        <v>11699598</v>
      </c>
      <c r="D16" s="13">
        <f>D15-C16</f>
        <v>39222937</v>
      </c>
    </row>
    <row r="17" spans="1:4" x14ac:dyDescent="0.3">
      <c r="A17" s="20" t="s">
        <v>111</v>
      </c>
      <c r="B17" s="21">
        <f>SUM(B14:B15)</f>
        <v>130000000</v>
      </c>
      <c r="C17" s="28">
        <f>SUM(C15:C16)</f>
        <v>90777063</v>
      </c>
      <c r="D17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7</vt:i4>
      </vt:variant>
    </vt:vector>
  </HeadingPairs>
  <TitlesOfParts>
    <vt:vector size="16" baseType="lpstr">
      <vt:lpstr>합계(9)</vt:lpstr>
      <vt:lpstr>컨헤라_마왕의 딸</vt:lpstr>
      <vt:lpstr>컨헤라_회귀의 전설</vt:lpstr>
      <vt:lpstr>구디스튜디오_간신이 나라를 살림</vt:lpstr>
      <vt:lpstr>구디스튜디오_기사가문</vt:lpstr>
      <vt:lpstr>구디스튜디오_신을 죽이러</vt:lpstr>
      <vt:lpstr>스토리위즈_새파랗게 어린</vt:lpstr>
      <vt:lpstr>스토리위즈_황녀, 미친 꽃으로 피어나다</vt:lpstr>
      <vt:lpstr>스토리위즈_착한 언니는 없다</vt:lpstr>
      <vt:lpstr>'구디스튜디오_간신이 나라를 살림'!Extract</vt:lpstr>
      <vt:lpstr>구디스튜디오_기사가문!Extract</vt:lpstr>
      <vt:lpstr>'스토리위즈_새파랗게 어린'!Extract</vt:lpstr>
      <vt:lpstr>'스토리위즈_착한 언니는 없다'!Extract</vt:lpstr>
      <vt:lpstr>'스토리위즈_황녀, 미친 꽃으로 피어나다'!Extract</vt:lpstr>
      <vt:lpstr>'컨헤라_마왕의 딸'!Extract</vt:lpstr>
      <vt:lpstr>'컨헤라_회귀의 전설'!Extract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2022-10-06T06:40:31Z</dcterms:modified>
</cp:coreProperties>
</file>