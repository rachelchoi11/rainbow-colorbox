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2. 월중 마감\"/>
    </mc:Choice>
  </mc:AlternateContent>
  <bookViews>
    <workbookView xWindow="0" yWindow="0" windowWidth="23040" windowHeight="8835"/>
  </bookViews>
  <sheets>
    <sheet name="05~08" sheetId="1" r:id="rId1"/>
    <sheet name="05(플랫폼전달)" sheetId="5" r:id="rId2"/>
    <sheet name="06(플랫폼전달)" sheetId="4" r:id="rId3"/>
    <sheet name="07(플랫폼전달)" sheetId="3" r:id="rId4"/>
    <sheet name="08(플랫폼전달)" sheetId="6" r:id="rId5"/>
  </sheets>
  <calcPr calcId="152511"/>
</workbook>
</file>

<file path=xl/calcChain.xml><?xml version="1.0" encoding="utf-8"?>
<calcChain xmlns="http://schemas.openxmlformats.org/spreadsheetml/2006/main">
  <c r="M20" i="1" l="1"/>
  <c r="M21" i="1"/>
  <c r="M22" i="1"/>
  <c r="M23" i="1"/>
  <c r="M24" i="1"/>
  <c r="M25" i="1"/>
  <c r="M26" i="1"/>
  <c r="M27" i="1"/>
  <c r="M28" i="1"/>
  <c r="M29" i="1"/>
  <c r="M30" i="1"/>
  <c r="M19" i="1"/>
  <c r="M3" i="1"/>
  <c r="M4" i="1"/>
  <c r="M5" i="1"/>
  <c r="M6" i="1"/>
  <c r="M7" i="1"/>
  <c r="M8" i="1"/>
  <c r="M9" i="1"/>
  <c r="M10" i="1"/>
  <c r="M11" i="1"/>
  <c r="M12" i="1"/>
  <c r="M13" i="1"/>
  <c r="M2" i="1"/>
  <c r="M63" i="1" l="1"/>
  <c r="Q5" i="1"/>
  <c r="Q4" i="1"/>
  <c r="Q3" i="1"/>
  <c r="Q2" i="1"/>
  <c r="Q6" i="1" s="1"/>
  <c r="S22" i="6"/>
  <c r="S20" i="3"/>
  <c r="E25" i="4"/>
  <c r="E17" i="5"/>
  <c r="D25" i="6"/>
  <c r="S21" i="6" s="1"/>
  <c r="P14" i="6"/>
  <c r="N14" i="6"/>
  <c r="O14" i="6" s="1"/>
  <c r="K14" i="6"/>
  <c r="L14" i="6" s="1"/>
  <c r="I14" i="6"/>
  <c r="H14" i="6"/>
  <c r="R14" i="6" s="1"/>
  <c r="T14" i="6" s="1"/>
  <c r="F14" i="6"/>
  <c r="Q14" i="6" s="1"/>
  <c r="P13" i="6"/>
  <c r="N13" i="6"/>
  <c r="O13" i="6" s="1"/>
  <c r="L13" i="6"/>
  <c r="K13" i="6"/>
  <c r="I13" i="6"/>
  <c r="H13" i="6"/>
  <c r="F13" i="6"/>
  <c r="R13" i="6" s="1"/>
  <c r="T13" i="6" s="1"/>
  <c r="P12" i="6"/>
  <c r="N12" i="6"/>
  <c r="O12" i="6" s="1"/>
  <c r="K12" i="6"/>
  <c r="L12" i="6" s="1"/>
  <c r="H12" i="6"/>
  <c r="I12" i="6" s="1"/>
  <c r="F12" i="6"/>
  <c r="P11" i="6"/>
  <c r="N11" i="6"/>
  <c r="O11" i="6" s="1"/>
  <c r="K11" i="6"/>
  <c r="L11" i="6" s="1"/>
  <c r="I11" i="6"/>
  <c r="H11" i="6"/>
  <c r="F11" i="6"/>
  <c r="P10" i="6"/>
  <c r="N10" i="6"/>
  <c r="O10" i="6" s="1"/>
  <c r="K10" i="6"/>
  <c r="L10" i="6" s="1"/>
  <c r="H10" i="6"/>
  <c r="I10" i="6" s="1"/>
  <c r="F10" i="6"/>
  <c r="R10" i="6" s="1"/>
  <c r="T10" i="6" s="1"/>
  <c r="P9" i="6"/>
  <c r="O9" i="6"/>
  <c r="N9" i="6"/>
  <c r="L9" i="6"/>
  <c r="K9" i="6"/>
  <c r="H9" i="6"/>
  <c r="I9" i="6" s="1"/>
  <c r="F9" i="6"/>
  <c r="Q9" i="6" s="1"/>
  <c r="P8" i="6"/>
  <c r="N8" i="6"/>
  <c r="O8" i="6" s="1"/>
  <c r="K8" i="6"/>
  <c r="L8" i="6" s="1"/>
  <c r="H8" i="6"/>
  <c r="I8" i="6" s="1"/>
  <c r="F8" i="6"/>
  <c r="Q8" i="6" s="1"/>
  <c r="P7" i="6"/>
  <c r="P15" i="6" s="1"/>
  <c r="O7" i="6"/>
  <c r="N7" i="6"/>
  <c r="L7" i="6"/>
  <c r="K7" i="6"/>
  <c r="I7" i="6"/>
  <c r="H7" i="6"/>
  <c r="F7" i="6"/>
  <c r="Q7" i="6" s="1"/>
  <c r="P6" i="6"/>
  <c r="N6" i="6"/>
  <c r="O6" i="6" s="1"/>
  <c r="K6" i="6"/>
  <c r="L6" i="6" s="1"/>
  <c r="H6" i="6"/>
  <c r="I6" i="6" s="1"/>
  <c r="R6" i="6" s="1"/>
  <c r="T6" i="6" s="1"/>
  <c r="F6" i="6"/>
  <c r="Q6" i="6" s="1"/>
  <c r="P5" i="6"/>
  <c r="N5" i="6"/>
  <c r="N15" i="6" s="1"/>
  <c r="L5" i="6"/>
  <c r="K5" i="6"/>
  <c r="K15" i="6" s="1"/>
  <c r="I5" i="6"/>
  <c r="H5" i="6"/>
  <c r="H15" i="6" s="1"/>
  <c r="F5" i="6"/>
  <c r="I15" i="6" l="1"/>
  <c r="R12" i="6"/>
  <c r="T12" i="6" s="1"/>
  <c r="L15" i="6"/>
  <c r="R11" i="6"/>
  <c r="T11" i="6" s="1"/>
  <c r="R7" i="6"/>
  <c r="T7" i="6" s="1"/>
  <c r="Q10" i="6"/>
  <c r="R9" i="6"/>
  <c r="T9" i="6" s="1"/>
  <c r="Q12" i="6"/>
  <c r="F15" i="6"/>
  <c r="Q5" i="6"/>
  <c r="Q13" i="6"/>
  <c r="O5" i="6"/>
  <c r="O15" i="6" s="1"/>
  <c r="R8" i="6"/>
  <c r="T8" i="6" s="1"/>
  <c r="Q11" i="6"/>
  <c r="Q15" i="6" l="1"/>
  <c r="R5" i="6"/>
  <c r="T5" i="6" s="1"/>
  <c r="T15" i="6" s="1"/>
  <c r="S20" i="6" s="1"/>
  <c r="D11" i="5" l="1"/>
  <c r="C11" i="5"/>
  <c r="F10" i="5"/>
  <c r="F9" i="5"/>
  <c r="F8" i="5"/>
  <c r="F7" i="5"/>
  <c r="F6" i="5"/>
  <c r="F5" i="5"/>
  <c r="F11" i="5" s="1"/>
  <c r="D23" i="4" l="1"/>
  <c r="D14" i="4"/>
  <c r="C14" i="4"/>
  <c r="F13" i="4"/>
  <c r="F12" i="4"/>
  <c r="F11" i="4"/>
  <c r="F10" i="4"/>
  <c r="F9" i="4"/>
  <c r="F8" i="4"/>
  <c r="F7" i="4"/>
  <c r="F6" i="4"/>
  <c r="F5" i="4"/>
  <c r="F14" i="4" s="1"/>
  <c r="D23" i="3" l="1"/>
  <c r="S19" i="3" s="1"/>
  <c r="P12" i="3"/>
  <c r="N12" i="3"/>
  <c r="O12" i="3" s="1"/>
  <c r="K12" i="3"/>
  <c r="L12" i="3" s="1"/>
  <c r="H12" i="3"/>
  <c r="F12" i="3"/>
  <c r="Q12" i="3" s="1"/>
  <c r="P11" i="3"/>
  <c r="N11" i="3"/>
  <c r="O11" i="3" s="1"/>
  <c r="L11" i="3"/>
  <c r="K11" i="3"/>
  <c r="I11" i="3"/>
  <c r="H11" i="3"/>
  <c r="F11" i="3"/>
  <c r="P10" i="3"/>
  <c r="N10" i="3"/>
  <c r="O10" i="3" s="1"/>
  <c r="K10" i="3"/>
  <c r="L10" i="3" s="1"/>
  <c r="H10" i="3"/>
  <c r="I10" i="3" s="1"/>
  <c r="F10" i="3"/>
  <c r="P9" i="3"/>
  <c r="N9" i="3"/>
  <c r="O9" i="3" s="1"/>
  <c r="K9" i="3"/>
  <c r="L9" i="3" s="1"/>
  <c r="I9" i="3"/>
  <c r="H9" i="3"/>
  <c r="F9" i="3"/>
  <c r="R9" i="3" s="1"/>
  <c r="T9" i="3" s="1"/>
  <c r="P8" i="3"/>
  <c r="N8" i="3"/>
  <c r="O8" i="3" s="1"/>
  <c r="K8" i="3"/>
  <c r="L8" i="3" s="1"/>
  <c r="I8" i="3"/>
  <c r="H8" i="3"/>
  <c r="F8" i="3"/>
  <c r="R8" i="3" s="1"/>
  <c r="T8" i="3" s="1"/>
  <c r="P7" i="3"/>
  <c r="N7" i="3"/>
  <c r="O7" i="3" s="1"/>
  <c r="K7" i="3"/>
  <c r="L7" i="3" s="1"/>
  <c r="H7" i="3"/>
  <c r="I7" i="3" s="1"/>
  <c r="F7" i="3"/>
  <c r="Q7" i="3" s="1"/>
  <c r="P6" i="3"/>
  <c r="N6" i="3"/>
  <c r="O6" i="3" s="1"/>
  <c r="K6" i="3"/>
  <c r="L6" i="3" s="1"/>
  <c r="H6" i="3"/>
  <c r="I6" i="3" s="1"/>
  <c r="F6" i="3"/>
  <c r="R6" i="3" s="1"/>
  <c r="T6" i="3" s="1"/>
  <c r="P5" i="3"/>
  <c r="P13" i="3" s="1"/>
  <c r="O5" i="3"/>
  <c r="N5" i="3"/>
  <c r="N13" i="3" s="1"/>
  <c r="K5" i="3"/>
  <c r="L5" i="3" s="1"/>
  <c r="H5" i="3"/>
  <c r="I5" i="3" s="1"/>
  <c r="F5" i="3"/>
  <c r="Q5" i="3" s="1"/>
  <c r="R11" i="3" l="1"/>
  <c r="T11" i="3" s="1"/>
  <c r="L13" i="3"/>
  <c r="R10" i="3"/>
  <c r="T10" i="3" s="1"/>
  <c r="O13" i="3"/>
  <c r="I12" i="3"/>
  <c r="R12" i="3" s="1"/>
  <c r="T12" i="3" s="1"/>
  <c r="R7" i="3"/>
  <c r="T7" i="3" s="1"/>
  <c r="Q10" i="3"/>
  <c r="R5" i="3"/>
  <c r="T5" i="3" s="1"/>
  <c r="Q8" i="3"/>
  <c r="H13" i="3"/>
  <c r="F13" i="3"/>
  <c r="Q11" i="3"/>
  <c r="Q6" i="3"/>
  <c r="Q13" i="3" s="1"/>
  <c r="K13" i="3"/>
  <c r="Q9" i="3"/>
  <c r="T13" i="3" l="1"/>
  <c r="S18" i="3" s="1"/>
  <c r="I13" i="3"/>
</calcChain>
</file>

<file path=xl/sharedStrings.xml><?xml version="1.0" encoding="utf-8"?>
<sst xmlns="http://schemas.openxmlformats.org/spreadsheetml/2006/main" count="415" uniqueCount="101">
  <si>
    <t>No</t>
  </si>
  <si>
    <t>CP명</t>
  </si>
  <si>
    <t>작품명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</si>
  <si>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</si>
  <si>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</si>
  <si>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</si>
  <si>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</si>
  <si>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</si>
  <si>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</si>
  <si>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</si>
  <si>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</si>
  <si>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</si>
  <si>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</si>
  <si>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-</t>
  </si>
  <si>
    <t>CP</t>
  </si>
  <si>
    <t>매출액</t>
  </si>
  <si>
    <t>그 남자의 사랑방식</t>
  </si>
  <si>
    <t>달콤한 결혼</t>
  </si>
  <si>
    <t>달콤한 키스</t>
  </si>
  <si>
    <t>대표님과 연애를 시작했습니다</t>
  </si>
  <si>
    <t>보스 오빠, 살살!</t>
  </si>
  <si>
    <t>예쁜 남자 잘생긴 여자</t>
  </si>
  <si>
    <t>검의 수호자</t>
  </si>
  <si>
    <t>달콤한 그와 결혼했습니다</t>
  </si>
  <si>
    <t>역전의 샤이닝스타!</t>
  </si>
  <si>
    <t>천년의 사랑</t>
  </si>
  <si>
    <t>황제의 사랑방식</t>
  </si>
  <si>
    <t>엔젤일진</t>
  </si>
  <si>
    <t>지금은 여장중!</t>
  </si>
  <si>
    <t>바람의 전설</t>
  </si>
  <si>
    <t>ASP</t>
    <phoneticPr fontId="23" type="noConversion"/>
  </si>
  <si>
    <t>스토리위즈 - 애니툰 7월 정산내역</t>
    <phoneticPr fontId="23" type="noConversion"/>
  </si>
  <si>
    <t xml:space="preserve">7월 RS (M+1정산) </t>
  </si>
  <si>
    <t xml:space="preserve"> *WEB 수수료 없음(당사부담)</t>
  </si>
  <si>
    <t>구분</t>
  </si>
  <si>
    <t>코인단가</t>
  </si>
  <si>
    <r>
      <t>결제유형(</t>
    </r>
    <r>
      <rPr>
        <sz val="11"/>
        <color rgb="FF000000"/>
        <rFont val="맑은 고딕"/>
        <family val="3"/>
        <charset val="129"/>
      </rPr>
      <t>WEB)</t>
    </r>
    <phoneticPr fontId="23" type="noConversion"/>
  </si>
  <si>
    <t>결제유형(ONESTORE)</t>
    <phoneticPr fontId="23" type="noConversion"/>
  </si>
  <si>
    <t>결제유형(GOOGLE)</t>
    <phoneticPr fontId="23" type="noConversion"/>
  </si>
  <si>
    <t>결제유형(IOS)</t>
    <phoneticPr fontId="23" type="noConversion"/>
  </si>
  <si>
    <t>코인합계</t>
  </si>
  <si>
    <t>총매출액</t>
    <phoneticPr fontId="23" type="noConversion"/>
  </si>
  <si>
    <t>순매출액</t>
    <phoneticPr fontId="23" type="noConversion"/>
  </si>
  <si>
    <t>R/S (%)</t>
    <phoneticPr fontId="23" type="noConversion"/>
  </si>
  <si>
    <t>지급액</t>
    <phoneticPr fontId="23" type="noConversion"/>
  </si>
  <si>
    <t>소진코인</t>
  </si>
  <si>
    <t>코인 매출액</t>
  </si>
  <si>
    <t>마켓수수료
(15%)</t>
  </si>
  <si>
    <t>마켓수수료
(30%)</t>
  </si>
  <si>
    <t>RS</t>
  </si>
  <si>
    <t>무령후</t>
  </si>
  <si>
    <t>심연의 눈</t>
  </si>
  <si>
    <t>RS 합계</t>
  </si>
  <si>
    <t xml:space="preserve">6월 ASP (M+2정산) </t>
  </si>
  <si>
    <t>CP</t>
    <phoneticPr fontId="23" type="noConversion"/>
  </si>
  <si>
    <t>지급액</t>
    <phoneticPr fontId="23" type="noConversion"/>
  </si>
  <si>
    <t>RS</t>
    <phoneticPr fontId="23" type="noConversion"/>
  </si>
  <si>
    <t>ASP</t>
    <phoneticPr fontId="23" type="noConversion"/>
  </si>
  <si>
    <r>
      <t>A</t>
    </r>
    <r>
      <rPr>
        <sz val="13"/>
        <color rgb="FF000000"/>
        <rFont val="맑은 고딕"/>
        <family val="3"/>
        <charset val="129"/>
      </rPr>
      <t>SP</t>
    </r>
    <phoneticPr fontId="23" type="noConversion"/>
  </si>
  <si>
    <t>총 지급액</t>
    <phoneticPr fontId="23" type="noConversion"/>
  </si>
  <si>
    <t>스토리위즈(웹툰) - 애니툰 정산내역</t>
    <phoneticPr fontId="23" type="noConversion"/>
  </si>
  <si>
    <t>RS : 6월(M+1정산)</t>
    <phoneticPr fontId="23" type="noConversion"/>
  </si>
  <si>
    <t>코인합계</t>
    <phoneticPr fontId="23" type="noConversion"/>
  </si>
  <si>
    <t>지급액</t>
    <phoneticPr fontId="23" type="noConversion"/>
  </si>
  <si>
    <t>RS : 5월(M+1정산)</t>
    <phoneticPr fontId="23" type="noConversion"/>
  </si>
  <si>
    <t>ASP사</t>
    <phoneticPr fontId="23" type="noConversion"/>
  </si>
  <si>
    <t>지급액</t>
    <phoneticPr fontId="23" type="noConversion"/>
  </si>
  <si>
    <t>OCB</t>
    <phoneticPr fontId="23" type="noConversion"/>
  </si>
  <si>
    <t>-</t>
    <phoneticPr fontId="23" type="noConversion"/>
  </si>
  <si>
    <t>총 지급액</t>
    <phoneticPr fontId="23" type="noConversion"/>
  </si>
  <si>
    <t>스토리위즈(웹툰) - 애니툰 정산내역</t>
    <phoneticPr fontId="23" type="noConversion"/>
  </si>
  <si>
    <t>RS : 5월(M+1정산)</t>
    <phoneticPr fontId="23" type="noConversion"/>
  </si>
  <si>
    <t>코인합계</t>
    <phoneticPr fontId="23" type="noConversion"/>
  </si>
  <si>
    <t>R/S (%)</t>
    <phoneticPr fontId="23" type="noConversion"/>
  </si>
  <si>
    <t>지급액</t>
    <phoneticPr fontId="23" type="noConversion"/>
  </si>
  <si>
    <t>총 지급액</t>
    <phoneticPr fontId="23" type="noConversion"/>
  </si>
  <si>
    <t>스토리위즈 - 애니툰 8월 정산내역</t>
    <phoneticPr fontId="23" type="noConversion"/>
  </si>
  <si>
    <t xml:space="preserve">8월 RS (M+1정산) </t>
    <phoneticPr fontId="23" type="noConversion"/>
  </si>
  <si>
    <r>
      <t>결제유형(</t>
    </r>
    <r>
      <rPr>
        <sz val="11"/>
        <color rgb="FF000000"/>
        <rFont val="맑은 고딕"/>
        <family val="3"/>
        <charset val="129"/>
      </rPr>
      <t>WEB)</t>
    </r>
    <phoneticPr fontId="23" type="noConversion"/>
  </si>
  <si>
    <t>결제유형(ONESTORE)</t>
    <phoneticPr fontId="23" type="noConversion"/>
  </si>
  <si>
    <t>결제유형(GOOGLE)</t>
    <phoneticPr fontId="23" type="noConversion"/>
  </si>
  <si>
    <t>결제유형(IOS)</t>
    <phoneticPr fontId="23" type="noConversion"/>
  </si>
  <si>
    <t>총매출액</t>
    <phoneticPr fontId="23" type="noConversion"/>
  </si>
  <si>
    <t>순매출액</t>
    <phoneticPr fontId="23" type="noConversion"/>
  </si>
  <si>
    <t>R/S (%)</t>
    <phoneticPr fontId="23" type="noConversion"/>
  </si>
  <si>
    <t>지급액</t>
    <phoneticPr fontId="23" type="noConversion"/>
  </si>
  <si>
    <t>이웃집 아이돌</t>
  </si>
  <si>
    <t xml:space="preserve">7월 ASP (M+2정산) </t>
    <phoneticPr fontId="23" type="noConversion"/>
  </si>
  <si>
    <t>CP</t>
    <phoneticPr fontId="23" type="noConversion"/>
  </si>
  <si>
    <t>RS</t>
    <phoneticPr fontId="23" type="noConversion"/>
  </si>
  <si>
    <r>
      <t>A</t>
    </r>
    <r>
      <rPr>
        <sz val="13"/>
        <color rgb="FF000000"/>
        <rFont val="맑은 고딕"/>
        <family val="3"/>
        <charset val="129"/>
      </rPr>
      <t>SP</t>
    </r>
    <phoneticPr fontId="23" type="noConversion"/>
  </si>
  <si>
    <t>ASP</t>
    <phoneticPr fontId="23" type="noConversion"/>
  </si>
  <si>
    <t>총 지급액</t>
    <phoneticPr fontId="23" type="noConversion"/>
  </si>
  <si>
    <t>CP_ID</t>
  </si>
  <si>
    <t>storywiz</t>
  </si>
  <si>
    <t>맛있는 사랑</t>
  </si>
  <si>
    <t>유통월</t>
    <phoneticPr fontId="20" type="noConversion"/>
  </si>
  <si>
    <t>총 합계</t>
    <phoneticPr fontId="20" type="noConversion"/>
  </si>
  <si>
    <t>계산서 발행 금액
(플랫폼 전달 금액 기준)</t>
    <phoneticPr fontId="20" type="noConversion"/>
  </si>
  <si>
    <t>asp</t>
    <phoneticPr fontId="20" type="noConversion"/>
  </si>
  <si>
    <t>asp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</si>
</sst>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yyyy/mm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Malgun Gothic"/>
      <family val="3"/>
    </font>
    <font>
      <sz val="8"/>
      <name val="돋움"/>
      <family val="3"/>
      <charset val="129"/>
    </font>
    <font>
      <sz val="10"/>
      <color rgb="FF000000"/>
      <name val="Malgun Gothic"/>
      <family val="3"/>
    </font>
    <font>
      <sz val="9"/>
      <color rgb="FF000000"/>
      <name val="Malgun Gothic"/>
      <family val="3"/>
    </font>
    <font>
      <sz val="11"/>
      <color rgb="FF000000"/>
      <name val="맑은 고딕"/>
      <family val="3"/>
      <charset val="129"/>
    </font>
    <font>
      <b/>
      <sz val="18"/>
      <color theme="1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rgb="FF000000"/>
      <name val="Malgun Gothic"/>
      <family val="3"/>
    </font>
    <font>
      <b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3"/>
      <color rgb="FF000000"/>
      <name val="Malgun Gothic"/>
      <family val="3"/>
    </font>
    <font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/>
    <xf numFmtId="42" fontId="26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27" fillId="0" borderId="0" xfId="43" applyFont="1" applyBorder="1" applyAlignment="1">
      <alignment vertical="center"/>
    </xf>
    <xf numFmtId="0" fontId="26" fillId="0" borderId="0" xfId="44"/>
    <xf numFmtId="0" fontId="28" fillId="0" borderId="0" xfId="44" applyFont="1"/>
    <xf numFmtId="0" fontId="29" fillId="0" borderId="0" xfId="43" applyNumberFormat="1" applyFont="1" applyBorder="1" applyAlignment="1">
      <alignment horizontal="left"/>
    </xf>
    <xf numFmtId="41" fontId="30" fillId="0" borderId="0" xfId="43" applyFont="1" applyBorder="1" applyAlignment="1"/>
    <xf numFmtId="41" fontId="30" fillId="0" borderId="0" xfId="43" applyFont="1" applyBorder="1" applyAlignment="1">
      <alignment horizontal="right"/>
    </xf>
    <xf numFmtId="41" fontId="30" fillId="0" borderId="0" xfId="43" applyFont="1" applyAlignment="1"/>
    <xf numFmtId="0" fontId="31" fillId="0" borderId="15" xfId="44" applyFont="1" applyBorder="1" applyAlignment="1">
      <alignment horizontal="center" vertical="center" wrapText="1"/>
    </xf>
    <xf numFmtId="0" fontId="25" fillId="0" borderId="15" xfId="44" applyFont="1" applyBorder="1" applyAlignment="1">
      <alignment horizontal="center" vertical="center" wrapText="1"/>
    </xf>
    <xf numFmtId="0" fontId="25" fillId="0" borderId="15" xfId="44" applyFont="1" applyBorder="1" applyAlignment="1">
      <alignment horizontal="left" vertical="center" wrapText="1"/>
    </xf>
    <xf numFmtId="42" fontId="25" fillId="0" borderId="15" xfId="45" applyFont="1" applyBorder="1" applyAlignment="1">
      <alignment horizontal="center" vertical="center" wrapText="1"/>
    </xf>
    <xf numFmtId="42" fontId="25" fillId="0" borderId="15" xfId="44" applyNumberFormat="1" applyFont="1" applyBorder="1" applyAlignment="1">
      <alignment horizontal="center" vertical="center" wrapText="1"/>
    </xf>
    <xf numFmtId="9" fontId="25" fillId="0" borderId="15" xfId="44" applyNumberFormat="1" applyFont="1" applyBorder="1" applyAlignment="1">
      <alignment horizontal="center" vertical="center" wrapText="1"/>
    </xf>
    <xf numFmtId="41" fontId="32" fillId="34" borderId="15" xfId="43" applyFont="1" applyFill="1" applyBorder="1" applyAlignment="1">
      <alignment horizontal="center"/>
    </xf>
    <xf numFmtId="42" fontId="32" fillId="34" borderId="15" xfId="43" applyNumberFormat="1" applyFont="1" applyFill="1" applyBorder="1" applyAlignment="1">
      <alignment horizontal="center"/>
    </xf>
    <xf numFmtId="0" fontId="32" fillId="34" borderId="15" xfId="43" applyNumberFormat="1" applyFont="1" applyFill="1" applyBorder="1" applyAlignment="1">
      <alignment horizontal="center"/>
    </xf>
    <xf numFmtId="42" fontId="32" fillId="33" borderId="15" xfId="43" applyNumberFormat="1" applyFont="1" applyFill="1" applyBorder="1" applyAlignment="1">
      <alignment horizontal="center"/>
    </xf>
    <xf numFmtId="0" fontId="33" fillId="0" borderId="0" xfId="44" applyFont="1" applyAlignment="1">
      <alignment horizontal="left"/>
    </xf>
    <xf numFmtId="0" fontId="33" fillId="0" borderId="0" xfId="44" applyFont="1"/>
    <xf numFmtId="0" fontId="34" fillId="0" borderId="0" xfId="43" applyNumberFormat="1" applyFont="1" applyBorder="1" applyAlignment="1">
      <alignment horizontal="left"/>
    </xf>
    <xf numFmtId="0" fontId="31" fillId="0" borderId="18" xfId="44" applyFont="1" applyBorder="1" applyAlignment="1">
      <alignment horizontal="center" vertical="center" wrapText="1"/>
    </xf>
    <xf numFmtId="42" fontId="35" fillId="0" borderId="28" xfId="45" applyFont="1" applyBorder="1" applyAlignment="1">
      <alignment horizontal="center" vertical="center" wrapText="1"/>
    </xf>
    <xf numFmtId="42" fontId="35" fillId="0" borderId="31" xfId="45" applyFont="1" applyBorder="1" applyAlignment="1">
      <alignment horizontal="center" vertical="center" wrapText="1"/>
    </xf>
    <xf numFmtId="42" fontId="35" fillId="33" borderId="33" xfId="45" applyFont="1" applyFill="1" applyBorder="1" applyAlignment="1">
      <alignment horizontal="center" vertical="center" wrapText="1"/>
    </xf>
    <xf numFmtId="42" fontId="32" fillId="33" borderId="15" xfId="45" applyFont="1" applyFill="1" applyBorder="1" applyAlignment="1">
      <alignment horizontal="center"/>
    </xf>
    <xf numFmtId="41" fontId="18" fillId="0" borderId="0" xfId="43" applyFont="1" applyAlignment="1">
      <alignment horizontal="center" vertical="center"/>
    </xf>
    <xf numFmtId="41" fontId="18" fillId="0" borderId="0" xfId="43" applyFont="1" applyAlignment="1">
      <alignment horizontal="center" vertical="center" shrinkToFit="1"/>
    </xf>
    <xf numFmtId="41" fontId="18" fillId="0" borderId="0" xfId="43" applyFont="1" applyAlignment="1">
      <alignment vertical="center" shrinkToFit="1"/>
    </xf>
    <xf numFmtId="41" fontId="18" fillId="0" borderId="0" xfId="43" applyFont="1">
      <alignment vertical="center"/>
    </xf>
    <xf numFmtId="0" fontId="18" fillId="0" borderId="0" xfId="43" applyNumberFormat="1" applyFont="1" applyAlignment="1">
      <alignment horizontal="center" vertical="center"/>
    </xf>
    <xf numFmtId="0" fontId="29" fillId="0" borderId="0" xfId="43" applyNumberFormat="1" applyFont="1" applyAlignment="1">
      <alignment horizontal="left"/>
    </xf>
    <xf numFmtId="0" fontId="22" fillId="0" borderId="11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5" xfId="44" applyFont="1" applyBorder="1" applyAlignment="1">
      <alignment horizontal="center" vertical="center" wrapText="1"/>
    </xf>
    <xf numFmtId="41" fontId="24" fillId="0" borderId="15" xfId="44" applyNumberFormat="1" applyFont="1" applyBorder="1" applyAlignment="1">
      <alignment horizontal="center" vertical="center" wrapText="1"/>
    </xf>
    <xf numFmtId="9" fontId="24" fillId="0" borderId="15" xfId="44" applyNumberFormat="1" applyFont="1" applyBorder="1" applyAlignment="1">
      <alignment horizontal="center" vertical="center" wrapText="1"/>
    </xf>
    <xf numFmtId="41" fontId="24" fillId="0" borderId="16" xfId="44" applyNumberFormat="1" applyFont="1" applyBorder="1" applyAlignment="1">
      <alignment horizontal="center" vertical="center" wrapText="1"/>
    </xf>
    <xf numFmtId="0" fontId="24" fillId="0" borderId="17" xfId="44" applyFont="1" applyBorder="1" applyAlignment="1">
      <alignment horizontal="center" vertical="center" wrapText="1"/>
    </xf>
    <xf numFmtId="0" fontId="24" fillId="0" borderId="18" xfId="44" applyFont="1" applyBorder="1" applyAlignment="1">
      <alignment horizontal="center" vertical="center" wrapText="1"/>
    </xf>
    <xf numFmtId="0" fontId="24" fillId="0" borderId="19" xfId="44" applyFont="1" applyBorder="1" applyAlignment="1">
      <alignment horizontal="center" vertical="center" wrapText="1"/>
    </xf>
    <xf numFmtId="41" fontId="24" fillId="0" borderId="19" xfId="44" applyNumberFormat="1" applyFont="1" applyBorder="1" applyAlignment="1">
      <alignment horizontal="center" vertical="center" wrapText="1"/>
    </xf>
    <xf numFmtId="41" fontId="32" fillId="0" borderId="36" xfId="43" applyFont="1" applyFill="1" applyBorder="1" applyAlignment="1">
      <alignment horizontal="center"/>
    </xf>
    <xf numFmtId="41" fontId="32" fillId="0" borderId="37" xfId="43" applyFont="1" applyFill="1" applyBorder="1" applyAlignment="1">
      <alignment horizontal="center"/>
    </xf>
    <xf numFmtId="42" fontId="32" fillId="0" borderId="38" xfId="43" applyNumberFormat="1" applyFont="1" applyFill="1" applyBorder="1" applyAlignment="1">
      <alignment horizontal="center"/>
    </xf>
    <xf numFmtId="0" fontId="32" fillId="0" borderId="37" xfId="43" applyNumberFormat="1" applyFont="1" applyFill="1" applyBorder="1" applyAlignment="1">
      <alignment horizontal="center"/>
    </xf>
    <xf numFmtId="0" fontId="24" fillId="0" borderId="20" xfId="44" applyFont="1" applyBorder="1" applyAlignment="1">
      <alignment horizontal="center" vertical="center" wrapText="1"/>
    </xf>
    <xf numFmtId="41" fontId="32" fillId="0" borderId="39" xfId="43" applyFont="1" applyFill="1" applyBorder="1" applyAlignment="1">
      <alignment horizontal="center"/>
    </xf>
    <xf numFmtId="0" fontId="37" fillId="33" borderId="40" xfId="44" applyFont="1" applyFill="1" applyBorder="1" applyAlignment="1">
      <alignment horizontal="center"/>
    </xf>
    <xf numFmtId="0" fontId="26" fillId="0" borderId="0" xfId="44" applyFill="1" applyBorder="1"/>
    <xf numFmtId="0" fontId="19" fillId="0" borderId="43" xfId="0" applyFont="1" applyFill="1" applyBorder="1" applyAlignment="1">
      <alignment horizontal="center" vertical="center" wrapText="1"/>
    </xf>
    <xf numFmtId="176" fontId="18" fillId="0" borderId="44" xfId="0" applyNumberFormat="1" applyFont="1" applyBorder="1" applyAlignment="1">
      <alignment horizontal="center" vertical="center"/>
    </xf>
    <xf numFmtId="41" fontId="21" fillId="33" borderId="0" xfId="1" applyFont="1" applyFill="1">
      <alignment vertical="center"/>
    </xf>
    <xf numFmtId="41" fontId="37" fillId="0" borderId="41" xfId="1" applyFont="1" applyBorder="1" applyAlignment="1"/>
    <xf numFmtId="41" fontId="37" fillId="0" borderId="42" xfId="1" applyFont="1" applyBorder="1" applyAlignment="1"/>
    <xf numFmtId="42" fontId="37" fillId="0" borderId="41" xfId="44" applyNumberFormat="1" applyFont="1" applyBorder="1" applyAlignment="1"/>
    <xf numFmtId="0" fontId="37" fillId="0" borderId="42" xfId="44" applyFont="1" applyBorder="1" applyAlignment="1"/>
    <xf numFmtId="42" fontId="35" fillId="33" borderId="34" xfId="45" applyFont="1" applyFill="1" applyBorder="1" applyAlignment="1">
      <alignment vertical="center" wrapText="1"/>
    </xf>
    <xf numFmtId="42" fontId="35" fillId="33" borderId="35" xfId="45" applyFont="1" applyFill="1" applyBorder="1" applyAlignment="1">
      <alignment vertical="center" wrapText="1"/>
    </xf>
    <xf numFmtId="41" fontId="18" fillId="0" borderId="44" xfId="1" applyFont="1" applyBorder="1" applyAlignment="1">
      <alignment vertical="center"/>
    </xf>
    <xf numFmtId="41" fontId="19" fillId="33" borderId="44" xfId="1" applyFont="1" applyFill="1" applyBorder="1" applyAlignment="1">
      <alignment vertical="center"/>
    </xf>
    <xf numFmtId="0" fontId="39" fillId="35" borderId="44" xfId="0" applyFont="1" applyFill="1" applyBorder="1" applyAlignment="1">
      <alignment horizontal="center" vertical="center" wrapText="1"/>
    </xf>
    <xf numFmtId="0" fontId="18" fillId="35" borderId="44" xfId="0" applyFont="1" applyFill="1" applyBorder="1" applyAlignment="1">
      <alignment horizontal="center" vertical="center" wrapText="1"/>
    </xf>
    <xf numFmtId="41" fontId="27" fillId="0" borderId="21" xfId="43" applyFont="1" applyBorder="1" applyAlignment="1">
      <alignment horizontal="center" vertical="center"/>
    </xf>
    <xf numFmtId="41" fontId="27" fillId="0" borderId="22" xfId="43" applyFont="1" applyBorder="1" applyAlignment="1">
      <alignment horizontal="center" vertical="center"/>
    </xf>
    <xf numFmtId="41" fontId="27" fillId="0" borderId="23" xfId="43" applyFont="1" applyBorder="1" applyAlignment="1">
      <alignment horizontal="center" vertical="center"/>
    </xf>
    <xf numFmtId="0" fontId="38" fillId="0" borderId="0" xfId="44" applyFont="1" applyBorder="1" applyAlignment="1">
      <alignment horizontal="center" wrapText="1"/>
    </xf>
    <xf numFmtId="0" fontId="38" fillId="0" borderId="0" xfId="44" applyFont="1" applyAlignment="1">
      <alignment horizontal="center" wrapText="1"/>
    </xf>
    <xf numFmtId="42" fontId="35" fillId="0" borderId="20" xfId="45" applyFont="1" applyBorder="1" applyAlignment="1">
      <alignment horizontal="center" vertical="center" wrapText="1"/>
    </xf>
    <xf numFmtId="42" fontId="35" fillId="0" borderId="32" xfId="45" applyFont="1" applyBorder="1" applyAlignment="1">
      <alignment horizontal="center" vertical="center" wrapText="1"/>
    </xf>
    <xf numFmtId="41" fontId="32" fillId="34" borderId="26" xfId="43" applyFont="1" applyFill="1" applyBorder="1" applyAlignment="1">
      <alignment horizontal="center"/>
    </xf>
    <xf numFmtId="41" fontId="32" fillId="34" borderId="27" xfId="43" applyFont="1" applyFill="1" applyBorder="1" applyAlignment="1">
      <alignment horizontal="center"/>
    </xf>
    <xf numFmtId="0" fontId="31" fillId="0" borderId="18" xfId="44" applyFont="1" applyBorder="1" applyAlignment="1">
      <alignment horizontal="center" vertical="center" wrapText="1"/>
    </xf>
    <xf numFmtId="0" fontId="31" fillId="0" borderId="25" xfId="44" applyFont="1" applyBorder="1" applyAlignment="1">
      <alignment horizontal="center" vertical="center" wrapText="1"/>
    </xf>
    <xf numFmtId="42" fontId="35" fillId="0" borderId="29" xfId="45" applyFont="1" applyBorder="1" applyAlignment="1">
      <alignment horizontal="center" vertical="center" wrapText="1"/>
    </xf>
    <xf numFmtId="42" fontId="35" fillId="0" borderId="30" xfId="45" applyFont="1" applyBorder="1" applyAlignment="1">
      <alignment horizontal="center" vertical="center" wrapText="1"/>
    </xf>
    <xf numFmtId="0" fontId="31" fillId="0" borderId="20" xfId="44" applyFont="1" applyBorder="1" applyAlignment="1">
      <alignment horizontal="center" vertical="center" wrapText="1"/>
    </xf>
    <xf numFmtId="0" fontId="31" fillId="0" borderId="24" xfId="44" applyFont="1" applyBorder="1" applyAlignment="1">
      <alignment horizontal="center" vertical="center" wrapText="1"/>
    </xf>
    <xf numFmtId="0" fontId="31" fillId="0" borderId="15" xfId="44" applyFont="1" applyBorder="1" applyAlignment="1">
      <alignment horizontal="center" vertical="center" wrapText="1"/>
    </xf>
    <xf numFmtId="41" fontId="18" fillId="0" borderId="45" xfId="1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3" fontId="18" fillId="0" borderId="46" xfId="0" applyNumberFormat="1" applyFont="1" applyBorder="1" applyAlignment="1">
      <alignment horizontal="center" vertical="center" wrapText="1"/>
    </xf>
    <xf numFmtId="9" fontId="18" fillId="0" borderId="46" xfId="0" applyNumberFormat="1" applyFont="1" applyBorder="1" applyAlignment="1">
      <alignment horizontal="center" vertical="center" wrapText="1"/>
    </xf>
    <xf numFmtId="176" fontId="18" fillId="0" borderId="47" xfId="0" applyNumberFormat="1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3" fontId="18" fillId="0" borderId="44" xfId="0" applyNumberFormat="1" applyFont="1" applyBorder="1" applyAlignment="1">
      <alignment horizontal="center" vertical="center" wrapText="1"/>
    </xf>
    <xf numFmtId="9" fontId="18" fillId="0" borderId="44" xfId="0" applyNumberFormat="1" applyFont="1" applyBorder="1" applyAlignment="1">
      <alignment horizontal="center" vertical="center" wrapText="1"/>
    </xf>
    <xf numFmtId="41" fontId="18" fillId="0" borderId="10" xfId="1" applyFont="1" applyBorder="1" applyAlignment="1">
      <alignment horizontal="center" vertical="center" wrapText="1"/>
    </xf>
    <xf numFmtId="41" fontId="18" fillId="0" borderId="46" xfId="1" applyFont="1" applyBorder="1" applyAlignment="1">
      <alignment horizontal="center" vertical="center" wrapText="1"/>
    </xf>
    <xf numFmtId="41" fontId="18" fillId="0" borderId="44" xfId="1" applyFont="1" applyBorder="1" applyAlignment="1">
      <alignment horizontal="center" vertical="center" wrapText="1"/>
    </xf>
    <xf numFmtId="41" fontId="0" fillId="0" borderId="0" xfId="1" applyFont="1">
      <alignment vertical="center"/>
    </xf>
    <xf numFmtId="0" fontId="19" fillId="0" borderId="10" xfId="1" applyNumberFormat="1" applyFont="1" applyBorder="1" applyAlignment="1">
      <alignment horizontal="center" vertical="center" wrapText="1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 2" xfId="45"/>
    <cellStyle name="표준" xfId="0" builtinId="0"/>
    <cellStyle name="표준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showGridLines="0" tabSelected="1" workbookViewId="0"/>
  </sheetViews>
  <sheetFormatPr defaultRowHeight="16.5"/>
  <cols>
    <col min="1" max="1" width="4.75" bestFit="1" customWidth="1"/>
    <col min="2" max="2" width="9.875" bestFit="1" customWidth="1"/>
    <col min="3" max="3" width="12.375" bestFit="1" customWidth="1"/>
    <col min="4" max="4" width="28.75" customWidth="1"/>
    <col min="5" max="12" width="9.625" customWidth="1"/>
    <col min="13" max="13" width="9.625" style="96" customWidth="1"/>
    <col min="14" max="14" width="9.625" customWidth="1"/>
    <col min="15" max="15" width="8.5" bestFit="1" customWidth="1"/>
    <col min="16" max="17" width="11.625" customWidth="1"/>
  </cols>
  <sheetData>
    <row r="1" spans="1:17" ht="27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97" t="s">
        <v>11</v>
      </c>
      <c r="N1" s="56" t="s">
        <v>96</v>
      </c>
      <c r="P1" s="67" t="s">
        <v>98</v>
      </c>
      <c r="Q1" s="68"/>
    </row>
    <row r="2" spans="1:17">
      <c r="A2" s="2">
        <v>1</v>
      </c>
      <c r="B2" s="2" t="s">
        <v>12</v>
      </c>
      <c r="C2" s="2" t="s">
        <v>94</v>
      </c>
      <c r="D2" s="2" t="s">
        <v>22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3">
        <v>0.7</v>
      </c>
      <c r="M2" s="85">
        <f>J2*L2</f>
        <v>0</v>
      </c>
      <c r="N2" s="57">
        <v>44682</v>
      </c>
      <c r="P2" s="57">
        <v>44682</v>
      </c>
      <c r="Q2" s="65">
        <f>'05(플랫폼전달)'!E17</f>
        <v>51765</v>
      </c>
    </row>
    <row r="3" spans="1:17">
      <c r="A3" s="2">
        <v>2</v>
      </c>
      <c r="B3" s="2" t="s">
        <v>12</v>
      </c>
      <c r="C3" s="2" t="s">
        <v>94</v>
      </c>
      <c r="D3" s="2" t="s">
        <v>16</v>
      </c>
      <c r="E3" s="2">
        <v>306</v>
      </c>
      <c r="F3" s="2">
        <v>0</v>
      </c>
      <c r="G3" s="2">
        <v>0</v>
      </c>
      <c r="H3" s="2">
        <v>0</v>
      </c>
      <c r="I3" s="2">
        <v>306</v>
      </c>
      <c r="J3" s="4">
        <v>45900</v>
      </c>
      <c r="K3" s="4">
        <v>4590</v>
      </c>
      <c r="L3" s="3">
        <v>0.7</v>
      </c>
      <c r="M3" s="85">
        <f t="shared" ref="M3:M13" si="0">J3*L3</f>
        <v>32129.999999999996</v>
      </c>
      <c r="N3" s="57">
        <v>44682</v>
      </c>
      <c r="P3" s="57">
        <v>44713</v>
      </c>
      <c r="Q3" s="65">
        <f>'06(플랫폼전달)'!E25</f>
        <v>89031</v>
      </c>
    </row>
    <row r="4" spans="1:17">
      <c r="A4" s="2">
        <v>3</v>
      </c>
      <c r="B4" s="2" t="s">
        <v>12</v>
      </c>
      <c r="C4" s="2" t="s">
        <v>94</v>
      </c>
      <c r="D4" s="2" t="s">
        <v>17</v>
      </c>
      <c r="E4" s="2">
        <v>115</v>
      </c>
      <c r="F4" s="2">
        <v>0</v>
      </c>
      <c r="G4" s="2">
        <v>0</v>
      </c>
      <c r="H4" s="2">
        <v>0</v>
      </c>
      <c r="I4" s="2">
        <v>115</v>
      </c>
      <c r="J4" s="4">
        <v>17250</v>
      </c>
      <c r="K4" s="4">
        <v>1725</v>
      </c>
      <c r="L4" s="3">
        <v>0.7</v>
      </c>
      <c r="M4" s="85">
        <f t="shared" si="0"/>
        <v>12075</v>
      </c>
      <c r="N4" s="57">
        <v>44682</v>
      </c>
      <c r="P4" s="57">
        <v>44743</v>
      </c>
      <c r="Q4" s="65">
        <f>'07(플랫폼전달)'!S20</f>
        <v>103106.25</v>
      </c>
    </row>
    <row r="5" spans="1:17">
      <c r="A5" s="2">
        <v>4</v>
      </c>
      <c r="B5" s="2" t="s">
        <v>12</v>
      </c>
      <c r="C5" s="2" t="s">
        <v>94</v>
      </c>
      <c r="D5" s="2" t="s">
        <v>18</v>
      </c>
      <c r="E5" s="2">
        <v>38</v>
      </c>
      <c r="F5" s="2">
        <v>0</v>
      </c>
      <c r="G5" s="2">
        <v>0</v>
      </c>
      <c r="H5" s="2">
        <v>0</v>
      </c>
      <c r="I5" s="2">
        <v>38</v>
      </c>
      <c r="J5" s="4">
        <v>5700</v>
      </c>
      <c r="K5" s="2">
        <v>570</v>
      </c>
      <c r="L5" s="3">
        <v>0.7</v>
      </c>
      <c r="M5" s="85">
        <f t="shared" si="0"/>
        <v>3989.9999999999995</v>
      </c>
      <c r="N5" s="57">
        <v>44682</v>
      </c>
      <c r="P5" s="57">
        <v>44774</v>
      </c>
      <c r="Q5" s="65">
        <f>'08(플랫폼전달)'!S22</f>
        <v>60671.75</v>
      </c>
    </row>
    <row r="6" spans="1:17">
      <c r="A6" s="2">
        <v>5</v>
      </c>
      <c r="B6" s="2" t="s">
        <v>12</v>
      </c>
      <c r="C6" s="2" t="s">
        <v>94</v>
      </c>
      <c r="D6" s="2" t="s">
        <v>19</v>
      </c>
      <c r="E6" s="2">
        <v>2</v>
      </c>
      <c r="F6" s="2">
        <v>0</v>
      </c>
      <c r="G6" s="2">
        <v>0</v>
      </c>
      <c r="H6" s="2">
        <v>0</v>
      </c>
      <c r="I6" s="2">
        <v>2</v>
      </c>
      <c r="J6" s="2">
        <v>300</v>
      </c>
      <c r="K6" s="2">
        <v>30</v>
      </c>
      <c r="L6" s="3">
        <v>0.7</v>
      </c>
      <c r="M6" s="85">
        <f t="shared" si="0"/>
        <v>210</v>
      </c>
      <c r="N6" s="57">
        <v>44682</v>
      </c>
      <c r="P6" s="57" t="s">
        <v>97</v>
      </c>
      <c r="Q6" s="66">
        <f>SUM(Q2:Q5)</f>
        <v>304574</v>
      </c>
    </row>
    <row r="7" spans="1:17">
      <c r="A7" s="2">
        <v>6</v>
      </c>
      <c r="B7" s="2" t="s">
        <v>12</v>
      </c>
      <c r="C7" s="2" t="s">
        <v>94</v>
      </c>
      <c r="D7" s="2" t="s">
        <v>95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3">
        <v>0.7</v>
      </c>
      <c r="M7" s="85">
        <f t="shared" si="0"/>
        <v>0</v>
      </c>
      <c r="N7" s="57">
        <v>44682</v>
      </c>
    </row>
    <row r="8" spans="1:17">
      <c r="A8" s="2">
        <v>7</v>
      </c>
      <c r="B8" s="2" t="s">
        <v>12</v>
      </c>
      <c r="C8" s="2" t="s">
        <v>94</v>
      </c>
      <c r="D8" s="2" t="s">
        <v>20</v>
      </c>
      <c r="E8" s="2">
        <v>20</v>
      </c>
      <c r="F8" s="2">
        <v>0</v>
      </c>
      <c r="G8" s="2">
        <v>0</v>
      </c>
      <c r="H8" s="2">
        <v>0</v>
      </c>
      <c r="I8" s="2">
        <v>20</v>
      </c>
      <c r="J8" s="4">
        <v>3000</v>
      </c>
      <c r="K8" s="2">
        <v>300</v>
      </c>
      <c r="L8" s="3">
        <v>0.7</v>
      </c>
      <c r="M8" s="85">
        <f t="shared" si="0"/>
        <v>2100</v>
      </c>
      <c r="N8" s="57">
        <v>44682</v>
      </c>
    </row>
    <row r="9" spans="1:17">
      <c r="A9" s="2">
        <v>8</v>
      </c>
      <c r="B9" s="2" t="s">
        <v>12</v>
      </c>
      <c r="C9" s="2" t="s">
        <v>94</v>
      </c>
      <c r="D9" s="2" t="s">
        <v>51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3">
        <v>0.7</v>
      </c>
      <c r="M9" s="85">
        <f t="shared" si="0"/>
        <v>0</v>
      </c>
      <c r="N9" s="57">
        <v>44682</v>
      </c>
    </row>
    <row r="10" spans="1:17">
      <c r="A10" s="2">
        <v>9</v>
      </c>
      <c r="B10" s="2" t="s">
        <v>12</v>
      </c>
      <c r="C10" s="2" t="s">
        <v>94</v>
      </c>
      <c r="D10" s="2" t="s">
        <v>21</v>
      </c>
      <c r="E10" s="2">
        <v>12</v>
      </c>
      <c r="F10" s="2">
        <v>0</v>
      </c>
      <c r="G10" s="2">
        <v>0</v>
      </c>
      <c r="H10" s="2">
        <v>0</v>
      </c>
      <c r="I10" s="2">
        <v>12</v>
      </c>
      <c r="J10" s="4">
        <v>1800</v>
      </c>
      <c r="K10" s="2">
        <v>180</v>
      </c>
      <c r="L10" s="3">
        <v>0.7</v>
      </c>
      <c r="M10" s="85">
        <f t="shared" si="0"/>
        <v>1260</v>
      </c>
      <c r="N10" s="57">
        <v>44682</v>
      </c>
    </row>
    <row r="11" spans="1:17">
      <c r="A11" s="2">
        <v>10</v>
      </c>
      <c r="B11" s="2" t="s">
        <v>12</v>
      </c>
      <c r="C11" s="2" t="s">
        <v>94</v>
      </c>
      <c r="D11" s="2" t="s">
        <v>28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3">
        <v>0.7</v>
      </c>
      <c r="M11" s="85">
        <f t="shared" si="0"/>
        <v>0</v>
      </c>
      <c r="N11" s="57">
        <v>44682</v>
      </c>
    </row>
    <row r="12" spans="1:17">
      <c r="A12" s="2">
        <v>11</v>
      </c>
      <c r="B12" s="2" t="s">
        <v>12</v>
      </c>
      <c r="C12" s="2" t="s">
        <v>94</v>
      </c>
      <c r="D12" s="2" t="s">
        <v>25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3">
        <v>0.7</v>
      </c>
      <c r="M12" s="85">
        <f t="shared" si="0"/>
        <v>0</v>
      </c>
      <c r="N12" s="57">
        <v>44682</v>
      </c>
    </row>
    <row r="13" spans="1:17">
      <c r="A13" s="2">
        <v>12</v>
      </c>
      <c r="B13" s="2" t="s">
        <v>12</v>
      </c>
      <c r="C13" s="2" t="s">
        <v>94</v>
      </c>
      <c r="D13" s="2" t="s">
        <v>26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>
        <v>0.7</v>
      </c>
      <c r="M13" s="85">
        <f t="shared" si="0"/>
        <v>0</v>
      </c>
      <c r="N13" s="57">
        <v>44682</v>
      </c>
    </row>
    <row r="14" spans="1:17">
      <c r="A14" s="2"/>
      <c r="B14" s="2"/>
      <c r="C14" s="2" t="s">
        <v>99</v>
      </c>
      <c r="D14" s="2" t="s">
        <v>16</v>
      </c>
      <c r="E14" s="2"/>
      <c r="F14" s="2"/>
      <c r="G14" s="2"/>
      <c r="H14" s="2"/>
      <c r="I14" s="2"/>
      <c r="J14" s="2"/>
      <c r="K14" s="2"/>
      <c r="L14" s="3"/>
      <c r="M14" s="85">
        <v>529</v>
      </c>
      <c r="N14" s="57">
        <v>44682</v>
      </c>
    </row>
    <row r="15" spans="1:17">
      <c r="A15" s="2"/>
      <c r="B15" s="2"/>
      <c r="C15" s="2" t="s">
        <v>99</v>
      </c>
      <c r="D15" s="2" t="s">
        <v>17</v>
      </c>
      <c r="E15" s="2"/>
      <c r="F15" s="2"/>
      <c r="G15" s="2"/>
      <c r="H15" s="2"/>
      <c r="I15" s="2"/>
      <c r="J15" s="2"/>
      <c r="K15" s="2"/>
      <c r="L15" s="3"/>
      <c r="M15" s="85">
        <v>529</v>
      </c>
      <c r="N15" s="57">
        <v>44682</v>
      </c>
    </row>
    <row r="16" spans="1:17">
      <c r="A16" s="2"/>
      <c r="B16" s="2"/>
      <c r="C16" s="2" t="s">
        <v>99</v>
      </c>
      <c r="D16" s="2" t="s">
        <v>27</v>
      </c>
      <c r="E16" s="2"/>
      <c r="F16" s="2"/>
      <c r="G16" s="2"/>
      <c r="H16" s="2"/>
      <c r="I16" s="2"/>
      <c r="J16" s="2"/>
      <c r="K16" s="2"/>
      <c r="L16" s="3"/>
      <c r="M16" s="85">
        <v>529</v>
      </c>
      <c r="N16" s="57">
        <v>44682</v>
      </c>
    </row>
    <row r="17" spans="1:14">
      <c r="A17" s="2"/>
      <c r="B17" s="2"/>
      <c r="C17" s="2" t="s">
        <v>99</v>
      </c>
      <c r="D17" s="2" t="s">
        <v>21</v>
      </c>
      <c r="E17" s="2"/>
      <c r="F17" s="2"/>
      <c r="G17" s="2"/>
      <c r="H17" s="2"/>
      <c r="I17" s="2"/>
      <c r="J17" s="2"/>
      <c r="K17" s="2"/>
      <c r="L17" s="3"/>
      <c r="M17" s="85">
        <v>706</v>
      </c>
      <c r="N17" s="57">
        <v>44682</v>
      </c>
    </row>
    <row r="18" spans="1:14">
      <c r="A18" s="2"/>
      <c r="B18" s="2"/>
      <c r="C18" s="2" t="s">
        <v>99</v>
      </c>
      <c r="D18" s="2" t="s">
        <v>28</v>
      </c>
      <c r="E18" s="2"/>
      <c r="F18" s="2"/>
      <c r="G18" s="2"/>
      <c r="H18" s="2"/>
      <c r="I18" s="2"/>
      <c r="J18" s="2"/>
      <c r="K18" s="2"/>
      <c r="L18" s="3"/>
      <c r="M18" s="85">
        <v>1058</v>
      </c>
      <c r="N18" s="57">
        <v>44682</v>
      </c>
    </row>
    <row r="19" spans="1:14">
      <c r="A19" s="2">
        <v>1</v>
      </c>
      <c r="B19" s="2" t="s">
        <v>12</v>
      </c>
      <c r="C19" s="2" t="s">
        <v>94</v>
      </c>
      <c r="D19" s="2" t="s">
        <v>22</v>
      </c>
      <c r="E19" s="2">
        <v>4</v>
      </c>
      <c r="F19" s="2">
        <v>0</v>
      </c>
      <c r="G19" s="2">
        <v>0</v>
      </c>
      <c r="H19" s="2">
        <v>0</v>
      </c>
      <c r="I19" s="2">
        <v>4</v>
      </c>
      <c r="J19" s="2">
        <v>600</v>
      </c>
      <c r="K19" s="2">
        <v>60</v>
      </c>
      <c r="L19" s="3">
        <v>0.7</v>
      </c>
      <c r="M19" s="85">
        <f>J19*L19</f>
        <v>420</v>
      </c>
      <c r="N19" s="57">
        <v>44713</v>
      </c>
    </row>
    <row r="20" spans="1:14">
      <c r="A20" s="2">
        <v>2</v>
      </c>
      <c r="B20" s="2" t="s">
        <v>12</v>
      </c>
      <c r="C20" s="2" t="s">
        <v>94</v>
      </c>
      <c r="D20" s="2" t="s">
        <v>16</v>
      </c>
      <c r="E20" s="2">
        <v>176</v>
      </c>
      <c r="F20" s="2">
        <v>0</v>
      </c>
      <c r="G20" s="2">
        <v>0</v>
      </c>
      <c r="H20" s="2">
        <v>0</v>
      </c>
      <c r="I20" s="2">
        <v>176</v>
      </c>
      <c r="J20" s="4">
        <v>26400</v>
      </c>
      <c r="K20" s="4">
        <v>2640</v>
      </c>
      <c r="L20" s="3">
        <v>0.7</v>
      </c>
      <c r="M20" s="85">
        <f t="shared" ref="M20:M30" si="1">J20*L20</f>
        <v>18480</v>
      </c>
      <c r="N20" s="57">
        <v>44713</v>
      </c>
    </row>
    <row r="21" spans="1:14">
      <c r="A21" s="2">
        <v>3</v>
      </c>
      <c r="B21" s="2" t="s">
        <v>12</v>
      </c>
      <c r="C21" s="2" t="s">
        <v>94</v>
      </c>
      <c r="D21" s="2" t="s">
        <v>17</v>
      </c>
      <c r="E21" s="2">
        <v>30</v>
      </c>
      <c r="F21" s="2">
        <v>0</v>
      </c>
      <c r="G21" s="2">
        <v>0</v>
      </c>
      <c r="H21" s="2">
        <v>0</v>
      </c>
      <c r="I21" s="2">
        <v>30</v>
      </c>
      <c r="J21" s="4">
        <v>4500</v>
      </c>
      <c r="K21" s="2">
        <v>450</v>
      </c>
      <c r="L21" s="3">
        <v>0.7</v>
      </c>
      <c r="M21" s="85">
        <f t="shared" si="1"/>
        <v>3150</v>
      </c>
      <c r="N21" s="57">
        <v>44713</v>
      </c>
    </row>
    <row r="22" spans="1:14">
      <c r="A22" s="2">
        <v>4</v>
      </c>
      <c r="B22" s="2" t="s">
        <v>12</v>
      </c>
      <c r="C22" s="2" t="s">
        <v>94</v>
      </c>
      <c r="D22" s="2" t="s">
        <v>23</v>
      </c>
      <c r="E22" s="2">
        <v>93</v>
      </c>
      <c r="F22" s="2">
        <v>0</v>
      </c>
      <c r="G22" s="2">
        <v>0</v>
      </c>
      <c r="H22" s="2">
        <v>0</v>
      </c>
      <c r="I22" s="2">
        <v>93</v>
      </c>
      <c r="J22" s="4">
        <v>13950</v>
      </c>
      <c r="K22" s="4">
        <v>1395</v>
      </c>
      <c r="L22" s="3">
        <v>0.7</v>
      </c>
      <c r="M22" s="85">
        <f t="shared" si="1"/>
        <v>9765</v>
      </c>
      <c r="N22" s="57">
        <v>44713</v>
      </c>
    </row>
    <row r="23" spans="1:14">
      <c r="A23" s="2">
        <v>5</v>
      </c>
      <c r="B23" s="2" t="s">
        <v>12</v>
      </c>
      <c r="C23" s="2" t="s">
        <v>94</v>
      </c>
      <c r="D23" s="2" t="s">
        <v>19</v>
      </c>
      <c r="E23" s="2">
        <v>34</v>
      </c>
      <c r="F23" s="2">
        <v>0</v>
      </c>
      <c r="G23" s="2">
        <v>0</v>
      </c>
      <c r="H23" s="2">
        <v>0</v>
      </c>
      <c r="I23" s="2">
        <v>34</v>
      </c>
      <c r="J23" s="4">
        <v>5100</v>
      </c>
      <c r="K23" s="2">
        <v>510</v>
      </c>
      <c r="L23" s="3">
        <v>0.7</v>
      </c>
      <c r="M23" s="85">
        <f t="shared" si="1"/>
        <v>3570</v>
      </c>
      <c r="N23" s="57">
        <v>44713</v>
      </c>
    </row>
    <row r="24" spans="1:14">
      <c r="A24" s="2">
        <v>6</v>
      </c>
      <c r="B24" s="2" t="s">
        <v>12</v>
      </c>
      <c r="C24" s="2" t="s">
        <v>94</v>
      </c>
      <c r="D24" s="2" t="s">
        <v>50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3">
        <v>0.7</v>
      </c>
      <c r="M24" s="85">
        <f t="shared" si="1"/>
        <v>0</v>
      </c>
      <c r="N24" s="57">
        <v>44713</v>
      </c>
    </row>
    <row r="25" spans="1:14">
      <c r="A25" s="2">
        <v>7</v>
      </c>
      <c r="B25" s="2" t="s">
        <v>12</v>
      </c>
      <c r="C25" s="2" t="s">
        <v>94</v>
      </c>
      <c r="D25" s="2" t="s">
        <v>20</v>
      </c>
      <c r="E25" s="2">
        <v>292</v>
      </c>
      <c r="F25" s="2">
        <v>0</v>
      </c>
      <c r="G25" s="2">
        <v>0</v>
      </c>
      <c r="H25" s="2">
        <v>0</v>
      </c>
      <c r="I25" s="2">
        <v>292</v>
      </c>
      <c r="J25" s="4">
        <v>43800</v>
      </c>
      <c r="K25" s="4">
        <v>4380</v>
      </c>
      <c r="L25" s="3">
        <v>0.7</v>
      </c>
      <c r="M25" s="85">
        <f t="shared" si="1"/>
        <v>30659.999999999996</v>
      </c>
      <c r="N25" s="57">
        <v>44713</v>
      </c>
    </row>
    <row r="26" spans="1:14">
      <c r="A26" s="2">
        <v>8</v>
      </c>
      <c r="B26" s="2" t="s">
        <v>12</v>
      </c>
      <c r="C26" s="2" t="s">
        <v>94</v>
      </c>
      <c r="D26" s="2" t="s">
        <v>24</v>
      </c>
      <c r="E26" s="2">
        <v>71</v>
      </c>
      <c r="F26" s="2">
        <v>0</v>
      </c>
      <c r="G26" s="2">
        <v>0</v>
      </c>
      <c r="H26" s="2">
        <v>0</v>
      </c>
      <c r="I26" s="2">
        <v>71</v>
      </c>
      <c r="J26" s="4">
        <v>10650</v>
      </c>
      <c r="K26" s="4">
        <v>1065</v>
      </c>
      <c r="L26" s="3">
        <v>0.7</v>
      </c>
      <c r="M26" s="85">
        <f t="shared" si="1"/>
        <v>7454.9999999999991</v>
      </c>
      <c r="N26" s="57">
        <v>44713</v>
      </c>
    </row>
    <row r="27" spans="1:14">
      <c r="A27" s="2">
        <v>9</v>
      </c>
      <c r="B27" s="2" t="s">
        <v>12</v>
      </c>
      <c r="C27" s="2" t="s">
        <v>94</v>
      </c>
      <c r="D27" s="2" t="s">
        <v>21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3">
        <v>0.7</v>
      </c>
      <c r="M27" s="85">
        <f t="shared" si="1"/>
        <v>0</v>
      </c>
      <c r="N27" s="57">
        <v>44713</v>
      </c>
    </row>
    <row r="28" spans="1:14">
      <c r="A28" s="2">
        <v>10</v>
      </c>
      <c r="B28" s="2" t="s">
        <v>12</v>
      </c>
      <c r="C28" s="2" t="s">
        <v>94</v>
      </c>
      <c r="D28" s="2" t="s">
        <v>28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3">
        <v>0.7</v>
      </c>
      <c r="M28" s="85">
        <f t="shared" si="1"/>
        <v>0</v>
      </c>
      <c r="N28" s="57">
        <v>44713</v>
      </c>
    </row>
    <row r="29" spans="1:14">
      <c r="A29" s="2">
        <v>11</v>
      </c>
      <c r="B29" s="2" t="s">
        <v>12</v>
      </c>
      <c r="C29" s="2" t="s">
        <v>94</v>
      </c>
      <c r="D29" s="2" t="s">
        <v>25</v>
      </c>
      <c r="E29" s="2">
        <v>24</v>
      </c>
      <c r="F29" s="2">
        <v>0</v>
      </c>
      <c r="G29" s="2">
        <v>0</v>
      </c>
      <c r="H29" s="2">
        <v>0</v>
      </c>
      <c r="I29" s="2">
        <v>24</v>
      </c>
      <c r="J29" s="4">
        <v>3600</v>
      </c>
      <c r="K29" s="2">
        <v>360</v>
      </c>
      <c r="L29" s="3">
        <v>0.7</v>
      </c>
      <c r="M29" s="85">
        <f t="shared" si="1"/>
        <v>2520</v>
      </c>
      <c r="N29" s="57">
        <v>44713</v>
      </c>
    </row>
    <row r="30" spans="1:14">
      <c r="A30" s="2">
        <v>12</v>
      </c>
      <c r="B30" s="2" t="s">
        <v>12</v>
      </c>
      <c r="C30" s="2" t="s">
        <v>94</v>
      </c>
      <c r="D30" s="2" t="s">
        <v>26</v>
      </c>
      <c r="E30" s="2">
        <v>92</v>
      </c>
      <c r="F30" s="2">
        <v>0</v>
      </c>
      <c r="G30" s="2">
        <v>0</v>
      </c>
      <c r="H30" s="2">
        <v>0</v>
      </c>
      <c r="I30" s="2">
        <v>92</v>
      </c>
      <c r="J30" s="4">
        <v>13800</v>
      </c>
      <c r="K30" s="4">
        <v>1380</v>
      </c>
      <c r="L30" s="3">
        <v>0.7</v>
      </c>
      <c r="M30" s="85">
        <f t="shared" si="1"/>
        <v>9660</v>
      </c>
      <c r="N30" s="57">
        <v>44713</v>
      </c>
    </row>
    <row r="31" spans="1:14">
      <c r="A31" s="2"/>
      <c r="B31" s="2"/>
      <c r="C31" s="2" t="s">
        <v>100</v>
      </c>
      <c r="D31" s="2" t="s">
        <v>29</v>
      </c>
      <c r="E31" s="2"/>
      <c r="F31" s="2"/>
      <c r="G31" s="2"/>
      <c r="H31" s="2"/>
      <c r="I31" s="2"/>
      <c r="J31" s="4"/>
      <c r="K31" s="4"/>
      <c r="L31" s="3"/>
      <c r="M31" s="85">
        <v>529</v>
      </c>
      <c r="N31" s="57">
        <v>44713</v>
      </c>
    </row>
    <row r="32" spans="1:14">
      <c r="A32" s="2"/>
      <c r="B32" s="2"/>
      <c r="C32" s="2" t="s">
        <v>100</v>
      </c>
      <c r="D32" s="2" t="s">
        <v>20</v>
      </c>
      <c r="E32" s="2"/>
      <c r="F32" s="2"/>
      <c r="G32" s="2"/>
      <c r="H32" s="2"/>
      <c r="I32" s="2"/>
      <c r="J32" s="4"/>
      <c r="K32" s="4"/>
      <c r="L32" s="3"/>
      <c r="M32" s="85">
        <v>31135</v>
      </c>
      <c r="N32" s="57">
        <v>44713</v>
      </c>
    </row>
    <row r="33" spans="1:14">
      <c r="A33" s="2"/>
      <c r="B33" s="2"/>
      <c r="C33" s="2" t="s">
        <v>100</v>
      </c>
      <c r="D33" s="2" t="s">
        <v>24</v>
      </c>
      <c r="E33" s="2"/>
      <c r="F33" s="2"/>
      <c r="G33" s="2"/>
      <c r="H33" s="2"/>
      <c r="I33" s="2"/>
      <c r="J33" s="4"/>
      <c r="K33" s="4"/>
      <c r="L33" s="3"/>
      <c r="M33" s="85">
        <v>176</v>
      </c>
      <c r="N33" s="57">
        <v>44713</v>
      </c>
    </row>
    <row r="34" spans="1:14">
      <c r="A34" s="2"/>
      <c r="B34" s="2"/>
      <c r="C34" s="2" t="s">
        <v>100</v>
      </c>
      <c r="D34" s="2" t="s">
        <v>26</v>
      </c>
      <c r="E34" s="2"/>
      <c r="F34" s="2"/>
      <c r="G34" s="2"/>
      <c r="H34" s="2"/>
      <c r="I34" s="2"/>
      <c r="J34" s="4"/>
      <c r="K34" s="4"/>
      <c r="L34" s="3"/>
      <c r="M34" s="85">
        <v>176</v>
      </c>
      <c r="N34" s="57">
        <v>44713</v>
      </c>
    </row>
    <row r="35" spans="1:14">
      <c r="A35" s="2">
        <v>1</v>
      </c>
      <c r="B35" s="2" t="s">
        <v>12</v>
      </c>
      <c r="C35" s="2" t="s">
        <v>94</v>
      </c>
      <c r="D35" s="2" t="s">
        <v>22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3">
        <v>0.7</v>
      </c>
      <c r="M35" s="93">
        <v>0</v>
      </c>
      <c r="N35" s="57">
        <v>44743</v>
      </c>
    </row>
    <row r="36" spans="1:14">
      <c r="A36" s="2">
        <v>2</v>
      </c>
      <c r="B36" s="2" t="s">
        <v>12</v>
      </c>
      <c r="C36" s="2" t="s">
        <v>94</v>
      </c>
      <c r="D36" s="2" t="s">
        <v>16</v>
      </c>
      <c r="E36" s="2">
        <v>14</v>
      </c>
      <c r="F36" s="2">
        <v>116</v>
      </c>
      <c r="G36" s="2">
        <v>0</v>
      </c>
      <c r="H36" s="2">
        <v>0</v>
      </c>
      <c r="I36" s="2">
        <v>130</v>
      </c>
      <c r="J36" s="4">
        <v>19500</v>
      </c>
      <c r="K36" s="4">
        <v>2610</v>
      </c>
      <c r="L36" s="3">
        <v>0.7</v>
      </c>
      <c r="M36" s="93">
        <v>11823</v>
      </c>
      <c r="N36" s="57">
        <v>44743</v>
      </c>
    </row>
    <row r="37" spans="1:14">
      <c r="A37" s="2">
        <v>3</v>
      </c>
      <c r="B37" s="2" t="s">
        <v>12</v>
      </c>
      <c r="C37" s="2" t="s">
        <v>94</v>
      </c>
      <c r="D37" s="2" t="s">
        <v>17</v>
      </c>
      <c r="E37" s="2">
        <v>50</v>
      </c>
      <c r="F37" s="2">
        <v>172</v>
      </c>
      <c r="G37" s="2">
        <v>0</v>
      </c>
      <c r="H37" s="2">
        <v>0</v>
      </c>
      <c r="I37" s="2">
        <v>222</v>
      </c>
      <c r="J37" s="4">
        <v>33300</v>
      </c>
      <c r="K37" s="4">
        <v>3870</v>
      </c>
      <c r="L37" s="3">
        <v>0.7</v>
      </c>
      <c r="M37" s="93">
        <v>20601</v>
      </c>
      <c r="N37" s="57">
        <v>44743</v>
      </c>
    </row>
    <row r="38" spans="1:14">
      <c r="A38" s="2">
        <v>4</v>
      </c>
      <c r="B38" s="2" t="s">
        <v>12</v>
      </c>
      <c r="C38" s="2" t="s">
        <v>94</v>
      </c>
      <c r="D38" s="2" t="s">
        <v>23</v>
      </c>
      <c r="E38" s="2">
        <v>0</v>
      </c>
      <c r="F38" s="2">
        <v>16</v>
      </c>
      <c r="G38" s="2">
        <v>0</v>
      </c>
      <c r="H38" s="2">
        <v>0</v>
      </c>
      <c r="I38" s="2">
        <v>16</v>
      </c>
      <c r="J38" s="4">
        <v>2400</v>
      </c>
      <c r="K38" s="2">
        <v>360</v>
      </c>
      <c r="L38" s="3">
        <v>0.7</v>
      </c>
      <c r="M38" s="93">
        <v>1428</v>
      </c>
      <c r="N38" s="57">
        <v>44743</v>
      </c>
    </row>
    <row r="39" spans="1:14">
      <c r="A39" s="2">
        <v>5</v>
      </c>
      <c r="B39" s="2" t="s">
        <v>12</v>
      </c>
      <c r="C39" s="2" t="s">
        <v>94</v>
      </c>
      <c r="D39" s="2" t="s">
        <v>19</v>
      </c>
      <c r="E39" s="2">
        <v>0</v>
      </c>
      <c r="F39" s="2">
        <v>20</v>
      </c>
      <c r="G39" s="2">
        <v>0</v>
      </c>
      <c r="H39" s="2">
        <v>0</v>
      </c>
      <c r="I39" s="2">
        <v>20</v>
      </c>
      <c r="J39" s="4">
        <v>3000</v>
      </c>
      <c r="K39" s="2">
        <v>450</v>
      </c>
      <c r="L39" s="3">
        <v>0.7</v>
      </c>
      <c r="M39" s="93">
        <v>1785</v>
      </c>
      <c r="N39" s="57">
        <v>44743</v>
      </c>
    </row>
    <row r="40" spans="1:14">
      <c r="A40" s="2">
        <v>6</v>
      </c>
      <c r="B40" s="2" t="s">
        <v>12</v>
      </c>
      <c r="C40" s="2" t="s">
        <v>94</v>
      </c>
      <c r="D40" s="2" t="s">
        <v>50</v>
      </c>
      <c r="E40" s="2">
        <v>0</v>
      </c>
      <c r="F40" s="2">
        <v>2</v>
      </c>
      <c r="G40" s="2">
        <v>0</v>
      </c>
      <c r="H40" s="2">
        <v>0</v>
      </c>
      <c r="I40" s="2">
        <v>2</v>
      </c>
      <c r="J40" s="2">
        <v>300</v>
      </c>
      <c r="K40" s="2">
        <v>45</v>
      </c>
      <c r="L40" s="3">
        <v>0.7</v>
      </c>
      <c r="M40" s="93">
        <v>179</v>
      </c>
      <c r="N40" s="57">
        <v>44743</v>
      </c>
    </row>
    <row r="41" spans="1:14">
      <c r="A41" s="2">
        <v>7</v>
      </c>
      <c r="B41" s="2" t="s">
        <v>12</v>
      </c>
      <c r="C41" s="2" t="s">
        <v>94</v>
      </c>
      <c r="D41" s="2" t="s">
        <v>29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3">
        <v>0.7</v>
      </c>
      <c r="M41" s="93">
        <v>0</v>
      </c>
      <c r="N41" s="57">
        <v>44743</v>
      </c>
    </row>
    <row r="42" spans="1:14">
      <c r="A42" s="2">
        <v>8</v>
      </c>
      <c r="B42" s="2" t="s">
        <v>12</v>
      </c>
      <c r="C42" s="2" t="s">
        <v>94</v>
      </c>
      <c r="D42" s="2" t="s">
        <v>20</v>
      </c>
      <c r="E42" s="2">
        <v>102</v>
      </c>
      <c r="F42" s="2">
        <v>63</v>
      </c>
      <c r="G42" s="2">
        <v>0</v>
      </c>
      <c r="H42" s="2">
        <v>0</v>
      </c>
      <c r="I42" s="2">
        <v>165</v>
      </c>
      <c r="J42" s="4">
        <v>24750</v>
      </c>
      <c r="K42" s="4">
        <v>1418</v>
      </c>
      <c r="L42" s="3">
        <v>0.7</v>
      </c>
      <c r="M42" s="93">
        <v>16333</v>
      </c>
      <c r="N42" s="57">
        <v>44743</v>
      </c>
    </row>
    <row r="43" spans="1:14">
      <c r="A43" s="2">
        <v>9</v>
      </c>
      <c r="B43" s="2" t="s">
        <v>12</v>
      </c>
      <c r="C43" s="2" t="s">
        <v>94</v>
      </c>
      <c r="D43" s="2" t="s">
        <v>51</v>
      </c>
      <c r="E43" s="2">
        <v>38</v>
      </c>
      <c r="F43" s="2">
        <v>0</v>
      </c>
      <c r="G43" s="2">
        <v>0</v>
      </c>
      <c r="H43" s="2">
        <v>0</v>
      </c>
      <c r="I43" s="2">
        <v>38</v>
      </c>
      <c r="J43" s="4">
        <v>5700</v>
      </c>
      <c r="K43" s="2">
        <v>0</v>
      </c>
      <c r="L43" s="3">
        <v>0.7</v>
      </c>
      <c r="M43" s="93">
        <v>3990</v>
      </c>
      <c r="N43" s="57">
        <v>44743</v>
      </c>
    </row>
    <row r="44" spans="1:14">
      <c r="A44" s="2">
        <v>10</v>
      </c>
      <c r="B44" s="2" t="s">
        <v>12</v>
      </c>
      <c r="C44" s="2" t="s">
        <v>94</v>
      </c>
      <c r="D44" s="2" t="s">
        <v>24</v>
      </c>
      <c r="E44" s="2">
        <v>54</v>
      </c>
      <c r="F44" s="2">
        <v>104</v>
      </c>
      <c r="G44" s="2">
        <v>0</v>
      </c>
      <c r="H44" s="2">
        <v>0</v>
      </c>
      <c r="I44" s="2">
        <v>158</v>
      </c>
      <c r="J44" s="4">
        <v>23700</v>
      </c>
      <c r="K44" s="4">
        <v>2340</v>
      </c>
      <c r="L44" s="3">
        <v>0.7</v>
      </c>
      <c r="M44" s="93">
        <v>14952</v>
      </c>
      <c r="N44" s="57">
        <v>44743</v>
      </c>
    </row>
    <row r="45" spans="1:14">
      <c r="A45" s="2">
        <v>11</v>
      </c>
      <c r="B45" s="2" t="s">
        <v>12</v>
      </c>
      <c r="C45" s="2" t="s">
        <v>94</v>
      </c>
      <c r="D45" s="2" t="s">
        <v>28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3">
        <v>0.7</v>
      </c>
      <c r="M45" s="93">
        <v>0</v>
      </c>
      <c r="N45" s="57">
        <v>44743</v>
      </c>
    </row>
    <row r="46" spans="1:14">
      <c r="A46" s="2">
        <v>12</v>
      </c>
      <c r="B46" s="2" t="s">
        <v>12</v>
      </c>
      <c r="C46" s="2" t="s">
        <v>94</v>
      </c>
      <c r="D46" s="2" t="s">
        <v>26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3">
        <v>0.7</v>
      </c>
      <c r="M46" s="93">
        <v>0</v>
      </c>
      <c r="N46" s="57">
        <v>44743</v>
      </c>
    </row>
    <row r="47" spans="1:14">
      <c r="A47" s="2"/>
      <c r="B47" s="2"/>
      <c r="C47" s="2" t="s">
        <v>100</v>
      </c>
      <c r="D47" s="2" t="s">
        <v>16</v>
      </c>
      <c r="E47" s="2"/>
      <c r="F47" s="2"/>
      <c r="G47" s="2"/>
      <c r="H47" s="2"/>
      <c r="I47" s="2"/>
      <c r="J47" s="2"/>
      <c r="K47" s="2"/>
      <c r="L47" s="3"/>
      <c r="M47" s="93">
        <v>1235</v>
      </c>
      <c r="N47" s="57">
        <v>44743</v>
      </c>
    </row>
    <row r="48" spans="1:14">
      <c r="A48" s="2"/>
      <c r="B48" s="2"/>
      <c r="C48" s="2" t="s">
        <v>100</v>
      </c>
      <c r="D48" s="2" t="s">
        <v>29</v>
      </c>
      <c r="E48" s="2"/>
      <c r="F48" s="2"/>
      <c r="G48" s="2"/>
      <c r="H48" s="2"/>
      <c r="I48" s="2"/>
      <c r="J48" s="2"/>
      <c r="K48" s="2"/>
      <c r="L48" s="3"/>
      <c r="M48" s="93">
        <v>353</v>
      </c>
      <c r="N48" s="57">
        <v>44743</v>
      </c>
    </row>
    <row r="49" spans="1:14">
      <c r="A49" s="2"/>
      <c r="B49" s="2"/>
      <c r="C49" s="2" t="s">
        <v>100</v>
      </c>
      <c r="D49" s="2" t="s">
        <v>20</v>
      </c>
      <c r="E49" s="2"/>
      <c r="F49" s="2"/>
      <c r="G49" s="2"/>
      <c r="H49" s="2"/>
      <c r="I49" s="2"/>
      <c r="J49" s="2"/>
      <c r="K49" s="2"/>
      <c r="L49" s="3"/>
      <c r="M49" s="93">
        <v>3263</v>
      </c>
      <c r="N49" s="57">
        <v>44743</v>
      </c>
    </row>
    <row r="50" spans="1:14">
      <c r="A50" s="2"/>
      <c r="B50" s="2"/>
      <c r="C50" s="2" t="s">
        <v>100</v>
      </c>
      <c r="D50" s="2" t="s">
        <v>28</v>
      </c>
      <c r="E50" s="2"/>
      <c r="F50" s="2"/>
      <c r="G50" s="2"/>
      <c r="H50" s="2"/>
      <c r="I50" s="2"/>
      <c r="J50" s="2"/>
      <c r="K50" s="2"/>
      <c r="L50" s="3"/>
      <c r="M50" s="93">
        <v>176</v>
      </c>
      <c r="N50" s="57">
        <v>44743</v>
      </c>
    </row>
    <row r="51" spans="1:14">
      <c r="A51" s="2">
        <v>1</v>
      </c>
      <c r="B51" s="2" t="s">
        <v>12</v>
      </c>
      <c r="C51" s="2" t="s">
        <v>94</v>
      </c>
      <c r="D51" s="2" t="s">
        <v>16</v>
      </c>
      <c r="E51" s="2">
        <v>0</v>
      </c>
      <c r="F51" s="2">
        <v>54</v>
      </c>
      <c r="G51" s="2">
        <v>0</v>
      </c>
      <c r="H51" s="2">
        <v>0</v>
      </c>
      <c r="I51" s="2">
        <v>54</v>
      </c>
      <c r="J51" s="4">
        <v>8100</v>
      </c>
      <c r="K51" s="4">
        <v>1215</v>
      </c>
      <c r="L51" s="3">
        <v>0.7</v>
      </c>
      <c r="M51" s="93">
        <v>4820</v>
      </c>
      <c r="N51" s="57">
        <v>44774</v>
      </c>
    </row>
    <row r="52" spans="1:14">
      <c r="A52" s="2">
        <v>2</v>
      </c>
      <c r="B52" s="2" t="s">
        <v>12</v>
      </c>
      <c r="C52" s="2" t="s">
        <v>94</v>
      </c>
      <c r="D52" s="2" t="s">
        <v>17</v>
      </c>
      <c r="E52" s="2">
        <v>177</v>
      </c>
      <c r="F52" s="2">
        <v>120</v>
      </c>
      <c r="G52" s="2">
        <v>0</v>
      </c>
      <c r="H52" s="2">
        <v>0</v>
      </c>
      <c r="I52" s="2">
        <v>297</v>
      </c>
      <c r="J52" s="4">
        <v>44550</v>
      </c>
      <c r="K52" s="4">
        <v>2700</v>
      </c>
      <c r="L52" s="3">
        <v>0.7</v>
      </c>
      <c r="M52" s="93">
        <v>29295</v>
      </c>
      <c r="N52" s="57">
        <v>44774</v>
      </c>
    </row>
    <row r="53" spans="1:14">
      <c r="A53" s="2">
        <v>3</v>
      </c>
      <c r="B53" s="2" t="s">
        <v>12</v>
      </c>
      <c r="C53" s="2" t="s">
        <v>94</v>
      </c>
      <c r="D53" s="2" t="s">
        <v>23</v>
      </c>
      <c r="E53" s="2">
        <v>20</v>
      </c>
      <c r="F53" s="2">
        <v>34</v>
      </c>
      <c r="G53" s="2">
        <v>0</v>
      </c>
      <c r="H53" s="2">
        <v>0</v>
      </c>
      <c r="I53" s="2">
        <v>54</v>
      </c>
      <c r="J53" s="4">
        <v>8100</v>
      </c>
      <c r="K53" s="2">
        <v>765</v>
      </c>
      <c r="L53" s="3">
        <v>0.7</v>
      </c>
      <c r="M53" s="93">
        <v>5135</v>
      </c>
      <c r="N53" s="57">
        <v>44774</v>
      </c>
    </row>
    <row r="54" spans="1:14">
      <c r="A54" s="2">
        <v>4</v>
      </c>
      <c r="B54" s="2" t="s">
        <v>12</v>
      </c>
      <c r="C54" s="2" t="s">
        <v>94</v>
      </c>
      <c r="D54" s="2" t="s">
        <v>19</v>
      </c>
      <c r="E54" s="2">
        <v>0</v>
      </c>
      <c r="F54" s="2">
        <v>26</v>
      </c>
      <c r="G54" s="2">
        <v>0</v>
      </c>
      <c r="H54" s="2">
        <v>0</v>
      </c>
      <c r="I54" s="2">
        <v>26</v>
      </c>
      <c r="J54" s="4">
        <v>3900</v>
      </c>
      <c r="K54" s="2">
        <v>585</v>
      </c>
      <c r="L54" s="3">
        <v>0.7</v>
      </c>
      <c r="M54" s="93">
        <v>2321</v>
      </c>
      <c r="N54" s="57">
        <v>44774</v>
      </c>
    </row>
    <row r="55" spans="1:14">
      <c r="A55" s="2">
        <v>5</v>
      </c>
      <c r="B55" s="2" t="s">
        <v>12</v>
      </c>
      <c r="C55" s="2" t="s">
        <v>94</v>
      </c>
      <c r="D55" s="2" t="s">
        <v>50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3">
        <v>0.7</v>
      </c>
      <c r="M55" s="93">
        <v>0</v>
      </c>
      <c r="N55" s="57">
        <v>44774</v>
      </c>
    </row>
    <row r="56" spans="1:14">
      <c r="A56" s="2">
        <v>6</v>
      </c>
      <c r="B56" s="2" t="s">
        <v>12</v>
      </c>
      <c r="C56" s="2" t="s">
        <v>94</v>
      </c>
      <c r="D56" s="2" t="s">
        <v>29</v>
      </c>
      <c r="E56" s="2">
        <v>6</v>
      </c>
      <c r="F56" s="2">
        <v>22</v>
      </c>
      <c r="G56" s="2">
        <v>0</v>
      </c>
      <c r="H56" s="2">
        <v>0</v>
      </c>
      <c r="I56" s="2">
        <v>28</v>
      </c>
      <c r="J56" s="4">
        <v>4200</v>
      </c>
      <c r="K56" s="2">
        <v>495</v>
      </c>
      <c r="L56" s="3">
        <v>0.7</v>
      </c>
      <c r="M56" s="93">
        <v>2594</v>
      </c>
      <c r="N56" s="57">
        <v>44774</v>
      </c>
    </row>
    <row r="57" spans="1:14">
      <c r="A57" s="2">
        <v>7</v>
      </c>
      <c r="B57" s="2" t="s">
        <v>12</v>
      </c>
      <c r="C57" s="2" t="s">
        <v>94</v>
      </c>
      <c r="D57" s="2" t="s">
        <v>20</v>
      </c>
      <c r="E57" s="2">
        <v>10</v>
      </c>
      <c r="F57" s="2">
        <v>11</v>
      </c>
      <c r="G57" s="2">
        <v>0</v>
      </c>
      <c r="H57" s="2">
        <v>0</v>
      </c>
      <c r="I57" s="2">
        <v>21</v>
      </c>
      <c r="J57" s="4">
        <v>3150</v>
      </c>
      <c r="K57" s="2">
        <v>248</v>
      </c>
      <c r="L57" s="3">
        <v>0.7</v>
      </c>
      <c r="M57" s="93">
        <v>2032</v>
      </c>
      <c r="N57" s="57">
        <v>44774</v>
      </c>
    </row>
    <row r="58" spans="1:14">
      <c r="A58" s="2">
        <v>8</v>
      </c>
      <c r="B58" s="2" t="s">
        <v>12</v>
      </c>
      <c r="C58" s="2" t="s">
        <v>94</v>
      </c>
      <c r="D58" s="2" t="s">
        <v>24</v>
      </c>
      <c r="E58" s="2">
        <v>4</v>
      </c>
      <c r="F58" s="2">
        <v>60</v>
      </c>
      <c r="G58" s="2">
        <v>0</v>
      </c>
      <c r="H58" s="2">
        <v>0</v>
      </c>
      <c r="I58" s="2">
        <v>64</v>
      </c>
      <c r="J58" s="4">
        <v>9600</v>
      </c>
      <c r="K58" s="4">
        <v>1350</v>
      </c>
      <c r="L58" s="3">
        <v>0.7</v>
      </c>
      <c r="M58" s="93">
        <v>5775</v>
      </c>
      <c r="N58" s="57">
        <v>44774</v>
      </c>
    </row>
    <row r="59" spans="1:14">
      <c r="A59" s="2">
        <v>9</v>
      </c>
      <c r="B59" s="2" t="s">
        <v>12</v>
      </c>
      <c r="C59" s="2" t="s">
        <v>94</v>
      </c>
      <c r="D59" s="2" t="s">
        <v>21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3">
        <v>0.7</v>
      </c>
      <c r="M59" s="93">
        <v>0</v>
      </c>
      <c r="N59" s="57">
        <v>44774</v>
      </c>
    </row>
    <row r="60" spans="1:14">
      <c r="A60" s="86">
        <v>10</v>
      </c>
      <c r="B60" s="86" t="s">
        <v>12</v>
      </c>
      <c r="C60" s="86" t="s">
        <v>94</v>
      </c>
      <c r="D60" s="86" t="s">
        <v>86</v>
      </c>
      <c r="E60" s="86">
        <v>0</v>
      </c>
      <c r="F60" s="86">
        <v>10</v>
      </c>
      <c r="G60" s="86">
        <v>0</v>
      </c>
      <c r="H60" s="86">
        <v>0</v>
      </c>
      <c r="I60" s="86">
        <v>10</v>
      </c>
      <c r="J60" s="87">
        <v>1500</v>
      </c>
      <c r="K60" s="86">
        <v>225</v>
      </c>
      <c r="L60" s="88">
        <v>0.7</v>
      </c>
      <c r="M60" s="94">
        <v>893</v>
      </c>
      <c r="N60" s="89">
        <v>44774</v>
      </c>
    </row>
    <row r="61" spans="1:14">
      <c r="A61" s="90">
        <v>11</v>
      </c>
      <c r="B61" s="90" t="s">
        <v>12</v>
      </c>
      <c r="C61" s="90" t="s">
        <v>94</v>
      </c>
      <c r="D61" s="90" t="s">
        <v>25</v>
      </c>
      <c r="E61" s="90">
        <v>8</v>
      </c>
      <c r="F61" s="90">
        <v>2</v>
      </c>
      <c r="G61" s="90">
        <v>0</v>
      </c>
      <c r="H61" s="90">
        <v>0</v>
      </c>
      <c r="I61" s="90">
        <v>10</v>
      </c>
      <c r="J61" s="91">
        <v>1500</v>
      </c>
      <c r="K61" s="90">
        <v>45</v>
      </c>
      <c r="L61" s="92">
        <v>0.7</v>
      </c>
      <c r="M61" s="95">
        <v>1019</v>
      </c>
      <c r="N61" s="57">
        <v>44774</v>
      </c>
    </row>
    <row r="62" spans="1:14">
      <c r="A62" s="90">
        <v>12</v>
      </c>
      <c r="B62" s="90" t="s">
        <v>12</v>
      </c>
      <c r="C62" s="90" t="s">
        <v>94</v>
      </c>
      <c r="D62" s="90" t="s">
        <v>26</v>
      </c>
      <c r="E62" s="90">
        <v>10</v>
      </c>
      <c r="F62" s="90">
        <v>8</v>
      </c>
      <c r="G62" s="90">
        <v>0</v>
      </c>
      <c r="H62" s="90">
        <v>0</v>
      </c>
      <c r="I62" s="90">
        <v>18</v>
      </c>
      <c r="J62" s="91">
        <v>2700</v>
      </c>
      <c r="K62" s="90">
        <v>180</v>
      </c>
      <c r="L62" s="92">
        <v>0.7</v>
      </c>
      <c r="M62" s="95">
        <v>1764</v>
      </c>
      <c r="N62" s="57">
        <v>44774</v>
      </c>
    </row>
    <row r="63" spans="1:14">
      <c r="M63" s="58">
        <f>SUM(M2:M62)</f>
        <v>304578</v>
      </c>
    </row>
  </sheetData>
  <mergeCells count="1">
    <mergeCell ref="P1:Q1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showGridLines="0" zoomScaleNormal="100" workbookViewId="0">
      <selection activeCell="F17" sqref="F17"/>
    </sheetView>
  </sheetViews>
  <sheetFormatPr defaultRowHeight="16.5"/>
  <cols>
    <col min="1" max="1" width="28.75" style="6" customWidth="1"/>
    <col min="2" max="2" width="9.25" style="6" customWidth="1"/>
    <col min="3" max="3" width="9.625" style="6" customWidth="1"/>
    <col min="4" max="4" width="11.625" style="6" customWidth="1"/>
    <col min="5" max="5" width="9" style="6"/>
    <col min="6" max="6" width="13" style="6" customWidth="1"/>
    <col min="7" max="16384" width="9" style="6"/>
  </cols>
  <sheetData>
    <row r="1" spans="1:6" ht="27" thickBot="1">
      <c r="A1" s="69" t="s">
        <v>70</v>
      </c>
      <c r="B1" s="70"/>
      <c r="C1" s="70"/>
      <c r="D1" s="70"/>
      <c r="E1" s="70"/>
      <c r="F1" s="71"/>
    </row>
    <row r="2" spans="1:6">
      <c r="A2" s="30"/>
      <c r="B2" s="31"/>
      <c r="C2" s="32"/>
      <c r="D2" s="33"/>
      <c r="E2" s="34"/>
      <c r="F2" s="33"/>
    </row>
    <row r="3" spans="1:6" ht="27" thickBot="1">
      <c r="A3" s="35" t="s">
        <v>71</v>
      </c>
      <c r="B3" s="11"/>
      <c r="C3" s="11"/>
      <c r="D3" s="11"/>
      <c r="E3" s="11"/>
      <c r="F3" s="11"/>
    </row>
    <row r="4" spans="1:6">
      <c r="A4" s="36" t="s">
        <v>2</v>
      </c>
      <c r="B4" s="37" t="s">
        <v>14</v>
      </c>
      <c r="C4" s="37" t="s">
        <v>72</v>
      </c>
      <c r="D4" s="37" t="s">
        <v>15</v>
      </c>
      <c r="E4" s="37" t="s">
        <v>73</v>
      </c>
      <c r="F4" s="38" t="s">
        <v>74</v>
      </c>
    </row>
    <row r="5" spans="1:6">
      <c r="A5" s="39" t="s">
        <v>16</v>
      </c>
      <c r="B5" s="40" t="s">
        <v>12</v>
      </c>
      <c r="C5" s="40">
        <v>306</v>
      </c>
      <c r="D5" s="41">
        <v>45900</v>
      </c>
      <c r="E5" s="42">
        <v>0.7</v>
      </c>
      <c r="F5" s="43">
        <f>D5*E5</f>
        <v>32129.999999999996</v>
      </c>
    </row>
    <row r="6" spans="1:6">
      <c r="A6" s="39" t="s">
        <v>17</v>
      </c>
      <c r="B6" s="40" t="s">
        <v>12</v>
      </c>
      <c r="C6" s="40">
        <v>115</v>
      </c>
      <c r="D6" s="41">
        <v>17250</v>
      </c>
      <c r="E6" s="42">
        <v>0.7</v>
      </c>
      <c r="F6" s="43">
        <f t="shared" ref="F6:F10" si="0">D6*E6</f>
        <v>12075</v>
      </c>
    </row>
    <row r="7" spans="1:6">
      <c r="A7" s="39" t="s">
        <v>18</v>
      </c>
      <c r="B7" s="40" t="s">
        <v>12</v>
      </c>
      <c r="C7" s="40">
        <v>38</v>
      </c>
      <c r="D7" s="41">
        <v>5700</v>
      </c>
      <c r="E7" s="42">
        <v>0.7</v>
      </c>
      <c r="F7" s="43">
        <f t="shared" si="0"/>
        <v>3989.9999999999995</v>
      </c>
    </row>
    <row r="8" spans="1:6">
      <c r="A8" s="39" t="s">
        <v>19</v>
      </c>
      <c r="B8" s="40" t="s">
        <v>12</v>
      </c>
      <c r="C8" s="40">
        <v>2</v>
      </c>
      <c r="D8" s="41">
        <v>300</v>
      </c>
      <c r="E8" s="42">
        <v>0.7</v>
      </c>
      <c r="F8" s="43">
        <f t="shared" si="0"/>
        <v>210</v>
      </c>
    </row>
    <row r="9" spans="1:6">
      <c r="A9" s="39" t="s">
        <v>20</v>
      </c>
      <c r="B9" s="40" t="s">
        <v>12</v>
      </c>
      <c r="C9" s="40">
        <v>20</v>
      </c>
      <c r="D9" s="41">
        <v>3000</v>
      </c>
      <c r="E9" s="42">
        <v>0.7</v>
      </c>
      <c r="F9" s="43">
        <f t="shared" si="0"/>
        <v>2100</v>
      </c>
    </row>
    <row r="10" spans="1:6">
      <c r="A10" s="39" t="s">
        <v>21</v>
      </c>
      <c r="B10" s="40" t="s">
        <v>12</v>
      </c>
      <c r="C10" s="40">
        <v>12</v>
      </c>
      <c r="D10" s="41">
        <v>1800</v>
      </c>
      <c r="E10" s="42">
        <v>0.7</v>
      </c>
      <c r="F10" s="43">
        <f t="shared" si="0"/>
        <v>1260</v>
      </c>
    </row>
    <row r="11" spans="1:6" ht="17.25" thickBot="1">
      <c r="A11" s="48" t="s">
        <v>52</v>
      </c>
      <c r="B11" s="49" t="s">
        <v>13</v>
      </c>
      <c r="C11" s="50">
        <f>SUM(C5:C10)</f>
        <v>493</v>
      </c>
      <c r="D11" s="50">
        <f>SUM(D5:D10)</f>
        <v>73950</v>
      </c>
      <c r="E11" s="51"/>
      <c r="F11" s="50">
        <f>SUM(F5:F10)</f>
        <v>51765</v>
      </c>
    </row>
    <row r="12" spans="1:6" ht="41.25" customHeight="1"/>
    <row r="16" spans="1:6" ht="17.25" thickBot="1"/>
    <row r="17" spans="4:7" ht="17.25" thickBot="1">
      <c r="D17" s="54" t="s">
        <v>75</v>
      </c>
      <c r="E17" s="59">
        <f>F11</f>
        <v>51765</v>
      </c>
      <c r="F17" s="60"/>
    </row>
    <row r="18" spans="4:7">
      <c r="E18" s="55"/>
      <c r="F18" s="55"/>
      <c r="G18" s="55"/>
    </row>
    <row r="21" spans="4:7">
      <c r="E21" s="72"/>
      <c r="F21" s="72"/>
    </row>
    <row r="22" spans="4:7">
      <c r="E22" s="73"/>
      <c r="F22" s="73"/>
    </row>
    <row r="23" spans="4:7">
      <c r="E23" s="73"/>
      <c r="F23" s="73"/>
    </row>
    <row r="24" spans="4:7">
      <c r="E24" s="73"/>
      <c r="F24" s="73"/>
    </row>
    <row r="25" spans="4:7">
      <c r="E25" s="73"/>
      <c r="F25" s="73"/>
    </row>
    <row r="26" spans="4:7">
      <c r="E26" s="73"/>
      <c r="F26" s="73"/>
    </row>
    <row r="27" spans="4:7" ht="24" customHeight="1"/>
  </sheetData>
  <mergeCells count="2">
    <mergeCell ref="A1:F1"/>
    <mergeCell ref="E21:F26"/>
  </mergeCells>
  <phoneticPr fontId="20" type="noConversion"/>
  <pageMargins left="0.7" right="0.7" top="0.75" bottom="0.75" header="0.3" footer="0.3"/>
  <pageSetup paperSize="9"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showGridLines="0" topLeftCell="A13" zoomScaleNormal="100" workbookViewId="0">
      <selection activeCell="F17" sqref="F17"/>
    </sheetView>
  </sheetViews>
  <sheetFormatPr defaultRowHeight="16.5"/>
  <cols>
    <col min="1" max="1" width="28.75" style="6" customWidth="1"/>
    <col min="2" max="2" width="9.25" style="6" customWidth="1"/>
    <col min="3" max="3" width="9.625" style="6" customWidth="1"/>
    <col min="4" max="4" width="11.625" style="6" customWidth="1"/>
    <col min="5" max="5" width="10.875" style="6" bestFit="1" customWidth="1"/>
    <col min="6" max="6" width="13" style="6" customWidth="1"/>
    <col min="7" max="16384" width="9" style="6"/>
  </cols>
  <sheetData>
    <row r="1" spans="1:6" ht="27" thickBot="1">
      <c r="A1" s="69" t="s">
        <v>60</v>
      </c>
      <c r="B1" s="70"/>
      <c r="C1" s="70"/>
      <c r="D1" s="70"/>
      <c r="E1" s="70"/>
      <c r="F1" s="71"/>
    </row>
    <row r="2" spans="1:6">
      <c r="A2" s="30"/>
      <c r="B2" s="31"/>
      <c r="C2" s="32"/>
      <c r="D2" s="33"/>
      <c r="E2" s="34"/>
      <c r="F2" s="33"/>
    </row>
    <row r="3" spans="1:6" ht="27" thickBot="1">
      <c r="A3" s="35" t="s">
        <v>61</v>
      </c>
      <c r="B3" s="11"/>
      <c r="C3" s="11"/>
      <c r="D3" s="11"/>
      <c r="E3" s="11"/>
      <c r="F3" s="11"/>
    </row>
    <row r="4" spans="1:6">
      <c r="A4" s="36" t="s">
        <v>2</v>
      </c>
      <c r="B4" s="37" t="s">
        <v>14</v>
      </c>
      <c r="C4" s="37" t="s">
        <v>62</v>
      </c>
      <c r="D4" s="37" t="s">
        <v>15</v>
      </c>
      <c r="E4" s="37" t="s">
        <v>43</v>
      </c>
      <c r="F4" s="38" t="s">
        <v>63</v>
      </c>
    </row>
    <row r="5" spans="1:6">
      <c r="A5" s="39" t="s">
        <v>22</v>
      </c>
      <c r="B5" s="40" t="s">
        <v>12</v>
      </c>
      <c r="C5" s="40">
        <v>4</v>
      </c>
      <c r="D5" s="41">
        <v>600</v>
      </c>
      <c r="E5" s="42">
        <v>0.7</v>
      </c>
      <c r="F5" s="43">
        <f>D5*E5</f>
        <v>420</v>
      </c>
    </row>
    <row r="6" spans="1:6">
      <c r="A6" s="39" t="s">
        <v>16</v>
      </c>
      <c r="B6" s="40" t="s">
        <v>12</v>
      </c>
      <c r="C6" s="40">
        <v>176</v>
      </c>
      <c r="D6" s="41">
        <v>26400</v>
      </c>
      <c r="E6" s="42">
        <v>0.7</v>
      </c>
      <c r="F6" s="43">
        <f t="shared" ref="F6:F13" si="0">D6*E6</f>
        <v>18480</v>
      </c>
    </row>
    <row r="7" spans="1:6">
      <c r="A7" s="44" t="s">
        <v>17</v>
      </c>
      <c r="B7" s="45" t="s">
        <v>12</v>
      </c>
      <c r="C7" s="46">
        <v>30</v>
      </c>
      <c r="D7" s="47">
        <v>4500</v>
      </c>
      <c r="E7" s="42">
        <v>0.7</v>
      </c>
      <c r="F7" s="43">
        <f t="shared" si="0"/>
        <v>3150</v>
      </c>
    </row>
    <row r="8" spans="1:6">
      <c r="A8" s="44" t="s">
        <v>23</v>
      </c>
      <c r="B8" s="45" t="s">
        <v>12</v>
      </c>
      <c r="C8" s="46">
        <v>93</v>
      </c>
      <c r="D8" s="47">
        <v>13950</v>
      </c>
      <c r="E8" s="42">
        <v>0.7</v>
      </c>
      <c r="F8" s="43">
        <f t="shared" si="0"/>
        <v>9765</v>
      </c>
    </row>
    <row r="9" spans="1:6">
      <c r="A9" s="44" t="s">
        <v>19</v>
      </c>
      <c r="B9" s="45" t="s">
        <v>12</v>
      </c>
      <c r="C9" s="46">
        <v>34</v>
      </c>
      <c r="D9" s="47">
        <v>5100</v>
      </c>
      <c r="E9" s="42">
        <v>0.7</v>
      </c>
      <c r="F9" s="43">
        <f t="shared" si="0"/>
        <v>3570</v>
      </c>
    </row>
    <row r="10" spans="1:6">
      <c r="A10" s="44" t="s">
        <v>20</v>
      </c>
      <c r="B10" s="45" t="s">
        <v>12</v>
      </c>
      <c r="C10" s="46">
        <v>292</v>
      </c>
      <c r="D10" s="47">
        <v>43800</v>
      </c>
      <c r="E10" s="42">
        <v>0.7</v>
      </c>
      <c r="F10" s="43">
        <f t="shared" si="0"/>
        <v>30659.999999999996</v>
      </c>
    </row>
    <row r="11" spans="1:6">
      <c r="A11" s="44" t="s">
        <v>24</v>
      </c>
      <c r="B11" s="45" t="s">
        <v>12</v>
      </c>
      <c r="C11" s="46">
        <v>71</v>
      </c>
      <c r="D11" s="47">
        <v>10650</v>
      </c>
      <c r="E11" s="42">
        <v>0.7</v>
      </c>
      <c r="F11" s="43">
        <f t="shared" si="0"/>
        <v>7454.9999999999991</v>
      </c>
    </row>
    <row r="12" spans="1:6">
      <c r="A12" s="44" t="s">
        <v>25</v>
      </c>
      <c r="B12" s="45" t="s">
        <v>12</v>
      </c>
      <c r="C12" s="46">
        <v>24</v>
      </c>
      <c r="D12" s="47">
        <v>3600</v>
      </c>
      <c r="E12" s="42">
        <v>0.7</v>
      </c>
      <c r="F12" s="43">
        <f t="shared" si="0"/>
        <v>2520</v>
      </c>
    </row>
    <row r="13" spans="1:6">
      <c r="A13" s="44" t="s">
        <v>26</v>
      </c>
      <c r="B13" s="45" t="s">
        <v>12</v>
      </c>
      <c r="C13" s="46">
        <v>92</v>
      </c>
      <c r="D13" s="47">
        <v>13800</v>
      </c>
      <c r="E13" s="42">
        <v>0.7</v>
      </c>
      <c r="F13" s="43">
        <f t="shared" si="0"/>
        <v>9660</v>
      </c>
    </row>
    <row r="14" spans="1:6" ht="17.25" thickBot="1">
      <c r="A14" s="48" t="s">
        <v>52</v>
      </c>
      <c r="B14" s="49" t="s">
        <v>13</v>
      </c>
      <c r="C14" s="50">
        <f>SUM(C5:C13)</f>
        <v>816</v>
      </c>
      <c r="D14" s="50">
        <f>SUM(D5:D13)</f>
        <v>122400</v>
      </c>
      <c r="E14" s="51"/>
      <c r="F14" s="50">
        <f>SUM(F5:F13)</f>
        <v>85680</v>
      </c>
    </row>
    <row r="15" spans="1:6" ht="41.25" customHeight="1"/>
    <row r="16" spans="1:6" ht="41.25" customHeight="1" thickBot="1">
      <c r="A16" s="35" t="s">
        <v>64</v>
      </c>
      <c r="B16" s="11"/>
      <c r="C16" s="11"/>
      <c r="D16" s="11"/>
      <c r="E16" s="11"/>
      <c r="F16" s="11"/>
    </row>
    <row r="17" spans="1:7">
      <c r="A17" s="36" t="s">
        <v>2</v>
      </c>
      <c r="B17" s="37" t="s">
        <v>14</v>
      </c>
      <c r="C17" s="37" t="s">
        <v>65</v>
      </c>
      <c r="D17" s="38" t="s">
        <v>66</v>
      </c>
    </row>
    <row r="18" spans="1:7">
      <c r="A18" s="39" t="s">
        <v>16</v>
      </c>
      <c r="B18" s="40" t="s">
        <v>12</v>
      </c>
      <c r="C18" s="52" t="s">
        <v>67</v>
      </c>
      <c r="D18" s="43">
        <v>529</v>
      </c>
    </row>
    <row r="19" spans="1:7">
      <c r="A19" s="39" t="s">
        <v>17</v>
      </c>
      <c r="B19" s="40" t="s">
        <v>12</v>
      </c>
      <c r="C19" s="52" t="s">
        <v>67</v>
      </c>
      <c r="D19" s="43">
        <v>529</v>
      </c>
    </row>
    <row r="20" spans="1:7">
      <c r="A20" s="39" t="s">
        <v>27</v>
      </c>
      <c r="B20" s="40" t="s">
        <v>12</v>
      </c>
      <c r="C20" s="52" t="s">
        <v>67</v>
      </c>
      <c r="D20" s="43">
        <v>529</v>
      </c>
    </row>
    <row r="21" spans="1:7">
      <c r="A21" s="39" t="s">
        <v>21</v>
      </c>
      <c r="B21" s="40" t="s">
        <v>12</v>
      </c>
      <c r="C21" s="52" t="s">
        <v>67</v>
      </c>
      <c r="D21" s="43">
        <v>706</v>
      </c>
    </row>
    <row r="22" spans="1:7">
      <c r="A22" s="39" t="s">
        <v>28</v>
      </c>
      <c r="B22" s="40" t="s">
        <v>12</v>
      </c>
      <c r="C22" s="52" t="s">
        <v>67</v>
      </c>
      <c r="D22" s="43">
        <v>1058</v>
      </c>
    </row>
    <row r="23" spans="1:7" ht="17.25" thickBot="1">
      <c r="A23" s="48" t="s">
        <v>52</v>
      </c>
      <c r="B23" s="49" t="s">
        <v>13</v>
      </c>
      <c r="C23" s="53" t="s">
        <v>68</v>
      </c>
      <c r="D23" s="50">
        <f>SUM(D18:D22)</f>
        <v>3351</v>
      </c>
    </row>
    <row r="24" spans="1:7" ht="17.25" thickBot="1"/>
    <row r="25" spans="1:7" ht="17.25" thickBot="1">
      <c r="D25" s="54" t="s">
        <v>69</v>
      </c>
      <c r="E25" s="61">
        <f>F14+D23</f>
        <v>89031</v>
      </c>
      <c r="F25" s="62"/>
    </row>
    <row r="26" spans="1:7">
      <c r="E26" s="55"/>
      <c r="F26" s="55"/>
      <c r="G26" s="55"/>
    </row>
    <row r="29" spans="1:7">
      <c r="E29" s="72"/>
      <c r="F29" s="72"/>
    </row>
    <row r="30" spans="1:7">
      <c r="E30" s="73"/>
      <c r="F30" s="73"/>
    </row>
    <row r="31" spans="1:7">
      <c r="E31" s="73"/>
      <c r="F31" s="73"/>
    </row>
    <row r="32" spans="1:7">
      <c r="E32" s="73"/>
      <c r="F32" s="73"/>
    </row>
    <row r="33" spans="5:6">
      <c r="E33" s="73"/>
      <c r="F33" s="73"/>
    </row>
    <row r="34" spans="5:6">
      <c r="E34" s="73"/>
      <c r="F34" s="73"/>
    </row>
    <row r="35" spans="5:6" ht="24" customHeight="1"/>
  </sheetData>
  <mergeCells count="2">
    <mergeCell ref="A1:F1"/>
    <mergeCell ref="E29:F34"/>
  </mergeCells>
  <phoneticPr fontId="20" type="noConversion"/>
  <pageMargins left="0.7" right="0.7" top="0.75" bottom="0.75" header="0.3" footer="0.3"/>
  <pageSetup paperSize="9" scale="7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showGridLines="0" topLeftCell="A4" zoomScale="85" zoomScaleNormal="85" workbookViewId="0">
      <selection activeCell="S21" sqref="S21"/>
    </sheetView>
  </sheetViews>
  <sheetFormatPr defaultRowHeight="16.5"/>
  <cols>
    <col min="1" max="1" width="9" style="6"/>
    <col min="2" max="2" width="46.5" style="6" bestFit="1" customWidth="1"/>
    <col min="3" max="3" width="9.25" style="6" customWidth="1"/>
    <col min="4" max="17" width="9.75" style="6" customWidth="1"/>
    <col min="18" max="20" width="14.75" style="6" customWidth="1"/>
    <col min="21" max="16384" width="9" style="6"/>
  </cols>
  <sheetData>
    <row r="1" spans="1:21" ht="27" thickBot="1">
      <c r="A1" s="69" t="s">
        <v>31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1"/>
      <c r="U1" s="5"/>
    </row>
    <row r="2" spans="1:21" ht="31.5">
      <c r="A2" s="7" t="s">
        <v>32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 t="s">
        <v>33</v>
      </c>
      <c r="U2" s="11"/>
    </row>
    <row r="3" spans="1:21" ht="18" customHeight="1">
      <c r="A3" s="78" t="s">
        <v>34</v>
      </c>
      <c r="B3" s="78" t="s">
        <v>2</v>
      </c>
      <c r="C3" s="78" t="s">
        <v>14</v>
      </c>
      <c r="D3" s="78" t="s">
        <v>35</v>
      </c>
      <c r="E3" s="82" t="s">
        <v>36</v>
      </c>
      <c r="F3" s="83"/>
      <c r="G3" s="84" t="s">
        <v>37</v>
      </c>
      <c r="H3" s="84"/>
      <c r="I3" s="84"/>
      <c r="J3" s="84" t="s">
        <v>38</v>
      </c>
      <c r="K3" s="84"/>
      <c r="L3" s="84"/>
      <c r="M3" s="84" t="s">
        <v>39</v>
      </c>
      <c r="N3" s="84"/>
      <c r="O3" s="84"/>
      <c r="P3" s="78" t="s">
        <v>40</v>
      </c>
      <c r="Q3" s="78" t="s">
        <v>41</v>
      </c>
      <c r="R3" s="78" t="s">
        <v>42</v>
      </c>
      <c r="S3" s="78" t="s">
        <v>43</v>
      </c>
      <c r="T3" s="78" t="s">
        <v>44</v>
      </c>
    </row>
    <row r="4" spans="1:21" ht="24">
      <c r="A4" s="79"/>
      <c r="B4" s="79"/>
      <c r="C4" s="79"/>
      <c r="D4" s="79"/>
      <c r="E4" s="12" t="s">
        <v>45</v>
      </c>
      <c r="F4" s="12" t="s">
        <v>46</v>
      </c>
      <c r="G4" s="12" t="s">
        <v>45</v>
      </c>
      <c r="H4" s="12" t="s">
        <v>46</v>
      </c>
      <c r="I4" s="12" t="s">
        <v>47</v>
      </c>
      <c r="J4" s="12" t="s">
        <v>45</v>
      </c>
      <c r="K4" s="12" t="s">
        <v>46</v>
      </c>
      <c r="L4" s="12" t="s">
        <v>47</v>
      </c>
      <c r="M4" s="12" t="s">
        <v>45</v>
      </c>
      <c r="N4" s="12" t="s">
        <v>46</v>
      </c>
      <c r="O4" s="12" t="s">
        <v>48</v>
      </c>
      <c r="P4" s="79"/>
      <c r="Q4" s="79"/>
      <c r="R4" s="79"/>
      <c r="S4" s="79"/>
      <c r="T4" s="79"/>
    </row>
    <row r="5" spans="1:21">
      <c r="A5" s="13" t="s">
        <v>49</v>
      </c>
      <c r="B5" s="14" t="s">
        <v>16</v>
      </c>
      <c r="C5" s="13" t="s">
        <v>12</v>
      </c>
      <c r="D5" s="13">
        <v>150</v>
      </c>
      <c r="E5" s="13">
        <v>14</v>
      </c>
      <c r="F5" s="15">
        <f>E5*D5</f>
        <v>2100</v>
      </c>
      <c r="G5" s="13">
        <v>0</v>
      </c>
      <c r="H5" s="15">
        <f>G5*D5</f>
        <v>0</v>
      </c>
      <c r="I5" s="15">
        <f>H5*0.15</f>
        <v>0</v>
      </c>
      <c r="J5" s="13">
        <v>116</v>
      </c>
      <c r="K5" s="15">
        <f>J5*D5</f>
        <v>17400</v>
      </c>
      <c r="L5" s="15">
        <f>K5*0.15</f>
        <v>2610</v>
      </c>
      <c r="M5" s="13">
        <v>0</v>
      </c>
      <c r="N5" s="15">
        <f>M5*D5</f>
        <v>0</v>
      </c>
      <c r="O5" s="15">
        <f>N5*0.3</f>
        <v>0</v>
      </c>
      <c r="P5" s="13">
        <f t="shared" ref="P5:Q12" si="0">E5+G5+J5+M5</f>
        <v>130</v>
      </c>
      <c r="Q5" s="15">
        <f t="shared" si="0"/>
        <v>19500</v>
      </c>
      <c r="R5" s="16">
        <f>F5+(H5-I5)+(K5-L5)+(N5-O5)</f>
        <v>16890</v>
      </c>
      <c r="S5" s="17">
        <v>0.7</v>
      </c>
      <c r="T5" s="16">
        <f>R5*S5</f>
        <v>11823</v>
      </c>
    </row>
    <row r="6" spans="1:21">
      <c r="A6" s="13" t="s">
        <v>49</v>
      </c>
      <c r="B6" s="14" t="s">
        <v>17</v>
      </c>
      <c r="C6" s="13" t="s">
        <v>12</v>
      </c>
      <c r="D6" s="13">
        <v>150</v>
      </c>
      <c r="E6" s="13">
        <v>50</v>
      </c>
      <c r="F6" s="15">
        <f t="shared" ref="F6:F12" si="1">E6*D6</f>
        <v>7500</v>
      </c>
      <c r="G6" s="13">
        <v>0</v>
      </c>
      <c r="H6" s="15">
        <f t="shared" ref="H6:H12" si="2">G6*D6</f>
        <v>0</v>
      </c>
      <c r="I6" s="15">
        <f t="shared" ref="I6:I12" si="3">H6*0.15</f>
        <v>0</v>
      </c>
      <c r="J6" s="13">
        <v>172</v>
      </c>
      <c r="K6" s="15">
        <f t="shared" ref="K6:K12" si="4">J6*D6</f>
        <v>25800</v>
      </c>
      <c r="L6" s="15">
        <f t="shared" ref="L6:L12" si="5">K6*0.15</f>
        <v>3870</v>
      </c>
      <c r="M6" s="13">
        <v>0</v>
      </c>
      <c r="N6" s="15">
        <f t="shared" ref="N6:N12" si="6">M6*D6</f>
        <v>0</v>
      </c>
      <c r="O6" s="15">
        <f t="shared" ref="O6:O12" si="7">N6*0.3</f>
        <v>0</v>
      </c>
      <c r="P6" s="13">
        <f t="shared" si="0"/>
        <v>222</v>
      </c>
      <c r="Q6" s="15">
        <f t="shared" si="0"/>
        <v>33300</v>
      </c>
      <c r="R6" s="16">
        <f t="shared" ref="R6:R12" si="8">F6+(H6-I6)+(K6-L6)+(N6-O6)</f>
        <v>29430</v>
      </c>
      <c r="S6" s="17">
        <v>0.7</v>
      </c>
      <c r="T6" s="16">
        <f t="shared" ref="T6:T12" si="9">R6*S6</f>
        <v>20601</v>
      </c>
    </row>
    <row r="7" spans="1:21">
      <c r="A7" s="13" t="s">
        <v>49</v>
      </c>
      <c r="B7" s="14" t="s">
        <v>23</v>
      </c>
      <c r="C7" s="13" t="s">
        <v>12</v>
      </c>
      <c r="D7" s="13">
        <v>150</v>
      </c>
      <c r="E7" s="13">
        <v>0</v>
      </c>
      <c r="F7" s="15">
        <f t="shared" si="1"/>
        <v>0</v>
      </c>
      <c r="G7" s="13">
        <v>0</v>
      </c>
      <c r="H7" s="15">
        <f t="shared" si="2"/>
        <v>0</v>
      </c>
      <c r="I7" s="15">
        <f t="shared" si="3"/>
        <v>0</v>
      </c>
      <c r="J7" s="13">
        <v>16</v>
      </c>
      <c r="K7" s="15">
        <f t="shared" si="4"/>
        <v>2400</v>
      </c>
      <c r="L7" s="15">
        <f t="shared" si="5"/>
        <v>360</v>
      </c>
      <c r="M7" s="13">
        <v>0</v>
      </c>
      <c r="N7" s="15">
        <f t="shared" si="6"/>
        <v>0</v>
      </c>
      <c r="O7" s="15">
        <f t="shared" si="7"/>
        <v>0</v>
      </c>
      <c r="P7" s="13">
        <f t="shared" si="0"/>
        <v>16</v>
      </c>
      <c r="Q7" s="15">
        <f t="shared" si="0"/>
        <v>2400</v>
      </c>
      <c r="R7" s="16">
        <f t="shared" si="8"/>
        <v>2040</v>
      </c>
      <c r="S7" s="17">
        <v>0.7</v>
      </c>
      <c r="T7" s="16">
        <f t="shared" si="9"/>
        <v>1428</v>
      </c>
    </row>
    <row r="8" spans="1:21">
      <c r="A8" s="13" t="s">
        <v>49</v>
      </c>
      <c r="B8" s="14" t="s">
        <v>19</v>
      </c>
      <c r="C8" s="13" t="s">
        <v>12</v>
      </c>
      <c r="D8" s="13">
        <v>150</v>
      </c>
      <c r="E8" s="13">
        <v>0</v>
      </c>
      <c r="F8" s="15">
        <f t="shared" si="1"/>
        <v>0</v>
      </c>
      <c r="G8" s="13">
        <v>0</v>
      </c>
      <c r="H8" s="15">
        <f t="shared" si="2"/>
        <v>0</v>
      </c>
      <c r="I8" s="15">
        <f t="shared" si="3"/>
        <v>0</v>
      </c>
      <c r="J8" s="13">
        <v>20</v>
      </c>
      <c r="K8" s="15">
        <f t="shared" si="4"/>
        <v>3000</v>
      </c>
      <c r="L8" s="15">
        <f t="shared" si="5"/>
        <v>450</v>
      </c>
      <c r="M8" s="13">
        <v>0</v>
      </c>
      <c r="N8" s="15">
        <f t="shared" si="6"/>
        <v>0</v>
      </c>
      <c r="O8" s="15">
        <f t="shared" si="7"/>
        <v>0</v>
      </c>
      <c r="P8" s="13">
        <f t="shared" si="0"/>
        <v>20</v>
      </c>
      <c r="Q8" s="15">
        <f t="shared" si="0"/>
        <v>3000</v>
      </c>
      <c r="R8" s="16">
        <f t="shared" si="8"/>
        <v>2550</v>
      </c>
      <c r="S8" s="17">
        <v>0.7</v>
      </c>
      <c r="T8" s="16">
        <f t="shared" si="9"/>
        <v>1785</v>
      </c>
    </row>
    <row r="9" spans="1:21">
      <c r="A9" s="13" t="s">
        <v>49</v>
      </c>
      <c r="B9" s="14" t="s">
        <v>50</v>
      </c>
      <c r="C9" s="13" t="s">
        <v>12</v>
      </c>
      <c r="D9" s="13">
        <v>150</v>
      </c>
      <c r="E9" s="13">
        <v>0</v>
      </c>
      <c r="F9" s="15">
        <f t="shared" si="1"/>
        <v>0</v>
      </c>
      <c r="G9" s="13">
        <v>0</v>
      </c>
      <c r="H9" s="15">
        <f t="shared" si="2"/>
        <v>0</v>
      </c>
      <c r="I9" s="15">
        <f t="shared" si="3"/>
        <v>0</v>
      </c>
      <c r="J9" s="13">
        <v>2</v>
      </c>
      <c r="K9" s="15">
        <f t="shared" si="4"/>
        <v>300</v>
      </c>
      <c r="L9" s="15">
        <f t="shared" si="5"/>
        <v>45</v>
      </c>
      <c r="M9" s="13">
        <v>0</v>
      </c>
      <c r="N9" s="15">
        <f t="shared" si="6"/>
        <v>0</v>
      </c>
      <c r="O9" s="15">
        <f t="shared" si="7"/>
        <v>0</v>
      </c>
      <c r="P9" s="13">
        <f t="shared" si="0"/>
        <v>2</v>
      </c>
      <c r="Q9" s="15">
        <f t="shared" si="0"/>
        <v>300</v>
      </c>
      <c r="R9" s="16">
        <f t="shared" si="8"/>
        <v>255</v>
      </c>
      <c r="S9" s="17">
        <v>0.7</v>
      </c>
      <c r="T9" s="16">
        <f t="shared" si="9"/>
        <v>178.5</v>
      </c>
    </row>
    <row r="10" spans="1:21">
      <c r="A10" s="13" t="s">
        <v>49</v>
      </c>
      <c r="B10" s="14" t="s">
        <v>20</v>
      </c>
      <c r="C10" s="13" t="s">
        <v>12</v>
      </c>
      <c r="D10" s="13">
        <v>150</v>
      </c>
      <c r="E10" s="13">
        <v>102</v>
      </c>
      <c r="F10" s="15">
        <f t="shared" si="1"/>
        <v>15300</v>
      </c>
      <c r="G10" s="13">
        <v>0</v>
      </c>
      <c r="H10" s="15">
        <f t="shared" si="2"/>
        <v>0</v>
      </c>
      <c r="I10" s="15">
        <f t="shared" si="3"/>
        <v>0</v>
      </c>
      <c r="J10" s="13">
        <v>63</v>
      </c>
      <c r="K10" s="15">
        <f t="shared" si="4"/>
        <v>9450</v>
      </c>
      <c r="L10" s="15">
        <f t="shared" si="5"/>
        <v>1417.5</v>
      </c>
      <c r="M10" s="13">
        <v>0</v>
      </c>
      <c r="N10" s="15">
        <f t="shared" si="6"/>
        <v>0</v>
      </c>
      <c r="O10" s="15">
        <f t="shared" si="7"/>
        <v>0</v>
      </c>
      <c r="P10" s="13">
        <f t="shared" si="0"/>
        <v>165</v>
      </c>
      <c r="Q10" s="15">
        <f t="shared" si="0"/>
        <v>24750</v>
      </c>
      <c r="R10" s="16">
        <f t="shared" si="8"/>
        <v>23332.5</v>
      </c>
      <c r="S10" s="17">
        <v>0.7</v>
      </c>
      <c r="T10" s="16">
        <f t="shared" si="9"/>
        <v>16332.749999999998</v>
      </c>
    </row>
    <row r="11" spans="1:21">
      <c r="A11" s="13" t="s">
        <v>49</v>
      </c>
      <c r="B11" s="14" t="s">
        <v>51</v>
      </c>
      <c r="C11" s="13" t="s">
        <v>12</v>
      </c>
      <c r="D11" s="13">
        <v>150</v>
      </c>
      <c r="E11" s="13">
        <v>38</v>
      </c>
      <c r="F11" s="15">
        <f t="shared" si="1"/>
        <v>5700</v>
      </c>
      <c r="G11" s="13">
        <v>0</v>
      </c>
      <c r="H11" s="15">
        <f t="shared" si="2"/>
        <v>0</v>
      </c>
      <c r="I11" s="15">
        <f t="shared" si="3"/>
        <v>0</v>
      </c>
      <c r="J11" s="13">
        <v>0</v>
      </c>
      <c r="K11" s="15">
        <f t="shared" si="4"/>
        <v>0</v>
      </c>
      <c r="L11" s="15">
        <f t="shared" si="5"/>
        <v>0</v>
      </c>
      <c r="M11" s="13">
        <v>0</v>
      </c>
      <c r="N11" s="15">
        <f t="shared" si="6"/>
        <v>0</v>
      </c>
      <c r="O11" s="15">
        <f t="shared" si="7"/>
        <v>0</v>
      </c>
      <c r="P11" s="13">
        <f t="shared" si="0"/>
        <v>38</v>
      </c>
      <c r="Q11" s="15">
        <f t="shared" si="0"/>
        <v>5700</v>
      </c>
      <c r="R11" s="16">
        <f t="shared" si="8"/>
        <v>5700</v>
      </c>
      <c r="S11" s="17">
        <v>0.7</v>
      </c>
      <c r="T11" s="16">
        <f t="shared" si="9"/>
        <v>3989.9999999999995</v>
      </c>
    </row>
    <row r="12" spans="1:21">
      <c r="A12" s="13" t="s">
        <v>49</v>
      </c>
      <c r="B12" s="14" t="s">
        <v>24</v>
      </c>
      <c r="C12" s="13" t="s">
        <v>12</v>
      </c>
      <c r="D12" s="13">
        <v>150</v>
      </c>
      <c r="E12" s="13">
        <v>54</v>
      </c>
      <c r="F12" s="15">
        <f t="shared" si="1"/>
        <v>8100</v>
      </c>
      <c r="G12" s="13">
        <v>0</v>
      </c>
      <c r="H12" s="15">
        <f t="shared" si="2"/>
        <v>0</v>
      </c>
      <c r="I12" s="15">
        <f t="shared" si="3"/>
        <v>0</v>
      </c>
      <c r="J12" s="13">
        <v>104</v>
      </c>
      <c r="K12" s="15">
        <f t="shared" si="4"/>
        <v>15600</v>
      </c>
      <c r="L12" s="15">
        <f t="shared" si="5"/>
        <v>2340</v>
      </c>
      <c r="M12" s="13">
        <v>0</v>
      </c>
      <c r="N12" s="15">
        <f t="shared" si="6"/>
        <v>0</v>
      </c>
      <c r="O12" s="15">
        <f t="shared" si="7"/>
        <v>0</v>
      </c>
      <c r="P12" s="13">
        <f t="shared" si="0"/>
        <v>158</v>
      </c>
      <c r="Q12" s="15">
        <f t="shared" si="0"/>
        <v>23700</v>
      </c>
      <c r="R12" s="16">
        <f t="shared" si="8"/>
        <v>21360</v>
      </c>
      <c r="S12" s="17">
        <v>0.7</v>
      </c>
      <c r="T12" s="16">
        <f t="shared" si="9"/>
        <v>14951.999999999998</v>
      </c>
    </row>
    <row r="13" spans="1:21">
      <c r="A13" s="76" t="s">
        <v>52</v>
      </c>
      <c r="B13" s="77"/>
      <c r="C13" s="18" t="s">
        <v>13</v>
      </c>
      <c r="D13" s="18"/>
      <c r="E13" s="19"/>
      <c r="F13" s="19">
        <f>SUM(F5:F12)</f>
        <v>38700</v>
      </c>
      <c r="G13" s="19"/>
      <c r="H13" s="19">
        <f>SUM(H5:H12)</f>
        <v>0</v>
      </c>
      <c r="I13" s="19">
        <f>SUM(I5:I12)</f>
        <v>0</v>
      </c>
      <c r="J13" s="19"/>
      <c r="K13" s="19">
        <f>SUM(K5:K12)</f>
        <v>73950</v>
      </c>
      <c r="L13" s="19">
        <f>SUM(L5:L12)</f>
        <v>11092.5</v>
      </c>
      <c r="M13" s="19"/>
      <c r="N13" s="19">
        <f>SUM(N5:N12)</f>
        <v>0</v>
      </c>
      <c r="O13" s="19">
        <f>SUM(O5:O12)</f>
        <v>0</v>
      </c>
      <c r="P13" s="20">
        <f>SUM(P5:P12)</f>
        <v>751</v>
      </c>
      <c r="Q13" s="19">
        <f>SUM(Q5:Q12)</f>
        <v>112650</v>
      </c>
      <c r="R13" s="19"/>
      <c r="S13" s="18">
        <v>0</v>
      </c>
      <c r="T13" s="21">
        <f>SUM(T5:T12)</f>
        <v>71090.25</v>
      </c>
    </row>
    <row r="14" spans="1:21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1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T15" s="23"/>
    </row>
    <row r="17" spans="1:20" ht="32.25" thickBot="1">
      <c r="A17" s="24" t="s">
        <v>53</v>
      </c>
      <c r="B17" s="8"/>
    </row>
    <row r="18" spans="1:20" ht="19.5">
      <c r="A18" s="25" t="s">
        <v>34</v>
      </c>
      <c r="B18" s="25" t="s">
        <v>2</v>
      </c>
      <c r="C18" s="25" t="s">
        <v>54</v>
      </c>
      <c r="D18" s="25" t="s">
        <v>55</v>
      </c>
      <c r="R18" s="26" t="s">
        <v>56</v>
      </c>
      <c r="S18" s="80">
        <f>T13</f>
        <v>71090.25</v>
      </c>
      <c r="T18" s="81"/>
    </row>
    <row r="19" spans="1:20" ht="19.5">
      <c r="A19" s="13" t="s">
        <v>57</v>
      </c>
      <c r="B19" s="14" t="s">
        <v>29</v>
      </c>
      <c r="C19" s="13" t="s">
        <v>12</v>
      </c>
      <c r="D19" s="15">
        <v>529</v>
      </c>
      <c r="R19" s="27" t="s">
        <v>58</v>
      </c>
      <c r="S19" s="74">
        <f>D23</f>
        <v>32016</v>
      </c>
      <c r="T19" s="75"/>
    </row>
    <row r="20" spans="1:20" ht="20.25" thickBot="1">
      <c r="A20" s="13" t="s">
        <v>30</v>
      </c>
      <c r="B20" s="14" t="s">
        <v>20</v>
      </c>
      <c r="C20" s="13" t="s">
        <v>12</v>
      </c>
      <c r="D20" s="15">
        <v>31135</v>
      </c>
      <c r="R20" s="28" t="s">
        <v>59</v>
      </c>
      <c r="S20" s="63">
        <f>SUM(S18:T19)</f>
        <v>103106.25</v>
      </c>
      <c r="T20" s="64"/>
    </row>
    <row r="21" spans="1:20">
      <c r="A21" s="13" t="s">
        <v>57</v>
      </c>
      <c r="B21" s="14" t="s">
        <v>24</v>
      </c>
      <c r="C21" s="13" t="s">
        <v>12</v>
      </c>
      <c r="D21" s="15">
        <v>176</v>
      </c>
    </row>
    <row r="22" spans="1:20">
      <c r="A22" s="13" t="s">
        <v>30</v>
      </c>
      <c r="B22" s="14" t="s">
        <v>26</v>
      </c>
      <c r="C22" s="13" t="s">
        <v>12</v>
      </c>
      <c r="D22" s="15">
        <v>176</v>
      </c>
    </row>
    <row r="23" spans="1:20">
      <c r="A23" s="76" t="s">
        <v>52</v>
      </c>
      <c r="B23" s="77"/>
      <c r="C23" s="18"/>
      <c r="D23" s="29">
        <f>SUM(D19:D22)</f>
        <v>32016</v>
      </c>
    </row>
  </sheetData>
  <mergeCells count="18">
    <mergeCell ref="A1:T1"/>
    <mergeCell ref="A3:A4"/>
    <mergeCell ref="B3:B4"/>
    <mergeCell ref="C3:C4"/>
    <mergeCell ref="D3:D4"/>
    <mergeCell ref="E3:F3"/>
    <mergeCell ref="G3:I3"/>
    <mergeCell ref="J3:L3"/>
    <mergeCell ref="M3:O3"/>
    <mergeCell ref="P3:P4"/>
    <mergeCell ref="S19:T19"/>
    <mergeCell ref="A23:B23"/>
    <mergeCell ref="Q3:Q4"/>
    <mergeCell ref="R3:R4"/>
    <mergeCell ref="S3:S4"/>
    <mergeCell ref="T3:T4"/>
    <mergeCell ref="A13:B13"/>
    <mergeCell ref="S18:T18"/>
  </mergeCells>
  <phoneticPr fontId="20" type="noConversion"/>
  <pageMargins left="0.70866141732283472" right="0.70866141732283472" top="0.15748031496062992" bottom="0.15748031496062992" header="0.31496062992125984" footer="0.31496062992125984"/>
  <pageSetup paperSize="9" scale="8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5"/>
  <sheetViews>
    <sheetView showGridLines="0" topLeftCell="A4" zoomScale="85" zoomScaleNormal="85" workbookViewId="0">
      <selection activeCell="S23" sqref="S23"/>
    </sheetView>
  </sheetViews>
  <sheetFormatPr defaultRowHeight="16.5"/>
  <cols>
    <col min="1" max="1" width="9" style="6"/>
    <col min="2" max="2" width="46.5" style="6" bestFit="1" customWidth="1"/>
    <col min="3" max="3" width="9.25" style="6" customWidth="1"/>
    <col min="4" max="17" width="9.75" style="6" customWidth="1"/>
    <col min="18" max="20" width="14.75" style="6" customWidth="1"/>
    <col min="21" max="16384" width="9" style="6"/>
  </cols>
  <sheetData>
    <row r="1" spans="1:21" ht="27" thickBot="1">
      <c r="A1" s="69" t="s">
        <v>76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1"/>
      <c r="U1" s="5"/>
    </row>
    <row r="2" spans="1:21" ht="31.5">
      <c r="A2" s="7" t="s">
        <v>77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 t="s">
        <v>33</v>
      </c>
      <c r="U2" s="11"/>
    </row>
    <row r="3" spans="1:21" ht="18" customHeight="1">
      <c r="A3" s="78" t="s">
        <v>34</v>
      </c>
      <c r="B3" s="78" t="s">
        <v>2</v>
      </c>
      <c r="C3" s="78" t="s">
        <v>14</v>
      </c>
      <c r="D3" s="78" t="s">
        <v>35</v>
      </c>
      <c r="E3" s="82" t="s">
        <v>78</v>
      </c>
      <c r="F3" s="83"/>
      <c r="G3" s="84" t="s">
        <v>79</v>
      </c>
      <c r="H3" s="84"/>
      <c r="I3" s="84"/>
      <c r="J3" s="84" t="s">
        <v>80</v>
      </c>
      <c r="K3" s="84"/>
      <c r="L3" s="84"/>
      <c r="M3" s="84" t="s">
        <v>81</v>
      </c>
      <c r="N3" s="84"/>
      <c r="O3" s="84"/>
      <c r="P3" s="78" t="s">
        <v>40</v>
      </c>
      <c r="Q3" s="78" t="s">
        <v>82</v>
      </c>
      <c r="R3" s="78" t="s">
        <v>83</v>
      </c>
      <c r="S3" s="78" t="s">
        <v>84</v>
      </c>
      <c r="T3" s="78" t="s">
        <v>85</v>
      </c>
    </row>
    <row r="4" spans="1:21" ht="24">
      <c r="A4" s="79"/>
      <c r="B4" s="79"/>
      <c r="C4" s="79"/>
      <c r="D4" s="79"/>
      <c r="E4" s="12" t="s">
        <v>45</v>
      </c>
      <c r="F4" s="12" t="s">
        <v>46</v>
      </c>
      <c r="G4" s="12" t="s">
        <v>45</v>
      </c>
      <c r="H4" s="12" t="s">
        <v>46</v>
      </c>
      <c r="I4" s="12" t="s">
        <v>47</v>
      </c>
      <c r="J4" s="12" t="s">
        <v>45</v>
      </c>
      <c r="K4" s="12" t="s">
        <v>46</v>
      </c>
      <c r="L4" s="12" t="s">
        <v>47</v>
      </c>
      <c r="M4" s="12" t="s">
        <v>45</v>
      </c>
      <c r="N4" s="12" t="s">
        <v>46</v>
      </c>
      <c r="O4" s="12" t="s">
        <v>48</v>
      </c>
      <c r="P4" s="79"/>
      <c r="Q4" s="79"/>
      <c r="R4" s="79"/>
      <c r="S4" s="79"/>
      <c r="T4" s="79"/>
    </row>
    <row r="5" spans="1:21">
      <c r="A5" s="13" t="s">
        <v>49</v>
      </c>
      <c r="B5" s="14" t="s">
        <v>16</v>
      </c>
      <c r="C5" s="13" t="s">
        <v>12</v>
      </c>
      <c r="D5" s="13">
        <v>150</v>
      </c>
      <c r="E5" s="13">
        <v>0</v>
      </c>
      <c r="F5" s="15">
        <f>E5*D5</f>
        <v>0</v>
      </c>
      <c r="G5" s="13">
        <v>0</v>
      </c>
      <c r="H5" s="15">
        <f>G5*D5</f>
        <v>0</v>
      </c>
      <c r="I5" s="15">
        <f>H5*0.15</f>
        <v>0</v>
      </c>
      <c r="J5" s="13">
        <v>54</v>
      </c>
      <c r="K5" s="15">
        <f>J5*D5</f>
        <v>8100</v>
      </c>
      <c r="L5" s="15">
        <f>K5*0.15</f>
        <v>1215</v>
      </c>
      <c r="M5" s="13">
        <v>0</v>
      </c>
      <c r="N5" s="15">
        <f>M5*D5</f>
        <v>0</v>
      </c>
      <c r="O5" s="15">
        <f>N5*0.3</f>
        <v>0</v>
      </c>
      <c r="P5" s="13">
        <f t="shared" ref="P5:Q14" si="0">E5+G5+J5+M5</f>
        <v>54</v>
      </c>
      <c r="Q5" s="15">
        <f t="shared" si="0"/>
        <v>8100</v>
      </c>
      <c r="R5" s="16">
        <f>F5+(H5-I5)+(K5-L5)+(N5-O5)</f>
        <v>6885</v>
      </c>
      <c r="S5" s="17">
        <v>0.7</v>
      </c>
      <c r="T5" s="16">
        <f>R5*S5</f>
        <v>4819.5</v>
      </c>
    </row>
    <row r="6" spans="1:21">
      <c r="A6" s="13" t="s">
        <v>49</v>
      </c>
      <c r="B6" s="14" t="s">
        <v>17</v>
      </c>
      <c r="C6" s="13" t="s">
        <v>12</v>
      </c>
      <c r="D6" s="13">
        <v>150</v>
      </c>
      <c r="E6" s="13">
        <v>177</v>
      </c>
      <c r="F6" s="15">
        <f t="shared" ref="F6:F14" si="1">E6*D6</f>
        <v>26550</v>
      </c>
      <c r="G6" s="13">
        <v>0</v>
      </c>
      <c r="H6" s="15">
        <f t="shared" ref="H6:H14" si="2">G6*D6</f>
        <v>0</v>
      </c>
      <c r="I6" s="15">
        <f t="shared" ref="I6:I14" si="3">H6*0.15</f>
        <v>0</v>
      </c>
      <c r="J6" s="13">
        <v>120</v>
      </c>
      <c r="K6" s="15">
        <f t="shared" ref="K6:K14" si="4">J6*D6</f>
        <v>18000</v>
      </c>
      <c r="L6" s="15">
        <f t="shared" ref="L6:L14" si="5">K6*0.15</f>
        <v>2700</v>
      </c>
      <c r="M6" s="13">
        <v>0</v>
      </c>
      <c r="N6" s="15">
        <f t="shared" ref="N6:N14" si="6">M6*D6</f>
        <v>0</v>
      </c>
      <c r="O6" s="15">
        <f t="shared" ref="O6:O14" si="7">N6*0.3</f>
        <v>0</v>
      </c>
      <c r="P6" s="13">
        <f t="shared" si="0"/>
        <v>297</v>
      </c>
      <c r="Q6" s="15">
        <f t="shared" si="0"/>
        <v>44550</v>
      </c>
      <c r="R6" s="16">
        <f t="shared" ref="R6:R14" si="8">F6+(H6-I6)+(K6-L6)+(N6-O6)</f>
        <v>41850</v>
      </c>
      <c r="S6" s="17">
        <v>0.7</v>
      </c>
      <c r="T6" s="16">
        <f t="shared" ref="T6:T14" si="9">R6*S6</f>
        <v>29294.999999999996</v>
      </c>
    </row>
    <row r="7" spans="1:21">
      <c r="A7" s="13" t="s">
        <v>49</v>
      </c>
      <c r="B7" s="14" t="s">
        <v>23</v>
      </c>
      <c r="C7" s="13" t="s">
        <v>12</v>
      </c>
      <c r="D7" s="13">
        <v>150</v>
      </c>
      <c r="E7" s="13">
        <v>20</v>
      </c>
      <c r="F7" s="15">
        <f t="shared" si="1"/>
        <v>3000</v>
      </c>
      <c r="G7" s="13">
        <v>0</v>
      </c>
      <c r="H7" s="15">
        <f t="shared" si="2"/>
        <v>0</v>
      </c>
      <c r="I7" s="15">
        <f t="shared" si="3"/>
        <v>0</v>
      </c>
      <c r="J7" s="13">
        <v>34</v>
      </c>
      <c r="K7" s="15">
        <f t="shared" si="4"/>
        <v>5100</v>
      </c>
      <c r="L7" s="15">
        <f t="shared" si="5"/>
        <v>765</v>
      </c>
      <c r="M7" s="13">
        <v>0</v>
      </c>
      <c r="N7" s="15">
        <f t="shared" si="6"/>
        <v>0</v>
      </c>
      <c r="O7" s="15">
        <f t="shared" si="7"/>
        <v>0</v>
      </c>
      <c r="P7" s="13">
        <f t="shared" si="0"/>
        <v>54</v>
      </c>
      <c r="Q7" s="15">
        <f t="shared" si="0"/>
        <v>8100</v>
      </c>
      <c r="R7" s="16">
        <f t="shared" si="8"/>
        <v>7335</v>
      </c>
      <c r="S7" s="17">
        <v>0.7</v>
      </c>
      <c r="T7" s="16">
        <f t="shared" si="9"/>
        <v>5134.5</v>
      </c>
    </row>
    <row r="8" spans="1:21">
      <c r="A8" s="13" t="s">
        <v>49</v>
      </c>
      <c r="B8" s="14" t="s">
        <v>19</v>
      </c>
      <c r="C8" s="13" t="s">
        <v>12</v>
      </c>
      <c r="D8" s="13">
        <v>150</v>
      </c>
      <c r="E8" s="13">
        <v>0</v>
      </c>
      <c r="F8" s="15">
        <f t="shared" si="1"/>
        <v>0</v>
      </c>
      <c r="G8" s="13">
        <v>0</v>
      </c>
      <c r="H8" s="15">
        <f t="shared" si="2"/>
        <v>0</v>
      </c>
      <c r="I8" s="15">
        <f t="shared" si="3"/>
        <v>0</v>
      </c>
      <c r="J8" s="13">
        <v>26</v>
      </c>
      <c r="K8" s="15">
        <f t="shared" si="4"/>
        <v>3900</v>
      </c>
      <c r="L8" s="15">
        <f t="shared" si="5"/>
        <v>585</v>
      </c>
      <c r="M8" s="13">
        <v>0</v>
      </c>
      <c r="N8" s="15">
        <f t="shared" si="6"/>
        <v>0</v>
      </c>
      <c r="O8" s="15">
        <f t="shared" si="7"/>
        <v>0</v>
      </c>
      <c r="P8" s="13">
        <f t="shared" si="0"/>
        <v>26</v>
      </c>
      <c r="Q8" s="15">
        <f t="shared" si="0"/>
        <v>3900</v>
      </c>
      <c r="R8" s="16">
        <f t="shared" si="8"/>
        <v>3315</v>
      </c>
      <c r="S8" s="17">
        <v>0.7</v>
      </c>
      <c r="T8" s="16">
        <f t="shared" si="9"/>
        <v>2320.5</v>
      </c>
    </row>
    <row r="9" spans="1:21">
      <c r="A9" s="13" t="s">
        <v>49</v>
      </c>
      <c r="B9" s="14" t="s">
        <v>29</v>
      </c>
      <c r="C9" s="13" t="s">
        <v>12</v>
      </c>
      <c r="D9" s="13">
        <v>150</v>
      </c>
      <c r="E9" s="13">
        <v>6</v>
      </c>
      <c r="F9" s="15">
        <f t="shared" si="1"/>
        <v>900</v>
      </c>
      <c r="G9" s="13">
        <v>0</v>
      </c>
      <c r="H9" s="15">
        <f t="shared" si="2"/>
        <v>0</v>
      </c>
      <c r="I9" s="15">
        <f t="shared" si="3"/>
        <v>0</v>
      </c>
      <c r="J9" s="13">
        <v>22</v>
      </c>
      <c r="K9" s="15">
        <f t="shared" si="4"/>
        <v>3300</v>
      </c>
      <c r="L9" s="15">
        <f t="shared" si="5"/>
        <v>495</v>
      </c>
      <c r="M9" s="13">
        <v>0</v>
      </c>
      <c r="N9" s="15">
        <f t="shared" si="6"/>
        <v>0</v>
      </c>
      <c r="O9" s="15">
        <f t="shared" si="7"/>
        <v>0</v>
      </c>
      <c r="P9" s="13">
        <f t="shared" si="0"/>
        <v>28</v>
      </c>
      <c r="Q9" s="15">
        <f t="shared" si="0"/>
        <v>4200</v>
      </c>
      <c r="R9" s="16">
        <f t="shared" si="8"/>
        <v>3705</v>
      </c>
      <c r="S9" s="17">
        <v>0.7</v>
      </c>
      <c r="T9" s="16">
        <f t="shared" si="9"/>
        <v>2593.5</v>
      </c>
    </row>
    <row r="10" spans="1:21">
      <c r="A10" s="13" t="s">
        <v>49</v>
      </c>
      <c r="B10" s="14" t="s">
        <v>20</v>
      </c>
      <c r="C10" s="13" t="s">
        <v>12</v>
      </c>
      <c r="D10" s="13">
        <v>150</v>
      </c>
      <c r="E10" s="13">
        <v>10</v>
      </c>
      <c r="F10" s="15">
        <f t="shared" si="1"/>
        <v>1500</v>
      </c>
      <c r="G10" s="13">
        <v>0</v>
      </c>
      <c r="H10" s="15">
        <f t="shared" si="2"/>
        <v>0</v>
      </c>
      <c r="I10" s="15">
        <f t="shared" si="3"/>
        <v>0</v>
      </c>
      <c r="J10" s="13">
        <v>11</v>
      </c>
      <c r="K10" s="15">
        <f t="shared" si="4"/>
        <v>1650</v>
      </c>
      <c r="L10" s="15">
        <f t="shared" si="5"/>
        <v>247.5</v>
      </c>
      <c r="M10" s="13">
        <v>0</v>
      </c>
      <c r="N10" s="15">
        <f t="shared" si="6"/>
        <v>0</v>
      </c>
      <c r="O10" s="15">
        <f t="shared" si="7"/>
        <v>0</v>
      </c>
      <c r="P10" s="13">
        <f t="shared" si="0"/>
        <v>21</v>
      </c>
      <c r="Q10" s="15">
        <f t="shared" si="0"/>
        <v>3150</v>
      </c>
      <c r="R10" s="16">
        <f t="shared" si="8"/>
        <v>2902.5</v>
      </c>
      <c r="S10" s="17">
        <v>0.7</v>
      </c>
      <c r="T10" s="16">
        <f t="shared" si="9"/>
        <v>2031.7499999999998</v>
      </c>
    </row>
    <row r="11" spans="1:21">
      <c r="A11" s="13" t="s">
        <v>49</v>
      </c>
      <c r="B11" s="14" t="s">
        <v>24</v>
      </c>
      <c r="C11" s="13" t="s">
        <v>12</v>
      </c>
      <c r="D11" s="13">
        <v>150</v>
      </c>
      <c r="E11" s="13">
        <v>4</v>
      </c>
      <c r="F11" s="15">
        <f t="shared" si="1"/>
        <v>600</v>
      </c>
      <c r="G11" s="13">
        <v>0</v>
      </c>
      <c r="H11" s="15">
        <f t="shared" si="2"/>
        <v>0</v>
      </c>
      <c r="I11" s="15">
        <f t="shared" si="3"/>
        <v>0</v>
      </c>
      <c r="J11" s="13">
        <v>60</v>
      </c>
      <c r="K11" s="15">
        <f t="shared" si="4"/>
        <v>9000</v>
      </c>
      <c r="L11" s="15">
        <f t="shared" si="5"/>
        <v>1350</v>
      </c>
      <c r="M11" s="13">
        <v>0</v>
      </c>
      <c r="N11" s="15">
        <f t="shared" si="6"/>
        <v>0</v>
      </c>
      <c r="O11" s="15">
        <f t="shared" si="7"/>
        <v>0</v>
      </c>
      <c r="P11" s="13">
        <f t="shared" si="0"/>
        <v>64</v>
      </c>
      <c r="Q11" s="15">
        <f t="shared" si="0"/>
        <v>9600</v>
      </c>
      <c r="R11" s="16">
        <f t="shared" si="8"/>
        <v>8250</v>
      </c>
      <c r="S11" s="17">
        <v>0.7</v>
      </c>
      <c r="T11" s="16">
        <f t="shared" si="9"/>
        <v>5775</v>
      </c>
    </row>
    <row r="12" spans="1:21">
      <c r="A12" s="13" t="s">
        <v>49</v>
      </c>
      <c r="B12" s="14" t="s">
        <v>86</v>
      </c>
      <c r="C12" s="13" t="s">
        <v>12</v>
      </c>
      <c r="D12" s="13">
        <v>150</v>
      </c>
      <c r="E12" s="13">
        <v>0</v>
      </c>
      <c r="F12" s="15">
        <f t="shared" si="1"/>
        <v>0</v>
      </c>
      <c r="G12" s="13">
        <v>0</v>
      </c>
      <c r="H12" s="15">
        <f t="shared" si="2"/>
        <v>0</v>
      </c>
      <c r="I12" s="15">
        <f t="shared" si="3"/>
        <v>0</v>
      </c>
      <c r="J12" s="13">
        <v>10</v>
      </c>
      <c r="K12" s="15">
        <f t="shared" si="4"/>
        <v>1500</v>
      </c>
      <c r="L12" s="15">
        <f t="shared" si="5"/>
        <v>225</v>
      </c>
      <c r="M12" s="13">
        <v>0</v>
      </c>
      <c r="N12" s="15">
        <f t="shared" si="6"/>
        <v>0</v>
      </c>
      <c r="O12" s="15">
        <f t="shared" si="7"/>
        <v>0</v>
      </c>
      <c r="P12" s="13">
        <f t="shared" si="0"/>
        <v>10</v>
      </c>
      <c r="Q12" s="15">
        <f t="shared" si="0"/>
        <v>1500</v>
      </c>
      <c r="R12" s="16">
        <f t="shared" si="8"/>
        <v>1275</v>
      </c>
      <c r="S12" s="17">
        <v>0.7</v>
      </c>
      <c r="T12" s="16">
        <f t="shared" si="9"/>
        <v>892.5</v>
      </c>
    </row>
    <row r="13" spans="1:21">
      <c r="A13" s="13" t="s">
        <v>49</v>
      </c>
      <c r="B13" s="14" t="s">
        <v>25</v>
      </c>
      <c r="C13" s="13" t="s">
        <v>12</v>
      </c>
      <c r="D13" s="13">
        <v>150</v>
      </c>
      <c r="E13" s="13">
        <v>8</v>
      </c>
      <c r="F13" s="15">
        <f t="shared" si="1"/>
        <v>1200</v>
      </c>
      <c r="G13" s="13">
        <v>0</v>
      </c>
      <c r="H13" s="15">
        <f t="shared" si="2"/>
        <v>0</v>
      </c>
      <c r="I13" s="15">
        <f t="shared" si="3"/>
        <v>0</v>
      </c>
      <c r="J13" s="13">
        <v>2</v>
      </c>
      <c r="K13" s="15">
        <f t="shared" si="4"/>
        <v>300</v>
      </c>
      <c r="L13" s="15">
        <f t="shared" si="5"/>
        <v>45</v>
      </c>
      <c r="M13" s="13">
        <v>0</v>
      </c>
      <c r="N13" s="15">
        <f t="shared" si="6"/>
        <v>0</v>
      </c>
      <c r="O13" s="15">
        <f t="shared" si="7"/>
        <v>0</v>
      </c>
      <c r="P13" s="13">
        <f t="shared" si="0"/>
        <v>10</v>
      </c>
      <c r="Q13" s="15">
        <f t="shared" si="0"/>
        <v>1500</v>
      </c>
      <c r="R13" s="16">
        <f t="shared" si="8"/>
        <v>1455</v>
      </c>
      <c r="S13" s="17">
        <v>0.7</v>
      </c>
      <c r="T13" s="16">
        <f t="shared" si="9"/>
        <v>1018.4999999999999</v>
      </c>
    </row>
    <row r="14" spans="1:21">
      <c r="A14" s="13" t="s">
        <v>49</v>
      </c>
      <c r="B14" s="14" t="s">
        <v>26</v>
      </c>
      <c r="C14" s="13" t="s">
        <v>12</v>
      </c>
      <c r="D14" s="13">
        <v>150</v>
      </c>
      <c r="E14" s="13">
        <v>10</v>
      </c>
      <c r="F14" s="15">
        <f t="shared" si="1"/>
        <v>1500</v>
      </c>
      <c r="G14" s="13">
        <v>0</v>
      </c>
      <c r="H14" s="15">
        <f t="shared" si="2"/>
        <v>0</v>
      </c>
      <c r="I14" s="15">
        <f t="shared" si="3"/>
        <v>0</v>
      </c>
      <c r="J14" s="13">
        <v>8</v>
      </c>
      <c r="K14" s="15">
        <f t="shared" si="4"/>
        <v>1200</v>
      </c>
      <c r="L14" s="15">
        <f t="shared" si="5"/>
        <v>180</v>
      </c>
      <c r="M14" s="13">
        <v>0</v>
      </c>
      <c r="N14" s="15">
        <f t="shared" si="6"/>
        <v>0</v>
      </c>
      <c r="O14" s="15">
        <f t="shared" si="7"/>
        <v>0</v>
      </c>
      <c r="P14" s="13">
        <f t="shared" si="0"/>
        <v>18</v>
      </c>
      <c r="Q14" s="15">
        <f t="shared" si="0"/>
        <v>2700</v>
      </c>
      <c r="R14" s="16">
        <f t="shared" si="8"/>
        <v>2520</v>
      </c>
      <c r="S14" s="17">
        <v>0.7</v>
      </c>
      <c r="T14" s="16">
        <f t="shared" si="9"/>
        <v>1764</v>
      </c>
    </row>
    <row r="15" spans="1:21">
      <c r="A15" s="76" t="s">
        <v>52</v>
      </c>
      <c r="B15" s="77"/>
      <c r="C15" s="18" t="s">
        <v>13</v>
      </c>
      <c r="D15" s="18"/>
      <c r="E15" s="19"/>
      <c r="F15" s="19">
        <f>SUM(F5:F14)</f>
        <v>35250</v>
      </c>
      <c r="G15" s="19"/>
      <c r="H15" s="19">
        <f>SUM(H5:H14)</f>
        <v>0</v>
      </c>
      <c r="I15" s="19">
        <f>SUM(I5:I14)</f>
        <v>0</v>
      </c>
      <c r="J15" s="19"/>
      <c r="K15" s="19">
        <f>SUM(K5:K14)</f>
        <v>52050</v>
      </c>
      <c r="L15" s="19">
        <f>SUM(L5:L14)</f>
        <v>7807.5</v>
      </c>
      <c r="M15" s="19"/>
      <c r="N15" s="19">
        <f>SUM(N5:N14)</f>
        <v>0</v>
      </c>
      <c r="O15" s="19">
        <f>SUM(O5:O14)</f>
        <v>0</v>
      </c>
      <c r="P15" s="20">
        <f>SUM(P5:P14)</f>
        <v>582</v>
      </c>
      <c r="Q15" s="19">
        <f>SUM(Q5:Q14)</f>
        <v>87300</v>
      </c>
      <c r="R15" s="19"/>
      <c r="S15" s="18">
        <v>0</v>
      </c>
      <c r="T15" s="21">
        <f>SUM(T5:T14)</f>
        <v>55644.75</v>
      </c>
    </row>
    <row r="16" spans="1:21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T17" s="23"/>
    </row>
    <row r="19" spans="1:20" ht="32.25" thickBot="1">
      <c r="A19" s="24" t="s">
        <v>87</v>
      </c>
      <c r="B19" s="8"/>
    </row>
    <row r="20" spans="1:20" ht="19.5">
      <c r="A20" s="25" t="s">
        <v>34</v>
      </c>
      <c r="B20" s="25" t="s">
        <v>2</v>
      </c>
      <c r="C20" s="25" t="s">
        <v>88</v>
      </c>
      <c r="D20" s="25" t="s">
        <v>85</v>
      </c>
      <c r="R20" s="26" t="s">
        <v>89</v>
      </c>
      <c r="S20" s="80">
        <f>T15</f>
        <v>55644.75</v>
      </c>
      <c r="T20" s="81"/>
    </row>
    <row r="21" spans="1:20" ht="19.5">
      <c r="A21" s="13" t="s">
        <v>57</v>
      </c>
      <c r="B21" s="14" t="s">
        <v>16</v>
      </c>
      <c r="C21" s="13" t="s">
        <v>12</v>
      </c>
      <c r="D21" s="15">
        <v>1235</v>
      </c>
      <c r="R21" s="27" t="s">
        <v>90</v>
      </c>
      <c r="S21" s="74">
        <f>D25</f>
        <v>5027</v>
      </c>
      <c r="T21" s="75"/>
    </row>
    <row r="22" spans="1:20" ht="20.25" thickBot="1">
      <c r="A22" s="13" t="s">
        <v>91</v>
      </c>
      <c r="B22" s="14" t="s">
        <v>29</v>
      </c>
      <c r="C22" s="13" t="s">
        <v>12</v>
      </c>
      <c r="D22" s="15">
        <v>353</v>
      </c>
      <c r="R22" s="28" t="s">
        <v>92</v>
      </c>
      <c r="S22" s="63">
        <f>SUM(S20:T21)</f>
        <v>60671.75</v>
      </c>
      <c r="T22" s="64"/>
    </row>
    <row r="23" spans="1:20">
      <c r="A23" s="13" t="s">
        <v>57</v>
      </c>
      <c r="B23" s="14" t="s">
        <v>20</v>
      </c>
      <c r="C23" s="13" t="s">
        <v>12</v>
      </c>
      <c r="D23" s="15">
        <v>3263</v>
      </c>
    </row>
    <row r="24" spans="1:20">
      <c r="A24" s="13" t="s">
        <v>91</v>
      </c>
      <c r="B24" s="14" t="s">
        <v>28</v>
      </c>
      <c r="C24" s="13" t="s">
        <v>12</v>
      </c>
      <c r="D24" s="15">
        <v>176</v>
      </c>
    </row>
    <row r="25" spans="1:20">
      <c r="A25" s="76" t="s">
        <v>52</v>
      </c>
      <c r="B25" s="77"/>
      <c r="C25" s="18"/>
      <c r="D25" s="29">
        <f>SUM(D21:D24)</f>
        <v>5027</v>
      </c>
    </row>
  </sheetData>
  <mergeCells count="18">
    <mergeCell ref="A1:T1"/>
    <mergeCell ref="A3:A4"/>
    <mergeCell ref="B3:B4"/>
    <mergeCell ref="C3:C4"/>
    <mergeCell ref="D3:D4"/>
    <mergeCell ref="E3:F3"/>
    <mergeCell ref="G3:I3"/>
    <mergeCell ref="J3:L3"/>
    <mergeCell ref="M3:O3"/>
    <mergeCell ref="P3:P4"/>
    <mergeCell ref="S21:T21"/>
    <mergeCell ref="A25:B25"/>
    <mergeCell ref="Q3:Q4"/>
    <mergeCell ref="R3:R4"/>
    <mergeCell ref="S3:S4"/>
    <mergeCell ref="T3:T4"/>
    <mergeCell ref="A15:B15"/>
    <mergeCell ref="S20:T20"/>
  </mergeCells>
  <phoneticPr fontId="20" type="noConversion"/>
  <pageMargins left="0.70866141732283472" right="0.70866141732283472" top="0.15748031496062992" bottom="0.15748031496062992" header="0.31496062992125984" footer="0.31496062992125984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05~08</vt:lpstr>
      <vt:lpstr>05(플랫폼전달)</vt:lpstr>
      <vt:lpstr>06(플랫폼전달)</vt:lpstr>
      <vt:lpstr>07(플랫폼전달)</vt:lpstr>
      <vt:lpstr>08(플랫폼전달)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2022-09-29T03:05:54Z</dcterms:modified>
</cp:coreProperties>
</file>