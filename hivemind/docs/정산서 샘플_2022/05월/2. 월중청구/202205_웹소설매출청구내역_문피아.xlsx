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4816" yWindow="0" windowWidth="18240" windowHeight="8748" tabRatio="948"/>
  </bookViews>
  <sheets>
    <sheet name="합계(4)" sheetId="70" r:id="rId1"/>
    <sheet name="권용찬" sheetId="87" r:id="rId2"/>
    <sheet name="독고진" sheetId="88" r:id="rId3"/>
    <sheet name="구유" sheetId="89" r:id="rId4"/>
    <sheet name="루이세" sheetId="90" r:id="rId5"/>
    <sheet name="무장" sheetId="91" r:id="rId6"/>
    <sheet name="벗우" sheetId="92" r:id="rId7"/>
    <sheet name="이동열" sheetId="93" r:id="rId8"/>
    <sheet name="김정률" sheetId="94" r:id="rId9"/>
    <sheet name="진문" sheetId="95" r:id="rId10"/>
    <sheet name="청빙" sheetId="96" r:id="rId11"/>
    <sheet name="김광수" sheetId="97" r:id="rId12"/>
    <sheet name="만렙도끼" sheetId="98" r:id="rId13"/>
    <sheet name="징구빙구" sheetId="99" r:id="rId14"/>
    <sheet name="이준영" sheetId="100" r:id="rId15"/>
    <sheet name="왕십리글쟁이" sheetId="101" r:id="rId16"/>
    <sheet name="전혁" sheetId="102" r:id="rId17"/>
    <sheet name="쇠렌센" sheetId="103" r:id="rId18"/>
    <sheet name="가람검" sheetId="104" r:id="rId19"/>
    <sheet name="군주" sheetId="105" r:id="rId20"/>
    <sheet name="예로나" sheetId="106" r:id="rId21"/>
  </sheets>
  <externalReferences>
    <externalReference r:id="rId22"/>
  </externalReferences>
  <definedNames>
    <definedName name="_xlnm._FilterDatabase" localSheetId="0" hidden="1">'합계(4)'!$A$1:$Q$62</definedName>
    <definedName name="_xlnm.Extract" localSheetId="18">가람검!$A$1:$Q$1</definedName>
    <definedName name="_xlnm.Extract" localSheetId="3">구유!$A$1:$Q$1</definedName>
    <definedName name="_xlnm.Extract" localSheetId="19">군주!$A$1:$Q$1</definedName>
    <definedName name="_xlnm.Extract" localSheetId="1">권용찬!$A$1:$Q$1</definedName>
    <definedName name="_xlnm.Extract" localSheetId="11">김광수!$A$1:$Q$1</definedName>
    <definedName name="_xlnm.Extract" localSheetId="8">김정률!$A$1:$Q$1</definedName>
    <definedName name="_xlnm.Extract" localSheetId="2">독고진!$A$1:$Q$1</definedName>
    <definedName name="_xlnm.Extract" localSheetId="4">루이세!$A$1:$Q$1</definedName>
    <definedName name="_xlnm.Extract" localSheetId="12">만렙도끼!$A$1:$Q$1</definedName>
    <definedName name="_xlnm.Extract" localSheetId="5">무장!$A$1:$Q$1</definedName>
    <definedName name="_xlnm.Extract" localSheetId="6">벗우!$A$1:$Q$1</definedName>
    <definedName name="_xlnm.Extract" localSheetId="17">쇠렌센!$A$1:$Q$1</definedName>
    <definedName name="_xlnm.Extract" localSheetId="20">예로나!$A$1:$Q$1</definedName>
    <definedName name="_xlnm.Extract" localSheetId="15">왕십리글쟁이!$A$1:$Q$1</definedName>
    <definedName name="_xlnm.Extract" localSheetId="7">이동열!$A$1:$Q$1</definedName>
    <definedName name="_xlnm.Extract" localSheetId="14">이준영!$A$1:$Q$1</definedName>
    <definedName name="_xlnm.Extract" localSheetId="16">전혁!$A$1:$Q$1</definedName>
    <definedName name="_xlnm.Extract" localSheetId="9">진문!$A$1:$Q$1</definedName>
    <definedName name="_xlnm.Extract" localSheetId="13">징구빙구!$A$1:$Q$1</definedName>
    <definedName name="_xlnm.Extract" localSheetId="10">청빙!$A$1:$Q$1</definedName>
    <definedName name="_xlnm.Extract" localSheetId="0">'합계(4)'!#REF!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70" l="1"/>
  <c r="C17" i="70"/>
  <c r="C20" i="70"/>
  <c r="C21" i="70"/>
  <c r="C22" i="70"/>
  <c r="C23" i="70"/>
  <c r="C24" i="70"/>
  <c r="C26" i="70"/>
  <c r="C30" i="70"/>
  <c r="C31" i="70"/>
  <c r="C34" i="70"/>
  <c r="C36" i="70"/>
  <c r="C38" i="70"/>
  <c r="C39" i="70"/>
  <c r="C40" i="70"/>
  <c r="C42" i="70"/>
  <c r="C43" i="70"/>
  <c r="C44" i="70"/>
  <c r="C47" i="70"/>
  <c r="C48" i="70"/>
  <c r="C50" i="70"/>
  <c r="C51" i="70"/>
  <c r="C52" i="70"/>
  <c r="C53" i="70"/>
  <c r="C55" i="70"/>
  <c r="C57" i="70"/>
  <c r="C10" i="70"/>
  <c r="M62" i="70" l="1"/>
</calcChain>
</file>

<file path=xl/sharedStrings.xml><?xml version="1.0" encoding="utf-8"?>
<sst xmlns="http://schemas.openxmlformats.org/spreadsheetml/2006/main" count="726" uniqueCount="108">
  <si>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</si>
  <si>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</si>
  <si>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</si>
  <si>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</si>
  <si>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</si>
  <si>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</si>
  <si>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</si>
  <si>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</si>
  <si>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</si>
  <si>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</si>
  <si>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</si>
  <si>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</si>
  <si>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</si>
  <si>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</si>
  <si>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</si>
  <si>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</si>
  <si>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</si>
  <si>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</si>
  <si>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</si>
  <si>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</si>
  <si>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</si>
  <si>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</si>
  <si>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</si>
  <si>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</si>
  <si>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</si>
  <si>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</si>
  <si>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</si>
  <si>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</si>
  <si>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</si>
  <si>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</si>
  <si>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</si>
  <si>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아나크레온 [D]</t>
  </si>
  <si>
    <t>수적왕</t>
  </si>
  <si>
    <t>파계(破戒) [E]</t>
  </si>
  <si>
    <t>혈풍천하(血風天下) [E]</t>
  </si>
  <si>
    <t>마스터 K [D]</t>
  </si>
  <si>
    <t>신규무사 [D]</t>
  </si>
  <si>
    <t>왕십리글쟁이</t>
  </si>
  <si>
    <t>dhkdtlqfl4869</t>
  </si>
  <si>
    <t>슈퍼스타의 비밀 어플</t>
  </si>
  <si>
    <t>라스트 서바이버 : 진화로 살아남아라! [D]</t>
  </si>
  <si>
    <t>마왕 데이몬 [D]</t>
  </si>
  <si>
    <t>[완전판] 게이트 헌터 [D]</t>
  </si>
  <si>
    <t>나 혼자만 일일 보상 [D]</t>
  </si>
  <si>
    <t>상왕 진우몽</t>
  </si>
  <si>
    <t>용중신권</t>
  </si>
  <si>
    <t>최종 보스 : 빛을 향해 달리는 그림자 [D]</t>
  </si>
  <si>
    <t>트루베니아 연대기 [D]</t>
  </si>
  <si>
    <t>회귀의 전설 [D]</t>
  </si>
  <si>
    <t>수적왕(水賊王) [E]</t>
  </si>
  <si>
    <t>칼(刀) [E]</t>
  </si>
  <si>
    <t>검산도해 [D]</t>
  </si>
  <si>
    <t>상왕 진우몽 [E]</t>
  </si>
  <si>
    <t>용무쌍 [D]</t>
  </si>
  <si>
    <t>트루베니아 연대기</t>
  </si>
  <si>
    <t>드래곤은 나 혼자 잡는다 [D]</t>
  </si>
  <si>
    <t>리얼 머니 [D]</t>
  </si>
  <si>
    <t>스트라이커 [D]</t>
  </si>
  <si>
    <t>용중신권 [E]</t>
  </si>
  <si>
    <t>작가무림 [D]</t>
  </si>
  <si>
    <t>하프 블러드 [D]</t>
  </si>
  <si>
    <t>구유</t>
    <phoneticPr fontId="2" type="noConversion"/>
  </si>
  <si>
    <t>SSS급 마왕의 귀환 [D]</t>
  </si>
  <si>
    <t>간신이 나라를 살림 [D]</t>
  </si>
  <si>
    <t>갓 오브 블랙필드 [D]</t>
  </si>
  <si>
    <t>강호유정 [D]</t>
  </si>
  <si>
    <t>그라운드의 지배자 [D]</t>
  </si>
  <si>
    <t>꿈은 이루어진다 [벗우 작가-소포츠 소설]</t>
  </si>
  <si>
    <t>데이몬 [D]</t>
  </si>
  <si>
    <t>도폐풍운록 [D]</t>
  </si>
  <si>
    <t>마신부활 [D]</t>
  </si>
  <si>
    <t>문답무용 - 삼국지 유비의 모사가 되었다 [D]</t>
  </si>
  <si>
    <t>별자리 살인마 : 너를 추억한다 [D]</t>
  </si>
  <si>
    <t>삼국지 호접몽전 [D]</t>
  </si>
  <si>
    <t>선유문주 [D]</t>
  </si>
  <si>
    <t>성군이십니다</t>
  </si>
  <si>
    <t>슈퍼스타의 비밀 어플 [D]</t>
  </si>
  <si>
    <t>신궁전설 [D]</t>
  </si>
  <si>
    <t>앙팡테리블</t>
  </si>
  <si>
    <t>위드 카일러</t>
  </si>
  <si>
    <t>유성하소월 [D]</t>
  </si>
  <si>
    <t>최종 보스: 빛을 향해 달리는 그림자 2부 [D]</t>
  </si>
  <si>
    <t>칼(刀)</t>
  </si>
  <si>
    <t>포르트무스 [D]</t>
  </si>
  <si>
    <t>회귀의 전설 3부 [D]</t>
  </si>
  <si>
    <t>이혼 후 로또 1등 감독님</t>
  </si>
  <si>
    <t>김광수</t>
  </si>
  <si>
    <t>무장</t>
  </si>
  <si>
    <t>루이세</t>
  </si>
  <si>
    <t>무장</t>
    <phoneticPr fontId="2" type="noConversion"/>
  </si>
  <si>
    <t>벗우</t>
    <phoneticPr fontId="2" type="noConversion"/>
  </si>
  <si>
    <t>김정률</t>
  </si>
  <si>
    <t>김정률</t>
    <phoneticPr fontId="2" type="noConversion"/>
  </si>
  <si>
    <t>무장</t>
    <phoneticPr fontId="2" type="noConversion"/>
  </si>
  <si>
    <t>만렙도끼</t>
    <phoneticPr fontId="2" type="noConversion"/>
  </si>
  <si>
    <t>청빙</t>
  </si>
  <si>
    <t>청빙</t>
    <phoneticPr fontId="2" type="noConversion"/>
  </si>
  <si>
    <t>징구빙구</t>
    <phoneticPr fontId="2" type="noConversion"/>
  </si>
  <si>
    <t>청빙</t>
    <phoneticPr fontId="2" type="noConversion"/>
  </si>
  <si>
    <t>이준영</t>
    <phoneticPr fontId="2" type="noConversion"/>
  </si>
  <si>
    <t>왕십리글쟁이</t>
    <phoneticPr fontId="2" type="noConversion"/>
  </si>
  <si>
    <t>가람검</t>
    <phoneticPr fontId="2" type="noConversion"/>
  </si>
  <si>
    <t>무장</t>
    <phoneticPr fontId="2" type="noConversion"/>
  </si>
  <si>
    <t>김광수</t>
    <phoneticPr fontId="2" type="noConversion"/>
  </si>
  <si>
    <t>쇠렌센</t>
    <phoneticPr fontId="2" type="noConversion"/>
  </si>
  <si>
    <t>이동열</t>
  </si>
  <si>
    <t>진문</t>
  </si>
  <si>
    <t>군주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</si>
</sst>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5" fillId="0" borderId="0" xfId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1" fontId="6" fillId="0" borderId="1" xfId="1" applyFont="1" applyBorder="1" applyAlignment="1">
      <alignment vertical="center" wrapText="1"/>
    </xf>
    <xf numFmtId="41" fontId="5" fillId="0" borderId="1" xfId="1" applyFont="1" applyFill="1" applyBorder="1">
      <alignment vertical="center"/>
    </xf>
    <xf numFmtId="41" fontId="0" fillId="0" borderId="0" xfId="1" applyFont="1">
      <alignment vertical="center"/>
    </xf>
    <xf numFmtId="41" fontId="8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4&#50900;%20&#47560;&#44048;/2.%20&#50900;&#51473;&#47588;&#52636;(0415)/202204_&#50937;&#49548;&#49444;&#47588;&#52636;&#52397;&#44396;&#45236;&#50669;_&#47928;&#54588;&#50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(3)"/>
      <sheetName val="권용찬"/>
      <sheetName val="독고진"/>
      <sheetName val="구유"/>
      <sheetName val="김광수"/>
      <sheetName val="전혁"/>
      <sheetName val="이동열"/>
      <sheetName val="진문"/>
      <sheetName val="청빙"/>
      <sheetName val="무장"/>
      <sheetName val="김정률"/>
      <sheetName val="시계태엽오란씨"/>
      <sheetName val="가람검"/>
      <sheetName val="군주"/>
      <sheetName val="장유진"/>
      <sheetName val="예로나"/>
      <sheetName val="왕십리글쟁이"/>
    </sheetNames>
    <sheetDataSet>
      <sheetData sheetId="0">
        <row r="2">
          <cell r="C2">
            <v>13397</v>
          </cell>
          <cell r="D2" t="str">
            <v>권용찬</v>
          </cell>
        </row>
        <row r="3">
          <cell r="C3">
            <v>29804</v>
          </cell>
          <cell r="D3" t="str">
            <v>권용찬</v>
          </cell>
        </row>
        <row r="4">
          <cell r="C4">
            <v>13398</v>
          </cell>
          <cell r="D4" t="str">
            <v>권용찬</v>
          </cell>
        </row>
        <row r="5">
          <cell r="C5">
            <v>13400</v>
          </cell>
          <cell r="D5" t="str">
            <v>권용찬</v>
          </cell>
        </row>
        <row r="6">
          <cell r="C6">
            <v>13399</v>
          </cell>
          <cell r="D6" t="str">
            <v>권용찬</v>
          </cell>
        </row>
        <row r="7">
          <cell r="C7">
            <v>13401</v>
          </cell>
          <cell r="D7" t="str">
            <v>권용찬</v>
          </cell>
        </row>
        <row r="8">
          <cell r="C8">
            <v>40072</v>
          </cell>
          <cell r="D8" t="str">
            <v>독고진</v>
          </cell>
        </row>
        <row r="9">
          <cell r="C9">
            <v>219712</v>
          </cell>
          <cell r="D9" t="str">
            <v>구유</v>
          </cell>
        </row>
        <row r="10">
          <cell r="C10">
            <v>220724</v>
          </cell>
          <cell r="D10" t="str">
            <v>김광수</v>
          </cell>
        </row>
        <row r="11">
          <cell r="C11">
            <v>241288</v>
          </cell>
          <cell r="D11" t="str">
            <v>권용찬</v>
          </cell>
        </row>
        <row r="12">
          <cell r="C12">
            <v>220851</v>
          </cell>
          <cell r="D12" t="str">
            <v>전혁</v>
          </cell>
        </row>
        <row r="13">
          <cell r="C13">
            <v>232417</v>
          </cell>
          <cell r="D13" t="str">
            <v>권용찬</v>
          </cell>
        </row>
        <row r="14">
          <cell r="C14">
            <v>246133</v>
          </cell>
          <cell r="D14" t="str">
            <v>이동열</v>
          </cell>
        </row>
        <row r="15">
          <cell r="C15">
            <v>220853</v>
          </cell>
          <cell r="D15" t="str">
            <v>전혁</v>
          </cell>
        </row>
        <row r="16">
          <cell r="C16">
            <v>246134</v>
          </cell>
          <cell r="D16" t="str">
            <v>진문</v>
          </cell>
        </row>
        <row r="17">
          <cell r="C17">
            <v>270858</v>
          </cell>
          <cell r="D17" t="str">
            <v>청빙</v>
          </cell>
        </row>
        <row r="18">
          <cell r="C18">
            <v>225736</v>
          </cell>
          <cell r="D18" t="str">
            <v>무장</v>
          </cell>
        </row>
        <row r="19">
          <cell r="C19">
            <v>246152</v>
          </cell>
          <cell r="D19" t="str">
            <v>진문</v>
          </cell>
        </row>
        <row r="20">
          <cell r="C20">
            <v>241289</v>
          </cell>
          <cell r="D20" t="str">
            <v>김광수</v>
          </cell>
        </row>
        <row r="21">
          <cell r="C21">
            <v>220854</v>
          </cell>
          <cell r="D21" t="str">
            <v>김정률</v>
          </cell>
        </row>
        <row r="22">
          <cell r="C22">
            <v>220855</v>
          </cell>
          <cell r="D22" t="str">
            <v>김광수</v>
          </cell>
        </row>
        <row r="23">
          <cell r="C23">
            <v>224103</v>
          </cell>
          <cell r="D23" t="str">
            <v>시계태엽오란씨</v>
          </cell>
        </row>
        <row r="24">
          <cell r="C24">
            <v>241641</v>
          </cell>
          <cell r="D24" t="str">
            <v>권용찬</v>
          </cell>
        </row>
        <row r="25">
          <cell r="C25">
            <v>148800</v>
          </cell>
          <cell r="D25" t="str">
            <v>권용찬</v>
          </cell>
        </row>
        <row r="26">
          <cell r="C26">
            <v>221963</v>
          </cell>
          <cell r="D26" t="str">
            <v>권용찬</v>
          </cell>
        </row>
        <row r="27">
          <cell r="C27">
            <v>191456</v>
          </cell>
          <cell r="D27" t="str">
            <v>독고진</v>
          </cell>
        </row>
        <row r="28">
          <cell r="C28">
            <v>220856</v>
          </cell>
          <cell r="D28" t="str">
            <v>전혁</v>
          </cell>
        </row>
        <row r="29">
          <cell r="C29">
            <v>220859</v>
          </cell>
          <cell r="D29" t="str">
            <v>권용찬</v>
          </cell>
        </row>
        <row r="30">
          <cell r="C30">
            <v>221957</v>
          </cell>
          <cell r="D30" t="str">
            <v>가람검</v>
          </cell>
        </row>
        <row r="31">
          <cell r="C31">
            <v>149056</v>
          </cell>
          <cell r="D31" t="str">
            <v>권용찬</v>
          </cell>
        </row>
        <row r="32">
          <cell r="C32">
            <v>220861</v>
          </cell>
          <cell r="D32" t="str">
            <v>김정률</v>
          </cell>
        </row>
        <row r="33">
          <cell r="C33">
            <v>241291</v>
          </cell>
          <cell r="D33" t="str">
            <v>권용찬</v>
          </cell>
        </row>
        <row r="34">
          <cell r="C34">
            <v>221959</v>
          </cell>
          <cell r="D34" t="str">
            <v>권용찬</v>
          </cell>
        </row>
        <row r="35">
          <cell r="C35">
            <v>149070</v>
          </cell>
          <cell r="D35" t="str">
            <v>권용찬</v>
          </cell>
        </row>
        <row r="36">
          <cell r="C36">
            <v>220862</v>
          </cell>
          <cell r="D36" t="str">
            <v>군주</v>
          </cell>
        </row>
        <row r="37">
          <cell r="C37">
            <v>259015</v>
          </cell>
          <cell r="D37" t="str">
            <v>장유진</v>
          </cell>
        </row>
        <row r="38">
          <cell r="C38">
            <v>252421</v>
          </cell>
          <cell r="D38" t="str">
            <v>장유진</v>
          </cell>
        </row>
        <row r="39">
          <cell r="C39">
            <v>299568</v>
          </cell>
          <cell r="D39" t="str">
            <v>무장</v>
          </cell>
        </row>
        <row r="40">
          <cell r="C40">
            <v>221958</v>
          </cell>
          <cell r="D40" t="str">
            <v>권용찬</v>
          </cell>
        </row>
        <row r="41">
          <cell r="C41">
            <v>221953</v>
          </cell>
          <cell r="D41" t="str">
            <v>김정률</v>
          </cell>
        </row>
        <row r="42">
          <cell r="C42">
            <v>220863</v>
          </cell>
          <cell r="D42" t="str">
            <v>김정률</v>
          </cell>
        </row>
        <row r="43">
          <cell r="C43">
            <v>242092</v>
          </cell>
          <cell r="D43" t="str">
            <v>권용찬</v>
          </cell>
        </row>
        <row r="44">
          <cell r="C44">
            <v>241293</v>
          </cell>
          <cell r="D44" t="str">
            <v>김광수</v>
          </cell>
        </row>
        <row r="45">
          <cell r="C45">
            <v>220864</v>
          </cell>
          <cell r="D45" t="str">
            <v>김정률</v>
          </cell>
        </row>
        <row r="46">
          <cell r="C46">
            <v>241292</v>
          </cell>
          <cell r="D46" t="str">
            <v>김광수</v>
          </cell>
        </row>
        <row r="47">
          <cell r="C47">
            <v>299573</v>
          </cell>
          <cell r="D47" t="str">
            <v>김광수</v>
          </cell>
        </row>
        <row r="48">
          <cell r="C48">
            <v>162474</v>
          </cell>
          <cell r="D48" t="str">
            <v>예로나</v>
          </cell>
        </row>
        <row r="49">
          <cell r="C49">
            <v>113396</v>
          </cell>
          <cell r="D49" t="str">
            <v>왕십리글쟁이</v>
          </cell>
        </row>
        <row r="50">
          <cell r="C50">
            <v>36793</v>
          </cell>
          <cell r="D50" t="str">
            <v>전혁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2"/>
  <sheetViews>
    <sheetView showGridLines="0" tabSelected="1" zoomScale="86" zoomScaleNormal="86" workbookViewId="0">
      <selection activeCell="K22" sqref="K22"/>
    </sheetView>
  </sheetViews>
  <sheetFormatPr defaultRowHeight="17.399999999999999" x14ac:dyDescent="0.4"/>
  <cols>
    <col min="1" max="1" width="8.59765625" customWidth="1"/>
    <col min="2" max="2" width="9.8984375" customWidth="1"/>
    <col min="3" max="3" width="8.59765625" customWidth="1"/>
    <col min="4" max="4" width="8.59765625" style="4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style="12" customWidth="1"/>
  </cols>
  <sheetData>
    <row r="1" spans="1:17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7" x14ac:dyDescent="0.4">
      <c r="A2" s="7">
        <v>2022.04</v>
      </c>
      <c r="B2" s="7" t="s">
        <v>0</v>
      </c>
      <c r="C2" s="7" t="s">
        <v>17</v>
      </c>
      <c r="D2" s="8" t="s">
        <v>18</v>
      </c>
      <c r="E2" s="7">
        <v>13397</v>
      </c>
      <c r="F2" s="9" t="s">
        <v>49</v>
      </c>
      <c r="G2" s="10">
        <v>30</v>
      </c>
      <c r="H2" s="10">
        <v>0</v>
      </c>
      <c r="I2" s="10">
        <v>0</v>
      </c>
      <c r="J2" s="10">
        <v>0</v>
      </c>
      <c r="K2" s="11">
        <v>30000</v>
      </c>
      <c r="L2" s="11">
        <v>0</v>
      </c>
      <c r="M2" s="10">
        <v>18900</v>
      </c>
      <c r="N2" s="5"/>
      <c r="O2" s="5"/>
      <c r="P2" s="6"/>
      <c r="Q2" s="6"/>
    </row>
    <row r="3" spans="1:17" x14ac:dyDescent="0.4">
      <c r="A3" s="7">
        <v>2022.04</v>
      </c>
      <c r="B3" s="7" t="s">
        <v>0</v>
      </c>
      <c r="C3" s="7" t="s">
        <v>17</v>
      </c>
      <c r="D3" s="8" t="s">
        <v>18</v>
      </c>
      <c r="E3" s="7">
        <v>29804</v>
      </c>
      <c r="F3" s="9" t="s">
        <v>30</v>
      </c>
      <c r="G3" s="10">
        <v>829</v>
      </c>
      <c r="H3" s="10">
        <v>0</v>
      </c>
      <c r="I3" s="10">
        <v>0</v>
      </c>
      <c r="J3" s="10">
        <v>0</v>
      </c>
      <c r="K3" s="11">
        <v>82900</v>
      </c>
      <c r="L3" s="11">
        <v>0</v>
      </c>
      <c r="M3" s="10">
        <v>52227</v>
      </c>
      <c r="N3" s="5"/>
      <c r="O3" s="5"/>
      <c r="P3" s="6"/>
      <c r="Q3" s="6"/>
    </row>
    <row r="4" spans="1:17" x14ac:dyDescent="0.4">
      <c r="A4" s="7">
        <v>2022.04</v>
      </c>
      <c r="B4" s="7" t="s">
        <v>0</v>
      </c>
      <c r="C4" s="7" t="s">
        <v>17</v>
      </c>
      <c r="D4" s="8" t="s">
        <v>18</v>
      </c>
      <c r="E4" s="7">
        <v>13398</v>
      </c>
      <c r="F4" s="9" t="s">
        <v>19</v>
      </c>
      <c r="G4" s="10">
        <v>335</v>
      </c>
      <c r="H4" s="10">
        <v>0</v>
      </c>
      <c r="I4" s="10">
        <v>0</v>
      </c>
      <c r="J4" s="10">
        <v>0</v>
      </c>
      <c r="K4" s="11">
        <v>335000</v>
      </c>
      <c r="L4" s="11">
        <v>0</v>
      </c>
      <c r="M4" s="10">
        <v>211050</v>
      </c>
      <c r="N4" s="5"/>
      <c r="O4" s="5"/>
      <c r="P4" s="6"/>
      <c r="Q4" s="6"/>
    </row>
    <row r="5" spans="1:17" x14ac:dyDescent="0.4">
      <c r="A5" s="7">
        <v>2022.04</v>
      </c>
      <c r="B5" s="7" t="s">
        <v>0</v>
      </c>
      <c r="C5" s="7" t="s">
        <v>17</v>
      </c>
      <c r="D5" s="8" t="s">
        <v>18</v>
      </c>
      <c r="E5" s="7">
        <v>13400</v>
      </c>
      <c r="F5" s="9" t="s">
        <v>50</v>
      </c>
      <c r="G5" s="10">
        <v>83</v>
      </c>
      <c r="H5" s="10">
        <v>0</v>
      </c>
      <c r="I5" s="10">
        <v>0</v>
      </c>
      <c r="J5" s="10">
        <v>0</v>
      </c>
      <c r="K5" s="11">
        <v>83000</v>
      </c>
      <c r="L5" s="11">
        <v>0</v>
      </c>
      <c r="M5" s="10">
        <v>52290</v>
      </c>
      <c r="N5" s="5"/>
      <c r="O5" s="5"/>
      <c r="P5" s="6"/>
      <c r="Q5" s="6"/>
    </row>
    <row r="6" spans="1:17" x14ac:dyDescent="0.4">
      <c r="A6" s="7">
        <v>2022.04</v>
      </c>
      <c r="B6" s="7" t="s">
        <v>0</v>
      </c>
      <c r="C6" s="7" t="s">
        <v>17</v>
      </c>
      <c r="D6" s="8" t="s">
        <v>18</v>
      </c>
      <c r="E6" s="7">
        <v>13399</v>
      </c>
      <c r="F6" s="9" t="s">
        <v>33</v>
      </c>
      <c r="G6" s="10">
        <v>134</v>
      </c>
      <c r="H6" s="10">
        <v>0</v>
      </c>
      <c r="I6" s="10">
        <v>0</v>
      </c>
      <c r="J6" s="10">
        <v>0</v>
      </c>
      <c r="K6" s="11">
        <v>134000</v>
      </c>
      <c r="L6" s="11">
        <v>0</v>
      </c>
      <c r="M6" s="10">
        <v>84420</v>
      </c>
      <c r="N6" s="5"/>
      <c r="O6" s="5"/>
      <c r="P6" s="6"/>
      <c r="Q6" s="6"/>
    </row>
    <row r="7" spans="1:17" x14ac:dyDescent="0.4">
      <c r="A7" s="7">
        <v>2022.04</v>
      </c>
      <c r="B7" s="7" t="s">
        <v>0</v>
      </c>
      <c r="C7" s="7" t="s">
        <v>17</v>
      </c>
      <c r="D7" s="8" t="s">
        <v>18</v>
      </c>
      <c r="E7" s="7">
        <v>13401</v>
      </c>
      <c r="F7" s="9" t="s">
        <v>34</v>
      </c>
      <c r="G7" s="10">
        <v>3</v>
      </c>
      <c r="H7" s="10">
        <v>0</v>
      </c>
      <c r="I7" s="10">
        <v>0</v>
      </c>
      <c r="J7" s="10">
        <v>0</v>
      </c>
      <c r="K7" s="11">
        <v>3000</v>
      </c>
      <c r="L7" s="11">
        <v>0</v>
      </c>
      <c r="M7" s="10">
        <v>1890</v>
      </c>
      <c r="N7" s="5"/>
      <c r="O7" s="5"/>
      <c r="P7" s="6"/>
      <c r="Q7" s="6"/>
    </row>
    <row r="8" spans="1:17" x14ac:dyDescent="0.4">
      <c r="A8" s="7">
        <v>2022.04</v>
      </c>
      <c r="B8" s="7" t="s">
        <v>0</v>
      </c>
      <c r="C8" s="7" t="s">
        <v>20</v>
      </c>
      <c r="D8" s="8" t="s">
        <v>3</v>
      </c>
      <c r="E8" s="7">
        <v>40072</v>
      </c>
      <c r="F8" s="9" t="s">
        <v>21</v>
      </c>
      <c r="G8" s="10">
        <v>1050</v>
      </c>
      <c r="H8" s="10">
        <v>0</v>
      </c>
      <c r="I8" s="10">
        <v>0</v>
      </c>
      <c r="J8" s="10">
        <v>0</v>
      </c>
      <c r="K8" s="11">
        <v>105000</v>
      </c>
      <c r="L8" s="11">
        <v>0</v>
      </c>
      <c r="M8" s="10">
        <v>66150</v>
      </c>
      <c r="N8" s="5"/>
      <c r="O8" s="5"/>
      <c r="P8" s="6"/>
      <c r="Q8" s="6"/>
    </row>
    <row r="9" spans="1:17" x14ac:dyDescent="0.4">
      <c r="A9" s="7">
        <v>2022.04</v>
      </c>
      <c r="B9" s="7" t="s">
        <v>0</v>
      </c>
      <c r="C9" s="3" t="s">
        <v>61</v>
      </c>
      <c r="D9" s="8" t="s">
        <v>22</v>
      </c>
      <c r="E9" s="7">
        <v>219712</v>
      </c>
      <c r="F9" s="9" t="s">
        <v>62</v>
      </c>
      <c r="G9" s="10">
        <v>1</v>
      </c>
      <c r="H9" s="10">
        <v>0</v>
      </c>
      <c r="I9" s="10">
        <v>0</v>
      </c>
      <c r="J9" s="10">
        <v>0</v>
      </c>
      <c r="K9" s="11">
        <v>3200</v>
      </c>
      <c r="L9" s="11">
        <v>0</v>
      </c>
      <c r="M9" s="10">
        <v>2016</v>
      </c>
      <c r="N9" s="5"/>
      <c r="O9" s="5"/>
      <c r="P9" s="6"/>
      <c r="Q9" s="6"/>
    </row>
    <row r="10" spans="1:17" x14ac:dyDescent="0.4">
      <c r="A10" s="7">
        <v>2022.04</v>
      </c>
      <c r="B10" s="7" t="s">
        <v>0</v>
      </c>
      <c r="C10" s="7" t="str">
        <f>VLOOKUP(E10,'[1]합계(3)'!$C$2:$D$50,2,FALSE)</f>
        <v>권용찬</v>
      </c>
      <c r="D10" s="8" t="s">
        <v>22</v>
      </c>
      <c r="E10" s="7">
        <v>241288</v>
      </c>
      <c r="F10" s="9" t="s">
        <v>42</v>
      </c>
      <c r="G10" s="10">
        <v>0</v>
      </c>
      <c r="H10" s="10">
        <v>0</v>
      </c>
      <c r="I10" s="10">
        <v>16</v>
      </c>
      <c r="J10" s="10">
        <v>0</v>
      </c>
      <c r="K10" s="11">
        <v>14400</v>
      </c>
      <c r="L10" s="11">
        <v>0</v>
      </c>
      <c r="M10" s="10">
        <v>9072</v>
      </c>
      <c r="N10" s="5"/>
      <c r="O10" s="5"/>
      <c r="P10" s="6"/>
      <c r="Q10" s="6"/>
    </row>
    <row r="11" spans="1:17" x14ac:dyDescent="0.4">
      <c r="A11" s="7">
        <v>2022.04</v>
      </c>
      <c r="B11" s="7" t="s">
        <v>0</v>
      </c>
      <c r="C11" s="7" t="s">
        <v>88</v>
      </c>
      <c r="D11" s="8" t="s">
        <v>22</v>
      </c>
      <c r="E11" s="7">
        <v>225735</v>
      </c>
      <c r="F11" s="9" t="s">
        <v>63</v>
      </c>
      <c r="G11" s="10">
        <v>9</v>
      </c>
      <c r="H11" s="10">
        <v>0</v>
      </c>
      <c r="I11" s="10">
        <v>0</v>
      </c>
      <c r="J11" s="10">
        <v>0</v>
      </c>
      <c r="K11" s="11">
        <v>28800</v>
      </c>
      <c r="L11" s="11">
        <v>0</v>
      </c>
      <c r="M11" s="10">
        <v>18144</v>
      </c>
      <c r="N11" s="5"/>
      <c r="O11" s="5"/>
      <c r="P11" s="6"/>
      <c r="Q11" s="6"/>
    </row>
    <row r="12" spans="1:17" x14ac:dyDescent="0.4">
      <c r="A12" s="7">
        <v>2022.04</v>
      </c>
      <c r="B12" s="7" t="s">
        <v>0</v>
      </c>
      <c r="C12" s="7" t="s">
        <v>89</v>
      </c>
      <c r="D12" s="8" t="s">
        <v>22</v>
      </c>
      <c r="E12" s="7">
        <v>310337</v>
      </c>
      <c r="F12" s="9" t="s">
        <v>64</v>
      </c>
      <c r="G12" s="10">
        <v>207</v>
      </c>
      <c r="H12" s="10">
        <v>0</v>
      </c>
      <c r="I12" s="10">
        <v>0</v>
      </c>
      <c r="J12" s="10">
        <v>0</v>
      </c>
      <c r="K12" s="11">
        <v>662400</v>
      </c>
      <c r="L12" s="11">
        <v>0</v>
      </c>
      <c r="M12" s="10">
        <v>417312</v>
      </c>
      <c r="N12" s="5"/>
      <c r="O12" s="5"/>
      <c r="P12" s="6"/>
      <c r="Q12" s="6"/>
    </row>
    <row r="13" spans="1:17" x14ac:dyDescent="0.4">
      <c r="A13" s="7">
        <v>2022.04</v>
      </c>
      <c r="B13" s="7" t="s">
        <v>0</v>
      </c>
      <c r="C13" s="7" t="s">
        <v>87</v>
      </c>
      <c r="D13" s="8" t="s">
        <v>22</v>
      </c>
      <c r="E13" s="7">
        <v>310339</v>
      </c>
      <c r="F13" s="9" t="s">
        <v>65</v>
      </c>
      <c r="G13" s="10">
        <v>9</v>
      </c>
      <c r="H13" s="10">
        <v>0</v>
      </c>
      <c r="I13" s="10">
        <v>0</v>
      </c>
      <c r="J13" s="10">
        <v>0</v>
      </c>
      <c r="K13" s="11">
        <v>28800</v>
      </c>
      <c r="L13" s="11">
        <v>0</v>
      </c>
      <c r="M13" s="10">
        <v>18144</v>
      </c>
      <c r="N13" s="5"/>
      <c r="O13" s="5"/>
      <c r="P13" s="6"/>
      <c r="Q13" s="6"/>
    </row>
    <row r="14" spans="1:17" x14ac:dyDescent="0.4">
      <c r="A14" s="7">
        <v>2022.04</v>
      </c>
      <c r="B14" s="7" t="s">
        <v>0</v>
      </c>
      <c r="C14" s="7" t="str">
        <f>VLOOKUP(E14,'[1]합계(3)'!$C$2:$D$50,2,FALSE)</f>
        <v>권용찬</v>
      </c>
      <c r="D14" s="8" t="s">
        <v>22</v>
      </c>
      <c r="E14" s="7">
        <v>232417</v>
      </c>
      <c r="F14" s="9" t="s">
        <v>51</v>
      </c>
      <c r="G14" s="10">
        <v>2</v>
      </c>
      <c r="H14" s="10">
        <v>0</v>
      </c>
      <c r="I14" s="10">
        <v>0</v>
      </c>
      <c r="J14" s="10">
        <v>0</v>
      </c>
      <c r="K14" s="11">
        <v>6400</v>
      </c>
      <c r="L14" s="11">
        <v>0</v>
      </c>
      <c r="M14" s="10">
        <v>4032</v>
      </c>
      <c r="N14" s="5"/>
      <c r="O14" s="5"/>
      <c r="P14" s="6"/>
      <c r="Q14" s="6"/>
    </row>
    <row r="15" spans="1:17" x14ac:dyDescent="0.4">
      <c r="A15" s="7">
        <v>2022.04</v>
      </c>
      <c r="B15" s="7" t="s">
        <v>0</v>
      </c>
      <c r="C15" s="7" t="s">
        <v>87</v>
      </c>
      <c r="D15" s="8" t="s">
        <v>22</v>
      </c>
      <c r="E15" s="7">
        <v>310338</v>
      </c>
      <c r="F15" s="9" t="s">
        <v>66</v>
      </c>
      <c r="G15" s="10">
        <v>11</v>
      </c>
      <c r="H15" s="10">
        <v>0</v>
      </c>
      <c r="I15" s="10">
        <v>0</v>
      </c>
      <c r="J15" s="10">
        <v>0</v>
      </c>
      <c r="K15" s="11">
        <v>35200</v>
      </c>
      <c r="L15" s="11">
        <v>0</v>
      </c>
      <c r="M15" s="10">
        <v>22176</v>
      </c>
      <c r="N15" s="5"/>
      <c r="O15" s="5"/>
      <c r="P15" s="6"/>
      <c r="Q15" s="6"/>
    </row>
    <row r="16" spans="1:17" x14ac:dyDescent="0.4">
      <c r="A16" s="7">
        <v>2022.04</v>
      </c>
      <c r="B16" s="7" t="s">
        <v>0</v>
      </c>
      <c r="C16" s="7" t="s">
        <v>90</v>
      </c>
      <c r="D16" s="8" t="s">
        <v>22</v>
      </c>
      <c r="E16" s="7">
        <v>224070</v>
      </c>
      <c r="F16" s="9" t="s">
        <v>67</v>
      </c>
      <c r="G16" s="10">
        <v>56</v>
      </c>
      <c r="H16" s="10">
        <v>0</v>
      </c>
      <c r="I16" s="10">
        <v>0</v>
      </c>
      <c r="J16" s="10">
        <v>0</v>
      </c>
      <c r="K16" s="11">
        <v>5600</v>
      </c>
      <c r="L16" s="11">
        <v>0</v>
      </c>
      <c r="M16" s="10">
        <v>3528</v>
      </c>
      <c r="N16" s="5"/>
      <c r="O16" s="5"/>
      <c r="P16" s="6"/>
      <c r="Q16" s="6"/>
    </row>
    <row r="17" spans="1:17" x14ac:dyDescent="0.4">
      <c r="A17" s="7">
        <v>2022.04</v>
      </c>
      <c r="B17" s="7" t="s">
        <v>0</v>
      </c>
      <c r="C17" s="7" t="str">
        <f>VLOOKUP(E17,'[1]합계(3)'!$C$2:$D$50,2,FALSE)</f>
        <v>이동열</v>
      </c>
      <c r="D17" s="8" t="s">
        <v>22</v>
      </c>
      <c r="E17" s="7">
        <v>246133</v>
      </c>
      <c r="F17" s="9" t="s">
        <v>43</v>
      </c>
      <c r="G17" s="10">
        <v>1</v>
      </c>
      <c r="H17" s="10">
        <v>0</v>
      </c>
      <c r="I17" s="10">
        <v>0</v>
      </c>
      <c r="J17" s="10">
        <v>0</v>
      </c>
      <c r="K17" s="11">
        <v>3200</v>
      </c>
      <c r="L17" s="11">
        <v>0</v>
      </c>
      <c r="M17" s="10">
        <v>2016</v>
      </c>
      <c r="N17" s="5"/>
      <c r="O17" s="5"/>
      <c r="P17" s="6"/>
      <c r="Q17" s="6"/>
    </row>
    <row r="18" spans="1:17" x14ac:dyDescent="0.4">
      <c r="A18" s="7">
        <v>2022.04</v>
      </c>
      <c r="B18" s="7" t="s">
        <v>0</v>
      </c>
      <c r="C18" s="7" t="s">
        <v>92</v>
      </c>
      <c r="D18" s="8" t="s">
        <v>22</v>
      </c>
      <c r="E18" s="7">
        <v>220852</v>
      </c>
      <c r="F18" s="9" t="s">
        <v>68</v>
      </c>
      <c r="G18" s="10">
        <v>0</v>
      </c>
      <c r="H18" s="10">
        <v>0</v>
      </c>
      <c r="I18" s="10">
        <v>1</v>
      </c>
      <c r="J18" s="10">
        <v>0</v>
      </c>
      <c r="K18" s="11">
        <v>900</v>
      </c>
      <c r="L18" s="11">
        <v>0</v>
      </c>
      <c r="M18" s="10">
        <v>567</v>
      </c>
      <c r="N18" s="5"/>
      <c r="O18" s="5"/>
      <c r="P18" s="6"/>
      <c r="Q18" s="6"/>
    </row>
    <row r="19" spans="1:17" x14ac:dyDescent="0.4">
      <c r="A19" s="7">
        <v>2022.04</v>
      </c>
      <c r="B19" s="7" t="s">
        <v>0</v>
      </c>
      <c r="C19" s="7" t="s">
        <v>93</v>
      </c>
      <c r="D19" s="8" t="s">
        <v>22</v>
      </c>
      <c r="E19" s="7">
        <v>310340</v>
      </c>
      <c r="F19" s="9" t="s">
        <v>69</v>
      </c>
      <c r="G19" s="10">
        <v>9</v>
      </c>
      <c r="H19" s="10">
        <v>0</v>
      </c>
      <c r="I19" s="10">
        <v>0</v>
      </c>
      <c r="J19" s="10">
        <v>0</v>
      </c>
      <c r="K19" s="11">
        <v>28800</v>
      </c>
      <c r="L19" s="11">
        <v>0</v>
      </c>
      <c r="M19" s="10">
        <v>18144</v>
      </c>
      <c r="N19" s="5"/>
      <c r="O19" s="5"/>
      <c r="P19" s="6"/>
      <c r="Q19" s="6"/>
    </row>
    <row r="20" spans="1:17" x14ac:dyDescent="0.4">
      <c r="A20" s="7">
        <v>2022.04</v>
      </c>
      <c r="B20" s="7" t="s">
        <v>0</v>
      </c>
      <c r="C20" s="7" t="str">
        <f>VLOOKUP(E20,'[1]합계(3)'!$C$2:$D$50,2,FALSE)</f>
        <v>진문</v>
      </c>
      <c r="D20" s="8" t="s">
        <v>22</v>
      </c>
      <c r="E20" s="7">
        <v>246134</v>
      </c>
      <c r="F20" s="9" t="s">
        <v>55</v>
      </c>
      <c r="G20" s="10">
        <v>3</v>
      </c>
      <c r="H20" s="10">
        <v>0</v>
      </c>
      <c r="I20" s="10">
        <v>0</v>
      </c>
      <c r="J20" s="10">
        <v>0</v>
      </c>
      <c r="K20" s="11">
        <v>9600</v>
      </c>
      <c r="L20" s="11">
        <v>0</v>
      </c>
      <c r="M20" s="10">
        <v>6048</v>
      </c>
      <c r="N20" s="5"/>
      <c r="O20" s="5"/>
      <c r="P20" s="6"/>
      <c r="Q20" s="6"/>
    </row>
    <row r="21" spans="1:17" x14ac:dyDescent="0.4">
      <c r="A21" s="7">
        <v>2022.04</v>
      </c>
      <c r="B21" s="7" t="s">
        <v>0</v>
      </c>
      <c r="C21" s="7" t="str">
        <f>VLOOKUP(E21,'[1]합계(3)'!$C$2:$D$50,2,FALSE)</f>
        <v>청빙</v>
      </c>
      <c r="D21" s="8" t="s">
        <v>22</v>
      </c>
      <c r="E21" s="7">
        <v>270858</v>
      </c>
      <c r="F21" s="9" t="s">
        <v>40</v>
      </c>
      <c r="G21" s="10">
        <v>2</v>
      </c>
      <c r="H21" s="10">
        <v>0</v>
      </c>
      <c r="I21" s="10">
        <v>0</v>
      </c>
      <c r="J21" s="10">
        <v>0</v>
      </c>
      <c r="K21" s="11">
        <v>6400</v>
      </c>
      <c r="L21" s="11">
        <v>0</v>
      </c>
      <c r="M21" s="10">
        <v>4032</v>
      </c>
      <c r="N21" s="5"/>
      <c r="O21" s="5"/>
      <c r="P21" s="6"/>
      <c r="Q21" s="6"/>
    </row>
    <row r="22" spans="1:17" x14ac:dyDescent="0.4">
      <c r="A22" s="7">
        <v>2022.04</v>
      </c>
      <c r="B22" s="7" t="s">
        <v>0</v>
      </c>
      <c r="C22" s="7" t="str">
        <f>VLOOKUP(E22,'[1]합계(3)'!$C$2:$D$50,2,FALSE)</f>
        <v>무장</v>
      </c>
      <c r="D22" s="8" t="s">
        <v>22</v>
      </c>
      <c r="E22" s="7">
        <v>225736</v>
      </c>
      <c r="F22" s="9" t="s">
        <v>26</v>
      </c>
      <c r="G22" s="10">
        <v>25</v>
      </c>
      <c r="H22" s="10">
        <v>0</v>
      </c>
      <c r="I22" s="10">
        <v>0</v>
      </c>
      <c r="J22" s="10">
        <v>0</v>
      </c>
      <c r="K22" s="11">
        <v>73600</v>
      </c>
      <c r="L22" s="11">
        <v>7680.0000000000009</v>
      </c>
      <c r="M22" s="10">
        <v>49755</v>
      </c>
      <c r="N22" s="5"/>
      <c r="O22" s="5"/>
      <c r="P22" s="6"/>
      <c r="Q22" s="6"/>
    </row>
    <row r="23" spans="1:17" x14ac:dyDescent="0.4">
      <c r="A23" s="7">
        <v>2022.04</v>
      </c>
      <c r="B23" s="7" t="s">
        <v>0</v>
      </c>
      <c r="C23" s="7" t="str">
        <f>VLOOKUP(E23,'[1]합계(3)'!$C$2:$D$50,2,FALSE)</f>
        <v>진문</v>
      </c>
      <c r="D23" s="8" t="s">
        <v>22</v>
      </c>
      <c r="E23" s="7">
        <v>246152</v>
      </c>
      <c r="F23" s="9" t="s">
        <v>56</v>
      </c>
      <c r="G23" s="10">
        <v>28</v>
      </c>
      <c r="H23" s="10">
        <v>0</v>
      </c>
      <c r="I23" s="10">
        <v>0</v>
      </c>
      <c r="J23" s="10">
        <v>0</v>
      </c>
      <c r="K23" s="11">
        <v>89600</v>
      </c>
      <c r="L23" s="11">
        <v>0</v>
      </c>
      <c r="M23" s="10">
        <v>56448</v>
      </c>
      <c r="N23" s="5"/>
      <c r="O23" s="5"/>
      <c r="P23" s="6"/>
      <c r="Q23" s="6"/>
    </row>
    <row r="24" spans="1:17" x14ac:dyDescent="0.4">
      <c r="A24" s="7">
        <v>2022.04</v>
      </c>
      <c r="B24" s="7" t="s">
        <v>0</v>
      </c>
      <c r="C24" s="7" t="str">
        <f>VLOOKUP(E24,'[1]합계(3)'!$C$2:$D$50,2,FALSE)</f>
        <v>김광수</v>
      </c>
      <c r="D24" s="8" t="s">
        <v>22</v>
      </c>
      <c r="E24" s="7">
        <v>241289</v>
      </c>
      <c r="F24" s="9" t="s">
        <v>35</v>
      </c>
      <c r="G24" s="10">
        <v>9</v>
      </c>
      <c r="H24" s="10">
        <v>0</v>
      </c>
      <c r="I24" s="10">
        <v>94</v>
      </c>
      <c r="J24" s="10">
        <v>0</v>
      </c>
      <c r="K24" s="11">
        <v>98100</v>
      </c>
      <c r="L24" s="11">
        <v>18360</v>
      </c>
      <c r="M24" s="10">
        <v>69900</v>
      </c>
      <c r="N24" s="5"/>
      <c r="O24" s="5"/>
      <c r="P24" s="6"/>
      <c r="Q24" s="6"/>
    </row>
    <row r="25" spans="1:17" x14ac:dyDescent="0.4">
      <c r="A25" s="7">
        <v>2022.04</v>
      </c>
      <c r="B25" s="7" t="s">
        <v>0</v>
      </c>
      <c r="C25" s="7" t="s">
        <v>94</v>
      </c>
      <c r="D25" s="8" t="s">
        <v>22</v>
      </c>
      <c r="E25" s="7">
        <v>310343</v>
      </c>
      <c r="F25" s="9" t="s">
        <v>70</v>
      </c>
      <c r="G25" s="10">
        <v>11</v>
      </c>
      <c r="H25" s="10">
        <v>0</v>
      </c>
      <c r="I25" s="10">
        <v>0</v>
      </c>
      <c r="J25" s="10">
        <v>0</v>
      </c>
      <c r="K25" s="11">
        <v>35200</v>
      </c>
      <c r="L25" s="11">
        <v>0</v>
      </c>
      <c r="M25" s="10">
        <v>22176</v>
      </c>
      <c r="N25" s="5"/>
      <c r="O25" s="5"/>
      <c r="P25" s="6"/>
      <c r="Q25" s="6"/>
    </row>
    <row r="26" spans="1:17" x14ac:dyDescent="0.4">
      <c r="A26" s="7">
        <v>2022.04</v>
      </c>
      <c r="B26" s="7" t="s">
        <v>0</v>
      </c>
      <c r="C26" s="7" t="str">
        <f>VLOOKUP(E26,'[1]합계(3)'!$C$2:$D$50,2,FALSE)</f>
        <v>김정률</v>
      </c>
      <c r="D26" s="8" t="s">
        <v>22</v>
      </c>
      <c r="E26" s="7">
        <v>220854</v>
      </c>
      <c r="F26" s="9" t="s">
        <v>41</v>
      </c>
      <c r="G26" s="10">
        <v>1</v>
      </c>
      <c r="H26" s="10">
        <v>0</v>
      </c>
      <c r="I26" s="10">
        <v>4</v>
      </c>
      <c r="J26" s="10">
        <v>0</v>
      </c>
      <c r="K26" s="11">
        <v>6800</v>
      </c>
      <c r="L26" s="11">
        <v>0</v>
      </c>
      <c r="M26" s="10">
        <v>4284</v>
      </c>
      <c r="N26" s="5"/>
      <c r="O26" s="5"/>
      <c r="P26" s="6"/>
      <c r="Q26" s="6"/>
    </row>
    <row r="27" spans="1:17" x14ac:dyDescent="0.4">
      <c r="A27" s="7">
        <v>2022.04</v>
      </c>
      <c r="B27" s="7" t="s">
        <v>0</v>
      </c>
      <c r="C27" s="7" t="s">
        <v>96</v>
      </c>
      <c r="D27" s="8" t="s">
        <v>22</v>
      </c>
      <c r="E27" s="7">
        <v>310344</v>
      </c>
      <c r="F27" s="9" t="s">
        <v>71</v>
      </c>
      <c r="G27" s="10">
        <v>23</v>
      </c>
      <c r="H27" s="10">
        <v>0</v>
      </c>
      <c r="I27" s="10">
        <v>0</v>
      </c>
      <c r="J27" s="10">
        <v>0</v>
      </c>
      <c r="K27" s="11">
        <v>73600</v>
      </c>
      <c r="L27" s="11">
        <v>0</v>
      </c>
      <c r="M27" s="10">
        <v>46368</v>
      </c>
      <c r="N27" s="5"/>
      <c r="O27" s="5"/>
      <c r="P27" s="6"/>
      <c r="Q27" s="6"/>
    </row>
    <row r="28" spans="1:17" x14ac:dyDescent="0.4">
      <c r="A28" s="7">
        <v>2022.04</v>
      </c>
      <c r="B28" s="7" t="s">
        <v>0</v>
      </c>
      <c r="C28" s="7" t="s">
        <v>97</v>
      </c>
      <c r="D28" s="8" t="s">
        <v>22</v>
      </c>
      <c r="E28" s="7">
        <v>310342</v>
      </c>
      <c r="F28" s="9" t="s">
        <v>72</v>
      </c>
      <c r="G28" s="10">
        <v>3</v>
      </c>
      <c r="H28" s="10">
        <v>0</v>
      </c>
      <c r="I28" s="10">
        <v>0</v>
      </c>
      <c r="J28" s="10">
        <v>0</v>
      </c>
      <c r="K28" s="11">
        <v>9600</v>
      </c>
      <c r="L28" s="11">
        <v>0</v>
      </c>
      <c r="M28" s="10">
        <v>6048</v>
      </c>
      <c r="N28" s="5"/>
      <c r="O28" s="5"/>
      <c r="P28" s="6"/>
      <c r="Q28" s="6"/>
    </row>
    <row r="29" spans="1:17" x14ac:dyDescent="0.4">
      <c r="A29" s="7">
        <v>2022.04</v>
      </c>
      <c r="B29" s="7" t="s">
        <v>0</v>
      </c>
      <c r="C29" s="7" t="s">
        <v>98</v>
      </c>
      <c r="D29" s="8" t="s">
        <v>22</v>
      </c>
      <c r="E29" s="7">
        <v>232986</v>
      </c>
      <c r="F29" s="9" t="s">
        <v>73</v>
      </c>
      <c r="G29" s="10">
        <v>4</v>
      </c>
      <c r="H29" s="10">
        <v>0</v>
      </c>
      <c r="I29" s="10">
        <v>0</v>
      </c>
      <c r="J29" s="10">
        <v>0</v>
      </c>
      <c r="K29" s="11">
        <v>12800</v>
      </c>
      <c r="L29" s="11">
        <v>0</v>
      </c>
      <c r="M29" s="10">
        <v>8064</v>
      </c>
      <c r="N29" s="5"/>
      <c r="O29" s="5"/>
      <c r="P29" s="6"/>
      <c r="Q29" s="6"/>
    </row>
    <row r="30" spans="1:17" x14ac:dyDescent="0.4">
      <c r="A30" s="7">
        <v>2022.04</v>
      </c>
      <c r="B30" s="7" t="s">
        <v>0</v>
      </c>
      <c r="C30" s="7" t="str">
        <f>VLOOKUP(E30,'[1]합계(3)'!$C$2:$D$50,2,FALSE)</f>
        <v>권용찬</v>
      </c>
      <c r="D30" s="8" t="s">
        <v>22</v>
      </c>
      <c r="E30" s="7">
        <v>241641</v>
      </c>
      <c r="F30" s="9" t="s">
        <v>44</v>
      </c>
      <c r="G30" s="10">
        <v>930</v>
      </c>
      <c r="H30" s="10">
        <v>0</v>
      </c>
      <c r="I30" s="10">
        <v>0</v>
      </c>
      <c r="J30" s="10">
        <v>0</v>
      </c>
      <c r="K30" s="11">
        <v>89000</v>
      </c>
      <c r="L30" s="11">
        <v>4800</v>
      </c>
      <c r="M30" s="10">
        <v>58187</v>
      </c>
      <c r="N30" s="5"/>
      <c r="O30" s="5"/>
      <c r="P30" s="6"/>
      <c r="Q30" s="6"/>
    </row>
    <row r="31" spans="1:17" x14ac:dyDescent="0.4">
      <c r="A31" s="7">
        <v>2022.04</v>
      </c>
      <c r="B31" s="7" t="s">
        <v>0</v>
      </c>
      <c r="C31" s="7" t="str">
        <f>VLOOKUP(E31,'[1]합계(3)'!$C$2:$D$50,2,FALSE)</f>
        <v>권용찬</v>
      </c>
      <c r="D31" s="8" t="s">
        <v>22</v>
      </c>
      <c r="E31" s="7">
        <v>148800</v>
      </c>
      <c r="F31" s="9" t="s">
        <v>52</v>
      </c>
      <c r="G31" s="10">
        <v>0</v>
      </c>
      <c r="H31" s="10">
        <v>0</v>
      </c>
      <c r="I31" s="10">
        <v>18</v>
      </c>
      <c r="J31" s="10">
        <v>0</v>
      </c>
      <c r="K31" s="11">
        <v>5400</v>
      </c>
      <c r="L31" s="11">
        <v>0</v>
      </c>
      <c r="M31" s="10">
        <v>3402</v>
      </c>
      <c r="N31" s="5"/>
      <c r="O31" s="5"/>
      <c r="P31" s="6"/>
      <c r="Q31" s="6"/>
    </row>
    <row r="32" spans="1:17" x14ac:dyDescent="0.4">
      <c r="A32" s="7">
        <v>2022.04</v>
      </c>
      <c r="B32" s="7" t="s">
        <v>0</v>
      </c>
      <c r="C32" s="7" t="s">
        <v>87</v>
      </c>
      <c r="D32" s="8" t="s">
        <v>22</v>
      </c>
      <c r="E32" s="7">
        <v>310341</v>
      </c>
      <c r="F32" s="9" t="s">
        <v>74</v>
      </c>
      <c r="G32" s="10">
        <v>1</v>
      </c>
      <c r="H32" s="10">
        <v>0</v>
      </c>
      <c r="I32" s="10">
        <v>0</v>
      </c>
      <c r="J32" s="10">
        <v>0</v>
      </c>
      <c r="K32" s="11">
        <v>3200</v>
      </c>
      <c r="L32" s="11">
        <v>0</v>
      </c>
      <c r="M32" s="10">
        <v>2016</v>
      </c>
      <c r="N32" s="5"/>
      <c r="O32" s="5"/>
      <c r="P32" s="6"/>
      <c r="Q32" s="6"/>
    </row>
    <row r="33" spans="1:17" x14ac:dyDescent="0.4">
      <c r="A33" s="7">
        <v>2022.04</v>
      </c>
      <c r="B33" s="7" t="s">
        <v>0</v>
      </c>
      <c r="C33" s="7" t="s">
        <v>99</v>
      </c>
      <c r="D33" s="8" t="s">
        <v>22</v>
      </c>
      <c r="E33" s="7">
        <v>169477</v>
      </c>
      <c r="F33" s="9" t="s">
        <v>75</v>
      </c>
      <c r="G33" s="10">
        <v>17</v>
      </c>
      <c r="H33" s="10">
        <v>0</v>
      </c>
      <c r="I33" s="10">
        <v>0</v>
      </c>
      <c r="J33" s="10">
        <v>0</v>
      </c>
      <c r="K33" s="11">
        <v>1700</v>
      </c>
      <c r="L33" s="11">
        <v>0</v>
      </c>
      <c r="M33" s="10">
        <v>1071</v>
      </c>
      <c r="N33" s="5"/>
      <c r="O33" s="5"/>
      <c r="P33" s="6"/>
      <c r="Q33" s="6"/>
    </row>
    <row r="34" spans="1:17" x14ac:dyDescent="0.4">
      <c r="A34" s="7">
        <v>2022.04</v>
      </c>
      <c r="B34" s="7" t="s">
        <v>0</v>
      </c>
      <c r="C34" s="7" t="str">
        <f>VLOOKUP(E34,'[1]합계(3)'!$C$2:$D$50,2,FALSE)</f>
        <v>권용찬</v>
      </c>
      <c r="D34" s="8" t="s">
        <v>22</v>
      </c>
      <c r="E34" s="7">
        <v>221963</v>
      </c>
      <c r="F34" s="9" t="s">
        <v>32</v>
      </c>
      <c r="G34" s="10">
        <v>285</v>
      </c>
      <c r="H34" s="10">
        <v>0</v>
      </c>
      <c r="I34" s="10">
        <v>0</v>
      </c>
      <c r="J34" s="10">
        <v>0</v>
      </c>
      <c r="K34" s="11">
        <v>28500</v>
      </c>
      <c r="L34" s="11">
        <v>0</v>
      </c>
      <c r="M34" s="10">
        <v>17955</v>
      </c>
      <c r="N34" s="5"/>
      <c r="O34" s="5"/>
      <c r="P34" s="6"/>
      <c r="Q34" s="6"/>
    </row>
    <row r="35" spans="1:17" ht="26.4" x14ac:dyDescent="0.4">
      <c r="A35" s="7">
        <v>2022.04</v>
      </c>
      <c r="B35" s="7" t="s">
        <v>0</v>
      </c>
      <c r="C35" s="7" t="s">
        <v>100</v>
      </c>
      <c r="D35" s="8" t="s">
        <v>22</v>
      </c>
      <c r="E35" s="7">
        <v>310335</v>
      </c>
      <c r="F35" s="9" t="s">
        <v>76</v>
      </c>
      <c r="G35" s="10">
        <v>22</v>
      </c>
      <c r="H35" s="10">
        <v>0</v>
      </c>
      <c r="I35" s="10">
        <v>0</v>
      </c>
      <c r="J35" s="10">
        <v>0</v>
      </c>
      <c r="K35" s="11">
        <v>70400</v>
      </c>
      <c r="L35" s="11">
        <v>0</v>
      </c>
      <c r="M35" s="10">
        <v>44352</v>
      </c>
      <c r="N35" s="5"/>
      <c r="O35" s="5"/>
      <c r="P35" s="6"/>
      <c r="Q35" s="6"/>
    </row>
    <row r="36" spans="1:17" x14ac:dyDescent="0.4">
      <c r="A36" s="7">
        <v>2022.04</v>
      </c>
      <c r="B36" s="7" t="s">
        <v>0</v>
      </c>
      <c r="C36" s="7" t="str">
        <f>VLOOKUP(E36,'[1]합계(3)'!$C$2:$D$50,2,FALSE)</f>
        <v>독고진</v>
      </c>
      <c r="D36" s="8" t="s">
        <v>22</v>
      </c>
      <c r="E36" s="7">
        <v>191456</v>
      </c>
      <c r="F36" s="9" t="s">
        <v>57</v>
      </c>
      <c r="G36" s="10">
        <v>3</v>
      </c>
      <c r="H36" s="10">
        <v>0</v>
      </c>
      <c r="I36" s="10">
        <v>113</v>
      </c>
      <c r="J36" s="10">
        <v>0</v>
      </c>
      <c r="K36" s="11">
        <v>111300</v>
      </c>
      <c r="L36" s="11">
        <v>0</v>
      </c>
      <c r="M36" s="10">
        <v>70119</v>
      </c>
      <c r="N36" s="5"/>
      <c r="O36" s="5"/>
      <c r="P36" s="6"/>
      <c r="Q36" s="6"/>
    </row>
    <row r="37" spans="1:17" x14ac:dyDescent="0.4">
      <c r="A37" s="7">
        <v>2022.04</v>
      </c>
      <c r="B37" s="7" t="s">
        <v>0</v>
      </c>
      <c r="C37" s="7" t="s">
        <v>28</v>
      </c>
      <c r="D37" s="8" t="s">
        <v>22</v>
      </c>
      <c r="E37" s="7">
        <v>220857</v>
      </c>
      <c r="F37" s="9" t="s">
        <v>77</v>
      </c>
      <c r="G37" s="10">
        <v>0</v>
      </c>
      <c r="H37" s="10">
        <v>0</v>
      </c>
      <c r="I37" s="10">
        <v>85</v>
      </c>
      <c r="J37" s="10">
        <v>0</v>
      </c>
      <c r="K37" s="11">
        <v>76500</v>
      </c>
      <c r="L37" s="11">
        <v>0</v>
      </c>
      <c r="M37" s="10">
        <v>48195</v>
      </c>
      <c r="N37" s="5"/>
      <c r="O37" s="5"/>
      <c r="P37" s="6"/>
      <c r="Q37" s="6"/>
    </row>
    <row r="38" spans="1:17" x14ac:dyDescent="0.4">
      <c r="A38" s="7">
        <v>2022.04</v>
      </c>
      <c r="B38" s="7" t="s">
        <v>0</v>
      </c>
      <c r="C38" s="7" t="str">
        <f>VLOOKUP(E38,'[1]합계(3)'!$C$2:$D$50,2,FALSE)</f>
        <v>권용찬</v>
      </c>
      <c r="D38" s="8" t="s">
        <v>22</v>
      </c>
      <c r="E38" s="7">
        <v>220859</v>
      </c>
      <c r="F38" s="9" t="s">
        <v>36</v>
      </c>
      <c r="G38" s="10">
        <v>0</v>
      </c>
      <c r="H38" s="10">
        <v>0</v>
      </c>
      <c r="I38" s="10">
        <v>5</v>
      </c>
      <c r="J38" s="10">
        <v>0</v>
      </c>
      <c r="K38" s="11">
        <v>4500</v>
      </c>
      <c r="L38" s="11">
        <v>0</v>
      </c>
      <c r="M38" s="10">
        <v>2835</v>
      </c>
      <c r="N38" s="5"/>
      <c r="O38" s="5"/>
      <c r="P38" s="6"/>
      <c r="Q38" s="6"/>
    </row>
    <row r="39" spans="1:17" x14ac:dyDescent="0.4">
      <c r="A39" s="7">
        <v>2022.04</v>
      </c>
      <c r="B39" s="7" t="s">
        <v>0</v>
      </c>
      <c r="C39" s="7" t="str">
        <f>VLOOKUP(E39,'[1]합계(3)'!$C$2:$D$50,2,FALSE)</f>
        <v>권용찬</v>
      </c>
      <c r="D39" s="8" t="s">
        <v>22</v>
      </c>
      <c r="E39" s="7">
        <v>149056</v>
      </c>
      <c r="F39" s="9" t="s">
        <v>1</v>
      </c>
      <c r="G39" s="10">
        <v>0</v>
      </c>
      <c r="H39" s="10">
        <v>0</v>
      </c>
      <c r="I39" s="10">
        <v>144</v>
      </c>
      <c r="J39" s="10">
        <v>0</v>
      </c>
      <c r="K39" s="11">
        <v>43200</v>
      </c>
      <c r="L39" s="11">
        <v>0</v>
      </c>
      <c r="M39" s="10">
        <v>27216</v>
      </c>
      <c r="N39" s="5"/>
      <c r="O39" s="5"/>
      <c r="P39" s="6"/>
      <c r="Q39" s="6"/>
    </row>
    <row r="40" spans="1:17" x14ac:dyDescent="0.4">
      <c r="A40" s="7">
        <v>2022.04</v>
      </c>
      <c r="B40" s="7" t="s">
        <v>0</v>
      </c>
      <c r="C40" s="7" t="str">
        <f>VLOOKUP(E40,'[1]합계(3)'!$C$2:$D$50,2,FALSE)</f>
        <v>김정률</v>
      </c>
      <c r="D40" s="8" t="s">
        <v>22</v>
      </c>
      <c r="E40" s="7">
        <v>220861</v>
      </c>
      <c r="F40" s="9" t="s">
        <v>31</v>
      </c>
      <c r="G40" s="10">
        <v>0</v>
      </c>
      <c r="H40" s="10">
        <v>0</v>
      </c>
      <c r="I40" s="10">
        <v>28</v>
      </c>
      <c r="J40" s="10">
        <v>0</v>
      </c>
      <c r="K40" s="11">
        <v>25200</v>
      </c>
      <c r="L40" s="11">
        <v>0</v>
      </c>
      <c r="M40" s="10">
        <v>15876</v>
      </c>
      <c r="N40" s="5"/>
      <c r="O40" s="5"/>
      <c r="P40" s="6"/>
      <c r="Q40" s="6"/>
    </row>
    <row r="41" spans="1:17" x14ac:dyDescent="0.4">
      <c r="A41" s="7">
        <v>2022.04</v>
      </c>
      <c r="B41" s="7" t="s">
        <v>0</v>
      </c>
      <c r="C41" s="7" t="s">
        <v>104</v>
      </c>
      <c r="D41" s="8" t="s">
        <v>22</v>
      </c>
      <c r="E41" s="7">
        <v>131902</v>
      </c>
      <c r="F41" s="9" t="s">
        <v>78</v>
      </c>
      <c r="G41" s="10">
        <v>15</v>
      </c>
      <c r="H41" s="10">
        <v>0</v>
      </c>
      <c r="I41" s="10">
        <v>0</v>
      </c>
      <c r="J41" s="10">
        <v>0</v>
      </c>
      <c r="K41" s="11">
        <v>1500</v>
      </c>
      <c r="L41" s="11">
        <v>0</v>
      </c>
      <c r="M41" s="10">
        <v>945</v>
      </c>
      <c r="N41" s="5"/>
      <c r="O41" s="5"/>
      <c r="P41" s="6"/>
      <c r="Q41" s="6"/>
    </row>
    <row r="42" spans="1:17" x14ac:dyDescent="0.4">
      <c r="A42" s="7">
        <v>2022.04</v>
      </c>
      <c r="B42" s="7" t="s">
        <v>0</v>
      </c>
      <c r="C42" s="7" t="str">
        <f>VLOOKUP(E42,'[1]합계(3)'!$C$2:$D$50,2,FALSE)</f>
        <v>권용찬</v>
      </c>
      <c r="D42" s="8" t="s">
        <v>22</v>
      </c>
      <c r="E42" s="7">
        <v>241291</v>
      </c>
      <c r="F42" s="9" t="s">
        <v>53</v>
      </c>
      <c r="G42" s="10">
        <v>0</v>
      </c>
      <c r="H42" s="10">
        <v>0</v>
      </c>
      <c r="I42" s="10">
        <v>8</v>
      </c>
      <c r="J42" s="10">
        <v>0</v>
      </c>
      <c r="K42" s="11">
        <v>7200</v>
      </c>
      <c r="L42" s="11">
        <v>0</v>
      </c>
      <c r="M42" s="10">
        <v>4536</v>
      </c>
      <c r="N42" s="5"/>
      <c r="O42" s="5"/>
      <c r="P42" s="6"/>
      <c r="Q42" s="6"/>
    </row>
    <row r="43" spans="1:17" x14ac:dyDescent="0.4">
      <c r="A43" s="7">
        <v>2022.04</v>
      </c>
      <c r="B43" s="7" t="s">
        <v>0</v>
      </c>
      <c r="C43" s="7" t="str">
        <f>VLOOKUP(E43,'[1]합계(3)'!$C$2:$D$50,2,FALSE)</f>
        <v>권용찬</v>
      </c>
      <c r="D43" s="8" t="s">
        <v>22</v>
      </c>
      <c r="E43" s="7">
        <v>221959</v>
      </c>
      <c r="F43" s="9" t="s">
        <v>45</v>
      </c>
      <c r="G43" s="10">
        <v>468</v>
      </c>
      <c r="H43" s="10">
        <v>0</v>
      </c>
      <c r="I43" s="10">
        <v>0</v>
      </c>
      <c r="J43" s="10">
        <v>0</v>
      </c>
      <c r="K43" s="11">
        <v>46800</v>
      </c>
      <c r="L43" s="11">
        <v>0</v>
      </c>
      <c r="M43" s="10">
        <v>29484</v>
      </c>
      <c r="N43" s="5"/>
      <c r="O43" s="5"/>
      <c r="P43" s="6"/>
      <c r="Q43" s="6"/>
    </row>
    <row r="44" spans="1:17" x14ac:dyDescent="0.4">
      <c r="A44" s="7">
        <v>2022.04</v>
      </c>
      <c r="B44" s="7" t="s">
        <v>0</v>
      </c>
      <c r="C44" s="7" t="str">
        <f>VLOOKUP(E44,'[1]합계(3)'!$C$2:$D$50,2,FALSE)</f>
        <v>권용찬</v>
      </c>
      <c r="D44" s="8" t="s">
        <v>22</v>
      </c>
      <c r="E44" s="7">
        <v>149070</v>
      </c>
      <c r="F44" s="9" t="s">
        <v>58</v>
      </c>
      <c r="G44" s="10">
        <v>4</v>
      </c>
      <c r="H44" s="10">
        <v>0</v>
      </c>
      <c r="I44" s="10">
        <v>26</v>
      </c>
      <c r="J44" s="10">
        <v>0</v>
      </c>
      <c r="K44" s="11">
        <v>11800</v>
      </c>
      <c r="L44" s="11">
        <v>0</v>
      </c>
      <c r="M44" s="10">
        <v>7434</v>
      </c>
      <c r="N44" s="5"/>
      <c r="O44" s="5"/>
      <c r="P44" s="6"/>
      <c r="Q44" s="6"/>
    </row>
    <row r="45" spans="1:17" x14ac:dyDescent="0.4">
      <c r="A45" s="7">
        <v>2022.04</v>
      </c>
      <c r="B45" s="7" t="s">
        <v>0</v>
      </c>
      <c r="C45" s="7" t="s">
        <v>101</v>
      </c>
      <c r="D45" s="8" t="s">
        <v>22</v>
      </c>
      <c r="E45" s="7">
        <v>221970</v>
      </c>
      <c r="F45" s="9" t="s">
        <v>79</v>
      </c>
      <c r="G45" s="10">
        <v>175</v>
      </c>
      <c r="H45" s="10">
        <v>0</v>
      </c>
      <c r="I45" s="10">
        <v>0</v>
      </c>
      <c r="J45" s="10">
        <v>0</v>
      </c>
      <c r="K45" s="11">
        <v>17500</v>
      </c>
      <c r="L45" s="11">
        <v>0</v>
      </c>
      <c r="M45" s="10">
        <v>11025</v>
      </c>
      <c r="N45" s="5"/>
      <c r="O45" s="5"/>
      <c r="P45" s="6"/>
      <c r="Q45" s="6"/>
    </row>
    <row r="46" spans="1:17" x14ac:dyDescent="0.4">
      <c r="A46" s="7">
        <v>2022.04</v>
      </c>
      <c r="B46" s="7" t="s">
        <v>0</v>
      </c>
      <c r="C46" s="7" t="s">
        <v>102</v>
      </c>
      <c r="D46" s="8" t="s">
        <v>22</v>
      </c>
      <c r="E46" s="7">
        <v>310336</v>
      </c>
      <c r="F46" s="9" t="s">
        <v>80</v>
      </c>
      <c r="G46" s="10">
        <v>15</v>
      </c>
      <c r="H46" s="10">
        <v>0</v>
      </c>
      <c r="I46" s="10">
        <v>0</v>
      </c>
      <c r="J46" s="10">
        <v>0</v>
      </c>
      <c r="K46" s="11">
        <v>48000</v>
      </c>
      <c r="L46" s="11">
        <v>0</v>
      </c>
      <c r="M46" s="10">
        <v>30240</v>
      </c>
      <c r="N46" s="5"/>
      <c r="O46" s="5"/>
      <c r="P46" s="6"/>
      <c r="Q46" s="6"/>
    </row>
    <row r="47" spans="1:17" x14ac:dyDescent="0.4">
      <c r="A47" s="7">
        <v>2022.04</v>
      </c>
      <c r="B47" s="7" t="s">
        <v>0</v>
      </c>
      <c r="C47" s="7" t="str">
        <f>VLOOKUP(E47,'[1]합계(3)'!$C$2:$D$50,2,FALSE)</f>
        <v>군주</v>
      </c>
      <c r="D47" s="8" t="s">
        <v>22</v>
      </c>
      <c r="E47" s="7">
        <v>220862</v>
      </c>
      <c r="F47" s="9" t="s">
        <v>59</v>
      </c>
      <c r="G47" s="10">
        <v>1</v>
      </c>
      <c r="H47" s="10">
        <v>0</v>
      </c>
      <c r="I47" s="10">
        <v>0</v>
      </c>
      <c r="J47" s="10">
        <v>0</v>
      </c>
      <c r="K47" s="11">
        <v>3200</v>
      </c>
      <c r="L47" s="11">
        <v>0</v>
      </c>
      <c r="M47" s="10">
        <v>2016</v>
      </c>
      <c r="N47" s="5"/>
      <c r="O47" s="5"/>
      <c r="P47" s="6"/>
      <c r="Q47" s="6"/>
    </row>
    <row r="48" spans="1:17" x14ac:dyDescent="0.4">
      <c r="A48" s="7">
        <v>2022.04</v>
      </c>
      <c r="B48" s="7" t="s">
        <v>0</v>
      </c>
      <c r="C48" s="7" t="str">
        <f>VLOOKUP(E48,'[1]합계(3)'!$C$2:$D$50,2,FALSE)</f>
        <v>무장</v>
      </c>
      <c r="D48" s="8" t="s">
        <v>22</v>
      </c>
      <c r="E48" s="7">
        <v>299568</v>
      </c>
      <c r="F48" s="9" t="s">
        <v>46</v>
      </c>
      <c r="G48" s="10">
        <v>61</v>
      </c>
      <c r="H48" s="10">
        <v>0</v>
      </c>
      <c r="I48" s="10">
        <v>0</v>
      </c>
      <c r="J48" s="10">
        <v>0</v>
      </c>
      <c r="K48" s="11">
        <v>192000</v>
      </c>
      <c r="L48" s="11">
        <v>3840.0000000000005</v>
      </c>
      <c r="M48" s="10">
        <v>122653</v>
      </c>
      <c r="N48" s="5"/>
      <c r="O48" s="5"/>
      <c r="P48" s="6"/>
      <c r="Q48" s="6"/>
    </row>
    <row r="49" spans="1:17" x14ac:dyDescent="0.4">
      <c r="A49" s="7">
        <v>2022.04</v>
      </c>
      <c r="B49" s="7" t="s">
        <v>0</v>
      </c>
      <c r="C49" s="7" t="s">
        <v>87</v>
      </c>
      <c r="D49" s="8" t="s">
        <v>22</v>
      </c>
      <c r="E49" s="7">
        <v>310346</v>
      </c>
      <c r="F49" s="9" t="s">
        <v>81</v>
      </c>
      <c r="G49" s="10">
        <v>7</v>
      </c>
      <c r="H49" s="10">
        <v>0</v>
      </c>
      <c r="I49" s="10">
        <v>0</v>
      </c>
      <c r="J49" s="10">
        <v>0</v>
      </c>
      <c r="K49" s="11">
        <v>22400</v>
      </c>
      <c r="L49" s="11">
        <v>0</v>
      </c>
      <c r="M49" s="10">
        <v>14112</v>
      </c>
      <c r="N49" s="5"/>
      <c r="O49" s="5"/>
      <c r="P49" s="6"/>
      <c r="Q49" s="6"/>
    </row>
    <row r="50" spans="1:17" x14ac:dyDescent="0.4">
      <c r="A50" s="7">
        <v>2022.04</v>
      </c>
      <c r="B50" s="7" t="s">
        <v>0</v>
      </c>
      <c r="C50" s="7" t="str">
        <f>VLOOKUP(E50,'[1]합계(3)'!$C$2:$D$50,2,FALSE)</f>
        <v>권용찬</v>
      </c>
      <c r="D50" s="8" t="s">
        <v>22</v>
      </c>
      <c r="E50" s="7">
        <v>221958</v>
      </c>
      <c r="F50" s="9" t="s">
        <v>82</v>
      </c>
      <c r="G50" s="10">
        <v>153</v>
      </c>
      <c r="H50" s="10">
        <v>0</v>
      </c>
      <c r="I50" s="10">
        <v>0</v>
      </c>
      <c r="J50" s="10">
        <v>0</v>
      </c>
      <c r="K50" s="11">
        <v>15300</v>
      </c>
      <c r="L50" s="11">
        <v>0</v>
      </c>
      <c r="M50" s="10">
        <v>9639</v>
      </c>
      <c r="N50" s="5"/>
      <c r="O50" s="5"/>
      <c r="P50" s="6"/>
      <c r="Q50" s="6"/>
    </row>
    <row r="51" spans="1:17" x14ac:dyDescent="0.4">
      <c r="A51" s="7">
        <v>2022.04</v>
      </c>
      <c r="B51" s="7" t="s">
        <v>0</v>
      </c>
      <c r="C51" s="7" t="str">
        <f>VLOOKUP(E51,'[1]합계(3)'!$C$2:$D$50,2,FALSE)</f>
        <v>김정률</v>
      </c>
      <c r="D51" s="8" t="s">
        <v>22</v>
      </c>
      <c r="E51" s="7">
        <v>221953</v>
      </c>
      <c r="F51" s="9" t="s">
        <v>54</v>
      </c>
      <c r="G51" s="10">
        <v>49</v>
      </c>
      <c r="H51" s="10">
        <v>0</v>
      </c>
      <c r="I51" s="10">
        <v>0</v>
      </c>
      <c r="J51" s="10">
        <v>0</v>
      </c>
      <c r="K51" s="11">
        <v>4900</v>
      </c>
      <c r="L51" s="11">
        <v>0</v>
      </c>
      <c r="M51" s="10">
        <v>3087</v>
      </c>
    </row>
    <row r="52" spans="1:17" x14ac:dyDescent="0.4">
      <c r="A52" s="7">
        <v>2022.04</v>
      </c>
      <c r="B52" s="7" t="s">
        <v>0</v>
      </c>
      <c r="C52" s="7" t="str">
        <f>VLOOKUP(E52,'[1]합계(3)'!$C$2:$D$50,2,FALSE)</f>
        <v>김정률</v>
      </c>
      <c r="D52" s="8" t="s">
        <v>22</v>
      </c>
      <c r="E52" s="7">
        <v>220863</v>
      </c>
      <c r="F52" s="9" t="s">
        <v>47</v>
      </c>
      <c r="G52" s="10">
        <v>0</v>
      </c>
      <c r="H52" s="10">
        <v>0</v>
      </c>
      <c r="I52" s="10">
        <v>2</v>
      </c>
      <c r="J52" s="10">
        <v>0</v>
      </c>
      <c r="K52" s="11">
        <v>1800</v>
      </c>
      <c r="L52" s="11">
        <v>0</v>
      </c>
      <c r="M52" s="10">
        <v>1134</v>
      </c>
    </row>
    <row r="53" spans="1:17" x14ac:dyDescent="0.4">
      <c r="A53" s="7">
        <v>2022.04</v>
      </c>
      <c r="B53" s="7" t="s">
        <v>0</v>
      </c>
      <c r="C53" s="7" t="str">
        <f>VLOOKUP(E53,'[1]합계(3)'!$C$2:$D$50,2,FALSE)</f>
        <v>권용찬</v>
      </c>
      <c r="D53" s="8" t="s">
        <v>22</v>
      </c>
      <c r="E53" s="7">
        <v>242092</v>
      </c>
      <c r="F53" s="9" t="s">
        <v>29</v>
      </c>
      <c r="G53" s="10">
        <v>967</v>
      </c>
      <c r="H53" s="10">
        <v>0</v>
      </c>
      <c r="I53" s="10">
        <v>0</v>
      </c>
      <c r="J53" s="10">
        <v>0</v>
      </c>
      <c r="K53" s="11">
        <v>96700</v>
      </c>
      <c r="L53" s="11">
        <v>0</v>
      </c>
      <c r="M53" s="10">
        <v>60921</v>
      </c>
    </row>
    <row r="54" spans="1:17" x14ac:dyDescent="0.4">
      <c r="A54" s="7">
        <v>2022.04</v>
      </c>
      <c r="B54" s="7" t="s">
        <v>0</v>
      </c>
      <c r="C54" s="7" t="s">
        <v>103</v>
      </c>
      <c r="D54" s="8" t="s">
        <v>22</v>
      </c>
      <c r="E54" s="7">
        <v>241585</v>
      </c>
      <c r="F54" s="9" t="s">
        <v>83</v>
      </c>
      <c r="G54" s="10">
        <v>1</v>
      </c>
      <c r="H54" s="10">
        <v>0</v>
      </c>
      <c r="I54" s="10">
        <v>0</v>
      </c>
      <c r="J54" s="10">
        <v>0</v>
      </c>
      <c r="K54" s="11">
        <v>3200</v>
      </c>
      <c r="L54" s="11">
        <v>0</v>
      </c>
      <c r="M54" s="10">
        <v>2016</v>
      </c>
    </row>
    <row r="55" spans="1:17" x14ac:dyDescent="0.4">
      <c r="A55" s="7">
        <v>2022.04</v>
      </c>
      <c r="B55" s="7" t="s">
        <v>0</v>
      </c>
      <c r="C55" s="7" t="str">
        <f>VLOOKUP(E55,'[1]합계(3)'!$C$2:$D$50,2,FALSE)</f>
        <v>김정률</v>
      </c>
      <c r="D55" s="8" t="s">
        <v>22</v>
      </c>
      <c r="E55" s="7">
        <v>220864</v>
      </c>
      <c r="F55" s="9" t="s">
        <v>60</v>
      </c>
      <c r="G55" s="10">
        <v>9</v>
      </c>
      <c r="H55" s="10">
        <v>0</v>
      </c>
      <c r="I55" s="10">
        <v>0</v>
      </c>
      <c r="J55" s="10">
        <v>0</v>
      </c>
      <c r="K55" s="11">
        <v>0</v>
      </c>
      <c r="L55" s="11">
        <v>34560</v>
      </c>
      <c r="M55" s="10">
        <v>15241</v>
      </c>
    </row>
    <row r="56" spans="1:17" x14ac:dyDescent="0.4">
      <c r="A56" s="7">
        <v>2022.04</v>
      </c>
      <c r="B56" s="7" t="s">
        <v>0</v>
      </c>
      <c r="C56" s="7" t="s">
        <v>86</v>
      </c>
      <c r="D56" s="8" t="s">
        <v>22</v>
      </c>
      <c r="E56" s="7">
        <v>310345</v>
      </c>
      <c r="F56" s="9" t="s">
        <v>84</v>
      </c>
      <c r="G56" s="10">
        <v>9</v>
      </c>
      <c r="H56" s="10">
        <v>0</v>
      </c>
      <c r="I56" s="10">
        <v>0</v>
      </c>
      <c r="J56" s="10">
        <v>0</v>
      </c>
      <c r="K56" s="11">
        <v>28800</v>
      </c>
      <c r="L56" s="11">
        <v>0</v>
      </c>
      <c r="M56" s="10">
        <v>18144</v>
      </c>
    </row>
    <row r="57" spans="1:17" x14ac:dyDescent="0.4">
      <c r="A57" s="7">
        <v>2022.04</v>
      </c>
      <c r="B57" s="7" t="s">
        <v>0</v>
      </c>
      <c r="C57" s="7" t="str">
        <f>VLOOKUP(E57,'[1]합계(3)'!$C$2:$D$50,2,FALSE)</f>
        <v>김광수</v>
      </c>
      <c r="D57" s="8" t="s">
        <v>22</v>
      </c>
      <c r="E57" s="7">
        <v>299573</v>
      </c>
      <c r="F57" s="9" t="s">
        <v>48</v>
      </c>
      <c r="G57" s="10">
        <v>1196</v>
      </c>
      <c r="H57" s="10">
        <v>0</v>
      </c>
      <c r="I57" s="10">
        <v>0</v>
      </c>
      <c r="J57" s="10">
        <v>0</v>
      </c>
      <c r="K57" s="11">
        <v>3827200</v>
      </c>
      <c r="L57" s="11">
        <v>0</v>
      </c>
      <c r="M57" s="10">
        <v>2411136</v>
      </c>
    </row>
    <row r="58" spans="1:17" x14ac:dyDescent="0.4">
      <c r="A58" s="7">
        <v>2022.04</v>
      </c>
      <c r="B58" s="7" t="s">
        <v>0</v>
      </c>
      <c r="C58" s="7" t="s">
        <v>27</v>
      </c>
      <c r="D58" s="8" t="s">
        <v>23</v>
      </c>
      <c r="E58" s="7">
        <v>162474</v>
      </c>
      <c r="F58" s="9" t="s">
        <v>24</v>
      </c>
      <c r="G58" s="10">
        <v>562</v>
      </c>
      <c r="H58" s="10">
        <v>0</v>
      </c>
      <c r="I58" s="10">
        <v>0</v>
      </c>
      <c r="J58" s="10">
        <v>0</v>
      </c>
      <c r="K58" s="11">
        <v>55600</v>
      </c>
      <c r="L58" s="11">
        <v>720</v>
      </c>
      <c r="M58" s="10">
        <v>35346</v>
      </c>
    </row>
    <row r="59" spans="1:17" ht="26.4" x14ac:dyDescent="0.4">
      <c r="A59" s="7">
        <v>2022.04</v>
      </c>
      <c r="B59" s="7" t="s">
        <v>0</v>
      </c>
      <c r="C59" s="7" t="s">
        <v>37</v>
      </c>
      <c r="D59" s="8" t="s">
        <v>38</v>
      </c>
      <c r="E59" s="7">
        <v>113396</v>
      </c>
      <c r="F59" s="9" t="s">
        <v>39</v>
      </c>
      <c r="G59" s="10">
        <v>1913</v>
      </c>
      <c r="H59" s="10">
        <v>0</v>
      </c>
      <c r="I59" s="10">
        <v>0</v>
      </c>
      <c r="J59" s="10">
        <v>0</v>
      </c>
      <c r="K59" s="11">
        <v>191300</v>
      </c>
      <c r="L59" s="11">
        <v>0</v>
      </c>
      <c r="M59" s="10">
        <v>120519</v>
      </c>
    </row>
    <row r="60" spans="1:17" ht="26.4" x14ac:dyDescent="0.4">
      <c r="A60" s="7">
        <v>2022.04</v>
      </c>
      <c r="B60" s="7" t="s">
        <v>0</v>
      </c>
      <c r="C60" s="7" t="s">
        <v>37</v>
      </c>
      <c r="D60" s="8" t="s">
        <v>38</v>
      </c>
      <c r="E60" s="7">
        <v>306757</v>
      </c>
      <c r="F60" s="9" t="s">
        <v>85</v>
      </c>
      <c r="G60" s="10">
        <v>106488</v>
      </c>
      <c r="H60" s="10">
        <v>0</v>
      </c>
      <c r="I60" s="10">
        <v>0</v>
      </c>
      <c r="J60" s="10">
        <v>0</v>
      </c>
      <c r="K60" s="11">
        <v>10410470</v>
      </c>
      <c r="L60" s="11">
        <v>285995.71428571432</v>
      </c>
      <c r="M60" s="10">
        <v>6684720</v>
      </c>
    </row>
    <row r="61" spans="1:17" x14ac:dyDescent="0.4">
      <c r="A61" s="7">
        <v>2022.04</v>
      </c>
      <c r="B61" s="7" t="s">
        <v>0</v>
      </c>
      <c r="C61" s="7" t="s">
        <v>28</v>
      </c>
      <c r="D61" s="8" t="s">
        <v>2</v>
      </c>
      <c r="E61" s="7">
        <v>36793</v>
      </c>
      <c r="F61" s="9" t="s">
        <v>25</v>
      </c>
      <c r="G61" s="10">
        <v>161</v>
      </c>
      <c r="H61" s="10">
        <v>0</v>
      </c>
      <c r="I61" s="10">
        <v>0</v>
      </c>
      <c r="J61" s="10">
        <v>0</v>
      </c>
      <c r="K61" s="11">
        <v>16100</v>
      </c>
      <c r="L61" s="11">
        <v>0</v>
      </c>
      <c r="M61" s="10">
        <v>10143</v>
      </c>
    </row>
    <row r="62" spans="1:17" x14ac:dyDescent="0.4">
      <c r="M62" s="13">
        <f>SUM(M2:M61)</f>
        <v>11160916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9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8.69921875" bestFit="1" customWidth="1"/>
    <col min="5" max="5" width="7.3984375" bestFit="1" customWidth="1"/>
    <col min="6" max="6" width="21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7.296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17</v>
      </c>
      <c r="D2" s="8" t="s">
        <v>18</v>
      </c>
      <c r="E2" s="7">
        <v>13397</v>
      </c>
      <c r="F2" s="9" t="s">
        <v>49</v>
      </c>
      <c r="G2" s="10">
        <v>30</v>
      </c>
      <c r="H2" s="10">
        <v>0</v>
      </c>
      <c r="I2" s="10">
        <v>0</v>
      </c>
      <c r="J2" s="10">
        <v>0</v>
      </c>
      <c r="K2" s="11">
        <v>30000</v>
      </c>
      <c r="L2" s="11">
        <v>0</v>
      </c>
      <c r="M2" s="10">
        <v>18900</v>
      </c>
    </row>
    <row r="3" spans="1:13" x14ac:dyDescent="0.4">
      <c r="A3" s="7">
        <v>2022.04</v>
      </c>
      <c r="B3" s="7" t="s">
        <v>0</v>
      </c>
      <c r="C3" s="7" t="s">
        <v>17</v>
      </c>
      <c r="D3" s="8" t="s">
        <v>18</v>
      </c>
      <c r="E3" s="7">
        <v>29804</v>
      </c>
      <c r="F3" s="9" t="s">
        <v>30</v>
      </c>
      <c r="G3" s="10">
        <v>829</v>
      </c>
      <c r="H3" s="10">
        <v>0</v>
      </c>
      <c r="I3" s="10">
        <v>0</v>
      </c>
      <c r="J3" s="10">
        <v>0</v>
      </c>
      <c r="K3" s="11">
        <v>82900</v>
      </c>
      <c r="L3" s="11">
        <v>0</v>
      </c>
      <c r="M3" s="10">
        <v>52227</v>
      </c>
    </row>
    <row r="4" spans="1:13" x14ac:dyDescent="0.4">
      <c r="A4" s="7">
        <v>2022.04</v>
      </c>
      <c r="B4" s="7" t="s">
        <v>0</v>
      </c>
      <c r="C4" s="7" t="s">
        <v>17</v>
      </c>
      <c r="D4" s="8" t="s">
        <v>18</v>
      </c>
      <c r="E4" s="7">
        <v>13398</v>
      </c>
      <c r="F4" s="9" t="s">
        <v>19</v>
      </c>
      <c r="G4" s="10">
        <v>335</v>
      </c>
      <c r="H4" s="10">
        <v>0</v>
      </c>
      <c r="I4" s="10">
        <v>0</v>
      </c>
      <c r="J4" s="10">
        <v>0</v>
      </c>
      <c r="K4" s="11">
        <v>335000</v>
      </c>
      <c r="L4" s="11">
        <v>0</v>
      </c>
      <c r="M4" s="10">
        <v>211050</v>
      </c>
    </row>
    <row r="5" spans="1:13" x14ac:dyDescent="0.4">
      <c r="A5" s="7">
        <v>2022.04</v>
      </c>
      <c r="B5" s="7" t="s">
        <v>0</v>
      </c>
      <c r="C5" s="7" t="s">
        <v>17</v>
      </c>
      <c r="D5" s="8" t="s">
        <v>18</v>
      </c>
      <c r="E5" s="7">
        <v>13400</v>
      </c>
      <c r="F5" s="9" t="s">
        <v>50</v>
      </c>
      <c r="G5" s="10">
        <v>83</v>
      </c>
      <c r="H5" s="10">
        <v>0</v>
      </c>
      <c r="I5" s="10">
        <v>0</v>
      </c>
      <c r="J5" s="10">
        <v>0</v>
      </c>
      <c r="K5" s="11">
        <v>83000</v>
      </c>
      <c r="L5" s="11">
        <v>0</v>
      </c>
      <c r="M5" s="10">
        <v>52290</v>
      </c>
    </row>
    <row r="6" spans="1:13" x14ac:dyDescent="0.4">
      <c r="A6" s="7">
        <v>2022.04</v>
      </c>
      <c r="B6" s="7" t="s">
        <v>0</v>
      </c>
      <c r="C6" s="7" t="s">
        <v>17</v>
      </c>
      <c r="D6" s="8" t="s">
        <v>18</v>
      </c>
      <c r="E6" s="7">
        <v>13399</v>
      </c>
      <c r="F6" s="9" t="s">
        <v>33</v>
      </c>
      <c r="G6" s="10">
        <v>134</v>
      </c>
      <c r="H6" s="10">
        <v>0</v>
      </c>
      <c r="I6" s="10">
        <v>0</v>
      </c>
      <c r="J6" s="10">
        <v>0</v>
      </c>
      <c r="K6" s="11">
        <v>134000</v>
      </c>
      <c r="L6" s="11">
        <v>0</v>
      </c>
      <c r="M6" s="10">
        <v>84420</v>
      </c>
    </row>
    <row r="7" spans="1:13" x14ac:dyDescent="0.4">
      <c r="A7" s="7">
        <v>2022.04</v>
      </c>
      <c r="B7" s="7" t="s">
        <v>0</v>
      </c>
      <c r="C7" s="7" t="s">
        <v>17</v>
      </c>
      <c r="D7" s="8" t="s">
        <v>18</v>
      </c>
      <c r="E7" s="7">
        <v>13401</v>
      </c>
      <c r="F7" s="9" t="s">
        <v>34</v>
      </c>
      <c r="G7" s="10">
        <v>3</v>
      </c>
      <c r="H7" s="10">
        <v>0</v>
      </c>
      <c r="I7" s="10">
        <v>0</v>
      </c>
      <c r="J7" s="10">
        <v>0</v>
      </c>
      <c r="K7" s="11">
        <v>3000</v>
      </c>
      <c r="L7" s="11">
        <v>0</v>
      </c>
      <c r="M7" s="10">
        <v>1890</v>
      </c>
    </row>
    <row r="8" spans="1:13" x14ac:dyDescent="0.4">
      <c r="A8" s="7">
        <v>2022.04</v>
      </c>
      <c r="B8" s="7" t="s">
        <v>0</v>
      </c>
      <c r="C8" s="7" t="s">
        <v>17</v>
      </c>
      <c r="D8" s="8" t="s">
        <v>22</v>
      </c>
      <c r="E8" s="7">
        <v>241288</v>
      </c>
      <c r="F8" s="9" t="s">
        <v>42</v>
      </c>
      <c r="G8" s="10">
        <v>0</v>
      </c>
      <c r="H8" s="10">
        <v>0</v>
      </c>
      <c r="I8" s="10">
        <v>16</v>
      </c>
      <c r="J8" s="10">
        <v>0</v>
      </c>
      <c r="K8" s="11">
        <v>14400</v>
      </c>
      <c r="L8" s="11">
        <v>0</v>
      </c>
      <c r="M8" s="10">
        <v>9072</v>
      </c>
    </row>
    <row r="9" spans="1:13" x14ac:dyDescent="0.4">
      <c r="A9" s="7">
        <v>2022.04</v>
      </c>
      <c r="B9" s="7" t="s">
        <v>0</v>
      </c>
      <c r="C9" s="7" t="s">
        <v>17</v>
      </c>
      <c r="D9" s="8" t="s">
        <v>22</v>
      </c>
      <c r="E9" s="7">
        <v>232417</v>
      </c>
      <c r="F9" s="9" t="s">
        <v>51</v>
      </c>
      <c r="G9" s="10">
        <v>2</v>
      </c>
      <c r="H9" s="10">
        <v>0</v>
      </c>
      <c r="I9" s="10">
        <v>0</v>
      </c>
      <c r="J9" s="10">
        <v>0</v>
      </c>
      <c r="K9" s="11">
        <v>6400</v>
      </c>
      <c r="L9" s="11">
        <v>0</v>
      </c>
      <c r="M9" s="10">
        <v>4032</v>
      </c>
    </row>
    <row r="10" spans="1:13" x14ac:dyDescent="0.4">
      <c r="A10" s="7">
        <v>2022.04</v>
      </c>
      <c r="B10" s="7" t="s">
        <v>0</v>
      </c>
      <c r="C10" s="7" t="s">
        <v>17</v>
      </c>
      <c r="D10" s="8" t="s">
        <v>22</v>
      </c>
      <c r="E10" s="7">
        <v>241641</v>
      </c>
      <c r="F10" s="9" t="s">
        <v>44</v>
      </c>
      <c r="G10" s="10">
        <v>930</v>
      </c>
      <c r="H10" s="10">
        <v>0</v>
      </c>
      <c r="I10" s="10">
        <v>0</v>
      </c>
      <c r="J10" s="10">
        <v>0</v>
      </c>
      <c r="K10" s="11">
        <v>89000</v>
      </c>
      <c r="L10" s="11">
        <v>4800</v>
      </c>
      <c r="M10" s="10">
        <v>58187</v>
      </c>
    </row>
    <row r="11" spans="1:13" x14ac:dyDescent="0.4">
      <c r="A11" s="7">
        <v>2022.04</v>
      </c>
      <c r="B11" s="7" t="s">
        <v>0</v>
      </c>
      <c r="C11" s="7" t="s">
        <v>17</v>
      </c>
      <c r="D11" s="8" t="s">
        <v>22</v>
      </c>
      <c r="E11" s="7">
        <v>148800</v>
      </c>
      <c r="F11" s="9" t="s">
        <v>52</v>
      </c>
      <c r="G11" s="10">
        <v>0</v>
      </c>
      <c r="H11" s="10">
        <v>0</v>
      </c>
      <c r="I11" s="10">
        <v>18</v>
      </c>
      <c r="J11" s="10">
        <v>0</v>
      </c>
      <c r="K11" s="11">
        <v>5400</v>
      </c>
      <c r="L11" s="11">
        <v>0</v>
      </c>
      <c r="M11" s="10">
        <v>3402</v>
      </c>
    </row>
    <row r="12" spans="1:13" x14ac:dyDescent="0.4">
      <c r="A12" s="7">
        <v>2022.04</v>
      </c>
      <c r="B12" s="7" t="s">
        <v>0</v>
      </c>
      <c r="C12" s="7" t="s">
        <v>17</v>
      </c>
      <c r="D12" s="8" t="s">
        <v>22</v>
      </c>
      <c r="E12" s="7">
        <v>221963</v>
      </c>
      <c r="F12" s="9" t="s">
        <v>32</v>
      </c>
      <c r="G12" s="10">
        <v>285</v>
      </c>
      <c r="H12" s="10">
        <v>0</v>
      </c>
      <c r="I12" s="10">
        <v>0</v>
      </c>
      <c r="J12" s="10">
        <v>0</v>
      </c>
      <c r="K12" s="11">
        <v>28500</v>
      </c>
      <c r="L12" s="11">
        <v>0</v>
      </c>
      <c r="M12" s="10">
        <v>17955</v>
      </c>
    </row>
    <row r="13" spans="1:13" x14ac:dyDescent="0.4">
      <c r="A13" s="7">
        <v>2022.04</v>
      </c>
      <c r="B13" s="7" t="s">
        <v>0</v>
      </c>
      <c r="C13" s="7" t="s">
        <v>17</v>
      </c>
      <c r="D13" s="8" t="s">
        <v>22</v>
      </c>
      <c r="E13" s="7">
        <v>220859</v>
      </c>
      <c r="F13" s="9" t="s">
        <v>36</v>
      </c>
      <c r="G13" s="10">
        <v>0</v>
      </c>
      <c r="H13" s="10">
        <v>0</v>
      </c>
      <c r="I13" s="10">
        <v>5</v>
      </c>
      <c r="J13" s="10">
        <v>0</v>
      </c>
      <c r="K13" s="11">
        <v>4500</v>
      </c>
      <c r="L13" s="11">
        <v>0</v>
      </c>
      <c r="M13" s="10">
        <v>2835</v>
      </c>
    </row>
    <row r="14" spans="1:13" x14ac:dyDescent="0.4">
      <c r="A14" s="7">
        <v>2022.04</v>
      </c>
      <c r="B14" s="7" t="s">
        <v>0</v>
      </c>
      <c r="C14" s="7" t="s">
        <v>17</v>
      </c>
      <c r="D14" s="8" t="s">
        <v>22</v>
      </c>
      <c r="E14" s="7">
        <v>149056</v>
      </c>
      <c r="F14" s="9" t="s">
        <v>1</v>
      </c>
      <c r="G14" s="10">
        <v>0</v>
      </c>
      <c r="H14" s="10">
        <v>0</v>
      </c>
      <c r="I14" s="10">
        <v>144</v>
      </c>
      <c r="J14" s="10">
        <v>0</v>
      </c>
      <c r="K14" s="11">
        <v>43200</v>
      </c>
      <c r="L14" s="11">
        <v>0</v>
      </c>
      <c r="M14" s="10">
        <v>27216</v>
      </c>
    </row>
    <row r="15" spans="1:13" x14ac:dyDescent="0.4">
      <c r="A15" s="7">
        <v>2022.04</v>
      </c>
      <c r="B15" s="7" t="s">
        <v>0</v>
      </c>
      <c r="C15" s="7" t="s">
        <v>17</v>
      </c>
      <c r="D15" s="8" t="s">
        <v>22</v>
      </c>
      <c r="E15" s="7">
        <v>241291</v>
      </c>
      <c r="F15" s="9" t="s">
        <v>53</v>
      </c>
      <c r="G15" s="10">
        <v>0</v>
      </c>
      <c r="H15" s="10">
        <v>0</v>
      </c>
      <c r="I15" s="10">
        <v>8</v>
      </c>
      <c r="J15" s="10">
        <v>0</v>
      </c>
      <c r="K15" s="11">
        <v>7200</v>
      </c>
      <c r="L15" s="11">
        <v>0</v>
      </c>
      <c r="M15" s="10">
        <v>4536</v>
      </c>
    </row>
    <row r="16" spans="1:13" x14ac:dyDescent="0.4">
      <c r="A16" s="7">
        <v>2022.04</v>
      </c>
      <c r="B16" s="7" t="s">
        <v>0</v>
      </c>
      <c r="C16" s="7" t="s">
        <v>17</v>
      </c>
      <c r="D16" s="8" t="s">
        <v>22</v>
      </c>
      <c r="E16" s="7">
        <v>221959</v>
      </c>
      <c r="F16" s="9" t="s">
        <v>45</v>
      </c>
      <c r="G16" s="10">
        <v>468</v>
      </c>
      <c r="H16" s="10">
        <v>0</v>
      </c>
      <c r="I16" s="10">
        <v>0</v>
      </c>
      <c r="J16" s="10">
        <v>0</v>
      </c>
      <c r="K16" s="11">
        <v>46800</v>
      </c>
      <c r="L16" s="11">
        <v>0</v>
      </c>
      <c r="M16" s="10">
        <v>29484</v>
      </c>
    </row>
    <row r="17" spans="1:13" x14ac:dyDescent="0.4">
      <c r="A17" s="7">
        <v>2022.04</v>
      </c>
      <c r="B17" s="7" t="s">
        <v>0</v>
      </c>
      <c r="C17" s="7" t="s">
        <v>17</v>
      </c>
      <c r="D17" s="8" t="s">
        <v>22</v>
      </c>
      <c r="E17" s="7">
        <v>149070</v>
      </c>
      <c r="F17" s="9" t="s">
        <v>58</v>
      </c>
      <c r="G17" s="10">
        <v>4</v>
      </c>
      <c r="H17" s="10">
        <v>0</v>
      </c>
      <c r="I17" s="10">
        <v>26</v>
      </c>
      <c r="J17" s="10">
        <v>0</v>
      </c>
      <c r="K17" s="11">
        <v>11800</v>
      </c>
      <c r="L17" s="11">
        <v>0</v>
      </c>
      <c r="M17" s="10">
        <v>7434</v>
      </c>
    </row>
    <row r="18" spans="1:13" x14ac:dyDescent="0.4">
      <c r="A18" s="7">
        <v>2022.04</v>
      </c>
      <c r="B18" s="7" t="s">
        <v>0</v>
      </c>
      <c r="C18" s="7" t="s">
        <v>17</v>
      </c>
      <c r="D18" s="8" t="s">
        <v>22</v>
      </c>
      <c r="E18" s="7">
        <v>221958</v>
      </c>
      <c r="F18" s="9" t="s">
        <v>82</v>
      </c>
      <c r="G18" s="10">
        <v>153</v>
      </c>
      <c r="H18" s="10">
        <v>0</v>
      </c>
      <c r="I18" s="10">
        <v>0</v>
      </c>
      <c r="J18" s="10">
        <v>0</v>
      </c>
      <c r="K18" s="11">
        <v>15300</v>
      </c>
      <c r="L18" s="11">
        <v>0</v>
      </c>
      <c r="M18" s="10">
        <v>9639</v>
      </c>
    </row>
    <row r="19" spans="1:13" x14ac:dyDescent="0.4">
      <c r="A19" s="7">
        <v>2022.04</v>
      </c>
      <c r="B19" s="7" t="s">
        <v>0</v>
      </c>
      <c r="C19" s="7" t="s">
        <v>17</v>
      </c>
      <c r="D19" s="8" t="s">
        <v>22</v>
      </c>
      <c r="E19" s="7">
        <v>242092</v>
      </c>
      <c r="F19" s="9" t="s">
        <v>29</v>
      </c>
      <c r="G19" s="10">
        <v>967</v>
      </c>
      <c r="H19" s="10">
        <v>0</v>
      </c>
      <c r="I19" s="10">
        <v>0</v>
      </c>
      <c r="J19" s="10">
        <v>0</v>
      </c>
      <c r="K19" s="11">
        <v>96700</v>
      </c>
      <c r="L19" s="11">
        <v>0</v>
      </c>
      <c r="M19" s="10">
        <v>60921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3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1.3984375" bestFit="1" customWidth="1"/>
    <col min="7" max="7" width="5.6992187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20</v>
      </c>
      <c r="D2" s="8" t="s">
        <v>3</v>
      </c>
      <c r="E2" s="7">
        <v>40072</v>
      </c>
      <c r="F2" s="9" t="s">
        <v>21</v>
      </c>
      <c r="G2" s="10">
        <v>1050</v>
      </c>
      <c r="H2" s="10">
        <v>0</v>
      </c>
      <c r="I2" s="10">
        <v>0</v>
      </c>
      <c r="J2" s="10">
        <v>0</v>
      </c>
      <c r="K2" s="11">
        <v>105000</v>
      </c>
      <c r="L2" s="11">
        <v>0</v>
      </c>
      <c r="M2" s="10">
        <v>66150</v>
      </c>
    </row>
    <row r="3" spans="1:13" x14ac:dyDescent="0.4">
      <c r="A3" s="7">
        <v>2022.04</v>
      </c>
      <c r="B3" s="7" t="s">
        <v>0</v>
      </c>
      <c r="C3" s="7" t="s">
        <v>20</v>
      </c>
      <c r="D3" s="8" t="s">
        <v>22</v>
      </c>
      <c r="E3" s="7">
        <v>191456</v>
      </c>
      <c r="F3" s="9" t="s">
        <v>57</v>
      </c>
      <c r="G3" s="10">
        <v>3</v>
      </c>
      <c r="H3" s="10">
        <v>0</v>
      </c>
      <c r="I3" s="10">
        <v>113</v>
      </c>
      <c r="J3" s="10">
        <v>0</v>
      </c>
      <c r="K3" s="11">
        <v>111300</v>
      </c>
      <c r="L3" s="11">
        <v>0</v>
      </c>
      <c r="M3" s="10">
        <v>70119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6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3" t="s">
        <v>61</v>
      </c>
      <c r="D2" s="8" t="s">
        <v>22</v>
      </c>
      <c r="E2" s="7">
        <v>219712</v>
      </c>
      <c r="F2" s="9" t="s">
        <v>62</v>
      </c>
      <c r="G2" s="10">
        <v>1</v>
      </c>
      <c r="H2" s="10">
        <v>0</v>
      </c>
      <c r="I2" s="10">
        <v>0</v>
      </c>
      <c r="J2" s="10">
        <v>0</v>
      </c>
      <c r="K2" s="11">
        <v>3200</v>
      </c>
      <c r="L2" s="11">
        <v>0</v>
      </c>
      <c r="M2" s="10">
        <v>2016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7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88</v>
      </c>
      <c r="D2" s="8" t="s">
        <v>22</v>
      </c>
      <c r="E2" s="7">
        <v>225735</v>
      </c>
      <c r="F2" s="9" t="s">
        <v>63</v>
      </c>
      <c r="G2" s="10">
        <v>9</v>
      </c>
      <c r="H2" s="10">
        <v>0</v>
      </c>
      <c r="I2" s="10">
        <v>0</v>
      </c>
      <c r="J2" s="10">
        <v>0</v>
      </c>
      <c r="K2" s="11">
        <v>28800</v>
      </c>
      <c r="L2" s="11">
        <v>0</v>
      </c>
      <c r="M2" s="10">
        <v>18144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10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2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7.296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89</v>
      </c>
      <c r="D2" s="8" t="s">
        <v>22</v>
      </c>
      <c r="E2" s="7">
        <v>310337</v>
      </c>
      <c r="F2" s="9" t="s">
        <v>64</v>
      </c>
      <c r="G2" s="10">
        <v>207</v>
      </c>
      <c r="H2" s="10">
        <v>0</v>
      </c>
      <c r="I2" s="10">
        <v>0</v>
      </c>
      <c r="J2" s="10">
        <v>0</v>
      </c>
      <c r="K2" s="11">
        <v>662400</v>
      </c>
      <c r="L2" s="11">
        <v>0</v>
      </c>
      <c r="M2" s="10">
        <v>417312</v>
      </c>
    </row>
    <row r="3" spans="1:13" x14ac:dyDescent="0.4">
      <c r="A3" s="7">
        <v>2022.04</v>
      </c>
      <c r="B3" s="7" t="s">
        <v>0</v>
      </c>
      <c r="C3" s="7" t="s">
        <v>87</v>
      </c>
      <c r="D3" s="8" t="s">
        <v>22</v>
      </c>
      <c r="E3" s="7">
        <v>310339</v>
      </c>
      <c r="F3" s="9" t="s">
        <v>65</v>
      </c>
      <c r="G3" s="10">
        <v>9</v>
      </c>
      <c r="H3" s="10">
        <v>0</v>
      </c>
      <c r="I3" s="10">
        <v>0</v>
      </c>
      <c r="J3" s="10">
        <v>0</v>
      </c>
      <c r="K3" s="11">
        <v>28800</v>
      </c>
      <c r="L3" s="11">
        <v>0</v>
      </c>
      <c r="M3" s="10">
        <v>18144</v>
      </c>
    </row>
    <row r="4" spans="1:13" x14ac:dyDescent="0.4">
      <c r="A4" s="7">
        <v>2022.04</v>
      </c>
      <c r="B4" s="7" t="s">
        <v>0</v>
      </c>
      <c r="C4" s="7" t="s">
        <v>87</v>
      </c>
      <c r="D4" s="8" t="s">
        <v>22</v>
      </c>
      <c r="E4" s="7">
        <v>310338</v>
      </c>
      <c r="F4" s="9" t="s">
        <v>66</v>
      </c>
      <c r="G4" s="10">
        <v>11</v>
      </c>
      <c r="H4" s="10">
        <v>0</v>
      </c>
      <c r="I4" s="10">
        <v>0</v>
      </c>
      <c r="J4" s="10">
        <v>0</v>
      </c>
      <c r="K4" s="11">
        <v>35200</v>
      </c>
      <c r="L4" s="11">
        <v>0</v>
      </c>
      <c r="M4" s="10">
        <v>22176</v>
      </c>
    </row>
    <row r="5" spans="1:13" x14ac:dyDescent="0.4">
      <c r="A5" s="7">
        <v>2022.04</v>
      </c>
      <c r="B5" s="7" t="s">
        <v>0</v>
      </c>
      <c r="C5" s="7" t="s">
        <v>93</v>
      </c>
      <c r="D5" s="8" t="s">
        <v>22</v>
      </c>
      <c r="E5" s="7">
        <v>310340</v>
      </c>
      <c r="F5" s="9" t="s">
        <v>69</v>
      </c>
      <c r="G5" s="10">
        <v>9</v>
      </c>
      <c r="H5" s="10">
        <v>0</v>
      </c>
      <c r="I5" s="10">
        <v>0</v>
      </c>
      <c r="J5" s="10">
        <v>0</v>
      </c>
      <c r="K5" s="11">
        <v>28800</v>
      </c>
      <c r="L5" s="11">
        <v>0</v>
      </c>
      <c r="M5" s="10">
        <v>18144</v>
      </c>
    </row>
    <row r="6" spans="1:13" x14ac:dyDescent="0.4">
      <c r="A6" s="7">
        <v>2022.04</v>
      </c>
      <c r="B6" s="7" t="s">
        <v>0</v>
      </c>
      <c r="C6" s="7" t="s">
        <v>87</v>
      </c>
      <c r="D6" s="8" t="s">
        <v>22</v>
      </c>
      <c r="E6" s="7">
        <v>225736</v>
      </c>
      <c r="F6" s="9" t="s">
        <v>26</v>
      </c>
      <c r="G6" s="10">
        <v>25</v>
      </c>
      <c r="H6" s="10">
        <v>0</v>
      </c>
      <c r="I6" s="10">
        <v>0</v>
      </c>
      <c r="J6" s="10">
        <v>0</v>
      </c>
      <c r="K6" s="11">
        <v>73600</v>
      </c>
      <c r="L6" s="11">
        <v>7680.0000000000009</v>
      </c>
      <c r="M6" s="10">
        <v>49755</v>
      </c>
    </row>
    <row r="7" spans="1:13" x14ac:dyDescent="0.4">
      <c r="A7" s="7">
        <v>2022.04</v>
      </c>
      <c r="B7" s="7" t="s">
        <v>0</v>
      </c>
      <c r="C7" s="7" t="s">
        <v>87</v>
      </c>
      <c r="D7" s="8" t="s">
        <v>22</v>
      </c>
      <c r="E7" s="7">
        <v>310341</v>
      </c>
      <c r="F7" s="9" t="s">
        <v>74</v>
      </c>
      <c r="G7" s="10">
        <v>1</v>
      </c>
      <c r="H7" s="10">
        <v>0</v>
      </c>
      <c r="I7" s="10">
        <v>0</v>
      </c>
      <c r="J7" s="10">
        <v>0</v>
      </c>
      <c r="K7" s="11">
        <v>3200</v>
      </c>
      <c r="L7" s="11">
        <v>0</v>
      </c>
      <c r="M7" s="10">
        <v>2016</v>
      </c>
    </row>
    <row r="8" spans="1:13" x14ac:dyDescent="0.4">
      <c r="A8" s="7">
        <v>2022.04</v>
      </c>
      <c r="B8" s="7" t="s">
        <v>0</v>
      </c>
      <c r="C8" s="7" t="s">
        <v>102</v>
      </c>
      <c r="D8" s="8" t="s">
        <v>22</v>
      </c>
      <c r="E8" s="7">
        <v>310336</v>
      </c>
      <c r="F8" s="9" t="s">
        <v>80</v>
      </c>
      <c r="G8" s="10">
        <v>15</v>
      </c>
      <c r="H8" s="10">
        <v>0</v>
      </c>
      <c r="I8" s="10">
        <v>0</v>
      </c>
      <c r="J8" s="10">
        <v>0</v>
      </c>
      <c r="K8" s="11">
        <v>48000</v>
      </c>
      <c r="L8" s="11">
        <v>0</v>
      </c>
      <c r="M8" s="10">
        <v>30240</v>
      </c>
    </row>
    <row r="9" spans="1:13" x14ac:dyDescent="0.4">
      <c r="A9" s="7">
        <v>2022.04</v>
      </c>
      <c r="B9" s="7" t="s">
        <v>0</v>
      </c>
      <c r="C9" s="7" t="s">
        <v>87</v>
      </c>
      <c r="D9" s="8" t="s">
        <v>22</v>
      </c>
      <c r="E9" s="7">
        <v>299568</v>
      </c>
      <c r="F9" s="9" t="s">
        <v>46</v>
      </c>
      <c r="G9" s="10">
        <v>61</v>
      </c>
      <c r="H9" s="10">
        <v>0</v>
      </c>
      <c r="I9" s="10">
        <v>0</v>
      </c>
      <c r="J9" s="10">
        <v>0</v>
      </c>
      <c r="K9" s="11">
        <v>192000</v>
      </c>
      <c r="L9" s="11">
        <v>3840.0000000000005</v>
      </c>
      <c r="M9" s="10">
        <v>122653</v>
      </c>
    </row>
    <row r="10" spans="1:13" x14ac:dyDescent="0.4">
      <c r="A10" s="7">
        <v>2022.04</v>
      </c>
      <c r="B10" s="7" t="s">
        <v>0</v>
      </c>
      <c r="C10" s="7" t="s">
        <v>87</v>
      </c>
      <c r="D10" s="8" t="s">
        <v>22</v>
      </c>
      <c r="E10" s="7">
        <v>310346</v>
      </c>
      <c r="F10" s="9" t="s">
        <v>81</v>
      </c>
      <c r="G10" s="10">
        <v>7</v>
      </c>
      <c r="H10" s="10">
        <v>0</v>
      </c>
      <c r="I10" s="10">
        <v>0</v>
      </c>
      <c r="J10" s="10">
        <v>0</v>
      </c>
      <c r="K10" s="11">
        <v>22400</v>
      </c>
      <c r="L10" s="11">
        <v>0</v>
      </c>
      <c r="M10" s="10">
        <v>14112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0.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90</v>
      </c>
      <c r="D2" s="8" t="s">
        <v>22</v>
      </c>
      <c r="E2" s="7">
        <v>224070</v>
      </c>
      <c r="F2" s="9" t="s">
        <v>67</v>
      </c>
      <c r="G2" s="10">
        <v>56</v>
      </c>
      <c r="H2" s="10">
        <v>0</v>
      </c>
      <c r="I2" s="10">
        <v>0</v>
      </c>
      <c r="J2" s="10">
        <v>0</v>
      </c>
      <c r="K2" s="11">
        <v>5600</v>
      </c>
      <c r="L2" s="11">
        <v>0</v>
      </c>
      <c r="M2" s="10">
        <v>3528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8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105</v>
      </c>
      <c r="D2" s="8" t="s">
        <v>22</v>
      </c>
      <c r="E2" s="7">
        <v>246133</v>
      </c>
      <c r="F2" s="9" t="s">
        <v>43</v>
      </c>
      <c r="G2" s="10">
        <v>1</v>
      </c>
      <c r="H2" s="10">
        <v>0</v>
      </c>
      <c r="I2" s="10">
        <v>0</v>
      </c>
      <c r="J2" s="10">
        <v>0</v>
      </c>
      <c r="K2" s="11">
        <v>3200</v>
      </c>
      <c r="L2" s="11">
        <v>0</v>
      </c>
      <c r="M2" s="10">
        <v>2016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7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6.8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92</v>
      </c>
      <c r="D2" s="8" t="s">
        <v>22</v>
      </c>
      <c r="E2" s="7">
        <v>220852</v>
      </c>
      <c r="F2" s="9" t="s">
        <v>68</v>
      </c>
      <c r="G2" s="10">
        <v>0</v>
      </c>
      <c r="H2" s="10">
        <v>0</v>
      </c>
      <c r="I2" s="10">
        <v>1</v>
      </c>
      <c r="J2" s="10">
        <v>0</v>
      </c>
      <c r="K2" s="11">
        <v>900</v>
      </c>
      <c r="L2" s="11">
        <v>0</v>
      </c>
      <c r="M2" s="10">
        <v>567</v>
      </c>
    </row>
    <row r="3" spans="1:13" x14ac:dyDescent="0.4">
      <c r="A3" s="7">
        <v>2022.04</v>
      </c>
      <c r="B3" s="7" t="s">
        <v>0</v>
      </c>
      <c r="C3" s="7" t="s">
        <v>91</v>
      </c>
      <c r="D3" s="8" t="s">
        <v>22</v>
      </c>
      <c r="E3" s="7">
        <v>220854</v>
      </c>
      <c r="F3" s="9" t="s">
        <v>41</v>
      </c>
      <c r="G3" s="10">
        <v>1</v>
      </c>
      <c r="H3" s="10">
        <v>0</v>
      </c>
      <c r="I3" s="10">
        <v>4</v>
      </c>
      <c r="J3" s="10">
        <v>0</v>
      </c>
      <c r="K3" s="11">
        <v>6800</v>
      </c>
      <c r="L3" s="11">
        <v>0</v>
      </c>
      <c r="M3" s="10">
        <v>4284</v>
      </c>
    </row>
    <row r="4" spans="1:13" x14ac:dyDescent="0.4">
      <c r="A4" s="7">
        <v>2022.04</v>
      </c>
      <c r="B4" s="7" t="s">
        <v>0</v>
      </c>
      <c r="C4" s="7" t="s">
        <v>91</v>
      </c>
      <c r="D4" s="8" t="s">
        <v>22</v>
      </c>
      <c r="E4" s="7">
        <v>220861</v>
      </c>
      <c r="F4" s="9" t="s">
        <v>31</v>
      </c>
      <c r="G4" s="10">
        <v>0</v>
      </c>
      <c r="H4" s="10">
        <v>0</v>
      </c>
      <c r="I4" s="10">
        <v>28</v>
      </c>
      <c r="J4" s="10">
        <v>0</v>
      </c>
      <c r="K4" s="11">
        <v>25200</v>
      </c>
      <c r="L4" s="11">
        <v>0</v>
      </c>
      <c r="M4" s="10">
        <v>15876</v>
      </c>
    </row>
    <row r="5" spans="1:13" x14ac:dyDescent="0.4">
      <c r="A5" s="7">
        <v>2022.04</v>
      </c>
      <c r="B5" s="7" t="s">
        <v>0</v>
      </c>
      <c r="C5" s="7" t="s">
        <v>91</v>
      </c>
      <c r="D5" s="8" t="s">
        <v>22</v>
      </c>
      <c r="E5" s="7">
        <v>221953</v>
      </c>
      <c r="F5" s="9" t="s">
        <v>54</v>
      </c>
      <c r="G5" s="10">
        <v>49</v>
      </c>
      <c r="H5" s="10">
        <v>0</v>
      </c>
      <c r="I5" s="10">
        <v>0</v>
      </c>
      <c r="J5" s="10">
        <v>0</v>
      </c>
      <c r="K5" s="11">
        <v>4900</v>
      </c>
      <c r="L5" s="11">
        <v>0</v>
      </c>
      <c r="M5" s="10">
        <v>3087</v>
      </c>
    </row>
    <row r="6" spans="1:13" x14ac:dyDescent="0.4">
      <c r="A6" s="7">
        <v>2022.04</v>
      </c>
      <c r="B6" s="7" t="s">
        <v>0</v>
      </c>
      <c r="C6" s="7" t="s">
        <v>91</v>
      </c>
      <c r="D6" s="8" t="s">
        <v>22</v>
      </c>
      <c r="E6" s="7">
        <v>220863</v>
      </c>
      <c r="F6" s="9" t="s">
        <v>47</v>
      </c>
      <c r="G6" s="10">
        <v>0</v>
      </c>
      <c r="H6" s="10">
        <v>0</v>
      </c>
      <c r="I6" s="10">
        <v>2</v>
      </c>
      <c r="J6" s="10">
        <v>0</v>
      </c>
      <c r="K6" s="11">
        <v>1800</v>
      </c>
      <c r="L6" s="11">
        <v>0</v>
      </c>
      <c r="M6" s="10">
        <v>1134</v>
      </c>
    </row>
    <row r="7" spans="1:13" x14ac:dyDescent="0.4">
      <c r="A7" s="7">
        <v>2022.04</v>
      </c>
      <c r="B7" s="7" t="s">
        <v>0</v>
      </c>
      <c r="C7" s="7" t="s">
        <v>91</v>
      </c>
      <c r="D7" s="8" t="s">
        <v>22</v>
      </c>
      <c r="E7" s="7">
        <v>220864</v>
      </c>
      <c r="F7" s="9" t="s">
        <v>60</v>
      </c>
      <c r="G7" s="10">
        <v>9</v>
      </c>
      <c r="H7" s="10">
        <v>0</v>
      </c>
      <c r="I7" s="10">
        <v>0</v>
      </c>
      <c r="J7" s="10">
        <v>0</v>
      </c>
      <c r="K7" s="11">
        <v>0</v>
      </c>
      <c r="L7" s="11">
        <v>34560</v>
      </c>
      <c r="M7" s="10">
        <v>15241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3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21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106</v>
      </c>
      <c r="D2" s="8" t="s">
        <v>22</v>
      </c>
      <c r="E2" s="7">
        <v>246134</v>
      </c>
      <c r="F2" s="9" t="s">
        <v>55</v>
      </c>
      <c r="G2" s="10">
        <v>3</v>
      </c>
      <c r="H2" s="10">
        <v>0</v>
      </c>
      <c r="I2" s="10">
        <v>0</v>
      </c>
      <c r="J2" s="10">
        <v>0</v>
      </c>
      <c r="K2" s="11">
        <v>9600</v>
      </c>
      <c r="L2" s="11">
        <v>0</v>
      </c>
      <c r="M2" s="10">
        <v>6048</v>
      </c>
    </row>
    <row r="3" spans="1:13" x14ac:dyDescent="0.4">
      <c r="A3" s="7">
        <v>2022.04</v>
      </c>
      <c r="B3" s="7" t="s">
        <v>0</v>
      </c>
      <c r="C3" s="7" t="s">
        <v>106</v>
      </c>
      <c r="D3" s="8" t="s">
        <v>22</v>
      </c>
      <c r="E3" s="7">
        <v>246152</v>
      </c>
      <c r="F3" s="9" t="s">
        <v>56</v>
      </c>
      <c r="G3" s="10">
        <v>28</v>
      </c>
      <c r="H3" s="10">
        <v>0</v>
      </c>
      <c r="I3" s="10">
        <v>0</v>
      </c>
      <c r="J3" s="10">
        <v>0</v>
      </c>
      <c r="K3" s="11">
        <v>89600</v>
      </c>
      <c r="L3" s="11">
        <v>0</v>
      </c>
      <c r="M3" s="10">
        <v>56448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4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2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95</v>
      </c>
      <c r="D2" s="8" t="s">
        <v>22</v>
      </c>
      <c r="E2" s="7">
        <v>270858</v>
      </c>
      <c r="F2" s="9" t="s">
        <v>40</v>
      </c>
      <c r="G2" s="10">
        <v>2</v>
      </c>
      <c r="H2" s="10">
        <v>0</v>
      </c>
      <c r="I2" s="10">
        <v>0</v>
      </c>
      <c r="J2" s="10">
        <v>0</v>
      </c>
      <c r="K2" s="11">
        <v>6400</v>
      </c>
      <c r="L2" s="11">
        <v>0</v>
      </c>
      <c r="M2" s="10">
        <v>4032</v>
      </c>
    </row>
    <row r="3" spans="1:13" x14ac:dyDescent="0.4">
      <c r="A3" s="7">
        <v>2022.04</v>
      </c>
      <c r="B3" s="7" t="s">
        <v>0</v>
      </c>
      <c r="C3" s="7" t="s">
        <v>96</v>
      </c>
      <c r="D3" s="8" t="s">
        <v>22</v>
      </c>
      <c r="E3" s="7">
        <v>310344</v>
      </c>
      <c r="F3" s="9" t="s">
        <v>71</v>
      </c>
      <c r="G3" s="10">
        <v>23</v>
      </c>
      <c r="H3" s="10">
        <v>0</v>
      </c>
      <c r="I3" s="10">
        <v>0</v>
      </c>
      <c r="J3" s="10">
        <v>0</v>
      </c>
      <c r="K3" s="11">
        <v>73600</v>
      </c>
      <c r="L3" s="11">
        <v>0</v>
      </c>
      <c r="M3" s="10">
        <v>46368</v>
      </c>
    </row>
    <row r="4" spans="1:13" x14ac:dyDescent="0.4">
      <c r="A4" s="7">
        <v>2022.04</v>
      </c>
      <c r="B4" s="7" t="s">
        <v>0</v>
      </c>
      <c r="C4" s="7" t="s">
        <v>98</v>
      </c>
      <c r="D4" s="8" t="s">
        <v>22</v>
      </c>
      <c r="E4" s="7">
        <v>232986</v>
      </c>
      <c r="F4" s="9" t="s">
        <v>73</v>
      </c>
      <c r="G4" s="10">
        <v>4</v>
      </c>
      <c r="H4" s="10">
        <v>0</v>
      </c>
      <c r="I4" s="10">
        <v>0</v>
      </c>
      <c r="J4" s="10">
        <v>0</v>
      </c>
      <c r="K4" s="11">
        <v>12800</v>
      </c>
      <c r="L4" s="11">
        <v>0</v>
      </c>
      <c r="M4" s="10">
        <v>8064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5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5" bestFit="1" customWidth="1"/>
    <col min="7" max="7" width="5.6992187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9.8984375" bestFit="1" customWidth="1"/>
    <col min="12" max="12" width="8.09765625" bestFit="1" customWidth="1"/>
    <col min="13" max="13" width="8.3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86</v>
      </c>
      <c r="D2" s="8" t="s">
        <v>22</v>
      </c>
      <c r="E2" s="7">
        <v>241289</v>
      </c>
      <c r="F2" s="9" t="s">
        <v>35</v>
      </c>
      <c r="G2" s="10">
        <v>9</v>
      </c>
      <c r="H2" s="10">
        <v>0</v>
      </c>
      <c r="I2" s="10">
        <v>94</v>
      </c>
      <c r="J2" s="10">
        <v>0</v>
      </c>
      <c r="K2" s="11">
        <v>98100</v>
      </c>
      <c r="L2" s="11">
        <v>18360</v>
      </c>
      <c r="M2" s="10">
        <v>69900</v>
      </c>
    </row>
    <row r="3" spans="1:13" x14ac:dyDescent="0.4">
      <c r="A3" s="7">
        <v>2022.04</v>
      </c>
      <c r="B3" s="7" t="s">
        <v>0</v>
      </c>
      <c r="C3" s="7" t="s">
        <v>103</v>
      </c>
      <c r="D3" s="8" t="s">
        <v>22</v>
      </c>
      <c r="E3" s="7">
        <v>241585</v>
      </c>
      <c r="F3" s="9" t="s">
        <v>83</v>
      </c>
      <c r="G3" s="10">
        <v>1</v>
      </c>
      <c r="H3" s="10">
        <v>0</v>
      </c>
      <c r="I3" s="10">
        <v>0</v>
      </c>
      <c r="J3" s="10">
        <v>0</v>
      </c>
      <c r="K3" s="11">
        <v>3200</v>
      </c>
      <c r="L3" s="11">
        <v>0</v>
      </c>
      <c r="M3" s="10">
        <v>2016</v>
      </c>
    </row>
    <row r="4" spans="1:13" x14ac:dyDescent="0.4">
      <c r="A4" s="7">
        <v>2022.04</v>
      </c>
      <c r="B4" s="7" t="s">
        <v>0</v>
      </c>
      <c r="C4" s="7" t="s">
        <v>86</v>
      </c>
      <c r="D4" s="8" t="s">
        <v>22</v>
      </c>
      <c r="E4" s="7">
        <v>310345</v>
      </c>
      <c r="F4" s="9" t="s">
        <v>84</v>
      </c>
      <c r="G4" s="10">
        <v>9</v>
      </c>
      <c r="H4" s="10">
        <v>0</v>
      </c>
      <c r="I4" s="10">
        <v>0</v>
      </c>
      <c r="J4" s="10">
        <v>0</v>
      </c>
      <c r="K4" s="11">
        <v>28800</v>
      </c>
      <c r="L4" s="11">
        <v>0</v>
      </c>
      <c r="M4" s="10">
        <v>18144</v>
      </c>
    </row>
    <row r="5" spans="1:13" x14ac:dyDescent="0.4">
      <c r="A5" s="7">
        <v>2022.04</v>
      </c>
      <c r="B5" s="7" t="s">
        <v>0</v>
      </c>
      <c r="C5" s="7" t="s">
        <v>86</v>
      </c>
      <c r="D5" s="8" t="s">
        <v>22</v>
      </c>
      <c r="E5" s="7">
        <v>299573</v>
      </c>
      <c r="F5" s="9" t="s">
        <v>48</v>
      </c>
      <c r="G5" s="10">
        <v>1196</v>
      </c>
      <c r="H5" s="10">
        <v>0</v>
      </c>
      <c r="I5" s="10">
        <v>0</v>
      </c>
      <c r="J5" s="10">
        <v>0</v>
      </c>
      <c r="K5" s="11">
        <v>3827200</v>
      </c>
      <c r="L5" s="11">
        <v>0</v>
      </c>
      <c r="M5" s="10">
        <v>2411136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7.19921875" bestFit="1" customWidth="1"/>
    <col min="4" max="4" width="6.296875" bestFit="1" customWidth="1"/>
    <col min="5" max="5" width="7.3984375" bestFit="1" customWidth="1"/>
    <col min="6" max="6" width="9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94</v>
      </c>
      <c r="D2" s="8" t="s">
        <v>22</v>
      </c>
      <c r="E2" s="7">
        <v>310343</v>
      </c>
      <c r="F2" s="9" t="s">
        <v>70</v>
      </c>
      <c r="G2" s="10">
        <v>11</v>
      </c>
      <c r="H2" s="10">
        <v>0</v>
      </c>
      <c r="I2" s="10">
        <v>0</v>
      </c>
      <c r="J2" s="10">
        <v>0</v>
      </c>
      <c r="K2" s="11">
        <v>35200</v>
      </c>
      <c r="L2" s="11">
        <v>0</v>
      </c>
      <c r="M2" s="10">
        <v>22176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7.19921875" bestFit="1" customWidth="1"/>
    <col min="4" max="4" width="6.296875" bestFit="1" customWidth="1"/>
    <col min="5" max="5" width="7.3984375" bestFit="1" customWidth="1"/>
    <col min="6" max="6" width="25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97</v>
      </c>
      <c r="D2" s="8" t="s">
        <v>22</v>
      </c>
      <c r="E2" s="7">
        <v>310342</v>
      </c>
      <c r="F2" s="9" t="s">
        <v>72</v>
      </c>
      <c r="G2" s="10">
        <v>3</v>
      </c>
      <c r="H2" s="10">
        <v>0</v>
      </c>
      <c r="I2" s="10">
        <v>0</v>
      </c>
      <c r="J2" s="10">
        <v>0</v>
      </c>
      <c r="K2" s="11">
        <v>9600</v>
      </c>
      <c r="L2" s="11">
        <v>0</v>
      </c>
      <c r="M2" s="10">
        <v>6048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0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99</v>
      </c>
      <c r="D2" s="8" t="s">
        <v>22</v>
      </c>
      <c r="E2" s="7">
        <v>169477</v>
      </c>
      <c r="F2" s="9" t="s">
        <v>75</v>
      </c>
      <c r="G2" s="10">
        <v>17</v>
      </c>
      <c r="H2" s="10">
        <v>0</v>
      </c>
      <c r="I2" s="10">
        <v>0</v>
      </c>
      <c r="J2" s="10">
        <v>0</v>
      </c>
      <c r="K2" s="11">
        <v>1700</v>
      </c>
      <c r="L2" s="11">
        <v>0</v>
      </c>
      <c r="M2" s="10">
        <v>1071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4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8.69921875" bestFit="1" customWidth="1"/>
    <col min="4" max="4" width="10.69921875" bestFit="1" customWidth="1"/>
    <col min="5" max="5" width="7.3984375" bestFit="1" customWidth="1"/>
    <col min="6" max="6" width="19" bestFit="1" customWidth="1"/>
    <col min="7" max="7" width="7.29687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10.8984375" bestFit="1" customWidth="1"/>
    <col min="12" max="12" width="8.59765625" bestFit="1" customWidth="1"/>
    <col min="13" max="13" width="8.3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26.4" x14ac:dyDescent="0.4">
      <c r="A2" s="7">
        <v>2022.04</v>
      </c>
      <c r="B2" s="7" t="s">
        <v>0</v>
      </c>
      <c r="C2" s="7" t="s">
        <v>100</v>
      </c>
      <c r="D2" s="8" t="s">
        <v>22</v>
      </c>
      <c r="E2" s="7">
        <v>310335</v>
      </c>
      <c r="F2" s="9" t="s">
        <v>76</v>
      </c>
      <c r="G2" s="10">
        <v>22</v>
      </c>
      <c r="H2" s="10">
        <v>0</v>
      </c>
      <c r="I2" s="10">
        <v>0</v>
      </c>
      <c r="J2" s="10">
        <v>0</v>
      </c>
      <c r="K2" s="11">
        <v>70400</v>
      </c>
      <c r="L2" s="11">
        <v>0</v>
      </c>
      <c r="M2" s="10">
        <v>44352</v>
      </c>
    </row>
    <row r="3" spans="1:13" ht="26.4" x14ac:dyDescent="0.4">
      <c r="A3" s="7">
        <v>2022.04</v>
      </c>
      <c r="B3" s="7" t="s">
        <v>0</v>
      </c>
      <c r="C3" s="7" t="s">
        <v>37</v>
      </c>
      <c r="D3" s="8" t="s">
        <v>38</v>
      </c>
      <c r="E3" s="7">
        <v>113396</v>
      </c>
      <c r="F3" s="9" t="s">
        <v>39</v>
      </c>
      <c r="G3" s="10">
        <v>1913</v>
      </c>
      <c r="H3" s="10">
        <v>0</v>
      </c>
      <c r="I3" s="10">
        <v>0</v>
      </c>
      <c r="J3" s="10">
        <v>0</v>
      </c>
      <c r="K3" s="11">
        <v>191300</v>
      </c>
      <c r="L3" s="11">
        <v>0</v>
      </c>
      <c r="M3" s="10">
        <v>120519</v>
      </c>
    </row>
    <row r="4" spans="1:13" ht="26.4" x14ac:dyDescent="0.4">
      <c r="A4" s="7">
        <v>2022.04</v>
      </c>
      <c r="B4" s="7" t="s">
        <v>0</v>
      </c>
      <c r="C4" s="7" t="s">
        <v>37</v>
      </c>
      <c r="D4" s="8" t="s">
        <v>38</v>
      </c>
      <c r="E4" s="7">
        <v>306757</v>
      </c>
      <c r="F4" s="9" t="s">
        <v>85</v>
      </c>
      <c r="G4" s="10">
        <v>106488</v>
      </c>
      <c r="H4" s="10">
        <v>0</v>
      </c>
      <c r="I4" s="10">
        <v>0</v>
      </c>
      <c r="J4" s="10">
        <v>0</v>
      </c>
      <c r="K4" s="11">
        <v>10410470</v>
      </c>
      <c r="L4" s="11">
        <v>285995.71428571432</v>
      </c>
      <c r="M4" s="10">
        <v>6684720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3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59765625" bestFit="1" customWidth="1"/>
    <col min="5" max="5" width="7.3984375" bestFit="1" customWidth="1"/>
    <col min="6" max="6" width="12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28</v>
      </c>
      <c r="D2" s="8" t="s">
        <v>22</v>
      </c>
      <c r="E2" s="7">
        <v>220857</v>
      </c>
      <c r="F2" s="9" t="s">
        <v>77</v>
      </c>
      <c r="G2" s="10">
        <v>0</v>
      </c>
      <c r="H2" s="10">
        <v>0</v>
      </c>
      <c r="I2" s="10">
        <v>85</v>
      </c>
      <c r="J2" s="10">
        <v>0</v>
      </c>
      <c r="K2" s="11">
        <v>76500</v>
      </c>
      <c r="L2" s="11">
        <v>0</v>
      </c>
      <c r="M2" s="10">
        <v>48195</v>
      </c>
    </row>
    <row r="3" spans="1:13" x14ac:dyDescent="0.4">
      <c r="A3" s="7">
        <v>2022.04</v>
      </c>
      <c r="B3" s="7" t="s">
        <v>0</v>
      </c>
      <c r="C3" s="7" t="s">
        <v>28</v>
      </c>
      <c r="D3" s="8" t="s">
        <v>2</v>
      </c>
      <c r="E3" s="7">
        <v>36793</v>
      </c>
      <c r="F3" s="9" t="s">
        <v>25</v>
      </c>
      <c r="G3" s="10">
        <v>161</v>
      </c>
      <c r="H3" s="10">
        <v>0</v>
      </c>
      <c r="I3" s="10">
        <v>0</v>
      </c>
      <c r="J3" s="10">
        <v>0</v>
      </c>
      <c r="K3" s="11">
        <v>16100</v>
      </c>
      <c r="L3" s="11">
        <v>0</v>
      </c>
      <c r="M3" s="10">
        <v>10143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8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104</v>
      </c>
      <c r="D2" s="8" t="s">
        <v>22</v>
      </c>
      <c r="E2" s="7">
        <v>131902</v>
      </c>
      <c r="F2" s="9" t="s">
        <v>78</v>
      </c>
      <c r="G2" s="10">
        <v>15</v>
      </c>
      <c r="H2" s="10">
        <v>0</v>
      </c>
      <c r="I2" s="10">
        <v>0</v>
      </c>
      <c r="J2" s="10">
        <v>0</v>
      </c>
      <c r="K2" s="11">
        <v>1500</v>
      </c>
      <c r="L2" s="11">
        <v>0</v>
      </c>
      <c r="M2" s="10">
        <v>945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9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101</v>
      </c>
      <c r="D2" s="8" t="s">
        <v>22</v>
      </c>
      <c r="E2" s="7">
        <v>221970</v>
      </c>
      <c r="F2" s="9" t="s">
        <v>79</v>
      </c>
      <c r="G2" s="10">
        <v>175</v>
      </c>
      <c r="H2" s="10">
        <v>0</v>
      </c>
      <c r="I2" s="10">
        <v>0</v>
      </c>
      <c r="J2" s="10">
        <v>0</v>
      </c>
      <c r="K2" s="11">
        <v>17500</v>
      </c>
      <c r="L2" s="11">
        <v>0</v>
      </c>
      <c r="M2" s="10">
        <v>11025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9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107</v>
      </c>
      <c r="D2" s="8" t="s">
        <v>22</v>
      </c>
      <c r="E2" s="7">
        <v>220862</v>
      </c>
      <c r="F2" s="9" t="s">
        <v>59</v>
      </c>
      <c r="G2" s="10">
        <v>1</v>
      </c>
      <c r="H2" s="10">
        <v>0</v>
      </c>
      <c r="I2" s="10">
        <v>0</v>
      </c>
      <c r="J2" s="10">
        <v>0</v>
      </c>
      <c r="K2" s="11">
        <v>3200</v>
      </c>
      <c r="L2" s="11">
        <v>0</v>
      </c>
      <c r="M2" s="10">
        <v>2016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2"/>
  <sheetViews>
    <sheetView workbookViewId="0"/>
  </sheetViews>
  <sheetFormatPr defaultRowHeight="17.399999999999999" x14ac:dyDescent="0.4"/>
  <cols>
    <col min="1" max="1" width="6.296875" bestFit="1" customWidth="1"/>
    <col min="2" max="3" width="5.69921875" bestFit="1" customWidth="1"/>
    <col min="4" max="4" width="8.19921875" bestFit="1" customWidth="1"/>
    <col min="5" max="5" width="7.3984375" bestFit="1" customWidth="1"/>
    <col min="6" max="6" width="21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7">
        <v>2022.04</v>
      </c>
      <c r="B2" s="7" t="s">
        <v>0</v>
      </c>
      <c r="C2" s="7" t="s">
        <v>27</v>
      </c>
      <c r="D2" s="8" t="s">
        <v>23</v>
      </c>
      <c r="E2" s="7">
        <v>162474</v>
      </c>
      <c r="F2" s="9" t="s">
        <v>24</v>
      </c>
      <c r="G2" s="10">
        <v>562</v>
      </c>
      <c r="H2" s="10">
        <v>0</v>
      </c>
      <c r="I2" s="10">
        <v>0</v>
      </c>
      <c r="J2" s="10">
        <v>0</v>
      </c>
      <c r="K2" s="11">
        <v>55600</v>
      </c>
      <c r="L2" s="11">
        <v>720</v>
      </c>
      <c r="M2" s="10">
        <v>35346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20</vt:i4>
      </vt:variant>
    </vt:vector>
  </HeadingPairs>
  <TitlesOfParts>
    <vt:vector size="41" baseType="lpstr">
      <vt:lpstr>합계(4)</vt:lpstr>
      <vt:lpstr>권용찬</vt:lpstr>
      <vt:lpstr>독고진</vt:lpstr>
      <vt:lpstr>구유</vt:lpstr>
      <vt:lpstr>루이세</vt:lpstr>
      <vt:lpstr>무장</vt:lpstr>
      <vt:lpstr>벗우</vt:lpstr>
      <vt:lpstr>이동열</vt:lpstr>
      <vt:lpstr>김정률</vt:lpstr>
      <vt:lpstr>진문</vt:lpstr>
      <vt:lpstr>청빙</vt:lpstr>
      <vt:lpstr>김광수</vt:lpstr>
      <vt:lpstr>만렙도끼</vt:lpstr>
      <vt:lpstr>징구빙구</vt:lpstr>
      <vt:lpstr>이준영</vt:lpstr>
      <vt:lpstr>왕십리글쟁이</vt:lpstr>
      <vt:lpstr>전혁</vt:lpstr>
      <vt:lpstr>쇠렌센</vt:lpstr>
      <vt:lpstr>가람검</vt:lpstr>
      <vt:lpstr>군주</vt:lpstr>
      <vt:lpstr>예로나</vt:lpstr>
      <vt:lpstr>가람검!Extract</vt:lpstr>
      <vt:lpstr>구유!Extract</vt:lpstr>
      <vt:lpstr>군주!Extract</vt:lpstr>
      <vt:lpstr>권용찬!Extract</vt:lpstr>
      <vt:lpstr>김광수!Extract</vt:lpstr>
      <vt:lpstr>김정률!Extract</vt:lpstr>
      <vt:lpstr>독고진!Extract</vt:lpstr>
      <vt:lpstr>루이세!Extract</vt:lpstr>
      <vt:lpstr>만렙도끼!Extract</vt:lpstr>
      <vt:lpstr>무장!Extract</vt:lpstr>
      <vt:lpstr>벗우!Extract</vt:lpstr>
      <vt:lpstr>쇠렌센!Extract</vt:lpstr>
      <vt:lpstr>예로나!Extract</vt:lpstr>
      <vt:lpstr>왕십리글쟁이!Extract</vt:lpstr>
      <vt:lpstr>이동열!Extract</vt:lpstr>
      <vt:lpstr>이준영!Extract</vt:lpstr>
      <vt:lpstr>전혁!Extract</vt:lpstr>
      <vt:lpstr>진문!Extract</vt:lpstr>
      <vt:lpstr>징구빙구!Extract</vt:lpstr>
      <vt:lpstr>청빙!Extract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2022-05-30T08:51:17Z</dcterms:modified>
</cp:coreProperties>
</file>