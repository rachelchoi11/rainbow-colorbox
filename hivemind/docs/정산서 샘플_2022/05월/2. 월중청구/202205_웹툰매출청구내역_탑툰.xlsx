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5월 마감\2. 월중청구\"/>
    </mc:Choice>
  </mc:AlternateContent>
  <bookViews>
    <workbookView xWindow="0" yWindow="0" windowWidth="23040" windowHeight="8952"/>
  </bookViews>
  <sheets>
    <sheet name="합계(3)" sheetId="1" r:id="rId1"/>
    <sheet name="혜원" sheetId="4" r:id="rId2"/>
    <sheet name="ZHUPI.YANGXUETU" sheetId="5" r:id="rId3"/>
    <sheet name="Lv" sheetId="6" r:id="rId4"/>
    <sheet name="Hujing×Luojie" sheetId="7" r:id="rId5"/>
    <sheet name="Ice×FANFAN COMIC" sheetId="8" r:id="rId6"/>
    <sheet name="건일" sheetId="9" r:id="rId7"/>
    <sheet name="수정과" sheetId="10" r:id="rId8"/>
    <sheet name="원기공장" sheetId="11" r:id="rId9"/>
    <sheet name="IvyeqianheXyouzhijiaozi" sheetId="12" r:id="rId10"/>
    <sheet name="Linksure" sheetId="13" r:id="rId11"/>
    <sheet name="구디스튜디오" sheetId="14" r:id="rId12"/>
    <sheet name="(한국)" sheetId="15" r:id="rId13"/>
  </sheets>
  <definedNames>
    <definedName name="_xlnm._FilterDatabase" localSheetId="0" hidden="1">'합계(3)'!$A$1:$P$16</definedName>
    <definedName name="_xlnm.Extract" localSheetId="12">'(한국)'!$A$1:$P$1</definedName>
    <definedName name="_xlnm.Extract" localSheetId="4">Hujing×Luojie!$A$1:$P$1</definedName>
    <definedName name="_xlnm.Extract" localSheetId="5">'Ice×FANFAN COMIC'!$A$1:$P$1</definedName>
    <definedName name="_xlnm.Extract" localSheetId="9">IvyeqianheXyouzhijiaozi!$A$1:$P$1</definedName>
    <definedName name="_xlnm.Extract" localSheetId="10">Linksure!$A$1:$P$1</definedName>
    <definedName name="_xlnm.Extract" localSheetId="3">Lv!$A$1:$P$1</definedName>
    <definedName name="_xlnm.Extract" localSheetId="2">ZHUPI.YANGXUETU!$A$1:$P$1</definedName>
    <definedName name="_xlnm.Extract" localSheetId="6">건일!$A$1:$P$1</definedName>
    <definedName name="_xlnm.Extract" localSheetId="11">구디스튜디오!$A$1:$P$1</definedName>
    <definedName name="_xlnm.Extract" localSheetId="7">수정과!$A$1:$P$1</definedName>
    <definedName name="_xlnm.Extract" localSheetId="8">원기공장!$A$1:$P$1</definedName>
    <definedName name="_xlnm.Extract" localSheetId="0">'합계(3)'!#REF!</definedName>
    <definedName name="_xlnm.Extract" localSheetId="1">혜원!$A$1:$P$1</definedName>
  </definedNames>
  <calcPr calcId="152511"/>
</workbook>
</file>

<file path=xl/calcChain.xml><?xml version="1.0" encoding="utf-8"?>
<calcChain xmlns="http://schemas.openxmlformats.org/spreadsheetml/2006/main">
  <c r="O16" i="1" l="1"/>
</calcChain>
</file>

<file path=xl/sharedStrings.xml><?xml version="1.0" encoding="utf-8"?>
<sst xmlns="http://schemas.openxmlformats.org/spreadsheetml/2006/main" count="376" uniqueCount="60">
  <si>
    <t>#</t>
  </si>
  <si>
    <t>구분</t>
  </si>
  <si>
    <t>작품명</t>
  </si>
  <si>
    <t>범위</t>
  </si>
  <si>
    <t>세금</t>
  </si>
  <si>
    <t>WEB 정산</t>
  </si>
  <si>
    <t>APP 정산</t>
  </si>
  <si>
    <t>결제 및 기타수수료</t>
  </si>
  <si>
    <t>02월 연재</t>
  </si>
  <si>
    <t>02월 휴재</t>
  </si>
  <si>
    <t>연재/MG정산액</t>
  </si>
  <si>
    <t>RS 선지급차감액</t>
  </si>
  <si>
    <t>RS 조정액</t>
  </si>
  <si>
    <t>RS 정산액</t>
  </si>
  <si>
    <t>총 정산액</t>
  </si>
  <si>
    <t>기타</t>
  </si>
  <si>
    <t>(한국)</t>
  </si>
  <si>
    <t>내 남편의 스토커</t>
  </si>
  <si>
    <t>전체회차</t>
  </si>
  <si>
    <t>면세</t>
  </si>
  <si>
    <t>(연재없음)</t>
  </si>
  <si>
    <t>연애 2분의 1</t>
  </si>
  <si>
    <t>최애에게 들켜버렸다</t>
  </si>
  <si>
    <t>공주전쟁</t>
  </si>
  <si>
    <t>별빛 아래 우리</t>
  </si>
  <si>
    <t>백스테이지 키스신</t>
  </si>
  <si>
    <t>계약연애, 오늘부터 1일</t>
  </si>
  <si>
    <t>폐하, 옥체 보존하세요!</t>
  </si>
  <si>
    <t>58회 연재</t>
  </si>
  <si>
    <t>(휴재없음)</t>
  </si>
  <si>
    <t>105회 연재</t>
  </si>
  <si>
    <t>68회 연재</t>
  </si>
  <si>
    <t>86회 연재</t>
  </si>
  <si>
    <t>63회 연재</t>
  </si>
  <si>
    <t>41회 연재</t>
  </si>
  <si>
    <t>103회 연재</t>
  </si>
  <si>
    <t>127회 연재</t>
  </si>
  <si>
    <t>악역이지만, 남주는 꼬시지 않아요</t>
  </si>
  <si>
    <t>요괴님은 수련중</t>
  </si>
  <si>
    <t>커피여우 김삼월</t>
  </si>
  <si>
    <t>가출천사 육성계약</t>
  </si>
  <si>
    <t>예술인 고용보험</t>
  </si>
  <si>
    <t>일부회차</t>
  </si>
  <si>
    <t>혜원</t>
    <phoneticPr fontId="24" type="noConversion"/>
  </si>
  <si>
    <t>ZHUPI.YANGXUETU</t>
    <phoneticPr fontId="24" type="noConversion"/>
  </si>
  <si>
    <t>Lv</t>
    <phoneticPr fontId="24" type="noConversion"/>
  </si>
  <si>
    <t>Hujing×Luojie</t>
    <phoneticPr fontId="24" type="noConversion"/>
  </si>
  <si>
    <t>폭군의 눈물</t>
    <phoneticPr fontId="24" type="noConversion"/>
  </si>
  <si>
    <t>Ice×FANFAN COMIC</t>
    <phoneticPr fontId="24" type="noConversion"/>
  </si>
  <si>
    <t>건일</t>
    <phoneticPr fontId="24" type="noConversion"/>
  </si>
  <si>
    <t>수정과</t>
    <phoneticPr fontId="24" type="noConversion"/>
  </si>
  <si>
    <t>원기공장</t>
    <phoneticPr fontId="24" type="noConversion"/>
  </si>
  <si>
    <t>IvyeqianheXyouzhijiaozi</t>
    <phoneticPr fontId="24" type="noConversion"/>
  </si>
  <si>
    <t>Linksure</t>
    <phoneticPr fontId="24" type="noConversion"/>
  </si>
  <si>
    <t>Linksure</t>
    <phoneticPr fontId="24" type="noConversion"/>
  </si>
  <si>
    <t>구디스튜디오</t>
    <phoneticPr fontId="24" type="noConversion"/>
  </si>
  <si>
    <t>5회 연재</t>
  </si>
  <si>
    <t>4회 연재</t>
  </si>
  <si>
    <t>폭군의 눈물</t>
  </si>
  <si>
    <t>47회 연재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</si>
</sst>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666666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7"/>
      <color rgb="FFAAAAAA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color rgb="FFCCCCCC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7"/>
      <color rgb="FFEE3333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EEEEE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8" fillId="33" borderId="10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vertical="center" wrapText="1"/>
    </xf>
    <xf numFmtId="0" fontId="19" fillId="0" borderId="10" xfId="0" applyFont="1" applyBorder="1" applyAlignment="1">
      <alignment vertical="center" wrapText="1"/>
    </xf>
    <xf numFmtId="0" fontId="20" fillId="0" borderId="10" xfId="0" applyFont="1" applyBorder="1" applyAlignment="1">
      <alignment vertical="center" wrapText="1"/>
    </xf>
    <xf numFmtId="0" fontId="21" fillId="0" borderId="10" xfId="0" applyFont="1" applyBorder="1" applyAlignment="1">
      <alignment vertical="center" wrapText="1"/>
    </xf>
    <xf numFmtId="0" fontId="22" fillId="0" borderId="10" xfId="0" applyFont="1" applyBorder="1" applyAlignment="1">
      <alignment vertical="center" wrapText="1"/>
    </xf>
    <xf numFmtId="3" fontId="18" fillId="0" borderId="10" xfId="0" applyNumberFormat="1" applyFont="1" applyBorder="1" applyAlignment="1">
      <alignment horizontal="right" vertical="center" wrapText="1"/>
    </xf>
    <xf numFmtId="0" fontId="0" fillId="0" borderId="10" xfId="0" applyBorder="1" applyAlignment="1">
      <alignment horizontal="right" vertical="center" wrapText="1"/>
    </xf>
    <xf numFmtId="0" fontId="18" fillId="0" borderId="10" xfId="0" applyFont="1" applyBorder="1" applyAlignment="1">
      <alignment horizontal="right" vertical="center" wrapText="1"/>
    </xf>
    <xf numFmtId="0" fontId="23" fillId="0" borderId="10" xfId="0" applyFont="1" applyBorder="1" applyAlignment="1">
      <alignment horizontal="right" vertical="center" wrapText="1"/>
    </xf>
    <xf numFmtId="0" fontId="25" fillId="0" borderId="10" xfId="0" applyFont="1" applyBorder="1" applyAlignment="1">
      <alignment vertical="center" wrapText="1"/>
    </xf>
    <xf numFmtId="3" fontId="0" fillId="34" borderId="0" xfId="0" applyNumberFormat="1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16"/>
  <sheetViews>
    <sheetView showGridLines="0" tabSelected="1" workbookViewId="0"/>
  </sheetViews>
  <sheetFormatPr defaultRowHeight="17.399999999999999" x14ac:dyDescent="0.4"/>
  <cols>
    <col min="1" max="1" width="7.796875" customWidth="1"/>
    <col min="2" max="2" width="20.796875" customWidth="1"/>
    <col min="3" max="3" width="20.09765625" bestFit="1" customWidth="1"/>
    <col min="4" max="4" width="6" bestFit="1" customWidth="1"/>
    <col min="5" max="5" width="4.796875" bestFit="1" customWidth="1"/>
    <col min="6" max="6" width="8.8984375" bestFit="1" customWidth="1"/>
    <col min="7" max="7" width="8.5" bestFit="1" customWidth="1"/>
    <col min="8" max="8" width="16.69921875" bestFit="1" customWidth="1"/>
    <col min="9" max="10" width="9.19921875" bestFit="1" customWidth="1"/>
    <col min="11" max="11" width="13.69921875" bestFit="1" customWidth="1"/>
    <col min="12" max="12" width="14.5" bestFit="1" customWidth="1"/>
    <col min="13" max="14" width="9" bestFit="1" customWidth="1"/>
    <col min="16" max="16" width="6.19921875" customWidth="1"/>
  </cols>
  <sheetData>
    <row r="1" spans="1:1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4">
      <c r="A2" s="2">
        <v>10811</v>
      </c>
      <c r="B2" s="3" t="s">
        <v>16</v>
      </c>
      <c r="C2" s="4" t="s">
        <v>17</v>
      </c>
      <c r="D2" s="5" t="s">
        <v>18</v>
      </c>
      <c r="E2" s="6" t="s">
        <v>19</v>
      </c>
      <c r="F2" s="7">
        <v>1620</v>
      </c>
      <c r="G2" s="9">
        <v>0</v>
      </c>
      <c r="H2" s="8"/>
      <c r="I2" s="9" t="s">
        <v>56</v>
      </c>
      <c r="J2" s="10" t="s">
        <v>29</v>
      </c>
      <c r="K2" s="9">
        <v>0</v>
      </c>
      <c r="L2" s="9">
        <v>0</v>
      </c>
      <c r="M2" s="9">
        <v>0</v>
      </c>
      <c r="N2" s="7">
        <v>1620</v>
      </c>
      <c r="O2" s="7">
        <v>1620</v>
      </c>
      <c r="P2" s="8"/>
    </row>
    <row r="3" spans="1:16" x14ac:dyDescent="0.4">
      <c r="A3" s="2">
        <v>10812</v>
      </c>
      <c r="B3" s="3" t="s">
        <v>16</v>
      </c>
      <c r="C3" s="4" t="s">
        <v>21</v>
      </c>
      <c r="D3" s="5" t="s">
        <v>18</v>
      </c>
      <c r="E3" s="6" t="s">
        <v>19</v>
      </c>
      <c r="F3" s="9">
        <v>0</v>
      </c>
      <c r="G3" s="9">
        <v>0</v>
      </c>
      <c r="H3" s="8"/>
      <c r="I3" s="9" t="s">
        <v>56</v>
      </c>
      <c r="J3" s="10" t="s">
        <v>29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8"/>
    </row>
    <row r="4" spans="1:16" x14ac:dyDescent="0.4">
      <c r="A4" s="2">
        <v>10813</v>
      </c>
      <c r="B4" s="3" t="s">
        <v>16</v>
      </c>
      <c r="C4" s="4" t="s">
        <v>22</v>
      </c>
      <c r="D4" s="5" t="s">
        <v>18</v>
      </c>
      <c r="E4" s="6" t="s">
        <v>19</v>
      </c>
      <c r="F4" s="9">
        <v>648</v>
      </c>
      <c r="G4" s="7">
        <v>2079</v>
      </c>
      <c r="H4" s="8"/>
      <c r="I4" s="9" t="s">
        <v>56</v>
      </c>
      <c r="J4" s="10" t="s">
        <v>29</v>
      </c>
      <c r="K4" s="9">
        <v>0</v>
      </c>
      <c r="L4" s="9">
        <v>0</v>
      </c>
      <c r="M4" s="9">
        <v>0</v>
      </c>
      <c r="N4" s="7">
        <v>2727</v>
      </c>
      <c r="O4" s="7">
        <v>2727</v>
      </c>
      <c r="P4" s="8"/>
    </row>
    <row r="5" spans="1:16" x14ac:dyDescent="0.4">
      <c r="A5" s="2">
        <v>10814</v>
      </c>
      <c r="B5" s="3" t="s">
        <v>16</v>
      </c>
      <c r="C5" s="4" t="s">
        <v>23</v>
      </c>
      <c r="D5" s="5" t="s">
        <v>18</v>
      </c>
      <c r="E5" s="6" t="s">
        <v>19</v>
      </c>
      <c r="F5" s="7">
        <v>2916</v>
      </c>
      <c r="G5" s="9">
        <v>0</v>
      </c>
      <c r="H5" s="8"/>
      <c r="I5" s="9" t="s">
        <v>57</v>
      </c>
      <c r="J5" s="10" t="s">
        <v>29</v>
      </c>
      <c r="K5" s="9">
        <v>0</v>
      </c>
      <c r="L5" s="9">
        <v>0</v>
      </c>
      <c r="M5" s="9">
        <v>0</v>
      </c>
      <c r="N5" s="7">
        <v>2916</v>
      </c>
      <c r="O5" s="7">
        <v>2916</v>
      </c>
      <c r="P5" s="8"/>
    </row>
    <row r="6" spans="1:16" x14ac:dyDescent="0.4">
      <c r="A6" s="2">
        <v>10815</v>
      </c>
      <c r="B6" s="3" t="s">
        <v>16</v>
      </c>
      <c r="C6" s="4" t="s">
        <v>58</v>
      </c>
      <c r="D6" s="5" t="s">
        <v>18</v>
      </c>
      <c r="E6" s="6" t="s">
        <v>19</v>
      </c>
      <c r="F6" s="7">
        <v>6642</v>
      </c>
      <c r="G6" s="9">
        <v>0</v>
      </c>
      <c r="H6" s="8"/>
      <c r="I6" s="9" t="s">
        <v>59</v>
      </c>
      <c r="J6" s="10" t="s">
        <v>29</v>
      </c>
      <c r="K6" s="9">
        <v>0</v>
      </c>
      <c r="L6" s="9">
        <v>0</v>
      </c>
      <c r="M6" s="9">
        <v>0</v>
      </c>
      <c r="N6" s="7">
        <v>6642</v>
      </c>
      <c r="O6" s="7">
        <v>6642</v>
      </c>
      <c r="P6" s="8"/>
    </row>
    <row r="7" spans="1:16" x14ac:dyDescent="0.4">
      <c r="A7" s="2">
        <v>10816</v>
      </c>
      <c r="B7" s="3" t="s">
        <v>16</v>
      </c>
      <c r="C7" s="4" t="s">
        <v>24</v>
      </c>
      <c r="D7" s="5" t="s">
        <v>18</v>
      </c>
      <c r="E7" s="6" t="s">
        <v>19</v>
      </c>
      <c r="F7" s="7">
        <v>6480</v>
      </c>
      <c r="G7" s="7">
        <v>4914</v>
      </c>
      <c r="H7" s="8"/>
      <c r="I7" s="9" t="s">
        <v>56</v>
      </c>
      <c r="J7" s="10" t="s">
        <v>29</v>
      </c>
      <c r="K7" s="9">
        <v>0</v>
      </c>
      <c r="L7" s="9">
        <v>0</v>
      </c>
      <c r="M7" s="9">
        <v>0</v>
      </c>
      <c r="N7" s="7">
        <v>11394</v>
      </c>
      <c r="O7" s="7">
        <v>11394</v>
      </c>
      <c r="P7" s="8"/>
    </row>
    <row r="8" spans="1:16" x14ac:dyDescent="0.4">
      <c r="A8" s="2">
        <v>10818</v>
      </c>
      <c r="B8" s="3" t="s">
        <v>16</v>
      </c>
      <c r="C8" s="4" t="s">
        <v>25</v>
      </c>
      <c r="D8" s="5" t="s">
        <v>18</v>
      </c>
      <c r="E8" s="6" t="s">
        <v>19</v>
      </c>
      <c r="F8" s="7">
        <v>16200</v>
      </c>
      <c r="G8" s="9">
        <v>126</v>
      </c>
      <c r="H8" s="8"/>
      <c r="I8" s="9" t="s">
        <v>56</v>
      </c>
      <c r="J8" s="10" t="s">
        <v>29</v>
      </c>
      <c r="K8" s="9">
        <v>0</v>
      </c>
      <c r="L8" s="9">
        <v>0</v>
      </c>
      <c r="M8" s="9">
        <v>0</v>
      </c>
      <c r="N8" s="7">
        <v>16326</v>
      </c>
      <c r="O8" s="7">
        <v>16326</v>
      </c>
      <c r="P8" s="8"/>
    </row>
    <row r="9" spans="1:16" x14ac:dyDescent="0.4">
      <c r="A9" s="2">
        <v>10819</v>
      </c>
      <c r="B9" s="3" t="s">
        <v>16</v>
      </c>
      <c r="C9" s="4" t="s">
        <v>26</v>
      </c>
      <c r="D9" s="5" t="s">
        <v>18</v>
      </c>
      <c r="E9" s="6" t="s">
        <v>19</v>
      </c>
      <c r="F9" s="7">
        <v>17253</v>
      </c>
      <c r="G9" s="9">
        <v>126</v>
      </c>
      <c r="H9" s="8"/>
      <c r="I9" s="9" t="s">
        <v>57</v>
      </c>
      <c r="J9" s="10" t="s">
        <v>29</v>
      </c>
      <c r="K9" s="9">
        <v>0</v>
      </c>
      <c r="L9" s="9">
        <v>0</v>
      </c>
      <c r="M9" s="9">
        <v>0</v>
      </c>
      <c r="N9" s="7">
        <v>17379</v>
      </c>
      <c r="O9" s="7">
        <v>17379</v>
      </c>
      <c r="P9" s="8"/>
    </row>
    <row r="10" spans="1:16" x14ac:dyDescent="0.4">
      <c r="A10" s="2">
        <v>10822</v>
      </c>
      <c r="B10" s="3" t="s">
        <v>16</v>
      </c>
      <c r="C10" s="4" t="s">
        <v>27</v>
      </c>
      <c r="D10" s="5" t="s">
        <v>18</v>
      </c>
      <c r="E10" s="6" t="s">
        <v>19</v>
      </c>
      <c r="F10" s="7">
        <v>11907</v>
      </c>
      <c r="G10" s="9">
        <v>0</v>
      </c>
      <c r="H10" s="8"/>
      <c r="I10" s="9" t="s">
        <v>57</v>
      </c>
      <c r="J10" s="10" t="s">
        <v>29</v>
      </c>
      <c r="K10" s="9">
        <v>0</v>
      </c>
      <c r="L10" s="9">
        <v>0</v>
      </c>
      <c r="M10" s="9">
        <v>0</v>
      </c>
      <c r="N10" s="7">
        <v>11907</v>
      </c>
      <c r="O10" s="7">
        <v>11907</v>
      </c>
      <c r="P10" s="8"/>
    </row>
    <row r="11" spans="1:16" ht="31.2" x14ac:dyDescent="0.4">
      <c r="A11" s="2">
        <v>10884</v>
      </c>
      <c r="B11" s="3" t="s">
        <v>16</v>
      </c>
      <c r="C11" s="4" t="s">
        <v>37</v>
      </c>
      <c r="D11" s="5" t="s">
        <v>18</v>
      </c>
      <c r="E11" s="6" t="s">
        <v>19</v>
      </c>
      <c r="F11" s="7">
        <v>5832</v>
      </c>
      <c r="G11" s="9">
        <v>693</v>
      </c>
      <c r="H11" s="8"/>
      <c r="I11" s="10" t="s">
        <v>20</v>
      </c>
      <c r="J11" s="10" t="s">
        <v>20</v>
      </c>
      <c r="K11" s="9">
        <v>0</v>
      </c>
      <c r="L11" s="9">
        <v>0</v>
      </c>
      <c r="M11" s="9">
        <v>0</v>
      </c>
      <c r="N11" s="7">
        <v>6525</v>
      </c>
      <c r="O11" s="7">
        <v>6525</v>
      </c>
      <c r="P11" s="8"/>
    </row>
    <row r="12" spans="1:16" x14ac:dyDescent="0.4">
      <c r="A12" s="2">
        <v>10885</v>
      </c>
      <c r="B12" s="3" t="s">
        <v>16</v>
      </c>
      <c r="C12" s="4" t="s">
        <v>38</v>
      </c>
      <c r="D12" s="5" t="s">
        <v>18</v>
      </c>
      <c r="E12" s="6" t="s">
        <v>19</v>
      </c>
      <c r="F12" s="9">
        <v>648</v>
      </c>
      <c r="G12" s="9">
        <v>252</v>
      </c>
      <c r="H12" s="8"/>
      <c r="I12" s="10" t="s">
        <v>20</v>
      </c>
      <c r="J12" s="10" t="s">
        <v>20</v>
      </c>
      <c r="K12" s="9">
        <v>0</v>
      </c>
      <c r="L12" s="9">
        <v>0</v>
      </c>
      <c r="M12" s="9">
        <v>0</v>
      </c>
      <c r="N12" s="9">
        <v>900</v>
      </c>
      <c r="O12" s="9">
        <v>900</v>
      </c>
      <c r="P12" s="8"/>
    </row>
    <row r="13" spans="1:16" x14ac:dyDescent="0.4">
      <c r="A13" s="2">
        <v>10886</v>
      </c>
      <c r="B13" s="3" t="s">
        <v>16</v>
      </c>
      <c r="C13" s="4" t="s">
        <v>39</v>
      </c>
      <c r="D13" s="5" t="s">
        <v>18</v>
      </c>
      <c r="E13" s="6" t="s">
        <v>19</v>
      </c>
      <c r="F13" s="9">
        <v>243</v>
      </c>
      <c r="G13" s="9">
        <v>0</v>
      </c>
      <c r="H13" s="8"/>
      <c r="I13" s="10" t="s">
        <v>20</v>
      </c>
      <c r="J13" s="10" t="s">
        <v>20</v>
      </c>
      <c r="K13" s="9">
        <v>0</v>
      </c>
      <c r="L13" s="9">
        <v>0</v>
      </c>
      <c r="M13" s="9">
        <v>0</v>
      </c>
      <c r="N13" s="9">
        <v>243</v>
      </c>
      <c r="O13" s="9">
        <v>243</v>
      </c>
      <c r="P13" s="8"/>
    </row>
    <row r="14" spans="1:16" x14ac:dyDescent="0.4">
      <c r="A14" s="2">
        <v>10887</v>
      </c>
      <c r="B14" s="3" t="s">
        <v>16</v>
      </c>
      <c r="C14" s="4" t="s">
        <v>40</v>
      </c>
      <c r="D14" s="5" t="s">
        <v>18</v>
      </c>
      <c r="E14" s="6" t="s">
        <v>19</v>
      </c>
      <c r="F14" s="7">
        <v>55161</v>
      </c>
      <c r="G14" s="7">
        <v>1323</v>
      </c>
      <c r="H14" s="8"/>
      <c r="I14" s="10" t="s">
        <v>20</v>
      </c>
      <c r="J14" s="10" t="s">
        <v>20</v>
      </c>
      <c r="K14" s="9">
        <v>0</v>
      </c>
      <c r="L14" s="9">
        <v>0</v>
      </c>
      <c r="M14" s="9">
        <v>0</v>
      </c>
      <c r="N14" s="7">
        <v>56484</v>
      </c>
      <c r="O14" s="7">
        <v>56484</v>
      </c>
      <c r="P14" s="8"/>
    </row>
    <row r="15" spans="1:16" x14ac:dyDescent="0.4">
      <c r="A15" s="2">
        <v>0</v>
      </c>
      <c r="B15" s="3" t="s">
        <v>16</v>
      </c>
      <c r="C15" s="4" t="s">
        <v>41</v>
      </c>
      <c r="D15" s="11" t="s">
        <v>42</v>
      </c>
      <c r="E15" s="6" t="s">
        <v>19</v>
      </c>
      <c r="F15" s="9">
        <v>0</v>
      </c>
      <c r="G15" s="9">
        <v>0</v>
      </c>
      <c r="H15" s="8"/>
      <c r="I15" s="10" t="s">
        <v>20</v>
      </c>
      <c r="J15" s="10" t="s">
        <v>20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8"/>
    </row>
    <row r="16" spans="1:16" x14ac:dyDescent="0.4">
      <c r="O16" s="12">
        <f>SUM(O2:O15)</f>
        <v>135063</v>
      </c>
    </row>
  </sheetData>
  <phoneticPr fontId="2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P2"/>
  <sheetViews>
    <sheetView workbookViewId="0"/>
  </sheetViews>
  <sheetFormatPr defaultRowHeight="17.399999999999999" x14ac:dyDescent="0.4"/>
  <cols>
    <col min="1" max="1" width="5.8984375" bestFit="1" customWidth="1"/>
    <col min="2" max="2" width="4.796875" bestFit="1" customWidth="1"/>
    <col min="4" max="4" width="6" bestFit="1" customWidth="1"/>
    <col min="5" max="5" width="4.796875" bestFit="1" customWidth="1"/>
    <col min="6" max="6" width="7.19921875" bestFit="1" customWidth="1"/>
    <col min="7" max="7" width="8.5" bestFit="1" customWidth="1"/>
    <col min="8" max="8" width="9.3984375" bestFit="1" customWidth="1"/>
    <col min="9" max="10" width="7.19921875" bestFit="1" customWidth="1"/>
    <col min="11" max="11" width="8.296875" bestFit="1" customWidth="1"/>
    <col min="12" max="12" width="8.19921875" bestFit="1" customWidth="1"/>
    <col min="13" max="14" width="7.296875" bestFit="1" customWidth="1"/>
    <col min="16" max="16" width="4.796875" bestFit="1" customWidth="1"/>
  </cols>
  <sheetData>
    <row r="1" spans="1:16" ht="31.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31.2" x14ac:dyDescent="0.4">
      <c r="A2" s="2">
        <v>10811</v>
      </c>
      <c r="B2" s="3" t="s">
        <v>43</v>
      </c>
      <c r="C2" s="4" t="s">
        <v>17</v>
      </c>
      <c r="D2" s="5" t="s">
        <v>18</v>
      </c>
      <c r="E2" s="6" t="s">
        <v>19</v>
      </c>
      <c r="F2" s="7">
        <v>27783</v>
      </c>
      <c r="G2" s="9">
        <v>0</v>
      </c>
      <c r="H2" s="8"/>
      <c r="I2" s="9" t="s">
        <v>28</v>
      </c>
      <c r="J2" s="10" t="s">
        <v>29</v>
      </c>
      <c r="K2" s="9">
        <v>0</v>
      </c>
      <c r="L2" s="9">
        <v>0</v>
      </c>
      <c r="M2" s="9">
        <v>0</v>
      </c>
      <c r="N2" s="7">
        <v>27783</v>
      </c>
      <c r="O2" s="7">
        <v>27783</v>
      </c>
      <c r="P2" s="8"/>
    </row>
  </sheetData>
  <phoneticPr fontId="2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P2"/>
  <sheetViews>
    <sheetView workbookViewId="0"/>
  </sheetViews>
  <sheetFormatPr defaultRowHeight="17.399999999999999" x14ac:dyDescent="0.4"/>
  <cols>
    <col min="1" max="1" width="5.8984375" bestFit="1" customWidth="1"/>
    <col min="2" max="2" width="9.3984375" bestFit="1" customWidth="1"/>
    <col min="3" max="3" width="8.09765625" bestFit="1" customWidth="1"/>
    <col min="4" max="4" width="6" bestFit="1" customWidth="1"/>
    <col min="5" max="5" width="4.796875" bestFit="1" customWidth="1"/>
    <col min="6" max="6" width="7.19921875" bestFit="1" customWidth="1"/>
    <col min="7" max="7" width="8.5" bestFit="1" customWidth="1"/>
    <col min="8" max="8" width="9.3984375" bestFit="1" customWidth="1"/>
    <col min="9" max="9" width="8.09765625" bestFit="1" customWidth="1"/>
    <col min="10" max="10" width="7.19921875" bestFit="1" customWidth="1"/>
    <col min="11" max="11" width="8.296875" bestFit="1" customWidth="1"/>
    <col min="12" max="12" width="8.19921875" bestFit="1" customWidth="1"/>
    <col min="13" max="14" width="7.296875" bestFit="1" customWidth="1"/>
    <col min="16" max="16" width="4.796875" bestFit="1" customWidth="1"/>
  </cols>
  <sheetData>
    <row r="1" spans="1:16" ht="31.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31.2" x14ac:dyDescent="0.4">
      <c r="A2" s="2">
        <v>10812</v>
      </c>
      <c r="B2" s="3" t="s">
        <v>44</v>
      </c>
      <c r="C2" s="4" t="s">
        <v>21</v>
      </c>
      <c r="D2" s="5" t="s">
        <v>18</v>
      </c>
      <c r="E2" s="6" t="s">
        <v>19</v>
      </c>
      <c r="F2" s="9">
        <v>243</v>
      </c>
      <c r="G2" s="9">
        <v>0</v>
      </c>
      <c r="H2" s="8"/>
      <c r="I2" s="9" t="s">
        <v>30</v>
      </c>
      <c r="J2" s="10" t="s">
        <v>29</v>
      </c>
      <c r="K2" s="9">
        <v>0</v>
      </c>
      <c r="L2" s="9">
        <v>0</v>
      </c>
      <c r="M2" s="9">
        <v>0</v>
      </c>
      <c r="N2" s="9">
        <v>243</v>
      </c>
      <c r="O2" s="9">
        <v>243</v>
      </c>
      <c r="P2" s="8"/>
    </row>
  </sheetData>
  <phoneticPr fontId="2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P2"/>
  <sheetViews>
    <sheetView workbookViewId="0"/>
  </sheetViews>
  <sheetFormatPr defaultRowHeight="17.399999999999999" x14ac:dyDescent="0.4"/>
  <cols>
    <col min="1" max="1" width="5.8984375" bestFit="1" customWidth="1"/>
    <col min="2" max="2" width="4.796875" bestFit="1" customWidth="1"/>
    <col min="3" max="3" width="8.19921875" bestFit="1" customWidth="1"/>
    <col min="4" max="4" width="6" bestFit="1" customWidth="1"/>
    <col min="5" max="5" width="4.796875" bestFit="1" customWidth="1"/>
    <col min="6" max="6" width="7.19921875" bestFit="1" customWidth="1"/>
    <col min="7" max="7" width="8.5" bestFit="1" customWidth="1"/>
    <col min="8" max="8" width="9.3984375" bestFit="1" customWidth="1"/>
    <col min="9" max="10" width="7.19921875" bestFit="1" customWidth="1"/>
    <col min="11" max="11" width="8.296875" bestFit="1" customWidth="1"/>
    <col min="12" max="12" width="8.19921875" bestFit="1" customWidth="1"/>
    <col min="13" max="14" width="7.296875" bestFit="1" customWidth="1"/>
    <col min="16" max="16" width="4.796875" bestFit="1" customWidth="1"/>
  </cols>
  <sheetData>
    <row r="1" spans="1:16" ht="31.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46.8" x14ac:dyDescent="0.4">
      <c r="A2" s="2">
        <v>10813</v>
      </c>
      <c r="B2" s="3" t="s">
        <v>45</v>
      </c>
      <c r="C2" s="4" t="s">
        <v>22</v>
      </c>
      <c r="D2" s="5" t="s">
        <v>18</v>
      </c>
      <c r="E2" s="6" t="s">
        <v>19</v>
      </c>
      <c r="F2" s="7">
        <v>1782</v>
      </c>
      <c r="G2" s="9">
        <v>0</v>
      </c>
      <c r="H2" s="8"/>
      <c r="I2" s="9" t="s">
        <v>31</v>
      </c>
      <c r="J2" s="10" t="s">
        <v>29</v>
      </c>
      <c r="K2" s="9">
        <v>0</v>
      </c>
      <c r="L2" s="9">
        <v>0</v>
      </c>
      <c r="M2" s="9">
        <v>0</v>
      </c>
      <c r="N2" s="7">
        <v>1782</v>
      </c>
      <c r="O2" s="7">
        <v>1782</v>
      </c>
      <c r="P2" s="8"/>
    </row>
  </sheetData>
  <phoneticPr fontId="2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P2"/>
  <sheetViews>
    <sheetView workbookViewId="0"/>
  </sheetViews>
  <sheetFormatPr defaultRowHeight="17.399999999999999" x14ac:dyDescent="0.4"/>
  <cols>
    <col min="1" max="1" width="5.8984375" bestFit="1" customWidth="1"/>
    <col min="2" max="2" width="8" bestFit="1" customWidth="1"/>
    <col min="3" max="3" width="8.19921875" bestFit="1" customWidth="1"/>
    <col min="4" max="4" width="6" bestFit="1" customWidth="1"/>
    <col min="5" max="5" width="4.796875" bestFit="1" customWidth="1"/>
    <col min="6" max="6" width="7.19921875" bestFit="1" customWidth="1"/>
    <col min="7" max="7" width="8.5" bestFit="1" customWidth="1"/>
    <col min="8" max="8" width="9.3984375" bestFit="1" customWidth="1"/>
    <col min="9" max="10" width="7.19921875" bestFit="1" customWidth="1"/>
    <col min="11" max="11" width="8.296875" bestFit="1" customWidth="1"/>
    <col min="12" max="12" width="8.19921875" bestFit="1" customWidth="1"/>
    <col min="13" max="14" width="7.296875" bestFit="1" customWidth="1"/>
    <col min="16" max="16" width="4.796875" bestFit="1" customWidth="1"/>
  </cols>
  <sheetData>
    <row r="1" spans="1:16" ht="31.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31.2" x14ac:dyDescent="0.4">
      <c r="A2" s="2">
        <v>10814</v>
      </c>
      <c r="B2" s="3" t="s">
        <v>46</v>
      </c>
      <c r="C2" s="4" t="s">
        <v>23</v>
      </c>
      <c r="D2" s="5" t="s">
        <v>18</v>
      </c>
      <c r="E2" s="6" t="s">
        <v>19</v>
      </c>
      <c r="F2" s="7">
        <v>10206</v>
      </c>
      <c r="G2" s="9">
        <v>0</v>
      </c>
      <c r="H2" s="8"/>
      <c r="I2" s="9" t="s">
        <v>32</v>
      </c>
      <c r="J2" s="10" t="s">
        <v>29</v>
      </c>
      <c r="K2" s="9">
        <v>0</v>
      </c>
      <c r="L2" s="9">
        <v>0</v>
      </c>
      <c r="M2" s="9">
        <v>0</v>
      </c>
      <c r="N2" s="7">
        <v>10206</v>
      </c>
      <c r="O2" s="7">
        <v>10206</v>
      </c>
      <c r="P2" s="8"/>
    </row>
  </sheetData>
  <phoneticPr fontId="2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P2"/>
  <sheetViews>
    <sheetView workbookViewId="0"/>
  </sheetViews>
  <sheetFormatPr defaultRowHeight="17.399999999999999" x14ac:dyDescent="0.4"/>
  <cols>
    <col min="1" max="1" width="5.8984375" bestFit="1" customWidth="1"/>
    <col min="2" max="2" width="8.3984375" bestFit="1" customWidth="1"/>
    <col min="4" max="4" width="6" bestFit="1" customWidth="1"/>
    <col min="5" max="5" width="4.796875" bestFit="1" customWidth="1"/>
    <col min="6" max="6" width="7.19921875" bestFit="1" customWidth="1"/>
    <col min="7" max="7" width="8.5" bestFit="1" customWidth="1"/>
    <col min="8" max="8" width="9.3984375" bestFit="1" customWidth="1"/>
    <col min="9" max="10" width="7.19921875" bestFit="1" customWidth="1"/>
    <col min="11" max="11" width="8.296875" bestFit="1" customWidth="1"/>
    <col min="12" max="12" width="8.19921875" bestFit="1" customWidth="1"/>
    <col min="13" max="14" width="7.296875" bestFit="1" customWidth="1"/>
    <col min="16" max="16" width="4.796875" bestFit="1" customWidth="1"/>
  </cols>
  <sheetData>
    <row r="1" spans="1:16" ht="31.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46.8" x14ac:dyDescent="0.4">
      <c r="A2" s="2">
        <v>10815</v>
      </c>
      <c r="B2" s="3" t="s">
        <v>48</v>
      </c>
      <c r="C2" s="4" t="s">
        <v>47</v>
      </c>
      <c r="D2" s="5" t="s">
        <v>18</v>
      </c>
      <c r="E2" s="6" t="s">
        <v>19</v>
      </c>
      <c r="F2" s="7">
        <v>4374</v>
      </c>
      <c r="G2" s="9">
        <v>0</v>
      </c>
      <c r="H2" s="8"/>
      <c r="I2" s="10" t="s">
        <v>20</v>
      </c>
      <c r="J2" s="10" t="s">
        <v>20</v>
      </c>
      <c r="K2" s="9">
        <v>0</v>
      </c>
      <c r="L2" s="9">
        <v>0</v>
      </c>
      <c r="M2" s="9">
        <v>0</v>
      </c>
      <c r="N2" s="7">
        <v>4374</v>
      </c>
      <c r="O2" s="7">
        <v>4374</v>
      </c>
      <c r="P2" s="8"/>
    </row>
  </sheetData>
  <phoneticPr fontId="2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P2"/>
  <sheetViews>
    <sheetView workbookViewId="0"/>
  </sheetViews>
  <sheetFormatPr defaultRowHeight="17.399999999999999" x14ac:dyDescent="0.4"/>
  <cols>
    <col min="1" max="1" width="5.8984375" bestFit="1" customWidth="1"/>
    <col min="2" max="2" width="4.796875" bestFit="1" customWidth="1"/>
    <col min="4" max="4" width="6" bestFit="1" customWidth="1"/>
    <col min="5" max="5" width="4.796875" bestFit="1" customWidth="1"/>
    <col min="6" max="6" width="7.19921875" bestFit="1" customWidth="1"/>
    <col min="7" max="7" width="8.5" bestFit="1" customWidth="1"/>
    <col min="8" max="8" width="9.3984375" bestFit="1" customWidth="1"/>
    <col min="9" max="10" width="7.19921875" bestFit="1" customWidth="1"/>
    <col min="11" max="11" width="8.296875" bestFit="1" customWidth="1"/>
    <col min="12" max="12" width="8.19921875" bestFit="1" customWidth="1"/>
    <col min="13" max="14" width="7.296875" bestFit="1" customWidth="1"/>
    <col min="16" max="16" width="4.796875" bestFit="1" customWidth="1"/>
  </cols>
  <sheetData>
    <row r="1" spans="1:16" ht="31.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31.2" x14ac:dyDescent="0.4">
      <c r="A2" s="2">
        <v>10816</v>
      </c>
      <c r="B2" s="3" t="s">
        <v>49</v>
      </c>
      <c r="C2" s="4" t="s">
        <v>24</v>
      </c>
      <c r="D2" s="5" t="s">
        <v>18</v>
      </c>
      <c r="E2" s="6" t="s">
        <v>19</v>
      </c>
      <c r="F2" s="7">
        <v>39366</v>
      </c>
      <c r="G2" s="9">
        <v>0</v>
      </c>
      <c r="H2" s="8"/>
      <c r="I2" s="9" t="s">
        <v>33</v>
      </c>
      <c r="J2" s="10" t="s">
        <v>29</v>
      </c>
      <c r="K2" s="9">
        <v>0</v>
      </c>
      <c r="L2" s="9">
        <v>0</v>
      </c>
      <c r="M2" s="9">
        <v>0</v>
      </c>
      <c r="N2" s="7">
        <v>39366</v>
      </c>
      <c r="O2" s="7">
        <v>39366</v>
      </c>
      <c r="P2" s="8"/>
    </row>
  </sheetData>
  <phoneticPr fontId="2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P2"/>
  <sheetViews>
    <sheetView workbookViewId="0"/>
  </sheetViews>
  <sheetFormatPr defaultRowHeight="17.399999999999999" x14ac:dyDescent="0.4"/>
  <cols>
    <col min="1" max="1" width="5.8984375" bestFit="1" customWidth="1"/>
    <col min="2" max="2" width="6.5" bestFit="1" customWidth="1"/>
    <col min="4" max="4" width="6" bestFit="1" customWidth="1"/>
    <col min="5" max="5" width="4.796875" bestFit="1" customWidth="1"/>
    <col min="6" max="6" width="7.19921875" bestFit="1" customWidth="1"/>
    <col min="7" max="7" width="8.5" bestFit="1" customWidth="1"/>
    <col min="8" max="8" width="9.3984375" bestFit="1" customWidth="1"/>
    <col min="9" max="10" width="7.19921875" bestFit="1" customWidth="1"/>
    <col min="11" max="11" width="8.296875" bestFit="1" customWidth="1"/>
    <col min="12" max="12" width="8.19921875" bestFit="1" customWidth="1"/>
    <col min="13" max="14" width="7.296875" bestFit="1" customWidth="1"/>
    <col min="16" max="16" width="4.796875" bestFit="1" customWidth="1"/>
  </cols>
  <sheetData>
    <row r="1" spans="1:16" ht="31.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31.2" x14ac:dyDescent="0.4">
      <c r="A2" s="2">
        <v>10818</v>
      </c>
      <c r="B2" s="3" t="s">
        <v>50</v>
      </c>
      <c r="C2" s="4" t="s">
        <v>25</v>
      </c>
      <c r="D2" s="5" t="s">
        <v>18</v>
      </c>
      <c r="E2" s="6" t="s">
        <v>19</v>
      </c>
      <c r="F2" s="7">
        <v>15876</v>
      </c>
      <c r="G2" s="7">
        <v>3276</v>
      </c>
      <c r="H2" s="8"/>
      <c r="I2" s="9" t="s">
        <v>34</v>
      </c>
      <c r="J2" s="10" t="s">
        <v>29</v>
      </c>
      <c r="K2" s="9">
        <v>0</v>
      </c>
      <c r="L2" s="9">
        <v>0</v>
      </c>
      <c r="M2" s="9">
        <v>0</v>
      </c>
      <c r="N2" s="7">
        <v>19152</v>
      </c>
      <c r="O2" s="7">
        <v>19152</v>
      </c>
      <c r="P2" s="8"/>
    </row>
  </sheetData>
  <phoneticPr fontId="2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P2"/>
  <sheetViews>
    <sheetView workbookViewId="0"/>
  </sheetViews>
  <sheetFormatPr defaultRowHeight="17.399999999999999" x14ac:dyDescent="0.4"/>
  <cols>
    <col min="1" max="1" width="5.8984375" bestFit="1" customWidth="1"/>
    <col min="2" max="2" width="8.19921875" bestFit="1" customWidth="1"/>
    <col min="3" max="3" width="8.59765625" bestFit="1" customWidth="1"/>
    <col min="4" max="4" width="6" bestFit="1" customWidth="1"/>
    <col min="5" max="5" width="4.796875" bestFit="1" customWidth="1"/>
    <col min="6" max="6" width="7.19921875" bestFit="1" customWidth="1"/>
    <col min="7" max="7" width="8.5" bestFit="1" customWidth="1"/>
    <col min="8" max="8" width="9.3984375" bestFit="1" customWidth="1"/>
    <col min="9" max="9" width="8.09765625" bestFit="1" customWidth="1"/>
    <col min="10" max="10" width="7.19921875" bestFit="1" customWidth="1"/>
    <col min="11" max="11" width="8.296875" bestFit="1" customWidth="1"/>
    <col min="12" max="12" width="8.19921875" bestFit="1" customWidth="1"/>
    <col min="13" max="14" width="7.296875" bestFit="1" customWidth="1"/>
    <col min="16" max="16" width="4.796875" bestFit="1" customWidth="1"/>
  </cols>
  <sheetData>
    <row r="1" spans="1:16" ht="31.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46.8" x14ac:dyDescent="0.4">
      <c r="A2" s="2">
        <v>10819</v>
      </c>
      <c r="B2" s="3" t="s">
        <v>51</v>
      </c>
      <c r="C2" s="4" t="s">
        <v>26</v>
      </c>
      <c r="D2" s="5" t="s">
        <v>18</v>
      </c>
      <c r="E2" s="6" t="s">
        <v>19</v>
      </c>
      <c r="F2" s="7">
        <v>23166</v>
      </c>
      <c r="G2" s="7">
        <v>2583</v>
      </c>
      <c r="H2" s="8"/>
      <c r="I2" s="9" t="s">
        <v>35</v>
      </c>
      <c r="J2" s="10" t="s">
        <v>29</v>
      </c>
      <c r="K2" s="9">
        <v>0</v>
      </c>
      <c r="L2" s="9">
        <v>0</v>
      </c>
      <c r="M2" s="9">
        <v>0</v>
      </c>
      <c r="N2" s="7">
        <v>25749</v>
      </c>
      <c r="O2" s="7">
        <v>25749</v>
      </c>
      <c r="P2" s="8"/>
    </row>
  </sheetData>
  <phoneticPr fontId="2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P2"/>
  <sheetViews>
    <sheetView workbookViewId="0"/>
  </sheetViews>
  <sheetFormatPr defaultRowHeight="17.399999999999999" x14ac:dyDescent="0.4"/>
  <cols>
    <col min="1" max="1" width="5.8984375" bestFit="1" customWidth="1"/>
    <col min="2" max="2" width="8.19921875" bestFit="1" customWidth="1"/>
    <col min="4" max="4" width="6" bestFit="1" customWidth="1"/>
    <col min="5" max="5" width="4.796875" bestFit="1" customWidth="1"/>
    <col min="6" max="6" width="7.19921875" bestFit="1" customWidth="1"/>
    <col min="7" max="7" width="8.5" bestFit="1" customWidth="1"/>
    <col min="8" max="8" width="9.3984375" bestFit="1" customWidth="1"/>
    <col min="9" max="9" width="8.09765625" bestFit="1" customWidth="1"/>
    <col min="10" max="10" width="7.19921875" bestFit="1" customWidth="1"/>
    <col min="11" max="11" width="8.296875" bestFit="1" customWidth="1"/>
    <col min="12" max="12" width="8.19921875" bestFit="1" customWidth="1"/>
    <col min="13" max="14" width="7.296875" bestFit="1" customWidth="1"/>
    <col min="16" max="16" width="4.796875" bestFit="1" customWidth="1"/>
  </cols>
  <sheetData>
    <row r="1" spans="1:16" ht="31.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46.8" x14ac:dyDescent="0.4">
      <c r="A2" s="2">
        <v>10822</v>
      </c>
      <c r="B2" s="3" t="s">
        <v>52</v>
      </c>
      <c r="C2" s="4" t="s">
        <v>27</v>
      </c>
      <c r="D2" s="5" t="s">
        <v>18</v>
      </c>
      <c r="E2" s="6" t="s">
        <v>19</v>
      </c>
      <c r="F2" s="9">
        <v>162</v>
      </c>
      <c r="G2" s="9">
        <v>0</v>
      </c>
      <c r="H2" s="8"/>
      <c r="I2" s="9" t="s">
        <v>36</v>
      </c>
      <c r="J2" s="10" t="s">
        <v>29</v>
      </c>
      <c r="K2" s="9">
        <v>0</v>
      </c>
      <c r="L2" s="9">
        <v>0</v>
      </c>
      <c r="M2" s="9">
        <v>0</v>
      </c>
      <c r="N2" s="9">
        <v>162</v>
      </c>
      <c r="O2" s="9">
        <v>162</v>
      </c>
      <c r="P2" s="8"/>
    </row>
  </sheetData>
  <phoneticPr fontId="2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P3"/>
  <sheetViews>
    <sheetView workbookViewId="0"/>
  </sheetViews>
  <sheetFormatPr defaultRowHeight="17.399999999999999" x14ac:dyDescent="0.4"/>
  <cols>
    <col min="1" max="1" width="5.8984375" bestFit="1" customWidth="1"/>
    <col min="2" max="2" width="8.09765625" bestFit="1" customWidth="1"/>
    <col min="4" max="4" width="6" bestFit="1" customWidth="1"/>
    <col min="5" max="5" width="4.796875" bestFit="1" customWidth="1"/>
    <col min="6" max="6" width="7.19921875" bestFit="1" customWidth="1"/>
    <col min="7" max="7" width="8.5" bestFit="1" customWidth="1"/>
    <col min="8" max="8" width="9.3984375" bestFit="1" customWidth="1"/>
    <col min="9" max="10" width="7.19921875" bestFit="1" customWidth="1"/>
    <col min="11" max="11" width="8.296875" bestFit="1" customWidth="1"/>
    <col min="12" max="12" width="8.19921875" bestFit="1" customWidth="1"/>
    <col min="13" max="14" width="7.296875" bestFit="1" customWidth="1"/>
    <col min="16" max="16" width="4.796875" bestFit="1" customWidth="1"/>
  </cols>
  <sheetData>
    <row r="1" spans="1:16" ht="31.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62.4" x14ac:dyDescent="0.4">
      <c r="A2" s="2">
        <v>10884</v>
      </c>
      <c r="B2" s="3" t="s">
        <v>53</v>
      </c>
      <c r="C2" s="4" t="s">
        <v>37</v>
      </c>
      <c r="D2" s="5" t="s">
        <v>18</v>
      </c>
      <c r="E2" s="6" t="s">
        <v>19</v>
      </c>
      <c r="F2" s="9">
        <v>0</v>
      </c>
      <c r="G2" s="9">
        <v>0</v>
      </c>
      <c r="H2" s="8"/>
      <c r="I2" s="10" t="s">
        <v>20</v>
      </c>
      <c r="J2" s="10" t="s">
        <v>20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8"/>
    </row>
    <row r="3" spans="1:16" ht="31.2" x14ac:dyDescent="0.4">
      <c r="A3" s="2">
        <v>10885</v>
      </c>
      <c r="B3" s="3" t="s">
        <v>54</v>
      </c>
      <c r="C3" s="4" t="s">
        <v>38</v>
      </c>
      <c r="D3" s="5" t="s">
        <v>18</v>
      </c>
      <c r="E3" s="6" t="s">
        <v>19</v>
      </c>
      <c r="F3" s="9">
        <v>0</v>
      </c>
      <c r="G3" s="9">
        <v>0</v>
      </c>
      <c r="H3" s="8"/>
      <c r="I3" s="10" t="s">
        <v>20</v>
      </c>
      <c r="J3" s="10" t="s">
        <v>20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8"/>
    </row>
  </sheetData>
  <phoneticPr fontId="2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P3"/>
  <sheetViews>
    <sheetView workbookViewId="0"/>
  </sheetViews>
  <sheetFormatPr defaultRowHeight="17.399999999999999" x14ac:dyDescent="0.4"/>
  <cols>
    <col min="1" max="1" width="5.8984375" bestFit="1" customWidth="1"/>
    <col min="2" max="3" width="8.19921875" bestFit="1" customWidth="1"/>
    <col min="4" max="4" width="6" bestFit="1" customWidth="1"/>
    <col min="5" max="5" width="4.796875" bestFit="1" customWidth="1"/>
    <col min="6" max="6" width="7.19921875" bestFit="1" customWidth="1"/>
    <col min="7" max="7" width="8.5" bestFit="1" customWidth="1"/>
    <col min="8" max="8" width="9.3984375" bestFit="1" customWidth="1"/>
    <col min="9" max="10" width="7.19921875" bestFit="1" customWidth="1"/>
    <col min="11" max="11" width="8.296875" bestFit="1" customWidth="1"/>
    <col min="12" max="12" width="8.19921875" bestFit="1" customWidth="1"/>
    <col min="13" max="14" width="7.296875" bestFit="1" customWidth="1"/>
    <col min="16" max="16" width="4.796875" bestFit="1" customWidth="1"/>
  </cols>
  <sheetData>
    <row r="1" spans="1:16" ht="31.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31.2" x14ac:dyDescent="0.4">
      <c r="A2" s="2">
        <v>10886</v>
      </c>
      <c r="B2" s="3" t="s">
        <v>55</v>
      </c>
      <c r="C2" s="4" t="s">
        <v>39</v>
      </c>
      <c r="D2" s="5" t="s">
        <v>18</v>
      </c>
      <c r="E2" s="6" t="s">
        <v>19</v>
      </c>
      <c r="F2" s="9">
        <v>0</v>
      </c>
      <c r="G2" s="9">
        <v>0</v>
      </c>
      <c r="H2" s="8"/>
      <c r="I2" s="10" t="s">
        <v>20</v>
      </c>
      <c r="J2" s="10" t="s">
        <v>20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8"/>
    </row>
    <row r="3" spans="1:16" ht="31.2" x14ac:dyDescent="0.4">
      <c r="A3" s="2">
        <v>10887</v>
      </c>
      <c r="B3" s="3" t="s">
        <v>55</v>
      </c>
      <c r="C3" s="4" t="s">
        <v>40</v>
      </c>
      <c r="D3" s="5" t="s">
        <v>18</v>
      </c>
      <c r="E3" s="6" t="s">
        <v>19</v>
      </c>
      <c r="F3" s="9">
        <v>0</v>
      </c>
      <c r="G3" s="9">
        <v>0</v>
      </c>
      <c r="H3" s="8"/>
      <c r="I3" s="10" t="s">
        <v>20</v>
      </c>
      <c r="J3" s="10" t="s">
        <v>20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8"/>
    </row>
  </sheetData>
  <phoneticPr fontId="24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P2"/>
  <sheetViews>
    <sheetView workbookViewId="0"/>
  </sheetViews>
  <sheetFormatPr defaultRowHeight="17.399999999999999" x14ac:dyDescent="0.4"/>
  <cols>
    <col min="1" max="1" width="2.3984375" bestFit="1" customWidth="1"/>
    <col min="2" max="2" width="6" bestFit="1" customWidth="1"/>
    <col min="4" max="4" width="6" bestFit="1" customWidth="1"/>
    <col min="5" max="5" width="4.796875" bestFit="1" customWidth="1"/>
    <col min="6" max="6" width="7.19921875" bestFit="1" customWidth="1"/>
    <col min="7" max="7" width="8.5" bestFit="1" customWidth="1"/>
    <col min="8" max="8" width="9.3984375" bestFit="1" customWidth="1"/>
    <col min="9" max="10" width="7.19921875" bestFit="1" customWidth="1"/>
    <col min="11" max="11" width="8.296875" bestFit="1" customWidth="1"/>
    <col min="12" max="12" width="8.19921875" bestFit="1" customWidth="1"/>
    <col min="13" max="14" width="7.296875" bestFit="1" customWidth="1"/>
    <col min="16" max="16" width="4.796875" bestFit="1" customWidth="1"/>
  </cols>
  <sheetData>
    <row r="1" spans="1:16" ht="31.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31.2" x14ac:dyDescent="0.4">
      <c r="A2" s="2">
        <v>0</v>
      </c>
      <c r="B2" s="3" t="s">
        <v>16</v>
      </c>
      <c r="C2" s="4" t="s">
        <v>41</v>
      </c>
      <c r="D2" s="11" t="s">
        <v>42</v>
      </c>
      <c r="E2" s="6" t="s">
        <v>19</v>
      </c>
      <c r="F2" s="9">
        <v>0</v>
      </c>
      <c r="G2" s="9">
        <v>0</v>
      </c>
      <c r="H2" s="8"/>
      <c r="I2" s="10" t="s">
        <v>20</v>
      </c>
      <c r="J2" s="10" t="s">
        <v>20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8"/>
    </row>
  </sheetData>
  <phoneticPr fontId="2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13</vt:i4>
      </vt:variant>
      <vt:variant>
        <vt:lpstr>이름이 지정된 범위</vt:lpstr>
      </vt:variant>
      <vt:variant>
        <vt:i4>12</vt:i4>
      </vt:variant>
    </vt:vector>
  </HeadingPairs>
  <TitlesOfParts>
    <vt:vector size="25" baseType="lpstr">
      <vt:lpstr>합계(3)</vt:lpstr>
      <vt:lpstr>혜원</vt:lpstr>
      <vt:lpstr>ZHUPI.YANGXUETU</vt:lpstr>
      <vt:lpstr>Lv</vt:lpstr>
      <vt:lpstr>Hujing×Luojie</vt:lpstr>
      <vt:lpstr>Ice×FANFAN COMIC</vt:lpstr>
      <vt:lpstr>건일</vt:lpstr>
      <vt:lpstr>수정과</vt:lpstr>
      <vt:lpstr>원기공장</vt:lpstr>
      <vt:lpstr>IvyeqianheXyouzhijiaozi</vt:lpstr>
      <vt:lpstr>Linksure</vt:lpstr>
      <vt:lpstr>구디스튜디오</vt:lpstr>
      <vt:lpstr>(한국)</vt:lpstr>
      <vt:lpstr>'(한국)'!Extract</vt:lpstr>
      <vt:lpstr>Hujing×Luojie!Extract</vt:lpstr>
      <vt:lpstr>'Ice×FANFAN COMIC'!Extract</vt:lpstr>
      <vt:lpstr>IvyeqianheXyouzhijiaozi!Extract</vt:lpstr>
      <vt:lpstr>Linksure!Extract</vt:lpstr>
      <vt:lpstr>Lv!Extract</vt:lpstr>
      <vt:lpstr>ZHUPI.YANGXUETU!Extract</vt:lpstr>
      <vt:lpstr>건일!Extract</vt:lpstr>
      <vt:lpstr>구디스튜디오!Extract</vt:lpstr>
      <vt:lpstr>수정과!Extract</vt:lpstr>
      <vt:lpstr>원기공장!Extract</vt:lpstr>
      <vt:lpstr>혜원!Extract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2022-03-17T03:08:01Z</dcterms:created>
  <dcterms:modified xsi:type="dcterms:W3CDTF">2022-06-09T06:47:29Z</dcterms:modified>
</cp:coreProperties>
</file>