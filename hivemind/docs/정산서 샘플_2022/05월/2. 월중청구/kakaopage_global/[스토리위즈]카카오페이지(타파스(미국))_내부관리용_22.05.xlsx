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kakaopage_global\"/>
    </mc:Choice>
  </mc:AlternateContent>
  <bookViews>
    <workbookView xWindow="0" yWindow="0" windowWidth="15504" windowHeight="9588"/>
  </bookViews>
  <sheets>
    <sheet name="종합" sheetId="1" r:id="rId1"/>
    <sheet name="월별 매출(회귀의 전설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AA3" i="2" l="1"/>
  <c r="Z3" i="2"/>
  <c r="V3" i="2"/>
  <c r="R3" i="2"/>
  <c r="P3" i="2"/>
  <c r="O3" i="2"/>
  <c r="K3" i="2"/>
</calcChain>
</file>

<file path=xl/sharedStrings.xml><?xml version="1.0" encoding="utf-8"?>
<sst xmlns="http://schemas.openxmlformats.org/spreadsheetml/2006/main" count="65" uniqueCount="64">
  <si>
    <t>기본정보</t>
    <phoneticPr fontId="2" type="noConversion"/>
  </si>
  <si>
    <t>매출내역</t>
    <phoneticPr fontId="2" type="noConversion"/>
  </si>
  <si>
    <t>런칭일</t>
    <phoneticPr fontId="2" type="noConversion"/>
  </si>
  <si>
    <t>작품명</t>
    <phoneticPr fontId="2" type="noConversion"/>
  </si>
  <si>
    <t>MG</t>
    <phoneticPr fontId="2" type="noConversion"/>
  </si>
  <si>
    <t>계산서발행</t>
    <phoneticPr fontId="2" type="noConversion"/>
  </si>
  <si>
    <t>월별 매출 정산내역</t>
    <phoneticPr fontId="2" type="noConversion"/>
  </si>
  <si>
    <t>TOTAL</t>
    <phoneticPr fontId="2" type="noConversion"/>
  </si>
  <si>
    <t>만화</t>
  </si>
  <si>
    <t>X</t>
    <phoneticPr fontId="2" type="noConversion"/>
  </si>
  <si>
    <t>구분(판매월)</t>
    <phoneticPr fontId="2" type="noConversion"/>
  </si>
  <si>
    <t>카카오페이지 글로벌(타파스(미국))</t>
    <phoneticPr fontId="2" type="noConversion"/>
  </si>
  <si>
    <t>매출월: M
정산서 전달: 20일~25일
실제 정산(세금계산서 발행): 분기매출+익월 계산서발행, 익익월 대금정산(221Q → 4월 정산, 5월대금입금)
입금일: M+3월 말일
기타: 세금계산서 발행 (면세사업자X)
RS: 카카오페이지 순매출의 28%</t>
    <phoneticPr fontId="2" type="noConversion"/>
  </si>
  <si>
    <t>The Legendary Return
(회귀의 전설)</t>
    <phoneticPr fontId="2" type="noConversion"/>
  </si>
  <si>
    <t>2022.04.05</t>
    <phoneticPr fontId="2" type="noConversion"/>
  </si>
  <si>
    <t>순번</t>
    <phoneticPr fontId="2" type="noConversion"/>
  </si>
  <si>
    <t>판매분기</t>
    <phoneticPr fontId="2" type="noConversion"/>
  </si>
  <si>
    <t>판매월</t>
    <phoneticPr fontId="2" type="noConversion"/>
  </si>
  <si>
    <t>RS%</t>
    <phoneticPr fontId="2" type="noConversion"/>
  </si>
  <si>
    <t>정산금
(USD,세전)</t>
    <phoneticPr fontId="2" type="noConversion"/>
  </si>
  <si>
    <t>정산금
(USD,세후)</t>
    <phoneticPr fontId="2" type="noConversion"/>
  </si>
  <si>
    <t>MG
환율</t>
    <phoneticPr fontId="2" type="noConversion"/>
  </si>
  <si>
    <t>차감MG
(타파스)</t>
    <phoneticPr fontId="2" type="noConversion"/>
  </si>
  <si>
    <t>작품명
(현지언어)</t>
    <phoneticPr fontId="2" type="noConversion"/>
  </si>
  <si>
    <t>구분</t>
    <phoneticPr fontId="2" type="noConversion"/>
  </si>
  <si>
    <t>거래액
(USD)</t>
    <phoneticPr fontId="2" type="noConversion"/>
  </si>
  <si>
    <t>결제수수료
(USD)</t>
    <phoneticPr fontId="2" type="noConversion"/>
  </si>
  <si>
    <t>잔여MG
(USD,세후)</t>
    <phoneticPr fontId="2" type="noConversion"/>
  </si>
  <si>
    <t>RS
환율</t>
    <phoneticPr fontId="2" type="noConversion"/>
  </si>
  <si>
    <t>정산금
(원화,세후)</t>
    <phoneticPr fontId="2" type="noConversion"/>
  </si>
  <si>
    <r>
      <t>추가MG
(</t>
    </r>
    <r>
      <rPr>
        <b/>
        <sz val="9"/>
        <color theme="1" tint="0.249977111117893"/>
        <rFont val="맑은 고딕"/>
        <family val="3"/>
        <charset val="129"/>
        <scheme val="minor"/>
      </rPr>
      <t>타파스</t>
    </r>
    <r>
      <rPr>
        <sz val="9"/>
        <color theme="1" tint="0.249977111117893"/>
        <rFont val="맑은 고딕"/>
        <family val="3"/>
        <charset val="129"/>
        <scheme val="minor"/>
      </rPr>
      <t>)</t>
    </r>
    <phoneticPr fontId="2" type="noConversion"/>
  </si>
  <si>
    <t>비고</t>
    <phoneticPr fontId="2" type="noConversion"/>
  </si>
  <si>
    <t>카테
고리</t>
    <phoneticPr fontId="2" type="noConversion"/>
  </si>
  <si>
    <t>오픈일자</t>
    <phoneticPr fontId="2" type="noConversion"/>
  </si>
  <si>
    <t>통화</t>
    <phoneticPr fontId="2" type="noConversion"/>
  </si>
  <si>
    <t>KE매출액
(USD)</t>
    <phoneticPr fontId="2" type="noConversion"/>
  </si>
  <si>
    <t>국외원천세
(USD,10%)</t>
    <phoneticPr fontId="2" type="noConversion"/>
  </si>
  <si>
    <t>기초MG
(USD,세후)</t>
    <phoneticPr fontId="2" type="noConversion"/>
  </si>
  <si>
    <r>
      <t xml:space="preserve">추가MG
(USD,세후)
</t>
    </r>
    <r>
      <rPr>
        <b/>
        <sz val="9"/>
        <color rgb="FF002060"/>
        <rFont val="맑은 고딕"/>
        <family val="3"/>
        <charset val="129"/>
        <scheme val="minor"/>
      </rPr>
      <t>타파스</t>
    </r>
    <phoneticPr fontId="2" type="noConversion"/>
  </si>
  <si>
    <t>공제MG
(USD,세후)</t>
    <phoneticPr fontId="2" type="noConversion"/>
  </si>
  <si>
    <t>기초MG
(원화,세후)</t>
    <phoneticPr fontId="2" type="noConversion"/>
  </si>
  <si>
    <r>
      <t>추가MG
(</t>
    </r>
    <r>
      <rPr>
        <b/>
        <sz val="9"/>
        <color theme="1" tint="0.249977111117893"/>
        <rFont val="맑은 고딕"/>
        <family val="3"/>
        <charset val="129"/>
        <scheme val="minor"/>
      </rPr>
      <t>글로벌</t>
    </r>
    <r>
      <rPr>
        <sz val="9"/>
        <color theme="1" tint="0.249977111117893"/>
        <rFont val="맑은 고딕"/>
        <family val="3"/>
        <charset val="129"/>
        <scheme val="minor"/>
      </rPr>
      <t>)</t>
    </r>
    <phoneticPr fontId="2" type="noConversion"/>
  </si>
  <si>
    <t>차감MG
(글로벌)
정산금 미포함</t>
    <phoneticPr fontId="2" type="noConversion"/>
  </si>
  <si>
    <t>잔여MG
(원화,세후)</t>
    <phoneticPr fontId="2" type="noConversion"/>
  </si>
  <si>
    <t>초과RS
(원화,세후)</t>
    <phoneticPr fontId="2" type="noConversion"/>
  </si>
  <si>
    <t>회귀의 전설</t>
  </si>
  <si>
    <t>The Legendary Return</t>
  </si>
  <si>
    <t>2022.04월</t>
  </si>
  <si>
    <t>총매출</t>
  </si>
  <si>
    <t>2022.2Q</t>
  </si>
  <si>
    <t>USD</t>
  </si>
  <si>
    <t>기초정보</t>
    <phoneticPr fontId="2" type="noConversion"/>
  </si>
  <si>
    <t>플랫폼 거래액, KE 매출액</t>
    <phoneticPr fontId="2" type="noConversion"/>
  </si>
  <si>
    <t>발행처 정산금</t>
    <phoneticPr fontId="2" type="noConversion"/>
  </si>
  <si>
    <t>MG 지급 / 공제</t>
    <phoneticPr fontId="2" type="noConversion"/>
  </si>
  <si>
    <t>비고</t>
    <phoneticPr fontId="2" type="noConversion"/>
  </si>
  <si>
    <t xml:space="preserve">거래액
(USD) </t>
  </si>
  <si>
    <t xml:space="preserve"> 결제수수료</t>
  </si>
  <si>
    <t xml:space="preserve"> KE매출액</t>
  </si>
  <si>
    <t xml:space="preserve"> RS%</t>
  </si>
  <si>
    <t>CP정산금
(USD,세후)</t>
  </si>
  <si>
    <t>매출연동비</t>
  </si>
  <si>
    <t>차감MG</t>
  </si>
  <si>
    <t xml:space="preserve">초과RS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</si>
</sst>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0_);[Red]\(0\)"/>
    <numFmt numFmtId="177" formatCode="#,##0.0000_ ;[Red]\-#,##0.0000\ "/>
    <numFmt numFmtId="178" formatCode="#,##0.0_ ;[Red]\-#,##0.0\ "/>
    <numFmt numFmtId="179" formatCode="#,##0_ ;[Red]\-#,##0\ "/>
    <numFmt numFmtId="180" formatCode="yyyy&quot;/&quot;mm&quot;/&quot;dd\ aaa"/>
    <numFmt numFmtId="181" formatCode="yyyy&quot;년&quot;\ mm&quot;월&quot;;@"/>
    <numFmt numFmtId="182" formatCode="_(* #,##0_);_(* \(#,##0\);_(* &quot;-&quot;_);_(@_)"/>
    <numFmt numFmtId="183" formatCode="yyyy/mm/dd\ aaa"/>
    <numFmt numFmtId="184" formatCode="_-* #,##0.00_-;\-* #,##0.00_-;_-* &quot;-&quot;_-;_-@_-"/>
    <numFmt numFmtId="185" formatCode="_(* #,##0.00_);_(* \(#,##0.00\);_(* &quot;-&quot;??_);_(@_)"/>
    <numFmt numFmtId="186" formatCode="0.0%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rgb="FF404040"/>
      <name val="맑은 고딕"/>
      <family val="3"/>
      <charset val="129"/>
    </font>
    <font>
      <b/>
      <sz val="9"/>
      <color rgb="FF00206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E6EAEE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EAEE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3F5FB"/>
        <bgColor rgb="FF000000"/>
      </patternFill>
    </fill>
    <fill>
      <patternFill patternType="solid">
        <fgColor rgb="FFFFF3F3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40404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404040"/>
      </right>
      <top style="thin">
        <color rgb="FFD9D9D9"/>
      </top>
      <bottom style="thin">
        <color rgb="FFD9D9D9"/>
      </bottom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1" tint="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1" tint="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1" tint="0.24994659260841701"/>
      </top>
      <bottom style="thin">
        <color theme="0" tint="-0.1499679555650502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14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</cellStyleXfs>
  <cellXfs count="7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Fill="1" applyAlignment="1" applyProtection="1">
      <alignment horizontal="center" vertical="center"/>
      <protection locked="0"/>
    </xf>
    <xf numFmtId="178" fontId="8" fillId="0" borderId="0" xfId="3" applyNumberFormat="1" applyFont="1" applyFill="1" applyAlignment="1" applyProtection="1">
      <alignment horizontal="center" vertical="center" shrinkToFit="1"/>
      <protection locked="0"/>
    </xf>
    <xf numFmtId="176" fontId="8" fillId="0" borderId="0" xfId="0" applyNumberFormat="1" applyFont="1" applyFill="1" applyAlignment="1" applyProtection="1">
      <alignment horizontal="center" vertical="center"/>
      <protection locked="0"/>
    </xf>
    <xf numFmtId="180" fontId="8" fillId="0" borderId="0" xfId="0" applyNumberFormat="1" applyFont="1" applyFill="1" applyAlignment="1" applyProtection="1">
      <alignment horizontal="center" vertical="center"/>
      <protection locked="0"/>
    </xf>
    <xf numFmtId="177" fontId="8" fillId="0" borderId="0" xfId="3" applyNumberFormat="1" applyFont="1" applyFill="1" applyAlignment="1" applyProtection="1">
      <alignment horizontal="center" vertical="center" shrinkToFit="1"/>
      <protection locked="0"/>
    </xf>
    <xf numFmtId="9" fontId="8" fillId="0" borderId="0" xfId="3" applyFont="1" applyFill="1" applyAlignment="1" applyProtection="1">
      <alignment horizontal="center" vertical="center" shrinkToFit="1"/>
      <protection locked="0"/>
    </xf>
    <xf numFmtId="179" fontId="8" fillId="0" borderId="0" xfId="3" applyNumberFormat="1" applyFont="1" applyFill="1" applyAlignment="1" applyProtection="1">
      <alignment horizontal="center" vertical="center" shrinkToFit="1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176" fontId="11" fillId="3" borderId="2" xfId="0" applyNumberFormat="1" applyFont="1" applyFill="1" applyBorder="1" applyAlignment="1" applyProtection="1">
      <alignment horizontal="center" vertical="center"/>
      <protection locked="0"/>
    </xf>
    <xf numFmtId="181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180" fontId="11" fillId="3" borderId="3" xfId="0" applyNumberFormat="1" applyFont="1" applyFill="1" applyBorder="1" applyAlignment="1" applyProtection="1">
      <alignment horizontal="center" vertical="center"/>
      <protection locked="0"/>
    </xf>
    <xf numFmtId="178" fontId="11" fillId="3" borderId="3" xfId="4" applyNumberFormat="1" applyFont="1" applyFill="1" applyBorder="1" applyAlignment="1" applyProtection="1">
      <alignment horizontal="right" vertical="center" shrinkToFit="1"/>
      <protection locked="0"/>
    </xf>
    <xf numFmtId="177" fontId="11" fillId="3" borderId="3" xfId="4" applyNumberFormat="1" applyFont="1" applyFill="1" applyBorder="1" applyAlignment="1" applyProtection="1">
      <alignment horizontal="center" vertical="center" shrinkToFit="1"/>
      <protection locked="0"/>
    </xf>
    <xf numFmtId="9" fontId="11" fillId="3" borderId="3" xfId="3" applyFont="1" applyFill="1" applyBorder="1" applyAlignment="1" applyProtection="1">
      <alignment horizontal="right" vertical="center" shrinkToFit="1"/>
      <protection locked="0"/>
    </xf>
    <xf numFmtId="179" fontId="11" fillId="3" borderId="3" xfId="4" applyNumberFormat="1" applyFont="1" applyFill="1" applyBorder="1" applyAlignment="1" applyProtection="1">
      <alignment horizontal="right" vertical="center" shrinkToFit="1"/>
      <protection locked="0"/>
    </xf>
    <xf numFmtId="9" fontId="11" fillId="3" borderId="3" xfId="3" applyFont="1" applyFill="1" applyBorder="1" applyAlignment="1" applyProtection="1">
      <alignment horizontal="center" vertical="center" shrinkToFit="1"/>
      <protection locked="0"/>
    </xf>
    <xf numFmtId="179" fontId="11" fillId="3" borderId="3" xfId="4" applyNumberFormat="1" applyFont="1" applyFill="1" applyBorder="1" applyAlignment="1" applyProtection="1">
      <alignment horizontal="center" vertical="center" shrinkToFit="1"/>
      <protection locked="0"/>
    </xf>
    <xf numFmtId="0" fontId="12" fillId="0" borderId="0" xfId="0" applyFont="1" applyFill="1" applyAlignment="1" applyProtection="1">
      <alignment horizontal="center" vertical="top"/>
      <protection locked="0"/>
    </xf>
    <xf numFmtId="0" fontId="13" fillId="2" borderId="1" xfId="0" applyFont="1" applyFill="1" applyBorder="1" applyAlignment="1">
      <alignment horizontal="center" vertical="center"/>
    </xf>
    <xf numFmtId="41" fontId="13" fillId="0" borderId="1" xfId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/>
    </xf>
    <xf numFmtId="0" fontId="12" fillId="2" borderId="6" xfId="0" applyFont="1" applyFill="1" applyBorder="1" applyAlignment="1">
      <alignment horizontal="center" vertical="top"/>
    </xf>
    <xf numFmtId="0" fontId="12" fillId="2" borderId="7" xfId="0" applyFont="1" applyFill="1" applyBorder="1" applyAlignment="1">
      <alignment horizontal="center" vertical="top"/>
    </xf>
    <xf numFmtId="0" fontId="12" fillId="2" borderId="7" xfId="0" applyFont="1" applyFill="1" applyBorder="1" applyAlignment="1">
      <alignment horizontal="center" vertical="top" wrapText="1"/>
    </xf>
    <xf numFmtId="0" fontId="12" fillId="4" borderId="4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horizontal="center" vertical="top" wrapText="1"/>
    </xf>
    <xf numFmtId="0" fontId="12" fillId="4" borderId="7" xfId="0" applyFont="1" applyFill="1" applyBorder="1" applyAlignment="1">
      <alignment horizontal="center" vertical="top" wrapText="1"/>
    </xf>
    <xf numFmtId="0" fontId="12" fillId="4" borderId="4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16" fillId="4" borderId="5" xfId="0" applyFont="1" applyFill="1" applyBorder="1" applyAlignment="1">
      <alignment horizontal="center" vertical="top" wrapText="1"/>
    </xf>
    <xf numFmtId="0" fontId="17" fillId="4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183" fontId="15" fillId="0" borderId="9" xfId="0" applyNumberFormat="1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84" fontId="15" fillId="0" borderId="9" xfId="1" applyNumberFormat="1" applyFont="1" applyFill="1" applyBorder="1" applyAlignment="1">
      <alignment vertical="center"/>
    </xf>
    <xf numFmtId="185" fontId="15" fillId="0" borderId="9" xfId="0" applyNumberFormat="1" applyFont="1" applyFill="1" applyBorder="1" applyAlignment="1">
      <alignment vertical="center"/>
    </xf>
    <xf numFmtId="184" fontId="15" fillId="0" borderId="11" xfId="1" applyNumberFormat="1" applyFont="1" applyFill="1" applyBorder="1" applyAlignment="1">
      <alignment vertical="center"/>
    </xf>
    <xf numFmtId="186" fontId="15" fillId="0" borderId="8" xfId="0" applyNumberFormat="1" applyFont="1" applyFill="1" applyBorder="1" applyAlignment="1">
      <alignment horizontal="center" vertical="center"/>
    </xf>
    <xf numFmtId="184" fontId="15" fillId="0" borderId="8" xfId="1" applyNumberFormat="1" applyFont="1" applyFill="1" applyBorder="1" applyAlignment="1">
      <alignment vertical="center"/>
    </xf>
    <xf numFmtId="182" fontId="15" fillId="0" borderId="9" xfId="1" applyNumberFormat="1" applyFont="1" applyFill="1" applyBorder="1" applyAlignment="1">
      <alignment vertical="center"/>
    </xf>
    <xf numFmtId="184" fontId="15" fillId="0" borderId="9" xfId="1" applyNumberFormat="1" applyFont="1" applyFill="1" applyBorder="1" applyAlignment="1">
      <alignment horizontal="center" vertical="center"/>
    </xf>
    <xf numFmtId="182" fontId="15" fillId="5" borderId="9" xfId="1" applyNumberFormat="1" applyFont="1" applyFill="1" applyBorder="1" applyAlignment="1">
      <alignment vertical="center"/>
    </xf>
    <xf numFmtId="182" fontId="15" fillId="6" borderId="9" xfId="1" applyNumberFormat="1" applyFont="1" applyFill="1" applyBorder="1" applyAlignment="1">
      <alignment vertical="center"/>
    </xf>
    <xf numFmtId="182" fontId="15" fillId="7" borderId="9" xfId="0" applyNumberFormat="1" applyFont="1" applyFill="1" applyBorder="1" applyAlignment="1">
      <alignment vertical="center"/>
    </xf>
    <xf numFmtId="0" fontId="15" fillId="0" borderId="11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2" fillId="2" borderId="12" xfId="0" applyFont="1" applyFill="1" applyBorder="1" applyAlignment="1">
      <alignment horizontal="centerContinuous" vertical="top"/>
    </xf>
    <xf numFmtId="0" fontId="12" fillId="2" borderId="13" xfId="0" applyFont="1" applyFill="1" applyBorder="1" applyAlignment="1">
      <alignment horizontal="centerContinuous" vertical="top"/>
    </xf>
    <xf numFmtId="0" fontId="12" fillId="2" borderId="14" xfId="0" applyFont="1" applyFill="1" applyBorder="1" applyAlignment="1">
      <alignment horizontal="centerContinuous" vertical="top"/>
    </xf>
    <xf numFmtId="0" fontId="12" fillId="2" borderId="15" xfId="0" applyFont="1" applyFill="1" applyBorder="1" applyAlignment="1">
      <alignment horizontal="centerContinuous" vertical="top"/>
    </xf>
    <xf numFmtId="0" fontId="12" fillId="4" borderId="12" xfId="0" applyFont="1" applyFill="1" applyBorder="1" applyAlignment="1">
      <alignment horizontal="centerContinuous" vertical="top"/>
    </xf>
    <xf numFmtId="0" fontId="12" fillId="4" borderId="13" xfId="0" applyFont="1" applyFill="1" applyBorder="1" applyAlignment="1">
      <alignment horizontal="centerContinuous" vertical="top"/>
    </xf>
    <xf numFmtId="0" fontId="12" fillId="4" borderId="15" xfId="0" applyFont="1" applyFill="1" applyBorder="1" applyAlignment="1">
      <alignment horizontal="centerContinuous" vertical="top"/>
    </xf>
    <xf numFmtId="0" fontId="12" fillId="4" borderId="14" xfId="0" applyFont="1" applyFill="1" applyBorder="1" applyAlignment="1">
      <alignment horizontal="centerContinuous" vertical="top"/>
    </xf>
    <xf numFmtId="0" fontId="18" fillId="4" borderId="16" xfId="0" applyFont="1" applyFill="1" applyBorder="1" applyAlignment="1">
      <alignment horizontal="center" vertical="top"/>
    </xf>
    <xf numFmtId="184" fontId="4" fillId="0" borderId="1" xfId="1" applyNumberFormat="1" applyFont="1" applyFill="1" applyBorder="1" applyAlignment="1">
      <alignment horizontal="right" vertical="center"/>
    </xf>
    <xf numFmtId="184" fontId="4" fillId="0" borderId="1" xfId="1" applyNumberFormat="1" applyFont="1" applyFill="1" applyBorder="1">
      <alignment vertical="center"/>
    </xf>
    <xf numFmtId="186" fontId="4" fillId="0" borderId="1" xfId="1" applyNumberFormat="1" applyFont="1" applyFill="1" applyBorder="1">
      <alignment vertical="center"/>
    </xf>
    <xf numFmtId="182" fontId="4" fillId="0" borderId="1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1" fontId="4" fillId="0" borderId="17" xfId="1" applyFont="1" applyBorder="1" applyAlignment="1">
      <alignment horizontal="center" vertical="center"/>
    </xf>
    <xf numFmtId="41" fontId="4" fillId="0" borderId="18" xfId="1" applyFont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9">
    <cellStyle name="백분율 2" xfId="3"/>
    <cellStyle name="백분율 3" xfId="6"/>
    <cellStyle name="쉼표 [0]" xfId="1" builtinId="6"/>
    <cellStyle name="쉼표 [0] 2" xfId="4"/>
    <cellStyle name="쉼표 [0] 3" xfId="7"/>
    <cellStyle name="쉼표 [0] 4" xfId="8"/>
    <cellStyle name="표준" xfId="0" builtinId="0"/>
    <cellStyle name="표준 2" xfId="2"/>
    <cellStyle name="표준 2 2" xfId="5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404040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solid">
          <fgColor rgb="FF000000"/>
          <bgColor rgb="FFFFF3F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solid">
          <fgColor rgb="FF000000"/>
          <bgColor rgb="FFF3F5F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solid">
          <fgColor rgb="FF000000"/>
          <bgColor rgb="FFF3F5F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solid">
          <fgColor rgb="FF000000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2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404040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404040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4" formatCode="_-* #,##0.00_-;\-* #,##0.0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0" formatCode="yyyy&quot;/&quot;mm&quot;/&quot;dd\ aaa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0" formatCode="yyyy&quot;/&quot;mm&quot;/&quot;dd\ aaa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404040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0" formatCode="yyyy&quot;/&quot;mm&quot;/&quot;dd\ aaa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0" formatCode="yyyy&quot;/&quot;mm&quot;/&quot;dd\ aaa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3" formatCode="yyyy/mm/dd\ aaa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79" formatCode="#,##0_ ;[Red]\-#,##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81" formatCode="yyyy&quot;년&quot;\ mm&quot;월&quot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맑은 고딕"/>
        <scheme val="none"/>
      </font>
      <numFmt numFmtId="176" formatCode="0_);[Red]\(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  <protection locked="1" hidden="0"/>
    </dxf>
    <dxf>
      <border outline="0">
        <bottom style="thin">
          <color theme="0" tint="-0.14996795556505021"/>
        </bottom>
      </border>
    </dxf>
    <dxf>
      <font>
        <b/>
        <i val="0"/>
        <color rgb="FF79C000"/>
      </font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</dxfs>
  <tableStyles count="2" defaultTableStyle="TableStyleMedium2" defaultPivotStyle="PivotStyleLight16">
    <tableStyle name="피벗 테이블 스타일 1" table="0" count="4">
      <tableStyleElement type="wholeTable" dxfId="39"/>
      <tableStyleElement type="headerRow" dxfId="38"/>
      <tableStyleElement type="pageFieldLabels" dxfId="37"/>
      <tableStyleElement type="pageFieldValues" dxfId="36"/>
    </tableStyle>
    <tableStyle name="표 스타일 1" pivot="0" count="3">
      <tableStyleElement type="wholeTable" dxfId="35"/>
      <tableStyleElement type="headerRow" dxfId="34"/>
      <tableStyleElement type="first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_backdata" displayName="표_backdata" ref="A6:AE7" totalsRowShown="0" headerRowBorderDxfId="31">
  <autoFilter ref="A6:AE7"/>
  <tableColumns count="31">
    <tableColumn id="8" name="순번" dataDxfId="30"/>
    <tableColumn id="2" name="카테_x000a_고리" dataDxfId="29"/>
    <tableColumn id="38" name="작품명" dataDxfId="28"/>
    <tableColumn id="3" name="작품명_x000a_(현지언어)" dataDxfId="27"/>
    <tableColumn id="17" name="오픈일자" dataDxfId="26"/>
    <tableColumn id="121" name="구분" dataDxfId="25"/>
    <tableColumn id="20" name="판매분기" dataDxfId="24"/>
    <tableColumn id="39" name="판매월" dataDxfId="23"/>
    <tableColumn id="40" name="통화" dataDxfId="22"/>
    <tableColumn id="7" name="거래액_x000a_(USD)" dataDxfId="21" dataCellStyle="쉼표 [0]"/>
    <tableColumn id="18" name="결제수수료_x000a_(USD)" dataDxfId="20"/>
    <tableColumn id="37" name="KE매출액_x000a_(USD)" dataDxfId="19" dataCellStyle="쉼표 [0]"/>
    <tableColumn id="36" name="RS%" dataDxfId="18"/>
    <tableColumn id="33" name="정산금_x000a_(USD,세전)" dataDxfId="17" dataCellStyle="쉼표 [0]"/>
    <tableColumn id="21" name="국외원천세_x000a_(USD,10%)" dataDxfId="16" dataCellStyle="쉼표 [0]"/>
    <tableColumn id="24" name="정산금_x000a_(USD,세후)" dataDxfId="15" dataCellStyle="쉼표 [0]"/>
    <tableColumn id="34" name="기초MG_x000a_(USD,세후)" dataDxfId="14" dataCellStyle="쉼표 [0]"/>
    <tableColumn id="29" name="추가MG_x000a_(USD,세후)_x000a_타파스" dataDxfId="13" dataCellStyle="쉼표 [0]"/>
    <tableColumn id="25" name="공제MG_x000a_(USD,세후)" dataDxfId="12" dataCellStyle="쉼표 [0]"/>
    <tableColumn id="27" name="잔여MG_x000a_(USD,세후)" dataDxfId="11" dataCellStyle="쉼표 [0]"/>
    <tableColumn id="28" name="MG_x000a_환율" dataDxfId="10" dataCellStyle="쉼표 [0]"/>
    <tableColumn id="79" name="RS_x000a_환율" dataDxfId="9" dataCellStyle="쉼표 [0]"/>
    <tableColumn id="4" name="정산금_x000a_(원화,세후)" dataDxfId="8" dataCellStyle="쉼표 [0]"/>
    <tableColumn id="31" name="기초MG_x000a_(원화,세후)" dataDxfId="7" dataCellStyle="쉼표 [0]"/>
    <tableColumn id="23" name="추가MG_x000a_(타파스)" dataDxfId="6" dataCellStyle="쉼표 [0]"/>
    <tableColumn id="30" name="추가MG_x000a_(글로벌)" dataDxfId="5" dataCellStyle="쉼표 [0]"/>
    <tableColumn id="26" name="차감MG_x000a_(타파스)" dataDxfId="4" dataCellStyle="쉼표 [0]"/>
    <tableColumn id="80" name="차감MG_x000a_(글로벌)_x000a_정산금 미포함" dataDxfId="3" dataCellStyle="쉼표 [0]"/>
    <tableColumn id="19" name="잔여MG_x000a_(원화,세후)" dataDxfId="2" dataCellStyle="쉼표 [0]"/>
    <tableColumn id="1" name="초과RS_x000a_(원화,세후)" dataDxfId="1"/>
    <tableColumn id="5" name="비고" dataDxfId="0"/>
  </tableColumns>
  <tableStyleInfo name="피벗 테이블 스타일 1" showFirstColumn="0" showLastColumn="0" showRowStripes="1" showColumnStripes="1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defaultRowHeight="17.399999999999999" x14ac:dyDescent="0.4"/>
  <cols>
    <col min="1" max="1" width="15.3984375" customWidth="1"/>
    <col min="2" max="2" width="13.19921875" customWidth="1"/>
    <col min="3" max="3" width="13.19921875" bestFit="1" customWidth="1"/>
    <col min="4" max="4" width="14.296875" bestFit="1" customWidth="1"/>
    <col min="5" max="5" width="12.19921875" customWidth="1"/>
    <col min="6" max="6" width="10.3984375" customWidth="1"/>
    <col min="7" max="7" width="17.69921875" bestFit="1" customWidth="1"/>
    <col min="8" max="8" width="11" bestFit="1" customWidth="1"/>
    <col min="9" max="10" width="12.69921875" customWidth="1"/>
    <col min="11" max="11" width="12.5" customWidth="1"/>
    <col min="12" max="14" width="12.5" hidden="1" customWidth="1"/>
  </cols>
  <sheetData>
    <row r="1" spans="1:10" ht="25.2" x14ac:dyDescent="0.4">
      <c r="A1" s="3" t="s">
        <v>11</v>
      </c>
      <c r="B1" s="3"/>
    </row>
    <row r="2" spans="1:10" x14ac:dyDescent="0.4">
      <c r="A2" s="2" t="s">
        <v>0</v>
      </c>
      <c r="B2" s="2"/>
    </row>
    <row r="3" spans="1:10" ht="116.55" customHeight="1" x14ac:dyDescent="0.4">
      <c r="A3" s="75" t="s">
        <v>12</v>
      </c>
      <c r="B3" s="75"/>
      <c r="C3" s="75"/>
      <c r="D3" s="75"/>
      <c r="E3" s="75"/>
      <c r="F3" s="75"/>
      <c r="G3" s="1"/>
      <c r="H3" s="1"/>
      <c r="I3" s="1"/>
      <c r="J3" s="1"/>
    </row>
    <row r="5" spans="1:10" x14ac:dyDescent="0.4">
      <c r="A5" s="2" t="s">
        <v>1</v>
      </c>
      <c r="B5" s="2"/>
    </row>
    <row r="6" spans="1:10" ht="42" customHeight="1" x14ac:dyDescent="0.4">
      <c r="A6" s="24" t="s">
        <v>3</v>
      </c>
      <c r="B6" s="71" t="s">
        <v>13</v>
      </c>
      <c r="C6" s="71"/>
      <c r="D6" s="71"/>
      <c r="E6" s="71"/>
      <c r="F6" s="71"/>
      <c r="G6" s="71"/>
      <c r="H6" s="71"/>
      <c r="I6" s="71"/>
      <c r="J6" s="71"/>
    </row>
    <row r="7" spans="1:10" x14ac:dyDescent="0.4">
      <c r="A7" s="24" t="s">
        <v>2</v>
      </c>
      <c r="B7" s="70" t="s">
        <v>14</v>
      </c>
      <c r="C7" s="70"/>
      <c r="D7" s="70"/>
      <c r="E7" s="70"/>
      <c r="F7" s="24" t="s">
        <v>4</v>
      </c>
      <c r="G7" s="72">
        <v>10000000</v>
      </c>
      <c r="H7" s="73"/>
      <c r="I7" s="73"/>
      <c r="J7" s="74"/>
    </row>
    <row r="8" spans="1:10" x14ac:dyDescent="0.4">
      <c r="A8" s="24" t="s">
        <v>10</v>
      </c>
      <c r="B8" s="24" t="s">
        <v>5</v>
      </c>
      <c r="C8" s="24" t="s">
        <v>56</v>
      </c>
      <c r="D8" s="24" t="s">
        <v>57</v>
      </c>
      <c r="E8" s="24" t="s">
        <v>58</v>
      </c>
      <c r="F8" s="24" t="s">
        <v>59</v>
      </c>
      <c r="G8" s="24" t="s">
        <v>60</v>
      </c>
      <c r="H8" s="24" t="s">
        <v>61</v>
      </c>
      <c r="I8" s="24" t="s">
        <v>62</v>
      </c>
      <c r="J8" s="24" t="s">
        <v>63</v>
      </c>
    </row>
    <row r="9" spans="1:10" x14ac:dyDescent="0.4">
      <c r="A9" s="24">
        <v>2022.04</v>
      </c>
      <c r="B9" s="25" t="s">
        <v>9</v>
      </c>
      <c r="C9" s="66">
        <v>7319.56</v>
      </c>
      <c r="D9" s="67">
        <v>2195.8679999999999</v>
      </c>
      <c r="E9" s="67">
        <v>2561.846</v>
      </c>
      <c r="F9" s="68">
        <v>0.28000000000000003</v>
      </c>
      <c r="G9" s="67">
        <v>1844.5291200000004</v>
      </c>
      <c r="H9" s="69">
        <v>2273087</v>
      </c>
      <c r="I9" s="69">
        <v>2273087</v>
      </c>
      <c r="J9" s="69">
        <v>0</v>
      </c>
    </row>
  </sheetData>
  <mergeCells count="4">
    <mergeCell ref="B7:E7"/>
    <mergeCell ref="B6:J6"/>
    <mergeCell ref="G7:J7"/>
    <mergeCell ref="A3:F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>
      <pane ySplit="1" topLeftCell="A2" activePane="bottomLeft" state="frozen"/>
      <selection pane="bottomLeft" activeCell="B1" sqref="B1"/>
    </sheetView>
  </sheetViews>
  <sheetFormatPr defaultRowHeight="17.399999999999999" x14ac:dyDescent="0.4"/>
  <cols>
    <col min="1" max="1" width="4.19921875" customWidth="1"/>
    <col min="2" max="2" width="10.69921875" customWidth="1"/>
    <col min="3" max="3" width="10.59765625" customWidth="1"/>
    <col min="4" max="4" width="18.5" customWidth="1"/>
    <col min="5" max="5" width="11.19921875" bestFit="1" customWidth="1"/>
    <col min="6" max="6" width="8.19921875" bestFit="1" customWidth="1"/>
    <col min="11" max="11" width="10.09765625" customWidth="1"/>
    <col min="17" max="18" width="12.5" bestFit="1" customWidth="1"/>
    <col min="28" max="28" width="12" customWidth="1"/>
  </cols>
  <sheetData>
    <row r="1" spans="1:31" x14ac:dyDescent="0.4">
      <c r="A1" s="2" t="s">
        <v>6</v>
      </c>
    </row>
    <row r="2" spans="1:31" s="4" customFormat="1" ht="5.0999999999999996" customHeight="1" x14ac:dyDescent="0.4">
      <c r="A2" s="6"/>
      <c r="F2" s="7"/>
      <c r="G2" s="7"/>
      <c r="I2" s="7"/>
      <c r="J2" s="5"/>
      <c r="K2" s="8"/>
      <c r="L2" s="5"/>
      <c r="M2" s="9"/>
      <c r="N2" s="5"/>
      <c r="O2" s="5"/>
      <c r="P2" s="9"/>
      <c r="Q2" s="5"/>
      <c r="R2" s="10"/>
      <c r="S2" s="9"/>
      <c r="T2" s="9"/>
      <c r="U2" s="5"/>
      <c r="V2" s="5"/>
      <c r="W2" s="5"/>
      <c r="X2" s="5"/>
      <c r="Y2" s="5"/>
      <c r="Z2" s="5"/>
      <c r="AA2" s="5"/>
      <c r="AB2" s="10"/>
    </row>
    <row r="3" spans="1:31" s="11" customFormat="1" ht="25.5" customHeight="1" x14ac:dyDescent="0.4">
      <c r="A3" s="12"/>
      <c r="B3" s="13"/>
      <c r="C3" s="14"/>
      <c r="D3" s="15" t="s">
        <v>7</v>
      </c>
      <c r="E3" s="15"/>
      <c r="F3" s="16"/>
      <c r="G3" s="16"/>
      <c r="H3" s="16"/>
      <c r="I3" s="16"/>
      <c r="J3" s="16"/>
      <c r="K3" s="17">
        <f>SUBTOTAL(9,M7:M9836)</f>
        <v>0.28000000000000003</v>
      </c>
      <c r="L3" s="18"/>
      <c r="M3" s="17">
        <f>SUBTOTAL(9,O7:O9836)</f>
        <v>204.94768000000005</v>
      </c>
      <c r="N3" s="19"/>
      <c r="O3" s="17">
        <f>SUBTOTAL(9,Q7:Q9836)</f>
        <v>0</v>
      </c>
      <c r="P3" s="17">
        <f>SUBTOTAL(9,R7:R9836)</f>
        <v>0</v>
      </c>
      <c r="Q3" s="19"/>
      <c r="R3" s="17">
        <f>SUBTOTAL(9,T7:T9836)</f>
        <v>0</v>
      </c>
      <c r="S3" s="20"/>
      <c r="T3" s="21"/>
      <c r="U3" s="21"/>
      <c r="V3" s="20">
        <f>SUBTOTAL(9,X7:X9836)</f>
        <v>0</v>
      </c>
      <c r="W3" s="20"/>
      <c r="X3" s="20"/>
      <c r="Y3" s="20"/>
      <c r="Z3" s="20">
        <f>SUBTOTAL(9,AB7:AB9836)</f>
        <v>0</v>
      </c>
      <c r="AA3" s="20">
        <f>SUBTOTAL(9,AC7:AC9836)</f>
        <v>7726913</v>
      </c>
      <c r="AB3" s="20"/>
      <c r="AC3" s="22"/>
    </row>
    <row r="4" spans="1:31" s="4" customFormat="1" ht="5.0999999999999996" customHeight="1" x14ac:dyDescent="0.4">
      <c r="A4" s="6"/>
      <c r="F4" s="7"/>
      <c r="G4" s="7"/>
      <c r="I4" s="7"/>
      <c r="J4" s="5"/>
      <c r="K4" s="8"/>
      <c r="L4" s="5"/>
      <c r="M4" s="9"/>
      <c r="N4" s="5"/>
      <c r="O4" s="5"/>
      <c r="P4" s="9"/>
      <c r="Q4" s="5"/>
      <c r="R4" s="10"/>
      <c r="S4" s="9"/>
      <c r="T4" s="9"/>
      <c r="U4" s="5"/>
      <c r="V4" s="5"/>
      <c r="W4" s="5"/>
      <c r="X4" s="5"/>
      <c r="Y4" s="5"/>
      <c r="Z4" s="5"/>
      <c r="AA4" s="5"/>
      <c r="AB4" s="10"/>
      <c r="AC4" s="10"/>
    </row>
    <row r="5" spans="1:31" s="39" customFormat="1" ht="24.75" customHeight="1" x14ac:dyDescent="0.4">
      <c r="A5" s="57" t="s">
        <v>51</v>
      </c>
      <c r="B5" s="58"/>
      <c r="C5" s="58"/>
      <c r="D5" s="58"/>
      <c r="E5" s="58"/>
      <c r="F5" s="58"/>
      <c r="G5" s="59"/>
      <c r="H5" s="60"/>
      <c r="I5" s="57" t="s">
        <v>52</v>
      </c>
      <c r="J5" s="58"/>
      <c r="K5" s="58"/>
      <c r="L5" s="60"/>
      <c r="M5" s="61" t="s">
        <v>53</v>
      </c>
      <c r="N5" s="62"/>
      <c r="O5" s="62"/>
      <c r="P5" s="63"/>
      <c r="Q5" s="61" t="s">
        <v>54</v>
      </c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4"/>
      <c r="AE5" s="65" t="s">
        <v>55</v>
      </c>
    </row>
    <row r="6" spans="1:31" s="23" customFormat="1" ht="42.6" customHeight="1" x14ac:dyDescent="0.4">
      <c r="A6" s="26" t="s">
        <v>15</v>
      </c>
      <c r="B6" s="27" t="s">
        <v>32</v>
      </c>
      <c r="C6" s="28" t="s">
        <v>3</v>
      </c>
      <c r="D6" s="27" t="s">
        <v>23</v>
      </c>
      <c r="E6" s="28" t="s">
        <v>33</v>
      </c>
      <c r="F6" s="28" t="s">
        <v>24</v>
      </c>
      <c r="G6" s="29" t="s">
        <v>16</v>
      </c>
      <c r="H6" s="30" t="s">
        <v>17</v>
      </c>
      <c r="I6" s="26" t="s">
        <v>34</v>
      </c>
      <c r="J6" s="27" t="s">
        <v>25</v>
      </c>
      <c r="K6" s="27" t="s">
        <v>26</v>
      </c>
      <c r="L6" s="31" t="s">
        <v>35</v>
      </c>
      <c r="M6" s="32" t="s">
        <v>18</v>
      </c>
      <c r="N6" s="33" t="s">
        <v>19</v>
      </c>
      <c r="O6" s="33" t="s">
        <v>36</v>
      </c>
      <c r="P6" s="34" t="s">
        <v>20</v>
      </c>
      <c r="Q6" s="35" t="s">
        <v>37</v>
      </c>
      <c r="R6" s="33" t="s">
        <v>38</v>
      </c>
      <c r="S6" s="33" t="s">
        <v>39</v>
      </c>
      <c r="T6" s="33" t="s">
        <v>27</v>
      </c>
      <c r="U6" s="33" t="s">
        <v>21</v>
      </c>
      <c r="V6" s="33" t="s">
        <v>28</v>
      </c>
      <c r="W6" s="36" t="s">
        <v>29</v>
      </c>
      <c r="X6" s="33" t="s">
        <v>40</v>
      </c>
      <c r="Y6" s="33" t="s">
        <v>30</v>
      </c>
      <c r="Z6" s="33" t="s">
        <v>41</v>
      </c>
      <c r="AA6" s="37" t="s">
        <v>22</v>
      </c>
      <c r="AB6" s="37" t="s">
        <v>42</v>
      </c>
      <c r="AC6" s="33" t="s">
        <v>43</v>
      </c>
      <c r="AD6" s="38" t="s">
        <v>44</v>
      </c>
      <c r="AE6" s="34" t="s">
        <v>31</v>
      </c>
    </row>
    <row r="7" spans="1:31" s="56" customFormat="1" ht="20.100000000000001" customHeight="1" x14ac:dyDescent="0.4">
      <c r="A7" s="40">
        <v>1</v>
      </c>
      <c r="B7" s="41" t="s">
        <v>8</v>
      </c>
      <c r="C7" s="41" t="s">
        <v>45</v>
      </c>
      <c r="D7" s="41" t="s">
        <v>46</v>
      </c>
      <c r="E7" s="42">
        <v>44656</v>
      </c>
      <c r="F7" s="41" t="s">
        <v>48</v>
      </c>
      <c r="G7" s="43" t="s">
        <v>49</v>
      </c>
      <c r="H7" s="44" t="s">
        <v>47</v>
      </c>
      <c r="I7" s="40" t="s">
        <v>50</v>
      </c>
      <c r="J7" s="45">
        <v>7319.56</v>
      </c>
      <c r="K7" s="46">
        <v>2195.8679999999999</v>
      </c>
      <c r="L7" s="47">
        <v>2561.846</v>
      </c>
      <c r="M7" s="48">
        <v>0.28000000000000003</v>
      </c>
      <c r="N7" s="45">
        <v>2049.4768000000004</v>
      </c>
      <c r="O7" s="45">
        <v>204.94768000000005</v>
      </c>
      <c r="P7" s="47">
        <v>1844.5291200000004</v>
      </c>
      <c r="Q7" s="49">
        <v>0</v>
      </c>
      <c r="R7" s="50">
        <v>0</v>
      </c>
      <c r="S7" s="50">
        <v>0</v>
      </c>
      <c r="T7" s="50">
        <v>0</v>
      </c>
      <c r="U7" s="51">
        <v>0</v>
      </c>
      <c r="V7" s="45">
        <v>1232.3399999999999</v>
      </c>
      <c r="W7" s="52">
        <v>2273087</v>
      </c>
      <c r="X7" s="50">
        <v>0</v>
      </c>
      <c r="Y7" s="50">
        <v>10000000</v>
      </c>
      <c r="Z7" s="50">
        <v>0</v>
      </c>
      <c r="AA7" s="53">
        <v>2273087</v>
      </c>
      <c r="AB7" s="53">
        <v>0</v>
      </c>
      <c r="AC7" s="50">
        <v>7726913</v>
      </c>
      <c r="AD7" s="54">
        <v>0</v>
      </c>
      <c r="AE7" s="55"/>
    </row>
  </sheetData>
  <phoneticPr fontId="2" type="noConversion"/>
  <conditionalFormatting sqref="F2:F7">
    <cfRule type="cellIs" dxfId="32" priority="29" operator="equal">
      <formula>"미오픈"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월별 매출(회귀의 전설)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2022-06-01T05:43:09Z</dcterms:modified>
</cp:coreProperties>
</file>