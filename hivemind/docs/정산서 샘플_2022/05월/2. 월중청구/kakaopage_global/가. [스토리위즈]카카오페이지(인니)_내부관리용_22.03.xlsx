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kakaopage_global\"/>
    </mc:Choice>
  </mc:AlternateContent>
  <bookViews>
    <workbookView xWindow="0" yWindow="0" windowWidth="15504" windowHeight="9588"/>
  </bookViews>
  <sheets>
    <sheet name="종합" sheetId="1" r:id="rId1"/>
    <sheet name="월별 매출(마딸,공주)" sheetId="2" r:id="rId2"/>
    <sheet name="월별 매출(구KT)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8" i="4" l="1"/>
  <c r="Z18" i="4"/>
  <c r="V18" i="4"/>
  <c r="R18" i="4"/>
  <c r="P3" i="4" s="1"/>
  <c r="P18" i="4"/>
  <c r="O18" i="4"/>
  <c r="M3" i="4" s="1"/>
  <c r="M18" i="4"/>
  <c r="K3" i="4" s="1"/>
  <c r="K18" i="4"/>
  <c r="AA3" i="4"/>
  <c r="Z3" i="4"/>
  <c r="V3" i="4"/>
  <c r="R3" i="4"/>
  <c r="O3" i="4"/>
  <c r="K12" i="1" l="1"/>
  <c r="J12" i="1"/>
  <c r="L12" i="1" s="1"/>
  <c r="H12" i="1"/>
  <c r="F12" i="1"/>
  <c r="E12" i="1"/>
  <c r="D12" i="1"/>
  <c r="C12" i="1"/>
  <c r="L11" i="1" l="1"/>
  <c r="K11" i="1"/>
  <c r="J11" i="1"/>
  <c r="H11" i="1"/>
  <c r="F11" i="1"/>
  <c r="C11" i="1"/>
  <c r="E11" i="1"/>
  <c r="D11" i="1"/>
  <c r="AA3" i="2" l="1"/>
  <c r="Z3" i="2"/>
  <c r="V3" i="2"/>
  <c r="R3" i="2"/>
  <c r="P3" i="2"/>
  <c r="O3" i="2"/>
  <c r="M3" i="2"/>
  <c r="K3" i="2"/>
</calcChain>
</file>

<file path=xl/sharedStrings.xml><?xml version="1.0" encoding="utf-8"?>
<sst xmlns="http://schemas.openxmlformats.org/spreadsheetml/2006/main" count="542" uniqueCount="137">
  <si>
    <t>기본정보</t>
    <phoneticPr fontId="2" type="noConversion"/>
  </si>
  <si>
    <t>작품명</t>
  </si>
  <si>
    <t>매출내역</t>
    <phoneticPr fontId="2" type="noConversion"/>
  </si>
  <si>
    <t>런칭일</t>
    <phoneticPr fontId="2" type="noConversion"/>
  </si>
  <si>
    <t>작품명</t>
    <phoneticPr fontId="2" type="noConversion"/>
  </si>
  <si>
    <t>MG</t>
    <phoneticPr fontId="2" type="noConversion"/>
  </si>
  <si>
    <t>계산서발행</t>
    <phoneticPr fontId="2" type="noConversion"/>
  </si>
  <si>
    <t>월별 매출 정산내역</t>
    <phoneticPr fontId="2" type="noConversion"/>
  </si>
  <si>
    <t>TOTAL</t>
    <phoneticPr fontId="2" type="noConversion"/>
  </si>
  <si>
    <t>NO</t>
    <phoneticPr fontId="2" type="noConversion"/>
  </si>
  <si>
    <t>월</t>
    <phoneticPr fontId="2" type="noConversion"/>
  </si>
  <si>
    <t>카테고리</t>
  </si>
  <si>
    <t>작품명(인도네시아)</t>
    <phoneticPr fontId="2" type="noConversion"/>
  </si>
  <si>
    <t>오픈일</t>
    <phoneticPr fontId="2" type="noConversion"/>
  </si>
  <si>
    <t>구분</t>
    <phoneticPr fontId="2" type="noConversion"/>
  </si>
  <si>
    <t>유형</t>
    <phoneticPr fontId="2" type="noConversion"/>
  </si>
  <si>
    <t>거래처명</t>
    <phoneticPr fontId="2" type="noConversion"/>
  </si>
  <si>
    <t>필명</t>
    <phoneticPr fontId="2" type="noConversion"/>
  </si>
  <si>
    <t>플래폼거래액
(단위 IDR)</t>
    <phoneticPr fontId="2" type="noConversion"/>
  </si>
  <si>
    <t>환율</t>
    <phoneticPr fontId="2" type="noConversion"/>
  </si>
  <si>
    <t>플래폼거래액
(단위 원)</t>
    <phoneticPr fontId="2" type="noConversion"/>
  </si>
  <si>
    <t>결제
수수료</t>
    <phoneticPr fontId="2" type="noConversion"/>
  </si>
  <si>
    <t>결제수수료
(단위 원)</t>
    <phoneticPr fontId="2" type="noConversion"/>
  </si>
  <si>
    <t>플래폼_순거래액
(단위  원)</t>
    <phoneticPr fontId="2" type="noConversion"/>
  </si>
  <si>
    <t>KP%</t>
    <phoneticPr fontId="2" type="noConversion"/>
  </si>
  <si>
    <t>PAGE 매출액
(단위 원)</t>
    <phoneticPr fontId="2" type="noConversion"/>
  </si>
  <si>
    <t>연동비MG
(미오픈 제외)</t>
    <phoneticPr fontId="2" type="noConversion"/>
  </si>
  <si>
    <t>CP_RS_T%</t>
  </si>
  <si>
    <t>CP_RS%</t>
  </si>
  <si>
    <t>당월연동비
(MG+RS)</t>
    <phoneticPr fontId="2" type="noConversion"/>
  </si>
  <si>
    <t>누적연동비</t>
  </si>
  <si>
    <t>전월잔여_MG</t>
    <phoneticPr fontId="2" type="noConversion"/>
  </si>
  <si>
    <t>당월잔여_MG</t>
    <phoneticPr fontId="2" type="noConversion"/>
  </si>
  <si>
    <t>당월인식
MG</t>
    <phoneticPr fontId="2" type="noConversion"/>
  </si>
  <si>
    <t>당월초과
RS</t>
    <phoneticPr fontId="2" type="noConversion"/>
  </si>
  <si>
    <t>누적초과_RS</t>
    <phoneticPr fontId="2" type="noConversion"/>
  </si>
  <si>
    <t>비고</t>
    <phoneticPr fontId="2" type="noConversion"/>
  </si>
  <si>
    <t>만화</t>
  </si>
  <si>
    <t>마왕의 딸로 태어났습니다 (Aku Lahir Sebagai Anak Raja Iblis)</t>
  </si>
  <si>
    <t>마왕의 딸로 태어났습니다</t>
  </si>
  <si>
    <t>CP</t>
  </si>
  <si>
    <t>사업자</t>
  </si>
  <si>
    <t>스토리위즈</t>
  </si>
  <si>
    <t>은민, 여울</t>
  </si>
  <si>
    <t>마왕의 딸로 태어났습니다 (Aku Lahir Sebagai Anak Raja Iblis)</t>
    <phoneticPr fontId="2" type="noConversion"/>
  </si>
  <si>
    <t>Aku Lahir Sebagai Anak Raja Iblis
(마왕의 딸로 태어났습니다)</t>
    <phoneticPr fontId="2" type="noConversion"/>
  </si>
  <si>
    <t>2021.01.07</t>
    <phoneticPr fontId="2" type="noConversion"/>
  </si>
  <si>
    <t>매출월: M
정산서 전달: M+2월 10일 내
실제 정산(세금계산서 발행): M+2월 1~15일
입금일: M+3월 말일
기타: 세금계산서 발행 (면세사업자X)
RS: 카카오페이지 순매출의 80%</t>
    <phoneticPr fontId="2" type="noConversion"/>
  </si>
  <si>
    <t>X</t>
    <phoneticPr fontId="2" type="noConversion"/>
  </si>
  <si>
    <t>플래폼거래액
(IDR)</t>
  </si>
  <si>
    <t>환율
(IDR)</t>
  </si>
  <si>
    <t>플래폼거래액
(원)</t>
  </si>
  <si>
    <t>결제수수료
(원)</t>
  </si>
  <si>
    <t>CP
RS%</t>
  </si>
  <si>
    <t xml:space="preserve"> 당월연동비
(MG+RS)</t>
  </si>
  <si>
    <t xml:space="preserve">당월인식
MG </t>
  </si>
  <si>
    <t xml:space="preserve">당월초과
RS </t>
  </si>
  <si>
    <t>page
RS%</t>
    <phoneticPr fontId="2" type="noConversion"/>
  </si>
  <si>
    <t>page 매출액
(원)</t>
    <phoneticPr fontId="2" type="noConversion"/>
  </si>
  <si>
    <t>카카오페이지 글로벌(인도네시아)</t>
    <phoneticPr fontId="2" type="noConversion"/>
  </si>
  <si>
    <t>O</t>
    <phoneticPr fontId="2" type="noConversion"/>
  </si>
  <si>
    <t/>
  </si>
  <si>
    <t>이어원,최누리</t>
  </si>
  <si>
    <t>마왕의 아이를 키우는 법 (How to Raise the Devil's Child)</t>
  </si>
  <si>
    <t>마왕의 아이를 키우는 방법 (7월분)</t>
  </si>
  <si>
    <t>케이티</t>
  </si>
  <si>
    <t>작품 이관으로 케이티 7월분 매출 추가</t>
  </si>
  <si>
    <t>마왕의 아이를 키우는 방법</t>
  </si>
  <si>
    <t>fee1</t>
  </si>
  <si>
    <t>not alone (Not Alone)</t>
  </si>
  <si>
    <t>Not Alone (7월분)</t>
  </si>
  <si>
    <t>Not Alone</t>
  </si>
  <si>
    <t>작품 이관 (케이티 → 스토리위즈)</t>
  </si>
  <si>
    <t>-</t>
    <phoneticPr fontId="2" type="noConversion"/>
  </si>
  <si>
    <t>공주전쟁 (Pertarungan Para Putri)</t>
  </si>
  <si>
    <t>공주전쟁</t>
  </si>
  <si>
    <t>HujingxLuojie</t>
  </si>
  <si>
    <t>공주전쟁 (Pertarungan Para Putri)</t>
    <phoneticPr fontId="2" type="noConversion"/>
  </si>
  <si>
    <t>2021.08.18</t>
    <phoneticPr fontId="2" type="noConversion"/>
  </si>
  <si>
    <t>2021.10</t>
    <phoneticPr fontId="2" type="noConversion"/>
  </si>
  <si>
    <t>구분(판매월)</t>
    <phoneticPr fontId="2" type="noConversion"/>
  </si>
  <si>
    <t>구분(판매월)</t>
    <phoneticPr fontId="2" type="noConversion"/>
  </si>
  <si>
    <t>2021.10</t>
    <phoneticPr fontId="2" type="noConversion"/>
  </si>
  <si>
    <t>X</t>
    <phoneticPr fontId="2" type="noConversion"/>
  </si>
  <si>
    <t>O</t>
    <phoneticPr fontId="2" type="noConversion"/>
  </si>
  <si>
    <t>O</t>
    <phoneticPr fontId="2" type="noConversion"/>
  </si>
  <si>
    <t>2020.08.30</t>
    <phoneticPr fontId="2" type="noConversion"/>
  </si>
  <si>
    <t>2021.09</t>
    <phoneticPr fontId="2" type="noConversion"/>
  </si>
  <si>
    <t>2021.11</t>
  </si>
  <si>
    <t>2021.11</t>
    <phoneticPr fontId="2" type="noConversion"/>
  </si>
  <si>
    <t>X</t>
    <phoneticPr fontId="2" type="noConversion"/>
  </si>
  <si>
    <t xml:space="preserve">How to Raise the Devil's Child
(마왕의 아이를 키우는 법) </t>
    <phoneticPr fontId="2" type="noConversion"/>
  </si>
  <si>
    <t>Pertarungan Para Putri
(공주전쟁)</t>
    <phoneticPr fontId="2" type="noConversion"/>
  </si>
  <si>
    <t>not alone 
(Not Alone)</t>
    <phoneticPr fontId="2" type="noConversion"/>
  </si>
  <si>
    <t>X</t>
    <phoneticPr fontId="2" type="noConversion"/>
  </si>
  <si>
    <t>2021.12</t>
    <phoneticPr fontId="2" type="noConversion"/>
  </si>
  <si>
    <t>2022.01</t>
    <phoneticPr fontId="2" type="noConversion"/>
  </si>
  <si>
    <t>월별 매출 정산내역</t>
    <phoneticPr fontId="2" type="noConversion"/>
  </si>
  <si>
    <t>TOTAL</t>
    <phoneticPr fontId="2" type="noConversion"/>
  </si>
  <si>
    <t>NO</t>
    <phoneticPr fontId="2" type="noConversion"/>
  </si>
  <si>
    <t>월</t>
    <phoneticPr fontId="2" type="noConversion"/>
  </si>
  <si>
    <t>작품명(인도네시아)</t>
    <phoneticPr fontId="2" type="noConversion"/>
  </si>
  <si>
    <t>오픈일</t>
    <phoneticPr fontId="2" type="noConversion"/>
  </si>
  <si>
    <t>구분</t>
    <phoneticPr fontId="2" type="noConversion"/>
  </si>
  <si>
    <t>유형</t>
    <phoneticPr fontId="2" type="noConversion"/>
  </si>
  <si>
    <t>거래처명</t>
    <phoneticPr fontId="2" type="noConversion"/>
  </si>
  <si>
    <t>필명</t>
    <phoneticPr fontId="2" type="noConversion"/>
  </si>
  <si>
    <t>플래폼거래액
(단위 IDR)</t>
    <phoneticPr fontId="2" type="noConversion"/>
  </si>
  <si>
    <t>환율</t>
    <phoneticPr fontId="2" type="noConversion"/>
  </si>
  <si>
    <t>플래폼거래액
(단위 원)</t>
    <phoneticPr fontId="2" type="noConversion"/>
  </si>
  <si>
    <t>결제
수수료</t>
    <phoneticPr fontId="2" type="noConversion"/>
  </si>
  <si>
    <t>결제수수료
(단위 원)</t>
    <phoneticPr fontId="2" type="noConversion"/>
  </si>
  <si>
    <t>플래폼_순거래액
(단위  원)</t>
    <phoneticPr fontId="2" type="noConversion"/>
  </si>
  <si>
    <t>KP%</t>
    <phoneticPr fontId="2" type="noConversion"/>
  </si>
  <si>
    <t>PAGE 매출액
(단위 원)</t>
    <phoneticPr fontId="2" type="noConversion"/>
  </si>
  <si>
    <t>연동비MG
(미오픈 제외)</t>
    <phoneticPr fontId="2" type="noConversion"/>
  </si>
  <si>
    <t>당월연동비
(MG+RS)</t>
    <phoneticPr fontId="2" type="noConversion"/>
  </si>
  <si>
    <t>전월잔여_MG</t>
    <phoneticPr fontId="2" type="noConversion"/>
  </si>
  <si>
    <t>당월잔여_MG</t>
    <phoneticPr fontId="2" type="noConversion"/>
  </si>
  <si>
    <t>당월인식
MG</t>
    <phoneticPr fontId="2" type="noConversion"/>
  </si>
  <si>
    <t>당월초과
RS</t>
    <phoneticPr fontId="2" type="noConversion"/>
  </si>
  <si>
    <t>누적초과_RS</t>
    <phoneticPr fontId="2" type="noConversion"/>
  </si>
  <si>
    <t>비고</t>
    <phoneticPr fontId="2" type="noConversion"/>
  </si>
  <si>
    <t>마왕의 아이를 키우는 법 (How to Raise the Devil's Child)</t>
    <phoneticPr fontId="2" type="noConversion"/>
  </si>
  <si>
    <t>작품 이관 (케이티 → 스토리위즈)</t>
    <phoneticPr fontId="2" type="noConversion"/>
  </si>
  <si>
    <t>환율</t>
    <phoneticPr fontId="2" type="noConversion"/>
  </si>
  <si>
    <t>결제
수수료</t>
    <phoneticPr fontId="2" type="noConversion"/>
  </si>
  <si>
    <t>플래폼_순거래액
(단위  원)</t>
    <phoneticPr fontId="2" type="noConversion"/>
  </si>
  <si>
    <t>KP%</t>
    <phoneticPr fontId="2" type="noConversion"/>
  </si>
  <si>
    <t>PAGE 매출액
(단위 원)</t>
    <phoneticPr fontId="2" type="noConversion"/>
  </si>
  <si>
    <t>연동비MG
(미오픈 제외)</t>
    <phoneticPr fontId="2" type="noConversion"/>
  </si>
  <si>
    <t>전월잔여_MG</t>
    <phoneticPr fontId="2" type="noConversion"/>
  </si>
  <si>
    <t>당월초과
RS</t>
    <phoneticPr fontId="2" type="noConversion"/>
  </si>
  <si>
    <t>not alone (Not Alone)</t>
    <phoneticPr fontId="2" type="noConversion"/>
  </si>
  <si>
    <t>2022.02</t>
    <phoneticPr fontId="2" type="noConversion"/>
  </si>
  <si>
    <t>O</t>
    <phoneticPr fontId="2" type="noConversion"/>
  </si>
  <si>
    <t>2022.03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</si>
</sst>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-* #,##0_-;\-* #,##0_-;_-* &quot;-&quot;_-;_-@_-"/>
    <numFmt numFmtId="176" formatCode="0_);[Red]\(0\)"/>
    <numFmt numFmtId="177" formatCode="#,##0.0000_ ;[Red]\-#,##0.0000\ "/>
    <numFmt numFmtId="178" formatCode="#,##0.0_ ;[Red]\-#,##0.0\ "/>
    <numFmt numFmtId="179" formatCode="#,##0_ ;[Red]\-#,##0\ "/>
    <numFmt numFmtId="180" formatCode="yyyy&quot;/&quot;mm&quot;/&quot;dd\ aaa"/>
    <numFmt numFmtId="181" formatCode="yyyy&quot;년&quot;\ mm&quot;월&quot;;@"/>
    <numFmt numFmtId="182" formatCode="_(* #,##0_);_(* \(#,##0\);_(* &quot;-&quot;_);_(@_)"/>
    <numFmt numFmtId="183" formatCode="_-* #,##0.0000_-;\-* #,##0.000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9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rgb="FF40404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5F8FD"/>
        <bgColor indexed="64"/>
      </patternFill>
    </fill>
    <fill>
      <patternFill patternType="solid">
        <fgColor rgb="FFFEF4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9" fillId="0" borderId="0" applyFont="0" applyFill="0" applyBorder="0" applyAlignment="0" applyProtection="0"/>
    <xf numFmtId="182" fontId="9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</cellStyleXfs>
  <cellXfs count="15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Fill="1" applyAlignment="1" applyProtection="1">
      <alignment horizontal="center" vertical="center"/>
      <protection locked="0"/>
    </xf>
    <xf numFmtId="178" fontId="8" fillId="0" borderId="0" xfId="3" applyNumberFormat="1" applyFont="1" applyFill="1" applyAlignment="1" applyProtection="1">
      <alignment horizontal="center" vertical="center" shrinkToFit="1"/>
      <protection locked="0"/>
    </xf>
    <xf numFmtId="176" fontId="8" fillId="0" borderId="0" xfId="0" applyNumberFormat="1" applyFont="1" applyFill="1" applyAlignment="1" applyProtection="1">
      <alignment horizontal="center" vertical="center"/>
      <protection locked="0"/>
    </xf>
    <xf numFmtId="180" fontId="8" fillId="0" borderId="0" xfId="0" applyNumberFormat="1" applyFont="1" applyFill="1" applyAlignment="1" applyProtection="1">
      <alignment horizontal="center" vertical="center"/>
      <protection locked="0"/>
    </xf>
    <xf numFmtId="177" fontId="8" fillId="0" borderId="0" xfId="3" applyNumberFormat="1" applyFont="1" applyFill="1" applyAlignment="1" applyProtection="1">
      <alignment horizontal="center" vertical="center" shrinkToFit="1"/>
      <protection locked="0"/>
    </xf>
    <xf numFmtId="9" fontId="8" fillId="0" borderId="0" xfId="3" applyFont="1" applyFill="1" applyAlignment="1" applyProtection="1">
      <alignment horizontal="center" vertical="center" shrinkToFit="1"/>
      <protection locked="0"/>
    </xf>
    <xf numFmtId="179" fontId="8" fillId="0" borderId="0" xfId="3" applyNumberFormat="1" applyFont="1" applyFill="1" applyAlignment="1" applyProtection="1">
      <alignment horizontal="center" vertical="center" shrinkToFit="1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176" fontId="11" fillId="3" borderId="2" xfId="0" applyNumberFormat="1" applyFont="1" applyFill="1" applyBorder="1" applyAlignment="1" applyProtection="1">
      <alignment horizontal="center" vertical="center"/>
      <protection locked="0"/>
    </xf>
    <xf numFmtId="181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180" fontId="11" fillId="3" borderId="3" xfId="0" applyNumberFormat="1" applyFont="1" applyFill="1" applyBorder="1" applyAlignment="1" applyProtection="1">
      <alignment horizontal="center" vertical="center"/>
      <protection locked="0"/>
    </xf>
    <xf numFmtId="178" fontId="11" fillId="3" borderId="3" xfId="4" applyNumberFormat="1" applyFont="1" applyFill="1" applyBorder="1" applyAlignment="1" applyProtection="1">
      <alignment horizontal="right" vertical="center" shrinkToFit="1"/>
      <protection locked="0"/>
    </xf>
    <xf numFmtId="177" fontId="11" fillId="3" borderId="3" xfId="4" applyNumberFormat="1" applyFont="1" applyFill="1" applyBorder="1" applyAlignment="1" applyProtection="1">
      <alignment horizontal="center" vertical="center" shrinkToFit="1"/>
      <protection locked="0"/>
    </xf>
    <xf numFmtId="9" fontId="11" fillId="3" borderId="3" xfId="3" applyFont="1" applyFill="1" applyBorder="1" applyAlignment="1" applyProtection="1">
      <alignment horizontal="right" vertical="center" shrinkToFit="1"/>
      <protection locked="0"/>
    </xf>
    <xf numFmtId="179" fontId="11" fillId="3" borderId="3" xfId="4" applyNumberFormat="1" applyFont="1" applyFill="1" applyBorder="1" applyAlignment="1" applyProtection="1">
      <alignment horizontal="right" vertical="center" shrinkToFit="1"/>
      <protection locked="0"/>
    </xf>
    <xf numFmtId="9" fontId="11" fillId="3" borderId="3" xfId="3" applyFont="1" applyFill="1" applyBorder="1" applyAlignment="1" applyProtection="1">
      <alignment horizontal="center" vertical="center" shrinkToFit="1"/>
      <protection locked="0"/>
    </xf>
    <xf numFmtId="179" fontId="11" fillId="3" borderId="3" xfId="4" applyNumberFormat="1" applyFont="1" applyFill="1" applyBorder="1" applyAlignment="1" applyProtection="1">
      <alignment horizontal="center" vertical="center" shrinkToFit="1"/>
      <protection locked="0"/>
    </xf>
    <xf numFmtId="0" fontId="12" fillId="0" borderId="0" xfId="0" applyFont="1" applyFill="1" applyAlignment="1" applyProtection="1">
      <alignment horizontal="center" vertical="top"/>
      <protection locked="0"/>
    </xf>
    <xf numFmtId="176" fontId="11" fillId="0" borderId="0" xfId="0" applyNumberFormat="1" applyFont="1" applyFill="1" applyAlignment="1" applyProtection="1">
      <alignment horizontal="center" vertical="top"/>
      <protection locked="0"/>
    </xf>
    <xf numFmtId="181" fontId="11" fillId="0" borderId="0" xfId="0" applyNumberFormat="1" applyFont="1" applyFill="1" applyAlignment="1">
      <alignment horizontal="center" vertical="top"/>
    </xf>
    <xf numFmtId="0" fontId="11" fillId="0" borderId="4" xfId="0" applyFont="1" applyFill="1" applyBorder="1" applyAlignment="1">
      <alignment horizontal="center" vertical="top"/>
    </xf>
    <xf numFmtId="180" fontId="11" fillId="0" borderId="4" xfId="0" applyNumberFormat="1" applyFont="1" applyFill="1" applyBorder="1" applyAlignment="1">
      <alignment horizontal="center" vertical="top"/>
    </xf>
    <xf numFmtId="178" fontId="11" fillId="0" borderId="4" xfId="3" applyNumberFormat="1" applyFont="1" applyFill="1" applyBorder="1" applyAlignment="1" applyProtection="1">
      <alignment horizontal="center" vertical="top" wrapText="1" shrinkToFit="1"/>
    </xf>
    <xf numFmtId="177" fontId="11" fillId="0" borderId="4" xfId="3" applyNumberFormat="1" applyFont="1" applyFill="1" applyBorder="1" applyAlignment="1" applyProtection="1">
      <alignment horizontal="center" vertical="top" wrapText="1" shrinkToFit="1"/>
    </xf>
    <xf numFmtId="9" fontId="11" fillId="0" borderId="4" xfId="3" applyFont="1" applyFill="1" applyBorder="1" applyAlignment="1" applyProtection="1">
      <alignment horizontal="center" vertical="top" wrapText="1" shrinkToFit="1"/>
    </xf>
    <xf numFmtId="179" fontId="11" fillId="0" borderId="4" xfId="3" applyNumberFormat="1" applyFont="1" applyFill="1" applyBorder="1" applyAlignment="1" applyProtection="1">
      <alignment horizontal="center" vertical="top" wrapText="1" shrinkToFit="1"/>
    </xf>
    <xf numFmtId="9" fontId="11" fillId="0" borderId="4" xfId="3" applyFont="1" applyFill="1" applyBorder="1" applyAlignment="1" applyProtection="1">
      <alignment horizontal="center" vertical="top" shrinkToFit="1"/>
    </xf>
    <xf numFmtId="178" fontId="11" fillId="0" borderId="4" xfId="3" applyNumberFormat="1" applyFont="1" applyFill="1" applyBorder="1" applyAlignment="1" applyProtection="1">
      <alignment horizontal="center" vertical="top" shrinkToFit="1"/>
    </xf>
    <xf numFmtId="0" fontId="12" fillId="0" borderId="0" xfId="0" applyFont="1" applyFill="1" applyAlignment="1" applyProtection="1">
      <alignment vertical="center"/>
      <protection locked="0"/>
    </xf>
    <xf numFmtId="176" fontId="13" fillId="0" borderId="0" xfId="3" applyNumberFormat="1" applyFont="1" applyFill="1" applyAlignment="1" applyProtection="1">
      <alignment horizontal="center" vertical="center"/>
    </xf>
    <xf numFmtId="181" fontId="12" fillId="0" borderId="0" xfId="3" applyNumberFormat="1" applyFont="1" applyFill="1" applyAlignment="1" applyProtection="1">
      <alignment horizontal="center" vertical="center"/>
    </xf>
    <xf numFmtId="179" fontId="12" fillId="0" borderId="0" xfId="3" applyNumberFormat="1" applyFont="1" applyFill="1" applyAlignment="1" applyProtection="1">
      <alignment horizontal="center" vertical="center"/>
    </xf>
    <xf numFmtId="0" fontId="12" fillId="0" borderId="0" xfId="0" applyFont="1" applyFill="1" applyAlignment="1">
      <alignment horizontal="left" vertical="center"/>
    </xf>
    <xf numFmtId="180" fontId="12" fillId="0" borderId="0" xfId="0" applyNumberFormat="1" applyFont="1" applyFill="1" applyAlignment="1">
      <alignment horizontal="center" vertical="center"/>
    </xf>
    <xf numFmtId="180" fontId="12" fillId="0" borderId="0" xfId="0" applyNumberFormat="1" applyFont="1" applyFill="1" applyAlignment="1">
      <alignment horizontal="left" vertical="center"/>
    </xf>
    <xf numFmtId="178" fontId="12" fillId="0" borderId="0" xfId="3" applyNumberFormat="1" applyFont="1" applyFill="1" applyBorder="1" applyAlignment="1" applyProtection="1">
      <alignment horizontal="right" vertical="center" shrinkToFit="1"/>
    </xf>
    <xf numFmtId="177" fontId="12" fillId="0" borderId="0" xfId="3" applyNumberFormat="1" applyFont="1" applyFill="1" applyBorder="1" applyAlignment="1" applyProtection="1">
      <alignment horizontal="center" vertical="center" shrinkToFit="1"/>
    </xf>
    <xf numFmtId="9" fontId="12" fillId="0" borderId="0" xfId="3" applyFont="1" applyFill="1" applyBorder="1" applyAlignment="1" applyProtection="1">
      <alignment horizontal="center" vertical="center" shrinkToFit="1"/>
    </xf>
    <xf numFmtId="179" fontId="12" fillId="0" borderId="0" xfId="3" applyNumberFormat="1" applyFont="1" applyFill="1" applyBorder="1" applyAlignment="1" applyProtection="1">
      <alignment horizontal="right" vertical="center" shrinkToFit="1"/>
    </xf>
    <xf numFmtId="178" fontId="12" fillId="2" borderId="0" xfId="3" applyNumberFormat="1" applyFont="1" applyFill="1" applyBorder="1" applyAlignment="1" applyProtection="1">
      <alignment horizontal="right" vertical="center" shrinkToFit="1"/>
    </xf>
    <xf numFmtId="178" fontId="12" fillId="4" borderId="0" xfId="3" applyNumberFormat="1" applyFont="1" applyFill="1" applyBorder="1" applyAlignment="1" applyProtection="1">
      <alignment horizontal="right" vertical="center" shrinkToFit="1"/>
    </xf>
    <xf numFmtId="178" fontId="12" fillId="5" borderId="0" xfId="3" applyNumberFormat="1" applyFont="1" applyFill="1" applyBorder="1" applyAlignment="1" applyProtection="1">
      <alignment horizontal="right" vertical="center" shrinkToFit="1"/>
    </xf>
    <xf numFmtId="179" fontId="12" fillId="0" borderId="0" xfId="3" applyNumberFormat="1" applyFont="1" applyFill="1" applyBorder="1" applyAlignment="1" applyProtection="1">
      <alignment horizontal="center" vertical="center" shrinkToFit="1"/>
    </xf>
    <xf numFmtId="0" fontId="12" fillId="0" borderId="0" xfId="0" applyFont="1" applyFill="1" applyAlignment="1" applyProtection="1">
      <alignment horizontal="center" vertical="center"/>
      <protection locked="0"/>
    </xf>
    <xf numFmtId="179" fontId="12" fillId="0" borderId="0" xfId="3" applyNumberFormat="1" applyFont="1" applyFill="1" applyAlignment="1" applyProtection="1">
      <alignment horizontal="right" vertical="center" shrinkToFit="1"/>
      <protection locked="0"/>
    </xf>
    <xf numFmtId="0" fontId="14" fillId="2" borderId="1" xfId="0" applyFont="1" applyFill="1" applyBorder="1" applyAlignment="1">
      <alignment horizontal="center" vertical="center"/>
    </xf>
    <xf numFmtId="41" fontId="4" fillId="0" borderId="1" xfId="1" applyFont="1" applyFill="1" applyBorder="1" applyAlignment="1">
      <alignment horizontal="right" vertical="center"/>
    </xf>
    <xf numFmtId="41" fontId="4" fillId="0" borderId="1" xfId="1" applyFont="1" applyFill="1" applyBorder="1">
      <alignment vertical="center"/>
    </xf>
    <xf numFmtId="41" fontId="14" fillId="0" borderId="1" xfId="1" applyFont="1" applyFill="1" applyBorder="1" applyAlignment="1">
      <alignment horizontal="center" vertical="center"/>
    </xf>
    <xf numFmtId="183" fontId="4" fillId="0" borderId="1" xfId="1" applyNumberFormat="1" applyFont="1" applyFill="1" applyBorder="1" applyAlignment="1">
      <alignment horizontal="right" vertical="center"/>
    </xf>
    <xf numFmtId="0" fontId="12" fillId="0" borderId="0" xfId="0" applyFont="1" applyFill="1" applyAlignment="1" applyProtection="1">
      <alignment vertical="center"/>
    </xf>
    <xf numFmtId="180" fontId="12" fillId="0" borderId="0" xfId="0" applyNumberFormat="1" applyFont="1" applyFill="1" applyAlignment="1" applyProtection="1">
      <alignment horizontal="center" vertical="center"/>
    </xf>
    <xf numFmtId="180" fontId="12" fillId="0" borderId="0" xfId="0" applyNumberFormat="1" applyFont="1" applyFill="1" applyAlignment="1" applyProtection="1">
      <alignment horizontal="left" vertical="center"/>
    </xf>
    <xf numFmtId="176" fontId="13" fillId="0" borderId="0" xfId="5" applyNumberFormat="1" applyFont="1" applyFill="1" applyAlignment="1" applyProtection="1">
      <alignment horizontal="center" vertical="center"/>
    </xf>
    <xf numFmtId="181" fontId="12" fillId="0" borderId="0" xfId="5" applyNumberFormat="1" applyFont="1" applyFill="1" applyAlignment="1" applyProtection="1">
      <alignment horizontal="center" vertical="center"/>
    </xf>
    <xf numFmtId="179" fontId="12" fillId="0" borderId="0" xfId="5" applyNumberFormat="1" applyFont="1" applyFill="1" applyAlignment="1" applyProtection="1">
      <alignment horizontal="center" vertical="center"/>
    </xf>
    <xf numFmtId="180" fontId="12" fillId="0" borderId="0" xfId="3" applyNumberFormat="1" applyFont="1" applyFill="1" applyAlignment="1" applyProtection="1">
      <alignment horizontal="left" vertical="center"/>
    </xf>
    <xf numFmtId="178" fontId="12" fillId="0" borderId="0" xfId="5" applyNumberFormat="1" applyFont="1" applyFill="1" applyAlignment="1" applyProtection="1">
      <alignment horizontal="right" vertical="center" shrinkToFit="1"/>
    </xf>
    <xf numFmtId="177" fontId="12" fillId="0" borderId="0" xfId="5" applyNumberFormat="1" applyFont="1" applyFill="1" applyAlignment="1" applyProtection="1">
      <alignment horizontal="center" vertical="center" shrinkToFit="1"/>
    </xf>
    <xf numFmtId="9" fontId="12" fillId="0" borderId="0" xfId="5" applyFont="1" applyFill="1" applyAlignment="1" applyProtection="1">
      <alignment horizontal="center" vertical="center" shrinkToFit="1"/>
    </xf>
    <xf numFmtId="179" fontId="12" fillId="0" borderId="0" xfId="5" applyNumberFormat="1" applyFont="1" applyFill="1" applyAlignment="1" applyProtection="1">
      <alignment horizontal="right" vertical="center" shrinkToFit="1"/>
    </xf>
    <xf numFmtId="178" fontId="12" fillId="2" borderId="0" xfId="5" applyNumberFormat="1" applyFont="1" applyFill="1" applyAlignment="1" applyProtection="1">
      <alignment horizontal="right" vertical="center" shrinkToFit="1"/>
    </xf>
    <xf numFmtId="178" fontId="12" fillId="4" borderId="0" xfId="5" applyNumberFormat="1" applyFont="1" applyFill="1" applyAlignment="1" applyProtection="1">
      <alignment horizontal="right" vertical="center" shrinkToFit="1"/>
    </xf>
    <xf numFmtId="178" fontId="12" fillId="5" borderId="0" xfId="5" applyNumberFormat="1" applyFont="1" applyFill="1" applyAlignment="1" applyProtection="1">
      <alignment horizontal="right" vertical="center" shrinkToFit="1"/>
    </xf>
    <xf numFmtId="179" fontId="12" fillId="0" borderId="0" xfId="5" applyNumberFormat="1" applyFont="1" applyFill="1" applyAlignment="1" applyProtection="1">
      <alignment horizontal="center" vertical="center" shrinkToFit="1"/>
    </xf>
    <xf numFmtId="41" fontId="4" fillId="0" borderId="1" xfId="1" applyFont="1" applyFill="1" applyBorder="1" applyAlignment="1">
      <alignment horizontal="center" vertical="center"/>
    </xf>
    <xf numFmtId="41" fontId="4" fillId="0" borderId="1" xfId="1" applyNumberFormat="1" applyFont="1" applyFill="1" applyBorder="1" applyAlignment="1">
      <alignment horizontal="right" vertical="center"/>
    </xf>
    <xf numFmtId="9" fontId="4" fillId="0" borderId="1" xfId="5" applyFont="1" applyFill="1" applyBorder="1">
      <alignment vertical="center"/>
    </xf>
    <xf numFmtId="41" fontId="4" fillId="6" borderId="1" xfId="1" applyFont="1" applyFill="1" applyBorder="1">
      <alignment vertical="center"/>
    </xf>
    <xf numFmtId="181" fontId="12" fillId="0" borderId="5" xfId="5" applyNumberFormat="1" applyFont="1" applyFill="1" applyBorder="1" applyAlignment="1" applyProtection="1">
      <alignment horizontal="center" vertical="center"/>
    </xf>
    <xf numFmtId="179" fontId="12" fillId="0" borderId="5" xfId="5" applyNumberFormat="1" applyFont="1" applyFill="1" applyBorder="1" applyAlignment="1" applyProtection="1">
      <alignment horizontal="center" vertical="center"/>
    </xf>
    <xf numFmtId="0" fontId="12" fillId="0" borderId="5" xfId="0" applyFont="1" applyFill="1" applyBorder="1" applyAlignment="1" applyProtection="1">
      <alignment vertical="center"/>
    </xf>
    <xf numFmtId="180" fontId="12" fillId="0" borderId="5" xfId="0" applyNumberFormat="1" applyFont="1" applyFill="1" applyBorder="1" applyAlignment="1" applyProtection="1">
      <alignment horizontal="center" vertical="center"/>
    </xf>
    <xf numFmtId="180" fontId="12" fillId="0" borderId="5" xfId="0" applyNumberFormat="1" applyFont="1" applyFill="1" applyBorder="1" applyAlignment="1" applyProtection="1">
      <alignment horizontal="left" vertical="center"/>
    </xf>
    <xf numFmtId="180" fontId="12" fillId="0" borderId="5" xfId="3" applyNumberFormat="1" applyFont="1" applyFill="1" applyBorder="1" applyAlignment="1" applyProtection="1">
      <alignment horizontal="left" vertical="center"/>
    </xf>
    <xf numFmtId="178" fontId="12" fillId="0" borderId="5" xfId="5" applyNumberFormat="1" applyFont="1" applyFill="1" applyBorder="1" applyAlignment="1" applyProtection="1">
      <alignment horizontal="right" vertical="center" shrinkToFit="1"/>
    </xf>
    <xf numFmtId="177" fontId="12" fillId="0" borderId="5" xfId="5" applyNumberFormat="1" applyFont="1" applyFill="1" applyBorder="1" applyAlignment="1" applyProtection="1">
      <alignment horizontal="center" vertical="center" shrinkToFit="1"/>
    </xf>
    <xf numFmtId="9" fontId="12" fillId="0" borderId="5" xfId="5" applyNumberFormat="1" applyFont="1" applyFill="1" applyBorder="1" applyAlignment="1" applyProtection="1">
      <alignment horizontal="center" vertical="center" shrinkToFit="1"/>
    </xf>
    <xf numFmtId="179" fontId="12" fillId="0" borderId="5" xfId="5" applyNumberFormat="1" applyFont="1" applyFill="1" applyBorder="1" applyAlignment="1" applyProtection="1">
      <alignment horizontal="right" vertical="center" shrinkToFit="1"/>
    </xf>
    <xf numFmtId="178" fontId="12" fillId="2" borderId="5" xfId="5" applyNumberFormat="1" applyFont="1" applyFill="1" applyBorder="1" applyAlignment="1" applyProtection="1">
      <alignment horizontal="right" vertical="center" shrinkToFit="1"/>
    </xf>
    <xf numFmtId="178" fontId="12" fillId="4" borderId="5" xfId="5" applyNumberFormat="1" applyFont="1" applyFill="1" applyBorder="1" applyAlignment="1" applyProtection="1">
      <alignment horizontal="right" vertical="center" shrinkToFit="1"/>
    </xf>
    <xf numFmtId="178" fontId="12" fillId="5" borderId="5" xfId="5" applyNumberFormat="1" applyFont="1" applyFill="1" applyBorder="1" applyAlignment="1" applyProtection="1">
      <alignment horizontal="right" vertical="center" shrinkToFit="1"/>
    </xf>
    <xf numFmtId="179" fontId="12" fillId="0" borderId="5" xfId="5" applyNumberFormat="1" applyFont="1" applyFill="1" applyBorder="1" applyAlignment="1" applyProtection="1">
      <alignment horizontal="center" vertical="center" shrinkToFit="1"/>
    </xf>
    <xf numFmtId="176" fontId="13" fillId="0" borderId="0" xfId="0" applyNumberFormat="1" applyFont="1" applyFill="1" applyAlignment="1" applyProtection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0" fillId="0" borderId="0" xfId="0">
      <alignment vertical="center"/>
    </xf>
    <xf numFmtId="180" fontId="12" fillId="7" borderId="6" xfId="0" applyNumberFormat="1" applyFont="1" applyFill="1" applyBorder="1" applyAlignment="1">
      <alignment horizontal="center" vertical="center"/>
    </xf>
    <xf numFmtId="180" fontId="12" fillId="7" borderId="6" xfId="0" applyNumberFormat="1" applyFont="1" applyFill="1" applyBorder="1" applyAlignment="1">
      <alignment horizontal="left" vertical="center"/>
    </xf>
    <xf numFmtId="181" fontId="12" fillId="7" borderId="6" xfId="7" applyNumberFormat="1" applyFont="1" applyFill="1" applyBorder="1" applyAlignment="1">
      <alignment horizontal="center" vertical="center"/>
    </xf>
    <xf numFmtId="179" fontId="12" fillId="7" borderId="6" xfId="7" applyNumberFormat="1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vertical="center"/>
    </xf>
    <xf numFmtId="180" fontId="12" fillId="7" borderId="6" xfId="3" applyNumberFormat="1" applyFont="1" applyFill="1" applyBorder="1" applyAlignment="1">
      <alignment horizontal="left" vertical="center"/>
    </xf>
    <xf numFmtId="178" fontId="12" fillId="7" borderId="6" xfId="7" applyNumberFormat="1" applyFont="1" applyFill="1" applyBorder="1" applyAlignment="1">
      <alignment horizontal="right" vertical="center" shrinkToFit="1"/>
    </xf>
    <xf numFmtId="177" fontId="12" fillId="7" borderId="6" xfId="7" applyNumberFormat="1" applyFont="1" applyFill="1" applyBorder="1" applyAlignment="1">
      <alignment horizontal="center" vertical="center" shrinkToFit="1"/>
    </xf>
    <xf numFmtId="9" fontId="12" fillId="7" borderId="6" xfId="7" applyNumberFormat="1" applyFont="1" applyFill="1" applyBorder="1" applyAlignment="1">
      <alignment horizontal="center" vertical="center" shrinkToFit="1"/>
    </xf>
    <xf numFmtId="179" fontId="12" fillId="7" borderId="6" xfId="7" applyNumberFormat="1" applyFont="1" applyFill="1" applyBorder="1" applyAlignment="1">
      <alignment horizontal="right" vertical="center" shrinkToFit="1"/>
    </xf>
    <xf numFmtId="178" fontId="12" fillId="2" borderId="6" xfId="7" applyNumberFormat="1" applyFont="1" applyFill="1" applyBorder="1" applyAlignment="1">
      <alignment horizontal="right" vertical="center" shrinkToFit="1"/>
    </xf>
    <xf numFmtId="178" fontId="12" fillId="4" borderId="6" xfId="7" applyNumberFormat="1" applyFont="1" applyFill="1" applyBorder="1" applyAlignment="1">
      <alignment horizontal="right" vertical="center" shrinkToFit="1"/>
    </xf>
    <xf numFmtId="178" fontId="12" fillId="5" borderId="6" xfId="7" applyNumberFormat="1" applyFont="1" applyFill="1" applyBorder="1" applyAlignment="1">
      <alignment horizontal="right" vertical="center" shrinkToFit="1"/>
    </xf>
    <xf numFmtId="179" fontId="12" fillId="7" borderId="6" xfId="7" applyNumberFormat="1" applyFont="1" applyFill="1" applyBorder="1" applyAlignment="1">
      <alignment horizontal="center" vertical="center" shrinkToFit="1"/>
    </xf>
    <xf numFmtId="181" fontId="12" fillId="0" borderId="0" xfId="7" applyNumberFormat="1" applyFont="1" applyFill="1" applyAlignment="1" applyProtection="1">
      <alignment horizontal="center" vertical="center"/>
    </xf>
    <xf numFmtId="179" fontId="12" fillId="0" borderId="0" xfId="7" applyNumberFormat="1" applyFont="1" applyFill="1" applyAlignment="1" applyProtection="1">
      <alignment horizontal="center" vertical="center"/>
    </xf>
    <xf numFmtId="178" fontId="12" fillId="0" borderId="0" xfId="7" applyNumberFormat="1" applyFont="1" applyFill="1" applyAlignment="1" applyProtection="1">
      <alignment horizontal="right" vertical="center" shrinkToFit="1"/>
    </xf>
    <xf numFmtId="177" fontId="12" fillId="0" borderId="0" xfId="7" applyNumberFormat="1" applyFont="1" applyFill="1" applyAlignment="1" applyProtection="1">
      <alignment horizontal="center" vertical="center" shrinkToFit="1"/>
    </xf>
    <xf numFmtId="9" fontId="12" fillId="0" borderId="0" xfId="7" applyFont="1" applyFill="1" applyAlignment="1" applyProtection="1">
      <alignment horizontal="center" vertical="center" shrinkToFit="1"/>
    </xf>
    <xf numFmtId="179" fontId="12" fillId="0" borderId="0" xfId="7" applyNumberFormat="1" applyFont="1" applyFill="1" applyAlignment="1" applyProtection="1">
      <alignment horizontal="right" vertical="center" shrinkToFit="1"/>
    </xf>
    <xf numFmtId="178" fontId="12" fillId="2" borderId="0" xfId="7" applyNumberFormat="1" applyFont="1" applyFill="1" applyAlignment="1" applyProtection="1">
      <alignment horizontal="right" vertical="center" shrinkToFit="1"/>
    </xf>
    <xf numFmtId="178" fontId="12" fillId="4" borderId="0" xfId="7" applyNumberFormat="1" applyFont="1" applyFill="1" applyAlignment="1" applyProtection="1">
      <alignment horizontal="right" vertical="center" shrinkToFit="1"/>
    </xf>
    <xf numFmtId="178" fontId="12" fillId="5" borderId="0" xfId="7" applyNumberFormat="1" applyFont="1" applyFill="1" applyAlignment="1" applyProtection="1">
      <alignment horizontal="right" vertical="center" shrinkToFit="1"/>
    </xf>
    <xf numFmtId="179" fontId="12" fillId="0" borderId="0" xfId="7" applyNumberFormat="1" applyFont="1" applyFill="1" applyAlignment="1" applyProtection="1">
      <alignment horizontal="center" vertical="center" shrinkToFit="1"/>
    </xf>
    <xf numFmtId="176" fontId="13" fillId="0" borderId="0" xfId="7" applyNumberFormat="1" applyFont="1" applyFill="1" applyAlignment="1" applyProtection="1">
      <alignment horizontal="center" vertical="center"/>
    </xf>
    <xf numFmtId="176" fontId="13" fillId="7" borderId="6" xfId="7" applyNumberFormat="1" applyFont="1" applyFill="1" applyBorder="1" applyAlignment="1">
      <alignment horizontal="center" vertical="center"/>
    </xf>
    <xf numFmtId="176" fontId="13" fillId="7" borderId="0" xfId="7" applyNumberFormat="1" applyFont="1" applyFill="1" applyBorder="1" applyAlignment="1">
      <alignment horizontal="center" vertical="center"/>
    </xf>
    <xf numFmtId="179" fontId="12" fillId="7" borderId="0" xfId="7" applyNumberFormat="1" applyFont="1" applyFill="1" applyBorder="1" applyAlignment="1">
      <alignment horizontal="center" vertical="center" shrinkToFit="1"/>
    </xf>
    <xf numFmtId="180" fontId="12" fillId="0" borderId="0" xfId="3" applyNumberFormat="1" applyFont="1" applyFill="1" applyAlignment="1" applyProtection="1">
      <alignment horizontal="left" vertical="center"/>
    </xf>
    <xf numFmtId="0" fontId="0" fillId="0" borderId="1" xfId="0" applyBorder="1">
      <alignment vertical="center"/>
    </xf>
    <xf numFmtId="179" fontId="12" fillId="0" borderId="0" xfId="0" applyNumberFormat="1" applyFont="1" applyFill="1" applyAlignment="1" applyProtection="1">
      <alignment horizontal="center" vertical="center" shrinkToFit="1"/>
    </xf>
    <xf numFmtId="181" fontId="11" fillId="0" borderId="0" xfId="0" applyNumberFormat="1" applyFont="1" applyFill="1" applyAlignment="1" applyProtection="1">
      <alignment horizontal="center" vertical="top"/>
      <protection locked="0"/>
    </xf>
    <xf numFmtId="0" fontId="11" fillId="0" borderId="4" xfId="0" applyFont="1" applyFill="1" applyBorder="1" applyAlignment="1" applyProtection="1">
      <alignment horizontal="center" vertical="top"/>
      <protection locked="0"/>
    </xf>
    <xf numFmtId="180" fontId="11" fillId="0" borderId="4" xfId="0" applyNumberFormat="1" applyFont="1" applyFill="1" applyBorder="1" applyAlignment="1" applyProtection="1">
      <alignment horizontal="center" vertical="top"/>
      <protection locked="0"/>
    </xf>
    <xf numFmtId="178" fontId="11" fillId="0" borderId="4" xfId="3" applyNumberFormat="1" applyFont="1" applyFill="1" applyBorder="1" applyAlignment="1" applyProtection="1">
      <alignment horizontal="center" vertical="top"/>
      <protection locked="0"/>
    </xf>
    <xf numFmtId="177" fontId="11" fillId="0" borderId="4" xfId="3" applyNumberFormat="1" applyFont="1" applyFill="1" applyBorder="1" applyAlignment="1" applyProtection="1">
      <alignment horizontal="center" vertical="top"/>
      <protection locked="0"/>
    </xf>
    <xf numFmtId="9" fontId="11" fillId="0" borderId="4" xfId="3" applyFont="1" applyFill="1" applyBorder="1" applyAlignment="1" applyProtection="1">
      <alignment horizontal="center" vertical="top"/>
      <protection locked="0"/>
    </xf>
    <xf numFmtId="179" fontId="11" fillId="0" borderId="4" xfId="3" applyNumberFormat="1" applyFont="1" applyFill="1" applyBorder="1" applyAlignment="1" applyProtection="1">
      <alignment horizontal="center" vertical="top"/>
      <protection locked="0"/>
    </xf>
    <xf numFmtId="181" fontId="12" fillId="0" borderId="6" xfId="7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79" fontId="12" fillId="7" borderId="5" xfId="7" applyNumberFormat="1" applyFont="1" applyFill="1" applyBorder="1" applyAlignment="1">
      <alignment horizontal="center" vertical="center" shrinkToFit="1"/>
    </xf>
    <xf numFmtId="176" fontId="16" fillId="0" borderId="7" xfId="5" applyNumberFormat="1" applyFont="1" applyFill="1" applyBorder="1" applyAlignment="1">
      <alignment horizontal="center" vertical="center"/>
    </xf>
    <xf numFmtId="181" fontId="16" fillId="0" borderId="7" xfId="5" applyNumberFormat="1" applyFont="1" applyFill="1" applyBorder="1" applyAlignment="1">
      <alignment horizontal="center" vertical="center"/>
    </xf>
    <xf numFmtId="179" fontId="16" fillId="0" borderId="7" xfId="5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vertical="center"/>
    </xf>
    <xf numFmtId="180" fontId="16" fillId="0" borderId="7" xfId="0" applyNumberFormat="1" applyFont="1" applyFill="1" applyBorder="1" applyAlignment="1">
      <alignment horizontal="center" vertical="center"/>
    </xf>
    <xf numFmtId="180" fontId="16" fillId="0" borderId="7" xfId="0" applyNumberFormat="1" applyFont="1" applyFill="1" applyBorder="1" applyAlignment="1">
      <alignment horizontal="left" vertical="center"/>
    </xf>
    <xf numFmtId="180" fontId="16" fillId="0" borderId="7" xfId="3" applyNumberFormat="1" applyFont="1" applyFill="1" applyBorder="1" applyAlignment="1">
      <alignment horizontal="left" vertical="center"/>
    </xf>
    <xf numFmtId="178" fontId="16" fillId="0" borderId="7" xfId="5" applyNumberFormat="1" applyFont="1" applyFill="1" applyBorder="1" applyAlignment="1">
      <alignment horizontal="right" vertical="center" shrinkToFit="1"/>
    </xf>
    <xf numFmtId="177" fontId="16" fillId="0" borderId="7" xfId="5" applyNumberFormat="1" applyFont="1" applyFill="1" applyBorder="1" applyAlignment="1">
      <alignment horizontal="center" vertical="center" shrinkToFit="1"/>
    </xf>
    <xf numFmtId="9" fontId="16" fillId="0" borderId="7" xfId="5" applyNumberFormat="1" applyFont="1" applyFill="1" applyBorder="1" applyAlignment="1">
      <alignment horizontal="center" vertical="center" shrinkToFit="1"/>
    </xf>
    <xf numFmtId="179" fontId="16" fillId="0" borderId="7" xfId="5" applyNumberFormat="1" applyFont="1" applyFill="1" applyBorder="1" applyAlignment="1">
      <alignment horizontal="right" vertical="center" shrinkToFit="1"/>
    </xf>
    <xf numFmtId="179" fontId="16" fillId="0" borderId="7" xfId="5" applyNumberFormat="1" applyFont="1" applyFill="1" applyBorder="1" applyAlignment="1">
      <alignment horizontal="center" vertical="center" shrinkToFit="1"/>
    </xf>
    <xf numFmtId="0" fontId="14" fillId="6" borderId="1" xfId="0" quotePrefix="1" applyFont="1" applyFill="1" applyBorder="1" applyAlignment="1">
      <alignment horizontal="center" vertical="center"/>
    </xf>
    <xf numFmtId="41" fontId="14" fillId="6" borderId="1" xfId="1" applyFont="1" applyFill="1" applyBorder="1" applyAlignment="1">
      <alignment horizontal="center" vertical="center"/>
    </xf>
    <xf numFmtId="41" fontId="4" fillId="6" borderId="1" xfId="1" applyFont="1" applyFill="1" applyBorder="1" applyAlignment="1">
      <alignment horizontal="center" vertical="center"/>
    </xf>
    <xf numFmtId="183" fontId="4" fillId="6" borderId="1" xfId="1" applyNumberFormat="1" applyFont="1" applyFill="1" applyBorder="1" applyAlignment="1">
      <alignment horizontal="right" vertical="center"/>
    </xf>
    <xf numFmtId="41" fontId="4" fillId="6" borderId="1" xfId="1" applyNumberFormat="1" applyFont="1" applyFill="1" applyBorder="1" applyAlignment="1">
      <alignment horizontal="right" vertical="center"/>
    </xf>
    <xf numFmtId="9" fontId="4" fillId="6" borderId="1" xfId="5" applyFont="1" applyFill="1" applyBorder="1">
      <alignment vertical="center"/>
    </xf>
    <xf numFmtId="41" fontId="4" fillId="6" borderId="1" xfId="1" applyFont="1" applyFill="1" applyBorder="1" applyAlignment="1">
      <alignment horizontal="right" vertical="center"/>
    </xf>
    <xf numFmtId="0" fontId="0" fillId="6" borderId="1" xfId="0" applyFill="1" applyBorder="1">
      <alignment vertical="center"/>
    </xf>
  </cellXfs>
  <cellStyles count="10">
    <cellStyle name="백분율" xfId="5" builtinId="5"/>
    <cellStyle name="백분율 2" xfId="3"/>
    <cellStyle name="백분율 3" xfId="7"/>
    <cellStyle name="쉼표 [0]" xfId="1" builtinId="6"/>
    <cellStyle name="쉼표 [0] 2" xfId="4"/>
    <cellStyle name="쉼표 [0] 3" xfId="8"/>
    <cellStyle name="쉼표 [0] 4" xfId="9"/>
    <cellStyle name="표준" xfId="0" builtinId="0"/>
    <cellStyle name="표준 2" xfId="2"/>
    <cellStyle name="표준 2 2" xfId="6"/>
  </cellStyles>
  <dxfs count="167"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/>
        <i val="0"/>
        <color rgb="FF79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EF4F4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5F8FD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7" formatCode="#,##0.0000_ ;[Red]\-#,##0.00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1" formatCode="yyyy&quot;년&quot;\ mm&quot;월&quot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none"/>
      </font>
      <numFmt numFmtId="176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rgb="FF404040"/>
        <name val="맑은 고딕"/>
        <scheme val="none"/>
      </font>
      <fill>
        <patternFill patternType="none">
          <fgColor rgb="FF000000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EF4F4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5F8FD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7" formatCode="#,##0.0000_ ;[Red]\-#,##0.00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1" formatCode="yyyy&quot;년&quot;\ mm&quot;월&quot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none"/>
      </font>
      <numFmt numFmtId="176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rgb="FF404040"/>
        <name val="맑은 고딕"/>
        <scheme val="none"/>
      </font>
      <fill>
        <patternFill patternType="none">
          <fgColor rgb="FF000000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EF4F4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5F8FD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7" formatCode="#,##0.0000_ ;[Red]\-#,##0.00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1" formatCode="yyyy&quot;년&quot;\ mm&quot;월&quot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none"/>
      </font>
      <numFmt numFmtId="176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theme="1" tint="0.249977111117893"/>
        <name val="맑은 고딕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EF4F4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rgb="FFF5F8FD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solid">
          <fgColor indexed="64"/>
          <bgColor theme="0" tint="-4.9989318521683403E-2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7" formatCode="#,##0.0000_ ;[Red]\-#,##0.000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8" formatCode="#,##0.0_ ;[Red]\-#,##0.0\ 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1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0" formatCode="yyyy&quot;/&quot;mm&quot;/&quot;dd\ aaa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79" formatCode="#,##0_ ;[Red]\-#,##0\ 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numFmt numFmtId="181" formatCode="yyyy&quot;년&quot;\ mm&quot;월&quot;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none"/>
      </font>
      <numFmt numFmtId="176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9"/>
        <color theme="1" tint="0.249977111117893"/>
        <name val="맑은 고딕"/>
        <scheme val="none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 tint="0.249977111117893"/>
        <name val="맑은 고딕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protection locked="0" hidden="0"/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</dxfs>
  <tableStyles count="2" defaultTableStyle="TableStyleMedium2" defaultPivotStyle="PivotStyleLight16">
    <tableStyle name="피벗 테이블 스타일 1" table="0" count="4">
      <tableStyleElement type="wholeTable" dxfId="166"/>
      <tableStyleElement type="headerRow" dxfId="165"/>
      <tableStyleElement type="pageFieldLabels" dxfId="164"/>
      <tableStyleElement type="pageFieldValues" dxfId="163"/>
    </tableStyle>
    <tableStyle name="표 스타일 1" pivot="0" count="3">
      <tableStyleElement type="wholeTable" dxfId="162"/>
      <tableStyleElement type="headerRow" dxfId="161"/>
      <tableStyleElement type="firstRowStripe" dxfId="1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표_backdata" displayName="표_backdata" ref="A5:AC20" totalsRowShown="0" headerRowDxfId="159" dataDxfId="158">
  <autoFilter ref="A5:AC20"/>
  <tableColumns count="29">
    <tableColumn id="8" name="NO" dataDxfId="157"/>
    <tableColumn id="2" name="월" dataDxfId="156"/>
    <tableColumn id="38" name="카테고리" dataDxfId="155"/>
    <tableColumn id="3" name="작품명(인도네시아)" dataDxfId="154"/>
    <tableColumn id="17" name="작품명" dataDxfId="153"/>
    <tableColumn id="121" name="오픈일" dataDxfId="152"/>
    <tableColumn id="20" name="구분" dataDxfId="151"/>
    <tableColumn id="39" name="유형" dataDxfId="150"/>
    <tableColumn id="40" name="거래처명" dataDxfId="149"/>
    <tableColumn id="7" name="필명" dataDxfId="148"/>
    <tableColumn id="18" name="플래폼거래액_x000a_(단위 IDR)" dataDxfId="147"/>
    <tableColumn id="37" name="환율" dataDxfId="146"/>
    <tableColumn id="36" name="플래폼거래액_x000a_(단위 원)" dataDxfId="145"/>
    <tableColumn id="33" name="결제_x000a_수수료" dataDxfId="144"/>
    <tableColumn id="21" name="결제수수료_x000a_(단위 원)" dataDxfId="143"/>
    <tableColumn id="24" name="플래폼_순거래액_x000a_(단위  원)" dataDxfId="142"/>
    <tableColumn id="34" name="KP%" dataDxfId="141"/>
    <tableColumn id="29" name="PAGE 매출액_x000a_(단위 원)" dataDxfId="140"/>
    <tableColumn id="25" name="연동비MG_x000a_(미오픈 제외)" dataDxfId="139"/>
    <tableColumn id="27" name="CP_RS_T%" dataDxfId="138"/>
    <tableColumn id="28" name="CP_RS%" dataDxfId="137"/>
    <tableColumn id="79" name="당월연동비_x000a_(MG+RS)" dataDxfId="136"/>
    <tableColumn id="4" name="누적연동비" dataDxfId="135"/>
    <tableColumn id="31" name="전월잔여_MG" dataDxfId="134"/>
    <tableColumn id="23" name="당월잔여_MG" dataDxfId="133"/>
    <tableColumn id="30" name="당월인식_x000a_MG" dataDxfId="132"/>
    <tableColumn id="26" name="당월초과_x000a_RS" dataDxfId="131"/>
    <tableColumn id="80" name="누적초과_RS" dataDxfId="130"/>
    <tableColumn id="19" name="비고" dataDxfId="129"/>
  </tableColumns>
  <tableStyleInfo name="피벗 테이블 스타일 1" showFirstColumn="0" showLastColumn="0" showRowStripes="1" showColumnStripes="1"/>
</table>
</file>

<file path=xl/tables/table2.xml><?xml version="1.0" encoding="utf-8"?>
<table xmlns="http://schemas.openxmlformats.org/spreadsheetml/2006/main" id="4" name="표_backdata5" displayName="표_backdata5" ref="A22:AC29" totalsRowShown="0" headerRowDxfId="128" dataDxfId="127">
  <autoFilter ref="A22:AC29"/>
  <tableColumns count="29">
    <tableColumn id="8" name="NO" dataDxfId="126" dataCellStyle="백분율"/>
    <tableColumn id="2" name="월" dataDxfId="125" dataCellStyle="백분율"/>
    <tableColumn id="38" name="카테고리" dataDxfId="124" dataCellStyle="백분율"/>
    <tableColumn id="3" name="작품명(인도네시아)" dataDxfId="123"/>
    <tableColumn id="17" name="작품명" dataDxfId="122"/>
    <tableColumn id="121" name="오픈일" dataDxfId="121"/>
    <tableColumn id="20" name="구분" dataDxfId="120"/>
    <tableColumn id="39" name="유형" dataDxfId="119"/>
    <tableColumn id="40" name="거래처명" dataDxfId="118"/>
    <tableColumn id="7" name="필명" dataDxfId="117"/>
    <tableColumn id="18" name="플래폼거래액_x000a_(단위 IDR)" dataDxfId="116" dataCellStyle="백분율"/>
    <tableColumn id="37" name="환율" dataDxfId="115" dataCellStyle="백분율"/>
    <tableColumn id="36" name="플래폼거래액_x000a_(단위 원)" dataDxfId="114" dataCellStyle="백분율"/>
    <tableColumn id="33" name="결제_x000a_수수료" dataDxfId="113" dataCellStyle="백분율"/>
    <tableColumn id="21" name="결제수수료_x000a_(단위 원)" dataDxfId="112" dataCellStyle="백분율"/>
    <tableColumn id="24" name="플래폼_순거래액_x000a_(단위  원)" dataDxfId="111" dataCellStyle="백분율"/>
    <tableColumn id="34" name="KP%" dataDxfId="110" dataCellStyle="백분율"/>
    <tableColumn id="29" name="PAGE 매출액_x000a_(단위 원)" dataDxfId="109" dataCellStyle="백분율"/>
    <tableColumn id="25" name="연동비MG_x000a_(미오픈 제외)" dataDxfId="108" dataCellStyle="백분율"/>
    <tableColumn id="27" name="CP_RS_T%" dataDxfId="107" dataCellStyle="백분율"/>
    <tableColumn id="28" name="CP_RS%" dataDxfId="106" dataCellStyle="백분율"/>
    <tableColumn id="79" name="당월연동비_x000a_(MG+RS)" dataDxfId="105" dataCellStyle="백분율"/>
    <tableColumn id="4" name="누적연동비" dataDxfId="104" dataCellStyle="백분율"/>
    <tableColumn id="31" name="전월잔여_MG" dataDxfId="103" dataCellStyle="백분율"/>
    <tableColumn id="23" name="당월잔여_MG" dataDxfId="102" dataCellStyle="백분율"/>
    <tableColumn id="30" name="당월인식_x000a_MG" dataDxfId="101" dataCellStyle="백분율"/>
    <tableColumn id="26" name="당월초과_x000a_RS" dataDxfId="100" dataCellStyle="백분율"/>
    <tableColumn id="80" name="누적초과_RS" dataDxfId="99" dataCellStyle="백분율"/>
    <tableColumn id="19" name="비고" dataDxfId="98" dataCellStyle="백분율"/>
  </tableColumns>
  <tableStyleInfo name="피벗 테이블 스타일 1" showFirstColumn="0" showLastColumn="0" showRowStripes="1" showColumnStripes="1"/>
</table>
</file>

<file path=xl/tables/table3.xml><?xml version="1.0" encoding="utf-8"?>
<table xmlns="http://schemas.openxmlformats.org/spreadsheetml/2006/main" id="2" name="표_backdata3" displayName="표_backdata3" ref="A5:AC7" totalsRowShown="0" headerRowDxfId="97" dataDxfId="96">
  <autoFilter ref="A5:AC7"/>
  <tableColumns count="29">
    <tableColumn id="8" name="NO" dataDxfId="95"/>
    <tableColumn id="2" name="월" dataDxfId="94"/>
    <tableColumn id="38" name="카테고리" dataDxfId="93"/>
    <tableColumn id="3" name="작품명(인도네시아)" dataDxfId="92"/>
    <tableColumn id="17" name="작품명" dataDxfId="91"/>
    <tableColumn id="121" name="오픈일" dataDxfId="90"/>
    <tableColumn id="20" name="구분" dataDxfId="89"/>
    <tableColumn id="39" name="유형" dataDxfId="88"/>
    <tableColumn id="40" name="거래처명" dataDxfId="87"/>
    <tableColumn id="7" name="필명" dataDxfId="86"/>
    <tableColumn id="18" name="플래폼거래액_x000a_(단위 IDR)" dataDxfId="85"/>
    <tableColumn id="37" name="환율" dataDxfId="84"/>
    <tableColumn id="36" name="플래폼거래액_x000a_(단위 원)" dataDxfId="83"/>
    <tableColumn id="33" name="결제_x000a_수수료" dataDxfId="82"/>
    <tableColumn id="21" name="결제수수료_x000a_(단위 원)" dataDxfId="81"/>
    <tableColumn id="24" name="플래폼_순거래액_x000a_(단위  원)" dataDxfId="80"/>
    <tableColumn id="34" name="KP%" dataDxfId="79"/>
    <tableColumn id="29" name="PAGE 매출액_x000a_(단위 원)" dataDxfId="78"/>
    <tableColumn id="25" name="연동비MG_x000a_(미오픈 제외)" dataDxfId="77"/>
    <tableColumn id="27" name="CP_RS_T%" dataDxfId="76"/>
    <tableColumn id="28" name="CP_RS%" dataDxfId="75"/>
    <tableColumn id="79" name="당월연동비_x000a_(MG+RS)" dataDxfId="74"/>
    <tableColumn id="4" name="누적연동비" dataDxfId="73"/>
    <tableColumn id="31" name="전월잔여_MG" dataDxfId="72"/>
    <tableColumn id="23" name="당월잔여_MG" dataDxfId="71"/>
    <tableColumn id="30" name="당월인식_x000a_MG" dataDxfId="70"/>
    <tableColumn id="26" name="당월초과_x000a_RS" dataDxfId="69"/>
    <tableColumn id="80" name="누적초과_RS" dataDxfId="68"/>
    <tableColumn id="19" name="비고" dataDxfId="67"/>
  </tableColumns>
  <tableStyleInfo name="피벗 테이블 스타일 1" showFirstColumn="0" showLastColumn="0" showRowStripes="1" showColumnStripes="1"/>
</table>
</file>

<file path=xl/tables/table4.xml><?xml version="1.0" encoding="utf-8"?>
<table xmlns="http://schemas.openxmlformats.org/spreadsheetml/2006/main" id="3" name="표_backdata34" displayName="표_backdata34" ref="A20:AC22" totalsRowShown="0" headerRowDxfId="66" dataDxfId="65">
  <autoFilter ref="A20:AC22"/>
  <tableColumns count="29">
    <tableColumn id="8" name="NO" dataDxfId="64"/>
    <tableColumn id="2" name="월" dataDxfId="63"/>
    <tableColumn id="38" name="카테고리" dataDxfId="62"/>
    <tableColumn id="3" name="작품명(인도네시아)" dataDxfId="61"/>
    <tableColumn id="17" name="작품명" dataDxfId="60"/>
    <tableColumn id="121" name="오픈일" dataDxfId="59"/>
    <tableColumn id="20" name="구분" dataDxfId="58"/>
    <tableColumn id="39" name="유형" dataDxfId="57"/>
    <tableColumn id="40" name="거래처명" dataDxfId="56"/>
    <tableColumn id="7" name="필명" dataDxfId="55"/>
    <tableColumn id="18" name="플래폼거래액_x000a_(단위 IDR)" dataDxfId="54"/>
    <tableColumn id="37" name="환율" dataDxfId="53"/>
    <tableColumn id="36" name="플래폼거래액_x000a_(단위 원)" dataDxfId="52"/>
    <tableColumn id="33" name="결제_x000a_수수료" dataDxfId="51"/>
    <tableColumn id="21" name="결제수수료_x000a_(단위 원)" dataDxfId="50"/>
    <tableColumn id="24" name="플래폼_순거래액_x000a_(단위  원)" dataDxfId="49"/>
    <tableColumn id="34" name="KP%" dataDxfId="48"/>
    <tableColumn id="29" name="PAGE 매출액_x000a_(단위 원)" dataDxfId="47"/>
    <tableColumn id="25" name="연동비MG_x000a_(미오픈 제외)" dataDxfId="46"/>
    <tableColumn id="27" name="CP_RS_T%" dataDxfId="45"/>
    <tableColumn id="28" name="CP_RS%" dataDxfId="44"/>
    <tableColumn id="79" name="당월연동비_x000a_(MG+RS)" dataDxfId="43"/>
    <tableColumn id="4" name="누적연동비" dataDxfId="42"/>
    <tableColumn id="31" name="전월잔여_MG" dataDxfId="41"/>
    <tableColumn id="23" name="당월잔여_MG" dataDxfId="40"/>
    <tableColumn id="30" name="당월인식_x000a_MG" dataDxfId="39"/>
    <tableColumn id="26" name="당월초과_x000a_RS" dataDxfId="38"/>
    <tableColumn id="80" name="누적초과_RS" dataDxfId="37"/>
    <tableColumn id="19" name="비고" dataDxfId="36"/>
  </tableColumns>
  <tableStyleInfo name="피벗 테이블 스타일 1" showFirstColumn="0" showLastColumn="0" showRowStripes="1" showColumnStripes="1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workbookViewId="0"/>
  </sheetViews>
  <sheetFormatPr defaultRowHeight="17.399999999999999" x14ac:dyDescent="0.4"/>
  <cols>
    <col min="1" max="1" width="15.3984375" customWidth="1"/>
    <col min="2" max="2" width="13.19921875" customWidth="1"/>
    <col min="3" max="3" width="15.59765625" bestFit="1" customWidth="1"/>
    <col min="4" max="4" width="13.19921875" bestFit="1" customWidth="1"/>
    <col min="5" max="5" width="14.296875" bestFit="1" customWidth="1"/>
    <col min="6" max="6" width="12.19921875" customWidth="1"/>
    <col min="7" max="7" width="10.3984375" customWidth="1"/>
    <col min="8" max="8" width="13.3984375" bestFit="1" customWidth="1"/>
    <col min="9" max="9" width="11.69921875" customWidth="1"/>
    <col min="10" max="10" width="17.69921875" bestFit="1" customWidth="1"/>
    <col min="11" max="13" width="12.5" customWidth="1"/>
    <col min="14" max="16" width="12.5" hidden="1" customWidth="1"/>
  </cols>
  <sheetData>
    <row r="1" spans="1:16" ht="25.2" x14ac:dyDescent="0.4">
      <c r="A1" s="3" t="s">
        <v>59</v>
      </c>
      <c r="B1" s="3"/>
      <c r="C1" s="2"/>
    </row>
    <row r="2" spans="1:16" x14ac:dyDescent="0.4">
      <c r="A2" s="2" t="s">
        <v>0</v>
      </c>
      <c r="B2" s="2"/>
      <c r="C2" s="2"/>
    </row>
    <row r="3" spans="1:16" ht="116.55" customHeight="1" x14ac:dyDescent="0.4">
      <c r="A3" s="134" t="s">
        <v>47</v>
      </c>
      <c r="B3" s="134"/>
      <c r="C3" s="134"/>
      <c r="D3" s="134"/>
      <c r="E3" s="134"/>
      <c r="F3" s="1"/>
      <c r="G3" s="1"/>
      <c r="H3" s="1"/>
      <c r="I3" s="1"/>
      <c r="J3" s="1"/>
      <c r="K3" s="1"/>
      <c r="L3" s="1"/>
    </row>
    <row r="5" spans="1:16" x14ac:dyDescent="0.4">
      <c r="A5" s="2" t="s">
        <v>2</v>
      </c>
      <c r="B5" s="2"/>
      <c r="C5" s="2"/>
    </row>
    <row r="6" spans="1:16" ht="42" customHeight="1" x14ac:dyDescent="0.4">
      <c r="A6" s="51" t="s">
        <v>4</v>
      </c>
      <c r="B6" s="131" t="s">
        <v>45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</row>
    <row r="7" spans="1:16" x14ac:dyDescent="0.4">
      <c r="A7" s="51" t="s">
        <v>3</v>
      </c>
      <c r="B7" s="132" t="s">
        <v>46</v>
      </c>
      <c r="C7" s="132"/>
      <c r="D7" s="132"/>
      <c r="E7" s="132"/>
      <c r="F7" s="132"/>
      <c r="G7" s="51" t="s">
        <v>5</v>
      </c>
      <c r="H7" s="133">
        <v>6000000</v>
      </c>
      <c r="I7" s="133"/>
      <c r="J7" s="133"/>
      <c r="K7" s="133"/>
      <c r="L7" s="133"/>
    </row>
    <row r="8" spans="1:16" x14ac:dyDescent="0.4">
      <c r="A8" s="51" t="s">
        <v>80</v>
      </c>
      <c r="B8" s="51" t="s">
        <v>6</v>
      </c>
      <c r="C8" s="51" t="s">
        <v>49</v>
      </c>
      <c r="D8" s="51" t="s">
        <v>50</v>
      </c>
      <c r="E8" s="51" t="s">
        <v>51</v>
      </c>
      <c r="F8" s="51" t="s">
        <v>52</v>
      </c>
      <c r="G8" s="51" t="s">
        <v>57</v>
      </c>
      <c r="H8" s="51" t="s">
        <v>58</v>
      </c>
      <c r="I8" s="51" t="s">
        <v>53</v>
      </c>
      <c r="J8" s="51" t="s">
        <v>54</v>
      </c>
      <c r="K8" s="51" t="s">
        <v>55</v>
      </c>
      <c r="L8" s="51" t="s">
        <v>56</v>
      </c>
    </row>
    <row r="9" spans="1:16" x14ac:dyDescent="0.4">
      <c r="A9" s="51">
        <v>2021.01</v>
      </c>
      <c r="B9" s="54" t="s">
        <v>48</v>
      </c>
      <c r="C9" s="52">
        <v>157759459.19999999</v>
      </c>
      <c r="D9" s="55">
        <v>7.8299999999999995E-2</v>
      </c>
      <c r="E9" s="53">
        <v>12352565.655359998</v>
      </c>
      <c r="F9" s="53">
        <v>3705769.6966079995</v>
      </c>
      <c r="G9" s="73">
        <v>0.5</v>
      </c>
      <c r="H9" s="53">
        <v>4323398</v>
      </c>
      <c r="I9" s="73">
        <v>0.8</v>
      </c>
      <c r="J9" s="53">
        <v>3458718</v>
      </c>
      <c r="K9" s="53">
        <v>3458718</v>
      </c>
      <c r="L9" s="53">
        <v>0</v>
      </c>
    </row>
    <row r="10" spans="1:16" x14ac:dyDescent="0.4">
      <c r="A10" s="51">
        <v>2021.02</v>
      </c>
      <c r="B10" s="54" t="s">
        <v>48</v>
      </c>
      <c r="C10" s="52">
        <v>76836556.799999997</v>
      </c>
      <c r="D10" s="55">
        <v>7.9299999999999995E-2</v>
      </c>
      <c r="E10" s="53">
        <v>6093138.9542399999</v>
      </c>
      <c r="F10" s="53">
        <v>1827941.686272</v>
      </c>
      <c r="G10" s="73">
        <v>0.5</v>
      </c>
      <c r="H10" s="53">
        <v>2132599</v>
      </c>
      <c r="I10" s="73">
        <v>0.8</v>
      </c>
      <c r="J10" s="53">
        <v>1706079</v>
      </c>
      <c r="K10" s="53">
        <v>1706079</v>
      </c>
      <c r="L10" s="53">
        <v>0</v>
      </c>
    </row>
    <row r="11" spans="1:16" x14ac:dyDescent="0.4">
      <c r="A11" s="51">
        <v>2021.03</v>
      </c>
      <c r="B11" s="54" t="s">
        <v>48</v>
      </c>
      <c r="C11" s="71">
        <f>'월별 매출(마딸,공주)'!K8</f>
        <v>86974830</v>
      </c>
      <c r="D11" s="55">
        <f>'월별 매출(마딸,공주)'!L8</f>
        <v>7.8600000000000003E-2</v>
      </c>
      <c r="E11" s="72">
        <f>'월별 매출(마딸,공주)'!M8</f>
        <v>6836221.6380000003</v>
      </c>
      <c r="F11" s="53">
        <f>'월별 매출(마딸,공주)'!O8</f>
        <v>2050866.4913999999</v>
      </c>
      <c r="G11" s="73">
        <v>0.5</v>
      </c>
      <c r="H11" s="53">
        <f>'월별 매출(마딸,공주)'!R8</f>
        <v>2392678</v>
      </c>
      <c r="I11" s="73">
        <v>0.8</v>
      </c>
      <c r="J11" s="53">
        <f>'월별 매출(마딸,공주)'!V8</f>
        <v>1914142</v>
      </c>
      <c r="K11" s="53">
        <f>'월별 매출(마딸,공주)'!Z8</f>
        <v>835203</v>
      </c>
      <c r="L11" s="53">
        <f>'월별 매출(마딸,공주)'!AB8</f>
        <v>1078939</v>
      </c>
    </row>
    <row r="12" spans="1:16" x14ac:dyDescent="0.4">
      <c r="A12" s="51">
        <v>2021.04</v>
      </c>
      <c r="B12" s="54" t="s">
        <v>60</v>
      </c>
      <c r="C12" s="71">
        <f>'월별 매출(마딸,공주)'!K9</f>
        <v>57607558.799999997</v>
      </c>
      <c r="D12" s="55">
        <f>'월별 매출(마딸,공주)'!L9</f>
        <v>7.6999999999999999E-2</v>
      </c>
      <c r="E12" s="72">
        <f>'월별 매출(마딸,공주)'!M9</f>
        <v>4435782.0275999997</v>
      </c>
      <c r="F12" s="53">
        <f>'월별 매출(마딸,공주)'!O9</f>
        <v>1330734.6082799998</v>
      </c>
      <c r="G12" s="73">
        <v>0.5</v>
      </c>
      <c r="H12" s="53">
        <f>'월별 매출(마딸,공주)'!R9</f>
        <v>1552524</v>
      </c>
      <c r="I12" s="73">
        <v>0.8</v>
      </c>
      <c r="J12" s="53">
        <f>'월별 매출(마딸,공주)'!V9</f>
        <v>1242019</v>
      </c>
      <c r="K12" s="53">
        <f>'월별 매출(마딸,공주)'!Z9</f>
        <v>0</v>
      </c>
      <c r="L12" s="53">
        <f>J12</f>
        <v>1242019</v>
      </c>
    </row>
    <row r="13" spans="1:16" x14ac:dyDescent="0.4">
      <c r="A13" s="51">
        <v>2021.05</v>
      </c>
      <c r="B13" s="54" t="s">
        <v>60</v>
      </c>
      <c r="C13" s="71">
        <v>53342150.399999999</v>
      </c>
      <c r="D13" s="55">
        <v>7.85E-2</v>
      </c>
      <c r="E13" s="72">
        <v>4187358.8064000001</v>
      </c>
      <c r="F13" s="53">
        <v>1256207.6419200001</v>
      </c>
      <c r="G13" s="73">
        <v>0.5</v>
      </c>
      <c r="H13" s="53">
        <v>1465576</v>
      </c>
      <c r="I13" s="73">
        <v>0.8</v>
      </c>
      <c r="J13" s="53">
        <v>1172460</v>
      </c>
      <c r="K13" s="53">
        <v>0</v>
      </c>
      <c r="L13" s="53">
        <v>1172460</v>
      </c>
    </row>
    <row r="14" spans="1:16" x14ac:dyDescent="0.4">
      <c r="A14" s="51">
        <v>2021.06</v>
      </c>
      <c r="B14" s="54" t="s">
        <v>60</v>
      </c>
      <c r="C14" s="71">
        <v>44723318.399999999</v>
      </c>
      <c r="D14" s="55">
        <v>7.8299999999999995E-2</v>
      </c>
      <c r="E14" s="72">
        <v>3501835.8307199995</v>
      </c>
      <c r="F14" s="53">
        <v>1050550.7492159999</v>
      </c>
      <c r="G14" s="73">
        <v>0.5</v>
      </c>
      <c r="H14" s="53">
        <v>1225643</v>
      </c>
      <c r="I14" s="73">
        <v>0.8</v>
      </c>
      <c r="J14" s="53">
        <v>980514</v>
      </c>
      <c r="K14" s="53">
        <v>0</v>
      </c>
      <c r="L14" s="53">
        <v>980514</v>
      </c>
      <c r="N14">
        <v>980514</v>
      </c>
      <c r="O14">
        <v>10473932</v>
      </c>
      <c r="P14">
        <v>0</v>
      </c>
    </row>
    <row r="15" spans="1:16" x14ac:dyDescent="0.4">
      <c r="A15" s="51">
        <v>2021.07</v>
      </c>
      <c r="B15" s="54" t="s">
        <v>60</v>
      </c>
      <c r="C15" s="71">
        <v>62816006.399999999</v>
      </c>
      <c r="D15" s="55">
        <v>7.8899999999999998E-2</v>
      </c>
      <c r="E15" s="72">
        <v>4956182.90496</v>
      </c>
      <c r="F15" s="53">
        <v>1486854.871488</v>
      </c>
      <c r="G15" s="73">
        <v>0.5</v>
      </c>
      <c r="H15" s="53">
        <v>1734664</v>
      </c>
      <c r="I15" s="73">
        <v>0.8</v>
      </c>
      <c r="J15" s="53">
        <v>1387731</v>
      </c>
      <c r="K15" s="53">
        <v>0</v>
      </c>
      <c r="L15" s="53">
        <v>1387731</v>
      </c>
      <c r="N15">
        <v>980514</v>
      </c>
      <c r="O15">
        <v>10473932</v>
      </c>
      <c r="P15">
        <v>0</v>
      </c>
    </row>
    <row r="16" spans="1:16" x14ac:dyDescent="0.4">
      <c r="A16" s="51">
        <v>2021.08</v>
      </c>
      <c r="B16" s="54" t="s">
        <v>60</v>
      </c>
      <c r="C16" s="71">
        <v>42831348</v>
      </c>
      <c r="D16" s="55">
        <v>8.0600000000000005E-2</v>
      </c>
      <c r="E16" s="72">
        <v>3452206.6488000001</v>
      </c>
      <c r="F16" s="53">
        <v>1035661.9946399999</v>
      </c>
      <c r="G16" s="73">
        <v>0.5</v>
      </c>
      <c r="H16" s="53">
        <v>1208272</v>
      </c>
      <c r="I16" s="73">
        <v>0.8</v>
      </c>
      <c r="J16" s="53">
        <v>966617</v>
      </c>
      <c r="K16" s="53">
        <v>0</v>
      </c>
      <c r="L16" s="53">
        <v>966617</v>
      </c>
      <c r="N16">
        <v>980514</v>
      </c>
      <c r="O16">
        <v>10473932</v>
      </c>
      <c r="P16">
        <v>0</v>
      </c>
    </row>
    <row r="17" spans="1:16" x14ac:dyDescent="0.4">
      <c r="A17" s="51">
        <v>2021.09</v>
      </c>
      <c r="B17" s="54" t="s">
        <v>60</v>
      </c>
      <c r="C17" s="71">
        <v>34779614.399999999</v>
      </c>
      <c r="D17" s="55">
        <v>8.2100000000000006E-2</v>
      </c>
      <c r="E17" s="72">
        <v>2855406.3422400001</v>
      </c>
      <c r="F17" s="53">
        <v>856621.902672</v>
      </c>
      <c r="G17" s="73">
        <v>0.5</v>
      </c>
      <c r="H17" s="53">
        <v>999392</v>
      </c>
      <c r="I17" s="73">
        <v>0.8</v>
      </c>
      <c r="J17" s="53">
        <v>799513</v>
      </c>
      <c r="K17" s="53">
        <v>0</v>
      </c>
      <c r="L17" s="53">
        <v>799513</v>
      </c>
      <c r="N17">
        <v>980514</v>
      </c>
      <c r="O17">
        <v>10473932</v>
      </c>
      <c r="P17">
        <v>0</v>
      </c>
    </row>
    <row r="18" spans="1:16" x14ac:dyDescent="0.4">
      <c r="A18" s="90" t="s">
        <v>79</v>
      </c>
      <c r="B18" s="54" t="s">
        <v>85</v>
      </c>
      <c r="C18" s="71">
        <v>23910433.199999999</v>
      </c>
      <c r="D18" s="55">
        <v>8.3499999999999991E-2</v>
      </c>
      <c r="E18" s="72">
        <v>1996521.1721999997</v>
      </c>
      <c r="F18" s="53">
        <v>598956.35165999993</v>
      </c>
      <c r="G18" s="73">
        <v>0.5</v>
      </c>
      <c r="H18" s="53">
        <v>698782</v>
      </c>
      <c r="I18" s="73">
        <v>0.8</v>
      </c>
      <c r="J18" s="53">
        <v>559025</v>
      </c>
      <c r="K18" s="53">
        <v>0</v>
      </c>
      <c r="L18" s="53">
        <v>559025</v>
      </c>
    </row>
    <row r="19" spans="1:16" x14ac:dyDescent="0.4">
      <c r="A19" s="90" t="s">
        <v>88</v>
      </c>
      <c r="B19" s="54" t="s">
        <v>60</v>
      </c>
      <c r="C19" s="71">
        <v>10520150.399999999</v>
      </c>
      <c r="D19" s="55">
        <v>8.3000000000000004E-2</v>
      </c>
      <c r="E19" s="72">
        <v>873172.4831999999</v>
      </c>
      <c r="F19" s="53">
        <v>261951.74495999995</v>
      </c>
      <c r="G19" s="73">
        <v>0.5</v>
      </c>
      <c r="H19" s="53">
        <v>305610</v>
      </c>
      <c r="I19" s="73">
        <v>0.8</v>
      </c>
      <c r="J19" s="53">
        <v>244488</v>
      </c>
      <c r="K19" s="53">
        <v>0</v>
      </c>
      <c r="L19" s="53">
        <v>244488</v>
      </c>
    </row>
    <row r="20" spans="1:16" s="91" customFormat="1" x14ac:dyDescent="0.4">
      <c r="A20" s="90">
        <v>2021.12</v>
      </c>
      <c r="B20" s="54" t="s">
        <v>60</v>
      </c>
      <c r="C20" s="71">
        <v>8024294.3999999994</v>
      </c>
      <c r="D20" s="55">
        <v>8.2599999999999993E-2</v>
      </c>
      <c r="E20" s="72">
        <v>662806.71743999992</v>
      </c>
      <c r="F20" s="53">
        <v>198842.01523199998</v>
      </c>
      <c r="G20" s="73">
        <v>0.5</v>
      </c>
      <c r="H20" s="53">
        <v>231982</v>
      </c>
      <c r="I20" s="73">
        <v>0.8</v>
      </c>
      <c r="J20" s="53">
        <v>185585</v>
      </c>
      <c r="K20" s="53">
        <v>0</v>
      </c>
      <c r="L20" s="53">
        <v>185585</v>
      </c>
    </row>
    <row r="21" spans="1:16" x14ac:dyDescent="0.4">
      <c r="A21" s="90">
        <v>2022.01</v>
      </c>
      <c r="B21" s="54" t="s">
        <v>60</v>
      </c>
      <c r="C21" s="71">
        <v>5681448</v>
      </c>
      <c r="D21" s="55">
        <v>8.3299999999999999E-2</v>
      </c>
      <c r="E21" s="72">
        <v>473264.61839999998</v>
      </c>
      <c r="F21" s="53">
        <v>141979.38551999998</v>
      </c>
      <c r="G21" s="73">
        <v>0.5</v>
      </c>
      <c r="H21" s="53">
        <v>165643</v>
      </c>
      <c r="I21" s="73">
        <v>0.8</v>
      </c>
      <c r="J21" s="53">
        <v>132514</v>
      </c>
      <c r="K21" s="53">
        <v>0</v>
      </c>
      <c r="L21" s="53">
        <v>132514</v>
      </c>
    </row>
    <row r="22" spans="1:16" s="91" customFormat="1" x14ac:dyDescent="0.4">
      <c r="A22" s="90">
        <v>2022.02</v>
      </c>
      <c r="B22" s="54" t="s">
        <v>60</v>
      </c>
      <c r="C22" s="71">
        <v>6036930</v>
      </c>
      <c r="D22" s="55">
        <v>8.3499999999999991E-2</v>
      </c>
      <c r="E22" s="72">
        <v>504083.65499999997</v>
      </c>
      <c r="F22" s="53">
        <v>151225.09649999999</v>
      </c>
      <c r="G22" s="73">
        <v>0.5</v>
      </c>
      <c r="H22" s="53">
        <v>176429</v>
      </c>
      <c r="I22" s="73">
        <v>0.8</v>
      </c>
      <c r="J22" s="53">
        <v>141143</v>
      </c>
      <c r="K22" s="53"/>
      <c r="L22" s="53">
        <v>141143</v>
      </c>
    </row>
    <row r="23" spans="1:16" s="91" customFormat="1" x14ac:dyDescent="0.4">
      <c r="A23" s="148">
        <v>2022.03</v>
      </c>
      <c r="B23" s="149" t="s">
        <v>60</v>
      </c>
      <c r="C23" s="150">
        <v>5162404.8</v>
      </c>
      <c r="D23" s="151">
        <v>8.5099999999999995E-2</v>
      </c>
      <c r="E23" s="152">
        <v>439320.64847999997</v>
      </c>
      <c r="F23" s="74">
        <v>131796.194544</v>
      </c>
      <c r="G23" s="153">
        <v>0.5</v>
      </c>
      <c r="H23" s="74">
        <v>153762</v>
      </c>
      <c r="I23" s="153">
        <v>0.8</v>
      </c>
      <c r="J23" s="74">
        <v>123009</v>
      </c>
      <c r="K23" s="74">
        <v>0</v>
      </c>
      <c r="L23" s="74">
        <v>123009</v>
      </c>
    </row>
    <row r="25" spans="1:16" x14ac:dyDescent="0.4">
      <c r="A25" s="2" t="s">
        <v>2</v>
      </c>
      <c r="B25" s="2"/>
      <c r="C25" s="2"/>
    </row>
    <row r="26" spans="1:16" ht="42" customHeight="1" x14ac:dyDescent="0.4">
      <c r="A26" s="51" t="s">
        <v>4</v>
      </c>
      <c r="B26" s="131" t="s">
        <v>91</v>
      </c>
      <c r="C26" s="131"/>
      <c r="D26" s="131"/>
      <c r="E26" s="131"/>
      <c r="F26" s="131"/>
      <c r="G26" s="131"/>
      <c r="H26" s="131"/>
      <c r="I26" s="131"/>
      <c r="J26" s="131"/>
      <c r="K26" s="131"/>
      <c r="L26" s="131"/>
    </row>
    <row r="27" spans="1:16" x14ac:dyDescent="0.4">
      <c r="A27" s="51" t="s">
        <v>81</v>
      </c>
      <c r="B27" s="51" t="s">
        <v>6</v>
      </c>
      <c r="C27" s="51" t="s">
        <v>49</v>
      </c>
      <c r="D27" s="51" t="s">
        <v>50</v>
      </c>
      <c r="E27" s="51" t="s">
        <v>51</v>
      </c>
      <c r="F27" s="51" t="s">
        <v>52</v>
      </c>
      <c r="G27" s="51" t="s">
        <v>57</v>
      </c>
      <c r="H27" s="51" t="s">
        <v>58</v>
      </c>
      <c r="I27" s="51" t="s">
        <v>53</v>
      </c>
      <c r="J27" s="51" t="s">
        <v>54</v>
      </c>
      <c r="K27" s="51" t="s">
        <v>55</v>
      </c>
      <c r="L27" s="51" t="s">
        <v>56</v>
      </c>
    </row>
    <row r="28" spans="1:16" x14ac:dyDescent="0.4">
      <c r="A28" s="51">
        <v>2021.07</v>
      </c>
      <c r="B28" s="54" t="s">
        <v>60</v>
      </c>
      <c r="C28" s="52">
        <v>2308545.6</v>
      </c>
      <c r="D28" s="55">
        <v>7.8899999999999998E-2</v>
      </c>
      <c r="E28" s="53">
        <v>182144.24784</v>
      </c>
      <c r="F28" s="53">
        <v>54643.274352</v>
      </c>
      <c r="G28" s="73">
        <v>0.5</v>
      </c>
      <c r="H28" s="53">
        <v>63750</v>
      </c>
      <c r="I28" s="73">
        <v>0.8</v>
      </c>
      <c r="J28" s="53">
        <v>51000</v>
      </c>
      <c r="K28" s="53" t="s">
        <v>73</v>
      </c>
      <c r="L28" s="53">
        <v>51000</v>
      </c>
    </row>
    <row r="29" spans="1:16" x14ac:dyDescent="0.4">
      <c r="A29" s="51">
        <v>2021.08</v>
      </c>
      <c r="B29" s="54" t="s">
        <v>60</v>
      </c>
      <c r="C29" s="52">
        <v>1653456</v>
      </c>
      <c r="D29" s="55">
        <v>8.0600000000000005E-2</v>
      </c>
      <c r="E29" s="53">
        <v>133268.55360000001</v>
      </c>
      <c r="F29" s="53">
        <v>39980.566080000004</v>
      </c>
      <c r="G29" s="73">
        <v>0.5</v>
      </c>
      <c r="H29" s="53">
        <v>46644</v>
      </c>
      <c r="I29" s="73">
        <v>0.8</v>
      </c>
      <c r="J29" s="53">
        <v>37315</v>
      </c>
      <c r="K29" s="53" t="s">
        <v>73</v>
      </c>
      <c r="L29" s="53">
        <v>37315</v>
      </c>
    </row>
    <row r="30" spans="1:16" x14ac:dyDescent="0.4">
      <c r="A30" s="51">
        <v>2021.09</v>
      </c>
      <c r="B30" s="54" t="s">
        <v>60</v>
      </c>
      <c r="C30" s="52">
        <v>877332</v>
      </c>
      <c r="D30" s="55">
        <v>8.2100000000000006E-2</v>
      </c>
      <c r="E30" s="53">
        <v>72028.957200000004</v>
      </c>
      <c r="F30" s="53">
        <v>21608.687160000001</v>
      </c>
      <c r="G30" s="73">
        <v>0.5</v>
      </c>
      <c r="H30" s="53">
        <v>25210</v>
      </c>
      <c r="I30" s="73">
        <v>0.8</v>
      </c>
      <c r="J30" s="53">
        <v>20168</v>
      </c>
      <c r="K30" s="53" t="s">
        <v>73</v>
      </c>
      <c r="L30" s="53">
        <v>20168</v>
      </c>
    </row>
    <row r="31" spans="1:16" x14ac:dyDescent="0.4">
      <c r="A31" s="90" t="s">
        <v>82</v>
      </c>
      <c r="B31" s="54" t="s">
        <v>84</v>
      </c>
      <c r="C31" s="52">
        <v>724842</v>
      </c>
      <c r="D31" s="55">
        <v>8.3499999999999991E-2</v>
      </c>
      <c r="E31" s="53">
        <v>60524.306999999993</v>
      </c>
      <c r="F31" s="53">
        <v>18157.292099999999</v>
      </c>
      <c r="G31" s="73">
        <v>0.5</v>
      </c>
      <c r="H31" s="53">
        <v>21184</v>
      </c>
      <c r="I31" s="73">
        <v>0.8</v>
      </c>
      <c r="J31" s="53">
        <v>16947</v>
      </c>
      <c r="K31" s="53">
        <v>0</v>
      </c>
      <c r="L31" s="53">
        <v>16947</v>
      </c>
    </row>
    <row r="32" spans="1:16" x14ac:dyDescent="0.4">
      <c r="A32" s="90" t="s">
        <v>88</v>
      </c>
      <c r="B32" s="54" t="s">
        <v>60</v>
      </c>
      <c r="C32" s="52">
        <v>406848</v>
      </c>
      <c r="D32" s="55">
        <v>8.3000000000000004E-2</v>
      </c>
      <c r="E32" s="53">
        <v>33768.383999999998</v>
      </c>
      <c r="F32" s="53">
        <v>10130.5152</v>
      </c>
      <c r="G32" s="73">
        <v>0.5</v>
      </c>
      <c r="H32" s="53">
        <v>11819</v>
      </c>
      <c r="I32" s="73">
        <v>0.8</v>
      </c>
      <c r="J32" s="53">
        <v>9455</v>
      </c>
      <c r="K32" s="53">
        <v>0</v>
      </c>
      <c r="L32" s="53">
        <v>9455</v>
      </c>
    </row>
    <row r="33" spans="1:12" s="91" customFormat="1" x14ac:dyDescent="0.4">
      <c r="A33" s="90">
        <v>2021.12</v>
      </c>
      <c r="B33" s="54" t="s">
        <v>60</v>
      </c>
      <c r="C33" s="52">
        <v>339561.6</v>
      </c>
      <c r="D33" s="55">
        <v>8.2599999999999993E-2</v>
      </c>
      <c r="E33" s="53">
        <v>28047.788159999996</v>
      </c>
      <c r="F33" s="53">
        <v>8414.3364479999982</v>
      </c>
      <c r="G33" s="73">
        <v>0.5</v>
      </c>
      <c r="H33" s="53">
        <v>9817</v>
      </c>
      <c r="I33" s="73">
        <v>0.8</v>
      </c>
      <c r="J33" s="53">
        <v>7853</v>
      </c>
      <c r="K33" s="53">
        <v>0</v>
      </c>
      <c r="L33" s="53">
        <v>7853</v>
      </c>
    </row>
    <row r="34" spans="1:12" x14ac:dyDescent="0.4">
      <c r="A34" s="90">
        <v>2022.01</v>
      </c>
      <c r="B34" s="54" t="s">
        <v>60</v>
      </c>
      <c r="C34" s="52">
        <v>335124</v>
      </c>
      <c r="D34" s="55">
        <v>8.3299999999999999E-2</v>
      </c>
      <c r="E34" s="53">
        <v>27915.8292</v>
      </c>
      <c r="F34" s="53">
        <v>8374.7487600000004</v>
      </c>
      <c r="G34" s="73">
        <v>0.5</v>
      </c>
      <c r="H34" s="53">
        <v>9771</v>
      </c>
      <c r="I34" s="73">
        <v>0.8</v>
      </c>
      <c r="J34" s="53">
        <v>7816</v>
      </c>
      <c r="K34" s="53">
        <v>0</v>
      </c>
      <c r="L34" s="53">
        <v>7816</v>
      </c>
    </row>
    <row r="35" spans="1:12" s="91" customFormat="1" x14ac:dyDescent="0.4">
      <c r="A35" s="90">
        <v>2022.02</v>
      </c>
      <c r="B35" s="54" t="s">
        <v>135</v>
      </c>
      <c r="C35" s="52">
        <v>317898</v>
      </c>
      <c r="D35" s="55">
        <v>8.3499999999999991E-2</v>
      </c>
      <c r="E35" s="53">
        <v>26544.482999999997</v>
      </c>
      <c r="F35" s="53">
        <v>7963.3448999999982</v>
      </c>
      <c r="G35" s="73">
        <v>0.5</v>
      </c>
      <c r="H35" s="53">
        <v>9291</v>
      </c>
      <c r="I35" s="73">
        <v>0.8</v>
      </c>
      <c r="J35" s="53">
        <v>7432</v>
      </c>
      <c r="K35" s="53">
        <v>0</v>
      </c>
      <c r="L35" s="53">
        <v>7432</v>
      </c>
    </row>
    <row r="36" spans="1:12" s="91" customFormat="1" x14ac:dyDescent="0.4">
      <c r="A36" s="148">
        <v>2022.03</v>
      </c>
      <c r="B36" s="149" t="s">
        <v>135</v>
      </c>
      <c r="C36" s="154">
        <v>364795.2</v>
      </c>
      <c r="D36" s="151">
        <v>8.5099999999999995E-2</v>
      </c>
      <c r="E36" s="74">
        <v>31044.071519999998</v>
      </c>
      <c r="F36" s="74">
        <v>9313.2214559999993</v>
      </c>
      <c r="G36" s="153">
        <v>0.5</v>
      </c>
      <c r="H36" s="74">
        <v>10865</v>
      </c>
      <c r="I36" s="153">
        <v>0.8</v>
      </c>
      <c r="J36" s="74">
        <v>8692</v>
      </c>
      <c r="K36" s="74">
        <v>0</v>
      </c>
      <c r="L36" s="74">
        <v>8692</v>
      </c>
    </row>
    <row r="38" spans="1:12" ht="33" customHeight="1" x14ac:dyDescent="0.4">
      <c r="A38" s="51" t="s">
        <v>4</v>
      </c>
      <c r="B38" s="131" t="s">
        <v>92</v>
      </c>
      <c r="C38" s="131"/>
      <c r="D38" s="131"/>
      <c r="E38" s="131"/>
      <c r="F38" s="131"/>
      <c r="G38" s="131"/>
      <c r="H38" s="131"/>
      <c r="I38" s="131"/>
      <c r="J38" s="131"/>
      <c r="K38" s="131"/>
      <c r="L38" s="131"/>
    </row>
    <row r="39" spans="1:12" x14ac:dyDescent="0.4">
      <c r="A39" s="51" t="s">
        <v>3</v>
      </c>
      <c r="B39" s="132" t="s">
        <v>78</v>
      </c>
      <c r="C39" s="132"/>
      <c r="D39" s="132"/>
      <c r="E39" s="132"/>
      <c r="F39" s="132"/>
      <c r="G39" s="51" t="s">
        <v>5</v>
      </c>
      <c r="H39" s="133">
        <v>3000000</v>
      </c>
      <c r="I39" s="133"/>
      <c r="J39" s="133"/>
      <c r="K39" s="133"/>
      <c r="L39" s="133"/>
    </row>
    <row r="40" spans="1:12" x14ac:dyDescent="0.4">
      <c r="A40" s="51" t="s">
        <v>80</v>
      </c>
      <c r="B40" s="51" t="s">
        <v>6</v>
      </c>
      <c r="C40" s="51" t="s">
        <v>49</v>
      </c>
      <c r="D40" s="51" t="s">
        <v>50</v>
      </c>
      <c r="E40" s="51" t="s">
        <v>51</v>
      </c>
      <c r="F40" s="51" t="s">
        <v>52</v>
      </c>
      <c r="G40" s="51" t="s">
        <v>57</v>
      </c>
      <c r="H40" s="51" t="s">
        <v>58</v>
      </c>
      <c r="I40" s="51" t="s">
        <v>53</v>
      </c>
      <c r="J40" s="51" t="s">
        <v>54</v>
      </c>
      <c r="K40" s="51" t="s">
        <v>55</v>
      </c>
      <c r="L40" s="51" t="s">
        <v>56</v>
      </c>
    </row>
    <row r="41" spans="1:12" x14ac:dyDescent="0.4">
      <c r="A41" s="51">
        <v>2021.08</v>
      </c>
      <c r="B41" s="54" t="s">
        <v>48</v>
      </c>
      <c r="C41" s="52">
        <v>54212326</v>
      </c>
      <c r="D41" s="55">
        <v>8.0600000000000005E-2</v>
      </c>
      <c r="E41" s="53">
        <v>4369513.4756000005</v>
      </c>
      <c r="F41" s="53">
        <v>1310854.0426800002</v>
      </c>
      <c r="G41" s="73">
        <v>0.35</v>
      </c>
      <c r="H41" s="53">
        <v>1529330</v>
      </c>
      <c r="I41" s="73">
        <v>1</v>
      </c>
      <c r="J41" s="53">
        <v>1529330</v>
      </c>
      <c r="K41" s="53">
        <v>1529330</v>
      </c>
      <c r="L41" s="53">
        <v>0</v>
      </c>
    </row>
    <row r="42" spans="1:12" x14ac:dyDescent="0.4">
      <c r="A42" s="51">
        <v>2021.09</v>
      </c>
      <c r="B42" s="54" t="s">
        <v>48</v>
      </c>
      <c r="C42" s="52">
        <v>8887709.5999999996</v>
      </c>
      <c r="D42" s="55">
        <v>8.2100000000000006E-2</v>
      </c>
      <c r="E42" s="53">
        <v>729680.95816000004</v>
      </c>
      <c r="F42" s="53">
        <v>218904.28744800002</v>
      </c>
      <c r="G42" s="73">
        <v>0.35</v>
      </c>
      <c r="H42" s="53">
        <v>255388</v>
      </c>
      <c r="I42" s="73">
        <v>1</v>
      </c>
      <c r="J42" s="53">
        <v>255388</v>
      </c>
      <c r="K42" s="53">
        <v>255388</v>
      </c>
      <c r="L42" s="53">
        <v>0</v>
      </c>
    </row>
    <row r="43" spans="1:12" x14ac:dyDescent="0.4">
      <c r="A43" s="90" t="s">
        <v>82</v>
      </c>
      <c r="B43" s="54" t="s">
        <v>83</v>
      </c>
      <c r="C43" s="52">
        <v>5337591</v>
      </c>
      <c r="D43" s="55">
        <v>8.3499999999999991E-2</v>
      </c>
      <c r="E43" s="53">
        <v>445688.84849999996</v>
      </c>
      <c r="F43" s="53">
        <v>133706.65454999998</v>
      </c>
      <c r="G43" s="73">
        <v>0.35</v>
      </c>
      <c r="H43" s="53">
        <v>155991</v>
      </c>
      <c r="I43" s="73">
        <v>1</v>
      </c>
      <c r="J43" s="53">
        <v>155991</v>
      </c>
      <c r="K43" s="53">
        <v>155991</v>
      </c>
      <c r="L43" s="53"/>
    </row>
    <row r="44" spans="1:12" x14ac:dyDescent="0.4">
      <c r="A44" s="90" t="s">
        <v>88</v>
      </c>
      <c r="B44" s="54" t="s">
        <v>83</v>
      </c>
      <c r="C44" s="52">
        <v>4668059.1999999993</v>
      </c>
      <c r="D44" s="55">
        <v>8.3000000000000004E-2</v>
      </c>
      <c r="E44" s="53">
        <v>387448.91359999997</v>
      </c>
      <c r="F44" s="53">
        <v>116234.67407999998</v>
      </c>
      <c r="G44" s="73">
        <v>0.35</v>
      </c>
      <c r="H44" s="53">
        <v>135607</v>
      </c>
      <c r="I44" s="73">
        <v>1</v>
      </c>
      <c r="J44" s="53">
        <v>135607</v>
      </c>
      <c r="K44" s="53">
        <v>135607</v>
      </c>
      <c r="L44" s="53">
        <v>0</v>
      </c>
    </row>
    <row r="45" spans="1:12" s="91" customFormat="1" x14ac:dyDescent="0.4">
      <c r="A45" s="90">
        <v>2021.12</v>
      </c>
      <c r="B45" s="54" t="s">
        <v>94</v>
      </c>
      <c r="C45" s="52">
        <v>2878971.1999999997</v>
      </c>
      <c r="D45" s="55">
        <v>8.2599999999999993E-2</v>
      </c>
      <c r="E45" s="53">
        <v>237803.02111999996</v>
      </c>
      <c r="F45" s="53">
        <v>71340.906335999985</v>
      </c>
      <c r="G45" s="73">
        <v>0.35</v>
      </c>
      <c r="H45" s="53">
        <v>83231</v>
      </c>
      <c r="I45" s="73">
        <v>1</v>
      </c>
      <c r="J45" s="53">
        <v>83231</v>
      </c>
      <c r="K45" s="53">
        <v>83231</v>
      </c>
      <c r="L45" s="53">
        <v>0</v>
      </c>
    </row>
    <row r="46" spans="1:12" x14ac:dyDescent="0.4">
      <c r="A46" s="90">
        <v>2022.01</v>
      </c>
      <c r="B46" s="54" t="s">
        <v>94</v>
      </c>
      <c r="C46" s="52">
        <v>2484720</v>
      </c>
      <c r="D46" s="55">
        <v>8.3299999999999999E-2</v>
      </c>
      <c r="E46" s="53">
        <v>206977.17600000001</v>
      </c>
      <c r="F46" s="53">
        <v>62093.152799999996</v>
      </c>
      <c r="G46" s="73">
        <v>0.35</v>
      </c>
      <c r="H46" s="53">
        <v>72442</v>
      </c>
      <c r="I46" s="73">
        <v>1</v>
      </c>
      <c r="J46" s="53">
        <v>72442</v>
      </c>
      <c r="K46" s="53">
        <v>72442</v>
      </c>
      <c r="L46" s="53">
        <v>0</v>
      </c>
    </row>
    <row r="47" spans="1:12" s="91" customFormat="1" x14ac:dyDescent="0.4">
      <c r="A47" s="90">
        <v>2022.02</v>
      </c>
      <c r="B47" s="54" t="s">
        <v>90</v>
      </c>
      <c r="C47" s="52">
        <v>1605933</v>
      </c>
      <c r="D47" s="55">
        <v>8.3499999999999991E-2</v>
      </c>
      <c r="E47" s="53">
        <v>134095.40549999999</v>
      </c>
      <c r="F47" s="53">
        <v>40228.621649999994</v>
      </c>
      <c r="G47" s="73">
        <v>0.35</v>
      </c>
      <c r="H47" s="53">
        <v>46933</v>
      </c>
      <c r="I47" s="73">
        <v>1</v>
      </c>
      <c r="J47" s="53">
        <v>46933</v>
      </c>
      <c r="K47" s="53">
        <v>46933</v>
      </c>
      <c r="L47" s="53">
        <v>0</v>
      </c>
    </row>
    <row r="48" spans="1:12" s="91" customFormat="1" x14ac:dyDescent="0.4">
      <c r="A48" s="148">
        <v>2022.03</v>
      </c>
      <c r="B48" s="149" t="s">
        <v>48</v>
      </c>
      <c r="C48" s="154">
        <v>2120602.4</v>
      </c>
      <c r="D48" s="151">
        <v>8.5099999999999995E-2</v>
      </c>
      <c r="E48" s="74">
        <v>180463.26423999999</v>
      </c>
      <c r="F48" s="74">
        <v>54138.979271999997</v>
      </c>
      <c r="G48" s="153">
        <v>0.35</v>
      </c>
      <c r="H48" s="74">
        <v>63162</v>
      </c>
      <c r="I48" s="153">
        <v>1</v>
      </c>
      <c r="J48" s="74">
        <v>63162</v>
      </c>
      <c r="K48" s="74">
        <v>63162</v>
      </c>
      <c r="L48" s="74">
        <v>0</v>
      </c>
    </row>
    <row r="50" spans="1:12" ht="33" customHeight="1" x14ac:dyDescent="0.4">
      <c r="A50" s="51" t="s">
        <v>4</v>
      </c>
      <c r="B50" s="131" t="s">
        <v>93</v>
      </c>
      <c r="C50" s="131"/>
      <c r="D50" s="131"/>
      <c r="E50" s="131"/>
      <c r="F50" s="131"/>
      <c r="G50" s="131"/>
      <c r="H50" s="131"/>
      <c r="I50" s="131"/>
      <c r="J50" s="131"/>
      <c r="K50" s="131"/>
      <c r="L50" s="131"/>
    </row>
    <row r="51" spans="1:12" x14ac:dyDescent="0.4">
      <c r="A51" s="51" t="s">
        <v>3</v>
      </c>
      <c r="B51" s="132" t="s">
        <v>86</v>
      </c>
      <c r="C51" s="132"/>
      <c r="D51" s="132"/>
      <c r="E51" s="132"/>
      <c r="F51" s="132"/>
      <c r="G51" s="51" t="s">
        <v>5</v>
      </c>
      <c r="H51" s="133">
        <v>3000000</v>
      </c>
      <c r="I51" s="133"/>
      <c r="J51" s="133"/>
      <c r="K51" s="133"/>
      <c r="L51" s="133"/>
    </row>
    <row r="52" spans="1:12" x14ac:dyDescent="0.4">
      <c r="A52" s="51" t="s">
        <v>80</v>
      </c>
      <c r="B52" s="51" t="s">
        <v>6</v>
      </c>
      <c r="C52" s="51" t="s">
        <v>49</v>
      </c>
      <c r="D52" s="51" t="s">
        <v>50</v>
      </c>
      <c r="E52" s="51" t="s">
        <v>51</v>
      </c>
      <c r="F52" s="51" t="s">
        <v>52</v>
      </c>
      <c r="G52" s="51" t="s">
        <v>57</v>
      </c>
      <c r="H52" s="51" t="s">
        <v>58</v>
      </c>
      <c r="I52" s="51" t="s">
        <v>53</v>
      </c>
      <c r="J52" s="51" t="s">
        <v>54</v>
      </c>
      <c r="K52" s="51" t="s">
        <v>55</v>
      </c>
      <c r="L52" s="51" t="s">
        <v>56</v>
      </c>
    </row>
    <row r="53" spans="1:12" x14ac:dyDescent="0.4">
      <c r="A53" s="51">
        <v>2021.07</v>
      </c>
      <c r="B53" s="54" t="s">
        <v>48</v>
      </c>
      <c r="C53" s="52">
        <v>246513.6</v>
      </c>
      <c r="D53" s="55">
        <v>7.8899999999999998E-2</v>
      </c>
      <c r="E53" s="53">
        <v>19449.923040000001</v>
      </c>
      <c r="F53" s="53">
        <v>5834.9769120000001</v>
      </c>
      <c r="G53" s="73">
        <v>0.5</v>
      </c>
      <c r="H53" s="53">
        <v>6807</v>
      </c>
      <c r="I53" s="73">
        <v>0.8</v>
      </c>
      <c r="J53" s="53">
        <v>5445</v>
      </c>
      <c r="K53" s="53">
        <v>5445</v>
      </c>
      <c r="L53" s="53">
        <v>0</v>
      </c>
    </row>
    <row r="54" spans="1:12" x14ac:dyDescent="0.4">
      <c r="A54" s="51">
        <v>2021.08</v>
      </c>
      <c r="B54" s="54" t="s">
        <v>48</v>
      </c>
      <c r="C54" s="52">
        <v>161616</v>
      </c>
      <c r="D54" s="55">
        <v>8.0600000000000005E-2</v>
      </c>
      <c r="E54" s="53">
        <v>13026.249600000001</v>
      </c>
      <c r="F54" s="53">
        <v>3907.8748800000003</v>
      </c>
      <c r="G54" s="73">
        <v>0.5</v>
      </c>
      <c r="H54" s="53">
        <v>4559</v>
      </c>
      <c r="I54" s="73">
        <v>0.8</v>
      </c>
      <c r="J54" s="53">
        <v>3647</v>
      </c>
      <c r="K54" s="53">
        <v>3647</v>
      </c>
      <c r="L54" s="53">
        <v>0</v>
      </c>
    </row>
    <row r="55" spans="1:12" x14ac:dyDescent="0.4">
      <c r="A55" s="90" t="s">
        <v>87</v>
      </c>
      <c r="B55" s="54" t="s">
        <v>83</v>
      </c>
      <c r="C55" s="52">
        <v>139752</v>
      </c>
      <c r="D55" s="55">
        <v>8.2100000000000006E-2</v>
      </c>
      <c r="E55" s="53">
        <v>11473.639200000001</v>
      </c>
      <c r="F55" s="53">
        <v>3442.0917600000002</v>
      </c>
      <c r="G55" s="73">
        <v>0.5</v>
      </c>
      <c r="H55" s="53">
        <v>4016</v>
      </c>
      <c r="I55" s="73">
        <v>0.8</v>
      </c>
      <c r="J55" s="53">
        <v>3212</v>
      </c>
      <c r="K55" s="53">
        <v>3212</v>
      </c>
      <c r="L55" s="53"/>
    </row>
    <row r="56" spans="1:12" x14ac:dyDescent="0.4">
      <c r="A56" s="90" t="s">
        <v>82</v>
      </c>
      <c r="B56" s="54" t="s">
        <v>83</v>
      </c>
      <c r="C56" s="52">
        <v>342936</v>
      </c>
      <c r="D56" s="55">
        <v>8.3499999999999991E-2</v>
      </c>
      <c r="E56" s="53">
        <v>28635.155999999995</v>
      </c>
      <c r="F56" s="53">
        <v>8590.5467999999983</v>
      </c>
      <c r="G56" s="73">
        <v>0.5</v>
      </c>
      <c r="H56" s="53">
        <v>10022</v>
      </c>
      <c r="I56" s="73">
        <v>0.8</v>
      </c>
      <c r="J56" s="53">
        <v>8017</v>
      </c>
      <c r="K56" s="53">
        <v>8017</v>
      </c>
      <c r="L56" s="53"/>
    </row>
    <row r="57" spans="1:12" s="91" customFormat="1" x14ac:dyDescent="0.4">
      <c r="A57" s="90" t="s">
        <v>89</v>
      </c>
      <c r="B57" s="54" t="s">
        <v>90</v>
      </c>
      <c r="C57" s="52">
        <v>145526.39999999999</v>
      </c>
      <c r="D57" s="55">
        <v>8.3000000000000004E-2</v>
      </c>
      <c r="E57" s="53">
        <v>12078.691199999999</v>
      </c>
      <c r="F57" s="53">
        <v>3623.6073599999995</v>
      </c>
      <c r="G57" s="73">
        <v>0.5</v>
      </c>
      <c r="H57" s="53">
        <v>4228</v>
      </c>
      <c r="I57" s="73">
        <v>0.8</v>
      </c>
      <c r="J57" s="53">
        <v>3382</v>
      </c>
      <c r="K57" s="53">
        <v>3382</v>
      </c>
      <c r="L57" s="53">
        <v>0</v>
      </c>
    </row>
    <row r="58" spans="1:12" s="91" customFormat="1" x14ac:dyDescent="0.4">
      <c r="A58" s="90" t="s">
        <v>95</v>
      </c>
      <c r="B58" s="54" t="s">
        <v>48</v>
      </c>
      <c r="C58" s="52">
        <v>37555.199999999997</v>
      </c>
      <c r="D58" s="55">
        <v>8.2599999999999993E-2</v>
      </c>
      <c r="E58" s="53">
        <v>3102.0595199999993</v>
      </c>
      <c r="F58" s="53">
        <v>930.61785599999973</v>
      </c>
      <c r="G58" s="73">
        <v>0.5</v>
      </c>
      <c r="H58" s="53">
        <v>1086</v>
      </c>
      <c r="I58" s="73">
        <v>0.8</v>
      </c>
      <c r="J58" s="53">
        <v>868</v>
      </c>
      <c r="K58" s="53">
        <v>868</v>
      </c>
      <c r="L58" s="53">
        <v>0</v>
      </c>
    </row>
    <row r="59" spans="1:12" x14ac:dyDescent="0.4">
      <c r="A59" s="90" t="s">
        <v>96</v>
      </c>
      <c r="B59" s="54" t="s">
        <v>48</v>
      </c>
      <c r="C59" s="52">
        <v>39150</v>
      </c>
      <c r="D59" s="55">
        <v>8.3299999999999999E-2</v>
      </c>
      <c r="E59" s="53">
        <v>3261.1950000000002</v>
      </c>
      <c r="F59" s="53">
        <v>978.35850000000005</v>
      </c>
      <c r="G59" s="73">
        <v>0.5</v>
      </c>
      <c r="H59" s="53">
        <v>1141</v>
      </c>
      <c r="I59" s="73">
        <v>0.8</v>
      </c>
      <c r="J59" s="53">
        <v>912</v>
      </c>
      <c r="K59" s="53">
        <v>912</v>
      </c>
      <c r="L59" s="121">
        <v>0</v>
      </c>
    </row>
    <row r="60" spans="1:12" s="91" customFormat="1" x14ac:dyDescent="0.4">
      <c r="A60" s="90" t="s">
        <v>134</v>
      </c>
      <c r="B60" s="54" t="s">
        <v>48</v>
      </c>
      <c r="C60" s="52">
        <v>42282</v>
      </c>
      <c r="D60" s="55">
        <v>8.3499999999999991E-2</v>
      </c>
      <c r="E60" s="53">
        <v>3530.5469999999996</v>
      </c>
      <c r="F60" s="53">
        <v>1059.1640999999997</v>
      </c>
      <c r="G60" s="73">
        <v>0.5</v>
      </c>
      <c r="H60" s="53">
        <v>1236</v>
      </c>
      <c r="I60" s="73">
        <v>0.8</v>
      </c>
      <c r="J60" s="53">
        <v>988</v>
      </c>
      <c r="K60" s="53">
        <v>988</v>
      </c>
      <c r="L60" s="121"/>
    </row>
    <row r="61" spans="1:12" x14ac:dyDescent="0.4">
      <c r="A61" s="148" t="s">
        <v>136</v>
      </c>
      <c r="B61" s="149" t="s">
        <v>48</v>
      </c>
      <c r="C61" s="154">
        <v>90014.399999999994</v>
      </c>
      <c r="D61" s="151">
        <v>8.5099999999999995E-2</v>
      </c>
      <c r="E61" s="74">
        <v>7660.2254399999993</v>
      </c>
      <c r="F61" s="74">
        <v>2298.0676319999998</v>
      </c>
      <c r="G61" s="153">
        <v>0.5</v>
      </c>
      <c r="H61" s="74">
        <v>2681</v>
      </c>
      <c r="I61" s="153">
        <v>0.8</v>
      </c>
      <c r="J61" s="74">
        <v>2144</v>
      </c>
      <c r="K61" s="74">
        <v>2144</v>
      </c>
      <c r="L61" s="155">
        <v>0</v>
      </c>
    </row>
  </sheetData>
  <mergeCells count="11">
    <mergeCell ref="A3:E3"/>
    <mergeCell ref="B7:F7"/>
    <mergeCell ref="B6:L6"/>
    <mergeCell ref="H7:L7"/>
    <mergeCell ref="B26:L26"/>
    <mergeCell ref="B50:L50"/>
    <mergeCell ref="B51:F51"/>
    <mergeCell ref="H51:L51"/>
    <mergeCell ref="B38:L38"/>
    <mergeCell ref="B39:F39"/>
    <mergeCell ref="H39:L39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Views>
    <sheetView workbookViewId="0">
      <pane ySplit="1" topLeftCell="A14" activePane="bottomLeft" state="frozen"/>
      <selection pane="bottomLeft" activeCell="D19" sqref="D19"/>
    </sheetView>
  </sheetViews>
  <sheetFormatPr defaultRowHeight="17.399999999999999" x14ac:dyDescent="0.4"/>
  <cols>
    <col min="1" max="1" width="4.19921875" customWidth="1"/>
    <col min="2" max="2" width="10.69921875" customWidth="1"/>
    <col min="3" max="3" width="10.59765625" customWidth="1"/>
    <col min="4" max="4" width="44.69921875" bestFit="1" customWidth="1"/>
    <col min="5" max="5" width="19.296875" bestFit="1" customWidth="1"/>
    <col min="6" max="6" width="11.69921875" bestFit="1" customWidth="1"/>
  </cols>
  <sheetData>
    <row r="1" spans="1:31" x14ac:dyDescent="0.4">
      <c r="A1" s="2" t="s">
        <v>7</v>
      </c>
    </row>
    <row r="2" spans="1:31" s="4" customFormat="1" ht="5.0999999999999996" customHeight="1" x14ac:dyDescent="0.4">
      <c r="A2" s="6"/>
      <c r="F2" s="7"/>
      <c r="G2" s="7"/>
      <c r="I2" s="7"/>
      <c r="J2" s="5"/>
      <c r="K2" s="8"/>
      <c r="L2" s="5"/>
      <c r="M2" s="9"/>
      <c r="N2" s="5"/>
      <c r="O2" s="5"/>
      <c r="P2" s="9"/>
      <c r="Q2" s="5"/>
      <c r="R2" s="10"/>
      <c r="S2" s="9"/>
      <c r="T2" s="9"/>
      <c r="U2" s="5"/>
      <c r="V2" s="5"/>
      <c r="W2" s="5"/>
      <c r="X2" s="5"/>
      <c r="Y2" s="5"/>
      <c r="Z2" s="5"/>
      <c r="AA2" s="5"/>
      <c r="AB2" s="10"/>
    </row>
    <row r="3" spans="1:31" s="11" customFormat="1" ht="25.5" customHeight="1" x14ac:dyDescent="0.4">
      <c r="A3" s="12"/>
      <c r="B3" s="13"/>
      <c r="C3" s="14"/>
      <c r="D3" s="15" t="s">
        <v>8</v>
      </c>
      <c r="E3" s="15"/>
      <c r="F3" s="16"/>
      <c r="G3" s="16"/>
      <c r="H3" s="16"/>
      <c r="I3" s="16"/>
      <c r="J3" s="16"/>
      <c r="K3" s="17">
        <f>SUBTOTAL(9,M6:M9857)</f>
        <v>59924090.25215999</v>
      </c>
      <c r="L3" s="18"/>
      <c r="M3" s="17">
        <f>SUBTOTAL(9,O6:O9857)</f>
        <v>17977227.075648002</v>
      </c>
      <c r="N3" s="19"/>
      <c r="O3" s="17">
        <f>SUBTOTAL(9,Q6:Q9857)</f>
        <v>9.9499999999999975</v>
      </c>
      <c r="P3" s="17">
        <f>SUBTOTAL(9,R6:R9857)</f>
        <v>20973431</v>
      </c>
      <c r="Q3" s="19"/>
      <c r="R3" s="17">
        <f>SUBTOTAL(9,T6:T9857)</f>
        <v>19</v>
      </c>
      <c r="S3" s="20"/>
      <c r="T3" s="21"/>
      <c r="U3" s="21"/>
      <c r="V3" s="20">
        <f>SUBTOTAL(9,X6:X9857)</f>
        <v>9315663</v>
      </c>
      <c r="W3" s="20"/>
      <c r="X3" s="20"/>
      <c r="Y3" s="20"/>
      <c r="Z3" s="20">
        <f>SUBTOTAL(9,AB6:AB9857)</f>
        <v>83573508</v>
      </c>
      <c r="AA3" s="20">
        <f>SUBTOTAL(9,AC6:AC9857)</f>
        <v>0</v>
      </c>
      <c r="AB3" s="20"/>
      <c r="AC3" s="22"/>
    </row>
    <row r="4" spans="1:31" s="4" customFormat="1" ht="5.0999999999999996" customHeight="1" x14ac:dyDescent="0.4">
      <c r="A4" s="6"/>
      <c r="F4" s="7"/>
      <c r="G4" s="7"/>
      <c r="I4" s="7"/>
      <c r="J4" s="5"/>
      <c r="K4" s="8"/>
      <c r="L4" s="5"/>
      <c r="M4" s="9"/>
      <c r="N4" s="5"/>
      <c r="O4" s="5"/>
      <c r="P4" s="9"/>
      <c r="Q4" s="5"/>
      <c r="R4" s="10"/>
      <c r="S4" s="9"/>
      <c r="T4" s="9"/>
      <c r="U4" s="5"/>
      <c r="V4" s="5"/>
      <c r="W4" s="5"/>
      <c r="X4" s="5"/>
      <c r="Y4" s="5"/>
      <c r="Z4" s="5"/>
      <c r="AA4" s="5"/>
      <c r="AB4" s="10"/>
      <c r="AC4" s="10"/>
    </row>
    <row r="5" spans="1:31" s="23" customFormat="1" ht="32.25" customHeight="1" x14ac:dyDescent="0.4">
      <c r="A5" s="24" t="s">
        <v>9</v>
      </c>
      <c r="B5" s="25" t="s">
        <v>10</v>
      </c>
      <c r="C5" s="26" t="s">
        <v>11</v>
      </c>
      <c r="D5" s="26" t="s">
        <v>12</v>
      </c>
      <c r="E5" s="26" t="s">
        <v>1</v>
      </c>
      <c r="F5" s="27" t="s">
        <v>13</v>
      </c>
      <c r="G5" s="27" t="s">
        <v>14</v>
      </c>
      <c r="H5" s="27" t="s">
        <v>15</v>
      </c>
      <c r="I5" s="27" t="s">
        <v>16</v>
      </c>
      <c r="J5" s="27" t="s">
        <v>17</v>
      </c>
      <c r="K5" s="28" t="s">
        <v>18</v>
      </c>
      <c r="L5" s="29" t="s">
        <v>19</v>
      </c>
      <c r="M5" s="28" t="s">
        <v>20</v>
      </c>
      <c r="N5" s="30" t="s">
        <v>21</v>
      </c>
      <c r="O5" s="28" t="s">
        <v>22</v>
      </c>
      <c r="P5" s="28" t="s">
        <v>23</v>
      </c>
      <c r="Q5" s="30" t="s">
        <v>24</v>
      </c>
      <c r="R5" s="28" t="s">
        <v>25</v>
      </c>
      <c r="S5" s="31" t="s">
        <v>26</v>
      </c>
      <c r="T5" s="32" t="s">
        <v>27</v>
      </c>
      <c r="U5" s="32" t="s">
        <v>28</v>
      </c>
      <c r="V5" s="28" t="s">
        <v>29</v>
      </c>
      <c r="W5" s="33" t="s">
        <v>30</v>
      </c>
      <c r="X5" s="33" t="s">
        <v>31</v>
      </c>
      <c r="Y5" s="33" t="s">
        <v>32</v>
      </c>
      <c r="Z5" s="28" t="s">
        <v>33</v>
      </c>
      <c r="AA5" s="28" t="s">
        <v>34</v>
      </c>
      <c r="AB5" s="33" t="s">
        <v>35</v>
      </c>
      <c r="AC5" s="33" t="s">
        <v>36</v>
      </c>
    </row>
    <row r="6" spans="1:31" s="34" customFormat="1" ht="18" customHeight="1" x14ac:dyDescent="0.4">
      <c r="A6" s="35">
        <v>1</v>
      </c>
      <c r="B6" s="36">
        <v>44227</v>
      </c>
      <c r="C6" s="37" t="s">
        <v>37</v>
      </c>
      <c r="D6" s="38" t="s">
        <v>38</v>
      </c>
      <c r="E6" s="38" t="s">
        <v>39</v>
      </c>
      <c r="F6" s="39">
        <v>44203</v>
      </c>
      <c r="G6" s="39" t="s">
        <v>40</v>
      </c>
      <c r="H6" s="39" t="s">
        <v>41</v>
      </c>
      <c r="I6" s="40" t="s">
        <v>42</v>
      </c>
      <c r="J6" s="40" t="s">
        <v>43</v>
      </c>
      <c r="K6" s="41">
        <v>157759459.19999999</v>
      </c>
      <c r="L6" s="42">
        <v>7.8299999999999995E-2</v>
      </c>
      <c r="M6" s="41">
        <v>12352565.655359998</v>
      </c>
      <c r="N6" s="43">
        <v>0.3</v>
      </c>
      <c r="O6" s="41">
        <v>3705769.6966079995</v>
      </c>
      <c r="P6" s="41">
        <v>8646795.9587519988</v>
      </c>
      <c r="Q6" s="43">
        <v>0.5</v>
      </c>
      <c r="R6" s="41">
        <v>4323398</v>
      </c>
      <c r="S6" s="44">
        <v>6000000</v>
      </c>
      <c r="T6" s="43">
        <v>0.8</v>
      </c>
      <c r="U6" s="43">
        <v>0.8</v>
      </c>
      <c r="V6" s="45">
        <v>3458718</v>
      </c>
      <c r="W6" s="41">
        <v>3458718</v>
      </c>
      <c r="X6" s="41">
        <v>0</v>
      </c>
      <c r="Y6" s="41">
        <v>2541282</v>
      </c>
      <c r="Z6" s="46">
        <v>3458718</v>
      </c>
      <c r="AA6" s="47">
        <v>0</v>
      </c>
      <c r="AB6" s="41">
        <v>0</v>
      </c>
      <c r="AC6" s="48"/>
    </row>
    <row r="7" spans="1:31" s="34" customFormat="1" ht="18" customHeight="1" x14ac:dyDescent="0.4">
      <c r="A7" s="35">
        <v>2</v>
      </c>
      <c r="B7" s="36">
        <v>44255</v>
      </c>
      <c r="C7" s="37" t="s">
        <v>37</v>
      </c>
      <c r="D7" s="38" t="s">
        <v>44</v>
      </c>
      <c r="E7" s="38" t="s">
        <v>39</v>
      </c>
      <c r="F7" s="39">
        <v>44203</v>
      </c>
      <c r="G7" s="39" t="s">
        <v>40</v>
      </c>
      <c r="H7" s="39" t="s">
        <v>41</v>
      </c>
      <c r="I7" s="40" t="s">
        <v>42</v>
      </c>
      <c r="J7" s="40" t="s">
        <v>43</v>
      </c>
      <c r="K7" s="41">
        <v>76836556.799999997</v>
      </c>
      <c r="L7" s="42">
        <v>7.9299999999999995E-2</v>
      </c>
      <c r="M7" s="41">
        <v>6093138.9542399999</v>
      </c>
      <c r="N7" s="43">
        <v>0.3</v>
      </c>
      <c r="O7" s="41">
        <v>1827941.686272</v>
      </c>
      <c r="P7" s="41">
        <v>4265197.2679679999</v>
      </c>
      <c r="Q7" s="43">
        <v>0.5</v>
      </c>
      <c r="R7" s="41">
        <v>2132599</v>
      </c>
      <c r="S7" s="44">
        <v>6000000</v>
      </c>
      <c r="T7" s="43">
        <v>0.8</v>
      </c>
      <c r="U7" s="43">
        <v>0.8</v>
      </c>
      <c r="V7" s="45">
        <v>1706079</v>
      </c>
      <c r="W7" s="41">
        <v>5164797</v>
      </c>
      <c r="X7" s="41">
        <v>2541282</v>
      </c>
      <c r="Y7" s="41">
        <v>835203</v>
      </c>
      <c r="Z7" s="46">
        <v>1706079</v>
      </c>
      <c r="AA7" s="47">
        <v>0</v>
      </c>
      <c r="AB7" s="41">
        <v>0</v>
      </c>
      <c r="AC7" s="48"/>
    </row>
    <row r="8" spans="1:31" s="34" customFormat="1" ht="19.95" customHeight="1" x14ac:dyDescent="0.4">
      <c r="A8" s="35">
        <v>3</v>
      </c>
      <c r="B8" s="60">
        <v>44286</v>
      </c>
      <c r="C8" s="61" t="s">
        <v>37</v>
      </c>
      <c r="D8" s="56" t="s">
        <v>38</v>
      </c>
      <c r="E8" s="56" t="s">
        <v>39</v>
      </c>
      <c r="F8" s="57">
        <v>44203</v>
      </c>
      <c r="G8" s="57" t="s">
        <v>40</v>
      </c>
      <c r="H8" s="57" t="s">
        <v>41</v>
      </c>
      <c r="I8" s="58" t="s">
        <v>42</v>
      </c>
      <c r="J8" s="62" t="s">
        <v>43</v>
      </c>
      <c r="K8" s="63">
        <v>86974830</v>
      </c>
      <c r="L8" s="64">
        <v>7.8600000000000003E-2</v>
      </c>
      <c r="M8" s="63">
        <v>6836221.6380000003</v>
      </c>
      <c r="N8" s="65">
        <v>0.3</v>
      </c>
      <c r="O8" s="63">
        <v>2050866.4913999999</v>
      </c>
      <c r="P8" s="63">
        <v>4785355.1466000006</v>
      </c>
      <c r="Q8" s="65">
        <v>0.5</v>
      </c>
      <c r="R8" s="63">
        <v>2392678</v>
      </c>
      <c r="S8" s="66">
        <v>6000000</v>
      </c>
      <c r="T8" s="65">
        <v>0.8</v>
      </c>
      <c r="U8" s="65">
        <v>0.8</v>
      </c>
      <c r="V8" s="67">
        <v>1914142</v>
      </c>
      <c r="W8" s="63">
        <v>7078939</v>
      </c>
      <c r="X8" s="63">
        <v>835203</v>
      </c>
      <c r="Y8" s="63">
        <v>0</v>
      </c>
      <c r="Z8" s="68">
        <v>835203</v>
      </c>
      <c r="AA8" s="69">
        <v>1078939</v>
      </c>
      <c r="AB8" s="63">
        <v>1078939</v>
      </c>
      <c r="AC8" s="70"/>
      <c r="AD8" s="50"/>
      <c r="AE8" s="49"/>
    </row>
    <row r="9" spans="1:31" s="34" customFormat="1" ht="16.5" customHeight="1" x14ac:dyDescent="0.4">
      <c r="A9" s="35">
        <v>4</v>
      </c>
      <c r="B9" s="60">
        <v>44316</v>
      </c>
      <c r="C9" s="61" t="s">
        <v>37</v>
      </c>
      <c r="D9" s="56" t="s">
        <v>38</v>
      </c>
      <c r="E9" s="56" t="s">
        <v>39</v>
      </c>
      <c r="F9" s="57">
        <v>44203</v>
      </c>
      <c r="G9" s="57" t="s">
        <v>40</v>
      </c>
      <c r="H9" s="57" t="s">
        <v>41</v>
      </c>
      <c r="I9" s="58" t="s">
        <v>42</v>
      </c>
      <c r="J9" s="62" t="s">
        <v>43</v>
      </c>
      <c r="K9" s="63">
        <v>57607558.799999997</v>
      </c>
      <c r="L9" s="64">
        <v>7.6999999999999999E-2</v>
      </c>
      <c r="M9" s="63">
        <v>4435782.0275999997</v>
      </c>
      <c r="N9" s="65">
        <v>0.3</v>
      </c>
      <c r="O9" s="63">
        <v>1330734.6082799998</v>
      </c>
      <c r="P9" s="63">
        <v>3105047.4193199999</v>
      </c>
      <c r="Q9" s="65">
        <v>0.5</v>
      </c>
      <c r="R9" s="63">
        <v>1552524</v>
      </c>
      <c r="S9" s="66">
        <v>6000000</v>
      </c>
      <c r="T9" s="65">
        <v>0.8</v>
      </c>
      <c r="U9" s="65">
        <v>0.8</v>
      </c>
      <c r="V9" s="67">
        <v>1242019</v>
      </c>
      <c r="W9" s="63">
        <v>8320958</v>
      </c>
      <c r="X9" s="63">
        <v>0</v>
      </c>
      <c r="Y9" s="63">
        <v>0</v>
      </c>
      <c r="Z9" s="68">
        <v>0</v>
      </c>
      <c r="AA9" s="69">
        <v>1242019</v>
      </c>
      <c r="AB9" s="63">
        <v>2320958</v>
      </c>
      <c r="AC9" s="70"/>
      <c r="AD9" s="50"/>
      <c r="AE9" s="49"/>
    </row>
    <row r="10" spans="1:31" x14ac:dyDescent="0.4">
      <c r="A10" s="35">
        <v>5</v>
      </c>
      <c r="B10" s="60">
        <v>44347</v>
      </c>
      <c r="C10" s="61" t="s">
        <v>37</v>
      </c>
      <c r="D10" s="56" t="s">
        <v>38</v>
      </c>
      <c r="E10" s="56" t="s">
        <v>39</v>
      </c>
      <c r="F10" s="57">
        <v>44203</v>
      </c>
      <c r="G10" s="57" t="s">
        <v>40</v>
      </c>
      <c r="H10" s="57" t="s">
        <v>41</v>
      </c>
      <c r="I10" s="58" t="s">
        <v>42</v>
      </c>
      <c r="J10" s="62" t="s">
        <v>43</v>
      </c>
      <c r="K10" s="63">
        <v>53342150.399999999</v>
      </c>
      <c r="L10" s="64">
        <v>7.85E-2</v>
      </c>
      <c r="M10" s="63">
        <v>4187358.8064000001</v>
      </c>
      <c r="N10" s="65">
        <v>0.3</v>
      </c>
      <c r="O10" s="63">
        <v>1256207.6419200001</v>
      </c>
      <c r="P10" s="63">
        <v>2931151.1644799998</v>
      </c>
      <c r="Q10" s="65">
        <v>0.5</v>
      </c>
      <c r="R10" s="63">
        <v>1465576</v>
      </c>
      <c r="S10" s="66">
        <v>6000000</v>
      </c>
      <c r="T10" s="65">
        <v>0.8</v>
      </c>
      <c r="U10" s="65">
        <v>0.8</v>
      </c>
      <c r="V10" s="67">
        <v>1172460</v>
      </c>
      <c r="W10" s="63">
        <v>9493418</v>
      </c>
      <c r="X10" s="63">
        <v>0</v>
      </c>
      <c r="Y10" s="63">
        <v>0</v>
      </c>
      <c r="Z10" s="68">
        <v>0</v>
      </c>
      <c r="AA10" s="69">
        <v>1172460</v>
      </c>
      <c r="AB10" s="63">
        <v>3493418</v>
      </c>
      <c r="AC10" s="70"/>
    </row>
    <row r="11" spans="1:31" s="34" customFormat="1" ht="18" customHeight="1" x14ac:dyDescent="0.4">
      <c r="A11" s="35">
        <v>6</v>
      </c>
      <c r="B11" s="60">
        <v>44377</v>
      </c>
      <c r="C11" s="61" t="s">
        <v>37</v>
      </c>
      <c r="D11" s="56" t="s">
        <v>38</v>
      </c>
      <c r="E11" s="56" t="s">
        <v>39</v>
      </c>
      <c r="F11" s="57">
        <v>44203</v>
      </c>
      <c r="G11" s="57" t="s">
        <v>40</v>
      </c>
      <c r="H11" s="57" t="s">
        <v>41</v>
      </c>
      <c r="I11" s="58" t="s">
        <v>42</v>
      </c>
      <c r="J11" s="62" t="s">
        <v>43</v>
      </c>
      <c r="K11" s="63">
        <v>44723318.399999999</v>
      </c>
      <c r="L11" s="64">
        <v>7.8299999999999995E-2</v>
      </c>
      <c r="M11" s="63">
        <v>3501835.8307199995</v>
      </c>
      <c r="N11" s="65">
        <v>0.3</v>
      </c>
      <c r="O11" s="63">
        <v>1050550.7492159999</v>
      </c>
      <c r="P11" s="63">
        <v>2451285.0815039994</v>
      </c>
      <c r="Q11" s="65">
        <v>0.5</v>
      </c>
      <c r="R11" s="63">
        <v>1225643</v>
      </c>
      <c r="S11" s="66">
        <v>6000000</v>
      </c>
      <c r="T11" s="65">
        <v>0.8</v>
      </c>
      <c r="U11" s="65">
        <v>0.8</v>
      </c>
      <c r="V11" s="67">
        <v>980514</v>
      </c>
      <c r="W11" s="63">
        <v>10473932</v>
      </c>
      <c r="X11" s="63">
        <v>0</v>
      </c>
      <c r="Y11" s="63">
        <v>0</v>
      </c>
      <c r="Z11" s="68">
        <v>0</v>
      </c>
      <c r="AA11" s="69">
        <v>980514</v>
      </c>
      <c r="AB11" s="63">
        <v>4473932</v>
      </c>
      <c r="AC11" s="70"/>
    </row>
    <row r="12" spans="1:31" x14ac:dyDescent="0.4">
      <c r="A12" s="35">
        <v>7</v>
      </c>
      <c r="B12" s="75">
        <v>44408</v>
      </c>
      <c r="C12" s="76" t="s">
        <v>37</v>
      </c>
      <c r="D12" s="77" t="s">
        <v>38</v>
      </c>
      <c r="E12" s="77" t="s">
        <v>39</v>
      </c>
      <c r="F12" s="78">
        <v>44203</v>
      </c>
      <c r="G12" s="78" t="s">
        <v>40</v>
      </c>
      <c r="H12" s="78" t="s">
        <v>41</v>
      </c>
      <c r="I12" s="79" t="s">
        <v>42</v>
      </c>
      <c r="J12" s="80" t="s">
        <v>43</v>
      </c>
      <c r="K12" s="81">
        <v>62816006.399999999</v>
      </c>
      <c r="L12" s="82">
        <v>7.8899999999999998E-2</v>
      </c>
      <c r="M12" s="81">
        <v>4956182.90496</v>
      </c>
      <c r="N12" s="83">
        <v>0.3</v>
      </c>
      <c r="O12" s="81">
        <v>1486854.871488</v>
      </c>
      <c r="P12" s="81">
        <v>3469328.0334719997</v>
      </c>
      <c r="Q12" s="83">
        <v>0.5</v>
      </c>
      <c r="R12" s="81">
        <v>1734664</v>
      </c>
      <c r="S12" s="84">
        <v>6000000</v>
      </c>
      <c r="T12" s="83">
        <v>0.8</v>
      </c>
      <c r="U12" s="83">
        <v>0.8</v>
      </c>
      <c r="V12" s="85">
        <v>1387731</v>
      </c>
      <c r="W12" s="81">
        <v>11861663</v>
      </c>
      <c r="X12" s="81">
        <v>0</v>
      </c>
      <c r="Y12" s="81">
        <v>0</v>
      </c>
      <c r="Z12" s="86">
        <v>0</v>
      </c>
      <c r="AA12" s="87">
        <v>1387731</v>
      </c>
      <c r="AB12" s="81">
        <v>5861663</v>
      </c>
      <c r="AC12" s="88" t="s">
        <v>61</v>
      </c>
    </row>
    <row r="13" spans="1:31" s="34" customFormat="1" ht="18" customHeight="1" x14ac:dyDescent="0.4">
      <c r="A13" s="35">
        <v>8</v>
      </c>
      <c r="B13" s="60">
        <v>44439</v>
      </c>
      <c r="C13" s="61" t="s">
        <v>37</v>
      </c>
      <c r="D13" s="56" t="s">
        <v>38</v>
      </c>
      <c r="E13" s="56" t="s">
        <v>39</v>
      </c>
      <c r="F13" s="57">
        <v>44203</v>
      </c>
      <c r="G13" s="57" t="s">
        <v>40</v>
      </c>
      <c r="H13" s="57" t="s">
        <v>41</v>
      </c>
      <c r="I13" s="58" t="s">
        <v>42</v>
      </c>
      <c r="J13" s="62" t="s">
        <v>43</v>
      </c>
      <c r="K13" s="63">
        <v>42831348</v>
      </c>
      <c r="L13" s="64">
        <v>8.0600000000000005E-2</v>
      </c>
      <c r="M13" s="63">
        <v>3452206.6488000001</v>
      </c>
      <c r="N13" s="65">
        <v>0.3</v>
      </c>
      <c r="O13" s="63">
        <v>1035661.9946399999</v>
      </c>
      <c r="P13" s="63">
        <v>2416544.6541600004</v>
      </c>
      <c r="Q13" s="65">
        <v>0.5</v>
      </c>
      <c r="R13" s="63">
        <v>1208272</v>
      </c>
      <c r="S13" s="66">
        <v>6000000</v>
      </c>
      <c r="T13" s="65">
        <v>0.8</v>
      </c>
      <c r="U13" s="65">
        <v>0.8</v>
      </c>
      <c r="V13" s="67">
        <v>966617</v>
      </c>
      <c r="W13" s="63">
        <v>12828280</v>
      </c>
      <c r="X13" s="63">
        <v>0</v>
      </c>
      <c r="Y13" s="63">
        <v>0</v>
      </c>
      <c r="Z13" s="68">
        <v>0</v>
      </c>
      <c r="AA13" s="69">
        <v>966617</v>
      </c>
      <c r="AB13" s="63">
        <v>6828280</v>
      </c>
      <c r="AC13" s="70" t="s">
        <v>61</v>
      </c>
    </row>
    <row r="14" spans="1:31" s="34" customFormat="1" ht="18" customHeight="1" x14ac:dyDescent="0.4">
      <c r="A14" s="35">
        <v>9</v>
      </c>
      <c r="B14" s="60">
        <v>44469</v>
      </c>
      <c r="C14" s="61" t="s">
        <v>37</v>
      </c>
      <c r="D14" s="56" t="s">
        <v>38</v>
      </c>
      <c r="E14" s="56" t="s">
        <v>39</v>
      </c>
      <c r="F14" s="57">
        <v>44203</v>
      </c>
      <c r="G14" s="57" t="s">
        <v>40</v>
      </c>
      <c r="H14" s="57" t="s">
        <v>41</v>
      </c>
      <c r="I14" s="58" t="s">
        <v>42</v>
      </c>
      <c r="J14" s="62" t="s">
        <v>43</v>
      </c>
      <c r="K14" s="63">
        <v>34779614.399999999</v>
      </c>
      <c r="L14" s="64">
        <v>8.2100000000000006E-2</v>
      </c>
      <c r="M14" s="63">
        <v>2855406.3422400001</v>
      </c>
      <c r="N14" s="65">
        <v>0.3</v>
      </c>
      <c r="O14" s="63">
        <v>856621.902672</v>
      </c>
      <c r="P14" s="63">
        <v>1998784.4395680001</v>
      </c>
      <c r="Q14" s="65">
        <v>0.5</v>
      </c>
      <c r="R14" s="63">
        <v>999392</v>
      </c>
      <c r="S14" s="66">
        <v>6000000</v>
      </c>
      <c r="T14" s="65">
        <v>0.8</v>
      </c>
      <c r="U14" s="65">
        <v>0.8</v>
      </c>
      <c r="V14" s="67">
        <v>799513</v>
      </c>
      <c r="W14" s="63">
        <v>13627793</v>
      </c>
      <c r="X14" s="63">
        <v>0</v>
      </c>
      <c r="Y14" s="63">
        <v>0</v>
      </c>
      <c r="Z14" s="68">
        <v>0</v>
      </c>
      <c r="AA14" s="69">
        <v>799513</v>
      </c>
      <c r="AB14" s="63">
        <v>7627793</v>
      </c>
      <c r="AC14" s="70" t="s">
        <v>61</v>
      </c>
    </row>
    <row r="15" spans="1:31" x14ac:dyDescent="0.4">
      <c r="A15" s="89">
        <v>10</v>
      </c>
      <c r="B15" s="60">
        <v>44500</v>
      </c>
      <c r="C15" s="61" t="s">
        <v>37</v>
      </c>
      <c r="D15" s="56" t="s">
        <v>38</v>
      </c>
      <c r="E15" s="56" t="s">
        <v>39</v>
      </c>
      <c r="F15" s="57">
        <v>44203</v>
      </c>
      <c r="G15" s="57" t="s">
        <v>40</v>
      </c>
      <c r="H15" s="57" t="s">
        <v>41</v>
      </c>
      <c r="I15" s="58" t="s">
        <v>42</v>
      </c>
      <c r="J15" s="62" t="s">
        <v>43</v>
      </c>
      <c r="K15" s="63">
        <v>23910433.199999999</v>
      </c>
      <c r="L15" s="64">
        <v>8.3499999999999991E-2</v>
      </c>
      <c r="M15" s="63">
        <v>1996521.1721999997</v>
      </c>
      <c r="N15" s="65">
        <v>0.3</v>
      </c>
      <c r="O15" s="63">
        <v>598956.35165999993</v>
      </c>
      <c r="P15" s="63">
        <v>1397564.8205399998</v>
      </c>
      <c r="Q15" s="65">
        <v>0.5</v>
      </c>
      <c r="R15" s="63">
        <v>698782</v>
      </c>
      <c r="S15" s="66">
        <v>6000000</v>
      </c>
      <c r="T15" s="65">
        <v>0.8</v>
      </c>
      <c r="U15" s="65">
        <v>0.8</v>
      </c>
      <c r="V15" s="67">
        <v>559025</v>
      </c>
      <c r="W15" s="63">
        <v>14186818</v>
      </c>
      <c r="X15" s="63">
        <v>0</v>
      </c>
      <c r="Y15" s="63">
        <v>0</v>
      </c>
      <c r="Z15" s="68">
        <v>0</v>
      </c>
      <c r="AA15" s="69">
        <v>559025</v>
      </c>
      <c r="AB15" s="63">
        <v>8186818</v>
      </c>
      <c r="AC15" s="70" t="s">
        <v>61</v>
      </c>
    </row>
    <row r="16" spans="1:31" x14ac:dyDescent="0.4">
      <c r="A16" s="89">
        <v>11</v>
      </c>
      <c r="B16" s="106">
        <v>44530</v>
      </c>
      <c r="C16" s="107" t="s">
        <v>37</v>
      </c>
      <c r="D16" s="56" t="s">
        <v>38</v>
      </c>
      <c r="E16" s="56" t="s">
        <v>39</v>
      </c>
      <c r="F16" s="57">
        <v>44203</v>
      </c>
      <c r="G16" s="57" t="s">
        <v>40</v>
      </c>
      <c r="H16" s="57" t="s">
        <v>41</v>
      </c>
      <c r="I16" s="58" t="s">
        <v>42</v>
      </c>
      <c r="J16" s="62" t="s">
        <v>43</v>
      </c>
      <c r="K16" s="108">
        <v>10520150.399999999</v>
      </c>
      <c r="L16" s="109">
        <v>8.3000000000000004E-2</v>
      </c>
      <c r="M16" s="108">
        <v>873172.4831999999</v>
      </c>
      <c r="N16" s="110">
        <v>0.3</v>
      </c>
      <c r="O16" s="108">
        <v>261951.74495999995</v>
      </c>
      <c r="P16" s="108">
        <v>611220.73823999998</v>
      </c>
      <c r="Q16" s="110">
        <v>0.5</v>
      </c>
      <c r="R16" s="108">
        <v>305610</v>
      </c>
      <c r="S16" s="111">
        <v>6000000</v>
      </c>
      <c r="T16" s="110">
        <v>0.8</v>
      </c>
      <c r="U16" s="110">
        <v>0.8</v>
      </c>
      <c r="V16" s="112">
        <v>244488</v>
      </c>
      <c r="W16" s="108">
        <v>14431306</v>
      </c>
      <c r="X16" s="108">
        <v>0</v>
      </c>
      <c r="Y16" s="108">
        <v>0</v>
      </c>
      <c r="Z16" s="113">
        <v>0</v>
      </c>
      <c r="AA16" s="114">
        <v>244488</v>
      </c>
      <c r="AB16" s="108">
        <v>8431306</v>
      </c>
      <c r="AC16" s="115"/>
    </row>
    <row r="17" spans="1:30" s="91" customFormat="1" ht="18" customHeight="1" x14ac:dyDescent="0.4">
      <c r="A17" s="116">
        <v>3</v>
      </c>
      <c r="B17" s="106">
        <v>44561</v>
      </c>
      <c r="C17" s="107" t="s">
        <v>37</v>
      </c>
      <c r="D17" s="56" t="s">
        <v>38</v>
      </c>
      <c r="E17" s="56" t="s">
        <v>39</v>
      </c>
      <c r="F17" s="57">
        <v>44203</v>
      </c>
      <c r="G17" s="57" t="s">
        <v>40</v>
      </c>
      <c r="H17" s="57" t="s">
        <v>41</v>
      </c>
      <c r="I17" s="58" t="s">
        <v>42</v>
      </c>
      <c r="J17" s="62" t="s">
        <v>43</v>
      </c>
      <c r="K17" s="108">
        <v>8024294.3999999994</v>
      </c>
      <c r="L17" s="109">
        <v>8.2599999999999993E-2</v>
      </c>
      <c r="M17" s="108">
        <v>662806.71743999992</v>
      </c>
      <c r="N17" s="110">
        <v>0.3</v>
      </c>
      <c r="O17" s="108">
        <v>198842.01523199998</v>
      </c>
      <c r="P17" s="108">
        <v>463964.70220799994</v>
      </c>
      <c r="Q17" s="110">
        <v>0.5</v>
      </c>
      <c r="R17" s="108">
        <v>231982</v>
      </c>
      <c r="S17" s="111">
        <v>6000000</v>
      </c>
      <c r="T17" s="110">
        <v>0.8</v>
      </c>
      <c r="U17" s="110">
        <v>0.8</v>
      </c>
      <c r="V17" s="112">
        <v>185585</v>
      </c>
      <c r="W17" s="108">
        <v>14616891</v>
      </c>
      <c r="X17" s="108">
        <v>0</v>
      </c>
      <c r="Y17" s="108">
        <v>0</v>
      </c>
      <c r="Z17" s="113">
        <v>0</v>
      </c>
      <c r="AA17" s="114">
        <v>185585</v>
      </c>
      <c r="AB17" s="108">
        <v>8616891</v>
      </c>
      <c r="AC17" s="115"/>
    </row>
    <row r="18" spans="1:30" x14ac:dyDescent="0.4">
      <c r="A18" s="89"/>
      <c r="B18" s="106">
        <v>44592</v>
      </c>
      <c r="C18" s="107" t="s">
        <v>37</v>
      </c>
      <c r="D18" s="56" t="s">
        <v>38</v>
      </c>
      <c r="E18" s="56" t="s">
        <v>39</v>
      </c>
      <c r="F18" s="57">
        <v>44203</v>
      </c>
      <c r="G18" s="57" t="s">
        <v>40</v>
      </c>
      <c r="H18" s="57" t="s">
        <v>41</v>
      </c>
      <c r="I18" s="58" t="s">
        <v>42</v>
      </c>
      <c r="J18" s="120" t="s">
        <v>43</v>
      </c>
      <c r="K18" s="108">
        <v>5681448</v>
      </c>
      <c r="L18" s="109">
        <v>8.3299999999999999E-2</v>
      </c>
      <c r="M18" s="108">
        <v>473264.61839999998</v>
      </c>
      <c r="N18" s="110">
        <v>0.3</v>
      </c>
      <c r="O18" s="108">
        <v>141979.38551999998</v>
      </c>
      <c r="P18" s="108">
        <v>331285.23288000003</v>
      </c>
      <c r="Q18" s="110">
        <v>0.5</v>
      </c>
      <c r="R18" s="108">
        <v>165643</v>
      </c>
      <c r="S18" s="111">
        <v>6000000</v>
      </c>
      <c r="T18" s="110">
        <v>0.8</v>
      </c>
      <c r="U18" s="110">
        <v>0.8</v>
      </c>
      <c r="V18" s="112">
        <v>132514</v>
      </c>
      <c r="W18" s="108">
        <v>14749405</v>
      </c>
      <c r="X18" s="108">
        <v>0</v>
      </c>
      <c r="Y18" s="108">
        <v>0</v>
      </c>
      <c r="Z18" s="113">
        <v>0</v>
      </c>
      <c r="AA18" s="114">
        <v>132514</v>
      </c>
      <c r="AB18" s="108">
        <v>8749405</v>
      </c>
      <c r="AC18" s="122"/>
    </row>
    <row r="19" spans="1:30" s="91" customFormat="1" x14ac:dyDescent="0.4">
      <c r="A19" s="116">
        <v>3</v>
      </c>
      <c r="B19" s="106">
        <v>44620</v>
      </c>
      <c r="C19" s="107" t="s">
        <v>37</v>
      </c>
      <c r="D19" s="56" t="s">
        <v>38</v>
      </c>
      <c r="E19" s="56" t="s">
        <v>39</v>
      </c>
      <c r="F19" s="57">
        <v>44203</v>
      </c>
      <c r="G19" s="57" t="s">
        <v>40</v>
      </c>
      <c r="H19" s="57" t="s">
        <v>41</v>
      </c>
      <c r="I19" s="58" t="s">
        <v>42</v>
      </c>
      <c r="J19" s="120" t="s">
        <v>43</v>
      </c>
      <c r="K19" s="108">
        <v>6036930</v>
      </c>
      <c r="L19" s="109">
        <v>8.3499999999999991E-2</v>
      </c>
      <c r="M19" s="108">
        <v>504083.65499999997</v>
      </c>
      <c r="N19" s="110">
        <v>0.3</v>
      </c>
      <c r="O19" s="108">
        <v>151225.09649999999</v>
      </c>
      <c r="P19" s="108">
        <v>352858.55849999998</v>
      </c>
      <c r="Q19" s="110">
        <v>0.5</v>
      </c>
      <c r="R19" s="108">
        <v>176429</v>
      </c>
      <c r="S19" s="111">
        <v>6000000</v>
      </c>
      <c r="T19" s="110">
        <v>0.8</v>
      </c>
      <c r="U19" s="110">
        <v>0.8</v>
      </c>
      <c r="V19" s="112">
        <v>141143</v>
      </c>
      <c r="W19" s="108">
        <v>14890548</v>
      </c>
      <c r="X19" s="108">
        <v>0</v>
      </c>
      <c r="Y19" s="108">
        <v>0</v>
      </c>
      <c r="Z19" s="113">
        <v>0</v>
      </c>
      <c r="AA19" s="114">
        <v>141143</v>
      </c>
      <c r="AB19" s="108">
        <v>8890548</v>
      </c>
      <c r="AC19" s="115"/>
    </row>
    <row r="20" spans="1:30" s="91" customFormat="1" x14ac:dyDescent="0.4">
      <c r="A20" s="116">
        <v>3</v>
      </c>
      <c r="B20" s="106">
        <v>44651</v>
      </c>
      <c r="C20" s="107" t="s">
        <v>37</v>
      </c>
      <c r="D20" s="56" t="s">
        <v>38</v>
      </c>
      <c r="E20" s="56" t="s">
        <v>39</v>
      </c>
      <c r="F20" s="57">
        <v>44203</v>
      </c>
      <c r="G20" s="57" t="s">
        <v>40</v>
      </c>
      <c r="H20" s="57" t="s">
        <v>41</v>
      </c>
      <c r="I20" s="58" t="s">
        <v>42</v>
      </c>
      <c r="J20" s="120" t="s">
        <v>43</v>
      </c>
      <c r="K20" s="108">
        <v>5162404.8</v>
      </c>
      <c r="L20" s="109">
        <v>8.5099999999999995E-2</v>
      </c>
      <c r="M20" s="108">
        <v>439320.64847999997</v>
      </c>
      <c r="N20" s="110">
        <v>0.3</v>
      </c>
      <c r="O20" s="108">
        <v>131796.194544</v>
      </c>
      <c r="P20" s="108">
        <v>307524.45393600001</v>
      </c>
      <c r="Q20" s="110">
        <v>0.5</v>
      </c>
      <c r="R20" s="108">
        <v>153762</v>
      </c>
      <c r="S20" s="111">
        <v>6000000</v>
      </c>
      <c r="T20" s="110">
        <v>0.8</v>
      </c>
      <c r="U20" s="110">
        <v>0.8</v>
      </c>
      <c r="V20" s="112">
        <v>123009</v>
      </c>
      <c r="W20" s="108">
        <v>15013557</v>
      </c>
      <c r="X20" s="108">
        <v>0</v>
      </c>
      <c r="Y20" s="108">
        <v>0</v>
      </c>
      <c r="Z20" s="113">
        <v>0</v>
      </c>
      <c r="AA20" s="114">
        <v>123009</v>
      </c>
      <c r="AB20" s="108">
        <v>9013557</v>
      </c>
      <c r="AC20" s="115"/>
    </row>
    <row r="22" spans="1:30" ht="39.6" x14ac:dyDescent="0.4">
      <c r="A22" s="24" t="s">
        <v>9</v>
      </c>
      <c r="B22" s="25" t="s">
        <v>10</v>
      </c>
      <c r="C22" s="26" t="s">
        <v>11</v>
      </c>
      <c r="D22" s="26" t="s">
        <v>12</v>
      </c>
      <c r="E22" s="26" t="s">
        <v>1</v>
      </c>
      <c r="F22" s="27" t="s">
        <v>13</v>
      </c>
      <c r="G22" s="27" t="s">
        <v>14</v>
      </c>
      <c r="H22" s="27" t="s">
        <v>15</v>
      </c>
      <c r="I22" s="27" t="s">
        <v>16</v>
      </c>
      <c r="J22" s="27" t="s">
        <v>17</v>
      </c>
      <c r="K22" s="28" t="s">
        <v>18</v>
      </c>
      <c r="L22" s="29" t="s">
        <v>19</v>
      </c>
      <c r="M22" s="28" t="s">
        <v>20</v>
      </c>
      <c r="N22" s="30" t="s">
        <v>21</v>
      </c>
      <c r="O22" s="28" t="s">
        <v>22</v>
      </c>
      <c r="P22" s="28" t="s">
        <v>23</v>
      </c>
      <c r="Q22" s="30" t="s">
        <v>24</v>
      </c>
      <c r="R22" s="28" t="s">
        <v>25</v>
      </c>
      <c r="S22" s="31" t="s">
        <v>26</v>
      </c>
      <c r="T22" s="32" t="s">
        <v>27</v>
      </c>
      <c r="U22" s="32" t="s">
        <v>28</v>
      </c>
      <c r="V22" s="28" t="s">
        <v>29</v>
      </c>
      <c r="W22" s="33" t="s">
        <v>30</v>
      </c>
      <c r="X22" s="33" t="s">
        <v>31</v>
      </c>
      <c r="Y22" s="33" t="s">
        <v>32</v>
      </c>
      <c r="Z22" s="28" t="s">
        <v>33</v>
      </c>
      <c r="AA22" s="28" t="s">
        <v>34</v>
      </c>
      <c r="AB22" s="33" t="s">
        <v>35</v>
      </c>
      <c r="AC22" s="33" t="s">
        <v>36</v>
      </c>
    </row>
    <row r="23" spans="1:30" x14ac:dyDescent="0.4">
      <c r="A23" s="35">
        <v>1</v>
      </c>
      <c r="B23" s="36">
        <v>44439</v>
      </c>
      <c r="C23" s="37" t="s">
        <v>37</v>
      </c>
      <c r="D23" s="38" t="s">
        <v>77</v>
      </c>
      <c r="E23" s="38" t="s">
        <v>75</v>
      </c>
      <c r="F23" s="39">
        <v>44426</v>
      </c>
      <c r="G23" s="39" t="s">
        <v>40</v>
      </c>
      <c r="H23" s="39" t="s">
        <v>41</v>
      </c>
      <c r="I23" s="40" t="s">
        <v>42</v>
      </c>
      <c r="J23" s="40" t="s">
        <v>76</v>
      </c>
      <c r="K23" s="41">
        <v>54212326</v>
      </c>
      <c r="L23" s="42">
        <v>8.0600000000000005E-2</v>
      </c>
      <c r="M23" s="41">
        <v>4369513.4756000005</v>
      </c>
      <c r="N23" s="43">
        <v>0.3</v>
      </c>
      <c r="O23" s="41">
        <v>1310854.0426800002</v>
      </c>
      <c r="P23" s="41">
        <v>3058659.4329200005</v>
      </c>
      <c r="Q23" s="43">
        <v>0.35</v>
      </c>
      <c r="R23" s="41">
        <v>1529330</v>
      </c>
      <c r="S23" s="44">
        <v>3000000</v>
      </c>
      <c r="T23" s="43">
        <v>1</v>
      </c>
      <c r="U23" s="43">
        <v>1</v>
      </c>
      <c r="V23" s="45">
        <v>1529330</v>
      </c>
      <c r="W23" s="41">
        <v>1529330</v>
      </c>
      <c r="X23" s="41">
        <v>0</v>
      </c>
      <c r="Y23" s="41">
        <v>1470670</v>
      </c>
      <c r="Z23" s="46">
        <v>1529330</v>
      </c>
      <c r="AA23" s="47">
        <v>0</v>
      </c>
      <c r="AB23" s="41">
        <v>0</v>
      </c>
      <c r="AC23" s="48" t="s">
        <v>61</v>
      </c>
    </row>
    <row r="24" spans="1:30" x14ac:dyDescent="0.4">
      <c r="A24" s="59">
        <v>1</v>
      </c>
      <c r="B24" s="60">
        <v>44469</v>
      </c>
      <c r="C24" s="61" t="s">
        <v>37</v>
      </c>
      <c r="D24" s="56" t="s">
        <v>74</v>
      </c>
      <c r="E24" s="56" t="s">
        <v>75</v>
      </c>
      <c r="F24" s="57">
        <v>44426</v>
      </c>
      <c r="G24" s="57" t="s">
        <v>40</v>
      </c>
      <c r="H24" s="57" t="s">
        <v>41</v>
      </c>
      <c r="I24" s="58" t="s">
        <v>42</v>
      </c>
      <c r="J24" s="62" t="s">
        <v>76</v>
      </c>
      <c r="K24" s="63">
        <v>8887709.5999999996</v>
      </c>
      <c r="L24" s="64">
        <v>8.2100000000000006E-2</v>
      </c>
      <c r="M24" s="63">
        <v>729680.95816000004</v>
      </c>
      <c r="N24" s="65">
        <v>0.3</v>
      </c>
      <c r="O24" s="63">
        <v>218904.28744800002</v>
      </c>
      <c r="P24" s="63">
        <v>510776.67071199999</v>
      </c>
      <c r="Q24" s="65">
        <v>0.35</v>
      </c>
      <c r="R24" s="63">
        <v>255388</v>
      </c>
      <c r="S24" s="66">
        <v>3000000</v>
      </c>
      <c r="T24" s="65">
        <v>1</v>
      </c>
      <c r="U24" s="65">
        <v>1</v>
      </c>
      <c r="V24" s="67">
        <v>255388</v>
      </c>
      <c r="W24" s="63">
        <v>1784718</v>
      </c>
      <c r="X24" s="63">
        <v>1470670</v>
      </c>
      <c r="Y24" s="63">
        <v>1215282</v>
      </c>
      <c r="Z24" s="68">
        <v>255388</v>
      </c>
      <c r="AA24" s="69">
        <v>0</v>
      </c>
      <c r="AB24" s="63">
        <v>0</v>
      </c>
      <c r="AC24" s="70"/>
    </row>
    <row r="25" spans="1:30" x14ac:dyDescent="0.4">
      <c r="A25" s="59">
        <v>1</v>
      </c>
      <c r="B25" s="60">
        <v>44500</v>
      </c>
      <c r="C25" s="61" t="s">
        <v>37</v>
      </c>
      <c r="D25" s="56" t="s">
        <v>74</v>
      </c>
      <c r="E25" s="56" t="s">
        <v>75</v>
      </c>
      <c r="F25" s="57">
        <v>44426</v>
      </c>
      <c r="G25" s="57" t="s">
        <v>40</v>
      </c>
      <c r="H25" s="57" t="s">
        <v>41</v>
      </c>
      <c r="I25" s="58" t="s">
        <v>42</v>
      </c>
      <c r="J25" s="62" t="s">
        <v>76</v>
      </c>
      <c r="K25" s="63">
        <v>5337591</v>
      </c>
      <c r="L25" s="64">
        <v>8.3499999999999991E-2</v>
      </c>
      <c r="M25" s="63">
        <v>445688.84849999996</v>
      </c>
      <c r="N25" s="65">
        <v>0.3</v>
      </c>
      <c r="O25" s="63">
        <v>133706.65454999998</v>
      </c>
      <c r="P25" s="63">
        <v>311982.19394999999</v>
      </c>
      <c r="Q25" s="65">
        <v>0.35</v>
      </c>
      <c r="R25" s="63">
        <v>155991</v>
      </c>
      <c r="S25" s="66">
        <v>3000000</v>
      </c>
      <c r="T25" s="65">
        <v>1</v>
      </c>
      <c r="U25" s="65">
        <v>1</v>
      </c>
      <c r="V25" s="67">
        <v>155991</v>
      </c>
      <c r="W25" s="63">
        <v>1940709</v>
      </c>
      <c r="X25" s="63">
        <v>1215282</v>
      </c>
      <c r="Y25" s="63">
        <v>1059291</v>
      </c>
      <c r="Z25" s="68">
        <v>155991</v>
      </c>
      <c r="AA25" s="69">
        <v>0</v>
      </c>
      <c r="AB25" s="63">
        <v>0</v>
      </c>
      <c r="AC25" s="70"/>
    </row>
    <row r="26" spans="1:30" x14ac:dyDescent="0.4">
      <c r="A26" s="59">
        <v>1</v>
      </c>
      <c r="B26" s="60">
        <v>44561</v>
      </c>
      <c r="C26" s="61" t="s">
        <v>37</v>
      </c>
      <c r="D26" s="56" t="s">
        <v>74</v>
      </c>
      <c r="E26" s="56" t="s">
        <v>75</v>
      </c>
      <c r="F26" s="57">
        <v>44426</v>
      </c>
      <c r="G26" s="57" t="s">
        <v>40</v>
      </c>
      <c r="H26" s="57" t="s">
        <v>41</v>
      </c>
      <c r="I26" s="58" t="s">
        <v>42</v>
      </c>
      <c r="J26" s="120" t="s">
        <v>76</v>
      </c>
      <c r="K26" s="63">
        <v>2878971.1999999997</v>
      </c>
      <c r="L26" s="64">
        <v>8.2599999999999993E-2</v>
      </c>
      <c r="M26" s="63">
        <v>237803.02111999996</v>
      </c>
      <c r="N26" s="65">
        <v>0.3</v>
      </c>
      <c r="O26" s="63">
        <v>71340.906335999985</v>
      </c>
      <c r="P26" s="63">
        <v>166462.11478399998</v>
      </c>
      <c r="Q26" s="65">
        <v>0.35</v>
      </c>
      <c r="R26" s="63">
        <v>83231</v>
      </c>
      <c r="S26" s="66">
        <v>3000000</v>
      </c>
      <c r="T26" s="65">
        <v>1</v>
      </c>
      <c r="U26" s="65">
        <v>1</v>
      </c>
      <c r="V26" s="67">
        <v>83231</v>
      </c>
      <c r="W26" s="63">
        <v>2159547</v>
      </c>
      <c r="X26" s="63">
        <v>923684</v>
      </c>
      <c r="Y26" s="63">
        <v>840453</v>
      </c>
      <c r="Z26" s="68">
        <v>83231</v>
      </c>
      <c r="AA26" s="69">
        <v>0</v>
      </c>
      <c r="AB26" s="63">
        <v>0</v>
      </c>
      <c r="AC26" s="70"/>
    </row>
    <row r="27" spans="1:30" x14ac:dyDescent="0.4">
      <c r="A27" s="59"/>
      <c r="B27" s="60">
        <v>44592</v>
      </c>
      <c r="C27" s="61" t="s">
        <v>37</v>
      </c>
      <c r="D27" s="56" t="s">
        <v>74</v>
      </c>
      <c r="E27" s="56" t="s">
        <v>75</v>
      </c>
      <c r="F27" s="57">
        <v>44426</v>
      </c>
      <c r="G27" s="57" t="s">
        <v>40</v>
      </c>
      <c r="H27" s="57" t="s">
        <v>41</v>
      </c>
      <c r="I27" s="58" t="s">
        <v>42</v>
      </c>
      <c r="J27" s="120" t="s">
        <v>76</v>
      </c>
      <c r="K27" s="63">
        <v>2484720</v>
      </c>
      <c r="L27" s="64">
        <v>8.3299999999999999E-2</v>
      </c>
      <c r="M27" s="63">
        <v>206977.17600000001</v>
      </c>
      <c r="N27" s="65">
        <v>0.3</v>
      </c>
      <c r="O27" s="63">
        <v>62093.152799999996</v>
      </c>
      <c r="P27" s="63">
        <v>144884.0232</v>
      </c>
      <c r="Q27" s="65">
        <v>0.35</v>
      </c>
      <c r="R27" s="63">
        <v>72442</v>
      </c>
      <c r="S27" s="66">
        <v>3000000</v>
      </c>
      <c r="T27" s="65">
        <v>1</v>
      </c>
      <c r="U27" s="65">
        <v>1</v>
      </c>
      <c r="V27" s="67">
        <v>72442</v>
      </c>
      <c r="W27" s="63">
        <v>2231989</v>
      </c>
      <c r="X27" s="63">
        <v>840453</v>
      </c>
      <c r="Y27" s="63">
        <v>768011</v>
      </c>
      <c r="Z27" s="68">
        <v>72442</v>
      </c>
      <c r="AA27" s="69">
        <v>0</v>
      </c>
      <c r="AB27" s="63">
        <v>0</v>
      </c>
      <c r="AC27" s="70"/>
    </row>
    <row r="28" spans="1:30" s="91" customFormat="1" x14ac:dyDescent="0.4">
      <c r="A28" s="59"/>
      <c r="B28" s="60">
        <v>44620</v>
      </c>
      <c r="C28" s="61" t="s">
        <v>37</v>
      </c>
      <c r="D28" s="56" t="s">
        <v>74</v>
      </c>
      <c r="E28" s="56" t="s">
        <v>75</v>
      </c>
      <c r="F28" s="57">
        <v>44426</v>
      </c>
      <c r="G28" s="57" t="s">
        <v>40</v>
      </c>
      <c r="H28" s="57" t="s">
        <v>41</v>
      </c>
      <c r="I28" s="58" t="s">
        <v>42</v>
      </c>
      <c r="J28" s="120" t="s">
        <v>76</v>
      </c>
      <c r="K28" s="63">
        <v>1605933</v>
      </c>
      <c r="L28" s="64">
        <v>8.3499999999999991E-2</v>
      </c>
      <c r="M28" s="63">
        <v>134095.40549999999</v>
      </c>
      <c r="N28" s="65">
        <v>0.3</v>
      </c>
      <c r="O28" s="63">
        <v>40228.621649999994</v>
      </c>
      <c r="P28" s="63">
        <v>93866.783850000007</v>
      </c>
      <c r="Q28" s="65">
        <v>0.35</v>
      </c>
      <c r="R28" s="63">
        <v>46933</v>
      </c>
      <c r="S28" s="66">
        <v>3000000</v>
      </c>
      <c r="T28" s="65">
        <v>1</v>
      </c>
      <c r="U28" s="65">
        <v>1</v>
      </c>
      <c r="V28" s="67">
        <v>46933</v>
      </c>
      <c r="W28" s="63">
        <v>2278922</v>
      </c>
      <c r="X28" s="63">
        <v>768011</v>
      </c>
      <c r="Y28" s="63">
        <v>721078</v>
      </c>
      <c r="Z28" s="68">
        <v>46933</v>
      </c>
      <c r="AA28" s="69">
        <v>0</v>
      </c>
      <c r="AB28" s="63">
        <v>0</v>
      </c>
      <c r="AC28" s="70"/>
    </row>
    <row r="29" spans="1:30" x14ac:dyDescent="0.4">
      <c r="A29" s="59">
        <v>1</v>
      </c>
      <c r="B29" s="60">
        <v>44651</v>
      </c>
      <c r="C29" s="61" t="s">
        <v>37</v>
      </c>
      <c r="D29" s="56" t="s">
        <v>74</v>
      </c>
      <c r="E29" s="56" t="s">
        <v>75</v>
      </c>
      <c r="F29" s="57">
        <v>44426</v>
      </c>
      <c r="G29" s="57" t="s">
        <v>40</v>
      </c>
      <c r="H29" s="57" t="s">
        <v>41</v>
      </c>
      <c r="I29" s="58" t="s">
        <v>42</v>
      </c>
      <c r="J29" s="120" t="s">
        <v>76</v>
      </c>
      <c r="K29" s="63">
        <v>2120602.4</v>
      </c>
      <c r="L29" s="64">
        <v>8.5099999999999995E-2</v>
      </c>
      <c r="M29" s="63">
        <v>180463.26423999999</v>
      </c>
      <c r="N29" s="65">
        <v>0.3</v>
      </c>
      <c r="O29" s="63">
        <v>54138.979271999997</v>
      </c>
      <c r="P29" s="63">
        <v>126324.28496799999</v>
      </c>
      <c r="Q29" s="65">
        <v>0.35</v>
      </c>
      <c r="R29" s="63">
        <v>63162</v>
      </c>
      <c r="S29" s="66">
        <v>3000000</v>
      </c>
      <c r="T29" s="65">
        <v>1</v>
      </c>
      <c r="U29" s="65">
        <v>1</v>
      </c>
      <c r="V29" s="67">
        <v>63162</v>
      </c>
      <c r="W29" s="63">
        <v>2342084</v>
      </c>
      <c r="X29" s="63">
        <v>721078</v>
      </c>
      <c r="Y29" s="63">
        <v>657916</v>
      </c>
      <c r="Z29" s="68">
        <v>63162</v>
      </c>
      <c r="AA29" s="69">
        <v>0</v>
      </c>
      <c r="AB29" s="63">
        <v>0</v>
      </c>
      <c r="AC29" s="70"/>
      <c r="AD29" s="135"/>
    </row>
  </sheetData>
  <phoneticPr fontId="2" type="noConversion"/>
  <conditionalFormatting sqref="F2:F7">
    <cfRule type="cellIs" dxfId="35" priority="29" operator="equal">
      <formula>"미오픈"</formula>
    </cfRule>
  </conditionalFormatting>
  <conditionalFormatting sqref="F8">
    <cfRule type="cellIs" dxfId="34" priority="28" operator="equal">
      <formula>"미오픈"</formula>
    </cfRule>
  </conditionalFormatting>
  <conditionalFormatting sqref="F9">
    <cfRule type="cellIs" dxfId="33" priority="27" operator="equal">
      <formula>"미오픈"</formula>
    </cfRule>
  </conditionalFormatting>
  <conditionalFormatting sqref="F10">
    <cfRule type="cellIs" dxfId="32" priority="22" operator="equal">
      <formula>"미오픈"</formula>
    </cfRule>
  </conditionalFormatting>
  <conditionalFormatting sqref="F11">
    <cfRule type="cellIs" dxfId="31" priority="21" operator="equal">
      <formula>"미오픈"</formula>
    </cfRule>
  </conditionalFormatting>
  <conditionalFormatting sqref="F12">
    <cfRule type="cellIs" dxfId="30" priority="20" operator="equal">
      <formula>"미오픈"</formula>
    </cfRule>
  </conditionalFormatting>
  <conditionalFormatting sqref="F13">
    <cfRule type="cellIs" dxfId="29" priority="18" operator="equal">
      <formula>"미오픈"</formula>
    </cfRule>
  </conditionalFormatting>
  <conditionalFormatting sqref="F14">
    <cfRule type="cellIs" dxfId="28" priority="17" operator="equal">
      <formula>"미오픈"</formula>
    </cfRule>
  </conditionalFormatting>
  <conditionalFormatting sqref="F22:F29">
    <cfRule type="cellIs" dxfId="27" priority="16" operator="equal">
      <formula>"미오픈"</formula>
    </cfRule>
  </conditionalFormatting>
  <conditionalFormatting sqref="F15">
    <cfRule type="cellIs" dxfId="26" priority="15" operator="equal">
      <formula>"미오픈"</formula>
    </cfRule>
  </conditionalFormatting>
  <conditionalFormatting sqref="F25">
    <cfRule type="cellIs" dxfId="25" priority="14" operator="equal">
      <formula>"미오픈"</formula>
    </cfRule>
  </conditionalFormatting>
  <conditionalFormatting sqref="F16">
    <cfRule type="cellIs" dxfId="24" priority="13" operator="equal">
      <formula>"미오픈"</formula>
    </cfRule>
  </conditionalFormatting>
  <conditionalFormatting sqref="F17">
    <cfRule type="cellIs" dxfId="23" priority="12" operator="equal">
      <formula>"미오픈"</formula>
    </cfRule>
  </conditionalFormatting>
  <conditionalFormatting sqref="F26">
    <cfRule type="cellIs" dxfId="22" priority="11" operator="equal">
      <formula>"미오픈"</formula>
    </cfRule>
  </conditionalFormatting>
  <conditionalFormatting sqref="F18">
    <cfRule type="cellIs" dxfId="21" priority="9" operator="equal">
      <formula>"미오픈"</formula>
    </cfRule>
  </conditionalFormatting>
  <conditionalFormatting sqref="F27">
    <cfRule type="cellIs" dxfId="20" priority="8" operator="equal">
      <formula>"미오픈"</formula>
    </cfRule>
  </conditionalFormatting>
  <conditionalFormatting sqref="F28">
    <cfRule type="cellIs" dxfId="19" priority="5" operator="equal">
      <formula>"미오픈"</formula>
    </cfRule>
  </conditionalFormatting>
  <conditionalFormatting sqref="F19">
    <cfRule type="cellIs" dxfId="18" priority="4" operator="equal">
      <formula>"미오픈"</formula>
    </cfRule>
  </conditionalFormatting>
  <conditionalFormatting sqref="F29">
    <cfRule type="cellIs" dxfId="17" priority="2" operator="equal">
      <formula>"미오픈"</formula>
    </cfRule>
  </conditionalFormatting>
  <conditionalFormatting sqref="F20">
    <cfRule type="cellIs" dxfId="16" priority="1" operator="equal">
      <formula>"미오픈"</formula>
    </cfRule>
  </conditionalFormatting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"/>
  <sheetViews>
    <sheetView zoomScaleNormal="100" workbookViewId="0">
      <pane ySplit="1" topLeftCell="A8" activePane="bottomLeft" state="frozen"/>
      <selection pane="bottomLeft" activeCell="D28" sqref="D28"/>
    </sheetView>
  </sheetViews>
  <sheetFormatPr defaultRowHeight="17.399999999999999" x14ac:dyDescent="0.4"/>
  <cols>
    <col min="1" max="1" width="4.19921875" style="91" customWidth="1"/>
    <col min="2" max="2" width="10.69921875" style="91" customWidth="1"/>
    <col min="3" max="3" width="10.59765625" style="91" customWidth="1"/>
    <col min="4" max="4" width="44.69921875" style="91" bestFit="1" customWidth="1"/>
    <col min="5" max="5" width="19.296875" style="91" bestFit="1" customWidth="1"/>
    <col min="6" max="6" width="11.69921875" style="91" bestFit="1" customWidth="1"/>
    <col min="7" max="16384" width="8.796875" style="91"/>
  </cols>
  <sheetData>
    <row r="1" spans="1:29" x14ac:dyDescent="0.4">
      <c r="A1" s="2" t="s">
        <v>97</v>
      </c>
    </row>
    <row r="2" spans="1:29" s="4" customFormat="1" ht="5.0999999999999996" customHeight="1" x14ac:dyDescent="0.4">
      <c r="A2" s="6"/>
      <c r="F2" s="7"/>
      <c r="G2" s="7"/>
      <c r="I2" s="7"/>
      <c r="J2" s="5"/>
      <c r="K2" s="8"/>
      <c r="L2" s="5"/>
      <c r="M2" s="9"/>
      <c r="N2" s="5"/>
      <c r="O2" s="5"/>
      <c r="P2" s="9"/>
      <c r="Q2" s="5"/>
      <c r="R2" s="10"/>
      <c r="S2" s="9"/>
      <c r="T2" s="9"/>
      <c r="U2" s="5"/>
      <c r="V2" s="5"/>
      <c r="W2" s="5"/>
      <c r="X2" s="5"/>
      <c r="Y2" s="5"/>
      <c r="Z2" s="5"/>
      <c r="AA2" s="5"/>
      <c r="AB2" s="10"/>
    </row>
    <row r="3" spans="1:29" s="11" customFormat="1" ht="25.5" customHeight="1" x14ac:dyDescent="0.4">
      <c r="A3" s="12"/>
      <c r="B3" s="13"/>
      <c r="C3" s="14"/>
      <c r="D3" s="15" t="s">
        <v>98</v>
      </c>
      <c r="E3" s="15"/>
      <c r="F3" s="16"/>
      <c r="G3" s="16"/>
      <c r="H3" s="16"/>
      <c r="I3" s="16"/>
      <c r="J3" s="16"/>
      <c r="K3" s="17">
        <f>SUBTOTAL(9,M6:M9851)</f>
        <v>697504.30751999991</v>
      </c>
      <c r="L3" s="18"/>
      <c r="M3" s="17">
        <f>SUBTOTAL(9,O6:O9851)</f>
        <v>209251.29225599996</v>
      </c>
      <c r="N3" s="19"/>
      <c r="O3" s="17">
        <f>SUBTOTAL(9,Q6:Q9851)</f>
        <v>9</v>
      </c>
      <c r="P3" s="17">
        <f>SUBTOTAL(9,R6:R9851)</f>
        <v>244127</v>
      </c>
      <c r="Q3" s="19"/>
      <c r="R3" s="17">
        <f>SUBTOTAL(9,T6:T9851)</f>
        <v>14.400000000000004</v>
      </c>
      <c r="S3" s="20"/>
      <c r="T3" s="21"/>
      <c r="U3" s="21"/>
      <c r="V3" s="20">
        <f>SUBTOTAL(9,X6:X9851)</f>
        <v>24939579</v>
      </c>
      <c r="W3" s="20"/>
      <c r="X3" s="20"/>
      <c r="Y3" s="20"/>
      <c r="Z3" s="20">
        <f>SUBTOTAL(9,AB6:AB9851)</f>
        <v>2040928</v>
      </c>
      <c r="AA3" s="20">
        <f>SUBTOTAL(9,AC6:AC9851)</f>
        <v>0</v>
      </c>
      <c r="AB3" s="20"/>
      <c r="AC3" s="22"/>
    </row>
    <row r="4" spans="1:29" s="4" customFormat="1" ht="5.0999999999999996" customHeight="1" x14ac:dyDescent="0.4">
      <c r="A4" s="6"/>
      <c r="F4" s="7"/>
      <c r="G4" s="7"/>
      <c r="I4" s="7"/>
      <c r="J4" s="5"/>
      <c r="K4" s="8"/>
      <c r="L4" s="5"/>
      <c r="M4" s="9"/>
      <c r="N4" s="5"/>
      <c r="O4" s="5"/>
      <c r="P4" s="9"/>
      <c r="Q4" s="5"/>
      <c r="R4" s="10"/>
      <c r="S4" s="9"/>
      <c r="T4" s="9"/>
      <c r="U4" s="5"/>
      <c r="V4" s="5"/>
      <c r="W4" s="5"/>
      <c r="X4" s="5"/>
      <c r="Y4" s="5"/>
      <c r="Z4" s="5"/>
      <c r="AA4" s="5"/>
      <c r="AB4" s="10"/>
      <c r="AC4" s="10"/>
    </row>
    <row r="5" spans="1:29" s="23" customFormat="1" ht="32.25" customHeight="1" x14ac:dyDescent="0.4">
      <c r="A5" s="24" t="s">
        <v>99</v>
      </c>
      <c r="B5" s="25" t="s">
        <v>100</v>
      </c>
      <c r="C5" s="26" t="s">
        <v>11</v>
      </c>
      <c r="D5" s="26" t="s">
        <v>101</v>
      </c>
      <c r="E5" s="26" t="s">
        <v>1</v>
      </c>
      <c r="F5" s="27" t="s">
        <v>102</v>
      </c>
      <c r="G5" s="27" t="s">
        <v>103</v>
      </c>
      <c r="H5" s="27" t="s">
        <v>104</v>
      </c>
      <c r="I5" s="27" t="s">
        <v>105</v>
      </c>
      <c r="J5" s="27" t="s">
        <v>106</v>
      </c>
      <c r="K5" s="28" t="s">
        <v>107</v>
      </c>
      <c r="L5" s="29" t="s">
        <v>108</v>
      </c>
      <c r="M5" s="28" t="s">
        <v>109</v>
      </c>
      <c r="N5" s="30" t="s">
        <v>110</v>
      </c>
      <c r="O5" s="28" t="s">
        <v>111</v>
      </c>
      <c r="P5" s="28" t="s">
        <v>112</v>
      </c>
      <c r="Q5" s="30" t="s">
        <v>113</v>
      </c>
      <c r="R5" s="28" t="s">
        <v>114</v>
      </c>
      <c r="S5" s="31" t="s">
        <v>115</v>
      </c>
      <c r="T5" s="32" t="s">
        <v>27</v>
      </c>
      <c r="U5" s="32" t="s">
        <v>28</v>
      </c>
      <c r="V5" s="28" t="s">
        <v>116</v>
      </c>
      <c r="W5" s="33" t="s">
        <v>30</v>
      </c>
      <c r="X5" s="33" t="s">
        <v>117</v>
      </c>
      <c r="Y5" s="33" t="s">
        <v>118</v>
      </c>
      <c r="Z5" s="28" t="s">
        <v>119</v>
      </c>
      <c r="AA5" s="28" t="s">
        <v>120</v>
      </c>
      <c r="AB5" s="33" t="s">
        <v>121</v>
      </c>
      <c r="AC5" s="33" t="s">
        <v>122</v>
      </c>
    </row>
    <row r="6" spans="1:29" s="34" customFormat="1" ht="18" customHeight="1" x14ac:dyDescent="0.4">
      <c r="A6" s="35">
        <v>1</v>
      </c>
      <c r="B6" s="36">
        <v>44439</v>
      </c>
      <c r="C6" s="37" t="s">
        <v>37</v>
      </c>
      <c r="D6" s="38" t="s">
        <v>123</v>
      </c>
      <c r="E6" s="38" t="s">
        <v>64</v>
      </c>
      <c r="F6" s="39">
        <v>43886</v>
      </c>
      <c r="G6" s="39" t="s">
        <v>40</v>
      </c>
      <c r="H6" s="39" t="s">
        <v>41</v>
      </c>
      <c r="I6" s="40" t="s">
        <v>65</v>
      </c>
      <c r="J6" s="40" t="s">
        <v>62</v>
      </c>
      <c r="K6" s="41">
        <v>2308545.6</v>
      </c>
      <c r="L6" s="42">
        <v>7.8899999999999998E-2</v>
      </c>
      <c r="M6" s="41">
        <v>182144.24784</v>
      </c>
      <c r="N6" s="43">
        <v>0.3</v>
      </c>
      <c r="O6" s="41">
        <v>54643.274352</v>
      </c>
      <c r="P6" s="41">
        <v>127500.97348799999</v>
      </c>
      <c r="Q6" s="43">
        <v>0.5</v>
      </c>
      <c r="R6" s="41">
        <v>63750</v>
      </c>
      <c r="S6" s="44">
        <v>4000000</v>
      </c>
      <c r="T6" s="43">
        <v>0.8</v>
      </c>
      <c r="U6" s="43">
        <v>0.8</v>
      </c>
      <c r="V6" s="45">
        <v>51000</v>
      </c>
      <c r="W6" s="41">
        <v>4152651</v>
      </c>
      <c r="X6" s="41">
        <v>0</v>
      </c>
      <c r="Y6" s="41">
        <v>0</v>
      </c>
      <c r="Z6" s="46">
        <v>0</v>
      </c>
      <c r="AA6" s="47">
        <v>51000</v>
      </c>
      <c r="AB6" s="41">
        <v>152651</v>
      </c>
      <c r="AC6" s="48" t="s">
        <v>66</v>
      </c>
    </row>
    <row r="7" spans="1:29" s="34" customFormat="1" ht="18" customHeight="1" x14ac:dyDescent="0.4">
      <c r="A7" s="35">
        <v>2</v>
      </c>
      <c r="B7" s="60">
        <v>44439</v>
      </c>
      <c r="C7" s="61" t="s">
        <v>37</v>
      </c>
      <c r="D7" s="56" t="s">
        <v>63</v>
      </c>
      <c r="E7" s="56" t="s">
        <v>67</v>
      </c>
      <c r="F7" s="57">
        <v>43886</v>
      </c>
      <c r="G7" s="57" t="s">
        <v>40</v>
      </c>
      <c r="H7" s="57" t="s">
        <v>41</v>
      </c>
      <c r="I7" s="58" t="s">
        <v>42</v>
      </c>
      <c r="J7" s="120" t="s">
        <v>62</v>
      </c>
      <c r="K7" s="63">
        <v>1653456</v>
      </c>
      <c r="L7" s="64">
        <v>8.0600000000000005E-2</v>
      </c>
      <c r="M7" s="63">
        <v>133268.55360000001</v>
      </c>
      <c r="N7" s="65">
        <v>0.3</v>
      </c>
      <c r="O7" s="63">
        <v>39980.566080000004</v>
      </c>
      <c r="P7" s="63">
        <v>93287.98752000001</v>
      </c>
      <c r="Q7" s="65">
        <v>0.5</v>
      </c>
      <c r="R7" s="63">
        <v>46644</v>
      </c>
      <c r="S7" s="66">
        <v>4000000</v>
      </c>
      <c r="T7" s="65">
        <v>0.8</v>
      </c>
      <c r="U7" s="65">
        <v>0.8</v>
      </c>
      <c r="V7" s="67">
        <v>37315</v>
      </c>
      <c r="W7" s="63">
        <v>4189966</v>
      </c>
      <c r="X7" s="63">
        <v>0</v>
      </c>
      <c r="Y7" s="63">
        <v>0</v>
      </c>
      <c r="Z7" s="68">
        <v>0</v>
      </c>
      <c r="AA7" s="69">
        <v>37315</v>
      </c>
      <c r="AB7" s="63">
        <v>189966</v>
      </c>
      <c r="AC7" s="70" t="s">
        <v>124</v>
      </c>
    </row>
    <row r="8" spans="1:29" s="34" customFormat="1" ht="18" customHeight="1" x14ac:dyDescent="0.4">
      <c r="A8" s="59">
        <v>3</v>
      </c>
      <c r="B8" s="60">
        <v>44469</v>
      </c>
      <c r="C8" s="61" t="s">
        <v>37</v>
      </c>
      <c r="D8" s="56" t="s">
        <v>63</v>
      </c>
      <c r="E8" s="56" t="s">
        <v>67</v>
      </c>
      <c r="F8" s="57">
        <v>43886</v>
      </c>
      <c r="G8" s="57" t="s">
        <v>40</v>
      </c>
      <c r="H8" s="57" t="s">
        <v>41</v>
      </c>
      <c r="I8" s="58" t="s">
        <v>42</v>
      </c>
      <c r="J8" s="120" t="s">
        <v>62</v>
      </c>
      <c r="K8" s="63">
        <v>877332</v>
      </c>
      <c r="L8" s="64">
        <v>8.2100000000000006E-2</v>
      </c>
      <c r="M8" s="63">
        <v>72028.957200000004</v>
      </c>
      <c r="N8" s="65">
        <v>0.3</v>
      </c>
      <c r="O8" s="63">
        <v>21608.687160000001</v>
      </c>
      <c r="P8" s="63">
        <v>50420.270040000003</v>
      </c>
      <c r="Q8" s="65">
        <v>0.5</v>
      </c>
      <c r="R8" s="63">
        <v>25210</v>
      </c>
      <c r="S8" s="66">
        <v>4000000</v>
      </c>
      <c r="T8" s="65">
        <v>0.8</v>
      </c>
      <c r="U8" s="65">
        <v>0.8</v>
      </c>
      <c r="V8" s="63">
        <v>20168</v>
      </c>
      <c r="W8" s="63">
        <v>4210134</v>
      </c>
      <c r="X8" s="63">
        <v>0</v>
      </c>
      <c r="Y8" s="63">
        <v>0</v>
      </c>
      <c r="Z8" s="63">
        <v>0</v>
      </c>
      <c r="AA8" s="63">
        <v>20168</v>
      </c>
      <c r="AB8" s="63">
        <v>210134</v>
      </c>
      <c r="AC8" s="70" t="s">
        <v>61</v>
      </c>
    </row>
    <row r="9" spans="1:29" s="34" customFormat="1" ht="18" customHeight="1" x14ac:dyDescent="0.4">
      <c r="A9" s="59">
        <v>4</v>
      </c>
      <c r="B9" s="60">
        <v>44500</v>
      </c>
      <c r="C9" s="61" t="s">
        <v>37</v>
      </c>
      <c r="D9" s="56" t="s">
        <v>63</v>
      </c>
      <c r="E9" s="56" t="s">
        <v>67</v>
      </c>
      <c r="F9" s="57">
        <v>43886</v>
      </c>
      <c r="G9" s="57" t="s">
        <v>40</v>
      </c>
      <c r="H9" s="57" t="s">
        <v>41</v>
      </c>
      <c r="I9" s="58" t="s">
        <v>42</v>
      </c>
      <c r="J9" s="120" t="s">
        <v>62</v>
      </c>
      <c r="K9" s="63">
        <v>724842</v>
      </c>
      <c r="L9" s="64">
        <v>8.3499999999999991E-2</v>
      </c>
      <c r="M9" s="63">
        <v>60524.306999999993</v>
      </c>
      <c r="N9" s="65">
        <v>0.3</v>
      </c>
      <c r="O9" s="63">
        <v>18157.292099999999</v>
      </c>
      <c r="P9" s="63">
        <v>42367.014899999995</v>
      </c>
      <c r="Q9" s="65">
        <v>0.5</v>
      </c>
      <c r="R9" s="63">
        <v>21184</v>
      </c>
      <c r="S9" s="66">
        <v>4000000</v>
      </c>
      <c r="T9" s="65">
        <v>0.8</v>
      </c>
      <c r="U9" s="65">
        <v>0.8</v>
      </c>
      <c r="V9" s="63">
        <v>16947</v>
      </c>
      <c r="W9" s="63">
        <v>4227081</v>
      </c>
      <c r="X9" s="63">
        <v>0</v>
      </c>
      <c r="Y9" s="63">
        <v>0</v>
      </c>
      <c r="Z9" s="63">
        <v>0</v>
      </c>
      <c r="AA9" s="63">
        <v>16947</v>
      </c>
      <c r="AB9" s="63">
        <v>227081</v>
      </c>
      <c r="AC9" s="70" t="s">
        <v>61</v>
      </c>
    </row>
    <row r="10" spans="1:29" x14ac:dyDescent="0.4">
      <c r="A10" s="59">
        <v>5</v>
      </c>
      <c r="B10" s="60">
        <v>44501</v>
      </c>
      <c r="C10" s="95" t="s">
        <v>37</v>
      </c>
      <c r="D10" s="96" t="s">
        <v>63</v>
      </c>
      <c r="E10" s="96" t="s">
        <v>67</v>
      </c>
      <c r="F10" s="92">
        <v>43886</v>
      </c>
      <c r="G10" s="92" t="s">
        <v>40</v>
      </c>
      <c r="H10" s="92" t="s">
        <v>41</v>
      </c>
      <c r="I10" s="93" t="s">
        <v>42</v>
      </c>
      <c r="J10" s="97" t="s">
        <v>62</v>
      </c>
      <c r="K10" s="98">
        <v>406848</v>
      </c>
      <c r="L10" s="99">
        <v>8.3000000000000004E-2</v>
      </c>
      <c r="M10" s="98">
        <v>33768.383999999998</v>
      </c>
      <c r="N10" s="100">
        <v>0.3</v>
      </c>
      <c r="O10" s="98">
        <v>10130.5152</v>
      </c>
      <c r="P10" s="98">
        <v>23637.868799999997</v>
      </c>
      <c r="Q10" s="100">
        <v>0.5</v>
      </c>
      <c r="R10" s="98">
        <v>11819</v>
      </c>
      <c r="S10" s="101">
        <v>4000000</v>
      </c>
      <c r="T10" s="100">
        <v>0.8</v>
      </c>
      <c r="U10" s="100">
        <v>0.8</v>
      </c>
      <c r="V10" s="102">
        <v>9455</v>
      </c>
      <c r="W10" s="98">
        <v>4236536</v>
      </c>
      <c r="X10" s="98">
        <v>0</v>
      </c>
      <c r="Y10" s="98">
        <v>0</v>
      </c>
      <c r="Z10" s="103">
        <v>0</v>
      </c>
      <c r="AA10" s="104">
        <v>9455</v>
      </c>
      <c r="AB10" s="98">
        <v>236536</v>
      </c>
      <c r="AC10" s="105"/>
    </row>
    <row r="11" spans="1:29" x14ac:dyDescent="0.4">
      <c r="A11" s="117">
        <v>1</v>
      </c>
      <c r="B11" s="94">
        <v>44561</v>
      </c>
      <c r="C11" s="95" t="s">
        <v>37</v>
      </c>
      <c r="D11" s="96" t="s">
        <v>63</v>
      </c>
      <c r="E11" s="96" t="s">
        <v>67</v>
      </c>
      <c r="F11" s="92">
        <v>43886</v>
      </c>
      <c r="G11" s="92" t="s">
        <v>40</v>
      </c>
      <c r="H11" s="92" t="s">
        <v>41</v>
      </c>
      <c r="I11" s="93" t="s">
        <v>42</v>
      </c>
      <c r="J11" s="97" t="s">
        <v>62</v>
      </c>
      <c r="K11" s="98">
        <v>339561.6</v>
      </c>
      <c r="L11" s="99">
        <v>8.2599999999999993E-2</v>
      </c>
      <c r="M11" s="98">
        <v>28047.788159999996</v>
      </c>
      <c r="N11" s="100">
        <v>0.3</v>
      </c>
      <c r="O11" s="98">
        <v>8414.3364479999982</v>
      </c>
      <c r="P11" s="98">
        <v>19633.451711999998</v>
      </c>
      <c r="Q11" s="100">
        <v>0.5</v>
      </c>
      <c r="R11" s="98">
        <v>9817</v>
      </c>
      <c r="S11" s="101">
        <v>4000000</v>
      </c>
      <c r="T11" s="100">
        <v>0.8</v>
      </c>
      <c r="U11" s="100">
        <v>0.8</v>
      </c>
      <c r="V11" s="102">
        <v>7853</v>
      </c>
      <c r="W11" s="98">
        <v>4244389</v>
      </c>
      <c r="X11" s="98">
        <v>0</v>
      </c>
      <c r="Y11" s="98">
        <v>0</v>
      </c>
      <c r="Z11" s="103">
        <v>0</v>
      </c>
      <c r="AA11" s="104">
        <v>7853</v>
      </c>
      <c r="AB11" s="98">
        <v>244389</v>
      </c>
      <c r="AC11" s="105"/>
    </row>
    <row r="12" spans="1:29" x14ac:dyDescent="0.4">
      <c r="A12" s="118"/>
      <c r="B12" s="106">
        <v>44592</v>
      </c>
      <c r="C12" s="107" t="s">
        <v>37</v>
      </c>
      <c r="D12" s="56" t="s">
        <v>63</v>
      </c>
      <c r="E12" s="56" t="s">
        <v>67</v>
      </c>
      <c r="F12" s="57">
        <v>43886</v>
      </c>
      <c r="G12" s="57" t="s">
        <v>40</v>
      </c>
      <c r="H12" s="57" t="s">
        <v>41</v>
      </c>
      <c r="I12" s="58" t="s">
        <v>42</v>
      </c>
      <c r="J12" s="120" t="s">
        <v>62</v>
      </c>
      <c r="K12" s="108">
        <v>335124</v>
      </c>
      <c r="L12" s="109">
        <v>8.3299999999999999E-2</v>
      </c>
      <c r="M12" s="108">
        <v>27915.8292</v>
      </c>
      <c r="N12" s="110">
        <v>0.3</v>
      </c>
      <c r="O12" s="108">
        <v>8374.7487600000004</v>
      </c>
      <c r="P12" s="108">
        <v>19541.080439999998</v>
      </c>
      <c r="Q12" s="110">
        <v>0.5</v>
      </c>
      <c r="R12" s="108">
        <v>9771</v>
      </c>
      <c r="S12" s="111">
        <v>4000000</v>
      </c>
      <c r="T12" s="110">
        <v>0.8</v>
      </c>
      <c r="U12" s="110">
        <v>0.8</v>
      </c>
      <c r="V12" s="112">
        <v>7816</v>
      </c>
      <c r="W12" s="108">
        <v>4252205</v>
      </c>
      <c r="X12" s="108">
        <v>0</v>
      </c>
      <c r="Y12" s="108">
        <v>0</v>
      </c>
      <c r="Z12" s="113">
        <v>0</v>
      </c>
      <c r="AA12" s="114">
        <v>7816</v>
      </c>
      <c r="AB12" s="108">
        <v>252205</v>
      </c>
      <c r="AC12" s="119"/>
    </row>
    <row r="13" spans="1:29" x14ac:dyDescent="0.4">
      <c r="A13" s="117">
        <v>1</v>
      </c>
      <c r="B13" s="130">
        <v>44620</v>
      </c>
      <c r="C13" s="95" t="s">
        <v>37</v>
      </c>
      <c r="D13" s="96" t="s">
        <v>63</v>
      </c>
      <c r="E13" s="96" t="s">
        <v>67</v>
      </c>
      <c r="F13" s="92">
        <v>43886</v>
      </c>
      <c r="G13" s="92" t="s">
        <v>40</v>
      </c>
      <c r="H13" s="92" t="s">
        <v>41</v>
      </c>
      <c r="I13" s="93" t="s">
        <v>42</v>
      </c>
      <c r="J13" s="97" t="s">
        <v>62</v>
      </c>
      <c r="K13" s="98">
        <v>317898</v>
      </c>
      <c r="L13" s="99">
        <v>8.3499999999999991E-2</v>
      </c>
      <c r="M13" s="98">
        <v>26544.482999999997</v>
      </c>
      <c r="N13" s="100">
        <v>0.3</v>
      </c>
      <c r="O13" s="98">
        <v>7963.3448999999982</v>
      </c>
      <c r="P13" s="98">
        <v>18581.138099999996</v>
      </c>
      <c r="Q13" s="100">
        <v>0.5</v>
      </c>
      <c r="R13" s="98">
        <v>9291</v>
      </c>
      <c r="S13" s="101">
        <v>4000000</v>
      </c>
      <c r="T13" s="100">
        <v>0.8</v>
      </c>
      <c r="U13" s="100">
        <v>0.8</v>
      </c>
      <c r="V13" s="102">
        <v>7432</v>
      </c>
      <c r="W13" s="98">
        <v>4259637</v>
      </c>
      <c r="X13" s="98">
        <v>0</v>
      </c>
      <c r="Y13" s="98">
        <v>0</v>
      </c>
      <c r="Z13" s="103">
        <v>0</v>
      </c>
      <c r="AA13" s="104">
        <v>7432</v>
      </c>
      <c r="AB13" s="98">
        <v>259637</v>
      </c>
      <c r="AC13" s="105"/>
    </row>
    <row r="14" spans="1:29" x14ac:dyDescent="0.4">
      <c r="A14" s="118">
        <v>1</v>
      </c>
      <c r="B14" s="106">
        <v>44651</v>
      </c>
      <c r="C14" s="107" t="s">
        <v>37</v>
      </c>
      <c r="D14" s="56" t="s">
        <v>63</v>
      </c>
      <c r="E14" s="56" t="s">
        <v>67</v>
      </c>
      <c r="F14" s="57">
        <v>43886</v>
      </c>
      <c r="G14" s="57" t="s">
        <v>40</v>
      </c>
      <c r="H14" s="57" t="s">
        <v>41</v>
      </c>
      <c r="I14" s="58" t="s">
        <v>42</v>
      </c>
      <c r="J14" s="120" t="s">
        <v>62</v>
      </c>
      <c r="K14" s="108">
        <v>364795.2</v>
      </c>
      <c r="L14" s="109">
        <v>8.5099999999999995E-2</v>
      </c>
      <c r="M14" s="108">
        <v>31044.071519999998</v>
      </c>
      <c r="N14" s="110">
        <v>0.3</v>
      </c>
      <c r="O14" s="108">
        <v>9313.2214559999993</v>
      </c>
      <c r="P14" s="108">
        <v>21730.850063999998</v>
      </c>
      <c r="Q14" s="110">
        <v>0.5</v>
      </c>
      <c r="R14" s="108">
        <v>10865</v>
      </c>
      <c r="S14" s="111">
        <v>4000000</v>
      </c>
      <c r="T14" s="110">
        <v>0.8</v>
      </c>
      <c r="U14" s="110">
        <v>0.8</v>
      </c>
      <c r="V14" s="112">
        <v>8692</v>
      </c>
      <c r="W14" s="108">
        <v>4268329</v>
      </c>
      <c r="X14" s="108">
        <v>0</v>
      </c>
      <c r="Y14" s="108">
        <v>0</v>
      </c>
      <c r="Z14" s="113">
        <v>0</v>
      </c>
      <c r="AA14" s="114">
        <v>8692</v>
      </c>
      <c r="AB14" s="108">
        <v>268329</v>
      </c>
      <c r="AC14" s="119"/>
    </row>
    <row r="16" spans="1:29" x14ac:dyDescent="0.4">
      <c r="A16" s="2" t="s">
        <v>97</v>
      </c>
    </row>
    <row r="17" spans="1:29" s="4" customFormat="1" ht="5.0999999999999996" customHeight="1" x14ac:dyDescent="0.4">
      <c r="A17" s="6"/>
      <c r="F17" s="7"/>
      <c r="G17" s="7"/>
      <c r="I17" s="7"/>
      <c r="J17" s="5"/>
      <c r="K17" s="8"/>
      <c r="L17" s="5"/>
      <c r="M17" s="9"/>
      <c r="N17" s="5"/>
      <c r="O17" s="5"/>
      <c r="P17" s="9"/>
      <c r="Q17" s="5"/>
      <c r="R17" s="10"/>
      <c r="S17" s="9"/>
      <c r="T17" s="9"/>
      <c r="U17" s="5"/>
      <c r="V17" s="5"/>
      <c r="W17" s="5"/>
      <c r="X17" s="5"/>
      <c r="Y17" s="5"/>
      <c r="Z17" s="5"/>
      <c r="AA17" s="5"/>
      <c r="AB17" s="10"/>
    </row>
    <row r="18" spans="1:29" s="11" customFormat="1" ht="25.5" customHeight="1" x14ac:dyDescent="0.4">
      <c r="A18" s="12"/>
      <c r="B18" s="13"/>
      <c r="C18" s="14"/>
      <c r="D18" s="15" t="s">
        <v>98</v>
      </c>
      <c r="E18" s="15"/>
      <c r="F18" s="16"/>
      <c r="G18" s="16"/>
      <c r="H18" s="16"/>
      <c r="I18" s="16"/>
      <c r="J18" s="16"/>
      <c r="K18" s="17">
        <f>SUBTOTAL(9,M21:M9863)</f>
        <v>102217.686</v>
      </c>
      <c r="L18" s="18"/>
      <c r="M18" s="17">
        <f>SUBTOTAL(9,O21:O9863)</f>
        <v>30665.305799999995</v>
      </c>
      <c r="N18" s="19"/>
      <c r="O18" s="17">
        <f>SUBTOTAL(9,Q21:Q9863)</f>
        <v>4.5</v>
      </c>
      <c r="P18" s="17">
        <f>SUBTOTAL(9,R21:R9863)</f>
        <v>35776</v>
      </c>
      <c r="Q18" s="19"/>
      <c r="R18" s="17">
        <f>SUBTOTAL(9,T21:T9863)</f>
        <v>7.1999999999999993</v>
      </c>
      <c r="S18" s="20"/>
      <c r="T18" s="21"/>
      <c r="U18" s="21"/>
      <c r="V18" s="20">
        <f>SUBTOTAL(9,X21:X9863)</f>
        <v>24939579</v>
      </c>
      <c r="W18" s="20"/>
      <c r="X18" s="20"/>
      <c r="Y18" s="20"/>
      <c r="Z18" s="20">
        <f>SUBTOTAL(9,AB21:AB9863)</f>
        <v>0</v>
      </c>
      <c r="AA18" s="20">
        <f>SUBTOTAL(9,AC21:AC9863)</f>
        <v>0</v>
      </c>
      <c r="AB18" s="20"/>
      <c r="AC18" s="22"/>
    </row>
    <row r="19" spans="1:29" s="4" customFormat="1" ht="5.0999999999999996" customHeight="1" x14ac:dyDescent="0.4">
      <c r="A19" s="6"/>
      <c r="F19" s="7"/>
      <c r="G19" s="7"/>
      <c r="I19" s="7"/>
      <c r="J19" s="5"/>
      <c r="K19" s="8"/>
      <c r="L19" s="5"/>
      <c r="M19" s="9"/>
      <c r="N19" s="5"/>
      <c r="O19" s="5"/>
      <c r="P19" s="9"/>
      <c r="Q19" s="5"/>
      <c r="R19" s="10"/>
      <c r="S19" s="9"/>
      <c r="T19" s="9"/>
      <c r="U19" s="5"/>
      <c r="V19" s="5"/>
      <c r="W19" s="5"/>
      <c r="X19" s="5"/>
      <c r="Y19" s="5"/>
      <c r="Z19" s="5"/>
      <c r="AA19" s="5"/>
      <c r="AB19" s="10"/>
      <c r="AC19" s="10"/>
    </row>
    <row r="20" spans="1:29" s="23" customFormat="1" ht="32.25" customHeight="1" x14ac:dyDescent="0.4">
      <c r="A20" s="24" t="s">
        <v>99</v>
      </c>
      <c r="B20" s="123" t="s">
        <v>100</v>
      </c>
      <c r="C20" s="124" t="s">
        <v>11</v>
      </c>
      <c r="D20" s="124" t="s">
        <v>101</v>
      </c>
      <c r="E20" s="124" t="s">
        <v>1</v>
      </c>
      <c r="F20" s="125" t="s">
        <v>102</v>
      </c>
      <c r="G20" s="125" t="s">
        <v>103</v>
      </c>
      <c r="H20" s="125" t="s">
        <v>104</v>
      </c>
      <c r="I20" s="125" t="s">
        <v>105</v>
      </c>
      <c r="J20" s="125" t="s">
        <v>106</v>
      </c>
      <c r="K20" s="126" t="s">
        <v>107</v>
      </c>
      <c r="L20" s="127" t="s">
        <v>125</v>
      </c>
      <c r="M20" s="126" t="s">
        <v>109</v>
      </c>
      <c r="N20" s="128" t="s">
        <v>126</v>
      </c>
      <c r="O20" s="126" t="s">
        <v>111</v>
      </c>
      <c r="P20" s="126" t="s">
        <v>127</v>
      </c>
      <c r="Q20" s="128" t="s">
        <v>128</v>
      </c>
      <c r="R20" s="126" t="s">
        <v>129</v>
      </c>
      <c r="S20" s="129" t="s">
        <v>130</v>
      </c>
      <c r="T20" s="128" t="s">
        <v>27</v>
      </c>
      <c r="U20" s="128" t="s">
        <v>28</v>
      </c>
      <c r="V20" s="126" t="s">
        <v>116</v>
      </c>
      <c r="W20" s="126" t="s">
        <v>30</v>
      </c>
      <c r="X20" s="126" t="s">
        <v>131</v>
      </c>
      <c r="Y20" s="126" t="s">
        <v>118</v>
      </c>
      <c r="Z20" s="126" t="s">
        <v>119</v>
      </c>
      <c r="AA20" s="126" t="s">
        <v>132</v>
      </c>
      <c r="AB20" s="126" t="s">
        <v>121</v>
      </c>
      <c r="AC20" s="33" t="s">
        <v>122</v>
      </c>
    </row>
    <row r="21" spans="1:29" s="34" customFormat="1" ht="18" customHeight="1" x14ac:dyDescent="0.4">
      <c r="A21" s="35">
        <v>1</v>
      </c>
      <c r="B21" s="36">
        <v>44439</v>
      </c>
      <c r="C21" s="37" t="s">
        <v>37</v>
      </c>
      <c r="D21" s="38" t="s">
        <v>69</v>
      </c>
      <c r="E21" s="38" t="s">
        <v>70</v>
      </c>
      <c r="F21" s="39">
        <v>44073</v>
      </c>
      <c r="G21" s="39" t="s">
        <v>40</v>
      </c>
      <c r="H21" s="39" t="s">
        <v>41</v>
      </c>
      <c r="I21" s="40" t="s">
        <v>65</v>
      </c>
      <c r="J21" s="40" t="s">
        <v>68</v>
      </c>
      <c r="K21" s="41">
        <v>246513.6</v>
      </c>
      <c r="L21" s="42">
        <v>7.8899999999999998E-2</v>
      </c>
      <c r="M21" s="41">
        <v>19449.923040000001</v>
      </c>
      <c r="N21" s="43">
        <v>0.3</v>
      </c>
      <c r="O21" s="41">
        <v>5834.9769120000001</v>
      </c>
      <c r="P21" s="41">
        <v>13614.946128000001</v>
      </c>
      <c r="Q21" s="43">
        <v>0.5</v>
      </c>
      <c r="R21" s="41">
        <v>6807</v>
      </c>
      <c r="S21" s="44">
        <v>3000000</v>
      </c>
      <c r="T21" s="43">
        <v>0.8</v>
      </c>
      <c r="U21" s="43">
        <v>0.8</v>
      </c>
      <c r="V21" s="45">
        <v>5445</v>
      </c>
      <c r="W21" s="41">
        <v>218004</v>
      </c>
      <c r="X21" s="41">
        <v>2787441</v>
      </c>
      <c r="Y21" s="41">
        <v>2781996</v>
      </c>
      <c r="Z21" s="46">
        <v>5445</v>
      </c>
      <c r="AA21" s="47">
        <v>0</v>
      </c>
      <c r="AB21" s="41">
        <v>0</v>
      </c>
      <c r="AC21" s="48" t="s">
        <v>66</v>
      </c>
    </row>
    <row r="22" spans="1:29" s="34" customFormat="1" ht="18" customHeight="1" x14ac:dyDescent="0.4">
      <c r="A22" s="35">
        <v>2</v>
      </c>
      <c r="B22" s="36">
        <v>44439</v>
      </c>
      <c r="C22" s="37" t="s">
        <v>37</v>
      </c>
      <c r="D22" s="38" t="s">
        <v>133</v>
      </c>
      <c r="E22" s="38" t="s">
        <v>71</v>
      </c>
      <c r="F22" s="39">
        <v>44073</v>
      </c>
      <c r="G22" s="39" t="s">
        <v>40</v>
      </c>
      <c r="H22" s="39" t="s">
        <v>41</v>
      </c>
      <c r="I22" s="40" t="s">
        <v>42</v>
      </c>
      <c r="J22" s="40" t="s">
        <v>68</v>
      </c>
      <c r="K22" s="41">
        <v>161616</v>
      </c>
      <c r="L22" s="42">
        <v>8.0600000000000005E-2</v>
      </c>
      <c r="M22" s="41">
        <v>13026.249600000001</v>
      </c>
      <c r="N22" s="43">
        <v>0.3</v>
      </c>
      <c r="O22" s="41">
        <v>3907.8748800000003</v>
      </c>
      <c r="P22" s="41">
        <v>9118.3747199999998</v>
      </c>
      <c r="Q22" s="43">
        <v>0.5</v>
      </c>
      <c r="R22" s="41">
        <v>4559</v>
      </c>
      <c r="S22" s="44">
        <v>3000000</v>
      </c>
      <c r="T22" s="43">
        <v>0.8</v>
      </c>
      <c r="U22" s="43">
        <v>0.8</v>
      </c>
      <c r="V22" s="45">
        <v>3647</v>
      </c>
      <c r="W22" s="41">
        <v>221651</v>
      </c>
      <c r="X22" s="41">
        <v>2781996</v>
      </c>
      <c r="Y22" s="41">
        <v>2778349</v>
      </c>
      <c r="Z22" s="46">
        <v>3647</v>
      </c>
      <c r="AA22" s="47">
        <v>0</v>
      </c>
      <c r="AB22" s="41">
        <v>0</v>
      </c>
      <c r="AC22" s="48" t="s">
        <v>72</v>
      </c>
    </row>
    <row r="23" spans="1:29" s="34" customFormat="1" ht="18" customHeight="1" x14ac:dyDescent="0.4">
      <c r="A23" s="59">
        <v>3</v>
      </c>
      <c r="B23" s="60">
        <v>44469</v>
      </c>
      <c r="C23" s="61" t="s">
        <v>37</v>
      </c>
      <c r="D23" s="56" t="s">
        <v>69</v>
      </c>
      <c r="E23" s="56" t="s">
        <v>71</v>
      </c>
      <c r="F23" s="57">
        <v>44073</v>
      </c>
      <c r="G23" s="57" t="s">
        <v>40</v>
      </c>
      <c r="H23" s="57" t="s">
        <v>41</v>
      </c>
      <c r="I23" s="58" t="s">
        <v>42</v>
      </c>
      <c r="J23" s="120" t="s">
        <v>68</v>
      </c>
      <c r="K23" s="63">
        <v>139752</v>
      </c>
      <c r="L23" s="64">
        <v>8.2100000000000006E-2</v>
      </c>
      <c r="M23" s="63">
        <v>11473.639200000001</v>
      </c>
      <c r="N23" s="65">
        <v>0.3</v>
      </c>
      <c r="O23" s="63">
        <v>3442.0917600000002</v>
      </c>
      <c r="P23" s="63">
        <v>8031.5474400000012</v>
      </c>
      <c r="Q23" s="65">
        <v>0.5</v>
      </c>
      <c r="R23" s="63">
        <v>4016</v>
      </c>
      <c r="S23" s="66">
        <v>3000000</v>
      </c>
      <c r="T23" s="65">
        <v>0.8</v>
      </c>
      <c r="U23" s="65">
        <v>0.8</v>
      </c>
      <c r="V23" s="63">
        <v>3212</v>
      </c>
      <c r="W23" s="63">
        <v>224863</v>
      </c>
      <c r="X23" s="63">
        <v>2778349</v>
      </c>
      <c r="Y23" s="63">
        <v>2775137</v>
      </c>
      <c r="Z23" s="63">
        <v>3212</v>
      </c>
      <c r="AA23" s="63">
        <v>0</v>
      </c>
      <c r="AB23" s="63">
        <v>0</v>
      </c>
      <c r="AC23" s="70" t="s">
        <v>61</v>
      </c>
    </row>
    <row r="24" spans="1:29" s="34" customFormat="1" ht="18" customHeight="1" x14ac:dyDescent="0.4">
      <c r="A24" s="59">
        <v>4</v>
      </c>
      <c r="B24" s="60">
        <v>44500</v>
      </c>
      <c r="C24" s="61" t="s">
        <v>37</v>
      </c>
      <c r="D24" s="56" t="s">
        <v>69</v>
      </c>
      <c r="E24" s="56" t="s">
        <v>71</v>
      </c>
      <c r="F24" s="57">
        <v>44073</v>
      </c>
      <c r="G24" s="57" t="s">
        <v>40</v>
      </c>
      <c r="H24" s="57" t="s">
        <v>41</v>
      </c>
      <c r="I24" s="58" t="s">
        <v>42</v>
      </c>
      <c r="J24" s="120" t="s">
        <v>68</v>
      </c>
      <c r="K24" s="63">
        <v>342936</v>
      </c>
      <c r="L24" s="64">
        <v>8.3499999999999991E-2</v>
      </c>
      <c r="M24" s="63">
        <v>28635.155999999995</v>
      </c>
      <c r="N24" s="65">
        <v>0.3</v>
      </c>
      <c r="O24" s="63">
        <v>8590.5467999999983</v>
      </c>
      <c r="P24" s="63">
        <v>20044.609199999999</v>
      </c>
      <c r="Q24" s="65">
        <v>0.5</v>
      </c>
      <c r="R24" s="63">
        <v>10022</v>
      </c>
      <c r="S24" s="66">
        <v>3000000</v>
      </c>
      <c r="T24" s="65">
        <v>0.8</v>
      </c>
      <c r="U24" s="65">
        <v>0.8</v>
      </c>
      <c r="V24" s="63">
        <v>8017</v>
      </c>
      <c r="W24" s="63">
        <v>232880</v>
      </c>
      <c r="X24" s="63">
        <v>2775137</v>
      </c>
      <c r="Y24" s="63">
        <v>2767120</v>
      </c>
      <c r="Z24" s="63">
        <v>8017</v>
      </c>
      <c r="AA24" s="63">
        <v>0</v>
      </c>
      <c r="AB24" s="63">
        <v>0</v>
      </c>
      <c r="AC24" s="70" t="s">
        <v>61</v>
      </c>
    </row>
    <row r="25" spans="1:29" x14ac:dyDescent="0.4">
      <c r="A25" s="59">
        <v>5</v>
      </c>
      <c r="B25" s="94">
        <v>44530</v>
      </c>
      <c r="C25" s="95" t="s">
        <v>37</v>
      </c>
      <c r="D25" s="96" t="s">
        <v>69</v>
      </c>
      <c r="E25" s="96" t="s">
        <v>71</v>
      </c>
      <c r="F25" s="92">
        <v>44073</v>
      </c>
      <c r="G25" s="92" t="s">
        <v>40</v>
      </c>
      <c r="H25" s="92" t="s">
        <v>41</v>
      </c>
      <c r="I25" s="93" t="s">
        <v>42</v>
      </c>
      <c r="J25" s="97" t="s">
        <v>68</v>
      </c>
      <c r="K25" s="98">
        <v>145526.39999999999</v>
      </c>
      <c r="L25" s="99">
        <v>8.3000000000000004E-2</v>
      </c>
      <c r="M25" s="98">
        <v>12078.691199999999</v>
      </c>
      <c r="N25" s="100">
        <v>0.3</v>
      </c>
      <c r="O25" s="98">
        <v>3623.6073599999995</v>
      </c>
      <c r="P25" s="98">
        <v>8455.0838399999993</v>
      </c>
      <c r="Q25" s="100">
        <v>0.5</v>
      </c>
      <c r="R25" s="98">
        <v>4228</v>
      </c>
      <c r="S25" s="101">
        <v>3000000</v>
      </c>
      <c r="T25" s="100">
        <v>0.8</v>
      </c>
      <c r="U25" s="100">
        <v>0.8</v>
      </c>
      <c r="V25" s="102">
        <v>3382</v>
      </c>
      <c r="W25" s="98">
        <v>236262</v>
      </c>
      <c r="X25" s="98">
        <v>2767120</v>
      </c>
      <c r="Y25" s="98">
        <v>2763738</v>
      </c>
      <c r="Z25" s="103">
        <v>3382</v>
      </c>
      <c r="AA25" s="104">
        <v>0</v>
      </c>
      <c r="AB25" s="98">
        <v>0</v>
      </c>
      <c r="AC25" s="105"/>
    </row>
    <row r="26" spans="1:29" x14ac:dyDescent="0.4">
      <c r="A26" s="59">
        <v>6</v>
      </c>
      <c r="B26" s="94">
        <v>44561</v>
      </c>
      <c r="C26" s="95" t="s">
        <v>37</v>
      </c>
      <c r="D26" s="96" t="s">
        <v>69</v>
      </c>
      <c r="E26" s="96" t="s">
        <v>71</v>
      </c>
      <c r="F26" s="92">
        <v>44073</v>
      </c>
      <c r="G26" s="92" t="s">
        <v>40</v>
      </c>
      <c r="H26" s="92" t="s">
        <v>41</v>
      </c>
      <c r="I26" s="93" t="s">
        <v>42</v>
      </c>
      <c r="J26" s="97" t="s">
        <v>68</v>
      </c>
      <c r="K26" s="98">
        <v>37555.199999999997</v>
      </c>
      <c r="L26" s="99">
        <v>8.2599999999999993E-2</v>
      </c>
      <c r="M26" s="98">
        <v>3102.0595199999993</v>
      </c>
      <c r="N26" s="100">
        <v>0.3</v>
      </c>
      <c r="O26" s="98">
        <v>930.61785599999973</v>
      </c>
      <c r="P26" s="98">
        <v>2171.4416639999995</v>
      </c>
      <c r="Q26" s="100">
        <v>0.5</v>
      </c>
      <c r="R26" s="98">
        <v>1086</v>
      </c>
      <c r="S26" s="101">
        <v>3000000</v>
      </c>
      <c r="T26" s="100">
        <v>0.8</v>
      </c>
      <c r="U26" s="100">
        <v>0.8</v>
      </c>
      <c r="V26" s="102">
        <v>868</v>
      </c>
      <c r="W26" s="98">
        <v>237130</v>
      </c>
      <c r="X26" s="98">
        <v>2763738</v>
      </c>
      <c r="Y26" s="98">
        <v>2762870</v>
      </c>
      <c r="Z26" s="103">
        <v>868</v>
      </c>
      <c r="AA26" s="104">
        <v>0</v>
      </c>
      <c r="AB26" s="98">
        <v>0</v>
      </c>
    </row>
    <row r="27" spans="1:29" s="34" customFormat="1" ht="18" customHeight="1" x14ac:dyDescent="0.4">
      <c r="A27" s="59">
        <v>7</v>
      </c>
      <c r="B27" s="106">
        <v>44592</v>
      </c>
      <c r="C27" s="107" t="s">
        <v>37</v>
      </c>
      <c r="D27" s="56" t="s">
        <v>69</v>
      </c>
      <c r="E27" s="56" t="s">
        <v>71</v>
      </c>
      <c r="F27" s="57">
        <v>44073</v>
      </c>
      <c r="G27" s="57" t="s">
        <v>40</v>
      </c>
      <c r="H27" s="57" t="s">
        <v>41</v>
      </c>
      <c r="I27" s="58" t="s">
        <v>42</v>
      </c>
      <c r="J27" s="120" t="s">
        <v>68</v>
      </c>
      <c r="K27" s="108">
        <v>39150</v>
      </c>
      <c r="L27" s="109">
        <v>8.3299999999999999E-2</v>
      </c>
      <c r="M27" s="108">
        <v>3261.1950000000002</v>
      </c>
      <c r="N27" s="110">
        <v>0.3</v>
      </c>
      <c r="O27" s="108">
        <v>978.35850000000005</v>
      </c>
      <c r="P27" s="108">
        <v>2282.8365000000003</v>
      </c>
      <c r="Q27" s="110">
        <v>0.5</v>
      </c>
      <c r="R27" s="108">
        <v>1141</v>
      </c>
      <c r="S27" s="111">
        <v>3000000</v>
      </c>
      <c r="T27" s="110">
        <v>0.8</v>
      </c>
      <c r="U27" s="110">
        <v>0.8</v>
      </c>
      <c r="V27" s="112">
        <v>912</v>
      </c>
      <c r="W27" s="108">
        <v>238042</v>
      </c>
      <c r="X27" s="108">
        <v>2762870</v>
      </c>
      <c r="Y27" s="108">
        <v>2761958</v>
      </c>
      <c r="Z27" s="113">
        <v>912</v>
      </c>
      <c r="AA27" s="114">
        <v>0</v>
      </c>
      <c r="AB27" s="108">
        <v>0</v>
      </c>
      <c r="AC27" s="115"/>
    </row>
    <row r="28" spans="1:29" x14ac:dyDescent="0.4">
      <c r="A28" s="117">
        <v>2</v>
      </c>
      <c r="B28" s="130">
        <v>44620</v>
      </c>
      <c r="C28" s="95" t="s">
        <v>37</v>
      </c>
      <c r="D28" s="96" t="s">
        <v>69</v>
      </c>
      <c r="E28" s="96" t="s">
        <v>71</v>
      </c>
      <c r="F28" s="92">
        <v>44073</v>
      </c>
      <c r="G28" s="92" t="s">
        <v>40</v>
      </c>
      <c r="H28" s="92" t="s">
        <v>41</v>
      </c>
      <c r="I28" s="93" t="s">
        <v>42</v>
      </c>
      <c r="J28" s="97" t="s">
        <v>68</v>
      </c>
      <c r="K28" s="98">
        <v>42282</v>
      </c>
      <c r="L28" s="99">
        <v>8.3499999999999991E-2</v>
      </c>
      <c r="M28" s="98">
        <v>3530.5469999999996</v>
      </c>
      <c r="N28" s="100">
        <v>0.3</v>
      </c>
      <c r="O28" s="98">
        <v>1059.1640999999997</v>
      </c>
      <c r="P28" s="98">
        <v>2471.3828999999996</v>
      </c>
      <c r="Q28" s="100">
        <v>0.5</v>
      </c>
      <c r="R28" s="98">
        <v>1236</v>
      </c>
      <c r="S28" s="101">
        <v>3000000</v>
      </c>
      <c r="T28" s="100">
        <v>0.8</v>
      </c>
      <c r="U28" s="100">
        <v>0.8</v>
      </c>
      <c r="V28" s="102">
        <v>988</v>
      </c>
      <c r="W28" s="98">
        <v>239030</v>
      </c>
      <c r="X28" s="98">
        <v>2761958</v>
      </c>
      <c r="Y28" s="98">
        <v>2760970</v>
      </c>
      <c r="Z28" s="103">
        <v>988</v>
      </c>
      <c r="AA28" s="104">
        <v>0</v>
      </c>
      <c r="AB28" s="98">
        <v>0</v>
      </c>
      <c r="AC28" s="105"/>
    </row>
    <row r="29" spans="1:29" x14ac:dyDescent="0.4">
      <c r="A29" s="136">
        <v>2</v>
      </c>
      <c r="B29" s="137">
        <v>44651</v>
      </c>
      <c r="C29" s="138" t="s">
        <v>37</v>
      </c>
      <c r="D29" s="139" t="s">
        <v>69</v>
      </c>
      <c r="E29" s="139" t="s">
        <v>71</v>
      </c>
      <c r="F29" s="140">
        <v>44073</v>
      </c>
      <c r="G29" s="140" t="s">
        <v>40</v>
      </c>
      <c r="H29" s="140" t="s">
        <v>41</v>
      </c>
      <c r="I29" s="141" t="s">
        <v>42</v>
      </c>
      <c r="J29" s="142" t="s">
        <v>68</v>
      </c>
      <c r="K29" s="143">
        <v>90014.399999999994</v>
      </c>
      <c r="L29" s="144">
        <v>8.5099999999999995E-2</v>
      </c>
      <c r="M29" s="143">
        <v>7660.2254399999993</v>
      </c>
      <c r="N29" s="145">
        <v>0.3</v>
      </c>
      <c r="O29" s="143">
        <v>2298.0676319999998</v>
      </c>
      <c r="P29" s="143">
        <v>5362.1578079999999</v>
      </c>
      <c r="Q29" s="145">
        <v>0.5</v>
      </c>
      <c r="R29" s="143">
        <v>2681</v>
      </c>
      <c r="S29" s="146">
        <v>3000000</v>
      </c>
      <c r="T29" s="145">
        <v>0.8</v>
      </c>
      <c r="U29" s="145">
        <v>0.8</v>
      </c>
      <c r="V29" s="143">
        <v>2144</v>
      </c>
      <c r="W29" s="143">
        <v>241174</v>
      </c>
      <c r="X29" s="143">
        <v>2760970</v>
      </c>
      <c r="Y29" s="143">
        <v>2758826</v>
      </c>
      <c r="Z29" s="143">
        <v>2144</v>
      </c>
      <c r="AA29" s="143">
        <v>0</v>
      </c>
      <c r="AB29" s="143">
        <v>0</v>
      </c>
      <c r="AC29" s="147"/>
    </row>
  </sheetData>
  <phoneticPr fontId="2" type="noConversion"/>
  <conditionalFormatting sqref="F2:F6">
    <cfRule type="cellIs" dxfId="15" priority="16" operator="equal">
      <formula>"미오픈"</formula>
    </cfRule>
  </conditionalFormatting>
  <conditionalFormatting sqref="F17:F22">
    <cfRule type="cellIs" dxfId="14" priority="15" operator="equal">
      <formula>"미오픈"</formula>
    </cfRule>
  </conditionalFormatting>
  <conditionalFormatting sqref="F7">
    <cfRule type="cellIs" dxfId="13" priority="14" operator="equal">
      <formula>"미오픈"</formula>
    </cfRule>
  </conditionalFormatting>
  <conditionalFormatting sqref="F8">
    <cfRule type="cellIs" dxfId="12" priority="13" operator="equal">
      <formula>"미오픈"</formula>
    </cfRule>
  </conditionalFormatting>
  <conditionalFormatting sqref="F23">
    <cfRule type="cellIs" dxfId="11" priority="12" operator="equal">
      <formula>"미오픈"</formula>
    </cfRule>
  </conditionalFormatting>
  <conditionalFormatting sqref="F24">
    <cfRule type="cellIs" dxfId="10" priority="11" operator="equal">
      <formula>"미오픈"</formula>
    </cfRule>
  </conditionalFormatting>
  <conditionalFormatting sqref="F9">
    <cfRule type="cellIs" dxfId="9" priority="10" operator="equal">
      <formula>"미오픈"</formula>
    </cfRule>
  </conditionalFormatting>
  <conditionalFormatting sqref="F25">
    <cfRule type="cellIs" dxfId="8" priority="9" operator="equal">
      <formula>"미오픈"</formula>
    </cfRule>
  </conditionalFormatting>
  <conditionalFormatting sqref="F10">
    <cfRule type="cellIs" dxfId="7" priority="8" operator="equal">
      <formula>"미오픈"</formula>
    </cfRule>
  </conditionalFormatting>
  <conditionalFormatting sqref="F11">
    <cfRule type="cellIs" dxfId="6" priority="7" operator="equal">
      <formula>"미오픈"</formula>
    </cfRule>
  </conditionalFormatting>
  <conditionalFormatting sqref="F26">
    <cfRule type="cellIs" dxfId="5" priority="6" operator="equal">
      <formula>"미오픈"</formula>
    </cfRule>
  </conditionalFormatting>
  <conditionalFormatting sqref="F12 F14">
    <cfRule type="cellIs" dxfId="4" priority="5" operator="equal">
      <formula>"미오픈"</formula>
    </cfRule>
  </conditionalFormatting>
  <conditionalFormatting sqref="F27">
    <cfRule type="cellIs" dxfId="3" priority="4" operator="equal">
      <formula>"미오픈"</formula>
    </cfRule>
  </conditionalFormatting>
  <conditionalFormatting sqref="F28">
    <cfRule type="cellIs" dxfId="2" priority="3" operator="equal">
      <formula>"미오픈"</formula>
    </cfRule>
  </conditionalFormatting>
  <conditionalFormatting sqref="F13">
    <cfRule type="cellIs" dxfId="1" priority="2" operator="equal">
      <formula>"미오픈"</formula>
    </cfRule>
  </conditionalFormatting>
  <conditionalFormatting sqref="F29">
    <cfRule type="cellIs" dxfId="0" priority="1" operator="equal">
      <formula>"미오픈"</formula>
    </cfRule>
  </conditionalFormatting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종합</vt:lpstr>
      <vt:lpstr>월별 매출(마딸,공주)</vt:lpstr>
      <vt:lpstr>월별 매출(구KT)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soojeoung choi</dc:creator>
  <cp:lastModifiedBy>storywiz</cp:lastModifiedBy>
  <dcterms:created xsi:type="dcterms:W3CDTF">2020-12-02T06:07:48Z</dcterms:created>
  <dcterms:modified xsi:type="dcterms:W3CDTF">2022-05-18T06:45:52Z</dcterms:modified>
</cp:coreProperties>
</file>