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2. 월중청구\"/>
    </mc:Choice>
  </mc:AlternateContent>
  <bookViews>
    <workbookView xWindow="3768" yWindow="0" windowWidth="23832" windowHeight="9168" tabRatio="735"/>
  </bookViews>
  <sheets>
    <sheet name="판무림5(로드오브머니)" sheetId="13" r:id="rId1"/>
  </sheets>
  <externalReferences>
    <externalReference r:id="rId2"/>
    <externalReference r:id="rId3"/>
    <externalReference r:id="rId4"/>
  </externalReferences>
  <definedNames>
    <definedName name="_xlnm._FilterDatabase" localSheetId="0" hidden="1">'판무림5(로드오브머니)'!$G$1:$AH$99</definedName>
    <definedName name="_xlnm._FilterDatabase" hidden="1">#REF!</definedName>
    <definedName name="AFFMST">[1]AFFMST!$A$1:$E$42</definedName>
    <definedName name="coin_domestic_total_no_tax">[2]コイン内訳!$K$17</definedName>
    <definedName name="coin_oversea_total">[2]コイン内訳!$L$17</definedName>
    <definedName name="coin_report_rs_ratio">'[2]コイン報告書_foreign CP'!$P$27</definedName>
    <definedName name="direct_apple_domestic_total_no_tax">[2]内訳_公式決済!$D$10</definedName>
    <definedName name="direct_apple_oversea_total">[2]内訳_公式決済!$E$10</definedName>
    <definedName name="direct_google_domestic_total_no_tax">[2]内訳_公式決済!$G$10</definedName>
    <definedName name="direct_google_oversea_total">[2]内訳_公式決済!$H$10</definedName>
    <definedName name="direct_item">'[2]コイン報告書_foreign CP'!#REF!</definedName>
    <definedName name="direct_items">'[2]コイン報告書_foreign CP'!#REF!</definedName>
    <definedName name="direct_report_rs_ratio">'[2]コイン報告書_foreign CP'!$P$32</definedName>
    <definedName name="direct_report_ym">'[2]コイン報告書_foreign CP'!#REF!</definedName>
    <definedName name="_xlnm.Extract" localSheetId="0">'판무림5(로드오브머니)'!#REF!</definedName>
    <definedName name="withholdingtaxrate">'[2]コイン報告書_foreign CP'!$W$36</definedName>
    <definedName name="ws_items">'[2]コイン報告書_foreign CP'!#REF!</definedName>
    <definedName name="ws_report_rs_ratio">'[2]コイン報告書_foreign CP'!#REF!</definedName>
    <definedName name="ws_report_rs_ratio1">'[2]コイン報告書_foreign CP'!#REF!</definedName>
    <definedName name="ws_report_rs_ratio2">'[2]コイン報告書_foreign CP'!#REF!</definedName>
    <definedName name="ws_report_ym">'[2]コイン報告書_foreign CP'!#REF!</definedName>
    <definedName name="ㄹㄹ">'[2]コイン報告書_foreign CP'!#REF!</definedName>
    <definedName name="마딸">'[2]コイン報告書_foreign CP'!#REF!</definedName>
    <definedName name="마왕의딸">'[2]コイン報告書_foreign CP'!#REF!</definedName>
    <definedName name="백스테이지키스신" hidden="1">#REF!</definedName>
    <definedName name="ㅇ">'[2]コイン報告書_foreign CP'!#REF!</definedName>
    <definedName name="ㅇㅇ">'[2]コイン報告書_foreign CP'!#REF!</definedName>
    <definedName name="타이틀명">[3]hidden!$A$2:$A$120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8" i="13" l="1"/>
  <c r="AA326" i="13"/>
  <c r="AA327" i="13"/>
  <c r="AA328" i="13"/>
  <c r="AA329" i="13"/>
  <c r="AA330" i="13"/>
  <c r="AA331" i="13"/>
  <c r="AA332" i="13"/>
  <c r="AA333" i="13"/>
  <c r="AA334" i="13"/>
  <c r="AA335" i="13"/>
  <c r="AA336" i="13"/>
  <c r="AA337" i="13"/>
  <c r="AA338" i="13"/>
  <c r="AA339" i="13"/>
  <c r="AA340" i="13"/>
  <c r="AA341" i="13"/>
  <c r="E37" i="13" l="1"/>
  <c r="AA325" i="13"/>
  <c r="AA324" i="13"/>
  <c r="AA323" i="13"/>
  <c r="AA322" i="13"/>
  <c r="AA321" i="13"/>
  <c r="AA320" i="13"/>
  <c r="AA319" i="13"/>
  <c r="AA318" i="13"/>
  <c r="AA317" i="13"/>
  <c r="AA316" i="13"/>
  <c r="AA315" i="13"/>
  <c r="E36" i="13" l="1"/>
  <c r="AA314" i="13"/>
  <c r="AA313" i="13"/>
  <c r="AA312" i="13"/>
  <c r="AA311" i="13"/>
  <c r="AA310" i="13"/>
  <c r="AA309" i="13"/>
  <c r="AA308" i="13"/>
  <c r="AA307" i="13"/>
  <c r="AA306" i="13"/>
  <c r="AA305" i="13"/>
  <c r="AA304" i="13"/>
  <c r="E35" i="13" l="1"/>
  <c r="AA303" i="13"/>
  <c r="AA302" i="13"/>
  <c r="AA301" i="13"/>
  <c r="AA300" i="13"/>
  <c r="AA299" i="13"/>
  <c r="AA298" i="13"/>
  <c r="AA297" i="13"/>
  <c r="AA296" i="13"/>
  <c r="AA295" i="13"/>
  <c r="AA294" i="13"/>
  <c r="AA293" i="13"/>
  <c r="AA292" i="13"/>
  <c r="AA291" i="13" l="1"/>
  <c r="E34" i="13"/>
  <c r="AA277" i="13" l="1"/>
  <c r="AA278" i="13"/>
  <c r="AA279" i="13"/>
  <c r="AA280" i="13"/>
  <c r="AA281" i="13"/>
  <c r="AA282" i="13"/>
  <c r="AA283" i="13"/>
  <c r="AA284" i="13"/>
  <c r="AA285" i="13"/>
  <c r="AA286" i="13"/>
  <c r="AA287" i="13"/>
  <c r="AA288" i="13"/>
  <c r="AA289" i="13"/>
  <c r="AA290" i="13"/>
  <c r="AA255" i="13" l="1"/>
  <c r="AA256" i="13"/>
  <c r="AA257" i="13"/>
  <c r="AA258" i="13"/>
  <c r="AA259" i="13"/>
  <c r="AA260" i="13"/>
  <c r="AA261" i="13"/>
  <c r="AA262" i="13"/>
  <c r="AA263" i="13"/>
  <c r="AA264" i="13"/>
  <c r="AA265" i="13"/>
  <c r="AA266" i="13"/>
  <c r="AA267" i="13"/>
  <c r="AA268" i="13"/>
  <c r="AA269" i="13"/>
  <c r="AA270" i="13"/>
  <c r="AA271" i="13"/>
  <c r="AA272" i="13"/>
  <c r="AA273" i="13"/>
  <c r="AA274" i="13"/>
  <c r="AA275" i="13"/>
  <c r="AA276" i="13"/>
  <c r="AA236" i="13" l="1"/>
  <c r="AA237" i="13"/>
  <c r="AA238" i="13"/>
  <c r="AA239" i="13"/>
  <c r="AA240" i="13"/>
  <c r="AA241" i="13"/>
  <c r="AA242" i="13"/>
  <c r="E31" i="13" s="1"/>
  <c r="AA243" i="13"/>
  <c r="AA244" i="13"/>
  <c r="AA245" i="13"/>
  <c r="AA246" i="13"/>
  <c r="AA247" i="13"/>
  <c r="AA248" i="13"/>
  <c r="AA249" i="13"/>
  <c r="AA250" i="13"/>
  <c r="AA251" i="13"/>
  <c r="AA252" i="13"/>
  <c r="AA253" i="13"/>
  <c r="AA254" i="13"/>
  <c r="AA231" i="13"/>
  <c r="AA232" i="13"/>
  <c r="AA233" i="13"/>
  <c r="AA234" i="13"/>
  <c r="E30" i="13" s="1"/>
  <c r="AA235" i="13"/>
  <c r="E26" i="13"/>
  <c r="E28" i="13"/>
  <c r="E29" i="13"/>
  <c r="E32" i="13"/>
  <c r="E33" i="13"/>
  <c r="AA230" i="13"/>
  <c r="AA229" i="13"/>
  <c r="AA228" i="13"/>
  <c r="AA227" i="13"/>
  <c r="AA226" i="13"/>
  <c r="AA225" i="13"/>
  <c r="AA224" i="13"/>
  <c r="AA223" i="13"/>
  <c r="AA222" i="13"/>
  <c r="AA221" i="13"/>
  <c r="AA220" i="13"/>
  <c r="AA219" i="13"/>
  <c r="AA218" i="13"/>
  <c r="AA217" i="13"/>
  <c r="AA216" i="13"/>
  <c r="AA215" i="13"/>
  <c r="AA214" i="13"/>
  <c r="AA213" i="13"/>
  <c r="AA212" i="13"/>
  <c r="AA211" i="13"/>
  <c r="AA210" i="13"/>
  <c r="AA209" i="13"/>
  <c r="AA208" i="13"/>
  <c r="AA207" i="13"/>
  <c r="AA206" i="13"/>
  <c r="AA205" i="13"/>
  <c r="AA204" i="13"/>
  <c r="AA203" i="13"/>
  <c r="AA202" i="13"/>
  <c r="AA201" i="13"/>
  <c r="AA200" i="13"/>
  <c r="AA199" i="13"/>
  <c r="E27" i="13" s="1"/>
  <c r="E25" i="13"/>
  <c r="E24" i="13"/>
  <c r="E22" i="13"/>
  <c r="E23" i="13"/>
  <c r="E21" i="13"/>
  <c r="E20" i="13"/>
  <c r="E19" i="13"/>
  <c r="E18" i="13"/>
  <c r="E17" i="13"/>
  <c r="E16" i="13"/>
  <c r="E15" i="13"/>
  <c r="E14" i="13"/>
  <c r="E13" i="13"/>
  <c r="E12" i="13"/>
  <c r="E11" i="13"/>
  <c r="E8" i="13"/>
  <c r="E7" i="13"/>
  <c r="E6" i="13"/>
  <c r="E5" i="13"/>
  <c r="E4" i="13"/>
  <c r="B2" i="13" l="1"/>
  <c r="B3" i="13" s="1"/>
</calcChain>
</file>

<file path=xl/comments1.xml><?xml version="1.0" encoding="utf-8"?>
<comments xmlns="http://schemas.openxmlformats.org/spreadsheetml/2006/main">
  <authors>
    <author>박주연(웹소설사업팀)</author>
  </authors>
  <commentList>
    <comment ref="E10" authorId="0" shapeId="0">
      <text>
        <r>
          <rPr>
            <b/>
            <sz val="9"/>
            <color indexed="81"/>
            <rFont val="Tahoma"/>
            <family val="2"/>
          </rPr>
          <t>'19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형사의게임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유통분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마이너스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보정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판무림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정산내역에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sharedStrings.xml><?xml version="1.0" encoding="utf-8"?>
<sst xmlns="http://schemas.openxmlformats.org/spreadsheetml/2006/main" count="2105" uniqueCount="125">
  <si>
    <t>합계</t>
  </si>
  <si>
    <t>정가</t>
  </si>
  <si>
    <t>무장</t>
  </si>
  <si>
    <t>출판사</t>
  </si>
  <si>
    <t>제목</t>
  </si>
  <si>
    <t>저자</t>
  </si>
  <si>
    <t>로드 오브 머니 2권</t>
  </si>
  <si>
    <t>로드 오브 머니 3권</t>
  </si>
  <si>
    <t>로드 오브 머니 4권</t>
  </si>
  <si>
    <t>로드 오브 머니 5권</t>
  </si>
  <si>
    <t>로드 오브 머니 11권</t>
  </si>
  <si>
    <t>로드 오브 머니 10권</t>
  </si>
  <si>
    <t>로드 오브 머니 9권</t>
  </si>
  <si>
    <t>로드 오브 머니 6권</t>
  </si>
  <si>
    <t>로드 오브 머니 7권</t>
  </si>
  <si>
    <t>로드 오브 머니 12권</t>
  </si>
  <si>
    <t>로드 오브 머니 8권</t>
  </si>
  <si>
    <t>로드 오브 머니 13권</t>
  </si>
  <si>
    <t>로드 오브 머니 14권</t>
  </si>
  <si>
    <t>로드 오브 머니 15권 (완결)</t>
  </si>
  <si>
    <t>형사의 게임 6권</t>
  </si>
  <si>
    <t>형사의 게임 5권</t>
  </si>
  <si>
    <t>형사의 게임 4권</t>
  </si>
  <si>
    <t>형사의 게임 7권</t>
  </si>
  <si>
    <t>형사의 게임 3권</t>
  </si>
  <si>
    <t>형사의 게임 2권</t>
  </si>
  <si>
    <t>판매월</t>
  </si>
  <si>
    <t>선인세</t>
    <phoneticPr fontId="3" type="noConversion"/>
  </si>
  <si>
    <t>도서번호</t>
  </si>
  <si>
    <t>CP상품번호</t>
  </si>
  <si>
    <t>서비스</t>
  </si>
  <si>
    <t>단권구매_권수</t>
    <phoneticPr fontId="3" type="noConversion"/>
  </si>
  <si>
    <t>단권구매_금액</t>
    <phoneticPr fontId="3" type="noConversion"/>
  </si>
  <si>
    <t>단권구매_할인부담금</t>
    <phoneticPr fontId="3" type="noConversion"/>
  </si>
  <si>
    <t>시리즈구매_권수</t>
    <phoneticPr fontId="3" type="noConversion"/>
  </si>
  <si>
    <t>시리즈구매_금액</t>
    <phoneticPr fontId="3" type="noConversion"/>
  </si>
  <si>
    <t>시리즈구매_할인부담금</t>
    <phoneticPr fontId="3" type="noConversion"/>
  </si>
  <si>
    <t>패키지구매_권수</t>
    <phoneticPr fontId="3" type="noConversion"/>
  </si>
  <si>
    <t>패키지구매_금액</t>
    <phoneticPr fontId="3" type="noConversion"/>
  </si>
  <si>
    <t>패키지구매_할인부담금</t>
    <phoneticPr fontId="3" type="noConversion"/>
  </si>
  <si>
    <t>대여_권수</t>
    <phoneticPr fontId="3" type="noConversion"/>
  </si>
  <si>
    <t>대여_금액</t>
    <phoneticPr fontId="3" type="noConversion"/>
  </si>
  <si>
    <t>정액_권수</t>
    <phoneticPr fontId="3" type="noConversion"/>
  </si>
  <si>
    <t>정액_금액</t>
    <phoneticPr fontId="3" type="noConversion"/>
  </si>
  <si>
    <t>이벤트_권수</t>
    <phoneticPr fontId="3" type="noConversion"/>
  </si>
  <si>
    <t>이벤트_금액</t>
    <phoneticPr fontId="3" type="noConversion"/>
  </si>
  <si>
    <t>북팩_권수</t>
    <phoneticPr fontId="3" type="noConversion"/>
  </si>
  <si>
    <t>북팩_금액</t>
    <phoneticPr fontId="3" type="noConversion"/>
  </si>
  <si>
    <t>포인트백_금액</t>
    <phoneticPr fontId="3" type="noConversion"/>
  </si>
  <si>
    <t>포인트백_합계</t>
    <phoneticPr fontId="3" type="noConversion"/>
  </si>
  <si>
    <t>차감액</t>
    <phoneticPr fontId="3" type="noConversion"/>
  </si>
  <si>
    <t>2019년5월</t>
  </si>
  <si>
    <t>㈜케이티</t>
  </si>
  <si>
    <t>판무림</t>
  </si>
  <si>
    <t>잔여금</t>
    <phoneticPr fontId="3" type="noConversion"/>
  </si>
  <si>
    <t>2019년6월</t>
  </si>
  <si>
    <t>2019년7월</t>
  </si>
  <si>
    <t>2019년8월</t>
  </si>
  <si>
    <t>2019년9월</t>
  </si>
  <si>
    <t>2019년10월</t>
  </si>
  <si>
    <t>2019년11월</t>
  </si>
  <si>
    <t>2019년12월</t>
  </si>
  <si>
    <t>2020년1월</t>
    <phoneticPr fontId="3" type="noConversion"/>
  </si>
  <si>
    <t>2020년2월</t>
  </si>
  <si>
    <t>2020년3월</t>
  </si>
  <si>
    <t>2020년4월</t>
  </si>
  <si>
    <t>2020년5월</t>
  </si>
  <si>
    <t>2020년6월</t>
  </si>
  <si>
    <t>2020년7월</t>
  </si>
  <si>
    <t>2020년8월</t>
  </si>
  <si>
    <t>2020년9월</t>
  </si>
  <si>
    <t>2020년10월</t>
  </si>
  <si>
    <t>2020년11월</t>
  </si>
  <si>
    <t>2020년12월</t>
  </si>
  <si>
    <t>2020년1월</t>
  </si>
  <si>
    <t>2월 오류 보정(차감)</t>
    <phoneticPr fontId="3" type="noConversion"/>
  </si>
  <si>
    <t>2020년3월</t>
    <phoneticPr fontId="3" type="noConversion"/>
  </si>
  <si>
    <t>2021년2월</t>
  </si>
  <si>
    <t>2021년1월</t>
    <phoneticPr fontId="3" type="noConversion"/>
  </si>
  <si>
    <t>2021년2월</t>
    <phoneticPr fontId="3" type="noConversion"/>
  </si>
  <si>
    <t>2021년3월</t>
  </si>
  <si>
    <t>2021년4월</t>
  </si>
  <si>
    <t>2021년5월</t>
  </si>
  <si>
    <t>2021년6월</t>
  </si>
  <si>
    <t>2021년7월</t>
  </si>
  <si>
    <t>2021년8월</t>
  </si>
  <si>
    <t>2021년9월</t>
  </si>
  <si>
    <t>2021년10월</t>
  </si>
  <si>
    <t>2021년11월</t>
  </si>
  <si>
    <t>2021년12월</t>
  </si>
  <si>
    <t>단행본</t>
  </si>
  <si>
    <t>현대 판타지</t>
  </si>
  <si>
    <t>스토리위즈</t>
  </si>
  <si>
    <t>로드 오브 머니 1권</t>
  </si>
  <si>
    <t>2021년4월</t>
    <phoneticPr fontId="3" type="noConversion"/>
  </si>
  <si>
    <t>시리즈 코드</t>
  </si>
  <si>
    <t>각 권 코드</t>
  </si>
  <si>
    <t>대분류</t>
  </si>
  <si>
    <t>중분류</t>
  </si>
  <si>
    <t>CP</t>
  </si>
  <si>
    <t>웹판매건수</t>
  </si>
  <si>
    <t>앱판매건수</t>
  </si>
  <si>
    <t>판매금액</t>
  </si>
  <si>
    <t>이용건수</t>
  </si>
  <si>
    <t>쿠폰 부담금</t>
  </si>
  <si>
    <r>
      <rPr>
        <b/>
        <sz val="11"/>
        <color theme="1"/>
        <rFont val="맑은 고딕"/>
        <family val="2"/>
        <charset val="129"/>
      </rPr>
      <t>정산금</t>
    </r>
    <phoneticPr fontId="3" type="noConversion"/>
  </si>
  <si>
    <t>월</t>
    <phoneticPr fontId="3" type="noConversion"/>
  </si>
  <si>
    <t>2019년12월</t>
    <phoneticPr fontId="3" type="noConversion"/>
  </si>
  <si>
    <t>수식오류</t>
    <phoneticPr fontId="3" type="noConversion"/>
  </si>
  <si>
    <t>로드 오브 머니</t>
  </si>
  <si>
    <t>2021년6월</t>
    <phoneticPr fontId="3" type="noConversion"/>
  </si>
  <si>
    <t>2021년9월</t>
    <phoneticPr fontId="3" type="noConversion"/>
  </si>
  <si>
    <t>2021년10월</t>
    <phoneticPr fontId="3" type="noConversion"/>
  </si>
  <si>
    <t>차감현황(판매월기준)</t>
    <phoneticPr fontId="3" type="noConversion"/>
  </si>
  <si>
    <t>2021년11월</t>
    <phoneticPr fontId="3" type="noConversion"/>
  </si>
  <si>
    <t>2021년12월</t>
    <phoneticPr fontId="3" type="noConversion"/>
  </si>
  <si>
    <t>2022년1월</t>
  </si>
  <si>
    <t>2022년1월</t>
    <phoneticPr fontId="3" type="noConversion"/>
  </si>
  <si>
    <t>2022년2월</t>
  </si>
  <si>
    <t>2022년2월</t>
    <phoneticPr fontId="3" type="noConversion"/>
  </si>
  <si>
    <t>2022년3월</t>
  </si>
  <si>
    <t>2022년3월</t>
    <phoneticPr fontId="3" type="noConversion"/>
  </si>
  <si>
    <t>2022년4월</t>
    <phoneticPr fontId="3" type="noConversion"/>
  </si>
  <si>
    <t>2022년4월</t>
    <phoneticPr fontId="3" type="noConversion"/>
  </si>
  <si>
    <t>2022년5월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</si>
</sst>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name val="Arial"/>
      <family val="2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맑은 고딕"/>
      <family val="2"/>
      <charset val="129"/>
    </font>
    <font>
      <sz val="12"/>
      <color theme="1"/>
      <name val="Calibri"/>
      <family val="2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3F3F3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7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2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6" fillId="0" borderId="0"/>
    <xf numFmtId="176" fontId="6" fillId="0" borderId="0" applyFont="0" applyFill="0" applyBorder="0" applyAlignment="0" applyProtection="0"/>
    <xf numFmtId="0" fontId="7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10" fillId="0" borderId="0"/>
    <xf numFmtId="0" fontId="11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9" fillId="3" borderId="1" xfId="0" applyFont="1" applyFill="1" applyBorder="1" applyAlignment="1">
      <alignment horizontal="center" vertical="center" wrapText="1"/>
    </xf>
    <xf numFmtId="176" fontId="9" fillId="0" borderId="1" xfId="1" applyFont="1" applyBorder="1">
      <alignment vertical="center"/>
    </xf>
    <xf numFmtId="0" fontId="0" fillId="0" borderId="0" xfId="0" applyBorder="1">
      <alignment vertical="center"/>
    </xf>
    <xf numFmtId="0" fontId="9" fillId="3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176" fontId="9" fillId="3" borderId="0" xfId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76" fontId="0" fillId="0" borderId="1" xfId="1" applyFont="1" applyBorder="1">
      <alignment vertical="center"/>
    </xf>
    <xf numFmtId="0" fontId="0" fillId="0" borderId="0" xfId="0" applyBorder="1" applyAlignment="1">
      <alignment vertical="center" wrapText="1"/>
    </xf>
    <xf numFmtId="176" fontId="0" fillId="0" borderId="0" xfId="1" applyFont="1" applyBorder="1" applyAlignment="1">
      <alignment vertical="center" wrapText="1"/>
    </xf>
    <xf numFmtId="3" fontId="0" fillId="0" borderId="0" xfId="0" applyNumberFormat="1" applyBorder="1" applyAlignment="1">
      <alignment vertical="center" wrapText="1"/>
    </xf>
    <xf numFmtId="176" fontId="9" fillId="0" borderId="1" xfId="0" applyNumberFormat="1" applyFont="1" applyBorder="1">
      <alignment vertical="center"/>
    </xf>
    <xf numFmtId="0" fontId="0" fillId="3" borderId="1" xfId="0" applyFill="1" applyBorder="1" applyAlignment="1">
      <alignment horizontal="center" vertical="center" wrapText="1"/>
    </xf>
    <xf numFmtId="176" fontId="0" fillId="0" borderId="0" xfId="1" applyFont="1" applyBorder="1">
      <alignment vertical="center"/>
    </xf>
    <xf numFmtId="0" fontId="8" fillId="0" borderId="0" xfId="0" applyFont="1" applyBorder="1" applyAlignment="1">
      <alignment horizontal="center" vertical="center"/>
    </xf>
    <xf numFmtId="176" fontId="0" fillId="2" borderId="0" xfId="1" applyFont="1" applyFill="1" applyBorder="1">
      <alignment vertical="center"/>
    </xf>
    <xf numFmtId="0" fontId="0" fillId="0" borderId="5" xfId="0" applyBorder="1" applyAlignment="1">
      <alignment vertical="center" wrapText="1"/>
    </xf>
    <xf numFmtId="3" fontId="0" fillId="0" borderId="5" xfId="0" applyNumberFormat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3" fontId="0" fillId="2" borderId="5" xfId="0" applyNumberFormat="1" applyFill="1" applyBorder="1" applyAlignment="1">
      <alignment vertical="center" wrapText="1"/>
    </xf>
    <xf numFmtId="0" fontId="12" fillId="0" borderId="1" xfId="0" applyFont="1" applyBorder="1" applyAlignment="1"/>
    <xf numFmtId="0" fontId="13" fillId="0" borderId="1" xfId="0" applyFont="1" applyBorder="1" applyAlignment="1"/>
    <xf numFmtId="0" fontId="12" fillId="2" borderId="1" xfId="0" applyFont="1" applyFill="1" applyBorder="1" applyAlignment="1"/>
    <xf numFmtId="38" fontId="12" fillId="0" borderId="1" xfId="0" applyNumberFormat="1" applyFont="1" applyBorder="1" applyAlignment="1"/>
    <xf numFmtId="38" fontId="12" fillId="4" borderId="1" xfId="0" applyNumberFormat="1" applyFont="1" applyFill="1" applyBorder="1" applyAlignment="1"/>
    <xf numFmtId="38" fontId="12" fillId="2" borderId="1" xfId="0" applyNumberFormat="1" applyFont="1" applyFill="1" applyBorder="1" applyAlignment="1"/>
    <xf numFmtId="0" fontId="0" fillId="2" borderId="6" xfId="0" applyFill="1" applyBorder="1" applyAlignment="1">
      <alignment vertical="center" wrapText="1"/>
    </xf>
    <xf numFmtId="176" fontId="0" fillId="0" borderId="0" xfId="0" applyNumberFormat="1" applyBorder="1">
      <alignment vertical="center"/>
    </xf>
    <xf numFmtId="0" fontId="15" fillId="2" borderId="0" xfId="0" applyFont="1" applyFill="1" applyAlignment="1"/>
    <xf numFmtId="0" fontId="15" fillId="5" borderId="0" xfId="0" applyFont="1" applyFill="1" applyAlignment="1"/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 wrapText="1"/>
    </xf>
    <xf numFmtId="0" fontId="16" fillId="2" borderId="0" xfId="0" applyNumberFormat="1" applyFont="1" applyFill="1" applyAlignment="1"/>
    <xf numFmtId="0" fontId="17" fillId="2" borderId="0" xfId="0" applyNumberFormat="1" applyFont="1" applyFill="1" applyAlignment="1"/>
    <xf numFmtId="0" fontId="18" fillId="2" borderId="0" xfId="0" applyFont="1" applyFill="1" applyAlignment="1"/>
    <xf numFmtId="0" fontId="0" fillId="6" borderId="6" xfId="0" applyFill="1" applyBorder="1" applyAlignment="1">
      <alignment vertical="center" wrapText="1"/>
    </xf>
    <xf numFmtId="0" fontId="18" fillId="6" borderId="0" xfId="0" applyFont="1" applyFill="1" applyAlignment="1"/>
    <xf numFmtId="0" fontId="0" fillId="6" borderId="0" xfId="0" applyFill="1" applyBorder="1">
      <alignment vertical="center"/>
    </xf>
    <xf numFmtId="0" fontId="0" fillId="2" borderId="0" xfId="0" applyFill="1" applyBorder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9" fillId="7" borderId="0" xfId="0" applyFont="1" applyFill="1" applyAlignment="1"/>
    <xf numFmtId="0" fontId="0" fillId="7" borderId="6" xfId="0" applyFill="1" applyBorder="1" applyAlignment="1">
      <alignment vertical="center" wrapText="1"/>
    </xf>
  </cellXfs>
  <cellStyles count="17">
    <cellStyle name="쉼표 [0]" xfId="1" builtinId="6"/>
    <cellStyle name="쉼표 [0] 2" xfId="8"/>
    <cellStyle name="쉼표 [0] 2 2 2" xfId="5"/>
    <cellStyle name="쉼표 [0] 3" xfId="11"/>
    <cellStyle name="쉼표 [0] 3 2" xfId="16"/>
    <cellStyle name="쉼표 [0] 3 2 2 2" xfId="4"/>
    <cellStyle name="쉼표 [0] 4" xfId="6"/>
    <cellStyle name="쉼표 [0] 5" xfId="14"/>
    <cellStyle name="표준" xfId="0" builtinId="0"/>
    <cellStyle name="표준 16 2 2 2 2" xfId="9"/>
    <cellStyle name="표준 2" xfId="7"/>
    <cellStyle name="표준 2 2" xfId="2"/>
    <cellStyle name="표준 2 2 2" xfId="15"/>
    <cellStyle name="표준 2 3" xfId="12"/>
    <cellStyle name="표준 3" xfId="10"/>
    <cellStyle name="표준 3 2 2" xfId="3"/>
    <cellStyle name="표준 4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2467;&#12500;&#12540;Xenepic2008&#24180;1&#26376;&#20998;&#31934;&#3163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david\Desktop\CM\&#46972;&#51064;&#45936;&#53076;\&#50808;&#48512;CP&#51221;&#49328;\&#12304;Camp%20Mobile&#12305;Payment_Sales_Report_July_20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2770;&#19978;&#22577;&#21578;&#26360;&#65288;&#65393;&#65391;&#65420;&#65439;&#65433;&#65404;&#65392;&#65412;&#65438;&#8551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精算"/>
      <sheetName val="検証"/>
      <sheetName val="AFFMST"/>
    </sheetNames>
    <sheetDataSet>
      <sheetData sheetId="0" refreshError="1"/>
      <sheetData sheetId="1" refreshError="1"/>
      <sheetData sheetId="2" refreshError="1">
        <row r="1">
          <cell r="A1" t="str">
            <v>AFFコード</v>
          </cell>
          <cell r="B1" t="str">
            <v>決済手数料</v>
          </cell>
          <cell r="C1" t="str">
            <v>料率</v>
          </cell>
          <cell r="D1" t="str">
            <v>原資対象</v>
          </cell>
          <cell r="E1" t="str">
            <v>非掲載で原資対象</v>
          </cell>
        </row>
        <row r="2">
          <cell r="A2" t="str">
            <v>cyh</v>
          </cell>
          <cell r="B2">
            <v>0.15</v>
          </cell>
          <cell r="C2">
            <v>0.15</v>
          </cell>
          <cell r="D2" t="str">
            <v>アバターのみ</v>
          </cell>
          <cell r="E2" t="str">
            <v>-</v>
          </cell>
        </row>
        <row r="3">
          <cell r="A3" t="str">
            <v>gpr</v>
          </cell>
          <cell r="B3">
            <v>0.15</v>
          </cell>
          <cell r="C3">
            <v>0.3</v>
          </cell>
          <cell r="D3" t="str">
            <v>アバターのみ</v>
          </cell>
          <cell r="E3" t="str">
            <v>-</v>
          </cell>
        </row>
        <row r="4">
          <cell r="A4" t="str">
            <v>gtv</v>
          </cell>
          <cell r="B4">
            <v>0.15</v>
          </cell>
          <cell r="C4">
            <v>0.15</v>
          </cell>
          <cell r="D4" t="str">
            <v>アバターのみ</v>
          </cell>
          <cell r="E4" t="str">
            <v>-</v>
          </cell>
        </row>
        <row r="5">
          <cell r="A5" t="str">
            <v>h55</v>
          </cell>
          <cell r="B5">
            <v>0.15</v>
          </cell>
          <cell r="C5">
            <v>0.15</v>
          </cell>
          <cell r="D5" t="str">
            <v>アバターのみ</v>
          </cell>
          <cell r="E5" t="str">
            <v>-</v>
          </cell>
        </row>
        <row r="6">
          <cell r="A6" t="str">
            <v>jqr</v>
          </cell>
          <cell r="B6">
            <v>0.15</v>
          </cell>
          <cell r="C6">
            <v>0.15</v>
          </cell>
          <cell r="D6" t="str">
            <v>アバターのみ</v>
          </cell>
          <cell r="E6" t="str">
            <v>-</v>
          </cell>
        </row>
        <row r="7">
          <cell r="A7" t="str">
            <v>lol</v>
          </cell>
          <cell r="B7">
            <v>0.15</v>
          </cell>
          <cell r="C7">
            <v>0.15</v>
          </cell>
          <cell r="D7" t="str">
            <v>アバターのみ</v>
          </cell>
          <cell r="E7" t="str">
            <v>-</v>
          </cell>
        </row>
        <row r="8">
          <cell r="A8" t="str">
            <v>mdt</v>
          </cell>
          <cell r="B8">
            <v>0.15</v>
          </cell>
          <cell r="C8">
            <v>0.15</v>
          </cell>
          <cell r="D8" t="str">
            <v>アバターのみ</v>
          </cell>
          <cell r="E8" t="str">
            <v>-</v>
          </cell>
        </row>
        <row r="9">
          <cell r="A9" t="str">
            <v>tea</v>
          </cell>
          <cell r="B9">
            <v>0.15</v>
          </cell>
          <cell r="C9">
            <v>0.15</v>
          </cell>
          <cell r="D9" t="str">
            <v>アバターのみ</v>
          </cell>
          <cell r="E9" t="str">
            <v>-</v>
          </cell>
        </row>
        <row r="10">
          <cell r="A10" t="str">
            <v>zaq</v>
          </cell>
          <cell r="B10">
            <v>0.15</v>
          </cell>
          <cell r="C10">
            <v>0.2</v>
          </cell>
          <cell r="D10" t="str">
            <v>アバターのみ</v>
          </cell>
          <cell r="E10" t="str">
            <v>-</v>
          </cell>
        </row>
        <row r="11">
          <cell r="A11" t="str">
            <v>4gm</v>
          </cell>
          <cell r="B11">
            <v>0</v>
          </cell>
          <cell r="C11">
            <v>0</v>
          </cell>
          <cell r="D11" t="str">
            <v>全て</v>
          </cell>
          <cell r="E11" t="str">
            <v>含まない</v>
          </cell>
        </row>
        <row r="12">
          <cell r="A12" t="str">
            <v>abb</v>
          </cell>
          <cell r="B12">
            <v>0.15</v>
          </cell>
          <cell r="C12">
            <v>0.2</v>
          </cell>
          <cell r="D12" t="str">
            <v>アバターのみ</v>
          </cell>
          <cell r="E12" t="str">
            <v>-</v>
          </cell>
        </row>
        <row r="13">
          <cell r="A13" t="str">
            <v>dio</v>
          </cell>
          <cell r="B13">
            <v>0</v>
          </cell>
          <cell r="C13">
            <v>0.15</v>
          </cell>
          <cell r="D13" t="str">
            <v>全て</v>
          </cell>
          <cell r="E13" t="str">
            <v>含まない</v>
          </cell>
        </row>
        <row r="14">
          <cell r="A14" t="str">
            <v>drm</v>
          </cell>
          <cell r="B14">
            <v>0</v>
          </cell>
          <cell r="C14">
            <v>0.1275</v>
          </cell>
          <cell r="D14" t="str">
            <v>全て</v>
          </cell>
          <cell r="E14" t="str">
            <v>含む</v>
          </cell>
        </row>
        <row r="15">
          <cell r="A15" t="str">
            <v>ejn</v>
          </cell>
          <cell r="B15">
            <v>0.15</v>
          </cell>
          <cell r="C15">
            <v>0.15</v>
          </cell>
          <cell r="D15" t="str">
            <v>全て</v>
          </cell>
          <cell r="E15" t="str">
            <v>含む</v>
          </cell>
        </row>
        <row r="16">
          <cell r="A16" t="str">
            <v>fam</v>
          </cell>
          <cell r="B16">
            <v>0</v>
          </cell>
          <cell r="C16">
            <v>0.1275</v>
          </cell>
          <cell r="D16" t="str">
            <v>全て</v>
          </cell>
          <cell r="E16" t="str">
            <v>含む</v>
          </cell>
        </row>
        <row r="17">
          <cell r="A17" t="str">
            <v>goa</v>
          </cell>
          <cell r="B17">
            <v>0</v>
          </cell>
          <cell r="C17">
            <v>0.3</v>
          </cell>
          <cell r="D17" t="str">
            <v>全て</v>
          </cell>
          <cell r="E17" t="str">
            <v>含まない</v>
          </cell>
        </row>
        <row r="18">
          <cell r="A18" t="str">
            <v>gof</v>
          </cell>
          <cell r="B18">
            <v>0</v>
          </cell>
          <cell r="C18">
            <v>0.3</v>
          </cell>
          <cell r="D18" t="str">
            <v>全て</v>
          </cell>
          <cell r="E18" t="str">
            <v>含まない</v>
          </cell>
        </row>
        <row r="19">
          <cell r="A19" t="str">
            <v>goo</v>
          </cell>
          <cell r="B19">
            <v>0</v>
          </cell>
          <cell r="C19">
            <v>0.3</v>
          </cell>
          <cell r="D19" t="str">
            <v>全て</v>
          </cell>
          <cell r="E19" t="str">
            <v>含む</v>
          </cell>
        </row>
        <row r="20">
          <cell r="A20" t="str">
            <v>hgj</v>
          </cell>
          <cell r="B20">
            <v>0</v>
          </cell>
          <cell r="C20">
            <v>0</v>
          </cell>
          <cell r="D20" t="str">
            <v>全て</v>
          </cell>
          <cell r="E20" t="str">
            <v>含まない</v>
          </cell>
        </row>
        <row r="21">
          <cell r="A21" t="str">
            <v>hih</v>
          </cell>
          <cell r="B21">
            <v>0.15</v>
          </cell>
          <cell r="C21">
            <v>0.25</v>
          </cell>
          <cell r="D21" t="str">
            <v>全て</v>
          </cell>
          <cell r="E21" t="str">
            <v>含む</v>
          </cell>
        </row>
        <row r="22">
          <cell r="A22" t="str">
            <v>isa</v>
          </cell>
          <cell r="B22">
            <v>0.15</v>
          </cell>
          <cell r="C22">
            <v>0.15</v>
          </cell>
          <cell r="D22" t="str">
            <v>全て</v>
          </cell>
          <cell r="E22" t="str">
            <v>含まない</v>
          </cell>
        </row>
        <row r="23">
          <cell r="A23" t="str">
            <v>msn</v>
          </cell>
          <cell r="B23">
            <v>0</v>
          </cell>
          <cell r="C23">
            <v>0</v>
          </cell>
          <cell r="D23" t="str">
            <v>全て</v>
          </cell>
          <cell r="E23" t="str">
            <v>含まない</v>
          </cell>
        </row>
        <row r="24">
          <cell r="A24" t="str">
            <v>nav</v>
          </cell>
          <cell r="B24">
            <v>0</v>
          </cell>
          <cell r="C24">
            <v>0</v>
          </cell>
          <cell r="D24" t="str">
            <v>全て</v>
          </cell>
          <cell r="E24" t="str">
            <v>含まない</v>
          </cell>
        </row>
        <row r="25">
          <cell r="A25" t="str">
            <v>ncf</v>
          </cell>
          <cell r="B25">
            <v>0</v>
          </cell>
          <cell r="C25">
            <v>0</v>
          </cell>
          <cell r="D25" t="str">
            <v>全て</v>
          </cell>
          <cell r="E25" t="str">
            <v>含まない</v>
          </cell>
        </row>
        <row r="26">
          <cell r="A26" t="str">
            <v>nif</v>
          </cell>
          <cell r="B26">
            <v>0.15</v>
          </cell>
          <cell r="C26">
            <v>0.2</v>
          </cell>
          <cell r="D26" t="str">
            <v>全て</v>
          </cell>
          <cell r="E26" t="str">
            <v>含む</v>
          </cell>
        </row>
        <row r="27">
          <cell r="A27" t="str">
            <v>nmb</v>
          </cell>
          <cell r="B27">
            <v>0.15</v>
          </cell>
          <cell r="C27">
            <v>0.15</v>
          </cell>
          <cell r="D27" t="str">
            <v>全て</v>
          </cell>
          <cell r="E27" t="str">
            <v>含む</v>
          </cell>
        </row>
        <row r="28">
          <cell r="A28" t="str">
            <v>nms</v>
          </cell>
          <cell r="B28">
            <v>0</v>
          </cell>
          <cell r="C28">
            <v>0</v>
          </cell>
          <cell r="D28" t="str">
            <v>全て</v>
          </cell>
          <cell r="E28" t="str">
            <v>含まない</v>
          </cell>
        </row>
        <row r="29">
          <cell r="A29" t="str">
            <v>ocn</v>
          </cell>
          <cell r="B29">
            <v>0</v>
          </cell>
          <cell r="C29">
            <v>0.18</v>
          </cell>
          <cell r="D29" t="str">
            <v>全て</v>
          </cell>
          <cell r="E29" t="str">
            <v>含まない</v>
          </cell>
        </row>
        <row r="30">
          <cell r="A30" t="str">
            <v>odn</v>
          </cell>
          <cell r="B30">
            <v>0</v>
          </cell>
          <cell r="C30">
            <v>0.2</v>
          </cell>
          <cell r="D30" t="str">
            <v>全て</v>
          </cell>
          <cell r="E30" t="str">
            <v>含む</v>
          </cell>
        </row>
        <row r="31">
          <cell r="A31" t="str">
            <v>omx</v>
          </cell>
          <cell r="B31">
            <v>0.15</v>
          </cell>
          <cell r="C31">
            <v>0.15</v>
          </cell>
          <cell r="D31" t="str">
            <v>全て</v>
          </cell>
          <cell r="E31" t="str">
            <v>含まない</v>
          </cell>
        </row>
        <row r="32">
          <cell r="A32" t="str">
            <v>scn</v>
          </cell>
          <cell r="B32">
            <v>0.15</v>
          </cell>
          <cell r="C32">
            <v>0.15</v>
          </cell>
          <cell r="D32" t="str">
            <v>全て</v>
          </cell>
          <cell r="E32" t="str">
            <v>含まない</v>
          </cell>
        </row>
        <row r="33">
          <cell r="A33" t="str">
            <v>skp</v>
          </cell>
          <cell r="B33">
            <v>0.15</v>
          </cell>
          <cell r="C33">
            <v>0.15</v>
          </cell>
          <cell r="D33" t="str">
            <v>全て</v>
          </cell>
          <cell r="E33" t="str">
            <v>含まない</v>
          </cell>
        </row>
        <row r="34">
          <cell r="A34" t="str">
            <v>sqc</v>
          </cell>
          <cell r="B34">
            <v>0</v>
          </cell>
          <cell r="C34">
            <v>0</v>
          </cell>
          <cell r="D34" t="str">
            <v>全て</v>
          </cell>
          <cell r="E34" t="str">
            <v>含まない</v>
          </cell>
        </row>
        <row r="35">
          <cell r="A35" t="str">
            <v>tbs</v>
          </cell>
          <cell r="B35">
            <v>0.15</v>
          </cell>
          <cell r="C35">
            <v>0.15</v>
          </cell>
          <cell r="D35" t="str">
            <v>全て</v>
          </cell>
          <cell r="E35" t="str">
            <v>含まない</v>
          </cell>
        </row>
        <row r="36">
          <cell r="A36" t="str">
            <v>tig</v>
          </cell>
          <cell r="B36">
            <v>0.15</v>
          </cell>
          <cell r="C36">
            <v>0.15</v>
          </cell>
          <cell r="D36" t="str">
            <v>全て</v>
          </cell>
          <cell r="E36" t="str">
            <v>含まない</v>
          </cell>
        </row>
        <row r="37">
          <cell r="A37" t="str">
            <v>tok</v>
          </cell>
          <cell r="B37">
            <v>0.15</v>
          </cell>
          <cell r="C37">
            <v>0.15</v>
          </cell>
          <cell r="D37" t="str">
            <v>全て</v>
          </cell>
          <cell r="E37" t="str">
            <v>含む</v>
          </cell>
        </row>
        <row r="38">
          <cell r="A38" t="str">
            <v>unt</v>
          </cell>
          <cell r="B38">
            <v>0</v>
          </cell>
          <cell r="C38">
            <v>0.1275</v>
          </cell>
          <cell r="D38" t="str">
            <v>全て</v>
          </cell>
          <cell r="E38" t="str">
            <v>含む</v>
          </cell>
        </row>
        <row r="39">
          <cell r="A39" t="str">
            <v>v2k</v>
          </cell>
          <cell r="B39">
            <v>0.15</v>
          </cell>
          <cell r="C39">
            <v>0.2</v>
          </cell>
          <cell r="D39" t="str">
            <v>全て</v>
          </cell>
          <cell r="E39" t="str">
            <v>含まない</v>
          </cell>
        </row>
        <row r="40">
          <cell r="A40" t="str">
            <v>vgc</v>
          </cell>
          <cell r="B40">
            <v>0.15</v>
          </cell>
          <cell r="C40">
            <v>0.15</v>
          </cell>
          <cell r="D40" t="str">
            <v>全て</v>
          </cell>
          <cell r="E40" t="str">
            <v>含まない</v>
          </cell>
        </row>
        <row r="41">
          <cell r="A41" t="str">
            <v>waz</v>
          </cell>
          <cell r="B41">
            <v>0.15</v>
          </cell>
          <cell r="C41">
            <v>0.15</v>
          </cell>
          <cell r="D41" t="str">
            <v>全て</v>
          </cell>
          <cell r="E41" t="str">
            <v>含まない</v>
          </cell>
        </row>
        <row r="42">
          <cell r="A42" t="str">
            <v>bob</v>
          </cell>
          <cell r="B42">
            <v>0.15</v>
          </cell>
          <cell r="C42">
            <v>0.2</v>
          </cell>
          <cell r="D42" t="str">
            <v>全て</v>
          </cell>
          <cell r="E42" t="str">
            <v>含まない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  <row r="32">
          <cell r="P32">
            <v>0.21</v>
          </cell>
        </row>
        <row r="36">
          <cell r="W36">
            <v>0.22</v>
          </cell>
        </row>
      </sheetData>
      <sheetData sheetId="1"/>
      <sheetData sheetId="2"/>
      <sheetData sheetId="3">
        <row r="17">
          <cell r="K17">
            <v>166222.22222222225</v>
          </cell>
          <cell r="L17">
            <v>1813152</v>
          </cell>
        </row>
      </sheetData>
      <sheetData sheetId="4"/>
      <sheetData sheetId="5">
        <row r="10">
          <cell r="D10">
            <v>1777.7777777777778</v>
          </cell>
          <cell r="E10">
            <v>4923.9989513307974</v>
          </cell>
          <cell r="G10">
            <v>0</v>
          </cell>
          <cell r="H1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情報"/>
      <sheetName val="Rawdatacopy"/>
      <sheetName val="TypeB-7請求書Form"/>
      <sheetName val="TypeB-7kr請求書Form"/>
      <sheetName val="TypeB-7別表Form"/>
      <sheetName val="RawdatacopyG1"/>
      <sheetName val="RawdatacopyG2"/>
      <sheetName val="RawdatacopyG-11"/>
      <sheetName val="RawdatacopyG-12"/>
      <sheetName val="TypeA請求書Form"/>
      <sheetName val="TypeA別表Form"/>
      <sheetName val="TypeB-1請求書Form"/>
      <sheetName val="TypeC-1請求書Form"/>
      <sheetName val="TypeC-1別表Form"/>
      <sheetName val="TypeC-2請求書Form"/>
      <sheetName val="TypeK別表Form"/>
      <sheetName val="TypeD請求書Form"/>
      <sheetName val="TypeC-2別表Form"/>
      <sheetName val="TypeK-1請求書Form"/>
      <sheetName val="TypeK-1別表Form"/>
      <sheetName val="TypeD別表Form"/>
      <sheetName val="TypeD2請求書Form"/>
      <sheetName val="TypeD2別表Form"/>
      <sheetName val="TypeE-3請求書Form"/>
      <sheetName val="TypeE-3請求書Form1"/>
      <sheetName val="TypeE-3別表Form"/>
      <sheetName val="TypeK-4請求書Form"/>
      <sheetName val="TypeK-4別表Form"/>
      <sheetName val="TypeK-3請求書Form"/>
      <sheetName val="TypeK-3別表Form"/>
      <sheetName val="TypeK-6請求書Form"/>
      <sheetName val="TypeK-6別表Form"/>
      <sheetName val="TypeK-5請求書Form"/>
      <sheetName val="TypeE-5請求書Form"/>
      <sheetName val="TypeE-5別表Form"/>
      <sheetName val="TypeE-4請求書Form"/>
      <sheetName val="TypeE-4別表Form"/>
      <sheetName val="TypeE請求書Form"/>
      <sheetName val="TypeE別表Form"/>
      <sheetName val="TypeF請求書Form"/>
      <sheetName val="TypeF別表Form"/>
      <sheetName val="TypeG-1請求書Form"/>
      <sheetName val="TypeG-1別表Form"/>
      <sheetName val="TypeG請求書Form"/>
      <sheetName val="TypeG別表Form"/>
      <sheetName val="TypeH請求書Form"/>
      <sheetName val="TypeE-1請求書Form"/>
      <sheetName val="TypeE-1別表Form"/>
      <sheetName val="TypeE-2請求書Form"/>
      <sheetName val="TypeB-1kr請求書Form"/>
      <sheetName val="TypeB-1請求書FormNeople"/>
      <sheetName val="TypeB-1請求書FormNeoplekr"/>
      <sheetName val="TypeB-4請求書Form"/>
      <sheetName val="TypeB-4kr請求書Form"/>
      <sheetName val="TypeB-4別表Form"/>
      <sheetName val="TypeB-2請求書Form"/>
      <sheetName val="TypeB-2kr請求書Form"/>
      <sheetName val="TypeB-2別表Form"/>
      <sheetName val="TypeH-1請求書Form"/>
      <sheetName val="TypeJ-2請求書Form"/>
      <sheetName val="TypeJ-2別表Form"/>
      <sheetName val="TypeJ請求書Form"/>
      <sheetName val="TypeJ別表Form"/>
      <sheetName val="RawdatacopyJ-11"/>
      <sheetName val="RawdatacopyJ-12"/>
      <sheetName val="RawdatacopyD-31"/>
      <sheetName val="RawdatacopyD-32"/>
      <sheetName val="RawdatacopyD-21"/>
      <sheetName val="RawdatacopyD-22"/>
      <sheetName val="RawdatacopyD-23"/>
      <sheetName val="RawdatacopyD-11"/>
      <sheetName val="RawdatacopyD-12"/>
      <sheetName val="TypeJ-1請求書Form"/>
      <sheetName val="TypeJ-1別表Form"/>
      <sheetName val="TypeD-3請求書Form"/>
      <sheetName val="TypeD-3別表Form"/>
      <sheetName val="TypeD-2請求書Form"/>
      <sheetName val="TypeD-2別表Form"/>
      <sheetName val="TypeD-1請求書Form"/>
      <sheetName val="TypeD-1別表Form"/>
      <sheetName val="TypeB-3請求書Form"/>
      <sheetName val="TypeB-3kr請求書Form"/>
      <sheetName val="TypeB-1別表Form"/>
      <sheetName val="TypeB-3別表Form"/>
      <sheetName val="TypeK-2請求書Form"/>
      <sheetName val="TypeK-2別表Form"/>
      <sheetName val="TypeE-7請求書Form"/>
      <sheetName val="TypeE-7別表Form"/>
      <sheetName val="TypeK-5別表Form"/>
      <sheetName val="TypeE-6請求書Form"/>
      <sheetName val="TypeE-6別表Form"/>
      <sheetName val="hidden"/>
      <sheetName val="TypeB-5請求書Form"/>
      <sheetName val="TypeB-5kr請求書Form"/>
      <sheetName val="TypeB-5別表Form"/>
      <sheetName val="TypeD-4請求書Form"/>
      <sheetName val="TypeD-4別表Form"/>
      <sheetName val="TypeD-5別表Form"/>
      <sheetName val="TypeD-5請求書Form"/>
      <sheetName val="TypeB-6請求書Form"/>
      <sheetName val="TypeB-6kr請求書Form"/>
      <sheetName val="List"/>
      <sheetName val="TypeB請求書Form"/>
      <sheetName val="TypeBkr請求書Form"/>
      <sheetName val="TypeB別表For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>
        <row r="2">
          <cell r="A2" t="str">
            <v>アップルシードⅧ</v>
          </cell>
        </row>
        <row r="3">
          <cell r="A3" t="str">
            <v>Aila　Online</v>
          </cell>
        </row>
        <row r="4">
          <cell r="A4" t="str">
            <v>ARCHLORD</v>
          </cell>
        </row>
        <row r="5">
          <cell r="A5" t="str">
            <v>ARGO</v>
          </cell>
        </row>
        <row r="6">
          <cell r="A6" t="str">
            <v>C21</v>
          </cell>
        </row>
        <row r="7">
          <cell r="A7" t="str">
            <v>CroXino</v>
          </cell>
        </row>
        <row r="8">
          <cell r="A8" t="str">
            <v xml:space="preserve">DragonNest </v>
          </cell>
        </row>
        <row r="9">
          <cell r="A9" t="str">
            <v>ELSWORD</v>
          </cell>
        </row>
        <row r="10">
          <cell r="A10" t="str">
            <v>FIFA</v>
          </cell>
        </row>
        <row r="11">
          <cell r="A11" t="str">
            <v>G2 –Guns Gunner-</v>
          </cell>
        </row>
        <row r="12">
          <cell r="A12" t="str">
            <v>Knight　Online</v>
          </cell>
        </row>
        <row r="13">
          <cell r="A13" t="str">
            <v>Le Ciel Blue～ル・シエル・ブルー～</v>
          </cell>
        </row>
        <row r="14">
          <cell r="A14" t="str">
            <v>Legend of LUNA</v>
          </cell>
        </row>
        <row r="15">
          <cell r="A15" t="str">
            <v>Let'sブラウザ経営</v>
          </cell>
        </row>
        <row r="16">
          <cell r="A16" t="str">
            <v>LOST　ONLINE　REBIRTH</v>
          </cell>
        </row>
        <row r="17">
          <cell r="A17" t="str">
            <v>M2</v>
          </cell>
        </row>
        <row r="18">
          <cell r="A18" t="str">
            <v>M2　-神甲綺譚-</v>
          </cell>
        </row>
        <row r="19">
          <cell r="A19" t="str">
            <v>NikQ</v>
          </cell>
        </row>
        <row r="20">
          <cell r="A20" t="str">
            <v>OPERATION7</v>
          </cell>
        </row>
        <row r="21">
          <cell r="A21" t="str">
            <v>PSOBB</v>
          </cell>
        </row>
        <row r="22">
          <cell r="A22" t="str">
            <v>R2</v>
          </cell>
        </row>
        <row r="23">
          <cell r="A23" t="str">
            <v>STING</v>
          </cell>
        </row>
        <row r="24">
          <cell r="A24" t="str">
            <v>WarRock</v>
          </cell>
        </row>
        <row r="25">
          <cell r="A25" t="str">
            <v>X-BEAT</v>
          </cell>
        </row>
        <row r="26">
          <cell r="A26" t="str">
            <v>Xenepic Online</v>
          </cell>
        </row>
        <row r="27">
          <cell r="A27" t="str">
            <v>アイリスオンライン</v>
          </cell>
        </row>
        <row r="28">
          <cell r="A28" t="str">
            <v>アヴァロンの鍵</v>
          </cell>
        </row>
        <row r="29">
          <cell r="A29" t="str">
            <v>アッピーオンライン2</v>
          </cell>
        </row>
        <row r="30">
          <cell r="A30" t="str">
            <v>アミーゴ・アミーガ</v>
          </cell>
        </row>
        <row r="31">
          <cell r="A31" t="str">
            <v>アラド戦記</v>
          </cell>
        </row>
        <row r="32">
          <cell r="A32" t="str">
            <v>アルカディアサーガ</v>
          </cell>
        </row>
        <row r="33">
          <cell r="A33" t="str">
            <v>アルテイル</v>
          </cell>
        </row>
        <row r="34">
          <cell r="A34" t="str">
            <v>アンリミテッドハーツ</v>
          </cell>
        </row>
        <row r="35">
          <cell r="A35" t="str">
            <v>ヴァルキリースカイ</v>
          </cell>
        </row>
        <row r="36">
          <cell r="A36" t="str">
            <v>エースオンライン</v>
          </cell>
        </row>
        <row r="37">
          <cell r="A37" t="str">
            <v>エターナルシティ2</v>
          </cell>
        </row>
        <row r="38">
          <cell r="A38" t="str">
            <v>エミルクロニクル</v>
          </cell>
        </row>
        <row r="39">
          <cell r="A39" t="str">
            <v>エレメンタルモンスターTD　ギルドガーディアンズ</v>
          </cell>
        </row>
        <row r="40">
          <cell r="A40" t="str">
            <v>エンジェリッククエスト</v>
          </cell>
        </row>
        <row r="41">
          <cell r="A41" t="str">
            <v>エンジェルラブオンライン</v>
          </cell>
        </row>
        <row r="42">
          <cell r="A42" t="str">
            <v>エンジェル戦記</v>
          </cell>
        </row>
        <row r="43">
          <cell r="A43" t="str">
            <v>黄金のアレグリア</v>
          </cell>
        </row>
        <row r="44">
          <cell r="A44" t="str">
            <v>カバル</v>
          </cell>
        </row>
        <row r="45">
          <cell r="A45" t="str">
            <v>かんたんゴルフ</v>
          </cell>
        </row>
        <row r="46">
          <cell r="A46" t="str">
            <v>ギロチンハウス</v>
          </cell>
        </row>
        <row r="47">
          <cell r="A47" t="str">
            <v>クールにバスケ　フリースタイル</v>
          </cell>
        </row>
        <row r="48">
          <cell r="A48" t="str">
            <v>クロスファイア</v>
          </cell>
        </row>
        <row r="49">
          <cell r="A49" t="str">
            <v>グラナドエスパダ・プラス</v>
          </cell>
        </row>
        <row r="50">
          <cell r="A50" t="str">
            <v>グランドファンタジア</v>
          </cell>
        </row>
        <row r="51">
          <cell r="A51" t="str">
            <v>ゲットアンプド２</v>
          </cell>
        </row>
        <row r="52">
          <cell r="A52" t="str">
            <v>コズミックブレイク</v>
          </cell>
        </row>
        <row r="53">
          <cell r="A53" t="str">
            <v>コンチェルトゲート</v>
          </cell>
        </row>
        <row r="54">
          <cell r="A54" t="str">
            <v>サカつく</v>
          </cell>
        </row>
        <row r="55">
          <cell r="A55" t="str">
            <v>三国志Online</v>
          </cell>
        </row>
        <row r="56">
          <cell r="A56" t="str">
            <v>三国RPG</v>
          </cell>
        </row>
        <row r="57">
          <cell r="A57" t="str">
            <v>新生　R.O.H.A.N</v>
          </cell>
        </row>
        <row r="58">
          <cell r="A58" t="str">
            <v>真武天ソウル</v>
          </cell>
        </row>
        <row r="59">
          <cell r="A59" t="str">
            <v>神魔令</v>
          </cell>
        </row>
        <row r="60">
          <cell r="A60" t="str">
            <v>ストーンエイジ</v>
          </cell>
        </row>
        <row r="61">
          <cell r="A61" t="str">
            <v>ストラガーデン</v>
          </cell>
        </row>
        <row r="62">
          <cell r="A62" t="str">
            <v>ストリートファイターオンライン</v>
          </cell>
        </row>
        <row r="63">
          <cell r="A63" t="str">
            <v>スプラッシュゴルフ</v>
          </cell>
        </row>
        <row r="64">
          <cell r="A64" t="str">
            <v>スペシャルフォース</v>
          </cell>
        </row>
        <row r="65">
          <cell r="A65" t="str">
            <v>戦場のカルマ</v>
          </cell>
        </row>
        <row r="66">
          <cell r="A66" t="str">
            <v>戦略三国志</v>
          </cell>
        </row>
        <row r="67">
          <cell r="A67" t="str">
            <v>蒼天</v>
          </cell>
        </row>
        <row r="68">
          <cell r="A68" t="str">
            <v>大戦略WEB</v>
          </cell>
        </row>
        <row r="69">
          <cell r="A69" t="str">
            <v>タルタロス</v>
          </cell>
        </row>
        <row r="70">
          <cell r="A70" t="str">
            <v>タンくる</v>
          </cell>
        </row>
        <row r="71">
          <cell r="A71" t="str">
            <v>超時空銀河ベルセウス</v>
          </cell>
        </row>
        <row r="72">
          <cell r="A72" t="str">
            <v>ディグダグアイランド</v>
          </cell>
        </row>
        <row r="73">
          <cell r="A73" t="str">
            <v>ディビーナ</v>
          </cell>
        </row>
        <row r="74">
          <cell r="A74" t="str">
            <v>テイルズウィーバー</v>
          </cell>
        </row>
        <row r="75">
          <cell r="A75" t="str">
            <v>鉄鬼</v>
          </cell>
        </row>
        <row r="76">
          <cell r="A76" t="str">
            <v>トリックスター</v>
          </cell>
        </row>
        <row r="77">
          <cell r="A77" t="str">
            <v>ドラゴンクルセイド</v>
          </cell>
        </row>
        <row r="78">
          <cell r="A78" t="str">
            <v>ドラゴンクルセイド2</v>
          </cell>
        </row>
        <row r="79">
          <cell r="A79" t="str">
            <v>ドリフトシティ　BOOST</v>
          </cell>
        </row>
        <row r="80">
          <cell r="A80" t="str">
            <v>ドルアーガの塔</v>
          </cell>
        </row>
        <row r="81">
          <cell r="A81" t="str">
            <v>ナインテイルオンライン</v>
          </cell>
        </row>
        <row r="82">
          <cell r="A82" t="str">
            <v>パズルパイレーツ</v>
          </cell>
        </row>
        <row r="83">
          <cell r="A83" t="str">
            <v>パンヤ</v>
          </cell>
        </row>
        <row r="84">
          <cell r="A84" t="str">
            <v>ヒーローズ イン ザ スカイ</v>
          </cell>
        </row>
        <row r="85">
          <cell r="A85" t="str">
            <v>ファミスタ</v>
          </cell>
        </row>
        <row r="86">
          <cell r="A86" t="str">
            <v>ファン！ファン！バギー！</v>
          </cell>
        </row>
        <row r="87">
          <cell r="A87" t="str">
            <v>ファンタジーアース　ゼロ</v>
          </cell>
        </row>
        <row r="88">
          <cell r="A88" t="str">
            <v>ファンタジーウォーカー</v>
          </cell>
        </row>
        <row r="89">
          <cell r="A89" t="str">
            <v>ファンタテニス</v>
          </cell>
        </row>
        <row r="90">
          <cell r="A90" t="str">
            <v>ブラウザ三国志</v>
          </cell>
        </row>
        <row r="91">
          <cell r="A91" t="str">
            <v>ブラウザ封神演義</v>
          </cell>
        </row>
        <row r="92">
          <cell r="A92" t="str">
            <v>フリスタ！</v>
          </cell>
        </row>
        <row r="93">
          <cell r="A93" t="str">
            <v>フリフオンライン</v>
          </cell>
        </row>
        <row r="94">
          <cell r="A94" t="str">
            <v>ブレイドクロニクル サムライオンライン</v>
          </cell>
        </row>
        <row r="95">
          <cell r="A95" t="str">
            <v>フローレンシア</v>
          </cell>
        </row>
        <row r="96">
          <cell r="A96" t="str">
            <v>ペーパーマン</v>
          </cell>
        </row>
        <row r="97">
          <cell r="A97" t="str">
            <v>ホーリービースト</v>
          </cell>
        </row>
        <row r="98">
          <cell r="A98" t="str">
            <v>真・女神転生IMAGINE</v>
          </cell>
        </row>
        <row r="99">
          <cell r="A99" t="str">
            <v>マビノギ</v>
          </cell>
        </row>
        <row r="100">
          <cell r="A100" t="str">
            <v>ミスティックストーン</v>
          </cell>
        </row>
        <row r="101">
          <cell r="A101" t="str">
            <v>みんなで牧場物語</v>
          </cell>
        </row>
        <row r="102">
          <cell r="A102" t="str">
            <v>みんなの冒険大陸カナン</v>
          </cell>
        </row>
        <row r="103">
          <cell r="A103" t="str">
            <v>無敵三国</v>
          </cell>
        </row>
        <row r="104">
          <cell r="A104" t="str">
            <v>メイプルストーリー</v>
          </cell>
        </row>
        <row r="105">
          <cell r="A105" t="str">
            <v>メタルサーガ・ニューフロンティア</v>
          </cell>
        </row>
        <row r="106">
          <cell r="A106" t="str">
            <v>メテオス</v>
          </cell>
        </row>
        <row r="107">
          <cell r="A107" t="str">
            <v>モンスタートレイルオンライン</v>
          </cell>
        </row>
        <row r="108">
          <cell r="A108" t="str">
            <v>ラグナロクオンライン</v>
          </cell>
        </row>
        <row r="109">
          <cell r="A109" t="str">
            <v>ラストコンカー</v>
          </cell>
        </row>
        <row r="110">
          <cell r="A110" t="str">
            <v>ラテール</v>
          </cell>
        </row>
        <row r="111">
          <cell r="A111" t="str">
            <v>Livly　Island　COR</v>
          </cell>
        </row>
        <row r="112">
          <cell r="A112" t="str">
            <v>ルーセントハート</v>
          </cell>
        </row>
        <row r="113">
          <cell r="A113" t="str">
            <v>レインボーアーチ</v>
          </cell>
        </row>
        <row r="114">
          <cell r="A114" t="str">
            <v>レッドストーン</v>
          </cell>
        </row>
        <row r="115">
          <cell r="A115" t="str">
            <v>巨商伝</v>
          </cell>
        </row>
        <row r="116">
          <cell r="A116" t="str">
            <v>競馬伝説Live！</v>
          </cell>
        </row>
        <row r="117">
          <cell r="A117" t="str">
            <v>君主</v>
          </cell>
        </row>
        <row r="118">
          <cell r="A118" t="str">
            <v>信長の野望オンライン</v>
          </cell>
        </row>
        <row r="119">
          <cell r="A119" t="str">
            <v>大航海時代オンライン</v>
          </cell>
        </row>
        <row r="120">
          <cell r="A120" t="str">
            <v>野球つく</v>
          </cell>
        </row>
      </sheetData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AI341"/>
  <sheetViews>
    <sheetView tabSelected="1" topLeftCell="A16" zoomScale="85" zoomScaleNormal="85" workbookViewId="0">
      <selection activeCell="E24" sqref="E24"/>
    </sheetView>
  </sheetViews>
  <sheetFormatPr defaultColWidth="8.69921875" defaultRowHeight="17.399999999999999" x14ac:dyDescent="0.4"/>
  <cols>
    <col min="1" max="1" width="8.69921875" style="15"/>
    <col min="2" max="2" width="13.19921875" style="3" bestFit="1" customWidth="1"/>
    <col min="3" max="3" width="2.09765625" style="3" customWidth="1"/>
    <col min="4" max="4" width="12.19921875" style="3" customWidth="1"/>
    <col min="5" max="5" width="10.5" style="14" bestFit="1" customWidth="1"/>
    <col min="6" max="6" width="2.59765625" style="3" customWidth="1"/>
    <col min="7" max="7" width="10.8984375" style="3" bestFit="1" customWidth="1"/>
    <col min="8" max="8" width="8.5" style="3" bestFit="1" customWidth="1"/>
    <col min="9" max="9" width="31.09765625" style="3" bestFit="1" customWidth="1"/>
    <col min="10" max="10" width="13.59765625" style="3" bestFit="1" customWidth="1"/>
    <col min="11" max="11" width="15" style="3" bestFit="1" customWidth="1"/>
    <col min="12" max="12" width="10.69921875" style="3" bestFit="1" customWidth="1"/>
    <col min="13" max="13" width="16.69921875" style="3" bestFit="1" customWidth="1"/>
    <col min="14" max="14" width="11" style="3" customWidth="1"/>
    <col min="15" max="15" width="5" style="3" bestFit="1" customWidth="1"/>
    <col min="16" max="16" width="6.59765625" style="3" bestFit="1" customWidth="1"/>
    <col min="17" max="17" width="10.59765625" style="3" bestFit="1" customWidth="1"/>
    <col min="18" max="19" width="5" style="3" bestFit="1" customWidth="1"/>
    <col min="20" max="20" width="10.59765625" style="3" bestFit="1" customWidth="1"/>
    <col min="21" max="22" width="5" style="3" bestFit="1" customWidth="1"/>
    <col min="23" max="23" width="10.59765625" style="3" bestFit="1" customWidth="1"/>
    <col min="24" max="24" width="5" style="3" bestFit="1" customWidth="1"/>
    <col min="25" max="25" width="6.59765625" style="3" bestFit="1" customWidth="1"/>
    <col min="26" max="26" width="9.09765625" style="3" customWidth="1"/>
    <col min="27" max="27" width="9.8984375" style="3" customWidth="1"/>
    <col min="28" max="28" width="5" style="3" bestFit="1" customWidth="1"/>
    <col min="29" max="29" width="15.69921875" style="3" customWidth="1"/>
    <col min="30" max="31" width="5" style="3" bestFit="1" customWidth="1"/>
    <col min="32" max="32" width="10.09765625" style="3" bestFit="1" customWidth="1"/>
    <col min="33" max="33" width="8.69921875" style="3"/>
    <col min="34" max="34" width="8.69921875" style="14" customWidth="1"/>
    <col min="35" max="16384" width="8.69921875" style="3"/>
  </cols>
  <sheetData>
    <row r="1" spans="1:34" ht="16.95" customHeight="1" x14ac:dyDescent="0.4">
      <c r="A1" s="1" t="s">
        <v>27</v>
      </c>
      <c r="B1" s="2">
        <v>12000000</v>
      </c>
      <c r="D1" s="40" t="s">
        <v>113</v>
      </c>
      <c r="E1" s="41"/>
      <c r="G1" s="4" t="s">
        <v>26</v>
      </c>
      <c r="H1" s="4" t="s">
        <v>28</v>
      </c>
      <c r="I1" s="4" t="s">
        <v>4</v>
      </c>
      <c r="J1" s="5" t="s">
        <v>5</v>
      </c>
      <c r="K1" s="4" t="s">
        <v>3</v>
      </c>
      <c r="L1" s="4" t="s">
        <v>29</v>
      </c>
      <c r="M1" s="4" t="s">
        <v>30</v>
      </c>
      <c r="N1" s="4" t="s">
        <v>1</v>
      </c>
      <c r="O1" s="4" t="s">
        <v>31</v>
      </c>
      <c r="P1" s="4" t="s">
        <v>32</v>
      </c>
      <c r="Q1" s="4" t="s">
        <v>33</v>
      </c>
      <c r="R1" s="4" t="s">
        <v>34</v>
      </c>
      <c r="S1" s="4" t="s">
        <v>35</v>
      </c>
      <c r="T1" s="4" t="s">
        <v>36</v>
      </c>
      <c r="U1" s="4" t="s">
        <v>37</v>
      </c>
      <c r="V1" s="4" t="s">
        <v>38</v>
      </c>
      <c r="W1" s="4" t="s">
        <v>39</v>
      </c>
      <c r="X1" s="4" t="s">
        <v>40</v>
      </c>
      <c r="Y1" s="4" t="s">
        <v>41</v>
      </c>
      <c r="Z1" s="4" t="s">
        <v>42</v>
      </c>
      <c r="AA1" s="4" t="s">
        <v>43</v>
      </c>
      <c r="AB1" s="4" t="s">
        <v>44</v>
      </c>
      <c r="AC1" s="4" t="s">
        <v>45</v>
      </c>
      <c r="AD1" s="4" t="s">
        <v>46</v>
      </c>
      <c r="AE1" s="4" t="s">
        <v>47</v>
      </c>
      <c r="AF1" s="4" t="s">
        <v>48</v>
      </c>
      <c r="AG1" s="4" t="s">
        <v>49</v>
      </c>
      <c r="AH1" s="6" t="s">
        <v>0</v>
      </c>
    </row>
    <row r="2" spans="1:34" x14ac:dyDescent="0.4">
      <c r="A2" s="1" t="s">
        <v>50</v>
      </c>
      <c r="B2" s="2">
        <f>SUM(E:E)</f>
        <v>2654834</v>
      </c>
      <c r="D2" s="7" t="s">
        <v>51</v>
      </c>
      <c r="E2" s="8">
        <v>105840</v>
      </c>
      <c r="G2" s="9" t="s">
        <v>51</v>
      </c>
      <c r="H2" s="9">
        <v>753867</v>
      </c>
      <c r="I2" s="9" t="s">
        <v>19</v>
      </c>
      <c r="J2" s="9" t="s">
        <v>2</v>
      </c>
      <c r="K2" s="9" t="s">
        <v>52</v>
      </c>
      <c r="L2" s="9"/>
      <c r="M2" s="9" t="s">
        <v>53</v>
      </c>
      <c r="N2" s="10">
        <v>44800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2</v>
      </c>
      <c r="AC2" s="11">
        <v>17640</v>
      </c>
      <c r="AD2" s="9">
        <v>0</v>
      </c>
      <c r="AE2" s="9">
        <v>0</v>
      </c>
      <c r="AF2" s="9">
        <v>11</v>
      </c>
      <c r="AG2" s="11">
        <v>42134</v>
      </c>
      <c r="AH2" s="10">
        <v>59774</v>
      </c>
    </row>
    <row r="3" spans="1:34" x14ac:dyDescent="0.4">
      <c r="A3" s="1" t="s">
        <v>54</v>
      </c>
      <c r="B3" s="12">
        <f>B1-B2</f>
        <v>9345166</v>
      </c>
      <c r="D3" s="13" t="s">
        <v>55</v>
      </c>
      <c r="E3" s="8">
        <v>72520</v>
      </c>
      <c r="G3" s="3" t="s">
        <v>55</v>
      </c>
      <c r="H3" s="3">
        <v>753867</v>
      </c>
      <c r="I3" s="3" t="s">
        <v>19</v>
      </c>
      <c r="J3" s="3" t="s">
        <v>2</v>
      </c>
      <c r="K3" s="3" t="s">
        <v>52</v>
      </c>
      <c r="M3" s="3" t="s">
        <v>53</v>
      </c>
      <c r="N3" s="14">
        <v>44800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1</v>
      </c>
      <c r="AC3" s="3">
        <v>8820</v>
      </c>
      <c r="AD3" s="3">
        <v>0</v>
      </c>
      <c r="AE3" s="3">
        <v>0</v>
      </c>
      <c r="AF3" s="3">
        <v>1</v>
      </c>
      <c r="AG3" s="3">
        <v>48737</v>
      </c>
      <c r="AH3" s="14">
        <v>57557</v>
      </c>
    </row>
    <row r="4" spans="1:34" x14ac:dyDescent="0.4">
      <c r="A4" s="3"/>
      <c r="B4" s="28"/>
      <c r="D4" s="13" t="s">
        <v>56</v>
      </c>
      <c r="E4" s="8">
        <f>SUMIFS(AH:AH,G:G,D4)</f>
        <v>131390</v>
      </c>
      <c r="G4" s="3" t="s">
        <v>55</v>
      </c>
      <c r="H4" s="3">
        <v>753867</v>
      </c>
      <c r="I4" s="3" t="s">
        <v>19</v>
      </c>
      <c r="J4" s="3" t="s">
        <v>2</v>
      </c>
      <c r="K4" s="3" t="s">
        <v>52</v>
      </c>
      <c r="M4" s="3" t="s">
        <v>53</v>
      </c>
      <c r="N4" s="14">
        <v>3200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3</v>
      </c>
      <c r="AC4" s="3">
        <v>1890</v>
      </c>
      <c r="AD4" s="3">
        <v>0</v>
      </c>
      <c r="AE4" s="3">
        <v>0</v>
      </c>
      <c r="AF4" s="3">
        <v>0</v>
      </c>
      <c r="AG4" s="3">
        <v>0</v>
      </c>
      <c r="AH4" s="14">
        <v>1890</v>
      </c>
    </row>
    <row r="5" spans="1:34" x14ac:dyDescent="0.4">
      <c r="D5" s="13" t="s">
        <v>57</v>
      </c>
      <c r="E5" s="8">
        <f>SUMIFS(AH:AH,G:G,D5)</f>
        <v>80920</v>
      </c>
      <c r="G5" s="3" t="s">
        <v>55</v>
      </c>
      <c r="H5" s="3">
        <v>753868</v>
      </c>
      <c r="I5" s="3" t="s">
        <v>18</v>
      </c>
      <c r="J5" s="3" t="s">
        <v>2</v>
      </c>
      <c r="K5" s="3" t="s">
        <v>52</v>
      </c>
      <c r="M5" s="3" t="s">
        <v>53</v>
      </c>
      <c r="N5" s="14">
        <v>3200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3</v>
      </c>
      <c r="AC5" s="3">
        <v>1890</v>
      </c>
      <c r="AD5" s="3">
        <v>0</v>
      </c>
      <c r="AE5" s="3">
        <v>0</v>
      </c>
      <c r="AF5" s="3">
        <v>0</v>
      </c>
      <c r="AG5" s="3">
        <v>0</v>
      </c>
      <c r="AH5" s="14">
        <v>1890</v>
      </c>
    </row>
    <row r="6" spans="1:34" x14ac:dyDescent="0.4">
      <c r="D6" s="13" t="s">
        <v>58</v>
      </c>
      <c r="E6" s="8">
        <f>SUMIFS(AH:AH,G:G,D6)</f>
        <v>89600</v>
      </c>
      <c r="G6" s="3" t="s">
        <v>55</v>
      </c>
      <c r="H6" s="3">
        <v>753869</v>
      </c>
      <c r="I6" s="3" t="s">
        <v>17</v>
      </c>
      <c r="J6" s="3" t="s">
        <v>2</v>
      </c>
      <c r="K6" s="3" t="s">
        <v>52</v>
      </c>
      <c r="M6" s="3" t="s">
        <v>53</v>
      </c>
      <c r="N6" s="14">
        <v>3200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3</v>
      </c>
      <c r="AC6" s="3">
        <v>1890</v>
      </c>
      <c r="AD6" s="3">
        <v>0</v>
      </c>
      <c r="AE6" s="3">
        <v>0</v>
      </c>
      <c r="AF6" s="3">
        <v>0</v>
      </c>
      <c r="AG6" s="3">
        <v>0</v>
      </c>
      <c r="AH6" s="14">
        <v>1890</v>
      </c>
    </row>
    <row r="7" spans="1:34" x14ac:dyDescent="0.4">
      <c r="D7" s="13" t="s">
        <v>59</v>
      </c>
      <c r="E7" s="8">
        <f>SUMIFS(AH:AH,G:G,D7)</f>
        <v>84770</v>
      </c>
      <c r="G7" s="3" t="s">
        <v>55</v>
      </c>
      <c r="H7" s="3">
        <v>753870</v>
      </c>
      <c r="I7" s="3" t="s">
        <v>15</v>
      </c>
      <c r="J7" s="3" t="s">
        <v>2</v>
      </c>
      <c r="K7" s="3" t="s">
        <v>52</v>
      </c>
      <c r="M7" s="3" t="s">
        <v>53</v>
      </c>
      <c r="N7" s="14">
        <v>3200</v>
      </c>
      <c r="O7" s="3">
        <v>1</v>
      </c>
      <c r="P7" s="3">
        <v>2240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3</v>
      </c>
      <c r="AC7" s="3">
        <v>1890</v>
      </c>
      <c r="AD7" s="3">
        <v>0</v>
      </c>
      <c r="AE7" s="3">
        <v>0</v>
      </c>
      <c r="AF7" s="3">
        <v>0</v>
      </c>
      <c r="AG7" s="3">
        <v>0</v>
      </c>
      <c r="AH7" s="14">
        <v>4130</v>
      </c>
    </row>
    <row r="8" spans="1:34" x14ac:dyDescent="0.4">
      <c r="D8" s="13" t="s">
        <v>60</v>
      </c>
      <c r="E8" s="8">
        <f>SUMIFS(AH:AH,G:G,D8)</f>
        <v>53550</v>
      </c>
      <c r="G8" s="3" t="s">
        <v>55</v>
      </c>
      <c r="H8" s="3">
        <v>753871</v>
      </c>
      <c r="I8" s="3" t="s">
        <v>10</v>
      </c>
      <c r="J8" s="3" t="s">
        <v>2</v>
      </c>
      <c r="K8" s="3" t="s">
        <v>52</v>
      </c>
      <c r="M8" s="3" t="s">
        <v>53</v>
      </c>
      <c r="N8" s="14">
        <v>3200</v>
      </c>
      <c r="O8" s="3">
        <v>1</v>
      </c>
      <c r="P8" s="3">
        <v>2240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3</v>
      </c>
      <c r="AC8" s="3">
        <v>1890</v>
      </c>
      <c r="AD8" s="3">
        <v>0</v>
      </c>
      <c r="AE8" s="3">
        <v>0</v>
      </c>
      <c r="AF8" s="3">
        <v>0</v>
      </c>
      <c r="AG8" s="3">
        <v>0</v>
      </c>
      <c r="AH8" s="14">
        <v>4130</v>
      </c>
    </row>
    <row r="9" spans="1:34" x14ac:dyDescent="0.4">
      <c r="B9" s="3" t="s">
        <v>108</v>
      </c>
      <c r="D9" s="13" t="s">
        <v>107</v>
      </c>
      <c r="E9" s="8">
        <v>22400</v>
      </c>
      <c r="G9" s="3" t="s">
        <v>55</v>
      </c>
      <c r="H9" s="3">
        <v>753872</v>
      </c>
      <c r="I9" s="3" t="s">
        <v>11</v>
      </c>
      <c r="J9" s="3" t="s">
        <v>2</v>
      </c>
      <c r="K9" s="3" t="s">
        <v>52</v>
      </c>
      <c r="M9" s="3" t="s">
        <v>53</v>
      </c>
      <c r="N9" s="14">
        <v>3200</v>
      </c>
      <c r="O9" s="3">
        <v>1</v>
      </c>
      <c r="P9" s="3">
        <v>2240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3</v>
      </c>
      <c r="AC9" s="3">
        <v>1890</v>
      </c>
      <c r="AD9" s="3">
        <v>0</v>
      </c>
      <c r="AE9" s="3">
        <v>0</v>
      </c>
      <c r="AF9" s="3">
        <v>0</v>
      </c>
      <c r="AG9" s="3">
        <v>0</v>
      </c>
      <c r="AH9" s="14">
        <v>4130</v>
      </c>
    </row>
    <row r="10" spans="1:34" x14ac:dyDescent="0.4">
      <c r="B10" s="3" t="s">
        <v>108</v>
      </c>
      <c r="D10" s="13" t="s">
        <v>62</v>
      </c>
      <c r="E10" s="8">
        <v>11200</v>
      </c>
      <c r="G10" s="3" t="s">
        <v>55</v>
      </c>
      <c r="H10" s="3">
        <v>753873</v>
      </c>
      <c r="I10" s="3" t="s">
        <v>12</v>
      </c>
      <c r="J10" s="3" t="s">
        <v>2</v>
      </c>
      <c r="K10" s="3" t="s">
        <v>52</v>
      </c>
      <c r="M10" s="3" t="s">
        <v>53</v>
      </c>
      <c r="N10" s="14">
        <v>3200</v>
      </c>
      <c r="O10" s="3">
        <v>1</v>
      </c>
      <c r="P10" s="3">
        <v>2240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3</v>
      </c>
      <c r="AC10" s="3">
        <v>1890</v>
      </c>
      <c r="AD10" s="3">
        <v>0</v>
      </c>
      <c r="AE10" s="3">
        <v>0</v>
      </c>
      <c r="AF10" s="3">
        <v>0</v>
      </c>
      <c r="AG10" s="3">
        <v>0</v>
      </c>
      <c r="AH10" s="14">
        <v>4130</v>
      </c>
    </row>
    <row r="11" spans="1:34" x14ac:dyDescent="0.4">
      <c r="D11" s="13" t="s">
        <v>63</v>
      </c>
      <c r="E11" s="8">
        <f t="shared" ref="E11:E24" si="0">SUMIFS(AH:AH,G:G,D11)</f>
        <v>0</v>
      </c>
      <c r="G11" s="3" t="s">
        <v>55</v>
      </c>
      <c r="H11" s="3">
        <v>753874</v>
      </c>
      <c r="I11" s="3" t="s">
        <v>16</v>
      </c>
      <c r="J11" s="3" t="s">
        <v>2</v>
      </c>
      <c r="K11" s="3" t="s">
        <v>52</v>
      </c>
      <c r="M11" s="3" t="s">
        <v>53</v>
      </c>
      <c r="N11" s="14">
        <v>3200</v>
      </c>
      <c r="O11" s="3">
        <v>1</v>
      </c>
      <c r="P11" s="3">
        <v>2240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3</v>
      </c>
      <c r="AC11" s="3">
        <v>1890</v>
      </c>
      <c r="AD11" s="3">
        <v>0</v>
      </c>
      <c r="AE11" s="3">
        <v>0</v>
      </c>
      <c r="AF11" s="3">
        <v>0</v>
      </c>
      <c r="AG11" s="3">
        <v>0</v>
      </c>
      <c r="AH11" s="14">
        <v>4130</v>
      </c>
    </row>
    <row r="12" spans="1:34" x14ac:dyDescent="0.4">
      <c r="D12" s="13" t="s">
        <v>64</v>
      </c>
      <c r="E12" s="8">
        <f t="shared" si="0"/>
        <v>2240</v>
      </c>
      <c r="G12" s="3" t="s">
        <v>55</v>
      </c>
      <c r="H12" s="3">
        <v>753875</v>
      </c>
      <c r="I12" s="3" t="s">
        <v>14</v>
      </c>
      <c r="J12" s="3" t="s">
        <v>2</v>
      </c>
      <c r="K12" s="3" t="s">
        <v>52</v>
      </c>
      <c r="M12" s="3" t="s">
        <v>53</v>
      </c>
      <c r="N12" s="14">
        <v>3200</v>
      </c>
      <c r="O12" s="3">
        <v>1</v>
      </c>
      <c r="P12" s="3">
        <v>2240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3</v>
      </c>
      <c r="AC12" s="3">
        <v>1890</v>
      </c>
      <c r="AD12" s="3">
        <v>0</v>
      </c>
      <c r="AE12" s="3">
        <v>0</v>
      </c>
      <c r="AF12" s="3">
        <v>0</v>
      </c>
      <c r="AG12" s="3">
        <v>0</v>
      </c>
      <c r="AH12" s="14">
        <v>4130</v>
      </c>
    </row>
    <row r="13" spans="1:34" x14ac:dyDescent="0.4">
      <c r="D13" s="13" t="s">
        <v>65</v>
      </c>
      <c r="E13" s="8">
        <f t="shared" si="0"/>
        <v>393666</v>
      </c>
      <c r="G13" s="3" t="s">
        <v>55</v>
      </c>
      <c r="H13" s="3">
        <v>753876</v>
      </c>
      <c r="I13" s="3" t="s">
        <v>13</v>
      </c>
      <c r="J13" s="3" t="s">
        <v>2</v>
      </c>
      <c r="K13" s="3" t="s">
        <v>52</v>
      </c>
      <c r="M13" s="3" t="s">
        <v>53</v>
      </c>
      <c r="N13" s="14">
        <v>3200</v>
      </c>
      <c r="O13" s="3">
        <v>1</v>
      </c>
      <c r="P13" s="3">
        <v>2240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3</v>
      </c>
      <c r="AC13" s="3">
        <v>1890</v>
      </c>
      <c r="AD13" s="3">
        <v>0</v>
      </c>
      <c r="AE13" s="3">
        <v>0</v>
      </c>
      <c r="AF13" s="3">
        <v>0</v>
      </c>
      <c r="AG13" s="3">
        <v>0</v>
      </c>
      <c r="AH13" s="14">
        <v>4130</v>
      </c>
    </row>
    <row r="14" spans="1:34" x14ac:dyDescent="0.4">
      <c r="D14" s="13" t="s">
        <v>66</v>
      </c>
      <c r="E14" s="8">
        <f t="shared" si="0"/>
        <v>0</v>
      </c>
      <c r="G14" s="3" t="s">
        <v>55</v>
      </c>
      <c r="H14" s="3">
        <v>753877</v>
      </c>
      <c r="I14" s="3" t="s">
        <v>9</v>
      </c>
      <c r="J14" s="3" t="s">
        <v>2</v>
      </c>
      <c r="K14" s="3" t="s">
        <v>52</v>
      </c>
      <c r="M14" s="3" t="s">
        <v>53</v>
      </c>
      <c r="N14" s="14">
        <v>3200</v>
      </c>
      <c r="O14" s="3">
        <v>1</v>
      </c>
      <c r="P14" s="3">
        <v>2240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4</v>
      </c>
      <c r="AC14" s="3">
        <v>2520</v>
      </c>
      <c r="AD14" s="3">
        <v>0</v>
      </c>
      <c r="AE14" s="3">
        <v>0</v>
      </c>
      <c r="AF14" s="3">
        <v>0</v>
      </c>
      <c r="AG14" s="3">
        <v>0</v>
      </c>
      <c r="AH14" s="14">
        <v>4760</v>
      </c>
    </row>
    <row r="15" spans="1:34" x14ac:dyDescent="0.4">
      <c r="D15" s="13" t="s">
        <v>67</v>
      </c>
      <c r="E15" s="8">
        <f t="shared" si="0"/>
        <v>0</v>
      </c>
      <c r="G15" s="3" t="s">
        <v>55</v>
      </c>
      <c r="H15" s="3">
        <v>753878</v>
      </c>
      <c r="I15" s="3" t="s">
        <v>8</v>
      </c>
      <c r="J15" s="3" t="s">
        <v>2</v>
      </c>
      <c r="K15" s="3" t="s">
        <v>52</v>
      </c>
      <c r="M15" s="3" t="s">
        <v>53</v>
      </c>
      <c r="N15" s="14">
        <v>3200</v>
      </c>
      <c r="O15" s="3">
        <v>1</v>
      </c>
      <c r="P15" s="3">
        <v>2240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4</v>
      </c>
      <c r="AC15" s="3">
        <v>2520</v>
      </c>
      <c r="AD15" s="3">
        <v>0</v>
      </c>
      <c r="AE15" s="3">
        <v>0</v>
      </c>
      <c r="AF15" s="3">
        <v>0</v>
      </c>
      <c r="AG15" s="3">
        <v>0</v>
      </c>
      <c r="AH15" s="14">
        <v>4760</v>
      </c>
    </row>
    <row r="16" spans="1:34" x14ac:dyDescent="0.4">
      <c r="D16" s="13" t="s">
        <v>68</v>
      </c>
      <c r="E16" s="8">
        <f t="shared" si="0"/>
        <v>31360</v>
      </c>
      <c r="G16" s="3" t="s">
        <v>55</v>
      </c>
      <c r="H16" s="3">
        <v>753879</v>
      </c>
      <c r="I16" s="3" t="s">
        <v>7</v>
      </c>
      <c r="J16" s="3" t="s">
        <v>2</v>
      </c>
      <c r="K16" s="3" t="s">
        <v>52</v>
      </c>
      <c r="M16" s="3" t="s">
        <v>53</v>
      </c>
      <c r="N16" s="14">
        <v>3200</v>
      </c>
      <c r="O16" s="3">
        <v>1</v>
      </c>
      <c r="P16" s="3">
        <v>2240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5</v>
      </c>
      <c r="AC16" s="3">
        <v>3150</v>
      </c>
      <c r="AD16" s="3">
        <v>0</v>
      </c>
      <c r="AE16" s="3">
        <v>0</v>
      </c>
      <c r="AF16" s="3">
        <v>0</v>
      </c>
      <c r="AG16" s="3">
        <v>0</v>
      </c>
      <c r="AH16" s="14">
        <v>5390</v>
      </c>
    </row>
    <row r="17" spans="4:34" x14ac:dyDescent="0.4">
      <c r="D17" s="13" t="s">
        <v>69</v>
      </c>
      <c r="E17" s="8">
        <f t="shared" si="0"/>
        <v>24640</v>
      </c>
      <c r="G17" s="3" t="s">
        <v>55</v>
      </c>
      <c r="H17" s="3">
        <v>753880</v>
      </c>
      <c r="I17" s="3" t="s">
        <v>6</v>
      </c>
      <c r="J17" s="3" t="s">
        <v>2</v>
      </c>
      <c r="K17" s="3" t="s">
        <v>52</v>
      </c>
      <c r="M17" s="3" t="s">
        <v>53</v>
      </c>
      <c r="N17" s="14">
        <v>3200</v>
      </c>
      <c r="O17" s="3">
        <v>1</v>
      </c>
      <c r="P17" s="3">
        <v>2240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5</v>
      </c>
      <c r="AC17" s="3">
        <v>3150</v>
      </c>
      <c r="AD17" s="3">
        <v>0</v>
      </c>
      <c r="AE17" s="3">
        <v>0</v>
      </c>
      <c r="AF17" s="3">
        <v>0</v>
      </c>
      <c r="AG17" s="3">
        <v>0</v>
      </c>
      <c r="AH17" s="14">
        <v>5390</v>
      </c>
    </row>
    <row r="18" spans="4:34" x14ac:dyDescent="0.4">
      <c r="D18" s="13" t="s">
        <v>70</v>
      </c>
      <c r="E18" s="8">
        <f t="shared" si="0"/>
        <v>0</v>
      </c>
      <c r="G18" s="9" t="s">
        <v>56</v>
      </c>
      <c r="H18" s="9">
        <v>753867</v>
      </c>
      <c r="I18" s="9" t="s">
        <v>19</v>
      </c>
      <c r="J18" s="9" t="s">
        <v>2</v>
      </c>
      <c r="K18" s="9" t="s">
        <v>52</v>
      </c>
      <c r="L18" s="9"/>
      <c r="M18" s="9" t="s">
        <v>53</v>
      </c>
      <c r="N18" s="11">
        <v>44800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11">
        <v>0</v>
      </c>
      <c r="Z18" s="9">
        <v>0</v>
      </c>
      <c r="AA18" s="9">
        <v>0</v>
      </c>
      <c r="AB18" s="9">
        <v>2</v>
      </c>
      <c r="AC18" s="9">
        <v>17640</v>
      </c>
      <c r="AD18" s="9">
        <v>0</v>
      </c>
      <c r="AE18" s="9">
        <v>0</v>
      </c>
      <c r="AF18" s="11">
        <v>0</v>
      </c>
      <c r="AG18" s="3">
        <v>0</v>
      </c>
      <c r="AH18" s="14">
        <v>17640</v>
      </c>
    </row>
    <row r="19" spans="4:34" x14ac:dyDescent="0.4">
      <c r="D19" s="13" t="s">
        <v>71</v>
      </c>
      <c r="E19" s="8">
        <f t="shared" si="0"/>
        <v>0</v>
      </c>
      <c r="G19" s="9" t="s">
        <v>56</v>
      </c>
      <c r="H19" s="9">
        <v>753867</v>
      </c>
      <c r="I19" s="9" t="s">
        <v>19</v>
      </c>
      <c r="J19" s="9" t="s">
        <v>2</v>
      </c>
      <c r="K19" s="9" t="s">
        <v>52</v>
      </c>
      <c r="L19" s="9"/>
      <c r="M19" s="9" t="s">
        <v>53</v>
      </c>
      <c r="N19" s="11">
        <v>3200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11">
        <v>0</v>
      </c>
      <c r="Z19" s="9">
        <v>0</v>
      </c>
      <c r="AA19" s="9">
        <v>0</v>
      </c>
      <c r="AB19" s="9">
        <v>9</v>
      </c>
      <c r="AC19" s="9">
        <v>5670</v>
      </c>
      <c r="AD19" s="9">
        <v>0</v>
      </c>
      <c r="AE19" s="9">
        <v>0</v>
      </c>
      <c r="AF19" s="11">
        <v>0</v>
      </c>
      <c r="AG19" s="3">
        <v>0</v>
      </c>
      <c r="AH19" s="14">
        <v>5670</v>
      </c>
    </row>
    <row r="20" spans="4:34" x14ac:dyDescent="0.4">
      <c r="D20" s="13" t="s">
        <v>72</v>
      </c>
      <c r="E20" s="8">
        <f t="shared" si="0"/>
        <v>0</v>
      </c>
      <c r="G20" s="9" t="s">
        <v>56</v>
      </c>
      <c r="H20" s="9">
        <v>753868</v>
      </c>
      <c r="I20" s="9" t="s">
        <v>18</v>
      </c>
      <c r="J20" s="9" t="s">
        <v>2</v>
      </c>
      <c r="K20" s="9" t="s">
        <v>52</v>
      </c>
      <c r="L20" s="9"/>
      <c r="M20" s="9" t="s">
        <v>53</v>
      </c>
      <c r="N20" s="11">
        <v>3200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11">
        <v>0</v>
      </c>
      <c r="Z20" s="9">
        <v>0</v>
      </c>
      <c r="AA20" s="9">
        <v>0</v>
      </c>
      <c r="AB20" s="9">
        <v>8</v>
      </c>
      <c r="AC20" s="9">
        <v>5040</v>
      </c>
      <c r="AD20" s="9">
        <v>0</v>
      </c>
      <c r="AE20" s="9">
        <v>0</v>
      </c>
      <c r="AF20" s="11">
        <v>0</v>
      </c>
      <c r="AG20" s="3">
        <v>0</v>
      </c>
      <c r="AH20" s="14">
        <v>5040</v>
      </c>
    </row>
    <row r="21" spans="4:34" x14ac:dyDescent="0.4">
      <c r="D21" s="13" t="s">
        <v>73</v>
      </c>
      <c r="E21" s="8">
        <f t="shared" si="0"/>
        <v>8946</v>
      </c>
      <c r="G21" s="9" t="s">
        <v>56</v>
      </c>
      <c r="H21" s="9">
        <v>753869</v>
      </c>
      <c r="I21" s="9" t="s">
        <v>17</v>
      </c>
      <c r="J21" s="9" t="s">
        <v>2</v>
      </c>
      <c r="K21" s="9" t="s">
        <v>52</v>
      </c>
      <c r="L21" s="9"/>
      <c r="M21" s="9" t="s">
        <v>53</v>
      </c>
      <c r="N21" s="11">
        <v>3200</v>
      </c>
      <c r="O21" s="9">
        <v>1</v>
      </c>
      <c r="P21" s="9">
        <v>2240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11">
        <v>0</v>
      </c>
      <c r="Z21" s="9">
        <v>0</v>
      </c>
      <c r="AA21" s="9">
        <v>0</v>
      </c>
      <c r="AB21" s="9">
        <v>8</v>
      </c>
      <c r="AC21" s="9">
        <v>5040</v>
      </c>
      <c r="AD21" s="9">
        <v>0</v>
      </c>
      <c r="AE21" s="9">
        <v>0</v>
      </c>
      <c r="AF21" s="11">
        <v>0</v>
      </c>
      <c r="AG21" s="3">
        <v>0</v>
      </c>
      <c r="AH21" s="14">
        <v>7280</v>
      </c>
    </row>
    <row r="22" spans="4:34" x14ac:dyDescent="0.4">
      <c r="D22" s="13" t="s">
        <v>78</v>
      </c>
      <c r="E22" s="8">
        <f t="shared" si="0"/>
        <v>0</v>
      </c>
      <c r="G22" s="9" t="s">
        <v>56</v>
      </c>
      <c r="H22" s="9">
        <v>753870</v>
      </c>
      <c r="I22" s="9" t="s">
        <v>15</v>
      </c>
      <c r="J22" s="9" t="s">
        <v>2</v>
      </c>
      <c r="K22" s="9" t="s">
        <v>52</v>
      </c>
      <c r="L22" s="9"/>
      <c r="M22" s="9" t="s">
        <v>53</v>
      </c>
      <c r="N22" s="11">
        <v>3200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9</v>
      </c>
      <c r="AC22" s="9">
        <v>5670</v>
      </c>
      <c r="AD22" s="9">
        <v>0</v>
      </c>
      <c r="AE22" s="9">
        <v>0</v>
      </c>
      <c r="AF22" s="9">
        <v>0</v>
      </c>
      <c r="AG22" s="3">
        <v>0</v>
      </c>
      <c r="AH22" s="14">
        <v>5670</v>
      </c>
    </row>
    <row r="23" spans="4:34" x14ac:dyDescent="0.4">
      <c r="D23" s="13" t="s">
        <v>79</v>
      </c>
      <c r="E23" s="8">
        <f t="shared" si="0"/>
        <v>31360</v>
      </c>
      <c r="G23" s="9" t="s">
        <v>56</v>
      </c>
      <c r="H23" s="9">
        <v>753871</v>
      </c>
      <c r="I23" s="9" t="s">
        <v>10</v>
      </c>
      <c r="J23" s="9" t="s">
        <v>2</v>
      </c>
      <c r="K23" s="9" t="s">
        <v>52</v>
      </c>
      <c r="L23" s="9"/>
      <c r="M23" s="9" t="s">
        <v>53</v>
      </c>
      <c r="N23" s="11">
        <v>3200</v>
      </c>
      <c r="O23" s="9">
        <v>0</v>
      </c>
      <c r="P23" s="3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8</v>
      </c>
      <c r="AC23" s="9">
        <v>5040</v>
      </c>
      <c r="AD23" s="9">
        <v>0</v>
      </c>
      <c r="AE23" s="9">
        <v>0</v>
      </c>
      <c r="AF23" s="9">
        <v>0</v>
      </c>
      <c r="AG23" s="3">
        <v>0</v>
      </c>
      <c r="AH23" s="14">
        <v>5040</v>
      </c>
    </row>
    <row r="24" spans="4:34" x14ac:dyDescent="0.4">
      <c r="D24" s="13" t="s">
        <v>80</v>
      </c>
      <c r="E24" s="8">
        <f t="shared" si="0"/>
        <v>357504</v>
      </c>
      <c r="G24" s="9" t="s">
        <v>56</v>
      </c>
      <c r="H24" s="9">
        <v>753872</v>
      </c>
      <c r="I24" s="9" t="s">
        <v>11</v>
      </c>
      <c r="J24" s="9" t="s">
        <v>2</v>
      </c>
      <c r="K24" s="9" t="s">
        <v>52</v>
      </c>
      <c r="L24" s="9"/>
      <c r="M24" s="9" t="s">
        <v>53</v>
      </c>
      <c r="N24" s="11">
        <v>3200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11">
        <v>0</v>
      </c>
      <c r="Z24" s="9">
        <v>0</v>
      </c>
      <c r="AA24" s="9">
        <v>0</v>
      </c>
      <c r="AB24" s="9">
        <v>9</v>
      </c>
      <c r="AC24" s="9">
        <v>5670</v>
      </c>
      <c r="AD24" s="9">
        <v>0</v>
      </c>
      <c r="AE24" s="9">
        <v>0</v>
      </c>
      <c r="AF24" s="11">
        <v>0</v>
      </c>
      <c r="AG24" s="3">
        <v>0</v>
      </c>
      <c r="AH24" s="14">
        <v>5670</v>
      </c>
    </row>
    <row r="25" spans="4:34" x14ac:dyDescent="0.4">
      <c r="D25" s="13" t="s">
        <v>81</v>
      </c>
      <c r="E25" s="8">
        <f t="shared" ref="E25:E33" si="1">SUMIFS(AA:AA,G:G,D25)</f>
        <v>33600</v>
      </c>
      <c r="G25" s="9" t="s">
        <v>56</v>
      </c>
      <c r="H25" s="9">
        <v>753873</v>
      </c>
      <c r="I25" s="9" t="s">
        <v>12</v>
      </c>
      <c r="J25" s="9" t="s">
        <v>2</v>
      </c>
      <c r="K25" s="9" t="s">
        <v>52</v>
      </c>
      <c r="L25" s="9"/>
      <c r="M25" s="9" t="s">
        <v>53</v>
      </c>
      <c r="N25" s="11">
        <v>3200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11</v>
      </c>
      <c r="AC25" s="9">
        <v>6930</v>
      </c>
      <c r="AD25" s="9">
        <v>0</v>
      </c>
      <c r="AE25" s="9">
        <v>0</v>
      </c>
      <c r="AF25" s="9">
        <v>0</v>
      </c>
      <c r="AG25" s="3">
        <v>0</v>
      </c>
      <c r="AH25" s="14">
        <v>6930</v>
      </c>
    </row>
    <row r="26" spans="4:34" x14ac:dyDescent="0.4">
      <c r="D26" s="13" t="s">
        <v>82</v>
      </c>
      <c r="E26" s="8">
        <f t="shared" si="1"/>
        <v>0</v>
      </c>
      <c r="G26" s="9" t="s">
        <v>56</v>
      </c>
      <c r="H26" s="9">
        <v>753874</v>
      </c>
      <c r="I26" s="9" t="s">
        <v>16</v>
      </c>
      <c r="J26" s="9" t="s">
        <v>2</v>
      </c>
      <c r="K26" s="9" t="s">
        <v>52</v>
      </c>
      <c r="L26" s="9"/>
      <c r="M26" s="9" t="s">
        <v>53</v>
      </c>
      <c r="N26" s="11">
        <v>3200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13</v>
      </c>
      <c r="AC26" s="9">
        <v>8190</v>
      </c>
      <c r="AD26" s="9">
        <v>0</v>
      </c>
      <c r="AE26" s="9">
        <v>0</v>
      </c>
      <c r="AF26" s="9">
        <v>0</v>
      </c>
      <c r="AG26" s="3">
        <v>0</v>
      </c>
      <c r="AH26" s="14">
        <v>8190</v>
      </c>
    </row>
    <row r="27" spans="4:34" x14ac:dyDescent="0.4">
      <c r="D27" s="13" t="s">
        <v>83</v>
      </c>
      <c r="E27" s="8">
        <f t="shared" si="1"/>
        <v>221431</v>
      </c>
      <c r="G27" s="9" t="s">
        <v>56</v>
      </c>
      <c r="H27" s="9">
        <v>753875</v>
      </c>
      <c r="I27" s="9" t="s">
        <v>14</v>
      </c>
      <c r="J27" s="9" t="s">
        <v>2</v>
      </c>
      <c r="K27" s="9" t="s">
        <v>52</v>
      </c>
      <c r="L27" s="9"/>
      <c r="M27" s="9" t="s">
        <v>53</v>
      </c>
      <c r="N27" s="11">
        <v>3200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14</v>
      </c>
      <c r="AC27" s="9">
        <v>8820</v>
      </c>
      <c r="AD27" s="9">
        <v>0</v>
      </c>
      <c r="AE27" s="9">
        <v>0</v>
      </c>
      <c r="AF27" s="9">
        <v>0</v>
      </c>
      <c r="AG27" s="3">
        <v>0</v>
      </c>
      <c r="AH27" s="14">
        <v>8820</v>
      </c>
    </row>
    <row r="28" spans="4:34" x14ac:dyDescent="0.4">
      <c r="D28" s="13" t="s">
        <v>84</v>
      </c>
      <c r="E28" s="8">
        <f t="shared" si="1"/>
        <v>0</v>
      </c>
      <c r="G28" s="9" t="s">
        <v>56</v>
      </c>
      <c r="H28" s="9">
        <v>753876</v>
      </c>
      <c r="I28" s="9" t="s">
        <v>13</v>
      </c>
      <c r="J28" s="9" t="s">
        <v>2</v>
      </c>
      <c r="K28" s="9" t="s">
        <v>52</v>
      </c>
      <c r="L28" s="9"/>
      <c r="M28" s="9" t="s">
        <v>53</v>
      </c>
      <c r="N28" s="11">
        <v>3200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16</v>
      </c>
      <c r="AC28" s="9">
        <v>10080</v>
      </c>
      <c r="AD28" s="9">
        <v>0</v>
      </c>
      <c r="AE28" s="9">
        <v>0</v>
      </c>
      <c r="AF28" s="9">
        <v>0</v>
      </c>
      <c r="AG28" s="3">
        <v>0</v>
      </c>
      <c r="AH28" s="14">
        <v>10080</v>
      </c>
    </row>
    <row r="29" spans="4:34" x14ac:dyDescent="0.4">
      <c r="D29" s="13" t="s">
        <v>85</v>
      </c>
      <c r="E29" s="8">
        <f t="shared" si="1"/>
        <v>0</v>
      </c>
      <c r="G29" s="9" t="s">
        <v>56</v>
      </c>
      <c r="H29" s="9">
        <v>753877</v>
      </c>
      <c r="I29" s="9" t="s">
        <v>9</v>
      </c>
      <c r="J29" s="9" t="s">
        <v>2</v>
      </c>
      <c r="K29" s="9" t="s">
        <v>52</v>
      </c>
      <c r="L29" s="9"/>
      <c r="M29" s="9" t="s">
        <v>53</v>
      </c>
      <c r="N29" s="11">
        <v>3200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17</v>
      </c>
      <c r="AC29" s="9">
        <v>10710</v>
      </c>
      <c r="AD29" s="9">
        <v>0</v>
      </c>
      <c r="AE29" s="9">
        <v>0</v>
      </c>
      <c r="AF29" s="9">
        <v>0</v>
      </c>
      <c r="AG29" s="3">
        <v>0</v>
      </c>
      <c r="AH29" s="14">
        <v>10710</v>
      </c>
    </row>
    <row r="30" spans="4:34" x14ac:dyDescent="0.4">
      <c r="D30" s="13" t="s">
        <v>86</v>
      </c>
      <c r="E30" s="8">
        <f t="shared" si="1"/>
        <v>247520</v>
      </c>
      <c r="G30" s="9" t="s">
        <v>56</v>
      </c>
      <c r="H30" s="9">
        <v>753878</v>
      </c>
      <c r="I30" s="9" t="s">
        <v>8</v>
      </c>
      <c r="J30" s="9" t="s">
        <v>2</v>
      </c>
      <c r="K30" s="9" t="s">
        <v>52</v>
      </c>
      <c r="L30" s="9"/>
      <c r="M30" s="9" t="s">
        <v>53</v>
      </c>
      <c r="N30" s="11">
        <v>3200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21</v>
      </c>
      <c r="AC30" s="9">
        <v>13230</v>
      </c>
      <c r="AD30" s="9">
        <v>0</v>
      </c>
      <c r="AE30" s="9">
        <v>0</v>
      </c>
      <c r="AF30" s="9">
        <v>0</v>
      </c>
      <c r="AG30" s="3">
        <v>0</v>
      </c>
      <c r="AH30" s="14">
        <v>13230</v>
      </c>
    </row>
    <row r="31" spans="4:34" x14ac:dyDescent="0.4">
      <c r="D31" s="13" t="s">
        <v>87</v>
      </c>
      <c r="E31" s="8">
        <f t="shared" si="1"/>
        <v>116088</v>
      </c>
      <c r="G31" s="9" t="s">
        <v>56</v>
      </c>
      <c r="H31" s="9">
        <v>753879</v>
      </c>
      <c r="I31" s="9" t="s">
        <v>7</v>
      </c>
      <c r="J31" s="9" t="s">
        <v>2</v>
      </c>
      <c r="K31" s="9" t="s">
        <v>52</v>
      </c>
      <c r="L31" s="9"/>
      <c r="M31" s="9" t="s">
        <v>53</v>
      </c>
      <c r="N31" s="11">
        <v>3200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22</v>
      </c>
      <c r="AC31" s="9">
        <v>13860</v>
      </c>
      <c r="AD31" s="9">
        <v>0</v>
      </c>
      <c r="AE31" s="9">
        <v>0</v>
      </c>
      <c r="AF31" s="9">
        <v>0</v>
      </c>
      <c r="AG31" s="3">
        <v>0</v>
      </c>
      <c r="AH31" s="14">
        <v>13860</v>
      </c>
    </row>
    <row r="32" spans="4:34" x14ac:dyDescent="0.4">
      <c r="D32" s="13" t="s">
        <v>88</v>
      </c>
      <c r="E32" s="8">
        <f t="shared" si="1"/>
        <v>77889</v>
      </c>
      <c r="G32" s="9" t="s">
        <v>56</v>
      </c>
      <c r="H32" s="9">
        <v>753880</v>
      </c>
      <c r="I32" s="9" t="s">
        <v>6</v>
      </c>
      <c r="J32" s="9" t="s">
        <v>2</v>
      </c>
      <c r="K32" s="9" t="s">
        <v>52</v>
      </c>
      <c r="L32" s="9"/>
      <c r="M32" s="9" t="s">
        <v>53</v>
      </c>
      <c r="N32" s="11">
        <v>3200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12</v>
      </c>
      <c r="AC32" s="9">
        <v>7560</v>
      </c>
      <c r="AD32" s="9">
        <v>0</v>
      </c>
      <c r="AE32" s="9">
        <v>0</v>
      </c>
      <c r="AF32" s="9">
        <v>0</v>
      </c>
      <c r="AG32" s="3">
        <v>0</v>
      </c>
      <c r="AH32" s="14">
        <v>7560</v>
      </c>
    </row>
    <row r="33" spans="4:34" x14ac:dyDescent="0.4">
      <c r="D33" s="13" t="s">
        <v>89</v>
      </c>
      <c r="E33" s="8">
        <f t="shared" si="1"/>
        <v>60480</v>
      </c>
      <c r="G33" s="9" t="s">
        <v>57</v>
      </c>
      <c r="H33" s="9">
        <v>753867</v>
      </c>
      <c r="I33" s="9" t="s">
        <v>19</v>
      </c>
      <c r="J33" s="9" t="s">
        <v>2</v>
      </c>
      <c r="K33" s="9" t="s">
        <v>52</v>
      </c>
      <c r="L33" s="9"/>
      <c r="M33" s="9" t="s">
        <v>53</v>
      </c>
      <c r="N33" s="11">
        <v>3200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7</v>
      </c>
      <c r="AC33" s="9">
        <v>4410</v>
      </c>
      <c r="AD33" s="9">
        <v>0</v>
      </c>
      <c r="AE33" s="9">
        <v>0</v>
      </c>
      <c r="AF33" s="9">
        <v>0</v>
      </c>
      <c r="AG33" s="3">
        <v>0</v>
      </c>
      <c r="AH33" s="14">
        <v>4410</v>
      </c>
    </row>
    <row r="34" spans="4:34" x14ac:dyDescent="0.4">
      <c r="D34" s="13" t="s">
        <v>117</v>
      </c>
      <c r="E34" s="8">
        <f t="shared" ref="E34" si="2">SUMIFS(AA:AA,G:G,D34)</f>
        <v>2240</v>
      </c>
      <c r="G34" s="9" t="s">
        <v>57</v>
      </c>
      <c r="H34" s="9">
        <v>753868</v>
      </c>
      <c r="I34" s="9" t="s">
        <v>18</v>
      </c>
      <c r="J34" s="9" t="s">
        <v>2</v>
      </c>
      <c r="K34" s="9" t="s">
        <v>52</v>
      </c>
      <c r="L34" s="9"/>
      <c r="M34" s="9" t="s">
        <v>53</v>
      </c>
      <c r="N34" s="11">
        <v>3200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6</v>
      </c>
      <c r="AC34" s="9">
        <v>3780</v>
      </c>
      <c r="AD34" s="9">
        <v>0</v>
      </c>
      <c r="AE34" s="9">
        <v>0</v>
      </c>
      <c r="AF34" s="9">
        <v>0</v>
      </c>
      <c r="AG34" s="3">
        <v>0</v>
      </c>
      <c r="AH34" s="14">
        <v>3780</v>
      </c>
    </row>
    <row r="35" spans="4:34" x14ac:dyDescent="0.4">
      <c r="D35" s="13" t="s">
        <v>118</v>
      </c>
      <c r="E35" s="8">
        <f t="shared" ref="E35" si="3">SUMIFS(AA:AA,G:G,D35)</f>
        <v>26880</v>
      </c>
      <c r="G35" s="9" t="s">
        <v>57</v>
      </c>
      <c r="H35" s="9">
        <v>753869</v>
      </c>
      <c r="I35" s="9" t="s">
        <v>17</v>
      </c>
      <c r="J35" s="9" t="s">
        <v>2</v>
      </c>
      <c r="K35" s="9" t="s">
        <v>52</v>
      </c>
      <c r="L35" s="9"/>
      <c r="M35" s="9" t="s">
        <v>53</v>
      </c>
      <c r="N35" s="11">
        <v>3200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6</v>
      </c>
      <c r="AC35" s="9">
        <v>3780</v>
      </c>
      <c r="AD35" s="9">
        <v>0</v>
      </c>
      <c r="AE35" s="9">
        <v>0</v>
      </c>
      <c r="AF35" s="9">
        <v>0</v>
      </c>
      <c r="AG35" s="3">
        <v>0</v>
      </c>
      <c r="AH35" s="14">
        <v>3780</v>
      </c>
    </row>
    <row r="36" spans="4:34" x14ac:dyDescent="0.4">
      <c r="D36" s="13" t="s">
        <v>120</v>
      </c>
      <c r="E36" s="8">
        <f t="shared" ref="E36" si="4">SUMIFS(AA:AA,G:G,D36)</f>
        <v>24640</v>
      </c>
      <c r="G36" s="9" t="s">
        <v>57</v>
      </c>
      <c r="H36" s="9">
        <v>753870</v>
      </c>
      <c r="I36" s="9" t="s">
        <v>15</v>
      </c>
      <c r="J36" s="9" t="s">
        <v>2</v>
      </c>
      <c r="K36" s="9" t="s">
        <v>52</v>
      </c>
      <c r="L36" s="9"/>
      <c r="M36" s="9" t="s">
        <v>53</v>
      </c>
      <c r="N36" s="11">
        <v>3200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7</v>
      </c>
      <c r="AC36" s="9">
        <v>4410</v>
      </c>
      <c r="AD36" s="9">
        <v>0</v>
      </c>
      <c r="AE36" s="9">
        <v>0</v>
      </c>
      <c r="AF36" s="9">
        <v>0</v>
      </c>
      <c r="AG36" s="3">
        <v>0</v>
      </c>
      <c r="AH36" s="14">
        <v>4410</v>
      </c>
    </row>
    <row r="37" spans="4:34" x14ac:dyDescent="0.4">
      <c r="D37" s="7" t="s">
        <v>123</v>
      </c>
      <c r="E37" s="8">
        <f>SUMIFS(AA:AA,G:G,D37)</f>
        <v>24640</v>
      </c>
      <c r="G37" s="9" t="s">
        <v>57</v>
      </c>
      <c r="H37" s="9">
        <v>753871</v>
      </c>
      <c r="I37" s="9" t="s">
        <v>10</v>
      </c>
      <c r="J37" s="9" t="s">
        <v>2</v>
      </c>
      <c r="K37" s="9" t="s">
        <v>52</v>
      </c>
      <c r="L37" s="9"/>
      <c r="M37" s="9" t="s">
        <v>53</v>
      </c>
      <c r="N37" s="11">
        <v>3200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8</v>
      </c>
      <c r="AC37" s="9">
        <v>5040</v>
      </c>
      <c r="AD37" s="9">
        <v>0</v>
      </c>
      <c r="AE37" s="9">
        <v>0</v>
      </c>
      <c r="AF37" s="9">
        <v>0</v>
      </c>
      <c r="AG37" s="3">
        <v>0</v>
      </c>
      <c r="AH37" s="14">
        <v>5040</v>
      </c>
    </row>
    <row r="38" spans="4:34" x14ac:dyDescent="0.4">
      <c r="D38" s="7" t="s">
        <v>124</v>
      </c>
      <c r="E38" s="8">
        <f>SUMIFS(AA:AA,G:G,D38)</f>
        <v>317520</v>
      </c>
      <c r="G38" s="9" t="s">
        <v>57</v>
      </c>
      <c r="H38" s="9">
        <v>753872</v>
      </c>
      <c r="I38" s="9" t="s">
        <v>11</v>
      </c>
      <c r="J38" s="9" t="s">
        <v>2</v>
      </c>
      <c r="K38" s="9" t="s">
        <v>52</v>
      </c>
      <c r="L38" s="9"/>
      <c r="M38" s="9" t="s">
        <v>53</v>
      </c>
      <c r="N38" s="11">
        <v>3200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10</v>
      </c>
      <c r="AC38" s="9">
        <v>6300</v>
      </c>
      <c r="AD38" s="9">
        <v>0</v>
      </c>
      <c r="AE38" s="9">
        <v>0</v>
      </c>
      <c r="AF38" s="9">
        <v>0</v>
      </c>
      <c r="AG38" s="3">
        <v>0</v>
      </c>
      <c r="AH38" s="14">
        <v>6300</v>
      </c>
    </row>
    <row r="39" spans="4:34" x14ac:dyDescent="0.4">
      <c r="G39" s="9" t="s">
        <v>57</v>
      </c>
      <c r="H39" s="9">
        <v>753873</v>
      </c>
      <c r="I39" s="9" t="s">
        <v>12</v>
      </c>
      <c r="J39" s="9" t="s">
        <v>2</v>
      </c>
      <c r="K39" s="9" t="s">
        <v>52</v>
      </c>
      <c r="L39" s="9"/>
      <c r="M39" s="9" t="s">
        <v>53</v>
      </c>
      <c r="N39" s="11">
        <v>3200</v>
      </c>
      <c r="O39" s="9">
        <v>1</v>
      </c>
      <c r="P39" s="9">
        <v>2240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9</v>
      </c>
      <c r="AC39" s="9">
        <v>5670</v>
      </c>
      <c r="AD39" s="9">
        <v>0</v>
      </c>
      <c r="AE39" s="9">
        <v>0</v>
      </c>
      <c r="AF39" s="9">
        <v>0</v>
      </c>
      <c r="AG39" s="3">
        <v>0</v>
      </c>
      <c r="AH39" s="14">
        <v>7910</v>
      </c>
    </row>
    <row r="40" spans="4:34" x14ac:dyDescent="0.4">
      <c r="G40" s="9" t="s">
        <v>57</v>
      </c>
      <c r="H40" s="9">
        <v>753874</v>
      </c>
      <c r="I40" s="9" t="s">
        <v>16</v>
      </c>
      <c r="J40" s="9" t="s">
        <v>2</v>
      </c>
      <c r="K40" s="9" t="s">
        <v>52</v>
      </c>
      <c r="L40" s="9"/>
      <c r="M40" s="9" t="s">
        <v>53</v>
      </c>
      <c r="N40" s="11">
        <v>3200</v>
      </c>
      <c r="O40" s="9">
        <v>1</v>
      </c>
      <c r="P40" s="9">
        <v>2240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1</v>
      </c>
      <c r="Y40" s="9">
        <v>630</v>
      </c>
      <c r="Z40" s="9">
        <v>0</v>
      </c>
      <c r="AA40" s="9">
        <v>0</v>
      </c>
      <c r="AB40" s="9">
        <v>8</v>
      </c>
      <c r="AC40" s="9">
        <v>5040</v>
      </c>
      <c r="AD40" s="9">
        <v>0</v>
      </c>
      <c r="AE40" s="9">
        <v>0</v>
      </c>
      <c r="AF40" s="9">
        <v>0</v>
      </c>
      <c r="AG40" s="3">
        <v>0</v>
      </c>
      <c r="AH40" s="14">
        <v>7910</v>
      </c>
    </row>
    <row r="41" spans="4:34" x14ac:dyDescent="0.4">
      <c r="G41" s="9" t="s">
        <v>57</v>
      </c>
      <c r="H41" s="9">
        <v>753875</v>
      </c>
      <c r="I41" s="9" t="s">
        <v>14</v>
      </c>
      <c r="J41" s="9" t="s">
        <v>2</v>
      </c>
      <c r="K41" s="9" t="s">
        <v>52</v>
      </c>
      <c r="L41" s="9"/>
      <c r="M41" s="9" t="s">
        <v>53</v>
      </c>
      <c r="N41" s="11">
        <v>3200</v>
      </c>
      <c r="O41" s="9">
        <v>1</v>
      </c>
      <c r="P41" s="9">
        <v>2240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8</v>
      </c>
      <c r="AC41" s="9">
        <v>5040</v>
      </c>
      <c r="AD41" s="9">
        <v>0</v>
      </c>
      <c r="AE41" s="9">
        <v>0</v>
      </c>
      <c r="AF41" s="9">
        <v>0</v>
      </c>
      <c r="AG41" s="3">
        <v>0</v>
      </c>
      <c r="AH41" s="14">
        <v>7280</v>
      </c>
    </row>
    <row r="42" spans="4:34" x14ac:dyDescent="0.4">
      <c r="G42" s="9" t="s">
        <v>57</v>
      </c>
      <c r="H42" s="9">
        <v>753876</v>
      </c>
      <c r="I42" s="9" t="s">
        <v>13</v>
      </c>
      <c r="J42" s="9" t="s">
        <v>2</v>
      </c>
      <c r="K42" s="9" t="s">
        <v>52</v>
      </c>
      <c r="L42" s="9"/>
      <c r="M42" s="9" t="s">
        <v>53</v>
      </c>
      <c r="N42" s="11">
        <v>3200</v>
      </c>
      <c r="O42" s="9">
        <v>1</v>
      </c>
      <c r="P42" s="9">
        <v>2240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7</v>
      </c>
      <c r="AC42" s="9">
        <v>4410</v>
      </c>
      <c r="AD42" s="9">
        <v>0</v>
      </c>
      <c r="AE42" s="9">
        <v>0</v>
      </c>
      <c r="AF42" s="9">
        <v>0</v>
      </c>
      <c r="AG42" s="3">
        <v>0</v>
      </c>
      <c r="AH42" s="14">
        <v>6650</v>
      </c>
    </row>
    <row r="43" spans="4:34" x14ac:dyDescent="0.4">
      <c r="G43" s="9" t="s">
        <v>57</v>
      </c>
      <c r="H43" s="9">
        <v>753877</v>
      </c>
      <c r="I43" s="9" t="s">
        <v>9</v>
      </c>
      <c r="J43" s="9" t="s">
        <v>2</v>
      </c>
      <c r="K43" s="9" t="s">
        <v>52</v>
      </c>
      <c r="L43" s="9"/>
      <c r="M43" s="9" t="s">
        <v>53</v>
      </c>
      <c r="N43" s="11">
        <v>3200</v>
      </c>
      <c r="O43" s="9">
        <v>1</v>
      </c>
      <c r="P43" s="9">
        <v>2240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6</v>
      </c>
      <c r="AC43" s="9">
        <v>3780</v>
      </c>
      <c r="AD43" s="9">
        <v>0</v>
      </c>
      <c r="AE43" s="9">
        <v>0</v>
      </c>
      <c r="AF43" s="9">
        <v>0</v>
      </c>
      <c r="AG43" s="3">
        <v>0</v>
      </c>
      <c r="AH43" s="14">
        <v>6020</v>
      </c>
    </row>
    <row r="44" spans="4:34" x14ac:dyDescent="0.4">
      <c r="G44" s="9" t="s">
        <v>57</v>
      </c>
      <c r="H44" s="9">
        <v>753878</v>
      </c>
      <c r="I44" s="9" t="s">
        <v>8</v>
      </c>
      <c r="J44" s="9" t="s">
        <v>2</v>
      </c>
      <c r="K44" s="9" t="s">
        <v>52</v>
      </c>
      <c r="L44" s="9"/>
      <c r="M44" s="9" t="s">
        <v>53</v>
      </c>
      <c r="N44" s="11">
        <v>3200</v>
      </c>
      <c r="O44" s="9">
        <v>1</v>
      </c>
      <c r="P44" s="9">
        <v>2240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11">
        <v>0</v>
      </c>
      <c r="Z44" s="9">
        <v>0</v>
      </c>
      <c r="AA44" s="9">
        <v>0</v>
      </c>
      <c r="AB44" s="9">
        <v>6</v>
      </c>
      <c r="AC44" s="9">
        <v>3780</v>
      </c>
      <c r="AD44" s="9">
        <v>0</v>
      </c>
      <c r="AE44" s="9">
        <v>0</v>
      </c>
      <c r="AF44" s="11">
        <v>0</v>
      </c>
      <c r="AG44" s="3">
        <v>0</v>
      </c>
      <c r="AH44" s="14">
        <v>6020</v>
      </c>
    </row>
    <row r="45" spans="4:34" x14ac:dyDescent="0.4">
      <c r="G45" s="9" t="s">
        <v>57</v>
      </c>
      <c r="H45" s="9">
        <v>753879</v>
      </c>
      <c r="I45" s="9" t="s">
        <v>7</v>
      </c>
      <c r="J45" s="9" t="s">
        <v>2</v>
      </c>
      <c r="K45" s="9" t="s">
        <v>52</v>
      </c>
      <c r="L45" s="9"/>
      <c r="M45" s="9" t="s">
        <v>53</v>
      </c>
      <c r="N45" s="11">
        <v>3200</v>
      </c>
      <c r="O45" s="9">
        <v>1</v>
      </c>
      <c r="P45" s="9">
        <v>2240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7</v>
      </c>
      <c r="AC45" s="9">
        <v>4410</v>
      </c>
      <c r="AD45" s="9">
        <v>0</v>
      </c>
      <c r="AE45" s="9">
        <v>0</v>
      </c>
      <c r="AF45" s="9">
        <v>0</v>
      </c>
      <c r="AG45" s="3">
        <v>0</v>
      </c>
      <c r="AH45" s="14">
        <v>6650</v>
      </c>
    </row>
    <row r="46" spans="4:34" x14ac:dyDescent="0.4">
      <c r="G46" s="9" t="s">
        <v>57</v>
      </c>
      <c r="H46" s="9">
        <v>753880</v>
      </c>
      <c r="I46" s="9" t="s">
        <v>6</v>
      </c>
      <c r="J46" s="9" t="s">
        <v>2</v>
      </c>
      <c r="K46" s="9" t="s">
        <v>52</v>
      </c>
      <c r="L46" s="9"/>
      <c r="M46" s="9" t="s">
        <v>53</v>
      </c>
      <c r="N46" s="11">
        <v>3200</v>
      </c>
      <c r="O46" s="9">
        <v>1</v>
      </c>
      <c r="P46" s="9">
        <v>2240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4</v>
      </c>
      <c r="AC46" s="9">
        <v>2520</v>
      </c>
      <c r="AD46" s="9">
        <v>0</v>
      </c>
      <c r="AE46" s="9">
        <v>0</v>
      </c>
      <c r="AF46" s="9">
        <v>0</v>
      </c>
      <c r="AG46" s="3">
        <v>0</v>
      </c>
      <c r="AH46" s="14">
        <v>4760</v>
      </c>
    </row>
    <row r="47" spans="4:34" x14ac:dyDescent="0.4">
      <c r="G47" s="9" t="s">
        <v>58</v>
      </c>
      <c r="H47" s="9">
        <v>753867</v>
      </c>
      <c r="I47" s="9" t="s">
        <v>19</v>
      </c>
      <c r="J47" s="9" t="s">
        <v>2</v>
      </c>
      <c r="K47" s="9" t="s">
        <v>52</v>
      </c>
      <c r="L47" s="9"/>
      <c r="M47" s="9" t="s">
        <v>53</v>
      </c>
      <c r="N47" s="11">
        <v>3200</v>
      </c>
      <c r="O47" s="9">
        <v>2</v>
      </c>
      <c r="P47" s="9">
        <v>4480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11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11">
        <v>0</v>
      </c>
      <c r="AG47" s="3">
        <v>0</v>
      </c>
      <c r="AH47" s="14">
        <v>4480</v>
      </c>
    </row>
    <row r="48" spans="4:34" x14ac:dyDescent="0.4">
      <c r="G48" s="9" t="s">
        <v>58</v>
      </c>
      <c r="H48" s="9">
        <v>753868</v>
      </c>
      <c r="I48" s="9" t="s">
        <v>18</v>
      </c>
      <c r="J48" s="9" t="s">
        <v>2</v>
      </c>
      <c r="K48" s="9" t="s">
        <v>52</v>
      </c>
      <c r="L48" s="9"/>
      <c r="M48" s="9" t="s">
        <v>53</v>
      </c>
      <c r="N48" s="11">
        <v>3200</v>
      </c>
      <c r="O48" s="9">
        <v>2</v>
      </c>
      <c r="P48" s="9">
        <v>4480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14">
        <v>4480</v>
      </c>
    </row>
    <row r="49" spans="7:34" x14ac:dyDescent="0.4">
      <c r="G49" s="9" t="s">
        <v>58</v>
      </c>
      <c r="H49" s="9">
        <v>753869</v>
      </c>
      <c r="I49" s="9" t="s">
        <v>17</v>
      </c>
      <c r="J49" s="9" t="s">
        <v>2</v>
      </c>
      <c r="K49" s="9" t="s">
        <v>52</v>
      </c>
      <c r="L49" s="9"/>
      <c r="M49" s="9" t="s">
        <v>53</v>
      </c>
      <c r="N49" s="11">
        <v>3200</v>
      </c>
      <c r="O49" s="9">
        <v>2</v>
      </c>
      <c r="P49" s="9">
        <v>4480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14">
        <v>4480</v>
      </c>
    </row>
    <row r="50" spans="7:34" x14ac:dyDescent="0.4">
      <c r="G50" s="9" t="s">
        <v>58</v>
      </c>
      <c r="H50" s="9">
        <v>753870</v>
      </c>
      <c r="I50" s="9" t="s">
        <v>15</v>
      </c>
      <c r="J50" s="9" t="s">
        <v>2</v>
      </c>
      <c r="K50" s="9" t="s">
        <v>52</v>
      </c>
      <c r="L50" s="9"/>
      <c r="M50" s="9" t="s">
        <v>53</v>
      </c>
      <c r="N50" s="11">
        <v>3200</v>
      </c>
      <c r="O50" s="9">
        <v>2</v>
      </c>
      <c r="P50" s="9">
        <v>4480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14">
        <v>4480</v>
      </c>
    </row>
    <row r="51" spans="7:34" x14ac:dyDescent="0.4">
      <c r="G51" s="9" t="s">
        <v>58</v>
      </c>
      <c r="H51" s="9">
        <v>753871</v>
      </c>
      <c r="I51" s="9" t="s">
        <v>10</v>
      </c>
      <c r="J51" s="9" t="s">
        <v>2</v>
      </c>
      <c r="K51" s="9" t="s">
        <v>52</v>
      </c>
      <c r="L51" s="9"/>
      <c r="M51" s="9" t="s">
        <v>53</v>
      </c>
      <c r="N51" s="11">
        <v>3200</v>
      </c>
      <c r="O51" s="9">
        <v>3</v>
      </c>
      <c r="P51" s="9">
        <v>6720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14">
        <v>6720</v>
      </c>
    </row>
    <row r="52" spans="7:34" x14ac:dyDescent="0.4">
      <c r="G52" s="9" t="s">
        <v>58</v>
      </c>
      <c r="H52" s="9">
        <v>753872</v>
      </c>
      <c r="I52" s="9" t="s">
        <v>11</v>
      </c>
      <c r="J52" s="9" t="s">
        <v>2</v>
      </c>
      <c r="K52" s="9" t="s">
        <v>52</v>
      </c>
      <c r="L52" s="9"/>
      <c r="M52" s="9" t="s">
        <v>53</v>
      </c>
      <c r="N52" s="11">
        <v>3200</v>
      </c>
      <c r="O52" s="9">
        <v>3</v>
      </c>
      <c r="P52" s="9">
        <v>6720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14">
        <v>6720</v>
      </c>
    </row>
    <row r="53" spans="7:34" x14ac:dyDescent="0.4">
      <c r="G53" s="9" t="s">
        <v>58</v>
      </c>
      <c r="H53" s="9">
        <v>753873</v>
      </c>
      <c r="I53" s="9" t="s">
        <v>12</v>
      </c>
      <c r="J53" s="9" t="s">
        <v>2</v>
      </c>
      <c r="K53" s="9" t="s">
        <v>52</v>
      </c>
      <c r="L53" s="9"/>
      <c r="M53" s="9" t="s">
        <v>53</v>
      </c>
      <c r="N53" s="11">
        <v>3200</v>
      </c>
      <c r="O53" s="9">
        <v>3</v>
      </c>
      <c r="P53" s="9">
        <v>6720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14">
        <v>6720</v>
      </c>
    </row>
    <row r="54" spans="7:34" x14ac:dyDescent="0.4">
      <c r="G54" s="9" t="s">
        <v>58</v>
      </c>
      <c r="H54" s="9">
        <v>753874</v>
      </c>
      <c r="I54" s="9" t="s">
        <v>16</v>
      </c>
      <c r="J54" s="9" t="s">
        <v>2</v>
      </c>
      <c r="K54" s="9" t="s">
        <v>52</v>
      </c>
      <c r="L54" s="9"/>
      <c r="M54" s="9" t="s">
        <v>53</v>
      </c>
      <c r="N54" s="11">
        <v>3200</v>
      </c>
      <c r="O54" s="9">
        <v>3</v>
      </c>
      <c r="P54" s="9">
        <v>6720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14">
        <v>6720</v>
      </c>
    </row>
    <row r="55" spans="7:34" x14ac:dyDescent="0.4">
      <c r="G55" s="9" t="s">
        <v>58</v>
      </c>
      <c r="H55" s="9">
        <v>753875</v>
      </c>
      <c r="I55" s="9" t="s">
        <v>14</v>
      </c>
      <c r="J55" s="9" t="s">
        <v>2</v>
      </c>
      <c r="K55" s="9" t="s">
        <v>52</v>
      </c>
      <c r="L55" s="9"/>
      <c r="M55" s="9" t="s">
        <v>53</v>
      </c>
      <c r="N55" s="11">
        <v>3200</v>
      </c>
      <c r="O55" s="9">
        <v>3</v>
      </c>
      <c r="P55" s="9">
        <v>6720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14">
        <v>6720</v>
      </c>
    </row>
    <row r="56" spans="7:34" x14ac:dyDescent="0.4">
      <c r="G56" s="9" t="s">
        <v>58</v>
      </c>
      <c r="H56" s="9">
        <v>753876</v>
      </c>
      <c r="I56" s="9" t="s">
        <v>13</v>
      </c>
      <c r="J56" s="9" t="s">
        <v>2</v>
      </c>
      <c r="K56" s="9" t="s">
        <v>52</v>
      </c>
      <c r="L56" s="9"/>
      <c r="M56" s="9" t="s">
        <v>53</v>
      </c>
      <c r="N56" s="11">
        <v>3200</v>
      </c>
      <c r="O56" s="9">
        <v>4</v>
      </c>
      <c r="P56" s="9">
        <v>8960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14">
        <v>8960</v>
      </c>
    </row>
    <row r="57" spans="7:34" x14ac:dyDescent="0.4">
      <c r="G57" s="9" t="s">
        <v>58</v>
      </c>
      <c r="H57" s="9">
        <v>753877</v>
      </c>
      <c r="I57" s="9" t="s">
        <v>9</v>
      </c>
      <c r="J57" s="9" t="s">
        <v>2</v>
      </c>
      <c r="K57" s="9" t="s">
        <v>52</v>
      </c>
      <c r="L57" s="9"/>
      <c r="M57" s="9" t="s">
        <v>53</v>
      </c>
      <c r="N57" s="11">
        <v>3200</v>
      </c>
      <c r="O57" s="9">
        <v>3</v>
      </c>
      <c r="P57" s="9">
        <v>6720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11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11">
        <v>0</v>
      </c>
      <c r="AG57" s="3">
        <v>0</v>
      </c>
      <c r="AH57" s="14">
        <v>6720</v>
      </c>
    </row>
    <row r="58" spans="7:34" x14ac:dyDescent="0.4">
      <c r="G58" s="9" t="s">
        <v>58</v>
      </c>
      <c r="H58" s="9">
        <v>753878</v>
      </c>
      <c r="I58" s="9" t="s">
        <v>8</v>
      </c>
      <c r="J58" s="9" t="s">
        <v>2</v>
      </c>
      <c r="K58" s="9" t="s">
        <v>52</v>
      </c>
      <c r="L58" s="9"/>
      <c r="M58" s="9" t="s">
        <v>53</v>
      </c>
      <c r="N58" s="11">
        <v>3200</v>
      </c>
      <c r="O58" s="9">
        <v>3</v>
      </c>
      <c r="P58" s="9">
        <v>6720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11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11">
        <v>0</v>
      </c>
      <c r="AG58" s="3">
        <v>0</v>
      </c>
      <c r="AH58" s="14">
        <v>6720</v>
      </c>
    </row>
    <row r="59" spans="7:34" x14ac:dyDescent="0.4">
      <c r="G59" s="9" t="s">
        <v>58</v>
      </c>
      <c r="H59" s="9">
        <v>753879</v>
      </c>
      <c r="I59" s="9" t="s">
        <v>7</v>
      </c>
      <c r="J59" s="9" t="s">
        <v>2</v>
      </c>
      <c r="K59" s="9" t="s">
        <v>52</v>
      </c>
      <c r="L59" s="9"/>
      <c r="M59" s="9" t="s">
        <v>53</v>
      </c>
      <c r="N59" s="11">
        <v>3200</v>
      </c>
      <c r="O59" s="9">
        <v>3</v>
      </c>
      <c r="P59" s="9">
        <v>6720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11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11">
        <v>0</v>
      </c>
      <c r="AG59" s="3">
        <v>0</v>
      </c>
      <c r="AH59" s="14">
        <v>6720</v>
      </c>
    </row>
    <row r="60" spans="7:34" x14ac:dyDescent="0.4">
      <c r="G60" s="9" t="s">
        <v>58</v>
      </c>
      <c r="H60" s="9">
        <v>753880</v>
      </c>
      <c r="I60" s="9" t="s">
        <v>6</v>
      </c>
      <c r="J60" s="9" t="s">
        <v>2</v>
      </c>
      <c r="K60" s="9" t="s">
        <v>52</v>
      </c>
      <c r="L60" s="9"/>
      <c r="M60" s="9" t="s">
        <v>53</v>
      </c>
      <c r="N60" s="11">
        <v>3200</v>
      </c>
      <c r="O60" s="9">
        <v>4</v>
      </c>
      <c r="P60" s="9">
        <v>8960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11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11">
        <v>0</v>
      </c>
      <c r="AG60" s="3">
        <v>0</v>
      </c>
      <c r="AH60" s="14">
        <v>8960</v>
      </c>
    </row>
    <row r="61" spans="7:34" x14ac:dyDescent="0.4">
      <c r="G61" s="9" t="s">
        <v>59</v>
      </c>
      <c r="H61" s="9">
        <v>753867</v>
      </c>
      <c r="I61" s="9" t="s">
        <v>19</v>
      </c>
      <c r="J61" s="9" t="s">
        <v>2</v>
      </c>
      <c r="K61" s="9" t="s">
        <v>52</v>
      </c>
      <c r="L61" s="9"/>
      <c r="M61" s="9" t="s">
        <v>53</v>
      </c>
      <c r="N61" s="11">
        <v>3200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5</v>
      </c>
      <c r="AC61" s="9">
        <v>3150</v>
      </c>
      <c r="AD61" s="9">
        <v>0</v>
      </c>
      <c r="AE61" s="9">
        <v>0</v>
      </c>
      <c r="AF61" s="9">
        <v>0</v>
      </c>
      <c r="AG61" s="3">
        <v>0</v>
      </c>
      <c r="AH61" s="14">
        <v>3150</v>
      </c>
    </row>
    <row r="62" spans="7:34" x14ac:dyDescent="0.4">
      <c r="G62" s="9" t="s">
        <v>59</v>
      </c>
      <c r="H62" s="9">
        <v>753868</v>
      </c>
      <c r="I62" s="9" t="s">
        <v>18</v>
      </c>
      <c r="J62" s="9" t="s">
        <v>2</v>
      </c>
      <c r="K62" s="9" t="s">
        <v>52</v>
      </c>
      <c r="L62" s="9"/>
      <c r="M62" s="9" t="s">
        <v>53</v>
      </c>
      <c r="N62" s="11">
        <v>3200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5</v>
      </c>
      <c r="AC62" s="9">
        <v>3150</v>
      </c>
      <c r="AD62" s="9">
        <v>0</v>
      </c>
      <c r="AE62" s="9">
        <v>0</v>
      </c>
      <c r="AF62" s="9">
        <v>0</v>
      </c>
      <c r="AG62" s="3">
        <v>0</v>
      </c>
      <c r="AH62" s="14">
        <v>3150</v>
      </c>
    </row>
    <row r="63" spans="7:34" x14ac:dyDescent="0.4">
      <c r="G63" s="9" t="s">
        <v>59</v>
      </c>
      <c r="H63" s="9">
        <v>753869</v>
      </c>
      <c r="I63" s="9" t="s">
        <v>17</v>
      </c>
      <c r="J63" s="9" t="s">
        <v>2</v>
      </c>
      <c r="K63" s="9" t="s">
        <v>52</v>
      </c>
      <c r="L63" s="9"/>
      <c r="M63" s="9" t="s">
        <v>53</v>
      </c>
      <c r="N63" s="11">
        <v>3200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6</v>
      </c>
      <c r="AC63" s="9">
        <v>3780</v>
      </c>
      <c r="AD63" s="9">
        <v>0</v>
      </c>
      <c r="AE63" s="9">
        <v>0</v>
      </c>
      <c r="AF63" s="9">
        <v>0</v>
      </c>
      <c r="AG63" s="3">
        <v>0</v>
      </c>
      <c r="AH63" s="14">
        <v>3780</v>
      </c>
    </row>
    <row r="64" spans="7:34" x14ac:dyDescent="0.4">
      <c r="G64" s="9" t="s">
        <v>59</v>
      </c>
      <c r="H64" s="9">
        <v>753870</v>
      </c>
      <c r="I64" s="9" t="s">
        <v>15</v>
      </c>
      <c r="J64" s="9" t="s">
        <v>2</v>
      </c>
      <c r="K64" s="9" t="s">
        <v>52</v>
      </c>
      <c r="L64" s="9"/>
      <c r="M64" s="9" t="s">
        <v>53</v>
      </c>
      <c r="N64" s="11">
        <v>3200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7</v>
      </c>
      <c r="AC64" s="9">
        <v>4410</v>
      </c>
      <c r="AD64" s="9">
        <v>0</v>
      </c>
      <c r="AE64" s="9">
        <v>0</v>
      </c>
      <c r="AF64" s="9">
        <v>0</v>
      </c>
      <c r="AG64" s="3">
        <v>0</v>
      </c>
      <c r="AH64" s="14">
        <v>4410</v>
      </c>
    </row>
    <row r="65" spans="7:34" x14ac:dyDescent="0.4">
      <c r="G65" s="9" t="s">
        <v>59</v>
      </c>
      <c r="H65" s="9">
        <v>753871</v>
      </c>
      <c r="I65" s="9" t="s">
        <v>10</v>
      </c>
      <c r="J65" s="9" t="s">
        <v>2</v>
      </c>
      <c r="K65" s="9" t="s">
        <v>52</v>
      </c>
      <c r="L65" s="9"/>
      <c r="M65" s="9" t="s">
        <v>53</v>
      </c>
      <c r="N65" s="11">
        <v>3200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7</v>
      </c>
      <c r="AC65" s="9">
        <v>4410</v>
      </c>
      <c r="AD65" s="9">
        <v>0</v>
      </c>
      <c r="AE65" s="9">
        <v>0</v>
      </c>
      <c r="AF65" s="9">
        <v>0</v>
      </c>
      <c r="AG65" s="3">
        <v>0</v>
      </c>
      <c r="AH65" s="14">
        <v>4410</v>
      </c>
    </row>
    <row r="66" spans="7:34" x14ac:dyDescent="0.4">
      <c r="G66" s="9" t="s">
        <v>59</v>
      </c>
      <c r="H66" s="9">
        <v>753872</v>
      </c>
      <c r="I66" s="9" t="s">
        <v>11</v>
      </c>
      <c r="J66" s="9" t="s">
        <v>2</v>
      </c>
      <c r="K66" s="9" t="s">
        <v>52</v>
      </c>
      <c r="L66" s="9"/>
      <c r="M66" s="9" t="s">
        <v>53</v>
      </c>
      <c r="N66" s="11">
        <v>3200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9</v>
      </c>
      <c r="AC66" s="9">
        <v>5670</v>
      </c>
      <c r="AD66" s="9">
        <v>0</v>
      </c>
      <c r="AE66" s="9">
        <v>0</v>
      </c>
      <c r="AF66" s="9">
        <v>0</v>
      </c>
      <c r="AG66" s="3">
        <v>0</v>
      </c>
      <c r="AH66" s="14">
        <v>5670</v>
      </c>
    </row>
    <row r="67" spans="7:34" x14ac:dyDescent="0.4">
      <c r="G67" s="9" t="s">
        <v>59</v>
      </c>
      <c r="H67" s="9">
        <v>753873</v>
      </c>
      <c r="I67" s="9" t="s">
        <v>12</v>
      </c>
      <c r="J67" s="9" t="s">
        <v>2</v>
      </c>
      <c r="K67" s="9" t="s">
        <v>52</v>
      </c>
      <c r="L67" s="9"/>
      <c r="M67" s="9" t="s">
        <v>53</v>
      </c>
      <c r="N67" s="11">
        <v>3200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11">
        <v>0</v>
      </c>
      <c r="Z67" s="9">
        <v>0</v>
      </c>
      <c r="AA67" s="9">
        <v>0</v>
      </c>
      <c r="AB67" s="9">
        <v>9</v>
      </c>
      <c r="AC67" s="9">
        <v>5670</v>
      </c>
      <c r="AD67" s="9">
        <v>0</v>
      </c>
      <c r="AE67" s="9">
        <v>0</v>
      </c>
      <c r="AF67" s="11">
        <v>0</v>
      </c>
      <c r="AG67" s="3">
        <v>0</v>
      </c>
      <c r="AH67" s="14">
        <v>5670</v>
      </c>
    </row>
    <row r="68" spans="7:34" x14ac:dyDescent="0.4">
      <c r="G68" s="9" t="s">
        <v>59</v>
      </c>
      <c r="H68" s="9">
        <v>753874</v>
      </c>
      <c r="I68" s="9" t="s">
        <v>16</v>
      </c>
      <c r="J68" s="9" t="s">
        <v>2</v>
      </c>
      <c r="K68" s="9" t="s">
        <v>52</v>
      </c>
      <c r="L68" s="9"/>
      <c r="M68" s="9" t="s">
        <v>53</v>
      </c>
      <c r="N68" s="11">
        <v>3200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9</v>
      </c>
      <c r="AC68" s="9">
        <v>5670</v>
      </c>
      <c r="AD68" s="9">
        <v>0</v>
      </c>
      <c r="AE68" s="9">
        <v>0</v>
      </c>
      <c r="AF68" s="9">
        <v>0</v>
      </c>
      <c r="AG68" s="3">
        <v>0</v>
      </c>
      <c r="AH68" s="14">
        <v>5670</v>
      </c>
    </row>
    <row r="69" spans="7:34" x14ac:dyDescent="0.4">
      <c r="G69" s="9" t="s">
        <v>59</v>
      </c>
      <c r="H69" s="9">
        <v>753875</v>
      </c>
      <c r="I69" s="9" t="s">
        <v>14</v>
      </c>
      <c r="J69" s="9" t="s">
        <v>2</v>
      </c>
      <c r="K69" s="9" t="s">
        <v>52</v>
      </c>
      <c r="L69" s="9"/>
      <c r="M69" s="9" t="s">
        <v>53</v>
      </c>
      <c r="N69" s="11">
        <v>3200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9</v>
      </c>
      <c r="AC69" s="9">
        <v>5670</v>
      </c>
      <c r="AD69" s="9">
        <v>0</v>
      </c>
      <c r="AE69" s="9">
        <v>0</v>
      </c>
      <c r="AF69" s="9">
        <v>0</v>
      </c>
      <c r="AG69" s="3">
        <v>0</v>
      </c>
      <c r="AH69" s="14">
        <v>5670</v>
      </c>
    </row>
    <row r="70" spans="7:34" x14ac:dyDescent="0.4">
      <c r="G70" s="9" t="s">
        <v>59</v>
      </c>
      <c r="H70" s="9">
        <v>753876</v>
      </c>
      <c r="I70" s="9" t="s">
        <v>13</v>
      </c>
      <c r="J70" s="9" t="s">
        <v>2</v>
      </c>
      <c r="K70" s="9" t="s">
        <v>52</v>
      </c>
      <c r="L70" s="9"/>
      <c r="M70" s="9" t="s">
        <v>53</v>
      </c>
      <c r="N70" s="11">
        <v>3200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10</v>
      </c>
      <c r="AC70" s="9">
        <v>6300</v>
      </c>
      <c r="AD70" s="9">
        <v>0</v>
      </c>
      <c r="AE70" s="9">
        <v>0</v>
      </c>
      <c r="AF70" s="9">
        <v>0</v>
      </c>
      <c r="AG70" s="3">
        <v>0</v>
      </c>
      <c r="AH70" s="14">
        <v>6300</v>
      </c>
    </row>
    <row r="71" spans="7:34" x14ac:dyDescent="0.4">
      <c r="G71" s="9" t="s">
        <v>59</v>
      </c>
      <c r="H71" s="9">
        <v>753877</v>
      </c>
      <c r="I71" s="9" t="s">
        <v>9</v>
      </c>
      <c r="J71" s="9" t="s">
        <v>2</v>
      </c>
      <c r="K71" s="9" t="s">
        <v>52</v>
      </c>
      <c r="L71" s="9"/>
      <c r="M71" s="9" t="s">
        <v>53</v>
      </c>
      <c r="N71" s="11">
        <v>3200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11</v>
      </c>
      <c r="AC71" s="9">
        <v>6930</v>
      </c>
      <c r="AD71" s="9">
        <v>0</v>
      </c>
      <c r="AE71" s="9">
        <v>0</v>
      </c>
      <c r="AF71" s="9">
        <v>0</v>
      </c>
      <c r="AG71" s="3">
        <v>0</v>
      </c>
      <c r="AH71" s="14">
        <v>6930</v>
      </c>
    </row>
    <row r="72" spans="7:34" x14ac:dyDescent="0.4">
      <c r="G72" s="9" t="s">
        <v>59</v>
      </c>
      <c r="H72" s="9">
        <v>753878</v>
      </c>
      <c r="I72" s="9" t="s">
        <v>8</v>
      </c>
      <c r="J72" s="9" t="s">
        <v>2</v>
      </c>
      <c r="K72" s="9" t="s">
        <v>52</v>
      </c>
      <c r="L72" s="9"/>
      <c r="M72" s="9" t="s">
        <v>53</v>
      </c>
      <c r="N72" s="11">
        <v>3200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14</v>
      </c>
      <c r="AC72" s="9">
        <v>8820</v>
      </c>
      <c r="AD72" s="9">
        <v>0</v>
      </c>
      <c r="AE72" s="9">
        <v>0</v>
      </c>
      <c r="AF72" s="9">
        <v>0</v>
      </c>
      <c r="AG72" s="3">
        <v>0</v>
      </c>
      <c r="AH72" s="14">
        <v>8820</v>
      </c>
    </row>
    <row r="73" spans="7:34" x14ac:dyDescent="0.4">
      <c r="G73" s="9" t="s">
        <v>59</v>
      </c>
      <c r="H73" s="9">
        <v>753879</v>
      </c>
      <c r="I73" s="9" t="s">
        <v>7</v>
      </c>
      <c r="J73" s="9" t="s">
        <v>2</v>
      </c>
      <c r="K73" s="9" t="s">
        <v>52</v>
      </c>
      <c r="L73" s="9"/>
      <c r="M73" s="9" t="s">
        <v>53</v>
      </c>
      <c r="N73" s="11">
        <v>3200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14</v>
      </c>
      <c r="AC73" s="9">
        <v>8820</v>
      </c>
      <c r="AD73" s="9">
        <v>0</v>
      </c>
      <c r="AE73" s="9">
        <v>0</v>
      </c>
      <c r="AF73" s="9">
        <v>0</v>
      </c>
      <c r="AG73" s="3">
        <v>0</v>
      </c>
      <c r="AH73" s="14">
        <v>8820</v>
      </c>
    </row>
    <row r="74" spans="7:34" x14ac:dyDescent="0.4">
      <c r="G74" s="9" t="s">
        <v>59</v>
      </c>
      <c r="H74" s="9">
        <v>753880</v>
      </c>
      <c r="I74" s="9" t="s">
        <v>6</v>
      </c>
      <c r="J74" s="9" t="s">
        <v>2</v>
      </c>
      <c r="K74" s="9" t="s">
        <v>52</v>
      </c>
      <c r="L74" s="9"/>
      <c r="M74" s="9" t="s">
        <v>53</v>
      </c>
      <c r="N74" s="11">
        <v>3200</v>
      </c>
      <c r="O74" s="9">
        <v>1</v>
      </c>
      <c r="P74" s="9">
        <v>2240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16</v>
      </c>
      <c r="AC74" s="9">
        <v>10080</v>
      </c>
      <c r="AD74" s="9">
        <v>0</v>
      </c>
      <c r="AE74" s="9">
        <v>0</v>
      </c>
      <c r="AF74" s="9">
        <v>0</v>
      </c>
      <c r="AG74" s="3">
        <v>0</v>
      </c>
      <c r="AH74" s="14">
        <v>12320</v>
      </c>
    </row>
    <row r="75" spans="7:34" x14ac:dyDescent="0.4">
      <c r="G75" s="9" t="s">
        <v>60</v>
      </c>
      <c r="H75" s="9">
        <v>753867</v>
      </c>
      <c r="I75" s="9" t="s">
        <v>19</v>
      </c>
      <c r="J75" s="9" t="s">
        <v>2</v>
      </c>
      <c r="K75" s="9" t="s">
        <v>52</v>
      </c>
      <c r="L75" s="9"/>
      <c r="M75" s="9" t="s">
        <v>53</v>
      </c>
      <c r="N75" s="11">
        <v>44800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1</v>
      </c>
      <c r="AC75" s="9">
        <v>7056</v>
      </c>
      <c r="AD75" s="9">
        <v>0</v>
      </c>
      <c r="AE75" s="9">
        <v>0</v>
      </c>
      <c r="AF75" s="9">
        <v>0</v>
      </c>
      <c r="AG75" s="3">
        <v>0</v>
      </c>
      <c r="AH75" s="14">
        <v>7056</v>
      </c>
    </row>
    <row r="76" spans="7:34" x14ac:dyDescent="0.4">
      <c r="G76" s="9" t="s">
        <v>60</v>
      </c>
      <c r="H76" s="9">
        <v>753867</v>
      </c>
      <c r="I76" s="9" t="s">
        <v>19</v>
      </c>
      <c r="J76" s="9" t="s">
        <v>2</v>
      </c>
      <c r="K76" s="9" t="s">
        <v>52</v>
      </c>
      <c r="L76" s="9"/>
      <c r="M76" s="9" t="s">
        <v>53</v>
      </c>
      <c r="N76" s="11">
        <v>3200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7</v>
      </c>
      <c r="AC76" s="9">
        <v>3906</v>
      </c>
      <c r="AD76" s="9">
        <v>0</v>
      </c>
      <c r="AE76" s="9">
        <v>0</v>
      </c>
      <c r="AF76" s="9">
        <v>0</v>
      </c>
      <c r="AG76" s="3">
        <v>0</v>
      </c>
      <c r="AH76" s="14">
        <v>3906</v>
      </c>
    </row>
    <row r="77" spans="7:34" x14ac:dyDescent="0.4">
      <c r="G77" s="9" t="s">
        <v>60</v>
      </c>
      <c r="H77" s="9">
        <v>753868</v>
      </c>
      <c r="I77" s="9" t="s">
        <v>18</v>
      </c>
      <c r="J77" s="9" t="s">
        <v>2</v>
      </c>
      <c r="K77" s="9" t="s">
        <v>52</v>
      </c>
      <c r="L77" s="9"/>
      <c r="M77" s="9" t="s">
        <v>53</v>
      </c>
      <c r="N77" s="11">
        <v>3200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7</v>
      </c>
      <c r="AC77" s="9">
        <v>3906</v>
      </c>
      <c r="AD77" s="9">
        <v>0</v>
      </c>
      <c r="AE77" s="9">
        <v>0</v>
      </c>
      <c r="AF77" s="9">
        <v>0</v>
      </c>
      <c r="AG77" s="3">
        <v>0</v>
      </c>
      <c r="AH77" s="14">
        <v>3906</v>
      </c>
    </row>
    <row r="78" spans="7:34" x14ac:dyDescent="0.4">
      <c r="G78" s="9" t="s">
        <v>60</v>
      </c>
      <c r="H78" s="9">
        <v>753869</v>
      </c>
      <c r="I78" s="9" t="s">
        <v>17</v>
      </c>
      <c r="J78" s="9" t="s">
        <v>2</v>
      </c>
      <c r="K78" s="9" t="s">
        <v>52</v>
      </c>
      <c r="L78" s="9"/>
      <c r="M78" s="9" t="s">
        <v>53</v>
      </c>
      <c r="N78" s="11">
        <v>3200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8</v>
      </c>
      <c r="AC78" s="9">
        <v>4284</v>
      </c>
      <c r="AD78" s="9">
        <v>0</v>
      </c>
      <c r="AE78" s="9">
        <v>0</v>
      </c>
      <c r="AF78" s="9">
        <v>0</v>
      </c>
      <c r="AG78" s="3">
        <v>0</v>
      </c>
      <c r="AH78" s="14">
        <v>4284</v>
      </c>
    </row>
    <row r="79" spans="7:34" x14ac:dyDescent="0.4">
      <c r="G79" s="9" t="s">
        <v>60</v>
      </c>
      <c r="H79" s="9">
        <v>753870</v>
      </c>
      <c r="I79" s="9" t="s">
        <v>15</v>
      </c>
      <c r="J79" s="9" t="s">
        <v>2</v>
      </c>
      <c r="K79" s="9" t="s">
        <v>52</v>
      </c>
      <c r="L79" s="9"/>
      <c r="M79" s="9" t="s">
        <v>53</v>
      </c>
      <c r="N79" s="11">
        <v>3200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7</v>
      </c>
      <c r="AC79" s="9">
        <v>3780</v>
      </c>
      <c r="AD79" s="9">
        <v>0</v>
      </c>
      <c r="AE79" s="9">
        <v>0</v>
      </c>
      <c r="AF79" s="9">
        <v>0</v>
      </c>
      <c r="AG79" s="3">
        <v>0</v>
      </c>
      <c r="AH79" s="14">
        <v>3780</v>
      </c>
    </row>
    <row r="80" spans="7:34" x14ac:dyDescent="0.4">
      <c r="G80" s="9" t="s">
        <v>60</v>
      </c>
      <c r="H80" s="9">
        <v>753871</v>
      </c>
      <c r="I80" s="9" t="s">
        <v>10</v>
      </c>
      <c r="J80" s="9" t="s">
        <v>2</v>
      </c>
      <c r="K80" s="9" t="s">
        <v>52</v>
      </c>
      <c r="L80" s="9"/>
      <c r="M80" s="9" t="s">
        <v>53</v>
      </c>
      <c r="N80" s="11">
        <v>3200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8</v>
      </c>
      <c r="AC80" s="9">
        <v>4284</v>
      </c>
      <c r="AD80" s="9">
        <v>0</v>
      </c>
      <c r="AE80" s="9">
        <v>0</v>
      </c>
      <c r="AF80" s="9">
        <v>0</v>
      </c>
      <c r="AG80" s="3">
        <v>0</v>
      </c>
      <c r="AH80" s="14">
        <v>4284</v>
      </c>
    </row>
    <row r="81" spans="7:34" x14ac:dyDescent="0.4">
      <c r="G81" s="9" t="s">
        <v>60</v>
      </c>
      <c r="H81" s="9">
        <v>753872</v>
      </c>
      <c r="I81" s="9" t="s">
        <v>11</v>
      </c>
      <c r="J81" s="9" t="s">
        <v>2</v>
      </c>
      <c r="K81" s="9" t="s">
        <v>52</v>
      </c>
      <c r="L81" s="9"/>
      <c r="M81" s="9" t="s">
        <v>53</v>
      </c>
      <c r="N81" s="11">
        <v>3200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6</v>
      </c>
      <c r="AC81" s="9">
        <v>3024</v>
      </c>
      <c r="AD81" s="9">
        <v>0</v>
      </c>
      <c r="AE81" s="9">
        <v>0</v>
      </c>
      <c r="AF81" s="9">
        <v>0</v>
      </c>
      <c r="AG81" s="3">
        <v>0</v>
      </c>
      <c r="AH81" s="14">
        <v>3024</v>
      </c>
    </row>
    <row r="82" spans="7:34" x14ac:dyDescent="0.4">
      <c r="G82" s="9" t="s">
        <v>60</v>
      </c>
      <c r="H82" s="9">
        <v>753873</v>
      </c>
      <c r="I82" s="9" t="s">
        <v>12</v>
      </c>
      <c r="J82" s="9" t="s">
        <v>2</v>
      </c>
      <c r="K82" s="9" t="s">
        <v>52</v>
      </c>
      <c r="L82" s="9"/>
      <c r="M82" s="9" t="s">
        <v>53</v>
      </c>
      <c r="N82" s="11">
        <v>3200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11">
        <v>0</v>
      </c>
      <c r="Z82" s="9">
        <v>0</v>
      </c>
      <c r="AA82" s="9">
        <v>0</v>
      </c>
      <c r="AB82" s="9">
        <v>6</v>
      </c>
      <c r="AC82" s="9">
        <v>3150</v>
      </c>
      <c r="AD82" s="9">
        <v>0</v>
      </c>
      <c r="AE82" s="9">
        <v>0</v>
      </c>
      <c r="AF82" s="11">
        <v>0</v>
      </c>
      <c r="AG82" s="3">
        <v>0</v>
      </c>
      <c r="AH82" s="14">
        <v>3150</v>
      </c>
    </row>
    <row r="83" spans="7:34" x14ac:dyDescent="0.4">
      <c r="G83" s="9" t="s">
        <v>60</v>
      </c>
      <c r="H83" s="9">
        <v>753874</v>
      </c>
      <c r="I83" s="9" t="s">
        <v>16</v>
      </c>
      <c r="J83" s="9" t="s">
        <v>2</v>
      </c>
      <c r="K83" s="9" t="s">
        <v>52</v>
      </c>
      <c r="L83" s="9"/>
      <c r="M83" s="9" t="s">
        <v>53</v>
      </c>
      <c r="N83" s="11">
        <v>3200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11">
        <v>0</v>
      </c>
      <c r="Z83" s="9">
        <v>0</v>
      </c>
      <c r="AA83" s="9">
        <v>0</v>
      </c>
      <c r="AB83" s="9">
        <v>7</v>
      </c>
      <c r="AC83" s="9">
        <v>3906</v>
      </c>
      <c r="AD83" s="9">
        <v>0</v>
      </c>
      <c r="AE83" s="9">
        <v>0</v>
      </c>
      <c r="AF83" s="11">
        <v>0</v>
      </c>
      <c r="AG83" s="3">
        <v>0</v>
      </c>
      <c r="AH83" s="14">
        <v>3906</v>
      </c>
    </row>
    <row r="84" spans="7:34" x14ac:dyDescent="0.4">
      <c r="G84" s="9" t="s">
        <v>60</v>
      </c>
      <c r="H84" s="9">
        <v>753875</v>
      </c>
      <c r="I84" s="9" t="s">
        <v>14</v>
      </c>
      <c r="J84" s="9" t="s">
        <v>2</v>
      </c>
      <c r="K84" s="9" t="s">
        <v>52</v>
      </c>
      <c r="L84" s="9"/>
      <c r="M84" s="9" t="s">
        <v>53</v>
      </c>
      <c r="N84" s="11">
        <v>3200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7</v>
      </c>
      <c r="AC84" s="9">
        <v>3906</v>
      </c>
      <c r="AD84" s="9">
        <v>0</v>
      </c>
      <c r="AE84" s="9">
        <v>0</v>
      </c>
      <c r="AF84" s="9">
        <v>0</v>
      </c>
      <c r="AG84" s="3">
        <v>0</v>
      </c>
      <c r="AH84" s="14">
        <v>3906</v>
      </c>
    </row>
    <row r="85" spans="7:34" x14ac:dyDescent="0.4">
      <c r="G85" s="9" t="s">
        <v>60</v>
      </c>
      <c r="H85" s="9">
        <v>753876</v>
      </c>
      <c r="I85" s="9" t="s">
        <v>13</v>
      </c>
      <c r="J85" s="9" t="s">
        <v>2</v>
      </c>
      <c r="K85" s="9" t="s">
        <v>52</v>
      </c>
      <c r="L85" s="9"/>
      <c r="M85" s="9" t="s">
        <v>53</v>
      </c>
      <c r="N85" s="11">
        <v>3200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11">
        <v>0</v>
      </c>
      <c r="Z85" s="9">
        <v>0</v>
      </c>
      <c r="AA85" s="9">
        <v>0</v>
      </c>
      <c r="AB85" s="9">
        <v>6</v>
      </c>
      <c r="AC85" s="9">
        <v>3276</v>
      </c>
      <c r="AD85" s="9">
        <v>0</v>
      </c>
      <c r="AE85" s="9">
        <v>0</v>
      </c>
      <c r="AF85" s="11">
        <v>0</v>
      </c>
      <c r="AG85" s="3">
        <v>0</v>
      </c>
      <c r="AH85" s="14">
        <v>3276</v>
      </c>
    </row>
    <row r="86" spans="7:34" x14ac:dyDescent="0.4">
      <c r="G86" s="9" t="s">
        <v>60</v>
      </c>
      <c r="H86" s="9">
        <v>753877</v>
      </c>
      <c r="I86" s="9" t="s">
        <v>9</v>
      </c>
      <c r="J86" s="9" t="s">
        <v>2</v>
      </c>
      <c r="K86" s="9" t="s">
        <v>52</v>
      </c>
      <c r="L86" s="9"/>
      <c r="M86" s="9" t="s">
        <v>53</v>
      </c>
      <c r="N86" s="11">
        <v>3200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11">
        <v>0</v>
      </c>
      <c r="Z86" s="9">
        <v>0</v>
      </c>
      <c r="AA86" s="9">
        <v>0</v>
      </c>
      <c r="AB86" s="9">
        <v>4</v>
      </c>
      <c r="AC86" s="9">
        <v>2016</v>
      </c>
      <c r="AD86" s="9">
        <v>0</v>
      </c>
      <c r="AE86" s="9">
        <v>0</v>
      </c>
      <c r="AF86" s="11">
        <v>0</v>
      </c>
      <c r="AG86" s="3">
        <v>0</v>
      </c>
      <c r="AH86" s="14">
        <v>2016</v>
      </c>
    </row>
    <row r="87" spans="7:34" x14ac:dyDescent="0.4">
      <c r="G87" s="9" t="s">
        <v>60</v>
      </c>
      <c r="H87" s="9">
        <v>753878</v>
      </c>
      <c r="I87" s="9" t="s">
        <v>8</v>
      </c>
      <c r="J87" s="9" t="s">
        <v>2</v>
      </c>
      <c r="K87" s="9" t="s">
        <v>52</v>
      </c>
      <c r="L87" s="9"/>
      <c r="M87" s="9" t="s">
        <v>53</v>
      </c>
      <c r="N87" s="11">
        <v>3200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11">
        <v>0</v>
      </c>
      <c r="Z87" s="9">
        <v>0</v>
      </c>
      <c r="AA87" s="9">
        <v>0</v>
      </c>
      <c r="AB87" s="9">
        <v>4</v>
      </c>
      <c r="AC87" s="9">
        <v>2016</v>
      </c>
      <c r="AD87" s="9">
        <v>0</v>
      </c>
      <c r="AE87" s="9">
        <v>0</v>
      </c>
      <c r="AF87" s="11">
        <v>0</v>
      </c>
      <c r="AG87" s="3">
        <v>0</v>
      </c>
      <c r="AH87" s="14">
        <v>2016</v>
      </c>
    </row>
    <row r="88" spans="7:34" x14ac:dyDescent="0.4">
      <c r="G88" s="9" t="s">
        <v>60</v>
      </c>
      <c r="H88" s="9">
        <v>753879</v>
      </c>
      <c r="I88" s="9" t="s">
        <v>7</v>
      </c>
      <c r="J88" s="9" t="s">
        <v>2</v>
      </c>
      <c r="K88" s="9" t="s">
        <v>52</v>
      </c>
      <c r="L88" s="9"/>
      <c r="M88" s="9" t="s">
        <v>53</v>
      </c>
      <c r="N88" s="11">
        <v>3200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11">
        <v>0</v>
      </c>
      <c r="Z88" s="9">
        <v>0</v>
      </c>
      <c r="AA88" s="9">
        <v>0</v>
      </c>
      <c r="AB88" s="9">
        <v>4</v>
      </c>
      <c r="AC88" s="9">
        <v>2016</v>
      </c>
      <c r="AD88" s="9">
        <v>0</v>
      </c>
      <c r="AE88" s="9">
        <v>0</v>
      </c>
      <c r="AF88" s="11">
        <v>0</v>
      </c>
      <c r="AG88" s="3">
        <v>0</v>
      </c>
      <c r="AH88" s="14">
        <v>2016</v>
      </c>
    </row>
    <row r="89" spans="7:34" x14ac:dyDescent="0.4">
      <c r="G89" s="9" t="s">
        <v>60</v>
      </c>
      <c r="H89" s="9">
        <v>753880</v>
      </c>
      <c r="I89" s="9" t="s">
        <v>6</v>
      </c>
      <c r="J89" s="9" t="s">
        <v>2</v>
      </c>
      <c r="K89" s="9" t="s">
        <v>52</v>
      </c>
      <c r="L89" s="9"/>
      <c r="M89" s="9" t="s">
        <v>53</v>
      </c>
      <c r="N89" s="11">
        <v>3200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11">
        <v>0</v>
      </c>
      <c r="Z89" s="9">
        <v>0</v>
      </c>
      <c r="AA89" s="9">
        <v>0</v>
      </c>
      <c r="AB89" s="9">
        <v>6</v>
      </c>
      <c r="AC89" s="9">
        <v>3024</v>
      </c>
      <c r="AD89" s="9">
        <v>0</v>
      </c>
      <c r="AE89" s="9">
        <v>0</v>
      </c>
      <c r="AF89" s="11">
        <v>0</v>
      </c>
      <c r="AG89" s="3">
        <v>0</v>
      </c>
      <c r="AH89" s="14">
        <v>3024</v>
      </c>
    </row>
    <row r="90" spans="7:34" x14ac:dyDescent="0.4">
      <c r="G90" s="9" t="s">
        <v>61</v>
      </c>
      <c r="H90" s="9">
        <v>753871</v>
      </c>
      <c r="I90" s="9" t="s">
        <v>10</v>
      </c>
      <c r="J90" s="9" t="s">
        <v>2</v>
      </c>
      <c r="K90" s="9" t="s">
        <v>52</v>
      </c>
      <c r="L90" s="9"/>
      <c r="M90" s="9" t="s">
        <v>53</v>
      </c>
      <c r="N90" s="11">
        <v>3200</v>
      </c>
      <c r="O90" s="9">
        <v>1</v>
      </c>
      <c r="P90" s="9">
        <v>2240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3">
        <v>0</v>
      </c>
      <c r="AH90" s="14">
        <v>2240</v>
      </c>
    </row>
    <row r="91" spans="7:34" x14ac:dyDescent="0.4">
      <c r="G91" s="9" t="s">
        <v>61</v>
      </c>
      <c r="H91" s="9">
        <v>753872</v>
      </c>
      <c r="I91" s="9" t="s">
        <v>11</v>
      </c>
      <c r="J91" s="9" t="s">
        <v>2</v>
      </c>
      <c r="K91" s="9" t="s">
        <v>52</v>
      </c>
      <c r="L91" s="9"/>
      <c r="M91" s="9" t="s">
        <v>53</v>
      </c>
      <c r="N91" s="11">
        <v>3200</v>
      </c>
      <c r="O91" s="9">
        <v>1</v>
      </c>
      <c r="P91" s="9">
        <v>2240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3">
        <v>0</v>
      </c>
      <c r="AH91" s="14">
        <v>2240</v>
      </c>
    </row>
    <row r="92" spans="7:34" x14ac:dyDescent="0.4">
      <c r="G92" s="9" t="s">
        <v>61</v>
      </c>
      <c r="H92" s="9">
        <v>753873</v>
      </c>
      <c r="I92" s="9" t="s">
        <v>12</v>
      </c>
      <c r="J92" s="9" t="s">
        <v>2</v>
      </c>
      <c r="K92" s="9" t="s">
        <v>52</v>
      </c>
      <c r="L92" s="9"/>
      <c r="M92" s="9" t="s">
        <v>53</v>
      </c>
      <c r="N92" s="11">
        <v>3200</v>
      </c>
      <c r="O92" s="9">
        <v>1</v>
      </c>
      <c r="P92" s="9">
        <v>2240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3">
        <v>0</v>
      </c>
      <c r="AH92" s="14">
        <v>2240</v>
      </c>
    </row>
    <row r="93" spans="7:34" x14ac:dyDescent="0.4">
      <c r="G93" s="9" t="s">
        <v>61</v>
      </c>
      <c r="H93" s="9">
        <v>753874</v>
      </c>
      <c r="I93" s="9" t="s">
        <v>16</v>
      </c>
      <c r="J93" s="9" t="s">
        <v>2</v>
      </c>
      <c r="K93" s="9" t="s">
        <v>52</v>
      </c>
      <c r="L93" s="9"/>
      <c r="M93" s="9" t="s">
        <v>53</v>
      </c>
      <c r="N93" s="11">
        <v>3200</v>
      </c>
      <c r="O93" s="9">
        <v>1</v>
      </c>
      <c r="P93" s="9">
        <v>2240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3">
        <v>0</v>
      </c>
      <c r="AH93" s="14">
        <v>2240</v>
      </c>
    </row>
    <row r="94" spans="7:34" x14ac:dyDescent="0.4">
      <c r="G94" s="9" t="s">
        <v>61</v>
      </c>
      <c r="H94" s="9">
        <v>753875</v>
      </c>
      <c r="I94" s="9" t="s">
        <v>14</v>
      </c>
      <c r="J94" s="9" t="s">
        <v>2</v>
      </c>
      <c r="K94" s="9" t="s">
        <v>52</v>
      </c>
      <c r="L94" s="9"/>
      <c r="M94" s="9" t="s">
        <v>53</v>
      </c>
      <c r="N94" s="11">
        <v>3200</v>
      </c>
      <c r="O94" s="9">
        <v>1</v>
      </c>
      <c r="P94" s="9">
        <v>2240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14">
        <v>2240</v>
      </c>
    </row>
    <row r="95" spans="7:34" x14ac:dyDescent="0.4">
      <c r="G95" s="9" t="s">
        <v>61</v>
      </c>
      <c r="H95" s="9">
        <v>753876</v>
      </c>
      <c r="I95" s="9" t="s">
        <v>13</v>
      </c>
      <c r="J95" s="9" t="s">
        <v>2</v>
      </c>
      <c r="K95" s="9" t="s">
        <v>52</v>
      </c>
      <c r="L95" s="9"/>
      <c r="M95" s="9" t="s">
        <v>53</v>
      </c>
      <c r="N95" s="11">
        <v>3200</v>
      </c>
      <c r="O95" s="9">
        <v>1</v>
      </c>
      <c r="P95" s="9">
        <v>2240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14">
        <v>2240</v>
      </c>
    </row>
    <row r="96" spans="7:34" x14ac:dyDescent="0.4">
      <c r="G96" s="9" t="s">
        <v>61</v>
      </c>
      <c r="H96" s="9">
        <v>753877</v>
      </c>
      <c r="I96" s="9" t="s">
        <v>9</v>
      </c>
      <c r="J96" s="9" t="s">
        <v>2</v>
      </c>
      <c r="K96" s="9" t="s">
        <v>52</v>
      </c>
      <c r="L96" s="9"/>
      <c r="M96" s="9" t="s">
        <v>53</v>
      </c>
      <c r="N96" s="11">
        <v>3200</v>
      </c>
      <c r="O96" s="9">
        <v>1</v>
      </c>
      <c r="P96" s="9">
        <v>2240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11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11">
        <v>0</v>
      </c>
      <c r="AG96" s="3">
        <v>0</v>
      </c>
      <c r="AH96" s="14">
        <v>2240</v>
      </c>
    </row>
    <row r="97" spans="4:35" x14ac:dyDescent="0.4">
      <c r="G97" s="9" t="s">
        <v>61</v>
      </c>
      <c r="H97" s="9">
        <v>753878</v>
      </c>
      <c r="I97" s="9" t="s">
        <v>8</v>
      </c>
      <c r="J97" s="9" t="s">
        <v>2</v>
      </c>
      <c r="K97" s="9" t="s">
        <v>52</v>
      </c>
      <c r="L97" s="9"/>
      <c r="M97" s="9" t="s">
        <v>53</v>
      </c>
      <c r="N97" s="11">
        <v>3200</v>
      </c>
      <c r="O97" s="9">
        <v>1</v>
      </c>
      <c r="P97" s="9">
        <v>2240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14">
        <v>2240</v>
      </c>
    </row>
    <row r="98" spans="4:35" x14ac:dyDescent="0.4">
      <c r="G98" s="9" t="s">
        <v>61</v>
      </c>
      <c r="H98" s="9">
        <v>753879</v>
      </c>
      <c r="I98" s="9" t="s">
        <v>7</v>
      </c>
      <c r="J98" s="9" t="s">
        <v>2</v>
      </c>
      <c r="K98" s="9" t="s">
        <v>52</v>
      </c>
      <c r="L98" s="9"/>
      <c r="M98" s="9" t="s">
        <v>53</v>
      </c>
      <c r="N98" s="11">
        <v>3200</v>
      </c>
      <c r="O98" s="9">
        <v>1</v>
      </c>
      <c r="P98" s="9">
        <v>2240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14">
        <v>2240</v>
      </c>
    </row>
    <row r="99" spans="4:35" x14ac:dyDescent="0.4">
      <c r="G99" s="9" t="s">
        <v>61</v>
      </c>
      <c r="H99" s="9">
        <v>753880</v>
      </c>
      <c r="I99" s="9" t="s">
        <v>6</v>
      </c>
      <c r="J99" s="9" t="s">
        <v>2</v>
      </c>
      <c r="K99" s="9" t="s">
        <v>52</v>
      </c>
      <c r="L99" s="9"/>
      <c r="M99" s="9" t="s">
        <v>53</v>
      </c>
      <c r="N99" s="11">
        <v>3200</v>
      </c>
      <c r="O99" s="9">
        <v>1</v>
      </c>
      <c r="P99" s="9">
        <v>2240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11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11">
        <v>0</v>
      </c>
      <c r="AG99" s="3">
        <v>0</v>
      </c>
      <c r="AH99" s="14">
        <v>2240</v>
      </c>
    </row>
    <row r="100" spans="4:35" x14ac:dyDescent="0.4">
      <c r="G100" s="3" t="s">
        <v>74</v>
      </c>
      <c r="H100" s="3">
        <v>753875</v>
      </c>
      <c r="I100" s="3" t="s">
        <v>14</v>
      </c>
      <c r="J100" s="3" t="s">
        <v>2</v>
      </c>
      <c r="K100" s="3" t="s">
        <v>52</v>
      </c>
      <c r="M100" s="3" t="s">
        <v>53</v>
      </c>
      <c r="N100" s="3">
        <v>3200</v>
      </c>
      <c r="O100" s="3">
        <v>1</v>
      </c>
      <c r="P100" s="3">
        <v>2240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14">
        <v>2240</v>
      </c>
    </row>
    <row r="101" spans="4:35" x14ac:dyDescent="0.4">
      <c r="G101" s="3" t="s">
        <v>74</v>
      </c>
      <c r="H101" s="3">
        <v>753876</v>
      </c>
      <c r="I101" s="3" t="s">
        <v>13</v>
      </c>
      <c r="J101" s="3" t="s">
        <v>2</v>
      </c>
      <c r="K101" s="3" t="s">
        <v>52</v>
      </c>
      <c r="M101" s="3" t="s">
        <v>53</v>
      </c>
      <c r="N101" s="3">
        <v>3200</v>
      </c>
      <c r="O101" s="3">
        <v>1</v>
      </c>
      <c r="P101" s="3">
        <v>2240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14">
        <v>2240</v>
      </c>
    </row>
    <row r="102" spans="4:35" x14ac:dyDescent="0.4">
      <c r="G102" s="3" t="s">
        <v>74</v>
      </c>
      <c r="H102" s="3">
        <v>753877</v>
      </c>
      <c r="I102" s="3" t="s">
        <v>9</v>
      </c>
      <c r="J102" s="3" t="s">
        <v>2</v>
      </c>
      <c r="K102" s="3" t="s">
        <v>52</v>
      </c>
      <c r="M102" s="3" t="s">
        <v>53</v>
      </c>
      <c r="N102" s="3">
        <v>3200</v>
      </c>
      <c r="O102" s="3">
        <v>1</v>
      </c>
      <c r="P102" s="3">
        <v>2240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14">
        <v>2240</v>
      </c>
    </row>
    <row r="103" spans="4:35" x14ac:dyDescent="0.4">
      <c r="G103" s="3" t="s">
        <v>74</v>
      </c>
      <c r="H103" s="3">
        <v>753878</v>
      </c>
      <c r="I103" s="3" t="s">
        <v>8</v>
      </c>
      <c r="J103" s="3" t="s">
        <v>2</v>
      </c>
      <c r="K103" s="3" t="s">
        <v>52</v>
      </c>
      <c r="M103" s="3" t="s">
        <v>53</v>
      </c>
      <c r="N103" s="3">
        <v>3200</v>
      </c>
      <c r="O103" s="3">
        <v>1</v>
      </c>
      <c r="P103" s="3">
        <v>2240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14">
        <v>2240</v>
      </c>
    </row>
    <row r="104" spans="4:35" x14ac:dyDescent="0.4">
      <c r="G104" s="3" t="s">
        <v>74</v>
      </c>
      <c r="H104" s="3">
        <v>753879</v>
      </c>
      <c r="I104" s="3" t="s">
        <v>7</v>
      </c>
      <c r="J104" s="3" t="s">
        <v>2</v>
      </c>
      <c r="K104" s="3" t="s">
        <v>52</v>
      </c>
      <c r="M104" s="3" t="s">
        <v>53</v>
      </c>
      <c r="N104" s="3">
        <v>3200</v>
      </c>
      <c r="O104" s="3">
        <v>1</v>
      </c>
      <c r="P104" s="3">
        <v>2240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14">
        <v>2240</v>
      </c>
    </row>
    <row r="105" spans="4:35" x14ac:dyDescent="0.4">
      <c r="D105" s="16" t="s">
        <v>75</v>
      </c>
      <c r="G105" s="9" t="s">
        <v>61</v>
      </c>
      <c r="H105" s="9">
        <v>592279</v>
      </c>
      <c r="I105" s="9" t="s">
        <v>23</v>
      </c>
      <c r="J105" s="9" t="s">
        <v>2</v>
      </c>
      <c r="K105" s="9" t="s">
        <v>52</v>
      </c>
      <c r="L105" s="9"/>
      <c r="M105" s="9" t="s">
        <v>53</v>
      </c>
      <c r="N105" s="11">
        <v>3200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1</v>
      </c>
      <c r="Y105" s="11">
        <v>630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11">
        <v>0</v>
      </c>
      <c r="AG105" s="3">
        <v>0</v>
      </c>
      <c r="AH105" s="16">
        <v>-630</v>
      </c>
      <c r="AI105" s="3">
        <v>630</v>
      </c>
    </row>
    <row r="106" spans="4:35" x14ac:dyDescent="0.4">
      <c r="D106" s="16" t="s">
        <v>75</v>
      </c>
      <c r="G106" s="9" t="s">
        <v>61</v>
      </c>
      <c r="H106" s="9">
        <v>592280</v>
      </c>
      <c r="I106" s="9" t="s">
        <v>20</v>
      </c>
      <c r="J106" s="9" t="s">
        <v>2</v>
      </c>
      <c r="K106" s="9" t="s">
        <v>52</v>
      </c>
      <c r="L106" s="9"/>
      <c r="M106" s="9" t="s">
        <v>53</v>
      </c>
      <c r="N106" s="11">
        <v>3200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1</v>
      </c>
      <c r="Y106" s="11">
        <v>630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11">
        <v>0</v>
      </c>
      <c r="AG106" s="3">
        <v>0</v>
      </c>
      <c r="AH106" s="16">
        <v>-630</v>
      </c>
      <c r="AI106" s="3">
        <v>630</v>
      </c>
    </row>
    <row r="107" spans="4:35" x14ac:dyDescent="0.4">
      <c r="D107" s="16" t="s">
        <v>75</v>
      </c>
      <c r="G107" s="9" t="s">
        <v>61</v>
      </c>
      <c r="H107" s="9">
        <v>592281</v>
      </c>
      <c r="I107" s="9" t="s">
        <v>21</v>
      </c>
      <c r="J107" s="9" t="s">
        <v>2</v>
      </c>
      <c r="K107" s="9" t="s">
        <v>52</v>
      </c>
      <c r="L107" s="9"/>
      <c r="M107" s="9" t="s">
        <v>53</v>
      </c>
      <c r="N107" s="11">
        <v>3200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2</v>
      </c>
      <c r="Y107" s="11">
        <v>1260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11">
        <v>0</v>
      </c>
      <c r="AG107" s="3">
        <v>0</v>
      </c>
      <c r="AH107" s="16">
        <v>-1260</v>
      </c>
      <c r="AI107" s="3">
        <v>1260</v>
      </c>
    </row>
    <row r="108" spans="4:35" x14ac:dyDescent="0.4">
      <c r="D108" s="16" t="s">
        <v>75</v>
      </c>
      <c r="G108" s="9" t="s">
        <v>61</v>
      </c>
      <c r="H108" s="9">
        <v>592282</v>
      </c>
      <c r="I108" s="9" t="s">
        <v>22</v>
      </c>
      <c r="J108" s="9" t="s">
        <v>2</v>
      </c>
      <c r="K108" s="9" t="s">
        <v>52</v>
      </c>
      <c r="L108" s="9"/>
      <c r="M108" s="9" t="s">
        <v>53</v>
      </c>
      <c r="N108" s="11">
        <v>3200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1</v>
      </c>
      <c r="Y108" s="9">
        <v>630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3">
        <v>0</v>
      </c>
      <c r="AH108" s="16">
        <v>-630</v>
      </c>
      <c r="AI108" s="32">
        <v>630</v>
      </c>
    </row>
    <row r="109" spans="4:35" x14ac:dyDescent="0.4">
      <c r="D109" s="16" t="s">
        <v>75</v>
      </c>
      <c r="G109" s="9" t="s">
        <v>61</v>
      </c>
      <c r="H109" s="9">
        <v>592283</v>
      </c>
      <c r="I109" s="9" t="s">
        <v>24</v>
      </c>
      <c r="J109" s="9" t="s">
        <v>2</v>
      </c>
      <c r="K109" s="9" t="s">
        <v>52</v>
      </c>
      <c r="L109" s="9"/>
      <c r="M109" s="9" t="s">
        <v>53</v>
      </c>
      <c r="N109" s="11">
        <v>3200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2</v>
      </c>
      <c r="Y109" s="11">
        <v>1260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11">
        <v>0</v>
      </c>
      <c r="AG109" s="3">
        <v>0</v>
      </c>
      <c r="AH109" s="16">
        <v>-1260</v>
      </c>
      <c r="AI109" s="31">
        <v>1260</v>
      </c>
    </row>
    <row r="110" spans="4:35" x14ac:dyDescent="0.4">
      <c r="D110" s="16" t="s">
        <v>75</v>
      </c>
      <c r="G110" s="9" t="s">
        <v>61</v>
      </c>
      <c r="H110" s="9">
        <v>592284</v>
      </c>
      <c r="I110" s="9" t="s">
        <v>25</v>
      </c>
      <c r="J110" s="9" t="s">
        <v>2</v>
      </c>
      <c r="K110" s="9" t="s">
        <v>52</v>
      </c>
      <c r="L110" s="9"/>
      <c r="M110" s="9" t="s">
        <v>53</v>
      </c>
      <c r="N110" s="11">
        <v>3200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1</v>
      </c>
      <c r="Y110" s="9">
        <v>630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16">
        <v>-630</v>
      </c>
      <c r="AI110" s="32">
        <v>630</v>
      </c>
    </row>
    <row r="111" spans="4:35" x14ac:dyDescent="0.4">
      <c r="G111" s="3" t="s">
        <v>76</v>
      </c>
      <c r="H111" s="3">
        <v>753880</v>
      </c>
      <c r="I111" s="3" t="s">
        <v>6</v>
      </c>
      <c r="J111" s="3" t="s">
        <v>2</v>
      </c>
      <c r="K111" s="3" t="s">
        <v>52</v>
      </c>
      <c r="M111" s="3" t="s">
        <v>53</v>
      </c>
      <c r="N111" s="3">
        <v>3200</v>
      </c>
      <c r="O111" s="3">
        <v>1</v>
      </c>
      <c r="P111" s="3">
        <v>2240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14">
        <v>2240</v>
      </c>
    </row>
    <row r="112" spans="4:35" x14ac:dyDescent="0.4">
      <c r="G112" s="3" t="s">
        <v>65</v>
      </c>
      <c r="H112" s="3">
        <v>753867</v>
      </c>
      <c r="I112" s="3" t="s">
        <v>19</v>
      </c>
      <c r="J112" s="3" t="s">
        <v>2</v>
      </c>
      <c r="K112" s="3" t="s">
        <v>52</v>
      </c>
      <c r="M112" s="3" t="s">
        <v>53</v>
      </c>
      <c r="N112" s="3">
        <v>44800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16</v>
      </c>
      <c r="AC112" s="3">
        <v>112896</v>
      </c>
      <c r="AD112" s="3">
        <v>0</v>
      </c>
      <c r="AE112" s="3">
        <v>0</v>
      </c>
      <c r="AF112" s="3">
        <v>0</v>
      </c>
      <c r="AG112" s="3">
        <v>0</v>
      </c>
      <c r="AH112" s="14">
        <v>112896</v>
      </c>
    </row>
    <row r="113" spans="7:34" x14ac:dyDescent="0.4">
      <c r="G113" s="3" t="s">
        <v>65</v>
      </c>
      <c r="H113" s="3">
        <v>753867</v>
      </c>
      <c r="I113" s="3" t="s">
        <v>19</v>
      </c>
      <c r="J113" s="3" t="s">
        <v>2</v>
      </c>
      <c r="K113" s="3" t="s">
        <v>52</v>
      </c>
      <c r="M113" s="3" t="s">
        <v>53</v>
      </c>
      <c r="N113" s="3">
        <v>3200</v>
      </c>
      <c r="O113" s="3">
        <v>2</v>
      </c>
      <c r="P113" s="3">
        <v>4480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21</v>
      </c>
      <c r="AC113" s="3">
        <v>13230</v>
      </c>
      <c r="AD113" s="3">
        <v>0</v>
      </c>
      <c r="AE113" s="3">
        <v>0</v>
      </c>
      <c r="AF113" s="3">
        <v>0</v>
      </c>
      <c r="AG113" s="3">
        <v>0</v>
      </c>
      <c r="AH113" s="14">
        <v>17710</v>
      </c>
    </row>
    <row r="114" spans="7:34" x14ac:dyDescent="0.4">
      <c r="G114" s="3" t="s">
        <v>65</v>
      </c>
      <c r="H114" s="3">
        <v>753868</v>
      </c>
      <c r="I114" s="3" t="s">
        <v>18</v>
      </c>
      <c r="J114" s="3" t="s">
        <v>2</v>
      </c>
      <c r="K114" s="3" t="s">
        <v>52</v>
      </c>
      <c r="M114" s="3" t="s">
        <v>53</v>
      </c>
      <c r="N114" s="3">
        <v>3200</v>
      </c>
      <c r="O114" s="3">
        <v>1</v>
      </c>
      <c r="P114" s="3">
        <v>2240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22</v>
      </c>
      <c r="AC114" s="3">
        <v>13860</v>
      </c>
      <c r="AD114" s="3">
        <v>0</v>
      </c>
      <c r="AE114" s="3">
        <v>0</v>
      </c>
      <c r="AF114" s="3">
        <v>0</v>
      </c>
      <c r="AG114" s="3">
        <v>0</v>
      </c>
      <c r="AH114" s="14">
        <v>16100</v>
      </c>
    </row>
    <row r="115" spans="7:34" x14ac:dyDescent="0.4">
      <c r="G115" s="3" t="s">
        <v>65</v>
      </c>
      <c r="H115" s="3">
        <v>753869</v>
      </c>
      <c r="I115" s="3" t="s">
        <v>17</v>
      </c>
      <c r="J115" s="3" t="s">
        <v>2</v>
      </c>
      <c r="K115" s="3" t="s">
        <v>52</v>
      </c>
      <c r="M115" s="3" t="s">
        <v>53</v>
      </c>
      <c r="N115" s="3">
        <v>3200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24</v>
      </c>
      <c r="AC115" s="3">
        <v>15120</v>
      </c>
      <c r="AD115" s="3">
        <v>0</v>
      </c>
      <c r="AE115" s="3">
        <v>0</v>
      </c>
      <c r="AF115" s="3">
        <v>0</v>
      </c>
      <c r="AG115" s="3">
        <v>0</v>
      </c>
      <c r="AH115" s="14">
        <v>15120</v>
      </c>
    </row>
    <row r="116" spans="7:34" x14ac:dyDescent="0.4">
      <c r="G116" s="3" t="s">
        <v>65</v>
      </c>
      <c r="H116" s="3">
        <v>753870</v>
      </c>
      <c r="I116" s="3" t="s">
        <v>15</v>
      </c>
      <c r="J116" s="3" t="s">
        <v>2</v>
      </c>
      <c r="K116" s="3" t="s">
        <v>52</v>
      </c>
      <c r="M116" s="3" t="s">
        <v>53</v>
      </c>
      <c r="N116" s="3">
        <v>3200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27</v>
      </c>
      <c r="AC116" s="3">
        <v>17010</v>
      </c>
      <c r="AD116" s="3">
        <v>0</v>
      </c>
      <c r="AE116" s="3">
        <v>0</v>
      </c>
      <c r="AF116" s="3">
        <v>0</v>
      </c>
      <c r="AG116" s="3">
        <v>0</v>
      </c>
      <c r="AH116" s="14">
        <v>17010</v>
      </c>
    </row>
    <row r="117" spans="7:34" x14ac:dyDescent="0.4">
      <c r="G117" s="3" t="s">
        <v>65</v>
      </c>
      <c r="H117" s="3">
        <v>753871</v>
      </c>
      <c r="I117" s="3" t="s">
        <v>10</v>
      </c>
      <c r="J117" s="3" t="s">
        <v>2</v>
      </c>
      <c r="K117" s="3" t="s">
        <v>52</v>
      </c>
      <c r="M117" s="3" t="s">
        <v>53</v>
      </c>
      <c r="N117" s="3">
        <v>3200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30</v>
      </c>
      <c r="AC117" s="3">
        <v>18900</v>
      </c>
      <c r="AD117" s="3">
        <v>0</v>
      </c>
      <c r="AE117" s="3">
        <v>0</v>
      </c>
      <c r="AF117" s="3">
        <v>0</v>
      </c>
      <c r="AG117" s="3">
        <v>0</v>
      </c>
      <c r="AH117" s="14">
        <v>18900</v>
      </c>
    </row>
    <row r="118" spans="7:34" x14ac:dyDescent="0.4">
      <c r="G118" s="3" t="s">
        <v>65</v>
      </c>
      <c r="H118" s="3">
        <v>753872</v>
      </c>
      <c r="I118" s="3" t="s">
        <v>11</v>
      </c>
      <c r="J118" s="3" t="s">
        <v>2</v>
      </c>
      <c r="K118" s="3" t="s">
        <v>52</v>
      </c>
      <c r="M118" s="3" t="s">
        <v>53</v>
      </c>
      <c r="N118" s="3">
        <v>3200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29</v>
      </c>
      <c r="AC118" s="3">
        <v>18270</v>
      </c>
      <c r="AD118" s="3">
        <v>0</v>
      </c>
      <c r="AE118" s="3">
        <v>0</v>
      </c>
      <c r="AF118" s="3">
        <v>0</v>
      </c>
      <c r="AG118" s="3">
        <v>0</v>
      </c>
      <c r="AH118" s="14">
        <v>18270</v>
      </c>
    </row>
    <row r="119" spans="7:34" x14ac:dyDescent="0.4">
      <c r="G119" s="3" t="s">
        <v>65</v>
      </c>
      <c r="H119" s="3">
        <v>753873</v>
      </c>
      <c r="I119" s="3" t="s">
        <v>12</v>
      </c>
      <c r="J119" s="3" t="s">
        <v>2</v>
      </c>
      <c r="K119" s="3" t="s">
        <v>52</v>
      </c>
      <c r="M119" s="3" t="s">
        <v>53</v>
      </c>
      <c r="N119" s="3">
        <v>3200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35</v>
      </c>
      <c r="AC119" s="3">
        <v>22050</v>
      </c>
      <c r="AD119" s="3">
        <v>0</v>
      </c>
      <c r="AE119" s="3">
        <v>0</v>
      </c>
      <c r="AF119" s="3">
        <v>0</v>
      </c>
      <c r="AG119" s="3">
        <v>0</v>
      </c>
      <c r="AH119" s="14">
        <v>22050</v>
      </c>
    </row>
    <row r="120" spans="7:34" x14ac:dyDescent="0.4">
      <c r="G120" s="3" t="s">
        <v>65</v>
      </c>
      <c r="H120" s="3">
        <v>753874</v>
      </c>
      <c r="I120" s="3" t="s">
        <v>16</v>
      </c>
      <c r="J120" s="3" t="s">
        <v>2</v>
      </c>
      <c r="K120" s="3" t="s">
        <v>52</v>
      </c>
      <c r="M120" s="3" t="s">
        <v>53</v>
      </c>
      <c r="N120" s="3">
        <v>3200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35</v>
      </c>
      <c r="AC120" s="3">
        <v>22050</v>
      </c>
      <c r="AD120" s="3">
        <v>0</v>
      </c>
      <c r="AE120" s="3">
        <v>0</v>
      </c>
      <c r="AF120" s="3">
        <v>0</v>
      </c>
      <c r="AG120" s="3">
        <v>0</v>
      </c>
      <c r="AH120" s="14">
        <v>22050</v>
      </c>
    </row>
    <row r="121" spans="7:34" x14ac:dyDescent="0.4">
      <c r="G121" s="3" t="s">
        <v>65</v>
      </c>
      <c r="H121" s="3">
        <v>753875</v>
      </c>
      <c r="I121" s="3" t="s">
        <v>14</v>
      </c>
      <c r="J121" s="3" t="s">
        <v>2</v>
      </c>
      <c r="K121" s="3" t="s">
        <v>52</v>
      </c>
      <c r="M121" s="3" t="s">
        <v>53</v>
      </c>
      <c r="N121" s="3">
        <v>3200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41</v>
      </c>
      <c r="AC121" s="3">
        <v>25830</v>
      </c>
      <c r="AD121" s="3">
        <v>0</v>
      </c>
      <c r="AE121" s="3">
        <v>0</v>
      </c>
      <c r="AF121" s="3">
        <v>0</v>
      </c>
      <c r="AG121" s="3">
        <v>0</v>
      </c>
      <c r="AH121" s="14">
        <v>25830</v>
      </c>
    </row>
    <row r="122" spans="7:34" x14ac:dyDescent="0.4">
      <c r="G122" s="3" t="s">
        <v>65</v>
      </c>
      <c r="H122" s="3">
        <v>753876</v>
      </c>
      <c r="I122" s="3" t="s">
        <v>13</v>
      </c>
      <c r="J122" s="3" t="s">
        <v>2</v>
      </c>
      <c r="K122" s="3" t="s">
        <v>52</v>
      </c>
      <c r="M122" s="3" t="s">
        <v>53</v>
      </c>
      <c r="N122" s="3">
        <v>3200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37</v>
      </c>
      <c r="AC122" s="3">
        <v>23310</v>
      </c>
      <c r="AD122" s="3">
        <v>0</v>
      </c>
      <c r="AE122" s="3">
        <v>0</v>
      </c>
      <c r="AF122" s="3">
        <v>0</v>
      </c>
      <c r="AG122" s="3">
        <v>0</v>
      </c>
      <c r="AH122" s="14">
        <v>23310</v>
      </c>
    </row>
    <row r="123" spans="7:34" x14ac:dyDescent="0.4">
      <c r="G123" s="3" t="s">
        <v>65</v>
      </c>
      <c r="H123" s="3">
        <v>753877</v>
      </c>
      <c r="I123" s="3" t="s">
        <v>9</v>
      </c>
      <c r="J123" s="3" t="s">
        <v>2</v>
      </c>
      <c r="K123" s="3" t="s">
        <v>52</v>
      </c>
      <c r="M123" s="3" t="s">
        <v>53</v>
      </c>
      <c r="N123" s="3">
        <v>3200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40</v>
      </c>
      <c r="AC123" s="3">
        <v>25200</v>
      </c>
      <c r="AD123" s="3">
        <v>0</v>
      </c>
      <c r="AE123" s="3">
        <v>0</v>
      </c>
      <c r="AF123" s="3">
        <v>0</v>
      </c>
      <c r="AG123" s="3">
        <v>0</v>
      </c>
      <c r="AH123" s="14">
        <v>25200</v>
      </c>
    </row>
    <row r="124" spans="7:34" x14ac:dyDescent="0.4">
      <c r="G124" s="3" t="s">
        <v>65</v>
      </c>
      <c r="H124" s="3">
        <v>753878</v>
      </c>
      <c r="I124" s="3" t="s">
        <v>8</v>
      </c>
      <c r="J124" s="3" t="s">
        <v>2</v>
      </c>
      <c r="K124" s="3" t="s">
        <v>52</v>
      </c>
      <c r="M124" s="3" t="s">
        <v>53</v>
      </c>
      <c r="N124" s="3">
        <v>3200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41</v>
      </c>
      <c r="AC124" s="3">
        <v>25830</v>
      </c>
      <c r="AD124" s="3">
        <v>0</v>
      </c>
      <c r="AE124" s="3">
        <v>0</v>
      </c>
      <c r="AF124" s="3">
        <v>0</v>
      </c>
      <c r="AG124" s="3">
        <v>0</v>
      </c>
      <c r="AH124" s="14">
        <v>25830</v>
      </c>
    </row>
    <row r="125" spans="7:34" x14ac:dyDescent="0.4">
      <c r="G125" s="3" t="s">
        <v>65</v>
      </c>
      <c r="H125" s="3">
        <v>753879</v>
      </c>
      <c r="I125" s="3" t="s">
        <v>7</v>
      </c>
      <c r="J125" s="3" t="s">
        <v>2</v>
      </c>
      <c r="K125" s="3" t="s">
        <v>52</v>
      </c>
      <c r="M125" s="3" t="s">
        <v>53</v>
      </c>
      <c r="N125" s="3">
        <v>3200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45</v>
      </c>
      <c r="AC125" s="3">
        <v>28350</v>
      </c>
      <c r="AD125" s="3">
        <v>0</v>
      </c>
      <c r="AE125" s="3">
        <v>0</v>
      </c>
      <c r="AF125" s="3">
        <v>0</v>
      </c>
      <c r="AG125" s="3">
        <v>0</v>
      </c>
      <c r="AH125" s="14">
        <v>28350</v>
      </c>
    </row>
    <row r="126" spans="7:34" x14ac:dyDescent="0.4">
      <c r="G126" s="3" t="s">
        <v>65</v>
      </c>
      <c r="H126" s="3">
        <v>753880</v>
      </c>
      <c r="I126" s="3" t="s">
        <v>6</v>
      </c>
      <c r="J126" s="3" t="s">
        <v>2</v>
      </c>
      <c r="K126" s="3" t="s">
        <v>52</v>
      </c>
      <c r="M126" s="3" t="s">
        <v>53</v>
      </c>
      <c r="N126" s="3">
        <v>3200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8</v>
      </c>
      <c r="AC126" s="3">
        <v>5040</v>
      </c>
      <c r="AD126" s="3">
        <v>0</v>
      </c>
      <c r="AE126" s="3">
        <v>0</v>
      </c>
      <c r="AF126" s="3">
        <v>0</v>
      </c>
      <c r="AG126" s="3">
        <v>0</v>
      </c>
      <c r="AH126" s="14">
        <v>5040</v>
      </c>
    </row>
    <row r="127" spans="7:34" x14ac:dyDescent="0.4">
      <c r="G127" s="17" t="s">
        <v>68</v>
      </c>
      <c r="H127" s="17">
        <v>753867</v>
      </c>
      <c r="I127" s="17" t="s">
        <v>19</v>
      </c>
      <c r="J127" s="17" t="s">
        <v>2</v>
      </c>
      <c r="K127" s="17" t="s">
        <v>52</v>
      </c>
      <c r="L127" s="17"/>
      <c r="M127" s="17" t="s">
        <v>53</v>
      </c>
      <c r="N127" s="18">
        <v>3200</v>
      </c>
      <c r="O127" s="17">
        <v>1</v>
      </c>
      <c r="P127" s="18">
        <v>2240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7">
        <v>0</v>
      </c>
      <c r="AB127" s="17">
        <v>0</v>
      </c>
      <c r="AC127" s="17">
        <v>0</v>
      </c>
      <c r="AD127" s="17">
        <v>0</v>
      </c>
      <c r="AE127" s="17">
        <v>0</v>
      </c>
      <c r="AF127" s="17">
        <v>0</v>
      </c>
      <c r="AG127" s="17">
        <v>0</v>
      </c>
      <c r="AH127" s="18">
        <v>2240</v>
      </c>
    </row>
    <row r="128" spans="7:34" x14ac:dyDescent="0.4">
      <c r="G128" s="17" t="s">
        <v>68</v>
      </c>
      <c r="H128" s="17">
        <v>753868</v>
      </c>
      <c r="I128" s="17" t="s">
        <v>18</v>
      </c>
      <c r="J128" s="17" t="s">
        <v>2</v>
      </c>
      <c r="K128" s="17" t="s">
        <v>52</v>
      </c>
      <c r="L128" s="17"/>
      <c r="M128" s="17" t="s">
        <v>53</v>
      </c>
      <c r="N128" s="18">
        <v>3200</v>
      </c>
      <c r="O128" s="17">
        <v>1</v>
      </c>
      <c r="P128" s="18">
        <v>2240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8">
        <v>2240</v>
      </c>
    </row>
    <row r="129" spans="7:34" x14ac:dyDescent="0.4">
      <c r="G129" s="17" t="s">
        <v>68</v>
      </c>
      <c r="H129" s="17">
        <v>753869</v>
      </c>
      <c r="I129" s="17" t="s">
        <v>17</v>
      </c>
      <c r="J129" s="17" t="s">
        <v>2</v>
      </c>
      <c r="K129" s="17" t="s">
        <v>52</v>
      </c>
      <c r="L129" s="17"/>
      <c r="M129" s="17" t="s">
        <v>53</v>
      </c>
      <c r="N129" s="18">
        <v>3200</v>
      </c>
      <c r="O129" s="17">
        <v>1</v>
      </c>
      <c r="P129" s="18">
        <v>2240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8">
        <v>2240</v>
      </c>
    </row>
    <row r="130" spans="7:34" x14ac:dyDescent="0.4">
      <c r="G130" s="17" t="s">
        <v>68</v>
      </c>
      <c r="H130" s="17">
        <v>753870</v>
      </c>
      <c r="I130" s="17" t="s">
        <v>15</v>
      </c>
      <c r="J130" s="17" t="s">
        <v>2</v>
      </c>
      <c r="K130" s="17" t="s">
        <v>52</v>
      </c>
      <c r="L130" s="17"/>
      <c r="M130" s="17" t="s">
        <v>53</v>
      </c>
      <c r="N130" s="18">
        <v>3200</v>
      </c>
      <c r="O130" s="17">
        <v>1</v>
      </c>
      <c r="P130" s="18">
        <v>2240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  <c r="AE130" s="17">
        <v>0</v>
      </c>
      <c r="AF130" s="17">
        <v>0</v>
      </c>
      <c r="AG130" s="17">
        <v>0</v>
      </c>
      <c r="AH130" s="18">
        <v>2240</v>
      </c>
    </row>
    <row r="131" spans="7:34" x14ac:dyDescent="0.4">
      <c r="G131" s="17" t="s">
        <v>68</v>
      </c>
      <c r="H131" s="17">
        <v>753871</v>
      </c>
      <c r="I131" s="17" t="s">
        <v>10</v>
      </c>
      <c r="J131" s="17" t="s">
        <v>2</v>
      </c>
      <c r="K131" s="17" t="s">
        <v>52</v>
      </c>
      <c r="L131" s="17"/>
      <c r="M131" s="17" t="s">
        <v>53</v>
      </c>
      <c r="N131" s="18">
        <v>3200</v>
      </c>
      <c r="O131" s="17">
        <v>1</v>
      </c>
      <c r="P131" s="18">
        <v>2240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8">
        <v>2240</v>
      </c>
    </row>
    <row r="132" spans="7:34" x14ac:dyDescent="0.4">
      <c r="G132" s="17" t="s">
        <v>68</v>
      </c>
      <c r="H132" s="17">
        <v>753872</v>
      </c>
      <c r="I132" s="17" t="s">
        <v>11</v>
      </c>
      <c r="J132" s="17" t="s">
        <v>2</v>
      </c>
      <c r="K132" s="17" t="s">
        <v>52</v>
      </c>
      <c r="L132" s="17"/>
      <c r="M132" s="17" t="s">
        <v>53</v>
      </c>
      <c r="N132" s="18">
        <v>3200</v>
      </c>
      <c r="O132" s="17">
        <v>1</v>
      </c>
      <c r="P132" s="18">
        <v>2240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8">
        <v>2240</v>
      </c>
    </row>
    <row r="133" spans="7:34" x14ac:dyDescent="0.4">
      <c r="G133" s="17" t="s">
        <v>68</v>
      </c>
      <c r="H133" s="17">
        <v>753873</v>
      </c>
      <c r="I133" s="17" t="s">
        <v>12</v>
      </c>
      <c r="J133" s="17" t="s">
        <v>2</v>
      </c>
      <c r="K133" s="17" t="s">
        <v>52</v>
      </c>
      <c r="L133" s="17"/>
      <c r="M133" s="17" t="s">
        <v>53</v>
      </c>
      <c r="N133" s="18">
        <v>3200</v>
      </c>
      <c r="O133" s="17">
        <v>1</v>
      </c>
      <c r="P133" s="18">
        <v>2240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  <c r="AE133" s="17">
        <v>0</v>
      </c>
      <c r="AF133" s="17">
        <v>0</v>
      </c>
      <c r="AG133" s="17">
        <v>0</v>
      </c>
      <c r="AH133" s="18">
        <v>2240</v>
      </c>
    </row>
    <row r="134" spans="7:34" x14ac:dyDescent="0.4">
      <c r="G134" s="17" t="s">
        <v>68</v>
      </c>
      <c r="H134" s="17">
        <v>753874</v>
      </c>
      <c r="I134" s="17" t="s">
        <v>16</v>
      </c>
      <c r="J134" s="17" t="s">
        <v>2</v>
      </c>
      <c r="K134" s="17" t="s">
        <v>52</v>
      </c>
      <c r="L134" s="17"/>
      <c r="M134" s="17" t="s">
        <v>53</v>
      </c>
      <c r="N134" s="18">
        <v>3200</v>
      </c>
      <c r="O134" s="17">
        <v>1</v>
      </c>
      <c r="P134" s="18">
        <v>2240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  <c r="Y134" s="17">
        <v>0</v>
      </c>
      <c r="Z134" s="17">
        <v>0</v>
      </c>
      <c r="AA134" s="17">
        <v>0</v>
      </c>
      <c r="AB134" s="17">
        <v>0</v>
      </c>
      <c r="AC134" s="17">
        <v>0</v>
      </c>
      <c r="AD134" s="17">
        <v>0</v>
      </c>
      <c r="AE134" s="17">
        <v>0</v>
      </c>
      <c r="AF134" s="17">
        <v>0</v>
      </c>
      <c r="AG134" s="17">
        <v>0</v>
      </c>
      <c r="AH134" s="18">
        <v>2240</v>
      </c>
    </row>
    <row r="135" spans="7:34" x14ac:dyDescent="0.4">
      <c r="G135" s="17" t="s">
        <v>68</v>
      </c>
      <c r="H135" s="17">
        <v>753875</v>
      </c>
      <c r="I135" s="17" t="s">
        <v>14</v>
      </c>
      <c r="J135" s="17" t="s">
        <v>2</v>
      </c>
      <c r="K135" s="17" t="s">
        <v>52</v>
      </c>
      <c r="L135" s="17"/>
      <c r="M135" s="17" t="s">
        <v>53</v>
      </c>
      <c r="N135" s="18">
        <v>3200</v>
      </c>
      <c r="O135" s="17">
        <v>1</v>
      </c>
      <c r="P135" s="18">
        <v>2240</v>
      </c>
      <c r="Q135" s="17">
        <v>0</v>
      </c>
      <c r="R135" s="17">
        <v>0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  <c r="X135" s="17">
        <v>0</v>
      </c>
      <c r="Y135" s="17">
        <v>0</v>
      </c>
      <c r="Z135" s="17">
        <v>0</v>
      </c>
      <c r="AA135" s="17">
        <v>0</v>
      </c>
      <c r="AB135" s="17">
        <v>0</v>
      </c>
      <c r="AC135" s="17">
        <v>0</v>
      </c>
      <c r="AD135" s="17">
        <v>0</v>
      </c>
      <c r="AE135" s="17">
        <v>0</v>
      </c>
      <c r="AF135" s="17">
        <v>0</v>
      </c>
      <c r="AG135" s="17">
        <v>0</v>
      </c>
      <c r="AH135" s="18">
        <v>2240</v>
      </c>
    </row>
    <row r="136" spans="7:34" x14ac:dyDescent="0.4">
      <c r="G136" s="17" t="s">
        <v>68</v>
      </c>
      <c r="H136" s="17">
        <v>753876</v>
      </c>
      <c r="I136" s="17" t="s">
        <v>13</v>
      </c>
      <c r="J136" s="17" t="s">
        <v>2</v>
      </c>
      <c r="K136" s="17" t="s">
        <v>52</v>
      </c>
      <c r="L136" s="17"/>
      <c r="M136" s="17" t="s">
        <v>53</v>
      </c>
      <c r="N136" s="18">
        <v>3200</v>
      </c>
      <c r="O136" s="17">
        <v>1</v>
      </c>
      <c r="P136" s="18">
        <v>2240</v>
      </c>
      <c r="Q136" s="17">
        <v>0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  <c r="Y136" s="17">
        <v>0</v>
      </c>
      <c r="Z136" s="17">
        <v>0</v>
      </c>
      <c r="AA136" s="17">
        <v>0</v>
      </c>
      <c r="AB136" s="17">
        <v>0</v>
      </c>
      <c r="AC136" s="17">
        <v>0</v>
      </c>
      <c r="AD136" s="17">
        <v>0</v>
      </c>
      <c r="AE136" s="17">
        <v>0</v>
      </c>
      <c r="AF136" s="17">
        <v>0</v>
      </c>
      <c r="AG136" s="17">
        <v>0</v>
      </c>
      <c r="AH136" s="18">
        <v>2240</v>
      </c>
    </row>
    <row r="137" spans="7:34" x14ac:dyDescent="0.4">
      <c r="G137" s="17" t="s">
        <v>68</v>
      </c>
      <c r="H137" s="17">
        <v>753877</v>
      </c>
      <c r="I137" s="17" t="s">
        <v>9</v>
      </c>
      <c r="J137" s="17" t="s">
        <v>2</v>
      </c>
      <c r="K137" s="17" t="s">
        <v>52</v>
      </c>
      <c r="L137" s="17"/>
      <c r="M137" s="17" t="s">
        <v>53</v>
      </c>
      <c r="N137" s="18">
        <v>3200</v>
      </c>
      <c r="O137" s="17">
        <v>1</v>
      </c>
      <c r="P137" s="18">
        <v>2240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  <c r="AE137" s="17">
        <v>0</v>
      </c>
      <c r="AF137" s="17">
        <v>0</v>
      </c>
      <c r="AG137" s="17">
        <v>0</v>
      </c>
      <c r="AH137" s="18">
        <v>2240</v>
      </c>
    </row>
    <row r="138" spans="7:34" x14ac:dyDescent="0.4">
      <c r="G138" s="17" t="s">
        <v>68</v>
      </c>
      <c r="H138" s="17">
        <v>753878</v>
      </c>
      <c r="I138" s="17" t="s">
        <v>8</v>
      </c>
      <c r="J138" s="17" t="s">
        <v>2</v>
      </c>
      <c r="K138" s="17" t="s">
        <v>52</v>
      </c>
      <c r="L138" s="17"/>
      <c r="M138" s="17" t="s">
        <v>53</v>
      </c>
      <c r="N138" s="18">
        <v>3200</v>
      </c>
      <c r="O138" s="17">
        <v>1</v>
      </c>
      <c r="P138" s="18">
        <v>2240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  <c r="Y138" s="17">
        <v>0</v>
      </c>
      <c r="Z138" s="17">
        <v>0</v>
      </c>
      <c r="AA138" s="17">
        <v>0</v>
      </c>
      <c r="AB138" s="17">
        <v>0</v>
      </c>
      <c r="AC138" s="17">
        <v>0</v>
      </c>
      <c r="AD138" s="17">
        <v>0</v>
      </c>
      <c r="AE138" s="17">
        <v>0</v>
      </c>
      <c r="AF138" s="17">
        <v>0</v>
      </c>
      <c r="AG138" s="17">
        <v>0</v>
      </c>
      <c r="AH138" s="18">
        <v>2240</v>
      </c>
    </row>
    <row r="139" spans="7:34" x14ac:dyDescent="0.4">
      <c r="G139" s="17" t="s">
        <v>68</v>
      </c>
      <c r="H139" s="17">
        <v>753879</v>
      </c>
      <c r="I139" s="17" t="s">
        <v>7</v>
      </c>
      <c r="J139" s="17" t="s">
        <v>2</v>
      </c>
      <c r="K139" s="17" t="s">
        <v>52</v>
      </c>
      <c r="L139" s="17"/>
      <c r="M139" s="17" t="s">
        <v>53</v>
      </c>
      <c r="N139" s="18">
        <v>3200</v>
      </c>
      <c r="O139" s="17">
        <v>1</v>
      </c>
      <c r="P139" s="18">
        <v>2240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8">
        <v>2240</v>
      </c>
    </row>
    <row r="140" spans="7:34" x14ac:dyDescent="0.4">
      <c r="G140" s="17" t="s">
        <v>68</v>
      </c>
      <c r="H140" s="17">
        <v>753880</v>
      </c>
      <c r="I140" s="17" t="s">
        <v>6</v>
      </c>
      <c r="J140" s="17" t="s">
        <v>2</v>
      </c>
      <c r="K140" s="17" t="s">
        <v>52</v>
      </c>
      <c r="L140" s="17"/>
      <c r="M140" s="17" t="s">
        <v>53</v>
      </c>
      <c r="N140" s="18">
        <v>3200</v>
      </c>
      <c r="O140" s="17">
        <v>1</v>
      </c>
      <c r="P140" s="18">
        <v>2240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8">
        <v>2240</v>
      </c>
    </row>
    <row r="141" spans="7:34" x14ac:dyDescent="0.4">
      <c r="G141" s="17" t="s">
        <v>69</v>
      </c>
      <c r="H141" s="17">
        <v>753867</v>
      </c>
      <c r="I141" s="17" t="s">
        <v>19</v>
      </c>
      <c r="J141" s="17" t="s">
        <v>2</v>
      </c>
      <c r="K141" s="17" t="s">
        <v>52</v>
      </c>
      <c r="L141" s="17"/>
      <c r="M141" s="17" t="s">
        <v>53</v>
      </c>
      <c r="N141" s="18">
        <v>3200</v>
      </c>
      <c r="O141" s="17">
        <v>1</v>
      </c>
      <c r="P141" s="18">
        <v>2240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  <c r="AG141" s="17">
        <v>0</v>
      </c>
      <c r="AH141" s="18">
        <v>2240</v>
      </c>
    </row>
    <row r="142" spans="7:34" x14ac:dyDescent="0.4">
      <c r="G142" s="17" t="s">
        <v>69</v>
      </c>
      <c r="H142" s="17">
        <v>753868</v>
      </c>
      <c r="I142" s="17" t="s">
        <v>18</v>
      </c>
      <c r="J142" s="17" t="s">
        <v>2</v>
      </c>
      <c r="K142" s="17" t="s">
        <v>52</v>
      </c>
      <c r="L142" s="17"/>
      <c r="M142" s="17" t="s">
        <v>53</v>
      </c>
      <c r="N142" s="18">
        <v>3200</v>
      </c>
      <c r="O142" s="17">
        <v>1</v>
      </c>
      <c r="P142" s="18">
        <v>2240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8">
        <v>2240</v>
      </c>
    </row>
    <row r="143" spans="7:34" x14ac:dyDescent="0.4">
      <c r="G143" s="17" t="s">
        <v>69</v>
      </c>
      <c r="H143" s="17">
        <v>753869</v>
      </c>
      <c r="I143" s="17" t="s">
        <v>17</v>
      </c>
      <c r="J143" s="17" t="s">
        <v>2</v>
      </c>
      <c r="K143" s="17" t="s">
        <v>52</v>
      </c>
      <c r="L143" s="17"/>
      <c r="M143" s="17" t="s">
        <v>53</v>
      </c>
      <c r="N143" s="18">
        <v>3200</v>
      </c>
      <c r="O143" s="17">
        <v>1</v>
      </c>
      <c r="P143" s="18">
        <v>2240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8">
        <v>2240</v>
      </c>
    </row>
    <row r="144" spans="7:34" x14ac:dyDescent="0.4">
      <c r="G144" s="17" t="s">
        <v>69</v>
      </c>
      <c r="H144" s="17">
        <v>753870</v>
      </c>
      <c r="I144" s="17" t="s">
        <v>15</v>
      </c>
      <c r="J144" s="17" t="s">
        <v>2</v>
      </c>
      <c r="K144" s="17" t="s">
        <v>52</v>
      </c>
      <c r="L144" s="17"/>
      <c r="M144" s="17" t="s">
        <v>53</v>
      </c>
      <c r="N144" s="18">
        <v>3200</v>
      </c>
      <c r="O144" s="17">
        <v>1</v>
      </c>
      <c r="P144" s="18">
        <v>2240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  <c r="AG144" s="17">
        <v>0</v>
      </c>
      <c r="AH144" s="18">
        <v>2240</v>
      </c>
    </row>
    <row r="145" spans="7:34" x14ac:dyDescent="0.4">
      <c r="G145" s="17" t="s">
        <v>69</v>
      </c>
      <c r="H145" s="17">
        <v>753871</v>
      </c>
      <c r="I145" s="17" t="s">
        <v>10</v>
      </c>
      <c r="J145" s="17" t="s">
        <v>2</v>
      </c>
      <c r="K145" s="17" t="s">
        <v>52</v>
      </c>
      <c r="L145" s="17"/>
      <c r="M145" s="17" t="s">
        <v>53</v>
      </c>
      <c r="N145" s="18">
        <v>3200</v>
      </c>
      <c r="O145" s="17">
        <v>1</v>
      </c>
      <c r="P145" s="18">
        <v>2240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8">
        <v>2240</v>
      </c>
    </row>
    <row r="146" spans="7:34" x14ac:dyDescent="0.4">
      <c r="G146" s="17" t="s">
        <v>69</v>
      </c>
      <c r="H146" s="17">
        <v>753872</v>
      </c>
      <c r="I146" s="17" t="s">
        <v>11</v>
      </c>
      <c r="J146" s="17" t="s">
        <v>2</v>
      </c>
      <c r="K146" s="17" t="s">
        <v>52</v>
      </c>
      <c r="L146" s="17"/>
      <c r="M146" s="17" t="s">
        <v>53</v>
      </c>
      <c r="N146" s="18">
        <v>3200</v>
      </c>
      <c r="O146" s="17">
        <v>1</v>
      </c>
      <c r="P146" s="18">
        <v>2240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8">
        <v>2240</v>
      </c>
    </row>
    <row r="147" spans="7:34" x14ac:dyDescent="0.4">
      <c r="G147" s="17" t="s">
        <v>69</v>
      </c>
      <c r="H147" s="17">
        <v>753873</v>
      </c>
      <c r="I147" s="17" t="s">
        <v>12</v>
      </c>
      <c r="J147" s="17" t="s">
        <v>2</v>
      </c>
      <c r="K147" s="17" t="s">
        <v>52</v>
      </c>
      <c r="L147" s="17"/>
      <c r="M147" s="17" t="s">
        <v>53</v>
      </c>
      <c r="N147" s="18">
        <v>3200</v>
      </c>
      <c r="O147" s="17">
        <v>1</v>
      </c>
      <c r="P147" s="18">
        <v>2240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  <c r="AE147" s="17">
        <v>0</v>
      </c>
      <c r="AF147" s="17">
        <v>0</v>
      </c>
      <c r="AG147" s="17">
        <v>0</v>
      </c>
      <c r="AH147" s="18">
        <v>2240</v>
      </c>
    </row>
    <row r="148" spans="7:34" x14ac:dyDescent="0.4">
      <c r="G148" s="17" t="s">
        <v>69</v>
      </c>
      <c r="H148" s="17">
        <v>753874</v>
      </c>
      <c r="I148" s="17" t="s">
        <v>16</v>
      </c>
      <c r="J148" s="17" t="s">
        <v>2</v>
      </c>
      <c r="K148" s="17" t="s">
        <v>52</v>
      </c>
      <c r="L148" s="17"/>
      <c r="M148" s="17" t="s">
        <v>53</v>
      </c>
      <c r="N148" s="18">
        <v>3200</v>
      </c>
      <c r="O148" s="17">
        <v>1</v>
      </c>
      <c r="P148" s="18">
        <v>2240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8">
        <v>2240</v>
      </c>
    </row>
    <row r="149" spans="7:34" x14ac:dyDescent="0.4">
      <c r="G149" s="17" t="s">
        <v>69</v>
      </c>
      <c r="H149" s="17">
        <v>753875</v>
      </c>
      <c r="I149" s="17" t="s">
        <v>14</v>
      </c>
      <c r="J149" s="17" t="s">
        <v>2</v>
      </c>
      <c r="K149" s="17" t="s">
        <v>52</v>
      </c>
      <c r="L149" s="17"/>
      <c r="M149" s="17" t="s">
        <v>53</v>
      </c>
      <c r="N149" s="18">
        <v>3200</v>
      </c>
      <c r="O149" s="17">
        <v>1</v>
      </c>
      <c r="P149" s="18">
        <v>2240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8">
        <v>2240</v>
      </c>
    </row>
    <row r="150" spans="7:34" x14ac:dyDescent="0.4">
      <c r="G150" s="17" t="s">
        <v>69</v>
      </c>
      <c r="H150" s="17">
        <v>753876</v>
      </c>
      <c r="I150" s="17" t="s">
        <v>13</v>
      </c>
      <c r="J150" s="17" t="s">
        <v>2</v>
      </c>
      <c r="K150" s="17" t="s">
        <v>52</v>
      </c>
      <c r="L150" s="17"/>
      <c r="M150" s="17" t="s">
        <v>53</v>
      </c>
      <c r="N150" s="18">
        <v>3200</v>
      </c>
      <c r="O150" s="17">
        <v>1</v>
      </c>
      <c r="P150" s="18">
        <v>2240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  <c r="Y150" s="17">
        <v>0</v>
      </c>
      <c r="Z150" s="17">
        <v>0</v>
      </c>
      <c r="AA150" s="17">
        <v>0</v>
      </c>
      <c r="AB150" s="17">
        <v>0</v>
      </c>
      <c r="AC150" s="17">
        <v>0</v>
      </c>
      <c r="AD150" s="17">
        <v>0</v>
      </c>
      <c r="AE150" s="17">
        <v>0</v>
      </c>
      <c r="AF150" s="17">
        <v>0</v>
      </c>
      <c r="AG150" s="17">
        <v>0</v>
      </c>
      <c r="AH150" s="18">
        <v>2240</v>
      </c>
    </row>
    <row r="151" spans="7:34" x14ac:dyDescent="0.4">
      <c r="G151" s="17" t="s">
        <v>69</v>
      </c>
      <c r="H151" s="17">
        <v>753877</v>
      </c>
      <c r="I151" s="17" t="s">
        <v>9</v>
      </c>
      <c r="J151" s="17" t="s">
        <v>2</v>
      </c>
      <c r="K151" s="17" t="s">
        <v>52</v>
      </c>
      <c r="L151" s="17"/>
      <c r="M151" s="17" t="s">
        <v>53</v>
      </c>
      <c r="N151" s="18">
        <v>3200</v>
      </c>
      <c r="O151" s="17">
        <v>1</v>
      </c>
      <c r="P151" s="18">
        <v>2240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8">
        <v>2240</v>
      </c>
    </row>
    <row r="152" spans="7:34" x14ac:dyDescent="0.4">
      <c r="G152" s="17" t="s">
        <v>73</v>
      </c>
      <c r="H152" s="17">
        <v>753867</v>
      </c>
      <c r="I152" s="17" t="s">
        <v>19</v>
      </c>
      <c r="J152" s="17" t="s">
        <v>2</v>
      </c>
      <c r="K152" s="17" t="s">
        <v>52</v>
      </c>
      <c r="L152" s="17"/>
      <c r="M152" s="17" t="s">
        <v>53</v>
      </c>
      <c r="N152" s="18">
        <v>44800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1</v>
      </c>
      <c r="AC152" s="18">
        <v>7056</v>
      </c>
      <c r="AD152" s="17">
        <v>0</v>
      </c>
      <c r="AE152" s="17">
        <v>0</v>
      </c>
      <c r="AF152" s="17">
        <v>0</v>
      </c>
      <c r="AG152" s="17">
        <v>0</v>
      </c>
      <c r="AH152" s="18">
        <v>7056</v>
      </c>
    </row>
    <row r="153" spans="7:34" x14ac:dyDescent="0.4">
      <c r="G153" s="17" t="s">
        <v>73</v>
      </c>
      <c r="H153" s="17">
        <v>753878</v>
      </c>
      <c r="I153" s="17" t="s">
        <v>8</v>
      </c>
      <c r="J153" s="17" t="s">
        <v>2</v>
      </c>
      <c r="K153" s="17" t="s">
        <v>52</v>
      </c>
      <c r="L153" s="17"/>
      <c r="M153" s="17" t="s">
        <v>53</v>
      </c>
      <c r="N153" s="18">
        <v>3200</v>
      </c>
      <c r="O153" s="17">
        <v>0</v>
      </c>
      <c r="P153" s="17">
        <v>0</v>
      </c>
      <c r="Q153" s="17">
        <v>0</v>
      </c>
      <c r="R153" s="17">
        <v>0</v>
      </c>
      <c r="S153" s="17">
        <v>0</v>
      </c>
      <c r="T153" s="17">
        <v>0</v>
      </c>
      <c r="U153" s="17">
        <v>0</v>
      </c>
      <c r="V153" s="17">
        <v>0</v>
      </c>
      <c r="W153" s="17">
        <v>0</v>
      </c>
      <c r="X153" s="17">
        <v>0</v>
      </c>
      <c r="Y153" s="17">
        <v>0</v>
      </c>
      <c r="Z153" s="17">
        <v>0</v>
      </c>
      <c r="AA153" s="17">
        <v>0</v>
      </c>
      <c r="AB153" s="17">
        <v>1</v>
      </c>
      <c r="AC153" s="17">
        <v>630</v>
      </c>
      <c r="AD153" s="17">
        <v>0</v>
      </c>
      <c r="AE153" s="17">
        <v>0</v>
      </c>
      <c r="AF153" s="17">
        <v>0</v>
      </c>
      <c r="AG153" s="17">
        <v>0</v>
      </c>
      <c r="AH153" s="17">
        <v>630</v>
      </c>
    </row>
    <row r="154" spans="7:34" x14ac:dyDescent="0.4">
      <c r="G154" s="17" t="s">
        <v>73</v>
      </c>
      <c r="H154" s="17">
        <v>753879</v>
      </c>
      <c r="I154" s="17" t="s">
        <v>7</v>
      </c>
      <c r="J154" s="17" t="s">
        <v>2</v>
      </c>
      <c r="K154" s="17" t="s">
        <v>52</v>
      </c>
      <c r="L154" s="17"/>
      <c r="M154" s="17" t="s">
        <v>53</v>
      </c>
      <c r="N154" s="18">
        <v>3200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1</v>
      </c>
      <c r="AC154" s="17">
        <v>630</v>
      </c>
      <c r="AD154" s="17">
        <v>0</v>
      </c>
      <c r="AE154" s="17">
        <v>0</v>
      </c>
      <c r="AF154" s="17">
        <v>0</v>
      </c>
      <c r="AG154" s="17">
        <v>0</v>
      </c>
      <c r="AH154" s="17">
        <v>630</v>
      </c>
    </row>
    <row r="155" spans="7:34" x14ac:dyDescent="0.4">
      <c r="G155" s="17" t="s">
        <v>73</v>
      </c>
      <c r="H155" s="17">
        <v>753880</v>
      </c>
      <c r="I155" s="17" t="s">
        <v>6</v>
      </c>
      <c r="J155" s="17" t="s">
        <v>2</v>
      </c>
      <c r="K155" s="17" t="s">
        <v>52</v>
      </c>
      <c r="L155" s="17"/>
      <c r="M155" s="17" t="s">
        <v>53</v>
      </c>
      <c r="N155" s="18">
        <v>3200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1</v>
      </c>
      <c r="AC155" s="17">
        <v>630</v>
      </c>
      <c r="AD155" s="17">
        <v>0</v>
      </c>
      <c r="AE155" s="17">
        <v>0</v>
      </c>
      <c r="AF155" s="17">
        <v>0</v>
      </c>
      <c r="AG155" s="17">
        <v>0</v>
      </c>
      <c r="AH155" s="17">
        <v>630</v>
      </c>
    </row>
    <row r="156" spans="7:34" x14ac:dyDescent="0.4">
      <c r="G156" s="19" t="s">
        <v>77</v>
      </c>
      <c r="H156" s="19">
        <v>753867</v>
      </c>
      <c r="I156" s="19" t="s">
        <v>19</v>
      </c>
      <c r="J156" s="19" t="s">
        <v>2</v>
      </c>
      <c r="K156" s="19" t="s">
        <v>52</v>
      </c>
      <c r="L156" s="19"/>
      <c r="M156" s="19" t="s">
        <v>53</v>
      </c>
      <c r="N156" s="20">
        <v>3200</v>
      </c>
      <c r="O156" s="19">
        <v>1</v>
      </c>
      <c r="P156" s="20">
        <v>2240</v>
      </c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20">
        <v>2240</v>
      </c>
    </row>
    <row r="157" spans="7:34" x14ac:dyDescent="0.4">
      <c r="G157" s="19" t="s">
        <v>77</v>
      </c>
      <c r="H157" s="19">
        <v>753868</v>
      </c>
      <c r="I157" s="19" t="s">
        <v>18</v>
      </c>
      <c r="J157" s="19" t="s">
        <v>2</v>
      </c>
      <c r="K157" s="19" t="s">
        <v>52</v>
      </c>
      <c r="L157" s="19"/>
      <c r="M157" s="19" t="s">
        <v>53</v>
      </c>
      <c r="N157" s="20">
        <v>3200</v>
      </c>
      <c r="O157" s="19">
        <v>1</v>
      </c>
      <c r="P157" s="20">
        <v>2240</v>
      </c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>
        <v>0</v>
      </c>
      <c r="Y157" s="19">
        <v>0</v>
      </c>
      <c r="Z157" s="19">
        <v>0</v>
      </c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20">
        <v>2240</v>
      </c>
    </row>
    <row r="158" spans="7:34" x14ac:dyDescent="0.4">
      <c r="G158" s="19" t="s">
        <v>77</v>
      </c>
      <c r="H158" s="19">
        <v>753869</v>
      </c>
      <c r="I158" s="19" t="s">
        <v>17</v>
      </c>
      <c r="J158" s="19" t="s">
        <v>2</v>
      </c>
      <c r="K158" s="19" t="s">
        <v>52</v>
      </c>
      <c r="L158" s="19"/>
      <c r="M158" s="19" t="s">
        <v>53</v>
      </c>
      <c r="N158" s="20">
        <v>3200</v>
      </c>
      <c r="O158" s="19">
        <v>1</v>
      </c>
      <c r="P158" s="20">
        <v>2240</v>
      </c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>
        <v>0</v>
      </c>
      <c r="Y158" s="19">
        <v>0</v>
      </c>
      <c r="Z158" s="19">
        <v>0</v>
      </c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20">
        <v>2240</v>
      </c>
    </row>
    <row r="159" spans="7:34" x14ac:dyDescent="0.4">
      <c r="G159" s="19" t="s">
        <v>77</v>
      </c>
      <c r="H159" s="19">
        <v>753870</v>
      </c>
      <c r="I159" s="19" t="s">
        <v>15</v>
      </c>
      <c r="J159" s="19" t="s">
        <v>2</v>
      </c>
      <c r="K159" s="19" t="s">
        <v>52</v>
      </c>
      <c r="L159" s="19"/>
      <c r="M159" s="19" t="s">
        <v>53</v>
      </c>
      <c r="N159" s="20">
        <v>3200</v>
      </c>
      <c r="O159" s="19">
        <v>1</v>
      </c>
      <c r="P159" s="20">
        <v>2240</v>
      </c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>
        <v>0</v>
      </c>
      <c r="Y159" s="19">
        <v>0</v>
      </c>
      <c r="Z159" s="19">
        <v>0</v>
      </c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20">
        <v>2240</v>
      </c>
    </row>
    <row r="160" spans="7:34" x14ac:dyDescent="0.4">
      <c r="G160" s="19" t="s">
        <v>77</v>
      </c>
      <c r="H160" s="19">
        <v>753871</v>
      </c>
      <c r="I160" s="19" t="s">
        <v>10</v>
      </c>
      <c r="J160" s="19" t="s">
        <v>2</v>
      </c>
      <c r="K160" s="19" t="s">
        <v>52</v>
      </c>
      <c r="L160" s="19"/>
      <c r="M160" s="19" t="s">
        <v>53</v>
      </c>
      <c r="N160" s="20">
        <v>3200</v>
      </c>
      <c r="O160" s="19">
        <v>1</v>
      </c>
      <c r="P160" s="20">
        <v>2240</v>
      </c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>
        <v>0</v>
      </c>
      <c r="Y160" s="19">
        <v>0</v>
      </c>
      <c r="Z160" s="19">
        <v>0</v>
      </c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20">
        <v>2240</v>
      </c>
    </row>
    <row r="161" spans="7:34" x14ac:dyDescent="0.4">
      <c r="G161" s="19" t="s">
        <v>77</v>
      </c>
      <c r="H161" s="19">
        <v>753872</v>
      </c>
      <c r="I161" s="19" t="s">
        <v>11</v>
      </c>
      <c r="J161" s="19" t="s">
        <v>2</v>
      </c>
      <c r="K161" s="19" t="s">
        <v>52</v>
      </c>
      <c r="L161" s="19"/>
      <c r="M161" s="19" t="s">
        <v>53</v>
      </c>
      <c r="N161" s="20">
        <v>3200</v>
      </c>
      <c r="O161" s="19">
        <v>1</v>
      </c>
      <c r="P161" s="20">
        <v>2240</v>
      </c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>
        <v>0</v>
      </c>
      <c r="Y161" s="19">
        <v>0</v>
      </c>
      <c r="Z161" s="19">
        <v>0</v>
      </c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20">
        <v>2240</v>
      </c>
    </row>
    <row r="162" spans="7:34" x14ac:dyDescent="0.4">
      <c r="G162" s="19" t="s">
        <v>77</v>
      </c>
      <c r="H162" s="19">
        <v>753873</v>
      </c>
      <c r="I162" s="19" t="s">
        <v>12</v>
      </c>
      <c r="J162" s="19" t="s">
        <v>2</v>
      </c>
      <c r="K162" s="19" t="s">
        <v>52</v>
      </c>
      <c r="L162" s="19"/>
      <c r="M162" s="19" t="s">
        <v>53</v>
      </c>
      <c r="N162" s="20">
        <v>3200</v>
      </c>
      <c r="O162" s="19">
        <v>1</v>
      </c>
      <c r="P162" s="20">
        <v>2240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20">
        <v>2240</v>
      </c>
    </row>
    <row r="163" spans="7:34" x14ac:dyDescent="0.4">
      <c r="G163" s="19" t="s">
        <v>77</v>
      </c>
      <c r="H163" s="19">
        <v>753874</v>
      </c>
      <c r="I163" s="19" t="s">
        <v>16</v>
      </c>
      <c r="J163" s="19" t="s">
        <v>2</v>
      </c>
      <c r="K163" s="19" t="s">
        <v>52</v>
      </c>
      <c r="L163" s="19"/>
      <c r="M163" s="19" t="s">
        <v>53</v>
      </c>
      <c r="N163" s="20">
        <v>3200</v>
      </c>
      <c r="O163" s="19">
        <v>1</v>
      </c>
      <c r="P163" s="20">
        <v>2240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  <c r="W163" s="19">
        <v>0</v>
      </c>
      <c r="X163" s="19">
        <v>0</v>
      </c>
      <c r="Y163" s="19">
        <v>0</v>
      </c>
      <c r="Z163" s="19">
        <v>0</v>
      </c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20">
        <v>2240</v>
      </c>
    </row>
    <row r="164" spans="7:34" x14ac:dyDescent="0.4">
      <c r="G164" s="19" t="s">
        <v>77</v>
      </c>
      <c r="H164" s="19">
        <v>753875</v>
      </c>
      <c r="I164" s="19" t="s">
        <v>14</v>
      </c>
      <c r="J164" s="19" t="s">
        <v>2</v>
      </c>
      <c r="K164" s="19" t="s">
        <v>52</v>
      </c>
      <c r="L164" s="19"/>
      <c r="M164" s="19" t="s">
        <v>53</v>
      </c>
      <c r="N164" s="20">
        <v>3200</v>
      </c>
      <c r="O164" s="19">
        <v>1</v>
      </c>
      <c r="P164" s="20">
        <v>2240</v>
      </c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>
        <v>0</v>
      </c>
      <c r="Y164" s="19">
        <v>0</v>
      </c>
      <c r="Z164" s="19">
        <v>0</v>
      </c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20">
        <v>2240</v>
      </c>
    </row>
    <row r="165" spans="7:34" x14ac:dyDescent="0.4">
      <c r="G165" s="19" t="s">
        <v>77</v>
      </c>
      <c r="H165" s="19">
        <v>753876</v>
      </c>
      <c r="I165" s="19" t="s">
        <v>13</v>
      </c>
      <c r="J165" s="19" t="s">
        <v>2</v>
      </c>
      <c r="K165" s="19" t="s">
        <v>52</v>
      </c>
      <c r="L165" s="19"/>
      <c r="M165" s="19" t="s">
        <v>53</v>
      </c>
      <c r="N165" s="20">
        <v>3200</v>
      </c>
      <c r="O165" s="19">
        <v>1</v>
      </c>
      <c r="P165" s="20">
        <v>2240</v>
      </c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>
        <v>0</v>
      </c>
      <c r="Y165" s="19">
        <v>0</v>
      </c>
      <c r="Z165" s="19">
        <v>0</v>
      </c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20">
        <v>2240</v>
      </c>
    </row>
    <row r="166" spans="7:34" x14ac:dyDescent="0.4">
      <c r="G166" s="19" t="s">
        <v>77</v>
      </c>
      <c r="H166" s="19">
        <v>753877</v>
      </c>
      <c r="I166" s="19" t="s">
        <v>9</v>
      </c>
      <c r="J166" s="19" t="s">
        <v>2</v>
      </c>
      <c r="K166" s="19" t="s">
        <v>52</v>
      </c>
      <c r="L166" s="19"/>
      <c r="M166" s="19" t="s">
        <v>53</v>
      </c>
      <c r="N166" s="20">
        <v>3200</v>
      </c>
      <c r="O166" s="19">
        <v>1</v>
      </c>
      <c r="P166" s="20">
        <v>2240</v>
      </c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>
        <v>0</v>
      </c>
      <c r="Y166" s="19">
        <v>0</v>
      </c>
      <c r="Z166" s="19">
        <v>0</v>
      </c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20">
        <v>2240</v>
      </c>
    </row>
    <row r="167" spans="7:34" x14ac:dyDescent="0.4">
      <c r="G167" s="19" t="s">
        <v>77</v>
      </c>
      <c r="H167" s="19">
        <v>753878</v>
      </c>
      <c r="I167" s="19" t="s">
        <v>8</v>
      </c>
      <c r="J167" s="19" t="s">
        <v>2</v>
      </c>
      <c r="K167" s="19" t="s">
        <v>52</v>
      </c>
      <c r="L167" s="19"/>
      <c r="M167" s="19" t="s">
        <v>53</v>
      </c>
      <c r="N167" s="20">
        <v>3200</v>
      </c>
      <c r="O167" s="19">
        <v>1</v>
      </c>
      <c r="P167" s="20">
        <v>2240</v>
      </c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>
        <v>0</v>
      </c>
      <c r="Y167" s="19">
        <v>0</v>
      </c>
      <c r="Z167" s="19">
        <v>0</v>
      </c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20">
        <v>2240</v>
      </c>
    </row>
    <row r="168" spans="7:34" x14ac:dyDescent="0.4">
      <c r="G168" s="19" t="s">
        <v>77</v>
      </c>
      <c r="H168" s="19">
        <v>753879</v>
      </c>
      <c r="I168" s="19" t="s">
        <v>7</v>
      </c>
      <c r="J168" s="19" t="s">
        <v>2</v>
      </c>
      <c r="K168" s="19" t="s">
        <v>52</v>
      </c>
      <c r="L168" s="19"/>
      <c r="M168" s="19" t="s">
        <v>53</v>
      </c>
      <c r="N168" s="20">
        <v>3200</v>
      </c>
      <c r="O168" s="19">
        <v>1</v>
      </c>
      <c r="P168" s="20">
        <v>2240</v>
      </c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>
        <v>0</v>
      </c>
      <c r="Y168" s="19">
        <v>0</v>
      </c>
      <c r="Z168" s="19">
        <v>0</v>
      </c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20">
        <v>2240</v>
      </c>
    </row>
    <row r="169" spans="7:34" x14ac:dyDescent="0.4">
      <c r="G169" s="19" t="s">
        <v>77</v>
      </c>
      <c r="H169" s="19">
        <v>753880</v>
      </c>
      <c r="I169" s="19" t="s">
        <v>6</v>
      </c>
      <c r="J169" s="19" t="s">
        <v>2</v>
      </c>
      <c r="K169" s="19" t="s">
        <v>52</v>
      </c>
      <c r="L169" s="19"/>
      <c r="M169" s="19" t="s">
        <v>53</v>
      </c>
      <c r="N169" s="20">
        <v>3200</v>
      </c>
      <c r="O169" s="19">
        <v>1</v>
      </c>
      <c r="P169" s="20">
        <v>2240</v>
      </c>
      <c r="Q169" s="19">
        <v>0</v>
      </c>
      <c r="R169" s="19">
        <v>0</v>
      </c>
      <c r="S169" s="19">
        <v>0</v>
      </c>
      <c r="T169" s="19">
        <v>0</v>
      </c>
      <c r="U169" s="19">
        <v>0</v>
      </c>
      <c r="V169" s="19">
        <v>0</v>
      </c>
      <c r="W169" s="19">
        <v>0</v>
      </c>
      <c r="X169" s="19">
        <v>0</v>
      </c>
      <c r="Y169" s="19">
        <v>0</v>
      </c>
      <c r="Z169" s="19">
        <v>0</v>
      </c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20">
        <v>2240</v>
      </c>
    </row>
    <row r="170" spans="7:34" x14ac:dyDescent="0.4">
      <c r="G170" s="19" t="s">
        <v>80</v>
      </c>
      <c r="H170" s="19">
        <v>753867</v>
      </c>
      <c r="I170" s="19" t="s">
        <v>19</v>
      </c>
      <c r="J170" s="19" t="s">
        <v>2</v>
      </c>
      <c r="K170" s="19" t="s">
        <v>52</v>
      </c>
      <c r="L170" s="19"/>
      <c r="M170" s="19" t="s">
        <v>53</v>
      </c>
      <c r="N170" s="20">
        <v>44800</v>
      </c>
      <c r="O170" s="19">
        <v>0</v>
      </c>
      <c r="P170" s="19">
        <v>0</v>
      </c>
      <c r="Q170" s="19">
        <v>0</v>
      </c>
      <c r="R170" s="19">
        <v>0</v>
      </c>
      <c r="S170" s="19">
        <v>0</v>
      </c>
      <c r="T170" s="19">
        <v>0</v>
      </c>
      <c r="U170" s="19">
        <v>0</v>
      </c>
      <c r="V170" s="19">
        <v>0</v>
      </c>
      <c r="W170" s="19">
        <v>0</v>
      </c>
      <c r="X170" s="19">
        <v>0</v>
      </c>
      <c r="Y170" s="19">
        <v>0</v>
      </c>
      <c r="Z170" s="19">
        <v>0</v>
      </c>
      <c r="AA170" s="19">
        <v>0</v>
      </c>
      <c r="AB170" s="19">
        <v>24</v>
      </c>
      <c r="AC170" s="20">
        <v>148176</v>
      </c>
      <c r="AD170" s="19">
        <v>0</v>
      </c>
      <c r="AE170" s="19">
        <v>0</v>
      </c>
      <c r="AF170" s="19">
        <v>0</v>
      </c>
      <c r="AG170" s="19">
        <v>0</v>
      </c>
      <c r="AH170" s="20">
        <v>148176</v>
      </c>
    </row>
    <row r="171" spans="7:34" x14ac:dyDescent="0.4">
      <c r="G171" s="19" t="s">
        <v>80</v>
      </c>
      <c r="H171" s="19">
        <v>753867</v>
      </c>
      <c r="I171" s="19" t="s">
        <v>19</v>
      </c>
      <c r="J171" s="19" t="s">
        <v>2</v>
      </c>
      <c r="K171" s="19" t="s">
        <v>52</v>
      </c>
      <c r="L171" s="19"/>
      <c r="M171" s="19" t="s">
        <v>53</v>
      </c>
      <c r="N171" s="20">
        <v>3200</v>
      </c>
      <c r="O171" s="19">
        <v>1</v>
      </c>
      <c r="P171" s="20">
        <v>2240</v>
      </c>
      <c r="Q171" s="19">
        <v>0</v>
      </c>
      <c r="R171" s="19">
        <v>0</v>
      </c>
      <c r="S171" s="19">
        <v>0</v>
      </c>
      <c r="T171" s="19">
        <v>0</v>
      </c>
      <c r="U171" s="19">
        <v>0</v>
      </c>
      <c r="V171" s="19">
        <v>0</v>
      </c>
      <c r="W171" s="19">
        <v>0</v>
      </c>
      <c r="X171" s="19">
        <v>0</v>
      </c>
      <c r="Y171" s="19">
        <v>0</v>
      </c>
      <c r="Z171" s="19">
        <v>0</v>
      </c>
      <c r="AA171" s="19">
        <v>0</v>
      </c>
      <c r="AB171" s="19">
        <v>18</v>
      </c>
      <c r="AC171" s="20">
        <v>9072</v>
      </c>
      <c r="AD171" s="19">
        <v>0</v>
      </c>
      <c r="AE171" s="19">
        <v>0</v>
      </c>
      <c r="AF171" s="19">
        <v>0</v>
      </c>
      <c r="AG171" s="19">
        <v>0</v>
      </c>
      <c r="AH171" s="20">
        <v>11312</v>
      </c>
    </row>
    <row r="172" spans="7:34" x14ac:dyDescent="0.4">
      <c r="G172" s="19" t="s">
        <v>80</v>
      </c>
      <c r="H172" s="19">
        <v>753868</v>
      </c>
      <c r="I172" s="19" t="s">
        <v>18</v>
      </c>
      <c r="J172" s="19" t="s">
        <v>2</v>
      </c>
      <c r="K172" s="19" t="s">
        <v>52</v>
      </c>
      <c r="L172" s="19"/>
      <c r="M172" s="19" t="s">
        <v>53</v>
      </c>
      <c r="N172" s="20">
        <v>3200</v>
      </c>
      <c r="O172" s="19">
        <v>0</v>
      </c>
      <c r="P172" s="19">
        <v>0</v>
      </c>
      <c r="Q172" s="19">
        <v>0</v>
      </c>
      <c r="R172" s="19">
        <v>0</v>
      </c>
      <c r="S172" s="19">
        <v>0</v>
      </c>
      <c r="T172" s="19">
        <v>0</v>
      </c>
      <c r="U172" s="19">
        <v>0</v>
      </c>
      <c r="V172" s="19">
        <v>0</v>
      </c>
      <c r="W172" s="19">
        <v>0</v>
      </c>
      <c r="X172" s="19">
        <v>0</v>
      </c>
      <c r="Y172" s="19">
        <v>0</v>
      </c>
      <c r="Z172" s="19">
        <v>0</v>
      </c>
      <c r="AA172" s="19">
        <v>0</v>
      </c>
      <c r="AB172" s="19">
        <v>15</v>
      </c>
      <c r="AC172" s="20">
        <v>7560</v>
      </c>
      <c r="AD172" s="19">
        <v>0</v>
      </c>
      <c r="AE172" s="19">
        <v>0</v>
      </c>
      <c r="AF172" s="19">
        <v>0</v>
      </c>
      <c r="AG172" s="19">
        <v>0</v>
      </c>
      <c r="AH172" s="20">
        <v>7560</v>
      </c>
    </row>
    <row r="173" spans="7:34" x14ac:dyDescent="0.4">
      <c r="G173" s="19" t="s">
        <v>80</v>
      </c>
      <c r="H173" s="19">
        <v>753869</v>
      </c>
      <c r="I173" s="19" t="s">
        <v>17</v>
      </c>
      <c r="J173" s="19" t="s">
        <v>2</v>
      </c>
      <c r="K173" s="19" t="s">
        <v>52</v>
      </c>
      <c r="L173" s="19"/>
      <c r="M173" s="19" t="s">
        <v>53</v>
      </c>
      <c r="N173" s="20">
        <v>3200</v>
      </c>
      <c r="O173" s="19">
        <v>0</v>
      </c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9">
        <v>0</v>
      </c>
      <c r="V173" s="19">
        <v>0</v>
      </c>
      <c r="W173" s="19">
        <v>0</v>
      </c>
      <c r="X173" s="19">
        <v>0</v>
      </c>
      <c r="Y173" s="19">
        <v>0</v>
      </c>
      <c r="Z173" s="19">
        <v>0</v>
      </c>
      <c r="AA173" s="19">
        <v>0</v>
      </c>
      <c r="AB173" s="19">
        <v>17</v>
      </c>
      <c r="AC173" s="20">
        <v>8568</v>
      </c>
      <c r="AD173" s="19">
        <v>0</v>
      </c>
      <c r="AE173" s="19">
        <v>0</v>
      </c>
      <c r="AF173" s="19">
        <v>0</v>
      </c>
      <c r="AG173" s="19">
        <v>0</v>
      </c>
      <c r="AH173" s="20">
        <v>8568</v>
      </c>
    </row>
    <row r="174" spans="7:34" x14ac:dyDescent="0.4">
      <c r="G174" s="19" t="s">
        <v>80</v>
      </c>
      <c r="H174" s="19">
        <v>753870</v>
      </c>
      <c r="I174" s="19" t="s">
        <v>15</v>
      </c>
      <c r="J174" s="19" t="s">
        <v>2</v>
      </c>
      <c r="K174" s="19" t="s">
        <v>52</v>
      </c>
      <c r="L174" s="19"/>
      <c r="M174" s="19" t="s">
        <v>53</v>
      </c>
      <c r="N174" s="20">
        <v>3200</v>
      </c>
      <c r="O174" s="19">
        <v>1</v>
      </c>
      <c r="P174" s="20">
        <v>2240</v>
      </c>
      <c r="Q174" s="19">
        <v>0</v>
      </c>
      <c r="R174" s="19">
        <v>0</v>
      </c>
      <c r="S174" s="19">
        <v>0</v>
      </c>
      <c r="T174" s="19">
        <v>0</v>
      </c>
      <c r="U174" s="19">
        <v>0</v>
      </c>
      <c r="V174" s="19">
        <v>0</v>
      </c>
      <c r="W174" s="19">
        <v>0</v>
      </c>
      <c r="X174" s="19">
        <v>0</v>
      </c>
      <c r="Y174" s="19">
        <v>0</v>
      </c>
      <c r="Z174" s="19">
        <v>0</v>
      </c>
      <c r="AA174" s="19">
        <v>0</v>
      </c>
      <c r="AB174" s="19">
        <v>15</v>
      </c>
      <c r="AC174" s="20">
        <v>7560</v>
      </c>
      <c r="AD174" s="19">
        <v>0</v>
      </c>
      <c r="AE174" s="19">
        <v>0</v>
      </c>
      <c r="AF174" s="19">
        <v>0</v>
      </c>
      <c r="AG174" s="19">
        <v>0</v>
      </c>
      <c r="AH174" s="20">
        <v>9800</v>
      </c>
    </row>
    <row r="175" spans="7:34" x14ac:dyDescent="0.4">
      <c r="G175" s="19" t="s">
        <v>80</v>
      </c>
      <c r="H175" s="19">
        <v>753871</v>
      </c>
      <c r="I175" s="19" t="s">
        <v>10</v>
      </c>
      <c r="J175" s="19" t="s">
        <v>2</v>
      </c>
      <c r="K175" s="19" t="s">
        <v>52</v>
      </c>
      <c r="L175" s="19"/>
      <c r="M175" s="19" t="s">
        <v>53</v>
      </c>
      <c r="N175" s="20">
        <v>3200</v>
      </c>
      <c r="O175" s="19">
        <v>2</v>
      </c>
      <c r="P175" s="20">
        <v>4480</v>
      </c>
      <c r="Q175" s="19">
        <v>0</v>
      </c>
      <c r="R175" s="19">
        <v>0</v>
      </c>
      <c r="S175" s="19">
        <v>0</v>
      </c>
      <c r="T175" s="19">
        <v>0</v>
      </c>
      <c r="U175" s="19">
        <v>0</v>
      </c>
      <c r="V175" s="19">
        <v>0</v>
      </c>
      <c r="W175" s="19">
        <v>0</v>
      </c>
      <c r="X175" s="19">
        <v>0</v>
      </c>
      <c r="Y175" s="19">
        <v>0</v>
      </c>
      <c r="Z175" s="19">
        <v>0</v>
      </c>
      <c r="AA175" s="19">
        <v>0</v>
      </c>
      <c r="AB175" s="19">
        <v>14</v>
      </c>
      <c r="AC175" s="20">
        <v>7056</v>
      </c>
      <c r="AD175" s="19">
        <v>0</v>
      </c>
      <c r="AE175" s="19">
        <v>0</v>
      </c>
      <c r="AF175" s="19">
        <v>0</v>
      </c>
      <c r="AG175" s="19">
        <v>0</v>
      </c>
      <c r="AH175" s="20">
        <v>11536</v>
      </c>
    </row>
    <row r="176" spans="7:34" x14ac:dyDescent="0.4">
      <c r="G176" s="19" t="s">
        <v>80</v>
      </c>
      <c r="H176" s="19">
        <v>753872</v>
      </c>
      <c r="I176" s="19" t="s">
        <v>11</v>
      </c>
      <c r="J176" s="19" t="s">
        <v>2</v>
      </c>
      <c r="K176" s="19" t="s">
        <v>52</v>
      </c>
      <c r="L176" s="19"/>
      <c r="M176" s="19" t="s">
        <v>53</v>
      </c>
      <c r="N176" s="20">
        <v>3200</v>
      </c>
      <c r="O176" s="19">
        <v>2</v>
      </c>
      <c r="P176" s="20">
        <v>4480</v>
      </c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>
        <v>0</v>
      </c>
      <c r="Y176" s="19">
        <v>0</v>
      </c>
      <c r="Z176" s="19">
        <v>0</v>
      </c>
      <c r="AA176" s="19">
        <v>0</v>
      </c>
      <c r="AB176" s="19">
        <v>15</v>
      </c>
      <c r="AC176" s="20">
        <v>7560</v>
      </c>
      <c r="AD176" s="19">
        <v>0</v>
      </c>
      <c r="AE176" s="19">
        <v>0</v>
      </c>
      <c r="AF176" s="19">
        <v>0</v>
      </c>
      <c r="AG176" s="19">
        <v>0</v>
      </c>
      <c r="AH176" s="20">
        <v>12040</v>
      </c>
    </row>
    <row r="177" spans="7:34" x14ac:dyDescent="0.4">
      <c r="G177" s="19" t="s">
        <v>80</v>
      </c>
      <c r="H177" s="19">
        <v>753873</v>
      </c>
      <c r="I177" s="19" t="s">
        <v>12</v>
      </c>
      <c r="J177" s="19" t="s">
        <v>2</v>
      </c>
      <c r="K177" s="19" t="s">
        <v>52</v>
      </c>
      <c r="L177" s="19"/>
      <c r="M177" s="19" t="s">
        <v>53</v>
      </c>
      <c r="N177" s="20">
        <v>3200</v>
      </c>
      <c r="O177" s="19">
        <v>2</v>
      </c>
      <c r="P177" s="20">
        <v>4480</v>
      </c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>
        <v>0</v>
      </c>
      <c r="Y177" s="19">
        <v>0</v>
      </c>
      <c r="Z177" s="19">
        <v>0</v>
      </c>
      <c r="AA177" s="19">
        <v>0</v>
      </c>
      <c r="AB177" s="19">
        <v>16</v>
      </c>
      <c r="AC177" s="20">
        <v>8064</v>
      </c>
      <c r="AD177" s="19">
        <v>0</v>
      </c>
      <c r="AE177" s="19">
        <v>0</v>
      </c>
      <c r="AF177" s="19">
        <v>0</v>
      </c>
      <c r="AG177" s="19">
        <v>0</v>
      </c>
      <c r="AH177" s="20">
        <v>12544</v>
      </c>
    </row>
    <row r="178" spans="7:34" x14ac:dyDescent="0.4">
      <c r="G178" s="19" t="s">
        <v>80</v>
      </c>
      <c r="H178" s="19">
        <v>753874</v>
      </c>
      <c r="I178" s="19" t="s">
        <v>16</v>
      </c>
      <c r="J178" s="19" t="s">
        <v>2</v>
      </c>
      <c r="K178" s="19" t="s">
        <v>52</v>
      </c>
      <c r="L178" s="19"/>
      <c r="M178" s="19" t="s">
        <v>53</v>
      </c>
      <c r="N178" s="20">
        <v>3200</v>
      </c>
      <c r="O178" s="19">
        <v>2</v>
      </c>
      <c r="P178" s="20">
        <v>4480</v>
      </c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>
        <v>0</v>
      </c>
      <c r="Y178" s="19">
        <v>0</v>
      </c>
      <c r="Z178" s="19">
        <v>0</v>
      </c>
      <c r="AA178" s="19">
        <v>0</v>
      </c>
      <c r="AB178" s="19">
        <v>17</v>
      </c>
      <c r="AC178" s="20">
        <v>8568</v>
      </c>
      <c r="AD178" s="19">
        <v>0</v>
      </c>
      <c r="AE178" s="19">
        <v>0</v>
      </c>
      <c r="AF178" s="19">
        <v>0</v>
      </c>
      <c r="AG178" s="19">
        <v>0</v>
      </c>
      <c r="AH178" s="20">
        <v>13048</v>
      </c>
    </row>
    <row r="179" spans="7:34" x14ac:dyDescent="0.4">
      <c r="G179" s="19" t="s">
        <v>80</v>
      </c>
      <c r="H179" s="19">
        <v>753875</v>
      </c>
      <c r="I179" s="19" t="s">
        <v>14</v>
      </c>
      <c r="J179" s="19" t="s">
        <v>2</v>
      </c>
      <c r="K179" s="19" t="s">
        <v>52</v>
      </c>
      <c r="L179" s="19"/>
      <c r="M179" s="19" t="s">
        <v>53</v>
      </c>
      <c r="N179" s="20">
        <v>3200</v>
      </c>
      <c r="O179" s="19">
        <v>1</v>
      </c>
      <c r="P179" s="20">
        <v>2240</v>
      </c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>
        <v>0</v>
      </c>
      <c r="Y179" s="19">
        <v>0</v>
      </c>
      <c r="Z179" s="19">
        <v>0</v>
      </c>
      <c r="AA179" s="19">
        <v>0</v>
      </c>
      <c r="AB179" s="19">
        <v>22</v>
      </c>
      <c r="AC179" s="20">
        <v>11088</v>
      </c>
      <c r="AD179" s="19">
        <v>0</v>
      </c>
      <c r="AE179" s="19">
        <v>0</v>
      </c>
      <c r="AF179" s="19">
        <v>0</v>
      </c>
      <c r="AG179" s="19">
        <v>0</v>
      </c>
      <c r="AH179" s="20">
        <v>13328</v>
      </c>
    </row>
    <row r="180" spans="7:34" x14ac:dyDescent="0.4">
      <c r="G180" s="19" t="s">
        <v>80</v>
      </c>
      <c r="H180" s="19">
        <v>753876</v>
      </c>
      <c r="I180" s="19" t="s">
        <v>13</v>
      </c>
      <c r="J180" s="19" t="s">
        <v>2</v>
      </c>
      <c r="K180" s="19" t="s">
        <v>52</v>
      </c>
      <c r="L180" s="19"/>
      <c r="M180" s="19" t="s">
        <v>53</v>
      </c>
      <c r="N180" s="20">
        <v>3200</v>
      </c>
      <c r="O180" s="19">
        <v>3</v>
      </c>
      <c r="P180" s="20">
        <v>6720</v>
      </c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>
        <v>0</v>
      </c>
      <c r="Y180" s="19">
        <v>0</v>
      </c>
      <c r="Z180" s="19">
        <v>0</v>
      </c>
      <c r="AA180" s="19">
        <v>0</v>
      </c>
      <c r="AB180" s="19">
        <v>23</v>
      </c>
      <c r="AC180" s="20">
        <v>13328</v>
      </c>
      <c r="AD180" s="19">
        <v>0</v>
      </c>
      <c r="AE180" s="19">
        <v>0</v>
      </c>
      <c r="AF180" s="19">
        <v>0</v>
      </c>
      <c r="AG180" s="19">
        <v>0</v>
      </c>
      <c r="AH180" s="20">
        <v>20048</v>
      </c>
    </row>
    <row r="181" spans="7:34" x14ac:dyDescent="0.4">
      <c r="G181" s="19" t="s">
        <v>80</v>
      </c>
      <c r="H181" s="19">
        <v>753877</v>
      </c>
      <c r="I181" s="19" t="s">
        <v>9</v>
      </c>
      <c r="J181" s="19" t="s">
        <v>2</v>
      </c>
      <c r="K181" s="19" t="s">
        <v>52</v>
      </c>
      <c r="L181" s="19"/>
      <c r="M181" s="19" t="s">
        <v>53</v>
      </c>
      <c r="N181" s="20">
        <v>3200</v>
      </c>
      <c r="O181" s="19">
        <v>2</v>
      </c>
      <c r="P181" s="20">
        <v>4480</v>
      </c>
      <c r="Q181" s="19">
        <v>0</v>
      </c>
      <c r="R181" s="19">
        <v>0</v>
      </c>
      <c r="S181" s="19">
        <v>0</v>
      </c>
      <c r="T181" s="19">
        <v>0</v>
      </c>
      <c r="U181" s="19">
        <v>0</v>
      </c>
      <c r="V181" s="19">
        <v>0</v>
      </c>
      <c r="W181" s="19">
        <v>0</v>
      </c>
      <c r="X181" s="19">
        <v>0</v>
      </c>
      <c r="Y181" s="19">
        <v>0</v>
      </c>
      <c r="Z181" s="19">
        <v>0</v>
      </c>
      <c r="AA181" s="19">
        <v>0</v>
      </c>
      <c r="AB181" s="19">
        <v>28</v>
      </c>
      <c r="AC181" s="20">
        <v>14112</v>
      </c>
      <c r="AD181" s="19">
        <v>0</v>
      </c>
      <c r="AE181" s="19">
        <v>0</v>
      </c>
      <c r="AF181" s="19">
        <v>0</v>
      </c>
      <c r="AG181" s="19">
        <v>0</v>
      </c>
      <c r="AH181" s="20">
        <v>18592</v>
      </c>
    </row>
    <row r="182" spans="7:34" x14ac:dyDescent="0.4">
      <c r="G182" s="19" t="s">
        <v>80</v>
      </c>
      <c r="H182" s="19">
        <v>753878</v>
      </c>
      <c r="I182" s="19" t="s">
        <v>8</v>
      </c>
      <c r="J182" s="19" t="s">
        <v>2</v>
      </c>
      <c r="K182" s="19" t="s">
        <v>52</v>
      </c>
      <c r="L182" s="19"/>
      <c r="M182" s="19" t="s">
        <v>53</v>
      </c>
      <c r="N182" s="20">
        <v>3200</v>
      </c>
      <c r="O182" s="19">
        <v>1</v>
      </c>
      <c r="P182" s="20">
        <v>2240</v>
      </c>
      <c r="Q182" s="19">
        <v>0</v>
      </c>
      <c r="R182" s="19">
        <v>0</v>
      </c>
      <c r="S182" s="19">
        <v>0</v>
      </c>
      <c r="T182" s="19">
        <v>0</v>
      </c>
      <c r="U182" s="19">
        <v>0</v>
      </c>
      <c r="V182" s="19">
        <v>0</v>
      </c>
      <c r="W182" s="19">
        <v>0</v>
      </c>
      <c r="X182" s="19">
        <v>0</v>
      </c>
      <c r="Y182" s="19">
        <v>0</v>
      </c>
      <c r="Z182" s="19">
        <v>0</v>
      </c>
      <c r="AA182" s="19">
        <v>0</v>
      </c>
      <c r="AB182" s="19">
        <v>36</v>
      </c>
      <c r="AC182" s="20">
        <v>18144</v>
      </c>
      <c r="AD182" s="19">
        <v>0</v>
      </c>
      <c r="AE182" s="19">
        <v>0</v>
      </c>
      <c r="AF182" s="19">
        <v>0</v>
      </c>
      <c r="AG182" s="19">
        <v>0</v>
      </c>
      <c r="AH182" s="20">
        <v>20384</v>
      </c>
    </row>
    <row r="183" spans="7:34" x14ac:dyDescent="0.4">
      <c r="G183" s="19" t="s">
        <v>80</v>
      </c>
      <c r="H183" s="19">
        <v>753879</v>
      </c>
      <c r="I183" s="19" t="s">
        <v>7</v>
      </c>
      <c r="J183" s="19" t="s">
        <v>2</v>
      </c>
      <c r="K183" s="19" t="s">
        <v>52</v>
      </c>
      <c r="L183" s="19"/>
      <c r="M183" s="19" t="s">
        <v>53</v>
      </c>
      <c r="N183" s="20">
        <v>3200</v>
      </c>
      <c r="O183" s="19">
        <v>1</v>
      </c>
      <c r="P183" s="20">
        <v>2240</v>
      </c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>
        <v>0</v>
      </c>
      <c r="Y183" s="19">
        <v>0</v>
      </c>
      <c r="Z183" s="19">
        <v>0</v>
      </c>
      <c r="AA183" s="19">
        <v>0</v>
      </c>
      <c r="AB183" s="19">
        <v>41</v>
      </c>
      <c r="AC183" s="20">
        <v>20664</v>
      </c>
      <c r="AD183" s="19">
        <v>0</v>
      </c>
      <c r="AE183" s="19">
        <v>0</v>
      </c>
      <c r="AF183" s="19">
        <v>0</v>
      </c>
      <c r="AG183" s="19">
        <v>0</v>
      </c>
      <c r="AH183" s="20">
        <v>22904</v>
      </c>
    </row>
    <row r="184" spans="7:34" x14ac:dyDescent="0.4">
      <c r="G184" s="19" t="s">
        <v>80</v>
      </c>
      <c r="H184" s="19">
        <v>753880</v>
      </c>
      <c r="I184" s="19" t="s">
        <v>6</v>
      </c>
      <c r="J184" s="19" t="s">
        <v>2</v>
      </c>
      <c r="K184" s="19" t="s">
        <v>52</v>
      </c>
      <c r="L184" s="19"/>
      <c r="M184" s="19" t="s">
        <v>53</v>
      </c>
      <c r="N184" s="20">
        <v>3200</v>
      </c>
      <c r="O184" s="19">
        <v>2</v>
      </c>
      <c r="P184" s="20">
        <v>4480</v>
      </c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>
        <v>0</v>
      </c>
      <c r="Y184" s="19">
        <v>0</v>
      </c>
      <c r="Z184" s="19">
        <v>0</v>
      </c>
      <c r="AA184" s="19">
        <v>0</v>
      </c>
      <c r="AB184" s="19">
        <v>46</v>
      </c>
      <c r="AC184" s="20">
        <v>23184</v>
      </c>
      <c r="AD184" s="19">
        <v>0</v>
      </c>
      <c r="AE184" s="19">
        <v>0</v>
      </c>
      <c r="AF184" s="19">
        <v>0</v>
      </c>
      <c r="AG184" s="19">
        <v>0</v>
      </c>
      <c r="AH184" s="20">
        <v>27664</v>
      </c>
    </row>
    <row r="185" spans="7:34" x14ac:dyDescent="0.4">
      <c r="G185" s="27" t="s">
        <v>106</v>
      </c>
      <c r="H185" s="21" t="s">
        <v>95</v>
      </c>
      <c r="I185" s="21" t="s">
        <v>96</v>
      </c>
      <c r="J185" s="22" t="s">
        <v>97</v>
      </c>
      <c r="K185" s="22" t="s">
        <v>98</v>
      </c>
      <c r="L185" s="21" t="s">
        <v>4</v>
      </c>
      <c r="M185" s="23" t="s">
        <v>5</v>
      </c>
      <c r="N185" s="21" t="s">
        <v>99</v>
      </c>
      <c r="O185" s="21" t="s">
        <v>3</v>
      </c>
      <c r="P185" s="24" t="s">
        <v>100</v>
      </c>
      <c r="Q185" s="24" t="s">
        <v>101</v>
      </c>
      <c r="R185" s="25" t="s">
        <v>102</v>
      </c>
      <c r="S185" s="24" t="s">
        <v>100</v>
      </c>
      <c r="T185" s="24" t="s">
        <v>101</v>
      </c>
      <c r="U185" s="25" t="s">
        <v>102</v>
      </c>
      <c r="V185" s="24" t="s">
        <v>103</v>
      </c>
      <c r="W185" s="24" t="s">
        <v>103</v>
      </c>
      <c r="X185" s="24" t="s">
        <v>102</v>
      </c>
      <c r="Y185" s="24" t="s">
        <v>104</v>
      </c>
      <c r="Z185" s="25" t="s">
        <v>102</v>
      </c>
      <c r="AA185" s="26" t="s">
        <v>105</v>
      </c>
    </row>
    <row r="186" spans="7:34" x14ac:dyDescent="0.4">
      <c r="G186" s="19" t="s">
        <v>94</v>
      </c>
      <c r="H186" s="3">
        <v>753904</v>
      </c>
      <c r="I186" s="3">
        <v>753872</v>
      </c>
      <c r="J186" s="3" t="s">
        <v>90</v>
      </c>
      <c r="K186" s="3" t="s">
        <v>91</v>
      </c>
      <c r="L186" s="3" t="s">
        <v>11</v>
      </c>
      <c r="M186" s="3" t="s">
        <v>2</v>
      </c>
      <c r="N186" s="3" t="s">
        <v>92</v>
      </c>
      <c r="O186" s="3" t="s">
        <v>52</v>
      </c>
      <c r="P186" s="3">
        <v>1</v>
      </c>
      <c r="Q186" s="3">
        <v>0</v>
      </c>
      <c r="R186" s="3">
        <v>3200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3200</v>
      </c>
      <c r="AA186" s="3">
        <v>2240</v>
      </c>
    </row>
    <row r="187" spans="7:34" x14ac:dyDescent="0.4">
      <c r="G187" s="19" t="s">
        <v>94</v>
      </c>
      <c r="H187" s="3">
        <v>753904</v>
      </c>
      <c r="I187" s="3">
        <v>753871</v>
      </c>
      <c r="J187" s="3" t="s">
        <v>90</v>
      </c>
      <c r="K187" s="3" t="s">
        <v>91</v>
      </c>
      <c r="L187" s="3" t="s">
        <v>10</v>
      </c>
      <c r="M187" s="3" t="s">
        <v>2</v>
      </c>
      <c r="N187" s="3" t="s">
        <v>92</v>
      </c>
      <c r="O187" s="3" t="s">
        <v>52</v>
      </c>
      <c r="P187" s="3">
        <v>1</v>
      </c>
      <c r="Q187" s="3">
        <v>0</v>
      </c>
      <c r="R187" s="3">
        <v>3200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3200</v>
      </c>
      <c r="AA187" s="3">
        <v>2240</v>
      </c>
    </row>
    <row r="188" spans="7:34" x14ac:dyDescent="0.4">
      <c r="G188" s="19" t="s">
        <v>94</v>
      </c>
      <c r="H188" s="3">
        <v>753904</v>
      </c>
      <c r="I188" s="3">
        <v>753870</v>
      </c>
      <c r="J188" s="3" t="s">
        <v>90</v>
      </c>
      <c r="K188" s="3" t="s">
        <v>91</v>
      </c>
      <c r="L188" s="3" t="s">
        <v>15</v>
      </c>
      <c r="M188" s="3" t="s">
        <v>2</v>
      </c>
      <c r="N188" s="3" t="s">
        <v>92</v>
      </c>
      <c r="O188" s="3" t="s">
        <v>52</v>
      </c>
      <c r="P188" s="3">
        <v>0</v>
      </c>
      <c r="Q188" s="3">
        <v>2</v>
      </c>
      <c r="R188" s="3">
        <v>6400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6400</v>
      </c>
      <c r="AA188" s="3">
        <v>4480</v>
      </c>
    </row>
    <row r="189" spans="7:34" x14ac:dyDescent="0.4">
      <c r="G189" s="19" t="s">
        <v>94</v>
      </c>
      <c r="H189" s="3">
        <v>753904</v>
      </c>
      <c r="I189" s="3">
        <v>753869</v>
      </c>
      <c r="J189" s="3" t="s">
        <v>90</v>
      </c>
      <c r="K189" s="3" t="s">
        <v>91</v>
      </c>
      <c r="L189" s="3" t="s">
        <v>17</v>
      </c>
      <c r="M189" s="3" t="s">
        <v>2</v>
      </c>
      <c r="N189" s="3" t="s">
        <v>92</v>
      </c>
      <c r="O189" s="3" t="s">
        <v>52</v>
      </c>
      <c r="P189" s="3">
        <v>1</v>
      </c>
      <c r="Q189" s="3">
        <v>1</v>
      </c>
      <c r="R189" s="3">
        <v>6400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6400</v>
      </c>
      <c r="AA189" s="3">
        <v>4480</v>
      </c>
    </row>
    <row r="190" spans="7:34" x14ac:dyDescent="0.4">
      <c r="G190" s="19" t="s">
        <v>94</v>
      </c>
      <c r="H190" s="3">
        <v>753904</v>
      </c>
      <c r="I190" s="3">
        <v>753868</v>
      </c>
      <c r="J190" s="3" t="s">
        <v>90</v>
      </c>
      <c r="K190" s="3" t="s">
        <v>91</v>
      </c>
      <c r="L190" s="3" t="s">
        <v>18</v>
      </c>
      <c r="M190" s="3" t="s">
        <v>2</v>
      </c>
      <c r="N190" s="3" t="s">
        <v>92</v>
      </c>
      <c r="O190" s="3" t="s">
        <v>52</v>
      </c>
      <c r="P190" s="3">
        <v>0</v>
      </c>
      <c r="Q190" s="3">
        <v>2</v>
      </c>
      <c r="R190" s="3">
        <v>6400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6400</v>
      </c>
      <c r="AA190" s="3">
        <v>4480</v>
      </c>
    </row>
    <row r="191" spans="7:34" x14ac:dyDescent="0.4">
      <c r="G191" s="19" t="s">
        <v>94</v>
      </c>
      <c r="H191" s="3">
        <v>753904</v>
      </c>
      <c r="I191" s="3">
        <v>753867</v>
      </c>
      <c r="J191" s="3" t="s">
        <v>90</v>
      </c>
      <c r="K191" s="3" t="s">
        <v>91</v>
      </c>
      <c r="L191" s="3" t="s">
        <v>19</v>
      </c>
      <c r="M191" s="3" t="s">
        <v>2</v>
      </c>
      <c r="N191" s="3" t="s">
        <v>92</v>
      </c>
      <c r="O191" s="3" t="s">
        <v>52</v>
      </c>
      <c r="P191" s="3">
        <v>0</v>
      </c>
      <c r="Q191" s="3">
        <v>2</v>
      </c>
      <c r="R191" s="3">
        <v>6400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6400</v>
      </c>
      <c r="AA191" s="3">
        <v>4480</v>
      </c>
    </row>
    <row r="192" spans="7:34" x14ac:dyDescent="0.4">
      <c r="G192" s="19" t="s">
        <v>94</v>
      </c>
      <c r="H192" s="3">
        <v>753904</v>
      </c>
      <c r="I192" s="3">
        <v>753881</v>
      </c>
      <c r="J192" s="3" t="s">
        <v>90</v>
      </c>
      <c r="K192" s="3" t="s">
        <v>91</v>
      </c>
      <c r="L192" s="3" t="s">
        <v>93</v>
      </c>
      <c r="M192" s="3" t="s">
        <v>2</v>
      </c>
      <c r="N192" s="3" t="s">
        <v>92</v>
      </c>
      <c r="O192" s="3" t="s">
        <v>52</v>
      </c>
      <c r="P192" s="3">
        <v>1</v>
      </c>
      <c r="Q192" s="3">
        <v>12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</row>
    <row r="193" spans="7:27" x14ac:dyDescent="0.4">
      <c r="G193" s="19" t="s">
        <v>94</v>
      </c>
      <c r="H193" s="3">
        <v>753904</v>
      </c>
      <c r="I193" s="3">
        <v>753881</v>
      </c>
      <c r="J193" s="3" t="s">
        <v>90</v>
      </c>
      <c r="K193" s="3" t="s">
        <v>91</v>
      </c>
      <c r="L193" s="3" t="s">
        <v>93</v>
      </c>
      <c r="M193" s="3" t="s">
        <v>2</v>
      </c>
      <c r="N193" s="3" t="s">
        <v>92</v>
      </c>
      <c r="O193" s="3" t="s">
        <v>52</v>
      </c>
      <c r="P193" s="3">
        <v>0</v>
      </c>
      <c r="Q193" s="3">
        <v>0</v>
      </c>
      <c r="R193" s="3">
        <v>0</v>
      </c>
      <c r="S193" s="3">
        <v>3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</row>
    <row r="194" spans="7:27" x14ac:dyDescent="0.4">
      <c r="G194" s="19" t="s">
        <v>94</v>
      </c>
      <c r="H194" s="3">
        <v>753904</v>
      </c>
      <c r="I194" s="3">
        <v>753880</v>
      </c>
      <c r="J194" s="3" t="s">
        <v>90</v>
      </c>
      <c r="K194" s="3" t="s">
        <v>91</v>
      </c>
      <c r="L194" s="3" t="s">
        <v>6</v>
      </c>
      <c r="M194" s="3" t="s">
        <v>2</v>
      </c>
      <c r="N194" s="3" t="s">
        <v>92</v>
      </c>
      <c r="O194" s="3" t="s">
        <v>52</v>
      </c>
      <c r="P194" s="3">
        <v>1</v>
      </c>
      <c r="Q194" s="3">
        <v>0</v>
      </c>
      <c r="R194" s="3">
        <v>3200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3200</v>
      </c>
      <c r="AA194" s="3">
        <v>2240</v>
      </c>
    </row>
    <row r="195" spans="7:27" x14ac:dyDescent="0.4">
      <c r="G195" s="19" t="s">
        <v>94</v>
      </c>
      <c r="H195" s="3">
        <v>753904</v>
      </c>
      <c r="I195" s="3">
        <v>753876</v>
      </c>
      <c r="J195" s="3" t="s">
        <v>90</v>
      </c>
      <c r="K195" s="3" t="s">
        <v>91</v>
      </c>
      <c r="L195" s="3" t="s">
        <v>13</v>
      </c>
      <c r="M195" s="3" t="s">
        <v>2</v>
      </c>
      <c r="N195" s="3" t="s">
        <v>92</v>
      </c>
      <c r="O195" s="3" t="s">
        <v>52</v>
      </c>
      <c r="P195" s="3">
        <v>0</v>
      </c>
      <c r="Q195" s="3">
        <v>1</v>
      </c>
      <c r="R195" s="3">
        <v>3200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3200</v>
      </c>
      <c r="AA195" s="3">
        <v>2240</v>
      </c>
    </row>
    <row r="196" spans="7:27" x14ac:dyDescent="0.4">
      <c r="G196" s="19" t="s">
        <v>94</v>
      </c>
      <c r="H196" s="3">
        <v>753904</v>
      </c>
      <c r="I196" s="3">
        <v>753875</v>
      </c>
      <c r="J196" s="3" t="s">
        <v>90</v>
      </c>
      <c r="K196" s="3" t="s">
        <v>91</v>
      </c>
      <c r="L196" s="3" t="s">
        <v>14</v>
      </c>
      <c r="M196" s="3" t="s">
        <v>2</v>
      </c>
      <c r="N196" s="3" t="s">
        <v>92</v>
      </c>
      <c r="O196" s="3" t="s">
        <v>52</v>
      </c>
      <c r="P196" s="3">
        <v>1</v>
      </c>
      <c r="Q196" s="3">
        <v>0</v>
      </c>
      <c r="R196" s="3">
        <v>3200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3200</v>
      </c>
      <c r="AA196" s="3">
        <v>2240</v>
      </c>
    </row>
    <row r="197" spans="7:27" x14ac:dyDescent="0.4">
      <c r="G197" s="19" t="s">
        <v>94</v>
      </c>
      <c r="H197" s="3">
        <v>753904</v>
      </c>
      <c r="I197" s="3">
        <v>753874</v>
      </c>
      <c r="J197" s="3" t="s">
        <v>90</v>
      </c>
      <c r="K197" s="3" t="s">
        <v>91</v>
      </c>
      <c r="L197" s="3" t="s">
        <v>16</v>
      </c>
      <c r="M197" s="3" t="s">
        <v>2</v>
      </c>
      <c r="N197" s="3" t="s">
        <v>92</v>
      </c>
      <c r="O197" s="3" t="s">
        <v>52</v>
      </c>
      <c r="P197" s="3">
        <v>0</v>
      </c>
      <c r="Q197" s="3">
        <v>1</v>
      </c>
      <c r="R197" s="3">
        <v>3200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3200</v>
      </c>
      <c r="AA197" s="3">
        <v>2240</v>
      </c>
    </row>
    <row r="198" spans="7:27" x14ac:dyDescent="0.4">
      <c r="G198" s="19" t="s">
        <v>94</v>
      </c>
      <c r="H198" s="3">
        <v>753904</v>
      </c>
      <c r="I198" s="3">
        <v>753873</v>
      </c>
      <c r="J198" s="3" t="s">
        <v>90</v>
      </c>
      <c r="K198" s="3" t="s">
        <v>91</v>
      </c>
      <c r="L198" s="3" t="s">
        <v>12</v>
      </c>
      <c r="M198" s="3" t="s">
        <v>2</v>
      </c>
      <c r="N198" s="3" t="s">
        <v>92</v>
      </c>
      <c r="O198" s="3" t="s">
        <v>52</v>
      </c>
      <c r="P198" s="3">
        <v>0</v>
      </c>
      <c r="Q198" s="3">
        <v>1</v>
      </c>
      <c r="R198" s="3">
        <v>3200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3200</v>
      </c>
      <c r="AA198" s="3">
        <v>2240</v>
      </c>
    </row>
    <row r="199" spans="7:27" x14ac:dyDescent="0.3">
      <c r="G199" s="19" t="s">
        <v>110</v>
      </c>
      <c r="H199" s="29">
        <v>753904</v>
      </c>
      <c r="I199" s="29">
        <v>753872</v>
      </c>
      <c r="J199" s="29" t="s">
        <v>90</v>
      </c>
      <c r="K199" s="29" t="s">
        <v>91</v>
      </c>
      <c r="L199" s="29" t="s">
        <v>11</v>
      </c>
      <c r="M199" s="29" t="s">
        <v>2</v>
      </c>
      <c r="N199" s="29" t="s">
        <v>92</v>
      </c>
      <c r="O199" s="29" t="s">
        <v>52</v>
      </c>
      <c r="P199" s="29">
        <v>0</v>
      </c>
      <c r="Q199" s="29">
        <v>0</v>
      </c>
      <c r="R199" s="30">
        <v>0</v>
      </c>
      <c r="S199" s="29">
        <v>4</v>
      </c>
      <c r="T199" s="29">
        <v>15</v>
      </c>
      <c r="U199" s="30">
        <v>11970</v>
      </c>
      <c r="V199" s="29">
        <v>0</v>
      </c>
      <c r="W199" s="29">
        <v>0</v>
      </c>
      <c r="X199" s="29">
        <v>0</v>
      </c>
      <c r="Y199" s="29">
        <v>0</v>
      </c>
      <c r="Z199" s="30">
        <v>11970</v>
      </c>
      <c r="AA199" s="3">
        <f t="shared" ref="AA199:AA262" si="5">Z199*70%</f>
        <v>8379</v>
      </c>
    </row>
    <row r="200" spans="7:27" x14ac:dyDescent="0.3">
      <c r="G200" s="19" t="s">
        <v>110</v>
      </c>
      <c r="H200" s="29">
        <v>753904</v>
      </c>
      <c r="I200" s="29">
        <v>753872</v>
      </c>
      <c r="J200" s="29" t="s">
        <v>90</v>
      </c>
      <c r="K200" s="29" t="s">
        <v>91</v>
      </c>
      <c r="L200" s="29" t="s">
        <v>11</v>
      </c>
      <c r="M200" s="29" t="s">
        <v>2</v>
      </c>
      <c r="N200" s="29" t="s">
        <v>92</v>
      </c>
      <c r="O200" s="29" t="s">
        <v>52</v>
      </c>
      <c r="P200" s="29">
        <v>0</v>
      </c>
      <c r="Q200" s="29">
        <v>1</v>
      </c>
      <c r="R200" s="30">
        <v>3200</v>
      </c>
      <c r="S200" s="29">
        <v>0</v>
      </c>
      <c r="T200" s="29">
        <v>0</v>
      </c>
      <c r="U200" s="30">
        <v>0</v>
      </c>
      <c r="V200" s="29">
        <v>0</v>
      </c>
      <c r="W200" s="29">
        <v>0</v>
      </c>
      <c r="X200" s="29">
        <v>0</v>
      </c>
      <c r="Y200" s="29">
        <v>0</v>
      </c>
      <c r="Z200" s="30">
        <v>3200</v>
      </c>
      <c r="AA200" s="3">
        <f t="shared" si="5"/>
        <v>2240</v>
      </c>
    </row>
    <row r="201" spans="7:27" x14ac:dyDescent="0.3">
      <c r="G201" s="19" t="s">
        <v>110</v>
      </c>
      <c r="H201" s="29">
        <v>753904</v>
      </c>
      <c r="I201" s="29">
        <v>753871</v>
      </c>
      <c r="J201" s="29" t="s">
        <v>90</v>
      </c>
      <c r="K201" s="29" t="s">
        <v>91</v>
      </c>
      <c r="L201" s="29" t="s">
        <v>10</v>
      </c>
      <c r="M201" s="29" t="s">
        <v>2</v>
      </c>
      <c r="N201" s="29" t="s">
        <v>92</v>
      </c>
      <c r="O201" s="29" t="s">
        <v>52</v>
      </c>
      <c r="P201" s="29">
        <v>0</v>
      </c>
      <c r="Q201" s="29">
        <v>0</v>
      </c>
      <c r="R201" s="30">
        <v>0</v>
      </c>
      <c r="S201" s="29">
        <v>4</v>
      </c>
      <c r="T201" s="29">
        <v>14</v>
      </c>
      <c r="U201" s="30">
        <v>11340</v>
      </c>
      <c r="V201" s="29">
        <v>0</v>
      </c>
      <c r="W201" s="29">
        <v>0</v>
      </c>
      <c r="X201" s="29">
        <v>0</v>
      </c>
      <c r="Y201" s="29">
        <v>0</v>
      </c>
      <c r="Z201" s="30">
        <v>11340</v>
      </c>
      <c r="AA201" s="3">
        <f t="shared" si="5"/>
        <v>7937.9999999999991</v>
      </c>
    </row>
    <row r="202" spans="7:27" x14ac:dyDescent="0.3">
      <c r="G202" s="19" t="s">
        <v>110</v>
      </c>
      <c r="H202" s="29">
        <v>753904</v>
      </c>
      <c r="I202" s="29">
        <v>753871</v>
      </c>
      <c r="J202" s="29" t="s">
        <v>90</v>
      </c>
      <c r="K202" s="29" t="s">
        <v>91</v>
      </c>
      <c r="L202" s="29" t="s">
        <v>10</v>
      </c>
      <c r="M202" s="29" t="s">
        <v>2</v>
      </c>
      <c r="N202" s="29" t="s">
        <v>92</v>
      </c>
      <c r="O202" s="29" t="s">
        <v>52</v>
      </c>
      <c r="P202" s="29">
        <v>0</v>
      </c>
      <c r="Q202" s="29">
        <v>1</v>
      </c>
      <c r="R202" s="30">
        <v>3200</v>
      </c>
      <c r="S202" s="29">
        <v>0</v>
      </c>
      <c r="T202" s="29">
        <v>0</v>
      </c>
      <c r="U202" s="30">
        <v>0</v>
      </c>
      <c r="V202" s="29">
        <v>0</v>
      </c>
      <c r="W202" s="29">
        <v>0</v>
      </c>
      <c r="X202" s="29">
        <v>0</v>
      </c>
      <c r="Y202" s="29">
        <v>0</v>
      </c>
      <c r="Z202" s="30">
        <v>3200</v>
      </c>
      <c r="AA202" s="3">
        <f t="shared" si="5"/>
        <v>2240</v>
      </c>
    </row>
    <row r="203" spans="7:27" x14ac:dyDescent="0.3">
      <c r="G203" s="19" t="s">
        <v>110</v>
      </c>
      <c r="H203" s="29">
        <v>753904</v>
      </c>
      <c r="I203" s="29">
        <v>753870</v>
      </c>
      <c r="J203" s="29" t="s">
        <v>90</v>
      </c>
      <c r="K203" s="29" t="s">
        <v>91</v>
      </c>
      <c r="L203" s="29" t="s">
        <v>15</v>
      </c>
      <c r="M203" s="29" t="s">
        <v>2</v>
      </c>
      <c r="N203" s="29" t="s">
        <v>92</v>
      </c>
      <c r="O203" s="29" t="s">
        <v>52</v>
      </c>
      <c r="P203" s="29">
        <v>0</v>
      </c>
      <c r="Q203" s="29">
        <v>0</v>
      </c>
      <c r="R203" s="30">
        <v>0</v>
      </c>
      <c r="S203" s="29">
        <v>2</v>
      </c>
      <c r="T203" s="29">
        <v>15</v>
      </c>
      <c r="U203" s="30">
        <v>10710</v>
      </c>
      <c r="V203" s="29">
        <v>0</v>
      </c>
      <c r="W203" s="29">
        <v>0</v>
      </c>
      <c r="X203" s="29">
        <v>0</v>
      </c>
      <c r="Y203" s="29">
        <v>0</v>
      </c>
      <c r="Z203" s="30">
        <v>10710</v>
      </c>
      <c r="AA203" s="3">
        <f t="shared" si="5"/>
        <v>7496.9999999999991</v>
      </c>
    </row>
    <row r="204" spans="7:27" x14ac:dyDescent="0.3">
      <c r="G204" s="19" t="s">
        <v>110</v>
      </c>
      <c r="H204" s="29">
        <v>753904</v>
      </c>
      <c r="I204" s="29">
        <v>753870</v>
      </c>
      <c r="J204" s="29" t="s">
        <v>90</v>
      </c>
      <c r="K204" s="29" t="s">
        <v>91</v>
      </c>
      <c r="L204" s="29" t="s">
        <v>15</v>
      </c>
      <c r="M204" s="29" t="s">
        <v>2</v>
      </c>
      <c r="N204" s="29" t="s">
        <v>92</v>
      </c>
      <c r="O204" s="29" t="s">
        <v>52</v>
      </c>
      <c r="P204" s="29">
        <v>0</v>
      </c>
      <c r="Q204" s="29">
        <v>1</v>
      </c>
      <c r="R204" s="30">
        <v>3200</v>
      </c>
      <c r="S204" s="29">
        <v>0</v>
      </c>
      <c r="T204" s="29">
        <v>0</v>
      </c>
      <c r="U204" s="30">
        <v>0</v>
      </c>
      <c r="V204" s="29">
        <v>0</v>
      </c>
      <c r="W204" s="29">
        <v>0</v>
      </c>
      <c r="X204" s="29">
        <v>0</v>
      </c>
      <c r="Y204" s="29">
        <v>0</v>
      </c>
      <c r="Z204" s="30">
        <v>3200</v>
      </c>
      <c r="AA204" s="3">
        <f t="shared" si="5"/>
        <v>2240</v>
      </c>
    </row>
    <row r="205" spans="7:27" x14ac:dyDescent="0.3">
      <c r="G205" s="19" t="s">
        <v>110</v>
      </c>
      <c r="H205" s="29">
        <v>753904</v>
      </c>
      <c r="I205" s="29">
        <v>753869</v>
      </c>
      <c r="J205" s="29" t="s">
        <v>90</v>
      </c>
      <c r="K205" s="29" t="s">
        <v>91</v>
      </c>
      <c r="L205" s="29" t="s">
        <v>17</v>
      </c>
      <c r="M205" s="29" t="s">
        <v>2</v>
      </c>
      <c r="N205" s="29" t="s">
        <v>92</v>
      </c>
      <c r="O205" s="29" t="s">
        <v>52</v>
      </c>
      <c r="P205" s="29">
        <v>0</v>
      </c>
      <c r="Q205" s="29">
        <v>0</v>
      </c>
      <c r="R205" s="30">
        <v>0</v>
      </c>
      <c r="S205" s="29">
        <v>2</v>
      </c>
      <c r="T205" s="29">
        <v>13</v>
      </c>
      <c r="U205" s="30">
        <v>9450</v>
      </c>
      <c r="V205" s="29">
        <v>0</v>
      </c>
      <c r="W205" s="29">
        <v>0</v>
      </c>
      <c r="X205" s="29">
        <v>0</v>
      </c>
      <c r="Y205" s="29">
        <v>0</v>
      </c>
      <c r="Z205" s="30">
        <v>9450</v>
      </c>
      <c r="AA205" s="3">
        <f t="shared" si="5"/>
        <v>6615</v>
      </c>
    </row>
    <row r="206" spans="7:27" x14ac:dyDescent="0.3">
      <c r="G206" s="19" t="s">
        <v>110</v>
      </c>
      <c r="H206" s="29">
        <v>753904</v>
      </c>
      <c r="I206" s="29">
        <v>753869</v>
      </c>
      <c r="J206" s="29" t="s">
        <v>90</v>
      </c>
      <c r="K206" s="29" t="s">
        <v>91</v>
      </c>
      <c r="L206" s="29" t="s">
        <v>17</v>
      </c>
      <c r="M206" s="29" t="s">
        <v>2</v>
      </c>
      <c r="N206" s="29" t="s">
        <v>92</v>
      </c>
      <c r="O206" s="29" t="s">
        <v>52</v>
      </c>
      <c r="P206" s="29">
        <v>0</v>
      </c>
      <c r="Q206" s="29">
        <v>1</v>
      </c>
      <c r="R206" s="30">
        <v>3200</v>
      </c>
      <c r="S206" s="29">
        <v>0</v>
      </c>
      <c r="T206" s="29">
        <v>0</v>
      </c>
      <c r="U206" s="30">
        <v>0</v>
      </c>
      <c r="V206" s="29">
        <v>0</v>
      </c>
      <c r="W206" s="29">
        <v>0</v>
      </c>
      <c r="X206" s="29">
        <v>0</v>
      </c>
      <c r="Y206" s="29">
        <v>0</v>
      </c>
      <c r="Z206" s="30">
        <v>3200</v>
      </c>
      <c r="AA206" s="3">
        <f t="shared" si="5"/>
        <v>2240</v>
      </c>
    </row>
    <row r="207" spans="7:27" x14ac:dyDescent="0.3">
      <c r="G207" s="19" t="s">
        <v>110</v>
      </c>
      <c r="H207" s="29">
        <v>753904</v>
      </c>
      <c r="I207" s="29">
        <v>753868</v>
      </c>
      <c r="J207" s="29" t="s">
        <v>90</v>
      </c>
      <c r="K207" s="29" t="s">
        <v>91</v>
      </c>
      <c r="L207" s="29" t="s">
        <v>18</v>
      </c>
      <c r="M207" s="29" t="s">
        <v>2</v>
      </c>
      <c r="N207" s="29" t="s">
        <v>92</v>
      </c>
      <c r="O207" s="29" t="s">
        <v>52</v>
      </c>
      <c r="P207" s="29">
        <v>0</v>
      </c>
      <c r="Q207" s="29">
        <v>0</v>
      </c>
      <c r="R207" s="30">
        <v>0</v>
      </c>
      <c r="S207" s="29">
        <v>1</v>
      </c>
      <c r="T207" s="29">
        <v>13</v>
      </c>
      <c r="U207" s="30">
        <v>8820</v>
      </c>
      <c r="V207" s="29">
        <v>0</v>
      </c>
      <c r="W207" s="29">
        <v>0</v>
      </c>
      <c r="X207" s="29">
        <v>0</v>
      </c>
      <c r="Y207" s="29">
        <v>0</v>
      </c>
      <c r="Z207" s="30">
        <v>8820</v>
      </c>
      <c r="AA207" s="3">
        <f t="shared" si="5"/>
        <v>6174</v>
      </c>
    </row>
    <row r="208" spans="7:27" x14ac:dyDescent="0.3">
      <c r="G208" s="19" t="s">
        <v>110</v>
      </c>
      <c r="H208" s="29">
        <v>753904</v>
      </c>
      <c r="I208" s="29">
        <v>753868</v>
      </c>
      <c r="J208" s="29" t="s">
        <v>90</v>
      </c>
      <c r="K208" s="29" t="s">
        <v>91</v>
      </c>
      <c r="L208" s="29" t="s">
        <v>18</v>
      </c>
      <c r="M208" s="29" t="s">
        <v>2</v>
      </c>
      <c r="N208" s="29" t="s">
        <v>92</v>
      </c>
      <c r="O208" s="29" t="s">
        <v>52</v>
      </c>
      <c r="P208" s="29">
        <v>0</v>
      </c>
      <c r="Q208" s="29">
        <v>1</v>
      </c>
      <c r="R208" s="30">
        <v>3200</v>
      </c>
      <c r="S208" s="29">
        <v>0</v>
      </c>
      <c r="T208" s="29">
        <v>0</v>
      </c>
      <c r="U208" s="30">
        <v>0</v>
      </c>
      <c r="V208" s="29">
        <v>0</v>
      </c>
      <c r="W208" s="29">
        <v>0</v>
      </c>
      <c r="X208" s="29">
        <v>0</v>
      </c>
      <c r="Y208" s="29">
        <v>0</v>
      </c>
      <c r="Z208" s="30">
        <v>3200</v>
      </c>
      <c r="AA208" s="3">
        <f t="shared" si="5"/>
        <v>2240</v>
      </c>
    </row>
    <row r="209" spans="7:27" x14ac:dyDescent="0.3">
      <c r="G209" s="19" t="s">
        <v>110</v>
      </c>
      <c r="H209" s="29">
        <v>753904</v>
      </c>
      <c r="I209" s="29">
        <v>753867</v>
      </c>
      <c r="J209" s="29" t="s">
        <v>90</v>
      </c>
      <c r="K209" s="29" t="s">
        <v>91</v>
      </c>
      <c r="L209" s="29" t="s">
        <v>19</v>
      </c>
      <c r="M209" s="29" t="s">
        <v>2</v>
      </c>
      <c r="N209" s="29" t="s">
        <v>92</v>
      </c>
      <c r="O209" s="29" t="s">
        <v>52</v>
      </c>
      <c r="P209" s="29">
        <v>0</v>
      </c>
      <c r="Q209" s="29">
        <v>0</v>
      </c>
      <c r="R209" s="30">
        <v>0</v>
      </c>
      <c r="S209" s="29">
        <v>4</v>
      </c>
      <c r="T209" s="29">
        <v>13</v>
      </c>
      <c r="U209" s="30">
        <v>10710</v>
      </c>
      <c r="V209" s="29">
        <v>0</v>
      </c>
      <c r="W209" s="29">
        <v>0</v>
      </c>
      <c r="X209" s="29">
        <v>0</v>
      </c>
      <c r="Y209" s="29">
        <v>0</v>
      </c>
      <c r="Z209" s="30">
        <v>10710</v>
      </c>
      <c r="AA209" s="3">
        <f t="shared" si="5"/>
        <v>7496.9999999999991</v>
      </c>
    </row>
    <row r="210" spans="7:27" x14ac:dyDescent="0.3">
      <c r="G210" s="19" t="s">
        <v>110</v>
      </c>
      <c r="H210" s="29">
        <v>753904</v>
      </c>
      <c r="I210" s="29">
        <v>753867</v>
      </c>
      <c r="J210" s="29" t="s">
        <v>90</v>
      </c>
      <c r="K210" s="29" t="s">
        <v>91</v>
      </c>
      <c r="L210" s="29" t="s">
        <v>19</v>
      </c>
      <c r="M210" s="29" t="s">
        <v>2</v>
      </c>
      <c r="N210" s="29" t="s">
        <v>92</v>
      </c>
      <c r="O210" s="29" t="s">
        <v>52</v>
      </c>
      <c r="P210" s="29">
        <v>0</v>
      </c>
      <c r="Q210" s="29">
        <v>1</v>
      </c>
      <c r="R210" s="30">
        <v>3200</v>
      </c>
      <c r="S210" s="29">
        <v>0</v>
      </c>
      <c r="T210" s="29">
        <v>0</v>
      </c>
      <c r="U210" s="30">
        <v>0</v>
      </c>
      <c r="V210" s="29">
        <v>0</v>
      </c>
      <c r="W210" s="29">
        <v>0</v>
      </c>
      <c r="X210" s="29">
        <v>0</v>
      </c>
      <c r="Y210" s="29">
        <v>0</v>
      </c>
      <c r="Z210" s="30">
        <v>3200</v>
      </c>
      <c r="AA210" s="3">
        <f t="shared" si="5"/>
        <v>2240</v>
      </c>
    </row>
    <row r="211" spans="7:27" x14ac:dyDescent="0.3">
      <c r="G211" s="19" t="s">
        <v>110</v>
      </c>
      <c r="H211" s="29">
        <v>753904</v>
      </c>
      <c r="I211" s="29">
        <v>753881</v>
      </c>
      <c r="J211" s="29" t="s">
        <v>90</v>
      </c>
      <c r="K211" s="29" t="s">
        <v>91</v>
      </c>
      <c r="L211" s="29" t="s">
        <v>93</v>
      </c>
      <c r="M211" s="29" t="s">
        <v>2</v>
      </c>
      <c r="N211" s="29" t="s">
        <v>92</v>
      </c>
      <c r="O211" s="29" t="s">
        <v>52</v>
      </c>
      <c r="P211" s="29">
        <v>0</v>
      </c>
      <c r="Q211" s="29">
        <v>0</v>
      </c>
      <c r="R211" s="30">
        <v>0</v>
      </c>
      <c r="S211" s="29">
        <v>70</v>
      </c>
      <c r="T211" s="29">
        <v>96</v>
      </c>
      <c r="U211" s="30">
        <v>0</v>
      </c>
      <c r="V211" s="29">
        <v>0</v>
      </c>
      <c r="W211" s="29">
        <v>0</v>
      </c>
      <c r="X211" s="29">
        <v>0</v>
      </c>
      <c r="Y211" s="29">
        <v>0</v>
      </c>
      <c r="Z211" s="30">
        <v>0</v>
      </c>
      <c r="AA211" s="3">
        <f t="shared" si="5"/>
        <v>0</v>
      </c>
    </row>
    <row r="212" spans="7:27" x14ac:dyDescent="0.3">
      <c r="G212" s="19" t="s">
        <v>110</v>
      </c>
      <c r="H212" s="29">
        <v>753904</v>
      </c>
      <c r="I212" s="29">
        <v>753881</v>
      </c>
      <c r="J212" s="29" t="s">
        <v>90</v>
      </c>
      <c r="K212" s="29" t="s">
        <v>91</v>
      </c>
      <c r="L212" s="29" t="s">
        <v>93</v>
      </c>
      <c r="M212" s="29" t="s">
        <v>2</v>
      </c>
      <c r="N212" s="29" t="s">
        <v>92</v>
      </c>
      <c r="O212" s="29" t="s">
        <v>52</v>
      </c>
      <c r="P212" s="29">
        <v>2</v>
      </c>
      <c r="Q212" s="29">
        <v>5</v>
      </c>
      <c r="R212" s="30">
        <v>0</v>
      </c>
      <c r="S212" s="29">
        <v>0</v>
      </c>
      <c r="T212" s="29">
        <v>0</v>
      </c>
      <c r="U212" s="30">
        <v>0</v>
      </c>
      <c r="V212" s="29">
        <v>0</v>
      </c>
      <c r="W212" s="29">
        <v>0</v>
      </c>
      <c r="X212" s="29">
        <v>0</v>
      </c>
      <c r="Y212" s="29">
        <v>0</v>
      </c>
      <c r="Z212" s="30">
        <v>0</v>
      </c>
      <c r="AA212" s="3">
        <f t="shared" si="5"/>
        <v>0</v>
      </c>
    </row>
    <row r="213" spans="7:27" x14ac:dyDescent="0.3">
      <c r="G213" s="19" t="s">
        <v>110</v>
      </c>
      <c r="H213" s="29">
        <v>753904</v>
      </c>
      <c r="I213" s="29">
        <v>753881</v>
      </c>
      <c r="J213" s="29" t="s">
        <v>90</v>
      </c>
      <c r="K213" s="29" t="s">
        <v>91</v>
      </c>
      <c r="L213" s="29" t="s">
        <v>109</v>
      </c>
      <c r="M213" s="29" t="s">
        <v>2</v>
      </c>
      <c r="N213" s="29" t="s">
        <v>92</v>
      </c>
      <c r="O213" s="29" t="s">
        <v>52</v>
      </c>
      <c r="P213" s="29">
        <v>0</v>
      </c>
      <c r="Q213" s="29">
        <v>0</v>
      </c>
      <c r="R213" s="30">
        <v>0</v>
      </c>
      <c r="S213" s="29">
        <v>2</v>
      </c>
      <c r="T213" s="29">
        <v>2</v>
      </c>
      <c r="U213" s="30">
        <v>35280</v>
      </c>
      <c r="V213" s="29">
        <v>0</v>
      </c>
      <c r="W213" s="29">
        <v>0</v>
      </c>
      <c r="X213" s="29">
        <v>0</v>
      </c>
      <c r="Y213" s="29">
        <v>0</v>
      </c>
      <c r="Z213" s="30">
        <v>35280</v>
      </c>
      <c r="AA213" s="3">
        <f t="shared" si="5"/>
        <v>24696</v>
      </c>
    </row>
    <row r="214" spans="7:27" x14ac:dyDescent="0.3">
      <c r="G214" s="19" t="s">
        <v>110</v>
      </c>
      <c r="H214" s="29">
        <v>753904</v>
      </c>
      <c r="I214" s="29">
        <v>753880</v>
      </c>
      <c r="J214" s="29" t="s">
        <v>90</v>
      </c>
      <c r="K214" s="29" t="s">
        <v>91</v>
      </c>
      <c r="L214" s="29" t="s">
        <v>109</v>
      </c>
      <c r="M214" s="29" t="s">
        <v>2</v>
      </c>
      <c r="N214" s="29" t="s">
        <v>92</v>
      </c>
      <c r="O214" s="29" t="s">
        <v>52</v>
      </c>
      <c r="P214" s="29">
        <v>0</v>
      </c>
      <c r="Q214" s="29">
        <v>0</v>
      </c>
      <c r="R214" s="30">
        <v>0</v>
      </c>
      <c r="S214" s="29">
        <v>5</v>
      </c>
      <c r="T214" s="29">
        <v>2</v>
      </c>
      <c r="U214" s="30">
        <v>61740</v>
      </c>
      <c r="V214" s="29">
        <v>0</v>
      </c>
      <c r="W214" s="29">
        <v>0</v>
      </c>
      <c r="X214" s="29">
        <v>0</v>
      </c>
      <c r="Y214" s="29">
        <v>0</v>
      </c>
      <c r="Z214" s="30">
        <v>61740</v>
      </c>
      <c r="AA214" s="3">
        <f t="shared" si="5"/>
        <v>43218</v>
      </c>
    </row>
    <row r="215" spans="7:27" x14ac:dyDescent="0.3">
      <c r="G215" s="19" t="s">
        <v>110</v>
      </c>
      <c r="H215" s="29">
        <v>753904</v>
      </c>
      <c r="I215" s="29">
        <v>753880</v>
      </c>
      <c r="J215" s="29" t="s">
        <v>90</v>
      </c>
      <c r="K215" s="29" t="s">
        <v>91</v>
      </c>
      <c r="L215" s="29" t="s">
        <v>6</v>
      </c>
      <c r="M215" s="29" t="s">
        <v>2</v>
      </c>
      <c r="N215" s="29" t="s">
        <v>92</v>
      </c>
      <c r="O215" s="29" t="s">
        <v>52</v>
      </c>
      <c r="P215" s="29">
        <v>0</v>
      </c>
      <c r="Q215" s="29">
        <v>0</v>
      </c>
      <c r="R215" s="30">
        <v>0</v>
      </c>
      <c r="S215" s="29">
        <v>8</v>
      </c>
      <c r="T215" s="29">
        <v>20</v>
      </c>
      <c r="U215" s="30">
        <v>17640</v>
      </c>
      <c r="V215" s="29">
        <v>0</v>
      </c>
      <c r="W215" s="29">
        <v>0</v>
      </c>
      <c r="X215" s="29">
        <v>0</v>
      </c>
      <c r="Y215" s="29">
        <v>0</v>
      </c>
      <c r="Z215" s="30">
        <v>17640</v>
      </c>
      <c r="AA215" s="3">
        <f t="shared" si="5"/>
        <v>12348</v>
      </c>
    </row>
    <row r="216" spans="7:27" x14ac:dyDescent="0.3">
      <c r="G216" s="19" t="s">
        <v>110</v>
      </c>
      <c r="H216" s="29">
        <v>753904</v>
      </c>
      <c r="I216" s="29">
        <v>753880</v>
      </c>
      <c r="J216" s="29" t="s">
        <v>90</v>
      </c>
      <c r="K216" s="29" t="s">
        <v>91</v>
      </c>
      <c r="L216" s="29" t="s">
        <v>6</v>
      </c>
      <c r="M216" s="29" t="s">
        <v>2</v>
      </c>
      <c r="N216" s="29" t="s">
        <v>92</v>
      </c>
      <c r="O216" s="29" t="s">
        <v>52</v>
      </c>
      <c r="P216" s="29">
        <v>0</v>
      </c>
      <c r="Q216" s="29">
        <v>1</v>
      </c>
      <c r="R216" s="30">
        <v>3200</v>
      </c>
      <c r="S216" s="29">
        <v>0</v>
      </c>
      <c r="T216" s="29">
        <v>0</v>
      </c>
      <c r="U216" s="30">
        <v>0</v>
      </c>
      <c r="V216" s="29">
        <v>0</v>
      </c>
      <c r="W216" s="29">
        <v>0</v>
      </c>
      <c r="X216" s="29">
        <v>0</v>
      </c>
      <c r="Y216" s="29">
        <v>0</v>
      </c>
      <c r="Z216" s="30">
        <v>3200</v>
      </c>
      <c r="AA216" s="3">
        <f t="shared" si="5"/>
        <v>2240</v>
      </c>
    </row>
    <row r="217" spans="7:27" x14ac:dyDescent="0.3">
      <c r="G217" s="19" t="s">
        <v>110</v>
      </c>
      <c r="H217" s="29">
        <v>753904</v>
      </c>
      <c r="I217" s="29">
        <v>753879</v>
      </c>
      <c r="J217" s="29" t="s">
        <v>90</v>
      </c>
      <c r="K217" s="29" t="s">
        <v>91</v>
      </c>
      <c r="L217" s="29" t="s">
        <v>7</v>
      </c>
      <c r="M217" s="29" t="s">
        <v>2</v>
      </c>
      <c r="N217" s="29" t="s">
        <v>92</v>
      </c>
      <c r="O217" s="29" t="s">
        <v>52</v>
      </c>
      <c r="P217" s="29">
        <v>0</v>
      </c>
      <c r="Q217" s="29">
        <v>0</v>
      </c>
      <c r="R217" s="30">
        <v>0</v>
      </c>
      <c r="S217" s="29">
        <v>6</v>
      </c>
      <c r="T217" s="29">
        <v>19</v>
      </c>
      <c r="U217" s="30">
        <v>15750</v>
      </c>
      <c r="V217" s="29">
        <v>0</v>
      </c>
      <c r="W217" s="29">
        <v>0</v>
      </c>
      <c r="X217" s="29">
        <v>0</v>
      </c>
      <c r="Y217" s="29">
        <v>0</v>
      </c>
      <c r="Z217" s="30">
        <v>15750</v>
      </c>
      <c r="AA217" s="3">
        <f t="shared" si="5"/>
        <v>11025</v>
      </c>
    </row>
    <row r="218" spans="7:27" x14ac:dyDescent="0.3">
      <c r="G218" s="19" t="s">
        <v>110</v>
      </c>
      <c r="H218" s="29">
        <v>753904</v>
      </c>
      <c r="I218" s="29">
        <v>753879</v>
      </c>
      <c r="J218" s="29" t="s">
        <v>90</v>
      </c>
      <c r="K218" s="29" t="s">
        <v>91</v>
      </c>
      <c r="L218" s="29" t="s">
        <v>7</v>
      </c>
      <c r="M218" s="29" t="s">
        <v>2</v>
      </c>
      <c r="N218" s="29" t="s">
        <v>92</v>
      </c>
      <c r="O218" s="29" t="s">
        <v>52</v>
      </c>
      <c r="P218" s="29">
        <v>0</v>
      </c>
      <c r="Q218" s="29">
        <v>1</v>
      </c>
      <c r="R218" s="30">
        <v>3200</v>
      </c>
      <c r="S218" s="29">
        <v>0</v>
      </c>
      <c r="T218" s="29">
        <v>0</v>
      </c>
      <c r="U218" s="30">
        <v>0</v>
      </c>
      <c r="V218" s="29">
        <v>0</v>
      </c>
      <c r="W218" s="29">
        <v>0</v>
      </c>
      <c r="X218" s="29">
        <v>0</v>
      </c>
      <c r="Y218" s="29">
        <v>0</v>
      </c>
      <c r="Z218" s="30">
        <v>3200</v>
      </c>
      <c r="AA218" s="3">
        <f t="shared" si="5"/>
        <v>2240</v>
      </c>
    </row>
    <row r="219" spans="7:27" x14ac:dyDescent="0.3">
      <c r="G219" s="19" t="s">
        <v>110</v>
      </c>
      <c r="H219" s="29">
        <v>753904</v>
      </c>
      <c r="I219" s="29">
        <v>753878</v>
      </c>
      <c r="J219" s="29" t="s">
        <v>90</v>
      </c>
      <c r="K219" s="29" t="s">
        <v>91</v>
      </c>
      <c r="L219" s="29" t="s">
        <v>8</v>
      </c>
      <c r="M219" s="29" t="s">
        <v>2</v>
      </c>
      <c r="N219" s="29" t="s">
        <v>92</v>
      </c>
      <c r="O219" s="29" t="s">
        <v>52</v>
      </c>
      <c r="P219" s="29">
        <v>0</v>
      </c>
      <c r="Q219" s="29">
        <v>0</v>
      </c>
      <c r="R219" s="30">
        <v>0</v>
      </c>
      <c r="S219" s="29">
        <v>6</v>
      </c>
      <c r="T219" s="29">
        <v>19</v>
      </c>
      <c r="U219" s="30">
        <v>15750</v>
      </c>
      <c r="V219" s="29">
        <v>0</v>
      </c>
      <c r="W219" s="29">
        <v>0</v>
      </c>
      <c r="X219" s="29">
        <v>0</v>
      </c>
      <c r="Y219" s="29">
        <v>0</v>
      </c>
      <c r="Z219" s="30">
        <v>15750</v>
      </c>
      <c r="AA219" s="3">
        <f t="shared" si="5"/>
        <v>11025</v>
      </c>
    </row>
    <row r="220" spans="7:27" x14ac:dyDescent="0.3">
      <c r="G220" s="19" t="s">
        <v>110</v>
      </c>
      <c r="H220" s="29">
        <v>753904</v>
      </c>
      <c r="I220" s="29">
        <v>753878</v>
      </c>
      <c r="J220" s="29" t="s">
        <v>90</v>
      </c>
      <c r="K220" s="29" t="s">
        <v>91</v>
      </c>
      <c r="L220" s="29" t="s">
        <v>8</v>
      </c>
      <c r="M220" s="29" t="s">
        <v>2</v>
      </c>
      <c r="N220" s="29" t="s">
        <v>92</v>
      </c>
      <c r="O220" s="29" t="s">
        <v>52</v>
      </c>
      <c r="P220" s="29">
        <v>0</v>
      </c>
      <c r="Q220" s="29">
        <v>1</v>
      </c>
      <c r="R220" s="30">
        <v>3200</v>
      </c>
      <c r="S220" s="29">
        <v>0</v>
      </c>
      <c r="T220" s="29">
        <v>0</v>
      </c>
      <c r="U220" s="30">
        <v>0</v>
      </c>
      <c r="V220" s="29">
        <v>0</v>
      </c>
      <c r="W220" s="29">
        <v>0</v>
      </c>
      <c r="X220" s="29">
        <v>0</v>
      </c>
      <c r="Y220" s="29">
        <v>0</v>
      </c>
      <c r="Z220" s="30">
        <v>3200</v>
      </c>
      <c r="AA220" s="3">
        <f t="shared" si="5"/>
        <v>2240</v>
      </c>
    </row>
    <row r="221" spans="7:27" x14ac:dyDescent="0.3">
      <c r="G221" s="19" t="s">
        <v>110</v>
      </c>
      <c r="H221" s="29">
        <v>753904</v>
      </c>
      <c r="I221" s="29">
        <v>753877</v>
      </c>
      <c r="J221" s="29" t="s">
        <v>90</v>
      </c>
      <c r="K221" s="29" t="s">
        <v>91</v>
      </c>
      <c r="L221" s="29" t="s">
        <v>9</v>
      </c>
      <c r="M221" s="29" t="s">
        <v>2</v>
      </c>
      <c r="N221" s="29" t="s">
        <v>92</v>
      </c>
      <c r="O221" s="29" t="s">
        <v>52</v>
      </c>
      <c r="P221" s="29">
        <v>0</v>
      </c>
      <c r="Q221" s="29">
        <v>0</v>
      </c>
      <c r="R221" s="30">
        <v>0</v>
      </c>
      <c r="S221" s="29">
        <v>4</v>
      </c>
      <c r="T221" s="29">
        <v>17</v>
      </c>
      <c r="U221" s="30">
        <v>13230</v>
      </c>
      <c r="V221" s="29">
        <v>0</v>
      </c>
      <c r="W221" s="29">
        <v>0</v>
      </c>
      <c r="X221" s="29">
        <v>0</v>
      </c>
      <c r="Y221" s="29">
        <v>0</v>
      </c>
      <c r="Z221" s="30">
        <v>13230</v>
      </c>
      <c r="AA221" s="3">
        <f t="shared" si="5"/>
        <v>9261</v>
      </c>
    </row>
    <row r="222" spans="7:27" x14ac:dyDescent="0.3">
      <c r="G222" s="19" t="s">
        <v>110</v>
      </c>
      <c r="H222" s="29">
        <v>753904</v>
      </c>
      <c r="I222" s="29">
        <v>753877</v>
      </c>
      <c r="J222" s="29" t="s">
        <v>90</v>
      </c>
      <c r="K222" s="29" t="s">
        <v>91</v>
      </c>
      <c r="L222" s="29" t="s">
        <v>9</v>
      </c>
      <c r="M222" s="29" t="s">
        <v>2</v>
      </c>
      <c r="N222" s="29" t="s">
        <v>92</v>
      </c>
      <c r="O222" s="29" t="s">
        <v>52</v>
      </c>
      <c r="P222" s="29">
        <v>0</v>
      </c>
      <c r="Q222" s="29">
        <v>1</v>
      </c>
      <c r="R222" s="30">
        <v>3200</v>
      </c>
      <c r="S222" s="29">
        <v>0</v>
      </c>
      <c r="T222" s="29">
        <v>0</v>
      </c>
      <c r="U222" s="30">
        <v>0</v>
      </c>
      <c r="V222" s="29">
        <v>0</v>
      </c>
      <c r="W222" s="29">
        <v>0</v>
      </c>
      <c r="X222" s="29">
        <v>0</v>
      </c>
      <c r="Y222" s="29">
        <v>0</v>
      </c>
      <c r="Z222" s="30">
        <v>3200</v>
      </c>
      <c r="AA222" s="3">
        <f t="shared" si="5"/>
        <v>2240</v>
      </c>
    </row>
    <row r="223" spans="7:27" x14ac:dyDescent="0.3">
      <c r="G223" s="19" t="s">
        <v>110</v>
      </c>
      <c r="H223" s="29">
        <v>753904</v>
      </c>
      <c r="I223" s="29">
        <v>753876</v>
      </c>
      <c r="J223" s="29" t="s">
        <v>90</v>
      </c>
      <c r="K223" s="29" t="s">
        <v>91</v>
      </c>
      <c r="L223" s="29" t="s">
        <v>13</v>
      </c>
      <c r="M223" s="29" t="s">
        <v>2</v>
      </c>
      <c r="N223" s="29" t="s">
        <v>92</v>
      </c>
      <c r="O223" s="29" t="s">
        <v>52</v>
      </c>
      <c r="P223" s="29">
        <v>0</v>
      </c>
      <c r="Q223" s="29">
        <v>0</v>
      </c>
      <c r="R223" s="30">
        <v>0</v>
      </c>
      <c r="S223" s="29">
        <v>4</v>
      </c>
      <c r="T223" s="29">
        <v>15</v>
      </c>
      <c r="U223" s="30">
        <v>11970</v>
      </c>
      <c r="V223" s="29">
        <v>0</v>
      </c>
      <c r="W223" s="29">
        <v>0</v>
      </c>
      <c r="X223" s="29">
        <v>0</v>
      </c>
      <c r="Y223" s="29">
        <v>0</v>
      </c>
      <c r="Z223" s="30">
        <v>11970</v>
      </c>
      <c r="AA223" s="3">
        <f t="shared" si="5"/>
        <v>8379</v>
      </c>
    </row>
    <row r="224" spans="7:27" x14ac:dyDescent="0.3">
      <c r="G224" s="19" t="s">
        <v>110</v>
      </c>
      <c r="H224" s="29">
        <v>753904</v>
      </c>
      <c r="I224" s="29">
        <v>753876</v>
      </c>
      <c r="J224" s="29" t="s">
        <v>90</v>
      </c>
      <c r="K224" s="29" t="s">
        <v>91</v>
      </c>
      <c r="L224" s="29" t="s">
        <v>13</v>
      </c>
      <c r="M224" s="29" t="s">
        <v>2</v>
      </c>
      <c r="N224" s="29" t="s">
        <v>92</v>
      </c>
      <c r="O224" s="29" t="s">
        <v>52</v>
      </c>
      <c r="P224" s="29">
        <v>0</v>
      </c>
      <c r="Q224" s="29">
        <v>1</v>
      </c>
      <c r="R224" s="30">
        <v>3200</v>
      </c>
      <c r="S224" s="29">
        <v>0</v>
      </c>
      <c r="T224" s="29">
        <v>0</v>
      </c>
      <c r="U224" s="30">
        <v>0</v>
      </c>
      <c r="V224" s="29">
        <v>0</v>
      </c>
      <c r="W224" s="29">
        <v>0</v>
      </c>
      <c r="X224" s="29">
        <v>0</v>
      </c>
      <c r="Y224" s="29">
        <v>0</v>
      </c>
      <c r="Z224" s="30">
        <v>3200</v>
      </c>
      <c r="AA224" s="3">
        <f t="shared" si="5"/>
        <v>2240</v>
      </c>
    </row>
    <row r="225" spans="7:27" x14ac:dyDescent="0.3">
      <c r="G225" s="19" t="s">
        <v>110</v>
      </c>
      <c r="H225" s="29">
        <v>753904</v>
      </c>
      <c r="I225" s="29">
        <v>753875</v>
      </c>
      <c r="J225" s="29" t="s">
        <v>90</v>
      </c>
      <c r="K225" s="29" t="s">
        <v>91</v>
      </c>
      <c r="L225" s="29" t="s">
        <v>14</v>
      </c>
      <c r="M225" s="29" t="s">
        <v>2</v>
      </c>
      <c r="N225" s="29" t="s">
        <v>92</v>
      </c>
      <c r="O225" s="29" t="s">
        <v>52</v>
      </c>
      <c r="P225" s="29">
        <v>0</v>
      </c>
      <c r="Q225" s="29">
        <v>0</v>
      </c>
      <c r="R225" s="30">
        <v>0</v>
      </c>
      <c r="S225" s="29">
        <v>3</v>
      </c>
      <c r="T225" s="29">
        <v>17</v>
      </c>
      <c r="U225" s="30">
        <v>12600</v>
      </c>
      <c r="V225" s="29">
        <v>0</v>
      </c>
      <c r="W225" s="29">
        <v>0</v>
      </c>
      <c r="X225" s="29">
        <v>0</v>
      </c>
      <c r="Y225" s="29">
        <v>0</v>
      </c>
      <c r="Z225" s="30">
        <v>12600</v>
      </c>
      <c r="AA225" s="3">
        <f t="shared" si="5"/>
        <v>8820</v>
      </c>
    </row>
    <row r="226" spans="7:27" x14ac:dyDescent="0.3">
      <c r="G226" s="19" t="s">
        <v>110</v>
      </c>
      <c r="H226" s="29">
        <v>753904</v>
      </c>
      <c r="I226" s="29">
        <v>753875</v>
      </c>
      <c r="J226" s="29" t="s">
        <v>90</v>
      </c>
      <c r="K226" s="29" t="s">
        <v>91</v>
      </c>
      <c r="L226" s="29" t="s">
        <v>14</v>
      </c>
      <c r="M226" s="29" t="s">
        <v>2</v>
      </c>
      <c r="N226" s="29" t="s">
        <v>92</v>
      </c>
      <c r="O226" s="29" t="s">
        <v>52</v>
      </c>
      <c r="P226" s="29">
        <v>0</v>
      </c>
      <c r="Q226" s="29">
        <v>1</v>
      </c>
      <c r="R226" s="30">
        <v>3200</v>
      </c>
      <c r="S226" s="29">
        <v>0</v>
      </c>
      <c r="T226" s="29">
        <v>0</v>
      </c>
      <c r="U226" s="30">
        <v>0</v>
      </c>
      <c r="V226" s="29">
        <v>0</v>
      </c>
      <c r="W226" s="29">
        <v>0</v>
      </c>
      <c r="X226" s="29">
        <v>0</v>
      </c>
      <c r="Y226" s="29">
        <v>0</v>
      </c>
      <c r="Z226" s="30">
        <v>3200</v>
      </c>
      <c r="AA226" s="3">
        <f t="shared" si="5"/>
        <v>2240</v>
      </c>
    </row>
    <row r="227" spans="7:27" x14ac:dyDescent="0.3">
      <c r="G227" s="19" t="s">
        <v>110</v>
      </c>
      <c r="H227" s="29">
        <v>753904</v>
      </c>
      <c r="I227" s="29">
        <v>753874</v>
      </c>
      <c r="J227" s="29" t="s">
        <v>90</v>
      </c>
      <c r="K227" s="29" t="s">
        <v>91</v>
      </c>
      <c r="L227" s="29" t="s">
        <v>16</v>
      </c>
      <c r="M227" s="29" t="s">
        <v>2</v>
      </c>
      <c r="N227" s="29" t="s">
        <v>92</v>
      </c>
      <c r="O227" s="29" t="s">
        <v>52</v>
      </c>
      <c r="P227" s="29">
        <v>0</v>
      </c>
      <c r="Q227" s="29">
        <v>0</v>
      </c>
      <c r="R227" s="30">
        <v>0</v>
      </c>
      <c r="S227" s="29">
        <v>4</v>
      </c>
      <c r="T227" s="29">
        <v>16</v>
      </c>
      <c r="U227" s="30">
        <v>12600</v>
      </c>
      <c r="V227" s="29">
        <v>0</v>
      </c>
      <c r="W227" s="29">
        <v>0</v>
      </c>
      <c r="X227" s="29">
        <v>0</v>
      </c>
      <c r="Y227" s="29">
        <v>0</v>
      </c>
      <c r="Z227" s="30">
        <v>12600</v>
      </c>
      <c r="AA227" s="3">
        <f t="shared" si="5"/>
        <v>8820</v>
      </c>
    </row>
    <row r="228" spans="7:27" x14ac:dyDescent="0.3">
      <c r="G228" s="19" t="s">
        <v>110</v>
      </c>
      <c r="H228" s="29">
        <v>753904</v>
      </c>
      <c r="I228" s="29">
        <v>753874</v>
      </c>
      <c r="J228" s="29" t="s">
        <v>90</v>
      </c>
      <c r="K228" s="29" t="s">
        <v>91</v>
      </c>
      <c r="L228" s="29" t="s">
        <v>16</v>
      </c>
      <c r="M228" s="29" t="s">
        <v>2</v>
      </c>
      <c r="N228" s="29" t="s">
        <v>92</v>
      </c>
      <c r="O228" s="29" t="s">
        <v>52</v>
      </c>
      <c r="P228" s="29">
        <v>0</v>
      </c>
      <c r="Q228" s="29">
        <v>1</v>
      </c>
      <c r="R228" s="30">
        <v>3200</v>
      </c>
      <c r="S228" s="29">
        <v>0</v>
      </c>
      <c r="T228" s="29">
        <v>0</v>
      </c>
      <c r="U228" s="30">
        <v>0</v>
      </c>
      <c r="V228" s="29">
        <v>0</v>
      </c>
      <c r="W228" s="29">
        <v>0</v>
      </c>
      <c r="X228" s="29">
        <v>0</v>
      </c>
      <c r="Y228" s="29">
        <v>0</v>
      </c>
      <c r="Z228" s="30">
        <v>3200</v>
      </c>
      <c r="AA228" s="3">
        <f t="shared" si="5"/>
        <v>2240</v>
      </c>
    </row>
    <row r="229" spans="7:27" x14ac:dyDescent="0.3">
      <c r="G229" s="19" t="s">
        <v>110</v>
      </c>
      <c r="H229" s="29">
        <v>753904</v>
      </c>
      <c r="I229" s="29">
        <v>753873</v>
      </c>
      <c r="J229" s="29" t="s">
        <v>90</v>
      </c>
      <c r="K229" s="29" t="s">
        <v>91</v>
      </c>
      <c r="L229" s="29" t="s">
        <v>12</v>
      </c>
      <c r="M229" s="29" t="s">
        <v>2</v>
      </c>
      <c r="N229" s="29" t="s">
        <v>92</v>
      </c>
      <c r="O229" s="29" t="s">
        <v>52</v>
      </c>
      <c r="P229" s="29">
        <v>0</v>
      </c>
      <c r="Q229" s="29">
        <v>0</v>
      </c>
      <c r="R229" s="30">
        <v>0</v>
      </c>
      <c r="S229" s="29">
        <v>2</v>
      </c>
      <c r="T229" s="29">
        <v>17</v>
      </c>
      <c r="U229" s="30">
        <v>11970</v>
      </c>
      <c r="V229" s="29">
        <v>0</v>
      </c>
      <c r="W229" s="29">
        <v>0</v>
      </c>
      <c r="X229" s="29">
        <v>0</v>
      </c>
      <c r="Y229" s="29">
        <v>0</v>
      </c>
      <c r="Z229" s="30">
        <v>11970</v>
      </c>
      <c r="AA229" s="3">
        <f t="shared" si="5"/>
        <v>8379</v>
      </c>
    </row>
    <row r="230" spans="7:27" x14ac:dyDescent="0.3">
      <c r="G230" s="19" t="s">
        <v>110</v>
      </c>
      <c r="H230" s="29">
        <v>753904</v>
      </c>
      <c r="I230" s="29">
        <v>753873</v>
      </c>
      <c r="J230" s="29" t="s">
        <v>90</v>
      </c>
      <c r="K230" s="29" t="s">
        <v>91</v>
      </c>
      <c r="L230" s="29" t="s">
        <v>12</v>
      </c>
      <c r="M230" s="29" t="s">
        <v>2</v>
      </c>
      <c r="N230" s="29" t="s">
        <v>92</v>
      </c>
      <c r="O230" s="29" t="s">
        <v>52</v>
      </c>
      <c r="P230" s="29">
        <v>0</v>
      </c>
      <c r="Q230" s="29">
        <v>1</v>
      </c>
      <c r="R230" s="30">
        <v>3200</v>
      </c>
      <c r="S230" s="29">
        <v>0</v>
      </c>
      <c r="T230" s="29">
        <v>0</v>
      </c>
      <c r="U230" s="30">
        <v>0</v>
      </c>
      <c r="V230" s="29">
        <v>0</v>
      </c>
      <c r="W230" s="29">
        <v>0</v>
      </c>
      <c r="X230" s="29">
        <v>0</v>
      </c>
      <c r="Y230" s="29">
        <v>0</v>
      </c>
      <c r="Z230" s="30">
        <v>3200</v>
      </c>
      <c r="AA230" s="3">
        <f t="shared" si="5"/>
        <v>2240</v>
      </c>
    </row>
    <row r="231" spans="7:27" x14ac:dyDescent="0.4">
      <c r="G231" s="19" t="s">
        <v>111</v>
      </c>
      <c r="H231" s="3">
        <v>753904</v>
      </c>
      <c r="I231" s="3">
        <v>753881</v>
      </c>
      <c r="J231" s="3" t="s">
        <v>90</v>
      </c>
      <c r="K231" s="3" t="s">
        <v>91</v>
      </c>
      <c r="L231" s="3" t="s">
        <v>109</v>
      </c>
      <c r="M231" s="3" t="s">
        <v>2</v>
      </c>
      <c r="N231" s="3" t="s">
        <v>92</v>
      </c>
      <c r="O231" s="3" t="s">
        <v>52</v>
      </c>
      <c r="P231" s="3">
        <v>0</v>
      </c>
      <c r="Q231" s="3">
        <v>0</v>
      </c>
      <c r="R231" s="3">
        <v>0</v>
      </c>
      <c r="S231" s="3">
        <v>3</v>
      </c>
      <c r="T231" s="3">
        <v>8</v>
      </c>
      <c r="U231" s="3">
        <v>138600</v>
      </c>
      <c r="V231" s="3">
        <v>0</v>
      </c>
      <c r="W231" s="3">
        <v>0</v>
      </c>
      <c r="X231" s="3">
        <v>0</v>
      </c>
      <c r="Y231" s="3">
        <v>0</v>
      </c>
      <c r="Z231" s="3">
        <v>138600</v>
      </c>
      <c r="AA231" s="3">
        <f t="shared" si="5"/>
        <v>97020</v>
      </c>
    </row>
    <row r="232" spans="7:27" x14ac:dyDescent="0.4">
      <c r="G232" s="19" t="s">
        <v>111</v>
      </c>
      <c r="H232" s="3">
        <v>753904</v>
      </c>
      <c r="I232" s="3">
        <v>753881</v>
      </c>
      <c r="J232" s="3" t="s">
        <v>90</v>
      </c>
      <c r="K232" s="3" t="s">
        <v>91</v>
      </c>
      <c r="L232" s="3" t="s">
        <v>93</v>
      </c>
      <c r="M232" s="3" t="s">
        <v>2</v>
      </c>
      <c r="N232" s="3" t="s">
        <v>92</v>
      </c>
      <c r="O232" s="3" t="s">
        <v>52</v>
      </c>
      <c r="P232" s="3">
        <v>0</v>
      </c>
      <c r="Q232" s="3">
        <v>1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f t="shared" si="5"/>
        <v>0</v>
      </c>
    </row>
    <row r="233" spans="7:27" x14ac:dyDescent="0.4">
      <c r="G233" s="19" t="s">
        <v>111</v>
      </c>
      <c r="H233" s="3">
        <v>753904</v>
      </c>
      <c r="I233" s="3">
        <v>753880</v>
      </c>
      <c r="J233" s="3" t="s">
        <v>90</v>
      </c>
      <c r="K233" s="3" t="s">
        <v>91</v>
      </c>
      <c r="L233" s="3" t="s">
        <v>109</v>
      </c>
      <c r="M233" s="3" t="s">
        <v>2</v>
      </c>
      <c r="N233" s="3" t="s">
        <v>92</v>
      </c>
      <c r="O233" s="3" t="s">
        <v>52</v>
      </c>
      <c r="P233" s="3">
        <v>0</v>
      </c>
      <c r="Q233" s="3">
        <v>0</v>
      </c>
      <c r="R233" s="3">
        <v>0</v>
      </c>
      <c r="S233" s="3">
        <v>7</v>
      </c>
      <c r="T233" s="3">
        <v>6</v>
      </c>
      <c r="U233" s="3">
        <v>163800</v>
      </c>
      <c r="V233" s="3">
        <v>0</v>
      </c>
      <c r="W233" s="3">
        <v>0</v>
      </c>
      <c r="X233" s="3">
        <v>0</v>
      </c>
      <c r="Y233" s="3">
        <v>0</v>
      </c>
      <c r="Z233" s="3">
        <v>163800</v>
      </c>
      <c r="AA233" s="3">
        <f t="shared" si="5"/>
        <v>114660</v>
      </c>
    </row>
    <row r="234" spans="7:27" x14ac:dyDescent="0.4">
      <c r="G234" s="19" t="s">
        <v>111</v>
      </c>
      <c r="H234" s="3">
        <v>753904</v>
      </c>
      <c r="I234" s="3">
        <v>753880</v>
      </c>
      <c r="J234" s="3" t="s">
        <v>90</v>
      </c>
      <c r="K234" s="3" t="s">
        <v>91</v>
      </c>
      <c r="L234" s="3" t="s">
        <v>6</v>
      </c>
      <c r="M234" s="3" t="s">
        <v>2</v>
      </c>
      <c r="N234" s="3" t="s">
        <v>92</v>
      </c>
      <c r="O234" s="3" t="s">
        <v>52</v>
      </c>
      <c r="P234" s="3">
        <v>0</v>
      </c>
      <c r="Q234" s="3">
        <v>2</v>
      </c>
      <c r="R234" s="3">
        <v>6400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6400</v>
      </c>
      <c r="AA234" s="3">
        <f t="shared" si="5"/>
        <v>4480</v>
      </c>
    </row>
    <row r="235" spans="7:27" x14ac:dyDescent="0.4">
      <c r="G235" s="19" t="s">
        <v>111</v>
      </c>
      <c r="H235" s="3">
        <v>753904</v>
      </c>
      <c r="I235" s="3">
        <v>753880</v>
      </c>
      <c r="J235" s="3" t="s">
        <v>90</v>
      </c>
      <c r="K235" s="3" t="s">
        <v>91</v>
      </c>
      <c r="L235" s="3" t="s">
        <v>109</v>
      </c>
      <c r="M235" s="3" t="s">
        <v>2</v>
      </c>
      <c r="N235" s="3" t="s">
        <v>92</v>
      </c>
      <c r="O235" s="3" t="s">
        <v>52</v>
      </c>
      <c r="P235" s="3">
        <v>1</v>
      </c>
      <c r="Q235" s="3">
        <v>0</v>
      </c>
      <c r="R235" s="3">
        <v>44800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44800</v>
      </c>
      <c r="AA235" s="3">
        <f t="shared" si="5"/>
        <v>31359.999999999996</v>
      </c>
    </row>
    <row r="236" spans="7:27" x14ac:dyDescent="0.3">
      <c r="G236" s="27" t="s">
        <v>112</v>
      </c>
      <c r="H236" s="33">
        <v>753904</v>
      </c>
      <c r="I236" s="33">
        <v>753872</v>
      </c>
      <c r="J236" s="33" t="s">
        <v>90</v>
      </c>
      <c r="K236" s="33" t="s">
        <v>91</v>
      </c>
      <c r="L236" s="33" t="s">
        <v>11</v>
      </c>
      <c r="M236" s="33" t="s">
        <v>2</v>
      </c>
      <c r="N236" s="33" t="s">
        <v>92</v>
      </c>
      <c r="O236" s="33" t="s">
        <v>52</v>
      </c>
      <c r="P236" s="33">
        <v>0</v>
      </c>
      <c r="Q236" s="33">
        <v>0</v>
      </c>
      <c r="R236" s="33">
        <v>0</v>
      </c>
      <c r="S236" s="33">
        <v>3</v>
      </c>
      <c r="T236" s="33">
        <v>3</v>
      </c>
      <c r="U236" s="33">
        <v>3780</v>
      </c>
      <c r="V236" s="33">
        <v>0</v>
      </c>
      <c r="W236" s="33">
        <v>0</v>
      </c>
      <c r="X236" s="33">
        <v>0</v>
      </c>
      <c r="Y236" s="33">
        <v>0</v>
      </c>
      <c r="Z236" s="33">
        <v>3780</v>
      </c>
      <c r="AA236" s="3">
        <f t="shared" si="5"/>
        <v>2646</v>
      </c>
    </row>
    <row r="237" spans="7:27" x14ac:dyDescent="0.3">
      <c r="G237" s="27" t="s">
        <v>112</v>
      </c>
      <c r="H237" s="33">
        <v>753904</v>
      </c>
      <c r="I237" s="33">
        <v>753871</v>
      </c>
      <c r="J237" s="33" t="s">
        <v>90</v>
      </c>
      <c r="K237" s="33" t="s">
        <v>91</v>
      </c>
      <c r="L237" s="33" t="s">
        <v>10</v>
      </c>
      <c r="M237" s="33" t="s">
        <v>2</v>
      </c>
      <c r="N237" s="33" t="s">
        <v>92</v>
      </c>
      <c r="O237" s="33" t="s">
        <v>52</v>
      </c>
      <c r="P237" s="33">
        <v>0</v>
      </c>
      <c r="Q237" s="33">
        <v>0</v>
      </c>
      <c r="R237" s="33">
        <v>0</v>
      </c>
      <c r="S237" s="33">
        <v>3</v>
      </c>
      <c r="T237" s="33">
        <v>4</v>
      </c>
      <c r="U237" s="33">
        <v>4410</v>
      </c>
      <c r="V237" s="33">
        <v>0</v>
      </c>
      <c r="W237" s="33">
        <v>0</v>
      </c>
      <c r="X237" s="33">
        <v>0</v>
      </c>
      <c r="Y237" s="33">
        <v>0</v>
      </c>
      <c r="Z237" s="33">
        <v>4410</v>
      </c>
      <c r="AA237" s="3">
        <f t="shared" si="5"/>
        <v>3087</v>
      </c>
    </row>
    <row r="238" spans="7:27" x14ac:dyDescent="0.3">
      <c r="G238" s="27" t="s">
        <v>112</v>
      </c>
      <c r="H238" s="33">
        <v>753904</v>
      </c>
      <c r="I238" s="33">
        <v>753870</v>
      </c>
      <c r="J238" s="33" t="s">
        <v>90</v>
      </c>
      <c r="K238" s="33" t="s">
        <v>91</v>
      </c>
      <c r="L238" s="33" t="s">
        <v>15</v>
      </c>
      <c r="M238" s="33" t="s">
        <v>2</v>
      </c>
      <c r="N238" s="33" t="s">
        <v>92</v>
      </c>
      <c r="O238" s="33" t="s">
        <v>52</v>
      </c>
      <c r="P238" s="33">
        <v>0</v>
      </c>
      <c r="Q238" s="33">
        <v>0</v>
      </c>
      <c r="R238" s="33">
        <v>0</v>
      </c>
      <c r="S238" s="33">
        <v>2</v>
      </c>
      <c r="T238" s="33">
        <v>5</v>
      </c>
      <c r="U238" s="33">
        <v>4410</v>
      </c>
      <c r="V238" s="33">
        <v>0</v>
      </c>
      <c r="W238" s="33">
        <v>0</v>
      </c>
      <c r="X238" s="33">
        <v>0</v>
      </c>
      <c r="Y238" s="33">
        <v>0</v>
      </c>
      <c r="Z238" s="33">
        <v>4410</v>
      </c>
      <c r="AA238" s="3">
        <f t="shared" si="5"/>
        <v>3087</v>
      </c>
    </row>
    <row r="239" spans="7:27" x14ac:dyDescent="0.3">
      <c r="G239" s="27" t="s">
        <v>112</v>
      </c>
      <c r="H239" s="33">
        <v>753904</v>
      </c>
      <c r="I239" s="33">
        <v>753869</v>
      </c>
      <c r="J239" s="33" t="s">
        <v>90</v>
      </c>
      <c r="K239" s="33" t="s">
        <v>91</v>
      </c>
      <c r="L239" s="33" t="s">
        <v>17</v>
      </c>
      <c r="M239" s="33" t="s">
        <v>2</v>
      </c>
      <c r="N239" s="33" t="s">
        <v>92</v>
      </c>
      <c r="O239" s="33" t="s">
        <v>52</v>
      </c>
      <c r="P239" s="33">
        <v>0</v>
      </c>
      <c r="Q239" s="33">
        <v>0</v>
      </c>
      <c r="R239" s="33">
        <v>0</v>
      </c>
      <c r="S239" s="33">
        <v>3</v>
      </c>
      <c r="T239" s="33">
        <v>3</v>
      </c>
      <c r="U239" s="33">
        <v>3780</v>
      </c>
      <c r="V239" s="33">
        <v>0</v>
      </c>
      <c r="W239" s="33">
        <v>0</v>
      </c>
      <c r="X239" s="33">
        <v>0</v>
      </c>
      <c r="Y239" s="33">
        <v>0</v>
      </c>
      <c r="Z239" s="33">
        <v>3780</v>
      </c>
      <c r="AA239" s="3">
        <f t="shared" si="5"/>
        <v>2646</v>
      </c>
    </row>
    <row r="240" spans="7:27" x14ac:dyDescent="0.3">
      <c r="G240" s="27" t="s">
        <v>112</v>
      </c>
      <c r="H240" s="33">
        <v>753904</v>
      </c>
      <c r="I240" s="33">
        <v>753868</v>
      </c>
      <c r="J240" s="33" t="s">
        <v>90</v>
      </c>
      <c r="K240" s="33" t="s">
        <v>91</v>
      </c>
      <c r="L240" s="33" t="s">
        <v>18</v>
      </c>
      <c r="M240" s="33" t="s">
        <v>2</v>
      </c>
      <c r="N240" s="33" t="s">
        <v>92</v>
      </c>
      <c r="O240" s="33" t="s">
        <v>52</v>
      </c>
      <c r="P240" s="33">
        <v>0</v>
      </c>
      <c r="Q240" s="33">
        <v>0</v>
      </c>
      <c r="R240" s="33">
        <v>0</v>
      </c>
      <c r="S240" s="33">
        <v>2</v>
      </c>
      <c r="T240" s="33">
        <v>3</v>
      </c>
      <c r="U240" s="33">
        <v>3150</v>
      </c>
      <c r="V240" s="33">
        <v>0</v>
      </c>
      <c r="W240" s="33">
        <v>0</v>
      </c>
      <c r="X240" s="33">
        <v>0</v>
      </c>
      <c r="Y240" s="33">
        <v>0</v>
      </c>
      <c r="Z240" s="33">
        <v>3150</v>
      </c>
      <c r="AA240" s="3">
        <f t="shared" si="5"/>
        <v>2205</v>
      </c>
    </row>
    <row r="241" spans="7:27" x14ac:dyDescent="0.3">
      <c r="G241" s="27" t="s">
        <v>112</v>
      </c>
      <c r="H241" s="33">
        <v>753904</v>
      </c>
      <c r="I241" s="33">
        <v>753867</v>
      </c>
      <c r="J241" s="33" t="s">
        <v>90</v>
      </c>
      <c r="K241" s="33" t="s">
        <v>91</v>
      </c>
      <c r="L241" s="33" t="s">
        <v>19</v>
      </c>
      <c r="M241" s="33" t="s">
        <v>2</v>
      </c>
      <c r="N241" s="33" t="s">
        <v>92</v>
      </c>
      <c r="O241" s="33" t="s">
        <v>52</v>
      </c>
      <c r="P241" s="33">
        <v>0</v>
      </c>
      <c r="Q241" s="33">
        <v>0</v>
      </c>
      <c r="R241" s="33">
        <v>0</v>
      </c>
      <c r="S241" s="33">
        <v>2</v>
      </c>
      <c r="T241" s="33">
        <v>4</v>
      </c>
      <c r="U241" s="33">
        <v>3780</v>
      </c>
      <c r="V241" s="33">
        <v>0</v>
      </c>
      <c r="W241" s="33">
        <v>0</v>
      </c>
      <c r="X241" s="33">
        <v>0</v>
      </c>
      <c r="Y241" s="33">
        <v>0</v>
      </c>
      <c r="Z241" s="33">
        <v>3780</v>
      </c>
      <c r="AA241" s="3">
        <f t="shared" si="5"/>
        <v>2646</v>
      </c>
    </row>
    <row r="242" spans="7:27" x14ac:dyDescent="0.3">
      <c r="G242" s="27" t="s">
        <v>112</v>
      </c>
      <c r="H242" s="33">
        <v>753904</v>
      </c>
      <c r="I242" s="33">
        <v>753881</v>
      </c>
      <c r="J242" s="33" t="s">
        <v>90</v>
      </c>
      <c r="K242" s="33" t="s">
        <v>91</v>
      </c>
      <c r="L242" s="33" t="s">
        <v>109</v>
      </c>
      <c r="M242" s="33" t="s">
        <v>2</v>
      </c>
      <c r="N242" s="33" t="s">
        <v>92</v>
      </c>
      <c r="O242" s="33" t="s">
        <v>52</v>
      </c>
      <c r="P242" s="33">
        <v>0</v>
      </c>
      <c r="Q242" s="33">
        <v>0</v>
      </c>
      <c r="R242" s="33">
        <v>0</v>
      </c>
      <c r="S242" s="33">
        <v>3</v>
      </c>
      <c r="T242" s="33">
        <v>4</v>
      </c>
      <c r="U242" s="33">
        <v>61740</v>
      </c>
      <c r="V242" s="33">
        <v>0</v>
      </c>
      <c r="W242" s="33">
        <v>0</v>
      </c>
      <c r="X242" s="33">
        <v>0</v>
      </c>
      <c r="Y242" s="33">
        <v>0</v>
      </c>
      <c r="Z242" s="33">
        <v>61740</v>
      </c>
      <c r="AA242" s="3">
        <f t="shared" si="5"/>
        <v>43218</v>
      </c>
    </row>
    <row r="243" spans="7:27" x14ac:dyDescent="0.3">
      <c r="G243" s="27" t="s">
        <v>112</v>
      </c>
      <c r="H243" s="33">
        <v>753904</v>
      </c>
      <c r="I243" s="33">
        <v>753880</v>
      </c>
      <c r="J243" s="33" t="s">
        <v>90</v>
      </c>
      <c r="K243" s="33" t="s">
        <v>91</v>
      </c>
      <c r="L243" s="33" t="s">
        <v>6</v>
      </c>
      <c r="M243" s="33" t="s">
        <v>2</v>
      </c>
      <c r="N243" s="33" t="s">
        <v>92</v>
      </c>
      <c r="O243" s="33" t="s">
        <v>52</v>
      </c>
      <c r="P243" s="33">
        <v>0</v>
      </c>
      <c r="Q243" s="33">
        <v>0</v>
      </c>
      <c r="R243" s="33">
        <v>0</v>
      </c>
      <c r="S243" s="33">
        <v>7</v>
      </c>
      <c r="T243" s="33">
        <v>10</v>
      </c>
      <c r="U243" s="33">
        <v>10710</v>
      </c>
      <c r="V243" s="33">
        <v>0</v>
      </c>
      <c r="W243" s="33">
        <v>0</v>
      </c>
      <c r="X243" s="33">
        <v>0</v>
      </c>
      <c r="Y243" s="33">
        <v>0</v>
      </c>
      <c r="Z243" s="33">
        <v>10710</v>
      </c>
      <c r="AA243" s="3">
        <f t="shared" si="5"/>
        <v>7496.9999999999991</v>
      </c>
    </row>
    <row r="244" spans="7:27" x14ac:dyDescent="0.3">
      <c r="G244" s="27" t="s">
        <v>112</v>
      </c>
      <c r="H244" s="33">
        <v>753904</v>
      </c>
      <c r="I244" s="33">
        <v>753880</v>
      </c>
      <c r="J244" s="33" t="s">
        <v>90</v>
      </c>
      <c r="K244" s="33" t="s">
        <v>91</v>
      </c>
      <c r="L244" s="33" t="s">
        <v>109</v>
      </c>
      <c r="M244" s="33" t="s">
        <v>2</v>
      </c>
      <c r="N244" s="33" t="s">
        <v>92</v>
      </c>
      <c r="O244" s="33" t="s">
        <v>52</v>
      </c>
      <c r="P244" s="33">
        <v>0</v>
      </c>
      <c r="Q244" s="33">
        <v>0</v>
      </c>
      <c r="R244" s="33">
        <v>0</v>
      </c>
      <c r="S244" s="33">
        <v>1</v>
      </c>
      <c r="T244" s="33">
        <v>1</v>
      </c>
      <c r="U244" s="33">
        <v>17640</v>
      </c>
      <c r="V244" s="33">
        <v>0</v>
      </c>
      <c r="W244" s="33">
        <v>0</v>
      </c>
      <c r="X244" s="33">
        <v>0</v>
      </c>
      <c r="Y244" s="33">
        <v>0</v>
      </c>
      <c r="Z244" s="33">
        <v>17640</v>
      </c>
      <c r="AA244" s="3">
        <f t="shared" si="5"/>
        <v>12348</v>
      </c>
    </row>
    <row r="245" spans="7:27" x14ac:dyDescent="0.3">
      <c r="G245" s="27" t="s">
        <v>112</v>
      </c>
      <c r="H245" s="33">
        <v>753904</v>
      </c>
      <c r="I245" s="33">
        <v>753880</v>
      </c>
      <c r="J245" s="33" t="s">
        <v>90</v>
      </c>
      <c r="K245" s="33" t="s">
        <v>91</v>
      </c>
      <c r="L245" s="33" t="s">
        <v>6</v>
      </c>
      <c r="M245" s="33" t="s">
        <v>2</v>
      </c>
      <c r="N245" s="33" t="s">
        <v>92</v>
      </c>
      <c r="O245" s="33" t="s">
        <v>52</v>
      </c>
      <c r="P245" s="33">
        <v>1</v>
      </c>
      <c r="Q245" s="33">
        <v>0</v>
      </c>
      <c r="R245" s="33">
        <v>3200</v>
      </c>
      <c r="S245" s="33">
        <v>0</v>
      </c>
      <c r="T245" s="33">
        <v>0</v>
      </c>
      <c r="U245" s="33">
        <v>0</v>
      </c>
      <c r="V245" s="33">
        <v>0</v>
      </c>
      <c r="W245" s="33">
        <v>0</v>
      </c>
      <c r="X245" s="33">
        <v>0</v>
      </c>
      <c r="Y245" s="33">
        <v>0</v>
      </c>
      <c r="Z245" s="33">
        <v>3200</v>
      </c>
      <c r="AA245" s="3">
        <f t="shared" si="5"/>
        <v>2240</v>
      </c>
    </row>
    <row r="246" spans="7:27" x14ac:dyDescent="0.3">
      <c r="G246" s="27" t="s">
        <v>112</v>
      </c>
      <c r="H246" s="33">
        <v>753904</v>
      </c>
      <c r="I246" s="33">
        <v>753879</v>
      </c>
      <c r="J246" s="33" t="s">
        <v>90</v>
      </c>
      <c r="K246" s="33" t="s">
        <v>91</v>
      </c>
      <c r="L246" s="33" t="s">
        <v>7</v>
      </c>
      <c r="M246" s="33" t="s">
        <v>2</v>
      </c>
      <c r="N246" s="33" t="s">
        <v>92</v>
      </c>
      <c r="O246" s="33" t="s">
        <v>52</v>
      </c>
      <c r="P246" s="33">
        <v>0</v>
      </c>
      <c r="Q246" s="33">
        <v>0</v>
      </c>
      <c r="R246" s="33">
        <v>0</v>
      </c>
      <c r="S246" s="33">
        <v>4</v>
      </c>
      <c r="T246" s="33">
        <v>9</v>
      </c>
      <c r="U246" s="33">
        <v>8190</v>
      </c>
      <c r="V246" s="33">
        <v>0</v>
      </c>
      <c r="W246" s="33">
        <v>0</v>
      </c>
      <c r="X246" s="33">
        <v>0</v>
      </c>
      <c r="Y246" s="33">
        <v>0</v>
      </c>
      <c r="Z246" s="33">
        <v>8190</v>
      </c>
      <c r="AA246" s="3">
        <f t="shared" si="5"/>
        <v>5733</v>
      </c>
    </row>
    <row r="247" spans="7:27" x14ac:dyDescent="0.3">
      <c r="G247" s="27" t="s">
        <v>112</v>
      </c>
      <c r="H247" s="33">
        <v>753904</v>
      </c>
      <c r="I247" s="33">
        <v>753879</v>
      </c>
      <c r="J247" s="33" t="s">
        <v>90</v>
      </c>
      <c r="K247" s="33" t="s">
        <v>91</v>
      </c>
      <c r="L247" s="33" t="s">
        <v>7</v>
      </c>
      <c r="M247" s="33" t="s">
        <v>2</v>
      </c>
      <c r="N247" s="33" t="s">
        <v>92</v>
      </c>
      <c r="O247" s="33" t="s">
        <v>52</v>
      </c>
      <c r="P247" s="33">
        <v>1</v>
      </c>
      <c r="Q247" s="33">
        <v>0</v>
      </c>
      <c r="R247" s="33">
        <v>3200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0</v>
      </c>
      <c r="Z247" s="33">
        <v>3200</v>
      </c>
      <c r="AA247" s="3">
        <f t="shared" si="5"/>
        <v>2240</v>
      </c>
    </row>
    <row r="248" spans="7:27" x14ac:dyDescent="0.3">
      <c r="G248" s="27" t="s">
        <v>112</v>
      </c>
      <c r="H248" s="33">
        <v>753904</v>
      </c>
      <c r="I248" s="33">
        <v>753878</v>
      </c>
      <c r="J248" s="33" t="s">
        <v>90</v>
      </c>
      <c r="K248" s="33" t="s">
        <v>91</v>
      </c>
      <c r="L248" s="33" t="s">
        <v>8</v>
      </c>
      <c r="M248" s="33" t="s">
        <v>2</v>
      </c>
      <c r="N248" s="33" t="s">
        <v>92</v>
      </c>
      <c r="O248" s="33" t="s">
        <v>52</v>
      </c>
      <c r="P248" s="33">
        <v>1</v>
      </c>
      <c r="Q248" s="33">
        <v>0</v>
      </c>
      <c r="R248" s="33">
        <v>3200</v>
      </c>
      <c r="S248" s="33">
        <v>0</v>
      </c>
      <c r="T248" s="33">
        <v>0</v>
      </c>
      <c r="U248" s="33">
        <v>0</v>
      </c>
      <c r="V248" s="33">
        <v>0</v>
      </c>
      <c r="W248" s="33">
        <v>0</v>
      </c>
      <c r="X248" s="33">
        <v>0</v>
      </c>
      <c r="Y248" s="33">
        <v>0</v>
      </c>
      <c r="Z248" s="33">
        <v>3200</v>
      </c>
      <c r="AA248" s="3">
        <f t="shared" si="5"/>
        <v>2240</v>
      </c>
    </row>
    <row r="249" spans="7:27" x14ac:dyDescent="0.3">
      <c r="G249" s="27" t="s">
        <v>112</v>
      </c>
      <c r="H249" s="33">
        <v>753904</v>
      </c>
      <c r="I249" s="33">
        <v>753878</v>
      </c>
      <c r="J249" s="33" t="s">
        <v>90</v>
      </c>
      <c r="K249" s="33" t="s">
        <v>91</v>
      </c>
      <c r="L249" s="33" t="s">
        <v>8</v>
      </c>
      <c r="M249" s="33" t="s">
        <v>2</v>
      </c>
      <c r="N249" s="33" t="s">
        <v>92</v>
      </c>
      <c r="O249" s="33" t="s">
        <v>52</v>
      </c>
      <c r="P249" s="33">
        <v>0</v>
      </c>
      <c r="Q249" s="33">
        <v>0</v>
      </c>
      <c r="R249" s="33">
        <v>0</v>
      </c>
      <c r="S249" s="33">
        <v>4</v>
      </c>
      <c r="T249" s="33">
        <v>7</v>
      </c>
      <c r="U249" s="33">
        <v>6930</v>
      </c>
      <c r="V249" s="33">
        <v>0</v>
      </c>
      <c r="W249" s="33">
        <v>0</v>
      </c>
      <c r="X249" s="33">
        <v>0</v>
      </c>
      <c r="Y249" s="33">
        <v>0</v>
      </c>
      <c r="Z249" s="33">
        <v>6930</v>
      </c>
      <c r="AA249" s="3">
        <f t="shared" si="5"/>
        <v>4851</v>
      </c>
    </row>
    <row r="250" spans="7:27" x14ac:dyDescent="0.3">
      <c r="G250" s="27" t="s">
        <v>112</v>
      </c>
      <c r="H250" s="33">
        <v>753904</v>
      </c>
      <c r="I250" s="33">
        <v>753877</v>
      </c>
      <c r="J250" s="33" t="s">
        <v>90</v>
      </c>
      <c r="K250" s="33" t="s">
        <v>91</v>
      </c>
      <c r="L250" s="33" t="s">
        <v>9</v>
      </c>
      <c r="M250" s="33" t="s">
        <v>2</v>
      </c>
      <c r="N250" s="33" t="s">
        <v>92</v>
      </c>
      <c r="O250" s="33" t="s">
        <v>52</v>
      </c>
      <c r="P250" s="33">
        <v>0</v>
      </c>
      <c r="Q250" s="33">
        <v>0</v>
      </c>
      <c r="R250" s="33">
        <v>0</v>
      </c>
      <c r="S250" s="33">
        <v>4</v>
      </c>
      <c r="T250" s="33">
        <v>6</v>
      </c>
      <c r="U250" s="33">
        <v>6300</v>
      </c>
      <c r="V250" s="33">
        <v>0</v>
      </c>
      <c r="W250" s="33">
        <v>0</v>
      </c>
      <c r="X250" s="33">
        <v>0</v>
      </c>
      <c r="Y250" s="33">
        <v>0</v>
      </c>
      <c r="Z250" s="33">
        <v>6300</v>
      </c>
      <c r="AA250" s="3">
        <f t="shared" si="5"/>
        <v>4410</v>
      </c>
    </row>
    <row r="251" spans="7:27" x14ac:dyDescent="0.3">
      <c r="G251" s="27" t="s">
        <v>112</v>
      </c>
      <c r="H251" s="33">
        <v>753904</v>
      </c>
      <c r="I251" s="33">
        <v>753876</v>
      </c>
      <c r="J251" s="33" t="s">
        <v>90</v>
      </c>
      <c r="K251" s="33" t="s">
        <v>91</v>
      </c>
      <c r="L251" s="33" t="s">
        <v>13</v>
      </c>
      <c r="M251" s="33" t="s">
        <v>2</v>
      </c>
      <c r="N251" s="33" t="s">
        <v>92</v>
      </c>
      <c r="O251" s="33" t="s">
        <v>52</v>
      </c>
      <c r="P251" s="33">
        <v>0</v>
      </c>
      <c r="Q251" s="33">
        <v>0</v>
      </c>
      <c r="R251" s="33">
        <v>0</v>
      </c>
      <c r="S251" s="33">
        <v>5</v>
      </c>
      <c r="T251" s="33">
        <v>4</v>
      </c>
      <c r="U251" s="33">
        <v>5670</v>
      </c>
      <c r="V251" s="33">
        <v>0</v>
      </c>
      <c r="W251" s="33">
        <v>0</v>
      </c>
      <c r="X251" s="33">
        <v>0</v>
      </c>
      <c r="Y251" s="33">
        <v>0</v>
      </c>
      <c r="Z251" s="33">
        <v>5670</v>
      </c>
      <c r="AA251" s="3">
        <f t="shared" si="5"/>
        <v>3968.9999999999995</v>
      </c>
    </row>
    <row r="252" spans="7:27" x14ac:dyDescent="0.3">
      <c r="G252" s="27" t="s">
        <v>112</v>
      </c>
      <c r="H252" s="33">
        <v>753904</v>
      </c>
      <c r="I252" s="33">
        <v>753875</v>
      </c>
      <c r="J252" s="33" t="s">
        <v>90</v>
      </c>
      <c r="K252" s="33" t="s">
        <v>91</v>
      </c>
      <c r="L252" s="33" t="s">
        <v>14</v>
      </c>
      <c r="M252" s="33" t="s">
        <v>2</v>
      </c>
      <c r="N252" s="33" t="s">
        <v>92</v>
      </c>
      <c r="O252" s="33" t="s">
        <v>52</v>
      </c>
      <c r="P252" s="33">
        <v>0</v>
      </c>
      <c r="Q252" s="33">
        <v>0</v>
      </c>
      <c r="R252" s="33">
        <v>0</v>
      </c>
      <c r="S252" s="33">
        <v>5</v>
      </c>
      <c r="T252" s="33">
        <v>4</v>
      </c>
      <c r="U252" s="33">
        <v>5670</v>
      </c>
      <c r="V252" s="33">
        <v>0</v>
      </c>
      <c r="W252" s="33">
        <v>0</v>
      </c>
      <c r="X252" s="33">
        <v>0</v>
      </c>
      <c r="Y252" s="33">
        <v>0</v>
      </c>
      <c r="Z252" s="33">
        <v>5670</v>
      </c>
      <c r="AA252" s="3">
        <f t="shared" si="5"/>
        <v>3968.9999999999995</v>
      </c>
    </row>
    <row r="253" spans="7:27" x14ac:dyDescent="0.3">
      <c r="G253" s="27" t="s">
        <v>112</v>
      </c>
      <c r="H253" s="33">
        <v>753904</v>
      </c>
      <c r="I253" s="33">
        <v>753874</v>
      </c>
      <c r="J253" s="33" t="s">
        <v>90</v>
      </c>
      <c r="K253" s="33" t="s">
        <v>91</v>
      </c>
      <c r="L253" s="33" t="s">
        <v>16</v>
      </c>
      <c r="M253" s="33" t="s">
        <v>2</v>
      </c>
      <c r="N253" s="33" t="s">
        <v>92</v>
      </c>
      <c r="O253" s="33" t="s">
        <v>52</v>
      </c>
      <c r="P253" s="33">
        <v>0</v>
      </c>
      <c r="Q253" s="33">
        <v>0</v>
      </c>
      <c r="R253" s="33">
        <v>0</v>
      </c>
      <c r="S253" s="33">
        <v>5</v>
      </c>
      <c r="T253" s="33">
        <v>3</v>
      </c>
      <c r="U253" s="33">
        <v>5040</v>
      </c>
      <c r="V253" s="33">
        <v>0</v>
      </c>
      <c r="W253" s="33">
        <v>0</v>
      </c>
      <c r="X253" s="33">
        <v>0</v>
      </c>
      <c r="Y253" s="33">
        <v>0</v>
      </c>
      <c r="Z253" s="33">
        <v>5040</v>
      </c>
      <c r="AA253" s="3">
        <f t="shared" si="5"/>
        <v>3528</v>
      </c>
    </row>
    <row r="254" spans="7:27" x14ac:dyDescent="0.3">
      <c r="G254" s="27" t="s">
        <v>112</v>
      </c>
      <c r="H254" s="33">
        <v>753904</v>
      </c>
      <c r="I254" s="33">
        <v>753873</v>
      </c>
      <c r="J254" s="33" t="s">
        <v>90</v>
      </c>
      <c r="K254" s="33" t="s">
        <v>91</v>
      </c>
      <c r="L254" s="33" t="s">
        <v>12</v>
      </c>
      <c r="M254" s="33" t="s">
        <v>2</v>
      </c>
      <c r="N254" s="33" t="s">
        <v>92</v>
      </c>
      <c r="O254" s="33" t="s">
        <v>52</v>
      </c>
      <c r="P254" s="33">
        <v>0</v>
      </c>
      <c r="Q254" s="33">
        <v>0</v>
      </c>
      <c r="R254" s="33">
        <v>0</v>
      </c>
      <c r="S254" s="33">
        <v>4</v>
      </c>
      <c r="T254" s="33">
        <v>4</v>
      </c>
      <c r="U254" s="33">
        <v>5040</v>
      </c>
      <c r="V254" s="33">
        <v>0</v>
      </c>
      <c r="W254" s="33">
        <v>0</v>
      </c>
      <c r="X254" s="33">
        <v>0</v>
      </c>
      <c r="Y254" s="33">
        <v>0</v>
      </c>
      <c r="Z254" s="33">
        <v>5040</v>
      </c>
      <c r="AA254" s="3">
        <f t="shared" si="5"/>
        <v>3528</v>
      </c>
    </row>
    <row r="255" spans="7:27" x14ac:dyDescent="0.3">
      <c r="G255" s="27" t="s">
        <v>114</v>
      </c>
      <c r="H255" s="33">
        <v>753904</v>
      </c>
      <c r="I255" s="33">
        <v>753872</v>
      </c>
      <c r="J255" s="33" t="s">
        <v>90</v>
      </c>
      <c r="K255" s="33" t="s">
        <v>91</v>
      </c>
      <c r="L255" s="33" t="s">
        <v>11</v>
      </c>
      <c r="M255" s="33" t="s">
        <v>2</v>
      </c>
      <c r="N255" s="33" t="s">
        <v>92</v>
      </c>
      <c r="O255" s="33" t="s">
        <v>52</v>
      </c>
      <c r="P255" s="33">
        <v>0</v>
      </c>
      <c r="Q255" s="33">
        <v>3</v>
      </c>
      <c r="R255" s="33">
        <v>9600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Z255" s="33">
        <v>9600</v>
      </c>
      <c r="AA255" s="3">
        <f t="shared" si="5"/>
        <v>6720</v>
      </c>
    </row>
    <row r="256" spans="7:27" x14ac:dyDescent="0.3">
      <c r="G256" s="27" t="s">
        <v>114</v>
      </c>
      <c r="H256" s="33">
        <v>753904</v>
      </c>
      <c r="I256" s="33">
        <v>753872</v>
      </c>
      <c r="J256" s="33" t="s">
        <v>90</v>
      </c>
      <c r="K256" s="33" t="s">
        <v>91</v>
      </c>
      <c r="L256" s="33" t="s">
        <v>11</v>
      </c>
      <c r="M256" s="33" t="s">
        <v>2</v>
      </c>
      <c r="N256" s="33" t="s">
        <v>92</v>
      </c>
      <c r="O256" s="33" t="s">
        <v>52</v>
      </c>
      <c r="P256" s="33">
        <v>0</v>
      </c>
      <c r="Q256" s="33">
        <v>0</v>
      </c>
      <c r="R256" s="33">
        <v>0</v>
      </c>
      <c r="S256" s="33">
        <v>1</v>
      </c>
      <c r="T256" s="33">
        <v>0</v>
      </c>
      <c r="U256" s="33">
        <v>630</v>
      </c>
      <c r="V256" s="33">
        <v>0</v>
      </c>
      <c r="W256" s="33">
        <v>0</v>
      </c>
      <c r="X256" s="33">
        <v>0</v>
      </c>
      <c r="Y256" s="33">
        <v>0</v>
      </c>
      <c r="Z256" s="33">
        <v>630</v>
      </c>
      <c r="AA256" s="3">
        <f t="shared" si="5"/>
        <v>441</v>
      </c>
    </row>
    <row r="257" spans="7:27" x14ac:dyDescent="0.3">
      <c r="G257" s="27" t="s">
        <v>114</v>
      </c>
      <c r="H257" s="33">
        <v>753904</v>
      </c>
      <c r="I257" s="33">
        <v>753871</v>
      </c>
      <c r="J257" s="33" t="s">
        <v>90</v>
      </c>
      <c r="K257" s="33" t="s">
        <v>91</v>
      </c>
      <c r="L257" s="33" t="s">
        <v>10</v>
      </c>
      <c r="M257" s="33" t="s">
        <v>2</v>
      </c>
      <c r="N257" s="33" t="s">
        <v>92</v>
      </c>
      <c r="O257" s="33" t="s">
        <v>52</v>
      </c>
      <c r="P257" s="33">
        <v>1</v>
      </c>
      <c r="Q257" s="33">
        <v>2</v>
      </c>
      <c r="R257" s="33">
        <v>9600</v>
      </c>
      <c r="S257" s="33">
        <v>0</v>
      </c>
      <c r="T257" s="33">
        <v>0</v>
      </c>
      <c r="U257" s="33">
        <v>0</v>
      </c>
      <c r="V257" s="33">
        <v>0</v>
      </c>
      <c r="W257" s="33">
        <v>0</v>
      </c>
      <c r="X257" s="33">
        <v>0</v>
      </c>
      <c r="Y257" s="33">
        <v>0</v>
      </c>
      <c r="Z257" s="33">
        <v>9600</v>
      </c>
      <c r="AA257" s="3">
        <f t="shared" si="5"/>
        <v>6720</v>
      </c>
    </row>
    <row r="258" spans="7:27" x14ac:dyDescent="0.3">
      <c r="G258" s="27" t="s">
        <v>114</v>
      </c>
      <c r="H258" s="33">
        <v>753904</v>
      </c>
      <c r="I258" s="33">
        <v>753870</v>
      </c>
      <c r="J258" s="33" t="s">
        <v>90</v>
      </c>
      <c r="K258" s="33" t="s">
        <v>91</v>
      </c>
      <c r="L258" s="33" t="s">
        <v>15</v>
      </c>
      <c r="M258" s="33" t="s">
        <v>2</v>
      </c>
      <c r="N258" s="33" t="s">
        <v>92</v>
      </c>
      <c r="O258" s="33" t="s">
        <v>52</v>
      </c>
      <c r="P258" s="33">
        <v>1</v>
      </c>
      <c r="Q258" s="33">
        <v>2</v>
      </c>
      <c r="R258" s="33">
        <v>9600</v>
      </c>
      <c r="S258" s="33">
        <v>0</v>
      </c>
      <c r="T258" s="33">
        <v>0</v>
      </c>
      <c r="U258" s="33">
        <v>0</v>
      </c>
      <c r="V258" s="33">
        <v>0</v>
      </c>
      <c r="W258" s="33">
        <v>0</v>
      </c>
      <c r="X258" s="33">
        <v>0</v>
      </c>
      <c r="Y258" s="33">
        <v>0</v>
      </c>
      <c r="Z258" s="33">
        <v>9600</v>
      </c>
      <c r="AA258" s="3">
        <f t="shared" si="5"/>
        <v>6720</v>
      </c>
    </row>
    <row r="259" spans="7:27" x14ac:dyDescent="0.3">
      <c r="G259" s="27" t="s">
        <v>114</v>
      </c>
      <c r="H259" s="33">
        <v>753904</v>
      </c>
      <c r="I259" s="33">
        <v>753869</v>
      </c>
      <c r="J259" s="33" t="s">
        <v>90</v>
      </c>
      <c r="K259" s="33" t="s">
        <v>91</v>
      </c>
      <c r="L259" s="33" t="s">
        <v>17</v>
      </c>
      <c r="M259" s="33" t="s">
        <v>2</v>
      </c>
      <c r="N259" s="33" t="s">
        <v>92</v>
      </c>
      <c r="O259" s="33" t="s">
        <v>52</v>
      </c>
      <c r="P259" s="33">
        <v>1</v>
      </c>
      <c r="Q259" s="33">
        <v>2</v>
      </c>
      <c r="R259" s="33">
        <v>9600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9600</v>
      </c>
      <c r="AA259" s="3">
        <f t="shared" si="5"/>
        <v>6720</v>
      </c>
    </row>
    <row r="260" spans="7:27" x14ac:dyDescent="0.3">
      <c r="G260" s="27" t="s">
        <v>114</v>
      </c>
      <c r="H260" s="33">
        <v>753904</v>
      </c>
      <c r="I260" s="33">
        <v>753868</v>
      </c>
      <c r="J260" s="33" t="s">
        <v>90</v>
      </c>
      <c r="K260" s="33" t="s">
        <v>91</v>
      </c>
      <c r="L260" s="33" t="s">
        <v>18</v>
      </c>
      <c r="M260" s="33" t="s">
        <v>2</v>
      </c>
      <c r="N260" s="33" t="s">
        <v>92</v>
      </c>
      <c r="O260" s="33" t="s">
        <v>52</v>
      </c>
      <c r="P260" s="33">
        <v>0</v>
      </c>
      <c r="Q260" s="33">
        <v>2</v>
      </c>
      <c r="R260" s="33">
        <v>6400</v>
      </c>
      <c r="S260" s="33">
        <v>0</v>
      </c>
      <c r="T260" s="33">
        <v>0</v>
      </c>
      <c r="U260" s="33">
        <v>0</v>
      </c>
      <c r="V260" s="33">
        <v>0</v>
      </c>
      <c r="W260" s="33">
        <v>0</v>
      </c>
      <c r="X260" s="33">
        <v>0</v>
      </c>
      <c r="Y260" s="33">
        <v>0</v>
      </c>
      <c r="Z260" s="33">
        <v>6400</v>
      </c>
      <c r="AA260" s="3">
        <f t="shared" si="5"/>
        <v>4480</v>
      </c>
    </row>
    <row r="261" spans="7:27" x14ac:dyDescent="0.3">
      <c r="G261" s="27" t="s">
        <v>114</v>
      </c>
      <c r="H261" s="33">
        <v>753904</v>
      </c>
      <c r="I261" s="33">
        <v>753867</v>
      </c>
      <c r="J261" s="33" t="s">
        <v>90</v>
      </c>
      <c r="K261" s="33" t="s">
        <v>91</v>
      </c>
      <c r="L261" s="33" t="s">
        <v>19</v>
      </c>
      <c r="M261" s="33" t="s">
        <v>2</v>
      </c>
      <c r="N261" s="33" t="s">
        <v>92</v>
      </c>
      <c r="O261" s="33" t="s">
        <v>52</v>
      </c>
      <c r="P261" s="33">
        <v>0</v>
      </c>
      <c r="Q261" s="33">
        <v>2</v>
      </c>
      <c r="R261" s="33">
        <v>6400</v>
      </c>
      <c r="S261" s="33">
        <v>0</v>
      </c>
      <c r="T261" s="33">
        <v>0</v>
      </c>
      <c r="U261" s="33">
        <v>0</v>
      </c>
      <c r="V261" s="33">
        <v>0</v>
      </c>
      <c r="W261" s="33">
        <v>0</v>
      </c>
      <c r="X261" s="33">
        <v>0</v>
      </c>
      <c r="Y261" s="33">
        <v>0</v>
      </c>
      <c r="Z261" s="33">
        <v>6400</v>
      </c>
      <c r="AA261" s="3">
        <f t="shared" si="5"/>
        <v>4480</v>
      </c>
    </row>
    <row r="262" spans="7:27" x14ac:dyDescent="0.3">
      <c r="G262" s="27" t="s">
        <v>114</v>
      </c>
      <c r="H262" s="33">
        <v>753904</v>
      </c>
      <c r="I262" s="33">
        <v>753880</v>
      </c>
      <c r="J262" s="33" t="s">
        <v>90</v>
      </c>
      <c r="K262" s="33" t="s">
        <v>91</v>
      </c>
      <c r="L262" s="33" t="s">
        <v>6</v>
      </c>
      <c r="M262" s="33" t="s">
        <v>2</v>
      </c>
      <c r="N262" s="33" t="s">
        <v>92</v>
      </c>
      <c r="O262" s="33" t="s">
        <v>52</v>
      </c>
      <c r="P262" s="33">
        <v>0</v>
      </c>
      <c r="Q262" s="33">
        <v>1</v>
      </c>
      <c r="R262" s="33">
        <v>3200</v>
      </c>
      <c r="S262" s="33">
        <v>0</v>
      </c>
      <c r="T262" s="33">
        <v>0</v>
      </c>
      <c r="U262" s="33">
        <v>0</v>
      </c>
      <c r="V262" s="33">
        <v>0</v>
      </c>
      <c r="W262" s="33">
        <v>0</v>
      </c>
      <c r="X262" s="33">
        <v>0</v>
      </c>
      <c r="Y262" s="33">
        <v>0</v>
      </c>
      <c r="Z262" s="33">
        <v>3200</v>
      </c>
      <c r="AA262" s="3">
        <f t="shared" si="5"/>
        <v>2240</v>
      </c>
    </row>
    <row r="263" spans="7:27" x14ac:dyDescent="0.3">
      <c r="G263" s="27" t="s">
        <v>114</v>
      </c>
      <c r="H263" s="33">
        <v>753904</v>
      </c>
      <c r="I263" s="33">
        <v>753879</v>
      </c>
      <c r="J263" s="33" t="s">
        <v>90</v>
      </c>
      <c r="K263" s="33" t="s">
        <v>91</v>
      </c>
      <c r="L263" s="33" t="s">
        <v>7</v>
      </c>
      <c r="M263" s="33" t="s">
        <v>2</v>
      </c>
      <c r="N263" s="33" t="s">
        <v>92</v>
      </c>
      <c r="O263" s="33" t="s">
        <v>52</v>
      </c>
      <c r="P263" s="33">
        <v>0</v>
      </c>
      <c r="Q263" s="33">
        <v>1</v>
      </c>
      <c r="R263" s="33">
        <v>3200</v>
      </c>
      <c r="S263" s="33">
        <v>0</v>
      </c>
      <c r="T263" s="33">
        <v>0</v>
      </c>
      <c r="U263" s="33">
        <v>0</v>
      </c>
      <c r="V263" s="33">
        <v>0</v>
      </c>
      <c r="W263" s="33">
        <v>0</v>
      </c>
      <c r="X263" s="33">
        <v>0</v>
      </c>
      <c r="Y263" s="33">
        <v>0</v>
      </c>
      <c r="Z263" s="33">
        <v>3200</v>
      </c>
      <c r="AA263" s="3">
        <f t="shared" ref="AA263:AA290" si="6">Z263*70%</f>
        <v>2240</v>
      </c>
    </row>
    <row r="264" spans="7:27" x14ac:dyDescent="0.3">
      <c r="G264" s="27" t="s">
        <v>114</v>
      </c>
      <c r="H264" s="33">
        <v>753904</v>
      </c>
      <c r="I264" s="33">
        <v>753879</v>
      </c>
      <c r="J264" s="33" t="s">
        <v>90</v>
      </c>
      <c r="K264" s="33" t="s">
        <v>91</v>
      </c>
      <c r="L264" s="33" t="s">
        <v>7</v>
      </c>
      <c r="M264" s="33" t="s">
        <v>2</v>
      </c>
      <c r="N264" s="33" t="s">
        <v>92</v>
      </c>
      <c r="O264" s="33" t="s">
        <v>52</v>
      </c>
      <c r="P264" s="33">
        <v>0</v>
      </c>
      <c r="Q264" s="33">
        <v>0</v>
      </c>
      <c r="R264" s="33">
        <v>0</v>
      </c>
      <c r="S264" s="33">
        <v>0</v>
      </c>
      <c r="T264" s="33">
        <v>1</v>
      </c>
      <c r="U264" s="33">
        <v>630</v>
      </c>
      <c r="V264" s="33">
        <v>0</v>
      </c>
      <c r="W264" s="33">
        <v>0</v>
      </c>
      <c r="X264" s="33">
        <v>0</v>
      </c>
      <c r="Y264" s="33">
        <v>0</v>
      </c>
      <c r="Z264" s="33">
        <v>630</v>
      </c>
      <c r="AA264" s="3">
        <f t="shared" si="6"/>
        <v>441</v>
      </c>
    </row>
    <row r="265" spans="7:27" x14ac:dyDescent="0.3">
      <c r="G265" s="27" t="s">
        <v>114</v>
      </c>
      <c r="H265" s="33">
        <v>753904</v>
      </c>
      <c r="I265" s="33">
        <v>753878</v>
      </c>
      <c r="J265" s="33" t="s">
        <v>90</v>
      </c>
      <c r="K265" s="33" t="s">
        <v>91</v>
      </c>
      <c r="L265" s="33" t="s">
        <v>8</v>
      </c>
      <c r="M265" s="33" t="s">
        <v>2</v>
      </c>
      <c r="N265" s="33" t="s">
        <v>92</v>
      </c>
      <c r="O265" s="33" t="s">
        <v>52</v>
      </c>
      <c r="P265" s="33">
        <v>0</v>
      </c>
      <c r="Q265" s="33">
        <v>0</v>
      </c>
      <c r="R265" s="33">
        <v>0</v>
      </c>
      <c r="S265" s="33">
        <v>0</v>
      </c>
      <c r="T265" s="33">
        <v>1</v>
      </c>
      <c r="U265" s="33">
        <v>630</v>
      </c>
      <c r="V265" s="33">
        <v>0</v>
      </c>
      <c r="W265" s="33">
        <v>0</v>
      </c>
      <c r="X265" s="33">
        <v>0</v>
      </c>
      <c r="Y265" s="33">
        <v>0</v>
      </c>
      <c r="Z265" s="33">
        <v>630</v>
      </c>
      <c r="AA265" s="3">
        <f t="shared" si="6"/>
        <v>441</v>
      </c>
    </row>
    <row r="266" spans="7:27" x14ac:dyDescent="0.3">
      <c r="G266" s="27" t="s">
        <v>114</v>
      </c>
      <c r="H266" s="33">
        <v>753904</v>
      </c>
      <c r="I266" s="33">
        <v>753878</v>
      </c>
      <c r="J266" s="33" t="s">
        <v>90</v>
      </c>
      <c r="K266" s="33" t="s">
        <v>91</v>
      </c>
      <c r="L266" s="33" t="s">
        <v>8</v>
      </c>
      <c r="M266" s="33" t="s">
        <v>2</v>
      </c>
      <c r="N266" s="33" t="s">
        <v>92</v>
      </c>
      <c r="O266" s="33" t="s">
        <v>52</v>
      </c>
      <c r="P266" s="33">
        <v>0</v>
      </c>
      <c r="Q266" s="33">
        <v>1</v>
      </c>
      <c r="R266" s="33">
        <v>3200</v>
      </c>
      <c r="S266" s="33">
        <v>0</v>
      </c>
      <c r="T266" s="33">
        <v>0</v>
      </c>
      <c r="U266" s="33">
        <v>0</v>
      </c>
      <c r="V266" s="33">
        <v>0</v>
      </c>
      <c r="W266" s="33">
        <v>0</v>
      </c>
      <c r="X266" s="33">
        <v>0</v>
      </c>
      <c r="Y266" s="33">
        <v>0</v>
      </c>
      <c r="Z266" s="33">
        <v>3200</v>
      </c>
      <c r="AA266" s="3">
        <f t="shared" si="6"/>
        <v>2240</v>
      </c>
    </row>
    <row r="267" spans="7:27" x14ac:dyDescent="0.3">
      <c r="G267" s="27" t="s">
        <v>114</v>
      </c>
      <c r="H267" s="33">
        <v>753904</v>
      </c>
      <c r="I267" s="33">
        <v>753877</v>
      </c>
      <c r="J267" s="33" t="s">
        <v>90</v>
      </c>
      <c r="K267" s="33" t="s">
        <v>91</v>
      </c>
      <c r="L267" s="33" t="s">
        <v>9</v>
      </c>
      <c r="M267" s="33" t="s">
        <v>2</v>
      </c>
      <c r="N267" s="33" t="s">
        <v>92</v>
      </c>
      <c r="O267" s="33" t="s">
        <v>52</v>
      </c>
      <c r="P267" s="33">
        <v>0</v>
      </c>
      <c r="Q267" s="33">
        <v>2</v>
      </c>
      <c r="R267" s="33">
        <v>6400</v>
      </c>
      <c r="S267" s="33">
        <v>0</v>
      </c>
      <c r="T267" s="33">
        <v>0</v>
      </c>
      <c r="U267" s="33">
        <v>0</v>
      </c>
      <c r="V267" s="33">
        <v>0</v>
      </c>
      <c r="W267" s="33">
        <v>0</v>
      </c>
      <c r="X267" s="33">
        <v>0</v>
      </c>
      <c r="Y267" s="33">
        <v>0</v>
      </c>
      <c r="Z267" s="33">
        <v>6400</v>
      </c>
      <c r="AA267" s="3">
        <f t="shared" si="6"/>
        <v>4480</v>
      </c>
    </row>
    <row r="268" spans="7:27" x14ac:dyDescent="0.3">
      <c r="G268" s="27" t="s">
        <v>114</v>
      </c>
      <c r="H268" s="33">
        <v>753904</v>
      </c>
      <c r="I268" s="33">
        <v>753877</v>
      </c>
      <c r="J268" s="33" t="s">
        <v>90</v>
      </c>
      <c r="K268" s="33" t="s">
        <v>91</v>
      </c>
      <c r="L268" s="33" t="s">
        <v>9</v>
      </c>
      <c r="M268" s="33" t="s">
        <v>2</v>
      </c>
      <c r="N268" s="33" t="s">
        <v>92</v>
      </c>
      <c r="O268" s="33" t="s">
        <v>52</v>
      </c>
      <c r="P268" s="33">
        <v>0</v>
      </c>
      <c r="Q268" s="33">
        <v>0</v>
      </c>
      <c r="R268" s="33">
        <v>0</v>
      </c>
      <c r="S268" s="33">
        <v>0</v>
      </c>
      <c r="T268" s="33">
        <v>1</v>
      </c>
      <c r="U268" s="33">
        <v>630</v>
      </c>
      <c r="V268" s="33">
        <v>0</v>
      </c>
      <c r="W268" s="33">
        <v>0</v>
      </c>
      <c r="X268" s="33">
        <v>0</v>
      </c>
      <c r="Y268" s="33">
        <v>0</v>
      </c>
      <c r="Z268" s="33">
        <v>630</v>
      </c>
      <c r="AA268" s="3">
        <f t="shared" si="6"/>
        <v>441</v>
      </c>
    </row>
    <row r="269" spans="7:27" x14ac:dyDescent="0.3">
      <c r="G269" s="27" t="s">
        <v>114</v>
      </c>
      <c r="H269" s="33">
        <v>753904</v>
      </c>
      <c r="I269" s="33">
        <v>753876</v>
      </c>
      <c r="J269" s="33" t="s">
        <v>90</v>
      </c>
      <c r="K269" s="33" t="s">
        <v>91</v>
      </c>
      <c r="L269" s="33" t="s">
        <v>13</v>
      </c>
      <c r="M269" s="33" t="s">
        <v>2</v>
      </c>
      <c r="N269" s="33" t="s">
        <v>92</v>
      </c>
      <c r="O269" s="33" t="s">
        <v>52</v>
      </c>
      <c r="P269" s="33">
        <v>0</v>
      </c>
      <c r="Q269" s="33">
        <v>0</v>
      </c>
      <c r="R269" s="33">
        <v>0</v>
      </c>
      <c r="S269" s="33">
        <v>0</v>
      </c>
      <c r="T269" s="33">
        <v>1</v>
      </c>
      <c r="U269" s="33">
        <v>630</v>
      </c>
      <c r="V269" s="33">
        <v>0</v>
      </c>
      <c r="W269" s="33">
        <v>0</v>
      </c>
      <c r="X269" s="33">
        <v>0</v>
      </c>
      <c r="Y269" s="33">
        <v>0</v>
      </c>
      <c r="Z269" s="33">
        <v>630</v>
      </c>
      <c r="AA269" s="3">
        <f t="shared" si="6"/>
        <v>441</v>
      </c>
    </row>
    <row r="270" spans="7:27" x14ac:dyDescent="0.3">
      <c r="G270" s="27" t="s">
        <v>114</v>
      </c>
      <c r="H270" s="33">
        <v>753904</v>
      </c>
      <c r="I270" s="33">
        <v>753876</v>
      </c>
      <c r="J270" s="33" t="s">
        <v>90</v>
      </c>
      <c r="K270" s="33" t="s">
        <v>91</v>
      </c>
      <c r="L270" s="33" t="s">
        <v>13</v>
      </c>
      <c r="M270" s="33" t="s">
        <v>2</v>
      </c>
      <c r="N270" s="33" t="s">
        <v>92</v>
      </c>
      <c r="O270" s="33" t="s">
        <v>52</v>
      </c>
      <c r="P270" s="33">
        <v>0</v>
      </c>
      <c r="Q270" s="33">
        <v>3</v>
      </c>
      <c r="R270" s="33">
        <v>9600</v>
      </c>
      <c r="S270" s="33">
        <v>0</v>
      </c>
      <c r="T270" s="33">
        <v>0</v>
      </c>
      <c r="U270" s="33">
        <v>0</v>
      </c>
      <c r="V270" s="33">
        <v>0</v>
      </c>
      <c r="W270" s="33">
        <v>0</v>
      </c>
      <c r="X270" s="33">
        <v>0</v>
      </c>
      <c r="Y270" s="33">
        <v>0</v>
      </c>
      <c r="Z270" s="33">
        <v>9600</v>
      </c>
      <c r="AA270" s="3">
        <f t="shared" si="6"/>
        <v>6720</v>
      </c>
    </row>
    <row r="271" spans="7:27" x14ac:dyDescent="0.3">
      <c r="G271" s="27" t="s">
        <v>114</v>
      </c>
      <c r="H271" s="33">
        <v>753904</v>
      </c>
      <c r="I271" s="33">
        <v>753875</v>
      </c>
      <c r="J271" s="33" t="s">
        <v>90</v>
      </c>
      <c r="K271" s="33" t="s">
        <v>91</v>
      </c>
      <c r="L271" s="33" t="s">
        <v>14</v>
      </c>
      <c r="M271" s="33" t="s">
        <v>2</v>
      </c>
      <c r="N271" s="33" t="s">
        <v>92</v>
      </c>
      <c r="O271" s="33" t="s">
        <v>52</v>
      </c>
      <c r="P271" s="33">
        <v>0</v>
      </c>
      <c r="Q271" s="33">
        <v>0</v>
      </c>
      <c r="R271" s="33">
        <v>0</v>
      </c>
      <c r="S271" s="33">
        <v>0</v>
      </c>
      <c r="T271" s="33">
        <v>1</v>
      </c>
      <c r="U271" s="33">
        <v>630</v>
      </c>
      <c r="V271" s="33">
        <v>0</v>
      </c>
      <c r="W271" s="33">
        <v>0</v>
      </c>
      <c r="X271" s="33">
        <v>0</v>
      </c>
      <c r="Y271" s="33">
        <v>0</v>
      </c>
      <c r="Z271" s="33">
        <v>630</v>
      </c>
      <c r="AA271" s="3">
        <f t="shared" si="6"/>
        <v>441</v>
      </c>
    </row>
    <row r="272" spans="7:27" x14ac:dyDescent="0.3">
      <c r="G272" s="27" t="s">
        <v>114</v>
      </c>
      <c r="H272" s="33">
        <v>753904</v>
      </c>
      <c r="I272" s="33">
        <v>753875</v>
      </c>
      <c r="J272" s="33" t="s">
        <v>90</v>
      </c>
      <c r="K272" s="33" t="s">
        <v>91</v>
      </c>
      <c r="L272" s="33" t="s">
        <v>14</v>
      </c>
      <c r="M272" s="33" t="s">
        <v>2</v>
      </c>
      <c r="N272" s="33" t="s">
        <v>92</v>
      </c>
      <c r="O272" s="33" t="s">
        <v>52</v>
      </c>
      <c r="P272" s="33">
        <v>0</v>
      </c>
      <c r="Q272" s="33">
        <v>3</v>
      </c>
      <c r="R272" s="33">
        <v>9600</v>
      </c>
      <c r="S272" s="33">
        <v>0</v>
      </c>
      <c r="T272" s="33">
        <v>0</v>
      </c>
      <c r="U272" s="33">
        <v>0</v>
      </c>
      <c r="V272" s="33">
        <v>0</v>
      </c>
      <c r="W272" s="33">
        <v>0</v>
      </c>
      <c r="X272" s="33">
        <v>0</v>
      </c>
      <c r="Y272" s="33">
        <v>0</v>
      </c>
      <c r="Z272" s="33">
        <v>9600</v>
      </c>
      <c r="AA272" s="3">
        <f t="shared" si="6"/>
        <v>6720</v>
      </c>
    </row>
    <row r="273" spans="7:27" x14ac:dyDescent="0.3">
      <c r="G273" s="27" t="s">
        <v>114</v>
      </c>
      <c r="H273" s="33">
        <v>753904</v>
      </c>
      <c r="I273" s="33">
        <v>753874</v>
      </c>
      <c r="J273" s="33" t="s">
        <v>90</v>
      </c>
      <c r="K273" s="33" t="s">
        <v>91</v>
      </c>
      <c r="L273" s="33" t="s">
        <v>16</v>
      </c>
      <c r="M273" s="33" t="s">
        <v>2</v>
      </c>
      <c r="N273" s="33" t="s">
        <v>92</v>
      </c>
      <c r="O273" s="33" t="s">
        <v>52</v>
      </c>
      <c r="P273" s="33">
        <v>0</v>
      </c>
      <c r="Q273" s="33">
        <v>3</v>
      </c>
      <c r="R273" s="33">
        <v>9600</v>
      </c>
      <c r="S273" s="33">
        <v>0</v>
      </c>
      <c r="T273" s="33">
        <v>0</v>
      </c>
      <c r="U273" s="33">
        <v>0</v>
      </c>
      <c r="V273" s="33">
        <v>0</v>
      </c>
      <c r="W273" s="33">
        <v>0</v>
      </c>
      <c r="X273" s="33">
        <v>0</v>
      </c>
      <c r="Y273" s="33">
        <v>0</v>
      </c>
      <c r="Z273" s="33">
        <v>9600</v>
      </c>
      <c r="AA273" s="3">
        <f t="shared" si="6"/>
        <v>6720</v>
      </c>
    </row>
    <row r="274" spans="7:27" x14ac:dyDescent="0.3">
      <c r="G274" s="27" t="s">
        <v>114</v>
      </c>
      <c r="H274" s="33">
        <v>753904</v>
      </c>
      <c r="I274" s="33">
        <v>753874</v>
      </c>
      <c r="J274" s="33" t="s">
        <v>90</v>
      </c>
      <c r="K274" s="33" t="s">
        <v>91</v>
      </c>
      <c r="L274" s="33" t="s">
        <v>16</v>
      </c>
      <c r="M274" s="33" t="s">
        <v>2</v>
      </c>
      <c r="N274" s="33" t="s">
        <v>92</v>
      </c>
      <c r="O274" s="33" t="s">
        <v>52</v>
      </c>
      <c r="P274" s="33">
        <v>0</v>
      </c>
      <c r="Q274" s="33">
        <v>0</v>
      </c>
      <c r="R274" s="33">
        <v>0</v>
      </c>
      <c r="S274" s="33">
        <v>0</v>
      </c>
      <c r="T274" s="33">
        <v>1</v>
      </c>
      <c r="U274" s="33">
        <v>630</v>
      </c>
      <c r="V274" s="33">
        <v>0</v>
      </c>
      <c r="W274" s="33">
        <v>0</v>
      </c>
      <c r="X274" s="33">
        <v>0</v>
      </c>
      <c r="Y274" s="33">
        <v>0</v>
      </c>
      <c r="Z274" s="33">
        <v>630</v>
      </c>
      <c r="AA274" s="3">
        <f t="shared" si="6"/>
        <v>441</v>
      </c>
    </row>
    <row r="275" spans="7:27" x14ac:dyDescent="0.3">
      <c r="G275" s="27" t="s">
        <v>114</v>
      </c>
      <c r="H275" s="33">
        <v>753904</v>
      </c>
      <c r="I275" s="33">
        <v>753873</v>
      </c>
      <c r="J275" s="33" t="s">
        <v>90</v>
      </c>
      <c r="K275" s="33" t="s">
        <v>91</v>
      </c>
      <c r="L275" s="33" t="s">
        <v>12</v>
      </c>
      <c r="M275" s="33" t="s">
        <v>2</v>
      </c>
      <c r="N275" s="33" t="s">
        <v>92</v>
      </c>
      <c r="O275" s="33" t="s">
        <v>52</v>
      </c>
      <c r="P275" s="33">
        <v>0</v>
      </c>
      <c r="Q275" s="33">
        <v>3</v>
      </c>
      <c r="R275" s="33">
        <v>9600</v>
      </c>
      <c r="S275" s="33">
        <v>0</v>
      </c>
      <c r="T275" s="33">
        <v>0</v>
      </c>
      <c r="U275" s="33">
        <v>0</v>
      </c>
      <c r="V275" s="33">
        <v>0</v>
      </c>
      <c r="W275" s="33">
        <v>0</v>
      </c>
      <c r="X275" s="33">
        <v>0</v>
      </c>
      <c r="Y275" s="33">
        <v>0</v>
      </c>
      <c r="Z275" s="33">
        <v>9600</v>
      </c>
      <c r="AA275" s="3">
        <f t="shared" si="6"/>
        <v>6720</v>
      </c>
    </row>
    <row r="276" spans="7:27" x14ac:dyDescent="0.3">
      <c r="G276" s="27" t="s">
        <v>114</v>
      </c>
      <c r="H276" s="33">
        <v>753904</v>
      </c>
      <c r="I276" s="33">
        <v>753873</v>
      </c>
      <c r="J276" s="33" t="s">
        <v>90</v>
      </c>
      <c r="K276" s="33" t="s">
        <v>91</v>
      </c>
      <c r="L276" s="33" t="s">
        <v>12</v>
      </c>
      <c r="M276" s="33" t="s">
        <v>2</v>
      </c>
      <c r="N276" s="33" t="s">
        <v>92</v>
      </c>
      <c r="O276" s="33" t="s">
        <v>52</v>
      </c>
      <c r="P276" s="33">
        <v>0</v>
      </c>
      <c r="Q276" s="33">
        <v>0</v>
      </c>
      <c r="R276" s="33">
        <v>0</v>
      </c>
      <c r="S276" s="33">
        <v>1</v>
      </c>
      <c r="T276" s="33">
        <v>1</v>
      </c>
      <c r="U276" s="33">
        <v>1260</v>
      </c>
      <c r="V276" s="33">
        <v>0</v>
      </c>
      <c r="W276" s="33">
        <v>0</v>
      </c>
      <c r="X276" s="33">
        <v>0</v>
      </c>
      <c r="Y276" s="33">
        <v>0</v>
      </c>
      <c r="Z276" s="33">
        <v>1260</v>
      </c>
      <c r="AA276" s="3">
        <f t="shared" si="6"/>
        <v>882</v>
      </c>
    </row>
    <row r="277" spans="7:27" x14ac:dyDescent="0.35">
      <c r="G277" s="27" t="s">
        <v>115</v>
      </c>
      <c r="H277" s="34">
        <v>753904</v>
      </c>
      <c r="I277" s="34">
        <v>753872</v>
      </c>
      <c r="J277" s="34" t="s">
        <v>90</v>
      </c>
      <c r="K277" s="34" t="s">
        <v>91</v>
      </c>
      <c r="L277" s="34" t="s">
        <v>11</v>
      </c>
      <c r="M277" s="34" t="s">
        <v>2</v>
      </c>
      <c r="N277" s="34" t="s">
        <v>92</v>
      </c>
      <c r="O277" s="34" t="s">
        <v>52</v>
      </c>
      <c r="P277" s="34">
        <v>0</v>
      </c>
      <c r="Q277" s="34">
        <v>1</v>
      </c>
      <c r="R277" s="34">
        <v>3200</v>
      </c>
      <c r="S277" s="34">
        <v>0</v>
      </c>
      <c r="T277" s="34">
        <v>0</v>
      </c>
      <c r="U277" s="34">
        <v>0</v>
      </c>
      <c r="V277" s="34">
        <v>0</v>
      </c>
      <c r="W277" s="34">
        <v>0</v>
      </c>
      <c r="X277" s="34">
        <v>0</v>
      </c>
      <c r="Y277" s="34">
        <v>0</v>
      </c>
      <c r="Z277" s="34">
        <v>3200</v>
      </c>
      <c r="AA277" s="3">
        <f t="shared" si="6"/>
        <v>2240</v>
      </c>
    </row>
    <row r="278" spans="7:27" x14ac:dyDescent="0.35">
      <c r="G278" s="27" t="s">
        <v>115</v>
      </c>
      <c r="H278" s="34">
        <v>753904</v>
      </c>
      <c r="I278" s="34">
        <v>753871</v>
      </c>
      <c r="J278" s="34" t="s">
        <v>90</v>
      </c>
      <c r="K278" s="34" t="s">
        <v>91</v>
      </c>
      <c r="L278" s="34" t="s">
        <v>10</v>
      </c>
      <c r="M278" s="34" t="s">
        <v>2</v>
      </c>
      <c r="N278" s="34" t="s">
        <v>92</v>
      </c>
      <c r="O278" s="34" t="s">
        <v>52</v>
      </c>
      <c r="P278" s="34">
        <v>0</v>
      </c>
      <c r="Q278" s="34">
        <v>1</v>
      </c>
      <c r="R278" s="34">
        <v>3200</v>
      </c>
      <c r="S278" s="34">
        <v>0</v>
      </c>
      <c r="T278" s="34">
        <v>0</v>
      </c>
      <c r="U278" s="34">
        <v>0</v>
      </c>
      <c r="V278" s="34">
        <v>0</v>
      </c>
      <c r="W278" s="34">
        <v>0</v>
      </c>
      <c r="X278" s="34">
        <v>0</v>
      </c>
      <c r="Y278" s="34">
        <v>0</v>
      </c>
      <c r="Z278" s="34">
        <v>3200</v>
      </c>
      <c r="AA278" s="3">
        <f t="shared" si="6"/>
        <v>2240</v>
      </c>
    </row>
    <row r="279" spans="7:27" x14ac:dyDescent="0.35">
      <c r="G279" s="27" t="s">
        <v>115</v>
      </c>
      <c r="H279" s="34">
        <v>753904</v>
      </c>
      <c r="I279" s="34">
        <v>753870</v>
      </c>
      <c r="J279" s="34" t="s">
        <v>90</v>
      </c>
      <c r="K279" s="34" t="s">
        <v>91</v>
      </c>
      <c r="L279" s="34" t="s">
        <v>15</v>
      </c>
      <c r="M279" s="34" t="s">
        <v>2</v>
      </c>
      <c r="N279" s="34" t="s">
        <v>92</v>
      </c>
      <c r="O279" s="34" t="s">
        <v>52</v>
      </c>
      <c r="P279" s="34">
        <v>0</v>
      </c>
      <c r="Q279" s="34">
        <v>1</v>
      </c>
      <c r="R279" s="34">
        <v>3200</v>
      </c>
      <c r="S279" s="34">
        <v>0</v>
      </c>
      <c r="T279" s="34">
        <v>0</v>
      </c>
      <c r="U279" s="34">
        <v>0</v>
      </c>
      <c r="V279" s="34">
        <v>0</v>
      </c>
      <c r="W279" s="34">
        <v>0</v>
      </c>
      <c r="X279" s="34">
        <v>0</v>
      </c>
      <c r="Y279" s="34">
        <v>0</v>
      </c>
      <c r="Z279" s="34">
        <v>3200</v>
      </c>
      <c r="AA279" s="3">
        <f t="shared" si="6"/>
        <v>2240</v>
      </c>
    </row>
    <row r="280" spans="7:27" x14ac:dyDescent="0.35">
      <c r="G280" s="27" t="s">
        <v>115</v>
      </c>
      <c r="H280" s="34">
        <v>753904</v>
      </c>
      <c r="I280" s="34">
        <v>753869</v>
      </c>
      <c r="J280" s="34" t="s">
        <v>90</v>
      </c>
      <c r="K280" s="34" t="s">
        <v>91</v>
      </c>
      <c r="L280" s="34" t="s">
        <v>17</v>
      </c>
      <c r="M280" s="34" t="s">
        <v>2</v>
      </c>
      <c r="N280" s="34" t="s">
        <v>92</v>
      </c>
      <c r="O280" s="34" t="s">
        <v>52</v>
      </c>
      <c r="P280" s="34">
        <v>0</v>
      </c>
      <c r="Q280" s="34">
        <v>1</v>
      </c>
      <c r="R280" s="34">
        <v>3200</v>
      </c>
      <c r="S280" s="34">
        <v>0</v>
      </c>
      <c r="T280" s="34">
        <v>0</v>
      </c>
      <c r="U280" s="34">
        <v>0</v>
      </c>
      <c r="V280" s="34">
        <v>0</v>
      </c>
      <c r="W280" s="34">
        <v>0</v>
      </c>
      <c r="X280" s="34">
        <v>0</v>
      </c>
      <c r="Y280" s="34">
        <v>0</v>
      </c>
      <c r="Z280" s="34">
        <v>3200</v>
      </c>
      <c r="AA280" s="3">
        <f t="shared" si="6"/>
        <v>2240</v>
      </c>
    </row>
    <row r="281" spans="7:27" x14ac:dyDescent="0.35">
      <c r="G281" s="27" t="s">
        <v>115</v>
      </c>
      <c r="H281" s="34">
        <v>753904</v>
      </c>
      <c r="I281" s="34">
        <v>753868</v>
      </c>
      <c r="J281" s="34" t="s">
        <v>90</v>
      </c>
      <c r="K281" s="34" t="s">
        <v>91</v>
      </c>
      <c r="L281" s="34" t="s">
        <v>18</v>
      </c>
      <c r="M281" s="34" t="s">
        <v>2</v>
      </c>
      <c r="N281" s="34" t="s">
        <v>92</v>
      </c>
      <c r="O281" s="34" t="s">
        <v>52</v>
      </c>
      <c r="P281" s="34">
        <v>0</v>
      </c>
      <c r="Q281" s="34">
        <v>1</v>
      </c>
      <c r="R281" s="34">
        <v>3200</v>
      </c>
      <c r="S281" s="34">
        <v>0</v>
      </c>
      <c r="T281" s="34">
        <v>0</v>
      </c>
      <c r="U281" s="34">
        <v>0</v>
      </c>
      <c r="V281" s="34">
        <v>0</v>
      </c>
      <c r="W281" s="34">
        <v>0</v>
      </c>
      <c r="X281" s="34">
        <v>0</v>
      </c>
      <c r="Y281" s="34">
        <v>0</v>
      </c>
      <c r="Z281" s="34">
        <v>3200</v>
      </c>
      <c r="AA281" s="3">
        <f t="shared" si="6"/>
        <v>2240</v>
      </c>
    </row>
    <row r="282" spans="7:27" x14ac:dyDescent="0.35">
      <c r="G282" s="27" t="s">
        <v>115</v>
      </c>
      <c r="H282" s="34">
        <v>753904</v>
      </c>
      <c r="I282" s="34">
        <v>753880</v>
      </c>
      <c r="J282" s="34" t="s">
        <v>90</v>
      </c>
      <c r="K282" s="34" t="s">
        <v>91</v>
      </c>
      <c r="L282" s="34" t="s">
        <v>6</v>
      </c>
      <c r="M282" s="34" t="s">
        <v>2</v>
      </c>
      <c r="N282" s="34" t="s">
        <v>92</v>
      </c>
      <c r="O282" s="34" t="s">
        <v>52</v>
      </c>
      <c r="P282" s="34">
        <v>0</v>
      </c>
      <c r="Q282" s="34">
        <v>1</v>
      </c>
      <c r="R282" s="34">
        <v>3200</v>
      </c>
      <c r="S282" s="34">
        <v>0</v>
      </c>
      <c r="T282" s="34">
        <v>0</v>
      </c>
      <c r="U282" s="34">
        <v>0</v>
      </c>
      <c r="V282" s="34">
        <v>0</v>
      </c>
      <c r="W282" s="34">
        <v>0</v>
      </c>
      <c r="X282" s="34">
        <v>0</v>
      </c>
      <c r="Y282" s="34">
        <v>0</v>
      </c>
      <c r="Z282" s="34">
        <v>3200</v>
      </c>
      <c r="AA282" s="3">
        <f t="shared" si="6"/>
        <v>2240</v>
      </c>
    </row>
    <row r="283" spans="7:27" x14ac:dyDescent="0.35">
      <c r="G283" s="27" t="s">
        <v>115</v>
      </c>
      <c r="H283" s="34">
        <v>753904</v>
      </c>
      <c r="I283" s="34">
        <v>753879</v>
      </c>
      <c r="J283" s="34" t="s">
        <v>90</v>
      </c>
      <c r="K283" s="34" t="s">
        <v>91</v>
      </c>
      <c r="L283" s="34" t="s">
        <v>109</v>
      </c>
      <c r="M283" s="34" t="s">
        <v>2</v>
      </c>
      <c r="N283" s="34" t="s">
        <v>92</v>
      </c>
      <c r="O283" s="34" t="s">
        <v>52</v>
      </c>
      <c r="P283" s="34">
        <v>0</v>
      </c>
      <c r="Q283" s="34">
        <v>1</v>
      </c>
      <c r="R283" s="34">
        <v>44800</v>
      </c>
      <c r="S283" s="34">
        <v>0</v>
      </c>
      <c r="T283" s="34">
        <v>0</v>
      </c>
      <c r="U283" s="34">
        <v>0</v>
      </c>
      <c r="V283" s="34">
        <v>0</v>
      </c>
      <c r="W283" s="34">
        <v>0</v>
      </c>
      <c r="X283" s="34">
        <v>0</v>
      </c>
      <c r="Y283" s="34">
        <v>0</v>
      </c>
      <c r="Z283" s="34">
        <v>44800</v>
      </c>
      <c r="AA283" s="3">
        <f t="shared" si="6"/>
        <v>31359.999999999996</v>
      </c>
    </row>
    <row r="284" spans="7:27" x14ac:dyDescent="0.35">
      <c r="G284" s="27" t="s">
        <v>115</v>
      </c>
      <c r="H284" s="34">
        <v>753904</v>
      </c>
      <c r="I284" s="34">
        <v>753879</v>
      </c>
      <c r="J284" s="34" t="s">
        <v>90</v>
      </c>
      <c r="K284" s="34" t="s">
        <v>91</v>
      </c>
      <c r="L284" s="34" t="s">
        <v>7</v>
      </c>
      <c r="M284" s="34" t="s">
        <v>2</v>
      </c>
      <c r="N284" s="34" t="s">
        <v>92</v>
      </c>
      <c r="O284" s="34" t="s">
        <v>52</v>
      </c>
      <c r="P284" s="34">
        <v>0</v>
      </c>
      <c r="Q284" s="34">
        <v>1</v>
      </c>
      <c r="R284" s="34">
        <v>3200</v>
      </c>
      <c r="S284" s="34">
        <v>0</v>
      </c>
      <c r="T284" s="34">
        <v>0</v>
      </c>
      <c r="U284" s="34">
        <v>0</v>
      </c>
      <c r="V284" s="34">
        <v>0</v>
      </c>
      <c r="W284" s="34">
        <v>0</v>
      </c>
      <c r="X284" s="34">
        <v>0</v>
      </c>
      <c r="Y284" s="34">
        <v>0</v>
      </c>
      <c r="Z284" s="34">
        <v>3200</v>
      </c>
      <c r="AA284" s="3">
        <f t="shared" si="6"/>
        <v>2240</v>
      </c>
    </row>
    <row r="285" spans="7:27" x14ac:dyDescent="0.35">
      <c r="G285" s="27" t="s">
        <v>115</v>
      </c>
      <c r="H285" s="34">
        <v>753904</v>
      </c>
      <c r="I285" s="34">
        <v>753878</v>
      </c>
      <c r="J285" s="34" t="s">
        <v>90</v>
      </c>
      <c r="K285" s="34" t="s">
        <v>91</v>
      </c>
      <c r="L285" s="34" t="s">
        <v>8</v>
      </c>
      <c r="M285" s="34" t="s">
        <v>2</v>
      </c>
      <c r="N285" s="34" t="s">
        <v>92</v>
      </c>
      <c r="O285" s="34" t="s">
        <v>52</v>
      </c>
      <c r="P285" s="34">
        <v>0</v>
      </c>
      <c r="Q285" s="34">
        <v>1</v>
      </c>
      <c r="R285" s="34">
        <v>3200</v>
      </c>
      <c r="S285" s="34">
        <v>0</v>
      </c>
      <c r="T285" s="34">
        <v>0</v>
      </c>
      <c r="U285" s="34">
        <v>0</v>
      </c>
      <c r="V285" s="34">
        <v>0</v>
      </c>
      <c r="W285" s="34">
        <v>0</v>
      </c>
      <c r="X285" s="34">
        <v>0</v>
      </c>
      <c r="Y285" s="34">
        <v>0</v>
      </c>
      <c r="Z285" s="34">
        <v>3200</v>
      </c>
      <c r="AA285" s="3">
        <f t="shared" si="6"/>
        <v>2240</v>
      </c>
    </row>
    <row r="286" spans="7:27" x14ac:dyDescent="0.35">
      <c r="G286" s="27" t="s">
        <v>115</v>
      </c>
      <c r="H286" s="34">
        <v>753904</v>
      </c>
      <c r="I286" s="34">
        <v>753877</v>
      </c>
      <c r="J286" s="34" t="s">
        <v>90</v>
      </c>
      <c r="K286" s="34" t="s">
        <v>91</v>
      </c>
      <c r="L286" s="34" t="s">
        <v>9</v>
      </c>
      <c r="M286" s="34" t="s">
        <v>2</v>
      </c>
      <c r="N286" s="34" t="s">
        <v>92</v>
      </c>
      <c r="O286" s="34" t="s">
        <v>52</v>
      </c>
      <c r="P286" s="34">
        <v>0</v>
      </c>
      <c r="Q286" s="34">
        <v>1</v>
      </c>
      <c r="R286" s="34">
        <v>3200</v>
      </c>
      <c r="S286" s="34">
        <v>0</v>
      </c>
      <c r="T286" s="34">
        <v>0</v>
      </c>
      <c r="U286" s="34">
        <v>0</v>
      </c>
      <c r="V286" s="34">
        <v>0</v>
      </c>
      <c r="W286" s="34">
        <v>0</v>
      </c>
      <c r="X286" s="34">
        <v>0</v>
      </c>
      <c r="Y286" s="34">
        <v>0</v>
      </c>
      <c r="Z286" s="34">
        <v>3200</v>
      </c>
      <c r="AA286" s="3">
        <f t="shared" si="6"/>
        <v>2240</v>
      </c>
    </row>
    <row r="287" spans="7:27" x14ac:dyDescent="0.35">
      <c r="G287" s="27" t="s">
        <v>115</v>
      </c>
      <c r="H287" s="34">
        <v>753904</v>
      </c>
      <c r="I287" s="34">
        <v>753876</v>
      </c>
      <c r="J287" s="34" t="s">
        <v>90</v>
      </c>
      <c r="K287" s="34" t="s">
        <v>91</v>
      </c>
      <c r="L287" s="34" t="s">
        <v>13</v>
      </c>
      <c r="M287" s="34" t="s">
        <v>2</v>
      </c>
      <c r="N287" s="34" t="s">
        <v>92</v>
      </c>
      <c r="O287" s="34" t="s">
        <v>52</v>
      </c>
      <c r="P287" s="34">
        <v>0</v>
      </c>
      <c r="Q287" s="34">
        <v>1</v>
      </c>
      <c r="R287" s="34">
        <v>3200</v>
      </c>
      <c r="S287" s="34">
        <v>0</v>
      </c>
      <c r="T287" s="34">
        <v>0</v>
      </c>
      <c r="U287" s="34">
        <v>0</v>
      </c>
      <c r="V287" s="34">
        <v>0</v>
      </c>
      <c r="W287" s="34">
        <v>0</v>
      </c>
      <c r="X287" s="34">
        <v>0</v>
      </c>
      <c r="Y287" s="34">
        <v>0</v>
      </c>
      <c r="Z287" s="34">
        <v>3200</v>
      </c>
      <c r="AA287" s="3">
        <f t="shared" si="6"/>
        <v>2240</v>
      </c>
    </row>
    <row r="288" spans="7:27" x14ac:dyDescent="0.35">
      <c r="G288" s="27" t="s">
        <v>115</v>
      </c>
      <c r="H288" s="34">
        <v>753904</v>
      </c>
      <c r="I288" s="34">
        <v>753875</v>
      </c>
      <c r="J288" s="34" t="s">
        <v>90</v>
      </c>
      <c r="K288" s="34" t="s">
        <v>91</v>
      </c>
      <c r="L288" s="34" t="s">
        <v>14</v>
      </c>
      <c r="M288" s="34" t="s">
        <v>2</v>
      </c>
      <c r="N288" s="34" t="s">
        <v>92</v>
      </c>
      <c r="O288" s="34" t="s">
        <v>52</v>
      </c>
      <c r="P288" s="34">
        <v>0</v>
      </c>
      <c r="Q288" s="34">
        <v>1</v>
      </c>
      <c r="R288" s="34">
        <v>3200</v>
      </c>
      <c r="S288" s="34">
        <v>0</v>
      </c>
      <c r="T288" s="34">
        <v>0</v>
      </c>
      <c r="U288" s="34">
        <v>0</v>
      </c>
      <c r="V288" s="34">
        <v>0</v>
      </c>
      <c r="W288" s="34">
        <v>0</v>
      </c>
      <c r="X288" s="34">
        <v>0</v>
      </c>
      <c r="Y288" s="34">
        <v>0</v>
      </c>
      <c r="Z288" s="34">
        <v>3200</v>
      </c>
      <c r="AA288" s="3">
        <f t="shared" si="6"/>
        <v>2240</v>
      </c>
    </row>
    <row r="289" spans="7:27" x14ac:dyDescent="0.35">
      <c r="G289" s="27" t="s">
        <v>115</v>
      </c>
      <c r="H289" s="34">
        <v>753904</v>
      </c>
      <c r="I289" s="34">
        <v>753874</v>
      </c>
      <c r="J289" s="34" t="s">
        <v>90</v>
      </c>
      <c r="K289" s="34" t="s">
        <v>91</v>
      </c>
      <c r="L289" s="34" t="s">
        <v>16</v>
      </c>
      <c r="M289" s="34" t="s">
        <v>2</v>
      </c>
      <c r="N289" s="34" t="s">
        <v>92</v>
      </c>
      <c r="O289" s="34" t="s">
        <v>52</v>
      </c>
      <c r="P289" s="34">
        <v>0</v>
      </c>
      <c r="Q289" s="34">
        <v>1</v>
      </c>
      <c r="R289" s="34">
        <v>3200</v>
      </c>
      <c r="S289" s="34">
        <v>0</v>
      </c>
      <c r="T289" s="34">
        <v>0</v>
      </c>
      <c r="U289" s="34">
        <v>0</v>
      </c>
      <c r="V289" s="34">
        <v>0</v>
      </c>
      <c r="W289" s="34">
        <v>0</v>
      </c>
      <c r="X289" s="34">
        <v>0</v>
      </c>
      <c r="Y289" s="34">
        <v>0</v>
      </c>
      <c r="Z289" s="34">
        <v>3200</v>
      </c>
      <c r="AA289" s="3">
        <f t="shared" si="6"/>
        <v>2240</v>
      </c>
    </row>
    <row r="290" spans="7:27" x14ac:dyDescent="0.35">
      <c r="G290" s="27" t="s">
        <v>115</v>
      </c>
      <c r="H290" s="34">
        <v>753904</v>
      </c>
      <c r="I290" s="34">
        <v>753873</v>
      </c>
      <c r="J290" s="34" t="s">
        <v>90</v>
      </c>
      <c r="K290" s="34" t="s">
        <v>91</v>
      </c>
      <c r="L290" s="34" t="s">
        <v>12</v>
      </c>
      <c r="M290" s="34" t="s">
        <v>2</v>
      </c>
      <c r="N290" s="34" t="s">
        <v>92</v>
      </c>
      <c r="O290" s="34" t="s">
        <v>52</v>
      </c>
      <c r="P290" s="34">
        <v>0</v>
      </c>
      <c r="Q290" s="34">
        <v>1</v>
      </c>
      <c r="R290" s="34">
        <v>3200</v>
      </c>
      <c r="S290" s="34">
        <v>0</v>
      </c>
      <c r="T290" s="34">
        <v>0</v>
      </c>
      <c r="U290" s="34">
        <v>0</v>
      </c>
      <c r="V290" s="34">
        <v>0</v>
      </c>
      <c r="W290" s="34">
        <v>0</v>
      </c>
      <c r="X290" s="34">
        <v>0</v>
      </c>
      <c r="Y290" s="34">
        <v>0</v>
      </c>
      <c r="Z290" s="34">
        <v>3200</v>
      </c>
      <c r="AA290" s="3">
        <f t="shared" si="6"/>
        <v>2240</v>
      </c>
    </row>
    <row r="291" spans="7:27" x14ac:dyDescent="0.35">
      <c r="G291" s="27" t="s">
        <v>116</v>
      </c>
      <c r="H291" s="34">
        <v>753904</v>
      </c>
      <c r="I291" s="34">
        <v>753873</v>
      </c>
      <c r="J291" s="34" t="s">
        <v>90</v>
      </c>
      <c r="K291" s="34" t="s">
        <v>91</v>
      </c>
      <c r="L291" s="34" t="s">
        <v>12</v>
      </c>
      <c r="M291" s="34" t="s">
        <v>2</v>
      </c>
      <c r="N291" s="34" t="s">
        <v>92</v>
      </c>
      <c r="O291" s="34" t="s">
        <v>52</v>
      </c>
      <c r="P291" s="35">
        <v>0</v>
      </c>
      <c r="Q291" s="35">
        <v>1</v>
      </c>
      <c r="R291" s="35">
        <v>3200</v>
      </c>
      <c r="S291" s="35">
        <v>0</v>
      </c>
      <c r="T291" s="35">
        <v>0</v>
      </c>
      <c r="U291" s="35">
        <v>0</v>
      </c>
      <c r="V291" s="35">
        <v>0</v>
      </c>
      <c r="W291" s="35">
        <v>0</v>
      </c>
      <c r="X291" s="35">
        <v>0</v>
      </c>
      <c r="Y291" s="35">
        <v>0</v>
      </c>
      <c r="Z291" s="35">
        <v>3200</v>
      </c>
      <c r="AA291" s="3">
        <f t="shared" ref="AA291:AA341" si="7">Z291*70%</f>
        <v>2240</v>
      </c>
    </row>
    <row r="292" spans="7:27" x14ac:dyDescent="0.35">
      <c r="G292" s="27" t="s">
        <v>119</v>
      </c>
      <c r="H292" s="35">
        <v>753904</v>
      </c>
      <c r="I292" s="35">
        <v>753872</v>
      </c>
      <c r="J292" s="35" t="s">
        <v>90</v>
      </c>
      <c r="K292" s="35" t="s">
        <v>91</v>
      </c>
      <c r="L292" s="35" t="s">
        <v>11</v>
      </c>
      <c r="M292" s="35" t="s">
        <v>2</v>
      </c>
      <c r="N292" s="35" t="s">
        <v>92</v>
      </c>
      <c r="O292" s="35" t="s">
        <v>52</v>
      </c>
      <c r="P292" s="35">
        <v>0</v>
      </c>
      <c r="Q292" s="35">
        <v>1</v>
      </c>
      <c r="R292" s="35">
        <v>3200</v>
      </c>
      <c r="S292" s="35">
        <v>0</v>
      </c>
      <c r="T292" s="35">
        <v>0</v>
      </c>
      <c r="U292" s="35">
        <v>0</v>
      </c>
      <c r="V292" s="35">
        <v>0</v>
      </c>
      <c r="W292" s="35">
        <v>0</v>
      </c>
      <c r="X292" s="35">
        <v>0</v>
      </c>
      <c r="Y292" s="35">
        <v>0</v>
      </c>
      <c r="Z292" s="35">
        <v>3200</v>
      </c>
      <c r="AA292" s="3">
        <f t="shared" si="7"/>
        <v>2240</v>
      </c>
    </row>
    <row r="293" spans="7:27" x14ac:dyDescent="0.35">
      <c r="G293" s="27" t="s">
        <v>119</v>
      </c>
      <c r="H293" s="35">
        <v>753904</v>
      </c>
      <c r="I293" s="35">
        <v>753871</v>
      </c>
      <c r="J293" s="35" t="s">
        <v>90</v>
      </c>
      <c r="K293" s="35" t="s">
        <v>91</v>
      </c>
      <c r="L293" s="35" t="s">
        <v>10</v>
      </c>
      <c r="M293" s="35" t="s">
        <v>2</v>
      </c>
      <c r="N293" s="35" t="s">
        <v>92</v>
      </c>
      <c r="O293" s="35" t="s">
        <v>52</v>
      </c>
      <c r="P293" s="35">
        <v>0</v>
      </c>
      <c r="Q293" s="35">
        <v>1</v>
      </c>
      <c r="R293" s="35">
        <v>3200</v>
      </c>
      <c r="S293" s="35">
        <v>0</v>
      </c>
      <c r="T293" s="35">
        <v>0</v>
      </c>
      <c r="U293" s="35">
        <v>0</v>
      </c>
      <c r="V293" s="35">
        <v>0</v>
      </c>
      <c r="W293" s="35">
        <v>0</v>
      </c>
      <c r="X293" s="35">
        <v>0</v>
      </c>
      <c r="Y293" s="35">
        <v>0</v>
      </c>
      <c r="Z293" s="35">
        <v>3200</v>
      </c>
      <c r="AA293" s="3">
        <f t="shared" si="7"/>
        <v>2240</v>
      </c>
    </row>
    <row r="294" spans="7:27" x14ac:dyDescent="0.35">
      <c r="G294" s="27" t="s">
        <v>119</v>
      </c>
      <c r="H294" s="35">
        <v>753904</v>
      </c>
      <c r="I294" s="35">
        <v>753870</v>
      </c>
      <c r="J294" s="35" t="s">
        <v>90</v>
      </c>
      <c r="K294" s="35" t="s">
        <v>91</v>
      </c>
      <c r="L294" s="35" t="s">
        <v>15</v>
      </c>
      <c r="M294" s="35" t="s">
        <v>2</v>
      </c>
      <c r="N294" s="35" t="s">
        <v>92</v>
      </c>
      <c r="O294" s="35" t="s">
        <v>52</v>
      </c>
      <c r="P294" s="35">
        <v>0</v>
      </c>
      <c r="Q294" s="35">
        <v>1</v>
      </c>
      <c r="R294" s="35">
        <v>3200</v>
      </c>
      <c r="S294" s="35">
        <v>0</v>
      </c>
      <c r="T294" s="35">
        <v>0</v>
      </c>
      <c r="U294" s="35">
        <v>0</v>
      </c>
      <c r="V294" s="35">
        <v>0</v>
      </c>
      <c r="W294" s="35">
        <v>0</v>
      </c>
      <c r="X294" s="35">
        <v>0</v>
      </c>
      <c r="Y294" s="35">
        <v>0</v>
      </c>
      <c r="Z294" s="35">
        <v>3200</v>
      </c>
      <c r="AA294" s="3">
        <f t="shared" si="7"/>
        <v>2240</v>
      </c>
    </row>
    <row r="295" spans="7:27" x14ac:dyDescent="0.35">
      <c r="G295" s="27" t="s">
        <v>119</v>
      </c>
      <c r="H295" s="35">
        <v>753904</v>
      </c>
      <c r="I295" s="35">
        <v>753869</v>
      </c>
      <c r="J295" s="35" t="s">
        <v>90</v>
      </c>
      <c r="K295" s="35" t="s">
        <v>91</v>
      </c>
      <c r="L295" s="35" t="s">
        <v>17</v>
      </c>
      <c r="M295" s="35" t="s">
        <v>2</v>
      </c>
      <c r="N295" s="35" t="s">
        <v>92</v>
      </c>
      <c r="O295" s="35" t="s">
        <v>52</v>
      </c>
      <c r="P295" s="35">
        <v>0</v>
      </c>
      <c r="Q295" s="35">
        <v>1</v>
      </c>
      <c r="R295" s="35">
        <v>3200</v>
      </c>
      <c r="S295" s="35">
        <v>0</v>
      </c>
      <c r="T295" s="35">
        <v>0</v>
      </c>
      <c r="U295" s="35">
        <v>0</v>
      </c>
      <c r="V295" s="35">
        <v>0</v>
      </c>
      <c r="W295" s="35">
        <v>0</v>
      </c>
      <c r="X295" s="35">
        <v>0</v>
      </c>
      <c r="Y295" s="35">
        <v>0</v>
      </c>
      <c r="Z295" s="35">
        <v>3200</v>
      </c>
      <c r="AA295" s="3">
        <f t="shared" si="7"/>
        <v>2240</v>
      </c>
    </row>
    <row r="296" spans="7:27" x14ac:dyDescent="0.35">
      <c r="G296" s="27" t="s">
        <v>119</v>
      </c>
      <c r="H296" s="35">
        <v>753904</v>
      </c>
      <c r="I296" s="35">
        <v>753868</v>
      </c>
      <c r="J296" s="35" t="s">
        <v>90</v>
      </c>
      <c r="K296" s="35" t="s">
        <v>91</v>
      </c>
      <c r="L296" s="35" t="s">
        <v>18</v>
      </c>
      <c r="M296" s="35" t="s">
        <v>2</v>
      </c>
      <c r="N296" s="35" t="s">
        <v>92</v>
      </c>
      <c r="O296" s="35" t="s">
        <v>52</v>
      </c>
      <c r="P296" s="35">
        <v>0</v>
      </c>
      <c r="Q296" s="35">
        <v>1</v>
      </c>
      <c r="R296" s="35">
        <v>3200</v>
      </c>
      <c r="S296" s="35">
        <v>0</v>
      </c>
      <c r="T296" s="35">
        <v>0</v>
      </c>
      <c r="U296" s="35">
        <v>0</v>
      </c>
      <c r="V296" s="35">
        <v>0</v>
      </c>
      <c r="W296" s="35">
        <v>0</v>
      </c>
      <c r="X296" s="35">
        <v>0</v>
      </c>
      <c r="Y296" s="35">
        <v>0</v>
      </c>
      <c r="Z296" s="35">
        <v>3200</v>
      </c>
      <c r="AA296" s="3">
        <f t="shared" si="7"/>
        <v>2240</v>
      </c>
    </row>
    <row r="297" spans="7:27" x14ac:dyDescent="0.35">
      <c r="G297" s="27" t="s">
        <v>119</v>
      </c>
      <c r="H297" s="35">
        <v>753904</v>
      </c>
      <c r="I297" s="35">
        <v>753867</v>
      </c>
      <c r="J297" s="35" t="s">
        <v>90</v>
      </c>
      <c r="K297" s="35" t="s">
        <v>91</v>
      </c>
      <c r="L297" s="35" t="s">
        <v>19</v>
      </c>
      <c r="M297" s="35" t="s">
        <v>2</v>
      </c>
      <c r="N297" s="35" t="s">
        <v>92</v>
      </c>
      <c r="O297" s="35" t="s">
        <v>52</v>
      </c>
      <c r="P297" s="35">
        <v>0</v>
      </c>
      <c r="Q297" s="35">
        <v>1</v>
      </c>
      <c r="R297" s="35">
        <v>3200</v>
      </c>
      <c r="S297" s="35">
        <v>0</v>
      </c>
      <c r="T297" s="35">
        <v>0</v>
      </c>
      <c r="U297" s="35">
        <v>0</v>
      </c>
      <c r="V297" s="35">
        <v>0</v>
      </c>
      <c r="W297" s="35">
        <v>0</v>
      </c>
      <c r="X297" s="35">
        <v>0</v>
      </c>
      <c r="Y297" s="35">
        <v>0</v>
      </c>
      <c r="Z297" s="35">
        <v>3200</v>
      </c>
      <c r="AA297" s="3">
        <f t="shared" si="7"/>
        <v>2240</v>
      </c>
    </row>
    <row r="298" spans="7:27" x14ac:dyDescent="0.35">
      <c r="G298" s="27" t="s">
        <v>119</v>
      </c>
      <c r="H298" s="35">
        <v>753904</v>
      </c>
      <c r="I298" s="35">
        <v>753880</v>
      </c>
      <c r="J298" s="35" t="s">
        <v>90</v>
      </c>
      <c r="K298" s="35" t="s">
        <v>91</v>
      </c>
      <c r="L298" s="35" t="s">
        <v>6</v>
      </c>
      <c r="M298" s="35" t="s">
        <v>2</v>
      </c>
      <c r="N298" s="35" t="s">
        <v>92</v>
      </c>
      <c r="O298" s="35" t="s">
        <v>52</v>
      </c>
      <c r="P298" s="35">
        <v>0</v>
      </c>
      <c r="Q298" s="35">
        <v>1</v>
      </c>
      <c r="R298" s="35">
        <v>3200</v>
      </c>
      <c r="S298" s="35">
        <v>0</v>
      </c>
      <c r="T298" s="35">
        <v>0</v>
      </c>
      <c r="U298" s="35">
        <v>0</v>
      </c>
      <c r="V298" s="35">
        <v>0</v>
      </c>
      <c r="W298" s="35">
        <v>0</v>
      </c>
      <c r="X298" s="35">
        <v>0</v>
      </c>
      <c r="Y298" s="35">
        <v>0</v>
      </c>
      <c r="Z298" s="35">
        <v>3200</v>
      </c>
      <c r="AA298" s="3">
        <f t="shared" si="7"/>
        <v>2240</v>
      </c>
    </row>
    <row r="299" spans="7:27" x14ac:dyDescent="0.35">
      <c r="G299" s="27" t="s">
        <v>119</v>
      </c>
      <c r="H299" s="35">
        <v>753904</v>
      </c>
      <c r="I299" s="35">
        <v>753879</v>
      </c>
      <c r="J299" s="35" t="s">
        <v>90</v>
      </c>
      <c r="K299" s="35" t="s">
        <v>91</v>
      </c>
      <c r="L299" s="35" t="s">
        <v>7</v>
      </c>
      <c r="M299" s="35" t="s">
        <v>2</v>
      </c>
      <c r="N299" s="35" t="s">
        <v>92</v>
      </c>
      <c r="O299" s="35" t="s">
        <v>52</v>
      </c>
      <c r="P299" s="35">
        <v>0</v>
      </c>
      <c r="Q299" s="35">
        <v>1</v>
      </c>
      <c r="R299" s="35">
        <v>3200</v>
      </c>
      <c r="S299" s="35">
        <v>0</v>
      </c>
      <c r="T299" s="35">
        <v>0</v>
      </c>
      <c r="U299" s="35">
        <v>0</v>
      </c>
      <c r="V299" s="35">
        <v>0</v>
      </c>
      <c r="W299" s="35">
        <v>0</v>
      </c>
      <c r="X299" s="35">
        <v>0</v>
      </c>
      <c r="Y299" s="35">
        <v>0</v>
      </c>
      <c r="Z299" s="35">
        <v>3200</v>
      </c>
      <c r="AA299" s="3">
        <f t="shared" si="7"/>
        <v>2240</v>
      </c>
    </row>
    <row r="300" spans="7:27" x14ac:dyDescent="0.35">
      <c r="G300" s="27" t="s">
        <v>119</v>
      </c>
      <c r="H300" s="35">
        <v>753904</v>
      </c>
      <c r="I300" s="35">
        <v>753876</v>
      </c>
      <c r="J300" s="35" t="s">
        <v>90</v>
      </c>
      <c r="K300" s="35" t="s">
        <v>91</v>
      </c>
      <c r="L300" s="35" t="s">
        <v>13</v>
      </c>
      <c r="M300" s="35" t="s">
        <v>2</v>
      </c>
      <c r="N300" s="35" t="s">
        <v>92</v>
      </c>
      <c r="O300" s="35" t="s">
        <v>52</v>
      </c>
      <c r="P300" s="35">
        <v>0</v>
      </c>
      <c r="Q300" s="35">
        <v>1</v>
      </c>
      <c r="R300" s="35">
        <v>3200</v>
      </c>
      <c r="S300" s="35">
        <v>0</v>
      </c>
      <c r="T300" s="35">
        <v>0</v>
      </c>
      <c r="U300" s="35">
        <v>0</v>
      </c>
      <c r="V300" s="35">
        <v>0</v>
      </c>
      <c r="W300" s="35">
        <v>0</v>
      </c>
      <c r="X300" s="35">
        <v>0</v>
      </c>
      <c r="Y300" s="35">
        <v>0</v>
      </c>
      <c r="Z300" s="35">
        <v>3200</v>
      </c>
      <c r="AA300" s="3">
        <f t="shared" si="7"/>
        <v>2240</v>
      </c>
    </row>
    <row r="301" spans="7:27" x14ac:dyDescent="0.35">
      <c r="G301" s="27" t="s">
        <v>119</v>
      </c>
      <c r="H301" s="35">
        <v>753904</v>
      </c>
      <c r="I301" s="35">
        <v>753875</v>
      </c>
      <c r="J301" s="35" t="s">
        <v>90</v>
      </c>
      <c r="K301" s="35" t="s">
        <v>91</v>
      </c>
      <c r="L301" s="35" t="s">
        <v>14</v>
      </c>
      <c r="M301" s="35" t="s">
        <v>2</v>
      </c>
      <c r="N301" s="35" t="s">
        <v>92</v>
      </c>
      <c r="O301" s="35" t="s">
        <v>52</v>
      </c>
      <c r="P301" s="35">
        <v>0</v>
      </c>
      <c r="Q301" s="35">
        <v>1</v>
      </c>
      <c r="R301" s="35">
        <v>3200</v>
      </c>
      <c r="S301" s="35">
        <v>0</v>
      </c>
      <c r="T301" s="35">
        <v>0</v>
      </c>
      <c r="U301" s="35">
        <v>0</v>
      </c>
      <c r="V301" s="35">
        <v>0</v>
      </c>
      <c r="W301" s="35">
        <v>0</v>
      </c>
      <c r="X301" s="35">
        <v>0</v>
      </c>
      <c r="Y301" s="35">
        <v>0</v>
      </c>
      <c r="Z301" s="35">
        <v>3200</v>
      </c>
      <c r="AA301" s="3">
        <f t="shared" si="7"/>
        <v>2240</v>
      </c>
    </row>
    <row r="302" spans="7:27" x14ac:dyDescent="0.35">
      <c r="G302" s="27" t="s">
        <v>119</v>
      </c>
      <c r="H302" s="35">
        <v>753904</v>
      </c>
      <c r="I302" s="35">
        <v>753874</v>
      </c>
      <c r="J302" s="35" t="s">
        <v>90</v>
      </c>
      <c r="K302" s="35" t="s">
        <v>91</v>
      </c>
      <c r="L302" s="35" t="s">
        <v>16</v>
      </c>
      <c r="M302" s="35" t="s">
        <v>2</v>
      </c>
      <c r="N302" s="35" t="s">
        <v>92</v>
      </c>
      <c r="O302" s="35" t="s">
        <v>52</v>
      </c>
      <c r="P302" s="35">
        <v>0</v>
      </c>
      <c r="Q302" s="35">
        <v>1</v>
      </c>
      <c r="R302" s="35">
        <v>3200</v>
      </c>
      <c r="S302" s="35">
        <v>0</v>
      </c>
      <c r="T302" s="35">
        <v>0</v>
      </c>
      <c r="U302" s="35">
        <v>0</v>
      </c>
      <c r="V302" s="35">
        <v>0</v>
      </c>
      <c r="W302" s="35">
        <v>0</v>
      </c>
      <c r="X302" s="35">
        <v>0</v>
      </c>
      <c r="Y302" s="35">
        <v>0</v>
      </c>
      <c r="Z302" s="35">
        <v>3200</v>
      </c>
      <c r="AA302" s="3">
        <f t="shared" si="7"/>
        <v>2240</v>
      </c>
    </row>
    <row r="303" spans="7:27" x14ac:dyDescent="0.35">
      <c r="G303" s="27" t="s">
        <v>119</v>
      </c>
      <c r="H303" s="35">
        <v>753904</v>
      </c>
      <c r="I303" s="35">
        <v>753873</v>
      </c>
      <c r="J303" s="35" t="s">
        <v>90</v>
      </c>
      <c r="K303" s="35" t="s">
        <v>91</v>
      </c>
      <c r="L303" s="35" t="s">
        <v>12</v>
      </c>
      <c r="M303" s="35" t="s">
        <v>2</v>
      </c>
      <c r="N303" s="35" t="s">
        <v>92</v>
      </c>
      <c r="O303" s="35" t="s">
        <v>52</v>
      </c>
      <c r="P303" s="35">
        <v>0</v>
      </c>
      <c r="Q303" s="35">
        <v>1</v>
      </c>
      <c r="R303" s="35">
        <v>3200</v>
      </c>
      <c r="S303" s="35">
        <v>0</v>
      </c>
      <c r="T303" s="35">
        <v>0</v>
      </c>
      <c r="U303" s="35">
        <v>0</v>
      </c>
      <c r="V303" s="35">
        <v>0</v>
      </c>
      <c r="W303" s="35">
        <v>0</v>
      </c>
      <c r="X303" s="35">
        <v>0</v>
      </c>
      <c r="Y303" s="35">
        <v>0</v>
      </c>
      <c r="Z303" s="35">
        <v>3200</v>
      </c>
      <c r="AA303" s="3">
        <f t="shared" si="7"/>
        <v>2240</v>
      </c>
    </row>
    <row r="304" spans="7:27" x14ac:dyDescent="0.35">
      <c r="G304" s="36" t="s">
        <v>121</v>
      </c>
      <c r="H304" s="37">
        <v>753904</v>
      </c>
      <c r="I304" s="37">
        <v>753872</v>
      </c>
      <c r="J304" s="37" t="s">
        <v>90</v>
      </c>
      <c r="K304" s="37" t="s">
        <v>91</v>
      </c>
      <c r="L304" s="37" t="s">
        <v>11</v>
      </c>
      <c r="M304" s="37" t="s">
        <v>2</v>
      </c>
      <c r="N304" s="37" t="s">
        <v>92</v>
      </c>
      <c r="O304" s="37" t="s">
        <v>92</v>
      </c>
      <c r="P304" s="37">
        <v>0</v>
      </c>
      <c r="Q304" s="37">
        <v>1</v>
      </c>
      <c r="R304" s="37">
        <v>3200</v>
      </c>
      <c r="S304" s="37">
        <v>0</v>
      </c>
      <c r="T304" s="37">
        <v>0</v>
      </c>
      <c r="U304" s="37">
        <v>0</v>
      </c>
      <c r="V304" s="37">
        <v>0</v>
      </c>
      <c r="W304" s="37">
        <v>0</v>
      </c>
      <c r="X304" s="37">
        <v>0</v>
      </c>
      <c r="Y304" s="37">
        <v>0</v>
      </c>
      <c r="Z304" s="37">
        <v>3200</v>
      </c>
      <c r="AA304" s="38">
        <f t="shared" si="7"/>
        <v>2240</v>
      </c>
    </row>
    <row r="305" spans="7:27" x14ac:dyDescent="0.35">
      <c r="G305" s="36" t="s">
        <v>121</v>
      </c>
      <c r="H305" s="37">
        <v>753904</v>
      </c>
      <c r="I305" s="37">
        <v>753871</v>
      </c>
      <c r="J305" s="37" t="s">
        <v>90</v>
      </c>
      <c r="K305" s="37" t="s">
        <v>91</v>
      </c>
      <c r="L305" s="37" t="s">
        <v>10</v>
      </c>
      <c r="M305" s="37" t="s">
        <v>2</v>
      </c>
      <c r="N305" s="37" t="s">
        <v>92</v>
      </c>
      <c r="O305" s="37" t="s">
        <v>92</v>
      </c>
      <c r="P305" s="37">
        <v>0</v>
      </c>
      <c r="Q305" s="37">
        <v>1</v>
      </c>
      <c r="R305" s="37">
        <v>3200</v>
      </c>
      <c r="S305" s="37">
        <v>0</v>
      </c>
      <c r="T305" s="37">
        <v>0</v>
      </c>
      <c r="U305" s="37">
        <v>0</v>
      </c>
      <c r="V305" s="37">
        <v>0</v>
      </c>
      <c r="W305" s="37">
        <v>0</v>
      </c>
      <c r="X305" s="37">
        <v>0</v>
      </c>
      <c r="Y305" s="37">
        <v>0</v>
      </c>
      <c r="Z305" s="37">
        <v>3200</v>
      </c>
      <c r="AA305" s="38">
        <f t="shared" si="7"/>
        <v>2240</v>
      </c>
    </row>
    <row r="306" spans="7:27" x14ac:dyDescent="0.35">
      <c r="G306" s="36" t="s">
        <v>121</v>
      </c>
      <c r="H306" s="37">
        <v>753904</v>
      </c>
      <c r="I306" s="37">
        <v>753870</v>
      </c>
      <c r="J306" s="37" t="s">
        <v>90</v>
      </c>
      <c r="K306" s="37" t="s">
        <v>91</v>
      </c>
      <c r="L306" s="37" t="s">
        <v>15</v>
      </c>
      <c r="M306" s="37" t="s">
        <v>2</v>
      </c>
      <c r="N306" s="37" t="s">
        <v>92</v>
      </c>
      <c r="O306" s="37" t="s">
        <v>92</v>
      </c>
      <c r="P306" s="37">
        <v>0</v>
      </c>
      <c r="Q306" s="37">
        <v>1</v>
      </c>
      <c r="R306" s="37">
        <v>3200</v>
      </c>
      <c r="S306" s="37">
        <v>0</v>
      </c>
      <c r="T306" s="37">
        <v>0</v>
      </c>
      <c r="U306" s="37">
        <v>0</v>
      </c>
      <c r="V306" s="37">
        <v>0</v>
      </c>
      <c r="W306" s="37">
        <v>0</v>
      </c>
      <c r="X306" s="37">
        <v>0</v>
      </c>
      <c r="Y306" s="37">
        <v>0</v>
      </c>
      <c r="Z306" s="37">
        <v>3200</v>
      </c>
      <c r="AA306" s="38">
        <f t="shared" si="7"/>
        <v>2240</v>
      </c>
    </row>
    <row r="307" spans="7:27" x14ac:dyDescent="0.35">
      <c r="G307" s="36" t="s">
        <v>121</v>
      </c>
      <c r="H307" s="37">
        <v>753904</v>
      </c>
      <c r="I307" s="37">
        <v>753869</v>
      </c>
      <c r="J307" s="37" t="s">
        <v>90</v>
      </c>
      <c r="K307" s="37" t="s">
        <v>91</v>
      </c>
      <c r="L307" s="37" t="s">
        <v>17</v>
      </c>
      <c r="M307" s="37" t="s">
        <v>2</v>
      </c>
      <c r="N307" s="37" t="s">
        <v>92</v>
      </c>
      <c r="O307" s="37" t="s">
        <v>92</v>
      </c>
      <c r="P307" s="37">
        <v>0</v>
      </c>
      <c r="Q307" s="37">
        <v>1</v>
      </c>
      <c r="R307" s="37">
        <v>3200</v>
      </c>
      <c r="S307" s="37">
        <v>0</v>
      </c>
      <c r="T307" s="37">
        <v>0</v>
      </c>
      <c r="U307" s="37">
        <v>0</v>
      </c>
      <c r="V307" s="37">
        <v>0</v>
      </c>
      <c r="W307" s="37">
        <v>0</v>
      </c>
      <c r="X307" s="37">
        <v>0</v>
      </c>
      <c r="Y307" s="37">
        <v>0</v>
      </c>
      <c r="Z307" s="37">
        <v>3200</v>
      </c>
      <c r="AA307" s="38">
        <f t="shared" si="7"/>
        <v>2240</v>
      </c>
    </row>
    <row r="308" spans="7:27" x14ac:dyDescent="0.35">
      <c r="G308" s="36" t="s">
        <v>121</v>
      </c>
      <c r="H308" s="37">
        <v>753904</v>
      </c>
      <c r="I308" s="37">
        <v>753867</v>
      </c>
      <c r="J308" s="37" t="s">
        <v>90</v>
      </c>
      <c r="K308" s="37" t="s">
        <v>91</v>
      </c>
      <c r="L308" s="37" t="s">
        <v>19</v>
      </c>
      <c r="M308" s="37" t="s">
        <v>2</v>
      </c>
      <c r="N308" s="37" t="s">
        <v>92</v>
      </c>
      <c r="O308" s="37" t="s">
        <v>92</v>
      </c>
      <c r="P308" s="37">
        <v>0</v>
      </c>
      <c r="Q308" s="37">
        <v>1</v>
      </c>
      <c r="R308" s="37">
        <v>3200</v>
      </c>
      <c r="S308" s="37">
        <v>0</v>
      </c>
      <c r="T308" s="37">
        <v>0</v>
      </c>
      <c r="U308" s="37">
        <v>0</v>
      </c>
      <c r="V308" s="37">
        <v>0</v>
      </c>
      <c r="W308" s="37">
        <v>0</v>
      </c>
      <c r="X308" s="37">
        <v>0</v>
      </c>
      <c r="Y308" s="37">
        <v>0</v>
      </c>
      <c r="Z308" s="37">
        <v>3200</v>
      </c>
      <c r="AA308" s="38">
        <f t="shared" si="7"/>
        <v>2240</v>
      </c>
    </row>
    <row r="309" spans="7:27" x14ac:dyDescent="0.35">
      <c r="G309" s="36" t="s">
        <v>121</v>
      </c>
      <c r="H309" s="37">
        <v>753904</v>
      </c>
      <c r="I309" s="37">
        <v>753878</v>
      </c>
      <c r="J309" s="37" t="s">
        <v>90</v>
      </c>
      <c r="K309" s="37" t="s">
        <v>91</v>
      </c>
      <c r="L309" s="37" t="s">
        <v>8</v>
      </c>
      <c r="M309" s="37" t="s">
        <v>2</v>
      </c>
      <c r="N309" s="37" t="s">
        <v>92</v>
      </c>
      <c r="O309" s="37" t="s">
        <v>92</v>
      </c>
      <c r="P309" s="37">
        <v>0</v>
      </c>
      <c r="Q309" s="37">
        <v>1</v>
      </c>
      <c r="R309" s="37">
        <v>3200</v>
      </c>
      <c r="S309" s="37">
        <v>0</v>
      </c>
      <c r="T309" s="37">
        <v>0</v>
      </c>
      <c r="U309" s="37">
        <v>0</v>
      </c>
      <c r="V309" s="37">
        <v>0</v>
      </c>
      <c r="W309" s="37">
        <v>0</v>
      </c>
      <c r="X309" s="37">
        <v>0</v>
      </c>
      <c r="Y309" s="37">
        <v>0</v>
      </c>
      <c r="Z309" s="37">
        <v>3200</v>
      </c>
      <c r="AA309" s="38">
        <f t="shared" si="7"/>
        <v>2240</v>
      </c>
    </row>
    <row r="310" spans="7:27" x14ac:dyDescent="0.35">
      <c r="G310" s="36" t="s">
        <v>121</v>
      </c>
      <c r="H310" s="37">
        <v>753904</v>
      </c>
      <c r="I310" s="37">
        <v>753877</v>
      </c>
      <c r="J310" s="37" t="s">
        <v>90</v>
      </c>
      <c r="K310" s="37" t="s">
        <v>91</v>
      </c>
      <c r="L310" s="37" t="s">
        <v>9</v>
      </c>
      <c r="M310" s="37" t="s">
        <v>2</v>
      </c>
      <c r="N310" s="37" t="s">
        <v>92</v>
      </c>
      <c r="O310" s="37" t="s">
        <v>92</v>
      </c>
      <c r="P310" s="37">
        <v>0</v>
      </c>
      <c r="Q310" s="37">
        <v>1</v>
      </c>
      <c r="R310" s="37">
        <v>3200</v>
      </c>
      <c r="S310" s="37">
        <v>0</v>
      </c>
      <c r="T310" s="37">
        <v>0</v>
      </c>
      <c r="U310" s="37">
        <v>0</v>
      </c>
      <c r="V310" s="37">
        <v>0</v>
      </c>
      <c r="W310" s="37">
        <v>0</v>
      </c>
      <c r="X310" s="37">
        <v>0</v>
      </c>
      <c r="Y310" s="37">
        <v>0</v>
      </c>
      <c r="Z310" s="37">
        <v>3200</v>
      </c>
      <c r="AA310" s="38">
        <f t="shared" si="7"/>
        <v>2240</v>
      </c>
    </row>
    <row r="311" spans="7:27" x14ac:dyDescent="0.35">
      <c r="G311" s="36" t="s">
        <v>121</v>
      </c>
      <c r="H311" s="37">
        <v>753904</v>
      </c>
      <c r="I311" s="37">
        <v>753876</v>
      </c>
      <c r="J311" s="37" t="s">
        <v>90</v>
      </c>
      <c r="K311" s="37" t="s">
        <v>91</v>
      </c>
      <c r="L311" s="37" t="s">
        <v>13</v>
      </c>
      <c r="M311" s="37" t="s">
        <v>2</v>
      </c>
      <c r="N311" s="37" t="s">
        <v>92</v>
      </c>
      <c r="O311" s="37" t="s">
        <v>92</v>
      </c>
      <c r="P311" s="37">
        <v>0</v>
      </c>
      <c r="Q311" s="37">
        <v>1</v>
      </c>
      <c r="R311" s="37">
        <v>3200</v>
      </c>
      <c r="S311" s="37">
        <v>0</v>
      </c>
      <c r="T311" s="37">
        <v>0</v>
      </c>
      <c r="U311" s="37">
        <v>0</v>
      </c>
      <c r="V311" s="37">
        <v>0</v>
      </c>
      <c r="W311" s="37">
        <v>0</v>
      </c>
      <c r="X311" s="37">
        <v>0</v>
      </c>
      <c r="Y311" s="37">
        <v>0</v>
      </c>
      <c r="Z311" s="37">
        <v>3200</v>
      </c>
      <c r="AA311" s="38">
        <f t="shared" si="7"/>
        <v>2240</v>
      </c>
    </row>
    <row r="312" spans="7:27" x14ac:dyDescent="0.35">
      <c r="G312" s="36" t="s">
        <v>121</v>
      </c>
      <c r="H312" s="37">
        <v>753904</v>
      </c>
      <c r="I312" s="37">
        <v>753875</v>
      </c>
      <c r="J312" s="37" t="s">
        <v>90</v>
      </c>
      <c r="K312" s="37" t="s">
        <v>91</v>
      </c>
      <c r="L312" s="37" t="s">
        <v>14</v>
      </c>
      <c r="M312" s="37" t="s">
        <v>2</v>
      </c>
      <c r="N312" s="37" t="s">
        <v>92</v>
      </c>
      <c r="O312" s="37" t="s">
        <v>92</v>
      </c>
      <c r="P312" s="37">
        <v>0</v>
      </c>
      <c r="Q312" s="37">
        <v>1</v>
      </c>
      <c r="R312" s="37">
        <v>3200</v>
      </c>
      <c r="S312" s="37">
        <v>0</v>
      </c>
      <c r="T312" s="37">
        <v>0</v>
      </c>
      <c r="U312" s="37">
        <v>0</v>
      </c>
      <c r="V312" s="37">
        <v>0</v>
      </c>
      <c r="W312" s="37">
        <v>0</v>
      </c>
      <c r="X312" s="37">
        <v>0</v>
      </c>
      <c r="Y312" s="37">
        <v>0</v>
      </c>
      <c r="Z312" s="37">
        <v>3200</v>
      </c>
      <c r="AA312" s="38">
        <f t="shared" si="7"/>
        <v>2240</v>
      </c>
    </row>
    <row r="313" spans="7:27" x14ac:dyDescent="0.35">
      <c r="G313" s="36" t="s">
        <v>121</v>
      </c>
      <c r="H313" s="37">
        <v>753904</v>
      </c>
      <c r="I313" s="37">
        <v>753874</v>
      </c>
      <c r="J313" s="37" t="s">
        <v>90</v>
      </c>
      <c r="K313" s="37" t="s">
        <v>91</v>
      </c>
      <c r="L313" s="37" t="s">
        <v>16</v>
      </c>
      <c r="M313" s="37" t="s">
        <v>2</v>
      </c>
      <c r="N313" s="37" t="s">
        <v>92</v>
      </c>
      <c r="O313" s="37" t="s">
        <v>92</v>
      </c>
      <c r="P313" s="37">
        <v>0</v>
      </c>
      <c r="Q313" s="37">
        <v>1</v>
      </c>
      <c r="R313" s="37">
        <v>3200</v>
      </c>
      <c r="S313" s="37">
        <v>0</v>
      </c>
      <c r="T313" s="37">
        <v>0</v>
      </c>
      <c r="U313" s="37">
        <v>0</v>
      </c>
      <c r="V313" s="37">
        <v>0</v>
      </c>
      <c r="W313" s="37">
        <v>0</v>
      </c>
      <c r="X313" s="37">
        <v>0</v>
      </c>
      <c r="Y313" s="37">
        <v>0</v>
      </c>
      <c r="Z313" s="37">
        <v>3200</v>
      </c>
      <c r="AA313" s="38">
        <f t="shared" si="7"/>
        <v>2240</v>
      </c>
    </row>
    <row r="314" spans="7:27" x14ac:dyDescent="0.35">
      <c r="G314" s="36" t="s">
        <v>121</v>
      </c>
      <c r="H314" s="37">
        <v>753904</v>
      </c>
      <c r="I314" s="37">
        <v>753873</v>
      </c>
      <c r="J314" s="37" t="s">
        <v>90</v>
      </c>
      <c r="K314" s="37" t="s">
        <v>91</v>
      </c>
      <c r="L314" s="37" t="s">
        <v>12</v>
      </c>
      <c r="M314" s="37" t="s">
        <v>2</v>
      </c>
      <c r="N314" s="37" t="s">
        <v>92</v>
      </c>
      <c r="O314" s="37" t="s">
        <v>92</v>
      </c>
      <c r="P314" s="37">
        <v>0</v>
      </c>
      <c r="Q314" s="37">
        <v>1</v>
      </c>
      <c r="R314" s="37">
        <v>3200</v>
      </c>
      <c r="S314" s="37">
        <v>0</v>
      </c>
      <c r="T314" s="37">
        <v>0</v>
      </c>
      <c r="U314" s="37">
        <v>0</v>
      </c>
      <c r="V314" s="37">
        <v>0</v>
      </c>
      <c r="W314" s="37">
        <v>0</v>
      </c>
      <c r="X314" s="37">
        <v>0</v>
      </c>
      <c r="Y314" s="37">
        <v>0</v>
      </c>
      <c r="Z314" s="37">
        <v>3200</v>
      </c>
      <c r="AA314" s="38">
        <f t="shared" si="7"/>
        <v>2240</v>
      </c>
    </row>
    <row r="315" spans="7:27" x14ac:dyDescent="0.35">
      <c r="G315" s="27" t="s">
        <v>122</v>
      </c>
      <c r="H315" s="35">
        <v>753904</v>
      </c>
      <c r="I315" s="35">
        <v>753872</v>
      </c>
      <c r="J315" s="35" t="s">
        <v>90</v>
      </c>
      <c r="K315" s="35" t="s">
        <v>91</v>
      </c>
      <c r="L315" s="35" t="s">
        <v>11</v>
      </c>
      <c r="M315" s="35" t="s">
        <v>2</v>
      </c>
      <c r="N315" s="35" t="s">
        <v>92</v>
      </c>
      <c r="O315" s="35" t="s">
        <v>92</v>
      </c>
      <c r="P315" s="35">
        <v>0</v>
      </c>
      <c r="Q315" s="35">
        <v>1</v>
      </c>
      <c r="R315" s="35">
        <v>3200</v>
      </c>
      <c r="S315" s="35">
        <v>0</v>
      </c>
      <c r="T315" s="35">
        <v>0</v>
      </c>
      <c r="U315" s="35">
        <v>0</v>
      </c>
      <c r="V315" s="35">
        <v>0</v>
      </c>
      <c r="W315" s="35">
        <v>0</v>
      </c>
      <c r="X315" s="35">
        <v>0</v>
      </c>
      <c r="Y315" s="35">
        <v>0</v>
      </c>
      <c r="Z315" s="35">
        <v>3200</v>
      </c>
      <c r="AA315" s="39">
        <f t="shared" si="7"/>
        <v>2240</v>
      </c>
    </row>
    <row r="316" spans="7:27" x14ac:dyDescent="0.35">
      <c r="G316" s="27" t="s">
        <v>122</v>
      </c>
      <c r="H316" s="35">
        <v>753904</v>
      </c>
      <c r="I316" s="35">
        <v>753871</v>
      </c>
      <c r="J316" s="35" t="s">
        <v>90</v>
      </c>
      <c r="K316" s="35" t="s">
        <v>91</v>
      </c>
      <c r="L316" s="35" t="s">
        <v>10</v>
      </c>
      <c r="M316" s="35" t="s">
        <v>2</v>
      </c>
      <c r="N316" s="35" t="s">
        <v>92</v>
      </c>
      <c r="O316" s="35" t="s">
        <v>92</v>
      </c>
      <c r="P316" s="35">
        <v>0</v>
      </c>
      <c r="Q316" s="35">
        <v>1</v>
      </c>
      <c r="R316" s="35">
        <v>3200</v>
      </c>
      <c r="S316" s="35">
        <v>0</v>
      </c>
      <c r="T316" s="35">
        <v>0</v>
      </c>
      <c r="U316" s="35">
        <v>0</v>
      </c>
      <c r="V316" s="35">
        <v>0</v>
      </c>
      <c r="W316" s="35">
        <v>0</v>
      </c>
      <c r="X316" s="35">
        <v>0</v>
      </c>
      <c r="Y316" s="35">
        <v>0</v>
      </c>
      <c r="Z316" s="35">
        <v>3200</v>
      </c>
      <c r="AA316" s="39">
        <f t="shared" si="7"/>
        <v>2240</v>
      </c>
    </row>
    <row r="317" spans="7:27" x14ac:dyDescent="0.35">
      <c r="G317" s="27" t="s">
        <v>122</v>
      </c>
      <c r="H317" s="35">
        <v>753904</v>
      </c>
      <c r="I317" s="35">
        <v>753870</v>
      </c>
      <c r="J317" s="35" t="s">
        <v>90</v>
      </c>
      <c r="K317" s="35" t="s">
        <v>91</v>
      </c>
      <c r="L317" s="35" t="s">
        <v>15</v>
      </c>
      <c r="M317" s="35" t="s">
        <v>2</v>
      </c>
      <c r="N317" s="35" t="s">
        <v>92</v>
      </c>
      <c r="O317" s="35" t="s">
        <v>92</v>
      </c>
      <c r="P317" s="35">
        <v>0</v>
      </c>
      <c r="Q317" s="35">
        <v>1</v>
      </c>
      <c r="R317" s="35">
        <v>3200</v>
      </c>
      <c r="S317" s="35">
        <v>0</v>
      </c>
      <c r="T317" s="35">
        <v>0</v>
      </c>
      <c r="U317" s="35">
        <v>0</v>
      </c>
      <c r="V317" s="35">
        <v>0</v>
      </c>
      <c r="W317" s="35">
        <v>0</v>
      </c>
      <c r="X317" s="35">
        <v>0</v>
      </c>
      <c r="Y317" s="35">
        <v>0</v>
      </c>
      <c r="Z317" s="35">
        <v>3200</v>
      </c>
      <c r="AA317" s="39">
        <f t="shared" si="7"/>
        <v>2240</v>
      </c>
    </row>
    <row r="318" spans="7:27" x14ac:dyDescent="0.35">
      <c r="G318" s="27" t="s">
        <v>122</v>
      </c>
      <c r="H318" s="35">
        <v>753904</v>
      </c>
      <c r="I318" s="35">
        <v>753869</v>
      </c>
      <c r="J318" s="35" t="s">
        <v>90</v>
      </c>
      <c r="K318" s="35" t="s">
        <v>91</v>
      </c>
      <c r="L318" s="35" t="s">
        <v>17</v>
      </c>
      <c r="M318" s="35" t="s">
        <v>2</v>
      </c>
      <c r="N318" s="35" t="s">
        <v>92</v>
      </c>
      <c r="O318" s="35" t="s">
        <v>92</v>
      </c>
      <c r="P318" s="35">
        <v>0</v>
      </c>
      <c r="Q318" s="35">
        <v>1</v>
      </c>
      <c r="R318" s="35">
        <v>3200</v>
      </c>
      <c r="S318" s="35">
        <v>0</v>
      </c>
      <c r="T318" s="35">
        <v>0</v>
      </c>
      <c r="U318" s="35">
        <v>0</v>
      </c>
      <c r="V318" s="35">
        <v>0</v>
      </c>
      <c r="W318" s="35">
        <v>0</v>
      </c>
      <c r="X318" s="35">
        <v>0</v>
      </c>
      <c r="Y318" s="35">
        <v>0</v>
      </c>
      <c r="Z318" s="35">
        <v>3200</v>
      </c>
      <c r="AA318" s="39">
        <f t="shared" si="7"/>
        <v>2240</v>
      </c>
    </row>
    <row r="319" spans="7:27" x14ac:dyDescent="0.35">
      <c r="G319" s="27" t="s">
        <v>122</v>
      </c>
      <c r="H319" s="35">
        <v>753904</v>
      </c>
      <c r="I319" s="35">
        <v>753867</v>
      </c>
      <c r="J319" s="35" t="s">
        <v>90</v>
      </c>
      <c r="K319" s="35" t="s">
        <v>91</v>
      </c>
      <c r="L319" s="35" t="s">
        <v>19</v>
      </c>
      <c r="M319" s="35" t="s">
        <v>2</v>
      </c>
      <c r="N319" s="35" t="s">
        <v>92</v>
      </c>
      <c r="O319" s="35" t="s">
        <v>92</v>
      </c>
      <c r="P319" s="35">
        <v>0</v>
      </c>
      <c r="Q319" s="35">
        <v>1</v>
      </c>
      <c r="R319" s="35">
        <v>3200</v>
      </c>
      <c r="S319" s="35">
        <v>0</v>
      </c>
      <c r="T319" s="35">
        <v>0</v>
      </c>
      <c r="U319" s="35">
        <v>0</v>
      </c>
      <c r="V319" s="35">
        <v>0</v>
      </c>
      <c r="W319" s="35">
        <v>0</v>
      </c>
      <c r="X319" s="35">
        <v>0</v>
      </c>
      <c r="Y319" s="35">
        <v>0</v>
      </c>
      <c r="Z319" s="35">
        <v>3200</v>
      </c>
      <c r="AA319" s="39">
        <f t="shared" si="7"/>
        <v>2240</v>
      </c>
    </row>
    <row r="320" spans="7:27" x14ac:dyDescent="0.35">
      <c r="G320" s="27" t="s">
        <v>122</v>
      </c>
      <c r="H320" s="35">
        <v>753904</v>
      </c>
      <c r="I320" s="35">
        <v>753878</v>
      </c>
      <c r="J320" s="35" t="s">
        <v>90</v>
      </c>
      <c r="K320" s="35" t="s">
        <v>91</v>
      </c>
      <c r="L320" s="35" t="s">
        <v>8</v>
      </c>
      <c r="M320" s="35" t="s">
        <v>2</v>
      </c>
      <c r="N320" s="35" t="s">
        <v>92</v>
      </c>
      <c r="O320" s="35" t="s">
        <v>92</v>
      </c>
      <c r="P320" s="35">
        <v>0</v>
      </c>
      <c r="Q320" s="35">
        <v>1</v>
      </c>
      <c r="R320" s="35">
        <v>3200</v>
      </c>
      <c r="S320" s="35">
        <v>0</v>
      </c>
      <c r="T320" s="35">
        <v>0</v>
      </c>
      <c r="U320" s="35">
        <v>0</v>
      </c>
      <c r="V320" s="35">
        <v>0</v>
      </c>
      <c r="W320" s="35">
        <v>0</v>
      </c>
      <c r="X320" s="35">
        <v>0</v>
      </c>
      <c r="Y320" s="35">
        <v>0</v>
      </c>
      <c r="Z320" s="35">
        <v>3200</v>
      </c>
      <c r="AA320" s="39">
        <f t="shared" si="7"/>
        <v>2240</v>
      </c>
    </row>
    <row r="321" spans="7:27" x14ac:dyDescent="0.35">
      <c r="G321" s="27" t="s">
        <v>122</v>
      </c>
      <c r="H321" s="35">
        <v>753904</v>
      </c>
      <c r="I321" s="35">
        <v>753877</v>
      </c>
      <c r="J321" s="35" t="s">
        <v>90</v>
      </c>
      <c r="K321" s="35" t="s">
        <v>91</v>
      </c>
      <c r="L321" s="35" t="s">
        <v>9</v>
      </c>
      <c r="M321" s="35" t="s">
        <v>2</v>
      </c>
      <c r="N321" s="35" t="s">
        <v>92</v>
      </c>
      <c r="O321" s="35" t="s">
        <v>92</v>
      </c>
      <c r="P321" s="35">
        <v>0</v>
      </c>
      <c r="Q321" s="35">
        <v>1</v>
      </c>
      <c r="R321" s="35">
        <v>3200</v>
      </c>
      <c r="S321" s="35">
        <v>0</v>
      </c>
      <c r="T321" s="35">
        <v>0</v>
      </c>
      <c r="U321" s="35">
        <v>0</v>
      </c>
      <c r="V321" s="35">
        <v>0</v>
      </c>
      <c r="W321" s="35">
        <v>0</v>
      </c>
      <c r="X321" s="35">
        <v>0</v>
      </c>
      <c r="Y321" s="35">
        <v>0</v>
      </c>
      <c r="Z321" s="35">
        <v>3200</v>
      </c>
      <c r="AA321" s="39">
        <f t="shared" si="7"/>
        <v>2240</v>
      </c>
    </row>
    <row r="322" spans="7:27" x14ac:dyDescent="0.35">
      <c r="G322" s="27" t="s">
        <v>122</v>
      </c>
      <c r="H322" s="35">
        <v>753904</v>
      </c>
      <c r="I322" s="35">
        <v>753876</v>
      </c>
      <c r="J322" s="35" t="s">
        <v>90</v>
      </c>
      <c r="K322" s="35" t="s">
        <v>91</v>
      </c>
      <c r="L322" s="35" t="s">
        <v>13</v>
      </c>
      <c r="M322" s="35" t="s">
        <v>2</v>
      </c>
      <c r="N322" s="35" t="s">
        <v>92</v>
      </c>
      <c r="O322" s="35" t="s">
        <v>92</v>
      </c>
      <c r="P322" s="35">
        <v>0</v>
      </c>
      <c r="Q322" s="35">
        <v>1</v>
      </c>
      <c r="R322" s="35">
        <v>3200</v>
      </c>
      <c r="S322" s="35">
        <v>0</v>
      </c>
      <c r="T322" s="35">
        <v>0</v>
      </c>
      <c r="U322" s="35">
        <v>0</v>
      </c>
      <c r="V322" s="35">
        <v>0</v>
      </c>
      <c r="W322" s="35">
        <v>0</v>
      </c>
      <c r="X322" s="35">
        <v>0</v>
      </c>
      <c r="Y322" s="35">
        <v>0</v>
      </c>
      <c r="Z322" s="35">
        <v>3200</v>
      </c>
      <c r="AA322" s="39">
        <f t="shared" si="7"/>
        <v>2240</v>
      </c>
    </row>
    <row r="323" spans="7:27" x14ac:dyDescent="0.35">
      <c r="G323" s="27" t="s">
        <v>122</v>
      </c>
      <c r="H323" s="35">
        <v>753904</v>
      </c>
      <c r="I323" s="35">
        <v>753875</v>
      </c>
      <c r="J323" s="35" t="s">
        <v>90</v>
      </c>
      <c r="K323" s="35" t="s">
        <v>91</v>
      </c>
      <c r="L323" s="35" t="s">
        <v>14</v>
      </c>
      <c r="M323" s="35" t="s">
        <v>2</v>
      </c>
      <c r="N323" s="35" t="s">
        <v>92</v>
      </c>
      <c r="O323" s="35" t="s">
        <v>92</v>
      </c>
      <c r="P323" s="35">
        <v>0</v>
      </c>
      <c r="Q323" s="35">
        <v>1</v>
      </c>
      <c r="R323" s="35">
        <v>3200</v>
      </c>
      <c r="S323" s="35">
        <v>0</v>
      </c>
      <c r="T323" s="35">
        <v>0</v>
      </c>
      <c r="U323" s="35">
        <v>0</v>
      </c>
      <c r="V323" s="35">
        <v>0</v>
      </c>
      <c r="W323" s="35">
        <v>0</v>
      </c>
      <c r="X323" s="35">
        <v>0</v>
      </c>
      <c r="Y323" s="35">
        <v>0</v>
      </c>
      <c r="Z323" s="35">
        <v>3200</v>
      </c>
      <c r="AA323" s="39">
        <f t="shared" si="7"/>
        <v>2240</v>
      </c>
    </row>
    <row r="324" spans="7:27" x14ac:dyDescent="0.35">
      <c r="G324" s="27" t="s">
        <v>122</v>
      </c>
      <c r="H324" s="35">
        <v>753904</v>
      </c>
      <c r="I324" s="35">
        <v>753874</v>
      </c>
      <c r="J324" s="35" t="s">
        <v>90</v>
      </c>
      <c r="K324" s="35" t="s">
        <v>91</v>
      </c>
      <c r="L324" s="35" t="s">
        <v>16</v>
      </c>
      <c r="M324" s="35" t="s">
        <v>2</v>
      </c>
      <c r="N324" s="35" t="s">
        <v>92</v>
      </c>
      <c r="O324" s="35" t="s">
        <v>92</v>
      </c>
      <c r="P324" s="35">
        <v>0</v>
      </c>
      <c r="Q324" s="35">
        <v>1</v>
      </c>
      <c r="R324" s="35">
        <v>3200</v>
      </c>
      <c r="S324" s="35">
        <v>0</v>
      </c>
      <c r="T324" s="35">
        <v>0</v>
      </c>
      <c r="U324" s="35">
        <v>0</v>
      </c>
      <c r="V324" s="35">
        <v>0</v>
      </c>
      <c r="W324" s="35">
        <v>0</v>
      </c>
      <c r="X324" s="35">
        <v>0</v>
      </c>
      <c r="Y324" s="35">
        <v>0</v>
      </c>
      <c r="Z324" s="35">
        <v>3200</v>
      </c>
      <c r="AA324" s="39">
        <f t="shared" si="7"/>
        <v>2240</v>
      </c>
    </row>
    <row r="325" spans="7:27" x14ac:dyDescent="0.35">
      <c r="G325" s="27" t="s">
        <v>122</v>
      </c>
      <c r="H325" s="35">
        <v>753904</v>
      </c>
      <c r="I325" s="35">
        <v>753873</v>
      </c>
      <c r="J325" s="35" t="s">
        <v>90</v>
      </c>
      <c r="K325" s="35" t="s">
        <v>91</v>
      </c>
      <c r="L325" s="35" t="s">
        <v>12</v>
      </c>
      <c r="M325" s="35" t="s">
        <v>2</v>
      </c>
      <c r="N325" s="35" t="s">
        <v>92</v>
      </c>
      <c r="O325" s="35" t="s">
        <v>92</v>
      </c>
      <c r="P325" s="35">
        <v>0</v>
      </c>
      <c r="Q325" s="35">
        <v>1</v>
      </c>
      <c r="R325" s="35">
        <v>3200</v>
      </c>
      <c r="S325" s="35">
        <v>0</v>
      </c>
      <c r="T325" s="35">
        <v>0</v>
      </c>
      <c r="U325" s="35">
        <v>0</v>
      </c>
      <c r="V325" s="35">
        <v>0</v>
      </c>
      <c r="W325" s="35">
        <v>0</v>
      </c>
      <c r="X325" s="35">
        <v>0</v>
      </c>
      <c r="Y325" s="35">
        <v>0</v>
      </c>
      <c r="Z325" s="35">
        <v>3200</v>
      </c>
      <c r="AA325" s="39">
        <f t="shared" si="7"/>
        <v>2240</v>
      </c>
    </row>
    <row r="326" spans="7:27" x14ac:dyDescent="0.3">
      <c r="G326" s="43" t="s">
        <v>124</v>
      </c>
      <c r="H326" s="42">
        <v>753904</v>
      </c>
      <c r="I326" s="42">
        <v>753872</v>
      </c>
      <c r="J326" s="42" t="s">
        <v>90</v>
      </c>
      <c r="K326" s="42" t="s">
        <v>91</v>
      </c>
      <c r="L326" s="42" t="s">
        <v>11</v>
      </c>
      <c r="M326" s="42" t="s">
        <v>2</v>
      </c>
      <c r="N326" s="42" t="s">
        <v>92</v>
      </c>
      <c r="O326" s="42" t="s">
        <v>52</v>
      </c>
      <c r="P326" s="42">
        <v>0</v>
      </c>
      <c r="Q326" s="42">
        <v>0</v>
      </c>
      <c r="R326" s="42">
        <v>0</v>
      </c>
      <c r="S326" s="42">
        <v>4</v>
      </c>
      <c r="T326" s="42">
        <v>4</v>
      </c>
      <c r="U326" s="42">
        <v>5040</v>
      </c>
      <c r="V326" s="42">
        <v>0</v>
      </c>
      <c r="W326" s="42">
        <v>0</v>
      </c>
      <c r="X326" s="42">
        <v>0</v>
      </c>
      <c r="Y326" s="42">
        <v>0</v>
      </c>
      <c r="Z326" s="42">
        <v>5040</v>
      </c>
      <c r="AA326" s="42">
        <f t="shared" si="7"/>
        <v>3528</v>
      </c>
    </row>
    <row r="327" spans="7:27" x14ac:dyDescent="0.3">
      <c r="G327" s="43" t="s">
        <v>124</v>
      </c>
      <c r="H327" s="42">
        <v>753904</v>
      </c>
      <c r="I327" s="42">
        <v>753871</v>
      </c>
      <c r="J327" s="42" t="s">
        <v>90</v>
      </c>
      <c r="K327" s="42" t="s">
        <v>91</v>
      </c>
      <c r="L327" s="42" t="s">
        <v>10</v>
      </c>
      <c r="M327" s="42" t="s">
        <v>2</v>
      </c>
      <c r="N327" s="42" t="s">
        <v>92</v>
      </c>
      <c r="O327" s="42" t="s">
        <v>52</v>
      </c>
      <c r="P327" s="42">
        <v>0</v>
      </c>
      <c r="Q327" s="42">
        <v>0</v>
      </c>
      <c r="R327" s="42">
        <v>0</v>
      </c>
      <c r="S327" s="42">
        <v>2</v>
      </c>
      <c r="T327" s="42">
        <v>6</v>
      </c>
      <c r="U327" s="42">
        <v>5040</v>
      </c>
      <c r="V327" s="42">
        <v>0</v>
      </c>
      <c r="W327" s="42">
        <v>0</v>
      </c>
      <c r="X327" s="42">
        <v>0</v>
      </c>
      <c r="Y327" s="42">
        <v>0</v>
      </c>
      <c r="Z327" s="42">
        <v>5040</v>
      </c>
      <c r="AA327" s="42">
        <f t="shared" si="7"/>
        <v>3528</v>
      </c>
    </row>
    <row r="328" spans="7:27" x14ac:dyDescent="0.3">
      <c r="G328" s="43" t="s">
        <v>124</v>
      </c>
      <c r="H328" s="42">
        <v>753904</v>
      </c>
      <c r="I328" s="42">
        <v>753870</v>
      </c>
      <c r="J328" s="42" t="s">
        <v>90</v>
      </c>
      <c r="K328" s="42" t="s">
        <v>91</v>
      </c>
      <c r="L328" s="42" t="s">
        <v>15</v>
      </c>
      <c r="M328" s="42" t="s">
        <v>2</v>
      </c>
      <c r="N328" s="42" t="s">
        <v>92</v>
      </c>
      <c r="O328" s="42" t="s">
        <v>52</v>
      </c>
      <c r="P328" s="42">
        <v>0</v>
      </c>
      <c r="Q328" s="42">
        <v>0</v>
      </c>
      <c r="R328" s="42">
        <v>0</v>
      </c>
      <c r="S328" s="42">
        <v>3</v>
      </c>
      <c r="T328" s="42">
        <v>5</v>
      </c>
      <c r="U328" s="42">
        <v>5040</v>
      </c>
      <c r="V328" s="42">
        <v>0</v>
      </c>
      <c r="W328" s="42">
        <v>0</v>
      </c>
      <c r="X328" s="42">
        <v>0</v>
      </c>
      <c r="Y328" s="42">
        <v>0</v>
      </c>
      <c r="Z328" s="42">
        <v>5040</v>
      </c>
      <c r="AA328" s="42">
        <f t="shared" si="7"/>
        <v>3528</v>
      </c>
    </row>
    <row r="329" spans="7:27" x14ac:dyDescent="0.3">
      <c r="G329" s="43" t="s">
        <v>124</v>
      </c>
      <c r="H329" s="42">
        <v>753904</v>
      </c>
      <c r="I329" s="42">
        <v>753869</v>
      </c>
      <c r="J329" s="42" t="s">
        <v>90</v>
      </c>
      <c r="K329" s="42" t="s">
        <v>91</v>
      </c>
      <c r="L329" s="42" t="s">
        <v>17</v>
      </c>
      <c r="M329" s="42" t="s">
        <v>2</v>
      </c>
      <c r="N329" s="42" t="s">
        <v>92</v>
      </c>
      <c r="O329" s="42" t="s">
        <v>52</v>
      </c>
      <c r="P329" s="42">
        <v>0</v>
      </c>
      <c r="Q329" s="42">
        <v>0</v>
      </c>
      <c r="R329" s="42">
        <v>0</v>
      </c>
      <c r="S329" s="42">
        <v>4</v>
      </c>
      <c r="T329" s="42">
        <v>4</v>
      </c>
      <c r="U329" s="42">
        <v>5040</v>
      </c>
      <c r="V329" s="42">
        <v>0</v>
      </c>
      <c r="W329" s="42">
        <v>0</v>
      </c>
      <c r="X329" s="42">
        <v>0</v>
      </c>
      <c r="Y329" s="42">
        <v>0</v>
      </c>
      <c r="Z329" s="42">
        <v>5040</v>
      </c>
      <c r="AA329" s="42">
        <f t="shared" si="7"/>
        <v>3528</v>
      </c>
    </row>
    <row r="330" spans="7:27" x14ac:dyDescent="0.3">
      <c r="G330" s="43" t="s">
        <v>124</v>
      </c>
      <c r="H330" s="42">
        <v>753904</v>
      </c>
      <c r="I330" s="42">
        <v>753868</v>
      </c>
      <c r="J330" s="42" t="s">
        <v>90</v>
      </c>
      <c r="K330" s="42" t="s">
        <v>91</v>
      </c>
      <c r="L330" s="42" t="s">
        <v>18</v>
      </c>
      <c r="M330" s="42" t="s">
        <v>2</v>
      </c>
      <c r="N330" s="42" t="s">
        <v>92</v>
      </c>
      <c r="O330" s="42" t="s">
        <v>52</v>
      </c>
      <c r="P330" s="42">
        <v>0</v>
      </c>
      <c r="Q330" s="42">
        <v>0</v>
      </c>
      <c r="R330" s="42">
        <v>0</v>
      </c>
      <c r="S330" s="42">
        <v>3</v>
      </c>
      <c r="T330" s="42">
        <v>5</v>
      </c>
      <c r="U330" s="42">
        <v>5040</v>
      </c>
      <c r="V330" s="42">
        <v>0</v>
      </c>
      <c r="W330" s="42">
        <v>0</v>
      </c>
      <c r="X330" s="42">
        <v>0</v>
      </c>
      <c r="Y330" s="42">
        <v>0</v>
      </c>
      <c r="Z330" s="42">
        <v>5040</v>
      </c>
      <c r="AA330" s="42">
        <f t="shared" si="7"/>
        <v>3528</v>
      </c>
    </row>
    <row r="331" spans="7:27" x14ac:dyDescent="0.3">
      <c r="G331" s="43" t="s">
        <v>124</v>
      </c>
      <c r="H331" s="42">
        <v>753904</v>
      </c>
      <c r="I331" s="42">
        <v>753867</v>
      </c>
      <c r="J331" s="42" t="s">
        <v>90</v>
      </c>
      <c r="K331" s="42" t="s">
        <v>91</v>
      </c>
      <c r="L331" s="42" t="s">
        <v>19</v>
      </c>
      <c r="M331" s="42" t="s">
        <v>2</v>
      </c>
      <c r="N331" s="42" t="s">
        <v>92</v>
      </c>
      <c r="O331" s="42" t="s">
        <v>52</v>
      </c>
      <c r="P331" s="42">
        <v>0</v>
      </c>
      <c r="Q331" s="42">
        <v>0</v>
      </c>
      <c r="R331" s="42">
        <v>0</v>
      </c>
      <c r="S331" s="42">
        <v>2</v>
      </c>
      <c r="T331" s="42">
        <v>6</v>
      </c>
      <c r="U331" s="42">
        <v>5040</v>
      </c>
      <c r="V331" s="42">
        <v>0</v>
      </c>
      <c r="W331" s="42">
        <v>0</v>
      </c>
      <c r="X331" s="42">
        <v>0</v>
      </c>
      <c r="Y331" s="42">
        <v>0</v>
      </c>
      <c r="Z331" s="42">
        <v>5040</v>
      </c>
      <c r="AA331" s="42">
        <f t="shared" si="7"/>
        <v>3528</v>
      </c>
    </row>
    <row r="332" spans="7:27" x14ac:dyDescent="0.3">
      <c r="G332" s="43" t="s">
        <v>124</v>
      </c>
      <c r="H332" s="42">
        <v>753904</v>
      </c>
      <c r="I332" s="42">
        <v>753881</v>
      </c>
      <c r="J332" s="42" t="s">
        <v>90</v>
      </c>
      <c r="K332" s="42" t="s">
        <v>91</v>
      </c>
      <c r="L332" s="42" t="s">
        <v>109</v>
      </c>
      <c r="M332" s="42" t="s">
        <v>2</v>
      </c>
      <c r="N332" s="42" t="s">
        <v>92</v>
      </c>
      <c r="O332" s="42" t="s">
        <v>52</v>
      </c>
      <c r="P332" s="42">
        <v>0</v>
      </c>
      <c r="Q332" s="42">
        <v>0</v>
      </c>
      <c r="R332" s="42">
        <v>0</v>
      </c>
      <c r="S332" s="42">
        <v>6</v>
      </c>
      <c r="T332" s="42">
        <v>7</v>
      </c>
      <c r="U332" s="42">
        <v>152460</v>
      </c>
      <c r="V332" s="42">
        <v>0</v>
      </c>
      <c r="W332" s="42">
        <v>0</v>
      </c>
      <c r="X332" s="42">
        <v>0</v>
      </c>
      <c r="Y332" s="42">
        <v>0</v>
      </c>
      <c r="Z332" s="42">
        <v>152460</v>
      </c>
      <c r="AA332" s="42">
        <f t="shared" si="7"/>
        <v>106722</v>
      </c>
    </row>
    <row r="333" spans="7:27" x14ac:dyDescent="0.3">
      <c r="G333" s="43" t="s">
        <v>124</v>
      </c>
      <c r="H333" s="42">
        <v>753904</v>
      </c>
      <c r="I333" s="42">
        <v>753880</v>
      </c>
      <c r="J333" s="42" t="s">
        <v>90</v>
      </c>
      <c r="K333" s="42" t="s">
        <v>91</v>
      </c>
      <c r="L333" s="42" t="s">
        <v>109</v>
      </c>
      <c r="M333" s="42" t="s">
        <v>2</v>
      </c>
      <c r="N333" s="42" t="s">
        <v>92</v>
      </c>
      <c r="O333" s="42" t="s">
        <v>52</v>
      </c>
      <c r="P333" s="42">
        <v>0</v>
      </c>
      <c r="Q333" s="42">
        <v>0</v>
      </c>
      <c r="R333" s="42">
        <v>0</v>
      </c>
      <c r="S333" s="42">
        <v>7</v>
      </c>
      <c r="T333" s="42">
        <v>12</v>
      </c>
      <c r="U333" s="42">
        <v>220500</v>
      </c>
      <c r="V333" s="42">
        <v>0</v>
      </c>
      <c r="W333" s="42">
        <v>0</v>
      </c>
      <c r="X333" s="42">
        <v>0</v>
      </c>
      <c r="Y333" s="42">
        <v>0</v>
      </c>
      <c r="Z333" s="42">
        <v>220500</v>
      </c>
      <c r="AA333" s="42">
        <f t="shared" si="7"/>
        <v>154350</v>
      </c>
    </row>
    <row r="334" spans="7:27" x14ac:dyDescent="0.3">
      <c r="G334" s="43" t="s">
        <v>124</v>
      </c>
      <c r="H334" s="42">
        <v>753904</v>
      </c>
      <c r="I334" s="42">
        <v>753880</v>
      </c>
      <c r="J334" s="42" t="s">
        <v>90</v>
      </c>
      <c r="K334" s="42" t="s">
        <v>91</v>
      </c>
      <c r="L334" s="42" t="s">
        <v>6</v>
      </c>
      <c r="M334" s="42" t="s">
        <v>2</v>
      </c>
      <c r="N334" s="42" t="s">
        <v>92</v>
      </c>
      <c r="O334" s="42" t="s">
        <v>52</v>
      </c>
      <c r="P334" s="42">
        <v>0</v>
      </c>
      <c r="Q334" s="42">
        <v>0</v>
      </c>
      <c r="R334" s="42">
        <v>0</v>
      </c>
      <c r="S334" s="42">
        <v>6</v>
      </c>
      <c r="T334" s="42">
        <v>5</v>
      </c>
      <c r="U334" s="42">
        <v>6930</v>
      </c>
      <c r="V334" s="42">
        <v>0</v>
      </c>
      <c r="W334" s="42">
        <v>0</v>
      </c>
      <c r="X334" s="42">
        <v>0</v>
      </c>
      <c r="Y334" s="42">
        <v>0</v>
      </c>
      <c r="Z334" s="42">
        <v>6930</v>
      </c>
      <c r="AA334" s="42">
        <f t="shared" si="7"/>
        <v>4851</v>
      </c>
    </row>
    <row r="335" spans="7:27" x14ac:dyDescent="0.3">
      <c r="G335" s="43" t="s">
        <v>124</v>
      </c>
      <c r="H335" s="42">
        <v>753904</v>
      </c>
      <c r="I335" s="42">
        <v>753879</v>
      </c>
      <c r="J335" s="42" t="s">
        <v>90</v>
      </c>
      <c r="K335" s="42" t="s">
        <v>91</v>
      </c>
      <c r="L335" s="42" t="s">
        <v>7</v>
      </c>
      <c r="M335" s="42" t="s">
        <v>2</v>
      </c>
      <c r="N335" s="42" t="s">
        <v>92</v>
      </c>
      <c r="O335" s="42" t="s">
        <v>52</v>
      </c>
      <c r="P335" s="42">
        <v>0</v>
      </c>
      <c r="Q335" s="42">
        <v>0</v>
      </c>
      <c r="R335" s="42">
        <v>0</v>
      </c>
      <c r="S335" s="42">
        <v>6</v>
      </c>
      <c r="T335" s="42">
        <v>6</v>
      </c>
      <c r="U335" s="42">
        <v>7560</v>
      </c>
      <c r="V335" s="42">
        <v>0</v>
      </c>
      <c r="W335" s="42">
        <v>0</v>
      </c>
      <c r="X335" s="42">
        <v>0</v>
      </c>
      <c r="Y335" s="42">
        <v>0</v>
      </c>
      <c r="Z335" s="42">
        <v>7560</v>
      </c>
      <c r="AA335" s="42">
        <f t="shared" si="7"/>
        <v>5292</v>
      </c>
    </row>
    <row r="336" spans="7:27" x14ac:dyDescent="0.3">
      <c r="G336" s="43" t="s">
        <v>124</v>
      </c>
      <c r="H336" s="42">
        <v>753904</v>
      </c>
      <c r="I336" s="42">
        <v>753878</v>
      </c>
      <c r="J336" s="42" t="s">
        <v>90</v>
      </c>
      <c r="K336" s="42" t="s">
        <v>91</v>
      </c>
      <c r="L336" s="42" t="s">
        <v>8</v>
      </c>
      <c r="M336" s="42" t="s">
        <v>2</v>
      </c>
      <c r="N336" s="42" t="s">
        <v>92</v>
      </c>
      <c r="O336" s="42" t="s">
        <v>52</v>
      </c>
      <c r="P336" s="42">
        <v>0</v>
      </c>
      <c r="Q336" s="42">
        <v>0</v>
      </c>
      <c r="R336" s="42">
        <v>0</v>
      </c>
      <c r="S336" s="42">
        <v>5</v>
      </c>
      <c r="T336" s="42">
        <v>7</v>
      </c>
      <c r="U336" s="42">
        <v>7560</v>
      </c>
      <c r="V336" s="42">
        <v>0</v>
      </c>
      <c r="W336" s="42">
        <v>0</v>
      </c>
      <c r="X336" s="42">
        <v>0</v>
      </c>
      <c r="Y336" s="42">
        <v>0</v>
      </c>
      <c r="Z336" s="42">
        <v>7560</v>
      </c>
      <c r="AA336" s="42">
        <f t="shared" si="7"/>
        <v>5292</v>
      </c>
    </row>
    <row r="337" spans="7:27" x14ac:dyDescent="0.3">
      <c r="G337" s="43" t="s">
        <v>124</v>
      </c>
      <c r="H337" s="42">
        <v>753904</v>
      </c>
      <c r="I337" s="42">
        <v>753877</v>
      </c>
      <c r="J337" s="42" t="s">
        <v>90</v>
      </c>
      <c r="K337" s="42" t="s">
        <v>91</v>
      </c>
      <c r="L337" s="42" t="s">
        <v>9</v>
      </c>
      <c r="M337" s="42" t="s">
        <v>2</v>
      </c>
      <c r="N337" s="42" t="s">
        <v>92</v>
      </c>
      <c r="O337" s="42" t="s">
        <v>52</v>
      </c>
      <c r="P337" s="42">
        <v>0</v>
      </c>
      <c r="Q337" s="42">
        <v>0</v>
      </c>
      <c r="R337" s="42">
        <v>0</v>
      </c>
      <c r="S337" s="42">
        <v>5</v>
      </c>
      <c r="T337" s="42">
        <v>7</v>
      </c>
      <c r="U337" s="42">
        <v>7560</v>
      </c>
      <c r="V337" s="42">
        <v>0</v>
      </c>
      <c r="W337" s="42">
        <v>0</v>
      </c>
      <c r="X337" s="42">
        <v>0</v>
      </c>
      <c r="Y337" s="42">
        <v>0</v>
      </c>
      <c r="Z337" s="42">
        <v>7560</v>
      </c>
      <c r="AA337" s="42">
        <f t="shared" si="7"/>
        <v>5292</v>
      </c>
    </row>
    <row r="338" spans="7:27" x14ac:dyDescent="0.3">
      <c r="G338" s="43" t="s">
        <v>124</v>
      </c>
      <c r="H338" s="42">
        <v>753904</v>
      </c>
      <c r="I338" s="42">
        <v>753876</v>
      </c>
      <c r="J338" s="42" t="s">
        <v>90</v>
      </c>
      <c r="K338" s="42" t="s">
        <v>91</v>
      </c>
      <c r="L338" s="42" t="s">
        <v>13</v>
      </c>
      <c r="M338" s="42" t="s">
        <v>2</v>
      </c>
      <c r="N338" s="42" t="s">
        <v>92</v>
      </c>
      <c r="O338" s="42" t="s">
        <v>52</v>
      </c>
      <c r="P338" s="42">
        <v>0</v>
      </c>
      <c r="Q338" s="42">
        <v>0</v>
      </c>
      <c r="R338" s="42">
        <v>0</v>
      </c>
      <c r="S338" s="42">
        <v>5</v>
      </c>
      <c r="T338" s="42">
        <v>4</v>
      </c>
      <c r="U338" s="42">
        <v>5670</v>
      </c>
      <c r="V338" s="42">
        <v>0</v>
      </c>
      <c r="W338" s="42">
        <v>0</v>
      </c>
      <c r="X338" s="42">
        <v>0</v>
      </c>
      <c r="Y338" s="42">
        <v>0</v>
      </c>
      <c r="Z338" s="42">
        <v>5670</v>
      </c>
      <c r="AA338" s="42">
        <f t="shared" si="7"/>
        <v>3968.9999999999995</v>
      </c>
    </row>
    <row r="339" spans="7:27" x14ac:dyDescent="0.3">
      <c r="G339" s="43" t="s">
        <v>124</v>
      </c>
      <c r="H339" s="42">
        <v>753904</v>
      </c>
      <c r="I339" s="42">
        <v>753875</v>
      </c>
      <c r="J339" s="42" t="s">
        <v>90</v>
      </c>
      <c r="K339" s="42" t="s">
        <v>91</v>
      </c>
      <c r="L339" s="42" t="s">
        <v>14</v>
      </c>
      <c r="M339" s="42" t="s">
        <v>2</v>
      </c>
      <c r="N339" s="42" t="s">
        <v>92</v>
      </c>
      <c r="O339" s="42" t="s">
        <v>52</v>
      </c>
      <c r="P339" s="42">
        <v>0</v>
      </c>
      <c r="Q339" s="42">
        <v>0</v>
      </c>
      <c r="R339" s="42">
        <v>0</v>
      </c>
      <c r="S339" s="42">
        <v>4</v>
      </c>
      <c r="T339" s="42">
        <v>5</v>
      </c>
      <c r="U339" s="42">
        <v>5670</v>
      </c>
      <c r="V339" s="42">
        <v>0</v>
      </c>
      <c r="W339" s="42">
        <v>0</v>
      </c>
      <c r="X339" s="42">
        <v>0</v>
      </c>
      <c r="Y339" s="42">
        <v>0</v>
      </c>
      <c r="Z339" s="42">
        <v>5670</v>
      </c>
      <c r="AA339" s="42">
        <f t="shared" si="7"/>
        <v>3968.9999999999995</v>
      </c>
    </row>
    <row r="340" spans="7:27" x14ac:dyDescent="0.3">
      <c r="G340" s="43" t="s">
        <v>124</v>
      </c>
      <c r="H340" s="42">
        <v>753904</v>
      </c>
      <c r="I340" s="42">
        <v>753874</v>
      </c>
      <c r="J340" s="42" t="s">
        <v>90</v>
      </c>
      <c r="K340" s="42" t="s">
        <v>91</v>
      </c>
      <c r="L340" s="42" t="s">
        <v>16</v>
      </c>
      <c r="M340" s="42" t="s">
        <v>2</v>
      </c>
      <c r="N340" s="42" t="s">
        <v>92</v>
      </c>
      <c r="O340" s="42" t="s">
        <v>52</v>
      </c>
      <c r="P340" s="42">
        <v>0</v>
      </c>
      <c r="Q340" s="42">
        <v>0</v>
      </c>
      <c r="R340" s="42">
        <v>0</v>
      </c>
      <c r="S340" s="42">
        <v>5</v>
      </c>
      <c r="T340" s="42">
        <v>3</v>
      </c>
      <c r="U340" s="42">
        <v>5040</v>
      </c>
      <c r="V340" s="42">
        <v>0</v>
      </c>
      <c r="W340" s="42">
        <v>0</v>
      </c>
      <c r="X340" s="42">
        <v>0</v>
      </c>
      <c r="Y340" s="42">
        <v>0</v>
      </c>
      <c r="Z340" s="42">
        <v>5040</v>
      </c>
      <c r="AA340" s="42">
        <f t="shared" si="7"/>
        <v>3528</v>
      </c>
    </row>
    <row r="341" spans="7:27" x14ac:dyDescent="0.3">
      <c r="G341" s="43" t="s">
        <v>124</v>
      </c>
      <c r="H341" s="42">
        <v>753904</v>
      </c>
      <c r="I341" s="42">
        <v>753873</v>
      </c>
      <c r="J341" s="42" t="s">
        <v>90</v>
      </c>
      <c r="K341" s="42" t="s">
        <v>91</v>
      </c>
      <c r="L341" s="42" t="s">
        <v>12</v>
      </c>
      <c r="M341" s="42" t="s">
        <v>2</v>
      </c>
      <c r="N341" s="42" t="s">
        <v>92</v>
      </c>
      <c r="O341" s="42" t="s">
        <v>52</v>
      </c>
      <c r="P341" s="42">
        <v>0</v>
      </c>
      <c r="Q341" s="42">
        <v>0</v>
      </c>
      <c r="R341" s="42">
        <v>0</v>
      </c>
      <c r="S341" s="42">
        <v>3</v>
      </c>
      <c r="T341" s="42">
        <v>4</v>
      </c>
      <c r="U341" s="42">
        <v>4410</v>
      </c>
      <c r="V341" s="42">
        <v>0</v>
      </c>
      <c r="W341" s="42">
        <v>0</v>
      </c>
      <c r="X341" s="42">
        <v>0</v>
      </c>
      <c r="Y341" s="42">
        <v>0</v>
      </c>
      <c r="Z341" s="42">
        <v>4410</v>
      </c>
      <c r="AA341" s="42">
        <f t="shared" si="7"/>
        <v>3087</v>
      </c>
    </row>
  </sheetData>
  <mergeCells count="1">
    <mergeCell ref="D1:E1"/>
  </mergeCells>
  <phoneticPr fontId="3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판무림5(로드오브머니)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박주연(웹소설사업팀)</dc:creator>
  <cp:lastModifiedBy>storywiz</cp:lastModifiedBy>
  <dcterms:created xsi:type="dcterms:W3CDTF">2020-03-09T05:04:49Z</dcterms:created>
  <dcterms:modified xsi:type="dcterms:W3CDTF">2022-05-30T06:23:20Z</dcterms:modified>
</cp:coreProperties>
</file>