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"/>
    </mc:Choice>
  </mc:AlternateContent>
  <bookViews>
    <workbookView xWindow="20004" yWindow="0" windowWidth="18228" windowHeight="8076" tabRatio="845"/>
  </bookViews>
  <sheets>
    <sheet name="전체 (4)" sheetId="212" r:id="rId1"/>
  </sheets>
  <definedNames>
    <definedName name="_xlnm._FilterDatabase" localSheetId="0" hidden="1">'전체 (4)'!$A$1:$BA$1</definedName>
    <definedName name="_xlnm.Extract" localSheetId="0">'전체 (4)'!#REF!</definedName>
  </definedNames>
  <calcPr calcId="152511"/>
</workbook>
</file>

<file path=xl/calcChain.xml><?xml version="1.0" encoding="utf-8"?>
<calcChain xmlns="http://schemas.openxmlformats.org/spreadsheetml/2006/main">
  <c r="AP524" i="212" l="1"/>
  <c r="AV523" i="212"/>
  <c r="AT523" i="212"/>
  <c r="AR523" i="212"/>
  <c r="I523" i="212"/>
  <c r="H523" i="212"/>
  <c r="E523" i="212"/>
  <c r="D523" i="212"/>
  <c r="C523" i="212"/>
  <c r="AV522" i="212"/>
  <c r="AT522" i="212"/>
  <c r="I522" i="212"/>
  <c r="H522" i="212"/>
  <c r="G522" i="212"/>
  <c r="E522" i="212"/>
  <c r="D522" i="212"/>
  <c r="C522" i="212"/>
  <c r="AV521" i="212"/>
  <c r="AT521" i="212"/>
  <c r="AR521" i="212"/>
  <c r="I521" i="212"/>
  <c r="H521" i="212"/>
  <c r="G521" i="212"/>
  <c r="E521" i="212"/>
  <c r="D521" i="212"/>
  <c r="C521" i="212"/>
  <c r="AV520" i="212"/>
  <c r="AT520" i="212"/>
  <c r="AR520" i="212"/>
  <c r="I520" i="212"/>
  <c r="H520" i="212"/>
  <c r="G520" i="212"/>
  <c r="E520" i="212"/>
  <c r="D520" i="212"/>
  <c r="C520" i="212"/>
  <c r="AV519" i="212"/>
  <c r="AT519" i="212"/>
  <c r="I519" i="212"/>
  <c r="H519" i="212"/>
  <c r="G519" i="212"/>
  <c r="E519" i="212"/>
  <c r="D519" i="212"/>
  <c r="C519" i="212"/>
  <c r="AV518" i="212"/>
  <c r="AT518" i="212"/>
  <c r="AR518" i="212"/>
  <c r="I518" i="212"/>
  <c r="H518" i="212"/>
  <c r="G518" i="212"/>
  <c r="E518" i="212"/>
  <c r="D518" i="212"/>
  <c r="C518" i="212"/>
  <c r="AV517" i="212"/>
  <c r="AT517" i="212"/>
  <c r="AR517" i="212"/>
  <c r="I517" i="212"/>
  <c r="H517" i="212"/>
  <c r="G517" i="212"/>
  <c r="E517" i="212"/>
  <c r="D517" i="212"/>
  <c r="C517" i="212"/>
  <c r="AV516" i="212"/>
  <c r="AT516" i="212"/>
  <c r="AR516" i="212"/>
  <c r="I516" i="212"/>
  <c r="H516" i="212"/>
  <c r="E516" i="212"/>
  <c r="D516" i="212"/>
  <c r="C516" i="212"/>
  <c r="AV515" i="212"/>
  <c r="AT515" i="212"/>
  <c r="AR515" i="212"/>
  <c r="I515" i="212"/>
  <c r="H515" i="212"/>
  <c r="G515" i="212"/>
  <c r="E515" i="212"/>
  <c r="D515" i="212"/>
  <c r="C515" i="212"/>
  <c r="AV514" i="212"/>
  <c r="AT514" i="212"/>
  <c r="I514" i="212"/>
  <c r="H514" i="212"/>
  <c r="E514" i="212"/>
  <c r="D514" i="212"/>
  <c r="C514" i="212"/>
  <c r="AV513" i="212"/>
  <c r="AT513" i="212"/>
  <c r="AR513" i="212"/>
  <c r="I513" i="212"/>
  <c r="H513" i="212"/>
  <c r="G513" i="212"/>
  <c r="E513" i="212"/>
  <c r="D513" i="212"/>
  <c r="C513" i="212"/>
  <c r="AV512" i="212"/>
  <c r="AT512" i="212"/>
  <c r="AR512" i="212"/>
  <c r="I512" i="212"/>
  <c r="H512" i="212"/>
  <c r="G512" i="212"/>
  <c r="E512" i="212"/>
  <c r="D512" i="212"/>
  <c r="C512" i="212"/>
  <c r="AV511" i="212"/>
  <c r="AT511" i="212"/>
  <c r="AR511" i="212"/>
  <c r="I511" i="212"/>
  <c r="H511" i="212"/>
  <c r="G511" i="212"/>
  <c r="E511" i="212"/>
  <c r="D511" i="212"/>
  <c r="C511" i="212"/>
  <c r="AV510" i="212"/>
  <c r="AT510" i="212"/>
  <c r="AR510" i="212"/>
  <c r="I510" i="212"/>
  <c r="H510" i="212"/>
  <c r="G510" i="212"/>
  <c r="E510" i="212"/>
  <c r="D510" i="212"/>
  <c r="C510" i="212"/>
  <c r="AV509" i="212"/>
  <c r="AT509" i="212"/>
  <c r="AR509" i="212"/>
  <c r="I509" i="212"/>
  <c r="H509" i="212"/>
  <c r="G509" i="212"/>
  <c r="E509" i="212"/>
  <c r="D509" i="212"/>
  <c r="C509" i="212"/>
  <c r="AV508" i="212"/>
  <c r="AT508" i="212"/>
  <c r="I508" i="212"/>
  <c r="H508" i="212"/>
  <c r="G508" i="212"/>
  <c r="E508" i="212"/>
  <c r="D508" i="212"/>
  <c r="C508" i="212"/>
  <c r="AV507" i="212"/>
  <c r="AT507" i="212"/>
  <c r="AR507" i="212"/>
  <c r="I507" i="212"/>
  <c r="H507" i="212"/>
  <c r="G507" i="212"/>
  <c r="E507" i="212"/>
  <c r="D507" i="212"/>
  <c r="C507" i="212"/>
  <c r="AV506" i="212"/>
  <c r="AT506" i="212"/>
  <c r="AR506" i="212"/>
  <c r="I506" i="212"/>
  <c r="H506" i="212"/>
  <c r="G506" i="212"/>
  <c r="E506" i="212"/>
  <c r="D506" i="212"/>
  <c r="C506" i="212"/>
  <c r="AV505" i="212"/>
  <c r="AT505" i="212"/>
  <c r="I505" i="212"/>
  <c r="H505" i="212"/>
  <c r="E505" i="212"/>
  <c r="D505" i="212"/>
  <c r="C505" i="212"/>
  <c r="AV504" i="212"/>
  <c r="AT504" i="212"/>
  <c r="I504" i="212"/>
  <c r="H504" i="212"/>
  <c r="G504" i="212"/>
  <c r="E504" i="212"/>
  <c r="D504" i="212"/>
  <c r="C504" i="212"/>
  <c r="AV503" i="212"/>
  <c r="AT503" i="212"/>
  <c r="AR503" i="212"/>
  <c r="I503" i="212"/>
  <c r="H503" i="212"/>
  <c r="G503" i="212"/>
  <c r="E503" i="212"/>
  <c r="D503" i="212"/>
  <c r="C503" i="212"/>
  <c r="AV502" i="212"/>
  <c r="AT502" i="212"/>
  <c r="AR502" i="212"/>
  <c r="I502" i="212"/>
  <c r="H502" i="212"/>
  <c r="G502" i="212"/>
  <c r="E502" i="212"/>
  <c r="D502" i="212"/>
  <c r="C502" i="212"/>
  <c r="AV501" i="212"/>
  <c r="AT501" i="212"/>
  <c r="AR501" i="212"/>
  <c r="I501" i="212"/>
  <c r="H501" i="212"/>
  <c r="G501" i="212"/>
  <c r="E501" i="212"/>
  <c r="D501" i="212"/>
  <c r="C501" i="212"/>
  <c r="AV500" i="212"/>
  <c r="AT500" i="212"/>
  <c r="I500" i="212"/>
  <c r="H500" i="212"/>
  <c r="G500" i="212"/>
  <c r="E500" i="212"/>
  <c r="D500" i="212"/>
  <c r="C500" i="212"/>
  <c r="AV499" i="212"/>
  <c r="AT499" i="212"/>
  <c r="AR499" i="212"/>
  <c r="I499" i="212"/>
  <c r="H499" i="212"/>
  <c r="G499" i="212"/>
  <c r="E499" i="212"/>
  <c r="D499" i="212"/>
  <c r="C499" i="212"/>
  <c r="AV498" i="212"/>
  <c r="AT498" i="212"/>
  <c r="AR498" i="212"/>
  <c r="I498" i="212"/>
  <c r="H498" i="212"/>
  <c r="G498" i="212"/>
  <c r="E498" i="212"/>
  <c r="D498" i="212"/>
  <c r="C498" i="212"/>
  <c r="AV497" i="212"/>
  <c r="AT497" i="212"/>
  <c r="I497" i="212"/>
  <c r="H497" i="212"/>
  <c r="G497" i="212"/>
  <c r="E497" i="212"/>
  <c r="D497" i="212"/>
  <c r="C497" i="212"/>
  <c r="AV496" i="212"/>
  <c r="AT496" i="212"/>
  <c r="AR496" i="212"/>
  <c r="I496" i="212"/>
  <c r="H496" i="212"/>
  <c r="G496" i="212"/>
  <c r="E496" i="212"/>
  <c r="D496" i="212"/>
  <c r="C496" i="212"/>
  <c r="AV495" i="212"/>
  <c r="AT495" i="212"/>
  <c r="AR495" i="212"/>
  <c r="I495" i="212"/>
  <c r="H495" i="212"/>
  <c r="G495" i="212"/>
  <c r="E495" i="212"/>
  <c r="D495" i="212"/>
  <c r="C495" i="212"/>
  <c r="AV494" i="212"/>
  <c r="AT494" i="212"/>
  <c r="I494" i="212"/>
  <c r="H494" i="212"/>
  <c r="E494" i="212"/>
  <c r="D494" i="212"/>
  <c r="C494" i="212"/>
  <c r="AV493" i="212"/>
  <c r="AT493" i="212"/>
  <c r="AR493" i="212"/>
  <c r="I493" i="212"/>
  <c r="H493" i="212"/>
  <c r="G493" i="212"/>
  <c r="E493" i="212"/>
  <c r="D493" i="212"/>
  <c r="C493" i="212"/>
  <c r="AV492" i="212"/>
  <c r="AT492" i="212"/>
  <c r="AR492" i="212"/>
  <c r="I492" i="212"/>
  <c r="H492" i="212"/>
  <c r="G492" i="212"/>
  <c r="E492" i="212"/>
  <c r="D492" i="212"/>
  <c r="C492" i="212"/>
  <c r="AV491" i="212"/>
  <c r="AT491" i="212"/>
  <c r="AR491" i="212"/>
  <c r="I491" i="212"/>
  <c r="H491" i="212"/>
  <c r="E491" i="212"/>
  <c r="D491" i="212"/>
  <c r="C491" i="212"/>
  <c r="AV490" i="212"/>
  <c r="AT490" i="212"/>
  <c r="AR490" i="212"/>
  <c r="I490" i="212"/>
  <c r="H490" i="212"/>
  <c r="E490" i="212"/>
  <c r="D490" i="212"/>
  <c r="C490" i="212"/>
  <c r="AV489" i="212"/>
  <c r="AT489" i="212"/>
  <c r="AR489" i="212"/>
  <c r="I489" i="212"/>
  <c r="H489" i="212"/>
  <c r="G489" i="212"/>
  <c r="E489" i="212"/>
  <c r="D489" i="212"/>
  <c r="C489" i="212"/>
  <c r="AV488" i="212"/>
  <c r="AT488" i="212"/>
  <c r="AR488" i="212"/>
  <c r="I488" i="212"/>
  <c r="H488" i="212"/>
  <c r="G488" i="212"/>
  <c r="E488" i="212"/>
  <c r="D488" i="212"/>
  <c r="C488" i="212"/>
  <c r="AV487" i="212"/>
  <c r="AT487" i="212"/>
  <c r="AR487" i="212"/>
  <c r="I487" i="212"/>
  <c r="H487" i="212"/>
  <c r="E487" i="212"/>
  <c r="D487" i="212"/>
  <c r="C487" i="212"/>
  <c r="AV486" i="212"/>
  <c r="AT486" i="212"/>
  <c r="AR486" i="212"/>
  <c r="I486" i="212"/>
  <c r="H486" i="212"/>
  <c r="E486" i="212"/>
  <c r="D486" i="212"/>
  <c r="C486" i="212"/>
  <c r="AV485" i="212"/>
  <c r="AT485" i="212"/>
  <c r="I485" i="212"/>
  <c r="H485" i="212"/>
  <c r="G485" i="212"/>
  <c r="E485" i="212"/>
  <c r="D485" i="212"/>
  <c r="C485" i="212"/>
  <c r="AV484" i="212"/>
  <c r="AT484" i="212"/>
  <c r="AR484" i="212"/>
  <c r="I484" i="212"/>
  <c r="H484" i="212"/>
  <c r="G484" i="212"/>
  <c r="E484" i="212"/>
  <c r="D484" i="212"/>
  <c r="C484" i="212"/>
  <c r="AV483" i="212"/>
  <c r="AT483" i="212"/>
  <c r="AR483" i="212"/>
  <c r="I483" i="212"/>
  <c r="H483" i="212"/>
  <c r="G483" i="212"/>
  <c r="E483" i="212"/>
  <c r="D483" i="212"/>
  <c r="C483" i="212"/>
  <c r="AV482" i="212"/>
  <c r="AT482" i="212"/>
  <c r="AR482" i="212"/>
  <c r="I482" i="212"/>
  <c r="H482" i="212"/>
  <c r="G482" i="212"/>
  <c r="E482" i="212"/>
  <c r="D482" i="212"/>
  <c r="C482" i="212"/>
  <c r="AV481" i="212"/>
  <c r="AT481" i="212"/>
  <c r="AR481" i="212"/>
  <c r="I481" i="212"/>
  <c r="H481" i="212"/>
  <c r="G481" i="212"/>
  <c r="E481" i="212"/>
  <c r="D481" i="212"/>
  <c r="C481" i="212"/>
  <c r="AV480" i="212"/>
  <c r="AT480" i="212"/>
  <c r="I480" i="212"/>
  <c r="H480" i="212"/>
  <c r="G480" i="212"/>
  <c r="E480" i="212"/>
  <c r="D480" i="212"/>
  <c r="C480" i="212"/>
  <c r="AV479" i="212"/>
  <c r="AT479" i="212"/>
  <c r="AR479" i="212"/>
  <c r="I479" i="212"/>
  <c r="H479" i="212"/>
  <c r="G479" i="212"/>
  <c r="E479" i="212"/>
  <c r="D479" i="212"/>
  <c r="C479" i="212"/>
  <c r="AV478" i="212"/>
  <c r="AT478" i="212"/>
  <c r="I478" i="212"/>
  <c r="H478" i="212"/>
  <c r="G478" i="212"/>
  <c r="E478" i="212"/>
  <c r="D478" i="212"/>
  <c r="C478" i="212"/>
  <c r="AV477" i="212"/>
  <c r="AT477" i="212"/>
  <c r="AR477" i="212"/>
  <c r="I477" i="212"/>
  <c r="H477" i="212"/>
  <c r="G477" i="212"/>
  <c r="E477" i="212"/>
  <c r="D477" i="212"/>
  <c r="C477" i="212"/>
  <c r="AV476" i="212"/>
  <c r="AT476" i="212"/>
  <c r="AR476" i="212"/>
  <c r="I476" i="212"/>
  <c r="H476" i="212"/>
  <c r="G476" i="212"/>
  <c r="E476" i="212"/>
  <c r="D476" i="212"/>
  <c r="C476" i="212"/>
  <c r="AV475" i="212"/>
  <c r="AT475" i="212"/>
  <c r="AR475" i="212"/>
  <c r="I475" i="212"/>
  <c r="H475" i="212"/>
  <c r="G475" i="212"/>
  <c r="E475" i="212"/>
  <c r="D475" i="212"/>
  <c r="C475" i="212"/>
  <c r="AV474" i="212"/>
  <c r="AT474" i="212"/>
  <c r="AR474" i="212"/>
  <c r="I474" i="212"/>
  <c r="H474" i="212"/>
  <c r="G474" i="212"/>
  <c r="E474" i="212"/>
  <c r="D474" i="212"/>
  <c r="C474" i="212"/>
  <c r="AV473" i="212"/>
  <c r="AT473" i="212"/>
  <c r="AR473" i="212"/>
  <c r="I473" i="212"/>
  <c r="H473" i="212"/>
  <c r="E473" i="212"/>
  <c r="D473" i="212"/>
  <c r="C473" i="212"/>
  <c r="AV472" i="212"/>
  <c r="AT472" i="212"/>
  <c r="AR472" i="212"/>
  <c r="I472" i="212"/>
  <c r="H472" i="212"/>
  <c r="G472" i="212"/>
  <c r="E472" i="212"/>
  <c r="C472" i="212"/>
  <c r="AV471" i="212"/>
  <c r="AT471" i="212"/>
  <c r="AR471" i="212"/>
  <c r="I471" i="212"/>
  <c r="H471" i="212"/>
  <c r="G471" i="212"/>
  <c r="E471" i="212"/>
  <c r="D471" i="212"/>
  <c r="C471" i="212"/>
  <c r="AV470" i="212"/>
  <c r="AT470" i="212"/>
  <c r="AR470" i="212"/>
  <c r="I470" i="212"/>
  <c r="H470" i="212"/>
  <c r="G470" i="212"/>
  <c r="E470" i="212"/>
  <c r="C470" i="212"/>
  <c r="AV469" i="212"/>
  <c r="AT469" i="212"/>
  <c r="I469" i="212"/>
  <c r="H469" i="212"/>
  <c r="G469" i="212"/>
  <c r="E469" i="212"/>
  <c r="D469" i="212"/>
  <c r="C469" i="212"/>
  <c r="AV468" i="212"/>
  <c r="AT468" i="212"/>
  <c r="AR468" i="212"/>
  <c r="I468" i="212"/>
  <c r="H468" i="212"/>
  <c r="G468" i="212"/>
  <c r="E468" i="212"/>
  <c r="D468" i="212"/>
  <c r="C468" i="212"/>
  <c r="AV467" i="212"/>
  <c r="AT467" i="212"/>
  <c r="AR467" i="212"/>
  <c r="I467" i="212"/>
  <c r="H467" i="212"/>
  <c r="G467" i="212"/>
  <c r="E467" i="212"/>
  <c r="D467" i="212"/>
  <c r="C467" i="212"/>
  <c r="AV466" i="212"/>
  <c r="AT466" i="212"/>
  <c r="I466" i="212"/>
  <c r="H466" i="212"/>
  <c r="E466" i="212"/>
  <c r="D466" i="212"/>
  <c r="C466" i="212"/>
  <c r="AV465" i="212"/>
  <c r="AT465" i="212"/>
  <c r="I465" i="212"/>
  <c r="H465" i="212"/>
  <c r="G465" i="212"/>
  <c r="E465" i="212"/>
  <c r="D465" i="212"/>
  <c r="C465" i="212"/>
  <c r="AV464" i="212"/>
  <c r="AT464" i="212"/>
  <c r="AR464" i="212"/>
  <c r="I464" i="212"/>
  <c r="H464" i="212"/>
  <c r="G464" i="212"/>
  <c r="E464" i="212"/>
  <c r="D464" i="212"/>
  <c r="C464" i="212"/>
  <c r="AV463" i="212"/>
  <c r="AT463" i="212"/>
  <c r="AR463" i="212"/>
  <c r="I463" i="212"/>
  <c r="H463" i="212"/>
  <c r="G463" i="212"/>
  <c r="E463" i="212"/>
  <c r="D463" i="212"/>
  <c r="C463" i="212"/>
  <c r="AV462" i="212"/>
  <c r="AT462" i="212"/>
  <c r="I462" i="212"/>
  <c r="H462" i="212"/>
  <c r="E462" i="212"/>
  <c r="D462" i="212"/>
  <c r="C462" i="212"/>
  <c r="AV461" i="212"/>
  <c r="AT461" i="212"/>
  <c r="I461" i="212"/>
  <c r="H461" i="212"/>
  <c r="G461" i="212"/>
  <c r="E461" i="212"/>
  <c r="D461" i="212"/>
  <c r="C461" i="212"/>
  <c r="AV460" i="212"/>
  <c r="AT460" i="212"/>
  <c r="AR460" i="212"/>
  <c r="I460" i="212"/>
  <c r="H460" i="212"/>
  <c r="G460" i="212"/>
  <c r="E460" i="212"/>
  <c r="D460" i="212"/>
  <c r="C460" i="212"/>
  <c r="AV459" i="212"/>
  <c r="AT459" i="212"/>
  <c r="AR459" i="212"/>
  <c r="I459" i="212"/>
  <c r="H459" i="212"/>
  <c r="G459" i="212"/>
  <c r="E459" i="212"/>
  <c r="D459" i="212"/>
  <c r="C459" i="212"/>
  <c r="AV458" i="212"/>
  <c r="AT458" i="212"/>
  <c r="AR458" i="212"/>
  <c r="I458" i="212"/>
  <c r="H458" i="212"/>
  <c r="G458" i="212"/>
  <c r="E458" i="212"/>
  <c r="D458" i="212"/>
  <c r="C458" i="212"/>
  <c r="AV457" i="212"/>
  <c r="AT457" i="212"/>
  <c r="I457" i="212"/>
  <c r="H457" i="212"/>
  <c r="E457" i="212"/>
  <c r="D457" i="212"/>
  <c r="C457" i="212"/>
  <c r="AV456" i="212"/>
  <c r="AT456" i="212"/>
  <c r="AR456" i="212"/>
  <c r="I456" i="212"/>
  <c r="H456" i="212"/>
  <c r="G456" i="212"/>
  <c r="E456" i="212"/>
  <c r="D456" i="212"/>
  <c r="C456" i="212"/>
  <c r="AV455" i="212"/>
  <c r="AT455" i="212"/>
  <c r="AR455" i="212"/>
  <c r="I455" i="212"/>
  <c r="H455" i="212"/>
  <c r="E455" i="212"/>
  <c r="D455" i="212"/>
  <c r="C455" i="212"/>
  <c r="AV454" i="212"/>
  <c r="AT454" i="212"/>
  <c r="AR454" i="212"/>
  <c r="I454" i="212"/>
  <c r="H454" i="212"/>
  <c r="G454" i="212"/>
  <c r="E454" i="212"/>
  <c r="D454" i="212"/>
  <c r="C454" i="212"/>
  <c r="AV453" i="212"/>
  <c r="AT453" i="212"/>
  <c r="I453" i="212"/>
  <c r="H453" i="212"/>
  <c r="G453" i="212"/>
  <c r="E453" i="212"/>
  <c r="D453" i="212"/>
  <c r="C453" i="212"/>
  <c r="AV452" i="212"/>
  <c r="AT452" i="212"/>
  <c r="AR452" i="212"/>
  <c r="I452" i="212"/>
  <c r="H452" i="212"/>
  <c r="G452" i="212"/>
  <c r="E452" i="212"/>
  <c r="D452" i="212"/>
  <c r="C452" i="212"/>
  <c r="AV451" i="212"/>
  <c r="AT451" i="212"/>
  <c r="I451" i="212"/>
  <c r="H451" i="212"/>
  <c r="E451" i="212"/>
  <c r="D451" i="212"/>
  <c r="C451" i="212"/>
  <c r="AV450" i="212"/>
  <c r="AT450" i="212"/>
  <c r="AR450" i="212"/>
  <c r="I450" i="212"/>
  <c r="H450" i="212"/>
  <c r="G450" i="212"/>
  <c r="E450" i="212"/>
  <c r="D450" i="212"/>
  <c r="C450" i="212"/>
  <c r="AV449" i="212"/>
  <c r="AT449" i="212"/>
  <c r="AR449" i="212"/>
  <c r="I449" i="212"/>
  <c r="H449" i="212"/>
  <c r="G449" i="212"/>
  <c r="E449" i="212"/>
  <c r="D449" i="212"/>
  <c r="C449" i="212"/>
  <c r="AV448" i="212"/>
  <c r="AT448" i="212"/>
  <c r="AR448" i="212"/>
  <c r="I448" i="212"/>
  <c r="H448" i="212"/>
  <c r="E448" i="212"/>
  <c r="D448" i="212"/>
  <c r="C448" i="212"/>
  <c r="AV447" i="212"/>
  <c r="AT447" i="212"/>
  <c r="AR447" i="212"/>
  <c r="I447" i="212"/>
  <c r="H447" i="212"/>
  <c r="E447" i="212"/>
  <c r="D447" i="212"/>
  <c r="C447" i="212"/>
  <c r="AV446" i="212"/>
  <c r="AT446" i="212"/>
  <c r="AR446" i="212"/>
  <c r="I446" i="212"/>
  <c r="H446" i="212"/>
  <c r="G446" i="212"/>
  <c r="E446" i="212"/>
  <c r="D446" i="212"/>
  <c r="C446" i="212"/>
  <c r="AV445" i="212"/>
  <c r="AT445" i="212"/>
  <c r="I445" i="212"/>
  <c r="H445" i="212"/>
  <c r="G445" i="212"/>
  <c r="E445" i="212"/>
  <c r="D445" i="212"/>
  <c r="C445" i="212"/>
  <c r="AV444" i="212"/>
  <c r="AT444" i="212"/>
  <c r="AR444" i="212"/>
  <c r="I444" i="212"/>
  <c r="H444" i="212"/>
  <c r="G444" i="212"/>
  <c r="E444" i="212"/>
  <c r="D444" i="212"/>
  <c r="C444" i="212"/>
  <c r="AV443" i="212"/>
  <c r="AT443" i="212"/>
  <c r="AR443" i="212"/>
  <c r="I443" i="212"/>
  <c r="H443" i="212"/>
  <c r="E443" i="212"/>
  <c r="D443" i="212"/>
  <c r="C443" i="212"/>
  <c r="AV442" i="212"/>
  <c r="AT442" i="212"/>
  <c r="I442" i="212"/>
  <c r="H442" i="212"/>
  <c r="G442" i="212"/>
  <c r="E442" i="212"/>
  <c r="D442" i="212"/>
  <c r="C442" i="212"/>
  <c r="AV441" i="212"/>
  <c r="AT441" i="212"/>
  <c r="AR441" i="212"/>
  <c r="I441" i="212"/>
  <c r="H441" i="212"/>
  <c r="G441" i="212"/>
  <c r="E441" i="212"/>
  <c r="D441" i="212"/>
  <c r="C441" i="212"/>
  <c r="AV440" i="212"/>
  <c r="AT440" i="212"/>
  <c r="AR440" i="212"/>
  <c r="I440" i="212"/>
  <c r="H440" i="212"/>
  <c r="G440" i="212"/>
  <c r="E440" i="212"/>
  <c r="D440" i="212"/>
  <c r="C440" i="212"/>
  <c r="AV439" i="212"/>
  <c r="AT439" i="212"/>
  <c r="I439" i="212"/>
  <c r="H439" i="212"/>
  <c r="G439" i="212"/>
  <c r="E439" i="212"/>
  <c r="D439" i="212"/>
  <c r="C439" i="212"/>
  <c r="AV438" i="212"/>
  <c r="AT438" i="212"/>
  <c r="AR438" i="212"/>
  <c r="I438" i="212"/>
  <c r="H438" i="212"/>
  <c r="G438" i="212"/>
  <c r="E438" i="212"/>
  <c r="D438" i="212"/>
  <c r="C438" i="212"/>
  <c r="AV437" i="212"/>
  <c r="AT437" i="212"/>
  <c r="AR437" i="212"/>
  <c r="I437" i="212"/>
  <c r="H437" i="212"/>
  <c r="G437" i="212"/>
  <c r="E437" i="212"/>
  <c r="D437" i="212"/>
  <c r="C437" i="212"/>
  <c r="AV436" i="212"/>
  <c r="AT436" i="212"/>
  <c r="AR436" i="212"/>
  <c r="I436" i="212"/>
  <c r="H436" i="212"/>
  <c r="E436" i="212"/>
  <c r="D436" i="212"/>
  <c r="C436" i="212"/>
  <c r="AV435" i="212"/>
  <c r="AT435" i="212"/>
  <c r="I435" i="212"/>
  <c r="H435" i="212"/>
  <c r="E435" i="212"/>
  <c r="D435" i="212"/>
  <c r="C435" i="212"/>
  <c r="AV434" i="212"/>
  <c r="AT434" i="212"/>
  <c r="AR434" i="212"/>
  <c r="I434" i="212"/>
  <c r="H434" i="212"/>
  <c r="G434" i="212"/>
  <c r="E434" i="212"/>
  <c r="D434" i="212"/>
  <c r="C434" i="212"/>
  <c r="AV433" i="212"/>
  <c r="AT433" i="212"/>
  <c r="AR433" i="212"/>
  <c r="I433" i="212"/>
  <c r="H433" i="212"/>
  <c r="G433" i="212"/>
  <c r="E433" i="212"/>
  <c r="D433" i="212"/>
  <c r="C433" i="212"/>
  <c r="AV432" i="212"/>
  <c r="AT432" i="212"/>
  <c r="AR432" i="212"/>
  <c r="I432" i="212"/>
  <c r="H432" i="212"/>
  <c r="G432" i="212"/>
  <c r="E432" i="212"/>
  <c r="D432" i="212"/>
  <c r="C432" i="212"/>
  <c r="AV431" i="212"/>
  <c r="AT431" i="212"/>
  <c r="AR431" i="212"/>
  <c r="I431" i="212"/>
  <c r="H431" i="212"/>
  <c r="G431" i="212"/>
  <c r="E431" i="212"/>
  <c r="D431" i="212"/>
  <c r="C431" i="212"/>
  <c r="AV430" i="212"/>
  <c r="AT430" i="212"/>
  <c r="AR430" i="212"/>
  <c r="I430" i="212"/>
  <c r="H430" i="212"/>
  <c r="G430" i="212"/>
  <c r="E430" i="212"/>
  <c r="D430" i="212"/>
  <c r="C430" i="212"/>
  <c r="AV429" i="212"/>
  <c r="AT429" i="212"/>
  <c r="AR429" i="212"/>
  <c r="I429" i="212"/>
  <c r="H429" i="212"/>
  <c r="G429" i="212"/>
  <c r="E429" i="212"/>
  <c r="D429" i="212"/>
  <c r="C429" i="212"/>
  <c r="AV428" i="212"/>
  <c r="AT428" i="212"/>
  <c r="I428" i="212"/>
  <c r="H428" i="212"/>
  <c r="G428" i="212"/>
  <c r="E428" i="212"/>
  <c r="D428" i="212"/>
  <c r="C428" i="212"/>
  <c r="AV427" i="212"/>
  <c r="AT427" i="212"/>
  <c r="AR427" i="212"/>
  <c r="I427" i="212"/>
  <c r="H427" i="212"/>
  <c r="G427" i="212"/>
  <c r="E427" i="212"/>
  <c r="D427" i="212"/>
  <c r="C427" i="212"/>
  <c r="AV426" i="212"/>
  <c r="AT426" i="212"/>
  <c r="AR426" i="212"/>
  <c r="I426" i="212"/>
  <c r="H426" i="212"/>
  <c r="G426" i="212"/>
  <c r="E426" i="212"/>
  <c r="D426" i="212"/>
  <c r="C426" i="212"/>
  <c r="AV425" i="212"/>
  <c r="AT425" i="212"/>
  <c r="I425" i="212"/>
  <c r="H425" i="212"/>
  <c r="E425" i="212"/>
  <c r="D425" i="212"/>
  <c r="C425" i="212"/>
  <c r="AV424" i="212"/>
  <c r="AT424" i="212"/>
  <c r="I424" i="212"/>
  <c r="H424" i="212"/>
  <c r="G424" i="212"/>
  <c r="E424" i="212"/>
  <c r="D424" i="212"/>
  <c r="C424" i="212"/>
  <c r="AV423" i="212"/>
  <c r="AT423" i="212"/>
  <c r="AR423" i="212"/>
  <c r="I423" i="212"/>
  <c r="H423" i="212"/>
  <c r="G423" i="212"/>
  <c r="E423" i="212"/>
  <c r="D423" i="212"/>
  <c r="C423" i="212"/>
  <c r="AV422" i="212"/>
  <c r="AT422" i="212"/>
  <c r="AR422" i="212"/>
  <c r="I422" i="212"/>
  <c r="H422" i="212"/>
  <c r="G422" i="212"/>
  <c r="E422" i="212"/>
  <c r="D422" i="212"/>
  <c r="C422" i="212"/>
  <c r="AV421" i="212"/>
  <c r="AT421" i="212"/>
  <c r="AR421" i="212"/>
  <c r="I421" i="212"/>
  <c r="H421" i="212"/>
  <c r="G421" i="212"/>
  <c r="E421" i="212"/>
  <c r="D421" i="212"/>
  <c r="C421" i="212"/>
  <c r="AV420" i="212"/>
  <c r="AT420" i="212"/>
  <c r="I420" i="212"/>
  <c r="H420" i="212"/>
  <c r="E420" i="212"/>
  <c r="D420" i="212"/>
  <c r="C420" i="212"/>
  <c r="AV419" i="212"/>
  <c r="AT419" i="212"/>
  <c r="I419" i="212"/>
  <c r="H419" i="212"/>
  <c r="G419" i="212"/>
  <c r="E419" i="212"/>
  <c r="D419" i="212"/>
  <c r="C419" i="212"/>
  <c r="AV418" i="212"/>
  <c r="AT418" i="212"/>
  <c r="AR418" i="212"/>
  <c r="I418" i="212"/>
  <c r="H418" i="212"/>
  <c r="G418" i="212"/>
  <c r="E418" i="212"/>
  <c r="D418" i="212"/>
  <c r="C418" i="212"/>
  <c r="AV417" i="212"/>
  <c r="AT417" i="212"/>
  <c r="AR417" i="212"/>
  <c r="I417" i="212"/>
  <c r="H417" i="212"/>
  <c r="G417" i="212"/>
  <c r="E417" i="212"/>
  <c r="D417" i="212"/>
  <c r="C417" i="212"/>
  <c r="AV416" i="212"/>
  <c r="AT416" i="212"/>
  <c r="I416" i="212"/>
  <c r="H416" i="212"/>
  <c r="G416" i="212"/>
  <c r="E416" i="212"/>
  <c r="D416" i="212"/>
  <c r="C416" i="212"/>
  <c r="AV415" i="212"/>
  <c r="AT415" i="212"/>
  <c r="AR415" i="212"/>
  <c r="I415" i="212"/>
  <c r="H415" i="212"/>
  <c r="G415" i="212"/>
  <c r="E415" i="212"/>
  <c r="D415" i="212"/>
  <c r="C415" i="212"/>
  <c r="AV414" i="212"/>
  <c r="AT414" i="212"/>
  <c r="AR414" i="212"/>
  <c r="I414" i="212"/>
  <c r="H414" i="212"/>
  <c r="G414" i="212"/>
  <c r="E414" i="212"/>
  <c r="D414" i="212"/>
  <c r="C414" i="212"/>
  <c r="AV413" i="212"/>
  <c r="AT413" i="212"/>
  <c r="I413" i="212"/>
  <c r="H413" i="212"/>
  <c r="E413" i="212"/>
  <c r="D413" i="212"/>
  <c r="C413" i="212"/>
  <c r="AV412" i="212"/>
  <c r="AT412" i="212"/>
  <c r="AR412" i="212"/>
  <c r="I412" i="212"/>
  <c r="H412" i="212"/>
  <c r="G412" i="212"/>
  <c r="E412" i="212"/>
  <c r="D412" i="212"/>
  <c r="C412" i="212"/>
  <c r="AV411" i="212"/>
  <c r="AT411" i="212"/>
  <c r="AR411" i="212"/>
  <c r="I411" i="212"/>
  <c r="H411" i="212"/>
  <c r="G411" i="212"/>
  <c r="E411" i="212"/>
  <c r="D411" i="212"/>
  <c r="C411" i="212"/>
  <c r="AV410" i="212"/>
  <c r="AT410" i="212"/>
  <c r="AR410" i="212"/>
  <c r="I410" i="212"/>
  <c r="H410" i="212"/>
  <c r="E410" i="212"/>
  <c r="D410" i="212"/>
  <c r="C410" i="212"/>
  <c r="AV409" i="212"/>
  <c r="AT409" i="212"/>
  <c r="AR409" i="212"/>
  <c r="I409" i="212"/>
  <c r="H409" i="212"/>
  <c r="E409" i="212"/>
  <c r="D409" i="212"/>
  <c r="C409" i="212"/>
  <c r="AV408" i="212"/>
  <c r="AT408" i="212"/>
  <c r="AR408" i="212"/>
  <c r="I408" i="212"/>
  <c r="H408" i="212"/>
  <c r="G408" i="212"/>
  <c r="E408" i="212"/>
  <c r="D408" i="212"/>
  <c r="C408" i="212"/>
  <c r="AV407" i="212"/>
  <c r="AT407" i="212"/>
  <c r="AR407" i="212"/>
  <c r="I407" i="212"/>
  <c r="H407" i="212"/>
  <c r="G407" i="212"/>
  <c r="E407" i="212"/>
  <c r="D407" i="212"/>
  <c r="C407" i="212"/>
  <c r="AV406" i="212"/>
  <c r="AT406" i="212"/>
  <c r="AR406" i="212"/>
  <c r="I406" i="212"/>
  <c r="H406" i="212"/>
  <c r="E406" i="212"/>
  <c r="D406" i="212"/>
  <c r="C406" i="212"/>
  <c r="AV405" i="212"/>
  <c r="AT405" i="212"/>
  <c r="AR405" i="212"/>
  <c r="I405" i="212"/>
  <c r="H405" i="212"/>
  <c r="E405" i="212"/>
  <c r="D405" i="212"/>
  <c r="C405" i="212"/>
  <c r="AV404" i="212"/>
  <c r="AT404" i="212"/>
  <c r="AR404" i="212"/>
  <c r="I404" i="212"/>
  <c r="H404" i="212"/>
  <c r="G404" i="212"/>
  <c r="E404" i="212"/>
  <c r="D404" i="212"/>
  <c r="C404" i="212"/>
  <c r="AV403" i="212"/>
  <c r="AT403" i="212"/>
  <c r="I403" i="212"/>
  <c r="H403" i="212"/>
  <c r="G403" i="212"/>
  <c r="E403" i="212"/>
  <c r="D403" i="212"/>
  <c r="C403" i="212"/>
  <c r="AV402" i="212"/>
  <c r="AT402" i="212"/>
  <c r="AR402" i="212"/>
  <c r="I402" i="212"/>
  <c r="H402" i="212"/>
  <c r="G402" i="212"/>
  <c r="E402" i="212"/>
  <c r="D402" i="212"/>
  <c r="C402" i="212"/>
  <c r="AV401" i="212"/>
  <c r="AT401" i="212"/>
  <c r="AR401" i="212"/>
  <c r="I401" i="212"/>
  <c r="H401" i="212"/>
  <c r="G401" i="212"/>
  <c r="E401" i="212"/>
  <c r="D401" i="212"/>
  <c r="C401" i="212"/>
  <c r="AV400" i="212"/>
  <c r="AT400" i="212"/>
  <c r="AR400" i="212"/>
  <c r="I400" i="212"/>
  <c r="H400" i="212"/>
  <c r="G400" i="212"/>
  <c r="E400" i="212"/>
  <c r="D400" i="212"/>
  <c r="C400" i="212"/>
  <c r="AV399" i="212"/>
  <c r="AT399" i="212"/>
  <c r="AR399" i="212"/>
  <c r="I399" i="212"/>
  <c r="H399" i="212"/>
  <c r="G399" i="212"/>
  <c r="E399" i="212"/>
  <c r="D399" i="212"/>
  <c r="C399" i="212"/>
  <c r="AV398" i="212"/>
  <c r="AT398" i="212"/>
  <c r="I398" i="212"/>
  <c r="H398" i="212"/>
  <c r="G398" i="212"/>
  <c r="E398" i="212"/>
  <c r="D398" i="212"/>
  <c r="C398" i="212"/>
  <c r="AV397" i="212"/>
  <c r="AT397" i="212"/>
  <c r="AR397" i="212"/>
  <c r="I397" i="212"/>
  <c r="H397" i="212"/>
  <c r="G397" i="212"/>
  <c r="E397" i="212"/>
  <c r="D397" i="212"/>
  <c r="C397" i="212"/>
  <c r="AV396" i="212"/>
  <c r="AT396" i="212"/>
  <c r="I396" i="212"/>
  <c r="H396" i="212"/>
  <c r="G396" i="212"/>
  <c r="E396" i="212"/>
  <c r="D396" i="212"/>
  <c r="C396" i="212"/>
  <c r="AV395" i="212"/>
  <c r="AT395" i="212"/>
  <c r="AR395" i="212"/>
  <c r="I395" i="212"/>
  <c r="H395" i="212"/>
  <c r="G395" i="212"/>
  <c r="E395" i="212"/>
  <c r="D395" i="212"/>
  <c r="C395" i="212"/>
  <c r="AV394" i="212"/>
  <c r="AT394" i="212"/>
  <c r="AR394" i="212"/>
  <c r="I394" i="212"/>
  <c r="H394" i="212"/>
  <c r="G394" i="212"/>
  <c r="E394" i="212"/>
  <c r="D394" i="212"/>
  <c r="C394" i="212"/>
  <c r="AV393" i="212"/>
  <c r="AT393" i="212"/>
  <c r="AR393" i="212"/>
  <c r="I393" i="212"/>
  <c r="H393" i="212"/>
  <c r="G393" i="212"/>
  <c r="E393" i="212"/>
  <c r="D393" i="212"/>
  <c r="C393" i="212"/>
  <c r="AV392" i="212"/>
  <c r="AT392" i="212"/>
  <c r="AR392" i="212"/>
  <c r="I392" i="212"/>
  <c r="H392" i="212"/>
  <c r="G392" i="212"/>
  <c r="E392" i="212"/>
  <c r="D392" i="212"/>
  <c r="C392" i="212"/>
  <c r="AV391" i="212"/>
  <c r="AT391" i="212"/>
  <c r="AR391" i="212"/>
  <c r="I391" i="212"/>
  <c r="H391" i="212"/>
  <c r="E391" i="212"/>
  <c r="D391" i="212"/>
  <c r="C391" i="212"/>
  <c r="AV390" i="212"/>
  <c r="AT390" i="212"/>
  <c r="AR390" i="212"/>
  <c r="I390" i="212"/>
  <c r="H390" i="212"/>
  <c r="G390" i="212"/>
  <c r="E390" i="212"/>
  <c r="D390" i="212"/>
  <c r="C390" i="212"/>
  <c r="AV389" i="212"/>
  <c r="AT389" i="212"/>
  <c r="AR389" i="212"/>
  <c r="I389" i="212"/>
  <c r="H389" i="212"/>
  <c r="G389" i="212"/>
  <c r="E389" i="212"/>
  <c r="D389" i="212"/>
  <c r="C389" i="212"/>
  <c r="AV388" i="212"/>
  <c r="AT388" i="212"/>
  <c r="AR388" i="212"/>
  <c r="I388" i="212"/>
  <c r="H388" i="212"/>
  <c r="G388" i="212"/>
  <c r="E388" i="212"/>
  <c r="D388" i="212"/>
  <c r="C388" i="212"/>
  <c r="AV387" i="212"/>
  <c r="AT387" i="212"/>
  <c r="AR387" i="212"/>
  <c r="I387" i="212"/>
  <c r="H387" i="212"/>
  <c r="G387" i="212"/>
  <c r="E387" i="212"/>
  <c r="D387" i="212"/>
  <c r="C387" i="212"/>
  <c r="AV386" i="212"/>
  <c r="AT386" i="212"/>
  <c r="AR386" i="212"/>
  <c r="I386" i="212"/>
  <c r="H386" i="212"/>
  <c r="G386" i="212"/>
  <c r="E386" i="212"/>
  <c r="D386" i="212"/>
  <c r="C386" i="212"/>
  <c r="AV385" i="212"/>
  <c r="AT385" i="212"/>
  <c r="I385" i="212"/>
  <c r="H385" i="212"/>
  <c r="G385" i="212"/>
  <c r="E385" i="212"/>
  <c r="D385" i="212"/>
  <c r="C385" i="212"/>
  <c r="AV384" i="212"/>
  <c r="AT384" i="212"/>
  <c r="AR384" i="212"/>
  <c r="I384" i="212"/>
  <c r="H384" i="212"/>
  <c r="G384" i="212"/>
  <c r="E384" i="212"/>
  <c r="D384" i="212"/>
  <c r="C384" i="212"/>
  <c r="AV383" i="212"/>
  <c r="AT383" i="212"/>
  <c r="AR383" i="212"/>
  <c r="I383" i="212"/>
  <c r="H383" i="212"/>
  <c r="G383" i="212"/>
  <c r="E383" i="212"/>
  <c r="D383" i="212"/>
  <c r="C383" i="212"/>
  <c r="AV382" i="212"/>
  <c r="AT382" i="212"/>
  <c r="I382" i="212"/>
  <c r="H382" i="212"/>
  <c r="E382" i="212"/>
  <c r="D382" i="212"/>
  <c r="C382" i="212"/>
  <c r="AV381" i="212"/>
  <c r="AT381" i="212"/>
  <c r="I381" i="212"/>
  <c r="H381" i="212"/>
  <c r="G381" i="212"/>
  <c r="E381" i="212"/>
  <c r="D381" i="212"/>
  <c r="C381" i="212"/>
  <c r="AV380" i="212"/>
  <c r="AT380" i="212"/>
  <c r="AR380" i="212"/>
  <c r="I380" i="212"/>
  <c r="H380" i="212"/>
  <c r="G380" i="212"/>
  <c r="E380" i="212"/>
  <c r="D380" i="212"/>
  <c r="C380" i="212"/>
  <c r="AV379" i="212"/>
  <c r="AT379" i="212"/>
  <c r="AR379" i="212"/>
  <c r="I379" i="212"/>
  <c r="H379" i="212"/>
  <c r="G379" i="212"/>
  <c r="E379" i="212"/>
  <c r="D379" i="212"/>
  <c r="C379" i="212"/>
  <c r="AV378" i="212"/>
  <c r="AT378" i="212"/>
  <c r="AR378" i="212"/>
  <c r="I378" i="212"/>
  <c r="H378" i="212"/>
  <c r="G378" i="212"/>
  <c r="E378" i="212"/>
  <c r="D378" i="212"/>
  <c r="C378" i="212"/>
  <c r="AV377" i="212"/>
  <c r="AT377" i="212"/>
  <c r="I377" i="212"/>
  <c r="H377" i="212"/>
  <c r="E377" i="212"/>
  <c r="D377" i="212"/>
  <c r="C377" i="212"/>
  <c r="AV376" i="212"/>
  <c r="AT376" i="212"/>
  <c r="AR376" i="212"/>
  <c r="I376" i="212"/>
  <c r="H376" i="212"/>
  <c r="G376" i="212"/>
  <c r="E376" i="212"/>
  <c r="D376" i="212"/>
  <c r="C376" i="212"/>
  <c r="AV375" i="212"/>
  <c r="AT375" i="212"/>
  <c r="AR375" i="212"/>
  <c r="I375" i="212"/>
  <c r="H375" i="212"/>
  <c r="G375" i="212"/>
  <c r="E375" i="212"/>
  <c r="D375" i="212"/>
  <c r="C375" i="212"/>
  <c r="AV374" i="212"/>
  <c r="AT374" i="212"/>
  <c r="I374" i="212"/>
  <c r="H374" i="212"/>
  <c r="G374" i="212"/>
  <c r="E374" i="212"/>
  <c r="D374" i="212"/>
  <c r="C374" i="212"/>
  <c r="AV373" i="212"/>
  <c r="AT373" i="212"/>
  <c r="AR373" i="212"/>
  <c r="I373" i="212"/>
  <c r="H373" i="212"/>
  <c r="G373" i="212"/>
  <c r="E373" i="212"/>
  <c r="D373" i="212"/>
  <c r="C373" i="212"/>
  <c r="AV372" i="212"/>
  <c r="AT372" i="212"/>
  <c r="AR372" i="212"/>
  <c r="I372" i="212"/>
  <c r="H372" i="212"/>
  <c r="G372" i="212"/>
  <c r="E372" i="212"/>
  <c r="D372" i="212"/>
  <c r="C372" i="212"/>
  <c r="AV371" i="212"/>
  <c r="AT371" i="212"/>
  <c r="I371" i="212"/>
  <c r="H371" i="212"/>
  <c r="E371" i="212"/>
  <c r="D371" i="212"/>
  <c r="C371" i="212"/>
  <c r="AV370" i="212"/>
  <c r="AT370" i="212"/>
  <c r="AR370" i="212"/>
  <c r="I370" i="212"/>
  <c r="H370" i="212"/>
  <c r="G370" i="212"/>
  <c r="E370" i="212"/>
  <c r="D370" i="212"/>
  <c r="C370" i="212"/>
  <c r="AV369" i="212"/>
  <c r="AT369" i="212"/>
  <c r="AR369" i="212"/>
  <c r="I369" i="212"/>
  <c r="H369" i="212"/>
  <c r="G369" i="212"/>
  <c r="E369" i="212"/>
  <c r="D369" i="212"/>
  <c r="C369" i="212"/>
  <c r="AV368" i="212"/>
  <c r="AT368" i="212"/>
  <c r="AR368" i="212"/>
  <c r="I368" i="212"/>
  <c r="H368" i="212"/>
  <c r="E368" i="212"/>
  <c r="D368" i="212"/>
  <c r="C368" i="212"/>
  <c r="AV367" i="212"/>
  <c r="AT367" i="212"/>
  <c r="AR367" i="212"/>
  <c r="I367" i="212"/>
  <c r="H367" i="212"/>
  <c r="E367" i="212"/>
  <c r="D367" i="212"/>
  <c r="C367" i="212"/>
  <c r="AV366" i="212"/>
  <c r="AT366" i="212"/>
  <c r="AR366" i="212"/>
  <c r="I366" i="212"/>
  <c r="H366" i="212"/>
  <c r="G366" i="212"/>
  <c r="E366" i="212"/>
  <c r="D366" i="212"/>
  <c r="C366" i="212"/>
  <c r="AV365" i="212"/>
  <c r="AT365" i="212"/>
  <c r="I365" i="212"/>
  <c r="H365" i="212"/>
  <c r="G365" i="212"/>
  <c r="E365" i="212"/>
  <c r="D365" i="212"/>
  <c r="C365" i="212"/>
  <c r="AV364" i="212"/>
  <c r="AT364" i="212"/>
  <c r="AR364" i="212"/>
  <c r="I364" i="212"/>
  <c r="H364" i="212"/>
  <c r="E364" i="212"/>
  <c r="D364" i="212"/>
  <c r="C364" i="212"/>
  <c r="AV363" i="212"/>
  <c r="AT363" i="212"/>
  <c r="AR363" i="212"/>
  <c r="I363" i="212"/>
  <c r="H363" i="212"/>
  <c r="E363" i="212"/>
  <c r="D363" i="212"/>
  <c r="C363" i="212"/>
  <c r="AV362" i="212"/>
  <c r="AT362" i="212"/>
  <c r="I362" i="212"/>
  <c r="H362" i="212"/>
  <c r="G362" i="212"/>
  <c r="E362" i="212"/>
  <c r="D362" i="212"/>
  <c r="C362" i="212"/>
  <c r="AV361" i="212"/>
  <c r="AT361" i="212"/>
  <c r="AR361" i="212"/>
  <c r="I361" i="212"/>
  <c r="H361" i="212"/>
  <c r="G361" i="212"/>
  <c r="E361" i="212"/>
  <c r="D361" i="212"/>
  <c r="C361" i="212"/>
  <c r="AV360" i="212"/>
  <c r="AT360" i="212"/>
  <c r="AR360" i="212"/>
  <c r="I360" i="212"/>
  <c r="H360" i="212"/>
  <c r="G360" i="212"/>
  <c r="E360" i="212"/>
  <c r="D360" i="212"/>
  <c r="C360" i="212"/>
  <c r="AV359" i="212"/>
  <c r="AT359" i="212"/>
  <c r="I359" i="212"/>
  <c r="H359" i="212"/>
  <c r="G359" i="212"/>
  <c r="E359" i="212"/>
  <c r="D359" i="212"/>
  <c r="C359" i="212"/>
  <c r="AV358" i="212"/>
  <c r="AT358" i="212"/>
  <c r="AR358" i="212"/>
  <c r="I358" i="212"/>
  <c r="H358" i="212"/>
  <c r="G358" i="212"/>
  <c r="E358" i="212"/>
  <c r="D358" i="212"/>
  <c r="C358" i="212"/>
  <c r="AV357" i="212"/>
  <c r="AT357" i="212"/>
  <c r="AR357" i="212"/>
  <c r="I357" i="212"/>
  <c r="H357" i="212"/>
  <c r="G357" i="212"/>
  <c r="E357" i="212"/>
  <c r="D357" i="212"/>
  <c r="C357" i="212"/>
  <c r="AV356" i="212"/>
  <c r="AT356" i="212"/>
  <c r="AR356" i="212"/>
  <c r="I356" i="212"/>
  <c r="H356" i="212"/>
  <c r="G356" i="212"/>
  <c r="E356" i="212"/>
  <c r="D356" i="212"/>
  <c r="C356" i="212"/>
  <c r="AV355" i="212"/>
  <c r="AT355" i="212"/>
  <c r="AR355" i="212"/>
  <c r="I355" i="212"/>
  <c r="H355" i="212"/>
  <c r="G355" i="212"/>
  <c r="E355" i="212"/>
  <c r="D355" i="212"/>
  <c r="C355" i="212"/>
  <c r="AV354" i="212"/>
  <c r="AT354" i="212"/>
  <c r="AR354" i="212"/>
  <c r="I354" i="212"/>
  <c r="H354" i="212"/>
  <c r="G354" i="212"/>
  <c r="E354" i="212"/>
  <c r="D354" i="212"/>
  <c r="C354" i="212"/>
  <c r="AV353" i="212"/>
  <c r="AT353" i="212"/>
  <c r="AR353" i="212"/>
  <c r="I353" i="212"/>
  <c r="H353" i="212"/>
  <c r="G353" i="212"/>
  <c r="E353" i="212"/>
  <c r="D353" i="212"/>
  <c r="C353" i="212"/>
  <c r="AV352" i="212"/>
  <c r="AT352" i="212"/>
  <c r="I352" i="212"/>
  <c r="H352" i="212"/>
  <c r="G352" i="212"/>
  <c r="E352" i="212"/>
  <c r="D352" i="212"/>
  <c r="C352" i="212"/>
  <c r="AV351" i="212"/>
  <c r="AT351" i="212"/>
  <c r="AR351" i="212"/>
  <c r="I351" i="212"/>
  <c r="H351" i="212"/>
  <c r="G351" i="212"/>
  <c r="E351" i="212"/>
  <c r="D351" i="212"/>
  <c r="C351" i="212"/>
  <c r="AV350" i="212"/>
  <c r="AT350" i="212"/>
  <c r="AR350" i="212"/>
  <c r="I350" i="212"/>
  <c r="H350" i="212"/>
  <c r="G350" i="212"/>
  <c r="E350" i="212"/>
  <c r="D350" i="212"/>
  <c r="C350" i="212"/>
  <c r="AV349" i="212"/>
  <c r="AT349" i="212"/>
  <c r="AR349" i="212"/>
  <c r="I349" i="212"/>
  <c r="H349" i="212"/>
  <c r="G349" i="212"/>
  <c r="E349" i="212"/>
  <c r="D349" i="212"/>
  <c r="C349" i="212"/>
  <c r="AV348" i="212"/>
  <c r="AT348" i="212"/>
  <c r="AR348" i="212"/>
  <c r="I348" i="212"/>
  <c r="H348" i="212"/>
  <c r="G348" i="212"/>
  <c r="E348" i="212"/>
  <c r="C348" i="212"/>
  <c r="AV347" i="212"/>
  <c r="AT347" i="212"/>
  <c r="AR347" i="212"/>
  <c r="I347" i="212"/>
  <c r="H347" i="212"/>
  <c r="G347" i="212"/>
  <c r="E347" i="212"/>
  <c r="D347" i="212"/>
  <c r="C347" i="212"/>
  <c r="AV346" i="212"/>
  <c r="AT346" i="212"/>
  <c r="I346" i="212"/>
  <c r="H346" i="212"/>
  <c r="G346" i="212"/>
  <c r="E346" i="212"/>
  <c r="D346" i="212"/>
  <c r="C346" i="212"/>
  <c r="AV345" i="212"/>
  <c r="AT345" i="212"/>
  <c r="AR345" i="212"/>
  <c r="I345" i="212"/>
  <c r="H345" i="212"/>
  <c r="G345" i="212"/>
  <c r="E345" i="212"/>
  <c r="D345" i="212"/>
  <c r="C345" i="212"/>
  <c r="AV344" i="212"/>
  <c r="AT344" i="212"/>
  <c r="AR344" i="212"/>
  <c r="I344" i="212"/>
  <c r="H344" i="212"/>
  <c r="G344" i="212"/>
  <c r="E344" i="212"/>
  <c r="D344" i="212"/>
  <c r="C344" i="212"/>
  <c r="AV343" i="212"/>
  <c r="AT343" i="212"/>
  <c r="I343" i="212"/>
  <c r="H343" i="212"/>
  <c r="E343" i="212"/>
  <c r="D343" i="212"/>
  <c r="C343" i="212"/>
  <c r="AV342" i="212"/>
  <c r="AT342" i="212"/>
  <c r="I342" i="212"/>
  <c r="H342" i="212"/>
  <c r="G342" i="212"/>
  <c r="E342" i="212"/>
  <c r="D342" i="212"/>
  <c r="C342" i="212"/>
  <c r="AV341" i="212"/>
  <c r="AT341" i="212"/>
  <c r="AR341" i="212"/>
  <c r="I341" i="212"/>
  <c r="H341" i="212"/>
  <c r="G341" i="212"/>
  <c r="E341" i="212"/>
  <c r="D341" i="212"/>
  <c r="C341" i="212"/>
  <c r="AV340" i="212"/>
  <c r="AT340" i="212"/>
  <c r="AR340" i="212"/>
  <c r="I340" i="212"/>
  <c r="H340" i="212"/>
  <c r="G340" i="212"/>
  <c r="E340" i="212"/>
  <c r="D340" i="212"/>
  <c r="C340" i="212"/>
  <c r="AV339" i="212"/>
  <c r="AT339" i="212"/>
  <c r="I339" i="212"/>
  <c r="H339" i="212"/>
  <c r="E339" i="212"/>
  <c r="D339" i="212"/>
  <c r="C339" i="212"/>
  <c r="AV338" i="212"/>
  <c r="AT338" i="212"/>
  <c r="I338" i="212"/>
  <c r="H338" i="212"/>
  <c r="G338" i="212"/>
  <c r="E338" i="212"/>
  <c r="D338" i="212"/>
  <c r="C338" i="212"/>
  <c r="AV337" i="212"/>
  <c r="AT337" i="212"/>
  <c r="AR337" i="212"/>
  <c r="I337" i="212"/>
  <c r="H337" i="212"/>
  <c r="G337" i="212"/>
  <c r="E337" i="212"/>
  <c r="D337" i="212"/>
  <c r="C337" i="212"/>
  <c r="AV336" i="212"/>
  <c r="AT336" i="212"/>
  <c r="AR336" i="212"/>
  <c r="I336" i="212"/>
  <c r="H336" i="212"/>
  <c r="G336" i="212"/>
  <c r="E336" i="212"/>
  <c r="D336" i="212"/>
  <c r="C336" i="212"/>
  <c r="AV335" i="212"/>
  <c r="AT335" i="212"/>
  <c r="AR335" i="212"/>
  <c r="I335" i="212"/>
  <c r="H335" i="212"/>
  <c r="G335" i="212"/>
  <c r="E335" i="212"/>
  <c r="D335" i="212"/>
  <c r="C335" i="212"/>
  <c r="AV334" i="212"/>
  <c r="AT334" i="212"/>
  <c r="I334" i="212"/>
  <c r="H334" i="212"/>
  <c r="G334" i="212"/>
  <c r="E334" i="212"/>
  <c r="D334" i="212"/>
  <c r="C334" i="212"/>
  <c r="AV333" i="212"/>
  <c r="AT333" i="212"/>
  <c r="AR333" i="212"/>
  <c r="I333" i="212"/>
  <c r="H333" i="212"/>
  <c r="G333" i="212"/>
  <c r="E333" i="212"/>
  <c r="D333" i="212"/>
  <c r="C333" i="212"/>
  <c r="AV332" i="212"/>
  <c r="AT332" i="212"/>
  <c r="AR332" i="212"/>
  <c r="I332" i="212"/>
  <c r="H332" i="212"/>
  <c r="G332" i="212"/>
  <c r="E332" i="212"/>
  <c r="D332" i="212"/>
  <c r="C332" i="212"/>
  <c r="AV331" i="212"/>
  <c r="AT331" i="212"/>
  <c r="I331" i="212"/>
  <c r="H331" i="212"/>
  <c r="E331" i="212"/>
  <c r="D331" i="212"/>
  <c r="C331" i="212"/>
  <c r="AV330" i="212"/>
  <c r="AT330" i="212"/>
  <c r="AR330" i="212"/>
  <c r="I330" i="212"/>
  <c r="H330" i="212"/>
  <c r="G330" i="212"/>
  <c r="E330" i="212"/>
  <c r="D330" i="212"/>
  <c r="C330" i="212"/>
  <c r="AV329" i="212"/>
  <c r="AT329" i="212"/>
  <c r="AR329" i="212"/>
  <c r="I329" i="212"/>
  <c r="H329" i="212"/>
  <c r="G329" i="212"/>
  <c r="E329" i="212"/>
  <c r="D329" i="212"/>
  <c r="C329" i="212"/>
  <c r="AV328" i="212"/>
  <c r="AT328" i="212"/>
  <c r="AR328" i="212"/>
  <c r="I328" i="212"/>
  <c r="H328" i="212"/>
  <c r="E328" i="212"/>
  <c r="D328" i="212"/>
  <c r="C328" i="212"/>
  <c r="AV327" i="212"/>
  <c r="AT327" i="212"/>
  <c r="AR327" i="212"/>
  <c r="I327" i="212"/>
  <c r="H327" i="212"/>
  <c r="E327" i="212"/>
  <c r="D327" i="212"/>
  <c r="C327" i="212"/>
  <c r="AV326" i="212"/>
  <c r="AT326" i="212"/>
  <c r="AR326" i="212"/>
  <c r="I326" i="212"/>
  <c r="H326" i="212"/>
  <c r="G326" i="212"/>
  <c r="E326" i="212"/>
  <c r="D326" i="212"/>
  <c r="C326" i="212"/>
  <c r="AV325" i="212"/>
  <c r="AT325" i="212"/>
  <c r="AR325" i="212"/>
  <c r="I325" i="212"/>
  <c r="H325" i="212"/>
  <c r="G325" i="212"/>
  <c r="E325" i="212"/>
  <c r="D325" i="212"/>
  <c r="C325" i="212"/>
  <c r="AV324" i="212"/>
  <c r="AT324" i="212"/>
  <c r="AR324" i="212"/>
  <c r="I324" i="212"/>
  <c r="H324" i="212"/>
  <c r="G324" i="212"/>
  <c r="E324" i="212"/>
  <c r="D324" i="212"/>
  <c r="C324" i="212"/>
  <c r="AV323" i="212"/>
  <c r="AT323" i="212"/>
  <c r="AR323" i="212"/>
  <c r="I323" i="212"/>
  <c r="H323" i="212"/>
  <c r="E323" i="212"/>
  <c r="D323" i="212"/>
  <c r="C323" i="212"/>
  <c r="AV322" i="212"/>
  <c r="AT322" i="212"/>
  <c r="AR322" i="212"/>
  <c r="I322" i="212"/>
  <c r="H322" i="212"/>
  <c r="G322" i="212"/>
  <c r="E322" i="212"/>
  <c r="D322" i="212"/>
  <c r="C322" i="212"/>
  <c r="AV321" i="212"/>
  <c r="AT321" i="212"/>
  <c r="I321" i="212"/>
  <c r="H321" i="212"/>
  <c r="G321" i="212"/>
  <c r="E321" i="212"/>
  <c r="D321" i="212"/>
  <c r="C321" i="212"/>
  <c r="AV320" i="212"/>
  <c r="AT320" i="212"/>
  <c r="AR320" i="212"/>
  <c r="I320" i="212"/>
  <c r="H320" i="212"/>
  <c r="G320" i="212"/>
  <c r="E320" i="212"/>
  <c r="D320" i="212"/>
  <c r="C320" i="212"/>
  <c r="AV319" i="212"/>
  <c r="AT319" i="212"/>
  <c r="I319" i="212"/>
  <c r="H319" i="212"/>
  <c r="G319" i="212"/>
  <c r="E319" i="212"/>
  <c r="D319" i="212"/>
  <c r="C319" i="212"/>
  <c r="AV318" i="212"/>
  <c r="AT318" i="212"/>
  <c r="AR318" i="212"/>
  <c r="I318" i="212"/>
  <c r="H318" i="212"/>
  <c r="E318" i="212"/>
  <c r="D318" i="212"/>
  <c r="C318" i="212"/>
  <c r="AV317" i="212"/>
  <c r="AT317" i="212"/>
  <c r="I317" i="212"/>
  <c r="H317" i="212"/>
  <c r="G317" i="212"/>
  <c r="E317" i="212"/>
  <c r="D317" i="212"/>
  <c r="C317" i="212"/>
  <c r="AV316" i="212"/>
  <c r="AT316" i="212"/>
  <c r="AR316" i="212"/>
  <c r="I316" i="212"/>
  <c r="H316" i="212"/>
  <c r="G316" i="212"/>
  <c r="E316" i="212"/>
  <c r="D316" i="212"/>
  <c r="C316" i="212"/>
  <c r="AV315" i="212"/>
  <c r="AT315" i="212"/>
  <c r="I315" i="212"/>
  <c r="H315" i="212"/>
  <c r="G315" i="212"/>
  <c r="E315" i="212"/>
  <c r="D315" i="212"/>
  <c r="C315" i="212"/>
  <c r="AV314" i="212"/>
  <c r="AT314" i="212"/>
  <c r="I314" i="212"/>
  <c r="H314" i="212"/>
  <c r="G314" i="212"/>
  <c r="E314" i="212"/>
  <c r="D314" i="212"/>
  <c r="C314" i="212"/>
  <c r="AV313" i="212"/>
  <c r="AT313" i="212"/>
  <c r="AR313" i="212"/>
  <c r="I313" i="212"/>
  <c r="H313" i="212"/>
  <c r="G313" i="212"/>
  <c r="E313" i="212"/>
  <c r="D313" i="212"/>
  <c r="C313" i="212"/>
  <c r="AV312" i="212"/>
  <c r="AT312" i="212"/>
  <c r="AR312" i="212"/>
  <c r="I312" i="212"/>
  <c r="H312" i="212"/>
  <c r="G312" i="212"/>
  <c r="E312" i="212"/>
  <c r="D312" i="212"/>
  <c r="C312" i="212"/>
  <c r="AV311" i="212"/>
  <c r="AT311" i="212"/>
  <c r="AR311" i="212"/>
  <c r="I311" i="212"/>
  <c r="H311" i="212"/>
  <c r="G311" i="212"/>
  <c r="E311" i="212"/>
  <c r="D311" i="212"/>
  <c r="C311" i="212"/>
  <c r="AV310" i="212"/>
  <c r="AT310" i="212"/>
  <c r="AR310" i="212"/>
  <c r="I310" i="212"/>
  <c r="H310" i="212"/>
  <c r="E310" i="212"/>
  <c r="D310" i="212"/>
  <c r="C310" i="212"/>
  <c r="AV309" i="212"/>
  <c r="AT309" i="212"/>
  <c r="AR309" i="212"/>
  <c r="I309" i="212"/>
  <c r="H309" i="212"/>
  <c r="G309" i="212"/>
  <c r="E309" i="212"/>
  <c r="D309" i="212"/>
  <c r="C309" i="212"/>
  <c r="AV308" i="212"/>
  <c r="AT308" i="212"/>
  <c r="AR308" i="212"/>
  <c r="I308" i="212"/>
  <c r="H308" i="212"/>
  <c r="G308" i="212"/>
  <c r="E308" i="212"/>
  <c r="D308" i="212"/>
  <c r="C308" i="212"/>
  <c r="AV307" i="212"/>
  <c r="AT307" i="212"/>
  <c r="AR307" i="212"/>
  <c r="I307" i="212"/>
  <c r="H307" i="212"/>
  <c r="G307" i="212"/>
  <c r="E307" i="212"/>
  <c r="D307" i="212"/>
  <c r="C307" i="212"/>
  <c r="AV306" i="212"/>
  <c r="AT306" i="212"/>
  <c r="AR306" i="212"/>
  <c r="I306" i="212"/>
  <c r="H306" i="212"/>
  <c r="G306" i="212"/>
  <c r="E306" i="212"/>
  <c r="D306" i="212"/>
  <c r="C306" i="212"/>
  <c r="AV305" i="212"/>
  <c r="AT305" i="212"/>
  <c r="AR305" i="212"/>
  <c r="I305" i="212"/>
  <c r="H305" i="212"/>
  <c r="G305" i="212"/>
  <c r="E305" i="212"/>
  <c r="D305" i="212"/>
  <c r="C305" i="212"/>
  <c r="AV304" i="212"/>
  <c r="AT304" i="212"/>
  <c r="AR304" i="212"/>
  <c r="I304" i="212"/>
  <c r="H304" i="212"/>
  <c r="G304" i="212"/>
  <c r="E304" i="212"/>
  <c r="D304" i="212"/>
  <c r="C304" i="212"/>
  <c r="AV303" i="212"/>
  <c r="AT303" i="212"/>
  <c r="I303" i="212"/>
  <c r="H303" i="212"/>
  <c r="E303" i="212"/>
  <c r="D303" i="212"/>
  <c r="C303" i="212"/>
  <c r="AV302" i="212"/>
  <c r="AT302" i="212"/>
  <c r="AR302" i="212"/>
  <c r="I302" i="212"/>
  <c r="H302" i="212"/>
  <c r="G302" i="212"/>
  <c r="E302" i="212"/>
  <c r="D302" i="212"/>
  <c r="C302" i="212"/>
  <c r="AV301" i="212"/>
  <c r="AT301" i="212"/>
  <c r="AR301" i="212"/>
  <c r="I301" i="212"/>
  <c r="H301" i="212"/>
  <c r="G301" i="212"/>
  <c r="E301" i="212"/>
  <c r="D301" i="212"/>
  <c r="C301" i="212"/>
  <c r="AV300" i="212"/>
  <c r="AT300" i="212"/>
  <c r="I300" i="212"/>
  <c r="H300" i="212"/>
  <c r="E300" i="212"/>
  <c r="D300" i="212"/>
  <c r="C300" i="212"/>
  <c r="AV299" i="212"/>
  <c r="AT299" i="212"/>
  <c r="I299" i="212"/>
  <c r="H299" i="212"/>
  <c r="G299" i="212"/>
  <c r="E299" i="212"/>
  <c r="D299" i="212"/>
  <c r="C299" i="212"/>
  <c r="AV298" i="212"/>
  <c r="AT298" i="212"/>
  <c r="AR298" i="212"/>
  <c r="I298" i="212"/>
  <c r="H298" i="212"/>
  <c r="G298" i="212"/>
  <c r="E298" i="212"/>
  <c r="D298" i="212"/>
  <c r="C298" i="212"/>
  <c r="AV297" i="212"/>
  <c r="AT297" i="212"/>
  <c r="AR297" i="212"/>
  <c r="I297" i="212"/>
  <c r="H297" i="212"/>
  <c r="G297" i="212"/>
  <c r="E297" i="212"/>
  <c r="D297" i="212"/>
  <c r="C297" i="212"/>
  <c r="AV296" i="212"/>
  <c r="AT296" i="212"/>
  <c r="AR296" i="212"/>
  <c r="I296" i="212"/>
  <c r="H296" i="212"/>
  <c r="G296" i="212"/>
  <c r="E296" i="212"/>
  <c r="D296" i="212"/>
  <c r="C296" i="212"/>
  <c r="AV295" i="212"/>
  <c r="AT295" i="212"/>
  <c r="I295" i="212"/>
  <c r="H295" i="212"/>
  <c r="E295" i="212"/>
  <c r="D295" i="212"/>
  <c r="C295" i="212"/>
  <c r="AV294" i="212"/>
  <c r="AT294" i="212"/>
  <c r="AR294" i="212"/>
  <c r="I294" i="212"/>
  <c r="H294" i="212"/>
  <c r="G294" i="212"/>
  <c r="E294" i="212"/>
  <c r="D294" i="212"/>
  <c r="C294" i="212"/>
  <c r="AV293" i="212"/>
  <c r="AT293" i="212"/>
  <c r="I293" i="212"/>
  <c r="H293" i="212"/>
  <c r="G293" i="212"/>
  <c r="E293" i="212"/>
  <c r="D293" i="212"/>
  <c r="C293" i="212"/>
  <c r="AV292" i="212"/>
  <c r="AT292" i="212"/>
  <c r="AR292" i="212"/>
  <c r="I292" i="212"/>
  <c r="H292" i="212"/>
  <c r="G292" i="212"/>
  <c r="E292" i="212"/>
  <c r="D292" i="212"/>
  <c r="C292" i="212"/>
  <c r="AV291" i="212"/>
  <c r="AT291" i="212"/>
  <c r="AR291" i="212"/>
  <c r="I291" i="212"/>
  <c r="H291" i="212"/>
  <c r="G291" i="212"/>
  <c r="E291" i="212"/>
  <c r="D291" i="212"/>
  <c r="C291" i="212"/>
  <c r="AV290" i="212"/>
  <c r="AT290" i="212"/>
  <c r="I290" i="212"/>
  <c r="H290" i="212"/>
  <c r="E290" i="212"/>
  <c r="D290" i="212"/>
  <c r="C290" i="212"/>
  <c r="AV289" i="212"/>
  <c r="AT289" i="212"/>
  <c r="AR289" i="212"/>
  <c r="I289" i="212"/>
  <c r="H289" i="212"/>
  <c r="G289" i="212"/>
  <c r="E289" i="212"/>
  <c r="D289" i="212"/>
  <c r="C289" i="212"/>
  <c r="AV288" i="212"/>
  <c r="AT288" i="212"/>
  <c r="AR288" i="212"/>
  <c r="I288" i="212"/>
  <c r="H288" i="212"/>
  <c r="G288" i="212"/>
  <c r="E288" i="212"/>
  <c r="D288" i="212"/>
  <c r="C288" i="212"/>
  <c r="AV287" i="212"/>
  <c r="AT287" i="212"/>
  <c r="AR287" i="212"/>
  <c r="I287" i="212"/>
  <c r="H287" i="212"/>
  <c r="E287" i="212"/>
  <c r="D287" i="212"/>
  <c r="C287" i="212"/>
  <c r="AV286" i="212"/>
  <c r="AT286" i="212"/>
  <c r="AR286" i="212"/>
  <c r="I286" i="212"/>
  <c r="H286" i="212"/>
  <c r="E286" i="212"/>
  <c r="D286" i="212"/>
  <c r="C286" i="212"/>
  <c r="AV285" i="212"/>
  <c r="AT285" i="212"/>
  <c r="I285" i="212"/>
  <c r="H285" i="212"/>
  <c r="G285" i="212"/>
  <c r="E285" i="212"/>
  <c r="D285" i="212"/>
  <c r="C285" i="212"/>
  <c r="AV284" i="212"/>
  <c r="AT284" i="212"/>
  <c r="AR284" i="212"/>
  <c r="I284" i="212"/>
  <c r="H284" i="212"/>
  <c r="G284" i="212"/>
  <c r="E284" i="212"/>
  <c r="D284" i="212"/>
  <c r="C284" i="212"/>
  <c r="AV283" i="212"/>
  <c r="AT283" i="212"/>
  <c r="AR283" i="212"/>
  <c r="I283" i="212"/>
  <c r="H283" i="212"/>
  <c r="E283" i="212"/>
  <c r="D283" i="212"/>
  <c r="C283" i="212"/>
  <c r="AV282" i="212"/>
  <c r="AT282" i="212"/>
  <c r="AR282" i="212"/>
  <c r="I282" i="212"/>
  <c r="H282" i="212"/>
  <c r="E282" i="212"/>
  <c r="D282" i="212"/>
  <c r="C282" i="212"/>
  <c r="AV281" i="212"/>
  <c r="AT281" i="212"/>
  <c r="I281" i="212"/>
  <c r="H281" i="212"/>
  <c r="G281" i="212"/>
  <c r="E281" i="212"/>
  <c r="D281" i="212"/>
  <c r="C281" i="212"/>
  <c r="AV280" i="212"/>
  <c r="AT280" i="212"/>
  <c r="AR280" i="212"/>
  <c r="I280" i="212"/>
  <c r="H280" i="212"/>
  <c r="G280" i="212"/>
  <c r="E280" i="212"/>
  <c r="D280" i="212"/>
  <c r="C280" i="212"/>
  <c r="AV279" i="212"/>
  <c r="AT279" i="212"/>
  <c r="AR279" i="212"/>
  <c r="I279" i="212"/>
  <c r="H279" i="212"/>
  <c r="G279" i="212"/>
  <c r="E279" i="212"/>
  <c r="D279" i="212"/>
  <c r="C279" i="212"/>
  <c r="AV278" i="212"/>
  <c r="AT278" i="212"/>
  <c r="I278" i="212"/>
  <c r="H278" i="212"/>
  <c r="G278" i="212"/>
  <c r="E278" i="212"/>
  <c r="D278" i="212"/>
  <c r="C278" i="212"/>
  <c r="AV277" i="212"/>
  <c r="AT277" i="212"/>
  <c r="AR277" i="212"/>
  <c r="I277" i="212"/>
  <c r="H277" i="212"/>
  <c r="G277" i="212"/>
  <c r="E277" i="212"/>
  <c r="D277" i="212"/>
  <c r="C277" i="212"/>
  <c r="AV276" i="212"/>
  <c r="AT276" i="212"/>
  <c r="AR276" i="212"/>
  <c r="I276" i="212"/>
  <c r="H276" i="212"/>
  <c r="G276" i="212"/>
  <c r="E276" i="212"/>
  <c r="D276" i="212"/>
  <c r="C276" i="212"/>
  <c r="AV275" i="212"/>
  <c r="AT275" i="212"/>
  <c r="AR275" i="212"/>
  <c r="I275" i="212"/>
  <c r="H275" i="212"/>
  <c r="G275" i="212"/>
  <c r="E275" i="212"/>
  <c r="D275" i="212"/>
  <c r="C275" i="212"/>
  <c r="AV274" i="212"/>
  <c r="AT274" i="212"/>
  <c r="AR274" i="212"/>
  <c r="I274" i="212"/>
  <c r="H274" i="212"/>
  <c r="G274" i="212"/>
  <c r="E274" i="212"/>
  <c r="D274" i="212"/>
  <c r="C274" i="212"/>
  <c r="AV273" i="212"/>
  <c r="AT273" i="212"/>
  <c r="AR273" i="212"/>
  <c r="I273" i="212"/>
  <c r="H273" i="212"/>
  <c r="G273" i="212"/>
  <c r="E273" i="212"/>
  <c r="D273" i="212"/>
  <c r="C273" i="212"/>
  <c r="AV272" i="212"/>
  <c r="AT272" i="212"/>
  <c r="I272" i="212"/>
  <c r="H272" i="212"/>
  <c r="G272" i="212"/>
  <c r="E272" i="212"/>
  <c r="D272" i="212"/>
  <c r="C272" i="212"/>
  <c r="AV271" i="212"/>
  <c r="AT271" i="212"/>
  <c r="AR271" i="212"/>
  <c r="I271" i="212"/>
  <c r="H271" i="212"/>
  <c r="G271" i="212"/>
  <c r="E271" i="212"/>
  <c r="D271" i="212"/>
  <c r="C271" i="212"/>
  <c r="AV270" i="212"/>
  <c r="AT270" i="212"/>
  <c r="AR270" i="212"/>
  <c r="I270" i="212"/>
  <c r="H270" i="212"/>
  <c r="G270" i="212"/>
  <c r="E270" i="212"/>
  <c r="D270" i="212"/>
  <c r="C270" i="212"/>
  <c r="AV269" i="212"/>
  <c r="AT269" i="212"/>
  <c r="AR269" i="212"/>
  <c r="I269" i="212"/>
  <c r="H269" i="212"/>
  <c r="G269" i="212"/>
  <c r="E269" i="212"/>
  <c r="D269" i="212"/>
  <c r="C269" i="212"/>
  <c r="AV268" i="212"/>
  <c r="AT268" i="212"/>
  <c r="AR268" i="212"/>
  <c r="I268" i="212"/>
  <c r="H268" i="212"/>
  <c r="E268" i="212"/>
  <c r="D268" i="212"/>
  <c r="C268" i="212"/>
  <c r="AV267" i="212"/>
  <c r="AT267" i="212"/>
  <c r="AR267" i="212"/>
  <c r="I267" i="212"/>
  <c r="H267" i="212"/>
  <c r="G267" i="212"/>
  <c r="E267" i="212"/>
  <c r="D267" i="212"/>
  <c r="C267" i="212"/>
  <c r="AV266" i="212"/>
  <c r="AT266" i="212"/>
  <c r="I266" i="212"/>
  <c r="H266" i="212"/>
  <c r="G266" i="212"/>
  <c r="E266" i="212"/>
  <c r="D266" i="212"/>
  <c r="C266" i="212"/>
  <c r="AV265" i="212"/>
  <c r="AT265" i="212"/>
  <c r="AR265" i="212"/>
  <c r="I265" i="212"/>
  <c r="H265" i="212"/>
  <c r="G265" i="212"/>
  <c r="E265" i="212"/>
  <c r="D265" i="212"/>
  <c r="C265" i="212"/>
  <c r="AV264" i="212"/>
  <c r="AT264" i="212"/>
  <c r="AR264" i="212"/>
  <c r="I264" i="212"/>
  <c r="H264" i="212"/>
  <c r="G264" i="212"/>
  <c r="E264" i="212"/>
  <c r="D264" i="212"/>
  <c r="C264" i="212"/>
  <c r="AV263" i="212"/>
  <c r="AT263" i="212"/>
  <c r="I263" i="212"/>
  <c r="H263" i="212"/>
  <c r="G263" i="212"/>
  <c r="E263" i="212"/>
  <c r="D263" i="212"/>
  <c r="C263" i="212"/>
  <c r="AV262" i="212"/>
  <c r="AT262" i="212"/>
  <c r="AR262" i="212"/>
  <c r="I262" i="212"/>
  <c r="H262" i="212"/>
  <c r="G262" i="212"/>
  <c r="E262" i="212"/>
  <c r="D262" i="212"/>
  <c r="C262" i="212"/>
  <c r="AV261" i="212"/>
  <c r="AT261" i="212"/>
  <c r="AR261" i="212"/>
  <c r="I261" i="212"/>
  <c r="H261" i="212"/>
  <c r="G261" i="212"/>
  <c r="E261" i="212"/>
  <c r="D261" i="212"/>
  <c r="C261" i="212"/>
  <c r="AV260" i="212"/>
  <c r="AT260" i="212"/>
  <c r="I260" i="212"/>
  <c r="H260" i="212"/>
  <c r="E260" i="212"/>
  <c r="D260" i="212"/>
  <c r="C260" i="212"/>
  <c r="AV259" i="212"/>
  <c r="AT259" i="212"/>
  <c r="I259" i="212"/>
  <c r="H259" i="212"/>
  <c r="G259" i="212"/>
  <c r="E259" i="212"/>
  <c r="D259" i="212"/>
  <c r="C259" i="212"/>
  <c r="AV258" i="212"/>
  <c r="AT258" i="212"/>
  <c r="AR258" i="212"/>
  <c r="I258" i="212"/>
  <c r="H258" i="212"/>
  <c r="G258" i="212"/>
  <c r="E258" i="212"/>
  <c r="D258" i="212"/>
  <c r="C258" i="212"/>
  <c r="AV257" i="212"/>
  <c r="AT257" i="212"/>
  <c r="I257" i="212"/>
  <c r="H257" i="212"/>
  <c r="E257" i="212"/>
  <c r="D257" i="212"/>
  <c r="C257" i="212"/>
  <c r="AV256" i="212"/>
  <c r="AT256" i="212"/>
  <c r="I256" i="212"/>
  <c r="H256" i="212"/>
  <c r="G256" i="212"/>
  <c r="E256" i="212"/>
  <c r="D256" i="212"/>
  <c r="C256" i="212"/>
  <c r="AV255" i="212"/>
  <c r="AT255" i="212"/>
  <c r="AR255" i="212"/>
  <c r="I255" i="212"/>
  <c r="H255" i="212"/>
  <c r="G255" i="212"/>
  <c r="E255" i="212"/>
  <c r="D255" i="212"/>
  <c r="C255" i="212"/>
  <c r="AV254" i="212"/>
  <c r="AT254" i="212"/>
  <c r="AR254" i="212"/>
  <c r="I254" i="212"/>
  <c r="H254" i="212"/>
  <c r="G254" i="212"/>
  <c r="E254" i="212"/>
  <c r="D254" i="212"/>
  <c r="C254" i="212"/>
  <c r="AV253" i="212"/>
  <c r="AT253" i="212"/>
  <c r="AR253" i="212"/>
  <c r="I253" i="212"/>
  <c r="H253" i="212"/>
  <c r="G253" i="212"/>
  <c r="E253" i="212"/>
  <c r="D253" i="212"/>
  <c r="C253" i="212"/>
  <c r="AV252" i="212"/>
  <c r="AT252" i="212"/>
  <c r="I252" i="212"/>
  <c r="H252" i="212"/>
  <c r="G252" i="212"/>
  <c r="E252" i="212"/>
  <c r="D252" i="212"/>
  <c r="C252" i="212"/>
  <c r="AV251" i="212"/>
  <c r="AT251" i="212"/>
  <c r="AR251" i="212"/>
  <c r="I251" i="212"/>
  <c r="H251" i="212"/>
  <c r="G251" i="212"/>
  <c r="E251" i="212"/>
  <c r="D251" i="212"/>
  <c r="C251" i="212"/>
  <c r="AV250" i="212"/>
  <c r="AT250" i="212"/>
  <c r="AR250" i="212"/>
  <c r="I250" i="212"/>
  <c r="H250" i="212"/>
  <c r="G250" i="212"/>
  <c r="E250" i="212"/>
  <c r="D250" i="212"/>
  <c r="C250" i="212"/>
  <c r="AV249" i="212"/>
  <c r="AT249" i="212"/>
  <c r="I249" i="212"/>
  <c r="H249" i="212"/>
  <c r="E249" i="212"/>
  <c r="D249" i="212"/>
  <c r="C249" i="212"/>
  <c r="AV248" i="212"/>
  <c r="AT248" i="212"/>
  <c r="AR248" i="212"/>
  <c r="I248" i="212"/>
  <c r="H248" i="212"/>
  <c r="G248" i="212"/>
  <c r="E248" i="212"/>
  <c r="D248" i="212"/>
  <c r="C248" i="212"/>
  <c r="AV247" i="212"/>
  <c r="AT247" i="212"/>
  <c r="AR247" i="212"/>
  <c r="I247" i="212"/>
  <c r="H247" i="212"/>
  <c r="G247" i="212"/>
  <c r="E247" i="212"/>
  <c r="D247" i="212"/>
  <c r="C247" i="212"/>
  <c r="AV246" i="212"/>
  <c r="AT246" i="212"/>
  <c r="AR246" i="212"/>
  <c r="I246" i="212"/>
  <c r="H246" i="212"/>
  <c r="E246" i="212"/>
  <c r="D246" i="212"/>
  <c r="C246" i="212"/>
  <c r="AV245" i="212"/>
  <c r="AT245" i="212"/>
  <c r="AR245" i="212"/>
  <c r="I245" i="212"/>
  <c r="H245" i="212"/>
  <c r="E245" i="212"/>
  <c r="D245" i="212"/>
  <c r="C245" i="212"/>
  <c r="AV244" i="212"/>
  <c r="AT244" i="212"/>
  <c r="AR244" i="212"/>
  <c r="I244" i="212"/>
  <c r="H244" i="212"/>
  <c r="G244" i="212"/>
  <c r="E244" i="212"/>
  <c r="D244" i="212"/>
  <c r="C244" i="212"/>
  <c r="AV243" i="212"/>
  <c r="AT243" i="212"/>
  <c r="I243" i="212"/>
  <c r="H243" i="212"/>
  <c r="G243" i="212"/>
  <c r="E243" i="212"/>
  <c r="D243" i="212"/>
  <c r="C243" i="212"/>
  <c r="AV242" i="212"/>
  <c r="AT242" i="212"/>
  <c r="AR242" i="212"/>
  <c r="I242" i="212"/>
  <c r="H242" i="212"/>
  <c r="G242" i="212"/>
  <c r="E242" i="212"/>
  <c r="D242" i="212"/>
  <c r="C242" i="212"/>
  <c r="AV241" i="212"/>
  <c r="AT241" i="212"/>
  <c r="AR241" i="212"/>
  <c r="I241" i="212"/>
  <c r="H241" i="212"/>
  <c r="G241" i="212"/>
  <c r="E241" i="212"/>
  <c r="D241" i="212"/>
  <c r="C241" i="212"/>
  <c r="AV240" i="212"/>
  <c r="AT240" i="212"/>
  <c r="AR240" i="212"/>
  <c r="I240" i="212"/>
  <c r="H240" i="212"/>
  <c r="G240" i="212"/>
  <c r="E240" i="212"/>
  <c r="D240" i="212"/>
  <c r="C240" i="212"/>
  <c r="AV239" i="212"/>
  <c r="AT239" i="212"/>
  <c r="AR239" i="212"/>
  <c r="I239" i="212"/>
  <c r="H239" i="212"/>
  <c r="E239" i="212"/>
  <c r="D239" i="212"/>
  <c r="C239" i="212"/>
  <c r="AV238" i="212"/>
  <c r="AT238" i="212"/>
  <c r="AR238" i="212"/>
  <c r="I238" i="212"/>
  <c r="H238" i="212"/>
  <c r="E238" i="212"/>
  <c r="D238" i="212"/>
  <c r="C238" i="212"/>
  <c r="AV237" i="212"/>
  <c r="AT237" i="212"/>
  <c r="AR237" i="212"/>
  <c r="I237" i="212"/>
  <c r="H237" i="212"/>
  <c r="G237" i="212"/>
  <c r="E237" i="212"/>
  <c r="D237" i="212"/>
  <c r="C237" i="212"/>
  <c r="AV236" i="212"/>
  <c r="AT236" i="212"/>
  <c r="I236" i="212"/>
  <c r="H236" i="212"/>
  <c r="G236" i="212"/>
  <c r="E236" i="212"/>
  <c r="D236" i="212"/>
  <c r="C236" i="212"/>
  <c r="AV235" i="212"/>
  <c r="AT235" i="212"/>
  <c r="AR235" i="212"/>
  <c r="I235" i="212"/>
  <c r="H235" i="212"/>
  <c r="G235" i="212"/>
  <c r="E235" i="212"/>
  <c r="D235" i="212"/>
  <c r="C235" i="212"/>
  <c r="AV234" i="212"/>
  <c r="AT234" i="212"/>
  <c r="AR234" i="212"/>
  <c r="I234" i="212"/>
  <c r="H234" i="212"/>
  <c r="G234" i="212"/>
  <c r="E234" i="212"/>
  <c r="D234" i="212"/>
  <c r="C234" i="212"/>
  <c r="AV233" i="212"/>
  <c r="AT233" i="212"/>
  <c r="AR233" i="212"/>
  <c r="I233" i="212"/>
  <c r="H233" i="212"/>
  <c r="G233" i="212"/>
  <c r="E233" i="212"/>
  <c r="D233" i="212"/>
  <c r="C233" i="212"/>
  <c r="AV232" i="212"/>
  <c r="AT232" i="212"/>
  <c r="AR232" i="212"/>
  <c r="I232" i="212"/>
  <c r="H232" i="212"/>
  <c r="G232" i="212"/>
  <c r="E232" i="212"/>
  <c r="D232" i="212"/>
  <c r="C232" i="212"/>
  <c r="AV231" i="212"/>
  <c r="AT231" i="212"/>
  <c r="AR231" i="212"/>
  <c r="I231" i="212"/>
  <c r="H231" i="212"/>
  <c r="G231" i="212"/>
  <c r="E231" i="212"/>
  <c r="D231" i="212"/>
  <c r="C231" i="212"/>
  <c r="AV230" i="212"/>
  <c r="AT230" i="212"/>
  <c r="AR230" i="212"/>
  <c r="I230" i="212"/>
  <c r="H230" i="212"/>
  <c r="G230" i="212"/>
  <c r="E230" i="212"/>
  <c r="D230" i="212"/>
  <c r="C230" i="212"/>
  <c r="AV229" i="212"/>
  <c r="AT229" i="212"/>
  <c r="AR229" i="212"/>
  <c r="I229" i="212"/>
  <c r="H229" i="212"/>
  <c r="G229" i="212"/>
  <c r="E229" i="212"/>
  <c r="D229" i="212"/>
  <c r="C229" i="212"/>
  <c r="AV228" i="212"/>
  <c r="AT228" i="212"/>
  <c r="AR228" i="212"/>
  <c r="I228" i="212"/>
  <c r="H228" i="212"/>
  <c r="G228" i="212"/>
  <c r="E228" i="212"/>
  <c r="D228" i="212"/>
  <c r="C228" i="212"/>
  <c r="AV227" i="212"/>
  <c r="AT227" i="212"/>
  <c r="AR227" i="212"/>
  <c r="I227" i="212"/>
  <c r="H227" i="212"/>
  <c r="G227" i="212"/>
  <c r="E227" i="212"/>
  <c r="D227" i="212"/>
  <c r="C227" i="212"/>
  <c r="AV226" i="212"/>
  <c r="AT226" i="212"/>
  <c r="AR226" i="212"/>
  <c r="I226" i="212"/>
  <c r="H226" i="212"/>
  <c r="G226" i="212"/>
  <c r="E226" i="212"/>
  <c r="D226" i="212"/>
  <c r="C226" i="212"/>
  <c r="AV225" i="212"/>
  <c r="AT225" i="212"/>
  <c r="AR225" i="212"/>
  <c r="I225" i="212"/>
  <c r="H225" i="212"/>
  <c r="G225" i="212"/>
  <c r="E225" i="212"/>
  <c r="D225" i="212"/>
  <c r="C225" i="212"/>
  <c r="AV224" i="212"/>
  <c r="AT224" i="212"/>
  <c r="AR224" i="212"/>
  <c r="I224" i="212"/>
  <c r="H224" i="212"/>
  <c r="G224" i="212"/>
  <c r="E224" i="212"/>
  <c r="D224" i="212"/>
  <c r="C224" i="212"/>
  <c r="AV223" i="212"/>
  <c r="AT223" i="212"/>
  <c r="AR223" i="212"/>
  <c r="I223" i="212"/>
  <c r="H223" i="212"/>
  <c r="G223" i="212"/>
  <c r="E223" i="212"/>
  <c r="D223" i="212"/>
  <c r="C223" i="212"/>
  <c r="AV222" i="212"/>
  <c r="AT222" i="212"/>
  <c r="AR222" i="212"/>
  <c r="I222" i="212"/>
  <c r="H222" i="212"/>
  <c r="G222" i="212"/>
  <c r="E222" i="212"/>
  <c r="D222" i="212"/>
  <c r="C222" i="212"/>
  <c r="AV221" i="212"/>
  <c r="AT221" i="212"/>
  <c r="AR221" i="212"/>
  <c r="I221" i="212"/>
  <c r="H221" i="212"/>
  <c r="G221" i="212"/>
  <c r="E221" i="212"/>
  <c r="D221" i="212"/>
  <c r="C221" i="212"/>
  <c r="AV220" i="212"/>
  <c r="AT220" i="212"/>
  <c r="AR220" i="212"/>
  <c r="I220" i="212"/>
  <c r="H220" i="212"/>
  <c r="G220" i="212"/>
  <c r="E220" i="212"/>
  <c r="D220" i="212"/>
  <c r="C220" i="212"/>
  <c r="AV219" i="212"/>
  <c r="AT219" i="212"/>
  <c r="AR219" i="212"/>
  <c r="I219" i="212"/>
  <c r="H219" i="212"/>
  <c r="G219" i="212"/>
  <c r="E219" i="212"/>
  <c r="D219" i="212"/>
  <c r="C219" i="212"/>
  <c r="AV218" i="212"/>
  <c r="AT218" i="212"/>
  <c r="AR218" i="212"/>
  <c r="I218" i="212"/>
  <c r="H218" i="212"/>
  <c r="G218" i="212"/>
  <c r="E218" i="212"/>
  <c r="D218" i="212"/>
  <c r="C218" i="212"/>
  <c r="AV217" i="212"/>
  <c r="AT217" i="212"/>
  <c r="AR217" i="212"/>
  <c r="I217" i="212"/>
  <c r="H217" i="212"/>
  <c r="G217" i="212"/>
  <c r="E217" i="212"/>
  <c r="D217" i="212"/>
  <c r="C217" i="212"/>
  <c r="AV216" i="212"/>
  <c r="AT216" i="212"/>
  <c r="AR216" i="212"/>
  <c r="I216" i="212"/>
  <c r="H216" i="212"/>
  <c r="G216" i="212"/>
  <c r="E216" i="212"/>
  <c r="D216" i="212"/>
  <c r="C216" i="212"/>
  <c r="AV215" i="212"/>
  <c r="AT215" i="212"/>
  <c r="AR215" i="212"/>
  <c r="I215" i="212"/>
  <c r="H215" i="212"/>
  <c r="G215" i="212"/>
  <c r="E215" i="212"/>
  <c r="D215" i="212"/>
  <c r="C215" i="212"/>
  <c r="AV214" i="212"/>
  <c r="AT214" i="212"/>
  <c r="AR214" i="212"/>
  <c r="I214" i="212"/>
  <c r="H214" i="212"/>
  <c r="G214" i="212"/>
  <c r="E214" i="212"/>
  <c r="D214" i="212"/>
  <c r="C214" i="212"/>
  <c r="AV213" i="212"/>
  <c r="AT213" i="212"/>
  <c r="AR213" i="212"/>
  <c r="I213" i="212"/>
  <c r="H213" i="212"/>
  <c r="G213" i="212"/>
  <c r="E213" i="212"/>
  <c r="D213" i="212"/>
  <c r="C213" i="212"/>
  <c r="AV212" i="212"/>
  <c r="AT212" i="212"/>
  <c r="AR212" i="212"/>
  <c r="I212" i="212"/>
  <c r="H212" i="212"/>
  <c r="G212" i="212"/>
  <c r="E212" i="212"/>
  <c r="D212" i="212"/>
  <c r="C212" i="212"/>
  <c r="AV211" i="212"/>
  <c r="AT211" i="212"/>
  <c r="AR211" i="212"/>
  <c r="I211" i="212"/>
  <c r="H211" i="212"/>
  <c r="G211" i="212"/>
  <c r="E211" i="212"/>
  <c r="D211" i="212"/>
  <c r="C211" i="212"/>
  <c r="AV210" i="212"/>
  <c r="AT210" i="212"/>
  <c r="AR210" i="212"/>
  <c r="I210" i="212"/>
  <c r="H210" i="212"/>
  <c r="G210" i="212"/>
  <c r="E210" i="212"/>
  <c r="D210" i="212"/>
  <c r="C210" i="212"/>
  <c r="AV209" i="212"/>
  <c r="AT209" i="212"/>
  <c r="AR209" i="212"/>
  <c r="I209" i="212"/>
  <c r="H209" i="212"/>
  <c r="G209" i="212"/>
  <c r="E209" i="212"/>
  <c r="D209" i="212"/>
  <c r="C209" i="212"/>
  <c r="AV208" i="212"/>
  <c r="AT208" i="212"/>
  <c r="AR208" i="212"/>
  <c r="I208" i="212"/>
  <c r="H208" i="212"/>
  <c r="G208" i="212"/>
  <c r="E208" i="212"/>
  <c r="D208" i="212"/>
  <c r="C208" i="212"/>
  <c r="AV207" i="212"/>
  <c r="AT207" i="212"/>
  <c r="AR207" i="212"/>
  <c r="I207" i="212"/>
  <c r="H207" i="212"/>
  <c r="G207" i="212"/>
  <c r="E207" i="212"/>
  <c r="D207" i="212"/>
  <c r="C207" i="212"/>
  <c r="AV206" i="212"/>
  <c r="AT206" i="212"/>
  <c r="AR206" i="212"/>
  <c r="I206" i="212"/>
  <c r="H206" i="212"/>
  <c r="G206" i="212"/>
  <c r="E206" i="212"/>
  <c r="D206" i="212"/>
  <c r="C206" i="212"/>
  <c r="AV205" i="212"/>
  <c r="AT205" i="212"/>
  <c r="AR205" i="212"/>
  <c r="I205" i="212"/>
  <c r="H205" i="212"/>
  <c r="G205" i="212"/>
  <c r="E205" i="212"/>
  <c r="D205" i="212"/>
  <c r="C205" i="212"/>
  <c r="AV204" i="212"/>
  <c r="AT204" i="212"/>
  <c r="AR204" i="212"/>
  <c r="I204" i="212"/>
  <c r="H204" i="212"/>
  <c r="G204" i="212"/>
  <c r="E204" i="212"/>
  <c r="D204" i="212"/>
  <c r="C204" i="212"/>
  <c r="AV203" i="212"/>
  <c r="AT203" i="212"/>
  <c r="AR203" i="212"/>
  <c r="I203" i="212"/>
  <c r="H203" i="212"/>
  <c r="G203" i="212"/>
  <c r="E203" i="212"/>
  <c r="D203" i="212"/>
  <c r="C203" i="212"/>
  <c r="AV202" i="212"/>
  <c r="AT202" i="212"/>
  <c r="AR202" i="212"/>
  <c r="I202" i="212"/>
  <c r="H202" i="212"/>
  <c r="G202" i="212"/>
  <c r="E202" i="212"/>
  <c r="D202" i="212"/>
  <c r="C202" i="212"/>
  <c r="AV201" i="212"/>
  <c r="AT201" i="212"/>
  <c r="AR201" i="212"/>
  <c r="I201" i="212"/>
  <c r="H201" i="212"/>
  <c r="G201" i="212"/>
  <c r="E201" i="212"/>
  <c r="D201" i="212"/>
  <c r="C201" i="212"/>
  <c r="AV200" i="212"/>
  <c r="AT200" i="212"/>
  <c r="AR200" i="212"/>
  <c r="I200" i="212"/>
  <c r="H200" i="212"/>
  <c r="G200" i="212"/>
  <c r="E200" i="212"/>
  <c r="D200" i="212"/>
  <c r="C200" i="212"/>
  <c r="AV199" i="212"/>
  <c r="AT199" i="212"/>
  <c r="AR199" i="212"/>
  <c r="I199" i="212"/>
  <c r="H199" i="212"/>
  <c r="G199" i="212"/>
  <c r="E199" i="212"/>
  <c r="D199" i="212"/>
  <c r="C199" i="212"/>
  <c r="AV198" i="212"/>
  <c r="AT198" i="212"/>
  <c r="AR198" i="212"/>
  <c r="I198" i="212"/>
  <c r="H198" i="212"/>
  <c r="G198" i="212"/>
  <c r="E198" i="212"/>
  <c r="D198" i="212"/>
  <c r="C198" i="212"/>
  <c r="AV197" i="212"/>
  <c r="AT197" i="212"/>
  <c r="AR197" i="212"/>
  <c r="I197" i="212"/>
  <c r="H197" i="212"/>
  <c r="G197" i="212"/>
  <c r="E197" i="212"/>
  <c r="D197" i="212"/>
  <c r="C197" i="212"/>
  <c r="AV196" i="212"/>
  <c r="AT196" i="212"/>
  <c r="AR196" i="212"/>
  <c r="I196" i="212"/>
  <c r="H196" i="212"/>
  <c r="G196" i="212"/>
  <c r="E196" i="212"/>
  <c r="D196" i="212"/>
  <c r="C196" i="212"/>
  <c r="AV195" i="212"/>
  <c r="AT195" i="212"/>
  <c r="AR195" i="212"/>
  <c r="I195" i="212"/>
  <c r="H195" i="212"/>
  <c r="G195" i="212"/>
  <c r="E195" i="212"/>
  <c r="D195" i="212"/>
  <c r="C195" i="212"/>
  <c r="AV194" i="212"/>
  <c r="AT194" i="212"/>
  <c r="AR194" i="212"/>
  <c r="I194" i="212"/>
  <c r="H194" i="212"/>
  <c r="G194" i="212"/>
  <c r="E194" i="212"/>
  <c r="D194" i="212"/>
  <c r="C194" i="212"/>
  <c r="AV193" i="212"/>
  <c r="AT193" i="212"/>
  <c r="AR193" i="212"/>
  <c r="I193" i="212"/>
  <c r="H193" i="212"/>
  <c r="G193" i="212"/>
  <c r="E193" i="212"/>
  <c r="D193" i="212"/>
  <c r="C193" i="212"/>
  <c r="AV192" i="212"/>
  <c r="AT192" i="212"/>
  <c r="AR192" i="212"/>
  <c r="I192" i="212"/>
  <c r="H192" i="212"/>
  <c r="G192" i="212"/>
  <c r="E192" i="212"/>
  <c r="D192" i="212"/>
  <c r="C192" i="212"/>
  <c r="AV191" i="212"/>
  <c r="AT191" i="212"/>
  <c r="AR191" i="212"/>
  <c r="I191" i="212"/>
  <c r="H191" i="212"/>
  <c r="G191" i="212"/>
  <c r="E191" i="212"/>
  <c r="D191" i="212"/>
  <c r="C191" i="212"/>
  <c r="AV190" i="212"/>
  <c r="AT190" i="212"/>
  <c r="AR190" i="212"/>
  <c r="I190" i="212"/>
  <c r="H190" i="212"/>
  <c r="G190" i="212"/>
  <c r="E190" i="212"/>
  <c r="D190" i="212"/>
  <c r="C190" i="212"/>
  <c r="AV189" i="212"/>
  <c r="AT189" i="212"/>
  <c r="AR189" i="212"/>
  <c r="I189" i="212"/>
  <c r="H189" i="212"/>
  <c r="G189" i="212"/>
  <c r="E189" i="212"/>
  <c r="D189" i="212"/>
  <c r="C189" i="212"/>
  <c r="AV188" i="212"/>
  <c r="AT188" i="212"/>
  <c r="AR188" i="212"/>
  <c r="I188" i="212"/>
  <c r="H188" i="212"/>
  <c r="G188" i="212"/>
  <c r="E188" i="212"/>
  <c r="D188" i="212"/>
  <c r="C188" i="212"/>
  <c r="AV187" i="212"/>
  <c r="AT187" i="212"/>
  <c r="AR187" i="212"/>
  <c r="I187" i="212"/>
  <c r="H187" i="212"/>
  <c r="G187" i="212"/>
  <c r="E187" i="212"/>
  <c r="D187" i="212"/>
  <c r="C187" i="212"/>
  <c r="AV186" i="212"/>
  <c r="AT186" i="212"/>
  <c r="AR186" i="212"/>
  <c r="I186" i="212"/>
  <c r="H186" i="212"/>
  <c r="G186" i="212"/>
  <c r="E186" i="212"/>
  <c r="D186" i="212"/>
  <c r="C186" i="212"/>
  <c r="AV185" i="212"/>
  <c r="AT185" i="212"/>
  <c r="AR185" i="212"/>
  <c r="I185" i="212"/>
  <c r="H185" i="212"/>
  <c r="G185" i="212"/>
  <c r="E185" i="212"/>
  <c r="D185" i="212"/>
  <c r="C185" i="212"/>
  <c r="AV184" i="212"/>
  <c r="AT184" i="212"/>
  <c r="AR184" i="212"/>
  <c r="I184" i="212"/>
  <c r="H184" i="212"/>
  <c r="G184" i="212"/>
  <c r="E184" i="212"/>
  <c r="D184" i="212"/>
  <c r="C184" i="212"/>
  <c r="AV183" i="212"/>
  <c r="AT183" i="212"/>
  <c r="AR183" i="212"/>
  <c r="I183" i="212"/>
  <c r="H183" i="212"/>
  <c r="G183" i="212"/>
  <c r="E183" i="212"/>
  <c r="D183" i="212"/>
  <c r="C183" i="212"/>
  <c r="AV182" i="212"/>
  <c r="AT182" i="212"/>
  <c r="AR182" i="212"/>
  <c r="I182" i="212"/>
  <c r="H182" i="212"/>
  <c r="G182" i="212"/>
  <c r="E182" i="212"/>
  <c r="D182" i="212"/>
  <c r="C182" i="212"/>
  <c r="AV181" i="212"/>
  <c r="AT181" i="212"/>
  <c r="AR181" i="212"/>
  <c r="I181" i="212"/>
  <c r="H181" i="212"/>
  <c r="G181" i="212"/>
  <c r="E181" i="212"/>
  <c r="D181" i="212"/>
  <c r="C181" i="212"/>
  <c r="AV180" i="212"/>
  <c r="AT180" i="212"/>
  <c r="AR180" i="212"/>
  <c r="I180" i="212"/>
  <c r="H180" i="212"/>
  <c r="G180" i="212"/>
  <c r="E180" i="212"/>
  <c r="D180" i="212"/>
  <c r="C180" i="212"/>
  <c r="AV179" i="212"/>
  <c r="AT179" i="212"/>
  <c r="AR179" i="212"/>
  <c r="I179" i="212"/>
  <c r="H179" i="212"/>
  <c r="G179" i="212"/>
  <c r="E179" i="212"/>
  <c r="D179" i="212"/>
  <c r="C179" i="212"/>
  <c r="AV178" i="212"/>
  <c r="AT178" i="212"/>
  <c r="AR178" i="212"/>
  <c r="I178" i="212"/>
  <c r="H178" i="212"/>
  <c r="G178" i="212"/>
  <c r="E178" i="212"/>
  <c r="D178" i="212"/>
  <c r="C178" i="212"/>
  <c r="AV177" i="212"/>
  <c r="AT177" i="212"/>
  <c r="AR177" i="212"/>
  <c r="I177" i="212"/>
  <c r="H177" i="212"/>
  <c r="G177" i="212"/>
  <c r="E177" i="212"/>
  <c r="D177" i="212"/>
  <c r="C177" i="212"/>
  <c r="AV176" i="212"/>
  <c r="AT176" i="212"/>
  <c r="AR176" i="212"/>
  <c r="I176" i="212"/>
  <c r="H176" i="212"/>
  <c r="G176" i="212"/>
  <c r="E176" i="212"/>
  <c r="D176" i="212"/>
  <c r="C176" i="212"/>
  <c r="AV175" i="212"/>
  <c r="AT175" i="212"/>
  <c r="AR175" i="212"/>
  <c r="I175" i="212"/>
  <c r="H175" i="212"/>
  <c r="G175" i="212"/>
  <c r="E175" i="212"/>
  <c r="D175" i="212"/>
  <c r="C175" i="212"/>
  <c r="AV174" i="212"/>
  <c r="AT174" i="212"/>
  <c r="AR174" i="212"/>
  <c r="I174" i="212"/>
  <c r="H174" i="212"/>
  <c r="G174" i="212"/>
  <c r="E174" i="212"/>
  <c r="D174" i="212"/>
  <c r="C174" i="212"/>
  <c r="AV173" i="212"/>
  <c r="AT173" i="212"/>
  <c r="AR173" i="212"/>
  <c r="I173" i="212"/>
  <c r="H173" i="212"/>
  <c r="G173" i="212"/>
  <c r="E173" i="212"/>
  <c r="D173" i="212"/>
  <c r="C173" i="212"/>
  <c r="AV172" i="212"/>
  <c r="AT172" i="212"/>
  <c r="AR172" i="212"/>
  <c r="I172" i="212"/>
  <c r="H172" i="212"/>
  <c r="G172" i="212"/>
  <c r="E172" i="212"/>
  <c r="D172" i="212"/>
  <c r="C172" i="212"/>
  <c r="AV171" i="212"/>
  <c r="AT171" i="212"/>
  <c r="AR171" i="212"/>
  <c r="I171" i="212"/>
  <c r="H171" i="212"/>
  <c r="G171" i="212"/>
  <c r="E171" i="212"/>
  <c r="D171" i="212"/>
  <c r="C171" i="212"/>
  <c r="AV170" i="212"/>
  <c r="AT170" i="212"/>
  <c r="AR170" i="212"/>
  <c r="I170" i="212"/>
  <c r="H170" i="212"/>
  <c r="G170" i="212"/>
  <c r="E170" i="212"/>
  <c r="D170" i="212"/>
  <c r="C170" i="212"/>
  <c r="AV169" i="212"/>
  <c r="AT169" i="212"/>
  <c r="AR169" i="212"/>
  <c r="I169" i="212"/>
  <c r="H169" i="212"/>
  <c r="G169" i="212"/>
  <c r="E169" i="212"/>
  <c r="D169" i="212"/>
  <c r="C169" i="212"/>
  <c r="AV168" i="212"/>
  <c r="AT168" i="212"/>
  <c r="AR168" i="212"/>
  <c r="I168" i="212"/>
  <c r="H168" i="212"/>
  <c r="G168" i="212"/>
  <c r="E168" i="212"/>
  <c r="D168" i="212"/>
  <c r="C168" i="212"/>
  <c r="AV167" i="212"/>
  <c r="AT167" i="212"/>
  <c r="AR167" i="212"/>
  <c r="I167" i="212"/>
  <c r="H167" i="212"/>
  <c r="G167" i="212"/>
  <c r="E167" i="212"/>
  <c r="D167" i="212"/>
  <c r="C167" i="212"/>
  <c r="AV166" i="212"/>
  <c r="AT166" i="212"/>
  <c r="AR166" i="212"/>
  <c r="I166" i="212"/>
  <c r="H166" i="212"/>
  <c r="G166" i="212"/>
  <c r="E166" i="212"/>
  <c r="D166" i="212"/>
  <c r="C166" i="212"/>
  <c r="AV165" i="212"/>
  <c r="AT165" i="212"/>
  <c r="AR165" i="212"/>
  <c r="I165" i="212"/>
  <c r="H165" i="212"/>
  <c r="G165" i="212"/>
  <c r="E165" i="212"/>
  <c r="D165" i="212"/>
  <c r="C165" i="212"/>
  <c r="AV164" i="212"/>
  <c r="AT164" i="212"/>
  <c r="AR164" i="212"/>
  <c r="I164" i="212"/>
  <c r="H164" i="212"/>
  <c r="G164" i="212"/>
  <c r="E164" i="212"/>
  <c r="D164" i="212"/>
  <c r="C164" i="212"/>
  <c r="AV163" i="212"/>
  <c r="AT163" i="212"/>
  <c r="AR163" i="212"/>
  <c r="I163" i="212"/>
  <c r="H163" i="212"/>
  <c r="G163" i="212"/>
  <c r="E163" i="212"/>
  <c r="D163" i="212"/>
  <c r="C163" i="212"/>
  <c r="AV162" i="212"/>
  <c r="AT162" i="212"/>
  <c r="AR162" i="212"/>
  <c r="I162" i="212"/>
  <c r="H162" i="212"/>
  <c r="G162" i="212"/>
  <c r="E162" i="212"/>
  <c r="D162" i="212"/>
  <c r="C162" i="212"/>
  <c r="AV161" i="212"/>
  <c r="AT161" i="212"/>
  <c r="AR161" i="212"/>
  <c r="I161" i="212"/>
  <c r="H161" i="212"/>
  <c r="G161" i="212"/>
  <c r="E161" i="212"/>
  <c r="D161" i="212"/>
  <c r="C161" i="212"/>
  <c r="AV160" i="212"/>
  <c r="AT160" i="212"/>
  <c r="AR160" i="212"/>
  <c r="I160" i="212"/>
  <c r="H160" i="212"/>
  <c r="G160" i="212"/>
  <c r="E160" i="212"/>
  <c r="D160" i="212"/>
  <c r="C160" i="212"/>
  <c r="AV159" i="212"/>
  <c r="AT159" i="212"/>
  <c r="AR159" i="212"/>
  <c r="I159" i="212"/>
  <c r="H159" i="212"/>
  <c r="G159" i="212"/>
  <c r="E159" i="212"/>
  <c r="D159" i="212"/>
  <c r="C159" i="212"/>
  <c r="AV158" i="212"/>
  <c r="AT158" i="212"/>
  <c r="AR158" i="212"/>
  <c r="I158" i="212"/>
  <c r="H158" i="212"/>
  <c r="G158" i="212"/>
  <c r="E158" i="212"/>
  <c r="D158" i="212"/>
  <c r="C158" i="212"/>
  <c r="AV157" i="212"/>
  <c r="AT157" i="212"/>
  <c r="AR157" i="212"/>
  <c r="I157" i="212"/>
  <c r="H157" i="212"/>
  <c r="G157" i="212"/>
  <c r="E157" i="212"/>
  <c r="D157" i="212"/>
  <c r="C157" i="212"/>
  <c r="AV156" i="212"/>
  <c r="AT156" i="212"/>
  <c r="AR156" i="212"/>
  <c r="I156" i="212"/>
  <c r="H156" i="212"/>
  <c r="G156" i="212"/>
  <c r="E156" i="212"/>
  <c r="D156" i="212"/>
  <c r="C156" i="212"/>
  <c r="AV155" i="212"/>
  <c r="AT155" i="212"/>
  <c r="AR155" i="212"/>
  <c r="I155" i="212"/>
  <c r="H155" i="212"/>
  <c r="G155" i="212"/>
  <c r="E155" i="212"/>
  <c r="D155" i="212"/>
  <c r="C155" i="212"/>
  <c r="AV154" i="212"/>
  <c r="AT154" i="212"/>
  <c r="AR154" i="212"/>
  <c r="I154" i="212"/>
  <c r="H154" i="212"/>
  <c r="G154" i="212"/>
  <c r="E154" i="212"/>
  <c r="D154" i="212"/>
  <c r="C154" i="212"/>
  <c r="AV153" i="212"/>
  <c r="AT153" i="212"/>
  <c r="AR153" i="212"/>
  <c r="I153" i="212"/>
  <c r="H153" i="212"/>
  <c r="G153" i="212"/>
  <c r="E153" i="212"/>
  <c r="D153" i="212"/>
  <c r="C153" i="212"/>
  <c r="AV152" i="212"/>
  <c r="AT152" i="212"/>
  <c r="AR152" i="212"/>
  <c r="I152" i="212"/>
  <c r="H152" i="212"/>
  <c r="G152" i="212"/>
  <c r="E152" i="212"/>
  <c r="D152" i="212"/>
  <c r="C152" i="212"/>
  <c r="AV151" i="212"/>
  <c r="AT151" i="212"/>
  <c r="AR151" i="212"/>
  <c r="I151" i="212"/>
  <c r="H151" i="212"/>
  <c r="G151" i="212"/>
  <c r="E151" i="212"/>
  <c r="D151" i="212"/>
  <c r="C151" i="212"/>
  <c r="AV150" i="212"/>
  <c r="AT150" i="212"/>
  <c r="AR150" i="212"/>
  <c r="I150" i="212"/>
  <c r="H150" i="212"/>
  <c r="G150" i="212"/>
  <c r="E150" i="212"/>
  <c r="D150" i="212"/>
  <c r="C150" i="212"/>
  <c r="AV149" i="212"/>
  <c r="AT149" i="212"/>
  <c r="AR149" i="212"/>
  <c r="I149" i="212"/>
  <c r="H149" i="212"/>
  <c r="G149" i="212"/>
  <c r="E149" i="212"/>
  <c r="D149" i="212"/>
  <c r="C149" i="212"/>
  <c r="AV148" i="212"/>
  <c r="AT148" i="212"/>
  <c r="AR148" i="212"/>
  <c r="I148" i="212"/>
  <c r="H148" i="212"/>
  <c r="G148" i="212"/>
  <c r="E148" i="212"/>
  <c r="D148" i="212"/>
  <c r="C148" i="212"/>
  <c r="AV147" i="212"/>
  <c r="AT147" i="212"/>
  <c r="AR147" i="212"/>
  <c r="I147" i="212"/>
  <c r="H147" i="212"/>
  <c r="G147" i="212"/>
  <c r="E147" i="212"/>
  <c r="D147" i="212"/>
  <c r="C147" i="212"/>
  <c r="AV146" i="212"/>
  <c r="AT146" i="212"/>
  <c r="AR146" i="212"/>
  <c r="I146" i="212"/>
  <c r="H146" i="212"/>
  <c r="G146" i="212"/>
  <c r="E146" i="212"/>
  <c r="D146" i="212"/>
  <c r="C146" i="212"/>
  <c r="AV145" i="212"/>
  <c r="AT145" i="212"/>
  <c r="AR145" i="212"/>
  <c r="I145" i="212"/>
  <c r="H145" i="212"/>
  <c r="G145" i="212"/>
  <c r="E145" i="212"/>
  <c r="D145" i="212"/>
  <c r="C145" i="212"/>
  <c r="AV144" i="212"/>
  <c r="AT144" i="212"/>
  <c r="AR144" i="212"/>
  <c r="I144" i="212"/>
  <c r="H144" i="212"/>
  <c r="G144" i="212"/>
  <c r="E144" i="212"/>
  <c r="D144" i="212"/>
  <c r="C144" i="212"/>
  <c r="AV143" i="212"/>
  <c r="AT143" i="212"/>
  <c r="AR143" i="212"/>
  <c r="I143" i="212"/>
  <c r="H143" i="212"/>
  <c r="G143" i="212"/>
  <c r="E143" i="212"/>
  <c r="D143" i="212"/>
  <c r="C143" i="212"/>
  <c r="AV142" i="212"/>
  <c r="AT142" i="212"/>
  <c r="AR142" i="212"/>
  <c r="I142" i="212"/>
  <c r="H142" i="212"/>
  <c r="G142" i="212"/>
  <c r="E142" i="212"/>
  <c r="D142" i="212"/>
  <c r="C142" i="212"/>
  <c r="AV141" i="212"/>
  <c r="AT141" i="212"/>
  <c r="AR141" i="212"/>
  <c r="I141" i="212"/>
  <c r="H141" i="212"/>
  <c r="G141" i="212"/>
  <c r="E141" i="212"/>
  <c r="D141" i="212"/>
  <c r="C141" i="212"/>
  <c r="AV140" i="212"/>
  <c r="AT140" i="212"/>
  <c r="AR140" i="212"/>
  <c r="I140" i="212"/>
  <c r="H140" i="212"/>
  <c r="G140" i="212"/>
  <c r="E140" i="212"/>
  <c r="D140" i="212"/>
  <c r="C140" i="212"/>
  <c r="AV139" i="212"/>
  <c r="AT139" i="212"/>
  <c r="AR139" i="212"/>
  <c r="I139" i="212"/>
  <c r="H139" i="212"/>
  <c r="G139" i="212"/>
  <c r="E139" i="212"/>
  <c r="D139" i="212"/>
  <c r="C139" i="212"/>
  <c r="AV138" i="212"/>
  <c r="AT138" i="212"/>
  <c r="AR138" i="212"/>
  <c r="I138" i="212"/>
  <c r="H138" i="212"/>
  <c r="G138" i="212"/>
  <c r="E138" i="212"/>
  <c r="D138" i="212"/>
  <c r="C138" i="212"/>
  <c r="AV137" i="212"/>
  <c r="AT137" i="212"/>
  <c r="AR137" i="212"/>
  <c r="I137" i="212"/>
  <c r="H137" i="212"/>
  <c r="G137" i="212"/>
  <c r="E137" i="212"/>
  <c r="D137" i="212"/>
  <c r="C137" i="212"/>
  <c r="AV136" i="212"/>
  <c r="AT136" i="212"/>
  <c r="AR136" i="212"/>
  <c r="I136" i="212"/>
  <c r="H136" i="212"/>
  <c r="G136" i="212"/>
  <c r="E136" i="212"/>
  <c r="D136" i="212"/>
  <c r="C136" i="212"/>
  <c r="AV135" i="212"/>
  <c r="AT135" i="212"/>
  <c r="AR135" i="212"/>
  <c r="I135" i="212"/>
  <c r="H135" i="212"/>
  <c r="G135" i="212"/>
  <c r="E135" i="212"/>
  <c r="D135" i="212"/>
  <c r="C135" i="212"/>
  <c r="AV134" i="212"/>
  <c r="AT134" i="212"/>
  <c r="AR134" i="212"/>
  <c r="I134" i="212"/>
  <c r="H134" i="212"/>
  <c r="G134" i="212"/>
  <c r="E134" i="212"/>
  <c r="D134" i="212"/>
  <c r="C134" i="212"/>
  <c r="AV133" i="212"/>
  <c r="AT133" i="212"/>
  <c r="AR133" i="212"/>
  <c r="I133" i="212"/>
  <c r="H133" i="212"/>
  <c r="G133" i="212"/>
  <c r="E133" i="212"/>
  <c r="D133" i="212"/>
  <c r="C133" i="212"/>
  <c r="AV132" i="212"/>
  <c r="AT132" i="212"/>
  <c r="AR132" i="212"/>
  <c r="I132" i="212"/>
  <c r="H132" i="212"/>
  <c r="G132" i="212"/>
  <c r="E132" i="212"/>
  <c r="D132" i="212"/>
  <c r="C132" i="212"/>
  <c r="AV131" i="212"/>
  <c r="AT131" i="212"/>
  <c r="AR131" i="212"/>
  <c r="I131" i="212"/>
  <c r="H131" i="212"/>
  <c r="G131" i="212"/>
  <c r="E131" i="212"/>
  <c r="D131" i="212"/>
  <c r="C131" i="212"/>
  <c r="AV130" i="212"/>
  <c r="AT130" i="212"/>
  <c r="AR130" i="212"/>
  <c r="I130" i="212"/>
  <c r="H130" i="212"/>
  <c r="G130" i="212"/>
  <c r="E130" i="212"/>
  <c r="D130" i="212"/>
  <c r="C130" i="212"/>
  <c r="AV129" i="212"/>
  <c r="AT129" i="212"/>
  <c r="AR129" i="212"/>
  <c r="I129" i="212"/>
  <c r="H129" i="212"/>
  <c r="G129" i="212"/>
  <c r="E129" i="212"/>
  <c r="D129" i="212"/>
  <c r="C129" i="212"/>
  <c r="AV128" i="212"/>
  <c r="AT128" i="212"/>
  <c r="AR128" i="212"/>
  <c r="I128" i="212"/>
  <c r="H128" i="212"/>
  <c r="G128" i="212"/>
  <c r="E128" i="212"/>
  <c r="D128" i="212"/>
  <c r="C128" i="212"/>
  <c r="AV127" i="212"/>
  <c r="AT127" i="212"/>
  <c r="AR127" i="212"/>
  <c r="I127" i="212"/>
  <c r="H127" i="212"/>
  <c r="G127" i="212"/>
  <c r="E127" i="212"/>
  <c r="D127" i="212"/>
  <c r="C127" i="212"/>
  <c r="AV126" i="212"/>
  <c r="AT126" i="212"/>
  <c r="AR126" i="212"/>
  <c r="I126" i="212"/>
  <c r="H126" i="212"/>
  <c r="G126" i="212"/>
  <c r="E126" i="212"/>
  <c r="D126" i="212"/>
  <c r="C126" i="212"/>
  <c r="AV125" i="212"/>
  <c r="AT125" i="212"/>
  <c r="AR125" i="212"/>
  <c r="I125" i="212"/>
  <c r="H125" i="212"/>
  <c r="G125" i="212"/>
  <c r="E125" i="212"/>
  <c r="D125" i="212"/>
  <c r="C125" i="212"/>
  <c r="AV124" i="212"/>
  <c r="AT124" i="212"/>
  <c r="AR124" i="212"/>
  <c r="I124" i="212"/>
  <c r="H124" i="212"/>
  <c r="G124" i="212"/>
  <c r="E124" i="212"/>
  <c r="D124" i="212"/>
  <c r="C124" i="212"/>
  <c r="AV123" i="212"/>
  <c r="AT123" i="212"/>
  <c r="AR123" i="212"/>
  <c r="I123" i="212"/>
  <c r="H123" i="212"/>
  <c r="G123" i="212"/>
  <c r="E123" i="212"/>
  <c r="D123" i="212"/>
  <c r="C123" i="212"/>
  <c r="AV122" i="212"/>
  <c r="AT122" i="212"/>
  <c r="AR122" i="212"/>
  <c r="I122" i="212"/>
  <c r="H122" i="212"/>
  <c r="G122" i="212"/>
  <c r="E122" i="212"/>
  <c r="D122" i="212"/>
  <c r="C122" i="212"/>
  <c r="AV121" i="212"/>
  <c r="AT121" i="212"/>
  <c r="AR121" i="212"/>
  <c r="I121" i="212"/>
  <c r="H121" i="212"/>
  <c r="G121" i="212"/>
  <c r="E121" i="212"/>
  <c r="D121" i="212"/>
  <c r="C121" i="212"/>
  <c r="AV120" i="212"/>
  <c r="AT120" i="212"/>
  <c r="AR120" i="212"/>
  <c r="I120" i="212"/>
  <c r="H120" i="212"/>
  <c r="G120" i="212"/>
  <c r="E120" i="212"/>
  <c r="D120" i="212"/>
  <c r="C120" i="212"/>
  <c r="AV119" i="212"/>
  <c r="AT119" i="212"/>
  <c r="AR119" i="212"/>
  <c r="I119" i="212"/>
  <c r="H119" i="212"/>
  <c r="G119" i="212"/>
  <c r="E119" i="212"/>
  <c r="D119" i="212"/>
  <c r="C119" i="212"/>
  <c r="AV118" i="212"/>
  <c r="AT118" i="212"/>
  <c r="AR118" i="212"/>
  <c r="I118" i="212"/>
  <c r="H118" i="212"/>
  <c r="G118" i="212"/>
  <c r="E118" i="212"/>
  <c r="D118" i="212"/>
  <c r="C118" i="212"/>
  <c r="AV117" i="212"/>
  <c r="AT117" i="212"/>
  <c r="AR117" i="212"/>
  <c r="I117" i="212"/>
  <c r="H117" i="212"/>
  <c r="G117" i="212"/>
  <c r="E117" i="212"/>
  <c r="D117" i="212"/>
  <c r="C117" i="212"/>
  <c r="AV116" i="212"/>
  <c r="AT116" i="212"/>
  <c r="AR116" i="212"/>
  <c r="I116" i="212"/>
  <c r="H116" i="212"/>
  <c r="G116" i="212"/>
  <c r="E116" i="212"/>
  <c r="D116" i="212"/>
  <c r="C116" i="212"/>
  <c r="AV115" i="212"/>
  <c r="AT115" i="212"/>
  <c r="AR115" i="212"/>
  <c r="I115" i="212"/>
  <c r="H115" i="212"/>
  <c r="G115" i="212"/>
  <c r="E115" i="212"/>
  <c r="D115" i="212"/>
  <c r="C115" i="212"/>
  <c r="AV114" i="212"/>
  <c r="AT114" i="212"/>
  <c r="AR114" i="212"/>
  <c r="I114" i="212"/>
  <c r="H114" i="212"/>
  <c r="G114" i="212"/>
  <c r="E114" i="212"/>
  <c r="D114" i="212"/>
  <c r="C114" i="212"/>
  <c r="AV113" i="212"/>
  <c r="AT113" i="212"/>
  <c r="AR113" i="212"/>
  <c r="I113" i="212"/>
  <c r="H113" i="212"/>
  <c r="G113" i="212"/>
  <c r="E113" i="212"/>
  <c r="D113" i="212"/>
  <c r="C113" i="212"/>
  <c r="AV112" i="212"/>
  <c r="AT112" i="212"/>
  <c r="AR112" i="212"/>
  <c r="I112" i="212"/>
  <c r="H112" i="212"/>
  <c r="G112" i="212"/>
  <c r="E112" i="212"/>
  <c r="D112" i="212"/>
  <c r="C112" i="212"/>
  <c r="AV111" i="212"/>
  <c r="AT111" i="212"/>
  <c r="AR111" i="212"/>
  <c r="I111" i="212"/>
  <c r="H111" i="212"/>
  <c r="G111" i="212"/>
  <c r="E111" i="212"/>
  <c r="D111" i="212"/>
  <c r="C111" i="212"/>
  <c r="AV110" i="212"/>
  <c r="AT110" i="212"/>
  <c r="AR110" i="212"/>
  <c r="I110" i="212"/>
  <c r="H110" i="212"/>
  <c r="G110" i="212"/>
  <c r="E110" i="212"/>
  <c r="D110" i="212"/>
  <c r="C110" i="212"/>
  <c r="AV109" i="212"/>
  <c r="AT109" i="212"/>
  <c r="AR109" i="212"/>
  <c r="I109" i="212"/>
  <c r="H109" i="212"/>
  <c r="G109" i="212"/>
  <c r="E109" i="212"/>
  <c r="D109" i="212"/>
  <c r="C109" i="212"/>
  <c r="AV108" i="212"/>
  <c r="AT108" i="212"/>
  <c r="AR108" i="212"/>
  <c r="I108" i="212"/>
  <c r="H108" i="212"/>
  <c r="G108" i="212"/>
  <c r="E108" i="212"/>
  <c r="D108" i="212"/>
  <c r="C108" i="212"/>
  <c r="AV107" i="212"/>
  <c r="AT107" i="212"/>
  <c r="AR107" i="212"/>
  <c r="I107" i="212"/>
  <c r="H107" i="212"/>
  <c r="G107" i="212"/>
  <c r="E107" i="212"/>
  <c r="D107" i="212"/>
  <c r="C107" i="212"/>
  <c r="AV106" i="212"/>
  <c r="AT106" i="212"/>
  <c r="AR106" i="212"/>
  <c r="I106" i="212"/>
  <c r="H106" i="212"/>
  <c r="G106" i="212"/>
  <c r="E106" i="212"/>
  <c r="D106" i="212"/>
  <c r="C106" i="212"/>
  <c r="AV105" i="212"/>
  <c r="AT105" i="212"/>
  <c r="AR105" i="212"/>
  <c r="I105" i="212"/>
  <c r="H105" i="212"/>
  <c r="G105" i="212"/>
  <c r="E105" i="212"/>
  <c r="D105" i="212"/>
  <c r="C105" i="212"/>
  <c r="AV104" i="212"/>
  <c r="AT104" i="212"/>
  <c r="AR104" i="212"/>
  <c r="I104" i="212"/>
  <c r="H104" i="212"/>
  <c r="G104" i="212"/>
  <c r="E104" i="212"/>
  <c r="D104" i="212"/>
  <c r="C104" i="212"/>
  <c r="AV103" i="212"/>
  <c r="AT103" i="212"/>
  <c r="AR103" i="212"/>
  <c r="I103" i="212"/>
  <c r="H103" i="212"/>
  <c r="G103" i="212"/>
  <c r="E103" i="212"/>
  <c r="D103" i="212"/>
  <c r="C103" i="212"/>
  <c r="AV102" i="212"/>
  <c r="AT102" i="212"/>
  <c r="AR102" i="212"/>
  <c r="I102" i="212"/>
  <c r="H102" i="212"/>
  <c r="G102" i="212"/>
  <c r="E102" i="212"/>
  <c r="D102" i="212"/>
  <c r="C102" i="212"/>
  <c r="AV101" i="212"/>
  <c r="AT101" i="212"/>
  <c r="AR101" i="212"/>
  <c r="I101" i="212"/>
  <c r="H101" i="212"/>
  <c r="G101" i="212"/>
  <c r="E101" i="212"/>
  <c r="D101" i="212"/>
  <c r="C101" i="212"/>
  <c r="AV100" i="212"/>
  <c r="AT100" i="212"/>
  <c r="AR100" i="212"/>
  <c r="I100" i="212"/>
  <c r="H100" i="212"/>
  <c r="G100" i="212"/>
  <c r="E100" i="212"/>
  <c r="D100" i="212"/>
  <c r="C100" i="212"/>
  <c r="AV99" i="212"/>
  <c r="AT99" i="212"/>
  <c r="AR99" i="212"/>
  <c r="I99" i="212"/>
  <c r="H99" i="212"/>
  <c r="G99" i="212"/>
  <c r="E99" i="212"/>
  <c r="D99" i="212"/>
  <c r="C99" i="212"/>
  <c r="AV98" i="212"/>
  <c r="AT98" i="212"/>
  <c r="AR98" i="212"/>
  <c r="I98" i="212"/>
  <c r="H98" i="212"/>
  <c r="G98" i="212"/>
  <c r="E98" i="212"/>
  <c r="D98" i="212"/>
  <c r="C98" i="212"/>
  <c r="AV97" i="212"/>
  <c r="AT97" i="212"/>
  <c r="AR97" i="212"/>
  <c r="I97" i="212"/>
  <c r="H97" i="212"/>
  <c r="G97" i="212"/>
  <c r="E97" i="212"/>
  <c r="D97" i="212"/>
  <c r="C97" i="212"/>
  <c r="AV96" i="212"/>
  <c r="AT96" i="212"/>
  <c r="AR96" i="212"/>
  <c r="I96" i="212"/>
  <c r="H96" i="212"/>
  <c r="G96" i="212"/>
  <c r="E96" i="212"/>
  <c r="D96" i="212"/>
  <c r="C96" i="212"/>
  <c r="AV95" i="212"/>
  <c r="AT95" i="212"/>
  <c r="AR95" i="212"/>
  <c r="I95" i="212"/>
  <c r="H95" i="212"/>
  <c r="G95" i="212"/>
  <c r="E95" i="212"/>
  <c r="D95" i="212"/>
  <c r="C95" i="212"/>
  <c r="AV94" i="212"/>
  <c r="AT94" i="212"/>
  <c r="AR94" i="212"/>
  <c r="I94" i="212"/>
  <c r="H94" i="212"/>
  <c r="G94" i="212"/>
  <c r="E94" i="212"/>
  <c r="D94" i="212"/>
  <c r="C94" i="212"/>
  <c r="AV93" i="212"/>
  <c r="AT93" i="212"/>
  <c r="AR93" i="212"/>
  <c r="I93" i="212"/>
  <c r="H93" i="212"/>
  <c r="G93" i="212"/>
  <c r="E93" i="212"/>
  <c r="D93" i="212"/>
  <c r="C93" i="212"/>
  <c r="AV92" i="212"/>
  <c r="AT92" i="212"/>
  <c r="AR92" i="212"/>
  <c r="I92" i="212"/>
  <c r="H92" i="212"/>
  <c r="G92" i="212"/>
  <c r="E92" i="212"/>
  <c r="D92" i="212"/>
  <c r="C92" i="212"/>
  <c r="AV91" i="212"/>
  <c r="AT91" i="212"/>
  <c r="AR91" i="212"/>
  <c r="I91" i="212"/>
  <c r="H91" i="212"/>
  <c r="G91" i="212"/>
  <c r="E91" i="212"/>
  <c r="D91" i="212"/>
  <c r="C91" i="212"/>
  <c r="AV90" i="212"/>
  <c r="AT90" i="212"/>
  <c r="AR90" i="212"/>
  <c r="I90" i="212"/>
  <c r="H90" i="212"/>
  <c r="G90" i="212"/>
  <c r="E90" i="212"/>
  <c r="D90" i="212"/>
  <c r="C90" i="212"/>
  <c r="AV89" i="212"/>
  <c r="AT89" i="212"/>
  <c r="AR89" i="212"/>
  <c r="I89" i="212"/>
  <c r="H89" i="212"/>
  <c r="G89" i="212"/>
  <c r="E89" i="212"/>
  <c r="D89" i="212"/>
  <c r="C89" i="212"/>
  <c r="AV88" i="212"/>
  <c r="AT88" i="212"/>
  <c r="AR88" i="212"/>
  <c r="I88" i="212"/>
  <c r="H88" i="212"/>
  <c r="G88" i="212"/>
  <c r="E88" i="212"/>
  <c r="D88" i="212"/>
  <c r="C88" i="212"/>
  <c r="AV87" i="212"/>
  <c r="AT87" i="212"/>
  <c r="AR87" i="212"/>
  <c r="I87" i="212"/>
  <c r="H87" i="212"/>
  <c r="G87" i="212"/>
  <c r="E87" i="212"/>
  <c r="D87" i="212"/>
  <c r="C87" i="212"/>
  <c r="AV86" i="212"/>
  <c r="AT86" i="212"/>
  <c r="AR86" i="212"/>
  <c r="I86" i="212"/>
  <c r="H86" i="212"/>
  <c r="G86" i="212"/>
  <c r="E86" i="212"/>
  <c r="D86" i="212"/>
  <c r="C86" i="212"/>
  <c r="AV85" i="212"/>
  <c r="AT85" i="212"/>
  <c r="AR85" i="212"/>
  <c r="I85" i="212"/>
  <c r="H85" i="212"/>
  <c r="G85" i="212"/>
  <c r="E85" i="212"/>
  <c r="D85" i="212"/>
  <c r="C85" i="212"/>
  <c r="AV84" i="212"/>
  <c r="AT84" i="212"/>
  <c r="AR84" i="212"/>
  <c r="I84" i="212"/>
  <c r="H84" i="212"/>
  <c r="G84" i="212"/>
  <c r="E84" i="212"/>
  <c r="D84" i="212"/>
  <c r="C84" i="212"/>
  <c r="AV83" i="212"/>
  <c r="AT83" i="212"/>
  <c r="AR83" i="212"/>
  <c r="I83" i="212"/>
  <c r="H83" i="212"/>
  <c r="G83" i="212"/>
  <c r="E83" i="212"/>
  <c r="D83" i="212"/>
  <c r="C83" i="212"/>
  <c r="AV82" i="212"/>
  <c r="AT82" i="212"/>
  <c r="AR82" i="212"/>
  <c r="I82" i="212"/>
  <c r="H82" i="212"/>
  <c r="G82" i="212"/>
  <c r="E82" i="212"/>
  <c r="D82" i="212"/>
  <c r="C82" i="212"/>
  <c r="AV81" i="212"/>
  <c r="AT81" i="212"/>
  <c r="AR81" i="212"/>
  <c r="I81" i="212"/>
  <c r="H81" i="212"/>
  <c r="G81" i="212"/>
  <c r="E81" i="212"/>
  <c r="D81" i="212"/>
  <c r="C81" i="212"/>
  <c r="AV80" i="212"/>
  <c r="AT80" i="212"/>
  <c r="AR80" i="212"/>
  <c r="I80" i="212"/>
  <c r="H80" i="212"/>
  <c r="G80" i="212"/>
  <c r="E80" i="212"/>
  <c r="D80" i="212"/>
  <c r="C80" i="212"/>
  <c r="AV79" i="212"/>
  <c r="AT79" i="212"/>
  <c r="AR79" i="212"/>
  <c r="I79" i="212"/>
  <c r="H79" i="212"/>
  <c r="G79" i="212"/>
  <c r="E79" i="212"/>
  <c r="D79" i="212"/>
  <c r="C79" i="212"/>
  <c r="AV78" i="212"/>
  <c r="AT78" i="212"/>
  <c r="AR78" i="212"/>
  <c r="I78" i="212"/>
  <c r="H78" i="212"/>
  <c r="G78" i="212"/>
  <c r="E78" i="212"/>
  <c r="D78" i="212"/>
  <c r="C78" i="212"/>
  <c r="AV77" i="212"/>
  <c r="AT77" i="212"/>
  <c r="AR77" i="212"/>
  <c r="I77" i="212"/>
  <c r="H77" i="212"/>
  <c r="G77" i="212"/>
  <c r="E77" i="212"/>
  <c r="D77" i="212"/>
  <c r="C77" i="212"/>
  <c r="AV76" i="212"/>
  <c r="AT76" i="212"/>
  <c r="AR76" i="212"/>
  <c r="I76" i="212"/>
  <c r="H76" i="212"/>
  <c r="G76" i="212"/>
  <c r="E76" i="212"/>
  <c r="D76" i="212"/>
  <c r="C76" i="212"/>
  <c r="AV75" i="212"/>
  <c r="AT75" i="212"/>
  <c r="AR75" i="212"/>
  <c r="I75" i="212"/>
  <c r="H75" i="212"/>
  <c r="G75" i="212"/>
  <c r="E75" i="212"/>
  <c r="D75" i="212"/>
  <c r="C75" i="212"/>
  <c r="AV74" i="212"/>
  <c r="AT74" i="212"/>
  <c r="AR74" i="212"/>
  <c r="I74" i="212"/>
  <c r="H74" i="212"/>
  <c r="G74" i="212"/>
  <c r="E74" i="212"/>
  <c r="D74" i="212"/>
  <c r="C74" i="212"/>
  <c r="AV73" i="212"/>
  <c r="AT73" i="212"/>
  <c r="AR73" i="212"/>
  <c r="I73" i="212"/>
  <c r="H73" i="212"/>
  <c r="G73" i="212"/>
  <c r="E73" i="212"/>
  <c r="D73" i="212"/>
  <c r="C73" i="212"/>
  <c r="AV72" i="212"/>
  <c r="AT72" i="212"/>
  <c r="AR72" i="212"/>
  <c r="I72" i="212"/>
  <c r="H72" i="212"/>
  <c r="G72" i="212"/>
  <c r="E72" i="212"/>
  <c r="D72" i="212"/>
  <c r="C72" i="212"/>
  <c r="AV71" i="212"/>
  <c r="AT71" i="212"/>
  <c r="AR71" i="212"/>
  <c r="I71" i="212"/>
  <c r="H71" i="212"/>
  <c r="G71" i="212"/>
  <c r="E71" i="212"/>
  <c r="D71" i="212"/>
  <c r="C71" i="212"/>
  <c r="AV70" i="212"/>
  <c r="AT70" i="212"/>
  <c r="AR70" i="212"/>
  <c r="I70" i="212"/>
  <c r="H70" i="212"/>
  <c r="G70" i="212"/>
  <c r="E70" i="212"/>
  <c r="D70" i="212"/>
  <c r="C70" i="212"/>
  <c r="AV69" i="212"/>
  <c r="AT69" i="212"/>
  <c r="AR69" i="212"/>
  <c r="I69" i="212"/>
  <c r="H69" i="212"/>
  <c r="G69" i="212"/>
  <c r="E69" i="212"/>
  <c r="D69" i="212"/>
  <c r="C69" i="212"/>
  <c r="AV68" i="212"/>
  <c r="AT68" i="212"/>
  <c r="AR68" i="212"/>
  <c r="I68" i="212"/>
  <c r="H68" i="212"/>
  <c r="G68" i="212"/>
  <c r="E68" i="212"/>
  <c r="D68" i="212"/>
  <c r="C68" i="212"/>
  <c r="AV67" i="212"/>
  <c r="AT67" i="212"/>
  <c r="AR67" i="212"/>
  <c r="I67" i="212"/>
  <c r="H67" i="212"/>
  <c r="G67" i="212"/>
  <c r="E67" i="212"/>
  <c r="D67" i="212"/>
  <c r="C67" i="212"/>
  <c r="AV66" i="212"/>
  <c r="AT66" i="212"/>
  <c r="AR66" i="212"/>
  <c r="I66" i="212"/>
  <c r="H66" i="212"/>
  <c r="G66" i="212"/>
  <c r="E66" i="212"/>
  <c r="D66" i="212"/>
  <c r="C66" i="212"/>
  <c r="AV65" i="212"/>
  <c r="AT65" i="212"/>
  <c r="AR65" i="212"/>
  <c r="I65" i="212"/>
  <c r="H65" i="212"/>
  <c r="G65" i="212"/>
  <c r="E65" i="212"/>
  <c r="D65" i="212"/>
  <c r="C65" i="212"/>
  <c r="AV64" i="212"/>
  <c r="AT64" i="212"/>
  <c r="AR64" i="212"/>
  <c r="I64" i="212"/>
  <c r="H64" i="212"/>
  <c r="G64" i="212"/>
  <c r="E64" i="212"/>
  <c r="D64" i="212"/>
  <c r="C64" i="212"/>
  <c r="AV63" i="212"/>
  <c r="AT63" i="212"/>
  <c r="AR63" i="212"/>
  <c r="I63" i="212"/>
  <c r="H63" i="212"/>
  <c r="G63" i="212"/>
  <c r="E63" i="212"/>
  <c r="D63" i="212"/>
  <c r="C63" i="212"/>
  <c r="AV62" i="212"/>
  <c r="AT62" i="212"/>
  <c r="AR62" i="212"/>
  <c r="I62" i="212"/>
  <c r="H62" i="212"/>
  <c r="G62" i="212"/>
  <c r="E62" i="212"/>
  <c r="D62" i="212"/>
  <c r="C62" i="212"/>
  <c r="AV61" i="212"/>
  <c r="AT61" i="212"/>
  <c r="AR61" i="212"/>
  <c r="I61" i="212"/>
  <c r="H61" i="212"/>
  <c r="G61" i="212"/>
  <c r="E61" i="212"/>
  <c r="D61" i="212"/>
  <c r="C61" i="212"/>
  <c r="AV60" i="212"/>
  <c r="AT60" i="212"/>
  <c r="AR60" i="212"/>
  <c r="I60" i="212"/>
  <c r="H60" i="212"/>
  <c r="G60" i="212"/>
  <c r="E60" i="212"/>
  <c r="D60" i="212"/>
  <c r="C60" i="212"/>
  <c r="AV59" i="212"/>
  <c r="AT59" i="212"/>
  <c r="AR59" i="212"/>
  <c r="I59" i="212"/>
  <c r="H59" i="212"/>
  <c r="G59" i="212"/>
  <c r="E59" i="212"/>
  <c r="D59" i="212"/>
  <c r="C59" i="212"/>
  <c r="AV58" i="212"/>
  <c r="AT58" i="212"/>
  <c r="AR58" i="212"/>
  <c r="I58" i="212"/>
  <c r="H58" i="212"/>
  <c r="G58" i="212"/>
  <c r="E58" i="212"/>
  <c r="D58" i="212"/>
  <c r="C58" i="212"/>
  <c r="AV57" i="212"/>
  <c r="AT57" i="212"/>
  <c r="I57" i="212"/>
  <c r="H57" i="212"/>
  <c r="G57" i="212"/>
  <c r="E57" i="212"/>
  <c r="D57" i="212"/>
  <c r="C57" i="212"/>
  <c r="AV56" i="212"/>
  <c r="AT56" i="212"/>
  <c r="I56" i="212"/>
  <c r="H56" i="212"/>
  <c r="G56" i="212"/>
  <c r="E56" i="212"/>
  <c r="D56" i="212"/>
  <c r="C56" i="212"/>
  <c r="AV55" i="212"/>
  <c r="AT55" i="212"/>
  <c r="AR55" i="212"/>
  <c r="I55" i="212"/>
  <c r="H55" i="212"/>
  <c r="G55" i="212"/>
  <c r="E55" i="212"/>
  <c r="D55" i="212"/>
  <c r="C55" i="212"/>
  <c r="AV54" i="212"/>
  <c r="AT54" i="212"/>
  <c r="AR54" i="212"/>
  <c r="I54" i="212"/>
  <c r="H54" i="212"/>
  <c r="G54" i="212"/>
  <c r="E54" i="212"/>
  <c r="D54" i="212"/>
  <c r="C54" i="212"/>
  <c r="AV53" i="212"/>
  <c r="AT53" i="212"/>
  <c r="AR53" i="212"/>
  <c r="I53" i="212"/>
  <c r="H53" i="212"/>
  <c r="G53" i="212"/>
  <c r="E53" i="212"/>
  <c r="D53" i="212"/>
  <c r="C53" i="212"/>
  <c r="AV52" i="212"/>
  <c r="AT52" i="212"/>
  <c r="AR52" i="212"/>
  <c r="I52" i="212"/>
  <c r="H52" i="212"/>
  <c r="G52" i="212"/>
  <c r="E52" i="212"/>
  <c r="D52" i="212"/>
  <c r="C52" i="212"/>
  <c r="AV51" i="212"/>
  <c r="AT51" i="212"/>
  <c r="AR51" i="212"/>
  <c r="I51" i="212"/>
  <c r="H51" i="212"/>
  <c r="G51" i="212"/>
  <c r="E51" i="212"/>
  <c r="D51" i="212"/>
  <c r="C51" i="212"/>
  <c r="AV50" i="212"/>
  <c r="AT50" i="212"/>
  <c r="AR50" i="212"/>
  <c r="I50" i="212"/>
  <c r="H50" i="212"/>
  <c r="G50" i="212"/>
  <c r="E50" i="212"/>
  <c r="D50" i="212"/>
  <c r="C50" i="212"/>
  <c r="AV49" i="212"/>
  <c r="AT49" i="212"/>
  <c r="AR49" i="212"/>
  <c r="I49" i="212"/>
  <c r="H49" i="212"/>
  <c r="G49" i="212"/>
  <c r="E49" i="212"/>
  <c r="D49" i="212"/>
  <c r="C49" i="212"/>
  <c r="AV48" i="212"/>
  <c r="AT48" i="212"/>
  <c r="AR48" i="212"/>
  <c r="I48" i="212"/>
  <c r="H48" i="212"/>
  <c r="G48" i="212"/>
  <c r="E48" i="212"/>
  <c r="D48" i="212"/>
  <c r="C48" i="212"/>
  <c r="AV47" i="212"/>
  <c r="AT47" i="212"/>
  <c r="AR47" i="212"/>
  <c r="I47" i="212"/>
  <c r="H47" i="212"/>
  <c r="G47" i="212"/>
  <c r="E47" i="212"/>
  <c r="D47" i="212"/>
  <c r="C47" i="212"/>
  <c r="AV46" i="212"/>
  <c r="AT46" i="212"/>
  <c r="AR46" i="212"/>
  <c r="I46" i="212"/>
  <c r="H46" i="212"/>
  <c r="G46" i="212"/>
  <c r="E46" i="212"/>
  <c r="D46" i="212"/>
  <c r="C46" i="212"/>
  <c r="AV45" i="212"/>
  <c r="AT45" i="212"/>
  <c r="AR45" i="212"/>
  <c r="I45" i="212"/>
  <c r="H45" i="212"/>
  <c r="G45" i="212"/>
  <c r="E45" i="212"/>
  <c r="D45" i="212"/>
  <c r="C45" i="212"/>
  <c r="AV44" i="212"/>
  <c r="AT44" i="212"/>
  <c r="AR44" i="212"/>
  <c r="I44" i="212"/>
  <c r="H44" i="212"/>
  <c r="G44" i="212"/>
  <c r="E44" i="212"/>
  <c r="D44" i="212"/>
  <c r="C44" i="212"/>
  <c r="AV43" i="212"/>
  <c r="AT43" i="212"/>
  <c r="AR43" i="212"/>
  <c r="I43" i="212"/>
  <c r="H43" i="212"/>
  <c r="G43" i="212"/>
  <c r="E43" i="212"/>
  <c r="D43" i="212"/>
  <c r="C43" i="212"/>
  <c r="AV42" i="212"/>
  <c r="AT42" i="212"/>
  <c r="AR42" i="212"/>
  <c r="I42" i="212"/>
  <c r="H42" i="212"/>
  <c r="G42" i="212"/>
  <c r="E42" i="212"/>
  <c r="D42" i="212"/>
  <c r="C42" i="212"/>
  <c r="AV41" i="212"/>
  <c r="AT41" i="212"/>
  <c r="AR41" i="212"/>
  <c r="I41" i="212"/>
  <c r="H41" i="212"/>
  <c r="G41" i="212"/>
  <c r="E41" i="212"/>
  <c r="D41" i="212"/>
  <c r="C41" i="212"/>
  <c r="AV40" i="212"/>
  <c r="AT40" i="212"/>
  <c r="AR40" i="212"/>
  <c r="I40" i="212"/>
  <c r="H40" i="212"/>
  <c r="G40" i="212"/>
  <c r="E40" i="212"/>
  <c r="D40" i="212"/>
  <c r="C40" i="212"/>
  <c r="AV39" i="212"/>
  <c r="AT39" i="212"/>
  <c r="AR39" i="212"/>
  <c r="I39" i="212"/>
  <c r="H39" i="212"/>
  <c r="G39" i="212"/>
  <c r="E39" i="212"/>
  <c r="D39" i="212"/>
  <c r="C39" i="212"/>
  <c r="AV38" i="212"/>
  <c r="AT38" i="212"/>
  <c r="AR38" i="212"/>
  <c r="I38" i="212"/>
  <c r="H38" i="212"/>
  <c r="G38" i="212"/>
  <c r="E38" i="212"/>
  <c r="D38" i="212"/>
  <c r="C38" i="212"/>
  <c r="AV37" i="212"/>
  <c r="AT37" i="212"/>
  <c r="AR37" i="212"/>
  <c r="I37" i="212"/>
  <c r="H37" i="212"/>
  <c r="G37" i="212"/>
  <c r="E37" i="212"/>
  <c r="D37" i="212"/>
  <c r="C37" i="212"/>
  <c r="AV36" i="212"/>
  <c r="AT36" i="212"/>
  <c r="AR36" i="212"/>
  <c r="I36" i="212"/>
  <c r="H36" i="212"/>
  <c r="G36" i="212"/>
  <c r="E36" i="212"/>
  <c r="D36" i="212"/>
  <c r="C36" i="212"/>
  <c r="AV35" i="212"/>
  <c r="AT35" i="212"/>
  <c r="AR35" i="212"/>
  <c r="I35" i="212"/>
  <c r="H35" i="212"/>
  <c r="G35" i="212"/>
  <c r="E35" i="212"/>
  <c r="D35" i="212"/>
  <c r="C35" i="212"/>
  <c r="AV34" i="212"/>
  <c r="AT34" i="212"/>
  <c r="AR34" i="212"/>
  <c r="I34" i="212"/>
  <c r="H34" i="212"/>
  <c r="G34" i="212"/>
  <c r="E34" i="212"/>
  <c r="D34" i="212"/>
  <c r="C34" i="212"/>
  <c r="AV33" i="212"/>
  <c r="AT33" i="212"/>
  <c r="AR33" i="212"/>
  <c r="I33" i="212"/>
  <c r="H33" i="212"/>
  <c r="G33" i="212"/>
  <c r="E33" i="212"/>
  <c r="D33" i="212"/>
  <c r="C33" i="212"/>
  <c r="AV32" i="212"/>
  <c r="AT32" i="212"/>
  <c r="AR32" i="212"/>
  <c r="I32" i="212"/>
  <c r="H32" i="212"/>
  <c r="G32" i="212"/>
  <c r="E32" i="212"/>
  <c r="D32" i="212"/>
  <c r="C32" i="212"/>
  <c r="AV31" i="212"/>
  <c r="AT31" i="212"/>
  <c r="AR31" i="212"/>
  <c r="I31" i="212"/>
  <c r="H31" i="212"/>
  <c r="G31" i="212"/>
  <c r="E31" i="212"/>
  <c r="D31" i="212"/>
  <c r="C31" i="212"/>
  <c r="AV30" i="212"/>
  <c r="AT30" i="212"/>
  <c r="AR30" i="212"/>
  <c r="I30" i="212"/>
  <c r="H30" i="212"/>
  <c r="G30" i="212"/>
  <c r="E30" i="212"/>
  <c r="D30" i="212"/>
  <c r="C30" i="212"/>
  <c r="AV29" i="212"/>
  <c r="AT29" i="212"/>
  <c r="AR29" i="212"/>
  <c r="I29" i="212"/>
  <c r="H29" i="212"/>
  <c r="G29" i="212"/>
  <c r="E29" i="212"/>
  <c r="D29" i="212"/>
  <c r="C29" i="212"/>
  <c r="AV28" i="212"/>
  <c r="AT28" i="212"/>
  <c r="AR28" i="212"/>
  <c r="I28" i="212"/>
  <c r="H28" i="212"/>
  <c r="G28" i="212"/>
  <c r="E28" i="212"/>
  <c r="D28" i="212"/>
  <c r="C28" i="212"/>
  <c r="AV27" i="212"/>
  <c r="AT27" i="212"/>
  <c r="AR27" i="212"/>
  <c r="I27" i="212"/>
  <c r="H27" i="212"/>
  <c r="G27" i="212"/>
  <c r="E27" i="212"/>
  <c r="D27" i="212"/>
  <c r="C27" i="212"/>
  <c r="AV26" i="212"/>
  <c r="AT26" i="212"/>
  <c r="AR26" i="212"/>
  <c r="I26" i="212"/>
  <c r="H26" i="212"/>
  <c r="G26" i="212"/>
  <c r="E26" i="212"/>
  <c r="D26" i="212"/>
  <c r="C26" i="212"/>
  <c r="AV25" i="212"/>
  <c r="AT25" i="212"/>
  <c r="AR25" i="212"/>
  <c r="I25" i="212"/>
  <c r="H25" i="212"/>
  <c r="G25" i="212"/>
  <c r="E25" i="212"/>
  <c r="D25" i="212"/>
  <c r="C25" i="212"/>
  <c r="AV24" i="212"/>
  <c r="AT24" i="212"/>
  <c r="AR24" i="212"/>
  <c r="I24" i="212"/>
  <c r="H24" i="212"/>
  <c r="G24" i="212"/>
  <c r="E24" i="212"/>
  <c r="D24" i="212"/>
  <c r="C24" i="212"/>
  <c r="AV23" i="212"/>
  <c r="AT23" i="212"/>
  <c r="AR23" i="212"/>
  <c r="I23" i="212"/>
  <c r="H23" i="212"/>
  <c r="G23" i="212"/>
  <c r="E23" i="212"/>
  <c r="D23" i="212"/>
  <c r="C23" i="212"/>
  <c r="AV22" i="212"/>
  <c r="AT22" i="212"/>
  <c r="AR22" i="212"/>
  <c r="I22" i="212"/>
  <c r="H22" i="212"/>
  <c r="G22" i="212"/>
  <c r="E22" i="212"/>
  <c r="D22" i="212"/>
  <c r="C22" i="212"/>
  <c r="AV21" i="212"/>
  <c r="AT21" i="212"/>
  <c r="AR21" i="212"/>
  <c r="I21" i="212"/>
  <c r="H21" i="212"/>
  <c r="G21" i="212"/>
  <c r="E21" i="212"/>
  <c r="D21" i="212"/>
  <c r="C21" i="212"/>
  <c r="AV20" i="212"/>
  <c r="AT20" i="212"/>
  <c r="AR20" i="212"/>
  <c r="I20" i="212"/>
  <c r="H20" i="212"/>
  <c r="G20" i="212"/>
  <c r="E20" i="212"/>
  <c r="D20" i="212"/>
  <c r="C20" i="212"/>
  <c r="AV19" i="212"/>
  <c r="AT19" i="212"/>
  <c r="AR19" i="212"/>
  <c r="I19" i="212"/>
  <c r="H19" i="212"/>
  <c r="G19" i="212"/>
  <c r="E19" i="212"/>
  <c r="D19" i="212"/>
  <c r="C19" i="212"/>
  <c r="AV18" i="212"/>
  <c r="AT18" i="212"/>
  <c r="AR18" i="212"/>
  <c r="I18" i="212"/>
  <c r="H18" i="212"/>
  <c r="G18" i="212"/>
  <c r="E18" i="212"/>
  <c r="D18" i="212"/>
  <c r="C18" i="212"/>
  <c r="AV17" i="212"/>
  <c r="AT17" i="212"/>
  <c r="AR17" i="212"/>
  <c r="I17" i="212"/>
  <c r="H17" i="212"/>
  <c r="G17" i="212"/>
  <c r="E17" i="212"/>
  <c r="D17" i="212"/>
  <c r="C17" i="212"/>
  <c r="AV16" i="212"/>
  <c r="AT16" i="212"/>
  <c r="AR16" i="212"/>
  <c r="I16" i="212"/>
  <c r="H16" i="212"/>
  <c r="G16" i="212"/>
  <c r="E16" i="212"/>
  <c r="D16" i="212"/>
  <c r="C16" i="212"/>
  <c r="AV15" i="212"/>
  <c r="AT15" i="212"/>
  <c r="AR15" i="212"/>
  <c r="I15" i="212"/>
  <c r="H15" i="212"/>
  <c r="G15" i="212"/>
  <c r="E15" i="212"/>
  <c r="D15" i="212"/>
  <c r="C15" i="212"/>
  <c r="AV14" i="212"/>
  <c r="AT14" i="212"/>
  <c r="AR14" i="212"/>
  <c r="I14" i="212"/>
  <c r="H14" i="212"/>
  <c r="G14" i="212"/>
  <c r="E14" i="212"/>
  <c r="D14" i="212"/>
  <c r="C14" i="212"/>
  <c r="AV13" i="212"/>
  <c r="AT13" i="212"/>
  <c r="AR13" i="212"/>
  <c r="I13" i="212"/>
  <c r="H13" i="212"/>
  <c r="G13" i="212"/>
  <c r="E13" i="212"/>
  <c r="D13" i="212"/>
  <c r="C13" i="212"/>
  <c r="AV12" i="212"/>
  <c r="AT12" i="212"/>
  <c r="AR12" i="212"/>
  <c r="I12" i="212"/>
  <c r="H12" i="212"/>
  <c r="G12" i="212"/>
  <c r="E12" i="212"/>
  <c r="D12" i="212"/>
  <c r="C12" i="212"/>
  <c r="AV11" i="212"/>
  <c r="AT11" i="212"/>
  <c r="AR11" i="212"/>
  <c r="I11" i="212"/>
  <c r="H11" i="212"/>
  <c r="G11" i="212"/>
  <c r="E11" i="212"/>
  <c r="D11" i="212"/>
  <c r="C11" i="212"/>
  <c r="AV10" i="212"/>
  <c r="AT10" i="212"/>
  <c r="AR10" i="212"/>
  <c r="I10" i="212"/>
  <c r="H10" i="212"/>
  <c r="G10" i="212"/>
  <c r="E10" i="212"/>
  <c r="D10" i="212"/>
  <c r="C10" i="212"/>
  <c r="AV9" i="212"/>
  <c r="AT9" i="212"/>
  <c r="AR9" i="212"/>
  <c r="I9" i="212"/>
  <c r="H9" i="212"/>
  <c r="G9" i="212"/>
  <c r="E9" i="212"/>
  <c r="D9" i="212"/>
  <c r="C9" i="212"/>
  <c r="AV8" i="212"/>
  <c r="AT8" i="212"/>
  <c r="AR8" i="212"/>
  <c r="I8" i="212"/>
  <c r="H8" i="212"/>
  <c r="G8" i="212"/>
  <c r="E8" i="212"/>
  <c r="D8" i="212"/>
  <c r="C8" i="212"/>
  <c r="AV7" i="212"/>
  <c r="AT7" i="212"/>
  <c r="AR7" i="212"/>
  <c r="I7" i="212"/>
  <c r="H7" i="212"/>
  <c r="G7" i="212"/>
  <c r="E7" i="212"/>
  <c r="D7" i="212"/>
  <c r="C7" i="212"/>
  <c r="AV6" i="212"/>
  <c r="AT6" i="212"/>
  <c r="AR6" i="212"/>
  <c r="I6" i="212"/>
  <c r="H6" i="212"/>
  <c r="G6" i="212"/>
  <c r="E6" i="212"/>
  <c r="D6" i="212"/>
  <c r="C6" i="212"/>
  <c r="AV5" i="212"/>
  <c r="AT5" i="212"/>
  <c r="AR5" i="212"/>
  <c r="I5" i="212"/>
  <c r="H5" i="212"/>
  <c r="G5" i="212"/>
  <c r="E5" i="212"/>
  <c r="D5" i="212"/>
  <c r="C5" i="212"/>
  <c r="AV4" i="212"/>
  <c r="AT4" i="212"/>
  <c r="AR4" i="212"/>
  <c r="I4" i="212"/>
  <c r="H4" i="212"/>
  <c r="G4" i="212"/>
  <c r="E4" i="212"/>
  <c r="D4" i="212"/>
  <c r="C4" i="212"/>
  <c r="AV3" i="212"/>
  <c r="AT3" i="212"/>
  <c r="AR3" i="212"/>
  <c r="I3" i="212"/>
  <c r="H3" i="212"/>
  <c r="G3" i="212"/>
  <c r="E3" i="212"/>
  <c r="D3" i="212"/>
  <c r="C3" i="212"/>
  <c r="AV2" i="212"/>
  <c r="AT2" i="212"/>
  <c r="AR2" i="212"/>
  <c r="I2" i="212"/>
  <c r="H2" i="212"/>
  <c r="G2" i="212"/>
  <c r="E2" i="212"/>
  <c r="D2" i="212"/>
  <c r="C2" i="212"/>
</calcChain>
</file>

<file path=xl/sharedStrings.xml><?xml version="1.0" encoding="utf-8"?>
<sst xmlns="http://schemas.openxmlformats.org/spreadsheetml/2006/main" count="48" uniqueCount="43">
  <si>
    <t>제목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</si>
  <si>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</si>
  <si>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</si>
  <si>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</si>
  <si>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</si>
  <si>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</si>
  <si>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</si>
  <si>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</si>
  <si>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</si>
  <si>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</si>
  <si>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</si>
  <si>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</si>
  <si>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</si>
  <si>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</si>
  <si>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</si>
  <si>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</si>
  <si>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</si>
  <si>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</si>
  <si>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</si>
  <si>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</si>
  <si>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</si>
  <si>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</si>
  <si>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</si>
  <si>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</si>
  <si>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</si>
  <si>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</si>
  <si>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</si>
  <si>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</si>
  <si>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</si>
  <si>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</si>
  <si>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</si>
  <si>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</si>
  <si>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</si>
  <si>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</si>
  <si>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</si>
  <si>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</si>
  <si>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</si>
  <si>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</si>
  <si>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</si>
  <si>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</si>
  <si>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</si>
  <si>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</si>
  <si>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권+화수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</si>
</sst>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41" fontId="0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A524"/>
  <sheetViews>
    <sheetView tabSelected="1" topLeftCell="T502" zoomScale="81" zoomScaleNormal="81" workbookViewId="0">
      <selection activeCell="AE527" sqref="AE527"/>
    </sheetView>
  </sheetViews>
  <sheetFormatPr defaultRowHeight="17.399999999999999" x14ac:dyDescent="0.4"/>
  <cols>
    <col min="3" max="3" width="17.8984375" customWidth="1"/>
    <col min="4" max="4" width="11" customWidth="1"/>
    <col min="5" max="5" width="19.8984375" bestFit="1" customWidth="1"/>
    <col min="8" max="8" width="14.796875" customWidth="1"/>
    <col min="9" max="9" width="15.1992187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0.09765625" bestFit="1" customWidth="1"/>
  </cols>
  <sheetData>
    <row r="1" spans="1:53" x14ac:dyDescent="0.4">
      <c r="A1" t="s">
        <v>30</v>
      </c>
      <c r="B1" t="s">
        <v>31</v>
      </c>
      <c r="C1" t="s">
        <v>0</v>
      </c>
      <c r="D1" t="s">
        <v>42</v>
      </c>
      <c r="E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34</v>
      </c>
      <c r="P1" t="s">
        <v>32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40</v>
      </c>
      <c r="AH1" t="s">
        <v>41</v>
      </c>
      <c r="AI1" t="s">
        <v>17</v>
      </c>
      <c r="AJ1" t="s">
        <v>18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19</v>
      </c>
      <c r="AQ1" t="s">
        <v>33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</row>
    <row r="2" spans="1:53" x14ac:dyDescent="0.4">
      <c r="A2">
        <v>4421000916</v>
      </c>
      <c r="B2">
        <v>4421001463</v>
      </c>
      <c r="C2" t="str">
        <f>T("별빛 아래 우리 70화")</f>
        <v>별빛 아래 우리 70화</v>
      </c>
      <c r="D2" t="str">
        <f>T("70")</f>
        <v>70</v>
      </c>
      <c r="E2" t="str">
        <f>T("건일")</f>
        <v>건일</v>
      </c>
      <c r="G2" t="str">
        <f>T("건일")</f>
        <v>건일</v>
      </c>
      <c r="H2" t="str">
        <f t="shared" ref="H2:H65" si="0">T("스토리위즈")</f>
        <v>스토리위즈</v>
      </c>
      <c r="I2" t="str">
        <f>T("별빛 아래 우리")</f>
        <v>별빛 아래 우리</v>
      </c>
      <c r="J2">
        <v>400</v>
      </c>
      <c r="K2">
        <v>2400</v>
      </c>
      <c r="L2">
        <v>6</v>
      </c>
      <c r="M2">
        <v>0</v>
      </c>
      <c r="N2">
        <v>5600</v>
      </c>
      <c r="O2">
        <v>28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8000</v>
      </c>
      <c r="AH2">
        <v>34</v>
      </c>
      <c r="AI2">
        <v>0</v>
      </c>
      <c r="AJ2">
        <v>0</v>
      </c>
      <c r="AK2">
        <v>7800</v>
      </c>
      <c r="AL2">
        <v>0</v>
      </c>
      <c r="AM2">
        <v>200</v>
      </c>
      <c r="AN2">
        <v>0</v>
      </c>
      <c r="AO2">
        <v>0</v>
      </c>
      <c r="AP2">
        <v>5600</v>
      </c>
      <c r="AR2" t="str">
        <f t="shared" ref="AR2:AR55" si="1">T("0000000000000")</f>
        <v>0000000000000</v>
      </c>
      <c r="AT2" t="str">
        <f>T("9791137601413")</f>
        <v>9791137601413</v>
      </c>
      <c r="AV2" t="str">
        <f t="shared" ref="AV2:AV16" si="2">T("웹툰 &gt; 해외 순정")</f>
        <v>웹툰 &gt; 해외 순정</v>
      </c>
    </row>
    <row r="3" spans="1:53" x14ac:dyDescent="0.4">
      <c r="A3">
        <v>4421000916</v>
      </c>
      <c r="B3">
        <v>4421001375</v>
      </c>
      <c r="C3" t="str">
        <f>T("별빛 아래 우리 69화")</f>
        <v>별빛 아래 우리 69화</v>
      </c>
      <c r="D3" t="str">
        <f>T("69")</f>
        <v>69</v>
      </c>
      <c r="E3" t="str">
        <f>T("건일")</f>
        <v>건일</v>
      </c>
      <c r="G3" t="str">
        <f>T("건일")</f>
        <v>건일</v>
      </c>
      <c r="H3" t="str">
        <f t="shared" si="0"/>
        <v>스토리위즈</v>
      </c>
      <c r="I3" t="str">
        <f>T("별빛 아래 우리")</f>
        <v>별빛 아래 우리</v>
      </c>
      <c r="J3">
        <v>400</v>
      </c>
      <c r="K3">
        <v>2400</v>
      </c>
      <c r="L3">
        <v>6</v>
      </c>
      <c r="M3">
        <v>0</v>
      </c>
      <c r="N3">
        <v>6200</v>
      </c>
      <c r="O3">
        <v>31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8600</v>
      </c>
      <c r="AH3">
        <v>37</v>
      </c>
      <c r="AI3">
        <v>0</v>
      </c>
      <c r="AJ3">
        <v>0</v>
      </c>
      <c r="AK3">
        <v>8220</v>
      </c>
      <c r="AL3">
        <v>0</v>
      </c>
      <c r="AM3">
        <v>380</v>
      </c>
      <c r="AN3">
        <v>0</v>
      </c>
      <c r="AO3">
        <v>0</v>
      </c>
      <c r="AP3">
        <v>6020</v>
      </c>
      <c r="AR3" t="str">
        <f t="shared" si="1"/>
        <v>0000000000000</v>
      </c>
      <c r="AT3" t="str">
        <f>T("9791137601413")</f>
        <v>9791137601413</v>
      </c>
      <c r="AV3" t="str">
        <f t="shared" si="2"/>
        <v>웹툰 &gt; 해외 순정</v>
      </c>
    </row>
    <row r="4" spans="1:53" x14ac:dyDescent="0.4">
      <c r="A4">
        <v>4421000916</v>
      </c>
      <c r="B4">
        <v>4421001470</v>
      </c>
      <c r="C4" t="str">
        <f>T("별빛 아래 우리 71화")</f>
        <v>별빛 아래 우리 71화</v>
      </c>
      <c r="D4" t="str">
        <f>T("71")</f>
        <v>71</v>
      </c>
      <c r="E4" t="str">
        <f>T("건일")</f>
        <v>건일</v>
      </c>
      <c r="G4" t="str">
        <f>T("건일")</f>
        <v>건일</v>
      </c>
      <c r="H4" t="str">
        <f t="shared" si="0"/>
        <v>스토리위즈</v>
      </c>
      <c r="I4" t="str">
        <f>T("별빛 아래 우리")</f>
        <v>별빛 아래 우리</v>
      </c>
      <c r="J4">
        <v>400</v>
      </c>
      <c r="K4">
        <v>2400</v>
      </c>
      <c r="L4">
        <v>6</v>
      </c>
      <c r="M4">
        <v>0</v>
      </c>
      <c r="N4">
        <v>4800</v>
      </c>
      <c r="O4">
        <v>24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7200</v>
      </c>
      <c r="AH4">
        <v>30</v>
      </c>
      <c r="AI4">
        <v>0</v>
      </c>
      <c r="AJ4">
        <v>0</v>
      </c>
      <c r="AK4">
        <v>7000</v>
      </c>
      <c r="AL4">
        <v>0</v>
      </c>
      <c r="AM4">
        <v>200</v>
      </c>
      <c r="AN4">
        <v>0</v>
      </c>
      <c r="AO4">
        <v>0</v>
      </c>
      <c r="AP4">
        <v>5040</v>
      </c>
      <c r="AR4" t="str">
        <f t="shared" si="1"/>
        <v>0000000000000</v>
      </c>
      <c r="AT4" t="str">
        <f>T("9791137601413")</f>
        <v>9791137601413</v>
      </c>
      <c r="AV4" t="str">
        <f t="shared" si="2"/>
        <v>웹툰 &gt; 해외 순정</v>
      </c>
    </row>
    <row r="5" spans="1:53" x14ac:dyDescent="0.4">
      <c r="A5">
        <v>4421000916</v>
      </c>
      <c r="B5">
        <v>4421001471</v>
      </c>
      <c r="C5" t="str">
        <f>T("별빛 아래 우리 72화")</f>
        <v>별빛 아래 우리 72화</v>
      </c>
      <c r="D5" t="str">
        <f>T("72")</f>
        <v>72</v>
      </c>
      <c r="E5" t="str">
        <f>T("건일")</f>
        <v>건일</v>
      </c>
      <c r="G5" t="str">
        <f>T("건일")</f>
        <v>건일</v>
      </c>
      <c r="H5" t="str">
        <f t="shared" si="0"/>
        <v>스토리위즈</v>
      </c>
      <c r="I5" t="str">
        <f>T("별빛 아래 우리")</f>
        <v>별빛 아래 우리</v>
      </c>
      <c r="J5">
        <v>400</v>
      </c>
      <c r="K5">
        <v>2000</v>
      </c>
      <c r="L5">
        <v>5</v>
      </c>
      <c r="M5">
        <v>0</v>
      </c>
      <c r="N5">
        <v>4000</v>
      </c>
      <c r="O5">
        <v>20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6000</v>
      </c>
      <c r="AH5">
        <v>25</v>
      </c>
      <c r="AI5">
        <v>0</v>
      </c>
      <c r="AJ5">
        <v>0</v>
      </c>
      <c r="AK5">
        <v>5800</v>
      </c>
      <c r="AL5">
        <v>0</v>
      </c>
      <c r="AM5">
        <v>200</v>
      </c>
      <c r="AN5">
        <v>0</v>
      </c>
      <c r="AO5">
        <v>0</v>
      </c>
      <c r="AP5">
        <v>4200</v>
      </c>
      <c r="AR5" t="str">
        <f t="shared" si="1"/>
        <v>0000000000000</v>
      </c>
      <c r="AT5" t="str">
        <f>T("9791137601413")</f>
        <v>9791137601413</v>
      </c>
      <c r="AV5" t="str">
        <f t="shared" si="2"/>
        <v>웹툰 &gt; 해외 순정</v>
      </c>
    </row>
    <row r="6" spans="1:53" x14ac:dyDescent="0.4">
      <c r="A6">
        <v>4421001305</v>
      </c>
      <c r="B6">
        <v>4421001312</v>
      </c>
      <c r="C6" t="str">
        <f>T("악역이지만, 남주는 꼬시지 않아요 8화")</f>
        <v>악역이지만, 남주는 꼬시지 않아요 8화</v>
      </c>
      <c r="D6" t="str">
        <f>T("8")</f>
        <v>8</v>
      </c>
      <c r="E6" t="str">
        <f>T("마북명")</f>
        <v>마북명</v>
      </c>
      <c r="G6" t="str">
        <f>T("kuri")</f>
        <v>kuri</v>
      </c>
      <c r="H6" t="str">
        <f t="shared" si="0"/>
        <v>스토리위즈</v>
      </c>
      <c r="I6" t="str">
        <f>T("악역이지만, 남주는 꼬시지 않아요")</f>
        <v>악역이지만, 남주는 꼬시지 않아요</v>
      </c>
      <c r="J6">
        <v>400</v>
      </c>
      <c r="K6">
        <v>1200</v>
      </c>
      <c r="L6">
        <v>3</v>
      </c>
      <c r="M6">
        <v>0</v>
      </c>
      <c r="N6">
        <v>3000</v>
      </c>
      <c r="O6">
        <v>15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4200</v>
      </c>
      <c r="AH6">
        <v>18</v>
      </c>
      <c r="AI6">
        <v>0</v>
      </c>
      <c r="AJ6">
        <v>0</v>
      </c>
      <c r="AK6">
        <v>4000</v>
      </c>
      <c r="AL6">
        <v>0</v>
      </c>
      <c r="AM6">
        <v>200</v>
      </c>
      <c r="AN6">
        <v>0</v>
      </c>
      <c r="AO6">
        <v>0</v>
      </c>
      <c r="AP6">
        <v>2940</v>
      </c>
      <c r="AR6" t="str">
        <f t="shared" si="1"/>
        <v>0000000000000</v>
      </c>
      <c r="AT6" t="str">
        <f>T("9791137603882")</f>
        <v>9791137603882</v>
      </c>
      <c r="AV6" t="str">
        <f t="shared" si="2"/>
        <v>웹툰 &gt; 해외 순정</v>
      </c>
    </row>
    <row r="7" spans="1:53" x14ac:dyDescent="0.4">
      <c r="A7">
        <v>4421000916</v>
      </c>
      <c r="B7">
        <v>4421001272</v>
      </c>
      <c r="C7" t="str">
        <f>T("별빛 아래 우리 60화")</f>
        <v>별빛 아래 우리 60화</v>
      </c>
      <c r="D7" t="str">
        <f>T("60")</f>
        <v>60</v>
      </c>
      <c r="E7" t="str">
        <f>T("건일")</f>
        <v>건일</v>
      </c>
      <c r="G7" t="str">
        <f>T("건일")</f>
        <v>건일</v>
      </c>
      <c r="H7" t="str">
        <f t="shared" si="0"/>
        <v>스토리위즈</v>
      </c>
      <c r="I7" t="str">
        <f>T("별빛 아래 우리")</f>
        <v>별빛 아래 우리</v>
      </c>
      <c r="J7">
        <v>400</v>
      </c>
      <c r="K7">
        <v>1200</v>
      </c>
      <c r="L7">
        <v>3</v>
      </c>
      <c r="M7">
        <v>0</v>
      </c>
      <c r="N7">
        <v>1600</v>
      </c>
      <c r="O7">
        <v>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-400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2800</v>
      </c>
      <c r="AH7">
        <v>11</v>
      </c>
      <c r="AI7">
        <v>-400</v>
      </c>
      <c r="AJ7">
        <v>1</v>
      </c>
      <c r="AK7">
        <v>2600</v>
      </c>
      <c r="AL7">
        <v>-400</v>
      </c>
      <c r="AM7">
        <v>200</v>
      </c>
      <c r="AN7">
        <v>0</v>
      </c>
      <c r="AO7">
        <v>0</v>
      </c>
      <c r="AP7">
        <v>1680</v>
      </c>
      <c r="AR7" t="str">
        <f t="shared" si="1"/>
        <v>0000000000000</v>
      </c>
      <c r="AT7" t="str">
        <f>T("9791137601413")</f>
        <v>9791137601413</v>
      </c>
      <c r="AV7" t="str">
        <f t="shared" si="2"/>
        <v>웹툰 &gt; 해외 순정</v>
      </c>
    </row>
    <row r="8" spans="1:53" x14ac:dyDescent="0.4">
      <c r="A8">
        <v>4421001305</v>
      </c>
      <c r="B8">
        <v>4421001310</v>
      </c>
      <c r="C8" t="str">
        <f>T("악역이지만, 남주는 꼬시지 않아요 6화")</f>
        <v>악역이지만, 남주는 꼬시지 않아요 6화</v>
      </c>
      <c r="D8" t="str">
        <f>T("6")</f>
        <v>6</v>
      </c>
      <c r="E8" t="str">
        <f>T("마북명")</f>
        <v>마북명</v>
      </c>
      <c r="G8" t="str">
        <f>T("kuri")</f>
        <v>kuri</v>
      </c>
      <c r="H8" t="str">
        <f t="shared" si="0"/>
        <v>스토리위즈</v>
      </c>
      <c r="I8" t="str">
        <f>T("악역이지만, 남주는 꼬시지 않아요")</f>
        <v>악역이지만, 남주는 꼬시지 않아요</v>
      </c>
      <c r="J8">
        <v>400</v>
      </c>
      <c r="K8">
        <v>1200</v>
      </c>
      <c r="L8">
        <v>3</v>
      </c>
      <c r="M8">
        <v>0</v>
      </c>
      <c r="N8">
        <v>3600</v>
      </c>
      <c r="O8">
        <v>18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4800</v>
      </c>
      <c r="AH8">
        <v>21</v>
      </c>
      <c r="AI8">
        <v>0</v>
      </c>
      <c r="AJ8">
        <v>0</v>
      </c>
      <c r="AK8">
        <v>4600</v>
      </c>
      <c r="AL8">
        <v>0</v>
      </c>
      <c r="AM8">
        <v>200</v>
      </c>
      <c r="AN8">
        <v>0</v>
      </c>
      <c r="AO8">
        <v>0</v>
      </c>
      <c r="AP8">
        <v>3360</v>
      </c>
      <c r="AR8" t="str">
        <f t="shared" si="1"/>
        <v>0000000000000</v>
      </c>
      <c r="AT8" t="str">
        <f>T("9791137603882")</f>
        <v>9791137603882</v>
      </c>
      <c r="AV8" t="str">
        <f t="shared" si="2"/>
        <v>웹툰 &gt; 해외 순정</v>
      </c>
    </row>
    <row r="9" spans="1:53" x14ac:dyDescent="0.4">
      <c r="A9">
        <v>4421001305</v>
      </c>
      <c r="B9">
        <v>4421001311</v>
      </c>
      <c r="C9" t="str">
        <f>T("악역이지만, 남주는 꼬시지 않아요 7화")</f>
        <v>악역이지만, 남주는 꼬시지 않아요 7화</v>
      </c>
      <c r="D9" t="str">
        <f>T("7")</f>
        <v>7</v>
      </c>
      <c r="E9" t="str">
        <f>T("마북명")</f>
        <v>마북명</v>
      </c>
      <c r="G9" t="str">
        <f>T("kuri")</f>
        <v>kuri</v>
      </c>
      <c r="H9" t="str">
        <f t="shared" si="0"/>
        <v>스토리위즈</v>
      </c>
      <c r="I9" t="str">
        <f>T("악역이지만, 남주는 꼬시지 않아요")</f>
        <v>악역이지만, 남주는 꼬시지 않아요</v>
      </c>
      <c r="J9">
        <v>400</v>
      </c>
      <c r="K9">
        <v>1200</v>
      </c>
      <c r="L9">
        <v>3</v>
      </c>
      <c r="M9">
        <v>0</v>
      </c>
      <c r="N9">
        <v>3400</v>
      </c>
      <c r="O9">
        <v>17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4600</v>
      </c>
      <c r="AH9">
        <v>20</v>
      </c>
      <c r="AI9">
        <v>0</v>
      </c>
      <c r="AJ9">
        <v>0</v>
      </c>
      <c r="AK9">
        <v>4400</v>
      </c>
      <c r="AL9">
        <v>0</v>
      </c>
      <c r="AM9">
        <v>200</v>
      </c>
      <c r="AN9">
        <v>0</v>
      </c>
      <c r="AO9">
        <v>0</v>
      </c>
      <c r="AP9">
        <v>3220</v>
      </c>
      <c r="AR9" t="str">
        <f t="shared" si="1"/>
        <v>0000000000000</v>
      </c>
      <c r="AT9" t="str">
        <f>T("9791137603882")</f>
        <v>9791137603882</v>
      </c>
      <c r="AV9" t="str">
        <f t="shared" si="2"/>
        <v>웹툰 &gt; 해외 순정</v>
      </c>
    </row>
    <row r="10" spans="1:53" x14ac:dyDescent="0.4">
      <c r="A10">
        <v>4421000916</v>
      </c>
      <c r="B10">
        <v>4421001271</v>
      </c>
      <c r="C10" t="str">
        <f>T("별빛 아래 우리 59화")</f>
        <v>별빛 아래 우리 59화</v>
      </c>
      <c r="D10" t="str">
        <f>T("59")</f>
        <v>59</v>
      </c>
      <c r="E10" t="str">
        <f>T("건일")</f>
        <v>건일</v>
      </c>
      <c r="G10" t="str">
        <f>T("건일")</f>
        <v>건일</v>
      </c>
      <c r="H10" t="str">
        <f t="shared" si="0"/>
        <v>스토리위즈</v>
      </c>
      <c r="I10" t="str">
        <f>T("별빛 아래 우리")</f>
        <v>별빛 아래 우리</v>
      </c>
      <c r="J10">
        <v>400</v>
      </c>
      <c r="K10">
        <v>1200</v>
      </c>
      <c r="L10">
        <v>3</v>
      </c>
      <c r="M10">
        <v>0</v>
      </c>
      <c r="N10">
        <v>1600</v>
      </c>
      <c r="O10">
        <v>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-400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2800</v>
      </c>
      <c r="AH10">
        <v>11</v>
      </c>
      <c r="AI10">
        <v>-400</v>
      </c>
      <c r="AJ10">
        <v>1</v>
      </c>
      <c r="AK10">
        <v>2600</v>
      </c>
      <c r="AL10">
        <v>-400</v>
      </c>
      <c r="AM10">
        <v>200</v>
      </c>
      <c r="AN10">
        <v>0</v>
      </c>
      <c r="AO10">
        <v>0</v>
      </c>
      <c r="AP10">
        <v>1680</v>
      </c>
      <c r="AR10" t="str">
        <f t="shared" si="1"/>
        <v>0000000000000</v>
      </c>
      <c r="AT10" t="str">
        <f>T("9791137601413")</f>
        <v>9791137601413</v>
      </c>
      <c r="AV10" t="str">
        <f t="shared" si="2"/>
        <v>웹툰 &gt; 해외 순정</v>
      </c>
    </row>
    <row r="11" spans="1:53" x14ac:dyDescent="0.4">
      <c r="A11">
        <v>4421000916</v>
      </c>
      <c r="B11">
        <v>4421001299</v>
      </c>
      <c r="C11" t="str">
        <f>T("별빛 아래 우리 67화")</f>
        <v>별빛 아래 우리 67화</v>
      </c>
      <c r="D11" t="str">
        <f>T("67")</f>
        <v>67</v>
      </c>
      <c r="E11" t="str">
        <f>T("건일")</f>
        <v>건일</v>
      </c>
      <c r="G11" t="str">
        <f>T("건일")</f>
        <v>건일</v>
      </c>
      <c r="H11" t="str">
        <f t="shared" si="0"/>
        <v>스토리위즈</v>
      </c>
      <c r="I11" t="str">
        <f>T("별빛 아래 우리")</f>
        <v>별빛 아래 우리</v>
      </c>
      <c r="J11">
        <v>400</v>
      </c>
      <c r="K11">
        <v>800</v>
      </c>
      <c r="L11">
        <v>2</v>
      </c>
      <c r="M11">
        <v>0</v>
      </c>
      <c r="N11">
        <v>3800</v>
      </c>
      <c r="O11">
        <v>19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4600</v>
      </c>
      <c r="AH11">
        <v>21</v>
      </c>
      <c r="AI11">
        <v>0</v>
      </c>
      <c r="AJ11">
        <v>0</v>
      </c>
      <c r="AK11">
        <v>4220</v>
      </c>
      <c r="AL11">
        <v>0</v>
      </c>
      <c r="AM11">
        <v>380</v>
      </c>
      <c r="AN11">
        <v>0</v>
      </c>
      <c r="AO11">
        <v>0</v>
      </c>
      <c r="AP11">
        <v>3220</v>
      </c>
      <c r="AR11" t="str">
        <f t="shared" si="1"/>
        <v>0000000000000</v>
      </c>
      <c r="AT11" t="str">
        <f>T("9791137601413")</f>
        <v>9791137601413</v>
      </c>
      <c r="AV11" t="str">
        <f t="shared" si="2"/>
        <v>웹툰 &gt; 해외 순정</v>
      </c>
    </row>
    <row r="12" spans="1:53" x14ac:dyDescent="0.4">
      <c r="A12">
        <v>4421001305</v>
      </c>
      <c r="B12">
        <v>4421001458</v>
      </c>
      <c r="C12" t="str">
        <f>T("악역이지만, 남주는 꼬시지 않아요 22화")</f>
        <v>악역이지만, 남주는 꼬시지 않아요 22화</v>
      </c>
      <c r="D12" t="str">
        <f>T("22")</f>
        <v>22</v>
      </c>
      <c r="E12" t="str">
        <f>T("마북명")</f>
        <v>마북명</v>
      </c>
      <c r="G12" t="str">
        <f>T("kuri")</f>
        <v>kuri</v>
      </c>
      <c r="H12" t="str">
        <f t="shared" si="0"/>
        <v>스토리위즈</v>
      </c>
      <c r="I12" t="str">
        <f>T("악역이지만, 남주는 꼬시지 않아요")</f>
        <v>악역이지만, 남주는 꼬시지 않아요</v>
      </c>
      <c r="J12">
        <v>400</v>
      </c>
      <c r="K12">
        <v>800</v>
      </c>
      <c r="L12">
        <v>2</v>
      </c>
      <c r="M12">
        <v>0</v>
      </c>
      <c r="N12">
        <v>1600</v>
      </c>
      <c r="O12">
        <v>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2400</v>
      </c>
      <c r="AH12">
        <v>10</v>
      </c>
      <c r="AI12">
        <v>0</v>
      </c>
      <c r="AJ12">
        <v>0</v>
      </c>
      <c r="AK12">
        <v>2200</v>
      </c>
      <c r="AL12">
        <v>0</v>
      </c>
      <c r="AM12">
        <v>200</v>
      </c>
      <c r="AN12">
        <v>0</v>
      </c>
      <c r="AO12">
        <v>0</v>
      </c>
      <c r="AP12">
        <v>1680</v>
      </c>
      <c r="AR12" t="str">
        <f t="shared" si="1"/>
        <v>0000000000000</v>
      </c>
      <c r="AT12" t="str">
        <f>T("9791137603882")</f>
        <v>9791137603882</v>
      </c>
      <c r="AV12" t="str">
        <f t="shared" si="2"/>
        <v>웹툰 &gt; 해외 순정</v>
      </c>
    </row>
    <row r="13" spans="1:53" x14ac:dyDescent="0.4">
      <c r="A13">
        <v>4421000198</v>
      </c>
      <c r="B13">
        <v>4421001301</v>
      </c>
      <c r="C13" t="str">
        <f>T("공주전쟁 90화")</f>
        <v>공주전쟁 90화</v>
      </c>
      <c r="D13" t="str">
        <f>T("90")</f>
        <v>90</v>
      </c>
      <c r="E13" t="str">
        <f>T("Hujing")</f>
        <v>Hujing</v>
      </c>
      <c r="G13" t="str">
        <f>T("Luojie")</f>
        <v>Luojie</v>
      </c>
      <c r="H13" t="str">
        <f t="shared" si="0"/>
        <v>스토리위즈</v>
      </c>
      <c r="I13" t="str">
        <f>T("공주전쟁")</f>
        <v>공주전쟁</v>
      </c>
      <c r="J13">
        <v>400</v>
      </c>
      <c r="K13">
        <v>800</v>
      </c>
      <c r="L13">
        <v>2</v>
      </c>
      <c r="M13">
        <v>0</v>
      </c>
      <c r="N13">
        <v>600</v>
      </c>
      <c r="O13">
        <v>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1400</v>
      </c>
      <c r="AH13">
        <v>5</v>
      </c>
      <c r="AI13">
        <v>0</v>
      </c>
      <c r="AJ13">
        <v>0</v>
      </c>
      <c r="AK13">
        <v>1400</v>
      </c>
      <c r="AL13">
        <v>0</v>
      </c>
      <c r="AM13">
        <v>0</v>
      </c>
      <c r="AN13">
        <v>0</v>
      </c>
      <c r="AO13">
        <v>0</v>
      </c>
      <c r="AP13">
        <v>980</v>
      </c>
      <c r="AR13" t="str">
        <f t="shared" si="1"/>
        <v>0000000000000</v>
      </c>
      <c r="AT13" t="str">
        <f>T("9791166069666")</f>
        <v>9791166069666</v>
      </c>
      <c r="AV13" t="str">
        <f t="shared" si="2"/>
        <v>웹툰 &gt; 해외 순정</v>
      </c>
    </row>
    <row r="14" spans="1:53" x14ac:dyDescent="0.4">
      <c r="A14">
        <v>4421000916</v>
      </c>
      <c r="B14">
        <v>4421000931</v>
      </c>
      <c r="C14" t="str">
        <f>T("별빛 아래 우리 16화")</f>
        <v>별빛 아래 우리 16화</v>
      </c>
      <c r="D14" t="str">
        <f>T("16")</f>
        <v>16</v>
      </c>
      <c r="E14" t="str">
        <f>T("건일")</f>
        <v>건일</v>
      </c>
      <c r="G14" t="str">
        <f>T("건일")</f>
        <v>건일</v>
      </c>
      <c r="H14" t="str">
        <f t="shared" si="0"/>
        <v>스토리위즈</v>
      </c>
      <c r="I14" t="str">
        <f>T("별빛 아래 우리")</f>
        <v>별빛 아래 우리</v>
      </c>
      <c r="J14">
        <v>400</v>
      </c>
      <c r="K14">
        <v>800</v>
      </c>
      <c r="L14">
        <v>2</v>
      </c>
      <c r="M14">
        <v>0</v>
      </c>
      <c r="N14">
        <v>1800</v>
      </c>
      <c r="O14">
        <v>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2600</v>
      </c>
      <c r="AH14">
        <v>11</v>
      </c>
      <c r="AI14">
        <v>0</v>
      </c>
      <c r="AJ14">
        <v>0</v>
      </c>
      <c r="AK14">
        <v>2200</v>
      </c>
      <c r="AL14">
        <v>0</v>
      </c>
      <c r="AM14">
        <v>400</v>
      </c>
      <c r="AN14">
        <v>0</v>
      </c>
      <c r="AO14">
        <v>0</v>
      </c>
      <c r="AP14">
        <v>1820</v>
      </c>
      <c r="AR14" t="str">
        <f t="shared" si="1"/>
        <v>0000000000000</v>
      </c>
      <c r="AT14" t="str">
        <f>T("9791137601413")</f>
        <v>9791137601413</v>
      </c>
      <c r="AV14" t="str">
        <f t="shared" si="2"/>
        <v>웹툰 &gt; 해외 순정</v>
      </c>
    </row>
    <row r="15" spans="1:53" x14ac:dyDescent="0.4">
      <c r="A15">
        <v>4421000916</v>
      </c>
      <c r="B15">
        <v>4421000924</v>
      </c>
      <c r="C15" t="str">
        <f>T("별빛 아래 우리 9화")</f>
        <v>별빛 아래 우리 9화</v>
      </c>
      <c r="D15" t="str">
        <f>T("9")</f>
        <v>9</v>
      </c>
      <c r="E15" t="str">
        <f>T("건일")</f>
        <v>건일</v>
      </c>
      <c r="G15" t="str">
        <f>T("건일")</f>
        <v>건일</v>
      </c>
      <c r="H15" t="str">
        <f t="shared" si="0"/>
        <v>스토리위즈</v>
      </c>
      <c r="I15" t="str">
        <f>T("별빛 아래 우리")</f>
        <v>별빛 아래 우리</v>
      </c>
      <c r="J15">
        <v>400</v>
      </c>
      <c r="K15">
        <v>800</v>
      </c>
      <c r="L15">
        <v>2</v>
      </c>
      <c r="M15">
        <v>0</v>
      </c>
      <c r="N15">
        <v>1400</v>
      </c>
      <c r="O15">
        <v>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2200</v>
      </c>
      <c r="AH15">
        <v>9</v>
      </c>
      <c r="AI15">
        <v>0</v>
      </c>
      <c r="AJ15">
        <v>0</v>
      </c>
      <c r="AK15">
        <v>2000</v>
      </c>
      <c r="AL15">
        <v>0</v>
      </c>
      <c r="AM15">
        <v>200</v>
      </c>
      <c r="AN15">
        <v>0</v>
      </c>
      <c r="AO15">
        <v>0</v>
      </c>
      <c r="AP15">
        <v>1540</v>
      </c>
      <c r="AR15" t="str">
        <f t="shared" si="1"/>
        <v>0000000000000</v>
      </c>
      <c r="AT15" t="str">
        <f>T("9791137601413")</f>
        <v>9791137601413</v>
      </c>
      <c r="AV15" t="str">
        <f t="shared" si="2"/>
        <v>웹툰 &gt; 해외 순정</v>
      </c>
    </row>
    <row r="16" spans="1:53" x14ac:dyDescent="0.4">
      <c r="A16">
        <v>4421001305</v>
      </c>
      <c r="B16">
        <v>4421001319</v>
      </c>
      <c r="C16" t="str">
        <f>T("악역이지만, 남주는 꼬시지 않아요 15화")</f>
        <v>악역이지만, 남주는 꼬시지 않아요 15화</v>
      </c>
      <c r="D16" t="str">
        <f>T("15")</f>
        <v>15</v>
      </c>
      <c r="E16" t="str">
        <f>T("마북명")</f>
        <v>마북명</v>
      </c>
      <c r="G16" t="str">
        <f>T("kuri")</f>
        <v>kuri</v>
      </c>
      <c r="H16" t="str">
        <f t="shared" si="0"/>
        <v>스토리위즈</v>
      </c>
      <c r="I16" t="str">
        <f>T("악역이지만, 남주는 꼬시지 않아요")</f>
        <v>악역이지만, 남주는 꼬시지 않아요</v>
      </c>
      <c r="J16">
        <v>400</v>
      </c>
      <c r="K16">
        <v>800</v>
      </c>
      <c r="L16">
        <v>2</v>
      </c>
      <c r="M16">
        <v>0</v>
      </c>
      <c r="N16">
        <v>3000</v>
      </c>
      <c r="O16">
        <v>15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3800</v>
      </c>
      <c r="AH16">
        <v>17</v>
      </c>
      <c r="AI16">
        <v>0</v>
      </c>
      <c r="AJ16">
        <v>0</v>
      </c>
      <c r="AK16">
        <v>3600</v>
      </c>
      <c r="AL16">
        <v>0</v>
      </c>
      <c r="AM16">
        <v>200</v>
      </c>
      <c r="AN16">
        <v>0</v>
      </c>
      <c r="AO16">
        <v>0</v>
      </c>
      <c r="AP16">
        <v>2660</v>
      </c>
      <c r="AR16" t="str">
        <f t="shared" si="1"/>
        <v>0000000000000</v>
      </c>
      <c r="AT16" t="str">
        <f>T("9791137603882")</f>
        <v>9791137603882</v>
      </c>
      <c r="AV16" t="str">
        <f t="shared" si="2"/>
        <v>웹툰 &gt; 해외 순정</v>
      </c>
    </row>
    <row r="17" spans="1:48" x14ac:dyDescent="0.4">
      <c r="A17">
        <v>4421001340</v>
      </c>
      <c r="B17">
        <v>4421001347</v>
      </c>
      <c r="C17" t="str">
        <f>T("가출천사 육성계약 8화")</f>
        <v>가출천사 육성계약 8화</v>
      </c>
      <c r="D17" t="str">
        <f>T("8")</f>
        <v>8</v>
      </c>
      <c r="E17" t="str">
        <f>T("Bae.C, IIAKI, 박제후")</f>
        <v>Bae.C, IIAKI, 박제후</v>
      </c>
      <c r="G17" t="str">
        <f>T("Bae.C, 조우")</f>
        <v>Bae.C, 조우</v>
      </c>
      <c r="H17" t="str">
        <f t="shared" si="0"/>
        <v>스토리위즈</v>
      </c>
      <c r="I17" t="str">
        <f>T("가출천사 육성계약")</f>
        <v>가출천사 육성계약</v>
      </c>
      <c r="J17">
        <v>400</v>
      </c>
      <c r="K17">
        <v>800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800</v>
      </c>
      <c r="AH17">
        <v>2</v>
      </c>
      <c r="AI17">
        <v>0</v>
      </c>
      <c r="AJ17">
        <v>0</v>
      </c>
      <c r="AK17">
        <v>800</v>
      </c>
      <c r="AL17">
        <v>0</v>
      </c>
      <c r="AM17">
        <v>0</v>
      </c>
      <c r="AN17">
        <v>0</v>
      </c>
      <c r="AO17">
        <v>0</v>
      </c>
      <c r="AP17">
        <v>560</v>
      </c>
      <c r="AR17" t="str">
        <f t="shared" si="1"/>
        <v>0000000000000</v>
      </c>
      <c r="AT17" t="str">
        <f>T("9791191765663")</f>
        <v>9791191765663</v>
      </c>
      <c r="AV17" t="str">
        <f>T("웹툰 &gt; 판타지/SF")</f>
        <v>웹툰 &gt; 판타지/SF</v>
      </c>
    </row>
    <row r="18" spans="1:48" x14ac:dyDescent="0.4">
      <c r="A18">
        <v>4421000916</v>
      </c>
      <c r="B18">
        <v>4421000935</v>
      </c>
      <c r="C18" t="str">
        <f>T("별빛 아래 우리 20화")</f>
        <v>별빛 아래 우리 20화</v>
      </c>
      <c r="D18" t="str">
        <f>T("20")</f>
        <v>20</v>
      </c>
      <c r="E18" t="str">
        <f>T("건일")</f>
        <v>건일</v>
      </c>
      <c r="G18" t="str">
        <f>T("건일")</f>
        <v>건일</v>
      </c>
      <c r="H18" t="str">
        <f t="shared" si="0"/>
        <v>스토리위즈</v>
      </c>
      <c r="I18" t="str">
        <f>T("별빛 아래 우리")</f>
        <v>별빛 아래 우리</v>
      </c>
      <c r="J18">
        <v>400</v>
      </c>
      <c r="K18">
        <v>800</v>
      </c>
      <c r="L18">
        <v>2</v>
      </c>
      <c r="M18">
        <v>0</v>
      </c>
      <c r="N18">
        <v>1800</v>
      </c>
      <c r="O18">
        <v>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2600</v>
      </c>
      <c r="AH18">
        <v>11</v>
      </c>
      <c r="AI18">
        <v>0</v>
      </c>
      <c r="AJ18">
        <v>0</v>
      </c>
      <c r="AK18">
        <v>2400</v>
      </c>
      <c r="AL18">
        <v>0</v>
      </c>
      <c r="AM18">
        <v>200</v>
      </c>
      <c r="AN18">
        <v>0</v>
      </c>
      <c r="AO18">
        <v>0</v>
      </c>
      <c r="AP18">
        <v>1820</v>
      </c>
      <c r="AR18" t="str">
        <f t="shared" si="1"/>
        <v>0000000000000</v>
      </c>
      <c r="AT18" t="str">
        <f>T("9791137601413")</f>
        <v>9791137601413</v>
      </c>
      <c r="AV18" t="str">
        <f t="shared" ref="AV18:AV49" si="3">T("웹툰 &gt; 해외 순정")</f>
        <v>웹툰 &gt; 해외 순정</v>
      </c>
    </row>
    <row r="19" spans="1:48" x14ac:dyDescent="0.4">
      <c r="A19">
        <v>4421000916</v>
      </c>
      <c r="B19">
        <v>4421001279</v>
      </c>
      <c r="C19" t="str">
        <f>T("별빛 아래 우리 62화")</f>
        <v>별빛 아래 우리 62화</v>
      </c>
      <c r="D19" t="str">
        <f>T("62")</f>
        <v>62</v>
      </c>
      <c r="E19" t="str">
        <f>T("건일")</f>
        <v>건일</v>
      </c>
      <c r="G19" t="str">
        <f>T("건일")</f>
        <v>건일</v>
      </c>
      <c r="H19" t="str">
        <f t="shared" si="0"/>
        <v>스토리위즈</v>
      </c>
      <c r="I19" t="str">
        <f>T("별빛 아래 우리")</f>
        <v>별빛 아래 우리</v>
      </c>
      <c r="J19">
        <v>400</v>
      </c>
      <c r="K19">
        <v>800</v>
      </c>
      <c r="L19">
        <v>2</v>
      </c>
      <c r="M19">
        <v>0</v>
      </c>
      <c r="N19">
        <v>2400</v>
      </c>
      <c r="O19">
        <v>12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3200</v>
      </c>
      <c r="AH19">
        <v>14</v>
      </c>
      <c r="AI19">
        <v>0</v>
      </c>
      <c r="AJ19">
        <v>0</v>
      </c>
      <c r="AK19">
        <v>2800</v>
      </c>
      <c r="AL19">
        <v>0</v>
      </c>
      <c r="AM19">
        <v>400</v>
      </c>
      <c r="AN19">
        <v>0</v>
      </c>
      <c r="AO19">
        <v>0</v>
      </c>
      <c r="AP19">
        <v>2240</v>
      </c>
      <c r="AR19" t="str">
        <f t="shared" si="1"/>
        <v>0000000000000</v>
      </c>
      <c r="AT19" t="str">
        <f>T("9791137601413")</f>
        <v>9791137601413</v>
      </c>
      <c r="AV19" t="str">
        <f t="shared" si="3"/>
        <v>웹툰 &gt; 해외 순정</v>
      </c>
    </row>
    <row r="20" spans="1:48" x14ac:dyDescent="0.4">
      <c r="A20">
        <v>4421000916</v>
      </c>
      <c r="B20">
        <v>4421000928</v>
      </c>
      <c r="C20" t="str">
        <f>T("별빛 아래 우리 13화")</f>
        <v>별빛 아래 우리 13화</v>
      </c>
      <c r="D20" t="str">
        <f>T("13")</f>
        <v>13</v>
      </c>
      <c r="E20" t="str">
        <f>T("건일")</f>
        <v>건일</v>
      </c>
      <c r="G20" t="str">
        <f>T("건일")</f>
        <v>건일</v>
      </c>
      <c r="H20" t="str">
        <f t="shared" si="0"/>
        <v>스토리위즈</v>
      </c>
      <c r="I20" t="str">
        <f>T("별빛 아래 우리")</f>
        <v>별빛 아래 우리</v>
      </c>
      <c r="J20">
        <v>400</v>
      </c>
      <c r="K20">
        <v>800</v>
      </c>
      <c r="L20">
        <v>2</v>
      </c>
      <c r="M20">
        <v>0</v>
      </c>
      <c r="N20">
        <v>1800</v>
      </c>
      <c r="O20">
        <v>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2600</v>
      </c>
      <c r="AH20">
        <v>11</v>
      </c>
      <c r="AI20">
        <v>0</v>
      </c>
      <c r="AJ20">
        <v>0</v>
      </c>
      <c r="AK20">
        <v>2400</v>
      </c>
      <c r="AL20">
        <v>0</v>
      </c>
      <c r="AM20">
        <v>200</v>
      </c>
      <c r="AN20">
        <v>0</v>
      </c>
      <c r="AO20">
        <v>0</v>
      </c>
      <c r="AP20">
        <v>1820</v>
      </c>
      <c r="AR20" t="str">
        <f t="shared" si="1"/>
        <v>0000000000000</v>
      </c>
      <c r="AT20" t="str">
        <f>T("9791137601413")</f>
        <v>9791137601413</v>
      </c>
      <c r="AV20" t="str">
        <f t="shared" si="3"/>
        <v>웹툰 &gt; 해외 순정</v>
      </c>
    </row>
    <row r="21" spans="1:48" x14ac:dyDescent="0.4">
      <c r="A21">
        <v>4421000198</v>
      </c>
      <c r="B21">
        <v>4421001228</v>
      </c>
      <c r="C21" t="str">
        <f>T("공주전쟁 76화")</f>
        <v>공주전쟁 76화</v>
      </c>
      <c r="D21" t="str">
        <f>T("76")</f>
        <v>76</v>
      </c>
      <c r="E21" t="str">
        <f>T("Hujing")</f>
        <v>Hujing</v>
      </c>
      <c r="G21" t="str">
        <f>T("Luojie")</f>
        <v>Luojie</v>
      </c>
      <c r="H21" t="str">
        <f t="shared" si="0"/>
        <v>스토리위즈</v>
      </c>
      <c r="I21" t="str">
        <f>T("공주전쟁")</f>
        <v>공주전쟁</v>
      </c>
      <c r="J21">
        <v>400</v>
      </c>
      <c r="K21">
        <v>800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800</v>
      </c>
      <c r="AH21">
        <v>2</v>
      </c>
      <c r="AI21">
        <v>0</v>
      </c>
      <c r="AJ21">
        <v>0</v>
      </c>
      <c r="AK21">
        <v>800</v>
      </c>
      <c r="AL21">
        <v>0</v>
      </c>
      <c r="AM21">
        <v>0</v>
      </c>
      <c r="AN21">
        <v>0</v>
      </c>
      <c r="AO21">
        <v>0</v>
      </c>
      <c r="AP21">
        <v>560</v>
      </c>
      <c r="AR21" t="str">
        <f t="shared" si="1"/>
        <v>0000000000000</v>
      </c>
      <c r="AT21" t="str">
        <f>T("9791166069666")</f>
        <v>9791166069666</v>
      </c>
      <c r="AV21" t="str">
        <f t="shared" si="3"/>
        <v>웹툰 &gt; 해외 순정</v>
      </c>
    </row>
    <row r="22" spans="1:48" x14ac:dyDescent="0.4">
      <c r="A22">
        <v>4421001305</v>
      </c>
      <c r="B22">
        <v>4421001323</v>
      </c>
      <c r="C22" t="str">
        <f>T("악역이지만, 남주는 꼬시지 않아요 19화")</f>
        <v>악역이지만, 남주는 꼬시지 않아요 19화</v>
      </c>
      <c r="D22" t="str">
        <f>T("19")</f>
        <v>19</v>
      </c>
      <c r="E22" t="str">
        <f>T("마북명")</f>
        <v>마북명</v>
      </c>
      <c r="G22" t="str">
        <f>T("kuri")</f>
        <v>kuri</v>
      </c>
      <c r="H22" t="str">
        <f t="shared" si="0"/>
        <v>스토리위즈</v>
      </c>
      <c r="I22" t="str">
        <f>T("악역이지만, 남주는 꼬시지 않아요")</f>
        <v>악역이지만, 남주는 꼬시지 않아요</v>
      </c>
      <c r="J22">
        <v>400</v>
      </c>
      <c r="K22">
        <v>800</v>
      </c>
      <c r="L22">
        <v>2</v>
      </c>
      <c r="M22">
        <v>0</v>
      </c>
      <c r="N22">
        <v>2800</v>
      </c>
      <c r="O22">
        <v>14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3600</v>
      </c>
      <c r="AH22">
        <v>16</v>
      </c>
      <c r="AI22">
        <v>0</v>
      </c>
      <c r="AJ22">
        <v>0</v>
      </c>
      <c r="AK22">
        <v>3400</v>
      </c>
      <c r="AL22">
        <v>0</v>
      </c>
      <c r="AM22">
        <v>200</v>
      </c>
      <c r="AN22">
        <v>0</v>
      </c>
      <c r="AO22">
        <v>0</v>
      </c>
      <c r="AP22">
        <v>2520</v>
      </c>
      <c r="AR22" t="str">
        <f t="shared" si="1"/>
        <v>0000000000000</v>
      </c>
      <c r="AT22" t="str">
        <f>T("9791137603882")</f>
        <v>9791137603882</v>
      </c>
      <c r="AV22" t="str">
        <f t="shared" si="3"/>
        <v>웹툰 &gt; 해외 순정</v>
      </c>
    </row>
    <row r="23" spans="1:48" x14ac:dyDescent="0.4">
      <c r="A23">
        <v>4421001305</v>
      </c>
      <c r="B23">
        <v>4421001316</v>
      </c>
      <c r="C23" t="str">
        <f>T("악역이지만, 남주는 꼬시지 않아요 12화")</f>
        <v>악역이지만, 남주는 꼬시지 않아요 12화</v>
      </c>
      <c r="D23" t="str">
        <f>T("12")</f>
        <v>12</v>
      </c>
      <c r="E23" t="str">
        <f>T("마북명")</f>
        <v>마북명</v>
      </c>
      <c r="G23" t="str">
        <f>T("kuri")</f>
        <v>kuri</v>
      </c>
      <c r="H23" t="str">
        <f t="shared" si="0"/>
        <v>스토리위즈</v>
      </c>
      <c r="I23" t="str">
        <f>T("악역이지만, 남주는 꼬시지 않아요")</f>
        <v>악역이지만, 남주는 꼬시지 않아요</v>
      </c>
      <c r="J23">
        <v>400</v>
      </c>
      <c r="K23">
        <v>800</v>
      </c>
      <c r="L23">
        <v>2</v>
      </c>
      <c r="M23">
        <v>0</v>
      </c>
      <c r="N23">
        <v>3000</v>
      </c>
      <c r="O23">
        <v>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3800</v>
      </c>
      <c r="AH23">
        <v>17</v>
      </c>
      <c r="AI23">
        <v>0</v>
      </c>
      <c r="AJ23">
        <v>0</v>
      </c>
      <c r="AK23">
        <v>3600</v>
      </c>
      <c r="AL23">
        <v>0</v>
      </c>
      <c r="AM23">
        <v>200</v>
      </c>
      <c r="AN23">
        <v>0</v>
      </c>
      <c r="AO23">
        <v>0</v>
      </c>
      <c r="AP23">
        <v>2660</v>
      </c>
      <c r="AR23" t="str">
        <f t="shared" si="1"/>
        <v>0000000000000</v>
      </c>
      <c r="AT23" t="str">
        <f>T("9791137603882")</f>
        <v>9791137603882</v>
      </c>
      <c r="AV23" t="str">
        <f t="shared" si="3"/>
        <v>웹툰 &gt; 해외 순정</v>
      </c>
    </row>
    <row r="24" spans="1:48" x14ac:dyDescent="0.4">
      <c r="A24">
        <v>4421000916</v>
      </c>
      <c r="B24">
        <v>4421000921</v>
      </c>
      <c r="C24" t="str">
        <f>T("별빛 아래 우리 6화")</f>
        <v>별빛 아래 우리 6화</v>
      </c>
      <c r="D24" t="str">
        <f>T("6")</f>
        <v>6</v>
      </c>
      <c r="E24" t="str">
        <f>T("건일")</f>
        <v>건일</v>
      </c>
      <c r="G24" t="str">
        <f>T("건일")</f>
        <v>건일</v>
      </c>
      <c r="H24" t="str">
        <f t="shared" si="0"/>
        <v>스토리위즈</v>
      </c>
      <c r="I24" t="str">
        <f>T("별빛 아래 우리")</f>
        <v>별빛 아래 우리</v>
      </c>
      <c r="J24">
        <v>400</v>
      </c>
      <c r="K24">
        <v>800</v>
      </c>
      <c r="L24">
        <v>2</v>
      </c>
      <c r="M24">
        <v>0</v>
      </c>
      <c r="N24">
        <v>2000</v>
      </c>
      <c r="O24">
        <v>10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2800</v>
      </c>
      <c r="AH24">
        <v>12</v>
      </c>
      <c r="AI24">
        <v>0</v>
      </c>
      <c r="AJ24">
        <v>0</v>
      </c>
      <c r="AK24">
        <v>2600</v>
      </c>
      <c r="AL24">
        <v>0</v>
      </c>
      <c r="AM24">
        <v>200</v>
      </c>
      <c r="AN24">
        <v>0</v>
      </c>
      <c r="AO24">
        <v>0</v>
      </c>
      <c r="AP24">
        <v>1960</v>
      </c>
      <c r="AR24" t="str">
        <f t="shared" si="1"/>
        <v>0000000000000</v>
      </c>
      <c r="AT24" t="str">
        <f>T("9791137601413")</f>
        <v>9791137601413</v>
      </c>
      <c r="AV24" t="str">
        <f t="shared" si="3"/>
        <v>웹툰 &gt; 해외 순정</v>
      </c>
    </row>
    <row r="25" spans="1:48" x14ac:dyDescent="0.4">
      <c r="A25">
        <v>4421000198</v>
      </c>
      <c r="B25">
        <v>4421001374</v>
      </c>
      <c r="C25" t="str">
        <f>T("공주전쟁 92화")</f>
        <v>공주전쟁 92화</v>
      </c>
      <c r="D25" t="str">
        <f>T("92")</f>
        <v>92</v>
      </c>
      <c r="E25" t="str">
        <f>T("Hujing")</f>
        <v>Hujing</v>
      </c>
      <c r="G25" t="str">
        <f>T("Luojie")</f>
        <v>Luojie</v>
      </c>
      <c r="H25" t="str">
        <f t="shared" si="0"/>
        <v>스토리위즈</v>
      </c>
      <c r="I25" t="str">
        <f>T("공주전쟁")</f>
        <v>공주전쟁</v>
      </c>
      <c r="J25">
        <v>400</v>
      </c>
      <c r="K25">
        <v>800</v>
      </c>
      <c r="L25">
        <v>2</v>
      </c>
      <c r="M25">
        <v>0</v>
      </c>
      <c r="N25">
        <v>1200</v>
      </c>
      <c r="O25">
        <v>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2000</v>
      </c>
      <c r="AH25">
        <v>8</v>
      </c>
      <c r="AI25">
        <v>0</v>
      </c>
      <c r="AJ25">
        <v>0</v>
      </c>
      <c r="AK25">
        <v>2000</v>
      </c>
      <c r="AL25">
        <v>0</v>
      </c>
      <c r="AM25">
        <v>0</v>
      </c>
      <c r="AN25">
        <v>0</v>
      </c>
      <c r="AO25">
        <v>0</v>
      </c>
      <c r="AP25">
        <v>1400</v>
      </c>
      <c r="AR25" t="str">
        <f t="shared" si="1"/>
        <v>0000000000000</v>
      </c>
      <c r="AT25" t="str">
        <f>T("9791166069666")</f>
        <v>9791166069666</v>
      </c>
      <c r="AV25" t="str">
        <f t="shared" si="3"/>
        <v>웹툰 &gt; 해외 순정</v>
      </c>
    </row>
    <row r="26" spans="1:48" x14ac:dyDescent="0.4">
      <c r="A26">
        <v>4421000916</v>
      </c>
      <c r="B26">
        <v>4421000932</v>
      </c>
      <c r="C26" t="str">
        <f>T("별빛 아래 우리 17화")</f>
        <v>별빛 아래 우리 17화</v>
      </c>
      <c r="D26" t="str">
        <f>T("17")</f>
        <v>17</v>
      </c>
      <c r="E26" t="str">
        <f>T("건일")</f>
        <v>건일</v>
      </c>
      <c r="G26" t="str">
        <f>T("건일")</f>
        <v>건일</v>
      </c>
      <c r="H26" t="str">
        <f t="shared" si="0"/>
        <v>스토리위즈</v>
      </c>
      <c r="I26" t="str">
        <f>T("별빛 아래 우리")</f>
        <v>별빛 아래 우리</v>
      </c>
      <c r="J26">
        <v>400</v>
      </c>
      <c r="K26">
        <v>800</v>
      </c>
      <c r="L26">
        <v>2</v>
      </c>
      <c r="M26">
        <v>0</v>
      </c>
      <c r="N26">
        <v>1800</v>
      </c>
      <c r="O26">
        <v>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2600</v>
      </c>
      <c r="AH26">
        <v>11</v>
      </c>
      <c r="AI26">
        <v>0</v>
      </c>
      <c r="AJ26">
        <v>0</v>
      </c>
      <c r="AK26">
        <v>2200</v>
      </c>
      <c r="AL26">
        <v>0</v>
      </c>
      <c r="AM26">
        <v>400</v>
      </c>
      <c r="AN26">
        <v>0</v>
      </c>
      <c r="AO26">
        <v>0</v>
      </c>
      <c r="AP26">
        <v>1820</v>
      </c>
      <c r="AR26" t="str">
        <f t="shared" si="1"/>
        <v>0000000000000</v>
      </c>
      <c r="AT26" t="str">
        <f>T("9791137601413")</f>
        <v>9791137601413</v>
      </c>
      <c r="AV26" t="str">
        <f t="shared" si="3"/>
        <v>웹툰 &gt; 해외 순정</v>
      </c>
    </row>
    <row r="27" spans="1:48" x14ac:dyDescent="0.4">
      <c r="A27">
        <v>4421000916</v>
      </c>
      <c r="B27">
        <v>4421000925</v>
      </c>
      <c r="C27" t="str">
        <f>T("별빛 아래 우리 10화")</f>
        <v>별빛 아래 우리 10화</v>
      </c>
      <c r="D27" t="str">
        <f>T("10")</f>
        <v>10</v>
      </c>
      <c r="E27" t="str">
        <f>T("건일")</f>
        <v>건일</v>
      </c>
      <c r="G27" t="str">
        <f>T("건일")</f>
        <v>건일</v>
      </c>
      <c r="H27" t="str">
        <f t="shared" si="0"/>
        <v>스토리위즈</v>
      </c>
      <c r="I27" t="str">
        <f>T("별빛 아래 우리")</f>
        <v>별빛 아래 우리</v>
      </c>
      <c r="J27">
        <v>400</v>
      </c>
      <c r="K27">
        <v>800</v>
      </c>
      <c r="L27">
        <v>2</v>
      </c>
      <c r="M27">
        <v>0</v>
      </c>
      <c r="N27">
        <v>1400</v>
      </c>
      <c r="O27">
        <v>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2200</v>
      </c>
      <c r="AH27">
        <v>9</v>
      </c>
      <c r="AI27">
        <v>0</v>
      </c>
      <c r="AJ27">
        <v>0</v>
      </c>
      <c r="AK27">
        <v>2000</v>
      </c>
      <c r="AL27">
        <v>0</v>
      </c>
      <c r="AM27">
        <v>200</v>
      </c>
      <c r="AN27">
        <v>0</v>
      </c>
      <c r="AO27">
        <v>0</v>
      </c>
      <c r="AP27">
        <v>1540</v>
      </c>
      <c r="AR27" t="str">
        <f t="shared" si="1"/>
        <v>0000000000000</v>
      </c>
      <c r="AT27" t="str">
        <f>T("9791137601413")</f>
        <v>9791137601413</v>
      </c>
      <c r="AV27" t="str">
        <f t="shared" si="3"/>
        <v>웹툰 &gt; 해외 순정</v>
      </c>
    </row>
    <row r="28" spans="1:48" x14ac:dyDescent="0.4">
      <c r="A28">
        <v>4421001305</v>
      </c>
      <c r="B28">
        <v>4421001320</v>
      </c>
      <c r="C28" t="str">
        <f>T("악역이지만, 남주는 꼬시지 않아요 16화")</f>
        <v>악역이지만, 남주는 꼬시지 않아요 16화</v>
      </c>
      <c r="D28" t="str">
        <f>T("16")</f>
        <v>16</v>
      </c>
      <c r="E28" t="str">
        <f>T("마북명")</f>
        <v>마북명</v>
      </c>
      <c r="G28" t="str">
        <f>T("kuri")</f>
        <v>kuri</v>
      </c>
      <c r="H28" t="str">
        <f t="shared" si="0"/>
        <v>스토리위즈</v>
      </c>
      <c r="I28" t="str">
        <f>T("악역이지만, 남주는 꼬시지 않아요")</f>
        <v>악역이지만, 남주는 꼬시지 않아요</v>
      </c>
      <c r="J28">
        <v>400</v>
      </c>
      <c r="K28">
        <v>800</v>
      </c>
      <c r="L28">
        <v>2</v>
      </c>
      <c r="M28">
        <v>0</v>
      </c>
      <c r="N28">
        <v>3000</v>
      </c>
      <c r="O28">
        <v>15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3800</v>
      </c>
      <c r="AH28">
        <v>17</v>
      </c>
      <c r="AI28">
        <v>0</v>
      </c>
      <c r="AJ28">
        <v>0</v>
      </c>
      <c r="AK28">
        <v>3600</v>
      </c>
      <c r="AL28">
        <v>0</v>
      </c>
      <c r="AM28">
        <v>200</v>
      </c>
      <c r="AN28">
        <v>0</v>
      </c>
      <c r="AO28">
        <v>0</v>
      </c>
      <c r="AP28">
        <v>2660</v>
      </c>
      <c r="AR28" t="str">
        <f t="shared" si="1"/>
        <v>0000000000000</v>
      </c>
      <c r="AT28" t="str">
        <f>T("9791137603882")</f>
        <v>9791137603882</v>
      </c>
      <c r="AV28" t="str">
        <f t="shared" si="3"/>
        <v>웹툰 &gt; 해외 순정</v>
      </c>
    </row>
    <row r="29" spans="1:48" x14ac:dyDescent="0.4">
      <c r="A29">
        <v>4421000916</v>
      </c>
      <c r="B29">
        <v>4421001276</v>
      </c>
      <c r="C29" t="str">
        <f>T("별빛 아래 우리 61화")</f>
        <v>별빛 아래 우리 61화</v>
      </c>
      <c r="D29" t="str">
        <f>T("61")</f>
        <v>61</v>
      </c>
      <c r="E29" t="str">
        <f>T("건일")</f>
        <v>건일</v>
      </c>
      <c r="G29" t="str">
        <f>T("건일")</f>
        <v>건일</v>
      </c>
      <c r="H29" t="str">
        <f t="shared" si="0"/>
        <v>스토리위즈</v>
      </c>
      <c r="I29" t="str">
        <f>T("별빛 아래 우리")</f>
        <v>별빛 아래 우리</v>
      </c>
      <c r="J29">
        <v>400</v>
      </c>
      <c r="K29">
        <v>800</v>
      </c>
      <c r="L29">
        <v>2</v>
      </c>
      <c r="M29">
        <v>0</v>
      </c>
      <c r="N29">
        <v>1800</v>
      </c>
      <c r="O29">
        <v>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2600</v>
      </c>
      <c r="AH29">
        <v>11</v>
      </c>
      <c r="AI29">
        <v>0</v>
      </c>
      <c r="AJ29">
        <v>0</v>
      </c>
      <c r="AK29">
        <v>2400</v>
      </c>
      <c r="AL29">
        <v>0</v>
      </c>
      <c r="AM29">
        <v>200</v>
      </c>
      <c r="AN29">
        <v>0</v>
      </c>
      <c r="AO29">
        <v>0</v>
      </c>
      <c r="AP29">
        <v>1820</v>
      </c>
      <c r="AR29" t="str">
        <f t="shared" si="1"/>
        <v>0000000000000</v>
      </c>
      <c r="AT29" t="str">
        <f>T("9791137601413")</f>
        <v>9791137601413</v>
      </c>
      <c r="AV29" t="str">
        <f t="shared" si="3"/>
        <v>웹툰 &gt; 해외 순정</v>
      </c>
    </row>
    <row r="30" spans="1:48" x14ac:dyDescent="0.4">
      <c r="A30">
        <v>4421001305</v>
      </c>
      <c r="B30">
        <v>4421001313</v>
      </c>
      <c r="C30" t="str">
        <f>T("악역이지만, 남주는 꼬시지 않아요 9화")</f>
        <v>악역이지만, 남주는 꼬시지 않아요 9화</v>
      </c>
      <c r="D30" t="str">
        <f>T("9")</f>
        <v>9</v>
      </c>
      <c r="E30" t="str">
        <f>T("마북명")</f>
        <v>마북명</v>
      </c>
      <c r="G30" t="str">
        <f>T("kuri")</f>
        <v>kuri</v>
      </c>
      <c r="H30" t="str">
        <f t="shared" si="0"/>
        <v>스토리위즈</v>
      </c>
      <c r="I30" t="str">
        <f>T("악역이지만, 남주는 꼬시지 않아요")</f>
        <v>악역이지만, 남주는 꼬시지 않아요</v>
      </c>
      <c r="J30">
        <v>400</v>
      </c>
      <c r="K30">
        <v>800</v>
      </c>
      <c r="L30">
        <v>2</v>
      </c>
      <c r="M30">
        <v>0</v>
      </c>
      <c r="N30">
        <v>3000</v>
      </c>
      <c r="O30">
        <v>15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3800</v>
      </c>
      <c r="AH30">
        <v>17</v>
      </c>
      <c r="AI30">
        <v>0</v>
      </c>
      <c r="AJ30">
        <v>0</v>
      </c>
      <c r="AK30">
        <v>3600</v>
      </c>
      <c r="AL30">
        <v>0</v>
      </c>
      <c r="AM30">
        <v>200</v>
      </c>
      <c r="AN30">
        <v>0</v>
      </c>
      <c r="AO30">
        <v>0</v>
      </c>
      <c r="AP30">
        <v>2660</v>
      </c>
      <c r="AR30" t="str">
        <f t="shared" si="1"/>
        <v>0000000000000</v>
      </c>
      <c r="AT30" t="str">
        <f>T("9791137603882")</f>
        <v>9791137603882</v>
      </c>
      <c r="AV30" t="str">
        <f t="shared" si="3"/>
        <v>웹툰 &gt; 해외 순정</v>
      </c>
    </row>
    <row r="31" spans="1:48" x14ac:dyDescent="0.4">
      <c r="A31">
        <v>4421000916</v>
      </c>
      <c r="B31">
        <v>4421001296</v>
      </c>
      <c r="C31" t="str">
        <f>T("별빛 아래 우리 66화")</f>
        <v>별빛 아래 우리 66화</v>
      </c>
      <c r="D31" t="str">
        <f>T("66")</f>
        <v>66</v>
      </c>
      <c r="E31" t="str">
        <f>T("건일")</f>
        <v>건일</v>
      </c>
      <c r="G31" t="str">
        <f>T("건일")</f>
        <v>건일</v>
      </c>
      <c r="H31" t="str">
        <f t="shared" si="0"/>
        <v>스토리위즈</v>
      </c>
      <c r="I31" t="str">
        <f>T("별빛 아래 우리")</f>
        <v>별빛 아래 우리</v>
      </c>
      <c r="J31">
        <v>400</v>
      </c>
      <c r="K31">
        <v>800</v>
      </c>
      <c r="L31">
        <v>2</v>
      </c>
      <c r="M31">
        <v>0</v>
      </c>
      <c r="N31">
        <v>3200</v>
      </c>
      <c r="O31">
        <v>16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4000</v>
      </c>
      <c r="AH31">
        <v>18</v>
      </c>
      <c r="AI31">
        <v>0</v>
      </c>
      <c r="AJ31">
        <v>0</v>
      </c>
      <c r="AK31">
        <v>3620</v>
      </c>
      <c r="AL31">
        <v>0</v>
      </c>
      <c r="AM31">
        <v>380</v>
      </c>
      <c r="AN31">
        <v>0</v>
      </c>
      <c r="AO31">
        <v>0</v>
      </c>
      <c r="AP31">
        <v>2800</v>
      </c>
      <c r="AR31" t="str">
        <f t="shared" si="1"/>
        <v>0000000000000</v>
      </c>
      <c r="AT31" t="str">
        <f>T("9791137601413")</f>
        <v>9791137601413</v>
      </c>
      <c r="AV31" t="str">
        <f t="shared" si="3"/>
        <v>웹툰 &gt; 해외 순정</v>
      </c>
    </row>
    <row r="32" spans="1:48" x14ac:dyDescent="0.4">
      <c r="A32">
        <v>4421000916</v>
      </c>
      <c r="B32">
        <v>4421001287</v>
      </c>
      <c r="C32" t="str">
        <f>T("별빛 아래 우리 63화")</f>
        <v>별빛 아래 우리 63화</v>
      </c>
      <c r="D32" t="str">
        <f>T("63")</f>
        <v>63</v>
      </c>
      <c r="E32" t="str">
        <f>T("건일")</f>
        <v>건일</v>
      </c>
      <c r="G32" t="str">
        <f>T("건일")</f>
        <v>건일</v>
      </c>
      <c r="H32" t="str">
        <f t="shared" si="0"/>
        <v>스토리위즈</v>
      </c>
      <c r="I32" t="str">
        <f>T("별빛 아래 우리")</f>
        <v>별빛 아래 우리</v>
      </c>
      <c r="J32">
        <v>400</v>
      </c>
      <c r="K32">
        <v>800</v>
      </c>
      <c r="L32">
        <v>2</v>
      </c>
      <c r="M32">
        <v>0</v>
      </c>
      <c r="N32">
        <v>2400</v>
      </c>
      <c r="O32">
        <v>12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3200</v>
      </c>
      <c r="AH32">
        <v>14</v>
      </c>
      <c r="AI32">
        <v>0</v>
      </c>
      <c r="AJ32">
        <v>0</v>
      </c>
      <c r="AK32">
        <v>2800</v>
      </c>
      <c r="AL32">
        <v>0</v>
      </c>
      <c r="AM32">
        <v>400</v>
      </c>
      <c r="AN32">
        <v>0</v>
      </c>
      <c r="AO32">
        <v>0</v>
      </c>
      <c r="AP32">
        <v>2240</v>
      </c>
      <c r="AR32" t="str">
        <f t="shared" si="1"/>
        <v>0000000000000</v>
      </c>
      <c r="AT32" t="str">
        <f>T("9791137601413")</f>
        <v>9791137601413</v>
      </c>
      <c r="AV32" t="str">
        <f t="shared" si="3"/>
        <v>웹툰 &gt; 해외 순정</v>
      </c>
    </row>
    <row r="33" spans="1:48" x14ac:dyDescent="0.4">
      <c r="A33">
        <v>4421000916</v>
      </c>
      <c r="B33">
        <v>4421000936</v>
      </c>
      <c r="C33" t="str">
        <f>T("별빛 아래 우리 21화")</f>
        <v>별빛 아래 우리 21화</v>
      </c>
      <c r="D33" t="str">
        <f>T("21")</f>
        <v>21</v>
      </c>
      <c r="E33" t="str">
        <f>T("건일")</f>
        <v>건일</v>
      </c>
      <c r="G33" t="str">
        <f>T("건일")</f>
        <v>건일</v>
      </c>
      <c r="H33" t="str">
        <f t="shared" si="0"/>
        <v>스토리위즈</v>
      </c>
      <c r="I33" t="str">
        <f>T("별빛 아래 우리")</f>
        <v>별빛 아래 우리</v>
      </c>
      <c r="J33">
        <v>400</v>
      </c>
      <c r="K33">
        <v>800</v>
      </c>
      <c r="L33">
        <v>2</v>
      </c>
      <c r="M33">
        <v>0</v>
      </c>
      <c r="N33">
        <v>1600</v>
      </c>
      <c r="O33">
        <v>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2400</v>
      </c>
      <c r="AH33">
        <v>10</v>
      </c>
      <c r="AI33">
        <v>0</v>
      </c>
      <c r="AJ33">
        <v>0</v>
      </c>
      <c r="AK33">
        <v>2200</v>
      </c>
      <c r="AL33">
        <v>0</v>
      </c>
      <c r="AM33">
        <v>200</v>
      </c>
      <c r="AN33">
        <v>0</v>
      </c>
      <c r="AO33">
        <v>0</v>
      </c>
      <c r="AP33">
        <v>1680</v>
      </c>
      <c r="AR33" t="str">
        <f t="shared" si="1"/>
        <v>0000000000000</v>
      </c>
      <c r="AT33" t="str">
        <f>T("9791137601413")</f>
        <v>9791137601413</v>
      </c>
      <c r="AV33" t="str">
        <f t="shared" si="3"/>
        <v>웹툰 &gt; 해외 순정</v>
      </c>
    </row>
    <row r="34" spans="1:48" x14ac:dyDescent="0.4">
      <c r="A34">
        <v>4421000916</v>
      </c>
      <c r="B34">
        <v>4421000929</v>
      </c>
      <c r="C34" t="str">
        <f>T("별빛 아래 우리 14화")</f>
        <v>별빛 아래 우리 14화</v>
      </c>
      <c r="D34" t="str">
        <f>T("14")</f>
        <v>14</v>
      </c>
      <c r="E34" t="str">
        <f>T("건일")</f>
        <v>건일</v>
      </c>
      <c r="G34" t="str">
        <f>T("건일")</f>
        <v>건일</v>
      </c>
      <c r="H34" t="str">
        <f t="shared" si="0"/>
        <v>스토리위즈</v>
      </c>
      <c r="I34" t="str">
        <f>T("별빛 아래 우리")</f>
        <v>별빛 아래 우리</v>
      </c>
      <c r="J34">
        <v>400</v>
      </c>
      <c r="K34">
        <v>800</v>
      </c>
      <c r="L34">
        <v>2</v>
      </c>
      <c r="M34">
        <v>0</v>
      </c>
      <c r="N34">
        <v>1800</v>
      </c>
      <c r="O34">
        <v>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2600</v>
      </c>
      <c r="AH34">
        <v>11</v>
      </c>
      <c r="AI34">
        <v>0</v>
      </c>
      <c r="AJ34">
        <v>0</v>
      </c>
      <c r="AK34">
        <v>2200</v>
      </c>
      <c r="AL34">
        <v>0</v>
      </c>
      <c r="AM34">
        <v>400</v>
      </c>
      <c r="AN34">
        <v>0</v>
      </c>
      <c r="AO34">
        <v>0</v>
      </c>
      <c r="AP34">
        <v>1820</v>
      </c>
      <c r="AR34" t="str">
        <f t="shared" si="1"/>
        <v>0000000000000</v>
      </c>
      <c r="AT34" t="str">
        <f>T("9791137601413")</f>
        <v>9791137601413</v>
      </c>
      <c r="AV34" t="str">
        <f t="shared" si="3"/>
        <v>웹툰 &gt; 해외 순정</v>
      </c>
    </row>
    <row r="35" spans="1:48" x14ac:dyDescent="0.4">
      <c r="A35">
        <v>4421001305</v>
      </c>
      <c r="B35">
        <v>4421001324</v>
      </c>
      <c r="C35" t="str">
        <f>T("악역이지만, 남주는 꼬시지 않아요 20화")</f>
        <v>악역이지만, 남주는 꼬시지 않아요 20화</v>
      </c>
      <c r="D35" t="str">
        <f>T("20")</f>
        <v>20</v>
      </c>
      <c r="E35" t="str">
        <f>T("마북명")</f>
        <v>마북명</v>
      </c>
      <c r="G35" t="str">
        <f>T("kuri")</f>
        <v>kuri</v>
      </c>
      <c r="H35" t="str">
        <f t="shared" si="0"/>
        <v>스토리위즈</v>
      </c>
      <c r="I35" t="str">
        <f>T("악역이지만, 남주는 꼬시지 않아요")</f>
        <v>악역이지만, 남주는 꼬시지 않아요</v>
      </c>
      <c r="J35">
        <v>400</v>
      </c>
      <c r="K35">
        <v>800</v>
      </c>
      <c r="L35">
        <v>2</v>
      </c>
      <c r="M35">
        <v>0</v>
      </c>
      <c r="N35">
        <v>2800</v>
      </c>
      <c r="O35">
        <v>14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3600</v>
      </c>
      <c r="AH35">
        <v>16</v>
      </c>
      <c r="AI35">
        <v>0</v>
      </c>
      <c r="AJ35">
        <v>0</v>
      </c>
      <c r="AK35">
        <v>3400</v>
      </c>
      <c r="AL35">
        <v>0</v>
      </c>
      <c r="AM35">
        <v>200</v>
      </c>
      <c r="AN35">
        <v>0</v>
      </c>
      <c r="AO35">
        <v>0</v>
      </c>
      <c r="AP35">
        <v>2520</v>
      </c>
      <c r="AR35" t="str">
        <f t="shared" si="1"/>
        <v>0000000000000</v>
      </c>
      <c r="AT35" t="str">
        <f>T("9791137603882")</f>
        <v>9791137603882</v>
      </c>
      <c r="AV35" t="str">
        <f t="shared" si="3"/>
        <v>웹툰 &gt; 해외 순정</v>
      </c>
    </row>
    <row r="36" spans="1:48" x14ac:dyDescent="0.4">
      <c r="A36">
        <v>4421001305</v>
      </c>
      <c r="B36">
        <v>4421001317</v>
      </c>
      <c r="C36" t="str">
        <f>T("악역이지만, 남주는 꼬시지 않아요 13화")</f>
        <v>악역이지만, 남주는 꼬시지 않아요 13화</v>
      </c>
      <c r="D36" t="str">
        <f>T("13")</f>
        <v>13</v>
      </c>
      <c r="E36" t="str">
        <f>T("마북명")</f>
        <v>마북명</v>
      </c>
      <c r="G36" t="str">
        <f>T("kuri")</f>
        <v>kuri</v>
      </c>
      <c r="H36" t="str">
        <f t="shared" si="0"/>
        <v>스토리위즈</v>
      </c>
      <c r="I36" t="str">
        <f>T("악역이지만, 남주는 꼬시지 않아요")</f>
        <v>악역이지만, 남주는 꼬시지 않아요</v>
      </c>
      <c r="J36">
        <v>400</v>
      </c>
      <c r="K36">
        <v>800</v>
      </c>
      <c r="L36">
        <v>2</v>
      </c>
      <c r="M36">
        <v>0</v>
      </c>
      <c r="N36">
        <v>3000</v>
      </c>
      <c r="O36">
        <v>15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3800</v>
      </c>
      <c r="AH36">
        <v>17</v>
      </c>
      <c r="AI36">
        <v>0</v>
      </c>
      <c r="AJ36">
        <v>0</v>
      </c>
      <c r="AK36">
        <v>3600</v>
      </c>
      <c r="AL36">
        <v>0</v>
      </c>
      <c r="AM36">
        <v>200</v>
      </c>
      <c r="AN36">
        <v>0</v>
      </c>
      <c r="AO36">
        <v>0</v>
      </c>
      <c r="AP36">
        <v>2660</v>
      </c>
      <c r="AR36" t="str">
        <f t="shared" si="1"/>
        <v>0000000000000</v>
      </c>
      <c r="AT36" t="str">
        <f>T("9791137603882")</f>
        <v>9791137603882</v>
      </c>
      <c r="AV36" t="str">
        <f t="shared" si="3"/>
        <v>웹툰 &gt; 해외 순정</v>
      </c>
    </row>
    <row r="37" spans="1:48" x14ac:dyDescent="0.4">
      <c r="A37">
        <v>4421000916</v>
      </c>
      <c r="B37">
        <v>4421000922</v>
      </c>
      <c r="C37" t="str">
        <f>T("별빛 아래 우리 7화")</f>
        <v>별빛 아래 우리 7화</v>
      </c>
      <c r="D37" t="str">
        <f>T("7")</f>
        <v>7</v>
      </c>
      <c r="E37" t="str">
        <f>T("건일")</f>
        <v>건일</v>
      </c>
      <c r="G37" t="str">
        <f>T("건일")</f>
        <v>건일</v>
      </c>
      <c r="H37" t="str">
        <f t="shared" si="0"/>
        <v>스토리위즈</v>
      </c>
      <c r="I37" t="str">
        <f>T("별빛 아래 우리")</f>
        <v>별빛 아래 우리</v>
      </c>
      <c r="J37">
        <v>400</v>
      </c>
      <c r="K37">
        <v>800</v>
      </c>
      <c r="L37">
        <v>2</v>
      </c>
      <c r="M37">
        <v>0</v>
      </c>
      <c r="N37">
        <v>1800</v>
      </c>
      <c r="O37">
        <v>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2600</v>
      </c>
      <c r="AH37">
        <v>11</v>
      </c>
      <c r="AI37">
        <v>0</v>
      </c>
      <c r="AJ37">
        <v>0</v>
      </c>
      <c r="AK37">
        <v>2400</v>
      </c>
      <c r="AL37">
        <v>0</v>
      </c>
      <c r="AM37">
        <v>200</v>
      </c>
      <c r="AN37">
        <v>0</v>
      </c>
      <c r="AO37">
        <v>0</v>
      </c>
      <c r="AP37">
        <v>1820</v>
      </c>
      <c r="AR37" t="str">
        <f t="shared" si="1"/>
        <v>0000000000000</v>
      </c>
      <c r="AT37" t="str">
        <f>T("9791137601413")</f>
        <v>9791137601413</v>
      </c>
      <c r="AV37" t="str">
        <f t="shared" si="3"/>
        <v>웹툰 &gt; 해외 순정</v>
      </c>
    </row>
    <row r="38" spans="1:48" x14ac:dyDescent="0.4">
      <c r="A38">
        <v>4421000198</v>
      </c>
      <c r="B38">
        <v>4421001303</v>
      </c>
      <c r="C38" t="str">
        <f>T("공주전쟁 91화")</f>
        <v>공주전쟁 91화</v>
      </c>
      <c r="D38" t="str">
        <f>T("91")</f>
        <v>91</v>
      </c>
      <c r="E38" t="str">
        <f>T("Hujing")</f>
        <v>Hujing</v>
      </c>
      <c r="G38" t="str">
        <f>T("Luojie")</f>
        <v>Luojie</v>
      </c>
      <c r="H38" t="str">
        <f t="shared" si="0"/>
        <v>스토리위즈</v>
      </c>
      <c r="I38" t="str">
        <f>T("공주전쟁")</f>
        <v>공주전쟁</v>
      </c>
      <c r="J38">
        <v>400</v>
      </c>
      <c r="K38">
        <v>800</v>
      </c>
      <c r="L38">
        <v>2</v>
      </c>
      <c r="M38">
        <v>0</v>
      </c>
      <c r="N38">
        <v>1200</v>
      </c>
      <c r="O38">
        <v>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2000</v>
      </c>
      <c r="AH38">
        <v>8</v>
      </c>
      <c r="AI38">
        <v>0</v>
      </c>
      <c r="AJ38">
        <v>0</v>
      </c>
      <c r="AK38">
        <v>2000</v>
      </c>
      <c r="AL38">
        <v>0</v>
      </c>
      <c r="AM38">
        <v>0</v>
      </c>
      <c r="AN38">
        <v>0</v>
      </c>
      <c r="AO38">
        <v>0</v>
      </c>
      <c r="AP38">
        <v>1400</v>
      </c>
      <c r="AR38" t="str">
        <f t="shared" si="1"/>
        <v>0000000000000</v>
      </c>
      <c r="AT38" t="str">
        <f>T("9791166069666")</f>
        <v>9791166069666</v>
      </c>
      <c r="AV38" t="str">
        <f t="shared" si="3"/>
        <v>웹툰 &gt; 해외 순정</v>
      </c>
    </row>
    <row r="39" spans="1:48" x14ac:dyDescent="0.4">
      <c r="A39">
        <v>4421000916</v>
      </c>
      <c r="B39">
        <v>4421000933</v>
      </c>
      <c r="C39" t="str">
        <f>T("별빛 아래 우리 18화")</f>
        <v>별빛 아래 우리 18화</v>
      </c>
      <c r="D39" t="str">
        <f>T("18")</f>
        <v>18</v>
      </c>
      <c r="E39" t="str">
        <f>T("건일")</f>
        <v>건일</v>
      </c>
      <c r="G39" t="str">
        <f>T("건일")</f>
        <v>건일</v>
      </c>
      <c r="H39" t="str">
        <f t="shared" si="0"/>
        <v>스토리위즈</v>
      </c>
      <c r="I39" t="str">
        <f>T("별빛 아래 우리")</f>
        <v>별빛 아래 우리</v>
      </c>
      <c r="J39">
        <v>400</v>
      </c>
      <c r="K39">
        <v>800</v>
      </c>
      <c r="L39">
        <v>2</v>
      </c>
      <c r="M39">
        <v>0</v>
      </c>
      <c r="N39">
        <v>1800</v>
      </c>
      <c r="O39">
        <v>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2600</v>
      </c>
      <c r="AH39">
        <v>11</v>
      </c>
      <c r="AI39">
        <v>0</v>
      </c>
      <c r="AJ39">
        <v>0</v>
      </c>
      <c r="AK39">
        <v>2200</v>
      </c>
      <c r="AL39">
        <v>0</v>
      </c>
      <c r="AM39">
        <v>400</v>
      </c>
      <c r="AN39">
        <v>0</v>
      </c>
      <c r="AO39">
        <v>0</v>
      </c>
      <c r="AP39">
        <v>1820</v>
      </c>
      <c r="AR39" t="str">
        <f t="shared" si="1"/>
        <v>0000000000000</v>
      </c>
      <c r="AT39" t="str">
        <f>T("9791137601413")</f>
        <v>9791137601413</v>
      </c>
      <c r="AV39" t="str">
        <f t="shared" si="3"/>
        <v>웹툰 &gt; 해외 순정</v>
      </c>
    </row>
    <row r="40" spans="1:48" x14ac:dyDescent="0.4">
      <c r="A40">
        <v>4421000916</v>
      </c>
      <c r="B40">
        <v>4421000926</v>
      </c>
      <c r="C40" t="str">
        <f>T("별빛 아래 우리 11화")</f>
        <v>별빛 아래 우리 11화</v>
      </c>
      <c r="D40" t="str">
        <f>T("11")</f>
        <v>11</v>
      </c>
      <c r="E40" t="str">
        <f>T("건일")</f>
        <v>건일</v>
      </c>
      <c r="G40" t="str">
        <f>T("건일")</f>
        <v>건일</v>
      </c>
      <c r="H40" t="str">
        <f t="shared" si="0"/>
        <v>스토리위즈</v>
      </c>
      <c r="I40" t="str">
        <f>T("별빛 아래 우리")</f>
        <v>별빛 아래 우리</v>
      </c>
      <c r="J40">
        <v>400</v>
      </c>
      <c r="K40">
        <v>800</v>
      </c>
      <c r="L40">
        <v>2</v>
      </c>
      <c r="M40">
        <v>0</v>
      </c>
      <c r="N40">
        <v>1400</v>
      </c>
      <c r="O40">
        <v>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2200</v>
      </c>
      <c r="AH40">
        <v>9</v>
      </c>
      <c r="AI40">
        <v>0</v>
      </c>
      <c r="AJ40">
        <v>0</v>
      </c>
      <c r="AK40">
        <v>2000</v>
      </c>
      <c r="AL40">
        <v>0</v>
      </c>
      <c r="AM40">
        <v>200</v>
      </c>
      <c r="AN40">
        <v>0</v>
      </c>
      <c r="AO40">
        <v>0</v>
      </c>
      <c r="AP40">
        <v>1540</v>
      </c>
      <c r="AR40" t="str">
        <f t="shared" si="1"/>
        <v>0000000000000</v>
      </c>
      <c r="AT40" t="str">
        <f>T("9791137601413")</f>
        <v>9791137601413</v>
      </c>
      <c r="AV40" t="str">
        <f t="shared" si="3"/>
        <v>웹툰 &gt; 해외 순정</v>
      </c>
    </row>
    <row r="41" spans="1:48" x14ac:dyDescent="0.4">
      <c r="A41">
        <v>4421000198</v>
      </c>
      <c r="B41">
        <v>4421001226</v>
      </c>
      <c r="C41" t="str">
        <f>T("공주전쟁 74화")</f>
        <v>공주전쟁 74화</v>
      </c>
      <c r="D41" t="str">
        <f>T("74")</f>
        <v>74</v>
      </c>
      <c r="E41" t="str">
        <f>T("Hujing")</f>
        <v>Hujing</v>
      </c>
      <c r="G41" t="str">
        <f>T("Luojie")</f>
        <v>Luojie</v>
      </c>
      <c r="H41" t="str">
        <f t="shared" si="0"/>
        <v>스토리위즈</v>
      </c>
      <c r="I41" t="str">
        <f>T("공주전쟁")</f>
        <v>공주전쟁</v>
      </c>
      <c r="J41">
        <v>400</v>
      </c>
      <c r="K41">
        <v>800</v>
      </c>
      <c r="L41">
        <v>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800</v>
      </c>
      <c r="AH41">
        <v>2</v>
      </c>
      <c r="AI41">
        <v>0</v>
      </c>
      <c r="AJ41">
        <v>0</v>
      </c>
      <c r="AK41">
        <v>800</v>
      </c>
      <c r="AL41">
        <v>0</v>
      </c>
      <c r="AM41">
        <v>0</v>
      </c>
      <c r="AN41">
        <v>0</v>
      </c>
      <c r="AO41">
        <v>0</v>
      </c>
      <c r="AP41">
        <v>560</v>
      </c>
      <c r="AR41" t="str">
        <f t="shared" si="1"/>
        <v>0000000000000</v>
      </c>
      <c r="AT41" t="str">
        <f>T("9791166069666")</f>
        <v>9791166069666</v>
      </c>
      <c r="AV41" t="str">
        <f t="shared" si="3"/>
        <v>웹툰 &gt; 해외 순정</v>
      </c>
    </row>
    <row r="42" spans="1:48" x14ac:dyDescent="0.4">
      <c r="A42">
        <v>4421001305</v>
      </c>
      <c r="B42">
        <v>4421001321</v>
      </c>
      <c r="C42" t="str">
        <f>T("악역이지만, 남주는 꼬시지 않아요 17화")</f>
        <v>악역이지만, 남주는 꼬시지 않아요 17화</v>
      </c>
      <c r="D42" t="str">
        <f>T("17")</f>
        <v>17</v>
      </c>
      <c r="E42" t="str">
        <f>T("마북명")</f>
        <v>마북명</v>
      </c>
      <c r="G42" t="str">
        <f>T("kuri")</f>
        <v>kuri</v>
      </c>
      <c r="H42" t="str">
        <f t="shared" si="0"/>
        <v>스토리위즈</v>
      </c>
      <c r="I42" t="str">
        <f>T("악역이지만, 남주는 꼬시지 않아요")</f>
        <v>악역이지만, 남주는 꼬시지 않아요</v>
      </c>
      <c r="J42">
        <v>400</v>
      </c>
      <c r="K42">
        <v>800</v>
      </c>
      <c r="L42">
        <v>2</v>
      </c>
      <c r="M42">
        <v>0</v>
      </c>
      <c r="N42">
        <v>3000</v>
      </c>
      <c r="O42">
        <v>15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3800</v>
      </c>
      <c r="AH42">
        <v>17</v>
      </c>
      <c r="AI42">
        <v>0</v>
      </c>
      <c r="AJ42">
        <v>0</v>
      </c>
      <c r="AK42">
        <v>3600</v>
      </c>
      <c r="AL42">
        <v>0</v>
      </c>
      <c r="AM42">
        <v>200</v>
      </c>
      <c r="AN42">
        <v>0</v>
      </c>
      <c r="AO42">
        <v>0</v>
      </c>
      <c r="AP42">
        <v>2660</v>
      </c>
      <c r="AR42" t="str">
        <f t="shared" si="1"/>
        <v>0000000000000</v>
      </c>
      <c r="AT42" t="str">
        <f>T("9791137603882")</f>
        <v>9791137603882</v>
      </c>
      <c r="AV42" t="str">
        <f t="shared" si="3"/>
        <v>웹툰 &gt; 해외 순정</v>
      </c>
    </row>
    <row r="43" spans="1:48" x14ac:dyDescent="0.4">
      <c r="A43">
        <v>4421001305</v>
      </c>
      <c r="B43">
        <v>4421001314</v>
      </c>
      <c r="C43" t="str">
        <f>T("악역이지만, 남주는 꼬시지 않아요 10화")</f>
        <v>악역이지만, 남주는 꼬시지 않아요 10화</v>
      </c>
      <c r="D43" t="str">
        <f>T("10")</f>
        <v>10</v>
      </c>
      <c r="E43" t="str">
        <f>T("마북명")</f>
        <v>마북명</v>
      </c>
      <c r="G43" t="str">
        <f>T("kuri")</f>
        <v>kuri</v>
      </c>
      <c r="H43" t="str">
        <f t="shared" si="0"/>
        <v>스토리위즈</v>
      </c>
      <c r="I43" t="str">
        <f>T("악역이지만, 남주는 꼬시지 않아요")</f>
        <v>악역이지만, 남주는 꼬시지 않아요</v>
      </c>
      <c r="J43">
        <v>400</v>
      </c>
      <c r="K43">
        <v>800</v>
      </c>
      <c r="L43">
        <v>2</v>
      </c>
      <c r="M43">
        <v>0</v>
      </c>
      <c r="N43">
        <v>3000</v>
      </c>
      <c r="O43">
        <v>15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3800</v>
      </c>
      <c r="AH43">
        <v>17</v>
      </c>
      <c r="AI43">
        <v>0</v>
      </c>
      <c r="AJ43">
        <v>0</v>
      </c>
      <c r="AK43">
        <v>3600</v>
      </c>
      <c r="AL43">
        <v>0</v>
      </c>
      <c r="AM43">
        <v>200</v>
      </c>
      <c r="AN43">
        <v>0</v>
      </c>
      <c r="AO43">
        <v>0</v>
      </c>
      <c r="AP43">
        <v>2660</v>
      </c>
      <c r="AR43" t="str">
        <f t="shared" si="1"/>
        <v>0000000000000</v>
      </c>
      <c r="AT43" t="str">
        <f>T("9791137603882")</f>
        <v>9791137603882</v>
      </c>
      <c r="AV43" t="str">
        <f t="shared" si="3"/>
        <v>웹툰 &gt; 해외 순정</v>
      </c>
    </row>
    <row r="44" spans="1:48" x14ac:dyDescent="0.4">
      <c r="A44">
        <v>4421000916</v>
      </c>
      <c r="B44">
        <v>4421001288</v>
      </c>
      <c r="C44" t="str">
        <f>T("별빛 아래 우리 64화")</f>
        <v>별빛 아래 우리 64화</v>
      </c>
      <c r="D44" t="str">
        <f>T("64")</f>
        <v>64</v>
      </c>
      <c r="E44" t="str">
        <f>T("건일")</f>
        <v>건일</v>
      </c>
      <c r="G44" t="str">
        <f>T("건일")</f>
        <v>건일</v>
      </c>
      <c r="H44" t="str">
        <f t="shared" si="0"/>
        <v>스토리위즈</v>
      </c>
      <c r="I44" t="str">
        <f>T("별빛 아래 우리")</f>
        <v>별빛 아래 우리</v>
      </c>
      <c r="J44">
        <v>400</v>
      </c>
      <c r="K44">
        <v>800</v>
      </c>
      <c r="L44">
        <v>2</v>
      </c>
      <c r="M44">
        <v>0</v>
      </c>
      <c r="N44">
        <v>2600</v>
      </c>
      <c r="O44">
        <v>13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3400</v>
      </c>
      <c r="AH44">
        <v>15</v>
      </c>
      <c r="AI44">
        <v>0</v>
      </c>
      <c r="AJ44">
        <v>0</v>
      </c>
      <c r="AK44">
        <v>2820</v>
      </c>
      <c r="AL44">
        <v>0</v>
      </c>
      <c r="AM44">
        <v>580</v>
      </c>
      <c r="AN44">
        <v>0</v>
      </c>
      <c r="AO44">
        <v>0</v>
      </c>
      <c r="AP44">
        <v>2380</v>
      </c>
      <c r="AR44" t="str">
        <f t="shared" si="1"/>
        <v>0000000000000</v>
      </c>
      <c r="AT44" t="str">
        <f>T("9791137601413")</f>
        <v>9791137601413</v>
      </c>
      <c r="AV44" t="str">
        <f t="shared" si="3"/>
        <v>웹툰 &gt; 해외 순정</v>
      </c>
    </row>
    <row r="45" spans="1:48" x14ac:dyDescent="0.4">
      <c r="A45">
        <v>4421000916</v>
      </c>
      <c r="B45">
        <v>4421000937</v>
      </c>
      <c r="C45" t="str">
        <f>T("별빛 아래 우리 22화")</f>
        <v>별빛 아래 우리 22화</v>
      </c>
      <c r="D45" t="str">
        <f>T("22")</f>
        <v>22</v>
      </c>
      <c r="E45" t="str">
        <f>T("건일")</f>
        <v>건일</v>
      </c>
      <c r="G45" t="str">
        <f>T("건일")</f>
        <v>건일</v>
      </c>
      <c r="H45" t="str">
        <f t="shared" si="0"/>
        <v>스토리위즈</v>
      </c>
      <c r="I45" t="str">
        <f>T("별빛 아래 우리")</f>
        <v>별빛 아래 우리</v>
      </c>
      <c r="J45">
        <v>400</v>
      </c>
      <c r="K45">
        <v>800</v>
      </c>
      <c r="L45">
        <v>2</v>
      </c>
      <c r="M45">
        <v>0</v>
      </c>
      <c r="N45">
        <v>1600</v>
      </c>
      <c r="O45">
        <v>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2400</v>
      </c>
      <c r="AH45">
        <v>10</v>
      </c>
      <c r="AI45">
        <v>0</v>
      </c>
      <c r="AJ45">
        <v>0</v>
      </c>
      <c r="AK45">
        <v>2200</v>
      </c>
      <c r="AL45">
        <v>0</v>
      </c>
      <c r="AM45">
        <v>200</v>
      </c>
      <c r="AN45">
        <v>0</v>
      </c>
      <c r="AO45">
        <v>0</v>
      </c>
      <c r="AP45">
        <v>1680</v>
      </c>
      <c r="AR45" t="str">
        <f t="shared" si="1"/>
        <v>0000000000000</v>
      </c>
      <c r="AT45" t="str">
        <f>T("9791137601413")</f>
        <v>9791137601413</v>
      </c>
      <c r="AV45" t="str">
        <f t="shared" si="3"/>
        <v>웹툰 &gt; 해외 순정</v>
      </c>
    </row>
    <row r="46" spans="1:48" x14ac:dyDescent="0.4">
      <c r="A46">
        <v>4421000916</v>
      </c>
      <c r="B46">
        <v>4421000930</v>
      </c>
      <c r="C46" t="str">
        <f>T("별빛 아래 우리 15화")</f>
        <v>별빛 아래 우리 15화</v>
      </c>
      <c r="D46" t="str">
        <f>T("15")</f>
        <v>15</v>
      </c>
      <c r="E46" t="str">
        <f>T("건일")</f>
        <v>건일</v>
      </c>
      <c r="G46" t="str">
        <f>T("건일")</f>
        <v>건일</v>
      </c>
      <c r="H46" t="str">
        <f t="shared" si="0"/>
        <v>스토리위즈</v>
      </c>
      <c r="I46" t="str">
        <f>T("별빛 아래 우리")</f>
        <v>별빛 아래 우리</v>
      </c>
      <c r="J46">
        <v>400</v>
      </c>
      <c r="K46">
        <v>800</v>
      </c>
      <c r="L46">
        <v>2</v>
      </c>
      <c r="M46">
        <v>0</v>
      </c>
      <c r="N46">
        <v>1800</v>
      </c>
      <c r="O46">
        <v>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2600</v>
      </c>
      <c r="AH46">
        <v>11</v>
      </c>
      <c r="AI46">
        <v>0</v>
      </c>
      <c r="AJ46">
        <v>0</v>
      </c>
      <c r="AK46">
        <v>2200</v>
      </c>
      <c r="AL46">
        <v>0</v>
      </c>
      <c r="AM46">
        <v>400</v>
      </c>
      <c r="AN46">
        <v>0</v>
      </c>
      <c r="AO46">
        <v>0</v>
      </c>
      <c r="AP46">
        <v>1820</v>
      </c>
      <c r="AR46" t="str">
        <f t="shared" si="1"/>
        <v>0000000000000</v>
      </c>
      <c r="AT46" t="str">
        <f>T("9791137601413")</f>
        <v>9791137601413</v>
      </c>
      <c r="AV46" t="str">
        <f t="shared" si="3"/>
        <v>웹툰 &gt; 해외 순정</v>
      </c>
    </row>
    <row r="47" spans="1:48" x14ac:dyDescent="0.4">
      <c r="A47">
        <v>4421001305</v>
      </c>
      <c r="B47">
        <v>4421001318</v>
      </c>
      <c r="C47" t="str">
        <f>T("악역이지만, 남주는 꼬시지 않아요 14화")</f>
        <v>악역이지만, 남주는 꼬시지 않아요 14화</v>
      </c>
      <c r="D47" t="str">
        <f>T("14")</f>
        <v>14</v>
      </c>
      <c r="E47" t="str">
        <f>T("마북명")</f>
        <v>마북명</v>
      </c>
      <c r="G47" t="str">
        <f>T("kuri")</f>
        <v>kuri</v>
      </c>
      <c r="H47" t="str">
        <f t="shared" si="0"/>
        <v>스토리위즈</v>
      </c>
      <c r="I47" t="str">
        <f>T("악역이지만, 남주는 꼬시지 않아요")</f>
        <v>악역이지만, 남주는 꼬시지 않아요</v>
      </c>
      <c r="J47">
        <v>400</v>
      </c>
      <c r="K47">
        <v>800</v>
      </c>
      <c r="L47">
        <v>2</v>
      </c>
      <c r="M47">
        <v>0</v>
      </c>
      <c r="N47">
        <v>3200</v>
      </c>
      <c r="O47">
        <v>16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4000</v>
      </c>
      <c r="AH47">
        <v>18</v>
      </c>
      <c r="AI47">
        <v>0</v>
      </c>
      <c r="AJ47">
        <v>0</v>
      </c>
      <c r="AK47">
        <v>3800</v>
      </c>
      <c r="AL47">
        <v>0</v>
      </c>
      <c r="AM47">
        <v>200</v>
      </c>
      <c r="AN47">
        <v>0</v>
      </c>
      <c r="AO47">
        <v>0</v>
      </c>
      <c r="AP47">
        <v>2800</v>
      </c>
      <c r="AR47" t="str">
        <f t="shared" si="1"/>
        <v>0000000000000</v>
      </c>
      <c r="AT47" t="str">
        <f>T("9791137603882")</f>
        <v>9791137603882</v>
      </c>
      <c r="AV47" t="str">
        <f t="shared" si="3"/>
        <v>웹툰 &gt; 해외 순정</v>
      </c>
    </row>
    <row r="48" spans="1:48" x14ac:dyDescent="0.4">
      <c r="A48">
        <v>4421000916</v>
      </c>
      <c r="B48">
        <v>4421000923</v>
      </c>
      <c r="C48" t="str">
        <f>T("별빛 아래 우리 8화")</f>
        <v>별빛 아래 우리 8화</v>
      </c>
      <c r="D48" t="str">
        <f>T("8")</f>
        <v>8</v>
      </c>
      <c r="E48" t="str">
        <f>T("건일")</f>
        <v>건일</v>
      </c>
      <c r="G48" t="str">
        <f>T("건일")</f>
        <v>건일</v>
      </c>
      <c r="H48" t="str">
        <f t="shared" si="0"/>
        <v>스토리위즈</v>
      </c>
      <c r="I48" t="str">
        <f>T("별빛 아래 우리")</f>
        <v>별빛 아래 우리</v>
      </c>
      <c r="J48">
        <v>400</v>
      </c>
      <c r="K48">
        <v>800</v>
      </c>
      <c r="L48">
        <v>2</v>
      </c>
      <c r="M48">
        <v>0</v>
      </c>
      <c r="N48">
        <v>1800</v>
      </c>
      <c r="O48">
        <v>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2600</v>
      </c>
      <c r="AH48">
        <v>11</v>
      </c>
      <c r="AI48">
        <v>0</v>
      </c>
      <c r="AJ48">
        <v>0</v>
      </c>
      <c r="AK48">
        <v>2400</v>
      </c>
      <c r="AL48">
        <v>0</v>
      </c>
      <c r="AM48">
        <v>200</v>
      </c>
      <c r="AN48">
        <v>0</v>
      </c>
      <c r="AO48">
        <v>0</v>
      </c>
      <c r="AP48">
        <v>1820</v>
      </c>
      <c r="AR48" t="str">
        <f t="shared" si="1"/>
        <v>0000000000000</v>
      </c>
      <c r="AT48" t="str">
        <f>T("9791137601413")</f>
        <v>9791137601413</v>
      </c>
      <c r="AV48" t="str">
        <f t="shared" si="3"/>
        <v>웹툰 &gt; 해외 순정</v>
      </c>
    </row>
    <row r="49" spans="1:48" x14ac:dyDescent="0.4">
      <c r="A49">
        <v>4421000916</v>
      </c>
      <c r="B49">
        <v>4421001304</v>
      </c>
      <c r="C49" t="str">
        <f>T("별빛 아래 우리 68화")</f>
        <v>별빛 아래 우리 68화</v>
      </c>
      <c r="D49" t="str">
        <f>T("68")</f>
        <v>68</v>
      </c>
      <c r="E49" t="str">
        <f>T("건일")</f>
        <v>건일</v>
      </c>
      <c r="G49" t="str">
        <f>T("건일")</f>
        <v>건일</v>
      </c>
      <c r="H49" t="str">
        <f t="shared" si="0"/>
        <v>스토리위즈</v>
      </c>
      <c r="I49" t="str">
        <f>T("별빛 아래 우리")</f>
        <v>별빛 아래 우리</v>
      </c>
      <c r="J49">
        <v>400</v>
      </c>
      <c r="K49">
        <v>800</v>
      </c>
      <c r="L49">
        <v>2</v>
      </c>
      <c r="M49">
        <v>0</v>
      </c>
      <c r="N49">
        <v>5400</v>
      </c>
      <c r="O49">
        <v>27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6200</v>
      </c>
      <c r="AH49">
        <v>29</v>
      </c>
      <c r="AI49">
        <v>0</v>
      </c>
      <c r="AJ49">
        <v>0</v>
      </c>
      <c r="AK49">
        <v>5620</v>
      </c>
      <c r="AL49">
        <v>0</v>
      </c>
      <c r="AM49">
        <v>580</v>
      </c>
      <c r="AN49">
        <v>0</v>
      </c>
      <c r="AO49">
        <v>0</v>
      </c>
      <c r="AP49">
        <v>4340</v>
      </c>
      <c r="AR49" t="str">
        <f t="shared" si="1"/>
        <v>0000000000000</v>
      </c>
      <c r="AT49" t="str">
        <f>T("9791137601413")</f>
        <v>9791137601413</v>
      </c>
      <c r="AV49" t="str">
        <f t="shared" si="3"/>
        <v>웹툰 &gt; 해외 순정</v>
      </c>
    </row>
    <row r="50" spans="1:48" x14ac:dyDescent="0.4">
      <c r="A50">
        <v>4421001340</v>
      </c>
      <c r="B50">
        <v>4421001346</v>
      </c>
      <c r="C50" t="str">
        <f>T("가출천사 육성계약 7화")</f>
        <v>가출천사 육성계약 7화</v>
      </c>
      <c r="D50" t="str">
        <f>T("7")</f>
        <v>7</v>
      </c>
      <c r="E50" t="str">
        <f>T("Bae.C, IIAKI, 박제후")</f>
        <v>Bae.C, IIAKI, 박제후</v>
      </c>
      <c r="G50" t="str">
        <f>T("Bae.C, 조우")</f>
        <v>Bae.C, 조우</v>
      </c>
      <c r="H50" t="str">
        <f t="shared" si="0"/>
        <v>스토리위즈</v>
      </c>
      <c r="I50" t="str">
        <f>T("가출천사 육성계약")</f>
        <v>가출천사 육성계약</v>
      </c>
      <c r="J50">
        <v>400</v>
      </c>
      <c r="K50">
        <v>800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800</v>
      </c>
      <c r="AH50">
        <v>2</v>
      </c>
      <c r="AI50">
        <v>0</v>
      </c>
      <c r="AJ50">
        <v>0</v>
      </c>
      <c r="AK50">
        <v>800</v>
      </c>
      <c r="AL50">
        <v>0</v>
      </c>
      <c r="AM50">
        <v>0</v>
      </c>
      <c r="AN50">
        <v>0</v>
      </c>
      <c r="AO50">
        <v>0</v>
      </c>
      <c r="AP50">
        <v>560</v>
      </c>
      <c r="AR50" t="str">
        <f t="shared" si="1"/>
        <v>0000000000000</v>
      </c>
      <c r="AT50" t="str">
        <f>T("9791191765663")</f>
        <v>9791191765663</v>
      </c>
      <c r="AV50" t="str">
        <f>T("웹툰 &gt; 판타지/SF")</f>
        <v>웹툰 &gt; 판타지/SF</v>
      </c>
    </row>
    <row r="51" spans="1:48" x14ac:dyDescent="0.4">
      <c r="A51">
        <v>4421000916</v>
      </c>
      <c r="B51">
        <v>4421000934</v>
      </c>
      <c r="C51" t="str">
        <f>T("별빛 아래 우리 19화")</f>
        <v>별빛 아래 우리 19화</v>
      </c>
      <c r="D51" t="str">
        <f>T("19")</f>
        <v>19</v>
      </c>
      <c r="E51" t="str">
        <f>T("건일")</f>
        <v>건일</v>
      </c>
      <c r="G51" t="str">
        <f>T("건일")</f>
        <v>건일</v>
      </c>
      <c r="H51" t="str">
        <f t="shared" si="0"/>
        <v>스토리위즈</v>
      </c>
      <c r="I51" t="str">
        <f>T("별빛 아래 우리")</f>
        <v>별빛 아래 우리</v>
      </c>
      <c r="J51">
        <v>400</v>
      </c>
      <c r="K51">
        <v>800</v>
      </c>
      <c r="L51">
        <v>2</v>
      </c>
      <c r="M51">
        <v>0</v>
      </c>
      <c r="N51">
        <v>1600</v>
      </c>
      <c r="O51">
        <v>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2400</v>
      </c>
      <c r="AH51">
        <v>10</v>
      </c>
      <c r="AI51">
        <v>0</v>
      </c>
      <c r="AJ51">
        <v>0</v>
      </c>
      <c r="AK51">
        <v>2200</v>
      </c>
      <c r="AL51">
        <v>0</v>
      </c>
      <c r="AM51">
        <v>200</v>
      </c>
      <c r="AN51">
        <v>0</v>
      </c>
      <c r="AO51">
        <v>0</v>
      </c>
      <c r="AP51">
        <v>1680</v>
      </c>
      <c r="AR51" t="str">
        <f t="shared" si="1"/>
        <v>0000000000000</v>
      </c>
      <c r="AT51" t="str">
        <f>T("9791137601413")</f>
        <v>9791137601413</v>
      </c>
      <c r="AV51" t="str">
        <f>T("웹툰 &gt; 해외 순정")</f>
        <v>웹툰 &gt; 해외 순정</v>
      </c>
    </row>
    <row r="52" spans="1:48" x14ac:dyDescent="0.4">
      <c r="A52">
        <v>4421000916</v>
      </c>
      <c r="B52">
        <v>4421000927</v>
      </c>
      <c r="C52" t="str">
        <f>T("별빛 아래 우리 12화")</f>
        <v>별빛 아래 우리 12화</v>
      </c>
      <c r="D52" t="str">
        <f>T("12")</f>
        <v>12</v>
      </c>
      <c r="E52" t="str">
        <f>T("건일")</f>
        <v>건일</v>
      </c>
      <c r="G52" t="str">
        <f>T("건일")</f>
        <v>건일</v>
      </c>
      <c r="H52" t="str">
        <f t="shared" si="0"/>
        <v>스토리위즈</v>
      </c>
      <c r="I52" t="str">
        <f>T("별빛 아래 우리")</f>
        <v>별빛 아래 우리</v>
      </c>
      <c r="J52">
        <v>400</v>
      </c>
      <c r="K52">
        <v>800</v>
      </c>
      <c r="L52">
        <v>2</v>
      </c>
      <c r="M52">
        <v>0</v>
      </c>
      <c r="N52">
        <v>1600</v>
      </c>
      <c r="O52">
        <v>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2400</v>
      </c>
      <c r="AH52">
        <v>10</v>
      </c>
      <c r="AI52">
        <v>0</v>
      </c>
      <c r="AJ52">
        <v>0</v>
      </c>
      <c r="AK52">
        <v>2200</v>
      </c>
      <c r="AL52">
        <v>0</v>
      </c>
      <c r="AM52">
        <v>200</v>
      </c>
      <c r="AN52">
        <v>0</v>
      </c>
      <c r="AO52">
        <v>0</v>
      </c>
      <c r="AP52">
        <v>1680</v>
      </c>
      <c r="AR52" t="str">
        <f t="shared" si="1"/>
        <v>0000000000000</v>
      </c>
      <c r="AT52" t="str">
        <f>T("9791137601413")</f>
        <v>9791137601413</v>
      </c>
      <c r="AV52" t="str">
        <f>T("웹툰 &gt; 해외 순정")</f>
        <v>웹툰 &gt; 해외 순정</v>
      </c>
    </row>
    <row r="53" spans="1:48" x14ac:dyDescent="0.4">
      <c r="A53">
        <v>4421000198</v>
      </c>
      <c r="B53">
        <v>4421001227</v>
      </c>
      <c r="C53" t="str">
        <f>T("공주전쟁 75화")</f>
        <v>공주전쟁 75화</v>
      </c>
      <c r="D53" t="str">
        <f>T("75")</f>
        <v>75</v>
      </c>
      <c r="E53" t="str">
        <f>T("Hujing")</f>
        <v>Hujing</v>
      </c>
      <c r="G53" t="str">
        <f>T("Luojie")</f>
        <v>Luojie</v>
      </c>
      <c r="H53" t="str">
        <f t="shared" si="0"/>
        <v>스토리위즈</v>
      </c>
      <c r="I53" t="str">
        <f>T("공주전쟁")</f>
        <v>공주전쟁</v>
      </c>
      <c r="J53">
        <v>400</v>
      </c>
      <c r="K53">
        <v>800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800</v>
      </c>
      <c r="AH53">
        <v>2</v>
      </c>
      <c r="AI53">
        <v>0</v>
      </c>
      <c r="AJ53">
        <v>0</v>
      </c>
      <c r="AK53">
        <v>800</v>
      </c>
      <c r="AL53">
        <v>0</v>
      </c>
      <c r="AM53">
        <v>0</v>
      </c>
      <c r="AN53">
        <v>0</v>
      </c>
      <c r="AO53">
        <v>0</v>
      </c>
      <c r="AP53">
        <v>560</v>
      </c>
      <c r="AR53" t="str">
        <f t="shared" si="1"/>
        <v>0000000000000</v>
      </c>
      <c r="AT53" t="str">
        <f>T("9791166069666")</f>
        <v>9791166069666</v>
      </c>
      <c r="AV53" t="str">
        <f>T("웹툰 &gt; 해외 순정")</f>
        <v>웹툰 &gt; 해외 순정</v>
      </c>
    </row>
    <row r="54" spans="1:48" x14ac:dyDescent="0.4">
      <c r="A54">
        <v>4421001305</v>
      </c>
      <c r="B54">
        <v>4421001322</v>
      </c>
      <c r="C54" t="str">
        <f>T("악역이지만, 남주는 꼬시지 않아요 18화")</f>
        <v>악역이지만, 남주는 꼬시지 않아요 18화</v>
      </c>
      <c r="D54" t="str">
        <f>T("18")</f>
        <v>18</v>
      </c>
      <c r="E54" t="str">
        <f>T("마북명")</f>
        <v>마북명</v>
      </c>
      <c r="G54" t="str">
        <f>T("kuri")</f>
        <v>kuri</v>
      </c>
      <c r="H54" t="str">
        <f t="shared" si="0"/>
        <v>스토리위즈</v>
      </c>
      <c r="I54" t="str">
        <f>T("악역이지만, 남주는 꼬시지 않아요")</f>
        <v>악역이지만, 남주는 꼬시지 않아요</v>
      </c>
      <c r="J54">
        <v>400</v>
      </c>
      <c r="K54">
        <v>800</v>
      </c>
      <c r="L54">
        <v>2</v>
      </c>
      <c r="M54">
        <v>0</v>
      </c>
      <c r="N54">
        <v>2800</v>
      </c>
      <c r="O54">
        <v>14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3600</v>
      </c>
      <c r="AH54">
        <v>16</v>
      </c>
      <c r="AI54">
        <v>0</v>
      </c>
      <c r="AJ54">
        <v>0</v>
      </c>
      <c r="AK54">
        <v>3400</v>
      </c>
      <c r="AL54">
        <v>0</v>
      </c>
      <c r="AM54">
        <v>200</v>
      </c>
      <c r="AN54">
        <v>0</v>
      </c>
      <c r="AO54">
        <v>0</v>
      </c>
      <c r="AP54">
        <v>2520</v>
      </c>
      <c r="AR54" t="str">
        <f t="shared" si="1"/>
        <v>0000000000000</v>
      </c>
      <c r="AT54" t="str">
        <f>T("9791137603882")</f>
        <v>9791137603882</v>
      </c>
      <c r="AV54" t="str">
        <f>T("웹툰 &gt; 해외 순정")</f>
        <v>웹툰 &gt; 해외 순정</v>
      </c>
    </row>
    <row r="55" spans="1:48" x14ac:dyDescent="0.4">
      <c r="A55">
        <v>4421001305</v>
      </c>
      <c r="B55">
        <v>4421001315</v>
      </c>
      <c r="C55" t="str">
        <f>T("악역이지만, 남주는 꼬시지 않아요 11화")</f>
        <v>악역이지만, 남주는 꼬시지 않아요 11화</v>
      </c>
      <c r="D55" t="str">
        <f>T("11")</f>
        <v>11</v>
      </c>
      <c r="E55" t="str">
        <f>T("마북명")</f>
        <v>마북명</v>
      </c>
      <c r="G55" t="str">
        <f>T("kuri")</f>
        <v>kuri</v>
      </c>
      <c r="H55" t="str">
        <f t="shared" si="0"/>
        <v>스토리위즈</v>
      </c>
      <c r="I55" t="str">
        <f>T("악역이지만, 남주는 꼬시지 않아요")</f>
        <v>악역이지만, 남주는 꼬시지 않아요</v>
      </c>
      <c r="J55">
        <v>400</v>
      </c>
      <c r="K55">
        <v>800</v>
      </c>
      <c r="L55">
        <v>2</v>
      </c>
      <c r="M55">
        <v>0</v>
      </c>
      <c r="N55">
        <v>3000</v>
      </c>
      <c r="O55">
        <v>15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3800</v>
      </c>
      <c r="AH55">
        <v>17</v>
      </c>
      <c r="AI55">
        <v>0</v>
      </c>
      <c r="AJ55">
        <v>0</v>
      </c>
      <c r="AK55">
        <v>3600</v>
      </c>
      <c r="AL55">
        <v>0</v>
      </c>
      <c r="AM55">
        <v>200</v>
      </c>
      <c r="AN55">
        <v>0</v>
      </c>
      <c r="AO55">
        <v>0</v>
      </c>
      <c r="AP55">
        <v>2660</v>
      </c>
      <c r="AR55" t="str">
        <f t="shared" si="1"/>
        <v>0000000000000</v>
      </c>
      <c r="AT55" t="str">
        <f>T("9791137603882")</f>
        <v>9791137603882</v>
      </c>
      <c r="AV55" t="str">
        <f>T("웹툰 &gt; 해외 순정")</f>
        <v>웹툰 &gt; 해외 순정</v>
      </c>
    </row>
    <row r="56" spans="1:48" x14ac:dyDescent="0.4">
      <c r="A56">
        <v>4421000001</v>
      </c>
      <c r="B56">
        <v>4421000020</v>
      </c>
      <c r="C56" t="str">
        <f>T("감옥실험 10화")</f>
        <v>감옥실험 10화</v>
      </c>
      <c r="D56" t="str">
        <f>T("10")</f>
        <v>10</v>
      </c>
      <c r="E56" t="str">
        <f>T("Kantetsu")</f>
        <v>Kantetsu</v>
      </c>
      <c r="G56" t="str">
        <f>T("Minase Chiho")</f>
        <v>Minase Chiho</v>
      </c>
      <c r="H56" t="str">
        <f t="shared" si="0"/>
        <v>스토리위즈</v>
      </c>
      <c r="I56" t="str">
        <f>T("감옥실험")</f>
        <v>감옥실험</v>
      </c>
      <c r="J56">
        <v>500</v>
      </c>
      <c r="K56">
        <v>500</v>
      </c>
      <c r="L56">
        <v>1</v>
      </c>
      <c r="M56">
        <v>0</v>
      </c>
      <c r="N56">
        <v>2100</v>
      </c>
      <c r="O56">
        <v>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2600</v>
      </c>
      <c r="AH56">
        <v>8</v>
      </c>
      <c r="AI56">
        <v>0</v>
      </c>
      <c r="AJ56">
        <v>0</v>
      </c>
      <c r="AK56">
        <v>2600</v>
      </c>
      <c r="AL56">
        <v>0</v>
      </c>
      <c r="AM56">
        <v>0</v>
      </c>
      <c r="AN56">
        <v>0</v>
      </c>
      <c r="AO56">
        <v>0</v>
      </c>
      <c r="AP56">
        <v>1820</v>
      </c>
      <c r="AT56" t="str">
        <f>T("9791166069406")</f>
        <v>9791166069406</v>
      </c>
      <c r="AV56" t="str">
        <f>T("웹툰 &gt; 드라마")</f>
        <v>웹툰 &gt; 드라마</v>
      </c>
    </row>
    <row r="57" spans="1:48" x14ac:dyDescent="0.4">
      <c r="A57">
        <v>4421000001</v>
      </c>
      <c r="B57">
        <v>4421000021</v>
      </c>
      <c r="C57" t="str">
        <f>T("감옥실험 11화")</f>
        <v>감옥실험 11화</v>
      </c>
      <c r="D57" t="str">
        <f>T("11")</f>
        <v>11</v>
      </c>
      <c r="E57" t="str">
        <f>T("Kantetsu")</f>
        <v>Kantetsu</v>
      </c>
      <c r="G57" t="str">
        <f>T("Minase Chiho")</f>
        <v>Minase Chiho</v>
      </c>
      <c r="H57" t="str">
        <f t="shared" si="0"/>
        <v>스토리위즈</v>
      </c>
      <c r="I57" t="str">
        <f>T("감옥실험")</f>
        <v>감옥실험</v>
      </c>
      <c r="J57">
        <v>500</v>
      </c>
      <c r="K57">
        <v>500</v>
      </c>
      <c r="L57">
        <v>1</v>
      </c>
      <c r="M57">
        <v>0</v>
      </c>
      <c r="N57">
        <v>2100</v>
      </c>
      <c r="O57">
        <v>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2600</v>
      </c>
      <c r="AH57">
        <v>8</v>
      </c>
      <c r="AI57">
        <v>0</v>
      </c>
      <c r="AJ57">
        <v>0</v>
      </c>
      <c r="AK57">
        <v>2600</v>
      </c>
      <c r="AL57">
        <v>0</v>
      </c>
      <c r="AM57">
        <v>0</v>
      </c>
      <c r="AN57">
        <v>0</v>
      </c>
      <c r="AO57">
        <v>0</v>
      </c>
      <c r="AP57">
        <v>1820</v>
      </c>
      <c r="AT57" t="str">
        <f>T("9791166069406")</f>
        <v>9791166069406</v>
      </c>
      <c r="AV57" t="str">
        <f>T("웹툰 &gt; 드라마")</f>
        <v>웹툰 &gt; 드라마</v>
      </c>
    </row>
    <row r="58" spans="1:48" x14ac:dyDescent="0.4">
      <c r="A58">
        <v>4421000198</v>
      </c>
      <c r="B58">
        <v>4421001185</v>
      </c>
      <c r="C58" t="str">
        <f>T("공주전쟁 70화")</f>
        <v>공주전쟁 70화</v>
      </c>
      <c r="D58" t="str">
        <f>T("70")</f>
        <v>70</v>
      </c>
      <c r="E58" t="str">
        <f>T("Hujing")</f>
        <v>Hujing</v>
      </c>
      <c r="G58" t="str">
        <f>T("Luojie")</f>
        <v>Luojie</v>
      </c>
      <c r="H58" t="str">
        <f t="shared" si="0"/>
        <v>스토리위즈</v>
      </c>
      <c r="I58" t="str">
        <f>T("공주전쟁")</f>
        <v>공주전쟁</v>
      </c>
      <c r="J58">
        <v>400</v>
      </c>
      <c r="K58">
        <v>400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400</v>
      </c>
      <c r="AH58">
        <v>1</v>
      </c>
      <c r="AI58">
        <v>0</v>
      </c>
      <c r="AJ58">
        <v>0</v>
      </c>
      <c r="AK58">
        <v>400</v>
      </c>
      <c r="AL58">
        <v>0</v>
      </c>
      <c r="AM58">
        <v>0</v>
      </c>
      <c r="AN58">
        <v>0</v>
      </c>
      <c r="AO58">
        <v>0</v>
      </c>
      <c r="AP58">
        <v>280</v>
      </c>
      <c r="AR58" t="str">
        <f t="shared" ref="AR58:AR121" si="4">T("0000000000000")</f>
        <v>0000000000000</v>
      </c>
      <c r="AT58" t="str">
        <f>T("9791166069666")</f>
        <v>9791166069666</v>
      </c>
      <c r="AV58" t="str">
        <f>T("웹툰 &gt; 해외 순정")</f>
        <v>웹툰 &gt; 해외 순정</v>
      </c>
    </row>
    <row r="59" spans="1:48" x14ac:dyDescent="0.4">
      <c r="A59">
        <v>4421000198</v>
      </c>
      <c r="B59">
        <v>4421000230</v>
      </c>
      <c r="C59" t="str">
        <f>T("공주전쟁 33화")</f>
        <v>공주전쟁 33화</v>
      </c>
      <c r="D59" t="str">
        <f>T("33")</f>
        <v>33</v>
      </c>
      <c r="E59" t="str">
        <f>T("Hujing")</f>
        <v>Hujing</v>
      </c>
      <c r="G59" t="str">
        <f>T("Luojie")</f>
        <v>Luojie</v>
      </c>
      <c r="H59" t="str">
        <f t="shared" si="0"/>
        <v>스토리위즈</v>
      </c>
      <c r="I59" t="str">
        <f>T("공주전쟁")</f>
        <v>공주전쟁</v>
      </c>
      <c r="J59">
        <v>400</v>
      </c>
      <c r="K59">
        <v>400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400</v>
      </c>
      <c r="AH59">
        <v>1</v>
      </c>
      <c r="AI59">
        <v>0</v>
      </c>
      <c r="AJ59">
        <v>0</v>
      </c>
      <c r="AK59">
        <v>400</v>
      </c>
      <c r="AL59">
        <v>0</v>
      </c>
      <c r="AM59">
        <v>0</v>
      </c>
      <c r="AN59">
        <v>0</v>
      </c>
      <c r="AO59">
        <v>0</v>
      </c>
      <c r="AP59">
        <v>280</v>
      </c>
      <c r="AR59" t="str">
        <f t="shared" si="4"/>
        <v>0000000000000</v>
      </c>
      <c r="AT59" t="str">
        <f>T("9791166069666")</f>
        <v>9791166069666</v>
      </c>
      <c r="AV59" t="str">
        <f>T("웹툰 &gt; 해외 순정")</f>
        <v>웹툰 &gt; 해외 순정</v>
      </c>
    </row>
    <row r="60" spans="1:48" x14ac:dyDescent="0.4">
      <c r="A60">
        <v>4421001340</v>
      </c>
      <c r="B60">
        <v>4421001350</v>
      </c>
      <c r="C60" t="str">
        <f>T("가출천사 육성계약 11화")</f>
        <v>가출천사 육성계약 11화</v>
      </c>
      <c r="D60" t="str">
        <f>T("11")</f>
        <v>11</v>
      </c>
      <c r="E60" t="str">
        <f>T("Bae.C, IIAKI, 박제후")</f>
        <v>Bae.C, IIAKI, 박제후</v>
      </c>
      <c r="G60" t="str">
        <f>T("Bae.C, 조우")</f>
        <v>Bae.C, 조우</v>
      </c>
      <c r="H60" t="str">
        <f t="shared" si="0"/>
        <v>스토리위즈</v>
      </c>
      <c r="I60" t="str">
        <f>T("가출천사 육성계약")</f>
        <v>가출천사 육성계약</v>
      </c>
      <c r="J60">
        <v>400</v>
      </c>
      <c r="K60">
        <v>400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400</v>
      </c>
      <c r="AH60">
        <v>1</v>
      </c>
      <c r="AI60">
        <v>0</v>
      </c>
      <c r="AJ60">
        <v>0</v>
      </c>
      <c r="AK60">
        <v>400</v>
      </c>
      <c r="AL60">
        <v>0</v>
      </c>
      <c r="AM60">
        <v>0</v>
      </c>
      <c r="AN60">
        <v>0</v>
      </c>
      <c r="AO60">
        <v>0</v>
      </c>
      <c r="AP60">
        <v>280</v>
      </c>
      <c r="AR60" t="str">
        <f t="shared" si="4"/>
        <v>0000000000000</v>
      </c>
      <c r="AT60" t="str">
        <f>T("9791191765663")</f>
        <v>9791191765663</v>
      </c>
      <c r="AV60" t="str">
        <f>T("웹툰 &gt; 판타지/SF")</f>
        <v>웹툰 &gt; 판타지/SF</v>
      </c>
    </row>
    <row r="61" spans="1:48" x14ac:dyDescent="0.4">
      <c r="A61">
        <v>4421000198</v>
      </c>
      <c r="B61">
        <v>4421000262</v>
      </c>
      <c r="C61" t="str">
        <f>T("공주전쟁 54화")</f>
        <v>공주전쟁 54화</v>
      </c>
      <c r="D61" t="str">
        <f>T("54")</f>
        <v>54</v>
      </c>
      <c r="E61" t="str">
        <f>T("Hujing")</f>
        <v>Hujing</v>
      </c>
      <c r="G61" t="str">
        <f>T("Luojie")</f>
        <v>Luojie</v>
      </c>
      <c r="H61" t="str">
        <f t="shared" si="0"/>
        <v>스토리위즈</v>
      </c>
      <c r="I61" t="str">
        <f>T("공주전쟁")</f>
        <v>공주전쟁</v>
      </c>
      <c r="J61">
        <v>400</v>
      </c>
      <c r="K61">
        <v>400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400</v>
      </c>
      <c r="AH61">
        <v>1</v>
      </c>
      <c r="AI61">
        <v>0</v>
      </c>
      <c r="AJ61">
        <v>0</v>
      </c>
      <c r="AK61">
        <v>400</v>
      </c>
      <c r="AL61">
        <v>0</v>
      </c>
      <c r="AM61">
        <v>0</v>
      </c>
      <c r="AN61">
        <v>0</v>
      </c>
      <c r="AO61">
        <v>0</v>
      </c>
      <c r="AP61">
        <v>280</v>
      </c>
      <c r="AR61" t="str">
        <f t="shared" si="4"/>
        <v>0000000000000</v>
      </c>
      <c r="AT61" t="str">
        <f>T("9791166069666")</f>
        <v>9791166069666</v>
      </c>
      <c r="AV61" t="str">
        <f t="shared" ref="AV61:AV124" si="5">T("웹툰 &gt; 해외 순정")</f>
        <v>웹툰 &gt; 해외 순정</v>
      </c>
    </row>
    <row r="62" spans="1:48" x14ac:dyDescent="0.4">
      <c r="A62">
        <v>4421000198</v>
      </c>
      <c r="B62">
        <v>4421000952</v>
      </c>
      <c r="C62" t="str">
        <f>T("공주전쟁 64화")</f>
        <v>공주전쟁 64화</v>
      </c>
      <c r="D62" t="str">
        <f>T("64")</f>
        <v>64</v>
      </c>
      <c r="E62" t="str">
        <f>T("Hujing")</f>
        <v>Hujing</v>
      </c>
      <c r="G62" t="str">
        <f>T("Luojie")</f>
        <v>Luojie</v>
      </c>
      <c r="H62" t="str">
        <f t="shared" si="0"/>
        <v>스토리위즈</v>
      </c>
      <c r="I62" t="str">
        <f>T("공주전쟁")</f>
        <v>공주전쟁</v>
      </c>
      <c r="J62">
        <v>400</v>
      </c>
      <c r="K62">
        <v>400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400</v>
      </c>
      <c r="AH62">
        <v>1</v>
      </c>
      <c r="AI62">
        <v>0</v>
      </c>
      <c r="AJ62">
        <v>0</v>
      </c>
      <c r="AK62">
        <v>400</v>
      </c>
      <c r="AL62">
        <v>0</v>
      </c>
      <c r="AM62">
        <v>0</v>
      </c>
      <c r="AN62">
        <v>0</v>
      </c>
      <c r="AO62">
        <v>0</v>
      </c>
      <c r="AP62">
        <v>280</v>
      </c>
      <c r="AR62" t="str">
        <f t="shared" si="4"/>
        <v>0000000000000</v>
      </c>
      <c r="AT62" t="str">
        <f>T("9791166069666")</f>
        <v>9791166069666</v>
      </c>
      <c r="AV62" t="str">
        <f t="shared" si="5"/>
        <v>웹툰 &gt; 해외 순정</v>
      </c>
    </row>
    <row r="63" spans="1:48" x14ac:dyDescent="0.4">
      <c r="A63">
        <v>4421000916</v>
      </c>
      <c r="B63">
        <v>4421000976</v>
      </c>
      <c r="C63" t="str">
        <f>T("별빛 아래 우리 27화")</f>
        <v>별빛 아래 우리 27화</v>
      </c>
      <c r="D63" t="str">
        <f>T("27")</f>
        <v>27</v>
      </c>
      <c r="E63" t="str">
        <f>T("건일")</f>
        <v>건일</v>
      </c>
      <c r="G63" t="str">
        <f>T("건일")</f>
        <v>건일</v>
      </c>
      <c r="H63" t="str">
        <f t="shared" si="0"/>
        <v>스토리위즈</v>
      </c>
      <c r="I63" t="str">
        <f>T("별빛 아래 우리")</f>
        <v>별빛 아래 우리</v>
      </c>
      <c r="J63">
        <v>400</v>
      </c>
      <c r="K63">
        <v>400</v>
      </c>
      <c r="L63">
        <v>1</v>
      </c>
      <c r="M63">
        <v>0</v>
      </c>
      <c r="N63">
        <v>1800</v>
      </c>
      <c r="O63">
        <v>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2200</v>
      </c>
      <c r="AH63">
        <v>10</v>
      </c>
      <c r="AI63">
        <v>0</v>
      </c>
      <c r="AJ63">
        <v>0</v>
      </c>
      <c r="AK63">
        <v>2000</v>
      </c>
      <c r="AL63">
        <v>0</v>
      </c>
      <c r="AM63">
        <v>200</v>
      </c>
      <c r="AN63">
        <v>0</v>
      </c>
      <c r="AO63">
        <v>0</v>
      </c>
      <c r="AP63">
        <v>1540</v>
      </c>
      <c r="AR63" t="str">
        <f t="shared" si="4"/>
        <v>0000000000000</v>
      </c>
      <c r="AT63" t="str">
        <f>T("9791137601413")</f>
        <v>9791137601413</v>
      </c>
      <c r="AV63" t="str">
        <f t="shared" si="5"/>
        <v>웹툰 &gt; 해외 순정</v>
      </c>
    </row>
    <row r="64" spans="1:48" x14ac:dyDescent="0.4">
      <c r="A64">
        <v>4421001305</v>
      </c>
      <c r="B64">
        <v>4421001308</v>
      </c>
      <c r="C64" t="str">
        <f>T("악역이지만, 남주는 꼬시지 않아요 4화")</f>
        <v>악역이지만, 남주는 꼬시지 않아요 4화</v>
      </c>
      <c r="D64" t="str">
        <f>T("4")</f>
        <v>4</v>
      </c>
      <c r="E64" t="str">
        <f>T("마북명")</f>
        <v>마북명</v>
      </c>
      <c r="G64" t="str">
        <f>T("kuri")</f>
        <v>kuri</v>
      </c>
      <c r="H64" t="str">
        <f t="shared" si="0"/>
        <v>스토리위즈</v>
      </c>
      <c r="I64" t="str">
        <f>T("악역이지만, 남주는 꼬시지 않아요")</f>
        <v>악역이지만, 남주는 꼬시지 않아요</v>
      </c>
      <c r="J64">
        <v>400</v>
      </c>
      <c r="K64">
        <v>400</v>
      </c>
      <c r="L64">
        <v>1</v>
      </c>
      <c r="M64">
        <v>0</v>
      </c>
      <c r="N64">
        <v>0</v>
      </c>
      <c r="O64">
        <v>0</v>
      </c>
      <c r="P64">
        <v>26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400</v>
      </c>
      <c r="AH64">
        <v>27</v>
      </c>
      <c r="AI64">
        <v>0</v>
      </c>
      <c r="AJ64">
        <v>0</v>
      </c>
      <c r="AK64">
        <v>400</v>
      </c>
      <c r="AL64">
        <v>0</v>
      </c>
      <c r="AM64">
        <v>0</v>
      </c>
      <c r="AN64">
        <v>0</v>
      </c>
      <c r="AO64">
        <v>0</v>
      </c>
      <c r="AP64">
        <v>280</v>
      </c>
      <c r="AR64" t="str">
        <f t="shared" si="4"/>
        <v>0000000000000</v>
      </c>
      <c r="AT64" t="str">
        <f>T("9791137603882")</f>
        <v>9791137603882</v>
      </c>
      <c r="AV64" t="str">
        <f t="shared" si="5"/>
        <v>웹툰 &gt; 해외 순정</v>
      </c>
    </row>
    <row r="65" spans="1:48" x14ac:dyDescent="0.4">
      <c r="A65">
        <v>4421000887</v>
      </c>
      <c r="B65">
        <v>4421001259</v>
      </c>
      <c r="C65" t="str">
        <f>T("폭군의 눈물 48화")</f>
        <v>폭군의 눈물 48화</v>
      </c>
      <c r="D65" t="str">
        <f>T("48")</f>
        <v>48</v>
      </c>
      <c r="E65" t="str">
        <f>T("Ice×FANFAN COMIC")</f>
        <v>Ice×FANFAN COMIC</v>
      </c>
      <c r="G65" t="str">
        <f>T("Ice×FANFAN COMIC")</f>
        <v>Ice×FANFAN COMIC</v>
      </c>
      <c r="H65" t="str">
        <f t="shared" si="0"/>
        <v>스토리위즈</v>
      </c>
      <c r="I65" t="str">
        <f>T("폭군의 눈물")</f>
        <v>폭군의 눈물</v>
      </c>
      <c r="J65">
        <v>400</v>
      </c>
      <c r="K65">
        <v>400</v>
      </c>
      <c r="L65">
        <v>1</v>
      </c>
      <c r="M65">
        <v>0</v>
      </c>
      <c r="N65">
        <v>400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800</v>
      </c>
      <c r="AH65">
        <v>3</v>
      </c>
      <c r="AI65">
        <v>0</v>
      </c>
      <c r="AJ65">
        <v>0</v>
      </c>
      <c r="AK65">
        <v>400</v>
      </c>
      <c r="AL65">
        <v>0</v>
      </c>
      <c r="AM65">
        <v>400</v>
      </c>
      <c r="AN65">
        <v>0</v>
      </c>
      <c r="AO65">
        <v>0</v>
      </c>
      <c r="AP65">
        <v>560</v>
      </c>
      <c r="AR65" t="str">
        <f t="shared" si="4"/>
        <v>0000000000000</v>
      </c>
      <c r="AT65" t="str">
        <f>T("9791137601291")</f>
        <v>9791137601291</v>
      </c>
      <c r="AV65" t="str">
        <f t="shared" si="5"/>
        <v>웹툰 &gt; 해외 순정</v>
      </c>
    </row>
    <row r="66" spans="1:48" x14ac:dyDescent="0.4">
      <c r="A66">
        <v>4421000916</v>
      </c>
      <c r="B66">
        <v>4421000938</v>
      </c>
      <c r="C66" t="str">
        <f>T("별빛 아래 우리 23화")</f>
        <v>별빛 아래 우리 23화</v>
      </c>
      <c r="D66" t="str">
        <f>T("23")</f>
        <v>23</v>
      </c>
      <c r="E66" t="str">
        <f>T("건일")</f>
        <v>건일</v>
      </c>
      <c r="G66" t="str">
        <f>T("건일")</f>
        <v>건일</v>
      </c>
      <c r="H66" t="str">
        <f t="shared" ref="H66:H129" si="6">T("스토리위즈")</f>
        <v>스토리위즈</v>
      </c>
      <c r="I66" t="str">
        <f>T("별빛 아래 우리")</f>
        <v>별빛 아래 우리</v>
      </c>
      <c r="J66">
        <v>400</v>
      </c>
      <c r="K66">
        <v>400</v>
      </c>
      <c r="L66">
        <v>1</v>
      </c>
      <c r="M66">
        <v>0</v>
      </c>
      <c r="N66">
        <v>1600</v>
      </c>
      <c r="O66">
        <v>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2000</v>
      </c>
      <c r="AH66">
        <v>9</v>
      </c>
      <c r="AI66">
        <v>0</v>
      </c>
      <c r="AJ66">
        <v>0</v>
      </c>
      <c r="AK66">
        <v>1800</v>
      </c>
      <c r="AL66">
        <v>0</v>
      </c>
      <c r="AM66">
        <v>200</v>
      </c>
      <c r="AN66">
        <v>0</v>
      </c>
      <c r="AO66">
        <v>0</v>
      </c>
      <c r="AP66">
        <v>1400</v>
      </c>
      <c r="AR66" t="str">
        <f t="shared" si="4"/>
        <v>0000000000000</v>
      </c>
      <c r="AT66" t="str">
        <f>T("9791137601413")</f>
        <v>9791137601413</v>
      </c>
      <c r="AV66" t="str">
        <f t="shared" si="5"/>
        <v>웹툰 &gt; 해외 순정</v>
      </c>
    </row>
    <row r="67" spans="1:48" x14ac:dyDescent="0.4">
      <c r="A67">
        <v>4421000916</v>
      </c>
      <c r="B67">
        <v>4421001245</v>
      </c>
      <c r="C67" t="str">
        <f>T("별빛 아래 우리 56화")</f>
        <v>별빛 아래 우리 56화</v>
      </c>
      <c r="D67" t="str">
        <f>T("56")</f>
        <v>56</v>
      </c>
      <c r="E67" t="str">
        <f>T("건일")</f>
        <v>건일</v>
      </c>
      <c r="G67" t="str">
        <f>T("건일")</f>
        <v>건일</v>
      </c>
      <c r="H67" t="str">
        <f t="shared" si="6"/>
        <v>스토리위즈</v>
      </c>
      <c r="I67" t="str">
        <f>T("별빛 아래 우리")</f>
        <v>별빛 아래 우리</v>
      </c>
      <c r="J67">
        <v>400</v>
      </c>
      <c r="K67">
        <v>400</v>
      </c>
      <c r="L67">
        <v>1</v>
      </c>
      <c r="M67">
        <v>0</v>
      </c>
      <c r="N67">
        <v>1600</v>
      </c>
      <c r="O67">
        <v>8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2000</v>
      </c>
      <c r="AH67">
        <v>9</v>
      </c>
      <c r="AI67">
        <v>0</v>
      </c>
      <c r="AJ67">
        <v>0</v>
      </c>
      <c r="AK67">
        <v>1800</v>
      </c>
      <c r="AL67">
        <v>0</v>
      </c>
      <c r="AM67">
        <v>200</v>
      </c>
      <c r="AN67">
        <v>0</v>
      </c>
      <c r="AO67">
        <v>0</v>
      </c>
      <c r="AP67">
        <v>1400</v>
      </c>
      <c r="AR67" t="str">
        <f t="shared" si="4"/>
        <v>0000000000000</v>
      </c>
      <c r="AT67" t="str">
        <f>T("9791137601413")</f>
        <v>9791137601413</v>
      </c>
      <c r="AV67" t="str">
        <f t="shared" si="5"/>
        <v>웹툰 &gt; 해외 순정</v>
      </c>
    </row>
    <row r="68" spans="1:48" x14ac:dyDescent="0.4">
      <c r="A68">
        <v>4421000198</v>
      </c>
      <c r="B68">
        <v>4421000223</v>
      </c>
      <c r="C68" t="str">
        <f>T("공주전쟁 26화")</f>
        <v>공주전쟁 26화</v>
      </c>
      <c r="D68" t="str">
        <f>T("26")</f>
        <v>26</v>
      </c>
      <c r="E68" t="str">
        <f>T("Hujing")</f>
        <v>Hujing</v>
      </c>
      <c r="G68" t="str">
        <f>T("Luojie")</f>
        <v>Luojie</v>
      </c>
      <c r="H68" t="str">
        <f t="shared" si="6"/>
        <v>스토리위즈</v>
      </c>
      <c r="I68" t="str">
        <f>T("공주전쟁")</f>
        <v>공주전쟁</v>
      </c>
      <c r="J68">
        <v>400</v>
      </c>
      <c r="K68">
        <v>400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400</v>
      </c>
      <c r="AH68">
        <v>1</v>
      </c>
      <c r="AI68">
        <v>0</v>
      </c>
      <c r="AJ68">
        <v>0</v>
      </c>
      <c r="AK68">
        <v>400</v>
      </c>
      <c r="AL68">
        <v>0</v>
      </c>
      <c r="AM68">
        <v>0</v>
      </c>
      <c r="AN68">
        <v>0</v>
      </c>
      <c r="AO68">
        <v>0</v>
      </c>
      <c r="AP68">
        <v>280</v>
      </c>
      <c r="AR68" t="str">
        <f t="shared" si="4"/>
        <v>0000000000000</v>
      </c>
      <c r="AT68" t="str">
        <f>T("9791166069666")</f>
        <v>9791166069666</v>
      </c>
      <c r="AV68" t="str">
        <f t="shared" si="5"/>
        <v>웹툰 &gt; 해외 순정</v>
      </c>
    </row>
    <row r="69" spans="1:48" x14ac:dyDescent="0.4">
      <c r="A69">
        <v>4421000198</v>
      </c>
      <c r="B69">
        <v>4421001289</v>
      </c>
      <c r="C69" t="str">
        <f>T("공주전쟁 87화")</f>
        <v>공주전쟁 87화</v>
      </c>
      <c r="D69" t="str">
        <f>T("87")</f>
        <v>87</v>
      </c>
      <c r="E69" t="str">
        <f>T("Hujing")</f>
        <v>Hujing</v>
      </c>
      <c r="G69" t="str">
        <f>T("Luojie")</f>
        <v>Luojie</v>
      </c>
      <c r="H69" t="str">
        <f t="shared" si="6"/>
        <v>스토리위즈</v>
      </c>
      <c r="I69" t="str">
        <f>T("공주전쟁")</f>
        <v>공주전쟁</v>
      </c>
      <c r="J69">
        <v>400</v>
      </c>
      <c r="K69">
        <v>400</v>
      </c>
      <c r="L69">
        <v>1</v>
      </c>
      <c r="M69">
        <v>0</v>
      </c>
      <c r="N69">
        <v>200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600</v>
      </c>
      <c r="AH69">
        <v>2</v>
      </c>
      <c r="AI69">
        <v>0</v>
      </c>
      <c r="AJ69">
        <v>0</v>
      </c>
      <c r="AK69">
        <v>600</v>
      </c>
      <c r="AL69">
        <v>0</v>
      </c>
      <c r="AM69">
        <v>0</v>
      </c>
      <c r="AN69">
        <v>0</v>
      </c>
      <c r="AO69">
        <v>0</v>
      </c>
      <c r="AP69">
        <v>420</v>
      </c>
      <c r="AR69" t="str">
        <f t="shared" si="4"/>
        <v>0000000000000</v>
      </c>
      <c r="AT69" t="str">
        <f>T("9791166069666")</f>
        <v>9791166069666</v>
      </c>
      <c r="AV69" t="str">
        <f t="shared" si="5"/>
        <v>웹툰 &gt; 해외 순정</v>
      </c>
    </row>
    <row r="70" spans="1:48" x14ac:dyDescent="0.4">
      <c r="A70">
        <v>4421000887</v>
      </c>
      <c r="B70">
        <v>4421000906</v>
      </c>
      <c r="C70" t="str">
        <f>T("폭군의 눈물 20화")</f>
        <v>폭군의 눈물 20화</v>
      </c>
      <c r="D70" t="str">
        <f>T("20")</f>
        <v>20</v>
      </c>
      <c r="E70" t="str">
        <f>T("Ice×FANFAN COMIC")</f>
        <v>Ice×FANFAN COMIC</v>
      </c>
      <c r="G70" t="str">
        <f>T("Ice×FANFAN COMIC")</f>
        <v>Ice×FANFAN COMIC</v>
      </c>
      <c r="H70" t="str">
        <f t="shared" si="6"/>
        <v>스토리위즈</v>
      </c>
      <c r="I70" t="str">
        <f>T("폭군의 눈물")</f>
        <v>폭군의 눈물</v>
      </c>
      <c r="J70">
        <v>400</v>
      </c>
      <c r="K70">
        <v>400</v>
      </c>
      <c r="L70">
        <v>1</v>
      </c>
      <c r="M70">
        <v>0</v>
      </c>
      <c r="N70">
        <v>400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800</v>
      </c>
      <c r="AH70">
        <v>3</v>
      </c>
      <c r="AI70">
        <v>0</v>
      </c>
      <c r="AJ70">
        <v>0</v>
      </c>
      <c r="AK70">
        <v>400</v>
      </c>
      <c r="AL70">
        <v>0</v>
      </c>
      <c r="AM70">
        <v>400</v>
      </c>
      <c r="AN70">
        <v>0</v>
      </c>
      <c r="AO70">
        <v>0</v>
      </c>
      <c r="AP70">
        <v>560</v>
      </c>
      <c r="AR70" t="str">
        <f t="shared" si="4"/>
        <v>0000000000000</v>
      </c>
      <c r="AT70" t="str">
        <f>T("9791137601291")</f>
        <v>9791137601291</v>
      </c>
      <c r="AV70" t="str">
        <f t="shared" si="5"/>
        <v>웹툰 &gt; 해외 순정</v>
      </c>
    </row>
    <row r="71" spans="1:48" x14ac:dyDescent="0.4">
      <c r="A71">
        <v>4421000916</v>
      </c>
      <c r="B71">
        <v>4421001165</v>
      </c>
      <c r="C71" t="str">
        <f>T("별빛 아래 우리 34화")</f>
        <v>별빛 아래 우리 34화</v>
      </c>
      <c r="D71" t="str">
        <f>T("34")</f>
        <v>34</v>
      </c>
      <c r="E71" t="str">
        <f>T("건일")</f>
        <v>건일</v>
      </c>
      <c r="G71" t="str">
        <f>T("건일")</f>
        <v>건일</v>
      </c>
      <c r="H71" t="str">
        <f t="shared" si="6"/>
        <v>스토리위즈</v>
      </c>
      <c r="I71" t="str">
        <f>T("별빛 아래 우리")</f>
        <v>별빛 아래 우리</v>
      </c>
      <c r="J71">
        <v>400</v>
      </c>
      <c r="K71">
        <v>400</v>
      </c>
      <c r="L71">
        <v>1</v>
      </c>
      <c r="M71">
        <v>0</v>
      </c>
      <c r="N71">
        <v>1400</v>
      </c>
      <c r="O71">
        <v>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1800</v>
      </c>
      <c r="AH71">
        <v>8</v>
      </c>
      <c r="AI71">
        <v>0</v>
      </c>
      <c r="AJ71">
        <v>0</v>
      </c>
      <c r="AK71">
        <v>1600</v>
      </c>
      <c r="AL71">
        <v>0</v>
      </c>
      <c r="AM71">
        <v>200</v>
      </c>
      <c r="AN71">
        <v>0</v>
      </c>
      <c r="AO71">
        <v>0</v>
      </c>
      <c r="AP71">
        <v>1260</v>
      </c>
      <c r="AR71" t="str">
        <f t="shared" si="4"/>
        <v>0000000000000</v>
      </c>
      <c r="AT71" t="str">
        <f>T("9791137601413")</f>
        <v>9791137601413</v>
      </c>
      <c r="AV71" t="str">
        <f t="shared" si="5"/>
        <v>웹툰 &gt; 해외 순정</v>
      </c>
    </row>
    <row r="72" spans="1:48" x14ac:dyDescent="0.4">
      <c r="A72">
        <v>4421000198</v>
      </c>
      <c r="B72">
        <v>4421000216</v>
      </c>
      <c r="C72" t="str">
        <f>T("공주전쟁 19화")</f>
        <v>공주전쟁 19화</v>
      </c>
      <c r="D72" t="str">
        <f>T("19")</f>
        <v>19</v>
      </c>
      <c r="E72" t="str">
        <f>T("Hujing")</f>
        <v>Hujing</v>
      </c>
      <c r="G72" t="str">
        <f>T("Luojie")</f>
        <v>Luojie</v>
      </c>
      <c r="H72" t="str">
        <f t="shared" si="6"/>
        <v>스토리위즈</v>
      </c>
      <c r="I72" t="str">
        <f>T("공주전쟁")</f>
        <v>공주전쟁</v>
      </c>
      <c r="J72">
        <v>400</v>
      </c>
      <c r="K72">
        <v>400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400</v>
      </c>
      <c r="AH72">
        <v>1</v>
      </c>
      <c r="AI72">
        <v>0</v>
      </c>
      <c r="AJ72">
        <v>0</v>
      </c>
      <c r="AK72">
        <v>400</v>
      </c>
      <c r="AL72">
        <v>0</v>
      </c>
      <c r="AM72">
        <v>0</v>
      </c>
      <c r="AN72">
        <v>0</v>
      </c>
      <c r="AO72">
        <v>0</v>
      </c>
      <c r="AP72">
        <v>280</v>
      </c>
      <c r="AR72" t="str">
        <f t="shared" si="4"/>
        <v>0000000000000</v>
      </c>
      <c r="AT72" t="str">
        <f>T("9791166069666")</f>
        <v>9791166069666</v>
      </c>
      <c r="AV72" t="str">
        <f t="shared" si="5"/>
        <v>웹툰 &gt; 해외 순정</v>
      </c>
    </row>
    <row r="73" spans="1:48" x14ac:dyDescent="0.4">
      <c r="A73">
        <v>4421000887</v>
      </c>
      <c r="B73">
        <v>4421001282</v>
      </c>
      <c r="C73" t="str">
        <f>T("폭군의 눈물 52화")</f>
        <v>폭군의 눈물 52화</v>
      </c>
      <c r="D73" t="str">
        <f>T("52")</f>
        <v>52</v>
      </c>
      <c r="E73" t="str">
        <f>T("Ice×FANFAN COMIC")</f>
        <v>Ice×FANFAN COMIC</v>
      </c>
      <c r="G73" t="str">
        <f>T("Ice×FANFAN COMIC")</f>
        <v>Ice×FANFAN COMIC</v>
      </c>
      <c r="H73" t="str">
        <f t="shared" si="6"/>
        <v>스토리위즈</v>
      </c>
      <c r="I73" t="str">
        <f>T("폭군의 눈물")</f>
        <v>폭군의 눈물</v>
      </c>
      <c r="J73">
        <v>400</v>
      </c>
      <c r="K73">
        <v>400</v>
      </c>
      <c r="L73">
        <v>1</v>
      </c>
      <c r="M73">
        <v>0</v>
      </c>
      <c r="N73">
        <v>200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600</v>
      </c>
      <c r="AH73">
        <v>2</v>
      </c>
      <c r="AI73">
        <v>0</v>
      </c>
      <c r="AJ73">
        <v>0</v>
      </c>
      <c r="AK73">
        <v>200</v>
      </c>
      <c r="AL73">
        <v>0</v>
      </c>
      <c r="AM73">
        <v>400</v>
      </c>
      <c r="AN73">
        <v>0</v>
      </c>
      <c r="AO73">
        <v>0</v>
      </c>
      <c r="AP73">
        <v>420</v>
      </c>
      <c r="AR73" t="str">
        <f t="shared" si="4"/>
        <v>0000000000000</v>
      </c>
      <c r="AT73" t="str">
        <f>T("9791137601291")</f>
        <v>9791137601291</v>
      </c>
      <c r="AV73" t="str">
        <f t="shared" si="5"/>
        <v>웹툰 &gt; 해외 순정</v>
      </c>
    </row>
    <row r="74" spans="1:48" x14ac:dyDescent="0.4">
      <c r="A74">
        <v>4421000887</v>
      </c>
      <c r="B74">
        <v>4421000899</v>
      </c>
      <c r="C74" t="str">
        <f>T("폭군의 눈물 13화")</f>
        <v>폭군의 눈물 13화</v>
      </c>
      <c r="D74" t="str">
        <f>T("13")</f>
        <v>13</v>
      </c>
      <c r="E74" t="str">
        <f>T("Ice×FANFAN COMIC")</f>
        <v>Ice×FANFAN COMIC</v>
      </c>
      <c r="G74" t="str">
        <f>T("Ice×FANFAN COMIC")</f>
        <v>Ice×FANFAN COMIC</v>
      </c>
      <c r="H74" t="str">
        <f t="shared" si="6"/>
        <v>스토리위즈</v>
      </c>
      <c r="I74" t="str">
        <f>T("폭군의 눈물")</f>
        <v>폭군의 눈물</v>
      </c>
      <c r="J74">
        <v>400</v>
      </c>
      <c r="K74">
        <v>400</v>
      </c>
      <c r="L74">
        <v>1</v>
      </c>
      <c r="M74">
        <v>0</v>
      </c>
      <c r="N74">
        <v>400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800</v>
      </c>
      <c r="AH74">
        <v>3</v>
      </c>
      <c r="AI74">
        <v>0</v>
      </c>
      <c r="AJ74">
        <v>0</v>
      </c>
      <c r="AK74">
        <v>400</v>
      </c>
      <c r="AL74">
        <v>0</v>
      </c>
      <c r="AM74">
        <v>400</v>
      </c>
      <c r="AN74">
        <v>0</v>
      </c>
      <c r="AO74">
        <v>0</v>
      </c>
      <c r="AP74">
        <v>560</v>
      </c>
      <c r="AR74" t="str">
        <f t="shared" si="4"/>
        <v>0000000000000</v>
      </c>
      <c r="AT74" t="str">
        <f>T("9791137601291")</f>
        <v>9791137601291</v>
      </c>
      <c r="AV74" t="str">
        <f t="shared" si="5"/>
        <v>웹툰 &gt; 해외 순정</v>
      </c>
    </row>
    <row r="75" spans="1:48" x14ac:dyDescent="0.4">
      <c r="A75">
        <v>4421000916</v>
      </c>
      <c r="B75">
        <v>4421001231</v>
      </c>
      <c r="C75" t="str">
        <f>T("별빛 아래 우리 53화")</f>
        <v>별빛 아래 우리 53화</v>
      </c>
      <c r="D75" t="str">
        <f>T("53")</f>
        <v>53</v>
      </c>
      <c r="E75" t="str">
        <f>T("건일")</f>
        <v>건일</v>
      </c>
      <c r="G75" t="str">
        <f>T("건일")</f>
        <v>건일</v>
      </c>
      <c r="H75" t="str">
        <f t="shared" si="6"/>
        <v>스토리위즈</v>
      </c>
      <c r="I75" t="str">
        <f>T("별빛 아래 우리")</f>
        <v>별빛 아래 우리</v>
      </c>
      <c r="J75">
        <v>400</v>
      </c>
      <c r="K75">
        <v>400</v>
      </c>
      <c r="L75">
        <v>1</v>
      </c>
      <c r="M75">
        <v>0</v>
      </c>
      <c r="N75">
        <v>1600</v>
      </c>
      <c r="O75">
        <v>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2000</v>
      </c>
      <c r="AH75">
        <v>9</v>
      </c>
      <c r="AI75">
        <v>0</v>
      </c>
      <c r="AJ75">
        <v>0</v>
      </c>
      <c r="AK75">
        <v>1800</v>
      </c>
      <c r="AL75">
        <v>0</v>
      </c>
      <c r="AM75">
        <v>200</v>
      </c>
      <c r="AN75">
        <v>0</v>
      </c>
      <c r="AO75">
        <v>0</v>
      </c>
      <c r="AP75">
        <v>1400</v>
      </c>
      <c r="AR75" t="str">
        <f t="shared" si="4"/>
        <v>0000000000000</v>
      </c>
      <c r="AT75" t="str">
        <f>T("9791137601413")</f>
        <v>9791137601413</v>
      </c>
      <c r="AV75" t="str">
        <f t="shared" si="5"/>
        <v>웹툰 &gt; 해외 순정</v>
      </c>
    </row>
    <row r="76" spans="1:48" x14ac:dyDescent="0.4">
      <c r="A76">
        <v>4421000198</v>
      </c>
      <c r="B76">
        <v>4421000209</v>
      </c>
      <c r="C76" t="str">
        <f>T("공주전쟁 12화")</f>
        <v>공주전쟁 12화</v>
      </c>
      <c r="D76" t="str">
        <f>T("12")</f>
        <v>12</v>
      </c>
      <c r="E76" t="str">
        <f>T("Hujing")</f>
        <v>Hujing</v>
      </c>
      <c r="G76" t="str">
        <f>T("Luojie")</f>
        <v>Luojie</v>
      </c>
      <c r="H76" t="str">
        <f t="shared" si="6"/>
        <v>스토리위즈</v>
      </c>
      <c r="I76" t="str">
        <f>T("공주전쟁")</f>
        <v>공주전쟁</v>
      </c>
      <c r="J76">
        <v>400</v>
      </c>
      <c r="K76">
        <v>400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400</v>
      </c>
      <c r="AH76">
        <v>1</v>
      </c>
      <c r="AI76">
        <v>0</v>
      </c>
      <c r="AJ76">
        <v>0</v>
      </c>
      <c r="AK76">
        <v>400</v>
      </c>
      <c r="AL76">
        <v>0</v>
      </c>
      <c r="AM76">
        <v>0</v>
      </c>
      <c r="AN76">
        <v>0</v>
      </c>
      <c r="AO76">
        <v>0</v>
      </c>
      <c r="AP76">
        <v>280</v>
      </c>
      <c r="AR76" t="str">
        <f t="shared" si="4"/>
        <v>0000000000000</v>
      </c>
      <c r="AT76" t="str">
        <f>T("9791166069666")</f>
        <v>9791166069666</v>
      </c>
      <c r="AV76" t="str">
        <f t="shared" si="5"/>
        <v>웹툰 &gt; 해외 순정</v>
      </c>
    </row>
    <row r="77" spans="1:48" x14ac:dyDescent="0.4">
      <c r="A77">
        <v>4421000887</v>
      </c>
      <c r="B77">
        <v>4421000892</v>
      </c>
      <c r="C77" t="str">
        <f>T("폭군의 눈물 6화")</f>
        <v>폭군의 눈물 6화</v>
      </c>
      <c r="D77" t="str">
        <f>T("6")</f>
        <v>6</v>
      </c>
      <c r="E77" t="str">
        <f>T("Ice×FANFAN COMIC")</f>
        <v>Ice×FANFAN COMIC</v>
      </c>
      <c r="G77" t="str">
        <f>T("Ice×FANFAN COMIC")</f>
        <v>Ice×FANFAN COMIC</v>
      </c>
      <c r="H77" t="str">
        <f t="shared" si="6"/>
        <v>스토리위즈</v>
      </c>
      <c r="I77" t="str">
        <f>T("폭군의 눈물")</f>
        <v>폭군의 눈물</v>
      </c>
      <c r="J77">
        <v>400</v>
      </c>
      <c r="K77">
        <v>400</v>
      </c>
      <c r="L77">
        <v>1</v>
      </c>
      <c r="M77">
        <v>0</v>
      </c>
      <c r="N77">
        <v>600</v>
      </c>
      <c r="O77">
        <v>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1000</v>
      </c>
      <c r="AH77">
        <v>4</v>
      </c>
      <c r="AI77">
        <v>0</v>
      </c>
      <c r="AJ77">
        <v>0</v>
      </c>
      <c r="AK77">
        <v>600</v>
      </c>
      <c r="AL77">
        <v>0</v>
      </c>
      <c r="AM77">
        <v>400</v>
      </c>
      <c r="AN77">
        <v>0</v>
      </c>
      <c r="AO77">
        <v>0</v>
      </c>
      <c r="AP77">
        <v>700</v>
      </c>
      <c r="AR77" t="str">
        <f t="shared" si="4"/>
        <v>0000000000000</v>
      </c>
      <c r="AT77" t="str">
        <f>T("9791137601291")</f>
        <v>9791137601291</v>
      </c>
      <c r="AV77" t="str">
        <f t="shared" si="5"/>
        <v>웹툰 &gt; 해외 순정</v>
      </c>
    </row>
    <row r="78" spans="1:48" x14ac:dyDescent="0.4">
      <c r="A78">
        <v>4421000887</v>
      </c>
      <c r="B78">
        <v>4421001275</v>
      </c>
      <c r="C78" t="str">
        <f>T("폭군의 눈물 51화")</f>
        <v>폭군의 눈물 51화</v>
      </c>
      <c r="D78" t="str">
        <f>T("51")</f>
        <v>51</v>
      </c>
      <c r="E78" t="str">
        <f>T("Ice×FANFAN COMIC")</f>
        <v>Ice×FANFAN COMIC</v>
      </c>
      <c r="G78" t="str">
        <f>T("Ice×FANFAN COMIC")</f>
        <v>Ice×FANFAN COMIC</v>
      </c>
      <c r="H78" t="str">
        <f t="shared" si="6"/>
        <v>스토리위즈</v>
      </c>
      <c r="I78" t="str">
        <f>T("폭군의 눈물")</f>
        <v>폭군의 눈물</v>
      </c>
      <c r="J78">
        <v>400</v>
      </c>
      <c r="K78">
        <v>400</v>
      </c>
      <c r="L78">
        <v>1</v>
      </c>
      <c r="M78">
        <v>0</v>
      </c>
      <c r="N78">
        <v>200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600</v>
      </c>
      <c r="AH78">
        <v>2</v>
      </c>
      <c r="AI78">
        <v>0</v>
      </c>
      <c r="AJ78">
        <v>0</v>
      </c>
      <c r="AK78">
        <v>200</v>
      </c>
      <c r="AL78">
        <v>0</v>
      </c>
      <c r="AM78">
        <v>400</v>
      </c>
      <c r="AN78">
        <v>0</v>
      </c>
      <c r="AO78">
        <v>0</v>
      </c>
      <c r="AP78">
        <v>420</v>
      </c>
      <c r="AR78" t="str">
        <f t="shared" si="4"/>
        <v>0000000000000</v>
      </c>
      <c r="AT78" t="str">
        <f>T("9791137601291")</f>
        <v>9791137601291</v>
      </c>
      <c r="AV78" t="str">
        <f t="shared" si="5"/>
        <v>웹툰 &gt; 해외 순정</v>
      </c>
    </row>
    <row r="79" spans="1:48" x14ac:dyDescent="0.4">
      <c r="A79">
        <v>4421000198</v>
      </c>
      <c r="B79">
        <v>4421000241</v>
      </c>
      <c r="C79" t="str">
        <f>T("공주전쟁 44화")</f>
        <v>공주전쟁 44화</v>
      </c>
      <c r="D79" t="str">
        <f>T("44")</f>
        <v>44</v>
      </c>
      <c r="E79" t="str">
        <f>T("Hujing")</f>
        <v>Hujing</v>
      </c>
      <c r="G79" t="str">
        <f>T("Luojie")</f>
        <v>Luojie</v>
      </c>
      <c r="H79" t="str">
        <f t="shared" si="6"/>
        <v>스토리위즈</v>
      </c>
      <c r="I79" t="str">
        <f>T("공주전쟁")</f>
        <v>공주전쟁</v>
      </c>
      <c r="J79">
        <v>400</v>
      </c>
      <c r="K79">
        <v>400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400</v>
      </c>
      <c r="AH79">
        <v>1</v>
      </c>
      <c r="AI79">
        <v>0</v>
      </c>
      <c r="AJ79">
        <v>0</v>
      </c>
      <c r="AK79">
        <v>400</v>
      </c>
      <c r="AL79">
        <v>0</v>
      </c>
      <c r="AM79">
        <v>0</v>
      </c>
      <c r="AN79">
        <v>0</v>
      </c>
      <c r="AO79">
        <v>0</v>
      </c>
      <c r="AP79">
        <v>280</v>
      </c>
      <c r="AR79" t="str">
        <f t="shared" si="4"/>
        <v>0000000000000</v>
      </c>
      <c r="AT79" t="str">
        <f>T("9791166069666")</f>
        <v>9791166069666</v>
      </c>
      <c r="AV79" t="str">
        <f t="shared" si="5"/>
        <v>웹툰 &gt; 해외 순정</v>
      </c>
    </row>
    <row r="80" spans="1:48" x14ac:dyDescent="0.4">
      <c r="A80">
        <v>4421000916</v>
      </c>
      <c r="B80">
        <v>4421000980</v>
      </c>
      <c r="C80" t="str">
        <f>T("별빛 아래 우리 31화")</f>
        <v>별빛 아래 우리 31화</v>
      </c>
      <c r="D80" t="str">
        <f>T("31")</f>
        <v>31</v>
      </c>
      <c r="E80" t="str">
        <f>T("건일")</f>
        <v>건일</v>
      </c>
      <c r="G80" t="str">
        <f>T("건일")</f>
        <v>건일</v>
      </c>
      <c r="H80" t="str">
        <f t="shared" si="6"/>
        <v>스토리위즈</v>
      </c>
      <c r="I80" t="str">
        <f>T("별빛 아래 우리")</f>
        <v>별빛 아래 우리</v>
      </c>
      <c r="J80">
        <v>400</v>
      </c>
      <c r="K80">
        <v>400</v>
      </c>
      <c r="L80">
        <v>1</v>
      </c>
      <c r="M80">
        <v>0</v>
      </c>
      <c r="N80">
        <v>1600</v>
      </c>
      <c r="O80">
        <v>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2000</v>
      </c>
      <c r="AH80">
        <v>9</v>
      </c>
      <c r="AI80">
        <v>0</v>
      </c>
      <c r="AJ80">
        <v>0</v>
      </c>
      <c r="AK80">
        <v>1800</v>
      </c>
      <c r="AL80">
        <v>0</v>
      </c>
      <c r="AM80">
        <v>200</v>
      </c>
      <c r="AN80">
        <v>0</v>
      </c>
      <c r="AO80">
        <v>0</v>
      </c>
      <c r="AP80">
        <v>1400</v>
      </c>
      <c r="AR80" t="str">
        <f t="shared" si="4"/>
        <v>0000000000000</v>
      </c>
      <c r="AT80" t="str">
        <f>T("9791137601413")</f>
        <v>9791137601413</v>
      </c>
      <c r="AV80" t="str">
        <f t="shared" si="5"/>
        <v>웹툰 &gt; 해외 순정</v>
      </c>
    </row>
    <row r="81" spans="1:48" x14ac:dyDescent="0.4">
      <c r="A81">
        <v>4421000916</v>
      </c>
      <c r="B81">
        <v>4421001194</v>
      </c>
      <c r="C81" t="str">
        <f>T("별빛 아래 우리 42화")</f>
        <v>별빛 아래 우리 42화</v>
      </c>
      <c r="D81" t="str">
        <f>T("42")</f>
        <v>42</v>
      </c>
      <c r="E81" t="str">
        <f>T("건일")</f>
        <v>건일</v>
      </c>
      <c r="G81" t="str">
        <f>T("건일")</f>
        <v>건일</v>
      </c>
      <c r="H81" t="str">
        <f t="shared" si="6"/>
        <v>스토리위즈</v>
      </c>
      <c r="I81" t="str">
        <f>T("별빛 아래 우리")</f>
        <v>별빛 아래 우리</v>
      </c>
      <c r="J81">
        <v>400</v>
      </c>
      <c r="K81">
        <v>400</v>
      </c>
      <c r="L81">
        <v>1</v>
      </c>
      <c r="M81">
        <v>0</v>
      </c>
      <c r="N81">
        <v>1400</v>
      </c>
      <c r="O81">
        <v>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1800</v>
      </c>
      <c r="AH81">
        <v>8</v>
      </c>
      <c r="AI81">
        <v>0</v>
      </c>
      <c r="AJ81">
        <v>0</v>
      </c>
      <c r="AK81">
        <v>1600</v>
      </c>
      <c r="AL81">
        <v>0</v>
      </c>
      <c r="AM81">
        <v>200</v>
      </c>
      <c r="AN81">
        <v>0</v>
      </c>
      <c r="AO81">
        <v>0</v>
      </c>
      <c r="AP81">
        <v>1260</v>
      </c>
      <c r="AR81" t="str">
        <f t="shared" si="4"/>
        <v>0000000000000</v>
      </c>
      <c r="AT81" t="str">
        <f>T("9791137601413")</f>
        <v>9791137601413</v>
      </c>
      <c r="AV81" t="str">
        <f t="shared" si="5"/>
        <v>웹툰 &gt; 해외 순정</v>
      </c>
    </row>
    <row r="82" spans="1:48" x14ac:dyDescent="0.4">
      <c r="A82">
        <v>4421000198</v>
      </c>
      <c r="B82">
        <v>4421000234</v>
      </c>
      <c r="C82" t="str">
        <f>T("공주전쟁 37화")</f>
        <v>공주전쟁 37화</v>
      </c>
      <c r="D82" t="str">
        <f>T("37")</f>
        <v>37</v>
      </c>
      <c r="E82" t="str">
        <f>T("Hujing")</f>
        <v>Hujing</v>
      </c>
      <c r="G82" t="str">
        <f>T("Luojie")</f>
        <v>Luojie</v>
      </c>
      <c r="H82" t="str">
        <f t="shared" si="6"/>
        <v>스토리위즈</v>
      </c>
      <c r="I82" t="str">
        <f>T("공주전쟁")</f>
        <v>공주전쟁</v>
      </c>
      <c r="J82">
        <v>400</v>
      </c>
      <c r="K82">
        <v>400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400</v>
      </c>
      <c r="AH82">
        <v>1</v>
      </c>
      <c r="AI82">
        <v>0</v>
      </c>
      <c r="AJ82">
        <v>0</v>
      </c>
      <c r="AK82">
        <v>400</v>
      </c>
      <c r="AL82">
        <v>0</v>
      </c>
      <c r="AM82">
        <v>0</v>
      </c>
      <c r="AN82">
        <v>0</v>
      </c>
      <c r="AO82">
        <v>0</v>
      </c>
      <c r="AP82">
        <v>280</v>
      </c>
      <c r="AR82" t="str">
        <f t="shared" si="4"/>
        <v>0000000000000</v>
      </c>
      <c r="AT82" t="str">
        <f>T("9791166069666")</f>
        <v>9791166069666</v>
      </c>
      <c r="AV82" t="str">
        <f t="shared" si="5"/>
        <v>웹툰 &gt; 해외 순정</v>
      </c>
    </row>
    <row r="83" spans="1:48" x14ac:dyDescent="0.4">
      <c r="A83">
        <v>4421000916</v>
      </c>
      <c r="B83">
        <v>4421000917</v>
      </c>
      <c r="C83" t="str">
        <f>T("별빛 아래 우리 2화")</f>
        <v>별빛 아래 우리 2화</v>
      </c>
      <c r="D83" t="str">
        <f>T("2")</f>
        <v>2</v>
      </c>
      <c r="E83" t="str">
        <f>T("건일")</f>
        <v>건일</v>
      </c>
      <c r="G83" t="str">
        <f>T("건일")</f>
        <v>건일</v>
      </c>
      <c r="H83" t="str">
        <f t="shared" si="6"/>
        <v>스토리위즈</v>
      </c>
      <c r="I83" t="str">
        <f>T("별빛 아래 우리")</f>
        <v>별빛 아래 우리</v>
      </c>
      <c r="J83">
        <v>400</v>
      </c>
      <c r="K83">
        <v>400</v>
      </c>
      <c r="L83">
        <v>1</v>
      </c>
      <c r="M83">
        <v>0</v>
      </c>
      <c r="N83">
        <v>0</v>
      </c>
      <c r="O83">
        <v>0</v>
      </c>
      <c r="P83">
        <v>42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400</v>
      </c>
      <c r="AH83">
        <v>43</v>
      </c>
      <c r="AI83">
        <v>0</v>
      </c>
      <c r="AJ83">
        <v>0</v>
      </c>
      <c r="AK83">
        <v>400</v>
      </c>
      <c r="AL83">
        <v>0</v>
      </c>
      <c r="AM83">
        <v>0</v>
      </c>
      <c r="AN83">
        <v>0</v>
      </c>
      <c r="AO83">
        <v>0</v>
      </c>
      <c r="AP83">
        <v>280</v>
      </c>
      <c r="AR83" t="str">
        <f t="shared" si="4"/>
        <v>0000000000000</v>
      </c>
      <c r="AT83" t="str">
        <f>T("9791137601413")</f>
        <v>9791137601413</v>
      </c>
      <c r="AV83" t="str">
        <f t="shared" si="5"/>
        <v>웹툰 &gt; 해외 순정</v>
      </c>
    </row>
    <row r="84" spans="1:48" x14ac:dyDescent="0.4">
      <c r="A84">
        <v>4421000887</v>
      </c>
      <c r="B84">
        <v>4421000956</v>
      </c>
      <c r="C84" t="str">
        <f>T("폭군의 눈물 27화")</f>
        <v>폭군의 눈물 27화</v>
      </c>
      <c r="D84" t="str">
        <f>T("27")</f>
        <v>27</v>
      </c>
      <c r="E84" t="str">
        <f>T("Ice×FANFAN COMIC")</f>
        <v>Ice×FANFAN COMIC</v>
      </c>
      <c r="G84" t="str">
        <f>T("Ice×FANFAN COMIC")</f>
        <v>Ice×FANFAN COMIC</v>
      </c>
      <c r="H84" t="str">
        <f t="shared" si="6"/>
        <v>스토리위즈</v>
      </c>
      <c r="I84" t="str">
        <f>T("폭군의 눈물")</f>
        <v>폭군의 눈물</v>
      </c>
      <c r="J84">
        <v>400</v>
      </c>
      <c r="K84">
        <v>400</v>
      </c>
      <c r="L84">
        <v>1</v>
      </c>
      <c r="M84">
        <v>0</v>
      </c>
      <c r="N84">
        <v>400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800</v>
      </c>
      <c r="AH84">
        <v>3</v>
      </c>
      <c r="AI84">
        <v>0</v>
      </c>
      <c r="AJ84">
        <v>0</v>
      </c>
      <c r="AK84">
        <v>400</v>
      </c>
      <c r="AL84">
        <v>0</v>
      </c>
      <c r="AM84">
        <v>400</v>
      </c>
      <c r="AN84">
        <v>0</v>
      </c>
      <c r="AO84">
        <v>0</v>
      </c>
      <c r="AP84">
        <v>560</v>
      </c>
      <c r="AR84" t="str">
        <f t="shared" si="4"/>
        <v>0000000000000</v>
      </c>
      <c r="AT84" t="str">
        <f>T("9791137601291")</f>
        <v>9791137601291</v>
      </c>
      <c r="AV84" t="str">
        <f t="shared" si="5"/>
        <v>웹툰 &gt; 해외 순정</v>
      </c>
    </row>
    <row r="85" spans="1:48" x14ac:dyDescent="0.4">
      <c r="A85">
        <v>4421000916</v>
      </c>
      <c r="B85">
        <v>4421001295</v>
      </c>
      <c r="C85" t="str">
        <f>T("별빛 아래 우리 65화")</f>
        <v>별빛 아래 우리 65화</v>
      </c>
      <c r="D85" t="str">
        <f>T("65")</f>
        <v>65</v>
      </c>
      <c r="E85" t="str">
        <f>T("건일")</f>
        <v>건일</v>
      </c>
      <c r="G85" t="str">
        <f>T("건일")</f>
        <v>건일</v>
      </c>
      <c r="H85" t="str">
        <f t="shared" si="6"/>
        <v>스토리위즈</v>
      </c>
      <c r="I85" t="str">
        <f>T("별빛 아래 우리")</f>
        <v>별빛 아래 우리</v>
      </c>
      <c r="J85">
        <v>400</v>
      </c>
      <c r="K85">
        <v>400</v>
      </c>
      <c r="L85">
        <v>1</v>
      </c>
      <c r="M85">
        <v>0</v>
      </c>
      <c r="N85">
        <v>2800</v>
      </c>
      <c r="O85">
        <v>14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3200</v>
      </c>
      <c r="AH85">
        <v>15</v>
      </c>
      <c r="AI85">
        <v>0</v>
      </c>
      <c r="AJ85">
        <v>0</v>
      </c>
      <c r="AK85">
        <v>2820</v>
      </c>
      <c r="AL85">
        <v>0</v>
      </c>
      <c r="AM85">
        <v>380</v>
      </c>
      <c r="AN85">
        <v>0</v>
      </c>
      <c r="AO85">
        <v>0</v>
      </c>
      <c r="AP85">
        <v>2240</v>
      </c>
      <c r="AR85" t="str">
        <f t="shared" si="4"/>
        <v>0000000000000</v>
      </c>
      <c r="AT85" t="str">
        <f>T("9791137601413")</f>
        <v>9791137601413</v>
      </c>
      <c r="AV85" t="str">
        <f t="shared" si="5"/>
        <v>웹툰 &gt; 해외 순정</v>
      </c>
    </row>
    <row r="86" spans="1:48" x14ac:dyDescent="0.4">
      <c r="A86">
        <v>4421000887</v>
      </c>
      <c r="B86">
        <v>4421000910</v>
      </c>
      <c r="C86" t="str">
        <f>T("폭군의 눈물 24화")</f>
        <v>폭군의 눈물 24화</v>
      </c>
      <c r="D86" t="str">
        <f>T("24")</f>
        <v>24</v>
      </c>
      <c r="E86" t="str">
        <f>T("Ice×FANFAN COMIC")</f>
        <v>Ice×FANFAN COMIC</v>
      </c>
      <c r="G86" t="str">
        <f>T("Ice×FANFAN COMIC")</f>
        <v>Ice×FANFAN COMIC</v>
      </c>
      <c r="H86" t="str">
        <f t="shared" si="6"/>
        <v>스토리위즈</v>
      </c>
      <c r="I86" t="str">
        <f>T("폭군의 눈물")</f>
        <v>폭군의 눈물</v>
      </c>
      <c r="J86">
        <v>400</v>
      </c>
      <c r="K86">
        <v>400</v>
      </c>
      <c r="L86">
        <v>1</v>
      </c>
      <c r="M86">
        <v>0</v>
      </c>
      <c r="N86">
        <v>400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800</v>
      </c>
      <c r="AH86">
        <v>3</v>
      </c>
      <c r="AI86">
        <v>0</v>
      </c>
      <c r="AJ86">
        <v>0</v>
      </c>
      <c r="AK86">
        <v>400</v>
      </c>
      <c r="AL86">
        <v>0</v>
      </c>
      <c r="AM86">
        <v>400</v>
      </c>
      <c r="AN86">
        <v>0</v>
      </c>
      <c r="AO86">
        <v>0</v>
      </c>
      <c r="AP86">
        <v>560</v>
      </c>
      <c r="AR86" t="str">
        <f t="shared" si="4"/>
        <v>0000000000000</v>
      </c>
      <c r="AT86" t="str">
        <f>T("9791137601291")</f>
        <v>9791137601291</v>
      </c>
      <c r="AV86" t="str">
        <f t="shared" si="5"/>
        <v>웹툰 &gt; 해외 순정</v>
      </c>
    </row>
    <row r="87" spans="1:48" x14ac:dyDescent="0.4">
      <c r="A87">
        <v>4421000198</v>
      </c>
      <c r="B87">
        <v>4421000259</v>
      </c>
      <c r="C87" t="str">
        <f>T("공주전쟁 51화")</f>
        <v>공주전쟁 51화</v>
      </c>
      <c r="D87" t="str">
        <f>T("51")</f>
        <v>51</v>
      </c>
      <c r="E87" t="str">
        <f>T("Hujing")</f>
        <v>Hujing</v>
      </c>
      <c r="G87" t="str">
        <f>T("Luojie")</f>
        <v>Luojie</v>
      </c>
      <c r="H87" t="str">
        <f t="shared" si="6"/>
        <v>스토리위즈</v>
      </c>
      <c r="I87" t="str">
        <f>T("공주전쟁")</f>
        <v>공주전쟁</v>
      </c>
      <c r="J87">
        <v>400</v>
      </c>
      <c r="K87">
        <v>400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400</v>
      </c>
      <c r="AH87">
        <v>1</v>
      </c>
      <c r="AI87">
        <v>0</v>
      </c>
      <c r="AJ87">
        <v>0</v>
      </c>
      <c r="AK87">
        <v>400</v>
      </c>
      <c r="AL87">
        <v>0</v>
      </c>
      <c r="AM87">
        <v>0</v>
      </c>
      <c r="AN87">
        <v>0</v>
      </c>
      <c r="AO87">
        <v>0</v>
      </c>
      <c r="AP87">
        <v>280</v>
      </c>
      <c r="AR87" t="str">
        <f t="shared" si="4"/>
        <v>0000000000000</v>
      </c>
      <c r="AT87" t="str">
        <f>T("9791166069666")</f>
        <v>9791166069666</v>
      </c>
      <c r="AV87" t="str">
        <f t="shared" si="5"/>
        <v>웹툰 &gt; 해외 순정</v>
      </c>
    </row>
    <row r="88" spans="1:48" x14ac:dyDescent="0.4">
      <c r="A88">
        <v>4421000198</v>
      </c>
      <c r="B88">
        <v>4421000949</v>
      </c>
      <c r="C88" t="str">
        <f>T("공주전쟁 61화")</f>
        <v>공주전쟁 61화</v>
      </c>
      <c r="D88" t="str">
        <f>T("61")</f>
        <v>61</v>
      </c>
      <c r="E88" t="str">
        <f>T("Hujing")</f>
        <v>Hujing</v>
      </c>
      <c r="G88" t="str">
        <f>T("Luojie")</f>
        <v>Luojie</v>
      </c>
      <c r="H88" t="str">
        <f t="shared" si="6"/>
        <v>스토리위즈</v>
      </c>
      <c r="I88" t="str">
        <f>T("공주전쟁")</f>
        <v>공주전쟁</v>
      </c>
      <c r="J88">
        <v>400</v>
      </c>
      <c r="K88">
        <v>400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400</v>
      </c>
      <c r="AH88">
        <v>1</v>
      </c>
      <c r="AI88">
        <v>0</v>
      </c>
      <c r="AJ88">
        <v>0</v>
      </c>
      <c r="AK88">
        <v>400</v>
      </c>
      <c r="AL88">
        <v>0</v>
      </c>
      <c r="AM88">
        <v>0</v>
      </c>
      <c r="AN88">
        <v>0</v>
      </c>
      <c r="AO88">
        <v>0</v>
      </c>
      <c r="AP88">
        <v>280</v>
      </c>
      <c r="AR88" t="str">
        <f t="shared" si="4"/>
        <v>0000000000000</v>
      </c>
      <c r="AT88" t="str">
        <f>T("9791166069666")</f>
        <v>9791166069666</v>
      </c>
      <c r="AV88" t="str">
        <f t="shared" si="5"/>
        <v>웹툰 &gt; 해외 순정</v>
      </c>
    </row>
    <row r="89" spans="1:48" x14ac:dyDescent="0.4">
      <c r="A89">
        <v>4421001305</v>
      </c>
      <c r="B89">
        <v>4421001305</v>
      </c>
      <c r="C89" t="str">
        <f>T("악역이지만, 남주는 꼬시지 않아요 1화")</f>
        <v>악역이지만, 남주는 꼬시지 않아요 1화</v>
      </c>
      <c r="D89" t="str">
        <f>T("1")</f>
        <v>1</v>
      </c>
      <c r="E89" t="str">
        <f>T("마북명")</f>
        <v>마북명</v>
      </c>
      <c r="G89" t="str">
        <f>T("kuri")</f>
        <v>kuri</v>
      </c>
      <c r="H89" t="str">
        <f t="shared" si="6"/>
        <v>스토리위즈</v>
      </c>
      <c r="I89" t="str">
        <f>T("악역이지만, 남주는 꼬시지 않아요")</f>
        <v>악역이지만, 남주는 꼬시지 않아요</v>
      </c>
      <c r="J89">
        <v>400</v>
      </c>
      <c r="K89">
        <v>400</v>
      </c>
      <c r="L89">
        <v>1</v>
      </c>
      <c r="M89">
        <v>0</v>
      </c>
      <c r="N89">
        <v>0</v>
      </c>
      <c r="O89">
        <v>0</v>
      </c>
      <c r="P89">
        <v>49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400</v>
      </c>
      <c r="AH89">
        <v>50</v>
      </c>
      <c r="AI89">
        <v>0</v>
      </c>
      <c r="AJ89">
        <v>0</v>
      </c>
      <c r="AK89">
        <v>400</v>
      </c>
      <c r="AL89">
        <v>0</v>
      </c>
      <c r="AM89">
        <v>0</v>
      </c>
      <c r="AN89">
        <v>0</v>
      </c>
      <c r="AO89">
        <v>0</v>
      </c>
      <c r="AP89">
        <v>280</v>
      </c>
      <c r="AR89" t="str">
        <f t="shared" si="4"/>
        <v>0000000000000</v>
      </c>
      <c r="AT89" t="str">
        <f>T("9791137603882")</f>
        <v>9791137603882</v>
      </c>
      <c r="AV89" t="str">
        <f t="shared" si="5"/>
        <v>웹툰 &gt; 해외 순정</v>
      </c>
    </row>
    <row r="90" spans="1:48" x14ac:dyDescent="0.4">
      <c r="A90">
        <v>4421000198</v>
      </c>
      <c r="B90">
        <v>4421001251</v>
      </c>
      <c r="C90" t="str">
        <f>T("공주전쟁 80화")</f>
        <v>공주전쟁 80화</v>
      </c>
      <c r="D90" t="str">
        <f>T("80")</f>
        <v>80</v>
      </c>
      <c r="E90" t="str">
        <f>T("Hujing")</f>
        <v>Hujing</v>
      </c>
      <c r="G90" t="str">
        <f>T("Luojie")</f>
        <v>Luojie</v>
      </c>
      <c r="H90" t="str">
        <f t="shared" si="6"/>
        <v>스토리위즈</v>
      </c>
      <c r="I90" t="str">
        <f>T("공주전쟁")</f>
        <v>공주전쟁</v>
      </c>
      <c r="J90">
        <v>400</v>
      </c>
      <c r="K90">
        <v>400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400</v>
      </c>
      <c r="AH90">
        <v>1</v>
      </c>
      <c r="AI90">
        <v>0</v>
      </c>
      <c r="AJ90">
        <v>0</v>
      </c>
      <c r="AK90">
        <v>400</v>
      </c>
      <c r="AL90">
        <v>0</v>
      </c>
      <c r="AM90">
        <v>0</v>
      </c>
      <c r="AN90">
        <v>0</v>
      </c>
      <c r="AO90">
        <v>0</v>
      </c>
      <c r="AP90">
        <v>280</v>
      </c>
      <c r="AR90" t="str">
        <f t="shared" si="4"/>
        <v>0000000000000</v>
      </c>
      <c r="AT90" t="str">
        <f>T("9791166069666")</f>
        <v>9791166069666</v>
      </c>
      <c r="AV90" t="str">
        <f t="shared" si="5"/>
        <v>웹툰 &gt; 해외 순정</v>
      </c>
    </row>
    <row r="91" spans="1:48" x14ac:dyDescent="0.4">
      <c r="A91">
        <v>4421000198</v>
      </c>
      <c r="B91">
        <v>4421001182</v>
      </c>
      <c r="C91" t="str">
        <f>T("공주전쟁 67화")</f>
        <v>공주전쟁 67화</v>
      </c>
      <c r="D91" t="str">
        <f>T("67")</f>
        <v>67</v>
      </c>
      <c r="E91" t="str">
        <f>T("Hujing")</f>
        <v>Hujing</v>
      </c>
      <c r="G91" t="str">
        <f>T("Luojie")</f>
        <v>Luojie</v>
      </c>
      <c r="H91" t="str">
        <f t="shared" si="6"/>
        <v>스토리위즈</v>
      </c>
      <c r="I91" t="str">
        <f>T("공주전쟁")</f>
        <v>공주전쟁</v>
      </c>
      <c r="J91">
        <v>400</v>
      </c>
      <c r="K91">
        <v>400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400</v>
      </c>
      <c r="AH91">
        <v>1</v>
      </c>
      <c r="AI91">
        <v>0</v>
      </c>
      <c r="AJ91">
        <v>0</v>
      </c>
      <c r="AK91">
        <v>400</v>
      </c>
      <c r="AL91">
        <v>0</v>
      </c>
      <c r="AM91">
        <v>0</v>
      </c>
      <c r="AN91">
        <v>0</v>
      </c>
      <c r="AO91">
        <v>0</v>
      </c>
      <c r="AP91">
        <v>280</v>
      </c>
      <c r="AR91" t="str">
        <f t="shared" si="4"/>
        <v>0000000000000</v>
      </c>
      <c r="AT91" t="str">
        <f>T("9791166069666")</f>
        <v>9791166069666</v>
      </c>
      <c r="AV91" t="str">
        <f t="shared" si="5"/>
        <v>웹툰 &gt; 해외 순정</v>
      </c>
    </row>
    <row r="92" spans="1:48" x14ac:dyDescent="0.4">
      <c r="A92">
        <v>4421000198</v>
      </c>
      <c r="B92">
        <v>4421000227</v>
      </c>
      <c r="C92" t="str">
        <f>T("공주전쟁 30화")</f>
        <v>공주전쟁 30화</v>
      </c>
      <c r="D92" t="str">
        <f>T("30")</f>
        <v>30</v>
      </c>
      <c r="E92" t="str">
        <f>T("Hujing")</f>
        <v>Hujing</v>
      </c>
      <c r="G92" t="str">
        <f>T("Luojie")</f>
        <v>Luojie</v>
      </c>
      <c r="H92" t="str">
        <f t="shared" si="6"/>
        <v>스토리위즈</v>
      </c>
      <c r="I92" t="str">
        <f>T("공주전쟁")</f>
        <v>공주전쟁</v>
      </c>
      <c r="J92">
        <v>400</v>
      </c>
      <c r="K92">
        <v>400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400</v>
      </c>
      <c r="AH92">
        <v>1</v>
      </c>
      <c r="AI92">
        <v>0</v>
      </c>
      <c r="AJ92">
        <v>0</v>
      </c>
      <c r="AK92">
        <v>400</v>
      </c>
      <c r="AL92">
        <v>0</v>
      </c>
      <c r="AM92">
        <v>0</v>
      </c>
      <c r="AN92">
        <v>0</v>
      </c>
      <c r="AO92">
        <v>0</v>
      </c>
      <c r="AP92">
        <v>280</v>
      </c>
      <c r="AR92" t="str">
        <f t="shared" si="4"/>
        <v>0000000000000</v>
      </c>
      <c r="AT92" t="str">
        <f>T("9791166069666")</f>
        <v>9791166069666</v>
      </c>
      <c r="AV92" t="str">
        <f t="shared" si="5"/>
        <v>웹툰 &gt; 해외 순정</v>
      </c>
    </row>
    <row r="93" spans="1:48" x14ac:dyDescent="0.4">
      <c r="A93">
        <v>4421000887</v>
      </c>
      <c r="B93">
        <v>4421001242</v>
      </c>
      <c r="C93" t="str">
        <f>T("폭군의 눈물 45화")</f>
        <v>폭군의 눈물 45화</v>
      </c>
      <c r="D93" t="str">
        <f>T("45")</f>
        <v>45</v>
      </c>
      <c r="E93" t="str">
        <f>T("Ice×FANFAN COMIC")</f>
        <v>Ice×FANFAN COMIC</v>
      </c>
      <c r="G93" t="str">
        <f>T("Ice×FANFAN COMIC")</f>
        <v>Ice×FANFAN COMIC</v>
      </c>
      <c r="H93" t="str">
        <f t="shared" si="6"/>
        <v>스토리위즈</v>
      </c>
      <c r="I93" t="str">
        <f>T("폭군의 눈물")</f>
        <v>폭군의 눈물</v>
      </c>
      <c r="J93">
        <v>400</v>
      </c>
      <c r="K93">
        <v>400</v>
      </c>
      <c r="L93">
        <v>1</v>
      </c>
      <c r="M93">
        <v>0</v>
      </c>
      <c r="N93">
        <v>400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800</v>
      </c>
      <c r="AH93">
        <v>3</v>
      </c>
      <c r="AI93">
        <v>0</v>
      </c>
      <c r="AJ93">
        <v>0</v>
      </c>
      <c r="AK93">
        <v>400</v>
      </c>
      <c r="AL93">
        <v>0</v>
      </c>
      <c r="AM93">
        <v>400</v>
      </c>
      <c r="AN93">
        <v>0</v>
      </c>
      <c r="AO93">
        <v>0</v>
      </c>
      <c r="AP93">
        <v>560</v>
      </c>
      <c r="AR93" t="str">
        <f t="shared" si="4"/>
        <v>0000000000000</v>
      </c>
      <c r="AT93" t="str">
        <f>T("9791137601291")</f>
        <v>9791137601291</v>
      </c>
      <c r="AV93" t="str">
        <f t="shared" si="5"/>
        <v>웹툰 &gt; 해외 순정</v>
      </c>
    </row>
    <row r="94" spans="1:48" x14ac:dyDescent="0.4">
      <c r="A94">
        <v>4421000916</v>
      </c>
      <c r="B94">
        <v>4421001169</v>
      </c>
      <c r="C94" t="str">
        <f>T("별빛 아래 우리 38화")</f>
        <v>별빛 아래 우리 38화</v>
      </c>
      <c r="D94" t="str">
        <f>T("38")</f>
        <v>38</v>
      </c>
      <c r="E94" t="str">
        <f>T("건일")</f>
        <v>건일</v>
      </c>
      <c r="G94" t="str">
        <f>T("건일")</f>
        <v>건일</v>
      </c>
      <c r="H94" t="str">
        <f t="shared" si="6"/>
        <v>스토리위즈</v>
      </c>
      <c r="I94" t="str">
        <f>T("별빛 아래 우리")</f>
        <v>별빛 아래 우리</v>
      </c>
      <c r="J94">
        <v>400</v>
      </c>
      <c r="K94">
        <v>400</v>
      </c>
      <c r="L94">
        <v>1</v>
      </c>
      <c r="M94">
        <v>0</v>
      </c>
      <c r="N94">
        <v>1600</v>
      </c>
      <c r="O94">
        <v>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2000</v>
      </c>
      <c r="AH94">
        <v>9</v>
      </c>
      <c r="AI94">
        <v>0</v>
      </c>
      <c r="AJ94">
        <v>0</v>
      </c>
      <c r="AK94">
        <v>1800</v>
      </c>
      <c r="AL94">
        <v>0</v>
      </c>
      <c r="AM94">
        <v>200</v>
      </c>
      <c r="AN94">
        <v>0</v>
      </c>
      <c r="AO94">
        <v>0</v>
      </c>
      <c r="AP94">
        <v>1400</v>
      </c>
      <c r="AR94" t="str">
        <f t="shared" si="4"/>
        <v>0000000000000</v>
      </c>
      <c r="AT94" t="str">
        <f>T("9791137601413")</f>
        <v>9791137601413</v>
      </c>
      <c r="AV94" t="str">
        <f t="shared" si="5"/>
        <v>웹툰 &gt; 해외 순정</v>
      </c>
    </row>
    <row r="95" spans="1:48" x14ac:dyDescent="0.4">
      <c r="A95">
        <v>4421000198</v>
      </c>
      <c r="B95">
        <v>4421000220</v>
      </c>
      <c r="C95" t="str">
        <f>T("공주전쟁 23화")</f>
        <v>공주전쟁 23화</v>
      </c>
      <c r="D95" t="str">
        <f>T("23")</f>
        <v>23</v>
      </c>
      <c r="E95" t="str">
        <f>T("Hujing")</f>
        <v>Hujing</v>
      </c>
      <c r="G95" t="str">
        <f>T("Luojie")</f>
        <v>Luojie</v>
      </c>
      <c r="H95" t="str">
        <f t="shared" si="6"/>
        <v>스토리위즈</v>
      </c>
      <c r="I95" t="str">
        <f>T("공주전쟁")</f>
        <v>공주전쟁</v>
      </c>
      <c r="J95">
        <v>400</v>
      </c>
      <c r="K95">
        <v>400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400</v>
      </c>
      <c r="AH95">
        <v>1</v>
      </c>
      <c r="AI95">
        <v>0</v>
      </c>
      <c r="AJ95">
        <v>0</v>
      </c>
      <c r="AK95">
        <v>400</v>
      </c>
      <c r="AL95">
        <v>0</v>
      </c>
      <c r="AM95">
        <v>0</v>
      </c>
      <c r="AN95">
        <v>0</v>
      </c>
      <c r="AO95">
        <v>0</v>
      </c>
      <c r="AP95">
        <v>280</v>
      </c>
      <c r="AR95" t="str">
        <f t="shared" si="4"/>
        <v>0000000000000</v>
      </c>
      <c r="AT95" t="str">
        <f>T("9791166069666")</f>
        <v>9791166069666</v>
      </c>
      <c r="AV95" t="str">
        <f t="shared" si="5"/>
        <v>웹툰 &gt; 해외 순정</v>
      </c>
    </row>
    <row r="96" spans="1:48" x14ac:dyDescent="0.4">
      <c r="A96">
        <v>4421000198</v>
      </c>
      <c r="B96">
        <v>4421001286</v>
      </c>
      <c r="C96" t="str">
        <f>T("공주전쟁 86화")</f>
        <v>공주전쟁 86화</v>
      </c>
      <c r="D96" t="str">
        <f>T("86")</f>
        <v>86</v>
      </c>
      <c r="E96" t="str">
        <f>T("Hujing")</f>
        <v>Hujing</v>
      </c>
      <c r="G96" t="str">
        <f>T("Luojie")</f>
        <v>Luojie</v>
      </c>
      <c r="H96" t="str">
        <f t="shared" si="6"/>
        <v>스토리위즈</v>
      </c>
      <c r="I96" t="str">
        <f>T("공주전쟁")</f>
        <v>공주전쟁</v>
      </c>
      <c r="J96">
        <v>400</v>
      </c>
      <c r="K96">
        <v>400</v>
      </c>
      <c r="L96">
        <v>1</v>
      </c>
      <c r="M96">
        <v>0</v>
      </c>
      <c r="N96">
        <v>200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600</v>
      </c>
      <c r="AH96">
        <v>2</v>
      </c>
      <c r="AI96">
        <v>0</v>
      </c>
      <c r="AJ96">
        <v>0</v>
      </c>
      <c r="AK96">
        <v>600</v>
      </c>
      <c r="AL96">
        <v>0</v>
      </c>
      <c r="AM96">
        <v>0</v>
      </c>
      <c r="AN96">
        <v>0</v>
      </c>
      <c r="AO96">
        <v>0</v>
      </c>
      <c r="AP96">
        <v>420</v>
      </c>
      <c r="AR96" t="str">
        <f t="shared" si="4"/>
        <v>0000000000000</v>
      </c>
      <c r="AT96" t="str">
        <f>T("9791166069666")</f>
        <v>9791166069666</v>
      </c>
      <c r="AV96" t="str">
        <f t="shared" si="5"/>
        <v>웹툰 &gt; 해외 순정</v>
      </c>
    </row>
    <row r="97" spans="1:48" x14ac:dyDescent="0.4">
      <c r="A97">
        <v>4421000887</v>
      </c>
      <c r="B97">
        <v>4421000903</v>
      </c>
      <c r="C97" t="str">
        <f>T("폭군의 눈물 17화")</f>
        <v>폭군의 눈물 17화</v>
      </c>
      <c r="D97" t="str">
        <f>T("17")</f>
        <v>17</v>
      </c>
      <c r="E97" t="str">
        <f>T("Ice×FANFAN COMIC")</f>
        <v>Ice×FANFAN COMIC</v>
      </c>
      <c r="G97" t="str">
        <f>T("Ice×FANFAN COMIC")</f>
        <v>Ice×FANFAN COMIC</v>
      </c>
      <c r="H97" t="str">
        <f t="shared" si="6"/>
        <v>스토리위즈</v>
      </c>
      <c r="I97" t="str">
        <f>T("폭군의 눈물")</f>
        <v>폭군의 눈물</v>
      </c>
      <c r="J97">
        <v>400</v>
      </c>
      <c r="K97">
        <v>400</v>
      </c>
      <c r="L97">
        <v>1</v>
      </c>
      <c r="M97">
        <v>0</v>
      </c>
      <c r="N97">
        <v>400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800</v>
      </c>
      <c r="AH97">
        <v>3</v>
      </c>
      <c r="AI97">
        <v>0</v>
      </c>
      <c r="AJ97">
        <v>0</v>
      </c>
      <c r="AK97">
        <v>400</v>
      </c>
      <c r="AL97">
        <v>0</v>
      </c>
      <c r="AM97">
        <v>400</v>
      </c>
      <c r="AN97">
        <v>0</v>
      </c>
      <c r="AO97">
        <v>0</v>
      </c>
      <c r="AP97">
        <v>560</v>
      </c>
      <c r="AR97" t="str">
        <f t="shared" si="4"/>
        <v>0000000000000</v>
      </c>
      <c r="AT97" t="str">
        <f>T("9791137601291")</f>
        <v>9791137601291</v>
      </c>
      <c r="AV97" t="str">
        <f t="shared" si="5"/>
        <v>웹툰 &gt; 해외 순정</v>
      </c>
    </row>
    <row r="98" spans="1:48" x14ac:dyDescent="0.4">
      <c r="A98">
        <v>4421000916</v>
      </c>
      <c r="B98">
        <v>4421001212</v>
      </c>
      <c r="C98" t="str">
        <f>T("별빛 아래 우리 49화")</f>
        <v>별빛 아래 우리 49화</v>
      </c>
      <c r="D98" t="str">
        <f>T("49")</f>
        <v>49</v>
      </c>
      <c r="E98" t="str">
        <f>T("건일")</f>
        <v>건일</v>
      </c>
      <c r="G98" t="str">
        <f>T("건일")</f>
        <v>건일</v>
      </c>
      <c r="H98" t="str">
        <f t="shared" si="6"/>
        <v>스토리위즈</v>
      </c>
      <c r="I98" t="str">
        <f>T("별빛 아래 우리")</f>
        <v>별빛 아래 우리</v>
      </c>
      <c r="J98">
        <v>400</v>
      </c>
      <c r="K98">
        <v>400</v>
      </c>
      <c r="L98">
        <v>1</v>
      </c>
      <c r="M98">
        <v>0</v>
      </c>
      <c r="N98">
        <v>1600</v>
      </c>
      <c r="O98">
        <v>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2000</v>
      </c>
      <c r="AH98">
        <v>9</v>
      </c>
      <c r="AI98">
        <v>0</v>
      </c>
      <c r="AJ98">
        <v>0</v>
      </c>
      <c r="AK98">
        <v>1800</v>
      </c>
      <c r="AL98">
        <v>0</v>
      </c>
      <c r="AM98">
        <v>200</v>
      </c>
      <c r="AN98">
        <v>0</v>
      </c>
      <c r="AO98">
        <v>0</v>
      </c>
      <c r="AP98">
        <v>1400</v>
      </c>
      <c r="AR98" t="str">
        <f t="shared" si="4"/>
        <v>0000000000000</v>
      </c>
      <c r="AT98" t="str">
        <f>T("9791137601413")</f>
        <v>9791137601413</v>
      </c>
      <c r="AV98" t="str">
        <f t="shared" si="5"/>
        <v>웹툰 &gt; 해외 순정</v>
      </c>
    </row>
    <row r="99" spans="1:48" x14ac:dyDescent="0.4">
      <c r="A99">
        <v>4421000198</v>
      </c>
      <c r="B99">
        <v>4421000245</v>
      </c>
      <c r="C99" t="str">
        <f>T("공주전쟁 48화")</f>
        <v>공주전쟁 48화</v>
      </c>
      <c r="D99" t="str">
        <f>T("48")</f>
        <v>48</v>
      </c>
      <c r="E99" t="str">
        <f>T("Hujing")</f>
        <v>Hujing</v>
      </c>
      <c r="G99" t="str">
        <f>T("Luojie")</f>
        <v>Luojie</v>
      </c>
      <c r="H99" t="str">
        <f t="shared" si="6"/>
        <v>스토리위즈</v>
      </c>
      <c r="I99" t="str">
        <f>T("공주전쟁")</f>
        <v>공주전쟁</v>
      </c>
      <c r="J99">
        <v>400</v>
      </c>
      <c r="K99">
        <v>400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400</v>
      </c>
      <c r="AH99">
        <v>1</v>
      </c>
      <c r="AI99">
        <v>0</v>
      </c>
      <c r="AJ99">
        <v>0</v>
      </c>
      <c r="AK99">
        <v>400</v>
      </c>
      <c r="AL99">
        <v>0</v>
      </c>
      <c r="AM99">
        <v>0</v>
      </c>
      <c r="AN99">
        <v>0</v>
      </c>
      <c r="AO99">
        <v>0</v>
      </c>
      <c r="AP99">
        <v>280</v>
      </c>
      <c r="AR99" t="str">
        <f t="shared" si="4"/>
        <v>0000000000000</v>
      </c>
      <c r="AT99" t="str">
        <f>T("9791166069666")</f>
        <v>9791166069666</v>
      </c>
      <c r="AV99" t="str">
        <f t="shared" si="5"/>
        <v>웹툰 &gt; 해외 순정</v>
      </c>
    </row>
    <row r="100" spans="1:48" x14ac:dyDescent="0.4">
      <c r="A100">
        <v>4421000198</v>
      </c>
      <c r="B100">
        <v>4421000858</v>
      </c>
      <c r="C100" t="str">
        <f>T("공주전쟁 59화")</f>
        <v>공주전쟁 59화</v>
      </c>
      <c r="D100" t="str">
        <f>T("59")</f>
        <v>59</v>
      </c>
      <c r="E100" t="str">
        <f>T("Hujing")</f>
        <v>Hujing</v>
      </c>
      <c r="G100" t="str">
        <f>T("Luojie")</f>
        <v>Luojie</v>
      </c>
      <c r="H100" t="str">
        <f t="shared" si="6"/>
        <v>스토리위즈</v>
      </c>
      <c r="I100" t="str">
        <f>T("공주전쟁")</f>
        <v>공주전쟁</v>
      </c>
      <c r="J100">
        <v>400</v>
      </c>
      <c r="K100">
        <v>400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400</v>
      </c>
      <c r="AH100">
        <v>1</v>
      </c>
      <c r="AI100">
        <v>0</v>
      </c>
      <c r="AJ100">
        <v>0</v>
      </c>
      <c r="AK100">
        <v>400</v>
      </c>
      <c r="AL100">
        <v>0</v>
      </c>
      <c r="AM100">
        <v>0</v>
      </c>
      <c r="AN100">
        <v>0</v>
      </c>
      <c r="AO100">
        <v>0</v>
      </c>
      <c r="AP100">
        <v>280</v>
      </c>
      <c r="AR100" t="str">
        <f t="shared" si="4"/>
        <v>0000000000000</v>
      </c>
      <c r="AT100" t="str">
        <f>T("9791166069666")</f>
        <v>9791166069666</v>
      </c>
      <c r="AV100" t="str">
        <f t="shared" si="5"/>
        <v>웹툰 &gt; 해외 순정</v>
      </c>
    </row>
    <row r="101" spans="1:48" x14ac:dyDescent="0.4">
      <c r="A101">
        <v>4421000198</v>
      </c>
      <c r="B101">
        <v>4421000213</v>
      </c>
      <c r="C101" t="str">
        <f>T("공주전쟁 16화")</f>
        <v>공주전쟁 16화</v>
      </c>
      <c r="D101" t="str">
        <f>T("16")</f>
        <v>16</v>
      </c>
      <c r="E101" t="str">
        <f>T("Hujing")</f>
        <v>Hujing</v>
      </c>
      <c r="G101" t="str">
        <f>T("Luojie")</f>
        <v>Luojie</v>
      </c>
      <c r="H101" t="str">
        <f t="shared" si="6"/>
        <v>스토리위즈</v>
      </c>
      <c r="I101" t="str">
        <f>T("공주전쟁")</f>
        <v>공주전쟁</v>
      </c>
      <c r="J101">
        <v>400</v>
      </c>
      <c r="K101">
        <v>400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400</v>
      </c>
      <c r="AH101">
        <v>1</v>
      </c>
      <c r="AI101">
        <v>0</v>
      </c>
      <c r="AJ101">
        <v>0</v>
      </c>
      <c r="AK101">
        <v>400</v>
      </c>
      <c r="AL101">
        <v>0</v>
      </c>
      <c r="AM101">
        <v>0</v>
      </c>
      <c r="AN101">
        <v>0</v>
      </c>
      <c r="AO101">
        <v>0</v>
      </c>
      <c r="AP101">
        <v>280</v>
      </c>
      <c r="AR101" t="str">
        <f t="shared" si="4"/>
        <v>0000000000000</v>
      </c>
      <c r="AT101" t="str">
        <f>T("9791166069666")</f>
        <v>9791166069666</v>
      </c>
      <c r="AV101" t="str">
        <f t="shared" si="5"/>
        <v>웹툰 &gt; 해외 순정</v>
      </c>
    </row>
    <row r="102" spans="1:48" x14ac:dyDescent="0.4">
      <c r="A102">
        <v>4421000887</v>
      </c>
      <c r="B102">
        <v>4421000896</v>
      </c>
      <c r="C102" t="str">
        <f>T("폭군의 눈물 10화")</f>
        <v>폭군의 눈물 10화</v>
      </c>
      <c r="D102" t="str">
        <f>T("10")</f>
        <v>10</v>
      </c>
      <c r="E102" t="str">
        <f>T("Ice×FANFAN COMIC")</f>
        <v>Ice×FANFAN COMIC</v>
      </c>
      <c r="G102" t="str">
        <f>T("Ice×FANFAN COMIC")</f>
        <v>Ice×FANFAN COMIC</v>
      </c>
      <c r="H102" t="str">
        <f t="shared" si="6"/>
        <v>스토리위즈</v>
      </c>
      <c r="I102" t="str">
        <f>T("폭군의 눈물")</f>
        <v>폭군의 눈물</v>
      </c>
      <c r="J102">
        <v>400</v>
      </c>
      <c r="K102">
        <v>400</v>
      </c>
      <c r="L102">
        <v>1</v>
      </c>
      <c r="M102">
        <v>0</v>
      </c>
      <c r="N102">
        <v>400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800</v>
      </c>
      <c r="AH102">
        <v>3</v>
      </c>
      <c r="AI102">
        <v>0</v>
      </c>
      <c r="AJ102">
        <v>0</v>
      </c>
      <c r="AK102">
        <v>400</v>
      </c>
      <c r="AL102">
        <v>0</v>
      </c>
      <c r="AM102">
        <v>400</v>
      </c>
      <c r="AN102">
        <v>0</v>
      </c>
      <c r="AO102">
        <v>0</v>
      </c>
      <c r="AP102">
        <v>560</v>
      </c>
      <c r="AR102" t="str">
        <f t="shared" si="4"/>
        <v>0000000000000</v>
      </c>
      <c r="AT102" t="str">
        <f>T("9791137601291")</f>
        <v>9791137601291</v>
      </c>
      <c r="AV102" t="str">
        <f t="shared" si="5"/>
        <v>웹툰 &gt; 해외 순정</v>
      </c>
    </row>
    <row r="103" spans="1:48" x14ac:dyDescent="0.4">
      <c r="A103">
        <v>4421000887</v>
      </c>
      <c r="B103">
        <v>4421000984</v>
      </c>
      <c r="C103" t="str">
        <f>T("폭군의 눈물 32화")</f>
        <v>폭군의 눈물 32화</v>
      </c>
      <c r="D103" t="str">
        <f>T("32")</f>
        <v>32</v>
      </c>
      <c r="E103" t="str">
        <f>T("Ice×FANFAN COMIC")</f>
        <v>Ice×FANFAN COMIC</v>
      </c>
      <c r="G103" t="str">
        <f>T("Ice×FANFAN COMIC")</f>
        <v>Ice×FANFAN COMIC</v>
      </c>
      <c r="H103" t="str">
        <f t="shared" si="6"/>
        <v>스토리위즈</v>
      </c>
      <c r="I103" t="str">
        <f>T("폭군의 눈물")</f>
        <v>폭군의 눈물</v>
      </c>
      <c r="J103">
        <v>400</v>
      </c>
      <c r="K103">
        <v>400</v>
      </c>
      <c r="L103">
        <v>1</v>
      </c>
      <c r="M103">
        <v>0</v>
      </c>
      <c r="N103">
        <v>600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1000</v>
      </c>
      <c r="AH103">
        <v>4</v>
      </c>
      <c r="AI103">
        <v>0</v>
      </c>
      <c r="AJ103">
        <v>0</v>
      </c>
      <c r="AK103">
        <v>600</v>
      </c>
      <c r="AL103">
        <v>0</v>
      </c>
      <c r="AM103">
        <v>400</v>
      </c>
      <c r="AN103">
        <v>0</v>
      </c>
      <c r="AO103">
        <v>0</v>
      </c>
      <c r="AP103">
        <v>700</v>
      </c>
      <c r="AR103" t="str">
        <f t="shared" si="4"/>
        <v>0000000000000</v>
      </c>
      <c r="AT103" t="str">
        <f>T("9791137601291")</f>
        <v>9791137601291</v>
      </c>
      <c r="AV103" t="str">
        <f t="shared" si="5"/>
        <v>웹툰 &gt; 해외 순정</v>
      </c>
    </row>
    <row r="104" spans="1:48" x14ac:dyDescent="0.4">
      <c r="A104">
        <v>4421000198</v>
      </c>
      <c r="B104">
        <v>4421000206</v>
      </c>
      <c r="C104" t="str">
        <f>T("공주전쟁 9화")</f>
        <v>공주전쟁 9화</v>
      </c>
      <c r="D104" t="str">
        <f>T("9")</f>
        <v>9</v>
      </c>
      <c r="E104" t="str">
        <f>T("Hujing")</f>
        <v>Hujing</v>
      </c>
      <c r="G104" t="str">
        <f>T("Luojie")</f>
        <v>Luojie</v>
      </c>
      <c r="H104" t="str">
        <f t="shared" si="6"/>
        <v>스토리위즈</v>
      </c>
      <c r="I104" t="str">
        <f>T("공주전쟁")</f>
        <v>공주전쟁</v>
      </c>
      <c r="J104">
        <v>400</v>
      </c>
      <c r="K104">
        <v>400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400</v>
      </c>
      <c r="AH104">
        <v>1</v>
      </c>
      <c r="AI104">
        <v>0</v>
      </c>
      <c r="AJ104">
        <v>0</v>
      </c>
      <c r="AK104">
        <v>400</v>
      </c>
      <c r="AL104">
        <v>0</v>
      </c>
      <c r="AM104">
        <v>0</v>
      </c>
      <c r="AN104">
        <v>0</v>
      </c>
      <c r="AO104">
        <v>0</v>
      </c>
      <c r="AP104">
        <v>280</v>
      </c>
      <c r="AR104" t="str">
        <f t="shared" si="4"/>
        <v>0000000000000</v>
      </c>
      <c r="AT104" t="str">
        <f>T("9791166069666")</f>
        <v>9791166069666</v>
      </c>
      <c r="AV104" t="str">
        <f t="shared" si="5"/>
        <v>웹툰 &gt; 해외 순정</v>
      </c>
    </row>
    <row r="105" spans="1:48" x14ac:dyDescent="0.4">
      <c r="A105">
        <v>4421000916</v>
      </c>
      <c r="B105">
        <v>4421001200</v>
      </c>
      <c r="C105" t="str">
        <f>T("별빛 아래 우리 46화")</f>
        <v>별빛 아래 우리 46화</v>
      </c>
      <c r="D105" t="str">
        <f>T("46")</f>
        <v>46</v>
      </c>
      <c r="E105" t="str">
        <f>T("건일")</f>
        <v>건일</v>
      </c>
      <c r="G105" t="str">
        <f>T("건일")</f>
        <v>건일</v>
      </c>
      <c r="H105" t="str">
        <f t="shared" si="6"/>
        <v>스토리위즈</v>
      </c>
      <c r="I105" t="str">
        <f>T("별빛 아래 우리")</f>
        <v>별빛 아래 우리</v>
      </c>
      <c r="J105">
        <v>400</v>
      </c>
      <c r="K105">
        <v>400</v>
      </c>
      <c r="L105">
        <v>1</v>
      </c>
      <c r="M105">
        <v>0</v>
      </c>
      <c r="N105">
        <v>1800</v>
      </c>
      <c r="O105">
        <v>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2200</v>
      </c>
      <c r="AH105">
        <v>10</v>
      </c>
      <c r="AI105">
        <v>0</v>
      </c>
      <c r="AJ105">
        <v>0</v>
      </c>
      <c r="AK105">
        <v>2000</v>
      </c>
      <c r="AL105">
        <v>0</v>
      </c>
      <c r="AM105">
        <v>200</v>
      </c>
      <c r="AN105">
        <v>0</v>
      </c>
      <c r="AO105">
        <v>0</v>
      </c>
      <c r="AP105">
        <v>1540</v>
      </c>
      <c r="AR105" t="str">
        <f t="shared" si="4"/>
        <v>0000000000000</v>
      </c>
      <c r="AT105" t="str">
        <f>T("9791137601413")</f>
        <v>9791137601413</v>
      </c>
      <c r="AV105" t="str">
        <f t="shared" si="5"/>
        <v>웹툰 &gt; 해외 순정</v>
      </c>
    </row>
    <row r="106" spans="1:48" x14ac:dyDescent="0.4">
      <c r="A106">
        <v>4421000198</v>
      </c>
      <c r="B106">
        <v>4421000238</v>
      </c>
      <c r="C106" t="str">
        <f>T("공주전쟁 41화")</f>
        <v>공주전쟁 41화</v>
      </c>
      <c r="D106" t="str">
        <f>T("41")</f>
        <v>41</v>
      </c>
      <c r="E106" t="str">
        <f>T("Hujing")</f>
        <v>Hujing</v>
      </c>
      <c r="G106" t="str">
        <f>T("Luojie")</f>
        <v>Luojie</v>
      </c>
      <c r="H106" t="str">
        <f t="shared" si="6"/>
        <v>스토리위즈</v>
      </c>
      <c r="I106" t="str">
        <f>T("공주전쟁")</f>
        <v>공주전쟁</v>
      </c>
      <c r="J106">
        <v>400</v>
      </c>
      <c r="K106">
        <v>400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400</v>
      </c>
      <c r="AH106">
        <v>1</v>
      </c>
      <c r="AI106">
        <v>0</v>
      </c>
      <c r="AJ106">
        <v>0</v>
      </c>
      <c r="AK106">
        <v>400</v>
      </c>
      <c r="AL106">
        <v>0</v>
      </c>
      <c r="AM106">
        <v>0</v>
      </c>
      <c r="AN106">
        <v>0</v>
      </c>
      <c r="AO106">
        <v>0</v>
      </c>
      <c r="AP106">
        <v>280</v>
      </c>
      <c r="AR106" t="str">
        <f t="shared" si="4"/>
        <v>0000000000000</v>
      </c>
      <c r="AT106" t="str">
        <f>T("9791166069666")</f>
        <v>9791166069666</v>
      </c>
      <c r="AV106" t="str">
        <f t="shared" si="5"/>
        <v>웹툰 &gt; 해외 순정</v>
      </c>
    </row>
    <row r="107" spans="1:48" x14ac:dyDescent="0.4">
      <c r="A107">
        <v>4421000887</v>
      </c>
      <c r="B107">
        <v>4421001260</v>
      </c>
      <c r="C107" t="str">
        <f>T("폭군의 눈물 49화")</f>
        <v>폭군의 눈물 49화</v>
      </c>
      <c r="D107" t="str">
        <f>T("49")</f>
        <v>49</v>
      </c>
      <c r="E107" t="str">
        <f>T("Ice×FANFAN COMIC")</f>
        <v>Ice×FANFAN COMIC</v>
      </c>
      <c r="G107" t="str">
        <f>T("Ice×FANFAN COMIC")</f>
        <v>Ice×FANFAN COMIC</v>
      </c>
      <c r="H107" t="str">
        <f t="shared" si="6"/>
        <v>스토리위즈</v>
      </c>
      <c r="I107" t="str">
        <f>T("폭군의 눈물")</f>
        <v>폭군의 눈물</v>
      </c>
      <c r="J107">
        <v>400</v>
      </c>
      <c r="K107">
        <v>400</v>
      </c>
      <c r="L107">
        <v>1</v>
      </c>
      <c r="M107">
        <v>0</v>
      </c>
      <c r="N107">
        <v>400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800</v>
      </c>
      <c r="AH107">
        <v>3</v>
      </c>
      <c r="AI107">
        <v>0</v>
      </c>
      <c r="AJ107">
        <v>0</v>
      </c>
      <c r="AK107">
        <v>400</v>
      </c>
      <c r="AL107">
        <v>0</v>
      </c>
      <c r="AM107">
        <v>400</v>
      </c>
      <c r="AN107">
        <v>0</v>
      </c>
      <c r="AO107">
        <v>0</v>
      </c>
      <c r="AP107">
        <v>560</v>
      </c>
      <c r="AR107" t="str">
        <f t="shared" si="4"/>
        <v>0000000000000</v>
      </c>
      <c r="AT107" t="str">
        <f>T("9791137601291")</f>
        <v>9791137601291</v>
      </c>
      <c r="AV107" t="str">
        <f t="shared" si="5"/>
        <v>웹툰 &gt; 해외 순정</v>
      </c>
    </row>
    <row r="108" spans="1:48" x14ac:dyDescent="0.4">
      <c r="A108">
        <v>4421000916</v>
      </c>
      <c r="B108">
        <v>4421001189</v>
      </c>
      <c r="C108" t="str">
        <f>T("별빛 아래 우리 39화")</f>
        <v>별빛 아래 우리 39화</v>
      </c>
      <c r="D108" t="str">
        <f>T("39")</f>
        <v>39</v>
      </c>
      <c r="E108" t="str">
        <f>T("건일")</f>
        <v>건일</v>
      </c>
      <c r="G108" t="str">
        <f>T("건일")</f>
        <v>건일</v>
      </c>
      <c r="H108" t="str">
        <f t="shared" si="6"/>
        <v>스토리위즈</v>
      </c>
      <c r="I108" t="str">
        <f>T("별빛 아래 우리")</f>
        <v>별빛 아래 우리</v>
      </c>
      <c r="J108">
        <v>400</v>
      </c>
      <c r="K108">
        <v>400</v>
      </c>
      <c r="L108">
        <v>1</v>
      </c>
      <c r="M108">
        <v>0</v>
      </c>
      <c r="N108">
        <v>1400</v>
      </c>
      <c r="O108">
        <v>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1800</v>
      </c>
      <c r="AH108">
        <v>8</v>
      </c>
      <c r="AI108">
        <v>0</v>
      </c>
      <c r="AJ108">
        <v>0</v>
      </c>
      <c r="AK108">
        <v>1600</v>
      </c>
      <c r="AL108">
        <v>0</v>
      </c>
      <c r="AM108">
        <v>200</v>
      </c>
      <c r="AN108">
        <v>0</v>
      </c>
      <c r="AO108">
        <v>0</v>
      </c>
      <c r="AP108">
        <v>1260</v>
      </c>
      <c r="AR108" t="str">
        <f t="shared" si="4"/>
        <v>0000000000000</v>
      </c>
      <c r="AT108" t="str">
        <f>T("9791137601413")</f>
        <v>9791137601413</v>
      </c>
      <c r="AV108" t="str">
        <f t="shared" si="5"/>
        <v>웹툰 &gt; 해외 순정</v>
      </c>
    </row>
    <row r="109" spans="1:48" x14ac:dyDescent="0.4">
      <c r="A109">
        <v>4421000198</v>
      </c>
      <c r="B109">
        <v>4421000231</v>
      </c>
      <c r="C109" t="str">
        <f>T("공주전쟁 34화")</f>
        <v>공주전쟁 34화</v>
      </c>
      <c r="D109" t="str">
        <f>T("34")</f>
        <v>34</v>
      </c>
      <c r="E109" t="str">
        <f>T("Hujing")</f>
        <v>Hujing</v>
      </c>
      <c r="G109" t="str">
        <f>T("Luojie")</f>
        <v>Luojie</v>
      </c>
      <c r="H109" t="str">
        <f t="shared" si="6"/>
        <v>스토리위즈</v>
      </c>
      <c r="I109" t="str">
        <f>T("공주전쟁")</f>
        <v>공주전쟁</v>
      </c>
      <c r="J109">
        <v>400</v>
      </c>
      <c r="K109">
        <v>400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400</v>
      </c>
      <c r="AH109">
        <v>1</v>
      </c>
      <c r="AI109">
        <v>0</v>
      </c>
      <c r="AJ109">
        <v>0</v>
      </c>
      <c r="AK109">
        <v>400</v>
      </c>
      <c r="AL109">
        <v>0</v>
      </c>
      <c r="AM109">
        <v>0</v>
      </c>
      <c r="AN109">
        <v>0</v>
      </c>
      <c r="AO109">
        <v>0</v>
      </c>
      <c r="AP109">
        <v>280</v>
      </c>
      <c r="AR109" t="str">
        <f t="shared" si="4"/>
        <v>0000000000000</v>
      </c>
      <c r="AT109" t="str">
        <f>T("9791166069666")</f>
        <v>9791166069666</v>
      </c>
      <c r="AV109" t="str">
        <f t="shared" si="5"/>
        <v>웹툰 &gt; 해외 순정</v>
      </c>
    </row>
    <row r="110" spans="1:48" x14ac:dyDescent="0.4">
      <c r="A110">
        <v>4421000198</v>
      </c>
      <c r="B110">
        <v>4421000263</v>
      </c>
      <c r="C110" t="str">
        <f>T("공주전쟁 55화")</f>
        <v>공주전쟁 55화</v>
      </c>
      <c r="D110" t="str">
        <f>T("55")</f>
        <v>55</v>
      </c>
      <c r="E110" t="str">
        <f>T("Hujing")</f>
        <v>Hujing</v>
      </c>
      <c r="G110" t="str">
        <f>T("Luojie")</f>
        <v>Luojie</v>
      </c>
      <c r="H110" t="str">
        <f t="shared" si="6"/>
        <v>스토리위즈</v>
      </c>
      <c r="I110" t="str">
        <f>T("공주전쟁")</f>
        <v>공주전쟁</v>
      </c>
      <c r="J110">
        <v>400</v>
      </c>
      <c r="K110">
        <v>400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400</v>
      </c>
      <c r="AH110">
        <v>1</v>
      </c>
      <c r="AI110">
        <v>0</v>
      </c>
      <c r="AJ110">
        <v>0</v>
      </c>
      <c r="AK110">
        <v>400</v>
      </c>
      <c r="AL110">
        <v>0</v>
      </c>
      <c r="AM110">
        <v>0</v>
      </c>
      <c r="AN110">
        <v>0</v>
      </c>
      <c r="AO110">
        <v>0</v>
      </c>
      <c r="AP110">
        <v>280</v>
      </c>
      <c r="AR110" t="str">
        <f t="shared" si="4"/>
        <v>0000000000000</v>
      </c>
      <c r="AT110" t="str">
        <f>T("9791166069666")</f>
        <v>9791166069666</v>
      </c>
      <c r="AV110" t="str">
        <f t="shared" si="5"/>
        <v>웹툰 &gt; 해외 순정</v>
      </c>
    </row>
    <row r="111" spans="1:48" x14ac:dyDescent="0.4">
      <c r="A111">
        <v>4421000198</v>
      </c>
      <c r="B111">
        <v>4421000953</v>
      </c>
      <c r="C111" t="str">
        <f>T("공주전쟁 65화")</f>
        <v>공주전쟁 65화</v>
      </c>
      <c r="D111" t="str">
        <f>T("65")</f>
        <v>65</v>
      </c>
      <c r="E111" t="str">
        <f>T("Hujing")</f>
        <v>Hujing</v>
      </c>
      <c r="G111" t="str">
        <f>T("Luojie")</f>
        <v>Luojie</v>
      </c>
      <c r="H111" t="str">
        <f t="shared" si="6"/>
        <v>스토리위즈</v>
      </c>
      <c r="I111" t="str">
        <f>T("공주전쟁")</f>
        <v>공주전쟁</v>
      </c>
      <c r="J111">
        <v>400</v>
      </c>
      <c r="K111">
        <v>400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400</v>
      </c>
      <c r="AH111">
        <v>1</v>
      </c>
      <c r="AI111">
        <v>0</v>
      </c>
      <c r="AJ111">
        <v>0</v>
      </c>
      <c r="AK111">
        <v>400</v>
      </c>
      <c r="AL111">
        <v>0</v>
      </c>
      <c r="AM111">
        <v>0</v>
      </c>
      <c r="AN111">
        <v>0</v>
      </c>
      <c r="AO111">
        <v>0</v>
      </c>
      <c r="AP111">
        <v>280</v>
      </c>
      <c r="AR111" t="str">
        <f t="shared" si="4"/>
        <v>0000000000000</v>
      </c>
      <c r="AT111" t="str">
        <f>T("9791166069666")</f>
        <v>9791166069666</v>
      </c>
      <c r="AV111" t="str">
        <f t="shared" si="5"/>
        <v>웹툰 &gt; 해외 순정</v>
      </c>
    </row>
    <row r="112" spans="1:48" x14ac:dyDescent="0.4">
      <c r="A112">
        <v>4421000916</v>
      </c>
      <c r="B112">
        <v>4421000977</v>
      </c>
      <c r="C112" t="str">
        <f>T("별빛 아래 우리 28화")</f>
        <v>별빛 아래 우리 28화</v>
      </c>
      <c r="D112" t="str">
        <f>T("28")</f>
        <v>28</v>
      </c>
      <c r="E112" t="str">
        <f>T("건일")</f>
        <v>건일</v>
      </c>
      <c r="G112" t="str">
        <f>T("건일")</f>
        <v>건일</v>
      </c>
      <c r="H112" t="str">
        <f t="shared" si="6"/>
        <v>스토리위즈</v>
      </c>
      <c r="I112" t="str">
        <f>T("별빛 아래 우리")</f>
        <v>별빛 아래 우리</v>
      </c>
      <c r="J112">
        <v>400</v>
      </c>
      <c r="K112">
        <v>400</v>
      </c>
      <c r="L112">
        <v>1</v>
      </c>
      <c r="M112">
        <v>0</v>
      </c>
      <c r="N112">
        <v>1600</v>
      </c>
      <c r="O112">
        <v>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2000</v>
      </c>
      <c r="AH112">
        <v>9</v>
      </c>
      <c r="AI112">
        <v>0</v>
      </c>
      <c r="AJ112">
        <v>0</v>
      </c>
      <c r="AK112">
        <v>1800</v>
      </c>
      <c r="AL112">
        <v>0</v>
      </c>
      <c r="AM112">
        <v>200</v>
      </c>
      <c r="AN112">
        <v>0</v>
      </c>
      <c r="AO112">
        <v>0</v>
      </c>
      <c r="AP112">
        <v>1400</v>
      </c>
      <c r="AR112" t="str">
        <f t="shared" si="4"/>
        <v>0000000000000</v>
      </c>
      <c r="AT112" t="str">
        <f>T("9791137601413")</f>
        <v>9791137601413</v>
      </c>
      <c r="AV112" t="str">
        <f t="shared" si="5"/>
        <v>웹툰 &gt; 해외 순정</v>
      </c>
    </row>
    <row r="113" spans="1:48" x14ac:dyDescent="0.4">
      <c r="A113">
        <v>4421001305</v>
      </c>
      <c r="B113">
        <v>4421001309</v>
      </c>
      <c r="C113" t="str">
        <f>T("악역이지만, 남주는 꼬시지 않아요 5화")</f>
        <v>악역이지만, 남주는 꼬시지 않아요 5화</v>
      </c>
      <c r="D113" t="str">
        <f>T("5")</f>
        <v>5</v>
      </c>
      <c r="E113" t="str">
        <f>T("마북명")</f>
        <v>마북명</v>
      </c>
      <c r="G113" t="str">
        <f>T("kuri")</f>
        <v>kuri</v>
      </c>
      <c r="H113" t="str">
        <f t="shared" si="6"/>
        <v>스토리위즈</v>
      </c>
      <c r="I113" t="str">
        <f>T("악역이지만, 남주는 꼬시지 않아요")</f>
        <v>악역이지만, 남주는 꼬시지 않아요</v>
      </c>
      <c r="J113">
        <v>400</v>
      </c>
      <c r="K113">
        <v>400</v>
      </c>
      <c r="L113">
        <v>1</v>
      </c>
      <c r="M113">
        <v>0</v>
      </c>
      <c r="N113">
        <v>0</v>
      </c>
      <c r="O113">
        <v>0</v>
      </c>
      <c r="P113">
        <v>25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400</v>
      </c>
      <c r="AH113">
        <v>26</v>
      </c>
      <c r="AI113">
        <v>0</v>
      </c>
      <c r="AJ113">
        <v>0</v>
      </c>
      <c r="AK113">
        <v>400</v>
      </c>
      <c r="AL113">
        <v>0</v>
      </c>
      <c r="AM113">
        <v>0</v>
      </c>
      <c r="AN113">
        <v>0</v>
      </c>
      <c r="AO113">
        <v>0</v>
      </c>
      <c r="AP113">
        <v>280</v>
      </c>
      <c r="AR113" t="str">
        <f t="shared" si="4"/>
        <v>0000000000000</v>
      </c>
      <c r="AT113" t="str">
        <f>T("9791137603882")</f>
        <v>9791137603882</v>
      </c>
      <c r="AV113" t="str">
        <f t="shared" si="5"/>
        <v>웹툰 &gt; 해외 순정</v>
      </c>
    </row>
    <row r="114" spans="1:48" x14ac:dyDescent="0.4">
      <c r="A114">
        <v>4421000198</v>
      </c>
      <c r="B114">
        <v>4421001460</v>
      </c>
      <c r="C114" t="str">
        <f>T("공주전쟁 93화")</f>
        <v>공주전쟁 93화</v>
      </c>
      <c r="D114" t="str">
        <f>T("93")</f>
        <v>93</v>
      </c>
      <c r="E114" t="str">
        <f>T("Hujing")</f>
        <v>Hujing</v>
      </c>
      <c r="G114" t="str">
        <f>T("Luojie")</f>
        <v>Luojie</v>
      </c>
      <c r="H114" t="str">
        <f t="shared" si="6"/>
        <v>스토리위즈</v>
      </c>
      <c r="I114" t="str">
        <f>T("공주전쟁")</f>
        <v>공주전쟁</v>
      </c>
      <c r="J114">
        <v>400</v>
      </c>
      <c r="K114">
        <v>400</v>
      </c>
      <c r="L114">
        <v>1</v>
      </c>
      <c r="M114">
        <v>0</v>
      </c>
      <c r="N114">
        <v>1000</v>
      </c>
      <c r="O114">
        <v>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1400</v>
      </c>
      <c r="AH114">
        <v>6</v>
      </c>
      <c r="AI114">
        <v>0</v>
      </c>
      <c r="AJ114">
        <v>0</v>
      </c>
      <c r="AK114">
        <v>1400</v>
      </c>
      <c r="AL114">
        <v>0</v>
      </c>
      <c r="AM114">
        <v>0</v>
      </c>
      <c r="AN114">
        <v>0</v>
      </c>
      <c r="AO114">
        <v>0</v>
      </c>
      <c r="AP114">
        <v>980</v>
      </c>
      <c r="AR114" t="str">
        <f t="shared" si="4"/>
        <v>0000000000000</v>
      </c>
      <c r="AT114" t="str">
        <f>T("9791166069666")</f>
        <v>9791166069666</v>
      </c>
      <c r="AV114" t="str">
        <f t="shared" si="5"/>
        <v>웹툰 &gt; 해외 순정</v>
      </c>
    </row>
    <row r="115" spans="1:48" x14ac:dyDescent="0.4">
      <c r="A115">
        <v>4421000916</v>
      </c>
      <c r="B115">
        <v>4421000939</v>
      </c>
      <c r="C115" t="str">
        <f>T("별빛 아래 우리 24화")</f>
        <v>별빛 아래 우리 24화</v>
      </c>
      <c r="D115" t="str">
        <f>T("24")</f>
        <v>24</v>
      </c>
      <c r="E115" t="str">
        <f>T("건일")</f>
        <v>건일</v>
      </c>
      <c r="G115" t="str">
        <f>T("건일")</f>
        <v>건일</v>
      </c>
      <c r="H115" t="str">
        <f t="shared" si="6"/>
        <v>스토리위즈</v>
      </c>
      <c r="I115" t="str">
        <f>T("별빛 아래 우리")</f>
        <v>별빛 아래 우리</v>
      </c>
      <c r="J115">
        <v>400</v>
      </c>
      <c r="K115">
        <v>400</v>
      </c>
      <c r="L115">
        <v>1</v>
      </c>
      <c r="M115">
        <v>0</v>
      </c>
      <c r="N115">
        <v>1600</v>
      </c>
      <c r="O115">
        <v>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2000</v>
      </c>
      <c r="AH115">
        <v>9</v>
      </c>
      <c r="AI115">
        <v>0</v>
      </c>
      <c r="AJ115">
        <v>0</v>
      </c>
      <c r="AK115">
        <v>1800</v>
      </c>
      <c r="AL115">
        <v>0</v>
      </c>
      <c r="AM115">
        <v>200</v>
      </c>
      <c r="AN115">
        <v>0</v>
      </c>
      <c r="AO115">
        <v>0</v>
      </c>
      <c r="AP115">
        <v>1400</v>
      </c>
      <c r="AR115" t="str">
        <f t="shared" si="4"/>
        <v>0000000000000</v>
      </c>
      <c r="AT115" t="str">
        <f>T("9791137601413")</f>
        <v>9791137601413</v>
      </c>
      <c r="AV115" t="str">
        <f t="shared" si="5"/>
        <v>웹툰 &gt; 해외 순정</v>
      </c>
    </row>
    <row r="116" spans="1:48" x14ac:dyDescent="0.4">
      <c r="A116">
        <v>4421000866</v>
      </c>
      <c r="B116">
        <v>4421001302</v>
      </c>
      <c r="C116" t="str">
        <f>T("최애에게 들켜버렸다 70화")</f>
        <v>최애에게 들켜버렸다 70화</v>
      </c>
      <c r="D116" t="str">
        <f>T("73")</f>
        <v>73</v>
      </c>
      <c r="E116" t="str">
        <f>T("Lv")</f>
        <v>Lv</v>
      </c>
      <c r="G116" t="str">
        <f>T("Lv")</f>
        <v>Lv</v>
      </c>
      <c r="H116" t="str">
        <f t="shared" si="6"/>
        <v>스토리위즈</v>
      </c>
      <c r="I116" t="str">
        <f>T("최애에게 들켜버렸다")</f>
        <v>최애에게 들켜버렸다</v>
      </c>
      <c r="J116">
        <v>400</v>
      </c>
      <c r="K116">
        <v>400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400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400</v>
      </c>
      <c r="AN116">
        <v>0</v>
      </c>
      <c r="AO116">
        <v>0</v>
      </c>
      <c r="AP116">
        <v>280</v>
      </c>
      <c r="AR116" t="str">
        <f t="shared" si="4"/>
        <v>0000000000000</v>
      </c>
      <c r="AT116" t="str">
        <f>T("9791137601253")</f>
        <v>9791137601253</v>
      </c>
      <c r="AV116" t="str">
        <f t="shared" si="5"/>
        <v>웹툰 &gt; 해외 순정</v>
      </c>
    </row>
    <row r="117" spans="1:48" x14ac:dyDescent="0.4">
      <c r="A117">
        <v>4421000916</v>
      </c>
      <c r="B117">
        <v>4421001246</v>
      </c>
      <c r="C117" t="str">
        <f>T("별빛 아래 우리 57화")</f>
        <v>별빛 아래 우리 57화</v>
      </c>
      <c r="D117" t="str">
        <f>T("57")</f>
        <v>57</v>
      </c>
      <c r="E117" t="str">
        <f>T("건일")</f>
        <v>건일</v>
      </c>
      <c r="G117" t="str">
        <f>T("건일")</f>
        <v>건일</v>
      </c>
      <c r="H117" t="str">
        <f t="shared" si="6"/>
        <v>스토리위즈</v>
      </c>
      <c r="I117" t="str">
        <f>T("별빛 아래 우리")</f>
        <v>별빛 아래 우리</v>
      </c>
      <c r="J117">
        <v>400</v>
      </c>
      <c r="K117">
        <v>400</v>
      </c>
      <c r="L117">
        <v>1</v>
      </c>
      <c r="M117">
        <v>0</v>
      </c>
      <c r="N117">
        <v>1800</v>
      </c>
      <c r="O117">
        <v>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2200</v>
      </c>
      <c r="AH117">
        <v>10</v>
      </c>
      <c r="AI117">
        <v>0</v>
      </c>
      <c r="AJ117">
        <v>0</v>
      </c>
      <c r="AK117">
        <v>2000</v>
      </c>
      <c r="AL117">
        <v>0</v>
      </c>
      <c r="AM117">
        <v>200</v>
      </c>
      <c r="AN117">
        <v>0</v>
      </c>
      <c r="AO117">
        <v>0</v>
      </c>
      <c r="AP117">
        <v>1540</v>
      </c>
      <c r="AR117" t="str">
        <f t="shared" si="4"/>
        <v>0000000000000</v>
      </c>
      <c r="AT117" t="str">
        <f>T("9791137601413")</f>
        <v>9791137601413</v>
      </c>
      <c r="AV117" t="str">
        <f t="shared" si="5"/>
        <v>웹툰 &gt; 해외 순정</v>
      </c>
    </row>
    <row r="118" spans="1:48" x14ac:dyDescent="0.4">
      <c r="A118">
        <v>4421000198</v>
      </c>
      <c r="B118">
        <v>4421000224</v>
      </c>
      <c r="C118" t="str">
        <f>T("공주전쟁 27화")</f>
        <v>공주전쟁 27화</v>
      </c>
      <c r="D118" t="str">
        <f>T("27")</f>
        <v>27</v>
      </c>
      <c r="E118" t="str">
        <f>T("Hujing")</f>
        <v>Hujing</v>
      </c>
      <c r="G118" t="str">
        <f>T("Luojie")</f>
        <v>Luojie</v>
      </c>
      <c r="H118" t="str">
        <f t="shared" si="6"/>
        <v>스토리위즈</v>
      </c>
      <c r="I118" t="str">
        <f>T("공주전쟁")</f>
        <v>공주전쟁</v>
      </c>
      <c r="J118">
        <v>400</v>
      </c>
      <c r="K118">
        <v>400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400</v>
      </c>
      <c r="AH118">
        <v>1</v>
      </c>
      <c r="AI118">
        <v>0</v>
      </c>
      <c r="AJ118">
        <v>0</v>
      </c>
      <c r="AK118">
        <v>400</v>
      </c>
      <c r="AL118">
        <v>0</v>
      </c>
      <c r="AM118">
        <v>0</v>
      </c>
      <c r="AN118">
        <v>0</v>
      </c>
      <c r="AO118">
        <v>0</v>
      </c>
      <c r="AP118">
        <v>280</v>
      </c>
      <c r="AR118" t="str">
        <f t="shared" si="4"/>
        <v>0000000000000</v>
      </c>
      <c r="AT118" t="str">
        <f>T("9791166069666")</f>
        <v>9791166069666</v>
      </c>
      <c r="AV118" t="str">
        <f t="shared" si="5"/>
        <v>웹툰 &gt; 해외 순정</v>
      </c>
    </row>
    <row r="119" spans="1:48" x14ac:dyDescent="0.4">
      <c r="A119">
        <v>4421000198</v>
      </c>
      <c r="B119">
        <v>4421001290</v>
      </c>
      <c r="C119" t="str">
        <f>T("공주전쟁 88화")</f>
        <v>공주전쟁 88화</v>
      </c>
      <c r="D119" t="str">
        <f>T("88")</f>
        <v>88</v>
      </c>
      <c r="E119" t="str">
        <f>T("Hujing")</f>
        <v>Hujing</v>
      </c>
      <c r="G119" t="str">
        <f>T("Luojie")</f>
        <v>Luojie</v>
      </c>
      <c r="H119" t="str">
        <f t="shared" si="6"/>
        <v>스토리위즈</v>
      </c>
      <c r="I119" t="str">
        <f>T("공주전쟁")</f>
        <v>공주전쟁</v>
      </c>
      <c r="J119">
        <v>400</v>
      </c>
      <c r="K119">
        <v>400</v>
      </c>
      <c r="L119">
        <v>1</v>
      </c>
      <c r="M119">
        <v>0</v>
      </c>
      <c r="N119">
        <v>200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600</v>
      </c>
      <c r="AH119">
        <v>2</v>
      </c>
      <c r="AI119">
        <v>0</v>
      </c>
      <c r="AJ119">
        <v>0</v>
      </c>
      <c r="AK119">
        <v>600</v>
      </c>
      <c r="AL119">
        <v>0</v>
      </c>
      <c r="AM119">
        <v>0</v>
      </c>
      <c r="AN119">
        <v>0</v>
      </c>
      <c r="AO119">
        <v>0</v>
      </c>
      <c r="AP119">
        <v>420</v>
      </c>
      <c r="AR119" t="str">
        <f t="shared" si="4"/>
        <v>0000000000000</v>
      </c>
      <c r="AT119" t="str">
        <f>T("9791166069666")</f>
        <v>9791166069666</v>
      </c>
      <c r="AV119" t="str">
        <f t="shared" si="5"/>
        <v>웹툰 &gt; 해외 순정</v>
      </c>
    </row>
    <row r="120" spans="1:48" x14ac:dyDescent="0.4">
      <c r="A120">
        <v>4421000887</v>
      </c>
      <c r="B120">
        <v>4421000907</v>
      </c>
      <c r="C120" t="str">
        <f>T("폭군의 눈물 21화")</f>
        <v>폭군의 눈물 21화</v>
      </c>
      <c r="D120" t="str">
        <f>T("21")</f>
        <v>21</v>
      </c>
      <c r="E120" t="str">
        <f>T("Ice×FANFAN COMIC")</f>
        <v>Ice×FANFAN COMIC</v>
      </c>
      <c r="G120" t="str">
        <f>T("Ice×FANFAN COMIC")</f>
        <v>Ice×FANFAN COMIC</v>
      </c>
      <c r="H120" t="str">
        <f t="shared" si="6"/>
        <v>스토리위즈</v>
      </c>
      <c r="I120" t="str">
        <f>T("폭군의 눈물")</f>
        <v>폭군의 눈물</v>
      </c>
      <c r="J120">
        <v>400</v>
      </c>
      <c r="K120">
        <v>400</v>
      </c>
      <c r="L120">
        <v>1</v>
      </c>
      <c r="M120">
        <v>0</v>
      </c>
      <c r="N120">
        <v>400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800</v>
      </c>
      <c r="AH120">
        <v>3</v>
      </c>
      <c r="AI120">
        <v>0</v>
      </c>
      <c r="AJ120">
        <v>0</v>
      </c>
      <c r="AK120">
        <v>400</v>
      </c>
      <c r="AL120">
        <v>0</v>
      </c>
      <c r="AM120">
        <v>400</v>
      </c>
      <c r="AN120">
        <v>0</v>
      </c>
      <c r="AO120">
        <v>0</v>
      </c>
      <c r="AP120">
        <v>560</v>
      </c>
      <c r="AR120" t="str">
        <f t="shared" si="4"/>
        <v>0000000000000</v>
      </c>
      <c r="AT120" t="str">
        <f>T("9791137601291")</f>
        <v>9791137601291</v>
      </c>
      <c r="AV120" t="str">
        <f t="shared" si="5"/>
        <v>웹툰 &gt; 해외 순정</v>
      </c>
    </row>
    <row r="121" spans="1:48" x14ac:dyDescent="0.4">
      <c r="A121">
        <v>4421000916</v>
      </c>
      <c r="B121">
        <v>4421001232</v>
      </c>
      <c r="C121" t="str">
        <f>T("별빛 아래 우리 54화")</f>
        <v>별빛 아래 우리 54화</v>
      </c>
      <c r="D121" t="str">
        <f>T("54")</f>
        <v>54</v>
      </c>
      <c r="E121" t="str">
        <f>T("건일")</f>
        <v>건일</v>
      </c>
      <c r="G121" t="str">
        <f>T("건일")</f>
        <v>건일</v>
      </c>
      <c r="H121" t="str">
        <f t="shared" si="6"/>
        <v>스토리위즈</v>
      </c>
      <c r="I121" t="str">
        <f>T("별빛 아래 우리")</f>
        <v>별빛 아래 우리</v>
      </c>
      <c r="J121">
        <v>400</v>
      </c>
      <c r="K121">
        <v>400</v>
      </c>
      <c r="L121">
        <v>1</v>
      </c>
      <c r="M121">
        <v>0</v>
      </c>
      <c r="N121">
        <v>1400</v>
      </c>
      <c r="O121">
        <v>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1800</v>
      </c>
      <c r="AH121">
        <v>8</v>
      </c>
      <c r="AI121">
        <v>0</v>
      </c>
      <c r="AJ121">
        <v>0</v>
      </c>
      <c r="AK121">
        <v>1600</v>
      </c>
      <c r="AL121">
        <v>0</v>
      </c>
      <c r="AM121">
        <v>200</v>
      </c>
      <c r="AN121">
        <v>0</v>
      </c>
      <c r="AO121">
        <v>0</v>
      </c>
      <c r="AP121">
        <v>1260</v>
      </c>
      <c r="AR121" t="str">
        <f t="shared" si="4"/>
        <v>0000000000000</v>
      </c>
      <c r="AT121" t="str">
        <f>T("9791137601413")</f>
        <v>9791137601413</v>
      </c>
      <c r="AV121" t="str">
        <f t="shared" si="5"/>
        <v>웹툰 &gt; 해외 순정</v>
      </c>
    </row>
    <row r="122" spans="1:48" x14ac:dyDescent="0.4">
      <c r="A122">
        <v>4421000916</v>
      </c>
      <c r="B122">
        <v>4421001166</v>
      </c>
      <c r="C122" t="str">
        <f>T("별빛 아래 우리 35화")</f>
        <v>별빛 아래 우리 35화</v>
      </c>
      <c r="D122" t="str">
        <f>T("35")</f>
        <v>35</v>
      </c>
      <c r="E122" t="str">
        <f>T("건일")</f>
        <v>건일</v>
      </c>
      <c r="G122" t="str">
        <f>T("건일")</f>
        <v>건일</v>
      </c>
      <c r="H122" t="str">
        <f t="shared" si="6"/>
        <v>스토리위즈</v>
      </c>
      <c r="I122" t="str">
        <f>T("별빛 아래 우리")</f>
        <v>별빛 아래 우리</v>
      </c>
      <c r="J122">
        <v>400</v>
      </c>
      <c r="K122">
        <v>400</v>
      </c>
      <c r="L122">
        <v>1</v>
      </c>
      <c r="M122">
        <v>0</v>
      </c>
      <c r="N122">
        <v>1400</v>
      </c>
      <c r="O122">
        <v>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1800</v>
      </c>
      <c r="AH122">
        <v>8</v>
      </c>
      <c r="AI122">
        <v>0</v>
      </c>
      <c r="AJ122">
        <v>0</v>
      </c>
      <c r="AK122">
        <v>1600</v>
      </c>
      <c r="AL122">
        <v>0</v>
      </c>
      <c r="AM122">
        <v>200</v>
      </c>
      <c r="AN122">
        <v>0</v>
      </c>
      <c r="AO122">
        <v>0</v>
      </c>
      <c r="AP122">
        <v>1260</v>
      </c>
      <c r="AR122" t="str">
        <f t="shared" ref="AR122:AR185" si="7">T("0000000000000")</f>
        <v>0000000000000</v>
      </c>
      <c r="AT122" t="str">
        <f>T("9791137601413")</f>
        <v>9791137601413</v>
      </c>
      <c r="AV122" t="str">
        <f t="shared" si="5"/>
        <v>웹툰 &gt; 해외 순정</v>
      </c>
    </row>
    <row r="123" spans="1:48" x14ac:dyDescent="0.4">
      <c r="A123">
        <v>4421000198</v>
      </c>
      <c r="B123">
        <v>4421000217</v>
      </c>
      <c r="C123" t="str">
        <f>T("공주전쟁 20화")</f>
        <v>공주전쟁 20화</v>
      </c>
      <c r="D123" t="str">
        <f>T("20")</f>
        <v>20</v>
      </c>
      <c r="E123" t="str">
        <f>T("Hujing")</f>
        <v>Hujing</v>
      </c>
      <c r="G123" t="str">
        <f>T("Luojie")</f>
        <v>Luojie</v>
      </c>
      <c r="H123" t="str">
        <f t="shared" si="6"/>
        <v>스토리위즈</v>
      </c>
      <c r="I123" t="str">
        <f>T("공주전쟁")</f>
        <v>공주전쟁</v>
      </c>
      <c r="J123">
        <v>400</v>
      </c>
      <c r="K123">
        <v>400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400</v>
      </c>
      <c r="AH123">
        <v>1</v>
      </c>
      <c r="AI123">
        <v>0</v>
      </c>
      <c r="AJ123">
        <v>0</v>
      </c>
      <c r="AK123">
        <v>400</v>
      </c>
      <c r="AL123">
        <v>0</v>
      </c>
      <c r="AM123">
        <v>0</v>
      </c>
      <c r="AN123">
        <v>0</v>
      </c>
      <c r="AO123">
        <v>0</v>
      </c>
      <c r="AP123">
        <v>280</v>
      </c>
      <c r="AR123" t="str">
        <f t="shared" si="7"/>
        <v>0000000000000</v>
      </c>
      <c r="AT123" t="str">
        <f>T("9791166069666")</f>
        <v>9791166069666</v>
      </c>
      <c r="AV123" t="str">
        <f t="shared" si="5"/>
        <v>웹툰 &gt; 해외 순정</v>
      </c>
    </row>
    <row r="124" spans="1:48" x14ac:dyDescent="0.4">
      <c r="A124">
        <v>4421000887</v>
      </c>
      <c r="B124">
        <v>4421001283</v>
      </c>
      <c r="C124" t="str">
        <f>T("폭군의 눈물 53화")</f>
        <v>폭군의 눈물 53화</v>
      </c>
      <c r="D124" t="str">
        <f>T("53")</f>
        <v>53</v>
      </c>
      <c r="E124" t="str">
        <f>T("Ice×FANFAN COMIC")</f>
        <v>Ice×FANFAN COMIC</v>
      </c>
      <c r="G124" t="str">
        <f>T("Ice×FANFAN COMIC")</f>
        <v>Ice×FANFAN COMIC</v>
      </c>
      <c r="H124" t="str">
        <f t="shared" si="6"/>
        <v>스토리위즈</v>
      </c>
      <c r="I124" t="str">
        <f>T("폭군의 눈물")</f>
        <v>폭군의 눈물</v>
      </c>
      <c r="J124">
        <v>400</v>
      </c>
      <c r="K124">
        <v>400</v>
      </c>
      <c r="L124">
        <v>1</v>
      </c>
      <c r="M124">
        <v>0</v>
      </c>
      <c r="N124">
        <v>600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1000</v>
      </c>
      <c r="AH124">
        <v>4</v>
      </c>
      <c r="AI124">
        <v>0</v>
      </c>
      <c r="AJ124">
        <v>0</v>
      </c>
      <c r="AK124">
        <v>600</v>
      </c>
      <c r="AL124">
        <v>0</v>
      </c>
      <c r="AM124">
        <v>400</v>
      </c>
      <c r="AN124">
        <v>0</v>
      </c>
      <c r="AO124">
        <v>0</v>
      </c>
      <c r="AP124">
        <v>700</v>
      </c>
      <c r="AR124" t="str">
        <f t="shared" si="7"/>
        <v>0000000000000</v>
      </c>
      <c r="AT124" t="str">
        <f>T("9791137601291")</f>
        <v>9791137601291</v>
      </c>
      <c r="AV124" t="str">
        <f t="shared" si="5"/>
        <v>웹툰 &gt; 해외 순정</v>
      </c>
    </row>
    <row r="125" spans="1:48" x14ac:dyDescent="0.4">
      <c r="A125">
        <v>4421000887</v>
      </c>
      <c r="B125">
        <v>4421000900</v>
      </c>
      <c r="C125" t="str">
        <f>T("폭군의 눈물 14화")</f>
        <v>폭군의 눈물 14화</v>
      </c>
      <c r="D125" t="str">
        <f>T("14")</f>
        <v>14</v>
      </c>
      <c r="E125" t="str">
        <f>T("Ice×FANFAN COMIC")</f>
        <v>Ice×FANFAN COMIC</v>
      </c>
      <c r="G125" t="str">
        <f>T("Ice×FANFAN COMIC")</f>
        <v>Ice×FANFAN COMIC</v>
      </c>
      <c r="H125" t="str">
        <f t="shared" si="6"/>
        <v>스토리위즈</v>
      </c>
      <c r="I125" t="str">
        <f>T("폭군의 눈물")</f>
        <v>폭군의 눈물</v>
      </c>
      <c r="J125">
        <v>400</v>
      </c>
      <c r="K125">
        <v>400</v>
      </c>
      <c r="L125">
        <v>1</v>
      </c>
      <c r="M125">
        <v>0</v>
      </c>
      <c r="N125">
        <v>400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800</v>
      </c>
      <c r="AH125">
        <v>3</v>
      </c>
      <c r="AI125">
        <v>0</v>
      </c>
      <c r="AJ125">
        <v>0</v>
      </c>
      <c r="AK125">
        <v>400</v>
      </c>
      <c r="AL125">
        <v>0</v>
      </c>
      <c r="AM125">
        <v>400</v>
      </c>
      <c r="AN125">
        <v>0</v>
      </c>
      <c r="AO125">
        <v>0</v>
      </c>
      <c r="AP125">
        <v>560</v>
      </c>
      <c r="AR125" t="str">
        <f t="shared" si="7"/>
        <v>0000000000000</v>
      </c>
      <c r="AT125" t="str">
        <f>T("9791137601291")</f>
        <v>9791137601291</v>
      </c>
      <c r="AV125" t="str">
        <f t="shared" ref="AV125:AV142" si="8">T("웹툰 &gt; 해외 순정")</f>
        <v>웹툰 &gt; 해외 순정</v>
      </c>
    </row>
    <row r="126" spans="1:48" x14ac:dyDescent="0.4">
      <c r="A126">
        <v>4421000198</v>
      </c>
      <c r="B126">
        <v>4421000855</v>
      </c>
      <c r="C126" t="str">
        <f>T("공주전쟁 56화")</f>
        <v>공주전쟁 56화</v>
      </c>
      <c r="D126" t="str">
        <f>T("56")</f>
        <v>56</v>
      </c>
      <c r="E126" t="str">
        <f>T("Hujing")</f>
        <v>Hujing</v>
      </c>
      <c r="G126" t="str">
        <f>T("Luojie")</f>
        <v>Luojie</v>
      </c>
      <c r="H126" t="str">
        <f t="shared" si="6"/>
        <v>스토리위즈</v>
      </c>
      <c r="I126" t="str">
        <f>T("공주전쟁")</f>
        <v>공주전쟁</v>
      </c>
      <c r="J126">
        <v>400</v>
      </c>
      <c r="K126">
        <v>400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400</v>
      </c>
      <c r="AH126">
        <v>1</v>
      </c>
      <c r="AI126">
        <v>0</v>
      </c>
      <c r="AJ126">
        <v>0</v>
      </c>
      <c r="AK126">
        <v>400</v>
      </c>
      <c r="AL126">
        <v>0</v>
      </c>
      <c r="AM126">
        <v>0</v>
      </c>
      <c r="AN126">
        <v>0</v>
      </c>
      <c r="AO126">
        <v>0</v>
      </c>
      <c r="AP126">
        <v>280</v>
      </c>
      <c r="AR126" t="str">
        <f t="shared" si="7"/>
        <v>0000000000000</v>
      </c>
      <c r="AT126" t="str">
        <f>T("9791166069666")</f>
        <v>9791166069666</v>
      </c>
      <c r="AV126" t="str">
        <f t="shared" si="8"/>
        <v>웹툰 &gt; 해외 순정</v>
      </c>
    </row>
    <row r="127" spans="1:48" x14ac:dyDescent="0.4">
      <c r="A127">
        <v>4421000198</v>
      </c>
      <c r="B127">
        <v>4421001225</v>
      </c>
      <c r="C127" t="str">
        <f>T("공주전쟁 73화")</f>
        <v>공주전쟁 73화</v>
      </c>
      <c r="D127" t="str">
        <f>T("73")</f>
        <v>73</v>
      </c>
      <c r="E127" t="str">
        <f>T("Hujing")</f>
        <v>Hujing</v>
      </c>
      <c r="G127" t="str">
        <f>T("Luojie")</f>
        <v>Luojie</v>
      </c>
      <c r="H127" t="str">
        <f t="shared" si="6"/>
        <v>스토리위즈</v>
      </c>
      <c r="I127" t="str">
        <f>T("공주전쟁")</f>
        <v>공주전쟁</v>
      </c>
      <c r="J127">
        <v>400</v>
      </c>
      <c r="K127">
        <v>400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400</v>
      </c>
      <c r="AH127">
        <v>1</v>
      </c>
      <c r="AI127">
        <v>0</v>
      </c>
      <c r="AJ127">
        <v>0</v>
      </c>
      <c r="AK127">
        <v>400</v>
      </c>
      <c r="AL127">
        <v>0</v>
      </c>
      <c r="AM127">
        <v>0</v>
      </c>
      <c r="AN127">
        <v>0</v>
      </c>
      <c r="AO127">
        <v>0</v>
      </c>
      <c r="AP127">
        <v>280</v>
      </c>
      <c r="AR127" t="str">
        <f t="shared" si="7"/>
        <v>0000000000000</v>
      </c>
      <c r="AT127" t="str">
        <f>T("9791166069666")</f>
        <v>9791166069666</v>
      </c>
      <c r="AV127" t="str">
        <f t="shared" si="8"/>
        <v>웹툰 &gt; 해외 순정</v>
      </c>
    </row>
    <row r="128" spans="1:48" x14ac:dyDescent="0.4">
      <c r="A128">
        <v>4421000198</v>
      </c>
      <c r="B128">
        <v>4421000210</v>
      </c>
      <c r="C128" t="str">
        <f>T("공주전쟁 13화")</f>
        <v>공주전쟁 13화</v>
      </c>
      <c r="D128" t="str">
        <f>T("13")</f>
        <v>13</v>
      </c>
      <c r="E128" t="str">
        <f>T("Hujing")</f>
        <v>Hujing</v>
      </c>
      <c r="G128" t="str">
        <f>T("Luojie")</f>
        <v>Luojie</v>
      </c>
      <c r="H128" t="str">
        <f t="shared" si="6"/>
        <v>스토리위즈</v>
      </c>
      <c r="I128" t="str">
        <f>T("공주전쟁")</f>
        <v>공주전쟁</v>
      </c>
      <c r="J128">
        <v>400</v>
      </c>
      <c r="K128">
        <v>400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400</v>
      </c>
      <c r="AH128">
        <v>1</v>
      </c>
      <c r="AI128">
        <v>0</v>
      </c>
      <c r="AJ128">
        <v>0</v>
      </c>
      <c r="AK128">
        <v>400</v>
      </c>
      <c r="AL128">
        <v>0</v>
      </c>
      <c r="AM128">
        <v>0</v>
      </c>
      <c r="AN128">
        <v>0</v>
      </c>
      <c r="AO128">
        <v>0</v>
      </c>
      <c r="AP128">
        <v>280</v>
      </c>
      <c r="AR128" t="str">
        <f t="shared" si="7"/>
        <v>0000000000000</v>
      </c>
      <c r="AT128" t="str">
        <f>T("9791166069666")</f>
        <v>9791166069666</v>
      </c>
      <c r="AV128" t="str">
        <f t="shared" si="8"/>
        <v>웹툰 &gt; 해외 순정</v>
      </c>
    </row>
    <row r="129" spans="1:48" x14ac:dyDescent="0.4">
      <c r="A129">
        <v>4421000887</v>
      </c>
      <c r="B129">
        <v>4421000893</v>
      </c>
      <c r="C129" t="str">
        <f>T("폭군의 눈물 7화")</f>
        <v>폭군의 눈물 7화</v>
      </c>
      <c r="D129" t="str">
        <f>T("7")</f>
        <v>7</v>
      </c>
      <c r="E129" t="str">
        <f>T("Ice×FANFAN COMIC")</f>
        <v>Ice×FANFAN COMIC</v>
      </c>
      <c r="G129" t="str">
        <f>T("Ice×FANFAN COMIC")</f>
        <v>Ice×FANFAN COMIC</v>
      </c>
      <c r="H129" t="str">
        <f t="shared" si="6"/>
        <v>스토리위즈</v>
      </c>
      <c r="I129" t="str">
        <f>T("폭군의 눈물")</f>
        <v>폭군의 눈물</v>
      </c>
      <c r="J129">
        <v>400</v>
      </c>
      <c r="K129">
        <v>400</v>
      </c>
      <c r="L129">
        <v>1</v>
      </c>
      <c r="M129">
        <v>0</v>
      </c>
      <c r="N129">
        <v>600</v>
      </c>
      <c r="O129">
        <v>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1000</v>
      </c>
      <c r="AH129">
        <v>4</v>
      </c>
      <c r="AI129">
        <v>0</v>
      </c>
      <c r="AJ129">
        <v>0</v>
      </c>
      <c r="AK129">
        <v>600</v>
      </c>
      <c r="AL129">
        <v>0</v>
      </c>
      <c r="AM129">
        <v>400</v>
      </c>
      <c r="AN129">
        <v>0</v>
      </c>
      <c r="AO129">
        <v>0</v>
      </c>
      <c r="AP129">
        <v>700</v>
      </c>
      <c r="AR129" t="str">
        <f t="shared" si="7"/>
        <v>0000000000000</v>
      </c>
      <c r="AT129" t="str">
        <f>T("9791137601291")</f>
        <v>9791137601291</v>
      </c>
      <c r="AV129" t="str">
        <f t="shared" si="8"/>
        <v>웹툰 &gt; 해외 순정</v>
      </c>
    </row>
    <row r="130" spans="1:48" x14ac:dyDescent="0.4">
      <c r="A130">
        <v>4421000198</v>
      </c>
      <c r="B130">
        <v>4421000242</v>
      </c>
      <c r="C130" t="str">
        <f>T("공주전쟁 45화")</f>
        <v>공주전쟁 45화</v>
      </c>
      <c r="D130" t="str">
        <f>T("45")</f>
        <v>45</v>
      </c>
      <c r="E130" t="str">
        <f>T("Hujing")</f>
        <v>Hujing</v>
      </c>
      <c r="G130" t="str">
        <f>T("Luojie")</f>
        <v>Luojie</v>
      </c>
      <c r="H130" t="str">
        <f t="shared" ref="H130:H193" si="9">T("스토리위즈")</f>
        <v>스토리위즈</v>
      </c>
      <c r="I130" t="str">
        <f>T("공주전쟁")</f>
        <v>공주전쟁</v>
      </c>
      <c r="J130">
        <v>400</v>
      </c>
      <c r="K130">
        <v>400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400</v>
      </c>
      <c r="AH130">
        <v>1</v>
      </c>
      <c r="AI130">
        <v>0</v>
      </c>
      <c r="AJ130">
        <v>0</v>
      </c>
      <c r="AK130">
        <v>400</v>
      </c>
      <c r="AL130">
        <v>0</v>
      </c>
      <c r="AM130">
        <v>0</v>
      </c>
      <c r="AN130">
        <v>0</v>
      </c>
      <c r="AO130">
        <v>0</v>
      </c>
      <c r="AP130">
        <v>280</v>
      </c>
      <c r="AR130" t="str">
        <f t="shared" si="7"/>
        <v>0000000000000</v>
      </c>
      <c r="AT130" t="str">
        <f>T("9791166069666")</f>
        <v>9791166069666</v>
      </c>
      <c r="AV130" t="str">
        <f t="shared" si="8"/>
        <v>웹툰 &gt; 해외 순정</v>
      </c>
    </row>
    <row r="131" spans="1:48" x14ac:dyDescent="0.4">
      <c r="A131">
        <v>4421000916</v>
      </c>
      <c r="B131">
        <v>4421000981</v>
      </c>
      <c r="C131" t="str">
        <f>T("별빛 아래 우리 32화")</f>
        <v>별빛 아래 우리 32화</v>
      </c>
      <c r="D131" t="str">
        <f>T("32")</f>
        <v>32</v>
      </c>
      <c r="E131" t="str">
        <f>T("건일")</f>
        <v>건일</v>
      </c>
      <c r="G131" t="str">
        <f>T("건일")</f>
        <v>건일</v>
      </c>
      <c r="H131" t="str">
        <f t="shared" si="9"/>
        <v>스토리위즈</v>
      </c>
      <c r="I131" t="str">
        <f>T("별빛 아래 우리")</f>
        <v>별빛 아래 우리</v>
      </c>
      <c r="J131">
        <v>400</v>
      </c>
      <c r="K131">
        <v>400</v>
      </c>
      <c r="L131">
        <v>1</v>
      </c>
      <c r="M131">
        <v>0</v>
      </c>
      <c r="N131">
        <v>1400</v>
      </c>
      <c r="O131">
        <v>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1800</v>
      </c>
      <c r="AH131">
        <v>8</v>
      </c>
      <c r="AI131">
        <v>0</v>
      </c>
      <c r="AJ131">
        <v>0</v>
      </c>
      <c r="AK131">
        <v>1600</v>
      </c>
      <c r="AL131">
        <v>0</v>
      </c>
      <c r="AM131">
        <v>200</v>
      </c>
      <c r="AN131">
        <v>0</v>
      </c>
      <c r="AO131">
        <v>0</v>
      </c>
      <c r="AP131">
        <v>1260</v>
      </c>
      <c r="AR131" t="str">
        <f t="shared" si="7"/>
        <v>0000000000000</v>
      </c>
      <c r="AT131" t="str">
        <f>T("9791137601413")</f>
        <v>9791137601413</v>
      </c>
      <c r="AV131" t="str">
        <f t="shared" si="8"/>
        <v>웹툰 &gt; 해외 순정</v>
      </c>
    </row>
    <row r="132" spans="1:48" x14ac:dyDescent="0.4">
      <c r="A132">
        <v>4421000198</v>
      </c>
      <c r="B132">
        <v>4421000203</v>
      </c>
      <c r="C132" t="str">
        <f>T("공주전쟁 6화")</f>
        <v>공주전쟁 6화</v>
      </c>
      <c r="D132" t="str">
        <f>T("6")</f>
        <v>6</v>
      </c>
      <c r="E132" t="str">
        <f>T("Hujing")</f>
        <v>Hujing</v>
      </c>
      <c r="G132" t="str">
        <f>T("Luojie")</f>
        <v>Luojie</v>
      </c>
      <c r="H132" t="str">
        <f t="shared" si="9"/>
        <v>스토리위즈</v>
      </c>
      <c r="I132" t="str">
        <f>T("공주전쟁")</f>
        <v>공주전쟁</v>
      </c>
      <c r="J132">
        <v>400</v>
      </c>
      <c r="K132">
        <v>400</v>
      </c>
      <c r="L132">
        <v>1</v>
      </c>
      <c r="M132">
        <v>0</v>
      </c>
      <c r="N132">
        <v>200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600</v>
      </c>
      <c r="AH132">
        <v>2</v>
      </c>
      <c r="AI132">
        <v>0</v>
      </c>
      <c r="AJ132">
        <v>0</v>
      </c>
      <c r="AK132">
        <v>600</v>
      </c>
      <c r="AL132">
        <v>0</v>
      </c>
      <c r="AM132">
        <v>0</v>
      </c>
      <c r="AN132">
        <v>0</v>
      </c>
      <c r="AO132">
        <v>0</v>
      </c>
      <c r="AP132">
        <v>420</v>
      </c>
      <c r="AR132" t="str">
        <f t="shared" si="7"/>
        <v>0000000000000</v>
      </c>
      <c r="AT132" t="str">
        <f>T("9791166069666")</f>
        <v>9791166069666</v>
      </c>
      <c r="AV132" t="str">
        <f t="shared" si="8"/>
        <v>웹툰 &gt; 해외 순정</v>
      </c>
    </row>
    <row r="133" spans="1:48" x14ac:dyDescent="0.4">
      <c r="A133">
        <v>4421000916</v>
      </c>
      <c r="B133">
        <v>4421001197</v>
      </c>
      <c r="C133" t="str">
        <f>T("별빛 아래 우리 43화")</f>
        <v>별빛 아래 우리 43화</v>
      </c>
      <c r="D133" t="str">
        <f>T("43")</f>
        <v>43</v>
      </c>
      <c r="E133" t="str">
        <f>T("건일")</f>
        <v>건일</v>
      </c>
      <c r="G133" t="str">
        <f>T("건일")</f>
        <v>건일</v>
      </c>
      <c r="H133" t="str">
        <f t="shared" si="9"/>
        <v>스토리위즈</v>
      </c>
      <c r="I133" t="str">
        <f>T("별빛 아래 우리")</f>
        <v>별빛 아래 우리</v>
      </c>
      <c r="J133">
        <v>400</v>
      </c>
      <c r="K133">
        <v>400</v>
      </c>
      <c r="L133">
        <v>1</v>
      </c>
      <c r="M133">
        <v>0</v>
      </c>
      <c r="N133">
        <v>1600</v>
      </c>
      <c r="O133">
        <v>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2000</v>
      </c>
      <c r="AH133">
        <v>9</v>
      </c>
      <c r="AI133">
        <v>0</v>
      </c>
      <c r="AJ133">
        <v>0</v>
      </c>
      <c r="AK133">
        <v>1800</v>
      </c>
      <c r="AL133">
        <v>0</v>
      </c>
      <c r="AM133">
        <v>200</v>
      </c>
      <c r="AN133">
        <v>0</v>
      </c>
      <c r="AO133">
        <v>0</v>
      </c>
      <c r="AP133">
        <v>1400</v>
      </c>
      <c r="AR133" t="str">
        <f t="shared" si="7"/>
        <v>0000000000000</v>
      </c>
      <c r="AT133" t="str">
        <f>T("9791137601413")</f>
        <v>9791137601413</v>
      </c>
      <c r="AV133" t="str">
        <f t="shared" si="8"/>
        <v>웹툰 &gt; 해외 순정</v>
      </c>
    </row>
    <row r="134" spans="1:48" x14ac:dyDescent="0.4">
      <c r="A134">
        <v>4421000198</v>
      </c>
      <c r="B134">
        <v>4421000235</v>
      </c>
      <c r="C134" t="str">
        <f>T("공주전쟁 38화")</f>
        <v>공주전쟁 38화</v>
      </c>
      <c r="D134" t="str">
        <f>T("38")</f>
        <v>38</v>
      </c>
      <c r="E134" t="str">
        <f>T("Hujing")</f>
        <v>Hujing</v>
      </c>
      <c r="G134" t="str">
        <f>T("Luojie")</f>
        <v>Luojie</v>
      </c>
      <c r="H134" t="str">
        <f t="shared" si="9"/>
        <v>스토리위즈</v>
      </c>
      <c r="I134" t="str">
        <f>T("공주전쟁")</f>
        <v>공주전쟁</v>
      </c>
      <c r="J134">
        <v>400</v>
      </c>
      <c r="K134">
        <v>400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400</v>
      </c>
      <c r="AH134">
        <v>1</v>
      </c>
      <c r="AI134">
        <v>0</v>
      </c>
      <c r="AJ134">
        <v>0</v>
      </c>
      <c r="AK134">
        <v>400</v>
      </c>
      <c r="AL134">
        <v>0</v>
      </c>
      <c r="AM134">
        <v>0</v>
      </c>
      <c r="AN134">
        <v>0</v>
      </c>
      <c r="AO134">
        <v>0</v>
      </c>
      <c r="AP134">
        <v>280</v>
      </c>
      <c r="AR134" t="str">
        <f t="shared" si="7"/>
        <v>0000000000000</v>
      </c>
      <c r="AT134" t="str">
        <f>T("9791166069666")</f>
        <v>9791166069666</v>
      </c>
      <c r="AV134" t="str">
        <f t="shared" si="8"/>
        <v>웹툰 &gt; 해외 순정</v>
      </c>
    </row>
    <row r="135" spans="1:48" x14ac:dyDescent="0.4">
      <c r="A135">
        <v>4421000916</v>
      </c>
      <c r="B135">
        <v>4421000918</v>
      </c>
      <c r="C135" t="str">
        <f>T("별빛 아래 우리 3화")</f>
        <v>별빛 아래 우리 3화</v>
      </c>
      <c r="D135" t="str">
        <f>T("3")</f>
        <v>3</v>
      </c>
      <c r="E135" t="str">
        <f>T("건일")</f>
        <v>건일</v>
      </c>
      <c r="G135" t="str">
        <f>T("건일")</f>
        <v>건일</v>
      </c>
      <c r="H135" t="str">
        <f t="shared" si="9"/>
        <v>스토리위즈</v>
      </c>
      <c r="I135" t="str">
        <f>T("별빛 아래 우리")</f>
        <v>별빛 아래 우리</v>
      </c>
      <c r="J135">
        <v>400</v>
      </c>
      <c r="K135">
        <v>400</v>
      </c>
      <c r="L135">
        <v>1</v>
      </c>
      <c r="M135">
        <v>0</v>
      </c>
      <c r="N135">
        <v>0</v>
      </c>
      <c r="O135">
        <v>0</v>
      </c>
      <c r="P135">
        <v>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400</v>
      </c>
      <c r="AH135">
        <v>40</v>
      </c>
      <c r="AI135">
        <v>0</v>
      </c>
      <c r="AJ135">
        <v>0</v>
      </c>
      <c r="AK135">
        <v>400</v>
      </c>
      <c r="AL135">
        <v>0</v>
      </c>
      <c r="AM135">
        <v>0</v>
      </c>
      <c r="AN135">
        <v>0</v>
      </c>
      <c r="AO135">
        <v>0</v>
      </c>
      <c r="AP135">
        <v>280</v>
      </c>
      <c r="AR135" t="str">
        <f t="shared" si="7"/>
        <v>0000000000000</v>
      </c>
      <c r="AT135" t="str">
        <f>T("9791137601413")</f>
        <v>9791137601413</v>
      </c>
      <c r="AV135" t="str">
        <f t="shared" si="8"/>
        <v>웹툰 &gt; 해외 순정</v>
      </c>
    </row>
    <row r="136" spans="1:48" x14ac:dyDescent="0.4">
      <c r="A136">
        <v>4421000887</v>
      </c>
      <c r="B136">
        <v>4421000957</v>
      </c>
      <c r="C136" t="str">
        <f>T("폭군의 눈물 28화")</f>
        <v>폭군의 눈물 28화</v>
      </c>
      <c r="D136" t="str">
        <f>T("28")</f>
        <v>28</v>
      </c>
      <c r="E136" t="str">
        <f>T("Ice×FANFAN COMIC")</f>
        <v>Ice×FANFAN COMIC</v>
      </c>
      <c r="G136" t="str">
        <f>T("Ice×FANFAN COMIC")</f>
        <v>Ice×FANFAN COMIC</v>
      </c>
      <c r="H136" t="str">
        <f t="shared" si="9"/>
        <v>스토리위즈</v>
      </c>
      <c r="I136" t="str">
        <f>T("폭군의 눈물")</f>
        <v>폭군의 눈물</v>
      </c>
      <c r="J136">
        <v>400</v>
      </c>
      <c r="K136">
        <v>400</v>
      </c>
      <c r="L136">
        <v>1</v>
      </c>
      <c r="M136">
        <v>0</v>
      </c>
      <c r="N136">
        <v>400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800</v>
      </c>
      <c r="AH136">
        <v>3</v>
      </c>
      <c r="AI136">
        <v>0</v>
      </c>
      <c r="AJ136">
        <v>0</v>
      </c>
      <c r="AK136">
        <v>400</v>
      </c>
      <c r="AL136">
        <v>0</v>
      </c>
      <c r="AM136">
        <v>400</v>
      </c>
      <c r="AN136">
        <v>0</v>
      </c>
      <c r="AO136">
        <v>0</v>
      </c>
      <c r="AP136">
        <v>560</v>
      </c>
      <c r="AR136" t="str">
        <f t="shared" si="7"/>
        <v>0000000000000</v>
      </c>
      <c r="AT136" t="str">
        <f>T("9791137601291")</f>
        <v>9791137601291</v>
      </c>
      <c r="AV136" t="str">
        <f t="shared" si="8"/>
        <v>웹툰 &gt; 해외 순정</v>
      </c>
    </row>
    <row r="137" spans="1:48" x14ac:dyDescent="0.4">
      <c r="A137">
        <v>4421000198</v>
      </c>
      <c r="B137">
        <v>4421000260</v>
      </c>
      <c r="C137" t="str">
        <f>T("공주전쟁 52화")</f>
        <v>공주전쟁 52화</v>
      </c>
      <c r="D137" t="str">
        <f>T("52")</f>
        <v>52</v>
      </c>
      <c r="E137" t="str">
        <f>T("Hujing")</f>
        <v>Hujing</v>
      </c>
      <c r="G137" t="str">
        <f>T("Luojie")</f>
        <v>Luojie</v>
      </c>
      <c r="H137" t="str">
        <f t="shared" si="9"/>
        <v>스토리위즈</v>
      </c>
      <c r="I137" t="str">
        <f>T("공주전쟁")</f>
        <v>공주전쟁</v>
      </c>
      <c r="J137">
        <v>400</v>
      </c>
      <c r="K137">
        <v>400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400</v>
      </c>
      <c r="AH137">
        <v>1</v>
      </c>
      <c r="AI137">
        <v>0</v>
      </c>
      <c r="AJ137">
        <v>0</v>
      </c>
      <c r="AK137">
        <v>400</v>
      </c>
      <c r="AL137">
        <v>0</v>
      </c>
      <c r="AM137">
        <v>0</v>
      </c>
      <c r="AN137">
        <v>0</v>
      </c>
      <c r="AO137">
        <v>0</v>
      </c>
      <c r="AP137">
        <v>280</v>
      </c>
      <c r="AR137" t="str">
        <f t="shared" si="7"/>
        <v>0000000000000</v>
      </c>
      <c r="AT137" t="str">
        <f>T("9791166069666")</f>
        <v>9791166069666</v>
      </c>
      <c r="AV137" t="str">
        <f t="shared" si="8"/>
        <v>웹툰 &gt; 해외 순정</v>
      </c>
    </row>
    <row r="138" spans="1:48" x14ac:dyDescent="0.4">
      <c r="A138">
        <v>4421000198</v>
      </c>
      <c r="B138">
        <v>4421000950</v>
      </c>
      <c r="C138" t="str">
        <f>T("공주전쟁 62화")</f>
        <v>공주전쟁 62화</v>
      </c>
      <c r="D138" t="str">
        <f>T("62")</f>
        <v>62</v>
      </c>
      <c r="E138" t="str">
        <f>T("Hujing")</f>
        <v>Hujing</v>
      </c>
      <c r="G138" t="str">
        <f>T("Luojie")</f>
        <v>Luojie</v>
      </c>
      <c r="H138" t="str">
        <f t="shared" si="9"/>
        <v>스토리위즈</v>
      </c>
      <c r="I138" t="str">
        <f>T("공주전쟁")</f>
        <v>공주전쟁</v>
      </c>
      <c r="J138">
        <v>400</v>
      </c>
      <c r="K138">
        <v>400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400</v>
      </c>
      <c r="AH138">
        <v>1</v>
      </c>
      <c r="AI138">
        <v>0</v>
      </c>
      <c r="AJ138">
        <v>0</v>
      </c>
      <c r="AK138">
        <v>400</v>
      </c>
      <c r="AL138">
        <v>0</v>
      </c>
      <c r="AM138">
        <v>0</v>
      </c>
      <c r="AN138">
        <v>0</v>
      </c>
      <c r="AO138">
        <v>0</v>
      </c>
      <c r="AP138">
        <v>280</v>
      </c>
      <c r="AR138" t="str">
        <f t="shared" si="7"/>
        <v>0000000000000</v>
      </c>
      <c r="AT138" t="str">
        <f>T("9791166069666")</f>
        <v>9791166069666</v>
      </c>
      <c r="AV138" t="str">
        <f t="shared" si="8"/>
        <v>웹툰 &gt; 해외 순정</v>
      </c>
    </row>
    <row r="139" spans="1:48" x14ac:dyDescent="0.4">
      <c r="A139">
        <v>4421001305</v>
      </c>
      <c r="B139">
        <v>4421001306</v>
      </c>
      <c r="C139" t="str">
        <f>T("악역이지만, 남주는 꼬시지 않아요 2화")</f>
        <v>악역이지만, 남주는 꼬시지 않아요 2화</v>
      </c>
      <c r="D139" t="str">
        <f>T("2")</f>
        <v>2</v>
      </c>
      <c r="E139" t="str">
        <f>T("마북명")</f>
        <v>마북명</v>
      </c>
      <c r="G139" t="str">
        <f>T("kuri")</f>
        <v>kuri</v>
      </c>
      <c r="H139" t="str">
        <f t="shared" si="9"/>
        <v>스토리위즈</v>
      </c>
      <c r="I139" t="str">
        <f>T("악역이지만, 남주는 꼬시지 않아요")</f>
        <v>악역이지만, 남주는 꼬시지 않아요</v>
      </c>
      <c r="J139">
        <v>400</v>
      </c>
      <c r="K139">
        <v>400</v>
      </c>
      <c r="L139">
        <v>1</v>
      </c>
      <c r="M139">
        <v>0</v>
      </c>
      <c r="N139">
        <v>0</v>
      </c>
      <c r="O139">
        <v>0</v>
      </c>
      <c r="P139">
        <v>34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400</v>
      </c>
      <c r="AH139">
        <v>35</v>
      </c>
      <c r="AI139">
        <v>0</v>
      </c>
      <c r="AJ139">
        <v>0</v>
      </c>
      <c r="AK139">
        <v>400</v>
      </c>
      <c r="AL139">
        <v>0</v>
      </c>
      <c r="AM139">
        <v>0</v>
      </c>
      <c r="AN139">
        <v>0</v>
      </c>
      <c r="AO139">
        <v>0</v>
      </c>
      <c r="AP139">
        <v>280</v>
      </c>
      <c r="AR139" t="str">
        <f t="shared" si="7"/>
        <v>0000000000000</v>
      </c>
      <c r="AT139" t="str">
        <f>T("9791137603882")</f>
        <v>9791137603882</v>
      </c>
      <c r="AV139" t="str">
        <f t="shared" si="8"/>
        <v>웹툰 &gt; 해외 순정</v>
      </c>
    </row>
    <row r="140" spans="1:48" x14ac:dyDescent="0.4">
      <c r="A140">
        <v>4421000887</v>
      </c>
      <c r="B140">
        <v>4421001252</v>
      </c>
      <c r="C140" t="str">
        <f>T("폭군의 눈물 46화")</f>
        <v>폭군의 눈물 46화</v>
      </c>
      <c r="D140" t="str">
        <f>T("46")</f>
        <v>46</v>
      </c>
      <c r="E140" t="str">
        <f>T("Ice×FANFAN COMIC")</f>
        <v>Ice×FANFAN COMIC</v>
      </c>
      <c r="G140" t="str">
        <f>T("Ice×FANFAN COMIC")</f>
        <v>Ice×FANFAN COMIC</v>
      </c>
      <c r="H140" t="str">
        <f t="shared" si="9"/>
        <v>스토리위즈</v>
      </c>
      <c r="I140" t="str">
        <f>T("폭군의 눈물")</f>
        <v>폭군의 눈물</v>
      </c>
      <c r="J140">
        <v>400</v>
      </c>
      <c r="K140">
        <v>400</v>
      </c>
      <c r="L140">
        <v>1</v>
      </c>
      <c r="M140">
        <v>0</v>
      </c>
      <c r="N140">
        <v>400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800</v>
      </c>
      <c r="AH140">
        <v>3</v>
      </c>
      <c r="AI140">
        <v>0</v>
      </c>
      <c r="AJ140">
        <v>0</v>
      </c>
      <c r="AK140">
        <v>400</v>
      </c>
      <c r="AL140">
        <v>0</v>
      </c>
      <c r="AM140">
        <v>400</v>
      </c>
      <c r="AN140">
        <v>0</v>
      </c>
      <c r="AO140">
        <v>0</v>
      </c>
      <c r="AP140">
        <v>560</v>
      </c>
      <c r="AR140" t="str">
        <f t="shared" si="7"/>
        <v>0000000000000</v>
      </c>
      <c r="AT140" t="str">
        <f>T("9791137601291")</f>
        <v>9791137601291</v>
      </c>
      <c r="AV140" t="str">
        <f t="shared" si="8"/>
        <v>웹툰 &gt; 해외 순정</v>
      </c>
    </row>
    <row r="141" spans="1:48" x14ac:dyDescent="0.4">
      <c r="A141">
        <v>4421000198</v>
      </c>
      <c r="B141">
        <v>4421001183</v>
      </c>
      <c r="C141" t="str">
        <f>T("공주전쟁 68화")</f>
        <v>공주전쟁 68화</v>
      </c>
      <c r="D141" t="str">
        <f>T("68")</f>
        <v>68</v>
      </c>
      <c r="E141" t="str">
        <f>T("Hujing")</f>
        <v>Hujing</v>
      </c>
      <c r="G141" t="str">
        <f>T("Luojie")</f>
        <v>Luojie</v>
      </c>
      <c r="H141" t="str">
        <f t="shared" si="9"/>
        <v>스토리위즈</v>
      </c>
      <c r="I141" t="str">
        <f>T("공주전쟁")</f>
        <v>공주전쟁</v>
      </c>
      <c r="J141">
        <v>400</v>
      </c>
      <c r="K141">
        <v>400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400</v>
      </c>
      <c r="AH141">
        <v>1</v>
      </c>
      <c r="AI141">
        <v>0</v>
      </c>
      <c r="AJ141">
        <v>0</v>
      </c>
      <c r="AK141">
        <v>400</v>
      </c>
      <c r="AL141">
        <v>0</v>
      </c>
      <c r="AM141">
        <v>0</v>
      </c>
      <c r="AN141">
        <v>0</v>
      </c>
      <c r="AO141">
        <v>0</v>
      </c>
      <c r="AP141">
        <v>280</v>
      </c>
      <c r="AR141" t="str">
        <f t="shared" si="7"/>
        <v>0000000000000</v>
      </c>
      <c r="AT141" t="str">
        <f>T("9791166069666")</f>
        <v>9791166069666</v>
      </c>
      <c r="AV141" t="str">
        <f t="shared" si="8"/>
        <v>웹툰 &gt; 해외 순정</v>
      </c>
    </row>
    <row r="142" spans="1:48" x14ac:dyDescent="0.4">
      <c r="A142">
        <v>4421000198</v>
      </c>
      <c r="B142">
        <v>4421000228</v>
      </c>
      <c r="C142" t="str">
        <f>T("공주전쟁 31화")</f>
        <v>공주전쟁 31화</v>
      </c>
      <c r="D142" t="str">
        <f>T("31")</f>
        <v>31</v>
      </c>
      <c r="E142" t="str">
        <f>T("Hujing")</f>
        <v>Hujing</v>
      </c>
      <c r="G142" t="str">
        <f>T("Luojie")</f>
        <v>Luojie</v>
      </c>
      <c r="H142" t="str">
        <f t="shared" si="9"/>
        <v>스토리위즈</v>
      </c>
      <c r="I142" t="str">
        <f>T("공주전쟁")</f>
        <v>공주전쟁</v>
      </c>
      <c r="J142">
        <v>400</v>
      </c>
      <c r="K142">
        <v>400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400</v>
      </c>
      <c r="AH142">
        <v>1</v>
      </c>
      <c r="AI142">
        <v>0</v>
      </c>
      <c r="AJ142">
        <v>0</v>
      </c>
      <c r="AK142">
        <v>400</v>
      </c>
      <c r="AL142">
        <v>0</v>
      </c>
      <c r="AM142">
        <v>0</v>
      </c>
      <c r="AN142">
        <v>0</v>
      </c>
      <c r="AO142">
        <v>0</v>
      </c>
      <c r="AP142">
        <v>280</v>
      </c>
      <c r="AR142" t="str">
        <f t="shared" si="7"/>
        <v>0000000000000</v>
      </c>
      <c r="AT142" t="str">
        <f>T("9791166069666")</f>
        <v>9791166069666</v>
      </c>
      <c r="AV142" t="str">
        <f t="shared" si="8"/>
        <v>웹툰 &gt; 해외 순정</v>
      </c>
    </row>
    <row r="143" spans="1:48" x14ac:dyDescent="0.4">
      <c r="A143">
        <v>4421001340</v>
      </c>
      <c r="B143">
        <v>4421001348</v>
      </c>
      <c r="C143" t="str">
        <f>T("가출천사 육성계약 9화")</f>
        <v>가출천사 육성계약 9화</v>
      </c>
      <c r="D143" t="str">
        <f>T("9")</f>
        <v>9</v>
      </c>
      <c r="E143" t="str">
        <f>T("Bae.C, IIAKI, 박제후")</f>
        <v>Bae.C, IIAKI, 박제후</v>
      </c>
      <c r="G143" t="str">
        <f>T("Bae.C, 조우")</f>
        <v>Bae.C, 조우</v>
      </c>
      <c r="H143" t="str">
        <f t="shared" si="9"/>
        <v>스토리위즈</v>
      </c>
      <c r="I143" t="str">
        <f>T("가출천사 육성계약")</f>
        <v>가출천사 육성계약</v>
      </c>
      <c r="J143">
        <v>400</v>
      </c>
      <c r="K143">
        <v>400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400</v>
      </c>
      <c r="AH143">
        <v>1</v>
      </c>
      <c r="AI143">
        <v>0</v>
      </c>
      <c r="AJ143">
        <v>0</v>
      </c>
      <c r="AK143">
        <v>400</v>
      </c>
      <c r="AL143">
        <v>0</v>
      </c>
      <c r="AM143">
        <v>0</v>
      </c>
      <c r="AN143">
        <v>0</v>
      </c>
      <c r="AO143">
        <v>0</v>
      </c>
      <c r="AP143">
        <v>280</v>
      </c>
      <c r="AR143" t="str">
        <f t="shared" si="7"/>
        <v>0000000000000</v>
      </c>
      <c r="AT143" t="str">
        <f>T("9791191765663")</f>
        <v>9791191765663</v>
      </c>
      <c r="AV143" t="str">
        <f>T("웹툰 &gt; 판타지/SF")</f>
        <v>웹툰 &gt; 판타지/SF</v>
      </c>
    </row>
    <row r="144" spans="1:48" x14ac:dyDescent="0.4">
      <c r="A144">
        <v>4421000198</v>
      </c>
      <c r="B144">
        <v>4421001243</v>
      </c>
      <c r="C144" t="str">
        <f>T("공주전쟁 77화")</f>
        <v>공주전쟁 77화</v>
      </c>
      <c r="D144" t="str">
        <f>T("77")</f>
        <v>77</v>
      </c>
      <c r="E144" t="str">
        <f>T("Hujing")</f>
        <v>Hujing</v>
      </c>
      <c r="G144" t="str">
        <f>T("Luojie")</f>
        <v>Luojie</v>
      </c>
      <c r="H144" t="str">
        <f t="shared" si="9"/>
        <v>스토리위즈</v>
      </c>
      <c r="I144" t="str">
        <f>T("공주전쟁")</f>
        <v>공주전쟁</v>
      </c>
      <c r="J144">
        <v>400</v>
      </c>
      <c r="K144">
        <v>400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400</v>
      </c>
      <c r="AH144">
        <v>1</v>
      </c>
      <c r="AI144">
        <v>0</v>
      </c>
      <c r="AJ144">
        <v>0</v>
      </c>
      <c r="AK144">
        <v>400</v>
      </c>
      <c r="AL144">
        <v>0</v>
      </c>
      <c r="AM144">
        <v>0</v>
      </c>
      <c r="AN144">
        <v>0</v>
      </c>
      <c r="AO144">
        <v>0</v>
      </c>
      <c r="AP144">
        <v>280</v>
      </c>
      <c r="AR144" t="str">
        <f t="shared" si="7"/>
        <v>0000000000000</v>
      </c>
      <c r="AT144" t="str">
        <f>T("9791166069666")</f>
        <v>9791166069666</v>
      </c>
      <c r="AV144" t="str">
        <f t="shared" ref="AV144:AV166" si="10">T("웹툰 &gt; 해외 순정")</f>
        <v>웹툰 &gt; 해외 순정</v>
      </c>
    </row>
    <row r="145" spans="1:48" x14ac:dyDescent="0.4">
      <c r="A145">
        <v>4421000887</v>
      </c>
      <c r="B145">
        <v>4421001174</v>
      </c>
      <c r="C145" t="str">
        <f>T("폭군의 눈물 34화")</f>
        <v>폭군의 눈물 34화</v>
      </c>
      <c r="D145" t="str">
        <f>T("34")</f>
        <v>34</v>
      </c>
      <c r="E145" t="str">
        <f>T("Ice×FANFAN COMIC")</f>
        <v>Ice×FANFAN COMIC</v>
      </c>
      <c r="G145" t="str">
        <f>T("Ice×FANFAN COMIC")</f>
        <v>Ice×FANFAN COMIC</v>
      </c>
      <c r="H145" t="str">
        <f t="shared" si="9"/>
        <v>스토리위즈</v>
      </c>
      <c r="I145" t="str">
        <f>T("폭군의 눈물")</f>
        <v>폭군의 눈물</v>
      </c>
      <c r="J145">
        <v>400</v>
      </c>
      <c r="K145">
        <v>400</v>
      </c>
      <c r="L145">
        <v>1</v>
      </c>
      <c r="M145">
        <v>0</v>
      </c>
      <c r="N145">
        <v>400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800</v>
      </c>
      <c r="AH145">
        <v>3</v>
      </c>
      <c r="AI145">
        <v>0</v>
      </c>
      <c r="AJ145">
        <v>0</v>
      </c>
      <c r="AK145">
        <v>400</v>
      </c>
      <c r="AL145">
        <v>0</v>
      </c>
      <c r="AM145">
        <v>400</v>
      </c>
      <c r="AN145">
        <v>0</v>
      </c>
      <c r="AO145">
        <v>0</v>
      </c>
      <c r="AP145">
        <v>560</v>
      </c>
      <c r="AR145" t="str">
        <f t="shared" si="7"/>
        <v>0000000000000</v>
      </c>
      <c r="AT145" t="str">
        <f>T("9791137601291")</f>
        <v>9791137601291</v>
      </c>
      <c r="AV145" t="str">
        <f t="shared" si="10"/>
        <v>웹툰 &gt; 해외 순정</v>
      </c>
    </row>
    <row r="146" spans="1:48" x14ac:dyDescent="0.4">
      <c r="A146">
        <v>4421000198</v>
      </c>
      <c r="B146">
        <v>4421000221</v>
      </c>
      <c r="C146" t="str">
        <f>T("공주전쟁 24화")</f>
        <v>공주전쟁 24화</v>
      </c>
      <c r="D146" t="str">
        <f>T("24")</f>
        <v>24</v>
      </c>
      <c r="E146" t="str">
        <f>T("Hujing")</f>
        <v>Hujing</v>
      </c>
      <c r="G146" t="str">
        <f>T("Luojie")</f>
        <v>Luojie</v>
      </c>
      <c r="H146" t="str">
        <f t="shared" si="9"/>
        <v>스토리위즈</v>
      </c>
      <c r="I146" t="str">
        <f>T("공주전쟁")</f>
        <v>공주전쟁</v>
      </c>
      <c r="J146">
        <v>400</v>
      </c>
      <c r="K146">
        <v>400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400</v>
      </c>
      <c r="AH146">
        <v>1</v>
      </c>
      <c r="AI146">
        <v>0</v>
      </c>
      <c r="AJ146">
        <v>0</v>
      </c>
      <c r="AK146">
        <v>400</v>
      </c>
      <c r="AL146">
        <v>0</v>
      </c>
      <c r="AM146">
        <v>0</v>
      </c>
      <c r="AN146">
        <v>0</v>
      </c>
      <c r="AO146">
        <v>0</v>
      </c>
      <c r="AP146">
        <v>280</v>
      </c>
      <c r="AR146" t="str">
        <f t="shared" si="7"/>
        <v>0000000000000</v>
      </c>
      <c r="AT146" t="str">
        <f>T("9791166069666")</f>
        <v>9791166069666</v>
      </c>
      <c r="AV146" t="str">
        <f t="shared" si="10"/>
        <v>웹툰 &gt; 해외 순정</v>
      </c>
    </row>
    <row r="147" spans="1:48" x14ac:dyDescent="0.4">
      <c r="A147">
        <v>4421000887</v>
      </c>
      <c r="B147">
        <v>4421000904</v>
      </c>
      <c r="C147" t="str">
        <f>T("폭군의 눈물 18화")</f>
        <v>폭군의 눈물 18화</v>
      </c>
      <c r="D147" t="str">
        <f>T("18")</f>
        <v>18</v>
      </c>
      <c r="E147" t="str">
        <f>T("Ice×FANFAN COMIC")</f>
        <v>Ice×FANFAN COMIC</v>
      </c>
      <c r="G147" t="str">
        <f>T("Ice×FANFAN COMIC")</f>
        <v>Ice×FANFAN COMIC</v>
      </c>
      <c r="H147" t="str">
        <f t="shared" si="9"/>
        <v>스토리위즈</v>
      </c>
      <c r="I147" t="str">
        <f>T("폭군의 눈물")</f>
        <v>폭군의 눈물</v>
      </c>
      <c r="J147">
        <v>400</v>
      </c>
      <c r="K147">
        <v>400</v>
      </c>
      <c r="L147">
        <v>1</v>
      </c>
      <c r="M147">
        <v>0</v>
      </c>
      <c r="N147">
        <v>400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800</v>
      </c>
      <c r="AH147">
        <v>3</v>
      </c>
      <c r="AI147">
        <v>0</v>
      </c>
      <c r="AJ147">
        <v>0</v>
      </c>
      <c r="AK147">
        <v>400</v>
      </c>
      <c r="AL147">
        <v>0</v>
      </c>
      <c r="AM147">
        <v>400</v>
      </c>
      <c r="AN147">
        <v>0</v>
      </c>
      <c r="AO147">
        <v>0</v>
      </c>
      <c r="AP147">
        <v>560</v>
      </c>
      <c r="AR147" t="str">
        <f t="shared" si="7"/>
        <v>0000000000000</v>
      </c>
      <c r="AT147" t="str">
        <f>T("9791137601291")</f>
        <v>9791137601291</v>
      </c>
      <c r="AV147" t="str">
        <f t="shared" si="10"/>
        <v>웹툰 &gt; 해외 순정</v>
      </c>
    </row>
    <row r="148" spans="1:48" x14ac:dyDescent="0.4">
      <c r="A148">
        <v>4421000887</v>
      </c>
      <c r="B148">
        <v>4421000897</v>
      </c>
      <c r="C148" t="str">
        <f>T("폭군의 눈물 11화")</f>
        <v>폭군의 눈물 11화</v>
      </c>
      <c r="D148" t="str">
        <f>T("11")</f>
        <v>11</v>
      </c>
      <c r="E148" t="str">
        <f>T("Ice×FANFAN COMIC")</f>
        <v>Ice×FANFAN COMIC</v>
      </c>
      <c r="G148" t="str">
        <f>T("Ice×FANFAN COMIC")</f>
        <v>Ice×FANFAN COMIC</v>
      </c>
      <c r="H148" t="str">
        <f t="shared" si="9"/>
        <v>스토리위즈</v>
      </c>
      <c r="I148" t="str">
        <f>T("폭군의 눈물")</f>
        <v>폭군의 눈물</v>
      </c>
      <c r="J148">
        <v>400</v>
      </c>
      <c r="K148">
        <v>400</v>
      </c>
      <c r="L148">
        <v>1</v>
      </c>
      <c r="M148">
        <v>0</v>
      </c>
      <c r="N148">
        <v>400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800</v>
      </c>
      <c r="AH148">
        <v>3</v>
      </c>
      <c r="AI148">
        <v>0</v>
      </c>
      <c r="AJ148">
        <v>0</v>
      </c>
      <c r="AK148">
        <v>400</v>
      </c>
      <c r="AL148">
        <v>0</v>
      </c>
      <c r="AM148">
        <v>400</v>
      </c>
      <c r="AN148">
        <v>0</v>
      </c>
      <c r="AO148">
        <v>0</v>
      </c>
      <c r="AP148">
        <v>560</v>
      </c>
      <c r="AR148" t="str">
        <f t="shared" si="7"/>
        <v>0000000000000</v>
      </c>
      <c r="AT148" t="str">
        <f>T("9791137601291")</f>
        <v>9791137601291</v>
      </c>
      <c r="AV148" t="str">
        <f t="shared" si="10"/>
        <v>웹툰 &gt; 해외 순정</v>
      </c>
    </row>
    <row r="149" spans="1:48" x14ac:dyDescent="0.4">
      <c r="A149">
        <v>4421000916</v>
      </c>
      <c r="B149">
        <v>4421001213</v>
      </c>
      <c r="C149" t="str">
        <f>T("별빛 아래 우리 50화")</f>
        <v>별빛 아래 우리 50화</v>
      </c>
      <c r="D149" t="str">
        <f>T("50")</f>
        <v>50</v>
      </c>
      <c r="E149" t="str">
        <f>T("건일")</f>
        <v>건일</v>
      </c>
      <c r="G149" t="str">
        <f>T("건일")</f>
        <v>건일</v>
      </c>
      <c r="H149" t="str">
        <f t="shared" si="9"/>
        <v>스토리위즈</v>
      </c>
      <c r="I149" t="str">
        <f>T("별빛 아래 우리")</f>
        <v>별빛 아래 우리</v>
      </c>
      <c r="J149">
        <v>400</v>
      </c>
      <c r="K149">
        <v>400</v>
      </c>
      <c r="L149">
        <v>1</v>
      </c>
      <c r="M149">
        <v>0</v>
      </c>
      <c r="N149">
        <v>1800</v>
      </c>
      <c r="O149">
        <v>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2200</v>
      </c>
      <c r="AH149">
        <v>10</v>
      </c>
      <c r="AI149">
        <v>0</v>
      </c>
      <c r="AJ149">
        <v>0</v>
      </c>
      <c r="AK149">
        <v>2000</v>
      </c>
      <c r="AL149">
        <v>0</v>
      </c>
      <c r="AM149">
        <v>200</v>
      </c>
      <c r="AN149">
        <v>0</v>
      </c>
      <c r="AO149">
        <v>0</v>
      </c>
      <c r="AP149">
        <v>1540</v>
      </c>
      <c r="AR149" t="str">
        <f t="shared" si="7"/>
        <v>0000000000000</v>
      </c>
      <c r="AT149" t="str">
        <f>T("9791137601413")</f>
        <v>9791137601413</v>
      </c>
      <c r="AV149" t="str">
        <f t="shared" si="10"/>
        <v>웹툰 &gt; 해외 순정</v>
      </c>
    </row>
    <row r="150" spans="1:48" x14ac:dyDescent="0.4">
      <c r="A150">
        <v>4421000198</v>
      </c>
      <c r="B150">
        <v>4421000246</v>
      </c>
      <c r="C150" t="str">
        <f>T("공주전쟁 49화")</f>
        <v>공주전쟁 49화</v>
      </c>
      <c r="D150" t="str">
        <f>T("49")</f>
        <v>49</v>
      </c>
      <c r="E150" t="str">
        <f>T("Hujing")</f>
        <v>Hujing</v>
      </c>
      <c r="G150" t="str">
        <f>T("Luojie")</f>
        <v>Luojie</v>
      </c>
      <c r="H150" t="str">
        <f t="shared" si="9"/>
        <v>스토리위즈</v>
      </c>
      <c r="I150" t="str">
        <f>T("공주전쟁")</f>
        <v>공주전쟁</v>
      </c>
      <c r="J150">
        <v>400</v>
      </c>
      <c r="K150">
        <v>400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400</v>
      </c>
      <c r="AH150">
        <v>1</v>
      </c>
      <c r="AI150">
        <v>0</v>
      </c>
      <c r="AJ150">
        <v>0</v>
      </c>
      <c r="AK150">
        <v>400</v>
      </c>
      <c r="AL150">
        <v>0</v>
      </c>
      <c r="AM150">
        <v>0</v>
      </c>
      <c r="AN150">
        <v>0</v>
      </c>
      <c r="AO150">
        <v>0</v>
      </c>
      <c r="AP150">
        <v>280</v>
      </c>
      <c r="AR150" t="str">
        <f t="shared" si="7"/>
        <v>0000000000000</v>
      </c>
      <c r="AT150" t="str">
        <f>T("9791166069666")</f>
        <v>9791166069666</v>
      </c>
      <c r="AV150" t="str">
        <f t="shared" si="10"/>
        <v>웹툰 &gt; 해외 순정</v>
      </c>
    </row>
    <row r="151" spans="1:48" x14ac:dyDescent="0.4">
      <c r="A151">
        <v>4421000198</v>
      </c>
      <c r="B151">
        <v>4421000859</v>
      </c>
      <c r="C151" t="str">
        <f>T("공주전쟁 60화")</f>
        <v>공주전쟁 60화</v>
      </c>
      <c r="D151" t="str">
        <f>T("60")</f>
        <v>60</v>
      </c>
      <c r="E151" t="str">
        <f>T("Hujing")</f>
        <v>Hujing</v>
      </c>
      <c r="G151" t="str">
        <f>T("Luojie")</f>
        <v>Luojie</v>
      </c>
      <c r="H151" t="str">
        <f t="shared" si="9"/>
        <v>스토리위즈</v>
      </c>
      <c r="I151" t="str">
        <f>T("공주전쟁")</f>
        <v>공주전쟁</v>
      </c>
      <c r="J151">
        <v>400</v>
      </c>
      <c r="K151">
        <v>400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400</v>
      </c>
      <c r="AH151">
        <v>1</v>
      </c>
      <c r="AI151">
        <v>0</v>
      </c>
      <c r="AJ151">
        <v>0</v>
      </c>
      <c r="AK151">
        <v>400</v>
      </c>
      <c r="AL151">
        <v>0</v>
      </c>
      <c r="AM151">
        <v>0</v>
      </c>
      <c r="AN151">
        <v>0</v>
      </c>
      <c r="AO151">
        <v>0</v>
      </c>
      <c r="AP151">
        <v>280</v>
      </c>
      <c r="AR151" t="str">
        <f t="shared" si="7"/>
        <v>0000000000000</v>
      </c>
      <c r="AT151" t="str">
        <f>T("9791166069666")</f>
        <v>9791166069666</v>
      </c>
      <c r="AV151" t="str">
        <f t="shared" si="10"/>
        <v>웹툰 &gt; 해외 순정</v>
      </c>
    </row>
    <row r="152" spans="1:48" x14ac:dyDescent="0.4">
      <c r="A152">
        <v>4421000916</v>
      </c>
      <c r="B152">
        <v>4421001229</v>
      </c>
      <c r="C152" t="str">
        <f>T("별빛 아래 우리 51화")</f>
        <v>별빛 아래 우리 51화</v>
      </c>
      <c r="D152" t="str">
        <f>T("51")</f>
        <v>51</v>
      </c>
      <c r="E152" t="str">
        <f>T("건일")</f>
        <v>건일</v>
      </c>
      <c r="G152" t="str">
        <f>T("건일")</f>
        <v>건일</v>
      </c>
      <c r="H152" t="str">
        <f t="shared" si="9"/>
        <v>스토리위즈</v>
      </c>
      <c r="I152" t="str">
        <f>T("별빛 아래 우리")</f>
        <v>별빛 아래 우리</v>
      </c>
      <c r="J152">
        <v>400</v>
      </c>
      <c r="K152">
        <v>400</v>
      </c>
      <c r="L152">
        <v>1</v>
      </c>
      <c r="M152">
        <v>0</v>
      </c>
      <c r="N152">
        <v>1800</v>
      </c>
      <c r="O152">
        <v>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2200</v>
      </c>
      <c r="AH152">
        <v>10</v>
      </c>
      <c r="AI152">
        <v>0</v>
      </c>
      <c r="AJ152">
        <v>0</v>
      </c>
      <c r="AK152">
        <v>2000</v>
      </c>
      <c r="AL152">
        <v>0</v>
      </c>
      <c r="AM152">
        <v>200</v>
      </c>
      <c r="AN152">
        <v>0</v>
      </c>
      <c r="AO152">
        <v>0</v>
      </c>
      <c r="AP152">
        <v>1540</v>
      </c>
      <c r="AR152" t="str">
        <f t="shared" si="7"/>
        <v>0000000000000</v>
      </c>
      <c r="AT152" t="str">
        <f>T("9791137601413")</f>
        <v>9791137601413</v>
      </c>
      <c r="AV152" t="str">
        <f t="shared" si="10"/>
        <v>웹툰 &gt; 해외 순정</v>
      </c>
    </row>
    <row r="153" spans="1:48" x14ac:dyDescent="0.4">
      <c r="A153">
        <v>4421000198</v>
      </c>
      <c r="B153">
        <v>4421000214</v>
      </c>
      <c r="C153" t="str">
        <f>T("공주전쟁 17화")</f>
        <v>공주전쟁 17화</v>
      </c>
      <c r="D153" t="str">
        <f>T("17")</f>
        <v>17</v>
      </c>
      <c r="E153" t="str">
        <f>T("Hujing")</f>
        <v>Hujing</v>
      </c>
      <c r="G153" t="str">
        <f>T("Luojie")</f>
        <v>Luojie</v>
      </c>
      <c r="H153" t="str">
        <f t="shared" si="9"/>
        <v>스토리위즈</v>
      </c>
      <c r="I153" t="str">
        <f>T("공주전쟁")</f>
        <v>공주전쟁</v>
      </c>
      <c r="J153">
        <v>400</v>
      </c>
      <c r="K153">
        <v>400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400</v>
      </c>
      <c r="AH153">
        <v>1</v>
      </c>
      <c r="AI153">
        <v>0</v>
      </c>
      <c r="AJ153">
        <v>0</v>
      </c>
      <c r="AK153">
        <v>400</v>
      </c>
      <c r="AL153">
        <v>0</v>
      </c>
      <c r="AM153">
        <v>0</v>
      </c>
      <c r="AN153">
        <v>0</v>
      </c>
      <c r="AO153">
        <v>0</v>
      </c>
      <c r="AP153">
        <v>280</v>
      </c>
      <c r="AR153" t="str">
        <f t="shared" si="7"/>
        <v>0000000000000</v>
      </c>
      <c r="AT153" t="str">
        <f>T("9791166069666")</f>
        <v>9791166069666</v>
      </c>
      <c r="AV153" t="str">
        <f t="shared" si="10"/>
        <v>웹툰 &gt; 해외 순정</v>
      </c>
    </row>
    <row r="154" spans="1:48" x14ac:dyDescent="0.4">
      <c r="A154">
        <v>4421000887</v>
      </c>
      <c r="B154">
        <v>4421000985</v>
      </c>
      <c r="C154" t="str">
        <f>T("폭군의 눈물 33화")</f>
        <v>폭군의 눈물 33화</v>
      </c>
      <c r="D154" t="str">
        <f>T("33")</f>
        <v>33</v>
      </c>
      <c r="E154" t="str">
        <f>T("Ice×FANFAN COMIC")</f>
        <v>Ice×FANFAN COMIC</v>
      </c>
      <c r="G154" t="str">
        <f>T("Ice×FANFAN COMIC")</f>
        <v>Ice×FANFAN COMIC</v>
      </c>
      <c r="H154" t="str">
        <f t="shared" si="9"/>
        <v>스토리위즈</v>
      </c>
      <c r="I154" t="str">
        <f>T("폭군의 눈물")</f>
        <v>폭군의 눈물</v>
      </c>
      <c r="J154">
        <v>400</v>
      </c>
      <c r="K154">
        <v>400</v>
      </c>
      <c r="L154">
        <v>1</v>
      </c>
      <c r="M154">
        <v>0</v>
      </c>
      <c r="N154">
        <v>600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1000</v>
      </c>
      <c r="AH154">
        <v>4</v>
      </c>
      <c r="AI154">
        <v>0</v>
      </c>
      <c r="AJ154">
        <v>0</v>
      </c>
      <c r="AK154">
        <v>600</v>
      </c>
      <c r="AL154">
        <v>0</v>
      </c>
      <c r="AM154">
        <v>400</v>
      </c>
      <c r="AN154">
        <v>0</v>
      </c>
      <c r="AO154">
        <v>0</v>
      </c>
      <c r="AP154">
        <v>700</v>
      </c>
      <c r="AR154" t="str">
        <f t="shared" si="7"/>
        <v>0000000000000</v>
      </c>
      <c r="AT154" t="str">
        <f>T("9791137601291")</f>
        <v>9791137601291</v>
      </c>
      <c r="AV154" t="str">
        <f t="shared" si="10"/>
        <v>웹툰 &gt; 해외 순정</v>
      </c>
    </row>
    <row r="155" spans="1:48" x14ac:dyDescent="0.4">
      <c r="A155">
        <v>4421000198</v>
      </c>
      <c r="B155">
        <v>4421000207</v>
      </c>
      <c r="C155" t="str">
        <f>T("공주전쟁 10화")</f>
        <v>공주전쟁 10화</v>
      </c>
      <c r="D155" t="str">
        <f>T("10")</f>
        <v>10</v>
      </c>
      <c r="E155" t="str">
        <f>T("Hujing")</f>
        <v>Hujing</v>
      </c>
      <c r="G155" t="str">
        <f>T("Luojie")</f>
        <v>Luojie</v>
      </c>
      <c r="H155" t="str">
        <f t="shared" si="9"/>
        <v>스토리위즈</v>
      </c>
      <c r="I155" t="str">
        <f>T("공주전쟁")</f>
        <v>공주전쟁</v>
      </c>
      <c r="J155">
        <v>400</v>
      </c>
      <c r="K155">
        <v>400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400</v>
      </c>
      <c r="AH155">
        <v>1</v>
      </c>
      <c r="AI155">
        <v>0</v>
      </c>
      <c r="AJ155">
        <v>0</v>
      </c>
      <c r="AK155">
        <v>400</v>
      </c>
      <c r="AL155">
        <v>0</v>
      </c>
      <c r="AM155">
        <v>0</v>
      </c>
      <c r="AN155">
        <v>0</v>
      </c>
      <c r="AO155">
        <v>0</v>
      </c>
      <c r="AP155">
        <v>280</v>
      </c>
      <c r="AR155" t="str">
        <f t="shared" si="7"/>
        <v>0000000000000</v>
      </c>
      <c r="AT155" t="str">
        <f>T("9791166069666")</f>
        <v>9791166069666</v>
      </c>
      <c r="AV155" t="str">
        <f t="shared" si="10"/>
        <v>웹툰 &gt; 해외 순정</v>
      </c>
    </row>
    <row r="156" spans="1:48" x14ac:dyDescent="0.4">
      <c r="A156">
        <v>4421000887</v>
      </c>
      <c r="B156">
        <v>4421001273</v>
      </c>
      <c r="C156" t="str">
        <f>T("폭군의 눈물 50화")</f>
        <v>폭군의 눈물 50화</v>
      </c>
      <c r="D156" t="str">
        <f>T("50")</f>
        <v>50</v>
      </c>
      <c r="E156" t="str">
        <f>T("Ice×FANFAN COMIC")</f>
        <v>Ice×FANFAN COMIC</v>
      </c>
      <c r="G156" t="str">
        <f>T("Ice×FANFAN COMIC")</f>
        <v>Ice×FANFAN COMIC</v>
      </c>
      <c r="H156" t="str">
        <f t="shared" si="9"/>
        <v>스토리위즈</v>
      </c>
      <c r="I156" t="str">
        <f>T("폭군의 눈물")</f>
        <v>폭군의 눈물</v>
      </c>
      <c r="J156">
        <v>400</v>
      </c>
      <c r="K156">
        <v>400</v>
      </c>
      <c r="L156">
        <v>1</v>
      </c>
      <c r="M156">
        <v>0</v>
      </c>
      <c r="N156">
        <v>200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600</v>
      </c>
      <c r="AH156">
        <v>2</v>
      </c>
      <c r="AI156">
        <v>0</v>
      </c>
      <c r="AJ156">
        <v>0</v>
      </c>
      <c r="AK156">
        <v>200</v>
      </c>
      <c r="AL156">
        <v>0</v>
      </c>
      <c r="AM156">
        <v>400</v>
      </c>
      <c r="AN156">
        <v>0</v>
      </c>
      <c r="AO156">
        <v>0</v>
      </c>
      <c r="AP156">
        <v>420</v>
      </c>
      <c r="AR156" t="str">
        <f t="shared" si="7"/>
        <v>0000000000000</v>
      </c>
      <c r="AT156" t="str">
        <f>T("9791137601291")</f>
        <v>9791137601291</v>
      </c>
      <c r="AV156" t="str">
        <f t="shared" si="10"/>
        <v>웹툰 &gt; 해외 순정</v>
      </c>
    </row>
    <row r="157" spans="1:48" x14ac:dyDescent="0.4">
      <c r="A157">
        <v>4421000198</v>
      </c>
      <c r="B157">
        <v>4421001206</v>
      </c>
      <c r="C157" t="str">
        <f>T("공주전쟁 71화")</f>
        <v>공주전쟁 71화</v>
      </c>
      <c r="D157" t="str">
        <f>T("71")</f>
        <v>71</v>
      </c>
      <c r="E157" t="str">
        <f>T("Hujing")</f>
        <v>Hujing</v>
      </c>
      <c r="G157" t="str">
        <f>T("Luojie")</f>
        <v>Luojie</v>
      </c>
      <c r="H157" t="str">
        <f t="shared" si="9"/>
        <v>스토리위즈</v>
      </c>
      <c r="I157" t="str">
        <f>T("공주전쟁")</f>
        <v>공주전쟁</v>
      </c>
      <c r="J157">
        <v>400</v>
      </c>
      <c r="K157">
        <v>400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400</v>
      </c>
      <c r="AH157">
        <v>1</v>
      </c>
      <c r="AI157">
        <v>0</v>
      </c>
      <c r="AJ157">
        <v>0</v>
      </c>
      <c r="AK157">
        <v>400</v>
      </c>
      <c r="AL157">
        <v>0</v>
      </c>
      <c r="AM157">
        <v>0</v>
      </c>
      <c r="AN157">
        <v>0</v>
      </c>
      <c r="AO157">
        <v>0</v>
      </c>
      <c r="AP157">
        <v>280</v>
      </c>
      <c r="AR157" t="str">
        <f t="shared" si="7"/>
        <v>0000000000000</v>
      </c>
      <c r="AT157" t="str">
        <f>T("9791166069666")</f>
        <v>9791166069666</v>
      </c>
      <c r="AV157" t="str">
        <f t="shared" si="10"/>
        <v>웹툰 &gt; 해외 순정</v>
      </c>
    </row>
    <row r="158" spans="1:48" x14ac:dyDescent="0.4">
      <c r="A158">
        <v>4421000198</v>
      </c>
      <c r="B158">
        <v>4421000239</v>
      </c>
      <c r="C158" t="str">
        <f>T("공주전쟁 42화")</f>
        <v>공주전쟁 42화</v>
      </c>
      <c r="D158" t="str">
        <f>T("42")</f>
        <v>42</v>
      </c>
      <c r="E158" t="str">
        <f>T("Hujing")</f>
        <v>Hujing</v>
      </c>
      <c r="G158" t="str">
        <f>T("Luojie")</f>
        <v>Luojie</v>
      </c>
      <c r="H158" t="str">
        <f t="shared" si="9"/>
        <v>스토리위즈</v>
      </c>
      <c r="I158" t="str">
        <f>T("공주전쟁")</f>
        <v>공주전쟁</v>
      </c>
      <c r="J158">
        <v>400</v>
      </c>
      <c r="K158">
        <v>400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400</v>
      </c>
      <c r="AH158">
        <v>1</v>
      </c>
      <c r="AI158">
        <v>0</v>
      </c>
      <c r="AJ158">
        <v>0</v>
      </c>
      <c r="AK158">
        <v>400</v>
      </c>
      <c r="AL158">
        <v>0</v>
      </c>
      <c r="AM158">
        <v>0</v>
      </c>
      <c r="AN158">
        <v>0</v>
      </c>
      <c r="AO158">
        <v>0</v>
      </c>
      <c r="AP158">
        <v>280</v>
      </c>
      <c r="AR158" t="str">
        <f t="shared" si="7"/>
        <v>0000000000000</v>
      </c>
      <c r="AT158" t="str">
        <f>T("9791166069666")</f>
        <v>9791166069666</v>
      </c>
      <c r="AV158" t="str">
        <f t="shared" si="10"/>
        <v>웹툰 &gt; 해외 순정</v>
      </c>
    </row>
    <row r="159" spans="1:48" x14ac:dyDescent="0.4">
      <c r="A159">
        <v>4421000198</v>
      </c>
      <c r="B159">
        <v>4421001461</v>
      </c>
      <c r="C159" t="str">
        <f>T("공주전쟁 94화")</f>
        <v>공주전쟁 94화</v>
      </c>
      <c r="D159" t="str">
        <f>T("94")</f>
        <v>94</v>
      </c>
      <c r="E159" t="str">
        <f>T("Hujing")</f>
        <v>Hujing</v>
      </c>
      <c r="G159" t="str">
        <f>T("Luojie")</f>
        <v>Luojie</v>
      </c>
      <c r="H159" t="str">
        <f t="shared" si="9"/>
        <v>스토리위즈</v>
      </c>
      <c r="I159" t="str">
        <f>T("공주전쟁")</f>
        <v>공주전쟁</v>
      </c>
      <c r="J159">
        <v>400</v>
      </c>
      <c r="K159">
        <v>400</v>
      </c>
      <c r="L159">
        <v>1</v>
      </c>
      <c r="M159">
        <v>0</v>
      </c>
      <c r="N159">
        <v>800</v>
      </c>
      <c r="O159">
        <v>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1200</v>
      </c>
      <c r="AH159">
        <v>5</v>
      </c>
      <c r="AI159">
        <v>0</v>
      </c>
      <c r="AJ159">
        <v>0</v>
      </c>
      <c r="AK159">
        <v>1200</v>
      </c>
      <c r="AL159">
        <v>0</v>
      </c>
      <c r="AM159">
        <v>0</v>
      </c>
      <c r="AN159">
        <v>0</v>
      </c>
      <c r="AO159">
        <v>0</v>
      </c>
      <c r="AP159">
        <v>840</v>
      </c>
      <c r="AR159" t="str">
        <f t="shared" si="7"/>
        <v>0000000000000</v>
      </c>
      <c r="AT159" t="str">
        <f>T("9791166069666")</f>
        <v>9791166069666</v>
      </c>
      <c r="AV159" t="str">
        <f t="shared" si="10"/>
        <v>웹툰 &gt; 해외 순정</v>
      </c>
    </row>
    <row r="160" spans="1:48" x14ac:dyDescent="0.4">
      <c r="A160">
        <v>4421000916</v>
      </c>
      <c r="B160">
        <v>4421001190</v>
      </c>
      <c r="C160" t="str">
        <f>T("별빛 아래 우리 40화")</f>
        <v>별빛 아래 우리 40화</v>
      </c>
      <c r="D160" t="str">
        <f>T("40")</f>
        <v>40</v>
      </c>
      <c r="E160" t="str">
        <f>T("건일")</f>
        <v>건일</v>
      </c>
      <c r="G160" t="str">
        <f>T("건일")</f>
        <v>건일</v>
      </c>
      <c r="H160" t="str">
        <f t="shared" si="9"/>
        <v>스토리위즈</v>
      </c>
      <c r="I160" t="str">
        <f>T("별빛 아래 우리")</f>
        <v>별빛 아래 우리</v>
      </c>
      <c r="J160">
        <v>400</v>
      </c>
      <c r="K160">
        <v>400</v>
      </c>
      <c r="L160">
        <v>1</v>
      </c>
      <c r="M160">
        <v>0</v>
      </c>
      <c r="N160">
        <v>1800</v>
      </c>
      <c r="O160">
        <v>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2200</v>
      </c>
      <c r="AH160">
        <v>10</v>
      </c>
      <c r="AI160">
        <v>0</v>
      </c>
      <c r="AJ160">
        <v>0</v>
      </c>
      <c r="AK160">
        <v>2000</v>
      </c>
      <c r="AL160">
        <v>0</v>
      </c>
      <c r="AM160">
        <v>200</v>
      </c>
      <c r="AN160">
        <v>0</v>
      </c>
      <c r="AO160">
        <v>0</v>
      </c>
      <c r="AP160">
        <v>1540</v>
      </c>
      <c r="AR160" t="str">
        <f t="shared" si="7"/>
        <v>0000000000000</v>
      </c>
      <c r="AT160" t="str">
        <f>T("9791137601413")</f>
        <v>9791137601413</v>
      </c>
      <c r="AV160" t="str">
        <f t="shared" si="10"/>
        <v>웹툰 &gt; 해외 순정</v>
      </c>
    </row>
    <row r="161" spans="1:48" x14ac:dyDescent="0.4">
      <c r="A161">
        <v>4421000198</v>
      </c>
      <c r="B161">
        <v>4421000232</v>
      </c>
      <c r="C161" t="str">
        <f>T("공주전쟁 35화")</f>
        <v>공주전쟁 35화</v>
      </c>
      <c r="D161" t="str">
        <f>T("35")</f>
        <v>35</v>
      </c>
      <c r="E161" t="str">
        <f>T("Hujing")</f>
        <v>Hujing</v>
      </c>
      <c r="G161" t="str">
        <f>T("Luojie")</f>
        <v>Luojie</v>
      </c>
      <c r="H161" t="str">
        <f t="shared" si="9"/>
        <v>스토리위즈</v>
      </c>
      <c r="I161" t="str">
        <f>T("공주전쟁")</f>
        <v>공주전쟁</v>
      </c>
      <c r="J161">
        <v>400</v>
      </c>
      <c r="K161">
        <v>400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400</v>
      </c>
      <c r="AH161">
        <v>1</v>
      </c>
      <c r="AI161">
        <v>0</v>
      </c>
      <c r="AJ161">
        <v>0</v>
      </c>
      <c r="AK161">
        <v>400</v>
      </c>
      <c r="AL161">
        <v>0</v>
      </c>
      <c r="AM161">
        <v>0</v>
      </c>
      <c r="AN161">
        <v>0</v>
      </c>
      <c r="AO161">
        <v>0</v>
      </c>
      <c r="AP161">
        <v>280</v>
      </c>
      <c r="AR161" t="str">
        <f t="shared" si="7"/>
        <v>0000000000000</v>
      </c>
      <c r="AT161" t="str">
        <f>T("9791166069666")</f>
        <v>9791166069666</v>
      </c>
      <c r="AV161" t="str">
        <f t="shared" si="10"/>
        <v>웹툰 &gt; 해외 순정</v>
      </c>
    </row>
    <row r="162" spans="1:48" x14ac:dyDescent="0.4">
      <c r="A162">
        <v>4421000887</v>
      </c>
      <c r="B162">
        <v>4421000954</v>
      </c>
      <c r="C162" t="str">
        <f>T("폭군의 눈물 25화")</f>
        <v>폭군의 눈물 25화</v>
      </c>
      <c r="D162" t="str">
        <f>T("25")</f>
        <v>25</v>
      </c>
      <c r="E162" t="str">
        <f>T("Ice×FANFAN COMIC")</f>
        <v>Ice×FANFAN COMIC</v>
      </c>
      <c r="G162" t="str">
        <f>T("Ice×FANFAN COMIC")</f>
        <v>Ice×FANFAN COMIC</v>
      </c>
      <c r="H162" t="str">
        <f t="shared" si="9"/>
        <v>스토리위즈</v>
      </c>
      <c r="I162" t="str">
        <f>T("폭군의 눈물")</f>
        <v>폭군의 눈물</v>
      </c>
      <c r="J162">
        <v>400</v>
      </c>
      <c r="K162">
        <v>400</v>
      </c>
      <c r="L162">
        <v>1</v>
      </c>
      <c r="M162">
        <v>0</v>
      </c>
      <c r="N162">
        <v>400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800</v>
      </c>
      <c r="AH162">
        <v>3</v>
      </c>
      <c r="AI162">
        <v>0</v>
      </c>
      <c r="AJ162">
        <v>0</v>
      </c>
      <c r="AK162">
        <v>400</v>
      </c>
      <c r="AL162">
        <v>0</v>
      </c>
      <c r="AM162">
        <v>400</v>
      </c>
      <c r="AN162">
        <v>0</v>
      </c>
      <c r="AO162">
        <v>0</v>
      </c>
      <c r="AP162">
        <v>560</v>
      </c>
      <c r="AR162" t="str">
        <f t="shared" si="7"/>
        <v>0000000000000</v>
      </c>
      <c r="AT162" t="str">
        <f>T("9791137601291")</f>
        <v>9791137601291</v>
      </c>
      <c r="AV162" t="str">
        <f t="shared" si="10"/>
        <v>웹툰 &gt; 해외 순정</v>
      </c>
    </row>
    <row r="163" spans="1:48" x14ac:dyDescent="0.4">
      <c r="A163">
        <v>4421000916</v>
      </c>
      <c r="B163">
        <v>4421000978</v>
      </c>
      <c r="C163" t="str">
        <f>T("별빛 아래 우리 29화")</f>
        <v>별빛 아래 우리 29화</v>
      </c>
      <c r="D163" t="str">
        <f>T("29")</f>
        <v>29</v>
      </c>
      <c r="E163" t="str">
        <f>T("건일")</f>
        <v>건일</v>
      </c>
      <c r="G163" t="str">
        <f>T("건일")</f>
        <v>건일</v>
      </c>
      <c r="H163" t="str">
        <f t="shared" si="9"/>
        <v>스토리위즈</v>
      </c>
      <c r="I163" t="str">
        <f>T("별빛 아래 우리")</f>
        <v>별빛 아래 우리</v>
      </c>
      <c r="J163">
        <v>400</v>
      </c>
      <c r="K163">
        <v>400</v>
      </c>
      <c r="L163">
        <v>1</v>
      </c>
      <c r="M163">
        <v>0</v>
      </c>
      <c r="N163">
        <v>1600</v>
      </c>
      <c r="O163">
        <v>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2000</v>
      </c>
      <c r="AH163">
        <v>9</v>
      </c>
      <c r="AI163">
        <v>0</v>
      </c>
      <c r="AJ163">
        <v>0</v>
      </c>
      <c r="AK163">
        <v>1800</v>
      </c>
      <c r="AL163">
        <v>0</v>
      </c>
      <c r="AM163">
        <v>200</v>
      </c>
      <c r="AN163">
        <v>0</v>
      </c>
      <c r="AO163">
        <v>0</v>
      </c>
      <c r="AP163">
        <v>1400</v>
      </c>
      <c r="AR163" t="str">
        <f t="shared" si="7"/>
        <v>0000000000000</v>
      </c>
      <c r="AT163" t="str">
        <f>T("9791137601413")</f>
        <v>9791137601413</v>
      </c>
      <c r="AV163" t="str">
        <f t="shared" si="10"/>
        <v>웹툰 &gt; 해외 순정</v>
      </c>
    </row>
    <row r="164" spans="1:48" x14ac:dyDescent="0.4">
      <c r="A164">
        <v>4421000916</v>
      </c>
      <c r="B164">
        <v>4421000940</v>
      </c>
      <c r="C164" t="str">
        <f>T("별빛 아래 우리 25화")</f>
        <v>별빛 아래 우리 25화</v>
      </c>
      <c r="D164" t="str">
        <f>T("25")</f>
        <v>25</v>
      </c>
      <c r="E164" t="str">
        <f>T("건일")</f>
        <v>건일</v>
      </c>
      <c r="G164" t="str">
        <f>T("건일")</f>
        <v>건일</v>
      </c>
      <c r="H164" t="str">
        <f t="shared" si="9"/>
        <v>스토리위즈</v>
      </c>
      <c r="I164" t="str">
        <f>T("별빛 아래 우리")</f>
        <v>별빛 아래 우리</v>
      </c>
      <c r="J164">
        <v>400</v>
      </c>
      <c r="K164">
        <v>400</v>
      </c>
      <c r="L164">
        <v>1</v>
      </c>
      <c r="M164">
        <v>0</v>
      </c>
      <c r="N164">
        <v>1600</v>
      </c>
      <c r="O164">
        <v>8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2000</v>
      </c>
      <c r="AH164">
        <v>9</v>
      </c>
      <c r="AI164">
        <v>0</v>
      </c>
      <c r="AJ164">
        <v>0</v>
      </c>
      <c r="AK164">
        <v>1800</v>
      </c>
      <c r="AL164">
        <v>0</v>
      </c>
      <c r="AM164">
        <v>200</v>
      </c>
      <c r="AN164">
        <v>0</v>
      </c>
      <c r="AO164">
        <v>0</v>
      </c>
      <c r="AP164">
        <v>1400</v>
      </c>
      <c r="AR164" t="str">
        <f t="shared" si="7"/>
        <v>0000000000000</v>
      </c>
      <c r="AT164" t="str">
        <f>T("9791137601413")</f>
        <v>9791137601413</v>
      </c>
      <c r="AV164" t="str">
        <f t="shared" si="10"/>
        <v>웹툰 &gt; 해외 순정</v>
      </c>
    </row>
    <row r="165" spans="1:48" x14ac:dyDescent="0.4">
      <c r="A165">
        <v>4421000916</v>
      </c>
      <c r="B165">
        <v>4421001247</v>
      </c>
      <c r="C165" t="str">
        <f>T("별빛 아래 우리 58화")</f>
        <v>별빛 아래 우리 58화</v>
      </c>
      <c r="D165" t="str">
        <f>T("58")</f>
        <v>58</v>
      </c>
      <c r="E165" t="str">
        <f>T("건일")</f>
        <v>건일</v>
      </c>
      <c r="G165" t="str">
        <f>T("건일")</f>
        <v>건일</v>
      </c>
      <c r="H165" t="str">
        <f t="shared" si="9"/>
        <v>스토리위즈</v>
      </c>
      <c r="I165" t="str">
        <f>T("별빛 아래 우리")</f>
        <v>별빛 아래 우리</v>
      </c>
      <c r="J165">
        <v>400</v>
      </c>
      <c r="K165">
        <v>400</v>
      </c>
      <c r="L165">
        <v>1</v>
      </c>
      <c r="M165">
        <v>0</v>
      </c>
      <c r="N165">
        <v>1600</v>
      </c>
      <c r="O165">
        <v>8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2000</v>
      </c>
      <c r="AH165">
        <v>9</v>
      </c>
      <c r="AI165">
        <v>0</v>
      </c>
      <c r="AJ165">
        <v>0</v>
      </c>
      <c r="AK165">
        <v>1800</v>
      </c>
      <c r="AL165">
        <v>0</v>
      </c>
      <c r="AM165">
        <v>200</v>
      </c>
      <c r="AN165">
        <v>0</v>
      </c>
      <c r="AO165">
        <v>0</v>
      </c>
      <c r="AP165">
        <v>1400</v>
      </c>
      <c r="AR165" t="str">
        <f t="shared" si="7"/>
        <v>0000000000000</v>
      </c>
      <c r="AT165" t="str">
        <f>T("9791137601413")</f>
        <v>9791137601413</v>
      </c>
      <c r="AV165" t="str">
        <f t="shared" si="10"/>
        <v>웹툰 &gt; 해외 순정</v>
      </c>
    </row>
    <row r="166" spans="1:48" x14ac:dyDescent="0.4">
      <c r="A166">
        <v>4421000198</v>
      </c>
      <c r="B166">
        <v>4421000225</v>
      </c>
      <c r="C166" t="str">
        <f>T("공주전쟁 28화")</f>
        <v>공주전쟁 28화</v>
      </c>
      <c r="D166" t="str">
        <f>T("28")</f>
        <v>28</v>
      </c>
      <c r="E166" t="str">
        <f>T("Hujing")</f>
        <v>Hujing</v>
      </c>
      <c r="G166" t="str">
        <f>T("Luojie")</f>
        <v>Luojie</v>
      </c>
      <c r="H166" t="str">
        <f t="shared" si="9"/>
        <v>스토리위즈</v>
      </c>
      <c r="I166" t="str">
        <f>T("공주전쟁")</f>
        <v>공주전쟁</v>
      </c>
      <c r="J166">
        <v>400</v>
      </c>
      <c r="K166">
        <v>400</v>
      </c>
      <c r="L166">
        <v>1</v>
      </c>
      <c r="M166">
        <v>0</v>
      </c>
      <c r="N166">
        <v>200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600</v>
      </c>
      <c r="AH166">
        <v>2</v>
      </c>
      <c r="AI166">
        <v>0</v>
      </c>
      <c r="AJ166">
        <v>0</v>
      </c>
      <c r="AK166">
        <v>600</v>
      </c>
      <c r="AL166">
        <v>0</v>
      </c>
      <c r="AM166">
        <v>0</v>
      </c>
      <c r="AN166">
        <v>0</v>
      </c>
      <c r="AO166">
        <v>0</v>
      </c>
      <c r="AP166">
        <v>420</v>
      </c>
      <c r="AR166" t="str">
        <f t="shared" si="7"/>
        <v>0000000000000</v>
      </c>
      <c r="AT166" t="str">
        <f>T("9791166069666")</f>
        <v>9791166069666</v>
      </c>
      <c r="AV166" t="str">
        <f t="shared" si="10"/>
        <v>웹툰 &gt; 해외 순정</v>
      </c>
    </row>
    <row r="167" spans="1:48" x14ac:dyDescent="0.4">
      <c r="A167">
        <v>4421001340</v>
      </c>
      <c r="B167">
        <v>4421001345</v>
      </c>
      <c r="C167" t="str">
        <f>T("가출천사 육성계약 6화")</f>
        <v>가출천사 육성계약 6화</v>
      </c>
      <c r="D167" t="str">
        <f>T("6")</f>
        <v>6</v>
      </c>
      <c r="E167" t="str">
        <f>T("Bae.C, IIAKI, 박제후")</f>
        <v>Bae.C, IIAKI, 박제후</v>
      </c>
      <c r="G167" t="str">
        <f>T("Bae.C, 조우")</f>
        <v>Bae.C, 조우</v>
      </c>
      <c r="H167" t="str">
        <f t="shared" si="9"/>
        <v>스토리위즈</v>
      </c>
      <c r="I167" t="str">
        <f>T("가출천사 육성계약")</f>
        <v>가출천사 육성계약</v>
      </c>
      <c r="J167">
        <v>400</v>
      </c>
      <c r="K167">
        <v>400</v>
      </c>
      <c r="L167">
        <v>1</v>
      </c>
      <c r="M167">
        <v>0</v>
      </c>
      <c r="N167">
        <v>200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600</v>
      </c>
      <c r="AH167">
        <v>2</v>
      </c>
      <c r="AI167">
        <v>0</v>
      </c>
      <c r="AJ167">
        <v>0</v>
      </c>
      <c r="AK167">
        <v>600</v>
      </c>
      <c r="AL167">
        <v>0</v>
      </c>
      <c r="AM167">
        <v>0</v>
      </c>
      <c r="AN167">
        <v>0</v>
      </c>
      <c r="AO167">
        <v>0</v>
      </c>
      <c r="AP167">
        <v>420</v>
      </c>
      <c r="AR167" t="str">
        <f t="shared" si="7"/>
        <v>0000000000000</v>
      </c>
      <c r="AT167" t="str">
        <f>T("9791191765663")</f>
        <v>9791191765663</v>
      </c>
      <c r="AV167" t="str">
        <f>T("웹툰 &gt; 판타지/SF")</f>
        <v>웹툰 &gt; 판타지/SF</v>
      </c>
    </row>
    <row r="168" spans="1:48" x14ac:dyDescent="0.4">
      <c r="A168">
        <v>4421000198</v>
      </c>
      <c r="B168">
        <v>4421001291</v>
      </c>
      <c r="C168" t="str">
        <f>T("공주전쟁 89화")</f>
        <v>공주전쟁 89화</v>
      </c>
      <c r="D168" t="str">
        <f>T("89")</f>
        <v>89</v>
      </c>
      <c r="E168" t="str">
        <f>T("Hujing")</f>
        <v>Hujing</v>
      </c>
      <c r="G168" t="str">
        <f>T("Luojie")</f>
        <v>Luojie</v>
      </c>
      <c r="H168" t="str">
        <f t="shared" si="9"/>
        <v>스토리위즈</v>
      </c>
      <c r="I168" t="str">
        <f>T("공주전쟁")</f>
        <v>공주전쟁</v>
      </c>
      <c r="J168">
        <v>400</v>
      </c>
      <c r="K168">
        <v>400</v>
      </c>
      <c r="L168">
        <v>1</v>
      </c>
      <c r="M168">
        <v>0</v>
      </c>
      <c r="N168">
        <v>200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600</v>
      </c>
      <c r="AH168">
        <v>2</v>
      </c>
      <c r="AI168">
        <v>0</v>
      </c>
      <c r="AJ168">
        <v>0</v>
      </c>
      <c r="AK168">
        <v>600</v>
      </c>
      <c r="AL168">
        <v>0</v>
      </c>
      <c r="AM168">
        <v>0</v>
      </c>
      <c r="AN168">
        <v>0</v>
      </c>
      <c r="AO168">
        <v>0</v>
      </c>
      <c r="AP168">
        <v>420</v>
      </c>
      <c r="AR168" t="str">
        <f t="shared" si="7"/>
        <v>0000000000000</v>
      </c>
      <c r="AT168" t="str">
        <f>T("9791166069666")</f>
        <v>9791166069666</v>
      </c>
      <c r="AV168" t="str">
        <f t="shared" ref="AV168:AV186" si="11">T("웹툰 &gt; 해외 순정")</f>
        <v>웹툰 &gt; 해외 순정</v>
      </c>
    </row>
    <row r="169" spans="1:48" x14ac:dyDescent="0.4">
      <c r="A169">
        <v>4421000887</v>
      </c>
      <c r="B169">
        <v>4421000908</v>
      </c>
      <c r="C169" t="str">
        <f>T("폭군의 눈물 22화")</f>
        <v>폭군의 눈물 22화</v>
      </c>
      <c r="D169" t="str">
        <f>T("22")</f>
        <v>22</v>
      </c>
      <c r="E169" t="str">
        <f>T("Ice×FANFAN COMIC")</f>
        <v>Ice×FANFAN COMIC</v>
      </c>
      <c r="G169" t="str">
        <f>T("Ice×FANFAN COMIC")</f>
        <v>Ice×FANFAN COMIC</v>
      </c>
      <c r="H169" t="str">
        <f t="shared" si="9"/>
        <v>스토리위즈</v>
      </c>
      <c r="I169" t="str">
        <f>T("폭군의 눈물")</f>
        <v>폭군의 눈물</v>
      </c>
      <c r="J169">
        <v>400</v>
      </c>
      <c r="K169">
        <v>400</v>
      </c>
      <c r="L169">
        <v>1</v>
      </c>
      <c r="M169">
        <v>0</v>
      </c>
      <c r="N169">
        <v>400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800</v>
      </c>
      <c r="AH169">
        <v>3</v>
      </c>
      <c r="AI169">
        <v>0</v>
      </c>
      <c r="AJ169">
        <v>0</v>
      </c>
      <c r="AK169">
        <v>400</v>
      </c>
      <c r="AL169">
        <v>0</v>
      </c>
      <c r="AM169">
        <v>400</v>
      </c>
      <c r="AN169">
        <v>0</v>
      </c>
      <c r="AO169">
        <v>0</v>
      </c>
      <c r="AP169">
        <v>560</v>
      </c>
      <c r="AR169" t="str">
        <f t="shared" si="7"/>
        <v>0000000000000</v>
      </c>
      <c r="AT169" t="str">
        <f>T("9791137601291")</f>
        <v>9791137601291</v>
      </c>
      <c r="AV169" t="str">
        <f t="shared" si="11"/>
        <v>웹툰 &gt; 해외 순정</v>
      </c>
    </row>
    <row r="170" spans="1:48" x14ac:dyDescent="0.4">
      <c r="A170">
        <v>4421000916</v>
      </c>
      <c r="B170">
        <v>4421001233</v>
      </c>
      <c r="C170" t="str">
        <f>T("별빛 아래 우리 55화")</f>
        <v>별빛 아래 우리 55화</v>
      </c>
      <c r="D170" t="str">
        <f>T("55")</f>
        <v>55</v>
      </c>
      <c r="E170" t="str">
        <f>T("건일")</f>
        <v>건일</v>
      </c>
      <c r="G170" t="str">
        <f>T("건일")</f>
        <v>건일</v>
      </c>
      <c r="H170" t="str">
        <f t="shared" si="9"/>
        <v>스토리위즈</v>
      </c>
      <c r="I170" t="str">
        <f>T("별빛 아래 우리")</f>
        <v>별빛 아래 우리</v>
      </c>
      <c r="J170">
        <v>400</v>
      </c>
      <c r="K170">
        <v>400</v>
      </c>
      <c r="L170">
        <v>1</v>
      </c>
      <c r="M170">
        <v>0</v>
      </c>
      <c r="N170">
        <v>1600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2000</v>
      </c>
      <c r="AH170">
        <v>9</v>
      </c>
      <c r="AI170">
        <v>0</v>
      </c>
      <c r="AJ170">
        <v>0</v>
      </c>
      <c r="AK170">
        <v>1800</v>
      </c>
      <c r="AL170">
        <v>0</v>
      </c>
      <c r="AM170">
        <v>200</v>
      </c>
      <c r="AN170">
        <v>0</v>
      </c>
      <c r="AO170">
        <v>0</v>
      </c>
      <c r="AP170">
        <v>1400</v>
      </c>
      <c r="AR170" t="str">
        <f t="shared" si="7"/>
        <v>0000000000000</v>
      </c>
      <c r="AT170" t="str">
        <f>T("9791137601413")</f>
        <v>9791137601413</v>
      </c>
      <c r="AV170" t="str">
        <f t="shared" si="11"/>
        <v>웹툰 &gt; 해외 순정</v>
      </c>
    </row>
    <row r="171" spans="1:48" x14ac:dyDescent="0.4">
      <c r="A171">
        <v>4421000916</v>
      </c>
      <c r="B171">
        <v>4421001167</v>
      </c>
      <c r="C171" t="str">
        <f>T("별빛 아래 우리 36화")</f>
        <v>별빛 아래 우리 36화</v>
      </c>
      <c r="D171" t="str">
        <f>T("36")</f>
        <v>36</v>
      </c>
      <c r="E171" t="str">
        <f>T("건일")</f>
        <v>건일</v>
      </c>
      <c r="G171" t="str">
        <f>T("건일")</f>
        <v>건일</v>
      </c>
      <c r="H171" t="str">
        <f t="shared" si="9"/>
        <v>스토리위즈</v>
      </c>
      <c r="I171" t="str">
        <f>T("별빛 아래 우리")</f>
        <v>별빛 아래 우리</v>
      </c>
      <c r="J171">
        <v>400</v>
      </c>
      <c r="K171">
        <v>400</v>
      </c>
      <c r="L171">
        <v>1</v>
      </c>
      <c r="M171">
        <v>0</v>
      </c>
      <c r="N171">
        <v>1400</v>
      </c>
      <c r="O171">
        <v>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1800</v>
      </c>
      <c r="AH171">
        <v>8</v>
      </c>
      <c r="AI171">
        <v>0</v>
      </c>
      <c r="AJ171">
        <v>0</v>
      </c>
      <c r="AK171">
        <v>1600</v>
      </c>
      <c r="AL171">
        <v>0</v>
      </c>
      <c r="AM171">
        <v>200</v>
      </c>
      <c r="AN171">
        <v>0</v>
      </c>
      <c r="AO171">
        <v>0</v>
      </c>
      <c r="AP171">
        <v>1260</v>
      </c>
      <c r="AR171" t="str">
        <f t="shared" si="7"/>
        <v>0000000000000</v>
      </c>
      <c r="AT171" t="str">
        <f>T("9791137601413")</f>
        <v>9791137601413</v>
      </c>
      <c r="AV171" t="str">
        <f t="shared" si="11"/>
        <v>웹툰 &gt; 해외 순정</v>
      </c>
    </row>
    <row r="172" spans="1:48" x14ac:dyDescent="0.4">
      <c r="A172">
        <v>4421000198</v>
      </c>
      <c r="B172">
        <v>4421000218</v>
      </c>
      <c r="C172" t="str">
        <f>T("공주전쟁 21화")</f>
        <v>공주전쟁 21화</v>
      </c>
      <c r="D172" t="str">
        <f>T("21")</f>
        <v>21</v>
      </c>
      <c r="E172" t="str">
        <f>T("Hujing")</f>
        <v>Hujing</v>
      </c>
      <c r="G172" t="str">
        <f>T("Luojie")</f>
        <v>Luojie</v>
      </c>
      <c r="H172" t="str">
        <f t="shared" si="9"/>
        <v>스토리위즈</v>
      </c>
      <c r="I172" t="str">
        <f>T("공주전쟁")</f>
        <v>공주전쟁</v>
      </c>
      <c r="J172">
        <v>400</v>
      </c>
      <c r="K172">
        <v>400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400</v>
      </c>
      <c r="AH172">
        <v>1</v>
      </c>
      <c r="AI172">
        <v>0</v>
      </c>
      <c r="AJ172">
        <v>0</v>
      </c>
      <c r="AK172">
        <v>400</v>
      </c>
      <c r="AL172">
        <v>0</v>
      </c>
      <c r="AM172">
        <v>0</v>
      </c>
      <c r="AN172">
        <v>0</v>
      </c>
      <c r="AO172">
        <v>0</v>
      </c>
      <c r="AP172">
        <v>280</v>
      </c>
      <c r="AR172" t="str">
        <f t="shared" si="7"/>
        <v>0000000000000</v>
      </c>
      <c r="AT172" t="str">
        <f>T("9791166069666")</f>
        <v>9791166069666</v>
      </c>
      <c r="AV172" t="str">
        <f t="shared" si="11"/>
        <v>웹툰 &gt; 해외 순정</v>
      </c>
    </row>
    <row r="173" spans="1:48" x14ac:dyDescent="0.4">
      <c r="A173">
        <v>4421000887</v>
      </c>
      <c r="B173">
        <v>4421001284</v>
      </c>
      <c r="C173" t="str">
        <f>T("폭군의 눈물 54화")</f>
        <v>폭군의 눈물 54화</v>
      </c>
      <c r="D173" t="str">
        <f>T("54")</f>
        <v>54</v>
      </c>
      <c r="E173" t="str">
        <f>T("Ice×FANFAN COMIC")</f>
        <v>Ice×FANFAN COMIC</v>
      </c>
      <c r="G173" t="str">
        <f>T("Ice×FANFAN COMIC")</f>
        <v>Ice×FANFAN COMIC</v>
      </c>
      <c r="H173" t="str">
        <f t="shared" si="9"/>
        <v>스토리위즈</v>
      </c>
      <c r="I173" t="str">
        <f>T("폭군의 눈물")</f>
        <v>폭군의 눈물</v>
      </c>
      <c r="J173">
        <v>400</v>
      </c>
      <c r="K173">
        <v>400</v>
      </c>
      <c r="L173">
        <v>1</v>
      </c>
      <c r="M173">
        <v>0</v>
      </c>
      <c r="N173">
        <v>600</v>
      </c>
      <c r="O173">
        <v>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1000</v>
      </c>
      <c r="AH173">
        <v>4</v>
      </c>
      <c r="AI173">
        <v>0</v>
      </c>
      <c r="AJ173">
        <v>0</v>
      </c>
      <c r="AK173">
        <v>600</v>
      </c>
      <c r="AL173">
        <v>0</v>
      </c>
      <c r="AM173">
        <v>400</v>
      </c>
      <c r="AN173">
        <v>0</v>
      </c>
      <c r="AO173">
        <v>0</v>
      </c>
      <c r="AP173">
        <v>700</v>
      </c>
      <c r="AR173" t="str">
        <f t="shared" si="7"/>
        <v>0000000000000</v>
      </c>
      <c r="AT173" t="str">
        <f>T("9791137601291")</f>
        <v>9791137601291</v>
      </c>
      <c r="AV173" t="str">
        <f t="shared" si="11"/>
        <v>웹툰 &gt; 해외 순정</v>
      </c>
    </row>
    <row r="174" spans="1:48" x14ac:dyDescent="0.4">
      <c r="A174">
        <v>4421000887</v>
      </c>
      <c r="B174">
        <v>4421000901</v>
      </c>
      <c r="C174" t="str">
        <f>T("폭군의 눈물 15화")</f>
        <v>폭군의 눈물 15화</v>
      </c>
      <c r="D174" t="str">
        <f>T("15")</f>
        <v>15</v>
      </c>
      <c r="E174" t="str">
        <f>T("Ice×FANFAN COMIC")</f>
        <v>Ice×FANFAN COMIC</v>
      </c>
      <c r="G174" t="str">
        <f>T("Ice×FANFAN COMIC")</f>
        <v>Ice×FANFAN COMIC</v>
      </c>
      <c r="H174" t="str">
        <f t="shared" si="9"/>
        <v>스토리위즈</v>
      </c>
      <c r="I174" t="str">
        <f>T("폭군의 눈물")</f>
        <v>폭군의 눈물</v>
      </c>
      <c r="J174">
        <v>400</v>
      </c>
      <c r="K174">
        <v>400</v>
      </c>
      <c r="L174">
        <v>1</v>
      </c>
      <c r="M174">
        <v>0</v>
      </c>
      <c r="N174">
        <v>400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800</v>
      </c>
      <c r="AH174">
        <v>3</v>
      </c>
      <c r="AI174">
        <v>0</v>
      </c>
      <c r="AJ174">
        <v>0</v>
      </c>
      <c r="AK174">
        <v>400</v>
      </c>
      <c r="AL174">
        <v>0</v>
      </c>
      <c r="AM174">
        <v>400</v>
      </c>
      <c r="AN174">
        <v>0</v>
      </c>
      <c r="AO174">
        <v>0</v>
      </c>
      <c r="AP174">
        <v>560</v>
      </c>
      <c r="AR174" t="str">
        <f t="shared" si="7"/>
        <v>0000000000000</v>
      </c>
      <c r="AT174" t="str">
        <f>T("9791137601291")</f>
        <v>9791137601291</v>
      </c>
      <c r="AV174" t="str">
        <f t="shared" si="11"/>
        <v>웹툰 &gt; 해외 순정</v>
      </c>
    </row>
    <row r="175" spans="1:48" x14ac:dyDescent="0.4">
      <c r="A175">
        <v>4421000198</v>
      </c>
      <c r="B175">
        <v>4421000856</v>
      </c>
      <c r="C175" t="str">
        <f>T("공주전쟁 57화")</f>
        <v>공주전쟁 57화</v>
      </c>
      <c r="D175" t="str">
        <f>T("57")</f>
        <v>57</v>
      </c>
      <c r="E175" t="str">
        <f>T("Hujing")</f>
        <v>Hujing</v>
      </c>
      <c r="G175" t="str">
        <f>T("Luojie")</f>
        <v>Luojie</v>
      </c>
      <c r="H175" t="str">
        <f t="shared" si="9"/>
        <v>스토리위즈</v>
      </c>
      <c r="I175" t="str">
        <f>T("공주전쟁")</f>
        <v>공주전쟁</v>
      </c>
      <c r="J175">
        <v>400</v>
      </c>
      <c r="K175">
        <v>400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400</v>
      </c>
      <c r="AH175">
        <v>1</v>
      </c>
      <c r="AI175">
        <v>0</v>
      </c>
      <c r="AJ175">
        <v>0</v>
      </c>
      <c r="AK175">
        <v>400</v>
      </c>
      <c r="AL175">
        <v>0</v>
      </c>
      <c r="AM175">
        <v>0</v>
      </c>
      <c r="AN175">
        <v>0</v>
      </c>
      <c r="AO175">
        <v>0</v>
      </c>
      <c r="AP175">
        <v>280</v>
      </c>
      <c r="AR175" t="str">
        <f t="shared" si="7"/>
        <v>0000000000000</v>
      </c>
      <c r="AT175" t="str">
        <f>T("9791166069666")</f>
        <v>9791166069666</v>
      </c>
      <c r="AV175" t="str">
        <f t="shared" si="11"/>
        <v>웹툰 &gt; 해외 순정</v>
      </c>
    </row>
    <row r="176" spans="1:48" x14ac:dyDescent="0.4">
      <c r="A176">
        <v>4421000198</v>
      </c>
      <c r="B176">
        <v>4421000211</v>
      </c>
      <c r="C176" t="str">
        <f>T("공주전쟁 14화")</f>
        <v>공주전쟁 14화</v>
      </c>
      <c r="D176" t="str">
        <f>T("14")</f>
        <v>14</v>
      </c>
      <c r="E176" t="str">
        <f>T("Hujing")</f>
        <v>Hujing</v>
      </c>
      <c r="G176" t="str">
        <f>T("Luojie")</f>
        <v>Luojie</v>
      </c>
      <c r="H176" t="str">
        <f t="shared" si="9"/>
        <v>스토리위즈</v>
      </c>
      <c r="I176" t="str">
        <f>T("공주전쟁")</f>
        <v>공주전쟁</v>
      </c>
      <c r="J176">
        <v>400</v>
      </c>
      <c r="K176">
        <v>400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400</v>
      </c>
      <c r="AH176">
        <v>1</v>
      </c>
      <c r="AI176">
        <v>0</v>
      </c>
      <c r="AJ176">
        <v>0</v>
      </c>
      <c r="AK176">
        <v>400</v>
      </c>
      <c r="AL176">
        <v>0</v>
      </c>
      <c r="AM176">
        <v>0</v>
      </c>
      <c r="AN176">
        <v>0</v>
      </c>
      <c r="AO176">
        <v>0</v>
      </c>
      <c r="AP176">
        <v>280</v>
      </c>
      <c r="AR176" t="str">
        <f t="shared" si="7"/>
        <v>0000000000000</v>
      </c>
      <c r="AT176" t="str">
        <f>T("9791166069666")</f>
        <v>9791166069666</v>
      </c>
      <c r="AV176" t="str">
        <f t="shared" si="11"/>
        <v>웹툰 &gt; 해외 순정</v>
      </c>
    </row>
    <row r="177" spans="1:48" x14ac:dyDescent="0.4">
      <c r="A177">
        <v>4421000887</v>
      </c>
      <c r="B177">
        <v>4421000894</v>
      </c>
      <c r="C177" t="str">
        <f>T("폭군의 눈물 8화")</f>
        <v>폭군의 눈물 8화</v>
      </c>
      <c r="D177" t="str">
        <f>T("8")</f>
        <v>8</v>
      </c>
      <c r="E177" t="str">
        <f>T("Ice×FANFAN COMIC")</f>
        <v>Ice×FANFAN COMIC</v>
      </c>
      <c r="G177" t="str">
        <f>T("Ice×FANFAN COMIC")</f>
        <v>Ice×FANFAN COMIC</v>
      </c>
      <c r="H177" t="str">
        <f t="shared" si="9"/>
        <v>스토리위즈</v>
      </c>
      <c r="I177" t="str">
        <f>T("폭군의 눈물")</f>
        <v>폭군의 눈물</v>
      </c>
      <c r="J177">
        <v>400</v>
      </c>
      <c r="K177">
        <v>400</v>
      </c>
      <c r="L177">
        <v>1</v>
      </c>
      <c r="M177">
        <v>0</v>
      </c>
      <c r="N177">
        <v>400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800</v>
      </c>
      <c r="AH177">
        <v>3</v>
      </c>
      <c r="AI177">
        <v>0</v>
      </c>
      <c r="AJ177">
        <v>0</v>
      </c>
      <c r="AK177">
        <v>400</v>
      </c>
      <c r="AL177">
        <v>0</v>
      </c>
      <c r="AM177">
        <v>400</v>
      </c>
      <c r="AN177">
        <v>0</v>
      </c>
      <c r="AO177">
        <v>0</v>
      </c>
      <c r="AP177">
        <v>560</v>
      </c>
      <c r="AR177" t="str">
        <f t="shared" si="7"/>
        <v>0000000000000</v>
      </c>
      <c r="AT177" t="str">
        <f>T("9791137601291")</f>
        <v>9791137601291</v>
      </c>
      <c r="AV177" t="str">
        <f t="shared" si="11"/>
        <v>웹툰 &gt; 해외 순정</v>
      </c>
    </row>
    <row r="178" spans="1:48" x14ac:dyDescent="0.4">
      <c r="A178">
        <v>4421000916</v>
      </c>
      <c r="B178">
        <v>4421001210</v>
      </c>
      <c r="C178" t="str">
        <f>T("별빛 아래 우리 47화")</f>
        <v>별빛 아래 우리 47화</v>
      </c>
      <c r="D178" t="str">
        <f>T("47")</f>
        <v>47</v>
      </c>
      <c r="E178" t="str">
        <f>T("건일")</f>
        <v>건일</v>
      </c>
      <c r="G178" t="str">
        <f>T("건일")</f>
        <v>건일</v>
      </c>
      <c r="H178" t="str">
        <f t="shared" si="9"/>
        <v>스토리위즈</v>
      </c>
      <c r="I178" t="str">
        <f>T("별빛 아래 우리")</f>
        <v>별빛 아래 우리</v>
      </c>
      <c r="J178">
        <v>400</v>
      </c>
      <c r="K178">
        <v>400</v>
      </c>
      <c r="L178">
        <v>1</v>
      </c>
      <c r="M178">
        <v>0</v>
      </c>
      <c r="N178">
        <v>1600</v>
      </c>
      <c r="O178">
        <v>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2000</v>
      </c>
      <c r="AH178">
        <v>9</v>
      </c>
      <c r="AI178">
        <v>0</v>
      </c>
      <c r="AJ178">
        <v>0</v>
      </c>
      <c r="AK178">
        <v>1800</v>
      </c>
      <c r="AL178">
        <v>0</v>
      </c>
      <c r="AM178">
        <v>200</v>
      </c>
      <c r="AN178">
        <v>0</v>
      </c>
      <c r="AO178">
        <v>0</v>
      </c>
      <c r="AP178">
        <v>1400</v>
      </c>
      <c r="AR178" t="str">
        <f t="shared" si="7"/>
        <v>0000000000000</v>
      </c>
      <c r="AT178" t="str">
        <f>T("9791137601413")</f>
        <v>9791137601413</v>
      </c>
      <c r="AV178" t="str">
        <f t="shared" si="11"/>
        <v>웹툰 &gt; 해외 순정</v>
      </c>
    </row>
    <row r="179" spans="1:48" x14ac:dyDescent="0.4">
      <c r="A179">
        <v>4421000198</v>
      </c>
      <c r="B179">
        <v>4421000243</v>
      </c>
      <c r="C179" t="str">
        <f>T("공주전쟁 46화")</f>
        <v>공주전쟁 46화</v>
      </c>
      <c r="D179" t="str">
        <f>T("46")</f>
        <v>46</v>
      </c>
      <c r="E179" t="str">
        <f>T("Hujing")</f>
        <v>Hujing</v>
      </c>
      <c r="G179" t="str">
        <f>T("Luojie")</f>
        <v>Luojie</v>
      </c>
      <c r="H179" t="str">
        <f t="shared" si="9"/>
        <v>스토리위즈</v>
      </c>
      <c r="I179" t="str">
        <f>T("공주전쟁")</f>
        <v>공주전쟁</v>
      </c>
      <c r="J179">
        <v>400</v>
      </c>
      <c r="K179">
        <v>400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400</v>
      </c>
      <c r="AH179">
        <v>1</v>
      </c>
      <c r="AI179">
        <v>0</v>
      </c>
      <c r="AJ179">
        <v>0</v>
      </c>
      <c r="AK179">
        <v>400</v>
      </c>
      <c r="AL179">
        <v>0</v>
      </c>
      <c r="AM179">
        <v>0</v>
      </c>
      <c r="AN179">
        <v>0</v>
      </c>
      <c r="AO179">
        <v>0</v>
      </c>
      <c r="AP179">
        <v>280</v>
      </c>
      <c r="AR179" t="str">
        <f t="shared" si="7"/>
        <v>0000000000000</v>
      </c>
      <c r="AT179" t="str">
        <f>T("9791166069666")</f>
        <v>9791166069666</v>
      </c>
      <c r="AV179" t="str">
        <f t="shared" si="11"/>
        <v>웹툰 &gt; 해외 순정</v>
      </c>
    </row>
    <row r="180" spans="1:48" x14ac:dyDescent="0.4">
      <c r="A180">
        <v>4421000887</v>
      </c>
      <c r="B180">
        <v>4421000982</v>
      </c>
      <c r="C180" t="str">
        <f>T("폭군의 눈물 30화")</f>
        <v>폭군의 눈물 30화</v>
      </c>
      <c r="D180" t="str">
        <f>T("30")</f>
        <v>30</v>
      </c>
      <c r="E180" t="str">
        <f>T("Ice×FANFAN COMIC")</f>
        <v>Ice×FANFAN COMIC</v>
      </c>
      <c r="G180" t="str">
        <f>T("Ice×FANFAN COMIC")</f>
        <v>Ice×FANFAN COMIC</v>
      </c>
      <c r="H180" t="str">
        <f t="shared" si="9"/>
        <v>스토리위즈</v>
      </c>
      <c r="I180" t="str">
        <f>T("폭군의 눈물")</f>
        <v>폭군의 눈물</v>
      </c>
      <c r="J180">
        <v>400</v>
      </c>
      <c r="K180">
        <v>400</v>
      </c>
      <c r="L180">
        <v>1</v>
      </c>
      <c r="M180">
        <v>0</v>
      </c>
      <c r="N180">
        <v>400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800</v>
      </c>
      <c r="AH180">
        <v>3</v>
      </c>
      <c r="AI180">
        <v>0</v>
      </c>
      <c r="AJ180">
        <v>0</v>
      </c>
      <c r="AK180">
        <v>400</v>
      </c>
      <c r="AL180">
        <v>0</v>
      </c>
      <c r="AM180">
        <v>400</v>
      </c>
      <c r="AN180">
        <v>0</v>
      </c>
      <c r="AO180">
        <v>0</v>
      </c>
      <c r="AP180">
        <v>560</v>
      </c>
      <c r="AR180" t="str">
        <f t="shared" si="7"/>
        <v>0000000000000</v>
      </c>
      <c r="AT180" t="str">
        <f>T("9791137601291")</f>
        <v>9791137601291</v>
      </c>
      <c r="AV180" t="str">
        <f t="shared" si="11"/>
        <v>웹툰 &gt; 해외 순정</v>
      </c>
    </row>
    <row r="181" spans="1:48" x14ac:dyDescent="0.4">
      <c r="A181">
        <v>4421000198</v>
      </c>
      <c r="B181">
        <v>4421000204</v>
      </c>
      <c r="C181" t="str">
        <f>T("공주전쟁 7화")</f>
        <v>공주전쟁 7화</v>
      </c>
      <c r="D181" t="str">
        <f>T("7")</f>
        <v>7</v>
      </c>
      <c r="E181" t="str">
        <f>T("Hujing")</f>
        <v>Hujing</v>
      </c>
      <c r="G181" t="str">
        <f>T("Luojie")</f>
        <v>Luojie</v>
      </c>
      <c r="H181" t="str">
        <f t="shared" si="9"/>
        <v>스토리위즈</v>
      </c>
      <c r="I181" t="str">
        <f>T("공주전쟁")</f>
        <v>공주전쟁</v>
      </c>
      <c r="J181">
        <v>400</v>
      </c>
      <c r="K181">
        <v>400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400</v>
      </c>
      <c r="AH181">
        <v>1</v>
      </c>
      <c r="AI181">
        <v>0</v>
      </c>
      <c r="AJ181">
        <v>0</v>
      </c>
      <c r="AK181">
        <v>400</v>
      </c>
      <c r="AL181">
        <v>0</v>
      </c>
      <c r="AM181">
        <v>0</v>
      </c>
      <c r="AN181">
        <v>0</v>
      </c>
      <c r="AO181">
        <v>0</v>
      </c>
      <c r="AP181">
        <v>280</v>
      </c>
      <c r="AR181" t="str">
        <f t="shared" si="7"/>
        <v>0000000000000</v>
      </c>
      <c r="AT181" t="str">
        <f>T("9791166069666")</f>
        <v>9791166069666</v>
      </c>
      <c r="AV181" t="str">
        <f t="shared" si="11"/>
        <v>웹툰 &gt; 해외 순정</v>
      </c>
    </row>
    <row r="182" spans="1:48" x14ac:dyDescent="0.4">
      <c r="A182">
        <v>4421000198</v>
      </c>
      <c r="B182">
        <v>4421001270</v>
      </c>
      <c r="C182" t="str">
        <f>T("공주전쟁 82화")</f>
        <v>공주전쟁 82화</v>
      </c>
      <c r="D182" t="str">
        <f>T("82")</f>
        <v>82</v>
      </c>
      <c r="E182" t="str">
        <f>T("Hujing")</f>
        <v>Hujing</v>
      </c>
      <c r="G182" t="str">
        <f>T("Luojie")</f>
        <v>Luojie</v>
      </c>
      <c r="H182" t="str">
        <f t="shared" si="9"/>
        <v>스토리위즈</v>
      </c>
      <c r="I182" t="str">
        <f>T("공주전쟁")</f>
        <v>공주전쟁</v>
      </c>
      <c r="J182">
        <v>400</v>
      </c>
      <c r="K182">
        <v>400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400</v>
      </c>
      <c r="AH182">
        <v>1</v>
      </c>
      <c r="AI182">
        <v>0</v>
      </c>
      <c r="AJ182">
        <v>0</v>
      </c>
      <c r="AK182">
        <v>400</v>
      </c>
      <c r="AL182">
        <v>0</v>
      </c>
      <c r="AM182">
        <v>0</v>
      </c>
      <c r="AN182">
        <v>0</v>
      </c>
      <c r="AO182">
        <v>0</v>
      </c>
      <c r="AP182">
        <v>280</v>
      </c>
      <c r="AR182" t="str">
        <f t="shared" si="7"/>
        <v>0000000000000</v>
      </c>
      <c r="AT182" t="str">
        <f>T("9791166069666")</f>
        <v>9791166069666</v>
      </c>
      <c r="AV182" t="str">
        <f t="shared" si="11"/>
        <v>웹툰 &gt; 해외 순정</v>
      </c>
    </row>
    <row r="183" spans="1:48" x14ac:dyDescent="0.4">
      <c r="A183">
        <v>4421000916</v>
      </c>
      <c r="B183">
        <v>4421001198</v>
      </c>
      <c r="C183" t="str">
        <f>T("별빛 아래 우리 44화")</f>
        <v>별빛 아래 우리 44화</v>
      </c>
      <c r="D183" t="str">
        <f>T("44")</f>
        <v>44</v>
      </c>
      <c r="E183" t="str">
        <f>T("건일")</f>
        <v>건일</v>
      </c>
      <c r="G183" t="str">
        <f>T("건일")</f>
        <v>건일</v>
      </c>
      <c r="H183" t="str">
        <f t="shared" si="9"/>
        <v>스토리위즈</v>
      </c>
      <c r="I183" t="str">
        <f>T("별빛 아래 우리")</f>
        <v>별빛 아래 우리</v>
      </c>
      <c r="J183">
        <v>400</v>
      </c>
      <c r="K183">
        <v>400</v>
      </c>
      <c r="L183">
        <v>1</v>
      </c>
      <c r="M183">
        <v>0</v>
      </c>
      <c r="N183">
        <v>1600</v>
      </c>
      <c r="O183">
        <v>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2000</v>
      </c>
      <c r="AH183">
        <v>9</v>
      </c>
      <c r="AI183">
        <v>0</v>
      </c>
      <c r="AJ183">
        <v>0</v>
      </c>
      <c r="AK183">
        <v>1800</v>
      </c>
      <c r="AL183">
        <v>0</v>
      </c>
      <c r="AM183">
        <v>200</v>
      </c>
      <c r="AN183">
        <v>0</v>
      </c>
      <c r="AO183">
        <v>0</v>
      </c>
      <c r="AP183">
        <v>1400</v>
      </c>
      <c r="AR183" t="str">
        <f t="shared" si="7"/>
        <v>0000000000000</v>
      </c>
      <c r="AT183" t="str">
        <f>T("9791137601413")</f>
        <v>9791137601413</v>
      </c>
      <c r="AV183" t="str">
        <f t="shared" si="11"/>
        <v>웹툰 &gt; 해외 순정</v>
      </c>
    </row>
    <row r="184" spans="1:48" x14ac:dyDescent="0.4">
      <c r="A184">
        <v>4421000198</v>
      </c>
      <c r="B184">
        <v>4421000236</v>
      </c>
      <c r="C184" t="str">
        <f>T("공주전쟁 39화")</f>
        <v>공주전쟁 39화</v>
      </c>
      <c r="D184" t="str">
        <f>T("39")</f>
        <v>39</v>
      </c>
      <c r="E184" t="str">
        <f>T("Hujing")</f>
        <v>Hujing</v>
      </c>
      <c r="G184" t="str">
        <f>T("Luojie")</f>
        <v>Luojie</v>
      </c>
      <c r="H184" t="str">
        <f t="shared" si="9"/>
        <v>스토리위즈</v>
      </c>
      <c r="I184" t="str">
        <f>T("공주전쟁")</f>
        <v>공주전쟁</v>
      </c>
      <c r="J184">
        <v>400</v>
      </c>
      <c r="K184">
        <v>400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400</v>
      </c>
      <c r="AH184">
        <v>1</v>
      </c>
      <c r="AI184">
        <v>0</v>
      </c>
      <c r="AJ184">
        <v>0</v>
      </c>
      <c r="AK184">
        <v>400</v>
      </c>
      <c r="AL184">
        <v>0</v>
      </c>
      <c r="AM184">
        <v>0</v>
      </c>
      <c r="AN184">
        <v>0</v>
      </c>
      <c r="AO184">
        <v>0</v>
      </c>
      <c r="AP184">
        <v>280</v>
      </c>
      <c r="AR184" t="str">
        <f t="shared" si="7"/>
        <v>0000000000000</v>
      </c>
      <c r="AT184" t="str">
        <f>T("9791166069666")</f>
        <v>9791166069666</v>
      </c>
      <c r="AV184" t="str">
        <f t="shared" si="11"/>
        <v>웹툰 &gt; 해외 순정</v>
      </c>
    </row>
    <row r="185" spans="1:48" x14ac:dyDescent="0.4">
      <c r="A185">
        <v>4421000916</v>
      </c>
      <c r="B185">
        <v>4421000919</v>
      </c>
      <c r="C185" t="str">
        <f>T("별빛 아래 우리 4화")</f>
        <v>별빛 아래 우리 4화</v>
      </c>
      <c r="D185" t="str">
        <f>T("4")</f>
        <v>4</v>
      </c>
      <c r="E185" t="str">
        <f>T("건일")</f>
        <v>건일</v>
      </c>
      <c r="G185" t="str">
        <f>T("건일")</f>
        <v>건일</v>
      </c>
      <c r="H185" t="str">
        <f t="shared" si="9"/>
        <v>스토리위즈</v>
      </c>
      <c r="I185" t="str">
        <f>T("별빛 아래 우리")</f>
        <v>별빛 아래 우리</v>
      </c>
      <c r="J185">
        <v>400</v>
      </c>
      <c r="K185">
        <v>400</v>
      </c>
      <c r="L185">
        <v>1</v>
      </c>
      <c r="M185">
        <v>0</v>
      </c>
      <c r="N185">
        <v>0</v>
      </c>
      <c r="O185">
        <v>0</v>
      </c>
      <c r="P185">
        <v>38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400</v>
      </c>
      <c r="AH185">
        <v>39</v>
      </c>
      <c r="AI185">
        <v>0</v>
      </c>
      <c r="AJ185">
        <v>0</v>
      </c>
      <c r="AK185">
        <v>400</v>
      </c>
      <c r="AL185">
        <v>0</v>
      </c>
      <c r="AM185">
        <v>0</v>
      </c>
      <c r="AN185">
        <v>0</v>
      </c>
      <c r="AO185">
        <v>0</v>
      </c>
      <c r="AP185">
        <v>280</v>
      </c>
      <c r="AR185" t="str">
        <f t="shared" si="7"/>
        <v>0000000000000</v>
      </c>
      <c r="AT185" t="str">
        <f>T("9791137601413")</f>
        <v>9791137601413</v>
      </c>
      <c r="AV185" t="str">
        <f t="shared" si="11"/>
        <v>웹툰 &gt; 해외 순정</v>
      </c>
    </row>
    <row r="186" spans="1:48" x14ac:dyDescent="0.4">
      <c r="A186">
        <v>4421000887</v>
      </c>
      <c r="B186">
        <v>4421000958</v>
      </c>
      <c r="C186" t="str">
        <f>T("폭군의 눈물 29화")</f>
        <v>폭군의 눈물 29화</v>
      </c>
      <c r="D186" t="str">
        <f>T("29")</f>
        <v>29</v>
      </c>
      <c r="E186" t="str">
        <f>T("Ice×FANFAN COMIC")</f>
        <v>Ice×FANFAN COMIC</v>
      </c>
      <c r="G186" t="str">
        <f>T("Ice×FANFAN COMIC")</f>
        <v>Ice×FANFAN COMIC</v>
      </c>
      <c r="H186" t="str">
        <f t="shared" si="9"/>
        <v>스토리위즈</v>
      </c>
      <c r="I186" t="str">
        <f>T("폭군의 눈물")</f>
        <v>폭군의 눈물</v>
      </c>
      <c r="J186">
        <v>400</v>
      </c>
      <c r="K186">
        <v>400</v>
      </c>
      <c r="L186">
        <v>1</v>
      </c>
      <c r="M186">
        <v>0</v>
      </c>
      <c r="N186">
        <v>400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800</v>
      </c>
      <c r="AH186">
        <v>3</v>
      </c>
      <c r="AI186">
        <v>0</v>
      </c>
      <c r="AJ186">
        <v>0</v>
      </c>
      <c r="AK186">
        <v>400</v>
      </c>
      <c r="AL186">
        <v>0</v>
      </c>
      <c r="AM186">
        <v>400</v>
      </c>
      <c r="AN186">
        <v>0</v>
      </c>
      <c r="AO186">
        <v>0</v>
      </c>
      <c r="AP186">
        <v>560</v>
      </c>
      <c r="AR186" t="str">
        <f t="shared" ref="AR186:AR235" si="12">T("0000000000000")</f>
        <v>0000000000000</v>
      </c>
      <c r="AT186" t="str">
        <f>T("9791137601291")</f>
        <v>9791137601291</v>
      </c>
      <c r="AV186" t="str">
        <f t="shared" si="11"/>
        <v>웹툰 &gt; 해외 순정</v>
      </c>
    </row>
    <row r="187" spans="1:48" x14ac:dyDescent="0.4">
      <c r="A187">
        <v>4421001340</v>
      </c>
      <c r="B187">
        <v>4421001349</v>
      </c>
      <c r="C187" t="str">
        <f>T("가출천사 육성계약 10화")</f>
        <v>가출천사 육성계약 10화</v>
      </c>
      <c r="D187" t="str">
        <f>T("10")</f>
        <v>10</v>
      </c>
      <c r="E187" t="str">
        <f>T("Bae.C, IIAKI, 박제후")</f>
        <v>Bae.C, IIAKI, 박제후</v>
      </c>
      <c r="G187" t="str">
        <f>T("Bae.C, 조우")</f>
        <v>Bae.C, 조우</v>
      </c>
      <c r="H187" t="str">
        <f t="shared" si="9"/>
        <v>스토리위즈</v>
      </c>
      <c r="I187" t="str">
        <f>T("가출천사 육성계약")</f>
        <v>가출천사 육성계약</v>
      </c>
      <c r="J187">
        <v>400</v>
      </c>
      <c r="K187">
        <v>400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400</v>
      </c>
      <c r="AH187">
        <v>1</v>
      </c>
      <c r="AI187">
        <v>0</v>
      </c>
      <c r="AJ187">
        <v>0</v>
      </c>
      <c r="AK187">
        <v>400</v>
      </c>
      <c r="AL187">
        <v>0</v>
      </c>
      <c r="AM187">
        <v>0</v>
      </c>
      <c r="AN187">
        <v>0</v>
      </c>
      <c r="AO187">
        <v>0</v>
      </c>
      <c r="AP187">
        <v>280</v>
      </c>
      <c r="AR187" t="str">
        <f t="shared" si="12"/>
        <v>0000000000000</v>
      </c>
      <c r="AT187" t="str">
        <f>T("9791191765663")</f>
        <v>9791191765663</v>
      </c>
      <c r="AV187" t="str">
        <f>T("웹툰 &gt; 판타지/SF")</f>
        <v>웹툰 &gt; 판타지/SF</v>
      </c>
    </row>
    <row r="188" spans="1:48" x14ac:dyDescent="0.4">
      <c r="A188">
        <v>4421000198</v>
      </c>
      <c r="B188">
        <v>4421000261</v>
      </c>
      <c r="C188" t="str">
        <f>T("공주전쟁 53화")</f>
        <v>공주전쟁 53화</v>
      </c>
      <c r="D188" t="str">
        <f>T("53")</f>
        <v>53</v>
      </c>
      <c r="E188" t="str">
        <f>T("Hujing")</f>
        <v>Hujing</v>
      </c>
      <c r="G188" t="str">
        <f>T("Luojie")</f>
        <v>Luojie</v>
      </c>
      <c r="H188" t="str">
        <f t="shared" si="9"/>
        <v>스토리위즈</v>
      </c>
      <c r="I188" t="str">
        <f>T("공주전쟁")</f>
        <v>공주전쟁</v>
      </c>
      <c r="J188">
        <v>400</v>
      </c>
      <c r="K188">
        <v>400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400</v>
      </c>
      <c r="AH188">
        <v>1</v>
      </c>
      <c r="AI188">
        <v>0</v>
      </c>
      <c r="AJ188">
        <v>0</v>
      </c>
      <c r="AK188">
        <v>400</v>
      </c>
      <c r="AL188">
        <v>0</v>
      </c>
      <c r="AM188">
        <v>0</v>
      </c>
      <c r="AN188">
        <v>0</v>
      </c>
      <c r="AO188">
        <v>0</v>
      </c>
      <c r="AP188">
        <v>280</v>
      </c>
      <c r="AR188" t="str">
        <f t="shared" si="12"/>
        <v>0000000000000</v>
      </c>
      <c r="AT188" t="str">
        <f>T("9791166069666")</f>
        <v>9791166069666</v>
      </c>
      <c r="AV188" t="str">
        <f t="shared" ref="AV188:AV235" si="13">T("웹툰 &gt; 해외 순정")</f>
        <v>웹툰 &gt; 해외 순정</v>
      </c>
    </row>
    <row r="189" spans="1:48" x14ac:dyDescent="0.4">
      <c r="A189">
        <v>4421000198</v>
      </c>
      <c r="B189">
        <v>4421000951</v>
      </c>
      <c r="C189" t="str">
        <f>T("공주전쟁 63화")</f>
        <v>공주전쟁 63화</v>
      </c>
      <c r="D189" t="str">
        <f>T("63")</f>
        <v>63</v>
      </c>
      <c r="E189" t="str">
        <f>T("Hujing")</f>
        <v>Hujing</v>
      </c>
      <c r="G189" t="str">
        <f>T("Luojie")</f>
        <v>Luojie</v>
      </c>
      <c r="H189" t="str">
        <f t="shared" si="9"/>
        <v>스토리위즈</v>
      </c>
      <c r="I189" t="str">
        <f>T("공주전쟁")</f>
        <v>공주전쟁</v>
      </c>
      <c r="J189">
        <v>400</v>
      </c>
      <c r="K189">
        <v>400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400</v>
      </c>
      <c r="AH189">
        <v>1</v>
      </c>
      <c r="AI189">
        <v>0</v>
      </c>
      <c r="AJ189">
        <v>0</v>
      </c>
      <c r="AK189">
        <v>400</v>
      </c>
      <c r="AL189">
        <v>0</v>
      </c>
      <c r="AM189">
        <v>0</v>
      </c>
      <c r="AN189">
        <v>0</v>
      </c>
      <c r="AO189">
        <v>0</v>
      </c>
      <c r="AP189">
        <v>280</v>
      </c>
      <c r="AR189" t="str">
        <f t="shared" si="12"/>
        <v>0000000000000</v>
      </c>
      <c r="AT189" t="str">
        <f>T("9791166069666")</f>
        <v>9791166069666</v>
      </c>
      <c r="AV189" t="str">
        <f t="shared" si="13"/>
        <v>웹툰 &gt; 해외 순정</v>
      </c>
    </row>
    <row r="190" spans="1:48" x14ac:dyDescent="0.4">
      <c r="A190">
        <v>4421001305</v>
      </c>
      <c r="B190">
        <v>4421001307</v>
      </c>
      <c r="C190" t="str">
        <f>T("악역이지만, 남주는 꼬시지 않아요 3화")</f>
        <v>악역이지만, 남주는 꼬시지 않아요 3화</v>
      </c>
      <c r="D190" t="str">
        <f>T("3")</f>
        <v>3</v>
      </c>
      <c r="E190" t="str">
        <f>T("마북명")</f>
        <v>마북명</v>
      </c>
      <c r="G190" t="str">
        <f>T("kuri")</f>
        <v>kuri</v>
      </c>
      <c r="H190" t="str">
        <f t="shared" si="9"/>
        <v>스토리위즈</v>
      </c>
      <c r="I190" t="str">
        <f>T("악역이지만, 남주는 꼬시지 않아요")</f>
        <v>악역이지만, 남주는 꼬시지 않아요</v>
      </c>
      <c r="J190">
        <v>400</v>
      </c>
      <c r="K190">
        <v>400</v>
      </c>
      <c r="L190">
        <v>1</v>
      </c>
      <c r="M190">
        <v>0</v>
      </c>
      <c r="N190">
        <v>0</v>
      </c>
      <c r="O190">
        <v>0</v>
      </c>
      <c r="P190">
        <v>30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400</v>
      </c>
      <c r="AH190">
        <v>31</v>
      </c>
      <c r="AI190">
        <v>0</v>
      </c>
      <c r="AJ190">
        <v>0</v>
      </c>
      <c r="AK190">
        <v>400</v>
      </c>
      <c r="AL190">
        <v>0</v>
      </c>
      <c r="AM190">
        <v>0</v>
      </c>
      <c r="AN190">
        <v>0</v>
      </c>
      <c r="AO190">
        <v>0</v>
      </c>
      <c r="AP190">
        <v>280</v>
      </c>
      <c r="AR190" t="str">
        <f t="shared" si="12"/>
        <v>0000000000000</v>
      </c>
      <c r="AT190" t="str">
        <f>T("9791137603882")</f>
        <v>9791137603882</v>
      </c>
      <c r="AV190" t="str">
        <f t="shared" si="13"/>
        <v>웹툰 &gt; 해외 순정</v>
      </c>
    </row>
    <row r="191" spans="1:48" x14ac:dyDescent="0.4">
      <c r="A191">
        <v>4421001305</v>
      </c>
      <c r="B191">
        <v>4421001457</v>
      </c>
      <c r="C191" t="str">
        <f>T("악역이지만, 남주는 꼬시지 않아요 21화")</f>
        <v>악역이지만, 남주는 꼬시지 않아요 21화</v>
      </c>
      <c r="D191" t="str">
        <f>T("21")</f>
        <v>21</v>
      </c>
      <c r="E191" t="str">
        <f>T("마북명")</f>
        <v>마북명</v>
      </c>
      <c r="G191" t="str">
        <f>T("kuri")</f>
        <v>kuri</v>
      </c>
      <c r="H191" t="str">
        <f t="shared" si="9"/>
        <v>스토리위즈</v>
      </c>
      <c r="I191" t="str">
        <f>T("악역이지만, 남주는 꼬시지 않아요")</f>
        <v>악역이지만, 남주는 꼬시지 않아요</v>
      </c>
      <c r="J191">
        <v>400</v>
      </c>
      <c r="K191">
        <v>400</v>
      </c>
      <c r="L191">
        <v>1</v>
      </c>
      <c r="M191">
        <v>0</v>
      </c>
      <c r="N191">
        <v>2600</v>
      </c>
      <c r="O191">
        <v>13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3000</v>
      </c>
      <c r="AH191">
        <v>14</v>
      </c>
      <c r="AI191">
        <v>0</v>
      </c>
      <c r="AJ191">
        <v>0</v>
      </c>
      <c r="AK191">
        <v>2800</v>
      </c>
      <c r="AL191">
        <v>0</v>
      </c>
      <c r="AM191">
        <v>200</v>
      </c>
      <c r="AN191">
        <v>0</v>
      </c>
      <c r="AO191">
        <v>0</v>
      </c>
      <c r="AP191">
        <v>2100</v>
      </c>
      <c r="AR191" t="str">
        <f t="shared" si="12"/>
        <v>0000000000000</v>
      </c>
      <c r="AT191" t="str">
        <f>T("9791137603882")</f>
        <v>9791137603882</v>
      </c>
      <c r="AV191" t="str">
        <f t="shared" si="13"/>
        <v>웹툰 &gt; 해외 순정</v>
      </c>
    </row>
    <row r="192" spans="1:48" x14ac:dyDescent="0.4">
      <c r="A192">
        <v>4421000887</v>
      </c>
      <c r="B192">
        <v>4421001258</v>
      </c>
      <c r="C192" t="str">
        <f>T("폭군의 눈물 47화")</f>
        <v>폭군의 눈물 47화</v>
      </c>
      <c r="D192" t="str">
        <f>T("47")</f>
        <v>47</v>
      </c>
      <c r="E192" t="str">
        <f>T("Ice×FANFAN COMIC")</f>
        <v>Ice×FANFAN COMIC</v>
      </c>
      <c r="G192" t="str">
        <f>T("Ice×FANFAN COMIC")</f>
        <v>Ice×FANFAN COMIC</v>
      </c>
      <c r="H192" t="str">
        <f t="shared" si="9"/>
        <v>스토리위즈</v>
      </c>
      <c r="I192" t="str">
        <f>T("폭군의 눈물")</f>
        <v>폭군의 눈물</v>
      </c>
      <c r="J192">
        <v>400</v>
      </c>
      <c r="K192">
        <v>400</v>
      </c>
      <c r="L192">
        <v>1</v>
      </c>
      <c r="M192">
        <v>0</v>
      </c>
      <c r="N192">
        <v>400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800</v>
      </c>
      <c r="AH192">
        <v>3</v>
      </c>
      <c r="AI192">
        <v>0</v>
      </c>
      <c r="AJ192">
        <v>0</v>
      </c>
      <c r="AK192">
        <v>400</v>
      </c>
      <c r="AL192">
        <v>0</v>
      </c>
      <c r="AM192">
        <v>400</v>
      </c>
      <c r="AN192">
        <v>0</v>
      </c>
      <c r="AO192">
        <v>0</v>
      </c>
      <c r="AP192">
        <v>560</v>
      </c>
      <c r="AR192" t="str">
        <f t="shared" si="12"/>
        <v>0000000000000</v>
      </c>
      <c r="AT192" t="str">
        <f>T("9791137601291")</f>
        <v>9791137601291</v>
      </c>
      <c r="AV192" t="str">
        <f t="shared" si="13"/>
        <v>웹툰 &gt; 해외 순정</v>
      </c>
    </row>
    <row r="193" spans="1:48" x14ac:dyDescent="0.4">
      <c r="A193">
        <v>4421000198</v>
      </c>
      <c r="B193">
        <v>4421001184</v>
      </c>
      <c r="C193" t="str">
        <f>T("공주전쟁 69화")</f>
        <v>공주전쟁 69화</v>
      </c>
      <c r="D193" t="str">
        <f>T("69")</f>
        <v>69</v>
      </c>
      <c r="E193" t="str">
        <f>T("Hujing")</f>
        <v>Hujing</v>
      </c>
      <c r="G193" t="str">
        <f>T("Luojie")</f>
        <v>Luojie</v>
      </c>
      <c r="H193" t="str">
        <f t="shared" si="9"/>
        <v>스토리위즈</v>
      </c>
      <c r="I193" t="str">
        <f>T("공주전쟁")</f>
        <v>공주전쟁</v>
      </c>
      <c r="J193">
        <v>400</v>
      </c>
      <c r="K193">
        <v>400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400</v>
      </c>
      <c r="AH193">
        <v>1</v>
      </c>
      <c r="AI193">
        <v>0</v>
      </c>
      <c r="AJ193">
        <v>0</v>
      </c>
      <c r="AK193">
        <v>400</v>
      </c>
      <c r="AL193">
        <v>0</v>
      </c>
      <c r="AM193">
        <v>0</v>
      </c>
      <c r="AN193">
        <v>0</v>
      </c>
      <c r="AO193">
        <v>0</v>
      </c>
      <c r="AP193">
        <v>280</v>
      </c>
      <c r="AR193" t="str">
        <f t="shared" si="12"/>
        <v>0000000000000</v>
      </c>
      <c r="AT193" t="str">
        <f>T("9791166069666")</f>
        <v>9791166069666</v>
      </c>
      <c r="AV193" t="str">
        <f t="shared" si="13"/>
        <v>웹툰 &gt; 해외 순정</v>
      </c>
    </row>
    <row r="194" spans="1:48" x14ac:dyDescent="0.4">
      <c r="A194">
        <v>4421000198</v>
      </c>
      <c r="B194">
        <v>4421000229</v>
      </c>
      <c r="C194" t="str">
        <f>T("공주전쟁 32화")</f>
        <v>공주전쟁 32화</v>
      </c>
      <c r="D194" t="str">
        <f>T("32")</f>
        <v>32</v>
      </c>
      <c r="E194" t="str">
        <f>T("Hujing")</f>
        <v>Hujing</v>
      </c>
      <c r="G194" t="str">
        <f>T("Luojie")</f>
        <v>Luojie</v>
      </c>
      <c r="H194" t="str">
        <f t="shared" ref="H194:H257" si="14">T("스토리위즈")</f>
        <v>스토리위즈</v>
      </c>
      <c r="I194" t="str">
        <f>T("공주전쟁")</f>
        <v>공주전쟁</v>
      </c>
      <c r="J194">
        <v>400</v>
      </c>
      <c r="K194">
        <v>400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400</v>
      </c>
      <c r="AH194">
        <v>1</v>
      </c>
      <c r="AI194">
        <v>0</v>
      </c>
      <c r="AJ194">
        <v>0</v>
      </c>
      <c r="AK194">
        <v>400</v>
      </c>
      <c r="AL194">
        <v>0</v>
      </c>
      <c r="AM194">
        <v>0</v>
      </c>
      <c r="AN194">
        <v>0</v>
      </c>
      <c r="AO194">
        <v>0</v>
      </c>
      <c r="AP194">
        <v>280</v>
      </c>
      <c r="AR194" t="str">
        <f t="shared" si="12"/>
        <v>0000000000000</v>
      </c>
      <c r="AT194" t="str">
        <f>T("9791166069666")</f>
        <v>9791166069666</v>
      </c>
      <c r="AV194" t="str">
        <f t="shared" si="13"/>
        <v>웹툰 &gt; 해외 순정</v>
      </c>
    </row>
    <row r="195" spans="1:48" x14ac:dyDescent="0.4">
      <c r="A195">
        <v>4421000198</v>
      </c>
      <c r="B195">
        <v>4421001244</v>
      </c>
      <c r="C195" t="str">
        <f>T("공주전쟁 78화")</f>
        <v>공주전쟁 78화</v>
      </c>
      <c r="D195" t="str">
        <f>T("78")</f>
        <v>78</v>
      </c>
      <c r="E195" t="str">
        <f>T("Hujing")</f>
        <v>Hujing</v>
      </c>
      <c r="G195" t="str">
        <f>T("Luojie")</f>
        <v>Luojie</v>
      </c>
      <c r="H195" t="str">
        <f t="shared" si="14"/>
        <v>스토리위즈</v>
      </c>
      <c r="I195" t="str">
        <f>T("공주전쟁")</f>
        <v>공주전쟁</v>
      </c>
      <c r="J195">
        <v>400</v>
      </c>
      <c r="K195">
        <v>400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400</v>
      </c>
      <c r="AH195">
        <v>1</v>
      </c>
      <c r="AI195">
        <v>0</v>
      </c>
      <c r="AJ195">
        <v>0</v>
      </c>
      <c r="AK195">
        <v>400</v>
      </c>
      <c r="AL195">
        <v>0</v>
      </c>
      <c r="AM195">
        <v>0</v>
      </c>
      <c r="AN195">
        <v>0</v>
      </c>
      <c r="AO195">
        <v>0</v>
      </c>
      <c r="AP195">
        <v>280</v>
      </c>
      <c r="AR195" t="str">
        <f t="shared" si="12"/>
        <v>0000000000000</v>
      </c>
      <c r="AT195" t="str">
        <f>T("9791166069666")</f>
        <v>9791166069666</v>
      </c>
      <c r="AV195" t="str">
        <f t="shared" si="13"/>
        <v>웹툰 &gt; 해외 순정</v>
      </c>
    </row>
    <row r="196" spans="1:48" x14ac:dyDescent="0.4">
      <c r="A196">
        <v>4421000887</v>
      </c>
      <c r="B196">
        <v>4421001175</v>
      </c>
      <c r="C196" t="str">
        <f>T("폭군의 눈물 35화")</f>
        <v>폭군의 눈물 35화</v>
      </c>
      <c r="D196" t="str">
        <f>T("35")</f>
        <v>35</v>
      </c>
      <c r="E196" t="str">
        <f>T("Ice×FANFAN COMIC")</f>
        <v>Ice×FANFAN COMIC</v>
      </c>
      <c r="G196" t="str">
        <f>T("Ice×FANFAN COMIC")</f>
        <v>Ice×FANFAN COMIC</v>
      </c>
      <c r="H196" t="str">
        <f t="shared" si="14"/>
        <v>스토리위즈</v>
      </c>
      <c r="I196" t="str">
        <f>T("폭군의 눈물")</f>
        <v>폭군의 눈물</v>
      </c>
      <c r="J196">
        <v>400</v>
      </c>
      <c r="K196">
        <v>400</v>
      </c>
      <c r="L196">
        <v>1</v>
      </c>
      <c r="M196">
        <v>0</v>
      </c>
      <c r="N196">
        <v>200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600</v>
      </c>
      <c r="AH196">
        <v>2</v>
      </c>
      <c r="AI196">
        <v>0</v>
      </c>
      <c r="AJ196">
        <v>0</v>
      </c>
      <c r="AK196">
        <v>200</v>
      </c>
      <c r="AL196">
        <v>0</v>
      </c>
      <c r="AM196">
        <v>400</v>
      </c>
      <c r="AN196">
        <v>0</v>
      </c>
      <c r="AO196">
        <v>0</v>
      </c>
      <c r="AP196">
        <v>420</v>
      </c>
      <c r="AR196" t="str">
        <f t="shared" si="12"/>
        <v>0000000000000</v>
      </c>
      <c r="AT196" t="str">
        <f>T("9791137601291")</f>
        <v>9791137601291</v>
      </c>
      <c r="AV196" t="str">
        <f t="shared" si="13"/>
        <v>웹툰 &gt; 해외 순정</v>
      </c>
    </row>
    <row r="197" spans="1:48" x14ac:dyDescent="0.4">
      <c r="A197">
        <v>4421000198</v>
      </c>
      <c r="B197">
        <v>4421000222</v>
      </c>
      <c r="C197" t="str">
        <f>T("공주전쟁 25화")</f>
        <v>공주전쟁 25화</v>
      </c>
      <c r="D197" t="str">
        <f>T("25")</f>
        <v>25</v>
      </c>
      <c r="E197" t="str">
        <f>T("Hujing")</f>
        <v>Hujing</v>
      </c>
      <c r="G197" t="str">
        <f>T("Luojie")</f>
        <v>Luojie</v>
      </c>
      <c r="H197" t="str">
        <f t="shared" si="14"/>
        <v>스토리위즈</v>
      </c>
      <c r="I197" t="str">
        <f>T("공주전쟁")</f>
        <v>공주전쟁</v>
      </c>
      <c r="J197">
        <v>400</v>
      </c>
      <c r="K197">
        <v>400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400</v>
      </c>
      <c r="AH197">
        <v>1</v>
      </c>
      <c r="AI197">
        <v>0</v>
      </c>
      <c r="AJ197">
        <v>0</v>
      </c>
      <c r="AK197">
        <v>400</v>
      </c>
      <c r="AL197">
        <v>0</v>
      </c>
      <c r="AM197">
        <v>0</v>
      </c>
      <c r="AN197">
        <v>0</v>
      </c>
      <c r="AO197">
        <v>0</v>
      </c>
      <c r="AP197">
        <v>280</v>
      </c>
      <c r="AR197" t="str">
        <f t="shared" si="12"/>
        <v>0000000000000</v>
      </c>
      <c r="AT197" t="str">
        <f>T("9791166069666")</f>
        <v>9791166069666</v>
      </c>
      <c r="AV197" t="str">
        <f t="shared" si="13"/>
        <v>웹툰 &gt; 해외 순정</v>
      </c>
    </row>
    <row r="198" spans="1:48" x14ac:dyDescent="0.4">
      <c r="A198">
        <v>4421000887</v>
      </c>
      <c r="B198">
        <v>4421000905</v>
      </c>
      <c r="C198" t="str">
        <f>T("폭군의 눈물 19화")</f>
        <v>폭군의 눈물 19화</v>
      </c>
      <c r="D198" t="str">
        <f>T("19")</f>
        <v>19</v>
      </c>
      <c r="E198" t="str">
        <f>T("Ice×FANFAN COMIC")</f>
        <v>Ice×FANFAN COMIC</v>
      </c>
      <c r="G198" t="str">
        <f>T("Ice×FANFAN COMIC")</f>
        <v>Ice×FANFAN COMIC</v>
      </c>
      <c r="H198" t="str">
        <f t="shared" si="14"/>
        <v>스토리위즈</v>
      </c>
      <c r="I198" t="str">
        <f>T("폭군의 눈물")</f>
        <v>폭군의 눈물</v>
      </c>
      <c r="J198">
        <v>400</v>
      </c>
      <c r="K198">
        <v>400</v>
      </c>
      <c r="L198">
        <v>1</v>
      </c>
      <c r="M198">
        <v>0</v>
      </c>
      <c r="N198">
        <v>400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800</v>
      </c>
      <c r="AH198">
        <v>3</v>
      </c>
      <c r="AI198">
        <v>0</v>
      </c>
      <c r="AJ198">
        <v>0</v>
      </c>
      <c r="AK198">
        <v>400</v>
      </c>
      <c r="AL198">
        <v>0</v>
      </c>
      <c r="AM198">
        <v>400</v>
      </c>
      <c r="AN198">
        <v>0</v>
      </c>
      <c r="AO198">
        <v>0</v>
      </c>
      <c r="AP198">
        <v>560</v>
      </c>
      <c r="AR198" t="str">
        <f t="shared" si="12"/>
        <v>0000000000000</v>
      </c>
      <c r="AT198" t="str">
        <f>T("9791137601291")</f>
        <v>9791137601291</v>
      </c>
      <c r="AV198" t="str">
        <f t="shared" si="13"/>
        <v>웹툰 &gt; 해외 순정</v>
      </c>
    </row>
    <row r="199" spans="1:48" x14ac:dyDescent="0.4">
      <c r="A199">
        <v>4421000887</v>
      </c>
      <c r="B199">
        <v>4421000898</v>
      </c>
      <c r="C199" t="str">
        <f>T("폭군의 눈물 12화")</f>
        <v>폭군의 눈물 12화</v>
      </c>
      <c r="D199" t="str">
        <f>T("12")</f>
        <v>12</v>
      </c>
      <c r="E199" t="str">
        <f>T("Ice×FANFAN COMIC")</f>
        <v>Ice×FANFAN COMIC</v>
      </c>
      <c r="G199" t="str">
        <f>T("Ice×FANFAN COMIC")</f>
        <v>Ice×FANFAN COMIC</v>
      </c>
      <c r="H199" t="str">
        <f t="shared" si="14"/>
        <v>스토리위즈</v>
      </c>
      <c r="I199" t="str">
        <f>T("폭군의 눈물")</f>
        <v>폭군의 눈물</v>
      </c>
      <c r="J199">
        <v>400</v>
      </c>
      <c r="K199">
        <v>400</v>
      </c>
      <c r="L199">
        <v>1</v>
      </c>
      <c r="M199">
        <v>0</v>
      </c>
      <c r="N199">
        <v>400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800</v>
      </c>
      <c r="AH199">
        <v>3</v>
      </c>
      <c r="AI199">
        <v>0</v>
      </c>
      <c r="AJ199">
        <v>0</v>
      </c>
      <c r="AK199">
        <v>400</v>
      </c>
      <c r="AL199">
        <v>0</v>
      </c>
      <c r="AM199">
        <v>400</v>
      </c>
      <c r="AN199">
        <v>0</v>
      </c>
      <c r="AO199">
        <v>0</v>
      </c>
      <c r="AP199">
        <v>560</v>
      </c>
      <c r="AR199" t="str">
        <f t="shared" si="12"/>
        <v>0000000000000</v>
      </c>
      <c r="AT199" t="str">
        <f>T("9791137601291")</f>
        <v>9791137601291</v>
      </c>
      <c r="AV199" t="str">
        <f t="shared" si="13"/>
        <v>웹툰 &gt; 해외 순정</v>
      </c>
    </row>
    <row r="200" spans="1:48" x14ac:dyDescent="0.4">
      <c r="A200">
        <v>4421000916</v>
      </c>
      <c r="B200">
        <v>4421001230</v>
      </c>
      <c r="C200" t="str">
        <f>T("별빛 아래 우리 52화")</f>
        <v>별빛 아래 우리 52화</v>
      </c>
      <c r="D200" t="str">
        <f>T("52")</f>
        <v>52</v>
      </c>
      <c r="E200" t="str">
        <f>T("건일")</f>
        <v>건일</v>
      </c>
      <c r="G200" t="str">
        <f>T("건일")</f>
        <v>건일</v>
      </c>
      <c r="H200" t="str">
        <f t="shared" si="14"/>
        <v>스토리위즈</v>
      </c>
      <c r="I200" t="str">
        <f>T("별빛 아래 우리")</f>
        <v>별빛 아래 우리</v>
      </c>
      <c r="J200">
        <v>400</v>
      </c>
      <c r="K200">
        <v>400</v>
      </c>
      <c r="L200">
        <v>1</v>
      </c>
      <c r="M200">
        <v>0</v>
      </c>
      <c r="N200">
        <v>2000</v>
      </c>
      <c r="O200">
        <v>10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2400</v>
      </c>
      <c r="AH200">
        <v>11</v>
      </c>
      <c r="AI200">
        <v>0</v>
      </c>
      <c r="AJ200">
        <v>0</v>
      </c>
      <c r="AK200">
        <v>2200</v>
      </c>
      <c r="AL200">
        <v>0</v>
      </c>
      <c r="AM200">
        <v>200</v>
      </c>
      <c r="AN200">
        <v>0</v>
      </c>
      <c r="AO200">
        <v>0</v>
      </c>
      <c r="AP200">
        <v>1680</v>
      </c>
      <c r="AR200" t="str">
        <f t="shared" si="12"/>
        <v>0000000000000</v>
      </c>
      <c r="AT200" t="str">
        <f>T("9791137601413")</f>
        <v>9791137601413</v>
      </c>
      <c r="AV200" t="str">
        <f t="shared" si="13"/>
        <v>웹툰 &gt; 해외 순정</v>
      </c>
    </row>
    <row r="201" spans="1:48" x14ac:dyDescent="0.4">
      <c r="A201">
        <v>4421000916</v>
      </c>
      <c r="B201">
        <v>4421001164</v>
      </c>
      <c r="C201" t="str">
        <f>T("별빛 아래 우리 33화")</f>
        <v>별빛 아래 우리 33화</v>
      </c>
      <c r="D201" t="str">
        <f>T("33")</f>
        <v>33</v>
      </c>
      <c r="E201" t="str">
        <f>T("건일")</f>
        <v>건일</v>
      </c>
      <c r="G201" t="str">
        <f>T("건일")</f>
        <v>건일</v>
      </c>
      <c r="H201" t="str">
        <f t="shared" si="14"/>
        <v>스토리위즈</v>
      </c>
      <c r="I201" t="str">
        <f>T("별빛 아래 우리")</f>
        <v>별빛 아래 우리</v>
      </c>
      <c r="J201">
        <v>400</v>
      </c>
      <c r="K201">
        <v>400</v>
      </c>
      <c r="L201">
        <v>1</v>
      </c>
      <c r="M201">
        <v>0</v>
      </c>
      <c r="N201">
        <v>1400</v>
      </c>
      <c r="O201">
        <v>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1800</v>
      </c>
      <c r="AH201">
        <v>8</v>
      </c>
      <c r="AI201">
        <v>0</v>
      </c>
      <c r="AJ201">
        <v>0</v>
      </c>
      <c r="AK201">
        <v>1600</v>
      </c>
      <c r="AL201">
        <v>0</v>
      </c>
      <c r="AM201">
        <v>200</v>
      </c>
      <c r="AN201">
        <v>0</v>
      </c>
      <c r="AO201">
        <v>0</v>
      </c>
      <c r="AP201">
        <v>1260</v>
      </c>
      <c r="AR201" t="str">
        <f t="shared" si="12"/>
        <v>0000000000000</v>
      </c>
      <c r="AT201" t="str">
        <f>T("9791137601413")</f>
        <v>9791137601413</v>
      </c>
      <c r="AV201" t="str">
        <f t="shared" si="13"/>
        <v>웹툰 &gt; 해외 순정</v>
      </c>
    </row>
    <row r="202" spans="1:48" x14ac:dyDescent="0.4">
      <c r="A202">
        <v>4421000198</v>
      </c>
      <c r="B202">
        <v>4421000215</v>
      </c>
      <c r="C202" t="str">
        <f>T("공주전쟁 18화")</f>
        <v>공주전쟁 18화</v>
      </c>
      <c r="D202" t="str">
        <f>T("18")</f>
        <v>18</v>
      </c>
      <c r="E202" t="str">
        <f>T("Hujing")</f>
        <v>Hujing</v>
      </c>
      <c r="G202" t="str">
        <f>T("Luojie")</f>
        <v>Luojie</v>
      </c>
      <c r="H202" t="str">
        <f t="shared" si="14"/>
        <v>스토리위즈</v>
      </c>
      <c r="I202" t="str">
        <f>T("공주전쟁")</f>
        <v>공주전쟁</v>
      </c>
      <c r="J202">
        <v>400</v>
      </c>
      <c r="K202">
        <v>400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400</v>
      </c>
      <c r="AH202">
        <v>1</v>
      </c>
      <c r="AI202">
        <v>0</v>
      </c>
      <c r="AJ202">
        <v>0</v>
      </c>
      <c r="AK202">
        <v>400</v>
      </c>
      <c r="AL202">
        <v>0</v>
      </c>
      <c r="AM202">
        <v>0</v>
      </c>
      <c r="AN202">
        <v>0</v>
      </c>
      <c r="AO202">
        <v>0</v>
      </c>
      <c r="AP202">
        <v>280</v>
      </c>
      <c r="AR202" t="str">
        <f t="shared" si="12"/>
        <v>0000000000000</v>
      </c>
      <c r="AT202" t="str">
        <f>T("9791166069666")</f>
        <v>9791166069666</v>
      </c>
      <c r="AV202" t="str">
        <f t="shared" si="13"/>
        <v>웹툰 &gt; 해외 순정</v>
      </c>
    </row>
    <row r="203" spans="1:48" x14ac:dyDescent="0.4">
      <c r="A203">
        <v>4421000198</v>
      </c>
      <c r="B203">
        <v>4421000208</v>
      </c>
      <c r="C203" t="str">
        <f>T("공주전쟁 11화")</f>
        <v>공주전쟁 11화</v>
      </c>
      <c r="D203" t="str">
        <f>T("11")</f>
        <v>11</v>
      </c>
      <c r="E203" t="str">
        <f>T("Hujing")</f>
        <v>Hujing</v>
      </c>
      <c r="G203" t="str">
        <f>T("Luojie")</f>
        <v>Luojie</v>
      </c>
      <c r="H203" t="str">
        <f t="shared" si="14"/>
        <v>스토리위즈</v>
      </c>
      <c r="I203" t="str">
        <f>T("공주전쟁")</f>
        <v>공주전쟁</v>
      </c>
      <c r="J203">
        <v>400</v>
      </c>
      <c r="K203">
        <v>400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400</v>
      </c>
      <c r="AH203">
        <v>1</v>
      </c>
      <c r="AI203">
        <v>0</v>
      </c>
      <c r="AJ203">
        <v>0</v>
      </c>
      <c r="AK203">
        <v>400</v>
      </c>
      <c r="AL203">
        <v>0</v>
      </c>
      <c r="AM203">
        <v>0</v>
      </c>
      <c r="AN203">
        <v>0</v>
      </c>
      <c r="AO203">
        <v>0</v>
      </c>
      <c r="AP203">
        <v>280</v>
      </c>
      <c r="AR203" t="str">
        <f t="shared" si="12"/>
        <v>0000000000000</v>
      </c>
      <c r="AT203" t="str">
        <f>T("9791166069666")</f>
        <v>9791166069666</v>
      </c>
      <c r="AV203" t="str">
        <f t="shared" si="13"/>
        <v>웹툰 &gt; 해외 순정</v>
      </c>
    </row>
    <row r="204" spans="1:48" x14ac:dyDescent="0.4">
      <c r="A204">
        <v>4421000887</v>
      </c>
      <c r="B204">
        <v>4421000891</v>
      </c>
      <c r="C204" t="str">
        <f>T("폭군의 눈물 5화")</f>
        <v>폭군의 눈물 5화</v>
      </c>
      <c r="D204" t="str">
        <f>T("5")</f>
        <v>5</v>
      </c>
      <c r="E204" t="str">
        <f>T("Ice×FANFAN COMIC")</f>
        <v>Ice×FANFAN COMIC</v>
      </c>
      <c r="G204" t="str">
        <f>T("Ice×FANFAN COMIC")</f>
        <v>Ice×FANFAN COMIC</v>
      </c>
      <c r="H204" t="str">
        <f t="shared" si="14"/>
        <v>스토리위즈</v>
      </c>
      <c r="I204" t="str">
        <f>T("폭군의 눈물")</f>
        <v>폭군의 눈물</v>
      </c>
      <c r="J204">
        <v>400</v>
      </c>
      <c r="K204">
        <v>400</v>
      </c>
      <c r="L204">
        <v>1</v>
      </c>
      <c r="M204">
        <v>0</v>
      </c>
      <c r="N204">
        <v>600</v>
      </c>
      <c r="O204">
        <v>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1000</v>
      </c>
      <c r="AH204">
        <v>4</v>
      </c>
      <c r="AI204">
        <v>0</v>
      </c>
      <c r="AJ204">
        <v>0</v>
      </c>
      <c r="AK204">
        <v>600</v>
      </c>
      <c r="AL204">
        <v>0</v>
      </c>
      <c r="AM204">
        <v>400</v>
      </c>
      <c r="AN204">
        <v>0</v>
      </c>
      <c r="AO204">
        <v>0</v>
      </c>
      <c r="AP204">
        <v>700</v>
      </c>
      <c r="AR204" t="str">
        <f t="shared" si="12"/>
        <v>0000000000000</v>
      </c>
      <c r="AT204" t="str">
        <f>T("9791137601291")</f>
        <v>9791137601291</v>
      </c>
      <c r="AV204" t="str">
        <f t="shared" si="13"/>
        <v>웹툰 &gt; 해외 순정</v>
      </c>
    </row>
    <row r="205" spans="1:48" x14ac:dyDescent="0.4">
      <c r="A205">
        <v>4421000198</v>
      </c>
      <c r="B205">
        <v>4421001274</v>
      </c>
      <c r="C205" t="str">
        <f>T("공주전쟁 83화")</f>
        <v>공주전쟁 83화</v>
      </c>
      <c r="D205" t="str">
        <f>T("83")</f>
        <v>83</v>
      </c>
      <c r="E205" t="str">
        <f>T("Hujing")</f>
        <v>Hujing</v>
      </c>
      <c r="G205" t="str">
        <f>T("Luojie")</f>
        <v>Luojie</v>
      </c>
      <c r="H205" t="str">
        <f t="shared" si="14"/>
        <v>스토리위즈</v>
      </c>
      <c r="I205" t="str">
        <f>T("공주전쟁")</f>
        <v>공주전쟁</v>
      </c>
      <c r="J205">
        <v>400</v>
      </c>
      <c r="K205">
        <v>400</v>
      </c>
      <c r="L205">
        <v>1</v>
      </c>
      <c r="M205">
        <v>0</v>
      </c>
      <c r="N205">
        <v>200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600</v>
      </c>
      <c r="AH205">
        <v>2</v>
      </c>
      <c r="AI205">
        <v>0</v>
      </c>
      <c r="AJ205">
        <v>0</v>
      </c>
      <c r="AK205">
        <v>600</v>
      </c>
      <c r="AL205">
        <v>0</v>
      </c>
      <c r="AM205">
        <v>0</v>
      </c>
      <c r="AN205">
        <v>0</v>
      </c>
      <c r="AO205">
        <v>0</v>
      </c>
      <c r="AP205">
        <v>420</v>
      </c>
      <c r="AR205" t="str">
        <f t="shared" si="12"/>
        <v>0000000000000</v>
      </c>
      <c r="AT205" t="str">
        <f>T("9791166069666")</f>
        <v>9791166069666</v>
      </c>
      <c r="AV205" t="str">
        <f t="shared" si="13"/>
        <v>웹툰 &gt; 해외 순정</v>
      </c>
    </row>
    <row r="206" spans="1:48" x14ac:dyDescent="0.4">
      <c r="A206">
        <v>4421000198</v>
      </c>
      <c r="B206">
        <v>4421001207</v>
      </c>
      <c r="C206" t="str">
        <f>T("공주전쟁 72화")</f>
        <v>공주전쟁 72화</v>
      </c>
      <c r="D206" t="str">
        <f>T("72")</f>
        <v>72</v>
      </c>
      <c r="E206" t="str">
        <f>T("Hujing")</f>
        <v>Hujing</v>
      </c>
      <c r="G206" t="str">
        <f>T("Luojie")</f>
        <v>Luojie</v>
      </c>
      <c r="H206" t="str">
        <f t="shared" si="14"/>
        <v>스토리위즈</v>
      </c>
      <c r="I206" t="str">
        <f>T("공주전쟁")</f>
        <v>공주전쟁</v>
      </c>
      <c r="J206">
        <v>400</v>
      </c>
      <c r="K206">
        <v>400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400</v>
      </c>
      <c r="AH206">
        <v>1</v>
      </c>
      <c r="AI206">
        <v>0</v>
      </c>
      <c r="AJ206">
        <v>0</v>
      </c>
      <c r="AK206">
        <v>400</v>
      </c>
      <c r="AL206">
        <v>0</v>
      </c>
      <c r="AM206">
        <v>0</v>
      </c>
      <c r="AN206">
        <v>0</v>
      </c>
      <c r="AO206">
        <v>0</v>
      </c>
      <c r="AP206">
        <v>280</v>
      </c>
      <c r="AR206" t="str">
        <f t="shared" si="12"/>
        <v>0000000000000</v>
      </c>
      <c r="AT206" t="str">
        <f>T("9791166069666")</f>
        <v>9791166069666</v>
      </c>
      <c r="AV206" t="str">
        <f t="shared" si="13"/>
        <v>웹툰 &gt; 해외 순정</v>
      </c>
    </row>
    <row r="207" spans="1:48" x14ac:dyDescent="0.4">
      <c r="A207">
        <v>4421000198</v>
      </c>
      <c r="B207">
        <v>4421000240</v>
      </c>
      <c r="C207" t="str">
        <f>T("공주전쟁 43화")</f>
        <v>공주전쟁 43화</v>
      </c>
      <c r="D207" t="str">
        <f>T("43")</f>
        <v>43</v>
      </c>
      <c r="E207" t="str">
        <f>T("Hujing")</f>
        <v>Hujing</v>
      </c>
      <c r="G207" t="str">
        <f>T("Luojie")</f>
        <v>Luojie</v>
      </c>
      <c r="H207" t="str">
        <f t="shared" si="14"/>
        <v>스토리위즈</v>
      </c>
      <c r="I207" t="str">
        <f>T("공주전쟁")</f>
        <v>공주전쟁</v>
      </c>
      <c r="J207">
        <v>400</v>
      </c>
      <c r="K207">
        <v>400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400</v>
      </c>
      <c r="AH207">
        <v>1</v>
      </c>
      <c r="AI207">
        <v>0</v>
      </c>
      <c r="AJ207">
        <v>0</v>
      </c>
      <c r="AK207">
        <v>400</v>
      </c>
      <c r="AL207">
        <v>0</v>
      </c>
      <c r="AM207">
        <v>0</v>
      </c>
      <c r="AN207">
        <v>0</v>
      </c>
      <c r="AO207">
        <v>0</v>
      </c>
      <c r="AP207">
        <v>280</v>
      </c>
      <c r="AR207" t="str">
        <f t="shared" si="12"/>
        <v>0000000000000</v>
      </c>
      <c r="AT207" t="str">
        <f>T("9791166069666")</f>
        <v>9791166069666</v>
      </c>
      <c r="AV207" t="str">
        <f t="shared" si="13"/>
        <v>웹툰 &gt; 해외 순정</v>
      </c>
    </row>
    <row r="208" spans="1:48" x14ac:dyDescent="0.4">
      <c r="A208">
        <v>4421000198</v>
      </c>
      <c r="B208">
        <v>4421001267</v>
      </c>
      <c r="C208" t="str">
        <f>T("공주전쟁 81화")</f>
        <v>공주전쟁 81화</v>
      </c>
      <c r="D208" t="str">
        <f>T("81")</f>
        <v>81</v>
      </c>
      <c r="E208" t="str">
        <f>T("Hujing")</f>
        <v>Hujing</v>
      </c>
      <c r="G208" t="str">
        <f>T("Luojie")</f>
        <v>Luojie</v>
      </c>
      <c r="H208" t="str">
        <f t="shared" si="14"/>
        <v>스토리위즈</v>
      </c>
      <c r="I208" t="str">
        <f>T("공주전쟁")</f>
        <v>공주전쟁</v>
      </c>
      <c r="J208">
        <v>400</v>
      </c>
      <c r="K208">
        <v>400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400</v>
      </c>
      <c r="AH208">
        <v>1</v>
      </c>
      <c r="AI208">
        <v>0</v>
      </c>
      <c r="AJ208">
        <v>0</v>
      </c>
      <c r="AK208">
        <v>400</v>
      </c>
      <c r="AL208">
        <v>0</v>
      </c>
      <c r="AM208">
        <v>0</v>
      </c>
      <c r="AN208">
        <v>0</v>
      </c>
      <c r="AO208">
        <v>0</v>
      </c>
      <c r="AP208">
        <v>280</v>
      </c>
      <c r="AR208" t="str">
        <f t="shared" si="12"/>
        <v>0000000000000</v>
      </c>
      <c r="AT208" t="str">
        <f>T("9791166069666")</f>
        <v>9791166069666</v>
      </c>
      <c r="AV208" t="str">
        <f t="shared" si="13"/>
        <v>웹툰 &gt; 해외 순정</v>
      </c>
    </row>
    <row r="209" spans="1:48" x14ac:dyDescent="0.4">
      <c r="A209">
        <v>4421000916</v>
      </c>
      <c r="B209">
        <v>4421001193</v>
      </c>
      <c r="C209" t="str">
        <f>T("별빛 아래 우리 41화")</f>
        <v>별빛 아래 우리 41화</v>
      </c>
      <c r="D209" t="str">
        <f>T("41")</f>
        <v>41</v>
      </c>
      <c r="E209" t="str">
        <f>T("건일")</f>
        <v>건일</v>
      </c>
      <c r="G209" t="str">
        <f>T("건일")</f>
        <v>건일</v>
      </c>
      <c r="H209" t="str">
        <f t="shared" si="14"/>
        <v>스토리위즈</v>
      </c>
      <c r="I209" t="str">
        <f>T("별빛 아래 우리")</f>
        <v>별빛 아래 우리</v>
      </c>
      <c r="J209">
        <v>400</v>
      </c>
      <c r="K209">
        <v>400</v>
      </c>
      <c r="L209">
        <v>1</v>
      </c>
      <c r="M209">
        <v>0</v>
      </c>
      <c r="N209">
        <v>1600</v>
      </c>
      <c r="O209">
        <v>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2000</v>
      </c>
      <c r="AH209">
        <v>9</v>
      </c>
      <c r="AI209">
        <v>0</v>
      </c>
      <c r="AJ209">
        <v>0</v>
      </c>
      <c r="AK209">
        <v>1800</v>
      </c>
      <c r="AL209">
        <v>0</v>
      </c>
      <c r="AM209">
        <v>200</v>
      </c>
      <c r="AN209">
        <v>0</v>
      </c>
      <c r="AO209">
        <v>0</v>
      </c>
      <c r="AP209">
        <v>1400</v>
      </c>
      <c r="AR209" t="str">
        <f t="shared" si="12"/>
        <v>0000000000000</v>
      </c>
      <c r="AT209" t="str">
        <f>T("9791137601413")</f>
        <v>9791137601413</v>
      </c>
      <c r="AV209" t="str">
        <f t="shared" si="13"/>
        <v>웹툰 &gt; 해외 순정</v>
      </c>
    </row>
    <row r="210" spans="1:48" x14ac:dyDescent="0.4">
      <c r="A210">
        <v>4421000198</v>
      </c>
      <c r="B210">
        <v>4421000233</v>
      </c>
      <c r="C210" t="str">
        <f>T("공주전쟁 36화")</f>
        <v>공주전쟁 36화</v>
      </c>
      <c r="D210" t="str">
        <f>T("36")</f>
        <v>36</v>
      </c>
      <c r="E210" t="str">
        <f>T("Hujing")</f>
        <v>Hujing</v>
      </c>
      <c r="G210" t="str">
        <f>T("Luojie")</f>
        <v>Luojie</v>
      </c>
      <c r="H210" t="str">
        <f t="shared" si="14"/>
        <v>스토리위즈</v>
      </c>
      <c r="I210" t="str">
        <f>T("공주전쟁")</f>
        <v>공주전쟁</v>
      </c>
      <c r="J210">
        <v>400</v>
      </c>
      <c r="K210">
        <v>400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400</v>
      </c>
      <c r="AH210">
        <v>1</v>
      </c>
      <c r="AI210">
        <v>0</v>
      </c>
      <c r="AJ210">
        <v>0</v>
      </c>
      <c r="AK210">
        <v>400</v>
      </c>
      <c r="AL210">
        <v>0</v>
      </c>
      <c r="AM210">
        <v>0</v>
      </c>
      <c r="AN210">
        <v>0</v>
      </c>
      <c r="AO210">
        <v>0</v>
      </c>
      <c r="AP210">
        <v>280</v>
      </c>
      <c r="AR210" t="str">
        <f t="shared" si="12"/>
        <v>0000000000000</v>
      </c>
      <c r="AT210" t="str">
        <f>T("9791166069666")</f>
        <v>9791166069666</v>
      </c>
      <c r="AV210" t="str">
        <f t="shared" si="13"/>
        <v>웹툰 &gt; 해외 순정</v>
      </c>
    </row>
    <row r="211" spans="1:48" x14ac:dyDescent="0.4">
      <c r="A211">
        <v>4421000916</v>
      </c>
      <c r="B211">
        <v>4421000916</v>
      </c>
      <c r="C211" t="str">
        <f>T("별빛 아래 우리 1화")</f>
        <v>별빛 아래 우리 1화</v>
      </c>
      <c r="D211" t="str">
        <f>T("1")</f>
        <v>1</v>
      </c>
      <c r="E211" t="str">
        <f>T("건일")</f>
        <v>건일</v>
      </c>
      <c r="G211" t="str">
        <f>T("건일")</f>
        <v>건일</v>
      </c>
      <c r="H211" t="str">
        <f t="shared" si="14"/>
        <v>스토리위즈</v>
      </c>
      <c r="I211" t="str">
        <f>T("별빛 아래 우리")</f>
        <v>별빛 아래 우리</v>
      </c>
      <c r="J211">
        <v>400</v>
      </c>
      <c r="K211">
        <v>400</v>
      </c>
      <c r="L211">
        <v>1</v>
      </c>
      <c r="M211">
        <v>0</v>
      </c>
      <c r="N211">
        <v>0</v>
      </c>
      <c r="O211">
        <v>0</v>
      </c>
      <c r="P211">
        <v>57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400</v>
      </c>
      <c r="AH211">
        <v>58</v>
      </c>
      <c r="AI211">
        <v>0</v>
      </c>
      <c r="AJ211">
        <v>0</v>
      </c>
      <c r="AK211">
        <v>400</v>
      </c>
      <c r="AL211">
        <v>0</v>
      </c>
      <c r="AM211">
        <v>0</v>
      </c>
      <c r="AN211">
        <v>0</v>
      </c>
      <c r="AO211">
        <v>0</v>
      </c>
      <c r="AP211">
        <v>280</v>
      </c>
      <c r="AR211" t="str">
        <f t="shared" si="12"/>
        <v>0000000000000</v>
      </c>
      <c r="AT211" t="str">
        <f>T("9791137601413")</f>
        <v>9791137601413</v>
      </c>
      <c r="AV211" t="str">
        <f t="shared" si="13"/>
        <v>웹툰 &gt; 해외 순정</v>
      </c>
    </row>
    <row r="212" spans="1:48" x14ac:dyDescent="0.4">
      <c r="A212">
        <v>4421000887</v>
      </c>
      <c r="B212">
        <v>4421000955</v>
      </c>
      <c r="C212" t="str">
        <f>T("폭군의 눈물 26화")</f>
        <v>폭군의 눈물 26화</v>
      </c>
      <c r="D212" t="str">
        <f>T("26")</f>
        <v>26</v>
      </c>
      <c r="E212" t="str">
        <f>T("Ice×FANFAN COMIC")</f>
        <v>Ice×FANFAN COMIC</v>
      </c>
      <c r="G212" t="str">
        <f>T("Ice×FANFAN COMIC")</f>
        <v>Ice×FANFAN COMIC</v>
      </c>
      <c r="H212" t="str">
        <f t="shared" si="14"/>
        <v>스토리위즈</v>
      </c>
      <c r="I212" t="str">
        <f>T("폭군의 눈물")</f>
        <v>폭군의 눈물</v>
      </c>
      <c r="J212">
        <v>400</v>
      </c>
      <c r="K212">
        <v>400</v>
      </c>
      <c r="L212">
        <v>1</v>
      </c>
      <c r="M212">
        <v>0</v>
      </c>
      <c r="N212">
        <v>400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800</v>
      </c>
      <c r="AH212">
        <v>3</v>
      </c>
      <c r="AI212">
        <v>0</v>
      </c>
      <c r="AJ212">
        <v>0</v>
      </c>
      <c r="AK212">
        <v>400</v>
      </c>
      <c r="AL212">
        <v>0</v>
      </c>
      <c r="AM212">
        <v>400</v>
      </c>
      <c r="AN212">
        <v>0</v>
      </c>
      <c r="AO212">
        <v>0</v>
      </c>
      <c r="AP212">
        <v>560</v>
      </c>
      <c r="AR212" t="str">
        <f t="shared" si="12"/>
        <v>0000000000000</v>
      </c>
      <c r="AT212" t="str">
        <f>T("9791137601291")</f>
        <v>9791137601291</v>
      </c>
      <c r="AV212" t="str">
        <f t="shared" si="13"/>
        <v>웹툰 &gt; 해외 순정</v>
      </c>
    </row>
    <row r="213" spans="1:48" x14ac:dyDescent="0.4">
      <c r="A213">
        <v>4421000916</v>
      </c>
      <c r="B213">
        <v>4421000979</v>
      </c>
      <c r="C213" t="str">
        <f>T("별빛 아래 우리 30화")</f>
        <v>별빛 아래 우리 30화</v>
      </c>
      <c r="D213" t="str">
        <f>T("30")</f>
        <v>30</v>
      </c>
      <c r="E213" t="str">
        <f>T("건일")</f>
        <v>건일</v>
      </c>
      <c r="G213" t="str">
        <f>T("건일")</f>
        <v>건일</v>
      </c>
      <c r="H213" t="str">
        <f t="shared" si="14"/>
        <v>스토리위즈</v>
      </c>
      <c r="I213" t="str">
        <f>T("별빛 아래 우리")</f>
        <v>별빛 아래 우리</v>
      </c>
      <c r="J213">
        <v>400</v>
      </c>
      <c r="K213">
        <v>400</v>
      </c>
      <c r="L213">
        <v>1</v>
      </c>
      <c r="M213">
        <v>0</v>
      </c>
      <c r="N213">
        <v>1600</v>
      </c>
      <c r="O213">
        <v>8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2000</v>
      </c>
      <c r="AH213">
        <v>9</v>
      </c>
      <c r="AI213">
        <v>0</v>
      </c>
      <c r="AJ213">
        <v>0</v>
      </c>
      <c r="AK213">
        <v>1800</v>
      </c>
      <c r="AL213">
        <v>0</v>
      </c>
      <c r="AM213">
        <v>200</v>
      </c>
      <c r="AN213">
        <v>0</v>
      </c>
      <c r="AO213">
        <v>0</v>
      </c>
      <c r="AP213">
        <v>1400</v>
      </c>
      <c r="AR213" t="str">
        <f t="shared" si="12"/>
        <v>0000000000000</v>
      </c>
      <c r="AT213" t="str">
        <f>T("9791137601413")</f>
        <v>9791137601413</v>
      </c>
      <c r="AV213" t="str">
        <f t="shared" si="13"/>
        <v>웹툰 &gt; 해외 순정</v>
      </c>
    </row>
    <row r="214" spans="1:48" x14ac:dyDescent="0.4">
      <c r="A214">
        <v>4421000198</v>
      </c>
      <c r="B214">
        <v>4421000258</v>
      </c>
      <c r="C214" t="str">
        <f>T("공주전쟁 50화")</f>
        <v>공주전쟁 50화</v>
      </c>
      <c r="D214" t="str">
        <f>T("50")</f>
        <v>50</v>
      </c>
      <c r="E214" t="str">
        <f>T("Hujing")</f>
        <v>Hujing</v>
      </c>
      <c r="G214" t="str">
        <f>T("Luojie")</f>
        <v>Luojie</v>
      </c>
      <c r="H214" t="str">
        <f t="shared" si="14"/>
        <v>스토리위즈</v>
      </c>
      <c r="I214" t="str">
        <f>T("공주전쟁")</f>
        <v>공주전쟁</v>
      </c>
      <c r="J214">
        <v>400</v>
      </c>
      <c r="K214">
        <v>400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400</v>
      </c>
      <c r="AH214">
        <v>1</v>
      </c>
      <c r="AI214">
        <v>0</v>
      </c>
      <c r="AJ214">
        <v>0</v>
      </c>
      <c r="AK214">
        <v>400</v>
      </c>
      <c r="AL214">
        <v>0</v>
      </c>
      <c r="AM214">
        <v>0</v>
      </c>
      <c r="AN214">
        <v>0</v>
      </c>
      <c r="AO214">
        <v>0</v>
      </c>
      <c r="AP214">
        <v>280</v>
      </c>
      <c r="AR214" t="str">
        <f t="shared" si="12"/>
        <v>0000000000000</v>
      </c>
      <c r="AT214" t="str">
        <f>T("9791166069666")</f>
        <v>9791166069666</v>
      </c>
      <c r="AV214" t="str">
        <f t="shared" si="13"/>
        <v>웹툰 &gt; 해외 순정</v>
      </c>
    </row>
    <row r="215" spans="1:48" x14ac:dyDescent="0.4">
      <c r="A215">
        <v>4421000916</v>
      </c>
      <c r="B215">
        <v>4421000941</v>
      </c>
      <c r="C215" t="str">
        <f>T("별빛 아래 우리 26화")</f>
        <v>별빛 아래 우리 26화</v>
      </c>
      <c r="D215" t="str">
        <f>T("26")</f>
        <v>26</v>
      </c>
      <c r="E215" t="str">
        <f>T("건일")</f>
        <v>건일</v>
      </c>
      <c r="G215" t="str">
        <f>T("건일")</f>
        <v>건일</v>
      </c>
      <c r="H215" t="str">
        <f t="shared" si="14"/>
        <v>스토리위즈</v>
      </c>
      <c r="I215" t="str">
        <f>T("별빛 아래 우리")</f>
        <v>별빛 아래 우리</v>
      </c>
      <c r="J215">
        <v>400</v>
      </c>
      <c r="K215">
        <v>400</v>
      </c>
      <c r="L215">
        <v>1</v>
      </c>
      <c r="M215">
        <v>0</v>
      </c>
      <c r="N215">
        <v>1600</v>
      </c>
      <c r="O215">
        <v>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2000</v>
      </c>
      <c r="AH215">
        <v>9</v>
      </c>
      <c r="AI215">
        <v>0</v>
      </c>
      <c r="AJ215">
        <v>0</v>
      </c>
      <c r="AK215">
        <v>1800</v>
      </c>
      <c r="AL215">
        <v>0</v>
      </c>
      <c r="AM215">
        <v>200</v>
      </c>
      <c r="AN215">
        <v>0</v>
      </c>
      <c r="AO215">
        <v>0</v>
      </c>
      <c r="AP215">
        <v>1400</v>
      </c>
      <c r="AR215" t="str">
        <f t="shared" si="12"/>
        <v>0000000000000</v>
      </c>
      <c r="AT215" t="str">
        <f>T("9791137601413")</f>
        <v>9791137601413</v>
      </c>
      <c r="AV215" t="str">
        <f t="shared" si="13"/>
        <v>웹툰 &gt; 해외 순정</v>
      </c>
    </row>
    <row r="216" spans="1:48" x14ac:dyDescent="0.4">
      <c r="A216">
        <v>4421000198</v>
      </c>
      <c r="B216">
        <v>4421001250</v>
      </c>
      <c r="C216" t="str">
        <f>T("공주전쟁 79화")</f>
        <v>공주전쟁 79화</v>
      </c>
      <c r="D216" t="str">
        <f>T("79")</f>
        <v>79</v>
      </c>
      <c r="E216" t="str">
        <f>T("Hujing")</f>
        <v>Hujing</v>
      </c>
      <c r="G216" t="str">
        <f>T("Luojie")</f>
        <v>Luojie</v>
      </c>
      <c r="H216" t="str">
        <f t="shared" si="14"/>
        <v>스토리위즈</v>
      </c>
      <c r="I216" t="str">
        <f>T("공주전쟁")</f>
        <v>공주전쟁</v>
      </c>
      <c r="J216">
        <v>400</v>
      </c>
      <c r="K216">
        <v>400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400</v>
      </c>
      <c r="AH216">
        <v>1</v>
      </c>
      <c r="AI216">
        <v>0</v>
      </c>
      <c r="AJ216">
        <v>0</v>
      </c>
      <c r="AK216">
        <v>400</v>
      </c>
      <c r="AL216">
        <v>0</v>
      </c>
      <c r="AM216">
        <v>0</v>
      </c>
      <c r="AN216">
        <v>0</v>
      </c>
      <c r="AO216">
        <v>0</v>
      </c>
      <c r="AP216">
        <v>280</v>
      </c>
      <c r="AR216" t="str">
        <f t="shared" si="12"/>
        <v>0000000000000</v>
      </c>
      <c r="AT216" t="str">
        <f>T("9791166069666")</f>
        <v>9791166069666</v>
      </c>
      <c r="AV216" t="str">
        <f t="shared" si="13"/>
        <v>웹툰 &gt; 해외 순정</v>
      </c>
    </row>
    <row r="217" spans="1:48" x14ac:dyDescent="0.4">
      <c r="A217">
        <v>4421000198</v>
      </c>
      <c r="B217">
        <v>4421001181</v>
      </c>
      <c r="C217" t="str">
        <f>T("공주전쟁 66화")</f>
        <v>공주전쟁 66화</v>
      </c>
      <c r="D217" t="str">
        <f>T("66")</f>
        <v>66</v>
      </c>
      <c r="E217" t="str">
        <f>T("Hujing")</f>
        <v>Hujing</v>
      </c>
      <c r="G217" t="str">
        <f>T("Luojie")</f>
        <v>Luojie</v>
      </c>
      <c r="H217" t="str">
        <f t="shared" si="14"/>
        <v>스토리위즈</v>
      </c>
      <c r="I217" t="str">
        <f>T("공주전쟁")</f>
        <v>공주전쟁</v>
      </c>
      <c r="J217">
        <v>400</v>
      </c>
      <c r="K217">
        <v>400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400</v>
      </c>
      <c r="AH217">
        <v>1</v>
      </c>
      <c r="AI217">
        <v>0</v>
      </c>
      <c r="AJ217">
        <v>0</v>
      </c>
      <c r="AK217">
        <v>400</v>
      </c>
      <c r="AL217">
        <v>0</v>
      </c>
      <c r="AM217">
        <v>0</v>
      </c>
      <c r="AN217">
        <v>0</v>
      </c>
      <c r="AO217">
        <v>0</v>
      </c>
      <c r="AP217">
        <v>280</v>
      </c>
      <c r="AR217" t="str">
        <f t="shared" si="12"/>
        <v>0000000000000</v>
      </c>
      <c r="AT217" t="str">
        <f>T("9791166069666")</f>
        <v>9791166069666</v>
      </c>
      <c r="AV217" t="str">
        <f t="shared" si="13"/>
        <v>웹툰 &gt; 해외 순정</v>
      </c>
    </row>
    <row r="218" spans="1:48" x14ac:dyDescent="0.4">
      <c r="A218">
        <v>4421000198</v>
      </c>
      <c r="B218">
        <v>4421000226</v>
      </c>
      <c r="C218" t="str">
        <f>T("공주전쟁 29화")</f>
        <v>공주전쟁 29화</v>
      </c>
      <c r="D218" t="str">
        <f>T("29")</f>
        <v>29</v>
      </c>
      <c r="E218" t="str">
        <f>T("Hujing")</f>
        <v>Hujing</v>
      </c>
      <c r="G218" t="str">
        <f>T("Luojie")</f>
        <v>Luojie</v>
      </c>
      <c r="H218" t="str">
        <f t="shared" si="14"/>
        <v>스토리위즈</v>
      </c>
      <c r="I218" t="str">
        <f>T("공주전쟁")</f>
        <v>공주전쟁</v>
      </c>
      <c r="J218">
        <v>400</v>
      </c>
      <c r="K218">
        <v>400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400</v>
      </c>
      <c r="AH218">
        <v>1</v>
      </c>
      <c r="AI218">
        <v>0</v>
      </c>
      <c r="AJ218">
        <v>0</v>
      </c>
      <c r="AK218">
        <v>400</v>
      </c>
      <c r="AL218">
        <v>0</v>
      </c>
      <c r="AM218">
        <v>0</v>
      </c>
      <c r="AN218">
        <v>0</v>
      </c>
      <c r="AO218">
        <v>0</v>
      </c>
      <c r="AP218">
        <v>280</v>
      </c>
      <c r="AR218" t="str">
        <f t="shared" si="12"/>
        <v>0000000000000</v>
      </c>
      <c r="AT218" t="str">
        <f>T("9791166069666")</f>
        <v>9791166069666</v>
      </c>
      <c r="AV218" t="str">
        <f t="shared" si="13"/>
        <v>웹툰 &gt; 해외 순정</v>
      </c>
    </row>
    <row r="219" spans="1:48" x14ac:dyDescent="0.4">
      <c r="A219">
        <v>4421000887</v>
      </c>
      <c r="B219">
        <v>4421000909</v>
      </c>
      <c r="C219" t="str">
        <f>T("폭군의 눈물 23화")</f>
        <v>폭군의 눈물 23화</v>
      </c>
      <c r="D219" t="str">
        <f>T("23")</f>
        <v>23</v>
      </c>
      <c r="E219" t="str">
        <f>T("Ice×FANFAN COMIC")</f>
        <v>Ice×FANFAN COMIC</v>
      </c>
      <c r="G219" t="str">
        <f>T("Ice×FANFAN COMIC")</f>
        <v>Ice×FANFAN COMIC</v>
      </c>
      <c r="H219" t="str">
        <f t="shared" si="14"/>
        <v>스토리위즈</v>
      </c>
      <c r="I219" t="str">
        <f>T("폭군의 눈물")</f>
        <v>폭군의 눈물</v>
      </c>
      <c r="J219">
        <v>400</v>
      </c>
      <c r="K219">
        <v>400</v>
      </c>
      <c r="L219">
        <v>1</v>
      </c>
      <c r="M219">
        <v>0</v>
      </c>
      <c r="N219">
        <v>400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800</v>
      </c>
      <c r="AH219">
        <v>3</v>
      </c>
      <c r="AI219">
        <v>0</v>
      </c>
      <c r="AJ219">
        <v>0</v>
      </c>
      <c r="AK219">
        <v>400</v>
      </c>
      <c r="AL219">
        <v>0</v>
      </c>
      <c r="AM219">
        <v>400</v>
      </c>
      <c r="AN219">
        <v>0</v>
      </c>
      <c r="AO219">
        <v>0</v>
      </c>
      <c r="AP219">
        <v>560</v>
      </c>
      <c r="AR219" t="str">
        <f t="shared" si="12"/>
        <v>0000000000000</v>
      </c>
      <c r="AT219" t="str">
        <f>T("9791137601291")</f>
        <v>9791137601291</v>
      </c>
      <c r="AV219" t="str">
        <f t="shared" si="13"/>
        <v>웹툰 &gt; 해외 순정</v>
      </c>
    </row>
    <row r="220" spans="1:48" x14ac:dyDescent="0.4">
      <c r="A220">
        <v>4421000887</v>
      </c>
      <c r="B220">
        <v>4421001241</v>
      </c>
      <c r="C220" t="str">
        <f>T("폭군의 눈물 44화")</f>
        <v>폭군의 눈물 44화</v>
      </c>
      <c r="D220" t="str">
        <f>T("44")</f>
        <v>44</v>
      </c>
      <c r="E220" t="str">
        <f>T("Ice×FANFAN COMIC")</f>
        <v>Ice×FANFAN COMIC</v>
      </c>
      <c r="G220" t="str">
        <f>T("Ice×FANFAN COMIC")</f>
        <v>Ice×FANFAN COMIC</v>
      </c>
      <c r="H220" t="str">
        <f t="shared" si="14"/>
        <v>스토리위즈</v>
      </c>
      <c r="I220" t="str">
        <f>T("폭군의 눈물")</f>
        <v>폭군의 눈물</v>
      </c>
      <c r="J220">
        <v>400</v>
      </c>
      <c r="K220">
        <v>400</v>
      </c>
      <c r="L220">
        <v>1</v>
      </c>
      <c r="M220">
        <v>0</v>
      </c>
      <c r="N220">
        <v>400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800</v>
      </c>
      <c r="AH220">
        <v>3</v>
      </c>
      <c r="AI220">
        <v>0</v>
      </c>
      <c r="AJ220">
        <v>0</v>
      </c>
      <c r="AK220">
        <v>400</v>
      </c>
      <c r="AL220">
        <v>0</v>
      </c>
      <c r="AM220">
        <v>400</v>
      </c>
      <c r="AN220">
        <v>0</v>
      </c>
      <c r="AO220">
        <v>0</v>
      </c>
      <c r="AP220">
        <v>560</v>
      </c>
      <c r="AR220" t="str">
        <f t="shared" si="12"/>
        <v>0000000000000</v>
      </c>
      <c r="AT220" t="str">
        <f>T("9791137601291")</f>
        <v>9791137601291</v>
      </c>
      <c r="AV220" t="str">
        <f t="shared" si="13"/>
        <v>웹툰 &gt; 해외 순정</v>
      </c>
    </row>
    <row r="221" spans="1:48" x14ac:dyDescent="0.4">
      <c r="A221">
        <v>4421000916</v>
      </c>
      <c r="B221">
        <v>4421001168</v>
      </c>
      <c r="C221" t="str">
        <f>T("별빛 아래 우리 37화")</f>
        <v>별빛 아래 우리 37화</v>
      </c>
      <c r="D221" t="str">
        <f>T("37")</f>
        <v>37</v>
      </c>
      <c r="E221" t="str">
        <f>T("건일")</f>
        <v>건일</v>
      </c>
      <c r="G221" t="str">
        <f>T("건일")</f>
        <v>건일</v>
      </c>
      <c r="H221" t="str">
        <f t="shared" si="14"/>
        <v>스토리위즈</v>
      </c>
      <c r="I221" t="str">
        <f>T("별빛 아래 우리")</f>
        <v>별빛 아래 우리</v>
      </c>
      <c r="J221">
        <v>400</v>
      </c>
      <c r="K221">
        <v>400</v>
      </c>
      <c r="L221">
        <v>1</v>
      </c>
      <c r="M221">
        <v>0</v>
      </c>
      <c r="N221">
        <v>1400</v>
      </c>
      <c r="O221">
        <v>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1800</v>
      </c>
      <c r="AH221">
        <v>8</v>
      </c>
      <c r="AI221">
        <v>0</v>
      </c>
      <c r="AJ221">
        <v>0</v>
      </c>
      <c r="AK221">
        <v>1600</v>
      </c>
      <c r="AL221">
        <v>0</v>
      </c>
      <c r="AM221">
        <v>200</v>
      </c>
      <c r="AN221">
        <v>0</v>
      </c>
      <c r="AO221">
        <v>0</v>
      </c>
      <c r="AP221">
        <v>1260</v>
      </c>
      <c r="AR221" t="str">
        <f t="shared" si="12"/>
        <v>0000000000000</v>
      </c>
      <c r="AT221" t="str">
        <f>T("9791137601413")</f>
        <v>9791137601413</v>
      </c>
      <c r="AV221" t="str">
        <f t="shared" si="13"/>
        <v>웹툰 &gt; 해외 순정</v>
      </c>
    </row>
    <row r="222" spans="1:48" x14ac:dyDescent="0.4">
      <c r="A222">
        <v>4421000198</v>
      </c>
      <c r="B222">
        <v>4421000219</v>
      </c>
      <c r="C222" t="str">
        <f>T("공주전쟁 22화")</f>
        <v>공주전쟁 22화</v>
      </c>
      <c r="D222" t="str">
        <f>T("22")</f>
        <v>22</v>
      </c>
      <c r="E222" t="str">
        <f>T("Hujing")</f>
        <v>Hujing</v>
      </c>
      <c r="G222" t="str">
        <f>T("Luojie")</f>
        <v>Luojie</v>
      </c>
      <c r="H222" t="str">
        <f t="shared" si="14"/>
        <v>스토리위즈</v>
      </c>
      <c r="I222" t="str">
        <f>T("공주전쟁")</f>
        <v>공주전쟁</v>
      </c>
      <c r="J222">
        <v>400</v>
      </c>
      <c r="K222">
        <v>400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400</v>
      </c>
      <c r="AH222">
        <v>1</v>
      </c>
      <c r="AI222">
        <v>0</v>
      </c>
      <c r="AJ222">
        <v>0</v>
      </c>
      <c r="AK222">
        <v>400</v>
      </c>
      <c r="AL222">
        <v>0</v>
      </c>
      <c r="AM222">
        <v>0</v>
      </c>
      <c r="AN222">
        <v>0</v>
      </c>
      <c r="AO222">
        <v>0</v>
      </c>
      <c r="AP222">
        <v>280</v>
      </c>
      <c r="AR222" t="str">
        <f t="shared" si="12"/>
        <v>0000000000000</v>
      </c>
      <c r="AT222" t="str">
        <f>T("9791166069666")</f>
        <v>9791166069666</v>
      </c>
      <c r="AV222" t="str">
        <f t="shared" si="13"/>
        <v>웹툰 &gt; 해외 순정</v>
      </c>
    </row>
    <row r="223" spans="1:48" x14ac:dyDescent="0.4">
      <c r="A223">
        <v>4421000198</v>
      </c>
      <c r="B223">
        <v>4421001285</v>
      </c>
      <c r="C223" t="str">
        <f>T("공주전쟁 85화")</f>
        <v>공주전쟁 85화</v>
      </c>
      <c r="D223" t="str">
        <f>T("85")</f>
        <v>85</v>
      </c>
      <c r="E223" t="str">
        <f>T("Hujing")</f>
        <v>Hujing</v>
      </c>
      <c r="G223" t="str">
        <f>T("Luojie")</f>
        <v>Luojie</v>
      </c>
      <c r="H223" t="str">
        <f t="shared" si="14"/>
        <v>스토리위즈</v>
      </c>
      <c r="I223" t="str">
        <f>T("공주전쟁")</f>
        <v>공주전쟁</v>
      </c>
      <c r="J223">
        <v>400</v>
      </c>
      <c r="K223">
        <v>400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400</v>
      </c>
      <c r="AH223">
        <v>1</v>
      </c>
      <c r="AI223">
        <v>0</v>
      </c>
      <c r="AJ223">
        <v>0</v>
      </c>
      <c r="AK223">
        <v>400</v>
      </c>
      <c r="AL223">
        <v>0</v>
      </c>
      <c r="AM223">
        <v>0</v>
      </c>
      <c r="AN223">
        <v>0</v>
      </c>
      <c r="AO223">
        <v>0</v>
      </c>
      <c r="AP223">
        <v>280</v>
      </c>
      <c r="AR223" t="str">
        <f t="shared" si="12"/>
        <v>0000000000000</v>
      </c>
      <c r="AT223" t="str">
        <f>T("9791166069666")</f>
        <v>9791166069666</v>
      </c>
      <c r="AV223" t="str">
        <f t="shared" si="13"/>
        <v>웹툰 &gt; 해외 순정</v>
      </c>
    </row>
    <row r="224" spans="1:48" x14ac:dyDescent="0.4">
      <c r="A224">
        <v>4421000887</v>
      </c>
      <c r="B224">
        <v>4421000902</v>
      </c>
      <c r="C224" t="str">
        <f>T("폭군의 눈물 16화")</f>
        <v>폭군의 눈물 16화</v>
      </c>
      <c r="D224" t="str">
        <f>T("16")</f>
        <v>16</v>
      </c>
      <c r="E224" t="str">
        <f>T("Ice×FANFAN COMIC")</f>
        <v>Ice×FANFAN COMIC</v>
      </c>
      <c r="G224" t="str">
        <f>T("Ice×FANFAN COMIC")</f>
        <v>Ice×FANFAN COMIC</v>
      </c>
      <c r="H224" t="str">
        <f t="shared" si="14"/>
        <v>스토리위즈</v>
      </c>
      <c r="I224" t="str">
        <f>T("폭군의 눈물")</f>
        <v>폭군의 눈물</v>
      </c>
      <c r="J224">
        <v>400</v>
      </c>
      <c r="K224">
        <v>400</v>
      </c>
      <c r="L224">
        <v>1</v>
      </c>
      <c r="M224">
        <v>0</v>
      </c>
      <c r="N224">
        <v>400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800</v>
      </c>
      <c r="AH224">
        <v>3</v>
      </c>
      <c r="AI224">
        <v>0</v>
      </c>
      <c r="AJ224">
        <v>0</v>
      </c>
      <c r="AK224">
        <v>400</v>
      </c>
      <c r="AL224">
        <v>0</v>
      </c>
      <c r="AM224">
        <v>400</v>
      </c>
      <c r="AN224">
        <v>0</v>
      </c>
      <c r="AO224">
        <v>0</v>
      </c>
      <c r="AP224">
        <v>560</v>
      </c>
      <c r="AR224" t="str">
        <f t="shared" si="12"/>
        <v>0000000000000</v>
      </c>
      <c r="AT224" t="str">
        <f>T("9791137601291")</f>
        <v>9791137601291</v>
      </c>
      <c r="AV224" t="str">
        <f t="shared" si="13"/>
        <v>웹툰 &gt; 해외 순정</v>
      </c>
    </row>
    <row r="225" spans="1:48" x14ac:dyDescent="0.4">
      <c r="A225">
        <v>4421000916</v>
      </c>
      <c r="B225">
        <v>4421001211</v>
      </c>
      <c r="C225" t="str">
        <f>T("별빛 아래 우리 48화")</f>
        <v>별빛 아래 우리 48화</v>
      </c>
      <c r="D225" t="str">
        <f>T("48")</f>
        <v>48</v>
      </c>
      <c r="E225" t="str">
        <f>T("건일")</f>
        <v>건일</v>
      </c>
      <c r="G225" t="str">
        <f>T("건일")</f>
        <v>건일</v>
      </c>
      <c r="H225" t="str">
        <f t="shared" si="14"/>
        <v>스토리위즈</v>
      </c>
      <c r="I225" t="str">
        <f>T("별빛 아래 우리")</f>
        <v>별빛 아래 우리</v>
      </c>
      <c r="J225">
        <v>400</v>
      </c>
      <c r="K225">
        <v>400</v>
      </c>
      <c r="L225">
        <v>1</v>
      </c>
      <c r="M225">
        <v>0</v>
      </c>
      <c r="N225">
        <v>1600</v>
      </c>
      <c r="O225">
        <v>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2000</v>
      </c>
      <c r="AH225">
        <v>9</v>
      </c>
      <c r="AI225">
        <v>0</v>
      </c>
      <c r="AJ225">
        <v>0</v>
      </c>
      <c r="AK225">
        <v>1800</v>
      </c>
      <c r="AL225">
        <v>0</v>
      </c>
      <c r="AM225">
        <v>200</v>
      </c>
      <c r="AN225">
        <v>0</v>
      </c>
      <c r="AO225">
        <v>0</v>
      </c>
      <c r="AP225">
        <v>1400</v>
      </c>
      <c r="AR225" t="str">
        <f t="shared" si="12"/>
        <v>0000000000000</v>
      </c>
      <c r="AT225" t="str">
        <f>T("9791137601413")</f>
        <v>9791137601413</v>
      </c>
      <c r="AV225" t="str">
        <f t="shared" si="13"/>
        <v>웹툰 &gt; 해외 순정</v>
      </c>
    </row>
    <row r="226" spans="1:48" x14ac:dyDescent="0.4">
      <c r="A226">
        <v>4421000198</v>
      </c>
      <c r="B226">
        <v>4421000244</v>
      </c>
      <c r="C226" t="str">
        <f>T("공주전쟁 47화")</f>
        <v>공주전쟁 47화</v>
      </c>
      <c r="D226" t="str">
        <f>T("47")</f>
        <v>47</v>
      </c>
      <c r="E226" t="str">
        <f>T("Hujing")</f>
        <v>Hujing</v>
      </c>
      <c r="G226" t="str">
        <f>T("Luojie")</f>
        <v>Luojie</v>
      </c>
      <c r="H226" t="str">
        <f t="shared" si="14"/>
        <v>스토리위즈</v>
      </c>
      <c r="I226" t="str">
        <f>T("공주전쟁")</f>
        <v>공주전쟁</v>
      </c>
      <c r="J226">
        <v>400</v>
      </c>
      <c r="K226">
        <v>400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400</v>
      </c>
      <c r="AH226">
        <v>1</v>
      </c>
      <c r="AI226">
        <v>0</v>
      </c>
      <c r="AJ226">
        <v>0</v>
      </c>
      <c r="AK226">
        <v>400</v>
      </c>
      <c r="AL226">
        <v>0</v>
      </c>
      <c r="AM226">
        <v>0</v>
      </c>
      <c r="AN226">
        <v>0</v>
      </c>
      <c r="AO226">
        <v>0</v>
      </c>
      <c r="AP226">
        <v>280</v>
      </c>
      <c r="AR226" t="str">
        <f t="shared" si="12"/>
        <v>0000000000000</v>
      </c>
      <c r="AT226" t="str">
        <f>T("9791166069666")</f>
        <v>9791166069666</v>
      </c>
      <c r="AV226" t="str">
        <f t="shared" si="13"/>
        <v>웹툰 &gt; 해외 순정</v>
      </c>
    </row>
    <row r="227" spans="1:48" x14ac:dyDescent="0.4">
      <c r="A227">
        <v>4421000198</v>
      </c>
      <c r="B227">
        <v>4421000857</v>
      </c>
      <c r="C227" t="str">
        <f>T("공주전쟁 58화")</f>
        <v>공주전쟁 58화</v>
      </c>
      <c r="D227" t="str">
        <f>T("58")</f>
        <v>58</v>
      </c>
      <c r="E227" t="str">
        <f>T("Hujing")</f>
        <v>Hujing</v>
      </c>
      <c r="G227" t="str">
        <f>T("Luojie")</f>
        <v>Luojie</v>
      </c>
      <c r="H227" t="str">
        <f t="shared" si="14"/>
        <v>스토리위즈</v>
      </c>
      <c r="I227" t="str">
        <f>T("공주전쟁")</f>
        <v>공주전쟁</v>
      </c>
      <c r="J227">
        <v>400</v>
      </c>
      <c r="K227">
        <v>400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400</v>
      </c>
      <c r="AH227">
        <v>1</v>
      </c>
      <c r="AI227">
        <v>0</v>
      </c>
      <c r="AJ227">
        <v>0</v>
      </c>
      <c r="AK227">
        <v>400</v>
      </c>
      <c r="AL227">
        <v>0</v>
      </c>
      <c r="AM227">
        <v>0</v>
      </c>
      <c r="AN227">
        <v>0</v>
      </c>
      <c r="AO227">
        <v>0</v>
      </c>
      <c r="AP227">
        <v>280</v>
      </c>
      <c r="AR227" t="str">
        <f t="shared" si="12"/>
        <v>0000000000000</v>
      </c>
      <c r="AT227" t="str">
        <f>T("9791166069666")</f>
        <v>9791166069666</v>
      </c>
      <c r="AV227" t="str">
        <f t="shared" si="13"/>
        <v>웹툰 &gt; 해외 순정</v>
      </c>
    </row>
    <row r="228" spans="1:48" x14ac:dyDescent="0.4">
      <c r="A228">
        <v>4421000198</v>
      </c>
      <c r="B228">
        <v>4421000212</v>
      </c>
      <c r="C228" t="str">
        <f>T("공주전쟁 15화")</f>
        <v>공주전쟁 15화</v>
      </c>
      <c r="D228" t="str">
        <f>T("15")</f>
        <v>15</v>
      </c>
      <c r="E228" t="str">
        <f>T("Hujing")</f>
        <v>Hujing</v>
      </c>
      <c r="G228" t="str">
        <f>T("Luojie")</f>
        <v>Luojie</v>
      </c>
      <c r="H228" t="str">
        <f t="shared" si="14"/>
        <v>스토리위즈</v>
      </c>
      <c r="I228" t="str">
        <f>T("공주전쟁")</f>
        <v>공주전쟁</v>
      </c>
      <c r="J228">
        <v>400</v>
      </c>
      <c r="K228">
        <v>400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400</v>
      </c>
      <c r="AH228">
        <v>1</v>
      </c>
      <c r="AI228">
        <v>0</v>
      </c>
      <c r="AJ228">
        <v>0</v>
      </c>
      <c r="AK228">
        <v>400</v>
      </c>
      <c r="AL228">
        <v>0</v>
      </c>
      <c r="AM228">
        <v>0</v>
      </c>
      <c r="AN228">
        <v>0</v>
      </c>
      <c r="AO228">
        <v>0</v>
      </c>
      <c r="AP228">
        <v>280</v>
      </c>
      <c r="AR228" t="str">
        <f t="shared" si="12"/>
        <v>0000000000000</v>
      </c>
      <c r="AT228" t="str">
        <f>T("9791166069666")</f>
        <v>9791166069666</v>
      </c>
      <c r="AV228" t="str">
        <f t="shared" si="13"/>
        <v>웹툰 &gt; 해외 순정</v>
      </c>
    </row>
    <row r="229" spans="1:48" x14ac:dyDescent="0.4">
      <c r="A229">
        <v>4421000887</v>
      </c>
      <c r="B229">
        <v>4421000895</v>
      </c>
      <c r="C229" t="str">
        <f>T("폭군의 눈물 9화")</f>
        <v>폭군의 눈물 9화</v>
      </c>
      <c r="D229" t="str">
        <f>T("9")</f>
        <v>9</v>
      </c>
      <c r="E229" t="str">
        <f>T("Ice×FANFAN COMIC")</f>
        <v>Ice×FANFAN COMIC</v>
      </c>
      <c r="G229" t="str">
        <f>T("Ice×FANFAN COMIC")</f>
        <v>Ice×FANFAN COMIC</v>
      </c>
      <c r="H229" t="str">
        <f t="shared" si="14"/>
        <v>스토리위즈</v>
      </c>
      <c r="I229" t="str">
        <f>T("폭군의 눈물")</f>
        <v>폭군의 눈물</v>
      </c>
      <c r="J229">
        <v>400</v>
      </c>
      <c r="K229">
        <v>400</v>
      </c>
      <c r="L229">
        <v>1</v>
      </c>
      <c r="M229">
        <v>0</v>
      </c>
      <c r="N229">
        <v>400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800</v>
      </c>
      <c r="AH229">
        <v>3</v>
      </c>
      <c r="AI229">
        <v>0</v>
      </c>
      <c r="AJ229">
        <v>0</v>
      </c>
      <c r="AK229">
        <v>400</v>
      </c>
      <c r="AL229">
        <v>0</v>
      </c>
      <c r="AM229">
        <v>400</v>
      </c>
      <c r="AN229">
        <v>0</v>
      </c>
      <c r="AO229">
        <v>0</v>
      </c>
      <c r="AP229">
        <v>560</v>
      </c>
      <c r="AR229" t="str">
        <f t="shared" si="12"/>
        <v>0000000000000</v>
      </c>
      <c r="AT229" t="str">
        <f>T("9791137601291")</f>
        <v>9791137601291</v>
      </c>
      <c r="AV229" t="str">
        <f t="shared" si="13"/>
        <v>웹툰 &gt; 해외 순정</v>
      </c>
    </row>
    <row r="230" spans="1:48" x14ac:dyDescent="0.4">
      <c r="A230">
        <v>4421000198</v>
      </c>
      <c r="B230">
        <v>4421001278</v>
      </c>
      <c r="C230" t="str">
        <f>T("공주전쟁 84화")</f>
        <v>공주전쟁 84화</v>
      </c>
      <c r="D230" t="str">
        <f>T("84")</f>
        <v>84</v>
      </c>
      <c r="E230" t="str">
        <f>T("Hujing")</f>
        <v>Hujing</v>
      </c>
      <c r="G230" t="str">
        <f>T("Luojie")</f>
        <v>Luojie</v>
      </c>
      <c r="H230" t="str">
        <f t="shared" si="14"/>
        <v>스토리위즈</v>
      </c>
      <c r="I230" t="str">
        <f>T("공주전쟁")</f>
        <v>공주전쟁</v>
      </c>
      <c r="J230">
        <v>400</v>
      </c>
      <c r="K230">
        <v>400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400</v>
      </c>
      <c r="AH230">
        <v>1</v>
      </c>
      <c r="AI230">
        <v>0</v>
      </c>
      <c r="AJ230">
        <v>0</v>
      </c>
      <c r="AK230">
        <v>400</v>
      </c>
      <c r="AL230">
        <v>0</v>
      </c>
      <c r="AM230">
        <v>0</v>
      </c>
      <c r="AN230">
        <v>0</v>
      </c>
      <c r="AO230">
        <v>0</v>
      </c>
      <c r="AP230">
        <v>280</v>
      </c>
      <c r="AR230" t="str">
        <f t="shared" si="12"/>
        <v>0000000000000</v>
      </c>
      <c r="AT230" t="str">
        <f>T("9791166069666")</f>
        <v>9791166069666</v>
      </c>
      <c r="AV230" t="str">
        <f t="shared" si="13"/>
        <v>웹툰 &gt; 해외 순정</v>
      </c>
    </row>
    <row r="231" spans="1:48" x14ac:dyDescent="0.4">
      <c r="A231">
        <v>4421000887</v>
      </c>
      <c r="B231">
        <v>4421000983</v>
      </c>
      <c r="C231" t="str">
        <f>T("폭군의 눈물 31화")</f>
        <v>폭군의 눈물 31화</v>
      </c>
      <c r="D231" t="str">
        <f>T("31")</f>
        <v>31</v>
      </c>
      <c r="E231" t="str">
        <f>T("Ice×FANFAN COMIC")</f>
        <v>Ice×FANFAN COMIC</v>
      </c>
      <c r="G231" t="str">
        <f>T("Ice×FANFAN COMIC")</f>
        <v>Ice×FANFAN COMIC</v>
      </c>
      <c r="H231" t="str">
        <f t="shared" si="14"/>
        <v>스토리위즈</v>
      </c>
      <c r="I231" t="str">
        <f>T("폭군의 눈물")</f>
        <v>폭군의 눈물</v>
      </c>
      <c r="J231">
        <v>400</v>
      </c>
      <c r="K231">
        <v>400</v>
      </c>
      <c r="L231">
        <v>1</v>
      </c>
      <c r="M231">
        <v>0</v>
      </c>
      <c r="N231">
        <v>600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1000</v>
      </c>
      <c r="AH231">
        <v>4</v>
      </c>
      <c r="AI231">
        <v>0</v>
      </c>
      <c r="AJ231">
        <v>0</v>
      </c>
      <c r="AK231">
        <v>600</v>
      </c>
      <c r="AL231">
        <v>0</v>
      </c>
      <c r="AM231">
        <v>400</v>
      </c>
      <c r="AN231">
        <v>0</v>
      </c>
      <c r="AO231">
        <v>0</v>
      </c>
      <c r="AP231">
        <v>700</v>
      </c>
      <c r="AR231" t="str">
        <f t="shared" si="12"/>
        <v>0000000000000</v>
      </c>
      <c r="AT231" t="str">
        <f>T("9791137601291")</f>
        <v>9791137601291</v>
      </c>
      <c r="AV231" t="str">
        <f t="shared" si="13"/>
        <v>웹툰 &gt; 해외 순정</v>
      </c>
    </row>
    <row r="232" spans="1:48" x14ac:dyDescent="0.4">
      <c r="A232">
        <v>4421000198</v>
      </c>
      <c r="B232">
        <v>4421000205</v>
      </c>
      <c r="C232" t="str">
        <f>T("공주전쟁 8화")</f>
        <v>공주전쟁 8화</v>
      </c>
      <c r="D232" t="str">
        <f>T("8")</f>
        <v>8</v>
      </c>
      <c r="E232" t="str">
        <f>T("Hujing")</f>
        <v>Hujing</v>
      </c>
      <c r="G232" t="str">
        <f>T("Luojie")</f>
        <v>Luojie</v>
      </c>
      <c r="H232" t="str">
        <f t="shared" si="14"/>
        <v>스토리위즈</v>
      </c>
      <c r="I232" t="str">
        <f>T("공주전쟁")</f>
        <v>공주전쟁</v>
      </c>
      <c r="J232">
        <v>400</v>
      </c>
      <c r="K232">
        <v>400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400</v>
      </c>
      <c r="AH232">
        <v>1</v>
      </c>
      <c r="AI232">
        <v>0</v>
      </c>
      <c r="AJ232">
        <v>0</v>
      </c>
      <c r="AK232">
        <v>400</v>
      </c>
      <c r="AL232">
        <v>0</v>
      </c>
      <c r="AM232">
        <v>0</v>
      </c>
      <c r="AN232">
        <v>0</v>
      </c>
      <c r="AO232">
        <v>0</v>
      </c>
      <c r="AP232">
        <v>280</v>
      </c>
      <c r="AR232" t="str">
        <f t="shared" si="12"/>
        <v>0000000000000</v>
      </c>
      <c r="AT232" t="str">
        <f>T("9791166069666")</f>
        <v>9791166069666</v>
      </c>
      <c r="AV232" t="str">
        <f t="shared" si="13"/>
        <v>웹툰 &gt; 해외 순정</v>
      </c>
    </row>
    <row r="233" spans="1:48" x14ac:dyDescent="0.4">
      <c r="A233">
        <v>4421000916</v>
      </c>
      <c r="B233">
        <v>4421001199</v>
      </c>
      <c r="C233" t="str">
        <f>T("별빛 아래 우리 45화")</f>
        <v>별빛 아래 우리 45화</v>
      </c>
      <c r="D233" t="str">
        <f>T("45")</f>
        <v>45</v>
      </c>
      <c r="E233" t="str">
        <f>T("건일")</f>
        <v>건일</v>
      </c>
      <c r="G233" t="str">
        <f>T("건일")</f>
        <v>건일</v>
      </c>
      <c r="H233" t="str">
        <f t="shared" si="14"/>
        <v>스토리위즈</v>
      </c>
      <c r="I233" t="str">
        <f>T("별빛 아래 우리")</f>
        <v>별빛 아래 우리</v>
      </c>
      <c r="J233">
        <v>400</v>
      </c>
      <c r="K233">
        <v>400</v>
      </c>
      <c r="L233">
        <v>1</v>
      </c>
      <c r="M233">
        <v>0</v>
      </c>
      <c r="N233">
        <v>1800</v>
      </c>
      <c r="O233">
        <v>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2200</v>
      </c>
      <c r="AH233">
        <v>10</v>
      </c>
      <c r="AI233">
        <v>0</v>
      </c>
      <c r="AJ233">
        <v>0</v>
      </c>
      <c r="AK233">
        <v>2000</v>
      </c>
      <c r="AL233">
        <v>0</v>
      </c>
      <c r="AM233">
        <v>200</v>
      </c>
      <c r="AN233">
        <v>0</v>
      </c>
      <c r="AO233">
        <v>0</v>
      </c>
      <c r="AP233">
        <v>1540</v>
      </c>
      <c r="AR233" t="str">
        <f t="shared" si="12"/>
        <v>0000000000000</v>
      </c>
      <c r="AT233" t="str">
        <f>T("9791137601413")</f>
        <v>9791137601413</v>
      </c>
      <c r="AV233" t="str">
        <f t="shared" si="13"/>
        <v>웹툰 &gt; 해외 순정</v>
      </c>
    </row>
    <row r="234" spans="1:48" x14ac:dyDescent="0.4">
      <c r="A234">
        <v>4421000198</v>
      </c>
      <c r="B234">
        <v>4421000237</v>
      </c>
      <c r="C234" t="str">
        <f>T("공주전쟁 40화")</f>
        <v>공주전쟁 40화</v>
      </c>
      <c r="D234" t="str">
        <f>T("40")</f>
        <v>40</v>
      </c>
      <c r="E234" t="str">
        <f>T("Hujing")</f>
        <v>Hujing</v>
      </c>
      <c r="G234" t="str">
        <f>T("Luojie")</f>
        <v>Luojie</v>
      </c>
      <c r="H234" t="str">
        <f t="shared" si="14"/>
        <v>스토리위즈</v>
      </c>
      <c r="I234" t="str">
        <f>T("공주전쟁")</f>
        <v>공주전쟁</v>
      </c>
      <c r="J234">
        <v>400</v>
      </c>
      <c r="K234">
        <v>400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400</v>
      </c>
      <c r="AH234">
        <v>1</v>
      </c>
      <c r="AI234">
        <v>0</v>
      </c>
      <c r="AJ234">
        <v>0</v>
      </c>
      <c r="AK234">
        <v>400</v>
      </c>
      <c r="AL234">
        <v>0</v>
      </c>
      <c r="AM234">
        <v>0</v>
      </c>
      <c r="AN234">
        <v>0</v>
      </c>
      <c r="AO234">
        <v>0</v>
      </c>
      <c r="AP234">
        <v>280</v>
      </c>
      <c r="AR234" t="str">
        <f t="shared" si="12"/>
        <v>0000000000000</v>
      </c>
      <c r="AT234" t="str">
        <f>T("9791166069666")</f>
        <v>9791166069666</v>
      </c>
      <c r="AV234" t="str">
        <f t="shared" si="13"/>
        <v>웹툰 &gt; 해외 순정</v>
      </c>
    </row>
    <row r="235" spans="1:48" x14ac:dyDescent="0.4">
      <c r="A235">
        <v>4421000916</v>
      </c>
      <c r="B235">
        <v>4421000920</v>
      </c>
      <c r="C235" t="str">
        <f>T("별빛 아래 우리 5화")</f>
        <v>별빛 아래 우리 5화</v>
      </c>
      <c r="D235" t="str">
        <f>T("5")</f>
        <v>5</v>
      </c>
      <c r="E235" t="str">
        <f>T("건일")</f>
        <v>건일</v>
      </c>
      <c r="G235" t="str">
        <f>T("건일")</f>
        <v>건일</v>
      </c>
      <c r="H235" t="str">
        <f t="shared" si="14"/>
        <v>스토리위즈</v>
      </c>
      <c r="I235" t="str">
        <f>T("별빛 아래 우리")</f>
        <v>별빛 아래 우리</v>
      </c>
      <c r="J235">
        <v>400</v>
      </c>
      <c r="K235">
        <v>400</v>
      </c>
      <c r="L235">
        <v>1</v>
      </c>
      <c r="M235">
        <v>0</v>
      </c>
      <c r="N235">
        <v>0</v>
      </c>
      <c r="O235">
        <v>0</v>
      </c>
      <c r="P235">
        <v>39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400</v>
      </c>
      <c r="AH235">
        <v>40</v>
      </c>
      <c r="AI235">
        <v>0</v>
      </c>
      <c r="AJ235">
        <v>0</v>
      </c>
      <c r="AK235">
        <v>400</v>
      </c>
      <c r="AL235">
        <v>0</v>
      </c>
      <c r="AM235">
        <v>0</v>
      </c>
      <c r="AN235">
        <v>0</v>
      </c>
      <c r="AO235">
        <v>0</v>
      </c>
      <c r="AP235">
        <v>280</v>
      </c>
      <c r="AR235" t="str">
        <f t="shared" si="12"/>
        <v>0000000000000</v>
      </c>
      <c r="AT235" t="str">
        <f>T("9791137601413")</f>
        <v>9791137601413</v>
      </c>
      <c r="AV235" t="str">
        <f t="shared" si="13"/>
        <v>웹툰 &gt; 해외 순정</v>
      </c>
    </row>
    <row r="236" spans="1:48" x14ac:dyDescent="0.4">
      <c r="A236">
        <v>4421000001</v>
      </c>
      <c r="B236">
        <v>4421000057</v>
      </c>
      <c r="C236" t="str">
        <f>T("감옥실험 37화")</f>
        <v>감옥실험 37화</v>
      </c>
      <c r="D236" t="str">
        <f>T("37")</f>
        <v>37</v>
      </c>
      <c r="E236" t="str">
        <f>T("Kantetsu")</f>
        <v>Kantetsu</v>
      </c>
      <c r="G236" t="str">
        <f>T("Minase Chiho")</f>
        <v>Minase Chiho</v>
      </c>
      <c r="H236" t="str">
        <f t="shared" si="14"/>
        <v>스토리위즈</v>
      </c>
      <c r="I236" t="str">
        <f>T("감옥실험")</f>
        <v>감옥실험</v>
      </c>
      <c r="J236">
        <v>500</v>
      </c>
      <c r="K236">
        <v>0</v>
      </c>
      <c r="L236">
        <v>0</v>
      </c>
      <c r="M236">
        <v>0</v>
      </c>
      <c r="N236">
        <v>1200</v>
      </c>
      <c r="O236">
        <v>4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1200</v>
      </c>
      <c r="AH236">
        <v>4</v>
      </c>
      <c r="AI236">
        <v>0</v>
      </c>
      <c r="AJ236">
        <v>0</v>
      </c>
      <c r="AK236">
        <v>1200</v>
      </c>
      <c r="AL236">
        <v>0</v>
      </c>
      <c r="AM236">
        <v>0</v>
      </c>
      <c r="AN236">
        <v>0</v>
      </c>
      <c r="AO236">
        <v>0</v>
      </c>
      <c r="AP236">
        <v>840</v>
      </c>
      <c r="AT236" t="str">
        <f>T("9791166069406")</f>
        <v>9791166069406</v>
      </c>
      <c r="AV236" t="str">
        <f>T("웹툰 &gt; 드라마")</f>
        <v>웹툰 &gt; 드라마</v>
      </c>
    </row>
    <row r="237" spans="1:48" x14ac:dyDescent="0.4">
      <c r="A237">
        <v>4421000866</v>
      </c>
      <c r="B237">
        <v>4421000913</v>
      </c>
      <c r="C237" t="str">
        <f>T("최애에게 들켜버렸다 22화")</f>
        <v>최애에게 들켜버렸다 22화</v>
      </c>
      <c r="D237" t="str">
        <f>T("23")</f>
        <v>23</v>
      </c>
      <c r="E237" t="str">
        <f>T("Lv")</f>
        <v>Lv</v>
      </c>
      <c r="G237" t="str">
        <f>T("Lv")</f>
        <v>Lv</v>
      </c>
      <c r="H237" t="str">
        <f t="shared" si="14"/>
        <v>스토리위즈</v>
      </c>
      <c r="I237" t="str">
        <f>T("최애에게 들켜버렸다")</f>
        <v>최애에게 들켜버렸다</v>
      </c>
      <c r="J237">
        <v>400</v>
      </c>
      <c r="K237">
        <v>0</v>
      </c>
      <c r="L237">
        <v>0</v>
      </c>
      <c r="M237">
        <v>0</v>
      </c>
      <c r="N237">
        <v>200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200</v>
      </c>
      <c r="AH237">
        <v>1</v>
      </c>
      <c r="AI237">
        <v>0</v>
      </c>
      <c r="AJ237">
        <v>0</v>
      </c>
      <c r="AK237">
        <v>200</v>
      </c>
      <c r="AL237">
        <v>0</v>
      </c>
      <c r="AM237">
        <v>0</v>
      </c>
      <c r="AN237">
        <v>0</v>
      </c>
      <c r="AO237">
        <v>0</v>
      </c>
      <c r="AP237">
        <v>140</v>
      </c>
      <c r="AR237" t="str">
        <f t="shared" ref="AR237:AR242" si="15">T("0000000000000")</f>
        <v>0000000000000</v>
      </c>
      <c r="AT237" t="str">
        <f>T("9791137601253")</f>
        <v>9791137601253</v>
      </c>
      <c r="AV237" t="str">
        <f>T("웹툰 &gt; 해외 순정")</f>
        <v>웹툰 &gt; 해외 순정</v>
      </c>
    </row>
    <row r="238" spans="1:48" x14ac:dyDescent="0.4">
      <c r="A238">
        <v>4421000742</v>
      </c>
      <c r="B238">
        <v>4421000758</v>
      </c>
      <c r="C238" t="str">
        <f>T("연애 2분의 1 17화")</f>
        <v>연애 2분의 1 17화</v>
      </c>
      <c r="D238" t="str">
        <f>T("17")</f>
        <v>17</v>
      </c>
      <c r="E238" t="str">
        <f>T("Zhupi&amp;Yangxuetu")</f>
        <v>Zhupi&amp;Yangxuetu</v>
      </c>
      <c r="H238" t="str">
        <f t="shared" si="14"/>
        <v>스토리위즈</v>
      </c>
      <c r="I238" t="str">
        <f>T("연애 2분의 1")</f>
        <v>연애 2분의 1</v>
      </c>
      <c r="J238">
        <v>200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R238" t="str">
        <f t="shared" si="15"/>
        <v>0000000000000</v>
      </c>
      <c r="AT238" t="str">
        <f>T("9791166067891")</f>
        <v>9791166067891</v>
      </c>
      <c r="AV238" t="str">
        <f>T("웹툰 &gt; 해외 순정")</f>
        <v>웹툰 &gt; 해외 순정</v>
      </c>
    </row>
    <row r="239" spans="1:48" x14ac:dyDescent="0.4">
      <c r="A239">
        <v>4421000742</v>
      </c>
      <c r="B239">
        <v>4421000750</v>
      </c>
      <c r="C239" t="str">
        <f>T("연애 2분의 1 9화")</f>
        <v>연애 2분의 1 9화</v>
      </c>
      <c r="D239" t="str">
        <f>T("9")</f>
        <v>9</v>
      </c>
      <c r="E239" t="str">
        <f>T("Zhupi&amp;Yangxuetu")</f>
        <v>Zhupi&amp;Yangxuetu</v>
      </c>
      <c r="H239" t="str">
        <f t="shared" si="14"/>
        <v>스토리위즈</v>
      </c>
      <c r="I239" t="str">
        <f>T("연애 2분의 1")</f>
        <v>연애 2분의 1</v>
      </c>
      <c r="J239">
        <v>200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R239" t="str">
        <f t="shared" si="15"/>
        <v>0000000000000</v>
      </c>
      <c r="AT239" t="str">
        <f>T("9791166067891")</f>
        <v>9791166067891</v>
      </c>
      <c r="AV239" t="str">
        <f>T("웹툰 &gt; 해외 순정")</f>
        <v>웹툰 &gt; 해외 순정</v>
      </c>
    </row>
    <row r="240" spans="1:48" x14ac:dyDescent="0.4">
      <c r="A240">
        <v>4421000069</v>
      </c>
      <c r="B240">
        <v>4421000089</v>
      </c>
      <c r="C240" t="str">
        <f>T("너랑 나랑 하면 20화")</f>
        <v>너랑 나랑 하면 20화</v>
      </c>
      <c r="D240" t="str">
        <f>T("20")</f>
        <v>20</v>
      </c>
      <c r="E240" t="str">
        <f>T("NISANSUI")</f>
        <v>NISANSUI</v>
      </c>
      <c r="G240" t="str">
        <f>T("ZIQUAN")</f>
        <v>ZIQUAN</v>
      </c>
      <c r="H240" t="str">
        <f t="shared" si="14"/>
        <v>스토리위즈</v>
      </c>
      <c r="I240" t="str">
        <f>T("너랑 나랑 하면")</f>
        <v>너랑 나랑 하면</v>
      </c>
      <c r="J240">
        <v>400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R240" t="str">
        <f t="shared" si="15"/>
        <v>0000000000000</v>
      </c>
      <c r="AT240" t="str">
        <f>T("9791166067884")</f>
        <v>9791166067884</v>
      </c>
      <c r="AV240" t="str">
        <f>T("BL 웹툰 &gt; 웹툰")</f>
        <v>BL 웹툰 &gt; 웹툰</v>
      </c>
    </row>
    <row r="241" spans="1:48" x14ac:dyDescent="0.4">
      <c r="A241">
        <v>4421000198</v>
      </c>
      <c r="B241">
        <v>4421000198</v>
      </c>
      <c r="C241" t="str">
        <f>T("공주전쟁 1화")</f>
        <v>공주전쟁 1화</v>
      </c>
      <c r="D241" t="str">
        <f>T("1")</f>
        <v>1</v>
      </c>
      <c r="E241" t="str">
        <f>T("Hujing")</f>
        <v>Hujing</v>
      </c>
      <c r="G241" t="str">
        <f>T("Luojie")</f>
        <v>Luojie</v>
      </c>
      <c r="H241" t="str">
        <f t="shared" si="14"/>
        <v>스토리위즈</v>
      </c>
      <c r="I241" t="str">
        <f>T("공주전쟁")</f>
        <v>공주전쟁</v>
      </c>
      <c r="J241">
        <v>400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R241" t="str">
        <f t="shared" si="15"/>
        <v>0000000000000</v>
      </c>
      <c r="AT241" t="str">
        <f>T("9791166069666")</f>
        <v>9791166069666</v>
      </c>
      <c r="AV241" t="str">
        <f>T("웹툰 &gt; 해외 순정")</f>
        <v>웹툰 &gt; 해외 순정</v>
      </c>
    </row>
    <row r="242" spans="1:48" x14ac:dyDescent="0.4">
      <c r="A242">
        <v>4421000866</v>
      </c>
      <c r="B242">
        <v>4421000881</v>
      </c>
      <c r="C242" t="str">
        <f>T("최애에게 들켜버렸다 15화")</f>
        <v>최애에게 들켜버렸다 15화</v>
      </c>
      <c r="D242" t="str">
        <f>T("15")</f>
        <v>15</v>
      </c>
      <c r="E242" t="str">
        <f>T("Lv")</f>
        <v>Lv</v>
      </c>
      <c r="G242" t="str">
        <f>T("Lv")</f>
        <v>Lv</v>
      </c>
      <c r="H242" t="str">
        <f t="shared" si="14"/>
        <v>스토리위즈</v>
      </c>
      <c r="I242" t="str">
        <f>T("최애에게 들켜버렸다")</f>
        <v>최애에게 들켜버렸다</v>
      </c>
      <c r="J242">
        <v>400</v>
      </c>
      <c r="K242">
        <v>0</v>
      </c>
      <c r="L242">
        <v>0</v>
      </c>
      <c r="M242">
        <v>0</v>
      </c>
      <c r="N242">
        <v>400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400</v>
      </c>
      <c r="AH242">
        <v>2</v>
      </c>
      <c r="AI242">
        <v>0</v>
      </c>
      <c r="AJ242">
        <v>0</v>
      </c>
      <c r="AK242">
        <v>400</v>
      </c>
      <c r="AL242">
        <v>0</v>
      </c>
      <c r="AM242">
        <v>0</v>
      </c>
      <c r="AN242">
        <v>0</v>
      </c>
      <c r="AO242">
        <v>0</v>
      </c>
      <c r="AP242">
        <v>280</v>
      </c>
      <c r="AR242" t="str">
        <f t="shared" si="15"/>
        <v>0000000000000</v>
      </c>
      <c r="AT242" t="str">
        <f>T("9791137601253")</f>
        <v>9791137601253</v>
      </c>
      <c r="AV242" t="str">
        <f>T("웹툰 &gt; 해외 순정")</f>
        <v>웹툰 &gt; 해외 순정</v>
      </c>
    </row>
    <row r="243" spans="1:48" x14ac:dyDescent="0.4">
      <c r="A243">
        <v>4421000001</v>
      </c>
      <c r="B243">
        <v>4421000018</v>
      </c>
      <c r="C243" t="str">
        <f>T("감옥실험 8화")</f>
        <v>감옥실험 8화</v>
      </c>
      <c r="D243" t="str">
        <f>T("8")</f>
        <v>8</v>
      </c>
      <c r="E243" t="str">
        <f>T("Kantetsu")</f>
        <v>Kantetsu</v>
      </c>
      <c r="G243" t="str">
        <f>T("Minase Chiho")</f>
        <v>Minase Chiho</v>
      </c>
      <c r="H243" t="str">
        <f t="shared" si="14"/>
        <v>스토리위즈</v>
      </c>
      <c r="I243" t="str">
        <f>T("감옥실험")</f>
        <v>감옥실험</v>
      </c>
      <c r="J243">
        <v>500</v>
      </c>
      <c r="K243">
        <v>0</v>
      </c>
      <c r="L243">
        <v>0</v>
      </c>
      <c r="M243">
        <v>0</v>
      </c>
      <c r="N243">
        <v>1800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1800</v>
      </c>
      <c r="AH243">
        <v>6</v>
      </c>
      <c r="AI243">
        <v>0</v>
      </c>
      <c r="AJ243">
        <v>0</v>
      </c>
      <c r="AK243">
        <v>1800</v>
      </c>
      <c r="AL243">
        <v>0</v>
      </c>
      <c r="AM243">
        <v>0</v>
      </c>
      <c r="AN243">
        <v>0</v>
      </c>
      <c r="AO243">
        <v>0</v>
      </c>
      <c r="AP243">
        <v>1260</v>
      </c>
      <c r="AT243" t="str">
        <f>T("9791166069406")</f>
        <v>9791166069406</v>
      </c>
      <c r="AV243" t="str">
        <f>T("웹툰 &gt; 드라마")</f>
        <v>웹툰 &gt; 드라마</v>
      </c>
    </row>
    <row r="244" spans="1:48" x14ac:dyDescent="0.4">
      <c r="A244">
        <v>4421000069</v>
      </c>
      <c r="B244">
        <v>4421000147</v>
      </c>
      <c r="C244" t="str">
        <f>T("너랑 나랑 하면 77화")</f>
        <v>너랑 나랑 하면 77화</v>
      </c>
      <c r="D244" t="str">
        <f>T("77")</f>
        <v>77</v>
      </c>
      <c r="E244" t="str">
        <f>T("NISANSUI")</f>
        <v>NISANSUI</v>
      </c>
      <c r="G244" t="str">
        <f>T("ZIQUAN")</f>
        <v>ZIQUAN</v>
      </c>
      <c r="H244" t="str">
        <f t="shared" si="14"/>
        <v>스토리위즈</v>
      </c>
      <c r="I244" t="str">
        <f>T("너랑 나랑 하면")</f>
        <v>너랑 나랑 하면</v>
      </c>
      <c r="J244">
        <v>400</v>
      </c>
      <c r="K244">
        <v>0</v>
      </c>
      <c r="L244">
        <v>0</v>
      </c>
      <c r="M244">
        <v>0</v>
      </c>
      <c r="N244">
        <v>200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200</v>
      </c>
      <c r="AH244">
        <v>1</v>
      </c>
      <c r="AI244">
        <v>0</v>
      </c>
      <c r="AJ244">
        <v>0</v>
      </c>
      <c r="AK244">
        <v>200</v>
      </c>
      <c r="AL244">
        <v>0</v>
      </c>
      <c r="AM244">
        <v>0</v>
      </c>
      <c r="AN244">
        <v>0</v>
      </c>
      <c r="AO244">
        <v>0</v>
      </c>
      <c r="AP244">
        <v>140</v>
      </c>
      <c r="AR244" t="str">
        <f>T("0000000000000")</f>
        <v>0000000000000</v>
      </c>
      <c r="AT244" t="str">
        <f>T("9791166067884")</f>
        <v>9791166067884</v>
      </c>
      <c r="AV244" t="str">
        <f>T("BL 웹툰 &gt; 웹툰")</f>
        <v>BL 웹툰 &gt; 웹툰</v>
      </c>
    </row>
    <row r="245" spans="1:48" x14ac:dyDescent="0.4">
      <c r="A245">
        <v>4421000742</v>
      </c>
      <c r="B245">
        <v>4421000751</v>
      </c>
      <c r="C245" t="str">
        <f>T("연애 2분의 1 10화")</f>
        <v>연애 2분의 1 10화</v>
      </c>
      <c r="D245" t="str">
        <f>T("10")</f>
        <v>10</v>
      </c>
      <c r="E245" t="str">
        <f>T("Zhupi&amp;Yangxuetu")</f>
        <v>Zhupi&amp;Yangxuetu</v>
      </c>
      <c r="H245" t="str">
        <f t="shared" si="14"/>
        <v>스토리위즈</v>
      </c>
      <c r="I245" t="str">
        <f>T("연애 2분의 1")</f>
        <v>연애 2분의 1</v>
      </c>
      <c r="J245">
        <v>200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2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R245" t="str">
        <f>T("0000000000000")</f>
        <v>0000000000000</v>
      </c>
      <c r="AT245" t="str">
        <f>T("9791166067891")</f>
        <v>9791166067891</v>
      </c>
      <c r="AV245" t="str">
        <f>T("웹툰 &gt; 해외 순정")</f>
        <v>웹툰 &gt; 해외 순정</v>
      </c>
    </row>
    <row r="246" spans="1:48" x14ac:dyDescent="0.4">
      <c r="A246">
        <v>4421000742</v>
      </c>
      <c r="B246">
        <v>4421000743</v>
      </c>
      <c r="C246" t="str">
        <f>T("연애 2분의 1 2화")</f>
        <v>연애 2분의 1 2화</v>
      </c>
      <c r="D246" t="str">
        <f>T("2")</f>
        <v>2</v>
      </c>
      <c r="E246" t="str">
        <f>T("Zhupi&amp;Yangxuetu")</f>
        <v>Zhupi&amp;Yangxuetu</v>
      </c>
      <c r="H246" t="str">
        <f t="shared" si="14"/>
        <v>스토리위즈</v>
      </c>
      <c r="I246" t="str">
        <f>T("연애 2분의 1")</f>
        <v>연애 2분의 1</v>
      </c>
      <c r="J246">
        <v>200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R246" t="str">
        <f>T("0000000000000")</f>
        <v>0000000000000</v>
      </c>
      <c r="AT246" t="str">
        <f>T("9791166067891")</f>
        <v>9791166067891</v>
      </c>
      <c r="AV246" t="str">
        <f>T("웹툰 &gt; 해외 순정")</f>
        <v>웹툰 &gt; 해외 순정</v>
      </c>
    </row>
    <row r="247" spans="1:48" x14ac:dyDescent="0.4">
      <c r="A247">
        <v>4421000069</v>
      </c>
      <c r="B247">
        <v>4421000082</v>
      </c>
      <c r="C247" t="str">
        <f>T("너랑 나랑 하면 13화")</f>
        <v>너랑 나랑 하면 13화</v>
      </c>
      <c r="D247" t="str">
        <f>T("13")</f>
        <v>13</v>
      </c>
      <c r="E247" t="str">
        <f>T("NISANSUI")</f>
        <v>NISANSUI</v>
      </c>
      <c r="G247" t="str">
        <f>T("ZIQUAN")</f>
        <v>ZIQUAN</v>
      </c>
      <c r="H247" t="str">
        <f t="shared" si="14"/>
        <v>스토리위즈</v>
      </c>
      <c r="I247" t="str">
        <f>T("너랑 나랑 하면")</f>
        <v>너랑 나랑 하면</v>
      </c>
      <c r="J247">
        <v>400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R247" t="str">
        <f>T("0000000000000")</f>
        <v>0000000000000</v>
      </c>
      <c r="AT247" t="str">
        <f>T("9791166067884")</f>
        <v>9791166067884</v>
      </c>
      <c r="AV247" t="str">
        <f>T("BL 웹툰 &gt; 웹툰")</f>
        <v>BL 웹툰 &gt; 웹툰</v>
      </c>
    </row>
    <row r="248" spans="1:48" x14ac:dyDescent="0.4">
      <c r="A248">
        <v>4421000866</v>
      </c>
      <c r="B248">
        <v>4421000961</v>
      </c>
      <c r="C248" t="str">
        <f>T("최애에게 들켜버렸다 27화")</f>
        <v>최애에게 들켜버렸다 27화</v>
      </c>
      <c r="D248" t="str">
        <f>T("28")</f>
        <v>28</v>
      </c>
      <c r="E248" t="str">
        <f>T("Lv")</f>
        <v>Lv</v>
      </c>
      <c r="G248" t="str">
        <f>T("Lv")</f>
        <v>Lv</v>
      </c>
      <c r="H248" t="str">
        <f t="shared" si="14"/>
        <v>스토리위즈</v>
      </c>
      <c r="I248" t="str">
        <f>T("최애에게 들켜버렸다")</f>
        <v>최애에게 들켜버렸다</v>
      </c>
      <c r="J248">
        <v>400</v>
      </c>
      <c r="K248">
        <v>0</v>
      </c>
      <c r="L248">
        <v>0</v>
      </c>
      <c r="M248">
        <v>0</v>
      </c>
      <c r="N248">
        <v>200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200</v>
      </c>
      <c r="AH248">
        <v>1</v>
      </c>
      <c r="AI248">
        <v>0</v>
      </c>
      <c r="AJ248">
        <v>0</v>
      </c>
      <c r="AK248">
        <v>200</v>
      </c>
      <c r="AL248">
        <v>0</v>
      </c>
      <c r="AM248">
        <v>0</v>
      </c>
      <c r="AN248">
        <v>0</v>
      </c>
      <c r="AO248">
        <v>0</v>
      </c>
      <c r="AP248">
        <v>140</v>
      </c>
      <c r="AR248" t="str">
        <f>T("0000000000000")</f>
        <v>0000000000000</v>
      </c>
      <c r="AT248" t="str">
        <f>T("9791137601253")</f>
        <v>9791137601253</v>
      </c>
      <c r="AV248" t="str">
        <f>T("웹툰 &gt; 해외 순정")</f>
        <v>웹툰 &gt; 해외 순정</v>
      </c>
    </row>
    <row r="249" spans="1:48" x14ac:dyDescent="0.4">
      <c r="A249">
        <v>4421000002</v>
      </c>
      <c r="B249">
        <v>4421000179</v>
      </c>
      <c r="C249" t="str">
        <f>T("이세계 소환은 두 번째라구요 24화")</f>
        <v>이세계 소환은 두 번째라구요 24화</v>
      </c>
      <c r="D249" t="str">
        <f>T("24")</f>
        <v>24</v>
      </c>
      <c r="E249" t="str">
        <f>T("Arashiyama, Kishimoto Kazuha, Shimahara")</f>
        <v>Arashiyama, Kishimoto Kazuha, Shimahara</v>
      </c>
      <c r="H249" t="str">
        <f t="shared" si="14"/>
        <v>스토리위즈</v>
      </c>
      <c r="I249" t="str">
        <f>T("이세계 소환은 두 번째라구요")</f>
        <v>이세계 소환은 두 번째라구요</v>
      </c>
      <c r="J249">
        <v>500</v>
      </c>
      <c r="K249">
        <v>0</v>
      </c>
      <c r="L249">
        <v>0</v>
      </c>
      <c r="M249">
        <v>0</v>
      </c>
      <c r="N249">
        <v>300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300</v>
      </c>
      <c r="AH249">
        <v>1</v>
      </c>
      <c r="AI249">
        <v>0</v>
      </c>
      <c r="AJ249">
        <v>0</v>
      </c>
      <c r="AK249">
        <v>300</v>
      </c>
      <c r="AL249">
        <v>0</v>
      </c>
      <c r="AM249">
        <v>0</v>
      </c>
      <c r="AN249">
        <v>0</v>
      </c>
      <c r="AO249">
        <v>0</v>
      </c>
      <c r="AP249">
        <v>210</v>
      </c>
      <c r="AT249" t="str">
        <f>T("9791166069390")</f>
        <v>9791166069390</v>
      </c>
      <c r="AV249" t="str">
        <f>T("웹툰 &gt; 판타지/SF")</f>
        <v>웹툰 &gt; 판타지/SF</v>
      </c>
    </row>
    <row r="250" spans="1:48" x14ac:dyDescent="0.4">
      <c r="A250">
        <v>4421000866</v>
      </c>
      <c r="B250">
        <v>4421000874</v>
      </c>
      <c r="C250" t="str">
        <f>T("최애에게 들켜버렸다 8화")</f>
        <v>최애에게 들켜버렸다 8화</v>
      </c>
      <c r="D250" t="str">
        <f>T("8")</f>
        <v>8</v>
      </c>
      <c r="E250" t="str">
        <f>T("Lv")</f>
        <v>Lv</v>
      </c>
      <c r="G250" t="str">
        <f>T("Lv")</f>
        <v>Lv</v>
      </c>
      <c r="H250" t="str">
        <f t="shared" si="14"/>
        <v>스토리위즈</v>
      </c>
      <c r="I250" t="str">
        <f>T("최애에게 들켜버렸다")</f>
        <v>최애에게 들켜버렸다</v>
      </c>
      <c r="J250">
        <v>400</v>
      </c>
      <c r="K250">
        <v>0</v>
      </c>
      <c r="L250">
        <v>0</v>
      </c>
      <c r="M250">
        <v>0</v>
      </c>
      <c r="N250">
        <v>400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400</v>
      </c>
      <c r="AH250">
        <v>2</v>
      </c>
      <c r="AI250">
        <v>0</v>
      </c>
      <c r="AJ250">
        <v>0</v>
      </c>
      <c r="AK250">
        <v>400</v>
      </c>
      <c r="AL250">
        <v>0</v>
      </c>
      <c r="AM250">
        <v>0</v>
      </c>
      <c r="AN250">
        <v>0</v>
      </c>
      <c r="AO250">
        <v>0</v>
      </c>
      <c r="AP250">
        <v>280</v>
      </c>
      <c r="AR250" t="str">
        <f>T("0000000000000")</f>
        <v>0000000000000</v>
      </c>
      <c r="AT250" t="str">
        <f>T("9791137601253")</f>
        <v>9791137601253</v>
      </c>
      <c r="AV250" t="str">
        <f>T("웹툰 &gt; 해외 순정")</f>
        <v>웹툰 &gt; 해외 순정</v>
      </c>
    </row>
    <row r="251" spans="1:48" x14ac:dyDescent="0.4">
      <c r="A251">
        <v>4421001377</v>
      </c>
      <c r="B251">
        <v>4421001391</v>
      </c>
      <c r="C251" t="str">
        <f>T("요괴님은 수련중 15화")</f>
        <v>요괴님은 수련중 15화</v>
      </c>
      <c r="D251" t="str">
        <f>T("15")</f>
        <v>15</v>
      </c>
      <c r="E251" t="str">
        <f>T("화방")</f>
        <v>화방</v>
      </c>
      <c r="G251" t="str">
        <f>T("망북")</f>
        <v>망북</v>
      </c>
      <c r="H251" t="str">
        <f t="shared" si="14"/>
        <v>스토리위즈</v>
      </c>
      <c r="I251" t="str">
        <f>T("요괴님은 수련중")</f>
        <v>요괴님은 수련중</v>
      </c>
      <c r="J251">
        <v>400</v>
      </c>
      <c r="K251">
        <v>0</v>
      </c>
      <c r="L251">
        <v>0</v>
      </c>
      <c r="M251">
        <v>0</v>
      </c>
      <c r="N251">
        <v>200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200</v>
      </c>
      <c r="AH251">
        <v>1</v>
      </c>
      <c r="AI251">
        <v>0</v>
      </c>
      <c r="AJ251">
        <v>0</v>
      </c>
      <c r="AK251">
        <v>200</v>
      </c>
      <c r="AL251">
        <v>0</v>
      </c>
      <c r="AM251">
        <v>0</v>
      </c>
      <c r="AN251">
        <v>0</v>
      </c>
      <c r="AO251">
        <v>0</v>
      </c>
      <c r="AP251">
        <v>140</v>
      </c>
      <c r="AR251" t="str">
        <f>T("0000000000000")</f>
        <v>0000000000000</v>
      </c>
      <c r="AT251" t="str">
        <f>T("9791137603899")</f>
        <v>9791137603899</v>
      </c>
      <c r="AV251" t="str">
        <f>T("웹툰 &gt; 해외 순정")</f>
        <v>웹툰 &gt; 해외 순정</v>
      </c>
    </row>
    <row r="252" spans="1:48" x14ac:dyDescent="0.4">
      <c r="A252">
        <v>4421000001</v>
      </c>
      <c r="B252">
        <v>4421000001</v>
      </c>
      <c r="C252" t="str">
        <f>T("감옥실험 1화")</f>
        <v>감옥실험 1화</v>
      </c>
      <c r="D252" t="str">
        <f>T("1")</f>
        <v>1</v>
      </c>
      <c r="E252" t="str">
        <f>T("Kantetsu")</f>
        <v>Kantetsu</v>
      </c>
      <c r="G252" t="str">
        <f>T("Minase Chiho")</f>
        <v>Minase Chiho</v>
      </c>
      <c r="H252" t="str">
        <f t="shared" si="14"/>
        <v>스토리위즈</v>
      </c>
      <c r="I252" t="str">
        <f>T("감옥실험")</f>
        <v>감옥실험</v>
      </c>
      <c r="J252">
        <v>500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9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T252" t="str">
        <f>T("9791166069406")</f>
        <v>9791166069406</v>
      </c>
      <c r="AV252" t="str">
        <f>T("웹툰 &gt; 드라마")</f>
        <v>웹툰 &gt; 드라마</v>
      </c>
    </row>
    <row r="253" spans="1:48" x14ac:dyDescent="0.4">
      <c r="A253">
        <v>4421000069</v>
      </c>
      <c r="B253">
        <v>4421000115</v>
      </c>
      <c r="C253" t="str">
        <f>T("너랑 나랑 하면 45화")</f>
        <v>너랑 나랑 하면 45화</v>
      </c>
      <c r="D253" t="str">
        <f>T("45")</f>
        <v>45</v>
      </c>
      <c r="E253" t="str">
        <f>T("NISANSUI")</f>
        <v>NISANSUI</v>
      </c>
      <c r="G253" t="str">
        <f>T("ZIQUAN")</f>
        <v>ZIQUAN</v>
      </c>
      <c r="H253" t="str">
        <f t="shared" si="14"/>
        <v>스토리위즈</v>
      </c>
      <c r="I253" t="str">
        <f>T("너랑 나랑 하면")</f>
        <v>너랑 나랑 하면</v>
      </c>
      <c r="J253">
        <v>400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R253" t="str">
        <f>T("0000000000000")</f>
        <v>0000000000000</v>
      </c>
      <c r="AT253" t="str">
        <f>T("9791166067884")</f>
        <v>9791166067884</v>
      </c>
      <c r="AV253" t="str">
        <f>T("BL 웹툰 &gt; 웹툰")</f>
        <v>BL 웹툰 &gt; 웹툰</v>
      </c>
    </row>
    <row r="254" spans="1:48" x14ac:dyDescent="0.4">
      <c r="A254">
        <v>4421000887</v>
      </c>
      <c r="B254">
        <v>4421001176</v>
      </c>
      <c r="C254" t="str">
        <f>T("폭군의 눈물 36화")</f>
        <v>폭군의 눈물 36화</v>
      </c>
      <c r="D254" t="str">
        <f>T("36")</f>
        <v>36</v>
      </c>
      <c r="E254" t="str">
        <f>T("Ice×FANFAN COMIC")</f>
        <v>Ice×FANFAN COMIC</v>
      </c>
      <c r="G254" t="str">
        <f>T("Ice×FANFAN COMIC")</f>
        <v>Ice×FANFAN COMIC</v>
      </c>
      <c r="H254" t="str">
        <f t="shared" si="14"/>
        <v>스토리위즈</v>
      </c>
      <c r="I254" t="str">
        <f>T("폭군의 눈물")</f>
        <v>폭군의 눈물</v>
      </c>
      <c r="J254">
        <v>400</v>
      </c>
      <c r="K254">
        <v>0</v>
      </c>
      <c r="L254">
        <v>0</v>
      </c>
      <c r="M254">
        <v>0</v>
      </c>
      <c r="N254">
        <v>600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600</v>
      </c>
      <c r="AH254">
        <v>3</v>
      </c>
      <c r="AI254">
        <v>0</v>
      </c>
      <c r="AJ254">
        <v>0</v>
      </c>
      <c r="AK254">
        <v>400</v>
      </c>
      <c r="AL254">
        <v>0</v>
      </c>
      <c r="AM254">
        <v>200</v>
      </c>
      <c r="AN254">
        <v>0</v>
      </c>
      <c r="AO254">
        <v>0</v>
      </c>
      <c r="AP254">
        <v>420</v>
      </c>
      <c r="AR254" t="str">
        <f>T("0000000000000")</f>
        <v>0000000000000</v>
      </c>
      <c r="AT254" t="str">
        <f>T("9791137601291")</f>
        <v>9791137601291</v>
      </c>
      <c r="AV254" t="str">
        <f>T("웹툰 &gt; 해외 순정")</f>
        <v>웹툰 &gt; 해외 순정</v>
      </c>
    </row>
    <row r="255" spans="1:48" x14ac:dyDescent="0.4">
      <c r="A255">
        <v>4421001340</v>
      </c>
      <c r="B255">
        <v>4421001343</v>
      </c>
      <c r="C255" t="str">
        <f>T("가출천사 육성계약 4화")</f>
        <v>가출천사 육성계약 4화</v>
      </c>
      <c r="D255" t="str">
        <f>T("4")</f>
        <v>4</v>
      </c>
      <c r="E255" t="str">
        <f>T("Bae.C, IIAKI, 박제후")</f>
        <v>Bae.C, IIAKI, 박제후</v>
      </c>
      <c r="G255" t="str">
        <f>T("Bae.C, 조우")</f>
        <v>Bae.C, 조우</v>
      </c>
      <c r="H255" t="str">
        <f t="shared" si="14"/>
        <v>스토리위즈</v>
      </c>
      <c r="I255" t="str">
        <f>T("가출천사 육성계약")</f>
        <v>가출천사 육성계약</v>
      </c>
      <c r="J255">
        <v>400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5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R255" t="str">
        <f>T("0000000000000")</f>
        <v>0000000000000</v>
      </c>
      <c r="AT255" t="str">
        <f>T("9791191765663")</f>
        <v>9791191765663</v>
      </c>
      <c r="AV255" t="str">
        <f>T("웹툰 &gt; 판타지/SF")</f>
        <v>웹툰 &gt; 판타지/SF</v>
      </c>
    </row>
    <row r="256" spans="1:48" x14ac:dyDescent="0.4">
      <c r="A256">
        <v>4421000001</v>
      </c>
      <c r="B256">
        <v>4421000050</v>
      </c>
      <c r="C256" t="str">
        <f>T("감옥실험 30화")</f>
        <v>감옥실험 30화</v>
      </c>
      <c r="D256" t="str">
        <f>T("30")</f>
        <v>30</v>
      </c>
      <c r="E256" t="str">
        <f>T("Kantetsu")</f>
        <v>Kantetsu</v>
      </c>
      <c r="G256" t="str">
        <f>T("Minase Chiho")</f>
        <v>Minase Chiho</v>
      </c>
      <c r="H256" t="str">
        <f t="shared" si="14"/>
        <v>스토리위즈</v>
      </c>
      <c r="I256" t="str">
        <f>T("감옥실험")</f>
        <v>감옥실험</v>
      </c>
      <c r="J256">
        <v>500</v>
      </c>
      <c r="K256">
        <v>0</v>
      </c>
      <c r="L256">
        <v>0</v>
      </c>
      <c r="M256">
        <v>0</v>
      </c>
      <c r="N256">
        <v>1500</v>
      </c>
      <c r="O256">
        <v>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1500</v>
      </c>
      <c r="AH256">
        <v>5</v>
      </c>
      <c r="AI256">
        <v>0</v>
      </c>
      <c r="AJ256">
        <v>0</v>
      </c>
      <c r="AK256">
        <v>1500</v>
      </c>
      <c r="AL256">
        <v>0</v>
      </c>
      <c r="AM256">
        <v>0</v>
      </c>
      <c r="AN256">
        <v>0</v>
      </c>
      <c r="AO256">
        <v>0</v>
      </c>
      <c r="AP256">
        <v>1050</v>
      </c>
      <c r="AT256" t="str">
        <f>T("9791166069406")</f>
        <v>9791166069406</v>
      </c>
      <c r="AV256" t="str">
        <f>T("웹툰 &gt; 드라마")</f>
        <v>웹툰 &gt; 드라마</v>
      </c>
    </row>
    <row r="257" spans="1:48" x14ac:dyDescent="0.4">
      <c r="A257">
        <v>4421000002</v>
      </c>
      <c r="B257">
        <v>4421000255</v>
      </c>
      <c r="C257" t="str">
        <f>T("이세계 소환은 두 번째라구요 39화")</f>
        <v>이세계 소환은 두 번째라구요 39화</v>
      </c>
      <c r="D257" t="str">
        <f>T("39")</f>
        <v>39</v>
      </c>
      <c r="E257" t="str">
        <f>T("Arashiyama, Kishimoto Kazuha, Shimahara")</f>
        <v>Arashiyama, Kishimoto Kazuha, Shimahara</v>
      </c>
      <c r="H257" t="str">
        <f t="shared" si="14"/>
        <v>스토리위즈</v>
      </c>
      <c r="I257" t="str">
        <f>T("이세계 소환은 두 번째라구요")</f>
        <v>이세계 소환은 두 번째라구요</v>
      </c>
      <c r="J257">
        <v>500</v>
      </c>
      <c r="K257">
        <v>0</v>
      </c>
      <c r="L257">
        <v>0</v>
      </c>
      <c r="M257">
        <v>0</v>
      </c>
      <c r="N257">
        <v>300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300</v>
      </c>
      <c r="AH257">
        <v>1</v>
      </c>
      <c r="AI257">
        <v>0</v>
      </c>
      <c r="AJ257">
        <v>0</v>
      </c>
      <c r="AK257">
        <v>300</v>
      </c>
      <c r="AL257">
        <v>0</v>
      </c>
      <c r="AM257">
        <v>0</v>
      </c>
      <c r="AN257">
        <v>0</v>
      </c>
      <c r="AO257">
        <v>0</v>
      </c>
      <c r="AP257">
        <v>210</v>
      </c>
      <c r="AT257" t="str">
        <f>T("9791166069390")</f>
        <v>9791166069390</v>
      </c>
      <c r="AV257" t="str">
        <f>T("웹툰 &gt; 판타지/SF")</f>
        <v>웹툰 &gt; 판타지/SF</v>
      </c>
    </row>
    <row r="258" spans="1:48" x14ac:dyDescent="0.4">
      <c r="A258">
        <v>4421001325</v>
      </c>
      <c r="B258">
        <v>4421001326</v>
      </c>
      <c r="C258" t="str">
        <f>T("커피여우 김삼월 2화")</f>
        <v>커피여우 김삼월 2화</v>
      </c>
      <c r="D258" t="str">
        <f>T("2")</f>
        <v>2</v>
      </c>
      <c r="E258" t="str">
        <f>T("Nica")</f>
        <v>Nica</v>
      </c>
      <c r="G258" t="str">
        <f>T("A.Noa, RK Studio")</f>
        <v>A.Noa, RK Studio</v>
      </c>
      <c r="H258" t="str">
        <f t="shared" ref="H258:H321" si="16">T("스토리위즈")</f>
        <v>스토리위즈</v>
      </c>
      <c r="I258" t="str">
        <f>T("커피여우 김삼월")</f>
        <v>커피여우 김삼월</v>
      </c>
      <c r="J258">
        <v>500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3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R258" t="str">
        <f>T("0000000000000")</f>
        <v>0000000000000</v>
      </c>
      <c r="AT258" t="str">
        <f>T("9791191241792")</f>
        <v>9791191241792</v>
      </c>
      <c r="AV258" t="str">
        <f>T("웹툰 &gt; 국내 순정")</f>
        <v>웹툰 &gt; 국내 순정</v>
      </c>
    </row>
    <row r="259" spans="1:48" x14ac:dyDescent="0.4">
      <c r="A259">
        <v>4421000001</v>
      </c>
      <c r="B259">
        <v>4421000043</v>
      </c>
      <c r="C259" t="str">
        <f>T("감옥실험 23화")</f>
        <v>감옥실험 23화</v>
      </c>
      <c r="D259" t="str">
        <f>T("23")</f>
        <v>23</v>
      </c>
      <c r="E259" t="str">
        <f>T("Kantetsu")</f>
        <v>Kantetsu</v>
      </c>
      <c r="G259" t="str">
        <f>T("Minase Chiho")</f>
        <v>Minase Chiho</v>
      </c>
      <c r="H259" t="str">
        <f t="shared" si="16"/>
        <v>스토리위즈</v>
      </c>
      <c r="I259" t="str">
        <f>T("감옥실험")</f>
        <v>감옥실험</v>
      </c>
      <c r="J259">
        <v>500</v>
      </c>
      <c r="K259">
        <v>0</v>
      </c>
      <c r="L259">
        <v>0</v>
      </c>
      <c r="M259">
        <v>0</v>
      </c>
      <c r="N259">
        <v>1500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1500</v>
      </c>
      <c r="AH259">
        <v>5</v>
      </c>
      <c r="AI259">
        <v>0</v>
      </c>
      <c r="AJ259">
        <v>0</v>
      </c>
      <c r="AK259">
        <v>1500</v>
      </c>
      <c r="AL259">
        <v>0</v>
      </c>
      <c r="AM259">
        <v>0</v>
      </c>
      <c r="AN259">
        <v>0</v>
      </c>
      <c r="AO259">
        <v>0</v>
      </c>
      <c r="AP259">
        <v>1050</v>
      </c>
      <c r="AT259" t="str">
        <f>T("9791166069406")</f>
        <v>9791166069406</v>
      </c>
      <c r="AV259" t="str">
        <f>T("웹툰 &gt; 드라마")</f>
        <v>웹툰 &gt; 드라마</v>
      </c>
    </row>
    <row r="260" spans="1:48" x14ac:dyDescent="0.4">
      <c r="A260">
        <v>4421000002</v>
      </c>
      <c r="B260">
        <v>4421000248</v>
      </c>
      <c r="C260" t="str">
        <f>T("이세계 소환은 두 번째라구요 32화")</f>
        <v>이세계 소환은 두 번째라구요 32화</v>
      </c>
      <c r="D260" t="str">
        <f>T("32")</f>
        <v>32</v>
      </c>
      <c r="E260" t="str">
        <f>T("Arashiyama, Kishimoto Kazuha, Shimahara")</f>
        <v>Arashiyama, Kishimoto Kazuha, Shimahara</v>
      </c>
      <c r="H260" t="str">
        <f t="shared" si="16"/>
        <v>스토리위즈</v>
      </c>
      <c r="I260" t="str">
        <f>T("이세계 소환은 두 번째라구요")</f>
        <v>이세계 소환은 두 번째라구요</v>
      </c>
      <c r="J260">
        <v>500</v>
      </c>
      <c r="K260">
        <v>0</v>
      </c>
      <c r="L260">
        <v>0</v>
      </c>
      <c r="M260">
        <v>0</v>
      </c>
      <c r="N260">
        <v>300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300</v>
      </c>
      <c r="AH260">
        <v>1</v>
      </c>
      <c r="AI260">
        <v>0</v>
      </c>
      <c r="AJ260">
        <v>0</v>
      </c>
      <c r="AK260">
        <v>300</v>
      </c>
      <c r="AL260">
        <v>0</v>
      </c>
      <c r="AM260">
        <v>0</v>
      </c>
      <c r="AN260">
        <v>0</v>
      </c>
      <c r="AO260">
        <v>0</v>
      </c>
      <c r="AP260">
        <v>210</v>
      </c>
      <c r="AT260" t="str">
        <f>T("9791166069390")</f>
        <v>9791166069390</v>
      </c>
      <c r="AV260" t="str">
        <f>T("웹툰 &gt; 판타지/SF")</f>
        <v>웹툰 &gt; 판타지/SF</v>
      </c>
    </row>
    <row r="261" spans="1:48" x14ac:dyDescent="0.4">
      <c r="A261">
        <v>4421000518</v>
      </c>
      <c r="B261">
        <v>4421000526</v>
      </c>
      <c r="C261" t="str">
        <f>T("백스테이지 키스신 8화")</f>
        <v>백스테이지 키스신 8화</v>
      </c>
      <c r="D261" t="str">
        <f>T("8")</f>
        <v>8</v>
      </c>
      <c r="E261" t="str">
        <f>T("최도비")</f>
        <v>최도비</v>
      </c>
      <c r="G261" t="str">
        <f>T("수정과")</f>
        <v>수정과</v>
      </c>
      <c r="H261" t="str">
        <f t="shared" si="16"/>
        <v>스토리위즈</v>
      </c>
      <c r="I261" t="str">
        <f>T("백스테이지 키스신")</f>
        <v>백스테이지 키스신</v>
      </c>
      <c r="J261">
        <v>400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R261" t="str">
        <f>T("0000000000000")</f>
        <v>0000000000000</v>
      </c>
      <c r="AT261" t="str">
        <f>T("9791166067990")</f>
        <v>9791166067990</v>
      </c>
      <c r="AV261" t="str">
        <f>T("웹툰 &gt; 국내 순정")</f>
        <v>웹툰 &gt; 국내 순정</v>
      </c>
    </row>
    <row r="262" spans="1:48" x14ac:dyDescent="0.4">
      <c r="A262">
        <v>4421000069</v>
      </c>
      <c r="B262">
        <v>4421000075</v>
      </c>
      <c r="C262" t="str">
        <f>T("너랑 나랑 하면 6화")</f>
        <v>너랑 나랑 하면 6화</v>
      </c>
      <c r="D262" t="str">
        <f>T("6")</f>
        <v>6</v>
      </c>
      <c r="E262" t="str">
        <f>T("NISANSUI")</f>
        <v>NISANSUI</v>
      </c>
      <c r="G262" t="str">
        <f>T("ZIQUAN")</f>
        <v>ZIQUAN</v>
      </c>
      <c r="H262" t="str">
        <f t="shared" si="16"/>
        <v>스토리위즈</v>
      </c>
      <c r="I262" t="str">
        <f>T("너랑 나랑 하면")</f>
        <v>너랑 나랑 하면</v>
      </c>
      <c r="J262">
        <v>400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R262" t="str">
        <f>T("0000000000000")</f>
        <v>0000000000000</v>
      </c>
      <c r="AT262" t="str">
        <f>T("9791166067884")</f>
        <v>9791166067884</v>
      </c>
      <c r="AV262" t="str">
        <f>T("BL 웹툰 &gt; 웹툰")</f>
        <v>BL 웹툰 &gt; 웹툰</v>
      </c>
    </row>
    <row r="263" spans="1:48" x14ac:dyDescent="0.4">
      <c r="A263">
        <v>4421000001</v>
      </c>
      <c r="B263">
        <v>4421000172</v>
      </c>
      <c r="C263" t="str">
        <f>T("감옥실험 51화")</f>
        <v>감옥실험 51화</v>
      </c>
      <c r="D263" t="str">
        <f>T("51")</f>
        <v>51</v>
      </c>
      <c r="E263" t="str">
        <f>T("Kantetsu")</f>
        <v>Kantetsu</v>
      </c>
      <c r="G263" t="str">
        <f>T("Minase Chiho")</f>
        <v>Minase Chiho</v>
      </c>
      <c r="H263" t="str">
        <f t="shared" si="16"/>
        <v>스토리위즈</v>
      </c>
      <c r="I263" t="str">
        <f>T("감옥실험")</f>
        <v>감옥실험</v>
      </c>
      <c r="J263">
        <v>500</v>
      </c>
      <c r="K263">
        <v>0</v>
      </c>
      <c r="L263">
        <v>0</v>
      </c>
      <c r="M263">
        <v>0</v>
      </c>
      <c r="N263">
        <v>1200</v>
      </c>
      <c r="O263">
        <v>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1200</v>
      </c>
      <c r="AH263">
        <v>4</v>
      </c>
      <c r="AI263">
        <v>0</v>
      </c>
      <c r="AJ263">
        <v>0</v>
      </c>
      <c r="AK263">
        <v>1200</v>
      </c>
      <c r="AL263">
        <v>0</v>
      </c>
      <c r="AM263">
        <v>0</v>
      </c>
      <c r="AN263">
        <v>0</v>
      </c>
      <c r="AO263">
        <v>0</v>
      </c>
      <c r="AP263">
        <v>840</v>
      </c>
      <c r="AT263" t="str">
        <f>T("9791166069406")</f>
        <v>9791166069406</v>
      </c>
      <c r="AV263" t="str">
        <f>T("웹툰 &gt; 드라마")</f>
        <v>웹툰 &gt; 드라마</v>
      </c>
    </row>
    <row r="264" spans="1:48" x14ac:dyDescent="0.4">
      <c r="A264">
        <v>4421000866</v>
      </c>
      <c r="B264">
        <v>4421000867</v>
      </c>
      <c r="C264" t="str">
        <f>T("최애에게 들켜버렸다 1화")</f>
        <v>최애에게 들켜버렸다 1화</v>
      </c>
      <c r="D264" t="str">
        <f>T("1")</f>
        <v>1</v>
      </c>
      <c r="E264" t="str">
        <f>T("Lv")</f>
        <v>Lv</v>
      </c>
      <c r="G264" t="str">
        <f>T("Lv")</f>
        <v>Lv</v>
      </c>
      <c r="H264" t="str">
        <f t="shared" si="16"/>
        <v>스토리위즈</v>
      </c>
      <c r="I264" t="str">
        <f>T("최애에게 들켜버렸다")</f>
        <v>최애에게 들켜버렸다</v>
      </c>
      <c r="J264">
        <v>400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3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R264" t="str">
        <f>T("0000000000000")</f>
        <v>0000000000000</v>
      </c>
      <c r="AT264" t="str">
        <f>T("9791137601253")</f>
        <v>9791137601253</v>
      </c>
      <c r="AV264" t="str">
        <f>T("웹툰 &gt; 해외 순정")</f>
        <v>웹툰 &gt; 해외 순정</v>
      </c>
    </row>
    <row r="265" spans="1:48" x14ac:dyDescent="0.4">
      <c r="A265">
        <v>4421000069</v>
      </c>
      <c r="B265">
        <v>4421000108</v>
      </c>
      <c r="C265" t="str">
        <f>T("너랑 나랑 하면 38화")</f>
        <v>너랑 나랑 하면 38화</v>
      </c>
      <c r="D265" t="str">
        <f>T("38")</f>
        <v>38</v>
      </c>
      <c r="E265" t="str">
        <f>T("NISANSUI")</f>
        <v>NISANSUI</v>
      </c>
      <c r="G265" t="str">
        <f>T("ZIQUAN")</f>
        <v>ZIQUAN</v>
      </c>
      <c r="H265" t="str">
        <f t="shared" si="16"/>
        <v>스토리위즈</v>
      </c>
      <c r="I265" t="str">
        <f>T("너랑 나랑 하면")</f>
        <v>너랑 나랑 하면</v>
      </c>
      <c r="J265">
        <v>400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R265" t="str">
        <f>T("0000000000000")</f>
        <v>0000000000000</v>
      </c>
      <c r="AT265" t="str">
        <f>T("9791166067884")</f>
        <v>9791166067884</v>
      </c>
      <c r="AV265" t="str">
        <f>T("BL 웹툰 &gt; 웹툰")</f>
        <v>BL 웹툰 &gt; 웹툰</v>
      </c>
    </row>
    <row r="266" spans="1:48" x14ac:dyDescent="0.4">
      <c r="A266">
        <v>4421000001</v>
      </c>
      <c r="B266">
        <v>4421000068</v>
      </c>
      <c r="C266" t="str">
        <f>T("감옥실험 48화")</f>
        <v>감옥실험 48화</v>
      </c>
      <c r="D266" t="str">
        <f>T("48")</f>
        <v>48</v>
      </c>
      <c r="E266" t="str">
        <f>T("Kantetsu")</f>
        <v>Kantetsu</v>
      </c>
      <c r="G266" t="str">
        <f>T("Minase Chiho")</f>
        <v>Minase Chiho</v>
      </c>
      <c r="H266" t="str">
        <f t="shared" si="16"/>
        <v>스토리위즈</v>
      </c>
      <c r="I266" t="str">
        <f>T("감옥실험")</f>
        <v>감옥실험</v>
      </c>
      <c r="J266">
        <v>500</v>
      </c>
      <c r="K266">
        <v>0</v>
      </c>
      <c r="L266">
        <v>0</v>
      </c>
      <c r="M266">
        <v>0</v>
      </c>
      <c r="N266">
        <v>1200</v>
      </c>
      <c r="O266">
        <v>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1200</v>
      </c>
      <c r="AH266">
        <v>4</v>
      </c>
      <c r="AI266">
        <v>0</v>
      </c>
      <c r="AJ266">
        <v>0</v>
      </c>
      <c r="AK266">
        <v>1200</v>
      </c>
      <c r="AL266">
        <v>0</v>
      </c>
      <c r="AM266">
        <v>0</v>
      </c>
      <c r="AN266">
        <v>0</v>
      </c>
      <c r="AO266">
        <v>0</v>
      </c>
      <c r="AP266">
        <v>840</v>
      </c>
      <c r="AT266" t="str">
        <f>T("9791166069406")</f>
        <v>9791166069406</v>
      </c>
      <c r="AV266" t="str">
        <f>T("웹툰 &gt; 드라마")</f>
        <v>웹툰 &gt; 드라마</v>
      </c>
    </row>
    <row r="267" spans="1:48" x14ac:dyDescent="0.4">
      <c r="A267">
        <v>4421000518</v>
      </c>
      <c r="B267">
        <v>4421000519</v>
      </c>
      <c r="C267" t="str">
        <f>T("백스테이지 키스신 1화")</f>
        <v>백스테이지 키스신 1화</v>
      </c>
      <c r="D267" t="str">
        <f>T("1")</f>
        <v>1</v>
      </c>
      <c r="E267" t="str">
        <f>T("최도비")</f>
        <v>최도비</v>
      </c>
      <c r="G267" t="str">
        <f>T("수정과")</f>
        <v>수정과</v>
      </c>
      <c r="H267" t="str">
        <f t="shared" si="16"/>
        <v>스토리위즈</v>
      </c>
      <c r="I267" t="str">
        <f>T("백스테이지 키스신")</f>
        <v>백스테이지 키스신</v>
      </c>
      <c r="J267">
        <v>400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3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R267" t="str">
        <f>T("0000000000000")</f>
        <v>0000000000000</v>
      </c>
      <c r="AT267" t="str">
        <f>T("9791166067990")</f>
        <v>9791166067990</v>
      </c>
      <c r="AV267" t="str">
        <f>T("웹툰 &gt; 국내 순정")</f>
        <v>웹툰 &gt; 국내 순정</v>
      </c>
    </row>
    <row r="268" spans="1:48" x14ac:dyDescent="0.4">
      <c r="A268">
        <v>4421000742</v>
      </c>
      <c r="B268">
        <v>4421000769</v>
      </c>
      <c r="C268" t="str">
        <f>T("연애 2분의 1 28화")</f>
        <v>연애 2분의 1 28화</v>
      </c>
      <c r="D268" t="str">
        <f>T("28")</f>
        <v>28</v>
      </c>
      <c r="E268" t="str">
        <f>T("Zhupi&amp;Yangxuetu")</f>
        <v>Zhupi&amp;Yangxuetu</v>
      </c>
      <c r="H268" t="str">
        <f t="shared" si="16"/>
        <v>스토리위즈</v>
      </c>
      <c r="I268" t="str">
        <f>T("연애 2분의 1")</f>
        <v>연애 2분의 1</v>
      </c>
      <c r="J268">
        <v>200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R268" t="str">
        <f>T("0000000000000")</f>
        <v>0000000000000</v>
      </c>
      <c r="AT268" t="str">
        <f>T("9791166067891")</f>
        <v>9791166067891</v>
      </c>
      <c r="AV268" t="str">
        <f>T("웹툰 &gt; 해외 순정")</f>
        <v>웹툰 &gt; 해외 순정</v>
      </c>
    </row>
    <row r="269" spans="1:48" x14ac:dyDescent="0.4">
      <c r="A269">
        <v>4421000887</v>
      </c>
      <c r="B269">
        <v>4421001216</v>
      </c>
      <c r="C269" t="str">
        <f>T("폭군의 눈물 43화")</f>
        <v>폭군의 눈물 43화</v>
      </c>
      <c r="D269" t="str">
        <f>T("43")</f>
        <v>43</v>
      </c>
      <c r="E269" t="str">
        <f>T("Ice×FANFAN COMIC")</f>
        <v>Ice×FANFAN COMIC</v>
      </c>
      <c r="G269" t="str">
        <f>T("Ice×FANFAN COMIC")</f>
        <v>Ice×FANFAN COMIC</v>
      </c>
      <c r="H269" t="str">
        <f t="shared" si="16"/>
        <v>스토리위즈</v>
      </c>
      <c r="I269" t="str">
        <f>T("폭군의 눈물")</f>
        <v>폭군의 눈물</v>
      </c>
      <c r="J269">
        <v>400</v>
      </c>
      <c r="K269">
        <v>0</v>
      </c>
      <c r="L269">
        <v>0</v>
      </c>
      <c r="M269">
        <v>0</v>
      </c>
      <c r="N269">
        <v>600</v>
      </c>
      <c r="O269">
        <v>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600</v>
      </c>
      <c r="AH269">
        <v>3</v>
      </c>
      <c r="AI269">
        <v>0</v>
      </c>
      <c r="AJ269">
        <v>0</v>
      </c>
      <c r="AK269">
        <v>400</v>
      </c>
      <c r="AL269">
        <v>0</v>
      </c>
      <c r="AM269">
        <v>200</v>
      </c>
      <c r="AN269">
        <v>0</v>
      </c>
      <c r="AO269">
        <v>0</v>
      </c>
      <c r="AP269">
        <v>420</v>
      </c>
      <c r="AR269" t="str">
        <f>T("0000000000000")</f>
        <v>0000000000000</v>
      </c>
      <c r="AT269" t="str">
        <f>T("9791137601291")</f>
        <v>9791137601291</v>
      </c>
      <c r="AV269" t="str">
        <f>T("웹툰 &gt; 해외 순정")</f>
        <v>웹툰 &gt; 해외 순정</v>
      </c>
    </row>
    <row r="270" spans="1:48" x14ac:dyDescent="0.4">
      <c r="A270">
        <v>4421000069</v>
      </c>
      <c r="B270">
        <v>4421000100</v>
      </c>
      <c r="C270" t="str">
        <f>T("너랑 나랑 하면 31화")</f>
        <v>너랑 나랑 하면 31화</v>
      </c>
      <c r="D270" t="str">
        <f>T("31")</f>
        <v>31</v>
      </c>
      <c r="E270" t="str">
        <f>T("NISANSUI")</f>
        <v>NISANSUI</v>
      </c>
      <c r="G270" t="str">
        <f>T("ZIQUAN")</f>
        <v>ZIQUAN</v>
      </c>
      <c r="H270" t="str">
        <f t="shared" si="16"/>
        <v>스토리위즈</v>
      </c>
      <c r="I270" t="str">
        <f>T("너랑 나랑 하면")</f>
        <v>너랑 나랑 하면</v>
      </c>
      <c r="J270">
        <v>400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R270" t="str">
        <f>T("0000000000000")</f>
        <v>0000000000000</v>
      </c>
      <c r="AT270" t="str">
        <f>T("9791166067884")</f>
        <v>9791166067884</v>
      </c>
      <c r="AV270" t="str">
        <f>T("BL 웹툰 &gt; 웹툰")</f>
        <v>BL 웹툰 &gt; 웹툰</v>
      </c>
    </row>
    <row r="271" spans="1:48" x14ac:dyDescent="0.4">
      <c r="A271">
        <v>4421000866</v>
      </c>
      <c r="B271">
        <v>4421000993</v>
      </c>
      <c r="C271" t="str">
        <f>T("최애에게 들켜버렸다 35화")</f>
        <v>최애에게 들켜버렸다 35화</v>
      </c>
      <c r="D271" t="str">
        <f>T("36")</f>
        <v>36</v>
      </c>
      <c r="E271" t="str">
        <f>T("Lv")</f>
        <v>Lv</v>
      </c>
      <c r="G271" t="str">
        <f>T("Lv")</f>
        <v>Lv</v>
      </c>
      <c r="H271" t="str">
        <f t="shared" si="16"/>
        <v>스토리위즈</v>
      </c>
      <c r="I271" t="str">
        <f>T("최애에게 들켜버렸다")</f>
        <v>최애에게 들켜버렸다</v>
      </c>
      <c r="J271">
        <v>400</v>
      </c>
      <c r="K271">
        <v>0</v>
      </c>
      <c r="L271">
        <v>0</v>
      </c>
      <c r="M271">
        <v>0</v>
      </c>
      <c r="N271">
        <v>200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200</v>
      </c>
      <c r="AH271">
        <v>1</v>
      </c>
      <c r="AI271">
        <v>0</v>
      </c>
      <c r="AJ271">
        <v>0</v>
      </c>
      <c r="AK271">
        <v>200</v>
      </c>
      <c r="AL271">
        <v>0</v>
      </c>
      <c r="AM271">
        <v>0</v>
      </c>
      <c r="AN271">
        <v>0</v>
      </c>
      <c r="AO271">
        <v>0</v>
      </c>
      <c r="AP271">
        <v>140</v>
      </c>
      <c r="AR271" t="str">
        <f>T("0000000000000")</f>
        <v>0000000000000</v>
      </c>
      <c r="AT271" t="str">
        <f>T("9791137601253")</f>
        <v>9791137601253</v>
      </c>
      <c r="AV271" t="str">
        <f>T("웹툰 &gt; 해외 순정")</f>
        <v>웹툰 &gt; 해외 순정</v>
      </c>
    </row>
    <row r="272" spans="1:48" x14ac:dyDescent="0.4">
      <c r="A272">
        <v>4421000001</v>
      </c>
      <c r="B272">
        <v>4421000029</v>
      </c>
      <c r="C272" t="str">
        <f>T("감옥실험 19화")</f>
        <v>감옥실험 19화</v>
      </c>
      <c r="D272" t="str">
        <f>T("19")</f>
        <v>19</v>
      </c>
      <c r="E272" t="str">
        <f>T("Kantetsu")</f>
        <v>Kantetsu</v>
      </c>
      <c r="G272" t="str">
        <f>T("Minase Chiho")</f>
        <v>Minase Chiho</v>
      </c>
      <c r="H272" t="str">
        <f t="shared" si="16"/>
        <v>스토리위즈</v>
      </c>
      <c r="I272" t="str">
        <f>T("감옥실험")</f>
        <v>감옥실험</v>
      </c>
      <c r="J272">
        <v>500</v>
      </c>
      <c r="K272">
        <v>0</v>
      </c>
      <c r="L272">
        <v>0</v>
      </c>
      <c r="M272">
        <v>0</v>
      </c>
      <c r="N272">
        <v>2100</v>
      </c>
      <c r="O272">
        <v>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2100</v>
      </c>
      <c r="AH272">
        <v>7</v>
      </c>
      <c r="AI272">
        <v>0</v>
      </c>
      <c r="AJ272">
        <v>0</v>
      </c>
      <c r="AK272">
        <v>2100</v>
      </c>
      <c r="AL272">
        <v>0</v>
      </c>
      <c r="AM272">
        <v>0</v>
      </c>
      <c r="AN272">
        <v>0</v>
      </c>
      <c r="AO272">
        <v>0</v>
      </c>
      <c r="AP272">
        <v>1470</v>
      </c>
      <c r="AT272" t="str">
        <f>T("9791166069406")</f>
        <v>9791166069406</v>
      </c>
      <c r="AV272" t="str">
        <f>T("웹툰 &gt; 드라마")</f>
        <v>웹툰 &gt; 드라마</v>
      </c>
    </row>
    <row r="273" spans="1:48" x14ac:dyDescent="0.4">
      <c r="A273">
        <v>4421000887</v>
      </c>
      <c r="B273">
        <v>4421001208</v>
      </c>
      <c r="C273" t="str">
        <f>T("폭군의 눈물 39화")</f>
        <v>폭군의 눈물 39화</v>
      </c>
      <c r="D273" t="str">
        <f>T("39")</f>
        <v>39</v>
      </c>
      <c r="E273" t="str">
        <f>T("Ice×FANFAN COMIC")</f>
        <v>Ice×FANFAN COMIC</v>
      </c>
      <c r="G273" t="str">
        <f>T("Ice×FANFAN COMIC")</f>
        <v>Ice×FANFAN COMIC</v>
      </c>
      <c r="H273" t="str">
        <f t="shared" si="16"/>
        <v>스토리위즈</v>
      </c>
      <c r="I273" t="str">
        <f>T("폭군의 눈물")</f>
        <v>폭군의 눈물</v>
      </c>
      <c r="J273">
        <v>400</v>
      </c>
      <c r="K273">
        <v>0</v>
      </c>
      <c r="L273">
        <v>0</v>
      </c>
      <c r="M273">
        <v>0</v>
      </c>
      <c r="N273">
        <v>1000</v>
      </c>
      <c r="O273">
        <v>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1000</v>
      </c>
      <c r="AH273">
        <v>5</v>
      </c>
      <c r="AI273">
        <v>0</v>
      </c>
      <c r="AJ273">
        <v>0</v>
      </c>
      <c r="AK273">
        <v>800</v>
      </c>
      <c r="AL273">
        <v>0</v>
      </c>
      <c r="AM273">
        <v>200</v>
      </c>
      <c r="AN273">
        <v>0</v>
      </c>
      <c r="AO273">
        <v>0</v>
      </c>
      <c r="AP273">
        <v>700</v>
      </c>
      <c r="AR273" t="str">
        <f>T("0000000000000")</f>
        <v>0000000000000</v>
      </c>
      <c r="AT273" t="str">
        <f>T("9791137601291")</f>
        <v>9791137601291</v>
      </c>
      <c r="AV273" t="str">
        <f>T("웹툰 &gt; 해외 순정")</f>
        <v>웹툰 &gt; 해외 순정</v>
      </c>
    </row>
    <row r="274" spans="1:48" x14ac:dyDescent="0.4">
      <c r="A274">
        <v>4421001377</v>
      </c>
      <c r="B274">
        <v>4421001385</v>
      </c>
      <c r="C274" t="str">
        <f>T("요괴님은 수련중 9화")</f>
        <v>요괴님은 수련중 9화</v>
      </c>
      <c r="D274" t="str">
        <f>T("9")</f>
        <v>9</v>
      </c>
      <c r="E274" t="str">
        <f>T("화방")</f>
        <v>화방</v>
      </c>
      <c r="G274" t="str">
        <f>T("망북")</f>
        <v>망북</v>
      </c>
      <c r="H274" t="str">
        <f t="shared" si="16"/>
        <v>스토리위즈</v>
      </c>
      <c r="I274" t="str">
        <f>T("요괴님은 수련중")</f>
        <v>요괴님은 수련중</v>
      </c>
      <c r="J274">
        <v>400</v>
      </c>
      <c r="K274">
        <v>0</v>
      </c>
      <c r="L274">
        <v>0</v>
      </c>
      <c r="M274">
        <v>0</v>
      </c>
      <c r="N274">
        <v>200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200</v>
      </c>
      <c r="AH274">
        <v>1</v>
      </c>
      <c r="AI274">
        <v>0</v>
      </c>
      <c r="AJ274">
        <v>0</v>
      </c>
      <c r="AK274">
        <v>200</v>
      </c>
      <c r="AL274">
        <v>0</v>
      </c>
      <c r="AM274">
        <v>0</v>
      </c>
      <c r="AN274">
        <v>0</v>
      </c>
      <c r="AO274">
        <v>0</v>
      </c>
      <c r="AP274">
        <v>140</v>
      </c>
      <c r="AR274" t="str">
        <f>T("0000000000000")</f>
        <v>0000000000000</v>
      </c>
      <c r="AT274" t="str">
        <f>T("9791137603899")</f>
        <v>9791137603899</v>
      </c>
      <c r="AV274" t="str">
        <f>T("웹툰 &gt; 해외 순정")</f>
        <v>웹툰 &gt; 해외 순정</v>
      </c>
    </row>
    <row r="275" spans="1:48" x14ac:dyDescent="0.4">
      <c r="A275">
        <v>4421000198</v>
      </c>
      <c r="B275">
        <v>4421000202</v>
      </c>
      <c r="C275" t="str">
        <f>T("공주전쟁 5화")</f>
        <v>공주전쟁 5화</v>
      </c>
      <c r="D275" t="str">
        <f>T("5")</f>
        <v>5</v>
      </c>
      <c r="E275" t="str">
        <f>T("Hujing")</f>
        <v>Hujing</v>
      </c>
      <c r="G275" t="str">
        <f>T("Luojie")</f>
        <v>Luojie</v>
      </c>
      <c r="H275" t="str">
        <f t="shared" si="16"/>
        <v>스토리위즈</v>
      </c>
      <c r="I275" t="str">
        <f>T("공주전쟁")</f>
        <v>공주전쟁</v>
      </c>
      <c r="J275">
        <v>400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5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R275" t="str">
        <f>T("0000000000000")</f>
        <v>0000000000000</v>
      </c>
      <c r="AT275" t="str">
        <f>T("9791166069666")</f>
        <v>9791166069666</v>
      </c>
      <c r="AV275" t="str">
        <f>T("웹툰 &gt; 해외 순정")</f>
        <v>웹툰 &gt; 해외 순정</v>
      </c>
    </row>
    <row r="276" spans="1:48" x14ac:dyDescent="0.4">
      <c r="A276">
        <v>4421000866</v>
      </c>
      <c r="B276">
        <v>4421000885</v>
      </c>
      <c r="C276" t="str">
        <f>T("최애에게 들켜버렸다 19화")</f>
        <v>최애에게 들켜버렸다 19화</v>
      </c>
      <c r="D276" t="str">
        <f>T("19")</f>
        <v>19</v>
      </c>
      <c r="E276" t="str">
        <f>T("Lv")</f>
        <v>Lv</v>
      </c>
      <c r="G276" t="str">
        <f>T("Lv")</f>
        <v>Lv</v>
      </c>
      <c r="H276" t="str">
        <f t="shared" si="16"/>
        <v>스토리위즈</v>
      </c>
      <c r="I276" t="str">
        <f>T("최애에게 들켜버렸다")</f>
        <v>최애에게 들켜버렸다</v>
      </c>
      <c r="J276">
        <v>400</v>
      </c>
      <c r="K276">
        <v>0</v>
      </c>
      <c r="L276">
        <v>0</v>
      </c>
      <c r="M276">
        <v>0</v>
      </c>
      <c r="N276">
        <v>400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400</v>
      </c>
      <c r="AH276">
        <v>2</v>
      </c>
      <c r="AI276">
        <v>0</v>
      </c>
      <c r="AJ276">
        <v>0</v>
      </c>
      <c r="AK276">
        <v>400</v>
      </c>
      <c r="AL276">
        <v>0</v>
      </c>
      <c r="AM276">
        <v>0</v>
      </c>
      <c r="AN276">
        <v>0</v>
      </c>
      <c r="AO276">
        <v>0</v>
      </c>
      <c r="AP276">
        <v>280</v>
      </c>
      <c r="AR276" t="str">
        <f>T("0000000000000")</f>
        <v>0000000000000</v>
      </c>
      <c r="AT276" t="str">
        <f>T("9791137601253")</f>
        <v>9791137601253</v>
      </c>
      <c r="AV276" t="str">
        <f>T("웹툰 &gt; 해외 순정")</f>
        <v>웹툰 &gt; 해외 순정</v>
      </c>
    </row>
    <row r="277" spans="1:48" x14ac:dyDescent="0.4">
      <c r="A277">
        <v>4421000866</v>
      </c>
      <c r="B277">
        <v>4421001268</v>
      </c>
      <c r="C277" t="str">
        <f>T("최애에게 들켜버렸다 61화")</f>
        <v>최애에게 들켜버렸다 61화</v>
      </c>
      <c r="D277" t="str">
        <f>T("64")</f>
        <v>64</v>
      </c>
      <c r="E277" t="str">
        <f>T("Lv")</f>
        <v>Lv</v>
      </c>
      <c r="G277" t="str">
        <f>T("Lv")</f>
        <v>Lv</v>
      </c>
      <c r="H277" t="str">
        <f t="shared" si="16"/>
        <v>스토리위즈</v>
      </c>
      <c r="I277" t="str">
        <f>T("최애에게 들켜버렸다")</f>
        <v>최애에게 들켜버렸다</v>
      </c>
      <c r="J277">
        <v>400</v>
      </c>
      <c r="K277">
        <v>0</v>
      </c>
      <c r="L277">
        <v>0</v>
      </c>
      <c r="M277">
        <v>0</v>
      </c>
      <c r="N277">
        <v>200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200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200</v>
      </c>
      <c r="AN277">
        <v>0</v>
      </c>
      <c r="AO277">
        <v>0</v>
      </c>
      <c r="AP277">
        <v>140</v>
      </c>
      <c r="AR277" t="str">
        <f>T("0000000000000")</f>
        <v>0000000000000</v>
      </c>
      <c r="AT277" t="str">
        <f>T("9791137601253")</f>
        <v>9791137601253</v>
      </c>
      <c r="AV277" t="str">
        <f>T("웹툰 &gt; 해외 순정")</f>
        <v>웹툰 &gt; 해외 순정</v>
      </c>
    </row>
    <row r="278" spans="1:48" x14ac:dyDescent="0.4">
      <c r="A278">
        <v>4421000001</v>
      </c>
      <c r="B278">
        <v>4421000022</v>
      </c>
      <c r="C278" t="str">
        <f>T("감옥실험 12화")</f>
        <v>감옥실험 12화</v>
      </c>
      <c r="D278" t="str">
        <f>T("12")</f>
        <v>12</v>
      </c>
      <c r="E278" t="str">
        <f>T("Kantetsu")</f>
        <v>Kantetsu</v>
      </c>
      <c r="G278" t="str">
        <f>T("Minase Chiho")</f>
        <v>Minase Chiho</v>
      </c>
      <c r="H278" t="str">
        <f t="shared" si="16"/>
        <v>스토리위즈</v>
      </c>
      <c r="I278" t="str">
        <f>T("감옥실험")</f>
        <v>감옥실험</v>
      </c>
      <c r="J278">
        <v>500</v>
      </c>
      <c r="K278">
        <v>0</v>
      </c>
      <c r="L278">
        <v>0</v>
      </c>
      <c r="M278">
        <v>0</v>
      </c>
      <c r="N278">
        <v>2100</v>
      </c>
      <c r="O278">
        <v>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2100</v>
      </c>
      <c r="AH278">
        <v>7</v>
      </c>
      <c r="AI278">
        <v>0</v>
      </c>
      <c r="AJ278">
        <v>0</v>
      </c>
      <c r="AK278">
        <v>2100</v>
      </c>
      <c r="AL278">
        <v>0</v>
      </c>
      <c r="AM278">
        <v>0</v>
      </c>
      <c r="AN278">
        <v>0</v>
      </c>
      <c r="AO278">
        <v>0</v>
      </c>
      <c r="AP278">
        <v>1470</v>
      </c>
      <c r="AT278" t="str">
        <f>T("9791166069406")</f>
        <v>9791166069406</v>
      </c>
      <c r="AV278" t="str">
        <f>T("웹툰 &gt; 드라마")</f>
        <v>웹툰 &gt; 드라마</v>
      </c>
    </row>
    <row r="279" spans="1:48" x14ac:dyDescent="0.4">
      <c r="A279">
        <v>4421000069</v>
      </c>
      <c r="B279">
        <v>4421000151</v>
      </c>
      <c r="C279" t="str">
        <f>T("너랑 나랑 하면 81화")</f>
        <v>너랑 나랑 하면 81화</v>
      </c>
      <c r="D279" t="str">
        <f>T("81")</f>
        <v>81</v>
      </c>
      <c r="E279" t="str">
        <f>T("NISANSUI")</f>
        <v>NISANSUI</v>
      </c>
      <c r="G279" t="str">
        <f>T("ZIQUAN")</f>
        <v>ZIQUAN</v>
      </c>
      <c r="H279" t="str">
        <f t="shared" si="16"/>
        <v>스토리위즈</v>
      </c>
      <c r="I279" t="str">
        <f>T("너랑 나랑 하면")</f>
        <v>너랑 나랑 하면</v>
      </c>
      <c r="J279">
        <v>400</v>
      </c>
      <c r="K279">
        <v>0</v>
      </c>
      <c r="L279">
        <v>0</v>
      </c>
      <c r="M279">
        <v>0</v>
      </c>
      <c r="N279">
        <v>200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200</v>
      </c>
      <c r="AH279">
        <v>1</v>
      </c>
      <c r="AI279">
        <v>0</v>
      </c>
      <c r="AJ279">
        <v>0</v>
      </c>
      <c r="AK279">
        <v>200</v>
      </c>
      <c r="AL279">
        <v>0</v>
      </c>
      <c r="AM279">
        <v>0</v>
      </c>
      <c r="AN279">
        <v>0</v>
      </c>
      <c r="AO279">
        <v>0</v>
      </c>
      <c r="AP279">
        <v>140</v>
      </c>
      <c r="AR279" t="str">
        <f>T("0000000000000")</f>
        <v>0000000000000</v>
      </c>
      <c r="AT279" t="str">
        <f>T("9791166067884")</f>
        <v>9791166067884</v>
      </c>
      <c r="AV279" t="str">
        <f>T("BL 웹툰 &gt; 웹툰")</f>
        <v>BL 웹툰 &gt; 웹툰</v>
      </c>
    </row>
    <row r="280" spans="1:48" x14ac:dyDescent="0.4">
      <c r="A280">
        <v>4421001377</v>
      </c>
      <c r="B280">
        <v>4421001378</v>
      </c>
      <c r="C280" t="str">
        <f>T("요괴님은 수련중 2화")</f>
        <v>요괴님은 수련중 2화</v>
      </c>
      <c r="D280" t="str">
        <f>T("2")</f>
        <v>2</v>
      </c>
      <c r="E280" t="str">
        <f>T("화방")</f>
        <v>화방</v>
      </c>
      <c r="G280" t="str">
        <f>T("망북")</f>
        <v>망북</v>
      </c>
      <c r="H280" t="str">
        <f t="shared" si="16"/>
        <v>스토리위즈</v>
      </c>
      <c r="I280" t="str">
        <f>T("요괴님은 수련중")</f>
        <v>요괴님은 수련중</v>
      </c>
      <c r="J280">
        <v>400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R280" t="str">
        <f>T("0000000000000")</f>
        <v>0000000000000</v>
      </c>
      <c r="AT280" t="str">
        <f>T("9791137603899")</f>
        <v>9791137603899</v>
      </c>
      <c r="AV280" t="str">
        <f>T("웹툰 &gt; 해외 순정")</f>
        <v>웹툰 &gt; 해외 순정</v>
      </c>
    </row>
    <row r="281" spans="1:48" x14ac:dyDescent="0.4">
      <c r="A281">
        <v>4421000001</v>
      </c>
      <c r="B281">
        <v>4421000061</v>
      </c>
      <c r="C281" t="str">
        <f>T("감옥실험 41화")</f>
        <v>감옥실험 41화</v>
      </c>
      <c r="D281" t="str">
        <f>T("41")</f>
        <v>41</v>
      </c>
      <c r="E281" t="str">
        <f>T("Kantetsu")</f>
        <v>Kantetsu</v>
      </c>
      <c r="G281" t="str">
        <f>T("Minase Chiho")</f>
        <v>Minase Chiho</v>
      </c>
      <c r="H281" t="str">
        <f t="shared" si="16"/>
        <v>스토리위즈</v>
      </c>
      <c r="I281" t="str">
        <f>T("감옥실험")</f>
        <v>감옥실험</v>
      </c>
      <c r="J281">
        <v>500</v>
      </c>
      <c r="K281">
        <v>0</v>
      </c>
      <c r="L281">
        <v>0</v>
      </c>
      <c r="M281">
        <v>0</v>
      </c>
      <c r="N281">
        <v>1200</v>
      </c>
      <c r="O281">
        <v>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1200</v>
      </c>
      <c r="AH281">
        <v>4</v>
      </c>
      <c r="AI281">
        <v>0</v>
      </c>
      <c r="AJ281">
        <v>0</v>
      </c>
      <c r="AK281">
        <v>1200</v>
      </c>
      <c r="AL281">
        <v>0</v>
      </c>
      <c r="AM281">
        <v>0</v>
      </c>
      <c r="AN281">
        <v>0</v>
      </c>
      <c r="AO281">
        <v>0</v>
      </c>
      <c r="AP281">
        <v>840</v>
      </c>
      <c r="AT281" t="str">
        <f>T("9791166069406")</f>
        <v>9791166069406</v>
      </c>
      <c r="AV281" t="str">
        <f>T("웹툰 &gt; 드라마")</f>
        <v>웹툰 &gt; 드라마</v>
      </c>
    </row>
    <row r="282" spans="1:48" x14ac:dyDescent="0.4">
      <c r="A282">
        <v>4421000337</v>
      </c>
      <c r="B282">
        <v>4421000339</v>
      </c>
      <c r="C282" t="str">
        <f>T("계약연애, 오늘부터 1일 3화")</f>
        <v>계약연애, 오늘부터 1일 3화</v>
      </c>
      <c r="D282" t="str">
        <f>T("3")</f>
        <v>3</v>
      </c>
      <c r="E282" t="str">
        <f>T("원기공장")</f>
        <v>원기공장</v>
      </c>
      <c r="H282" t="str">
        <f t="shared" si="16"/>
        <v>스토리위즈</v>
      </c>
      <c r="I282" t="str">
        <f>T("계약연애, 오늘부터 1일")</f>
        <v>계약연애, 오늘부터 1일</v>
      </c>
      <c r="J282">
        <v>200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R282" t="str">
        <f>T("0000000000000")</f>
        <v>0000000000000</v>
      </c>
      <c r="AT282" t="str">
        <f>T("9791166068027")</f>
        <v>9791166068027</v>
      </c>
      <c r="AV282" t="str">
        <f>T("웹툰 &gt; 해외 순정")</f>
        <v>웹툰 &gt; 해외 순정</v>
      </c>
    </row>
    <row r="283" spans="1:48" x14ac:dyDescent="0.4">
      <c r="A283">
        <v>4421000742</v>
      </c>
      <c r="B283">
        <v>4421000762</v>
      </c>
      <c r="C283" t="str">
        <f>T("연애 2분의 1 21화")</f>
        <v>연애 2분의 1 21화</v>
      </c>
      <c r="D283" t="str">
        <f>T("21")</f>
        <v>21</v>
      </c>
      <c r="E283" t="str">
        <f>T("Zhupi&amp;Yangxuetu")</f>
        <v>Zhupi&amp;Yangxuetu</v>
      </c>
      <c r="H283" t="str">
        <f t="shared" si="16"/>
        <v>스토리위즈</v>
      </c>
      <c r="I283" t="str">
        <f>T("연애 2분의 1")</f>
        <v>연애 2분의 1</v>
      </c>
      <c r="J283">
        <v>200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R283" t="str">
        <f>T("0000000000000")</f>
        <v>0000000000000</v>
      </c>
      <c r="AT283" t="str">
        <f>T("9791166067891")</f>
        <v>9791166067891</v>
      </c>
      <c r="AV283" t="str">
        <f>T("웹툰 &gt; 해외 순정")</f>
        <v>웹툰 &gt; 해외 순정</v>
      </c>
    </row>
    <row r="284" spans="1:48" x14ac:dyDescent="0.4">
      <c r="A284">
        <v>4421000069</v>
      </c>
      <c r="B284">
        <v>4421000093</v>
      </c>
      <c r="C284" t="str">
        <f>T("너랑 나랑 하면 24화")</f>
        <v>너랑 나랑 하면 24화</v>
      </c>
      <c r="D284" t="str">
        <f>T("24")</f>
        <v>24</v>
      </c>
      <c r="E284" t="str">
        <f>T("NISANSUI")</f>
        <v>NISANSUI</v>
      </c>
      <c r="G284" t="str">
        <f>T("ZIQUAN")</f>
        <v>ZIQUAN</v>
      </c>
      <c r="H284" t="str">
        <f t="shared" si="16"/>
        <v>스토리위즈</v>
      </c>
      <c r="I284" t="str">
        <f>T("너랑 나랑 하면")</f>
        <v>너랑 나랑 하면</v>
      </c>
      <c r="J284">
        <v>400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R284" t="str">
        <f>T("0000000000000")</f>
        <v>0000000000000</v>
      </c>
      <c r="AT284" t="str">
        <f>T("9791166067884")</f>
        <v>9791166067884</v>
      </c>
      <c r="AV284" t="str">
        <f>T("BL 웹툰 &gt; 웹툰")</f>
        <v>BL 웹툰 &gt; 웹툰</v>
      </c>
    </row>
    <row r="285" spans="1:48" x14ac:dyDescent="0.4">
      <c r="A285">
        <v>4421000001</v>
      </c>
      <c r="B285">
        <v>4421000054</v>
      </c>
      <c r="C285" t="str">
        <f>T("감옥실험 34화")</f>
        <v>감옥실험 34화</v>
      </c>
      <c r="D285" t="str">
        <f>T("34")</f>
        <v>34</v>
      </c>
      <c r="E285" t="str">
        <f>T("Kantetsu")</f>
        <v>Kantetsu</v>
      </c>
      <c r="G285" t="str">
        <f>T("Minase Chiho")</f>
        <v>Minase Chiho</v>
      </c>
      <c r="H285" t="str">
        <f t="shared" si="16"/>
        <v>스토리위즈</v>
      </c>
      <c r="I285" t="str">
        <f>T("감옥실험")</f>
        <v>감옥실험</v>
      </c>
      <c r="J285">
        <v>500</v>
      </c>
      <c r="K285">
        <v>0</v>
      </c>
      <c r="L285">
        <v>0</v>
      </c>
      <c r="M285">
        <v>0</v>
      </c>
      <c r="N285">
        <v>1200</v>
      </c>
      <c r="O285">
        <v>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1200</v>
      </c>
      <c r="AH285">
        <v>4</v>
      </c>
      <c r="AI285">
        <v>0</v>
      </c>
      <c r="AJ285">
        <v>0</v>
      </c>
      <c r="AK285">
        <v>1200</v>
      </c>
      <c r="AL285">
        <v>0</v>
      </c>
      <c r="AM285">
        <v>0</v>
      </c>
      <c r="AN285">
        <v>0</v>
      </c>
      <c r="AO285">
        <v>0</v>
      </c>
      <c r="AP285">
        <v>840</v>
      </c>
      <c r="AT285" t="str">
        <f>T("9791166069406")</f>
        <v>9791166069406</v>
      </c>
      <c r="AV285" t="str">
        <f>T("웹툰 &gt; 드라마")</f>
        <v>웹툰 &gt; 드라마</v>
      </c>
    </row>
    <row r="286" spans="1:48" x14ac:dyDescent="0.4">
      <c r="A286">
        <v>4421000742</v>
      </c>
      <c r="B286">
        <v>4421000755</v>
      </c>
      <c r="C286" t="str">
        <f>T("연애 2분의 1 14화")</f>
        <v>연애 2분의 1 14화</v>
      </c>
      <c r="D286" t="str">
        <f>T("14")</f>
        <v>14</v>
      </c>
      <c r="E286" t="str">
        <f>T("Zhupi&amp;Yangxuetu")</f>
        <v>Zhupi&amp;Yangxuetu</v>
      </c>
      <c r="H286" t="str">
        <f t="shared" si="16"/>
        <v>스토리위즈</v>
      </c>
      <c r="I286" t="str">
        <f>T("연애 2분의 1")</f>
        <v>연애 2분의 1</v>
      </c>
      <c r="J286">
        <v>200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R286" t="str">
        <f>T("0000000000000")</f>
        <v>0000000000000</v>
      </c>
      <c r="AT286" t="str">
        <f>T("9791166067891")</f>
        <v>9791166067891</v>
      </c>
      <c r="AV286" t="str">
        <f>T("웹툰 &gt; 해외 순정")</f>
        <v>웹툰 &gt; 해외 순정</v>
      </c>
    </row>
    <row r="287" spans="1:48" x14ac:dyDescent="0.4">
      <c r="A287">
        <v>4421000742</v>
      </c>
      <c r="B287">
        <v>4421000747</v>
      </c>
      <c r="C287" t="str">
        <f>T("연애 2분의 1 6화")</f>
        <v>연애 2분의 1 6화</v>
      </c>
      <c r="D287" t="str">
        <f>T("6")</f>
        <v>6</v>
      </c>
      <c r="E287" t="str">
        <f>T("Zhupi&amp;Yangxuetu")</f>
        <v>Zhupi&amp;Yangxuetu</v>
      </c>
      <c r="H287" t="str">
        <f t="shared" si="16"/>
        <v>스토리위즈</v>
      </c>
      <c r="I287" t="str">
        <f>T("연애 2분의 1")</f>
        <v>연애 2분의 1</v>
      </c>
      <c r="J287">
        <v>200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R287" t="str">
        <f>T("0000000000000")</f>
        <v>0000000000000</v>
      </c>
      <c r="AT287" t="str">
        <f>T("9791166067891")</f>
        <v>9791166067891</v>
      </c>
      <c r="AV287" t="str">
        <f>T("웹툰 &gt; 해외 순정")</f>
        <v>웹툰 &gt; 해외 순정</v>
      </c>
    </row>
    <row r="288" spans="1:48" x14ac:dyDescent="0.4">
      <c r="A288">
        <v>4421000069</v>
      </c>
      <c r="B288">
        <v>4421000086</v>
      </c>
      <c r="C288" t="str">
        <f>T("너랑 나랑 하면 17화")</f>
        <v>너랑 나랑 하면 17화</v>
      </c>
      <c r="D288" t="str">
        <f>T("17")</f>
        <v>17</v>
      </c>
      <c r="E288" t="str">
        <f>T("NISANSUI")</f>
        <v>NISANSUI</v>
      </c>
      <c r="G288" t="str">
        <f>T("ZIQUAN")</f>
        <v>ZIQUAN</v>
      </c>
      <c r="H288" t="str">
        <f t="shared" si="16"/>
        <v>스토리위즈</v>
      </c>
      <c r="I288" t="str">
        <f>T("너랑 나랑 하면")</f>
        <v>너랑 나랑 하면</v>
      </c>
      <c r="J288">
        <v>400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R288" t="str">
        <f>T("0000000000000")</f>
        <v>0000000000000</v>
      </c>
      <c r="AT288" t="str">
        <f>T("9791166067884")</f>
        <v>9791166067884</v>
      </c>
      <c r="AV288" t="str">
        <f>T("BL 웹툰 &gt; 웹툰")</f>
        <v>BL 웹툰 &gt; 웹툰</v>
      </c>
    </row>
    <row r="289" spans="1:48" x14ac:dyDescent="0.4">
      <c r="A289">
        <v>4421000866</v>
      </c>
      <c r="B289">
        <v>4421000973</v>
      </c>
      <c r="C289" t="str">
        <f>T("최애에게 들켜버렸다 31화")</f>
        <v>최애에게 들켜버렸다 31화</v>
      </c>
      <c r="D289" t="str">
        <f>T("32")</f>
        <v>32</v>
      </c>
      <c r="E289" t="str">
        <f>T("Lv")</f>
        <v>Lv</v>
      </c>
      <c r="G289" t="str">
        <f>T("Lv")</f>
        <v>Lv</v>
      </c>
      <c r="H289" t="str">
        <f t="shared" si="16"/>
        <v>스토리위즈</v>
      </c>
      <c r="I289" t="str">
        <f>T("최애에게 들켜버렸다")</f>
        <v>최애에게 들켜버렸다</v>
      </c>
      <c r="J289">
        <v>400</v>
      </c>
      <c r="K289">
        <v>0</v>
      </c>
      <c r="L289">
        <v>0</v>
      </c>
      <c r="M289">
        <v>0</v>
      </c>
      <c r="N289">
        <v>200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200</v>
      </c>
      <c r="AH289">
        <v>1</v>
      </c>
      <c r="AI289">
        <v>0</v>
      </c>
      <c r="AJ289">
        <v>0</v>
      </c>
      <c r="AK289">
        <v>200</v>
      </c>
      <c r="AL289">
        <v>0</v>
      </c>
      <c r="AM289">
        <v>0</v>
      </c>
      <c r="AN289">
        <v>0</v>
      </c>
      <c r="AO289">
        <v>0</v>
      </c>
      <c r="AP289">
        <v>140</v>
      </c>
      <c r="AR289" t="str">
        <f>T("0000000000000")</f>
        <v>0000000000000</v>
      </c>
      <c r="AT289" t="str">
        <f>T("9791137601253")</f>
        <v>9791137601253</v>
      </c>
      <c r="AV289" t="str">
        <f>T("웹툰 &gt; 해외 순정")</f>
        <v>웹툰 &gt; 해외 순정</v>
      </c>
    </row>
    <row r="290" spans="1:48" x14ac:dyDescent="0.4">
      <c r="A290">
        <v>4421000002</v>
      </c>
      <c r="B290">
        <v>4421000183</v>
      </c>
      <c r="C290" t="str">
        <f>T("이세계 소환은 두 번째라구요 28화")</f>
        <v>이세계 소환은 두 번째라구요 28화</v>
      </c>
      <c r="D290" t="str">
        <f>T("28")</f>
        <v>28</v>
      </c>
      <c r="E290" t="str">
        <f>T("Arashiyama, Kishimoto Kazuha, Shimahara")</f>
        <v>Arashiyama, Kishimoto Kazuha, Shimahara</v>
      </c>
      <c r="H290" t="str">
        <f t="shared" si="16"/>
        <v>스토리위즈</v>
      </c>
      <c r="I290" t="str">
        <f>T("이세계 소환은 두 번째라구요")</f>
        <v>이세계 소환은 두 번째라구요</v>
      </c>
      <c r="J290">
        <v>500</v>
      </c>
      <c r="K290">
        <v>0</v>
      </c>
      <c r="L290">
        <v>0</v>
      </c>
      <c r="M290">
        <v>0</v>
      </c>
      <c r="N290">
        <v>300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300</v>
      </c>
      <c r="AH290">
        <v>1</v>
      </c>
      <c r="AI290">
        <v>0</v>
      </c>
      <c r="AJ290">
        <v>0</v>
      </c>
      <c r="AK290">
        <v>300</v>
      </c>
      <c r="AL290">
        <v>0</v>
      </c>
      <c r="AM290">
        <v>0</v>
      </c>
      <c r="AN290">
        <v>0</v>
      </c>
      <c r="AO290">
        <v>0</v>
      </c>
      <c r="AP290">
        <v>210</v>
      </c>
      <c r="AT290" t="str">
        <f>T("9791166069390")</f>
        <v>9791166069390</v>
      </c>
      <c r="AV290" t="str">
        <f>T("웹툰 &gt; 판타지/SF")</f>
        <v>웹툰 &gt; 판타지/SF</v>
      </c>
    </row>
    <row r="291" spans="1:48" x14ac:dyDescent="0.4">
      <c r="A291">
        <v>4421000866</v>
      </c>
      <c r="B291">
        <v>4421000878</v>
      </c>
      <c r="C291" t="str">
        <f>T("최애에게 들켜버렸다 12화")</f>
        <v>최애에게 들켜버렸다 12화</v>
      </c>
      <c r="D291" t="str">
        <f>T("12")</f>
        <v>12</v>
      </c>
      <c r="E291" t="str">
        <f>T("Lv")</f>
        <v>Lv</v>
      </c>
      <c r="G291" t="str">
        <f>T("Lv")</f>
        <v>Lv</v>
      </c>
      <c r="H291" t="str">
        <f t="shared" si="16"/>
        <v>스토리위즈</v>
      </c>
      <c r="I291" t="str">
        <f>T("최애에게 들켜버렸다")</f>
        <v>최애에게 들켜버렸다</v>
      </c>
      <c r="J291">
        <v>400</v>
      </c>
      <c r="K291">
        <v>0</v>
      </c>
      <c r="L291">
        <v>0</v>
      </c>
      <c r="M291">
        <v>0</v>
      </c>
      <c r="N291">
        <v>400</v>
      </c>
      <c r="O291">
        <v>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400</v>
      </c>
      <c r="AH291">
        <v>2</v>
      </c>
      <c r="AI291">
        <v>0</v>
      </c>
      <c r="AJ291">
        <v>0</v>
      </c>
      <c r="AK291">
        <v>400</v>
      </c>
      <c r="AL291">
        <v>0</v>
      </c>
      <c r="AM291">
        <v>0</v>
      </c>
      <c r="AN291">
        <v>0</v>
      </c>
      <c r="AO291">
        <v>0</v>
      </c>
      <c r="AP291">
        <v>280</v>
      </c>
      <c r="AR291" t="str">
        <f>T("0000000000000")</f>
        <v>0000000000000</v>
      </c>
      <c r="AT291" t="str">
        <f>T("9791137601253")</f>
        <v>9791137601253</v>
      </c>
      <c r="AV291" t="str">
        <f>T("웹툰 &gt; 해외 순정")</f>
        <v>웹툰 &gt; 해외 순정</v>
      </c>
    </row>
    <row r="292" spans="1:48" x14ac:dyDescent="0.4">
      <c r="A292">
        <v>4421001377</v>
      </c>
      <c r="B292">
        <v>4421001395</v>
      </c>
      <c r="C292" t="str">
        <f>T("요괴님은 수련중 19화")</f>
        <v>요괴님은 수련중 19화</v>
      </c>
      <c r="D292" t="str">
        <f>T("19")</f>
        <v>19</v>
      </c>
      <c r="E292" t="str">
        <f>T("화방")</f>
        <v>화방</v>
      </c>
      <c r="G292" t="str">
        <f>T("망북")</f>
        <v>망북</v>
      </c>
      <c r="H292" t="str">
        <f t="shared" si="16"/>
        <v>스토리위즈</v>
      </c>
      <c r="I292" t="str">
        <f>T("요괴님은 수련중")</f>
        <v>요괴님은 수련중</v>
      </c>
      <c r="J292">
        <v>400</v>
      </c>
      <c r="K292">
        <v>0</v>
      </c>
      <c r="L292">
        <v>0</v>
      </c>
      <c r="M292">
        <v>0</v>
      </c>
      <c r="N292">
        <v>200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200</v>
      </c>
      <c r="AH292">
        <v>1</v>
      </c>
      <c r="AI292">
        <v>0</v>
      </c>
      <c r="AJ292">
        <v>0</v>
      </c>
      <c r="AK292">
        <v>200</v>
      </c>
      <c r="AL292">
        <v>0</v>
      </c>
      <c r="AM292">
        <v>0</v>
      </c>
      <c r="AN292">
        <v>0</v>
      </c>
      <c r="AO292">
        <v>0</v>
      </c>
      <c r="AP292">
        <v>140</v>
      </c>
      <c r="AR292" t="str">
        <f>T("0000000000000")</f>
        <v>0000000000000</v>
      </c>
      <c r="AT292" t="str">
        <f>T("9791137603899")</f>
        <v>9791137603899</v>
      </c>
      <c r="AV292" t="str">
        <f>T("웹툰 &gt; 해외 순정")</f>
        <v>웹툰 &gt; 해외 순정</v>
      </c>
    </row>
    <row r="293" spans="1:48" x14ac:dyDescent="0.4">
      <c r="A293">
        <v>4421000001</v>
      </c>
      <c r="B293">
        <v>4421000015</v>
      </c>
      <c r="C293" t="str">
        <f>T("감옥실험 5화")</f>
        <v>감옥실험 5화</v>
      </c>
      <c r="D293" t="str">
        <f>T("5")</f>
        <v>5</v>
      </c>
      <c r="E293" t="str">
        <f>T("Kantetsu")</f>
        <v>Kantetsu</v>
      </c>
      <c r="G293" t="str">
        <f>T("Minase Chiho")</f>
        <v>Minase Chiho</v>
      </c>
      <c r="H293" t="str">
        <f t="shared" si="16"/>
        <v>스토리위즈</v>
      </c>
      <c r="I293" t="str">
        <f>T("감옥실험")</f>
        <v>감옥실험</v>
      </c>
      <c r="J293">
        <v>500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14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T293" t="str">
        <f>T("9791166069406")</f>
        <v>9791166069406</v>
      </c>
      <c r="AV293" t="str">
        <f>T("웹툰 &gt; 드라마")</f>
        <v>웹툰 &gt; 드라마</v>
      </c>
    </row>
    <row r="294" spans="1:48" x14ac:dyDescent="0.4">
      <c r="A294">
        <v>4421000069</v>
      </c>
      <c r="B294">
        <v>4421000119</v>
      </c>
      <c r="C294" t="str">
        <f>T("너랑 나랑 하면 49화")</f>
        <v>너랑 나랑 하면 49화</v>
      </c>
      <c r="D294" t="str">
        <f>T("49")</f>
        <v>49</v>
      </c>
      <c r="E294" t="str">
        <f>T("NISANSUI")</f>
        <v>NISANSUI</v>
      </c>
      <c r="G294" t="str">
        <f>T("ZIQUAN")</f>
        <v>ZIQUAN</v>
      </c>
      <c r="H294" t="str">
        <f t="shared" si="16"/>
        <v>스토리위즈</v>
      </c>
      <c r="I294" t="str">
        <f>T("너랑 나랑 하면")</f>
        <v>너랑 나랑 하면</v>
      </c>
      <c r="J294">
        <v>400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3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R294" t="str">
        <f>T("0000000000000")</f>
        <v>0000000000000</v>
      </c>
      <c r="AT294" t="str">
        <f>T("9791166067884")</f>
        <v>9791166067884</v>
      </c>
      <c r="AV294" t="str">
        <f>T("BL 웹툰 &gt; 웹툰")</f>
        <v>BL 웹툰 &gt; 웹툰</v>
      </c>
    </row>
    <row r="295" spans="1:48" x14ac:dyDescent="0.4">
      <c r="A295">
        <v>4421000002</v>
      </c>
      <c r="B295">
        <v>4421000176</v>
      </c>
      <c r="C295" t="str">
        <f>T("이세계 소환은 두 번째라구요 21화")</f>
        <v>이세계 소환은 두 번째라구요 21화</v>
      </c>
      <c r="D295" t="str">
        <f>T("21")</f>
        <v>21</v>
      </c>
      <c r="E295" t="str">
        <f>T("Arashiyama, Kishimoto Kazuha, Shimahara")</f>
        <v>Arashiyama, Kishimoto Kazuha, Shimahara</v>
      </c>
      <c r="H295" t="str">
        <f t="shared" si="16"/>
        <v>스토리위즈</v>
      </c>
      <c r="I295" t="str">
        <f>T("이세계 소환은 두 번째라구요")</f>
        <v>이세계 소환은 두 번째라구요</v>
      </c>
      <c r="J295">
        <v>500</v>
      </c>
      <c r="K295">
        <v>0</v>
      </c>
      <c r="L295">
        <v>0</v>
      </c>
      <c r="M295">
        <v>0</v>
      </c>
      <c r="N295">
        <v>300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300</v>
      </c>
      <c r="AH295">
        <v>1</v>
      </c>
      <c r="AI295">
        <v>0</v>
      </c>
      <c r="AJ295">
        <v>0</v>
      </c>
      <c r="AK295">
        <v>300</v>
      </c>
      <c r="AL295">
        <v>0</v>
      </c>
      <c r="AM295">
        <v>0</v>
      </c>
      <c r="AN295">
        <v>0</v>
      </c>
      <c r="AO295">
        <v>0</v>
      </c>
      <c r="AP295">
        <v>210</v>
      </c>
      <c r="AT295" t="str">
        <f>T("9791166069390")</f>
        <v>9791166069390</v>
      </c>
      <c r="AV295" t="str">
        <f>T("웹툰 &gt; 판타지/SF")</f>
        <v>웹툰 &gt; 판타지/SF</v>
      </c>
    </row>
    <row r="296" spans="1:48" x14ac:dyDescent="0.4">
      <c r="A296">
        <v>4421000866</v>
      </c>
      <c r="B296">
        <v>4421000871</v>
      </c>
      <c r="C296" t="str">
        <f>T("최애에게 들켜버렸다 5화")</f>
        <v>최애에게 들켜버렸다 5화</v>
      </c>
      <c r="D296" t="str">
        <f>T("5")</f>
        <v>5</v>
      </c>
      <c r="E296" t="str">
        <f>T("Lv")</f>
        <v>Lv</v>
      </c>
      <c r="G296" t="str">
        <f>T("Lv")</f>
        <v>Lv</v>
      </c>
      <c r="H296" t="str">
        <f t="shared" si="16"/>
        <v>스토리위즈</v>
      </c>
      <c r="I296" t="str">
        <f>T("최애에게 들켜버렸다")</f>
        <v>최애에게 들켜버렸다</v>
      </c>
      <c r="J296">
        <v>400</v>
      </c>
      <c r="K296">
        <v>0</v>
      </c>
      <c r="L296">
        <v>0</v>
      </c>
      <c r="M296">
        <v>0</v>
      </c>
      <c r="N296">
        <v>400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400</v>
      </c>
      <c r="AH296">
        <v>2</v>
      </c>
      <c r="AI296">
        <v>0</v>
      </c>
      <c r="AJ296">
        <v>0</v>
      </c>
      <c r="AK296">
        <v>400</v>
      </c>
      <c r="AL296">
        <v>0</v>
      </c>
      <c r="AM296">
        <v>0</v>
      </c>
      <c r="AN296">
        <v>0</v>
      </c>
      <c r="AO296">
        <v>0</v>
      </c>
      <c r="AP296">
        <v>280</v>
      </c>
      <c r="AR296" t="str">
        <f>T("0000000000000")</f>
        <v>0000000000000</v>
      </c>
      <c r="AT296" t="str">
        <f>T("9791137601253")</f>
        <v>9791137601253</v>
      </c>
      <c r="AV296" t="str">
        <f>T("웹툰 &gt; 해외 순정")</f>
        <v>웹툰 &gt; 해외 순정</v>
      </c>
    </row>
    <row r="297" spans="1:48" x14ac:dyDescent="0.4">
      <c r="A297">
        <v>4421000069</v>
      </c>
      <c r="B297">
        <v>4421000112</v>
      </c>
      <c r="C297" t="str">
        <f>T("너랑 나랑 하면 42화")</f>
        <v>너랑 나랑 하면 42화</v>
      </c>
      <c r="D297" t="str">
        <f>T("42")</f>
        <v>42</v>
      </c>
      <c r="E297" t="str">
        <f>T("NISANSUI")</f>
        <v>NISANSUI</v>
      </c>
      <c r="G297" t="str">
        <f>T("ZIQUAN")</f>
        <v>ZIQUAN</v>
      </c>
      <c r="H297" t="str">
        <f t="shared" si="16"/>
        <v>스토리위즈</v>
      </c>
      <c r="I297" t="str">
        <f>T("너랑 나랑 하면")</f>
        <v>너랑 나랑 하면</v>
      </c>
      <c r="J297">
        <v>400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2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R297" t="str">
        <f>T("0000000000000")</f>
        <v>0000000000000</v>
      </c>
      <c r="AT297" t="str">
        <f>T("9791166067884")</f>
        <v>9791166067884</v>
      </c>
      <c r="AV297" t="str">
        <f>T("BL 웹툰 &gt; 웹툰")</f>
        <v>BL 웹툰 &gt; 웹툰</v>
      </c>
    </row>
    <row r="298" spans="1:48" x14ac:dyDescent="0.4">
      <c r="A298">
        <v>4421001340</v>
      </c>
      <c r="B298">
        <v>4421001340</v>
      </c>
      <c r="C298" t="str">
        <f>T("가출천사 육성계약 1화")</f>
        <v>가출천사 육성계약 1화</v>
      </c>
      <c r="D298" t="str">
        <f>T("1")</f>
        <v>1</v>
      </c>
      <c r="E298" t="str">
        <f>T("Bae.C, IIAKI, 박제후")</f>
        <v>Bae.C, IIAKI, 박제후</v>
      </c>
      <c r="G298" t="str">
        <f>T("Bae.C, 조우")</f>
        <v>Bae.C, 조우</v>
      </c>
      <c r="H298" t="str">
        <f t="shared" si="16"/>
        <v>스토리위즈</v>
      </c>
      <c r="I298" t="str">
        <f>T("가출천사 육성계약")</f>
        <v>가출천사 육성계약</v>
      </c>
      <c r="J298">
        <v>400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7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R298" t="str">
        <f>T("0000000000000")</f>
        <v>0000000000000</v>
      </c>
      <c r="AT298" t="str">
        <f>T("9791191765663")</f>
        <v>9791191765663</v>
      </c>
      <c r="AV298" t="str">
        <f>T("웹툰 &gt; 판타지/SF")</f>
        <v>웹툰 &gt; 판타지/SF</v>
      </c>
    </row>
    <row r="299" spans="1:48" x14ac:dyDescent="0.4">
      <c r="A299">
        <v>4421000001</v>
      </c>
      <c r="B299">
        <v>4421000047</v>
      </c>
      <c r="C299" t="str">
        <f>T("감옥실험 27화")</f>
        <v>감옥실험 27화</v>
      </c>
      <c r="D299" t="str">
        <f>T("27")</f>
        <v>27</v>
      </c>
      <c r="E299" t="str">
        <f>T("Kantetsu")</f>
        <v>Kantetsu</v>
      </c>
      <c r="G299" t="str">
        <f>T("Minase Chiho")</f>
        <v>Minase Chiho</v>
      </c>
      <c r="H299" t="str">
        <f t="shared" si="16"/>
        <v>스토리위즈</v>
      </c>
      <c r="I299" t="str">
        <f>T("감옥실험")</f>
        <v>감옥실험</v>
      </c>
      <c r="J299">
        <v>500</v>
      </c>
      <c r="K299">
        <v>0</v>
      </c>
      <c r="L299">
        <v>0</v>
      </c>
      <c r="M299">
        <v>0</v>
      </c>
      <c r="N299">
        <v>1500</v>
      </c>
      <c r="O299">
        <v>5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1500</v>
      </c>
      <c r="AH299">
        <v>5</v>
      </c>
      <c r="AI299">
        <v>0</v>
      </c>
      <c r="AJ299">
        <v>0</v>
      </c>
      <c r="AK299">
        <v>1500</v>
      </c>
      <c r="AL299">
        <v>0</v>
      </c>
      <c r="AM299">
        <v>0</v>
      </c>
      <c r="AN299">
        <v>0</v>
      </c>
      <c r="AO299">
        <v>0</v>
      </c>
      <c r="AP299">
        <v>1050</v>
      </c>
      <c r="AT299" t="str">
        <f>T("9791166069406")</f>
        <v>9791166069406</v>
      </c>
      <c r="AV299" t="str">
        <f>T("웹툰 &gt; 드라마")</f>
        <v>웹툰 &gt; 드라마</v>
      </c>
    </row>
    <row r="300" spans="1:48" x14ac:dyDescent="0.4">
      <c r="A300">
        <v>4421000002</v>
      </c>
      <c r="B300">
        <v>4421000252</v>
      </c>
      <c r="C300" t="str">
        <f>T("이세계 소환은 두 번째라구요 36화")</f>
        <v>이세계 소환은 두 번째라구요 36화</v>
      </c>
      <c r="D300" t="str">
        <f>T("36")</f>
        <v>36</v>
      </c>
      <c r="E300" t="str">
        <f>T("Arashiyama, Kishimoto Kazuha, Shimahara")</f>
        <v>Arashiyama, Kishimoto Kazuha, Shimahara</v>
      </c>
      <c r="H300" t="str">
        <f t="shared" si="16"/>
        <v>스토리위즈</v>
      </c>
      <c r="I300" t="str">
        <f>T("이세계 소환은 두 번째라구요")</f>
        <v>이세계 소환은 두 번째라구요</v>
      </c>
      <c r="J300">
        <v>500</v>
      </c>
      <c r="K300">
        <v>0</v>
      </c>
      <c r="L300">
        <v>0</v>
      </c>
      <c r="M300">
        <v>0</v>
      </c>
      <c r="N300">
        <v>300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300</v>
      </c>
      <c r="AH300">
        <v>1</v>
      </c>
      <c r="AI300">
        <v>0</v>
      </c>
      <c r="AJ300">
        <v>0</v>
      </c>
      <c r="AK300">
        <v>300</v>
      </c>
      <c r="AL300">
        <v>0</v>
      </c>
      <c r="AM300">
        <v>0</v>
      </c>
      <c r="AN300">
        <v>0</v>
      </c>
      <c r="AO300">
        <v>0</v>
      </c>
      <c r="AP300">
        <v>210</v>
      </c>
      <c r="AT300" t="str">
        <f>T("9791166069390")</f>
        <v>9791166069390</v>
      </c>
      <c r="AV300" t="str">
        <f>T("웹툰 &gt; 판타지/SF")</f>
        <v>웹툰 &gt; 판타지/SF</v>
      </c>
    </row>
    <row r="301" spans="1:48" x14ac:dyDescent="0.4">
      <c r="A301">
        <v>4421000570</v>
      </c>
      <c r="B301">
        <v>4421000573</v>
      </c>
      <c r="C301" t="str">
        <f>T("폐하, 옥체 보존하세요! 4화")</f>
        <v>폐하, 옥체 보존하세요! 4화</v>
      </c>
      <c r="D301" t="str">
        <f>T("4")</f>
        <v>4</v>
      </c>
      <c r="E301" t="str">
        <f>T("Lvyeqianhe")</f>
        <v>Lvyeqianhe</v>
      </c>
      <c r="G301" t="str">
        <f>T("Youzhijiaozi")</f>
        <v>Youzhijiaozi</v>
      </c>
      <c r="H301" t="str">
        <f t="shared" si="16"/>
        <v>스토리위즈</v>
      </c>
      <c r="I301" t="str">
        <f>T("폐하, 옥체 보존하세요!")</f>
        <v>폐하, 옥체 보존하세요!</v>
      </c>
      <c r="J301">
        <v>200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R301" t="str">
        <f>T("0000000000000")</f>
        <v>0000000000000</v>
      </c>
      <c r="AT301" t="str">
        <f>T("9791166068003")</f>
        <v>9791166068003</v>
      </c>
      <c r="AV301" t="str">
        <f>T("웹툰 &gt; 해외 순정")</f>
        <v>웹툰 &gt; 해외 순정</v>
      </c>
    </row>
    <row r="302" spans="1:48" x14ac:dyDescent="0.4">
      <c r="A302">
        <v>4421000069</v>
      </c>
      <c r="B302">
        <v>4421000079</v>
      </c>
      <c r="C302" t="str">
        <f>T("너랑 나랑 하면 10화")</f>
        <v>너랑 나랑 하면 10화</v>
      </c>
      <c r="D302" t="str">
        <f>T("10")</f>
        <v>10</v>
      </c>
      <c r="E302" t="str">
        <f>T("NISANSUI")</f>
        <v>NISANSUI</v>
      </c>
      <c r="G302" t="str">
        <f>T("ZIQUAN")</f>
        <v>ZIQUAN</v>
      </c>
      <c r="H302" t="str">
        <f t="shared" si="16"/>
        <v>스토리위즈</v>
      </c>
      <c r="I302" t="str">
        <f>T("너랑 나랑 하면")</f>
        <v>너랑 나랑 하면</v>
      </c>
      <c r="J302">
        <v>400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R302" t="str">
        <f>T("0000000000000")</f>
        <v>0000000000000</v>
      </c>
      <c r="AT302" t="str">
        <f>T("9791166067884")</f>
        <v>9791166067884</v>
      </c>
      <c r="AV302" t="str">
        <f>T("BL 웹툰 &gt; 웹툰")</f>
        <v>BL 웹툰 &gt; 웹툰</v>
      </c>
    </row>
    <row r="303" spans="1:48" x14ac:dyDescent="0.4">
      <c r="A303">
        <v>4421000002</v>
      </c>
      <c r="B303">
        <v>4421000040</v>
      </c>
      <c r="C303" t="str">
        <f>T("이세계 소환은 두 번째라구요 20화")</f>
        <v>이세계 소환은 두 번째라구요 20화</v>
      </c>
      <c r="D303" t="str">
        <f>T("20")</f>
        <v>20</v>
      </c>
      <c r="E303" t="str">
        <f>T("Arashiyama, Kishimoto Kazuha, Shimahara")</f>
        <v>Arashiyama, Kishimoto Kazuha, Shimahara</v>
      </c>
      <c r="H303" t="str">
        <f t="shared" si="16"/>
        <v>스토리위즈</v>
      </c>
      <c r="I303" t="str">
        <f>T("이세계 소환은 두 번째라구요")</f>
        <v>이세계 소환은 두 번째라구요</v>
      </c>
      <c r="J303">
        <v>500</v>
      </c>
      <c r="K303">
        <v>0</v>
      </c>
      <c r="L303">
        <v>0</v>
      </c>
      <c r="M303">
        <v>0</v>
      </c>
      <c r="N303">
        <v>300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300</v>
      </c>
      <c r="AH303">
        <v>1</v>
      </c>
      <c r="AI303">
        <v>0</v>
      </c>
      <c r="AJ303">
        <v>0</v>
      </c>
      <c r="AK303">
        <v>300</v>
      </c>
      <c r="AL303">
        <v>0</v>
      </c>
      <c r="AM303">
        <v>0</v>
      </c>
      <c r="AN303">
        <v>0</v>
      </c>
      <c r="AO303">
        <v>0</v>
      </c>
      <c r="AP303">
        <v>210</v>
      </c>
      <c r="AT303" t="str">
        <f>T("9791166069390")</f>
        <v>9791166069390</v>
      </c>
      <c r="AV303" t="str">
        <f>T("웹툰 &gt; 판타지/SF")</f>
        <v>웹툰 &gt; 판타지/SF</v>
      </c>
    </row>
    <row r="304" spans="1:48" x14ac:dyDescent="0.4">
      <c r="A304">
        <v>4421001377</v>
      </c>
      <c r="B304">
        <v>4421001389</v>
      </c>
      <c r="C304" t="str">
        <f>T("요괴님은 수련중 13화")</f>
        <v>요괴님은 수련중 13화</v>
      </c>
      <c r="D304" t="str">
        <f>T("13")</f>
        <v>13</v>
      </c>
      <c r="E304" t="str">
        <f>T("화방")</f>
        <v>화방</v>
      </c>
      <c r="G304" t="str">
        <f>T("망북")</f>
        <v>망북</v>
      </c>
      <c r="H304" t="str">
        <f t="shared" si="16"/>
        <v>스토리위즈</v>
      </c>
      <c r="I304" t="str">
        <f>T("요괴님은 수련중")</f>
        <v>요괴님은 수련중</v>
      </c>
      <c r="J304">
        <v>400</v>
      </c>
      <c r="K304">
        <v>0</v>
      </c>
      <c r="L304">
        <v>0</v>
      </c>
      <c r="M304">
        <v>0</v>
      </c>
      <c r="N304">
        <v>200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200</v>
      </c>
      <c r="AH304">
        <v>1</v>
      </c>
      <c r="AI304">
        <v>0</v>
      </c>
      <c r="AJ304">
        <v>0</v>
      </c>
      <c r="AK304">
        <v>200</v>
      </c>
      <c r="AL304">
        <v>0</v>
      </c>
      <c r="AM304">
        <v>0</v>
      </c>
      <c r="AN304">
        <v>0</v>
      </c>
      <c r="AO304">
        <v>0</v>
      </c>
      <c r="AP304">
        <v>140</v>
      </c>
      <c r="AR304" t="str">
        <f t="shared" ref="AR304:AR313" si="17">T("0000000000000")</f>
        <v>0000000000000</v>
      </c>
      <c r="AT304" t="str">
        <f>T("9791137603899")</f>
        <v>9791137603899</v>
      </c>
      <c r="AV304" t="str">
        <f>T("웹툰 &gt; 해외 순정")</f>
        <v>웹툰 &gt; 해외 순정</v>
      </c>
    </row>
    <row r="305" spans="1:48" x14ac:dyDescent="0.4">
      <c r="A305">
        <v>4421000069</v>
      </c>
      <c r="B305">
        <v>4421000072</v>
      </c>
      <c r="C305" t="str">
        <f>T("너랑 나랑 하면 3화")</f>
        <v>너랑 나랑 하면 3화</v>
      </c>
      <c r="D305" t="str">
        <f>T("3")</f>
        <v>3</v>
      </c>
      <c r="E305" t="str">
        <f>T("NISANSUI")</f>
        <v>NISANSUI</v>
      </c>
      <c r="G305" t="str">
        <f>T("ZIQUAN")</f>
        <v>ZIQUAN</v>
      </c>
      <c r="H305" t="str">
        <f t="shared" si="16"/>
        <v>스토리위즈</v>
      </c>
      <c r="I305" t="str">
        <f>T("너랑 나랑 하면")</f>
        <v>너랑 나랑 하면</v>
      </c>
      <c r="J305">
        <v>400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3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R305" t="str">
        <f t="shared" si="17"/>
        <v>0000000000000</v>
      </c>
      <c r="AT305" t="str">
        <f>T("9791166067884")</f>
        <v>9791166067884</v>
      </c>
      <c r="AV305" t="str">
        <f>T("BL 웹툰 &gt; 웹툰")</f>
        <v>BL 웹툰 &gt; 웹툰</v>
      </c>
    </row>
    <row r="306" spans="1:48" x14ac:dyDescent="0.4">
      <c r="A306">
        <v>4421000518</v>
      </c>
      <c r="B306">
        <v>4421000523</v>
      </c>
      <c r="C306" t="str">
        <f>T("백스테이지 키스신 5화")</f>
        <v>백스테이지 키스신 5화</v>
      </c>
      <c r="D306" t="str">
        <f>T("5")</f>
        <v>5</v>
      </c>
      <c r="E306" t="str">
        <f>T("최도비")</f>
        <v>최도비</v>
      </c>
      <c r="G306" t="str">
        <f>T("수정과")</f>
        <v>수정과</v>
      </c>
      <c r="H306" t="str">
        <f t="shared" si="16"/>
        <v>스토리위즈</v>
      </c>
      <c r="I306" t="str">
        <f>T("백스테이지 키스신")</f>
        <v>백스테이지 키스신</v>
      </c>
      <c r="J306">
        <v>400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R306" t="str">
        <f t="shared" si="17"/>
        <v>0000000000000</v>
      </c>
      <c r="AT306" t="str">
        <f>T("9791166067990")</f>
        <v>9791166067990</v>
      </c>
      <c r="AV306" t="str">
        <f>T("웹툰 &gt; 국내 순정")</f>
        <v>웹툰 &gt; 국내 순정</v>
      </c>
    </row>
    <row r="307" spans="1:48" x14ac:dyDescent="0.4">
      <c r="A307">
        <v>4421000069</v>
      </c>
      <c r="B307">
        <v>4421000105</v>
      </c>
      <c r="C307" t="str">
        <f>T("너랑 나랑 하면 35화")</f>
        <v>너랑 나랑 하면 35화</v>
      </c>
      <c r="D307" t="str">
        <f>T("35")</f>
        <v>35</v>
      </c>
      <c r="E307" t="str">
        <f>T("NISANSUI")</f>
        <v>NISANSUI</v>
      </c>
      <c r="G307" t="str">
        <f>T("ZIQUAN")</f>
        <v>ZIQUAN</v>
      </c>
      <c r="H307" t="str">
        <f t="shared" si="16"/>
        <v>스토리위즈</v>
      </c>
      <c r="I307" t="str">
        <f>T("너랑 나랑 하면")</f>
        <v>너랑 나랑 하면</v>
      </c>
      <c r="J307">
        <v>400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R307" t="str">
        <f t="shared" si="17"/>
        <v>0000000000000</v>
      </c>
      <c r="AT307" t="str">
        <f>T("9791166067884")</f>
        <v>9791166067884</v>
      </c>
      <c r="AV307" t="str">
        <f>T("BL 웹툰 &gt; 웹툰")</f>
        <v>BL 웹툰 &gt; 웹툰</v>
      </c>
    </row>
    <row r="308" spans="1:48" x14ac:dyDescent="0.4">
      <c r="A308">
        <v>4421000866</v>
      </c>
      <c r="B308">
        <v>4421000998</v>
      </c>
      <c r="C308" t="str">
        <f>T("최애에게 들켜버렸다 39화")</f>
        <v>최애에게 들켜버렸다 39화</v>
      </c>
      <c r="D308" t="str">
        <f>T("40")</f>
        <v>40</v>
      </c>
      <c r="E308" t="str">
        <f>T("Lv")</f>
        <v>Lv</v>
      </c>
      <c r="G308" t="str">
        <f>T("Lv")</f>
        <v>Lv</v>
      </c>
      <c r="H308" t="str">
        <f t="shared" si="16"/>
        <v>스토리위즈</v>
      </c>
      <c r="I308" t="str">
        <f>T("최애에게 들켜버렸다")</f>
        <v>최애에게 들켜버렸다</v>
      </c>
      <c r="J308">
        <v>400</v>
      </c>
      <c r="K308">
        <v>0</v>
      </c>
      <c r="L308">
        <v>0</v>
      </c>
      <c r="M308">
        <v>0</v>
      </c>
      <c r="N308">
        <v>200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200</v>
      </c>
      <c r="AH308">
        <v>1</v>
      </c>
      <c r="AI308">
        <v>0</v>
      </c>
      <c r="AJ308">
        <v>0</v>
      </c>
      <c r="AK308">
        <v>200</v>
      </c>
      <c r="AL308">
        <v>0</v>
      </c>
      <c r="AM308">
        <v>0</v>
      </c>
      <c r="AN308">
        <v>0</v>
      </c>
      <c r="AO308">
        <v>0</v>
      </c>
      <c r="AP308">
        <v>140</v>
      </c>
      <c r="AR308" t="str">
        <f t="shared" si="17"/>
        <v>0000000000000</v>
      </c>
      <c r="AT308" t="str">
        <f>T("9791137601253")</f>
        <v>9791137601253</v>
      </c>
      <c r="AV308" t="str">
        <f>T("웹툰 &gt; 해외 순정")</f>
        <v>웹툰 &gt; 해외 순정</v>
      </c>
    </row>
    <row r="309" spans="1:48" x14ac:dyDescent="0.4">
      <c r="A309">
        <v>4421000866</v>
      </c>
      <c r="B309">
        <v>4421000960</v>
      </c>
      <c r="C309" t="str">
        <f>T("최애에게 들켜버렸다 26화")</f>
        <v>최애에게 들켜버렸다 26화</v>
      </c>
      <c r="D309" t="str">
        <f>T("27")</f>
        <v>27</v>
      </c>
      <c r="E309" t="str">
        <f>T("Lv")</f>
        <v>Lv</v>
      </c>
      <c r="G309" t="str">
        <f>T("Lv")</f>
        <v>Lv</v>
      </c>
      <c r="H309" t="str">
        <f t="shared" si="16"/>
        <v>스토리위즈</v>
      </c>
      <c r="I309" t="str">
        <f>T("최애에게 들켜버렸다")</f>
        <v>최애에게 들켜버렸다</v>
      </c>
      <c r="J309">
        <v>400</v>
      </c>
      <c r="K309">
        <v>0</v>
      </c>
      <c r="L309">
        <v>0</v>
      </c>
      <c r="M309">
        <v>0</v>
      </c>
      <c r="N309">
        <v>200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200</v>
      </c>
      <c r="AH309">
        <v>1</v>
      </c>
      <c r="AI309">
        <v>0</v>
      </c>
      <c r="AJ309">
        <v>0</v>
      </c>
      <c r="AK309">
        <v>200</v>
      </c>
      <c r="AL309">
        <v>0</v>
      </c>
      <c r="AM309">
        <v>0</v>
      </c>
      <c r="AN309">
        <v>0</v>
      </c>
      <c r="AO309">
        <v>0</v>
      </c>
      <c r="AP309">
        <v>140</v>
      </c>
      <c r="AR309" t="str">
        <f t="shared" si="17"/>
        <v>0000000000000</v>
      </c>
      <c r="AT309" t="str">
        <f>T("9791137601253")</f>
        <v>9791137601253</v>
      </c>
      <c r="AV309" t="str">
        <f>T("웹툰 &gt; 해외 순정")</f>
        <v>웹툰 &gt; 해외 순정</v>
      </c>
    </row>
    <row r="310" spans="1:48" x14ac:dyDescent="0.4">
      <c r="A310">
        <v>4421000742</v>
      </c>
      <c r="B310">
        <v>4421000766</v>
      </c>
      <c r="C310" t="str">
        <f>T("연애 2분의 1 25화")</f>
        <v>연애 2분의 1 25화</v>
      </c>
      <c r="D310" t="str">
        <f>T("25")</f>
        <v>25</v>
      </c>
      <c r="E310" t="str">
        <f>T("Zhupi&amp;Yangxuetu")</f>
        <v>Zhupi&amp;Yangxuetu</v>
      </c>
      <c r="H310" t="str">
        <f t="shared" si="16"/>
        <v>스토리위즈</v>
      </c>
      <c r="I310" t="str">
        <f>T("연애 2분의 1")</f>
        <v>연애 2분의 1</v>
      </c>
      <c r="J310">
        <v>200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R310" t="str">
        <f t="shared" si="17"/>
        <v>0000000000000</v>
      </c>
      <c r="AT310" t="str">
        <f>T("9791166067891")</f>
        <v>9791166067891</v>
      </c>
      <c r="AV310" t="str">
        <f>T("웹툰 &gt; 해외 순정")</f>
        <v>웹툰 &gt; 해외 순정</v>
      </c>
    </row>
    <row r="311" spans="1:48" x14ac:dyDescent="0.4">
      <c r="A311">
        <v>4421000069</v>
      </c>
      <c r="B311">
        <v>4421000097</v>
      </c>
      <c r="C311" t="str">
        <f>T("너랑 나랑 하면 28화")</f>
        <v>너랑 나랑 하면 28화</v>
      </c>
      <c r="D311" t="str">
        <f>T("28")</f>
        <v>28</v>
      </c>
      <c r="E311" t="str">
        <f>T("NISANSUI")</f>
        <v>NISANSUI</v>
      </c>
      <c r="G311" t="str">
        <f>T("ZIQUAN")</f>
        <v>ZIQUAN</v>
      </c>
      <c r="H311" t="str">
        <f t="shared" si="16"/>
        <v>스토리위즈</v>
      </c>
      <c r="I311" t="str">
        <f>T("너랑 나랑 하면")</f>
        <v>너랑 나랑 하면</v>
      </c>
      <c r="J311">
        <v>400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R311" t="str">
        <f t="shared" si="17"/>
        <v>0000000000000</v>
      </c>
      <c r="AT311" t="str">
        <f>T("9791166067884")</f>
        <v>9791166067884</v>
      </c>
      <c r="AV311" t="str">
        <f>T("BL 웹툰 &gt; 웹툰")</f>
        <v>BL 웹툰 &gt; 웹툰</v>
      </c>
    </row>
    <row r="312" spans="1:48" x14ac:dyDescent="0.4">
      <c r="A312">
        <v>4421000887</v>
      </c>
      <c r="B312">
        <v>4421000889</v>
      </c>
      <c r="C312" t="str">
        <f>T("폭군의 눈물 3화")</f>
        <v>폭군의 눈물 3화</v>
      </c>
      <c r="D312" t="str">
        <f>T("3")</f>
        <v>3</v>
      </c>
      <c r="E312" t="str">
        <f>T("Ice×FANFAN COMIC")</f>
        <v>Ice×FANFAN COMIC</v>
      </c>
      <c r="G312" t="str">
        <f>T("Ice×FANFAN COMIC")</f>
        <v>Ice×FANFAN COMIC</v>
      </c>
      <c r="H312" t="str">
        <f t="shared" si="16"/>
        <v>스토리위즈</v>
      </c>
      <c r="I312" t="str">
        <f>T("폭군의 눈물")</f>
        <v>폭군의 눈물</v>
      </c>
      <c r="J312">
        <v>400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7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R312" t="str">
        <f t="shared" si="17"/>
        <v>0000000000000</v>
      </c>
      <c r="AT312" t="str">
        <f>T("9791137601291")</f>
        <v>9791137601291</v>
      </c>
      <c r="AV312" t="str">
        <f>T("웹툰 &gt; 해외 순정")</f>
        <v>웹툰 &gt; 해외 순정</v>
      </c>
    </row>
    <row r="313" spans="1:48" x14ac:dyDescent="0.4">
      <c r="A313">
        <v>4421001305</v>
      </c>
      <c r="B313">
        <v>4421001473</v>
      </c>
      <c r="C313" t="str">
        <f>T("악역이지만, 남주는 꼬시지 않아요 23화")</f>
        <v>악역이지만, 남주는 꼬시지 않아요 23화</v>
      </c>
      <c r="D313" t="str">
        <f>T("23")</f>
        <v>23</v>
      </c>
      <c r="E313" t="str">
        <f>T("마북명")</f>
        <v>마북명</v>
      </c>
      <c r="G313" t="str">
        <f>T("kuri")</f>
        <v>kuri</v>
      </c>
      <c r="H313" t="str">
        <f t="shared" si="16"/>
        <v>스토리위즈</v>
      </c>
      <c r="I313" t="str">
        <f>T("악역이지만, 남주는 꼬시지 않아요")</f>
        <v>악역이지만, 남주는 꼬시지 않아요</v>
      </c>
      <c r="J313">
        <v>400</v>
      </c>
      <c r="K313">
        <v>0</v>
      </c>
      <c r="L313">
        <v>0</v>
      </c>
      <c r="M313">
        <v>0</v>
      </c>
      <c r="N313">
        <v>1200</v>
      </c>
      <c r="O313">
        <v>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1200</v>
      </c>
      <c r="AH313">
        <v>6</v>
      </c>
      <c r="AI313">
        <v>0</v>
      </c>
      <c r="AJ313">
        <v>0</v>
      </c>
      <c r="AK313">
        <v>1000</v>
      </c>
      <c r="AL313">
        <v>0</v>
      </c>
      <c r="AM313">
        <v>200</v>
      </c>
      <c r="AN313">
        <v>0</v>
      </c>
      <c r="AO313">
        <v>0</v>
      </c>
      <c r="AP313">
        <v>840</v>
      </c>
      <c r="AR313" t="str">
        <f t="shared" si="17"/>
        <v>0000000000000</v>
      </c>
      <c r="AT313" t="str">
        <f>T("9791137603882")</f>
        <v>9791137603882</v>
      </c>
      <c r="AV313" t="str">
        <f>T("웹툰 &gt; 해외 순정")</f>
        <v>웹툰 &gt; 해외 순정</v>
      </c>
    </row>
    <row r="314" spans="1:48" x14ac:dyDescent="0.4">
      <c r="A314">
        <v>4421000001</v>
      </c>
      <c r="B314">
        <v>4421000026</v>
      </c>
      <c r="C314" t="str">
        <f>T("감옥실험 16화")</f>
        <v>감옥실험 16화</v>
      </c>
      <c r="D314" t="str">
        <f>T("16")</f>
        <v>16</v>
      </c>
      <c r="E314" t="str">
        <f>T("Kantetsu")</f>
        <v>Kantetsu</v>
      </c>
      <c r="G314" t="str">
        <f>T("Minase Chiho")</f>
        <v>Minase Chiho</v>
      </c>
      <c r="H314" t="str">
        <f t="shared" si="16"/>
        <v>스토리위즈</v>
      </c>
      <c r="I314" t="str">
        <f>T("감옥실험")</f>
        <v>감옥실험</v>
      </c>
      <c r="J314">
        <v>500</v>
      </c>
      <c r="K314">
        <v>0</v>
      </c>
      <c r="L314">
        <v>0</v>
      </c>
      <c r="M314">
        <v>0</v>
      </c>
      <c r="N314">
        <v>2100</v>
      </c>
      <c r="O314">
        <v>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2100</v>
      </c>
      <c r="AH314">
        <v>7</v>
      </c>
      <c r="AI314">
        <v>0</v>
      </c>
      <c r="AJ314">
        <v>0</v>
      </c>
      <c r="AK314">
        <v>2100</v>
      </c>
      <c r="AL314">
        <v>0</v>
      </c>
      <c r="AM314">
        <v>0</v>
      </c>
      <c r="AN314">
        <v>0</v>
      </c>
      <c r="AO314">
        <v>0</v>
      </c>
      <c r="AP314">
        <v>1470</v>
      </c>
      <c r="AT314" t="str">
        <f>T("9791166069406")</f>
        <v>9791166069406</v>
      </c>
      <c r="AV314" t="str">
        <f>T("웹툰 &gt; 드라마")</f>
        <v>웹툰 &gt; 드라마</v>
      </c>
    </row>
    <row r="315" spans="1:48" x14ac:dyDescent="0.4">
      <c r="A315">
        <v>4421000001</v>
      </c>
      <c r="B315">
        <v>4421000170</v>
      </c>
      <c r="C315" t="str">
        <f>T("감옥실험 49화")</f>
        <v>감옥실험 49화</v>
      </c>
      <c r="D315" t="str">
        <f>T("49")</f>
        <v>49</v>
      </c>
      <c r="E315" t="str">
        <f>T("Kantetsu")</f>
        <v>Kantetsu</v>
      </c>
      <c r="G315" t="str">
        <f>T("Minase Chiho")</f>
        <v>Minase Chiho</v>
      </c>
      <c r="H315" t="str">
        <f t="shared" si="16"/>
        <v>스토리위즈</v>
      </c>
      <c r="I315" t="str">
        <f>T("감옥실험")</f>
        <v>감옥실험</v>
      </c>
      <c r="J315">
        <v>500</v>
      </c>
      <c r="K315">
        <v>0</v>
      </c>
      <c r="L315">
        <v>0</v>
      </c>
      <c r="M315">
        <v>0</v>
      </c>
      <c r="N315">
        <v>1200</v>
      </c>
      <c r="O315">
        <v>4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1200</v>
      </c>
      <c r="AH315">
        <v>4</v>
      </c>
      <c r="AI315">
        <v>0</v>
      </c>
      <c r="AJ315">
        <v>0</v>
      </c>
      <c r="AK315">
        <v>1200</v>
      </c>
      <c r="AL315">
        <v>0</v>
      </c>
      <c r="AM315">
        <v>0</v>
      </c>
      <c r="AN315">
        <v>0</v>
      </c>
      <c r="AO315">
        <v>0</v>
      </c>
      <c r="AP315">
        <v>840</v>
      </c>
      <c r="AT315" t="str">
        <f>T("9791166069406")</f>
        <v>9791166069406</v>
      </c>
      <c r="AV315" t="str">
        <f>T("웹툰 &gt; 드라마")</f>
        <v>웹툰 &gt; 드라마</v>
      </c>
    </row>
    <row r="316" spans="1:48" x14ac:dyDescent="0.4">
      <c r="A316">
        <v>4421001377</v>
      </c>
      <c r="B316">
        <v>4421001382</v>
      </c>
      <c r="C316" t="str">
        <f>T("요괴님은 수련중 6화")</f>
        <v>요괴님은 수련중 6화</v>
      </c>
      <c r="D316" t="str">
        <f>T("6")</f>
        <v>6</v>
      </c>
      <c r="E316" t="str">
        <f>T("화방")</f>
        <v>화방</v>
      </c>
      <c r="G316" t="str">
        <f>T("망북")</f>
        <v>망북</v>
      </c>
      <c r="H316" t="str">
        <f t="shared" si="16"/>
        <v>스토리위즈</v>
      </c>
      <c r="I316" t="str">
        <f>T("요괴님은 수련중")</f>
        <v>요괴님은 수련중</v>
      </c>
      <c r="J316">
        <v>400</v>
      </c>
      <c r="K316">
        <v>0</v>
      </c>
      <c r="L316">
        <v>0</v>
      </c>
      <c r="M316">
        <v>0</v>
      </c>
      <c r="N316">
        <v>200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200</v>
      </c>
      <c r="AH316">
        <v>1</v>
      </c>
      <c r="AI316">
        <v>0</v>
      </c>
      <c r="AJ316">
        <v>0</v>
      </c>
      <c r="AK316">
        <v>200</v>
      </c>
      <c r="AL316">
        <v>0</v>
      </c>
      <c r="AM316">
        <v>0</v>
      </c>
      <c r="AN316">
        <v>0</v>
      </c>
      <c r="AO316">
        <v>0</v>
      </c>
      <c r="AP316">
        <v>140</v>
      </c>
      <c r="AR316" t="str">
        <f>T("0000000000000")</f>
        <v>0000000000000</v>
      </c>
      <c r="AT316" t="str">
        <f>T("9791137603899")</f>
        <v>9791137603899</v>
      </c>
      <c r="AV316" t="str">
        <f>T("웹툰 &gt; 해외 순정")</f>
        <v>웹툰 &gt; 해외 순정</v>
      </c>
    </row>
    <row r="317" spans="1:48" x14ac:dyDescent="0.4">
      <c r="A317">
        <v>4421000001</v>
      </c>
      <c r="B317">
        <v>4421000065</v>
      </c>
      <c r="C317" t="str">
        <f>T("감옥실험 45화")</f>
        <v>감옥실험 45화</v>
      </c>
      <c r="D317" t="str">
        <f>T("45")</f>
        <v>45</v>
      </c>
      <c r="E317" t="str">
        <f>T("Kantetsu")</f>
        <v>Kantetsu</v>
      </c>
      <c r="G317" t="str">
        <f>T("Minase Chiho")</f>
        <v>Minase Chiho</v>
      </c>
      <c r="H317" t="str">
        <f t="shared" si="16"/>
        <v>스토리위즈</v>
      </c>
      <c r="I317" t="str">
        <f>T("감옥실험")</f>
        <v>감옥실험</v>
      </c>
      <c r="J317">
        <v>500</v>
      </c>
      <c r="K317">
        <v>0</v>
      </c>
      <c r="L317">
        <v>0</v>
      </c>
      <c r="M317">
        <v>0</v>
      </c>
      <c r="N317">
        <v>1200</v>
      </c>
      <c r="O317">
        <v>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1200</v>
      </c>
      <c r="AH317">
        <v>4</v>
      </c>
      <c r="AI317">
        <v>0</v>
      </c>
      <c r="AJ317">
        <v>0</v>
      </c>
      <c r="AK317">
        <v>1200</v>
      </c>
      <c r="AL317">
        <v>0</v>
      </c>
      <c r="AM317">
        <v>0</v>
      </c>
      <c r="AN317">
        <v>0</v>
      </c>
      <c r="AO317">
        <v>0</v>
      </c>
      <c r="AP317">
        <v>840</v>
      </c>
      <c r="AT317" t="str">
        <f>T("9791166069406")</f>
        <v>9791166069406</v>
      </c>
      <c r="AV317" t="str">
        <f>T("웹툰 &gt; 드라마")</f>
        <v>웹툰 &gt; 드라마</v>
      </c>
    </row>
    <row r="318" spans="1:48" x14ac:dyDescent="0.4">
      <c r="A318">
        <v>4421000337</v>
      </c>
      <c r="B318">
        <v>4421000343</v>
      </c>
      <c r="C318" t="str">
        <f>T("계약연애, 오늘부터 1일 7화")</f>
        <v>계약연애, 오늘부터 1일 7화</v>
      </c>
      <c r="D318" t="str">
        <f>T("7")</f>
        <v>7</v>
      </c>
      <c r="E318" t="str">
        <f>T("원기공장")</f>
        <v>원기공장</v>
      </c>
      <c r="H318" t="str">
        <f t="shared" si="16"/>
        <v>스토리위즈</v>
      </c>
      <c r="I318" t="str">
        <f>T("계약연애, 오늘부터 1일")</f>
        <v>계약연애, 오늘부터 1일</v>
      </c>
      <c r="J318">
        <v>200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R318" t="str">
        <f>T("0000000000000")</f>
        <v>0000000000000</v>
      </c>
      <c r="AT318" t="str">
        <f>T("9791166068027")</f>
        <v>9791166068027</v>
      </c>
      <c r="AV318" t="str">
        <f>T("웹툰 &gt; 해외 순정")</f>
        <v>웹툰 &gt; 해외 순정</v>
      </c>
    </row>
    <row r="319" spans="1:48" x14ac:dyDescent="0.4">
      <c r="A319">
        <v>4421000001</v>
      </c>
      <c r="B319">
        <v>4421000019</v>
      </c>
      <c r="C319" t="str">
        <f>T("감옥실험 9화")</f>
        <v>감옥실험 9화</v>
      </c>
      <c r="D319" t="str">
        <f>T("9")</f>
        <v>9</v>
      </c>
      <c r="E319" t="str">
        <f>T("Kantetsu")</f>
        <v>Kantetsu</v>
      </c>
      <c r="G319" t="str">
        <f>T("Minase Chiho")</f>
        <v>Minase Chiho</v>
      </c>
      <c r="H319" t="str">
        <f t="shared" si="16"/>
        <v>스토리위즈</v>
      </c>
      <c r="I319" t="str">
        <f>T("감옥실험")</f>
        <v>감옥실험</v>
      </c>
      <c r="J319">
        <v>500</v>
      </c>
      <c r="K319">
        <v>0</v>
      </c>
      <c r="L319">
        <v>0</v>
      </c>
      <c r="M319">
        <v>0</v>
      </c>
      <c r="N319">
        <v>2100</v>
      </c>
      <c r="O319">
        <v>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2100</v>
      </c>
      <c r="AH319">
        <v>7</v>
      </c>
      <c r="AI319">
        <v>0</v>
      </c>
      <c r="AJ319">
        <v>0</v>
      </c>
      <c r="AK319">
        <v>2100</v>
      </c>
      <c r="AL319">
        <v>0</v>
      </c>
      <c r="AM319">
        <v>0</v>
      </c>
      <c r="AN319">
        <v>0</v>
      </c>
      <c r="AO319">
        <v>0</v>
      </c>
      <c r="AP319">
        <v>1470</v>
      </c>
      <c r="AT319" t="str">
        <f>T("9791166069406")</f>
        <v>9791166069406</v>
      </c>
      <c r="AV319" t="str">
        <f>T("웹툰 &gt; 드라마")</f>
        <v>웹툰 &gt; 드라마</v>
      </c>
    </row>
    <row r="320" spans="1:48" x14ac:dyDescent="0.4">
      <c r="A320">
        <v>4421000069</v>
      </c>
      <c r="B320">
        <v>4421000148</v>
      </c>
      <c r="C320" t="str">
        <f>T("너랑 나랑 하면 78화")</f>
        <v>너랑 나랑 하면 78화</v>
      </c>
      <c r="D320" t="str">
        <f>T("78")</f>
        <v>78</v>
      </c>
      <c r="E320" t="str">
        <f>T("NISANSUI")</f>
        <v>NISANSUI</v>
      </c>
      <c r="G320" t="str">
        <f>T("ZIQUAN")</f>
        <v>ZIQUAN</v>
      </c>
      <c r="H320" t="str">
        <f t="shared" si="16"/>
        <v>스토리위즈</v>
      </c>
      <c r="I320" t="str">
        <f>T("너랑 나랑 하면")</f>
        <v>너랑 나랑 하면</v>
      </c>
      <c r="J320">
        <v>400</v>
      </c>
      <c r="K320">
        <v>0</v>
      </c>
      <c r="L320">
        <v>0</v>
      </c>
      <c r="M320">
        <v>0</v>
      </c>
      <c r="N320">
        <v>200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200</v>
      </c>
      <c r="AH320">
        <v>1</v>
      </c>
      <c r="AI320">
        <v>0</v>
      </c>
      <c r="AJ320">
        <v>0</v>
      </c>
      <c r="AK320">
        <v>200</v>
      </c>
      <c r="AL320">
        <v>0</v>
      </c>
      <c r="AM320">
        <v>0</v>
      </c>
      <c r="AN320">
        <v>0</v>
      </c>
      <c r="AO320">
        <v>0</v>
      </c>
      <c r="AP320">
        <v>140</v>
      </c>
      <c r="AR320" t="str">
        <f>T("0000000000000")</f>
        <v>0000000000000</v>
      </c>
      <c r="AT320" t="str">
        <f>T("9791166067884")</f>
        <v>9791166067884</v>
      </c>
      <c r="AV320" t="str">
        <f>T("BL 웹툰 &gt; 웹툰")</f>
        <v>BL 웹툰 &gt; 웹툰</v>
      </c>
    </row>
    <row r="321" spans="1:48" x14ac:dyDescent="0.4">
      <c r="A321">
        <v>4421000001</v>
      </c>
      <c r="B321">
        <v>4421000058</v>
      </c>
      <c r="C321" t="str">
        <f>T("감옥실험 38화")</f>
        <v>감옥실험 38화</v>
      </c>
      <c r="D321" t="str">
        <f>T("38")</f>
        <v>38</v>
      </c>
      <c r="E321" t="str">
        <f>T("Kantetsu")</f>
        <v>Kantetsu</v>
      </c>
      <c r="G321" t="str">
        <f>T("Minase Chiho")</f>
        <v>Minase Chiho</v>
      </c>
      <c r="H321" t="str">
        <f t="shared" si="16"/>
        <v>스토리위즈</v>
      </c>
      <c r="I321" t="str">
        <f>T("감옥실험")</f>
        <v>감옥실험</v>
      </c>
      <c r="J321">
        <v>500</v>
      </c>
      <c r="K321">
        <v>0</v>
      </c>
      <c r="L321">
        <v>0</v>
      </c>
      <c r="M321">
        <v>0</v>
      </c>
      <c r="N321">
        <v>1200</v>
      </c>
      <c r="O321">
        <v>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1200</v>
      </c>
      <c r="AH321">
        <v>4</v>
      </c>
      <c r="AI321">
        <v>0</v>
      </c>
      <c r="AJ321">
        <v>0</v>
      </c>
      <c r="AK321">
        <v>1200</v>
      </c>
      <c r="AL321">
        <v>0</v>
      </c>
      <c r="AM321">
        <v>0</v>
      </c>
      <c r="AN321">
        <v>0</v>
      </c>
      <c r="AO321">
        <v>0</v>
      </c>
      <c r="AP321">
        <v>840</v>
      </c>
      <c r="AT321" t="str">
        <f>T("9791166069406")</f>
        <v>9791166069406</v>
      </c>
      <c r="AV321" t="str">
        <f>T("웹툰 &gt; 드라마")</f>
        <v>웹툰 &gt; 드라마</v>
      </c>
    </row>
    <row r="322" spans="1:48" x14ac:dyDescent="0.4">
      <c r="A322">
        <v>4421000866</v>
      </c>
      <c r="B322">
        <v>4421000914</v>
      </c>
      <c r="C322" t="str">
        <f>T("최애에게 들켜버렸다 23화")</f>
        <v>최애에게 들켜버렸다 23화</v>
      </c>
      <c r="D322" t="str">
        <f>T("24")</f>
        <v>24</v>
      </c>
      <c r="E322" t="str">
        <f>T("Lv")</f>
        <v>Lv</v>
      </c>
      <c r="G322" t="str">
        <f>T("Lv")</f>
        <v>Lv</v>
      </c>
      <c r="H322" t="str">
        <f t="shared" ref="H322:H385" si="18">T("스토리위즈")</f>
        <v>스토리위즈</v>
      </c>
      <c r="I322" t="str">
        <f>T("최애에게 들켜버렸다")</f>
        <v>최애에게 들켜버렸다</v>
      </c>
      <c r="J322">
        <v>400</v>
      </c>
      <c r="K322">
        <v>0</v>
      </c>
      <c r="L322">
        <v>0</v>
      </c>
      <c r="M322">
        <v>0</v>
      </c>
      <c r="N322">
        <v>200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200</v>
      </c>
      <c r="AH322">
        <v>1</v>
      </c>
      <c r="AI322">
        <v>0</v>
      </c>
      <c r="AJ322">
        <v>0</v>
      </c>
      <c r="AK322">
        <v>200</v>
      </c>
      <c r="AL322">
        <v>0</v>
      </c>
      <c r="AM322">
        <v>0</v>
      </c>
      <c r="AN322">
        <v>0</v>
      </c>
      <c r="AO322">
        <v>0</v>
      </c>
      <c r="AP322">
        <v>140</v>
      </c>
      <c r="AR322" t="str">
        <f t="shared" ref="AR322:AR330" si="19">T("0000000000000")</f>
        <v>0000000000000</v>
      </c>
      <c r="AT322" t="str">
        <f>T("9791137601253")</f>
        <v>9791137601253</v>
      </c>
      <c r="AV322" t="str">
        <f>T("웹툰 &gt; 해외 순정")</f>
        <v>웹툰 &gt; 해외 순정</v>
      </c>
    </row>
    <row r="323" spans="1:48" x14ac:dyDescent="0.4">
      <c r="A323">
        <v>4421000742</v>
      </c>
      <c r="B323">
        <v>4421000759</v>
      </c>
      <c r="C323" t="str">
        <f>T("연애 2분의 1 18화")</f>
        <v>연애 2분의 1 18화</v>
      </c>
      <c r="D323" t="str">
        <f>T("18")</f>
        <v>18</v>
      </c>
      <c r="E323" t="str">
        <f>T("Zhupi&amp;Yangxuetu")</f>
        <v>Zhupi&amp;Yangxuetu</v>
      </c>
      <c r="H323" t="str">
        <f t="shared" si="18"/>
        <v>스토리위즈</v>
      </c>
      <c r="I323" t="str">
        <f>T("연애 2분의 1")</f>
        <v>연애 2분의 1</v>
      </c>
      <c r="J323">
        <v>200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R323" t="str">
        <f t="shared" si="19"/>
        <v>0000000000000</v>
      </c>
      <c r="AT323" t="str">
        <f>T("9791166067891")</f>
        <v>9791166067891</v>
      </c>
      <c r="AV323" t="str">
        <f>T("웹툰 &gt; 해외 순정")</f>
        <v>웹툰 &gt; 해외 순정</v>
      </c>
    </row>
    <row r="324" spans="1:48" x14ac:dyDescent="0.4">
      <c r="A324">
        <v>4421000069</v>
      </c>
      <c r="B324">
        <v>4421000090</v>
      </c>
      <c r="C324" t="str">
        <f>T("너랑 나랑 하면 21화")</f>
        <v>너랑 나랑 하면 21화</v>
      </c>
      <c r="D324" t="str">
        <f>T("21")</f>
        <v>21</v>
      </c>
      <c r="E324" t="str">
        <f>T("NISANSUI")</f>
        <v>NISANSUI</v>
      </c>
      <c r="G324" t="str">
        <f>T("ZIQUAN")</f>
        <v>ZIQUAN</v>
      </c>
      <c r="H324" t="str">
        <f t="shared" si="18"/>
        <v>스토리위즈</v>
      </c>
      <c r="I324" t="str">
        <f>T("너랑 나랑 하면")</f>
        <v>너랑 나랑 하면</v>
      </c>
      <c r="J324">
        <v>400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R324" t="str">
        <f t="shared" si="19"/>
        <v>0000000000000</v>
      </c>
      <c r="AT324" t="str">
        <f>T("9791166067884")</f>
        <v>9791166067884</v>
      </c>
      <c r="AV324" t="str">
        <f>T("BL 웹툰 &gt; 웹툰")</f>
        <v>BL 웹툰 &gt; 웹툰</v>
      </c>
    </row>
    <row r="325" spans="1:48" x14ac:dyDescent="0.4">
      <c r="A325">
        <v>4421000198</v>
      </c>
      <c r="B325">
        <v>4421000199</v>
      </c>
      <c r="C325" t="str">
        <f>T("공주전쟁 2화")</f>
        <v>공주전쟁 2화</v>
      </c>
      <c r="D325" t="str">
        <f>T("2")</f>
        <v>2</v>
      </c>
      <c r="E325" t="str">
        <f>T("Hujing")</f>
        <v>Hujing</v>
      </c>
      <c r="G325" t="str">
        <f>T("Luojie")</f>
        <v>Luojie</v>
      </c>
      <c r="H325" t="str">
        <f t="shared" si="18"/>
        <v>스토리위즈</v>
      </c>
      <c r="I325" t="str">
        <f>T("공주전쟁")</f>
        <v>공주전쟁</v>
      </c>
      <c r="J325">
        <v>400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7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R325" t="str">
        <f t="shared" si="19"/>
        <v>0000000000000</v>
      </c>
      <c r="AT325" t="str">
        <f>T("9791166069666")</f>
        <v>9791166069666</v>
      </c>
      <c r="AV325" t="str">
        <f>T("웹툰 &gt; 해외 순정")</f>
        <v>웹툰 &gt; 해외 순정</v>
      </c>
    </row>
    <row r="326" spans="1:48" x14ac:dyDescent="0.4">
      <c r="A326">
        <v>4421000866</v>
      </c>
      <c r="B326">
        <v>4421000882</v>
      </c>
      <c r="C326" t="str">
        <f>T("최애에게 들켜버렸다 16화")</f>
        <v>최애에게 들켜버렸다 16화</v>
      </c>
      <c r="D326" t="str">
        <f>T("16")</f>
        <v>16</v>
      </c>
      <c r="E326" t="str">
        <f>T("Lv")</f>
        <v>Lv</v>
      </c>
      <c r="G326" t="str">
        <f>T("Lv")</f>
        <v>Lv</v>
      </c>
      <c r="H326" t="str">
        <f t="shared" si="18"/>
        <v>스토리위즈</v>
      </c>
      <c r="I326" t="str">
        <f>T("최애에게 들켜버렸다")</f>
        <v>최애에게 들켜버렸다</v>
      </c>
      <c r="J326">
        <v>400</v>
      </c>
      <c r="K326">
        <v>0</v>
      </c>
      <c r="L326">
        <v>0</v>
      </c>
      <c r="M326">
        <v>0</v>
      </c>
      <c r="N326">
        <v>400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400</v>
      </c>
      <c r="AH326">
        <v>2</v>
      </c>
      <c r="AI326">
        <v>0</v>
      </c>
      <c r="AJ326">
        <v>0</v>
      </c>
      <c r="AK326">
        <v>400</v>
      </c>
      <c r="AL326">
        <v>0</v>
      </c>
      <c r="AM326">
        <v>0</v>
      </c>
      <c r="AN326">
        <v>0</v>
      </c>
      <c r="AO326">
        <v>0</v>
      </c>
      <c r="AP326">
        <v>280</v>
      </c>
      <c r="AR326" t="str">
        <f t="shared" si="19"/>
        <v>0000000000000</v>
      </c>
      <c r="AT326" t="str">
        <f>T("9791137601253")</f>
        <v>9791137601253</v>
      </c>
      <c r="AV326" t="str">
        <f>T("웹툰 &gt; 해외 순정")</f>
        <v>웹툰 &gt; 해외 순정</v>
      </c>
    </row>
    <row r="327" spans="1:48" x14ac:dyDescent="0.4">
      <c r="A327">
        <v>4421000742</v>
      </c>
      <c r="B327">
        <v>4421000752</v>
      </c>
      <c r="C327" t="str">
        <f>T("연애 2분의 1 11화")</f>
        <v>연애 2분의 1 11화</v>
      </c>
      <c r="D327" t="str">
        <f>T("11")</f>
        <v>11</v>
      </c>
      <c r="E327" t="str">
        <f>T("Zhupi&amp;Yangxuetu")</f>
        <v>Zhupi&amp;Yangxuetu</v>
      </c>
      <c r="H327" t="str">
        <f t="shared" si="18"/>
        <v>스토리위즈</v>
      </c>
      <c r="I327" t="str">
        <f>T("연애 2분의 1")</f>
        <v>연애 2분의 1</v>
      </c>
      <c r="J327">
        <v>200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R327" t="str">
        <f t="shared" si="19"/>
        <v>0000000000000</v>
      </c>
      <c r="AT327" t="str">
        <f>T("9791166067891")</f>
        <v>9791166067891</v>
      </c>
      <c r="AV327" t="str">
        <f>T("웹툰 &gt; 해외 순정")</f>
        <v>웹툰 &gt; 해외 순정</v>
      </c>
    </row>
    <row r="328" spans="1:48" x14ac:dyDescent="0.4">
      <c r="A328">
        <v>4421000742</v>
      </c>
      <c r="B328">
        <v>4421000744</v>
      </c>
      <c r="C328" t="str">
        <f>T("연애 2분의 1 3화")</f>
        <v>연애 2분의 1 3화</v>
      </c>
      <c r="D328" t="str">
        <f>T("3")</f>
        <v>3</v>
      </c>
      <c r="E328" t="str">
        <f>T("Zhupi&amp;Yangxuetu")</f>
        <v>Zhupi&amp;Yangxuetu</v>
      </c>
      <c r="H328" t="str">
        <f t="shared" si="18"/>
        <v>스토리위즈</v>
      </c>
      <c r="I328" t="str">
        <f>T("연애 2분의 1")</f>
        <v>연애 2분의 1</v>
      </c>
      <c r="J328">
        <v>200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R328" t="str">
        <f t="shared" si="19"/>
        <v>0000000000000</v>
      </c>
      <c r="AT328" t="str">
        <f>T("9791166067891")</f>
        <v>9791166067891</v>
      </c>
      <c r="AV328" t="str">
        <f>T("웹툰 &gt; 해외 순정")</f>
        <v>웹툰 &gt; 해외 순정</v>
      </c>
    </row>
    <row r="329" spans="1:48" x14ac:dyDescent="0.4">
      <c r="A329">
        <v>4421000069</v>
      </c>
      <c r="B329">
        <v>4421000083</v>
      </c>
      <c r="C329" t="str">
        <f>T("너랑 나랑 하면 14화")</f>
        <v>너랑 나랑 하면 14화</v>
      </c>
      <c r="D329" t="str">
        <f>T("14")</f>
        <v>14</v>
      </c>
      <c r="E329" t="str">
        <f>T("NISANSUI")</f>
        <v>NISANSUI</v>
      </c>
      <c r="G329" t="str">
        <f>T("ZIQUAN")</f>
        <v>ZIQUAN</v>
      </c>
      <c r="H329" t="str">
        <f t="shared" si="18"/>
        <v>스토리위즈</v>
      </c>
      <c r="I329" t="str">
        <f>T("너랑 나랑 하면")</f>
        <v>너랑 나랑 하면</v>
      </c>
      <c r="J329">
        <v>400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R329" t="str">
        <f t="shared" si="19"/>
        <v>0000000000000</v>
      </c>
      <c r="AT329" t="str">
        <f>T("9791166067884")</f>
        <v>9791166067884</v>
      </c>
      <c r="AV329" t="str">
        <f>T("BL 웹툰 &gt; 웹툰")</f>
        <v>BL 웹툰 &gt; 웹툰</v>
      </c>
    </row>
    <row r="330" spans="1:48" x14ac:dyDescent="0.4">
      <c r="A330">
        <v>4421000866</v>
      </c>
      <c r="B330">
        <v>4421000962</v>
      </c>
      <c r="C330" t="str">
        <f>T("최애에게 들켜버렸다 28화")</f>
        <v>최애에게 들켜버렸다 28화</v>
      </c>
      <c r="D330" t="str">
        <f>T("29")</f>
        <v>29</v>
      </c>
      <c r="E330" t="str">
        <f>T("Lv")</f>
        <v>Lv</v>
      </c>
      <c r="G330" t="str">
        <f>T("Lv")</f>
        <v>Lv</v>
      </c>
      <c r="H330" t="str">
        <f t="shared" si="18"/>
        <v>스토리위즈</v>
      </c>
      <c r="I330" t="str">
        <f>T("최애에게 들켜버렸다")</f>
        <v>최애에게 들켜버렸다</v>
      </c>
      <c r="J330">
        <v>400</v>
      </c>
      <c r="K330">
        <v>0</v>
      </c>
      <c r="L330">
        <v>0</v>
      </c>
      <c r="M330">
        <v>0</v>
      </c>
      <c r="N330">
        <v>200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200</v>
      </c>
      <c r="AH330">
        <v>1</v>
      </c>
      <c r="AI330">
        <v>0</v>
      </c>
      <c r="AJ330">
        <v>0</v>
      </c>
      <c r="AK330">
        <v>200</v>
      </c>
      <c r="AL330">
        <v>0</v>
      </c>
      <c r="AM330">
        <v>0</v>
      </c>
      <c r="AN330">
        <v>0</v>
      </c>
      <c r="AO330">
        <v>0</v>
      </c>
      <c r="AP330">
        <v>140</v>
      </c>
      <c r="AR330" t="str">
        <f t="shared" si="19"/>
        <v>0000000000000</v>
      </c>
      <c r="AT330" t="str">
        <f>T("9791137601253")</f>
        <v>9791137601253</v>
      </c>
      <c r="AV330" t="str">
        <f>T("웹툰 &gt; 해외 순정")</f>
        <v>웹툰 &gt; 해외 순정</v>
      </c>
    </row>
    <row r="331" spans="1:48" x14ac:dyDescent="0.4">
      <c r="A331">
        <v>4421000002</v>
      </c>
      <c r="B331">
        <v>4421000180</v>
      </c>
      <c r="C331" t="str">
        <f>T("이세계 소환은 두 번째라구요 25화")</f>
        <v>이세계 소환은 두 번째라구요 25화</v>
      </c>
      <c r="D331" t="str">
        <f>T("25")</f>
        <v>25</v>
      </c>
      <c r="E331" t="str">
        <f>T("Arashiyama, Kishimoto Kazuha, Shimahara")</f>
        <v>Arashiyama, Kishimoto Kazuha, Shimahara</v>
      </c>
      <c r="H331" t="str">
        <f t="shared" si="18"/>
        <v>스토리위즈</v>
      </c>
      <c r="I331" t="str">
        <f>T("이세계 소환은 두 번째라구요")</f>
        <v>이세계 소환은 두 번째라구요</v>
      </c>
      <c r="J331">
        <v>500</v>
      </c>
      <c r="K331">
        <v>0</v>
      </c>
      <c r="L331">
        <v>0</v>
      </c>
      <c r="M331">
        <v>0</v>
      </c>
      <c r="N331">
        <v>300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300</v>
      </c>
      <c r="AH331">
        <v>1</v>
      </c>
      <c r="AI331">
        <v>0</v>
      </c>
      <c r="AJ331">
        <v>0</v>
      </c>
      <c r="AK331">
        <v>300</v>
      </c>
      <c r="AL331">
        <v>0</v>
      </c>
      <c r="AM331">
        <v>0</v>
      </c>
      <c r="AN331">
        <v>0</v>
      </c>
      <c r="AO331">
        <v>0</v>
      </c>
      <c r="AP331">
        <v>210</v>
      </c>
      <c r="AT331" t="str">
        <f>T("9791166069390")</f>
        <v>9791166069390</v>
      </c>
      <c r="AV331" t="str">
        <f>T("웹툰 &gt; 판타지/SF")</f>
        <v>웹툰 &gt; 판타지/SF</v>
      </c>
    </row>
    <row r="332" spans="1:48" x14ac:dyDescent="0.4">
      <c r="A332">
        <v>4421000866</v>
      </c>
      <c r="B332">
        <v>4421000875</v>
      </c>
      <c r="C332" t="str">
        <f>T("최애에게 들켜버렸다 9화")</f>
        <v>최애에게 들켜버렸다 9화</v>
      </c>
      <c r="D332" t="str">
        <f>T("9")</f>
        <v>9</v>
      </c>
      <c r="E332" t="str">
        <f>T("Lv")</f>
        <v>Lv</v>
      </c>
      <c r="G332" t="str">
        <f>T("Lv")</f>
        <v>Lv</v>
      </c>
      <c r="H332" t="str">
        <f t="shared" si="18"/>
        <v>스토리위즈</v>
      </c>
      <c r="I332" t="str">
        <f>T("최애에게 들켜버렸다")</f>
        <v>최애에게 들켜버렸다</v>
      </c>
      <c r="J332">
        <v>400</v>
      </c>
      <c r="K332">
        <v>0</v>
      </c>
      <c r="L332">
        <v>0</v>
      </c>
      <c r="M332">
        <v>0</v>
      </c>
      <c r="N332">
        <v>400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400</v>
      </c>
      <c r="AH332">
        <v>2</v>
      </c>
      <c r="AI332">
        <v>0</v>
      </c>
      <c r="AJ332">
        <v>0</v>
      </c>
      <c r="AK332">
        <v>400</v>
      </c>
      <c r="AL332">
        <v>0</v>
      </c>
      <c r="AM332">
        <v>0</v>
      </c>
      <c r="AN332">
        <v>0</v>
      </c>
      <c r="AO332">
        <v>0</v>
      </c>
      <c r="AP332">
        <v>280</v>
      </c>
      <c r="AR332" t="str">
        <f>T("0000000000000")</f>
        <v>0000000000000</v>
      </c>
      <c r="AT332" t="str">
        <f>T("9791137601253")</f>
        <v>9791137601253</v>
      </c>
      <c r="AV332" t="str">
        <f>T("웹툰 &gt; 해외 순정")</f>
        <v>웹툰 &gt; 해외 순정</v>
      </c>
    </row>
    <row r="333" spans="1:48" x14ac:dyDescent="0.4">
      <c r="A333">
        <v>4421001377</v>
      </c>
      <c r="B333">
        <v>4421001392</v>
      </c>
      <c r="C333" t="str">
        <f>T("요괴님은 수련중 16화")</f>
        <v>요괴님은 수련중 16화</v>
      </c>
      <c r="D333" t="str">
        <f>T("16")</f>
        <v>16</v>
      </c>
      <c r="E333" t="str">
        <f>T("화방")</f>
        <v>화방</v>
      </c>
      <c r="G333" t="str">
        <f>T("망북")</f>
        <v>망북</v>
      </c>
      <c r="H333" t="str">
        <f t="shared" si="18"/>
        <v>스토리위즈</v>
      </c>
      <c r="I333" t="str">
        <f>T("요괴님은 수련중")</f>
        <v>요괴님은 수련중</v>
      </c>
      <c r="J333">
        <v>400</v>
      </c>
      <c r="K333">
        <v>0</v>
      </c>
      <c r="L333">
        <v>0</v>
      </c>
      <c r="M333">
        <v>0</v>
      </c>
      <c r="N333">
        <v>200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200</v>
      </c>
      <c r="AH333">
        <v>1</v>
      </c>
      <c r="AI333">
        <v>0</v>
      </c>
      <c r="AJ333">
        <v>0</v>
      </c>
      <c r="AK333">
        <v>200</v>
      </c>
      <c r="AL333">
        <v>0</v>
      </c>
      <c r="AM333">
        <v>0</v>
      </c>
      <c r="AN333">
        <v>0</v>
      </c>
      <c r="AO333">
        <v>0</v>
      </c>
      <c r="AP333">
        <v>140</v>
      </c>
      <c r="AR333" t="str">
        <f>T("0000000000000")</f>
        <v>0000000000000</v>
      </c>
      <c r="AT333" t="str">
        <f>T("9791137603899")</f>
        <v>9791137603899</v>
      </c>
      <c r="AV333" t="str">
        <f>T("웹툰 &gt; 해외 순정")</f>
        <v>웹툰 &gt; 해외 순정</v>
      </c>
    </row>
    <row r="334" spans="1:48" x14ac:dyDescent="0.4">
      <c r="A334">
        <v>4421000001</v>
      </c>
      <c r="B334">
        <v>4421000012</v>
      </c>
      <c r="C334" t="str">
        <f>T("감옥실험 2화")</f>
        <v>감옥실험 2화</v>
      </c>
      <c r="D334" t="str">
        <f>T("2")</f>
        <v>2</v>
      </c>
      <c r="E334" t="str">
        <f>T("Kantetsu")</f>
        <v>Kantetsu</v>
      </c>
      <c r="G334" t="str">
        <f>T("Minase Chiho")</f>
        <v>Minase Chiho</v>
      </c>
      <c r="H334" t="str">
        <f t="shared" si="18"/>
        <v>스토리위즈</v>
      </c>
      <c r="I334" t="str">
        <f>T("감옥실험")</f>
        <v>감옥실험</v>
      </c>
      <c r="J334">
        <v>500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6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T334" t="str">
        <f>T("9791166069406")</f>
        <v>9791166069406</v>
      </c>
      <c r="AV334" t="str">
        <f>T("웹툰 &gt; 드라마")</f>
        <v>웹툰 &gt; 드라마</v>
      </c>
    </row>
    <row r="335" spans="1:48" x14ac:dyDescent="0.4">
      <c r="A335">
        <v>4421000069</v>
      </c>
      <c r="B335">
        <v>4421000116</v>
      </c>
      <c r="C335" t="str">
        <f>T("너랑 나랑 하면 46화")</f>
        <v>너랑 나랑 하면 46화</v>
      </c>
      <c r="D335" t="str">
        <f>T("46")</f>
        <v>46</v>
      </c>
      <c r="E335" t="str">
        <f>T("NISANSUI")</f>
        <v>NISANSUI</v>
      </c>
      <c r="G335" t="str">
        <f>T("ZIQUAN")</f>
        <v>ZIQUAN</v>
      </c>
      <c r="H335" t="str">
        <f t="shared" si="18"/>
        <v>스토리위즈</v>
      </c>
      <c r="I335" t="str">
        <f>T("너랑 나랑 하면")</f>
        <v>너랑 나랑 하면</v>
      </c>
      <c r="J335">
        <v>400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R335" t="str">
        <f>T("0000000000000")</f>
        <v>0000000000000</v>
      </c>
      <c r="AT335" t="str">
        <f>T("9791166067884")</f>
        <v>9791166067884</v>
      </c>
      <c r="AV335" t="str">
        <f>T("BL 웹툰 &gt; 웹툰")</f>
        <v>BL 웹툰 &gt; 웹툰</v>
      </c>
    </row>
    <row r="336" spans="1:48" x14ac:dyDescent="0.4">
      <c r="A336">
        <v>4421000887</v>
      </c>
      <c r="B336">
        <v>4421001177</v>
      </c>
      <c r="C336" t="str">
        <f>T("폭군의 눈물 37화")</f>
        <v>폭군의 눈물 37화</v>
      </c>
      <c r="D336" t="str">
        <f>T("37")</f>
        <v>37</v>
      </c>
      <c r="E336" t="str">
        <f>T("Ice×FANFAN COMIC")</f>
        <v>Ice×FANFAN COMIC</v>
      </c>
      <c r="G336" t="str">
        <f>T("Ice×FANFAN COMIC")</f>
        <v>Ice×FANFAN COMIC</v>
      </c>
      <c r="H336" t="str">
        <f t="shared" si="18"/>
        <v>스토리위즈</v>
      </c>
      <c r="I336" t="str">
        <f>T("폭군의 눈물")</f>
        <v>폭군의 눈물</v>
      </c>
      <c r="J336">
        <v>400</v>
      </c>
      <c r="K336">
        <v>0</v>
      </c>
      <c r="L336">
        <v>0</v>
      </c>
      <c r="M336">
        <v>0</v>
      </c>
      <c r="N336">
        <v>600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600</v>
      </c>
      <c r="AH336">
        <v>3</v>
      </c>
      <c r="AI336">
        <v>0</v>
      </c>
      <c r="AJ336">
        <v>0</v>
      </c>
      <c r="AK336">
        <v>400</v>
      </c>
      <c r="AL336">
        <v>0</v>
      </c>
      <c r="AM336">
        <v>200</v>
      </c>
      <c r="AN336">
        <v>0</v>
      </c>
      <c r="AO336">
        <v>0</v>
      </c>
      <c r="AP336">
        <v>420</v>
      </c>
      <c r="AR336" t="str">
        <f>T("0000000000000")</f>
        <v>0000000000000</v>
      </c>
      <c r="AT336" t="str">
        <f>T("9791137601291")</f>
        <v>9791137601291</v>
      </c>
      <c r="AV336" t="str">
        <f>T("웹툰 &gt; 해외 순정")</f>
        <v>웹툰 &gt; 해외 순정</v>
      </c>
    </row>
    <row r="337" spans="1:48" x14ac:dyDescent="0.4">
      <c r="A337">
        <v>4421001340</v>
      </c>
      <c r="B337">
        <v>4421001344</v>
      </c>
      <c r="C337" t="str">
        <f>T("가출천사 육성계약 5화")</f>
        <v>가출천사 육성계약 5화</v>
      </c>
      <c r="D337" t="str">
        <f>T("5")</f>
        <v>5</v>
      </c>
      <c r="E337" t="str">
        <f>T("Bae.C, IIAKI, 박제후")</f>
        <v>Bae.C, IIAKI, 박제후</v>
      </c>
      <c r="G337" t="str">
        <f>T("Bae.C, 조우")</f>
        <v>Bae.C, 조우</v>
      </c>
      <c r="H337" t="str">
        <f t="shared" si="18"/>
        <v>스토리위즈</v>
      </c>
      <c r="I337" t="str">
        <f>T("가출천사 육성계약")</f>
        <v>가출천사 육성계약</v>
      </c>
      <c r="J337">
        <v>400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6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R337" t="str">
        <f>T("0000000000000")</f>
        <v>0000000000000</v>
      </c>
      <c r="AT337" t="str">
        <f>T("9791191765663")</f>
        <v>9791191765663</v>
      </c>
      <c r="AV337" t="str">
        <f>T("웹툰 &gt; 판타지/SF")</f>
        <v>웹툰 &gt; 판타지/SF</v>
      </c>
    </row>
    <row r="338" spans="1:48" x14ac:dyDescent="0.4">
      <c r="A338">
        <v>4421000001</v>
      </c>
      <c r="B338">
        <v>4421000051</v>
      </c>
      <c r="C338" t="str">
        <f>T("감옥실험 31화")</f>
        <v>감옥실험 31화</v>
      </c>
      <c r="D338" t="str">
        <f>T("31")</f>
        <v>31</v>
      </c>
      <c r="E338" t="str">
        <f>T("Kantetsu")</f>
        <v>Kantetsu</v>
      </c>
      <c r="G338" t="str">
        <f>T("Minase Chiho")</f>
        <v>Minase Chiho</v>
      </c>
      <c r="H338" t="str">
        <f t="shared" si="18"/>
        <v>스토리위즈</v>
      </c>
      <c r="I338" t="str">
        <f>T("감옥실험")</f>
        <v>감옥실험</v>
      </c>
      <c r="J338">
        <v>500</v>
      </c>
      <c r="K338">
        <v>0</v>
      </c>
      <c r="L338">
        <v>0</v>
      </c>
      <c r="M338">
        <v>0</v>
      </c>
      <c r="N338">
        <v>1200</v>
      </c>
      <c r="O338">
        <v>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1200</v>
      </c>
      <c r="AH338">
        <v>4</v>
      </c>
      <c r="AI338">
        <v>0</v>
      </c>
      <c r="AJ338">
        <v>0</v>
      </c>
      <c r="AK338">
        <v>1200</v>
      </c>
      <c r="AL338">
        <v>0</v>
      </c>
      <c r="AM338">
        <v>0</v>
      </c>
      <c r="AN338">
        <v>0</v>
      </c>
      <c r="AO338">
        <v>0</v>
      </c>
      <c r="AP338">
        <v>840</v>
      </c>
      <c r="AT338" t="str">
        <f>T("9791166069406")</f>
        <v>9791166069406</v>
      </c>
      <c r="AV338" t="str">
        <f>T("웹툰 &gt; 드라마")</f>
        <v>웹툰 &gt; 드라마</v>
      </c>
    </row>
    <row r="339" spans="1:48" x14ac:dyDescent="0.4">
      <c r="A339">
        <v>4421000002</v>
      </c>
      <c r="B339">
        <v>4421000256</v>
      </c>
      <c r="C339" t="str">
        <f>T("이세계 소환은 두 번째라구요 40화")</f>
        <v>이세계 소환은 두 번째라구요 40화</v>
      </c>
      <c r="D339" t="str">
        <f>T("40")</f>
        <v>40</v>
      </c>
      <c r="E339" t="str">
        <f>T("Arashiyama, Kishimoto Kazuha, Shimahara")</f>
        <v>Arashiyama, Kishimoto Kazuha, Shimahara</v>
      </c>
      <c r="H339" t="str">
        <f t="shared" si="18"/>
        <v>스토리위즈</v>
      </c>
      <c r="I339" t="str">
        <f>T("이세계 소환은 두 번째라구요")</f>
        <v>이세계 소환은 두 번째라구요</v>
      </c>
      <c r="J339">
        <v>500</v>
      </c>
      <c r="K339">
        <v>0</v>
      </c>
      <c r="L339">
        <v>0</v>
      </c>
      <c r="M339">
        <v>0</v>
      </c>
      <c r="N339">
        <v>300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300</v>
      </c>
      <c r="AH339">
        <v>1</v>
      </c>
      <c r="AI339">
        <v>0</v>
      </c>
      <c r="AJ339">
        <v>0</v>
      </c>
      <c r="AK339">
        <v>300</v>
      </c>
      <c r="AL339">
        <v>0</v>
      </c>
      <c r="AM339">
        <v>0</v>
      </c>
      <c r="AN339">
        <v>0</v>
      </c>
      <c r="AO339">
        <v>0</v>
      </c>
      <c r="AP339">
        <v>210</v>
      </c>
      <c r="AT339" t="str">
        <f>T("9791166069390")</f>
        <v>9791166069390</v>
      </c>
      <c r="AV339" t="str">
        <f>T("웹툰 &gt; 판타지/SF")</f>
        <v>웹툰 &gt; 판타지/SF</v>
      </c>
    </row>
    <row r="340" spans="1:48" x14ac:dyDescent="0.4">
      <c r="A340">
        <v>4421000069</v>
      </c>
      <c r="B340">
        <v>4421000109</v>
      </c>
      <c r="C340" t="str">
        <f>T("너랑 나랑 하면 39화")</f>
        <v>너랑 나랑 하면 39화</v>
      </c>
      <c r="D340" t="str">
        <f>T("39")</f>
        <v>39</v>
      </c>
      <c r="E340" t="str">
        <f>T("NISANSUI")</f>
        <v>NISANSUI</v>
      </c>
      <c r="G340" t="str">
        <f>T("ZIQUAN")</f>
        <v>ZIQUAN</v>
      </c>
      <c r="H340" t="str">
        <f t="shared" si="18"/>
        <v>스토리위즈</v>
      </c>
      <c r="I340" t="str">
        <f>T("너랑 나랑 하면")</f>
        <v>너랑 나랑 하면</v>
      </c>
      <c r="J340">
        <v>400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2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R340" t="str">
        <f>T("0000000000000")</f>
        <v>0000000000000</v>
      </c>
      <c r="AT340" t="str">
        <f>T("9791166067884")</f>
        <v>9791166067884</v>
      </c>
      <c r="AV340" t="str">
        <f>T("BL 웹툰 &gt; 웹툰")</f>
        <v>BL 웹툰 &gt; 웹툰</v>
      </c>
    </row>
    <row r="341" spans="1:48" x14ac:dyDescent="0.4">
      <c r="A341">
        <v>4421001325</v>
      </c>
      <c r="B341">
        <v>4421001327</v>
      </c>
      <c r="C341" t="str">
        <f>T("커피여우 김삼월 3화")</f>
        <v>커피여우 김삼월 3화</v>
      </c>
      <c r="D341" t="str">
        <f>T("3")</f>
        <v>3</v>
      </c>
      <c r="E341" t="str">
        <f>T("Nica")</f>
        <v>Nica</v>
      </c>
      <c r="G341" t="str">
        <f>T("A.Noa, RK Studio")</f>
        <v>A.Noa, RK Studio</v>
      </c>
      <c r="H341" t="str">
        <f t="shared" si="18"/>
        <v>스토리위즈</v>
      </c>
      <c r="I341" t="str">
        <f>T("커피여우 김삼월")</f>
        <v>커피여우 김삼월</v>
      </c>
      <c r="J341">
        <v>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3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R341" t="str">
        <f>T("0000000000000")</f>
        <v>0000000000000</v>
      </c>
      <c r="AT341" t="str">
        <f>T("9791191241792")</f>
        <v>9791191241792</v>
      </c>
      <c r="AV341" t="str">
        <f>T("웹툰 &gt; 국내 순정")</f>
        <v>웹툰 &gt; 국내 순정</v>
      </c>
    </row>
    <row r="342" spans="1:48" x14ac:dyDescent="0.4">
      <c r="A342">
        <v>4421000001</v>
      </c>
      <c r="B342">
        <v>4421000044</v>
      </c>
      <c r="C342" t="str">
        <f>T("감옥실험 24화")</f>
        <v>감옥실험 24화</v>
      </c>
      <c r="D342" t="str">
        <f>T("24")</f>
        <v>24</v>
      </c>
      <c r="E342" t="str">
        <f>T("Kantetsu")</f>
        <v>Kantetsu</v>
      </c>
      <c r="G342" t="str">
        <f>T("Minase Chiho")</f>
        <v>Minase Chiho</v>
      </c>
      <c r="H342" t="str">
        <f t="shared" si="18"/>
        <v>스토리위즈</v>
      </c>
      <c r="I342" t="str">
        <f>T("감옥실험")</f>
        <v>감옥실험</v>
      </c>
      <c r="J342">
        <v>500</v>
      </c>
      <c r="K342">
        <v>0</v>
      </c>
      <c r="L342">
        <v>0</v>
      </c>
      <c r="M342">
        <v>0</v>
      </c>
      <c r="N342">
        <v>1500</v>
      </c>
      <c r="O342">
        <v>5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1500</v>
      </c>
      <c r="AH342">
        <v>5</v>
      </c>
      <c r="AI342">
        <v>0</v>
      </c>
      <c r="AJ342">
        <v>0</v>
      </c>
      <c r="AK342">
        <v>1500</v>
      </c>
      <c r="AL342">
        <v>0</v>
      </c>
      <c r="AM342">
        <v>0</v>
      </c>
      <c r="AN342">
        <v>0</v>
      </c>
      <c r="AO342">
        <v>0</v>
      </c>
      <c r="AP342">
        <v>1050</v>
      </c>
      <c r="AT342" t="str">
        <f>T("9791166069406")</f>
        <v>9791166069406</v>
      </c>
      <c r="AV342" t="str">
        <f>T("웹툰 &gt; 드라마")</f>
        <v>웹툰 &gt; 드라마</v>
      </c>
    </row>
    <row r="343" spans="1:48" x14ac:dyDescent="0.4">
      <c r="A343">
        <v>4421000002</v>
      </c>
      <c r="B343">
        <v>4421000249</v>
      </c>
      <c r="C343" t="str">
        <f>T("이세계 소환은 두 번째라구요 33화")</f>
        <v>이세계 소환은 두 번째라구요 33화</v>
      </c>
      <c r="D343" t="str">
        <f>T("33")</f>
        <v>33</v>
      </c>
      <c r="E343" t="str">
        <f>T("Arashiyama, Kishimoto Kazuha, Shimahara")</f>
        <v>Arashiyama, Kishimoto Kazuha, Shimahara</v>
      </c>
      <c r="H343" t="str">
        <f t="shared" si="18"/>
        <v>스토리위즈</v>
      </c>
      <c r="I343" t="str">
        <f>T("이세계 소환은 두 번째라구요")</f>
        <v>이세계 소환은 두 번째라구요</v>
      </c>
      <c r="J343">
        <v>500</v>
      </c>
      <c r="K343">
        <v>0</v>
      </c>
      <c r="L343">
        <v>0</v>
      </c>
      <c r="M343">
        <v>0</v>
      </c>
      <c r="N343">
        <v>300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300</v>
      </c>
      <c r="AH343">
        <v>1</v>
      </c>
      <c r="AI343">
        <v>0</v>
      </c>
      <c r="AJ343">
        <v>0</v>
      </c>
      <c r="AK343">
        <v>300</v>
      </c>
      <c r="AL343">
        <v>0</v>
      </c>
      <c r="AM343">
        <v>0</v>
      </c>
      <c r="AN343">
        <v>0</v>
      </c>
      <c r="AO343">
        <v>0</v>
      </c>
      <c r="AP343">
        <v>210</v>
      </c>
      <c r="AT343" t="str">
        <f>T("9791166069390")</f>
        <v>9791166069390</v>
      </c>
      <c r="AV343" t="str">
        <f>T("웹툰 &gt; 판타지/SF")</f>
        <v>웹툰 &gt; 판타지/SF</v>
      </c>
    </row>
    <row r="344" spans="1:48" x14ac:dyDescent="0.4">
      <c r="A344">
        <v>4421000570</v>
      </c>
      <c r="B344">
        <v>4421000570</v>
      </c>
      <c r="C344" t="str">
        <f>T("폐하, 옥체 보존하세요! 1화")</f>
        <v>폐하, 옥체 보존하세요! 1화</v>
      </c>
      <c r="D344" t="str">
        <f>T("1")</f>
        <v>1</v>
      </c>
      <c r="E344" t="str">
        <f>T("Lvyeqianhe")</f>
        <v>Lvyeqianhe</v>
      </c>
      <c r="G344" t="str">
        <f>T("Youzhijiaozi")</f>
        <v>Youzhijiaozi</v>
      </c>
      <c r="H344" t="str">
        <f t="shared" si="18"/>
        <v>스토리위즈</v>
      </c>
      <c r="I344" t="str">
        <f>T("폐하, 옥체 보존하세요!")</f>
        <v>폐하, 옥체 보존하세요!</v>
      </c>
      <c r="J344">
        <v>200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R344" t="str">
        <f>T("0000000000000")</f>
        <v>0000000000000</v>
      </c>
      <c r="AT344" t="str">
        <f>T("9791166068003")</f>
        <v>9791166068003</v>
      </c>
      <c r="AV344" t="str">
        <f>T("웹툰 &gt; 해외 순정")</f>
        <v>웹툰 &gt; 해외 순정</v>
      </c>
    </row>
    <row r="345" spans="1:48" x14ac:dyDescent="0.4">
      <c r="A345">
        <v>4421000069</v>
      </c>
      <c r="B345">
        <v>4421000076</v>
      </c>
      <c r="C345" t="str">
        <f>T("너랑 나랑 하면 7화")</f>
        <v>너랑 나랑 하면 7화</v>
      </c>
      <c r="D345" t="str">
        <f>T("7")</f>
        <v>7</v>
      </c>
      <c r="E345" t="str">
        <f>T("NISANSUI")</f>
        <v>NISANSUI</v>
      </c>
      <c r="G345" t="str">
        <f>T("ZIQUAN")</f>
        <v>ZIQUAN</v>
      </c>
      <c r="H345" t="str">
        <f t="shared" si="18"/>
        <v>스토리위즈</v>
      </c>
      <c r="I345" t="str">
        <f>T("너랑 나랑 하면")</f>
        <v>너랑 나랑 하면</v>
      </c>
      <c r="J345">
        <v>400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R345" t="str">
        <f>T("0000000000000")</f>
        <v>0000000000000</v>
      </c>
      <c r="AT345" t="str">
        <f>T("9791166067884")</f>
        <v>9791166067884</v>
      </c>
      <c r="AV345" t="str">
        <f>T("BL 웹툰 &gt; 웹툰")</f>
        <v>BL 웹툰 &gt; 웹툰</v>
      </c>
    </row>
    <row r="346" spans="1:48" x14ac:dyDescent="0.4">
      <c r="A346">
        <v>4421000001</v>
      </c>
      <c r="B346">
        <v>4421000173</v>
      </c>
      <c r="C346" t="str">
        <f>T("감옥실험 52화")</f>
        <v>감옥실험 52화</v>
      </c>
      <c r="D346" t="str">
        <f>T("52")</f>
        <v>52</v>
      </c>
      <c r="E346" t="str">
        <f>T("Kantetsu")</f>
        <v>Kantetsu</v>
      </c>
      <c r="G346" t="str">
        <f>T("Minase Chiho")</f>
        <v>Minase Chiho</v>
      </c>
      <c r="H346" t="str">
        <f t="shared" si="18"/>
        <v>스토리위즈</v>
      </c>
      <c r="I346" t="str">
        <f>T("감옥실험")</f>
        <v>감옥실험</v>
      </c>
      <c r="J346">
        <v>500</v>
      </c>
      <c r="K346">
        <v>0</v>
      </c>
      <c r="L346">
        <v>0</v>
      </c>
      <c r="M346">
        <v>0</v>
      </c>
      <c r="N346">
        <v>1200</v>
      </c>
      <c r="O346">
        <v>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1200</v>
      </c>
      <c r="AH346">
        <v>4</v>
      </c>
      <c r="AI346">
        <v>0</v>
      </c>
      <c r="AJ346">
        <v>0</v>
      </c>
      <c r="AK346">
        <v>1200</v>
      </c>
      <c r="AL346">
        <v>0</v>
      </c>
      <c r="AM346">
        <v>0</v>
      </c>
      <c r="AN346">
        <v>0</v>
      </c>
      <c r="AO346">
        <v>0</v>
      </c>
      <c r="AP346">
        <v>840</v>
      </c>
      <c r="AT346" t="str">
        <f>T("9791166069406")</f>
        <v>9791166069406</v>
      </c>
      <c r="AV346" t="str">
        <f>T("웹툰 &gt; 드라마")</f>
        <v>웹툰 &gt; 드라마</v>
      </c>
    </row>
    <row r="347" spans="1:48" x14ac:dyDescent="0.4">
      <c r="A347">
        <v>4421000866</v>
      </c>
      <c r="B347">
        <v>4421000868</v>
      </c>
      <c r="C347" t="str">
        <f>T("최애에게 들켜버렸다 2화")</f>
        <v>최애에게 들켜버렸다 2화</v>
      </c>
      <c r="D347" t="str">
        <f>T("2")</f>
        <v>2</v>
      </c>
      <c r="E347" t="str">
        <f>T("Lv")</f>
        <v>Lv</v>
      </c>
      <c r="G347" t="str">
        <f>T("Lv")</f>
        <v>Lv</v>
      </c>
      <c r="H347" t="str">
        <f t="shared" si="18"/>
        <v>스토리위즈</v>
      </c>
      <c r="I347" t="str">
        <f>T("최애에게 들켜버렸다")</f>
        <v>최애에게 들켜버렸다</v>
      </c>
      <c r="J347">
        <v>400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2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R347" t="str">
        <f>T("0000000000000")</f>
        <v>0000000000000</v>
      </c>
      <c r="AT347" t="str">
        <f>T("9791137601253")</f>
        <v>9791137601253</v>
      </c>
      <c r="AV347" t="str">
        <f>T("웹툰 &gt; 해외 순정")</f>
        <v>웹툰 &gt; 해외 순정</v>
      </c>
    </row>
    <row r="348" spans="1:48" x14ac:dyDescent="0.4">
      <c r="A348">
        <v>4421000069</v>
      </c>
      <c r="B348">
        <v>4421000069</v>
      </c>
      <c r="C348" t="str">
        <f>T("너랑 나랑 하면 프롤로그")</f>
        <v>너랑 나랑 하면 프롤로그</v>
      </c>
      <c r="E348" t="str">
        <f>T("NISANSUI")</f>
        <v>NISANSUI</v>
      </c>
      <c r="G348" t="str">
        <f>T("ZIQUAN")</f>
        <v>ZIQUAN</v>
      </c>
      <c r="H348" t="str">
        <f t="shared" si="18"/>
        <v>스토리위즈</v>
      </c>
      <c r="I348" t="str">
        <f>T("너랑 나랑 하면")</f>
        <v>너랑 나랑 하면</v>
      </c>
      <c r="J348">
        <v>400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3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R348" t="str">
        <f>T("0000000000000")</f>
        <v>0000000000000</v>
      </c>
      <c r="AT348" t="str">
        <f>T("9791166067884")</f>
        <v>9791166067884</v>
      </c>
      <c r="AV348" t="str">
        <f>T("BL 웹툰 &gt; 웹툰")</f>
        <v>BL 웹툰 &gt; 웹툰</v>
      </c>
    </row>
    <row r="349" spans="1:48" x14ac:dyDescent="0.4">
      <c r="A349">
        <v>4421000518</v>
      </c>
      <c r="B349">
        <v>4421000520</v>
      </c>
      <c r="C349" t="str">
        <f>T("백스테이지 키스신 2화")</f>
        <v>백스테이지 키스신 2화</v>
      </c>
      <c r="D349" t="str">
        <f>T("2")</f>
        <v>2</v>
      </c>
      <c r="E349" t="str">
        <f>T("최도비")</f>
        <v>최도비</v>
      </c>
      <c r="G349" t="str">
        <f>T("수정과")</f>
        <v>수정과</v>
      </c>
      <c r="H349" t="str">
        <f t="shared" si="18"/>
        <v>스토리위즈</v>
      </c>
      <c r="I349" t="str">
        <f>T("백스테이지 키스신")</f>
        <v>백스테이지 키스신</v>
      </c>
      <c r="J349">
        <v>400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R349" t="str">
        <f>T("0000000000000")</f>
        <v>0000000000000</v>
      </c>
      <c r="AT349" t="str">
        <f>T("9791166067990")</f>
        <v>9791166067990</v>
      </c>
      <c r="AV349" t="str">
        <f>T("웹툰 &gt; 국내 순정")</f>
        <v>웹툰 &gt; 국내 순정</v>
      </c>
    </row>
    <row r="350" spans="1:48" x14ac:dyDescent="0.4">
      <c r="A350">
        <v>4421000069</v>
      </c>
      <c r="B350">
        <v>4421000102</v>
      </c>
      <c r="C350" t="str">
        <f>T("너랑 나랑 하면 32화")</f>
        <v>너랑 나랑 하면 32화</v>
      </c>
      <c r="D350" t="str">
        <f>T("32")</f>
        <v>32</v>
      </c>
      <c r="E350" t="str">
        <f>T("NISANSUI")</f>
        <v>NISANSUI</v>
      </c>
      <c r="G350" t="str">
        <f>T("ZIQUAN")</f>
        <v>ZIQUAN</v>
      </c>
      <c r="H350" t="str">
        <f t="shared" si="18"/>
        <v>스토리위즈</v>
      </c>
      <c r="I350" t="str">
        <f>T("너랑 나랑 하면")</f>
        <v>너랑 나랑 하면</v>
      </c>
      <c r="J350">
        <v>400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R350" t="str">
        <f>T("0000000000000")</f>
        <v>0000000000000</v>
      </c>
      <c r="AT350" t="str">
        <f>T("9791166067884")</f>
        <v>9791166067884</v>
      </c>
      <c r="AV350" t="str">
        <f>T("BL 웹툰 &gt; 웹툰")</f>
        <v>BL 웹툰 &gt; 웹툰</v>
      </c>
    </row>
    <row r="351" spans="1:48" x14ac:dyDescent="0.4">
      <c r="A351">
        <v>4421000866</v>
      </c>
      <c r="B351">
        <v>4421000994</v>
      </c>
      <c r="C351" t="str">
        <f>T("최애에게 들켜버렸다 36화")</f>
        <v>최애에게 들켜버렸다 36화</v>
      </c>
      <c r="D351" t="str">
        <f>T("37")</f>
        <v>37</v>
      </c>
      <c r="E351" t="str">
        <f>T("Lv")</f>
        <v>Lv</v>
      </c>
      <c r="G351" t="str">
        <f>T("Lv")</f>
        <v>Lv</v>
      </c>
      <c r="H351" t="str">
        <f t="shared" si="18"/>
        <v>스토리위즈</v>
      </c>
      <c r="I351" t="str">
        <f>T("최애에게 들켜버렸다")</f>
        <v>최애에게 들켜버렸다</v>
      </c>
      <c r="J351">
        <v>400</v>
      </c>
      <c r="K351">
        <v>0</v>
      </c>
      <c r="L351">
        <v>0</v>
      </c>
      <c r="M351">
        <v>0</v>
      </c>
      <c r="N351">
        <v>200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200</v>
      </c>
      <c r="AH351">
        <v>1</v>
      </c>
      <c r="AI351">
        <v>0</v>
      </c>
      <c r="AJ351">
        <v>0</v>
      </c>
      <c r="AK351">
        <v>200</v>
      </c>
      <c r="AL351">
        <v>0</v>
      </c>
      <c r="AM351">
        <v>0</v>
      </c>
      <c r="AN351">
        <v>0</v>
      </c>
      <c r="AO351">
        <v>0</v>
      </c>
      <c r="AP351">
        <v>140</v>
      </c>
      <c r="AR351" t="str">
        <f>T("0000000000000")</f>
        <v>0000000000000</v>
      </c>
      <c r="AT351" t="str">
        <f>T("9791137601253")</f>
        <v>9791137601253</v>
      </c>
      <c r="AV351" t="str">
        <f>T("웹툰 &gt; 해외 순정")</f>
        <v>웹툰 &gt; 해외 순정</v>
      </c>
    </row>
    <row r="352" spans="1:48" x14ac:dyDescent="0.4">
      <c r="A352">
        <v>4421000001</v>
      </c>
      <c r="B352">
        <v>4421000030</v>
      </c>
      <c r="C352" t="str">
        <f>T("감옥실험 20화")</f>
        <v>감옥실험 20화</v>
      </c>
      <c r="D352" t="str">
        <f>T("20")</f>
        <v>20</v>
      </c>
      <c r="E352" t="str">
        <f>T("Kantetsu")</f>
        <v>Kantetsu</v>
      </c>
      <c r="G352" t="str">
        <f>T("Minase Chiho")</f>
        <v>Minase Chiho</v>
      </c>
      <c r="H352" t="str">
        <f t="shared" si="18"/>
        <v>스토리위즈</v>
      </c>
      <c r="I352" t="str">
        <f>T("감옥실험")</f>
        <v>감옥실험</v>
      </c>
      <c r="J352">
        <v>500</v>
      </c>
      <c r="K352">
        <v>0</v>
      </c>
      <c r="L352">
        <v>0</v>
      </c>
      <c r="M352">
        <v>0</v>
      </c>
      <c r="N352">
        <v>1800</v>
      </c>
      <c r="O352">
        <v>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1800</v>
      </c>
      <c r="AH352">
        <v>6</v>
      </c>
      <c r="AI352">
        <v>0</v>
      </c>
      <c r="AJ352">
        <v>0</v>
      </c>
      <c r="AK352">
        <v>1800</v>
      </c>
      <c r="AL352">
        <v>0</v>
      </c>
      <c r="AM352">
        <v>0</v>
      </c>
      <c r="AN352">
        <v>0</v>
      </c>
      <c r="AO352">
        <v>0</v>
      </c>
      <c r="AP352">
        <v>1260</v>
      </c>
      <c r="AT352" t="str">
        <f>T("9791166069406")</f>
        <v>9791166069406</v>
      </c>
      <c r="AV352" t="str">
        <f>T("웹툰 &gt; 드라마")</f>
        <v>웹툰 &gt; 드라마</v>
      </c>
    </row>
    <row r="353" spans="1:48" x14ac:dyDescent="0.4">
      <c r="A353">
        <v>4421000887</v>
      </c>
      <c r="B353">
        <v>4421001209</v>
      </c>
      <c r="C353" t="str">
        <f>T("폭군의 눈물 40화")</f>
        <v>폭군의 눈물 40화</v>
      </c>
      <c r="D353" t="str">
        <f>T("40")</f>
        <v>40</v>
      </c>
      <c r="E353" t="str">
        <f>T("Ice×FANFAN COMIC")</f>
        <v>Ice×FANFAN COMIC</v>
      </c>
      <c r="G353" t="str">
        <f>T("Ice×FANFAN COMIC")</f>
        <v>Ice×FANFAN COMIC</v>
      </c>
      <c r="H353" t="str">
        <f t="shared" si="18"/>
        <v>스토리위즈</v>
      </c>
      <c r="I353" t="str">
        <f>T("폭군의 눈물")</f>
        <v>폭군의 눈물</v>
      </c>
      <c r="J353">
        <v>400</v>
      </c>
      <c r="K353">
        <v>0</v>
      </c>
      <c r="L353">
        <v>0</v>
      </c>
      <c r="M353">
        <v>0</v>
      </c>
      <c r="N353">
        <v>600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600</v>
      </c>
      <c r="AH353">
        <v>3</v>
      </c>
      <c r="AI353">
        <v>0</v>
      </c>
      <c r="AJ353">
        <v>0</v>
      </c>
      <c r="AK353">
        <v>400</v>
      </c>
      <c r="AL353">
        <v>0</v>
      </c>
      <c r="AM353">
        <v>200</v>
      </c>
      <c r="AN353">
        <v>0</v>
      </c>
      <c r="AO353">
        <v>0</v>
      </c>
      <c r="AP353">
        <v>420</v>
      </c>
      <c r="AR353" t="str">
        <f t="shared" ref="AR353:AR358" si="20">T("0000000000000")</f>
        <v>0000000000000</v>
      </c>
      <c r="AT353" t="str">
        <f>T("9791137601291")</f>
        <v>9791137601291</v>
      </c>
      <c r="AV353" t="str">
        <f>T("웹툰 &gt; 해외 순정")</f>
        <v>웹툰 &gt; 해외 순정</v>
      </c>
    </row>
    <row r="354" spans="1:48" x14ac:dyDescent="0.4">
      <c r="A354">
        <v>4421001377</v>
      </c>
      <c r="B354">
        <v>4421001386</v>
      </c>
      <c r="C354" t="str">
        <f>T("요괴님은 수련중 10화")</f>
        <v>요괴님은 수련중 10화</v>
      </c>
      <c r="D354" t="str">
        <f>T("10")</f>
        <v>10</v>
      </c>
      <c r="E354" t="str">
        <f>T("화방")</f>
        <v>화방</v>
      </c>
      <c r="G354" t="str">
        <f>T("망북")</f>
        <v>망북</v>
      </c>
      <c r="H354" t="str">
        <f t="shared" si="18"/>
        <v>스토리위즈</v>
      </c>
      <c r="I354" t="str">
        <f>T("요괴님은 수련중")</f>
        <v>요괴님은 수련중</v>
      </c>
      <c r="J354">
        <v>400</v>
      </c>
      <c r="K354">
        <v>0</v>
      </c>
      <c r="L354">
        <v>0</v>
      </c>
      <c r="M354">
        <v>0</v>
      </c>
      <c r="N354">
        <v>200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200</v>
      </c>
      <c r="AH354">
        <v>1</v>
      </c>
      <c r="AI354">
        <v>0</v>
      </c>
      <c r="AJ354">
        <v>0</v>
      </c>
      <c r="AK354">
        <v>200</v>
      </c>
      <c r="AL354">
        <v>0</v>
      </c>
      <c r="AM354">
        <v>0</v>
      </c>
      <c r="AN354">
        <v>0</v>
      </c>
      <c r="AO354">
        <v>0</v>
      </c>
      <c r="AP354">
        <v>140</v>
      </c>
      <c r="AR354" t="str">
        <f t="shared" si="20"/>
        <v>0000000000000</v>
      </c>
      <c r="AT354" t="str">
        <f>T("9791137603899")</f>
        <v>9791137603899</v>
      </c>
      <c r="AV354" t="str">
        <f>T("웹툰 &gt; 해외 순정")</f>
        <v>웹툰 &gt; 해외 순정</v>
      </c>
    </row>
    <row r="355" spans="1:48" x14ac:dyDescent="0.4">
      <c r="A355">
        <v>4421000069</v>
      </c>
      <c r="B355">
        <v>4421000094</v>
      </c>
      <c r="C355" t="str">
        <f>T("너랑 나랑 하면 25화")</f>
        <v>너랑 나랑 하면 25화</v>
      </c>
      <c r="D355" t="str">
        <f>T("25")</f>
        <v>25</v>
      </c>
      <c r="E355" t="str">
        <f>T("NISANSUI")</f>
        <v>NISANSUI</v>
      </c>
      <c r="G355" t="str">
        <f>T("ZIQUAN")</f>
        <v>ZIQUAN</v>
      </c>
      <c r="H355" t="str">
        <f t="shared" si="18"/>
        <v>스토리위즈</v>
      </c>
      <c r="I355" t="str">
        <f>T("너랑 나랑 하면")</f>
        <v>너랑 나랑 하면</v>
      </c>
      <c r="J355">
        <v>400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R355" t="str">
        <f t="shared" si="20"/>
        <v>0000000000000</v>
      </c>
      <c r="AT355" t="str">
        <f>T("9791166067884")</f>
        <v>9791166067884</v>
      </c>
      <c r="AV355" t="str">
        <f>T("BL 웹툰 &gt; 웹툰")</f>
        <v>BL 웹툰 &gt; 웹툰</v>
      </c>
    </row>
    <row r="356" spans="1:48" x14ac:dyDescent="0.4">
      <c r="A356">
        <v>4421000866</v>
      </c>
      <c r="B356">
        <v>4421000886</v>
      </c>
      <c r="C356" t="str">
        <f>T("최애에게 들켜버렸다 20화")</f>
        <v>최애에게 들켜버렸다 20화</v>
      </c>
      <c r="D356" t="str">
        <f>T("20")</f>
        <v>20</v>
      </c>
      <c r="E356" t="str">
        <f>T("Lv")</f>
        <v>Lv</v>
      </c>
      <c r="G356" t="str">
        <f>T("Lv")</f>
        <v>Lv</v>
      </c>
      <c r="H356" t="str">
        <f t="shared" si="18"/>
        <v>스토리위즈</v>
      </c>
      <c r="I356" t="str">
        <f>T("최애에게 들켜버렸다")</f>
        <v>최애에게 들켜버렸다</v>
      </c>
      <c r="J356">
        <v>400</v>
      </c>
      <c r="K356">
        <v>0</v>
      </c>
      <c r="L356">
        <v>0</v>
      </c>
      <c r="M356">
        <v>0</v>
      </c>
      <c r="N356">
        <v>400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400</v>
      </c>
      <c r="AH356">
        <v>2</v>
      </c>
      <c r="AI356">
        <v>0</v>
      </c>
      <c r="AJ356">
        <v>0</v>
      </c>
      <c r="AK356">
        <v>400</v>
      </c>
      <c r="AL356">
        <v>0</v>
      </c>
      <c r="AM356">
        <v>0</v>
      </c>
      <c r="AN356">
        <v>0</v>
      </c>
      <c r="AO356">
        <v>0</v>
      </c>
      <c r="AP356">
        <v>280</v>
      </c>
      <c r="AR356" t="str">
        <f t="shared" si="20"/>
        <v>0000000000000</v>
      </c>
      <c r="AT356" t="str">
        <f>T("9791137601253")</f>
        <v>9791137601253</v>
      </c>
      <c r="AV356" t="str">
        <f>T("웹툰 &gt; 해외 순정")</f>
        <v>웹툰 &gt; 해외 순정</v>
      </c>
    </row>
    <row r="357" spans="1:48" x14ac:dyDescent="0.4">
      <c r="A357">
        <v>4421001377</v>
      </c>
      <c r="B357">
        <v>4421001464</v>
      </c>
      <c r="C357" t="str">
        <f>T("요괴님은 수련중 21화")</f>
        <v>요괴님은 수련중 21화</v>
      </c>
      <c r="D357" t="str">
        <f>T("21")</f>
        <v>21</v>
      </c>
      <c r="E357" t="str">
        <f>T("화방")</f>
        <v>화방</v>
      </c>
      <c r="G357" t="str">
        <f>T("망북")</f>
        <v>망북</v>
      </c>
      <c r="H357" t="str">
        <f t="shared" si="18"/>
        <v>스토리위즈</v>
      </c>
      <c r="I357" t="str">
        <f>T("요괴님은 수련중")</f>
        <v>요괴님은 수련중</v>
      </c>
      <c r="J357">
        <v>400</v>
      </c>
      <c r="K357">
        <v>0</v>
      </c>
      <c r="L357">
        <v>0</v>
      </c>
      <c r="M357">
        <v>0</v>
      </c>
      <c r="N357">
        <v>200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200</v>
      </c>
      <c r="AH357">
        <v>1</v>
      </c>
      <c r="AI357">
        <v>0</v>
      </c>
      <c r="AJ357">
        <v>0</v>
      </c>
      <c r="AK357">
        <v>200</v>
      </c>
      <c r="AL357">
        <v>0</v>
      </c>
      <c r="AM357">
        <v>0</v>
      </c>
      <c r="AN357">
        <v>0</v>
      </c>
      <c r="AO357">
        <v>0</v>
      </c>
      <c r="AP357">
        <v>140</v>
      </c>
      <c r="AR357" t="str">
        <f t="shared" si="20"/>
        <v>0000000000000</v>
      </c>
      <c r="AT357" t="str">
        <f>T("9791137603899")</f>
        <v>9791137603899</v>
      </c>
      <c r="AV357" t="str">
        <f>T("웹툰 &gt; 해외 순정")</f>
        <v>웹툰 &gt; 해외 순정</v>
      </c>
    </row>
    <row r="358" spans="1:48" x14ac:dyDescent="0.4">
      <c r="A358">
        <v>4421000866</v>
      </c>
      <c r="B358">
        <v>4421001269</v>
      </c>
      <c r="C358" t="str">
        <f>T("최애에게 들켜버렸다 62화")</f>
        <v>최애에게 들켜버렸다 62화</v>
      </c>
      <c r="D358" t="str">
        <f>T("65")</f>
        <v>65</v>
      </c>
      <c r="E358" t="str">
        <f>T("Lv")</f>
        <v>Lv</v>
      </c>
      <c r="G358" t="str">
        <f>T("Lv")</f>
        <v>Lv</v>
      </c>
      <c r="H358" t="str">
        <f t="shared" si="18"/>
        <v>스토리위즈</v>
      </c>
      <c r="I358" t="str">
        <f>T("최애에게 들켜버렸다")</f>
        <v>최애에게 들켜버렸다</v>
      </c>
      <c r="J358">
        <v>400</v>
      </c>
      <c r="K358">
        <v>0</v>
      </c>
      <c r="L358">
        <v>0</v>
      </c>
      <c r="M358">
        <v>0</v>
      </c>
      <c r="N358">
        <v>200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200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200</v>
      </c>
      <c r="AN358">
        <v>0</v>
      </c>
      <c r="AO358">
        <v>0</v>
      </c>
      <c r="AP358">
        <v>140</v>
      </c>
      <c r="AR358" t="str">
        <f t="shared" si="20"/>
        <v>0000000000000</v>
      </c>
      <c r="AT358" t="str">
        <f>T("9791137601253")</f>
        <v>9791137601253</v>
      </c>
      <c r="AV358" t="str">
        <f>T("웹툰 &gt; 해외 순정")</f>
        <v>웹툰 &gt; 해외 순정</v>
      </c>
    </row>
    <row r="359" spans="1:48" x14ac:dyDescent="0.4">
      <c r="A359">
        <v>4421000001</v>
      </c>
      <c r="B359">
        <v>4421000023</v>
      </c>
      <c r="C359" t="str">
        <f>T("감옥실험 13화")</f>
        <v>감옥실험 13화</v>
      </c>
      <c r="D359" t="str">
        <f>T("13")</f>
        <v>13</v>
      </c>
      <c r="E359" t="str">
        <f>T("Kantetsu")</f>
        <v>Kantetsu</v>
      </c>
      <c r="G359" t="str">
        <f>T("Minase Chiho")</f>
        <v>Minase Chiho</v>
      </c>
      <c r="H359" t="str">
        <f t="shared" si="18"/>
        <v>스토리위즈</v>
      </c>
      <c r="I359" t="str">
        <f>T("감옥실험")</f>
        <v>감옥실험</v>
      </c>
      <c r="J359">
        <v>500</v>
      </c>
      <c r="K359">
        <v>0</v>
      </c>
      <c r="L359">
        <v>0</v>
      </c>
      <c r="M359">
        <v>0</v>
      </c>
      <c r="N359">
        <v>2100</v>
      </c>
      <c r="O359">
        <v>7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2100</v>
      </c>
      <c r="AH359">
        <v>7</v>
      </c>
      <c r="AI359">
        <v>0</v>
      </c>
      <c r="AJ359">
        <v>0</v>
      </c>
      <c r="AK359">
        <v>2100</v>
      </c>
      <c r="AL359">
        <v>0</v>
      </c>
      <c r="AM359">
        <v>0</v>
      </c>
      <c r="AN359">
        <v>0</v>
      </c>
      <c r="AO359">
        <v>0</v>
      </c>
      <c r="AP359">
        <v>1470</v>
      </c>
      <c r="AT359" t="str">
        <f>T("9791166069406")</f>
        <v>9791166069406</v>
      </c>
      <c r="AV359" t="str">
        <f>T("웹툰 &gt; 드라마")</f>
        <v>웹툰 &gt; 드라마</v>
      </c>
    </row>
    <row r="360" spans="1:48" x14ac:dyDescent="0.4">
      <c r="A360">
        <v>4421000069</v>
      </c>
      <c r="B360">
        <v>4421000152</v>
      </c>
      <c r="C360" t="str">
        <f>T("너랑 나랑 하면 82화")</f>
        <v>너랑 나랑 하면 82화</v>
      </c>
      <c r="D360" t="str">
        <f>T("82")</f>
        <v>82</v>
      </c>
      <c r="E360" t="str">
        <f>T("NISANSUI")</f>
        <v>NISANSUI</v>
      </c>
      <c r="G360" t="str">
        <f>T("ZIQUAN")</f>
        <v>ZIQUAN</v>
      </c>
      <c r="H360" t="str">
        <f t="shared" si="18"/>
        <v>스토리위즈</v>
      </c>
      <c r="I360" t="str">
        <f>T("너랑 나랑 하면")</f>
        <v>너랑 나랑 하면</v>
      </c>
      <c r="J360">
        <v>400</v>
      </c>
      <c r="K360">
        <v>0</v>
      </c>
      <c r="L360">
        <v>0</v>
      </c>
      <c r="M360">
        <v>0</v>
      </c>
      <c r="N360">
        <v>200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200</v>
      </c>
      <c r="AH360">
        <v>1</v>
      </c>
      <c r="AI360">
        <v>0</v>
      </c>
      <c r="AJ360">
        <v>0</v>
      </c>
      <c r="AK360">
        <v>200</v>
      </c>
      <c r="AL360">
        <v>0</v>
      </c>
      <c r="AM360">
        <v>0</v>
      </c>
      <c r="AN360">
        <v>0</v>
      </c>
      <c r="AO360">
        <v>0</v>
      </c>
      <c r="AP360">
        <v>140</v>
      </c>
      <c r="AR360" t="str">
        <f>T("0000000000000")</f>
        <v>0000000000000</v>
      </c>
      <c r="AT360" t="str">
        <f>T("9791166067884")</f>
        <v>9791166067884</v>
      </c>
      <c r="AV360" t="str">
        <f>T("BL 웹툰 &gt; 웹툰")</f>
        <v>BL 웹툰 &gt; 웹툰</v>
      </c>
    </row>
    <row r="361" spans="1:48" x14ac:dyDescent="0.4">
      <c r="A361">
        <v>4421001377</v>
      </c>
      <c r="B361">
        <v>4421001379</v>
      </c>
      <c r="C361" t="str">
        <f>T("요괴님은 수련중 3화")</f>
        <v>요괴님은 수련중 3화</v>
      </c>
      <c r="D361" t="str">
        <f>T("3")</f>
        <v>3</v>
      </c>
      <c r="E361" t="str">
        <f>T("화방")</f>
        <v>화방</v>
      </c>
      <c r="G361" t="str">
        <f>T("망북")</f>
        <v>망북</v>
      </c>
      <c r="H361" t="str">
        <f t="shared" si="18"/>
        <v>스토리위즈</v>
      </c>
      <c r="I361" t="str">
        <f>T("요괴님은 수련중")</f>
        <v>요괴님은 수련중</v>
      </c>
      <c r="J361">
        <v>400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8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R361" t="str">
        <f>T("0000000000000")</f>
        <v>0000000000000</v>
      </c>
      <c r="AT361" t="str">
        <f>T("9791137603899")</f>
        <v>9791137603899</v>
      </c>
      <c r="AV361" t="str">
        <f>T("웹툰 &gt; 해외 순정")</f>
        <v>웹툰 &gt; 해외 순정</v>
      </c>
    </row>
    <row r="362" spans="1:48" x14ac:dyDescent="0.4">
      <c r="A362">
        <v>4421000001</v>
      </c>
      <c r="B362">
        <v>4421000062</v>
      </c>
      <c r="C362" t="str">
        <f>T("감옥실험 42화")</f>
        <v>감옥실험 42화</v>
      </c>
      <c r="D362" t="str">
        <f>T("42")</f>
        <v>42</v>
      </c>
      <c r="E362" t="str">
        <f>T("Kantetsu")</f>
        <v>Kantetsu</v>
      </c>
      <c r="G362" t="str">
        <f>T("Minase Chiho")</f>
        <v>Minase Chiho</v>
      </c>
      <c r="H362" t="str">
        <f t="shared" si="18"/>
        <v>스토리위즈</v>
      </c>
      <c r="I362" t="str">
        <f>T("감옥실험")</f>
        <v>감옥실험</v>
      </c>
      <c r="J362">
        <v>500</v>
      </c>
      <c r="K362">
        <v>0</v>
      </c>
      <c r="L362">
        <v>0</v>
      </c>
      <c r="M362">
        <v>0</v>
      </c>
      <c r="N362">
        <v>1200</v>
      </c>
      <c r="O362">
        <v>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1200</v>
      </c>
      <c r="AH362">
        <v>4</v>
      </c>
      <c r="AI362">
        <v>0</v>
      </c>
      <c r="AJ362">
        <v>0</v>
      </c>
      <c r="AK362">
        <v>1200</v>
      </c>
      <c r="AL362">
        <v>0</v>
      </c>
      <c r="AM362">
        <v>0</v>
      </c>
      <c r="AN362">
        <v>0</v>
      </c>
      <c r="AO362">
        <v>0</v>
      </c>
      <c r="AP362">
        <v>840</v>
      </c>
      <c r="AT362" t="str">
        <f>T("9791166069406")</f>
        <v>9791166069406</v>
      </c>
      <c r="AV362" t="str">
        <f>T("웹툰 &gt; 드라마")</f>
        <v>웹툰 &gt; 드라마</v>
      </c>
    </row>
    <row r="363" spans="1:48" x14ac:dyDescent="0.4">
      <c r="A363">
        <v>4421000337</v>
      </c>
      <c r="B363">
        <v>4421000340</v>
      </c>
      <c r="C363" t="str">
        <f>T("계약연애, 오늘부터 1일 4화")</f>
        <v>계약연애, 오늘부터 1일 4화</v>
      </c>
      <c r="D363" t="str">
        <f>T("4")</f>
        <v>4</v>
      </c>
      <c r="E363" t="str">
        <f>T("원기공장")</f>
        <v>원기공장</v>
      </c>
      <c r="H363" t="str">
        <f t="shared" si="18"/>
        <v>스토리위즈</v>
      </c>
      <c r="I363" t="str">
        <f>T("계약연애, 오늘부터 1일")</f>
        <v>계약연애, 오늘부터 1일</v>
      </c>
      <c r="J363">
        <v>200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R363" t="str">
        <f>T("0000000000000")</f>
        <v>0000000000000</v>
      </c>
      <c r="AT363" t="str">
        <f>T("9791166068027")</f>
        <v>9791166068027</v>
      </c>
      <c r="AV363" t="str">
        <f>T("웹툰 &gt; 해외 순정")</f>
        <v>웹툰 &gt; 해외 순정</v>
      </c>
    </row>
    <row r="364" spans="1:48" x14ac:dyDescent="0.4">
      <c r="A364">
        <v>4421000742</v>
      </c>
      <c r="B364">
        <v>4421000763</v>
      </c>
      <c r="C364" t="str">
        <f>T("연애 2분의 1 22화")</f>
        <v>연애 2분의 1 22화</v>
      </c>
      <c r="D364" t="str">
        <f>T("22")</f>
        <v>22</v>
      </c>
      <c r="E364" t="str">
        <f>T("Zhupi&amp;Yangxuetu")</f>
        <v>Zhupi&amp;Yangxuetu</v>
      </c>
      <c r="H364" t="str">
        <f t="shared" si="18"/>
        <v>스토리위즈</v>
      </c>
      <c r="I364" t="str">
        <f>T("연애 2분의 1")</f>
        <v>연애 2분의 1</v>
      </c>
      <c r="J364">
        <v>200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R364" t="str">
        <f>T("0000000000000")</f>
        <v>0000000000000</v>
      </c>
      <c r="AT364" t="str">
        <f>T("9791166067891")</f>
        <v>9791166067891</v>
      </c>
      <c r="AV364" t="str">
        <f>T("웹툰 &gt; 해외 순정")</f>
        <v>웹툰 &gt; 해외 순정</v>
      </c>
    </row>
    <row r="365" spans="1:48" x14ac:dyDescent="0.4">
      <c r="A365">
        <v>4421000001</v>
      </c>
      <c r="B365">
        <v>4421000055</v>
      </c>
      <c r="C365" t="str">
        <f>T("감옥실험 35화")</f>
        <v>감옥실험 35화</v>
      </c>
      <c r="D365" t="str">
        <f>T("35")</f>
        <v>35</v>
      </c>
      <c r="E365" t="str">
        <f>T("Kantetsu")</f>
        <v>Kantetsu</v>
      </c>
      <c r="G365" t="str">
        <f>T("Minase Chiho")</f>
        <v>Minase Chiho</v>
      </c>
      <c r="H365" t="str">
        <f t="shared" si="18"/>
        <v>스토리위즈</v>
      </c>
      <c r="I365" t="str">
        <f>T("감옥실험")</f>
        <v>감옥실험</v>
      </c>
      <c r="J365">
        <v>500</v>
      </c>
      <c r="K365">
        <v>0</v>
      </c>
      <c r="L365">
        <v>0</v>
      </c>
      <c r="M365">
        <v>0</v>
      </c>
      <c r="N365">
        <v>1200</v>
      </c>
      <c r="O365">
        <v>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1200</v>
      </c>
      <c r="AH365">
        <v>4</v>
      </c>
      <c r="AI365">
        <v>0</v>
      </c>
      <c r="AJ365">
        <v>0</v>
      </c>
      <c r="AK365">
        <v>1200</v>
      </c>
      <c r="AL365">
        <v>0</v>
      </c>
      <c r="AM365">
        <v>0</v>
      </c>
      <c r="AN365">
        <v>0</v>
      </c>
      <c r="AO365">
        <v>0</v>
      </c>
      <c r="AP365">
        <v>840</v>
      </c>
      <c r="AT365" t="str">
        <f>T("9791166069406")</f>
        <v>9791166069406</v>
      </c>
      <c r="AV365" t="str">
        <f>T("웹툰 &gt; 드라마")</f>
        <v>웹툰 &gt; 드라마</v>
      </c>
    </row>
    <row r="366" spans="1:48" x14ac:dyDescent="0.4">
      <c r="A366">
        <v>4421000866</v>
      </c>
      <c r="B366">
        <v>4421000911</v>
      </c>
      <c r="C366" t="str">
        <f>T("최애에게 들켜버렸다 번외편 1화")</f>
        <v>최애에게 들켜버렸다 번외편 1화</v>
      </c>
      <c r="D366" t="str">
        <f>T("21")</f>
        <v>21</v>
      </c>
      <c r="E366" t="str">
        <f>T("Lv")</f>
        <v>Lv</v>
      </c>
      <c r="G366" t="str">
        <f>T("Lv")</f>
        <v>Lv</v>
      </c>
      <c r="H366" t="str">
        <f t="shared" si="18"/>
        <v>스토리위즈</v>
      </c>
      <c r="I366" t="str">
        <f>T("최애에게 들켜버렸다")</f>
        <v>최애에게 들켜버렸다</v>
      </c>
      <c r="J366">
        <v>400</v>
      </c>
      <c r="K366">
        <v>0</v>
      </c>
      <c r="L366">
        <v>0</v>
      </c>
      <c r="M366">
        <v>0</v>
      </c>
      <c r="N366">
        <v>200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200</v>
      </c>
      <c r="AH366">
        <v>1</v>
      </c>
      <c r="AI366">
        <v>0</v>
      </c>
      <c r="AJ366">
        <v>0</v>
      </c>
      <c r="AK366">
        <v>200</v>
      </c>
      <c r="AL366">
        <v>0</v>
      </c>
      <c r="AM366">
        <v>0</v>
      </c>
      <c r="AN366">
        <v>0</v>
      </c>
      <c r="AO366">
        <v>0</v>
      </c>
      <c r="AP366">
        <v>140</v>
      </c>
      <c r="AR366" t="str">
        <f>T("0000000000000")</f>
        <v>0000000000000</v>
      </c>
      <c r="AT366" t="str">
        <f>T("9791137601253")</f>
        <v>9791137601253</v>
      </c>
      <c r="AV366" t="str">
        <f>T("웹툰 &gt; 해외 순정")</f>
        <v>웹툰 &gt; 해외 순정</v>
      </c>
    </row>
    <row r="367" spans="1:48" x14ac:dyDescent="0.4">
      <c r="A367">
        <v>4421000742</v>
      </c>
      <c r="B367">
        <v>4421000756</v>
      </c>
      <c r="C367" t="str">
        <f>T("연애 2분의 1 15화")</f>
        <v>연애 2분의 1 15화</v>
      </c>
      <c r="D367" t="str">
        <f>T("15")</f>
        <v>15</v>
      </c>
      <c r="E367" t="str">
        <f>T("Zhupi&amp;Yangxuetu")</f>
        <v>Zhupi&amp;Yangxuetu</v>
      </c>
      <c r="H367" t="str">
        <f t="shared" si="18"/>
        <v>스토리위즈</v>
      </c>
      <c r="I367" t="str">
        <f>T("연애 2분의 1")</f>
        <v>연애 2분의 1</v>
      </c>
      <c r="J367">
        <v>200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2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R367" t="str">
        <f>T("0000000000000")</f>
        <v>0000000000000</v>
      </c>
      <c r="AT367" t="str">
        <f>T("9791166067891")</f>
        <v>9791166067891</v>
      </c>
      <c r="AV367" t="str">
        <f>T("웹툰 &gt; 해외 순정")</f>
        <v>웹툰 &gt; 해외 순정</v>
      </c>
    </row>
    <row r="368" spans="1:48" x14ac:dyDescent="0.4">
      <c r="A368">
        <v>4421000742</v>
      </c>
      <c r="B368">
        <v>4421000748</v>
      </c>
      <c r="C368" t="str">
        <f>T("연애 2분의 1 7화")</f>
        <v>연애 2분의 1 7화</v>
      </c>
      <c r="D368" t="str">
        <f>T("7")</f>
        <v>7</v>
      </c>
      <c r="E368" t="str">
        <f>T("Zhupi&amp;Yangxuetu")</f>
        <v>Zhupi&amp;Yangxuetu</v>
      </c>
      <c r="H368" t="str">
        <f t="shared" si="18"/>
        <v>스토리위즈</v>
      </c>
      <c r="I368" t="str">
        <f>T("연애 2분의 1")</f>
        <v>연애 2분의 1</v>
      </c>
      <c r="J368">
        <v>200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2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R368" t="str">
        <f>T("0000000000000")</f>
        <v>0000000000000</v>
      </c>
      <c r="AT368" t="str">
        <f>T("9791166067891")</f>
        <v>9791166067891</v>
      </c>
      <c r="AV368" t="str">
        <f>T("웹툰 &gt; 해외 순정")</f>
        <v>웹툰 &gt; 해외 순정</v>
      </c>
    </row>
    <row r="369" spans="1:48" x14ac:dyDescent="0.4">
      <c r="A369">
        <v>4421000069</v>
      </c>
      <c r="B369">
        <v>4421000087</v>
      </c>
      <c r="C369" t="str">
        <f>T("너랑 나랑 하면 18화")</f>
        <v>너랑 나랑 하면 18화</v>
      </c>
      <c r="D369" t="str">
        <f>T("18")</f>
        <v>18</v>
      </c>
      <c r="E369" t="str">
        <f>T("NISANSUI")</f>
        <v>NISANSUI</v>
      </c>
      <c r="G369" t="str">
        <f>T("ZIQUAN")</f>
        <v>ZIQUAN</v>
      </c>
      <c r="H369" t="str">
        <f t="shared" si="18"/>
        <v>스토리위즈</v>
      </c>
      <c r="I369" t="str">
        <f>T("너랑 나랑 하면")</f>
        <v>너랑 나랑 하면</v>
      </c>
      <c r="J369">
        <v>400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2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R369" t="str">
        <f>T("0000000000000")</f>
        <v>0000000000000</v>
      </c>
      <c r="AT369" t="str">
        <f>T("9791166067884")</f>
        <v>9791166067884</v>
      </c>
      <c r="AV369" t="str">
        <f>T("BL 웹툰 &gt; 웹툰")</f>
        <v>BL 웹툰 &gt; 웹툰</v>
      </c>
    </row>
    <row r="370" spans="1:48" x14ac:dyDescent="0.4">
      <c r="A370">
        <v>4421000866</v>
      </c>
      <c r="B370">
        <v>4421000974</v>
      </c>
      <c r="C370" t="str">
        <f>T("최애에게 들켜버렸다 32화")</f>
        <v>최애에게 들켜버렸다 32화</v>
      </c>
      <c r="D370" t="str">
        <f>T("33")</f>
        <v>33</v>
      </c>
      <c r="E370" t="str">
        <f>T("Lv")</f>
        <v>Lv</v>
      </c>
      <c r="G370" t="str">
        <f>T("Lv")</f>
        <v>Lv</v>
      </c>
      <c r="H370" t="str">
        <f t="shared" si="18"/>
        <v>스토리위즈</v>
      </c>
      <c r="I370" t="str">
        <f>T("최애에게 들켜버렸다")</f>
        <v>최애에게 들켜버렸다</v>
      </c>
      <c r="J370">
        <v>400</v>
      </c>
      <c r="K370">
        <v>0</v>
      </c>
      <c r="L370">
        <v>0</v>
      </c>
      <c r="M370">
        <v>0</v>
      </c>
      <c r="N370">
        <v>200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200</v>
      </c>
      <c r="AH370">
        <v>1</v>
      </c>
      <c r="AI370">
        <v>0</v>
      </c>
      <c r="AJ370">
        <v>0</v>
      </c>
      <c r="AK370">
        <v>200</v>
      </c>
      <c r="AL370">
        <v>0</v>
      </c>
      <c r="AM370">
        <v>0</v>
      </c>
      <c r="AN370">
        <v>0</v>
      </c>
      <c r="AO370">
        <v>0</v>
      </c>
      <c r="AP370">
        <v>140</v>
      </c>
      <c r="AR370" t="str">
        <f>T("0000000000000")</f>
        <v>0000000000000</v>
      </c>
      <c r="AT370" t="str">
        <f>T("9791137601253")</f>
        <v>9791137601253</v>
      </c>
      <c r="AV370" t="str">
        <f>T("웹툰 &gt; 해외 순정")</f>
        <v>웹툰 &gt; 해외 순정</v>
      </c>
    </row>
    <row r="371" spans="1:48" x14ac:dyDescent="0.4">
      <c r="A371">
        <v>4421000002</v>
      </c>
      <c r="B371">
        <v>4421000184</v>
      </c>
      <c r="C371" t="str">
        <f>T("이세계 소환은 두 번째라구요 29화")</f>
        <v>이세계 소환은 두 번째라구요 29화</v>
      </c>
      <c r="D371" t="str">
        <f>T("29")</f>
        <v>29</v>
      </c>
      <c r="E371" t="str">
        <f>T("Arashiyama, Kishimoto Kazuha, Shimahara")</f>
        <v>Arashiyama, Kishimoto Kazuha, Shimahara</v>
      </c>
      <c r="H371" t="str">
        <f t="shared" si="18"/>
        <v>스토리위즈</v>
      </c>
      <c r="I371" t="str">
        <f>T("이세계 소환은 두 번째라구요")</f>
        <v>이세계 소환은 두 번째라구요</v>
      </c>
      <c r="J371">
        <v>500</v>
      </c>
      <c r="K371">
        <v>0</v>
      </c>
      <c r="L371">
        <v>0</v>
      </c>
      <c r="M371">
        <v>0</v>
      </c>
      <c r="N371">
        <v>300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300</v>
      </c>
      <c r="AH371">
        <v>1</v>
      </c>
      <c r="AI371">
        <v>0</v>
      </c>
      <c r="AJ371">
        <v>0</v>
      </c>
      <c r="AK371">
        <v>300</v>
      </c>
      <c r="AL371">
        <v>0</v>
      </c>
      <c r="AM371">
        <v>0</v>
      </c>
      <c r="AN371">
        <v>0</v>
      </c>
      <c r="AO371">
        <v>0</v>
      </c>
      <c r="AP371">
        <v>210</v>
      </c>
      <c r="AT371" t="str">
        <f>T("9791166069390")</f>
        <v>9791166069390</v>
      </c>
      <c r="AV371" t="str">
        <f>T("웹툰 &gt; 판타지/SF")</f>
        <v>웹툰 &gt; 판타지/SF</v>
      </c>
    </row>
    <row r="372" spans="1:48" x14ac:dyDescent="0.4">
      <c r="A372">
        <v>4421000866</v>
      </c>
      <c r="B372">
        <v>4421000879</v>
      </c>
      <c r="C372" t="str">
        <f>T("최애에게 들켜버렸다 13화")</f>
        <v>최애에게 들켜버렸다 13화</v>
      </c>
      <c r="D372" t="str">
        <f>T("13")</f>
        <v>13</v>
      </c>
      <c r="E372" t="str">
        <f>T("Lv")</f>
        <v>Lv</v>
      </c>
      <c r="G372" t="str">
        <f>T("Lv")</f>
        <v>Lv</v>
      </c>
      <c r="H372" t="str">
        <f t="shared" si="18"/>
        <v>스토리위즈</v>
      </c>
      <c r="I372" t="str">
        <f>T("최애에게 들켜버렸다")</f>
        <v>최애에게 들켜버렸다</v>
      </c>
      <c r="J372">
        <v>400</v>
      </c>
      <c r="K372">
        <v>0</v>
      </c>
      <c r="L372">
        <v>0</v>
      </c>
      <c r="M372">
        <v>0</v>
      </c>
      <c r="N372">
        <v>400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400</v>
      </c>
      <c r="AH372">
        <v>2</v>
      </c>
      <c r="AI372">
        <v>0</v>
      </c>
      <c r="AJ372">
        <v>0</v>
      </c>
      <c r="AK372">
        <v>400</v>
      </c>
      <c r="AL372">
        <v>0</v>
      </c>
      <c r="AM372">
        <v>0</v>
      </c>
      <c r="AN372">
        <v>0</v>
      </c>
      <c r="AO372">
        <v>0</v>
      </c>
      <c r="AP372">
        <v>280</v>
      </c>
      <c r="AR372" t="str">
        <f>T("0000000000000")</f>
        <v>0000000000000</v>
      </c>
      <c r="AT372" t="str">
        <f>T("9791137601253")</f>
        <v>9791137601253</v>
      </c>
      <c r="AV372" t="str">
        <f>T("웹툰 &gt; 해외 순정")</f>
        <v>웹툰 &gt; 해외 순정</v>
      </c>
    </row>
    <row r="373" spans="1:48" x14ac:dyDescent="0.4">
      <c r="A373">
        <v>4421001377</v>
      </c>
      <c r="B373">
        <v>4421001396</v>
      </c>
      <c r="C373" t="str">
        <f>T("요괴님은 수련중 20화")</f>
        <v>요괴님은 수련중 20화</v>
      </c>
      <c r="D373" t="str">
        <f>T("20")</f>
        <v>20</v>
      </c>
      <c r="E373" t="str">
        <f>T("화방")</f>
        <v>화방</v>
      </c>
      <c r="G373" t="str">
        <f>T("망북")</f>
        <v>망북</v>
      </c>
      <c r="H373" t="str">
        <f t="shared" si="18"/>
        <v>스토리위즈</v>
      </c>
      <c r="I373" t="str">
        <f>T("요괴님은 수련중")</f>
        <v>요괴님은 수련중</v>
      </c>
      <c r="J373">
        <v>400</v>
      </c>
      <c r="K373">
        <v>0</v>
      </c>
      <c r="L373">
        <v>0</v>
      </c>
      <c r="M373">
        <v>0</v>
      </c>
      <c r="N373">
        <v>200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200</v>
      </c>
      <c r="AH373">
        <v>1</v>
      </c>
      <c r="AI373">
        <v>0</v>
      </c>
      <c r="AJ373">
        <v>0</v>
      </c>
      <c r="AK373">
        <v>200</v>
      </c>
      <c r="AL373">
        <v>0</v>
      </c>
      <c r="AM373">
        <v>0</v>
      </c>
      <c r="AN373">
        <v>0</v>
      </c>
      <c r="AO373">
        <v>0</v>
      </c>
      <c r="AP373">
        <v>140</v>
      </c>
      <c r="AR373" t="str">
        <f>T("0000000000000")</f>
        <v>0000000000000</v>
      </c>
      <c r="AT373" t="str">
        <f>T("9791137603899")</f>
        <v>9791137603899</v>
      </c>
      <c r="AV373" t="str">
        <f>T("웹툰 &gt; 해외 순정")</f>
        <v>웹툰 &gt; 해외 순정</v>
      </c>
    </row>
    <row r="374" spans="1:48" x14ac:dyDescent="0.4">
      <c r="A374">
        <v>4421000001</v>
      </c>
      <c r="B374">
        <v>4421000016</v>
      </c>
      <c r="C374" t="str">
        <f>T("감옥실험 6화")</f>
        <v>감옥실험 6화</v>
      </c>
      <c r="D374" t="str">
        <f>T("6")</f>
        <v>6</v>
      </c>
      <c r="E374" t="str">
        <f>T("Kantetsu")</f>
        <v>Kantetsu</v>
      </c>
      <c r="G374" t="str">
        <f>T("Minase Chiho")</f>
        <v>Minase Chiho</v>
      </c>
      <c r="H374" t="str">
        <f t="shared" si="18"/>
        <v>스토리위즈</v>
      </c>
      <c r="I374" t="str">
        <f>T("감옥실험")</f>
        <v>감옥실험</v>
      </c>
      <c r="J374">
        <v>500</v>
      </c>
      <c r="K374">
        <v>0</v>
      </c>
      <c r="L374">
        <v>0</v>
      </c>
      <c r="M374">
        <v>0</v>
      </c>
      <c r="N374">
        <v>2100</v>
      </c>
      <c r="O374">
        <v>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2100</v>
      </c>
      <c r="AH374">
        <v>7</v>
      </c>
      <c r="AI374">
        <v>0</v>
      </c>
      <c r="AJ374">
        <v>0</v>
      </c>
      <c r="AK374">
        <v>2100</v>
      </c>
      <c r="AL374">
        <v>0</v>
      </c>
      <c r="AM374">
        <v>0</v>
      </c>
      <c r="AN374">
        <v>0</v>
      </c>
      <c r="AO374">
        <v>0</v>
      </c>
      <c r="AP374">
        <v>1470</v>
      </c>
      <c r="AT374" t="str">
        <f>T("9791166069406")</f>
        <v>9791166069406</v>
      </c>
      <c r="AV374" t="str">
        <f>T("웹툰 &gt; 드라마")</f>
        <v>웹툰 &gt; 드라마</v>
      </c>
    </row>
    <row r="375" spans="1:48" x14ac:dyDescent="0.4">
      <c r="A375">
        <v>4421000069</v>
      </c>
      <c r="B375">
        <v>4421000120</v>
      </c>
      <c r="C375" t="str">
        <f>T("너랑 나랑 하면 50화")</f>
        <v>너랑 나랑 하면 50화</v>
      </c>
      <c r="D375" t="str">
        <f>T("50")</f>
        <v>50</v>
      </c>
      <c r="E375" t="str">
        <f>T("NISANSUI")</f>
        <v>NISANSUI</v>
      </c>
      <c r="G375" t="str">
        <f>T("ZIQUAN")</f>
        <v>ZIQUAN</v>
      </c>
      <c r="H375" t="str">
        <f t="shared" si="18"/>
        <v>스토리위즈</v>
      </c>
      <c r="I375" t="str">
        <f>T("너랑 나랑 하면")</f>
        <v>너랑 나랑 하면</v>
      </c>
      <c r="J375">
        <v>400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2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R375" t="str">
        <f>T("0000000000000")</f>
        <v>0000000000000</v>
      </c>
      <c r="AT375" t="str">
        <f>T("9791166067884")</f>
        <v>9791166067884</v>
      </c>
      <c r="AV375" t="str">
        <f>T("BL 웹툰 &gt; 웹툰")</f>
        <v>BL 웹툰 &gt; 웹툰</v>
      </c>
    </row>
    <row r="376" spans="1:48" x14ac:dyDescent="0.4">
      <c r="A376">
        <v>4421000069</v>
      </c>
      <c r="B376">
        <v>4421000080</v>
      </c>
      <c r="C376" t="str">
        <f>T("너랑 나랑 하면 11화")</f>
        <v>너랑 나랑 하면 11화</v>
      </c>
      <c r="D376" t="str">
        <f>T("11")</f>
        <v>11</v>
      </c>
      <c r="E376" t="str">
        <f>T("NISANSUI")</f>
        <v>NISANSUI</v>
      </c>
      <c r="G376" t="str">
        <f>T("ZIQUAN")</f>
        <v>ZIQUAN</v>
      </c>
      <c r="H376" t="str">
        <f t="shared" si="18"/>
        <v>스토리위즈</v>
      </c>
      <c r="I376" t="str">
        <f>T("너랑 나랑 하면")</f>
        <v>너랑 나랑 하면</v>
      </c>
      <c r="J376">
        <v>400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R376" t="str">
        <f>T("0000000000000")</f>
        <v>0000000000000</v>
      </c>
      <c r="AT376" t="str">
        <f>T("9791166067884")</f>
        <v>9791166067884</v>
      </c>
      <c r="AV376" t="str">
        <f>T("BL 웹툰 &gt; 웹툰")</f>
        <v>BL 웹툰 &gt; 웹툰</v>
      </c>
    </row>
    <row r="377" spans="1:48" x14ac:dyDescent="0.4">
      <c r="A377">
        <v>4421000002</v>
      </c>
      <c r="B377">
        <v>4421000177</v>
      </c>
      <c r="C377" t="str">
        <f>T("이세계 소환은 두 번째라구요 22화")</f>
        <v>이세계 소환은 두 번째라구요 22화</v>
      </c>
      <c r="D377" t="str">
        <f>T("22")</f>
        <v>22</v>
      </c>
      <c r="E377" t="str">
        <f>T("Arashiyama, Kishimoto Kazuha, Shimahara")</f>
        <v>Arashiyama, Kishimoto Kazuha, Shimahara</v>
      </c>
      <c r="H377" t="str">
        <f t="shared" si="18"/>
        <v>스토리위즈</v>
      </c>
      <c r="I377" t="str">
        <f>T("이세계 소환은 두 번째라구요")</f>
        <v>이세계 소환은 두 번째라구요</v>
      </c>
      <c r="J377">
        <v>500</v>
      </c>
      <c r="K377">
        <v>0</v>
      </c>
      <c r="L377">
        <v>0</v>
      </c>
      <c r="M377">
        <v>0</v>
      </c>
      <c r="N377">
        <v>300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300</v>
      </c>
      <c r="AH377">
        <v>1</v>
      </c>
      <c r="AI377">
        <v>0</v>
      </c>
      <c r="AJ377">
        <v>0</v>
      </c>
      <c r="AK377">
        <v>300</v>
      </c>
      <c r="AL377">
        <v>0</v>
      </c>
      <c r="AM377">
        <v>0</v>
      </c>
      <c r="AN377">
        <v>0</v>
      </c>
      <c r="AO377">
        <v>0</v>
      </c>
      <c r="AP377">
        <v>210</v>
      </c>
      <c r="AT377" t="str">
        <f>T("9791166069390")</f>
        <v>9791166069390</v>
      </c>
      <c r="AV377" t="str">
        <f>T("웹툰 &gt; 판타지/SF")</f>
        <v>웹툰 &gt; 판타지/SF</v>
      </c>
    </row>
    <row r="378" spans="1:48" x14ac:dyDescent="0.4">
      <c r="A378">
        <v>4421000866</v>
      </c>
      <c r="B378">
        <v>4421000872</v>
      </c>
      <c r="C378" t="str">
        <f>T("최애에게 들켜버렸다 6화")</f>
        <v>최애에게 들켜버렸다 6화</v>
      </c>
      <c r="D378" t="str">
        <f>T("6")</f>
        <v>6</v>
      </c>
      <c r="E378" t="str">
        <f>T("Lv")</f>
        <v>Lv</v>
      </c>
      <c r="G378" t="str">
        <f>T("Lv")</f>
        <v>Lv</v>
      </c>
      <c r="H378" t="str">
        <f t="shared" si="18"/>
        <v>스토리위즈</v>
      </c>
      <c r="I378" t="str">
        <f>T("최애에게 들켜버렸다")</f>
        <v>최애에게 들켜버렸다</v>
      </c>
      <c r="J378">
        <v>400</v>
      </c>
      <c r="K378">
        <v>0</v>
      </c>
      <c r="L378">
        <v>0</v>
      </c>
      <c r="M378">
        <v>0</v>
      </c>
      <c r="N378">
        <v>400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400</v>
      </c>
      <c r="AH378">
        <v>2</v>
      </c>
      <c r="AI378">
        <v>0</v>
      </c>
      <c r="AJ378">
        <v>0</v>
      </c>
      <c r="AK378">
        <v>400</v>
      </c>
      <c r="AL378">
        <v>0</v>
      </c>
      <c r="AM378">
        <v>0</v>
      </c>
      <c r="AN378">
        <v>0</v>
      </c>
      <c r="AO378">
        <v>0</v>
      </c>
      <c r="AP378">
        <v>280</v>
      </c>
      <c r="AR378" t="str">
        <f>T("0000000000000")</f>
        <v>0000000000000</v>
      </c>
      <c r="AT378" t="str">
        <f>T("9791137601253")</f>
        <v>9791137601253</v>
      </c>
      <c r="AV378" t="str">
        <f>T("웹툰 &gt; 해외 순정")</f>
        <v>웹툰 &gt; 해외 순정</v>
      </c>
    </row>
    <row r="379" spans="1:48" x14ac:dyDescent="0.4">
      <c r="A379">
        <v>4421000069</v>
      </c>
      <c r="B379">
        <v>4421000113</v>
      </c>
      <c r="C379" t="str">
        <f>T("너랑 나랑 하면 43화")</f>
        <v>너랑 나랑 하면 43화</v>
      </c>
      <c r="D379" t="str">
        <f>T("43")</f>
        <v>43</v>
      </c>
      <c r="E379" t="str">
        <f>T("NISANSUI")</f>
        <v>NISANSUI</v>
      </c>
      <c r="G379" t="str">
        <f>T("ZIQUAN")</f>
        <v>ZIQUAN</v>
      </c>
      <c r="H379" t="str">
        <f t="shared" si="18"/>
        <v>스토리위즈</v>
      </c>
      <c r="I379" t="str">
        <f>T("너랑 나랑 하면")</f>
        <v>너랑 나랑 하면</v>
      </c>
      <c r="J379">
        <v>400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R379" t="str">
        <f>T("0000000000000")</f>
        <v>0000000000000</v>
      </c>
      <c r="AT379" t="str">
        <f>T("9791166067884")</f>
        <v>9791166067884</v>
      </c>
      <c r="AV379" t="str">
        <f>T("BL 웹툰 &gt; 웹툰")</f>
        <v>BL 웹툰 &gt; 웹툰</v>
      </c>
    </row>
    <row r="380" spans="1:48" x14ac:dyDescent="0.4">
      <c r="A380">
        <v>4421001340</v>
      </c>
      <c r="B380">
        <v>4421001341</v>
      </c>
      <c r="C380" t="str">
        <f>T("가출천사 육성계약 2화")</f>
        <v>가출천사 육성계약 2화</v>
      </c>
      <c r="D380" t="str">
        <f>T("2")</f>
        <v>2</v>
      </c>
      <c r="E380" t="str">
        <f>T("Bae.C, IIAKI, 박제후")</f>
        <v>Bae.C, IIAKI, 박제후</v>
      </c>
      <c r="G380" t="str">
        <f>T("Bae.C, 조우")</f>
        <v>Bae.C, 조우</v>
      </c>
      <c r="H380" t="str">
        <f t="shared" si="18"/>
        <v>스토리위즈</v>
      </c>
      <c r="I380" t="str">
        <f>T("가출천사 육성계약")</f>
        <v>가출천사 육성계약</v>
      </c>
      <c r="J380">
        <v>400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5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R380" t="str">
        <f>T("0000000000000")</f>
        <v>0000000000000</v>
      </c>
      <c r="AT380" t="str">
        <f>T("9791191765663")</f>
        <v>9791191765663</v>
      </c>
      <c r="AV380" t="str">
        <f>T("웹툰 &gt; 판타지/SF")</f>
        <v>웹툰 &gt; 판타지/SF</v>
      </c>
    </row>
    <row r="381" spans="1:48" x14ac:dyDescent="0.4">
      <c r="A381">
        <v>4421000001</v>
      </c>
      <c r="B381">
        <v>4421000048</v>
      </c>
      <c r="C381" t="str">
        <f>T("감옥실험 28화")</f>
        <v>감옥실험 28화</v>
      </c>
      <c r="D381" t="str">
        <f>T("28")</f>
        <v>28</v>
      </c>
      <c r="E381" t="str">
        <f>T("Kantetsu")</f>
        <v>Kantetsu</v>
      </c>
      <c r="G381" t="str">
        <f>T("Minase Chiho")</f>
        <v>Minase Chiho</v>
      </c>
      <c r="H381" t="str">
        <f t="shared" si="18"/>
        <v>스토리위즈</v>
      </c>
      <c r="I381" t="str">
        <f>T("감옥실험")</f>
        <v>감옥실험</v>
      </c>
      <c r="J381">
        <v>500</v>
      </c>
      <c r="K381">
        <v>0</v>
      </c>
      <c r="L381">
        <v>0</v>
      </c>
      <c r="M381">
        <v>0</v>
      </c>
      <c r="N381">
        <v>1500</v>
      </c>
      <c r="O381">
        <v>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1500</v>
      </c>
      <c r="AH381">
        <v>5</v>
      </c>
      <c r="AI381">
        <v>0</v>
      </c>
      <c r="AJ381">
        <v>0</v>
      </c>
      <c r="AK381">
        <v>1500</v>
      </c>
      <c r="AL381">
        <v>0</v>
      </c>
      <c r="AM381">
        <v>0</v>
      </c>
      <c r="AN381">
        <v>0</v>
      </c>
      <c r="AO381">
        <v>0</v>
      </c>
      <c r="AP381">
        <v>1050</v>
      </c>
      <c r="AT381" t="str">
        <f>T("9791166069406")</f>
        <v>9791166069406</v>
      </c>
      <c r="AV381" t="str">
        <f>T("웹툰 &gt; 드라마")</f>
        <v>웹툰 &gt; 드라마</v>
      </c>
    </row>
    <row r="382" spans="1:48" x14ac:dyDescent="0.4">
      <c r="A382">
        <v>4421000002</v>
      </c>
      <c r="B382">
        <v>4421000253</v>
      </c>
      <c r="C382" t="str">
        <f>T("이세계 소환은 두 번째라구요 37화")</f>
        <v>이세계 소환은 두 번째라구요 37화</v>
      </c>
      <c r="D382" t="str">
        <f>T("37")</f>
        <v>37</v>
      </c>
      <c r="E382" t="str">
        <f>T("Arashiyama, Kishimoto Kazuha, Shimahara")</f>
        <v>Arashiyama, Kishimoto Kazuha, Shimahara</v>
      </c>
      <c r="H382" t="str">
        <f t="shared" si="18"/>
        <v>스토리위즈</v>
      </c>
      <c r="I382" t="str">
        <f>T("이세계 소환은 두 번째라구요")</f>
        <v>이세계 소환은 두 번째라구요</v>
      </c>
      <c r="J382">
        <v>500</v>
      </c>
      <c r="K382">
        <v>0</v>
      </c>
      <c r="L382">
        <v>0</v>
      </c>
      <c r="M382">
        <v>0</v>
      </c>
      <c r="N382">
        <v>300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300</v>
      </c>
      <c r="AH382">
        <v>1</v>
      </c>
      <c r="AI382">
        <v>0</v>
      </c>
      <c r="AJ382">
        <v>0</v>
      </c>
      <c r="AK382">
        <v>300</v>
      </c>
      <c r="AL382">
        <v>0</v>
      </c>
      <c r="AM382">
        <v>0</v>
      </c>
      <c r="AN382">
        <v>0</v>
      </c>
      <c r="AO382">
        <v>0</v>
      </c>
      <c r="AP382">
        <v>210</v>
      </c>
      <c r="AT382" t="str">
        <f>T("9791166069390")</f>
        <v>9791166069390</v>
      </c>
      <c r="AV382" t="str">
        <f>T("웹툰 &gt; 판타지/SF")</f>
        <v>웹툰 &gt; 판타지/SF</v>
      </c>
    </row>
    <row r="383" spans="1:48" x14ac:dyDescent="0.4">
      <c r="A383">
        <v>4421000570</v>
      </c>
      <c r="B383">
        <v>4421000574</v>
      </c>
      <c r="C383" t="str">
        <f>T("폐하, 옥체 보존하세요! 5화")</f>
        <v>폐하, 옥체 보존하세요! 5화</v>
      </c>
      <c r="D383" t="str">
        <f>T("5")</f>
        <v>5</v>
      </c>
      <c r="E383" t="str">
        <f>T("Lvyeqianhe")</f>
        <v>Lvyeqianhe</v>
      </c>
      <c r="G383" t="str">
        <f>T("Youzhijiaozi")</f>
        <v>Youzhijiaozi</v>
      </c>
      <c r="H383" t="str">
        <f t="shared" si="18"/>
        <v>스토리위즈</v>
      </c>
      <c r="I383" t="str">
        <f>T("폐하, 옥체 보존하세요!")</f>
        <v>폐하, 옥체 보존하세요!</v>
      </c>
      <c r="J383">
        <v>200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R383" t="str">
        <f>T("0000000000000")</f>
        <v>0000000000000</v>
      </c>
      <c r="AT383" t="str">
        <f>T("9791166068003")</f>
        <v>9791166068003</v>
      </c>
      <c r="AV383" t="str">
        <f>T("웹툰 &gt; 해외 순정")</f>
        <v>웹툰 &gt; 해외 순정</v>
      </c>
    </row>
    <row r="384" spans="1:48" x14ac:dyDescent="0.4">
      <c r="A384">
        <v>4421000866</v>
      </c>
      <c r="B384">
        <v>4421001280</v>
      </c>
      <c r="C384" t="str">
        <f>T("최애에게 들켜버렸다 64화")</f>
        <v>최애에게 들켜버렸다 64화</v>
      </c>
      <c r="D384" t="str">
        <f>T("67")</f>
        <v>67</v>
      </c>
      <c r="E384" t="str">
        <f>T("Lv")</f>
        <v>Lv</v>
      </c>
      <c r="G384" t="str">
        <f>T("Lv")</f>
        <v>Lv</v>
      </c>
      <c r="H384" t="str">
        <f t="shared" si="18"/>
        <v>스토리위즈</v>
      </c>
      <c r="I384" t="str">
        <f>T("최애에게 들켜버렸다")</f>
        <v>최애에게 들켜버렸다</v>
      </c>
      <c r="J384">
        <v>400</v>
      </c>
      <c r="K384">
        <v>0</v>
      </c>
      <c r="L384">
        <v>0</v>
      </c>
      <c r="M384">
        <v>0</v>
      </c>
      <c r="N384">
        <v>200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200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200</v>
      </c>
      <c r="AN384">
        <v>0</v>
      </c>
      <c r="AO384">
        <v>0</v>
      </c>
      <c r="AP384">
        <v>140</v>
      </c>
      <c r="AR384" t="str">
        <f>T("0000000000000")</f>
        <v>0000000000000</v>
      </c>
      <c r="AT384" t="str">
        <f>T("9791137601253")</f>
        <v>9791137601253</v>
      </c>
      <c r="AV384" t="str">
        <f>T("웹툰 &gt; 해외 순정")</f>
        <v>웹툰 &gt; 해외 순정</v>
      </c>
    </row>
    <row r="385" spans="1:48" x14ac:dyDescent="0.4">
      <c r="A385">
        <v>4421000001</v>
      </c>
      <c r="B385">
        <v>4421000041</v>
      </c>
      <c r="C385" t="str">
        <f>T("감옥실험 21화")</f>
        <v>감옥실험 21화</v>
      </c>
      <c r="D385" t="str">
        <f>T("21")</f>
        <v>21</v>
      </c>
      <c r="E385" t="str">
        <f>T("Kantetsu")</f>
        <v>Kantetsu</v>
      </c>
      <c r="G385" t="str">
        <f>T("Minase Chiho")</f>
        <v>Minase Chiho</v>
      </c>
      <c r="H385" t="str">
        <f t="shared" si="18"/>
        <v>스토리위즈</v>
      </c>
      <c r="I385" t="str">
        <f>T("감옥실험")</f>
        <v>감옥실험</v>
      </c>
      <c r="J385">
        <v>500</v>
      </c>
      <c r="K385">
        <v>0</v>
      </c>
      <c r="L385">
        <v>0</v>
      </c>
      <c r="M385">
        <v>0</v>
      </c>
      <c r="N385">
        <v>1800</v>
      </c>
      <c r="O385">
        <v>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1800</v>
      </c>
      <c r="AH385">
        <v>6</v>
      </c>
      <c r="AI385">
        <v>0</v>
      </c>
      <c r="AJ385">
        <v>0</v>
      </c>
      <c r="AK385">
        <v>1800</v>
      </c>
      <c r="AL385">
        <v>0</v>
      </c>
      <c r="AM385">
        <v>0</v>
      </c>
      <c r="AN385">
        <v>0</v>
      </c>
      <c r="AO385">
        <v>0</v>
      </c>
      <c r="AP385">
        <v>1260</v>
      </c>
      <c r="AT385" t="str">
        <f>T("9791166069406")</f>
        <v>9791166069406</v>
      </c>
      <c r="AV385" t="str">
        <f>T("웹툰 &gt; 드라마")</f>
        <v>웹툰 &gt; 드라마</v>
      </c>
    </row>
    <row r="386" spans="1:48" x14ac:dyDescent="0.4">
      <c r="A386">
        <v>4421001377</v>
      </c>
      <c r="B386">
        <v>4421001390</v>
      </c>
      <c r="C386" t="str">
        <f>T("요괴님은 수련중 14화")</f>
        <v>요괴님은 수련중 14화</v>
      </c>
      <c r="D386" t="str">
        <f>T("14")</f>
        <v>14</v>
      </c>
      <c r="E386" t="str">
        <f>T("화방")</f>
        <v>화방</v>
      </c>
      <c r="G386" t="str">
        <f>T("망북")</f>
        <v>망북</v>
      </c>
      <c r="H386" t="str">
        <f t="shared" ref="H386:H449" si="21">T("스토리위즈")</f>
        <v>스토리위즈</v>
      </c>
      <c r="I386" t="str">
        <f>T("요괴님은 수련중")</f>
        <v>요괴님은 수련중</v>
      </c>
      <c r="J386">
        <v>400</v>
      </c>
      <c r="K386">
        <v>0</v>
      </c>
      <c r="L386">
        <v>0</v>
      </c>
      <c r="M386">
        <v>0</v>
      </c>
      <c r="N386">
        <v>200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200</v>
      </c>
      <c r="AH386">
        <v>1</v>
      </c>
      <c r="AI386">
        <v>0</v>
      </c>
      <c r="AJ386">
        <v>0</v>
      </c>
      <c r="AK386">
        <v>200</v>
      </c>
      <c r="AL386">
        <v>0</v>
      </c>
      <c r="AM386">
        <v>0</v>
      </c>
      <c r="AN386">
        <v>0</v>
      </c>
      <c r="AO386">
        <v>0</v>
      </c>
      <c r="AP386">
        <v>140</v>
      </c>
      <c r="AR386" t="str">
        <f t="shared" ref="AR386:AR395" si="22">T("0000000000000")</f>
        <v>0000000000000</v>
      </c>
      <c r="AT386" t="str">
        <f>T("9791137603899")</f>
        <v>9791137603899</v>
      </c>
      <c r="AV386" t="str">
        <f>T("웹툰 &gt; 해외 순정")</f>
        <v>웹툰 &gt; 해외 순정</v>
      </c>
    </row>
    <row r="387" spans="1:48" x14ac:dyDescent="0.4">
      <c r="A387">
        <v>4421000069</v>
      </c>
      <c r="B387">
        <v>4421000073</v>
      </c>
      <c r="C387" t="str">
        <f>T("너랑 나랑 하면 4화")</f>
        <v>너랑 나랑 하면 4화</v>
      </c>
      <c r="D387" t="str">
        <f>T("4")</f>
        <v>4</v>
      </c>
      <c r="E387" t="str">
        <f>T("NISANSUI")</f>
        <v>NISANSUI</v>
      </c>
      <c r="G387" t="str">
        <f>T("ZIQUAN")</f>
        <v>ZIQUAN</v>
      </c>
      <c r="H387" t="str">
        <f t="shared" si="21"/>
        <v>스토리위즈</v>
      </c>
      <c r="I387" t="str">
        <f>T("너랑 나랑 하면")</f>
        <v>너랑 나랑 하면</v>
      </c>
      <c r="J387">
        <v>400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R387" t="str">
        <f t="shared" si="22"/>
        <v>0000000000000</v>
      </c>
      <c r="AT387" t="str">
        <f>T("9791166067884")</f>
        <v>9791166067884</v>
      </c>
      <c r="AV387" t="str">
        <f>T("BL 웹툰 &gt; 웹툰")</f>
        <v>BL 웹툰 &gt; 웹툰</v>
      </c>
    </row>
    <row r="388" spans="1:48" x14ac:dyDescent="0.4">
      <c r="A388">
        <v>4421000518</v>
      </c>
      <c r="B388">
        <v>4421000524</v>
      </c>
      <c r="C388" t="str">
        <f>T("백스테이지 키스신 6화")</f>
        <v>백스테이지 키스신 6화</v>
      </c>
      <c r="D388" t="str">
        <f>T("6")</f>
        <v>6</v>
      </c>
      <c r="E388" t="str">
        <f>T("최도비")</f>
        <v>최도비</v>
      </c>
      <c r="G388" t="str">
        <f>T("수정과")</f>
        <v>수정과</v>
      </c>
      <c r="H388" t="str">
        <f t="shared" si="21"/>
        <v>스토리위즈</v>
      </c>
      <c r="I388" t="str">
        <f>T("백스테이지 키스신")</f>
        <v>백스테이지 키스신</v>
      </c>
      <c r="J388">
        <v>400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R388" t="str">
        <f t="shared" si="22"/>
        <v>0000000000000</v>
      </c>
      <c r="AT388" t="str">
        <f>T("9791166067990")</f>
        <v>9791166067990</v>
      </c>
      <c r="AV388" t="str">
        <f>T("웹툰 &gt; 국내 순정")</f>
        <v>웹툰 &gt; 국내 순정</v>
      </c>
    </row>
    <row r="389" spans="1:48" x14ac:dyDescent="0.4">
      <c r="A389">
        <v>4421000069</v>
      </c>
      <c r="B389">
        <v>4421000106</v>
      </c>
      <c r="C389" t="str">
        <f>T("너랑 나랑 하면 36화")</f>
        <v>너랑 나랑 하면 36화</v>
      </c>
      <c r="D389" t="str">
        <f>T("36")</f>
        <v>36</v>
      </c>
      <c r="E389" t="str">
        <f>T("NISANSUI")</f>
        <v>NISANSUI</v>
      </c>
      <c r="G389" t="str">
        <f>T("ZIQUAN")</f>
        <v>ZIQUAN</v>
      </c>
      <c r="H389" t="str">
        <f t="shared" si="21"/>
        <v>스토리위즈</v>
      </c>
      <c r="I389" t="str">
        <f>T("너랑 나랑 하면")</f>
        <v>너랑 나랑 하면</v>
      </c>
      <c r="J389">
        <v>400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R389" t="str">
        <f t="shared" si="22"/>
        <v>0000000000000</v>
      </c>
      <c r="AT389" t="str">
        <f>T("9791166067884")</f>
        <v>9791166067884</v>
      </c>
      <c r="AV389" t="str">
        <f>T("BL 웹툰 &gt; 웹툰")</f>
        <v>BL 웹툰 &gt; 웹툰</v>
      </c>
    </row>
    <row r="390" spans="1:48" x14ac:dyDescent="0.4">
      <c r="A390">
        <v>4421001000</v>
      </c>
      <c r="B390">
        <v>4421001000</v>
      </c>
      <c r="C390" t="str">
        <f>T("로맨틱 시그널 1화")</f>
        <v>로맨틱 시그널 1화</v>
      </c>
      <c r="D390" t="str">
        <f>T("1")</f>
        <v>1</v>
      </c>
      <c r="E390" t="str">
        <f>T("Bless+cangshukou")</f>
        <v>Bless+cangshukou</v>
      </c>
      <c r="G390" t="str">
        <f>T("Bless+cangshukou")</f>
        <v>Bless+cangshukou</v>
      </c>
      <c r="H390" t="str">
        <f t="shared" si="21"/>
        <v>스토리위즈</v>
      </c>
      <c r="I390" t="str">
        <f>T("로맨틱 시그널")</f>
        <v>로맨틱 시그널</v>
      </c>
      <c r="J390">
        <v>200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R390" t="str">
        <f t="shared" si="22"/>
        <v>0000000000000</v>
      </c>
      <c r="AT390" t="str">
        <f>T("9791166068041")</f>
        <v>9791166068041</v>
      </c>
      <c r="AV390" t="str">
        <f>T("웹툰 &gt; 해외 순정")</f>
        <v>웹툰 &gt; 해외 순정</v>
      </c>
    </row>
    <row r="391" spans="1:48" x14ac:dyDescent="0.4">
      <c r="A391">
        <v>4421000742</v>
      </c>
      <c r="B391">
        <v>4421000767</v>
      </c>
      <c r="C391" t="str">
        <f>T("연애 2분의 1 26화")</f>
        <v>연애 2분의 1 26화</v>
      </c>
      <c r="D391" t="str">
        <f>T("26")</f>
        <v>26</v>
      </c>
      <c r="E391" t="str">
        <f>T("Zhupi&amp;Yangxuetu")</f>
        <v>Zhupi&amp;Yangxuetu</v>
      </c>
      <c r="H391" t="str">
        <f t="shared" si="21"/>
        <v>스토리위즈</v>
      </c>
      <c r="I391" t="str">
        <f>T("연애 2분의 1")</f>
        <v>연애 2분의 1</v>
      </c>
      <c r="J391">
        <v>200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R391" t="str">
        <f t="shared" si="22"/>
        <v>0000000000000</v>
      </c>
      <c r="AT391" t="str">
        <f>T("9791166067891")</f>
        <v>9791166067891</v>
      </c>
      <c r="AV391" t="str">
        <f>T("웹툰 &gt; 해외 순정")</f>
        <v>웹툰 &gt; 해외 순정</v>
      </c>
    </row>
    <row r="392" spans="1:48" x14ac:dyDescent="0.4">
      <c r="A392">
        <v>4421000887</v>
      </c>
      <c r="B392">
        <v>4421001214</v>
      </c>
      <c r="C392" t="str">
        <f>T("폭군의 눈물 41화")</f>
        <v>폭군의 눈물 41화</v>
      </c>
      <c r="D392" t="str">
        <f>T("41")</f>
        <v>41</v>
      </c>
      <c r="E392" t="str">
        <f>T("Ice×FANFAN COMIC")</f>
        <v>Ice×FANFAN COMIC</v>
      </c>
      <c r="G392" t="str">
        <f>T("Ice×FANFAN COMIC")</f>
        <v>Ice×FANFAN COMIC</v>
      </c>
      <c r="H392" t="str">
        <f t="shared" si="21"/>
        <v>스토리위즈</v>
      </c>
      <c r="I392" t="str">
        <f>T("폭군의 눈물")</f>
        <v>폭군의 눈물</v>
      </c>
      <c r="J392">
        <v>400</v>
      </c>
      <c r="K392">
        <v>0</v>
      </c>
      <c r="L392">
        <v>0</v>
      </c>
      <c r="M392">
        <v>0</v>
      </c>
      <c r="N392">
        <v>600</v>
      </c>
      <c r="O392">
        <v>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600</v>
      </c>
      <c r="AH392">
        <v>3</v>
      </c>
      <c r="AI392">
        <v>0</v>
      </c>
      <c r="AJ392">
        <v>0</v>
      </c>
      <c r="AK392">
        <v>400</v>
      </c>
      <c r="AL392">
        <v>0</v>
      </c>
      <c r="AM392">
        <v>200</v>
      </c>
      <c r="AN392">
        <v>0</v>
      </c>
      <c r="AO392">
        <v>0</v>
      </c>
      <c r="AP392">
        <v>420</v>
      </c>
      <c r="AR392" t="str">
        <f t="shared" si="22"/>
        <v>0000000000000</v>
      </c>
      <c r="AT392" t="str">
        <f>T("9791137601291")</f>
        <v>9791137601291</v>
      </c>
      <c r="AV392" t="str">
        <f>T("웹툰 &gt; 해외 순정")</f>
        <v>웹툰 &gt; 해외 순정</v>
      </c>
    </row>
    <row r="393" spans="1:48" x14ac:dyDescent="0.4">
      <c r="A393">
        <v>4421000069</v>
      </c>
      <c r="B393">
        <v>4421000098</v>
      </c>
      <c r="C393" t="str">
        <f>T("너랑 나랑 하면 29화")</f>
        <v>너랑 나랑 하면 29화</v>
      </c>
      <c r="D393" t="str">
        <f>T("29")</f>
        <v>29</v>
      </c>
      <c r="E393" t="str">
        <f>T("NISANSUI")</f>
        <v>NISANSUI</v>
      </c>
      <c r="G393" t="str">
        <f>T("ZIQUAN")</f>
        <v>ZIQUAN</v>
      </c>
      <c r="H393" t="str">
        <f t="shared" si="21"/>
        <v>스토리위즈</v>
      </c>
      <c r="I393" t="str">
        <f>T("너랑 나랑 하면")</f>
        <v>너랑 나랑 하면</v>
      </c>
      <c r="J393">
        <v>400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R393" t="str">
        <f t="shared" si="22"/>
        <v>0000000000000</v>
      </c>
      <c r="AT393" t="str">
        <f>T("9791166067884")</f>
        <v>9791166067884</v>
      </c>
      <c r="AV393" t="str">
        <f>T("BL 웹툰 &gt; 웹툰")</f>
        <v>BL 웹툰 &gt; 웹툰</v>
      </c>
    </row>
    <row r="394" spans="1:48" x14ac:dyDescent="0.4">
      <c r="A394">
        <v>4421000887</v>
      </c>
      <c r="B394">
        <v>4421000890</v>
      </c>
      <c r="C394" t="str">
        <f>T("폭군의 눈물 4화")</f>
        <v>폭군의 눈물 4화</v>
      </c>
      <c r="D394" t="str">
        <f>T("4")</f>
        <v>4</v>
      </c>
      <c r="E394" t="str">
        <f>T("Ice×FANFAN COMIC")</f>
        <v>Ice×FANFAN COMIC</v>
      </c>
      <c r="G394" t="str">
        <f>T("Ice×FANFAN COMIC")</f>
        <v>Ice×FANFAN COMIC</v>
      </c>
      <c r="H394" t="str">
        <f t="shared" si="21"/>
        <v>스토리위즈</v>
      </c>
      <c r="I394" t="str">
        <f>T("폭군의 눈물")</f>
        <v>폭군의 눈물</v>
      </c>
      <c r="J394">
        <v>400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6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R394" t="str">
        <f t="shared" si="22"/>
        <v>0000000000000</v>
      </c>
      <c r="AT394" t="str">
        <f>T("9791137601291")</f>
        <v>9791137601291</v>
      </c>
      <c r="AV394" t="str">
        <f>T("웹툰 &gt; 해외 순정")</f>
        <v>웹툰 &gt; 해외 순정</v>
      </c>
    </row>
    <row r="395" spans="1:48" x14ac:dyDescent="0.4">
      <c r="A395">
        <v>4421001377</v>
      </c>
      <c r="B395">
        <v>4421001474</v>
      </c>
      <c r="C395" t="str">
        <f>T("요괴님은 수련중 22화")</f>
        <v>요괴님은 수련중 22화</v>
      </c>
      <c r="D395" t="str">
        <f>T("22")</f>
        <v>22</v>
      </c>
      <c r="E395" t="str">
        <f>T("화방")</f>
        <v>화방</v>
      </c>
      <c r="G395" t="str">
        <f>T("망북")</f>
        <v>망북</v>
      </c>
      <c r="H395" t="str">
        <f t="shared" si="21"/>
        <v>스토리위즈</v>
      </c>
      <c r="I395" t="str">
        <f>T("요괴님은 수련중")</f>
        <v>요괴님은 수련중</v>
      </c>
      <c r="J395">
        <v>400</v>
      </c>
      <c r="K395">
        <v>0</v>
      </c>
      <c r="L395">
        <v>0</v>
      </c>
      <c r="M395">
        <v>0</v>
      </c>
      <c r="N395">
        <v>200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200</v>
      </c>
      <c r="AH395">
        <v>1</v>
      </c>
      <c r="AI395">
        <v>0</v>
      </c>
      <c r="AJ395">
        <v>0</v>
      </c>
      <c r="AK395">
        <v>200</v>
      </c>
      <c r="AL395">
        <v>0</v>
      </c>
      <c r="AM395">
        <v>0</v>
      </c>
      <c r="AN395">
        <v>0</v>
      </c>
      <c r="AO395">
        <v>0</v>
      </c>
      <c r="AP395">
        <v>140</v>
      </c>
      <c r="AR395" t="str">
        <f t="shared" si="22"/>
        <v>0000000000000</v>
      </c>
      <c r="AT395" t="str">
        <f>T("9791137603899")</f>
        <v>9791137603899</v>
      </c>
      <c r="AV395" t="str">
        <f>T("웹툰 &gt; 해외 순정")</f>
        <v>웹툰 &gt; 해외 순정</v>
      </c>
    </row>
    <row r="396" spans="1:48" x14ac:dyDescent="0.4">
      <c r="A396">
        <v>4421000001</v>
      </c>
      <c r="B396">
        <v>4421000027</v>
      </c>
      <c r="C396" t="str">
        <f>T("감옥실험 17화")</f>
        <v>감옥실험 17화</v>
      </c>
      <c r="D396" t="str">
        <f>T("17")</f>
        <v>17</v>
      </c>
      <c r="E396" t="str">
        <f>T("Kantetsu")</f>
        <v>Kantetsu</v>
      </c>
      <c r="G396" t="str">
        <f>T("Minase Chiho")</f>
        <v>Minase Chiho</v>
      </c>
      <c r="H396" t="str">
        <f t="shared" si="21"/>
        <v>스토리위즈</v>
      </c>
      <c r="I396" t="str">
        <f>T("감옥실험")</f>
        <v>감옥실험</v>
      </c>
      <c r="J396">
        <v>500</v>
      </c>
      <c r="K396">
        <v>0</v>
      </c>
      <c r="L396">
        <v>0</v>
      </c>
      <c r="M396">
        <v>0</v>
      </c>
      <c r="N396">
        <v>2100</v>
      </c>
      <c r="O396">
        <v>7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2100</v>
      </c>
      <c r="AH396">
        <v>7</v>
      </c>
      <c r="AI396">
        <v>0</v>
      </c>
      <c r="AJ396">
        <v>0</v>
      </c>
      <c r="AK396">
        <v>2100</v>
      </c>
      <c r="AL396">
        <v>0</v>
      </c>
      <c r="AM396">
        <v>0</v>
      </c>
      <c r="AN396">
        <v>0</v>
      </c>
      <c r="AO396">
        <v>0</v>
      </c>
      <c r="AP396">
        <v>1470</v>
      </c>
      <c r="AT396" t="str">
        <f>T("9791166069406")</f>
        <v>9791166069406</v>
      </c>
      <c r="AV396" t="str">
        <f>T("웹툰 &gt; 드라마")</f>
        <v>웹툰 &gt; 드라마</v>
      </c>
    </row>
    <row r="397" spans="1:48" x14ac:dyDescent="0.4">
      <c r="A397">
        <v>4421001377</v>
      </c>
      <c r="B397">
        <v>4421001383</v>
      </c>
      <c r="C397" t="str">
        <f>T("요괴님은 수련중 7화")</f>
        <v>요괴님은 수련중 7화</v>
      </c>
      <c r="D397" t="str">
        <f>T("7")</f>
        <v>7</v>
      </c>
      <c r="E397" t="str">
        <f>T("화방")</f>
        <v>화방</v>
      </c>
      <c r="G397" t="str">
        <f>T("망북")</f>
        <v>망북</v>
      </c>
      <c r="H397" t="str">
        <f t="shared" si="21"/>
        <v>스토리위즈</v>
      </c>
      <c r="I397" t="str">
        <f>T("요괴님은 수련중")</f>
        <v>요괴님은 수련중</v>
      </c>
      <c r="J397">
        <v>400</v>
      </c>
      <c r="K397">
        <v>0</v>
      </c>
      <c r="L397">
        <v>0</v>
      </c>
      <c r="M397">
        <v>0</v>
      </c>
      <c r="N397">
        <v>200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200</v>
      </c>
      <c r="AH397">
        <v>1</v>
      </c>
      <c r="AI397">
        <v>0</v>
      </c>
      <c r="AJ397">
        <v>0</v>
      </c>
      <c r="AK397">
        <v>200</v>
      </c>
      <c r="AL397">
        <v>0</v>
      </c>
      <c r="AM397">
        <v>0</v>
      </c>
      <c r="AN397">
        <v>0</v>
      </c>
      <c r="AO397">
        <v>0</v>
      </c>
      <c r="AP397">
        <v>140</v>
      </c>
      <c r="AR397" t="str">
        <f>T("0000000000000")</f>
        <v>0000000000000</v>
      </c>
      <c r="AT397" t="str">
        <f>T("9791137603899")</f>
        <v>9791137603899</v>
      </c>
      <c r="AV397" t="str">
        <f>T("웹툰 &gt; 해외 순정")</f>
        <v>웹툰 &gt; 해외 순정</v>
      </c>
    </row>
    <row r="398" spans="1:48" x14ac:dyDescent="0.4">
      <c r="A398">
        <v>4421000001</v>
      </c>
      <c r="B398">
        <v>4421000066</v>
      </c>
      <c r="C398" t="str">
        <f>T("감옥실험 46화")</f>
        <v>감옥실험 46화</v>
      </c>
      <c r="D398" t="str">
        <f>T("46")</f>
        <v>46</v>
      </c>
      <c r="E398" t="str">
        <f>T("Kantetsu")</f>
        <v>Kantetsu</v>
      </c>
      <c r="G398" t="str">
        <f>T("Minase Chiho")</f>
        <v>Minase Chiho</v>
      </c>
      <c r="H398" t="str">
        <f t="shared" si="21"/>
        <v>스토리위즈</v>
      </c>
      <c r="I398" t="str">
        <f>T("감옥실험")</f>
        <v>감옥실험</v>
      </c>
      <c r="J398">
        <v>500</v>
      </c>
      <c r="K398">
        <v>0</v>
      </c>
      <c r="L398">
        <v>0</v>
      </c>
      <c r="M398">
        <v>0</v>
      </c>
      <c r="N398">
        <v>1200</v>
      </c>
      <c r="O398">
        <v>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1200</v>
      </c>
      <c r="AH398">
        <v>4</v>
      </c>
      <c r="AI398">
        <v>0</v>
      </c>
      <c r="AJ398">
        <v>0</v>
      </c>
      <c r="AK398">
        <v>1200</v>
      </c>
      <c r="AL398">
        <v>0</v>
      </c>
      <c r="AM398">
        <v>0</v>
      </c>
      <c r="AN398">
        <v>0</v>
      </c>
      <c r="AO398">
        <v>0</v>
      </c>
      <c r="AP398">
        <v>840</v>
      </c>
      <c r="AT398" t="str">
        <f>T("9791166069406")</f>
        <v>9791166069406</v>
      </c>
      <c r="AV398" t="str">
        <f>T("웹툰 &gt; 드라마")</f>
        <v>웹툰 &gt; 드라마</v>
      </c>
    </row>
    <row r="399" spans="1:48" x14ac:dyDescent="0.4">
      <c r="A399">
        <v>4421000450</v>
      </c>
      <c r="B399">
        <v>4421000452</v>
      </c>
      <c r="C399" t="str">
        <f>T("내 남편의 스토커 2화")</f>
        <v>내 남편의 스토커 2화</v>
      </c>
      <c r="D399" t="str">
        <f>T("2")</f>
        <v>2</v>
      </c>
      <c r="E399" t="str">
        <f>T("혜원")</f>
        <v>혜원</v>
      </c>
      <c r="G399" t="str">
        <f>T("혜원")</f>
        <v>혜원</v>
      </c>
      <c r="H399" t="str">
        <f t="shared" si="21"/>
        <v>스토리위즈</v>
      </c>
      <c r="I399" t="str">
        <f>T("내 남편의 스토커")</f>
        <v>내 남편의 스토커</v>
      </c>
      <c r="J399">
        <v>400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R399" t="str">
        <f>T("0000000000000")</f>
        <v>0000000000000</v>
      </c>
      <c r="AT399" t="str">
        <f>T("9791166068034")</f>
        <v>9791166068034</v>
      </c>
      <c r="AV399" t="str">
        <f>T("웹툰 &gt; 국내 순정")</f>
        <v>웹툰 &gt; 국내 순정</v>
      </c>
    </row>
    <row r="400" spans="1:48" x14ac:dyDescent="0.4">
      <c r="A400">
        <v>4421000866</v>
      </c>
      <c r="B400">
        <v>4421000883</v>
      </c>
      <c r="C400" t="str">
        <f>T("최애에게 들켜버렸다 17화")</f>
        <v>최애에게 들켜버렸다 17화</v>
      </c>
      <c r="D400" t="str">
        <f>T("17")</f>
        <v>17</v>
      </c>
      <c r="E400" t="str">
        <f>T("Lv")</f>
        <v>Lv</v>
      </c>
      <c r="G400" t="str">
        <f>T("Lv")</f>
        <v>Lv</v>
      </c>
      <c r="H400" t="str">
        <f t="shared" si="21"/>
        <v>스토리위즈</v>
      </c>
      <c r="I400" t="str">
        <f>T("최애에게 들켜버렸다")</f>
        <v>최애에게 들켜버렸다</v>
      </c>
      <c r="J400">
        <v>400</v>
      </c>
      <c r="K400">
        <v>0</v>
      </c>
      <c r="L400">
        <v>0</v>
      </c>
      <c r="M400">
        <v>0</v>
      </c>
      <c r="N400">
        <v>400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400</v>
      </c>
      <c r="AH400">
        <v>2</v>
      </c>
      <c r="AI400">
        <v>0</v>
      </c>
      <c r="AJ400">
        <v>0</v>
      </c>
      <c r="AK400">
        <v>400</v>
      </c>
      <c r="AL400">
        <v>0</v>
      </c>
      <c r="AM400">
        <v>0</v>
      </c>
      <c r="AN400">
        <v>0</v>
      </c>
      <c r="AO400">
        <v>0</v>
      </c>
      <c r="AP400">
        <v>280</v>
      </c>
      <c r="AR400" t="str">
        <f>T("0000000000000")</f>
        <v>0000000000000</v>
      </c>
      <c r="AT400" t="str">
        <f>T("9791137601253")</f>
        <v>9791137601253</v>
      </c>
      <c r="AV400" t="str">
        <f>T("웹툰 &gt; 해외 순정")</f>
        <v>웹툰 &gt; 해외 순정</v>
      </c>
    </row>
    <row r="401" spans="1:48" x14ac:dyDescent="0.4">
      <c r="A401">
        <v>4421000866</v>
      </c>
      <c r="B401">
        <v>4421001266</v>
      </c>
      <c r="C401" t="str">
        <f>T("최애에게 들켜버렸다 60화")</f>
        <v>최애에게 들켜버렸다 60화</v>
      </c>
      <c r="D401" t="str">
        <f>T("63")</f>
        <v>63</v>
      </c>
      <c r="E401" t="str">
        <f>T("Lv")</f>
        <v>Lv</v>
      </c>
      <c r="G401" t="str">
        <f>T("Lv")</f>
        <v>Lv</v>
      </c>
      <c r="H401" t="str">
        <f t="shared" si="21"/>
        <v>스토리위즈</v>
      </c>
      <c r="I401" t="str">
        <f>T("최애에게 들켜버렸다")</f>
        <v>최애에게 들켜버렸다</v>
      </c>
      <c r="J401">
        <v>400</v>
      </c>
      <c r="K401">
        <v>0</v>
      </c>
      <c r="L401">
        <v>0</v>
      </c>
      <c r="M401">
        <v>0</v>
      </c>
      <c r="N401">
        <v>200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200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200</v>
      </c>
      <c r="AN401">
        <v>0</v>
      </c>
      <c r="AO401">
        <v>0</v>
      </c>
      <c r="AP401">
        <v>140</v>
      </c>
      <c r="AR401" t="str">
        <f>T("0000000000000")</f>
        <v>0000000000000</v>
      </c>
      <c r="AT401" t="str">
        <f>T("9791137601253")</f>
        <v>9791137601253</v>
      </c>
      <c r="AV401" t="str">
        <f>T("웹툰 &gt; 해외 순정")</f>
        <v>웹툰 &gt; 해외 순정</v>
      </c>
    </row>
    <row r="402" spans="1:48" x14ac:dyDescent="0.4">
      <c r="A402">
        <v>4421000069</v>
      </c>
      <c r="B402">
        <v>4421000149</v>
      </c>
      <c r="C402" t="str">
        <f>T("너랑 나랑 하면 79화")</f>
        <v>너랑 나랑 하면 79화</v>
      </c>
      <c r="D402" t="str">
        <f>T("79")</f>
        <v>79</v>
      </c>
      <c r="E402" t="str">
        <f>T("NISANSUI")</f>
        <v>NISANSUI</v>
      </c>
      <c r="G402" t="str">
        <f>T("ZIQUAN")</f>
        <v>ZIQUAN</v>
      </c>
      <c r="H402" t="str">
        <f t="shared" si="21"/>
        <v>스토리위즈</v>
      </c>
      <c r="I402" t="str">
        <f>T("너랑 나랑 하면")</f>
        <v>너랑 나랑 하면</v>
      </c>
      <c r="J402">
        <v>400</v>
      </c>
      <c r="K402">
        <v>0</v>
      </c>
      <c r="L402">
        <v>0</v>
      </c>
      <c r="M402">
        <v>0</v>
      </c>
      <c r="N402">
        <v>200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200</v>
      </c>
      <c r="AH402">
        <v>1</v>
      </c>
      <c r="AI402">
        <v>0</v>
      </c>
      <c r="AJ402">
        <v>0</v>
      </c>
      <c r="AK402">
        <v>200</v>
      </c>
      <c r="AL402">
        <v>0</v>
      </c>
      <c r="AM402">
        <v>0</v>
      </c>
      <c r="AN402">
        <v>0</v>
      </c>
      <c r="AO402">
        <v>0</v>
      </c>
      <c r="AP402">
        <v>140</v>
      </c>
      <c r="AR402" t="str">
        <f>T("0000000000000")</f>
        <v>0000000000000</v>
      </c>
      <c r="AT402" t="str">
        <f>T("9791166067884")</f>
        <v>9791166067884</v>
      </c>
      <c r="AV402" t="str">
        <f>T("BL 웹툰 &gt; 웹툰")</f>
        <v>BL 웹툰 &gt; 웹툰</v>
      </c>
    </row>
    <row r="403" spans="1:48" x14ac:dyDescent="0.4">
      <c r="A403">
        <v>4421000001</v>
      </c>
      <c r="B403">
        <v>4421000059</v>
      </c>
      <c r="C403" t="str">
        <f>T("감옥실험 39화")</f>
        <v>감옥실험 39화</v>
      </c>
      <c r="D403" t="str">
        <f>T("39")</f>
        <v>39</v>
      </c>
      <c r="E403" t="str">
        <f>T("Kantetsu")</f>
        <v>Kantetsu</v>
      </c>
      <c r="G403" t="str">
        <f>T("Minase Chiho")</f>
        <v>Minase Chiho</v>
      </c>
      <c r="H403" t="str">
        <f t="shared" si="21"/>
        <v>스토리위즈</v>
      </c>
      <c r="I403" t="str">
        <f>T("감옥실험")</f>
        <v>감옥실험</v>
      </c>
      <c r="J403">
        <v>500</v>
      </c>
      <c r="K403">
        <v>0</v>
      </c>
      <c r="L403">
        <v>0</v>
      </c>
      <c r="M403">
        <v>0</v>
      </c>
      <c r="N403">
        <v>1200</v>
      </c>
      <c r="O403">
        <v>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1200</v>
      </c>
      <c r="AH403">
        <v>4</v>
      </c>
      <c r="AI403">
        <v>0</v>
      </c>
      <c r="AJ403">
        <v>0</v>
      </c>
      <c r="AK403">
        <v>1200</v>
      </c>
      <c r="AL403">
        <v>0</v>
      </c>
      <c r="AM403">
        <v>0</v>
      </c>
      <c r="AN403">
        <v>0</v>
      </c>
      <c r="AO403">
        <v>0</v>
      </c>
      <c r="AP403">
        <v>840</v>
      </c>
      <c r="AT403" t="str">
        <f>T("9791166069406")</f>
        <v>9791166069406</v>
      </c>
      <c r="AV403" t="str">
        <f>T("웹툰 &gt; 드라마")</f>
        <v>웹툰 &gt; 드라마</v>
      </c>
    </row>
    <row r="404" spans="1:48" x14ac:dyDescent="0.4">
      <c r="A404">
        <v>4421000866</v>
      </c>
      <c r="B404">
        <v>4421000915</v>
      </c>
      <c r="C404" t="str">
        <f>T("최애에게 들켜버렸다 24화")</f>
        <v>최애에게 들켜버렸다 24화</v>
      </c>
      <c r="D404" t="str">
        <f>T("25")</f>
        <v>25</v>
      </c>
      <c r="E404" t="str">
        <f>T("Lv")</f>
        <v>Lv</v>
      </c>
      <c r="G404" t="str">
        <f>T("Lv")</f>
        <v>Lv</v>
      </c>
      <c r="H404" t="str">
        <f t="shared" si="21"/>
        <v>스토리위즈</v>
      </c>
      <c r="I404" t="str">
        <f>T("최애에게 들켜버렸다")</f>
        <v>최애에게 들켜버렸다</v>
      </c>
      <c r="J404">
        <v>400</v>
      </c>
      <c r="K404">
        <v>0</v>
      </c>
      <c r="L404">
        <v>0</v>
      </c>
      <c r="M404">
        <v>0</v>
      </c>
      <c r="N404">
        <v>200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200</v>
      </c>
      <c r="AH404">
        <v>1</v>
      </c>
      <c r="AI404">
        <v>0</v>
      </c>
      <c r="AJ404">
        <v>0</v>
      </c>
      <c r="AK404">
        <v>200</v>
      </c>
      <c r="AL404">
        <v>0</v>
      </c>
      <c r="AM404">
        <v>0</v>
      </c>
      <c r="AN404">
        <v>0</v>
      </c>
      <c r="AO404">
        <v>0</v>
      </c>
      <c r="AP404">
        <v>140</v>
      </c>
      <c r="AR404" t="str">
        <f t="shared" ref="AR404:AR412" si="23">T("0000000000000")</f>
        <v>0000000000000</v>
      </c>
      <c r="AT404" t="str">
        <f>T("9791137601253")</f>
        <v>9791137601253</v>
      </c>
      <c r="AV404" t="str">
        <f>T("웹툰 &gt; 해외 순정")</f>
        <v>웹툰 &gt; 해외 순정</v>
      </c>
    </row>
    <row r="405" spans="1:48" x14ac:dyDescent="0.4">
      <c r="A405">
        <v>4421000337</v>
      </c>
      <c r="B405">
        <v>4421000337</v>
      </c>
      <c r="C405" t="str">
        <f>T("계약연애, 오늘부터 1일 1화")</f>
        <v>계약연애, 오늘부터 1일 1화</v>
      </c>
      <c r="D405" t="str">
        <f>T("1")</f>
        <v>1</v>
      </c>
      <c r="E405" t="str">
        <f>T("원기공장")</f>
        <v>원기공장</v>
      </c>
      <c r="H405" t="str">
        <f t="shared" si="21"/>
        <v>스토리위즈</v>
      </c>
      <c r="I405" t="str">
        <f>T("계약연애, 오늘부터 1일")</f>
        <v>계약연애, 오늘부터 1일</v>
      </c>
      <c r="J405">
        <v>200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6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R405" t="str">
        <f t="shared" si="23"/>
        <v>0000000000000</v>
      </c>
      <c r="AT405" t="str">
        <f>T("9791166068027")</f>
        <v>9791166068027</v>
      </c>
      <c r="AV405" t="str">
        <f>T("웹툰 &gt; 해외 순정")</f>
        <v>웹툰 &gt; 해외 순정</v>
      </c>
    </row>
    <row r="406" spans="1:48" x14ac:dyDescent="0.4">
      <c r="A406">
        <v>4421000742</v>
      </c>
      <c r="B406">
        <v>4421000760</v>
      </c>
      <c r="C406" t="str">
        <f>T("연애 2분의 1 19화")</f>
        <v>연애 2분의 1 19화</v>
      </c>
      <c r="D406" t="str">
        <f>T("19")</f>
        <v>19</v>
      </c>
      <c r="E406" t="str">
        <f>T("Zhupi&amp;Yangxuetu")</f>
        <v>Zhupi&amp;Yangxuetu</v>
      </c>
      <c r="H406" t="str">
        <f t="shared" si="21"/>
        <v>스토리위즈</v>
      </c>
      <c r="I406" t="str">
        <f>T("연애 2분의 1")</f>
        <v>연애 2분의 1</v>
      </c>
      <c r="J406">
        <v>200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R406" t="str">
        <f t="shared" si="23"/>
        <v>0000000000000</v>
      </c>
      <c r="AT406" t="str">
        <f>T("9791166067891")</f>
        <v>9791166067891</v>
      </c>
      <c r="AV406" t="str">
        <f>T("웹툰 &gt; 해외 순정")</f>
        <v>웹툰 &gt; 해외 순정</v>
      </c>
    </row>
    <row r="407" spans="1:48" x14ac:dyDescent="0.4">
      <c r="A407">
        <v>4421000069</v>
      </c>
      <c r="B407">
        <v>4421000091</v>
      </c>
      <c r="C407" t="str">
        <f>T("너랑 나랑 하면 22화")</f>
        <v>너랑 나랑 하면 22화</v>
      </c>
      <c r="D407" t="str">
        <f>T("22")</f>
        <v>22</v>
      </c>
      <c r="E407" t="str">
        <f>T("NISANSUI")</f>
        <v>NISANSUI</v>
      </c>
      <c r="G407" t="str">
        <f>T("ZIQUAN")</f>
        <v>ZIQUAN</v>
      </c>
      <c r="H407" t="str">
        <f t="shared" si="21"/>
        <v>스토리위즈</v>
      </c>
      <c r="I407" t="str">
        <f>T("너랑 나랑 하면")</f>
        <v>너랑 나랑 하면</v>
      </c>
      <c r="J407">
        <v>400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R407" t="str">
        <f t="shared" si="23"/>
        <v>0000000000000</v>
      </c>
      <c r="AT407" t="str">
        <f>T("9791166067884")</f>
        <v>9791166067884</v>
      </c>
      <c r="AV407" t="str">
        <f>T("BL 웹툰 &gt; 웹툰")</f>
        <v>BL 웹툰 &gt; 웹툰</v>
      </c>
    </row>
    <row r="408" spans="1:48" x14ac:dyDescent="0.4">
      <c r="A408">
        <v>4421000198</v>
      </c>
      <c r="B408">
        <v>4421000200</v>
      </c>
      <c r="C408" t="str">
        <f>T("공주전쟁 3화")</f>
        <v>공주전쟁 3화</v>
      </c>
      <c r="D408" t="str">
        <f>T("3")</f>
        <v>3</v>
      </c>
      <c r="E408" t="str">
        <f>T("Hujing")</f>
        <v>Hujing</v>
      </c>
      <c r="G408" t="str">
        <f>T("Luojie")</f>
        <v>Luojie</v>
      </c>
      <c r="H408" t="str">
        <f t="shared" si="21"/>
        <v>스토리위즈</v>
      </c>
      <c r="I408" t="str">
        <f>T("공주전쟁")</f>
        <v>공주전쟁</v>
      </c>
      <c r="J408">
        <v>400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6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R408" t="str">
        <f t="shared" si="23"/>
        <v>0000000000000</v>
      </c>
      <c r="AT408" t="str">
        <f>T("9791166069666")</f>
        <v>9791166069666</v>
      </c>
      <c r="AV408" t="str">
        <f>T("웹툰 &gt; 해외 순정")</f>
        <v>웹툰 &gt; 해외 순정</v>
      </c>
    </row>
    <row r="409" spans="1:48" x14ac:dyDescent="0.4">
      <c r="A409">
        <v>4421000742</v>
      </c>
      <c r="B409">
        <v>4421000753</v>
      </c>
      <c r="C409" t="str">
        <f>T("연애 2분의 1 12화")</f>
        <v>연애 2분의 1 12화</v>
      </c>
      <c r="D409" t="str">
        <f>T("12")</f>
        <v>12</v>
      </c>
      <c r="E409" t="str">
        <f>T("Zhupi&amp;Yangxuetu")</f>
        <v>Zhupi&amp;Yangxuetu</v>
      </c>
      <c r="H409" t="str">
        <f t="shared" si="21"/>
        <v>스토리위즈</v>
      </c>
      <c r="I409" t="str">
        <f>T("연애 2분의 1")</f>
        <v>연애 2분의 1</v>
      </c>
      <c r="J409">
        <v>200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R409" t="str">
        <f t="shared" si="23"/>
        <v>0000000000000</v>
      </c>
      <c r="AT409" t="str">
        <f>T("9791166067891")</f>
        <v>9791166067891</v>
      </c>
      <c r="AV409" t="str">
        <f>T("웹툰 &gt; 해외 순정")</f>
        <v>웹툰 &gt; 해외 순정</v>
      </c>
    </row>
    <row r="410" spans="1:48" x14ac:dyDescent="0.4">
      <c r="A410">
        <v>4421000742</v>
      </c>
      <c r="B410">
        <v>4421000745</v>
      </c>
      <c r="C410" t="str">
        <f>T("연애 2분의 1 4화")</f>
        <v>연애 2분의 1 4화</v>
      </c>
      <c r="D410" t="str">
        <f>T("4")</f>
        <v>4</v>
      </c>
      <c r="E410" t="str">
        <f>T("Zhupi&amp;Yangxuetu")</f>
        <v>Zhupi&amp;Yangxuetu</v>
      </c>
      <c r="H410" t="str">
        <f t="shared" si="21"/>
        <v>스토리위즈</v>
      </c>
      <c r="I410" t="str">
        <f>T("연애 2분의 1")</f>
        <v>연애 2분의 1</v>
      </c>
      <c r="J410">
        <v>200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2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R410" t="str">
        <f t="shared" si="23"/>
        <v>0000000000000</v>
      </c>
      <c r="AT410" t="str">
        <f>T("9791166067891")</f>
        <v>9791166067891</v>
      </c>
      <c r="AV410" t="str">
        <f>T("웹툰 &gt; 해외 순정")</f>
        <v>웹툰 &gt; 해외 순정</v>
      </c>
    </row>
    <row r="411" spans="1:48" x14ac:dyDescent="0.4">
      <c r="A411">
        <v>4421000069</v>
      </c>
      <c r="B411">
        <v>4421000084</v>
      </c>
      <c r="C411" t="str">
        <f>T("너랑 나랑 하면 15화")</f>
        <v>너랑 나랑 하면 15화</v>
      </c>
      <c r="D411" t="str">
        <f>T("15")</f>
        <v>15</v>
      </c>
      <c r="E411" t="str">
        <f>T("NISANSUI")</f>
        <v>NISANSUI</v>
      </c>
      <c r="G411" t="str">
        <f>T("ZIQUAN")</f>
        <v>ZIQUAN</v>
      </c>
      <c r="H411" t="str">
        <f t="shared" si="21"/>
        <v>스토리위즈</v>
      </c>
      <c r="I411" t="str">
        <f>T("너랑 나랑 하면")</f>
        <v>너랑 나랑 하면</v>
      </c>
      <c r="J411">
        <v>400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R411" t="str">
        <f t="shared" si="23"/>
        <v>0000000000000</v>
      </c>
      <c r="AT411" t="str">
        <f>T("9791166067884")</f>
        <v>9791166067884</v>
      </c>
      <c r="AV411" t="str">
        <f>T("BL 웹툰 &gt; 웹툰")</f>
        <v>BL 웹툰 &gt; 웹툰</v>
      </c>
    </row>
    <row r="412" spans="1:48" x14ac:dyDescent="0.4">
      <c r="A412">
        <v>4421000866</v>
      </c>
      <c r="B412">
        <v>4421000970</v>
      </c>
      <c r="C412" t="str">
        <f>T("최애에게 들켜버렸다 29화")</f>
        <v>최애에게 들켜버렸다 29화</v>
      </c>
      <c r="D412" t="str">
        <f>T("30")</f>
        <v>30</v>
      </c>
      <c r="E412" t="str">
        <f>T("Lv")</f>
        <v>Lv</v>
      </c>
      <c r="G412" t="str">
        <f>T("Lv")</f>
        <v>Lv</v>
      </c>
      <c r="H412" t="str">
        <f t="shared" si="21"/>
        <v>스토리위즈</v>
      </c>
      <c r="I412" t="str">
        <f>T("최애에게 들켜버렸다")</f>
        <v>최애에게 들켜버렸다</v>
      </c>
      <c r="J412">
        <v>400</v>
      </c>
      <c r="K412">
        <v>0</v>
      </c>
      <c r="L412">
        <v>0</v>
      </c>
      <c r="M412">
        <v>0</v>
      </c>
      <c r="N412">
        <v>200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200</v>
      </c>
      <c r="AH412">
        <v>1</v>
      </c>
      <c r="AI412">
        <v>0</v>
      </c>
      <c r="AJ412">
        <v>0</v>
      </c>
      <c r="AK412">
        <v>200</v>
      </c>
      <c r="AL412">
        <v>0</v>
      </c>
      <c r="AM412">
        <v>0</v>
      </c>
      <c r="AN412">
        <v>0</v>
      </c>
      <c r="AO412">
        <v>0</v>
      </c>
      <c r="AP412">
        <v>140</v>
      </c>
      <c r="AR412" t="str">
        <f t="shared" si="23"/>
        <v>0000000000000</v>
      </c>
      <c r="AT412" t="str">
        <f>T("9791137601253")</f>
        <v>9791137601253</v>
      </c>
      <c r="AV412" t="str">
        <f>T("웹툰 &gt; 해외 순정")</f>
        <v>웹툰 &gt; 해외 순정</v>
      </c>
    </row>
    <row r="413" spans="1:48" x14ac:dyDescent="0.4">
      <c r="A413">
        <v>4421000002</v>
      </c>
      <c r="B413">
        <v>4421000181</v>
      </c>
      <c r="C413" t="str">
        <f>T("이세계 소환은 두 번째라구요 26화")</f>
        <v>이세계 소환은 두 번째라구요 26화</v>
      </c>
      <c r="D413" t="str">
        <f>T("26")</f>
        <v>26</v>
      </c>
      <c r="E413" t="str">
        <f>T("Arashiyama, Kishimoto Kazuha, Shimahara")</f>
        <v>Arashiyama, Kishimoto Kazuha, Shimahara</v>
      </c>
      <c r="H413" t="str">
        <f t="shared" si="21"/>
        <v>스토리위즈</v>
      </c>
      <c r="I413" t="str">
        <f>T("이세계 소환은 두 번째라구요")</f>
        <v>이세계 소환은 두 번째라구요</v>
      </c>
      <c r="J413">
        <v>500</v>
      </c>
      <c r="K413">
        <v>0</v>
      </c>
      <c r="L413">
        <v>0</v>
      </c>
      <c r="M413">
        <v>0</v>
      </c>
      <c r="N413">
        <v>300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300</v>
      </c>
      <c r="AH413">
        <v>1</v>
      </c>
      <c r="AI413">
        <v>0</v>
      </c>
      <c r="AJ413">
        <v>0</v>
      </c>
      <c r="AK413">
        <v>300</v>
      </c>
      <c r="AL413">
        <v>0</v>
      </c>
      <c r="AM413">
        <v>0</v>
      </c>
      <c r="AN413">
        <v>0</v>
      </c>
      <c r="AO413">
        <v>0</v>
      </c>
      <c r="AP413">
        <v>210</v>
      </c>
      <c r="AT413" t="str">
        <f>T("9791166069390")</f>
        <v>9791166069390</v>
      </c>
      <c r="AV413" t="str">
        <f>T("웹툰 &gt; 판타지/SF")</f>
        <v>웹툰 &gt; 판타지/SF</v>
      </c>
    </row>
    <row r="414" spans="1:48" x14ac:dyDescent="0.4">
      <c r="A414">
        <v>4421000866</v>
      </c>
      <c r="B414">
        <v>4421000876</v>
      </c>
      <c r="C414" t="str">
        <f>T("최애에게 들켜버렸다 10화")</f>
        <v>최애에게 들켜버렸다 10화</v>
      </c>
      <c r="D414" t="str">
        <f>T("10")</f>
        <v>10</v>
      </c>
      <c r="E414" t="str">
        <f>T("Lv")</f>
        <v>Lv</v>
      </c>
      <c r="G414" t="str">
        <f>T("Lv")</f>
        <v>Lv</v>
      </c>
      <c r="H414" t="str">
        <f t="shared" si="21"/>
        <v>스토리위즈</v>
      </c>
      <c r="I414" t="str">
        <f>T("최애에게 들켜버렸다")</f>
        <v>최애에게 들켜버렸다</v>
      </c>
      <c r="J414">
        <v>400</v>
      </c>
      <c r="K414">
        <v>0</v>
      </c>
      <c r="L414">
        <v>0</v>
      </c>
      <c r="M414">
        <v>0</v>
      </c>
      <c r="N414">
        <v>400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400</v>
      </c>
      <c r="AH414">
        <v>2</v>
      </c>
      <c r="AI414">
        <v>0</v>
      </c>
      <c r="AJ414">
        <v>0</v>
      </c>
      <c r="AK414">
        <v>400</v>
      </c>
      <c r="AL414">
        <v>0</v>
      </c>
      <c r="AM414">
        <v>0</v>
      </c>
      <c r="AN414">
        <v>0</v>
      </c>
      <c r="AO414">
        <v>0</v>
      </c>
      <c r="AP414">
        <v>280</v>
      </c>
      <c r="AR414" t="str">
        <f>T("0000000000000")</f>
        <v>0000000000000</v>
      </c>
      <c r="AT414" t="str">
        <f>T("9791137601253")</f>
        <v>9791137601253</v>
      </c>
      <c r="AV414" t="str">
        <f>T("웹툰 &gt; 해외 순정")</f>
        <v>웹툰 &gt; 해외 순정</v>
      </c>
    </row>
    <row r="415" spans="1:48" x14ac:dyDescent="0.4">
      <c r="A415">
        <v>4421001377</v>
      </c>
      <c r="B415">
        <v>4421001393</v>
      </c>
      <c r="C415" t="str">
        <f>T("요괴님은 수련중 17화")</f>
        <v>요괴님은 수련중 17화</v>
      </c>
      <c r="D415" t="str">
        <f>T("17")</f>
        <v>17</v>
      </c>
      <c r="E415" t="str">
        <f>T("화방")</f>
        <v>화방</v>
      </c>
      <c r="G415" t="str">
        <f>T("망북")</f>
        <v>망북</v>
      </c>
      <c r="H415" t="str">
        <f t="shared" si="21"/>
        <v>스토리위즈</v>
      </c>
      <c r="I415" t="str">
        <f>T("요괴님은 수련중")</f>
        <v>요괴님은 수련중</v>
      </c>
      <c r="J415">
        <v>400</v>
      </c>
      <c r="K415">
        <v>0</v>
      </c>
      <c r="L415">
        <v>0</v>
      </c>
      <c r="M415">
        <v>0</v>
      </c>
      <c r="N415">
        <v>200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200</v>
      </c>
      <c r="AH415">
        <v>1</v>
      </c>
      <c r="AI415">
        <v>0</v>
      </c>
      <c r="AJ415">
        <v>0</v>
      </c>
      <c r="AK415">
        <v>200</v>
      </c>
      <c r="AL415">
        <v>0</v>
      </c>
      <c r="AM415">
        <v>0</v>
      </c>
      <c r="AN415">
        <v>0</v>
      </c>
      <c r="AO415">
        <v>0</v>
      </c>
      <c r="AP415">
        <v>140</v>
      </c>
      <c r="AR415" t="str">
        <f>T("0000000000000")</f>
        <v>0000000000000</v>
      </c>
      <c r="AT415" t="str">
        <f>T("9791137603899")</f>
        <v>9791137603899</v>
      </c>
      <c r="AV415" t="str">
        <f>T("웹툰 &gt; 해외 순정")</f>
        <v>웹툰 &gt; 해외 순정</v>
      </c>
    </row>
    <row r="416" spans="1:48" x14ac:dyDescent="0.4">
      <c r="A416">
        <v>4421000001</v>
      </c>
      <c r="B416">
        <v>4421000013</v>
      </c>
      <c r="C416" t="str">
        <f>T("감옥실험 3화")</f>
        <v>감옥실험 3화</v>
      </c>
      <c r="D416" t="str">
        <f>T("3")</f>
        <v>3</v>
      </c>
      <c r="E416" t="str">
        <f>T("Kantetsu")</f>
        <v>Kantetsu</v>
      </c>
      <c r="G416" t="str">
        <f>T("Minase Chiho")</f>
        <v>Minase Chiho</v>
      </c>
      <c r="H416" t="str">
        <f t="shared" si="21"/>
        <v>스토리위즈</v>
      </c>
      <c r="I416" t="str">
        <f>T("감옥실험")</f>
        <v>감옥실험</v>
      </c>
      <c r="J416">
        <v>500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9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T416" t="str">
        <f>T("9791166069406")</f>
        <v>9791166069406</v>
      </c>
      <c r="AV416" t="str">
        <f>T("웹툰 &gt; 드라마")</f>
        <v>웹툰 &gt; 드라마</v>
      </c>
    </row>
    <row r="417" spans="1:48" x14ac:dyDescent="0.4">
      <c r="A417">
        <v>4421000069</v>
      </c>
      <c r="B417">
        <v>4421000117</v>
      </c>
      <c r="C417" t="str">
        <f>T("너랑 나랑 하면 47화")</f>
        <v>너랑 나랑 하면 47화</v>
      </c>
      <c r="D417" t="str">
        <f>T("47")</f>
        <v>47</v>
      </c>
      <c r="E417" t="str">
        <f>T("NISANSUI")</f>
        <v>NISANSUI</v>
      </c>
      <c r="G417" t="str">
        <f>T("ZIQUAN")</f>
        <v>ZIQUAN</v>
      </c>
      <c r="H417" t="str">
        <f t="shared" si="21"/>
        <v>스토리위즈</v>
      </c>
      <c r="I417" t="str">
        <f>T("너랑 나랑 하면")</f>
        <v>너랑 나랑 하면</v>
      </c>
      <c r="J417">
        <v>400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R417" t="str">
        <f>T("0000000000000")</f>
        <v>0000000000000</v>
      </c>
      <c r="AT417" t="str">
        <f>T("9791166067884")</f>
        <v>9791166067884</v>
      </c>
      <c r="AV417" t="str">
        <f>T("BL 웹툰 &gt; 웹툰")</f>
        <v>BL 웹툰 &gt; 웹툰</v>
      </c>
    </row>
    <row r="418" spans="1:48" x14ac:dyDescent="0.4">
      <c r="A418">
        <v>4421000887</v>
      </c>
      <c r="B418">
        <v>4421001178</v>
      </c>
      <c r="C418" t="str">
        <f>T("폭군의 눈물 38화")</f>
        <v>폭군의 눈물 38화</v>
      </c>
      <c r="D418" t="str">
        <f>T("38")</f>
        <v>38</v>
      </c>
      <c r="E418" t="str">
        <f>T("Ice×FANFAN COMIC")</f>
        <v>Ice×FANFAN COMIC</v>
      </c>
      <c r="G418" t="str">
        <f>T("Ice×FANFAN COMIC")</f>
        <v>Ice×FANFAN COMIC</v>
      </c>
      <c r="H418" t="str">
        <f t="shared" si="21"/>
        <v>스토리위즈</v>
      </c>
      <c r="I418" t="str">
        <f>T("폭군의 눈물")</f>
        <v>폭군의 눈물</v>
      </c>
      <c r="J418">
        <v>400</v>
      </c>
      <c r="K418">
        <v>0</v>
      </c>
      <c r="L418">
        <v>0</v>
      </c>
      <c r="M418">
        <v>0</v>
      </c>
      <c r="N418">
        <v>600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600</v>
      </c>
      <c r="AH418">
        <v>3</v>
      </c>
      <c r="AI418">
        <v>0</v>
      </c>
      <c r="AJ418">
        <v>0</v>
      </c>
      <c r="AK418">
        <v>400</v>
      </c>
      <c r="AL418">
        <v>0</v>
      </c>
      <c r="AM418">
        <v>200</v>
      </c>
      <c r="AN418">
        <v>0</v>
      </c>
      <c r="AO418">
        <v>0</v>
      </c>
      <c r="AP418">
        <v>420</v>
      </c>
      <c r="AR418" t="str">
        <f>T("0000000000000")</f>
        <v>0000000000000</v>
      </c>
      <c r="AT418" t="str">
        <f>T("9791137601291")</f>
        <v>9791137601291</v>
      </c>
      <c r="AV418" t="str">
        <f>T("웹툰 &gt; 해외 순정")</f>
        <v>웹툰 &gt; 해외 순정</v>
      </c>
    </row>
    <row r="419" spans="1:48" x14ac:dyDescent="0.4">
      <c r="A419">
        <v>4421000001</v>
      </c>
      <c r="B419">
        <v>4421000052</v>
      </c>
      <c r="C419" t="str">
        <f>T("감옥실험 32화")</f>
        <v>감옥실험 32화</v>
      </c>
      <c r="D419" t="str">
        <f>T("32")</f>
        <v>32</v>
      </c>
      <c r="E419" t="str">
        <f>T("Kantetsu")</f>
        <v>Kantetsu</v>
      </c>
      <c r="G419" t="str">
        <f>T("Minase Chiho")</f>
        <v>Minase Chiho</v>
      </c>
      <c r="H419" t="str">
        <f t="shared" si="21"/>
        <v>스토리위즈</v>
      </c>
      <c r="I419" t="str">
        <f>T("감옥실험")</f>
        <v>감옥실험</v>
      </c>
      <c r="J419">
        <v>500</v>
      </c>
      <c r="K419">
        <v>0</v>
      </c>
      <c r="L419">
        <v>0</v>
      </c>
      <c r="M419">
        <v>0</v>
      </c>
      <c r="N419">
        <v>1200</v>
      </c>
      <c r="O419">
        <v>4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1200</v>
      </c>
      <c r="AH419">
        <v>4</v>
      </c>
      <c r="AI419">
        <v>0</v>
      </c>
      <c r="AJ419">
        <v>0</v>
      </c>
      <c r="AK419">
        <v>1200</v>
      </c>
      <c r="AL419">
        <v>0</v>
      </c>
      <c r="AM419">
        <v>0</v>
      </c>
      <c r="AN419">
        <v>0</v>
      </c>
      <c r="AO419">
        <v>0</v>
      </c>
      <c r="AP419">
        <v>840</v>
      </c>
      <c r="AT419" t="str">
        <f>T("9791166069406")</f>
        <v>9791166069406</v>
      </c>
      <c r="AV419" t="str">
        <f>T("웹툰 &gt; 드라마")</f>
        <v>웹툰 &gt; 드라마</v>
      </c>
    </row>
    <row r="420" spans="1:48" x14ac:dyDescent="0.4">
      <c r="A420">
        <v>4421000002</v>
      </c>
      <c r="B420">
        <v>4421000257</v>
      </c>
      <c r="C420" t="str">
        <f>T("이세계 소환은 두 번째라구요 41화 (완결)")</f>
        <v>이세계 소환은 두 번째라구요 41화 (완결)</v>
      </c>
      <c r="D420" t="str">
        <f>T("41")</f>
        <v>41</v>
      </c>
      <c r="E420" t="str">
        <f>T("Arashiyama, Kishimoto Kazuha, Shimahara")</f>
        <v>Arashiyama, Kishimoto Kazuha, Shimahara</v>
      </c>
      <c r="H420" t="str">
        <f t="shared" si="21"/>
        <v>스토리위즈</v>
      </c>
      <c r="I420" t="str">
        <f>T("이세계 소환은 두 번째라구요")</f>
        <v>이세계 소환은 두 번째라구요</v>
      </c>
      <c r="J420">
        <v>500</v>
      </c>
      <c r="K420">
        <v>0</v>
      </c>
      <c r="L420">
        <v>0</v>
      </c>
      <c r="M420">
        <v>0</v>
      </c>
      <c r="N420">
        <v>300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300</v>
      </c>
      <c r="AH420">
        <v>1</v>
      </c>
      <c r="AI420">
        <v>0</v>
      </c>
      <c r="AJ420">
        <v>0</v>
      </c>
      <c r="AK420">
        <v>300</v>
      </c>
      <c r="AL420">
        <v>0</v>
      </c>
      <c r="AM420">
        <v>0</v>
      </c>
      <c r="AN420">
        <v>0</v>
      </c>
      <c r="AO420">
        <v>0</v>
      </c>
      <c r="AP420">
        <v>210</v>
      </c>
      <c r="AT420" t="str">
        <f>T("9791166069390")</f>
        <v>9791166069390</v>
      </c>
      <c r="AV420" t="str">
        <f>T("웹툰 &gt; 판타지/SF")</f>
        <v>웹툰 &gt; 판타지/SF</v>
      </c>
    </row>
    <row r="421" spans="1:48" x14ac:dyDescent="0.4">
      <c r="A421">
        <v>4421000866</v>
      </c>
      <c r="B421">
        <v>4421000869</v>
      </c>
      <c r="C421" t="str">
        <f>T("최애에게 들켜버렸다 3화")</f>
        <v>최애에게 들켜버렸다 3화</v>
      </c>
      <c r="D421" t="str">
        <f>T("3")</f>
        <v>3</v>
      </c>
      <c r="E421" t="str">
        <f>T("Lv")</f>
        <v>Lv</v>
      </c>
      <c r="G421" t="str">
        <f>T("Lv")</f>
        <v>Lv</v>
      </c>
      <c r="H421" t="str">
        <f t="shared" si="21"/>
        <v>스토리위즈</v>
      </c>
      <c r="I421" t="str">
        <f>T("최애에게 들켜버렸다")</f>
        <v>최애에게 들켜버렸다</v>
      </c>
      <c r="J421">
        <v>400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R421" t="str">
        <f>T("0000000000000")</f>
        <v>0000000000000</v>
      </c>
      <c r="AT421" t="str">
        <f>T("9791137601253")</f>
        <v>9791137601253</v>
      </c>
      <c r="AV421" t="str">
        <f>T("웹툰 &gt; 해외 순정")</f>
        <v>웹툰 &gt; 해외 순정</v>
      </c>
    </row>
    <row r="422" spans="1:48" x14ac:dyDescent="0.4">
      <c r="A422">
        <v>4421000069</v>
      </c>
      <c r="B422">
        <v>4421000110</v>
      </c>
      <c r="C422" t="str">
        <f>T("너랑 나랑 하면 40화")</f>
        <v>너랑 나랑 하면 40화</v>
      </c>
      <c r="D422" t="str">
        <f>T("40")</f>
        <v>40</v>
      </c>
      <c r="E422" t="str">
        <f>T("NISANSUI")</f>
        <v>NISANSUI</v>
      </c>
      <c r="G422" t="str">
        <f>T("ZIQUAN")</f>
        <v>ZIQUAN</v>
      </c>
      <c r="H422" t="str">
        <f t="shared" si="21"/>
        <v>스토리위즈</v>
      </c>
      <c r="I422" t="str">
        <f>T("너랑 나랑 하면")</f>
        <v>너랑 나랑 하면</v>
      </c>
      <c r="J422">
        <v>400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2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R422" t="str">
        <f>T("0000000000000")</f>
        <v>0000000000000</v>
      </c>
      <c r="AT422" t="str">
        <f>T("9791166067884")</f>
        <v>9791166067884</v>
      </c>
      <c r="AV422" t="str">
        <f>T("BL 웹툰 &gt; 웹툰")</f>
        <v>BL 웹툰 &gt; 웹툰</v>
      </c>
    </row>
    <row r="423" spans="1:48" x14ac:dyDescent="0.4">
      <c r="A423">
        <v>4421001325</v>
      </c>
      <c r="B423">
        <v>4421001328</v>
      </c>
      <c r="C423" t="str">
        <f>T("커피여우 김삼월 4화")</f>
        <v>커피여우 김삼월 4화</v>
      </c>
      <c r="D423" t="str">
        <f>T("4")</f>
        <v>4</v>
      </c>
      <c r="E423" t="str">
        <f>T("Nica")</f>
        <v>Nica</v>
      </c>
      <c r="G423" t="str">
        <f>T("A.Noa, RK Studio")</f>
        <v>A.Noa, RK Studio</v>
      </c>
      <c r="H423" t="str">
        <f t="shared" si="21"/>
        <v>스토리위즈</v>
      </c>
      <c r="I423" t="str">
        <f>T("커피여우 김삼월")</f>
        <v>커피여우 김삼월</v>
      </c>
      <c r="J423">
        <v>500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3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R423" t="str">
        <f>T("0000000000000")</f>
        <v>0000000000000</v>
      </c>
      <c r="AT423" t="str">
        <f>T("9791191241792")</f>
        <v>9791191241792</v>
      </c>
      <c r="AV423" t="str">
        <f>T("웹툰 &gt; 국내 순정")</f>
        <v>웹툰 &gt; 국내 순정</v>
      </c>
    </row>
    <row r="424" spans="1:48" x14ac:dyDescent="0.4">
      <c r="A424">
        <v>4421000001</v>
      </c>
      <c r="B424">
        <v>4421000045</v>
      </c>
      <c r="C424" t="str">
        <f>T("감옥실험 25화")</f>
        <v>감옥실험 25화</v>
      </c>
      <c r="D424" t="str">
        <f>T("25")</f>
        <v>25</v>
      </c>
      <c r="E424" t="str">
        <f>T("Kantetsu")</f>
        <v>Kantetsu</v>
      </c>
      <c r="G424" t="str">
        <f>T("Minase Chiho")</f>
        <v>Minase Chiho</v>
      </c>
      <c r="H424" t="str">
        <f t="shared" si="21"/>
        <v>스토리위즈</v>
      </c>
      <c r="I424" t="str">
        <f>T("감옥실험")</f>
        <v>감옥실험</v>
      </c>
      <c r="J424">
        <v>500</v>
      </c>
      <c r="K424">
        <v>0</v>
      </c>
      <c r="L424">
        <v>0</v>
      </c>
      <c r="M424">
        <v>0</v>
      </c>
      <c r="N424">
        <v>1500</v>
      </c>
      <c r="O424">
        <v>5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1500</v>
      </c>
      <c r="AH424">
        <v>5</v>
      </c>
      <c r="AI424">
        <v>0</v>
      </c>
      <c r="AJ424">
        <v>0</v>
      </c>
      <c r="AK424">
        <v>1500</v>
      </c>
      <c r="AL424">
        <v>0</v>
      </c>
      <c r="AM424">
        <v>0</v>
      </c>
      <c r="AN424">
        <v>0</v>
      </c>
      <c r="AO424">
        <v>0</v>
      </c>
      <c r="AP424">
        <v>1050</v>
      </c>
      <c r="AT424" t="str">
        <f>T("9791166069406")</f>
        <v>9791166069406</v>
      </c>
      <c r="AV424" t="str">
        <f>T("웹툰 &gt; 드라마")</f>
        <v>웹툰 &gt; 드라마</v>
      </c>
    </row>
    <row r="425" spans="1:48" x14ac:dyDescent="0.4">
      <c r="A425">
        <v>4421000002</v>
      </c>
      <c r="B425">
        <v>4421000250</v>
      </c>
      <c r="C425" t="str">
        <f>T("이세계 소환은 두 번째라구요 34화")</f>
        <v>이세계 소환은 두 번째라구요 34화</v>
      </c>
      <c r="D425" t="str">
        <f>T("34")</f>
        <v>34</v>
      </c>
      <c r="E425" t="str">
        <f>T("Arashiyama, Kishimoto Kazuha, Shimahara")</f>
        <v>Arashiyama, Kishimoto Kazuha, Shimahara</v>
      </c>
      <c r="H425" t="str">
        <f t="shared" si="21"/>
        <v>스토리위즈</v>
      </c>
      <c r="I425" t="str">
        <f>T("이세계 소환은 두 번째라구요")</f>
        <v>이세계 소환은 두 번째라구요</v>
      </c>
      <c r="J425">
        <v>500</v>
      </c>
      <c r="K425">
        <v>0</v>
      </c>
      <c r="L425">
        <v>0</v>
      </c>
      <c r="M425">
        <v>0</v>
      </c>
      <c r="N425">
        <v>300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300</v>
      </c>
      <c r="AH425">
        <v>1</v>
      </c>
      <c r="AI425">
        <v>0</v>
      </c>
      <c r="AJ425">
        <v>0</v>
      </c>
      <c r="AK425">
        <v>300</v>
      </c>
      <c r="AL425">
        <v>0</v>
      </c>
      <c r="AM425">
        <v>0</v>
      </c>
      <c r="AN425">
        <v>0</v>
      </c>
      <c r="AO425">
        <v>0</v>
      </c>
      <c r="AP425">
        <v>210</v>
      </c>
      <c r="AT425" t="str">
        <f>T("9791166069390")</f>
        <v>9791166069390</v>
      </c>
      <c r="AV425" t="str">
        <f>T("웹툰 &gt; 판타지/SF")</f>
        <v>웹툰 &gt; 판타지/SF</v>
      </c>
    </row>
    <row r="426" spans="1:48" x14ac:dyDescent="0.4">
      <c r="A426">
        <v>4421000570</v>
      </c>
      <c r="B426">
        <v>4421000571</v>
      </c>
      <c r="C426" t="str">
        <f>T("폐하, 옥체 보존하세요! 2화")</f>
        <v>폐하, 옥체 보존하세요! 2화</v>
      </c>
      <c r="D426" t="str">
        <f>T("2")</f>
        <v>2</v>
      </c>
      <c r="E426" t="str">
        <f>T("Lvyeqianhe")</f>
        <v>Lvyeqianhe</v>
      </c>
      <c r="G426" t="str">
        <f>T("Youzhijiaozi")</f>
        <v>Youzhijiaozi</v>
      </c>
      <c r="H426" t="str">
        <f t="shared" si="21"/>
        <v>스토리위즈</v>
      </c>
      <c r="I426" t="str">
        <f>T("폐하, 옥체 보존하세요!")</f>
        <v>폐하, 옥체 보존하세요!</v>
      </c>
      <c r="J426">
        <v>200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R426" t="str">
        <f>T("0000000000000")</f>
        <v>0000000000000</v>
      </c>
      <c r="AT426" t="str">
        <f>T("9791166068003")</f>
        <v>9791166068003</v>
      </c>
      <c r="AV426" t="str">
        <f>T("웹툰 &gt; 해외 순정")</f>
        <v>웹툰 &gt; 해외 순정</v>
      </c>
    </row>
    <row r="427" spans="1:48" x14ac:dyDescent="0.4">
      <c r="A427">
        <v>4421000069</v>
      </c>
      <c r="B427">
        <v>4421000077</v>
      </c>
      <c r="C427" t="str">
        <f>T("너랑 나랑 하면 8화")</f>
        <v>너랑 나랑 하면 8화</v>
      </c>
      <c r="D427" t="str">
        <f>T("8")</f>
        <v>8</v>
      </c>
      <c r="E427" t="str">
        <f>T("NISANSUI")</f>
        <v>NISANSUI</v>
      </c>
      <c r="G427" t="str">
        <f>T("ZIQUAN")</f>
        <v>ZIQUAN</v>
      </c>
      <c r="H427" t="str">
        <f t="shared" si="21"/>
        <v>스토리위즈</v>
      </c>
      <c r="I427" t="str">
        <f>T("너랑 나랑 하면")</f>
        <v>너랑 나랑 하면</v>
      </c>
      <c r="J427">
        <v>400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R427" t="str">
        <f>T("0000000000000")</f>
        <v>0000000000000</v>
      </c>
      <c r="AT427" t="str">
        <f>T("9791166067884")</f>
        <v>9791166067884</v>
      </c>
      <c r="AV427" t="str">
        <f>T("BL 웹툰 &gt; 웹툰")</f>
        <v>BL 웹툰 &gt; 웹툰</v>
      </c>
    </row>
    <row r="428" spans="1:48" x14ac:dyDescent="0.4">
      <c r="A428">
        <v>4421000001</v>
      </c>
      <c r="B428">
        <v>4421000174</v>
      </c>
      <c r="C428" t="str">
        <f>T("감옥실험 53화")</f>
        <v>감옥실험 53화</v>
      </c>
      <c r="D428" t="str">
        <f>T("53")</f>
        <v>53</v>
      </c>
      <c r="E428" t="str">
        <f>T("Kantetsu")</f>
        <v>Kantetsu</v>
      </c>
      <c r="G428" t="str">
        <f>T("Minase Chiho")</f>
        <v>Minase Chiho</v>
      </c>
      <c r="H428" t="str">
        <f t="shared" si="21"/>
        <v>스토리위즈</v>
      </c>
      <c r="I428" t="str">
        <f>T("감옥실험")</f>
        <v>감옥실험</v>
      </c>
      <c r="J428">
        <v>500</v>
      </c>
      <c r="K428">
        <v>0</v>
      </c>
      <c r="L428">
        <v>0</v>
      </c>
      <c r="M428">
        <v>0</v>
      </c>
      <c r="N428">
        <v>1200</v>
      </c>
      <c r="O428">
        <v>4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1200</v>
      </c>
      <c r="AH428">
        <v>4</v>
      </c>
      <c r="AI428">
        <v>0</v>
      </c>
      <c r="AJ428">
        <v>0</v>
      </c>
      <c r="AK428">
        <v>1200</v>
      </c>
      <c r="AL428">
        <v>0</v>
      </c>
      <c r="AM428">
        <v>0</v>
      </c>
      <c r="AN428">
        <v>0</v>
      </c>
      <c r="AO428">
        <v>0</v>
      </c>
      <c r="AP428">
        <v>840</v>
      </c>
      <c r="AT428" t="str">
        <f>T("9791166069406")</f>
        <v>9791166069406</v>
      </c>
      <c r="AV428" t="str">
        <f>T("웹툰 &gt; 드라마")</f>
        <v>웹툰 &gt; 드라마</v>
      </c>
    </row>
    <row r="429" spans="1:48" x14ac:dyDescent="0.4">
      <c r="A429">
        <v>4421001377</v>
      </c>
      <c r="B429">
        <v>4421001387</v>
      </c>
      <c r="C429" t="str">
        <f>T("요괴님은 수련중 11화")</f>
        <v>요괴님은 수련중 11화</v>
      </c>
      <c r="D429" t="str">
        <f>T("11")</f>
        <v>11</v>
      </c>
      <c r="E429" t="str">
        <f>T("화방")</f>
        <v>화방</v>
      </c>
      <c r="G429" t="str">
        <f>T("망북")</f>
        <v>망북</v>
      </c>
      <c r="H429" t="str">
        <f t="shared" si="21"/>
        <v>스토리위즈</v>
      </c>
      <c r="I429" t="str">
        <f>T("요괴님은 수련중")</f>
        <v>요괴님은 수련중</v>
      </c>
      <c r="J429">
        <v>400</v>
      </c>
      <c r="K429">
        <v>0</v>
      </c>
      <c r="L429">
        <v>0</v>
      </c>
      <c r="M429">
        <v>0</v>
      </c>
      <c r="N429">
        <v>200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200</v>
      </c>
      <c r="AH429">
        <v>1</v>
      </c>
      <c r="AI429">
        <v>0</v>
      </c>
      <c r="AJ429">
        <v>0</v>
      </c>
      <c r="AK429">
        <v>200</v>
      </c>
      <c r="AL429">
        <v>0</v>
      </c>
      <c r="AM429">
        <v>0</v>
      </c>
      <c r="AN429">
        <v>0</v>
      </c>
      <c r="AO429">
        <v>0</v>
      </c>
      <c r="AP429">
        <v>140</v>
      </c>
      <c r="AR429" t="str">
        <f t="shared" ref="AR429:AR434" si="24">T("0000000000000")</f>
        <v>0000000000000</v>
      </c>
      <c r="AT429" t="str">
        <f>T("9791137603899")</f>
        <v>9791137603899</v>
      </c>
      <c r="AV429" t="str">
        <f>T("웹툰 &gt; 해외 순정")</f>
        <v>웹툰 &gt; 해외 순정</v>
      </c>
    </row>
    <row r="430" spans="1:48" x14ac:dyDescent="0.4">
      <c r="A430">
        <v>4421000069</v>
      </c>
      <c r="B430">
        <v>4421000070</v>
      </c>
      <c r="C430" t="str">
        <f>T("너랑 나랑 하면 1화")</f>
        <v>너랑 나랑 하면 1화</v>
      </c>
      <c r="D430" t="str">
        <f>T("1")</f>
        <v>1</v>
      </c>
      <c r="E430" t="str">
        <f>T("NISANSUI")</f>
        <v>NISANSUI</v>
      </c>
      <c r="G430" t="str">
        <f>T("ZIQUAN")</f>
        <v>ZIQUAN</v>
      </c>
      <c r="H430" t="str">
        <f t="shared" si="21"/>
        <v>스토리위즈</v>
      </c>
      <c r="I430" t="str">
        <f>T("너랑 나랑 하면")</f>
        <v>너랑 나랑 하면</v>
      </c>
      <c r="J430">
        <v>400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3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R430" t="str">
        <f t="shared" si="24"/>
        <v>0000000000000</v>
      </c>
      <c r="AT430" t="str">
        <f>T("9791166067884")</f>
        <v>9791166067884</v>
      </c>
      <c r="AV430" t="str">
        <f>T("BL 웹툰 &gt; 웹툰")</f>
        <v>BL 웹툰 &gt; 웹툰</v>
      </c>
    </row>
    <row r="431" spans="1:48" x14ac:dyDescent="0.4">
      <c r="A431">
        <v>4421000518</v>
      </c>
      <c r="B431">
        <v>4421000521</v>
      </c>
      <c r="C431" t="str">
        <f>T("백스테이지 키스신 3화")</f>
        <v>백스테이지 키스신 3화</v>
      </c>
      <c r="D431" t="str">
        <f>T("3")</f>
        <v>3</v>
      </c>
      <c r="E431" t="str">
        <f>T("최도비")</f>
        <v>최도비</v>
      </c>
      <c r="G431" t="str">
        <f>T("수정과")</f>
        <v>수정과</v>
      </c>
      <c r="H431" t="str">
        <f t="shared" si="21"/>
        <v>스토리위즈</v>
      </c>
      <c r="I431" t="str">
        <f>T("백스테이지 키스신")</f>
        <v>백스테이지 키스신</v>
      </c>
      <c r="J431">
        <v>400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R431" t="str">
        <f t="shared" si="24"/>
        <v>0000000000000</v>
      </c>
      <c r="AT431" t="str">
        <f>T("9791166067990")</f>
        <v>9791166067990</v>
      </c>
      <c r="AV431" t="str">
        <f>T("웹툰 &gt; 국내 순정")</f>
        <v>웹툰 &gt; 국내 순정</v>
      </c>
    </row>
    <row r="432" spans="1:48" x14ac:dyDescent="0.4">
      <c r="A432">
        <v>4421000069</v>
      </c>
      <c r="B432">
        <v>4421000103</v>
      </c>
      <c r="C432" t="str">
        <f>T("너랑 나랑 하면 33화")</f>
        <v>너랑 나랑 하면 33화</v>
      </c>
      <c r="D432" t="str">
        <f>T("33")</f>
        <v>33</v>
      </c>
      <c r="E432" t="str">
        <f>T("NISANSUI")</f>
        <v>NISANSUI</v>
      </c>
      <c r="G432" t="str">
        <f>T("ZIQUAN")</f>
        <v>ZIQUAN</v>
      </c>
      <c r="H432" t="str">
        <f t="shared" si="21"/>
        <v>스토리위즈</v>
      </c>
      <c r="I432" t="str">
        <f>T("너랑 나랑 하면")</f>
        <v>너랑 나랑 하면</v>
      </c>
      <c r="J432">
        <v>400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R432" t="str">
        <f t="shared" si="24"/>
        <v>0000000000000</v>
      </c>
      <c r="AT432" t="str">
        <f>T("9791166067884")</f>
        <v>9791166067884</v>
      </c>
      <c r="AV432" t="str">
        <f>T("BL 웹툰 &gt; 웹툰")</f>
        <v>BL 웹툰 &gt; 웹툰</v>
      </c>
    </row>
    <row r="433" spans="1:48" x14ac:dyDescent="0.4">
      <c r="A433">
        <v>4421000866</v>
      </c>
      <c r="B433">
        <v>4421000996</v>
      </c>
      <c r="C433" t="str">
        <f>T("최애에게 들켜버렸다 37화")</f>
        <v>최애에게 들켜버렸다 37화</v>
      </c>
      <c r="D433" t="str">
        <f>T("38")</f>
        <v>38</v>
      </c>
      <c r="E433" t="str">
        <f>T("Lv")</f>
        <v>Lv</v>
      </c>
      <c r="G433" t="str">
        <f>T("Lv")</f>
        <v>Lv</v>
      </c>
      <c r="H433" t="str">
        <f t="shared" si="21"/>
        <v>스토리위즈</v>
      </c>
      <c r="I433" t="str">
        <f>T("최애에게 들켜버렸다")</f>
        <v>최애에게 들켜버렸다</v>
      </c>
      <c r="J433">
        <v>400</v>
      </c>
      <c r="K433">
        <v>0</v>
      </c>
      <c r="L433">
        <v>0</v>
      </c>
      <c r="M433">
        <v>0</v>
      </c>
      <c r="N433">
        <v>200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200</v>
      </c>
      <c r="AH433">
        <v>1</v>
      </c>
      <c r="AI433">
        <v>0</v>
      </c>
      <c r="AJ433">
        <v>0</v>
      </c>
      <c r="AK433">
        <v>200</v>
      </c>
      <c r="AL433">
        <v>0</v>
      </c>
      <c r="AM433">
        <v>0</v>
      </c>
      <c r="AN433">
        <v>0</v>
      </c>
      <c r="AO433">
        <v>0</v>
      </c>
      <c r="AP433">
        <v>140</v>
      </c>
      <c r="AR433" t="str">
        <f t="shared" si="24"/>
        <v>0000000000000</v>
      </c>
      <c r="AT433" t="str">
        <f>T("9791137601253")</f>
        <v>9791137601253</v>
      </c>
      <c r="AV433" t="str">
        <f>T("웹툰 &gt; 해외 순정")</f>
        <v>웹툰 &gt; 해외 순정</v>
      </c>
    </row>
    <row r="434" spans="1:48" x14ac:dyDescent="0.4">
      <c r="A434">
        <v>4421000866</v>
      </c>
      <c r="B434">
        <v>4421001277</v>
      </c>
      <c r="C434" t="str">
        <f>T("최애에게 들켜버렸다 63화")</f>
        <v>최애에게 들켜버렸다 63화</v>
      </c>
      <c r="D434" t="str">
        <f>T("66")</f>
        <v>66</v>
      </c>
      <c r="E434" t="str">
        <f>T("Lv")</f>
        <v>Lv</v>
      </c>
      <c r="G434" t="str">
        <f>T("Lv")</f>
        <v>Lv</v>
      </c>
      <c r="H434" t="str">
        <f t="shared" si="21"/>
        <v>스토리위즈</v>
      </c>
      <c r="I434" t="str">
        <f>T("최애에게 들켜버렸다")</f>
        <v>최애에게 들켜버렸다</v>
      </c>
      <c r="J434">
        <v>400</v>
      </c>
      <c r="K434">
        <v>0</v>
      </c>
      <c r="L434">
        <v>0</v>
      </c>
      <c r="M434">
        <v>0</v>
      </c>
      <c r="N434">
        <v>200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200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200</v>
      </c>
      <c r="AN434">
        <v>0</v>
      </c>
      <c r="AO434">
        <v>0</v>
      </c>
      <c r="AP434">
        <v>140</v>
      </c>
      <c r="AR434" t="str">
        <f t="shared" si="24"/>
        <v>0000000000000</v>
      </c>
      <c r="AT434" t="str">
        <f>T("9791137601253")</f>
        <v>9791137601253</v>
      </c>
      <c r="AV434" t="str">
        <f>T("웹툰 &gt; 해외 순정")</f>
        <v>웹툰 &gt; 해외 순정</v>
      </c>
    </row>
    <row r="435" spans="1:48" x14ac:dyDescent="0.4">
      <c r="A435">
        <v>4421000002</v>
      </c>
      <c r="B435">
        <v>4421000038</v>
      </c>
      <c r="C435" t="str">
        <f>T("이세계 소환은 두 번째라구요 18화")</f>
        <v>이세계 소환은 두 번째라구요 18화</v>
      </c>
      <c r="D435" t="str">
        <f>T("18")</f>
        <v>18</v>
      </c>
      <c r="E435" t="str">
        <f>T("Arashiyama, Kishimoto Kazuha, Shimahara")</f>
        <v>Arashiyama, Kishimoto Kazuha, Shimahara</v>
      </c>
      <c r="H435" t="str">
        <f t="shared" si="21"/>
        <v>스토리위즈</v>
      </c>
      <c r="I435" t="str">
        <f>T("이세계 소환은 두 번째라구요")</f>
        <v>이세계 소환은 두 번째라구요</v>
      </c>
      <c r="J435">
        <v>500</v>
      </c>
      <c r="K435">
        <v>0</v>
      </c>
      <c r="L435">
        <v>0</v>
      </c>
      <c r="M435">
        <v>0</v>
      </c>
      <c r="N435">
        <v>300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300</v>
      </c>
      <c r="AH435">
        <v>1</v>
      </c>
      <c r="AI435">
        <v>0</v>
      </c>
      <c r="AJ435">
        <v>0</v>
      </c>
      <c r="AK435">
        <v>300</v>
      </c>
      <c r="AL435">
        <v>0</v>
      </c>
      <c r="AM435">
        <v>0</v>
      </c>
      <c r="AN435">
        <v>0</v>
      </c>
      <c r="AO435">
        <v>0</v>
      </c>
      <c r="AP435">
        <v>210</v>
      </c>
      <c r="AT435" t="str">
        <f>T("9791166069390")</f>
        <v>9791166069390</v>
      </c>
      <c r="AV435" t="str">
        <f>T("웹툰 &gt; 판타지/SF")</f>
        <v>웹툰 &gt; 판타지/SF</v>
      </c>
    </row>
    <row r="436" spans="1:48" x14ac:dyDescent="0.4">
      <c r="A436">
        <v>4421000742</v>
      </c>
      <c r="B436">
        <v>4421000764</v>
      </c>
      <c r="C436" t="str">
        <f>T("연애 2분의 1 23화")</f>
        <v>연애 2분의 1 23화</v>
      </c>
      <c r="D436" t="str">
        <f>T("23")</f>
        <v>23</v>
      </c>
      <c r="E436" t="str">
        <f>T("Zhupi&amp;Yangxuetu")</f>
        <v>Zhupi&amp;Yangxuetu</v>
      </c>
      <c r="H436" t="str">
        <f t="shared" si="21"/>
        <v>스토리위즈</v>
      </c>
      <c r="I436" t="str">
        <f>T("연애 2분의 1")</f>
        <v>연애 2분의 1</v>
      </c>
      <c r="J436">
        <v>200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R436" t="str">
        <f>T("0000000000000")</f>
        <v>0000000000000</v>
      </c>
      <c r="AT436" t="str">
        <f>T("9791166067891")</f>
        <v>9791166067891</v>
      </c>
      <c r="AV436" t="str">
        <f>T("웹툰 &gt; 해외 순정")</f>
        <v>웹툰 &gt; 해외 순정</v>
      </c>
    </row>
    <row r="437" spans="1:48" x14ac:dyDescent="0.4">
      <c r="A437">
        <v>4421000069</v>
      </c>
      <c r="B437">
        <v>4421000095</v>
      </c>
      <c r="C437" t="str">
        <f>T("너랑 나랑 하면 26화")</f>
        <v>너랑 나랑 하면 26화</v>
      </c>
      <c r="D437" t="str">
        <f>T("26")</f>
        <v>26</v>
      </c>
      <c r="E437" t="str">
        <f>T("NISANSUI")</f>
        <v>NISANSUI</v>
      </c>
      <c r="G437" t="str">
        <f>T("ZIQUAN")</f>
        <v>ZIQUAN</v>
      </c>
      <c r="H437" t="str">
        <f t="shared" si="21"/>
        <v>스토리위즈</v>
      </c>
      <c r="I437" t="str">
        <f>T("너랑 나랑 하면")</f>
        <v>너랑 나랑 하면</v>
      </c>
      <c r="J437">
        <v>400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R437" t="str">
        <f>T("0000000000000")</f>
        <v>0000000000000</v>
      </c>
      <c r="AT437" t="str">
        <f>T("9791166067884")</f>
        <v>9791166067884</v>
      </c>
      <c r="AV437" t="str">
        <f>T("BL 웹툰 &gt; 웹툰")</f>
        <v>BL 웹툰 &gt; 웹툰</v>
      </c>
    </row>
    <row r="438" spans="1:48" x14ac:dyDescent="0.4">
      <c r="A438">
        <v>4421000887</v>
      </c>
      <c r="B438">
        <v>4421000887</v>
      </c>
      <c r="C438" t="str">
        <f>T("폭군의 눈물 1화")</f>
        <v>폭군의 눈물 1화</v>
      </c>
      <c r="D438" t="str">
        <f>T("1")</f>
        <v>1</v>
      </c>
      <c r="E438" t="str">
        <f>T("Ice×FANFAN COMIC")</f>
        <v>Ice×FANFAN COMIC</v>
      </c>
      <c r="G438" t="str">
        <f>T("Ice×FANFAN COMIC")</f>
        <v>Ice×FANFAN COMIC</v>
      </c>
      <c r="H438" t="str">
        <f t="shared" si="21"/>
        <v>스토리위즈</v>
      </c>
      <c r="I438" t="str">
        <f>T("폭군의 눈물")</f>
        <v>폭군의 눈물</v>
      </c>
      <c r="J438">
        <v>400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23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R438" t="str">
        <f>T("0000000000000")</f>
        <v>0000000000000</v>
      </c>
      <c r="AT438" t="str">
        <f>T("9791137601291")</f>
        <v>9791137601291</v>
      </c>
      <c r="AV438" t="str">
        <f>T("웹툰 &gt; 해외 순정")</f>
        <v>웹툰 &gt; 해외 순정</v>
      </c>
    </row>
    <row r="439" spans="1:48" x14ac:dyDescent="0.4">
      <c r="A439">
        <v>4421000001</v>
      </c>
      <c r="B439">
        <v>4421000024</v>
      </c>
      <c r="C439" t="str">
        <f>T("감옥실험 14화")</f>
        <v>감옥실험 14화</v>
      </c>
      <c r="D439" t="str">
        <f>T("14")</f>
        <v>14</v>
      </c>
      <c r="E439" t="str">
        <f>T("Kantetsu")</f>
        <v>Kantetsu</v>
      </c>
      <c r="G439" t="str">
        <f>T("Minase Chiho")</f>
        <v>Minase Chiho</v>
      </c>
      <c r="H439" t="str">
        <f t="shared" si="21"/>
        <v>스토리위즈</v>
      </c>
      <c r="I439" t="str">
        <f>T("감옥실험")</f>
        <v>감옥실험</v>
      </c>
      <c r="J439">
        <v>500</v>
      </c>
      <c r="K439">
        <v>0</v>
      </c>
      <c r="L439">
        <v>0</v>
      </c>
      <c r="M439">
        <v>0</v>
      </c>
      <c r="N439">
        <v>2100</v>
      </c>
      <c r="O439">
        <v>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2100</v>
      </c>
      <c r="AH439">
        <v>7</v>
      </c>
      <c r="AI439">
        <v>0</v>
      </c>
      <c r="AJ439">
        <v>0</v>
      </c>
      <c r="AK439">
        <v>2100</v>
      </c>
      <c r="AL439">
        <v>0</v>
      </c>
      <c r="AM439">
        <v>0</v>
      </c>
      <c r="AN439">
        <v>0</v>
      </c>
      <c r="AO439">
        <v>0</v>
      </c>
      <c r="AP439">
        <v>1470</v>
      </c>
      <c r="AT439" t="str">
        <f>T("9791166069406")</f>
        <v>9791166069406</v>
      </c>
      <c r="AV439" t="str">
        <f>T("웹툰 &gt; 드라마")</f>
        <v>웹툰 &gt; 드라마</v>
      </c>
    </row>
    <row r="440" spans="1:48" x14ac:dyDescent="0.4">
      <c r="A440">
        <v>4421000069</v>
      </c>
      <c r="B440">
        <v>4421000153</v>
      </c>
      <c r="C440" t="str">
        <f>T("너랑 나랑 하면 83화")</f>
        <v>너랑 나랑 하면 83화</v>
      </c>
      <c r="D440" t="str">
        <f>T("83")</f>
        <v>83</v>
      </c>
      <c r="E440" t="str">
        <f>T("NISANSUI")</f>
        <v>NISANSUI</v>
      </c>
      <c r="G440" t="str">
        <f>T("ZIQUAN")</f>
        <v>ZIQUAN</v>
      </c>
      <c r="H440" t="str">
        <f t="shared" si="21"/>
        <v>스토리위즈</v>
      </c>
      <c r="I440" t="str">
        <f>T("너랑 나랑 하면")</f>
        <v>너랑 나랑 하면</v>
      </c>
      <c r="J440">
        <v>400</v>
      </c>
      <c r="K440">
        <v>0</v>
      </c>
      <c r="L440">
        <v>0</v>
      </c>
      <c r="M440">
        <v>0</v>
      </c>
      <c r="N440">
        <v>200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200</v>
      </c>
      <c r="AH440">
        <v>1</v>
      </c>
      <c r="AI440">
        <v>0</v>
      </c>
      <c r="AJ440">
        <v>0</v>
      </c>
      <c r="AK440">
        <v>200</v>
      </c>
      <c r="AL440">
        <v>0</v>
      </c>
      <c r="AM440">
        <v>0</v>
      </c>
      <c r="AN440">
        <v>0</v>
      </c>
      <c r="AO440">
        <v>0</v>
      </c>
      <c r="AP440">
        <v>140</v>
      </c>
      <c r="AR440" t="str">
        <f>T("0000000000000")</f>
        <v>0000000000000</v>
      </c>
      <c r="AT440" t="str">
        <f>T("9791166067884")</f>
        <v>9791166067884</v>
      </c>
      <c r="AV440" t="str">
        <f>T("BL 웹툰 &gt; 웹툰")</f>
        <v>BL 웹툰 &gt; 웹툰</v>
      </c>
    </row>
    <row r="441" spans="1:48" x14ac:dyDescent="0.4">
      <c r="A441">
        <v>4421001377</v>
      </c>
      <c r="B441">
        <v>4421001380</v>
      </c>
      <c r="C441" t="str">
        <f>T("요괴님은 수련중 4화")</f>
        <v>요괴님은 수련중 4화</v>
      </c>
      <c r="D441" t="str">
        <f>T("4")</f>
        <v>4</v>
      </c>
      <c r="E441" t="str">
        <f>T("화방")</f>
        <v>화방</v>
      </c>
      <c r="G441" t="str">
        <f>T("망북")</f>
        <v>망북</v>
      </c>
      <c r="H441" t="str">
        <f t="shared" si="21"/>
        <v>스토리위즈</v>
      </c>
      <c r="I441" t="str">
        <f>T("요괴님은 수련중")</f>
        <v>요괴님은 수련중</v>
      </c>
      <c r="J441">
        <v>400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7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R441" t="str">
        <f>T("0000000000000")</f>
        <v>0000000000000</v>
      </c>
      <c r="AT441" t="str">
        <f>T("9791137603899")</f>
        <v>9791137603899</v>
      </c>
      <c r="AV441" t="str">
        <f>T("웹툰 &gt; 해외 순정")</f>
        <v>웹툰 &gt; 해외 순정</v>
      </c>
    </row>
    <row r="442" spans="1:48" x14ac:dyDescent="0.4">
      <c r="A442">
        <v>4421000001</v>
      </c>
      <c r="B442">
        <v>4421000063</v>
      </c>
      <c r="C442" t="str">
        <f>T("감옥실험 43화")</f>
        <v>감옥실험 43화</v>
      </c>
      <c r="D442" t="str">
        <f>T("43")</f>
        <v>43</v>
      </c>
      <c r="E442" t="str">
        <f>T("Kantetsu")</f>
        <v>Kantetsu</v>
      </c>
      <c r="G442" t="str">
        <f>T("Minase Chiho")</f>
        <v>Minase Chiho</v>
      </c>
      <c r="H442" t="str">
        <f t="shared" si="21"/>
        <v>스토리위즈</v>
      </c>
      <c r="I442" t="str">
        <f>T("감옥실험")</f>
        <v>감옥실험</v>
      </c>
      <c r="J442">
        <v>500</v>
      </c>
      <c r="K442">
        <v>0</v>
      </c>
      <c r="L442">
        <v>0</v>
      </c>
      <c r="M442">
        <v>0</v>
      </c>
      <c r="N442">
        <v>1200</v>
      </c>
      <c r="O442">
        <v>4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1200</v>
      </c>
      <c r="AH442">
        <v>4</v>
      </c>
      <c r="AI442">
        <v>0</v>
      </c>
      <c r="AJ442">
        <v>0</v>
      </c>
      <c r="AK442">
        <v>1200</v>
      </c>
      <c r="AL442">
        <v>0</v>
      </c>
      <c r="AM442">
        <v>0</v>
      </c>
      <c r="AN442">
        <v>0</v>
      </c>
      <c r="AO442">
        <v>0</v>
      </c>
      <c r="AP442">
        <v>840</v>
      </c>
      <c r="AT442" t="str">
        <f>T("9791166069406")</f>
        <v>9791166069406</v>
      </c>
      <c r="AV442" t="str">
        <f>T("웹툰 &gt; 드라마")</f>
        <v>웹툰 &gt; 드라마</v>
      </c>
    </row>
    <row r="443" spans="1:48" x14ac:dyDescent="0.4">
      <c r="A443">
        <v>4421000337</v>
      </c>
      <c r="B443">
        <v>4421000341</v>
      </c>
      <c r="C443" t="str">
        <f>T("계약연애, 오늘부터 1일 5화")</f>
        <v>계약연애, 오늘부터 1일 5화</v>
      </c>
      <c r="D443" t="str">
        <f>T("5")</f>
        <v>5</v>
      </c>
      <c r="E443" t="str">
        <f>T("원기공장")</f>
        <v>원기공장</v>
      </c>
      <c r="H443" t="str">
        <f t="shared" si="21"/>
        <v>스토리위즈</v>
      </c>
      <c r="I443" t="str">
        <f>T("계약연애, 오늘부터 1일")</f>
        <v>계약연애, 오늘부터 1일</v>
      </c>
      <c r="J443">
        <v>200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R443" t="str">
        <f>T("0000000000000")</f>
        <v>0000000000000</v>
      </c>
      <c r="AT443" t="str">
        <f>T("9791166068027")</f>
        <v>9791166068027</v>
      </c>
      <c r="AV443" t="str">
        <f>T("웹툰 &gt; 해외 순정")</f>
        <v>웹툰 &gt; 해외 순정</v>
      </c>
    </row>
    <row r="444" spans="1:48" x14ac:dyDescent="0.4">
      <c r="A444">
        <v>4421000887</v>
      </c>
      <c r="B444">
        <v>4421001298</v>
      </c>
      <c r="C444" t="str">
        <f>T("폭군의 눈물 56화")</f>
        <v>폭군의 눈물 56화</v>
      </c>
      <c r="D444" t="str">
        <f>T("56")</f>
        <v>56</v>
      </c>
      <c r="E444" t="str">
        <f>T("Ice×FANFAN COMIC")</f>
        <v>Ice×FANFAN COMIC</v>
      </c>
      <c r="G444" t="str">
        <f>T("Ice×FANFAN COMIC")</f>
        <v>Ice×FANFAN COMIC</v>
      </c>
      <c r="H444" t="str">
        <f t="shared" si="21"/>
        <v>스토리위즈</v>
      </c>
      <c r="I444" t="str">
        <f>T("폭군의 눈물")</f>
        <v>폭군의 눈물</v>
      </c>
      <c r="J444">
        <v>400</v>
      </c>
      <c r="K444">
        <v>0</v>
      </c>
      <c r="L444">
        <v>0</v>
      </c>
      <c r="M444">
        <v>0</v>
      </c>
      <c r="N444">
        <v>1000</v>
      </c>
      <c r="O444">
        <v>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1000</v>
      </c>
      <c r="AH444">
        <v>5</v>
      </c>
      <c r="AI444">
        <v>0</v>
      </c>
      <c r="AJ444">
        <v>0</v>
      </c>
      <c r="AK444">
        <v>600</v>
      </c>
      <c r="AL444">
        <v>0</v>
      </c>
      <c r="AM444">
        <v>400</v>
      </c>
      <c r="AN444">
        <v>0</v>
      </c>
      <c r="AO444">
        <v>0</v>
      </c>
      <c r="AP444">
        <v>700</v>
      </c>
      <c r="AR444" t="str">
        <f>T("0000000000000")</f>
        <v>0000000000000</v>
      </c>
      <c r="AT444" t="str">
        <f>T("9791137601291")</f>
        <v>9791137601291</v>
      </c>
      <c r="AV444" t="str">
        <f>T("웹툰 &gt; 해외 순정")</f>
        <v>웹툰 &gt; 해외 순정</v>
      </c>
    </row>
    <row r="445" spans="1:48" x14ac:dyDescent="0.4">
      <c r="A445">
        <v>4421000001</v>
      </c>
      <c r="B445">
        <v>4421000056</v>
      </c>
      <c r="C445" t="str">
        <f>T("감옥실험 36화")</f>
        <v>감옥실험 36화</v>
      </c>
      <c r="D445" t="str">
        <f>T("36")</f>
        <v>36</v>
      </c>
      <c r="E445" t="str">
        <f>T("Kantetsu")</f>
        <v>Kantetsu</v>
      </c>
      <c r="G445" t="str">
        <f>T("Minase Chiho")</f>
        <v>Minase Chiho</v>
      </c>
      <c r="H445" t="str">
        <f t="shared" si="21"/>
        <v>스토리위즈</v>
      </c>
      <c r="I445" t="str">
        <f>T("감옥실험")</f>
        <v>감옥실험</v>
      </c>
      <c r="J445">
        <v>500</v>
      </c>
      <c r="K445">
        <v>0</v>
      </c>
      <c r="L445">
        <v>0</v>
      </c>
      <c r="M445">
        <v>0</v>
      </c>
      <c r="N445">
        <v>1200</v>
      </c>
      <c r="O445">
        <v>4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1200</v>
      </c>
      <c r="AH445">
        <v>4</v>
      </c>
      <c r="AI445">
        <v>0</v>
      </c>
      <c r="AJ445">
        <v>0</v>
      </c>
      <c r="AK445">
        <v>1200</v>
      </c>
      <c r="AL445">
        <v>0</v>
      </c>
      <c r="AM445">
        <v>0</v>
      </c>
      <c r="AN445">
        <v>0</v>
      </c>
      <c r="AO445">
        <v>0</v>
      </c>
      <c r="AP445">
        <v>840</v>
      </c>
      <c r="AT445" t="str">
        <f>T("9791166069406")</f>
        <v>9791166069406</v>
      </c>
      <c r="AV445" t="str">
        <f>T("웹툰 &gt; 드라마")</f>
        <v>웹툰 &gt; 드라마</v>
      </c>
    </row>
    <row r="446" spans="1:48" x14ac:dyDescent="0.4">
      <c r="A446">
        <v>4421000866</v>
      </c>
      <c r="B446">
        <v>4421000912</v>
      </c>
      <c r="C446" t="str">
        <f>T("최애에게 들켜버렸다 21화")</f>
        <v>최애에게 들켜버렸다 21화</v>
      </c>
      <c r="D446" t="str">
        <f>T("22")</f>
        <v>22</v>
      </c>
      <c r="E446" t="str">
        <f>T("Lv")</f>
        <v>Lv</v>
      </c>
      <c r="G446" t="str">
        <f>T("Lv")</f>
        <v>Lv</v>
      </c>
      <c r="H446" t="str">
        <f t="shared" si="21"/>
        <v>스토리위즈</v>
      </c>
      <c r="I446" t="str">
        <f>T("최애에게 들켜버렸다")</f>
        <v>최애에게 들켜버렸다</v>
      </c>
      <c r="J446">
        <v>400</v>
      </c>
      <c r="K446">
        <v>0</v>
      </c>
      <c r="L446">
        <v>0</v>
      </c>
      <c r="M446">
        <v>0</v>
      </c>
      <c r="N446">
        <v>200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200</v>
      </c>
      <c r="AH446">
        <v>1</v>
      </c>
      <c r="AI446">
        <v>0</v>
      </c>
      <c r="AJ446">
        <v>0</v>
      </c>
      <c r="AK446">
        <v>200</v>
      </c>
      <c r="AL446">
        <v>0</v>
      </c>
      <c r="AM446">
        <v>0</v>
      </c>
      <c r="AN446">
        <v>0</v>
      </c>
      <c r="AO446">
        <v>0</v>
      </c>
      <c r="AP446">
        <v>140</v>
      </c>
      <c r="AR446" t="str">
        <f>T("0000000000000")</f>
        <v>0000000000000</v>
      </c>
      <c r="AT446" t="str">
        <f>T("9791137601253")</f>
        <v>9791137601253</v>
      </c>
      <c r="AV446" t="str">
        <f>T("웹툰 &gt; 해외 순정")</f>
        <v>웹툰 &gt; 해외 순정</v>
      </c>
    </row>
    <row r="447" spans="1:48" x14ac:dyDescent="0.4">
      <c r="A447">
        <v>4421000742</v>
      </c>
      <c r="B447">
        <v>4421000757</v>
      </c>
      <c r="C447" t="str">
        <f>T("연애 2분의 1 16화")</f>
        <v>연애 2분의 1 16화</v>
      </c>
      <c r="D447" t="str">
        <f>T("16")</f>
        <v>16</v>
      </c>
      <c r="E447" t="str">
        <f>T("Zhupi&amp;Yangxuetu")</f>
        <v>Zhupi&amp;Yangxuetu</v>
      </c>
      <c r="H447" t="str">
        <f t="shared" si="21"/>
        <v>스토리위즈</v>
      </c>
      <c r="I447" t="str">
        <f>T("연애 2분의 1")</f>
        <v>연애 2분의 1</v>
      </c>
      <c r="J447">
        <v>200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R447" t="str">
        <f>T("0000000000000")</f>
        <v>0000000000000</v>
      </c>
      <c r="AT447" t="str">
        <f>T("9791166067891")</f>
        <v>9791166067891</v>
      </c>
      <c r="AV447" t="str">
        <f>T("웹툰 &gt; 해외 순정")</f>
        <v>웹툰 &gt; 해외 순정</v>
      </c>
    </row>
    <row r="448" spans="1:48" x14ac:dyDescent="0.4">
      <c r="A448">
        <v>4421000742</v>
      </c>
      <c r="B448">
        <v>4421000749</v>
      </c>
      <c r="C448" t="str">
        <f>T("연애 2분의 1 8화")</f>
        <v>연애 2분의 1 8화</v>
      </c>
      <c r="D448" t="str">
        <f>T("8")</f>
        <v>8</v>
      </c>
      <c r="E448" t="str">
        <f>T("Zhupi&amp;Yangxuetu")</f>
        <v>Zhupi&amp;Yangxuetu</v>
      </c>
      <c r="H448" t="str">
        <f t="shared" si="21"/>
        <v>스토리위즈</v>
      </c>
      <c r="I448" t="str">
        <f>T("연애 2분의 1")</f>
        <v>연애 2분의 1</v>
      </c>
      <c r="J448">
        <v>200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2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R448" t="str">
        <f>T("0000000000000")</f>
        <v>0000000000000</v>
      </c>
      <c r="AT448" t="str">
        <f>T("9791166067891")</f>
        <v>9791166067891</v>
      </c>
      <c r="AV448" t="str">
        <f>T("웹툰 &gt; 해외 순정")</f>
        <v>웹툰 &gt; 해외 순정</v>
      </c>
    </row>
    <row r="449" spans="1:48" x14ac:dyDescent="0.4">
      <c r="A449">
        <v>4421000069</v>
      </c>
      <c r="B449">
        <v>4421000088</v>
      </c>
      <c r="C449" t="str">
        <f>T("너랑 나랑 하면 19화")</f>
        <v>너랑 나랑 하면 19화</v>
      </c>
      <c r="D449" t="str">
        <f>T("19")</f>
        <v>19</v>
      </c>
      <c r="E449" t="str">
        <f>T("NISANSUI")</f>
        <v>NISANSUI</v>
      </c>
      <c r="G449" t="str">
        <f>T("ZIQUAN")</f>
        <v>ZIQUAN</v>
      </c>
      <c r="H449" t="str">
        <f t="shared" si="21"/>
        <v>스토리위즈</v>
      </c>
      <c r="I449" t="str">
        <f>T("너랑 나랑 하면")</f>
        <v>너랑 나랑 하면</v>
      </c>
      <c r="J449">
        <v>400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5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R449" t="str">
        <f>T("0000000000000")</f>
        <v>0000000000000</v>
      </c>
      <c r="AT449" t="str">
        <f>T("9791166067884")</f>
        <v>9791166067884</v>
      </c>
      <c r="AV449" t="str">
        <f>T("BL 웹툰 &gt; 웹툰")</f>
        <v>BL 웹툰 &gt; 웹툰</v>
      </c>
    </row>
    <row r="450" spans="1:48" x14ac:dyDescent="0.4">
      <c r="A450">
        <v>4421000866</v>
      </c>
      <c r="B450">
        <v>4421000975</v>
      </c>
      <c r="C450" t="str">
        <f>T("최애에게 들켜버렸다 33화")</f>
        <v>최애에게 들켜버렸다 33화</v>
      </c>
      <c r="D450" t="str">
        <f>T("34")</f>
        <v>34</v>
      </c>
      <c r="E450" t="str">
        <f>T("Lv")</f>
        <v>Lv</v>
      </c>
      <c r="G450" t="str">
        <f>T("Lv")</f>
        <v>Lv</v>
      </c>
      <c r="H450" t="str">
        <f t="shared" ref="H450:H513" si="25">T("스토리위즈")</f>
        <v>스토리위즈</v>
      </c>
      <c r="I450" t="str">
        <f>T("최애에게 들켜버렸다")</f>
        <v>최애에게 들켜버렸다</v>
      </c>
      <c r="J450">
        <v>400</v>
      </c>
      <c r="K450">
        <v>0</v>
      </c>
      <c r="L450">
        <v>0</v>
      </c>
      <c r="M450">
        <v>0</v>
      </c>
      <c r="N450">
        <v>200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200</v>
      </c>
      <c r="AH450">
        <v>1</v>
      </c>
      <c r="AI450">
        <v>0</v>
      </c>
      <c r="AJ450">
        <v>0</v>
      </c>
      <c r="AK450">
        <v>200</v>
      </c>
      <c r="AL450">
        <v>0</v>
      </c>
      <c r="AM450">
        <v>0</v>
      </c>
      <c r="AN450">
        <v>0</v>
      </c>
      <c r="AO450">
        <v>0</v>
      </c>
      <c r="AP450">
        <v>140</v>
      </c>
      <c r="AR450" t="str">
        <f>T("0000000000000")</f>
        <v>0000000000000</v>
      </c>
      <c r="AT450" t="str">
        <f>T("9791137601253")</f>
        <v>9791137601253</v>
      </c>
      <c r="AV450" t="str">
        <f>T("웹툰 &gt; 해외 순정")</f>
        <v>웹툰 &gt; 해외 순정</v>
      </c>
    </row>
    <row r="451" spans="1:48" x14ac:dyDescent="0.4">
      <c r="A451">
        <v>4421000002</v>
      </c>
      <c r="B451">
        <v>4421000185</v>
      </c>
      <c r="C451" t="str">
        <f>T("이세계 소환은 두 번째라구요 30화")</f>
        <v>이세계 소환은 두 번째라구요 30화</v>
      </c>
      <c r="D451" t="str">
        <f>T("30")</f>
        <v>30</v>
      </c>
      <c r="E451" t="str">
        <f>T("Arashiyama, Kishimoto Kazuha, Shimahara")</f>
        <v>Arashiyama, Kishimoto Kazuha, Shimahara</v>
      </c>
      <c r="H451" t="str">
        <f t="shared" si="25"/>
        <v>스토리위즈</v>
      </c>
      <c r="I451" t="str">
        <f>T("이세계 소환은 두 번째라구요")</f>
        <v>이세계 소환은 두 번째라구요</v>
      </c>
      <c r="J451">
        <v>500</v>
      </c>
      <c r="K451">
        <v>0</v>
      </c>
      <c r="L451">
        <v>0</v>
      </c>
      <c r="M451">
        <v>0</v>
      </c>
      <c r="N451">
        <v>300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300</v>
      </c>
      <c r="AH451">
        <v>1</v>
      </c>
      <c r="AI451">
        <v>0</v>
      </c>
      <c r="AJ451">
        <v>0</v>
      </c>
      <c r="AK451">
        <v>300</v>
      </c>
      <c r="AL451">
        <v>0</v>
      </c>
      <c r="AM451">
        <v>0</v>
      </c>
      <c r="AN451">
        <v>0</v>
      </c>
      <c r="AO451">
        <v>0</v>
      </c>
      <c r="AP451">
        <v>210</v>
      </c>
      <c r="AT451" t="str">
        <f>T("9791166069390")</f>
        <v>9791166069390</v>
      </c>
      <c r="AV451" t="str">
        <f>T("웹툰 &gt; 판타지/SF")</f>
        <v>웹툰 &gt; 판타지/SF</v>
      </c>
    </row>
    <row r="452" spans="1:48" x14ac:dyDescent="0.4">
      <c r="A452">
        <v>4421000866</v>
      </c>
      <c r="B452">
        <v>4421000880</v>
      </c>
      <c r="C452" t="str">
        <f>T("최애에게 들켜버렸다 14화")</f>
        <v>최애에게 들켜버렸다 14화</v>
      </c>
      <c r="D452" t="str">
        <f>T("14")</f>
        <v>14</v>
      </c>
      <c r="E452" t="str">
        <f>T("Lv")</f>
        <v>Lv</v>
      </c>
      <c r="G452" t="str">
        <f>T("Lv")</f>
        <v>Lv</v>
      </c>
      <c r="H452" t="str">
        <f t="shared" si="25"/>
        <v>스토리위즈</v>
      </c>
      <c r="I452" t="str">
        <f>T("최애에게 들켜버렸다")</f>
        <v>최애에게 들켜버렸다</v>
      </c>
      <c r="J452">
        <v>400</v>
      </c>
      <c r="K452">
        <v>0</v>
      </c>
      <c r="L452">
        <v>0</v>
      </c>
      <c r="M452">
        <v>0</v>
      </c>
      <c r="N452">
        <v>400</v>
      </c>
      <c r="O452">
        <v>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400</v>
      </c>
      <c r="AH452">
        <v>2</v>
      </c>
      <c r="AI452">
        <v>0</v>
      </c>
      <c r="AJ452">
        <v>0</v>
      </c>
      <c r="AK452">
        <v>400</v>
      </c>
      <c r="AL452">
        <v>0</v>
      </c>
      <c r="AM452">
        <v>0</v>
      </c>
      <c r="AN452">
        <v>0</v>
      </c>
      <c r="AO452">
        <v>0</v>
      </c>
      <c r="AP452">
        <v>280</v>
      </c>
      <c r="AR452" t="str">
        <f>T("0000000000000")</f>
        <v>0000000000000</v>
      </c>
      <c r="AT452" t="str">
        <f>T("9791137601253")</f>
        <v>9791137601253</v>
      </c>
      <c r="AV452" t="str">
        <f>T("웹툰 &gt; 해외 순정")</f>
        <v>웹툰 &gt; 해외 순정</v>
      </c>
    </row>
    <row r="453" spans="1:48" x14ac:dyDescent="0.4">
      <c r="A453">
        <v>4421000001</v>
      </c>
      <c r="B453">
        <v>4421000017</v>
      </c>
      <c r="C453" t="str">
        <f>T("감옥실험 7화")</f>
        <v>감옥실험 7화</v>
      </c>
      <c r="D453" t="str">
        <f>T("7")</f>
        <v>7</v>
      </c>
      <c r="E453" t="str">
        <f>T("Kantetsu")</f>
        <v>Kantetsu</v>
      </c>
      <c r="G453" t="str">
        <f>T("Minase Chiho")</f>
        <v>Minase Chiho</v>
      </c>
      <c r="H453" t="str">
        <f t="shared" si="25"/>
        <v>스토리위즈</v>
      </c>
      <c r="I453" t="str">
        <f>T("감옥실험")</f>
        <v>감옥실험</v>
      </c>
      <c r="J453">
        <v>500</v>
      </c>
      <c r="K453">
        <v>0</v>
      </c>
      <c r="L453">
        <v>0</v>
      </c>
      <c r="M453">
        <v>0</v>
      </c>
      <c r="N453">
        <v>1800</v>
      </c>
      <c r="O453">
        <v>6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1800</v>
      </c>
      <c r="AH453">
        <v>6</v>
      </c>
      <c r="AI453">
        <v>0</v>
      </c>
      <c r="AJ453">
        <v>0</v>
      </c>
      <c r="AK453">
        <v>1800</v>
      </c>
      <c r="AL453">
        <v>0</v>
      </c>
      <c r="AM453">
        <v>0</v>
      </c>
      <c r="AN453">
        <v>0</v>
      </c>
      <c r="AO453">
        <v>0</v>
      </c>
      <c r="AP453">
        <v>1260</v>
      </c>
      <c r="AT453" t="str">
        <f>T("9791166069406")</f>
        <v>9791166069406</v>
      </c>
      <c r="AV453" t="str">
        <f>T("웹툰 &gt; 드라마")</f>
        <v>웹툰 &gt; 드라마</v>
      </c>
    </row>
    <row r="454" spans="1:48" x14ac:dyDescent="0.4">
      <c r="A454">
        <v>4421000069</v>
      </c>
      <c r="B454">
        <v>4421000135</v>
      </c>
      <c r="C454" t="str">
        <f>T("너랑 나랑 하면 65화")</f>
        <v>너랑 나랑 하면 65화</v>
      </c>
      <c r="D454" t="str">
        <f>T("65")</f>
        <v>65</v>
      </c>
      <c r="E454" t="str">
        <f>T("NISANSUI")</f>
        <v>NISANSUI</v>
      </c>
      <c r="G454" t="str">
        <f>T("ZIQUAN")</f>
        <v>ZIQUAN</v>
      </c>
      <c r="H454" t="str">
        <f t="shared" si="25"/>
        <v>스토리위즈</v>
      </c>
      <c r="I454" t="str">
        <f>T("너랑 나랑 하면")</f>
        <v>너랑 나랑 하면</v>
      </c>
      <c r="J454">
        <v>400</v>
      </c>
      <c r="K454">
        <v>0</v>
      </c>
      <c r="L454">
        <v>0</v>
      </c>
      <c r="M454">
        <v>0</v>
      </c>
      <c r="N454">
        <v>200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200</v>
      </c>
      <c r="AH454">
        <v>1</v>
      </c>
      <c r="AI454">
        <v>0</v>
      </c>
      <c r="AJ454">
        <v>0</v>
      </c>
      <c r="AK454">
        <v>200</v>
      </c>
      <c r="AL454">
        <v>0</v>
      </c>
      <c r="AM454">
        <v>0</v>
      </c>
      <c r="AN454">
        <v>0</v>
      </c>
      <c r="AO454">
        <v>0</v>
      </c>
      <c r="AP454">
        <v>140</v>
      </c>
      <c r="AR454" t="str">
        <f>T("0000000000000")</f>
        <v>0000000000000</v>
      </c>
      <c r="AT454" t="str">
        <f>T("9791166067884")</f>
        <v>9791166067884</v>
      </c>
      <c r="AV454" t="str">
        <f>T("BL 웹툰 &gt; 웹툰")</f>
        <v>BL 웹툰 &gt; 웹툰</v>
      </c>
    </row>
    <row r="455" spans="1:48" x14ac:dyDescent="0.4">
      <c r="A455">
        <v>4421000742</v>
      </c>
      <c r="B455">
        <v>4421000742</v>
      </c>
      <c r="C455" t="str">
        <f>T("연애 2분의 1 1화")</f>
        <v>연애 2분의 1 1화</v>
      </c>
      <c r="D455" t="str">
        <f>T("1")</f>
        <v>1</v>
      </c>
      <c r="E455" t="str">
        <f>T("Zhupi&amp;Yangxuetu")</f>
        <v>Zhupi&amp;Yangxuetu</v>
      </c>
      <c r="H455" t="str">
        <f t="shared" si="25"/>
        <v>스토리위즈</v>
      </c>
      <c r="I455" t="str">
        <f>T("연애 2분의 1")</f>
        <v>연애 2분의 1</v>
      </c>
      <c r="J455">
        <v>200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3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R455" t="str">
        <f>T("0000000000000")</f>
        <v>0000000000000</v>
      </c>
      <c r="AT455" t="str">
        <f>T("9791166067891")</f>
        <v>9791166067891</v>
      </c>
      <c r="AV455" t="str">
        <f>T("웹툰 &gt; 해외 순정")</f>
        <v>웹툰 &gt; 해외 순정</v>
      </c>
    </row>
    <row r="456" spans="1:48" x14ac:dyDescent="0.4">
      <c r="A456">
        <v>4421000069</v>
      </c>
      <c r="B456">
        <v>4421000081</v>
      </c>
      <c r="C456" t="str">
        <f>T("너랑 나랑 하면 12화")</f>
        <v>너랑 나랑 하면 12화</v>
      </c>
      <c r="D456" t="str">
        <f>T("12")</f>
        <v>12</v>
      </c>
      <c r="E456" t="str">
        <f>T("NISANSUI")</f>
        <v>NISANSUI</v>
      </c>
      <c r="G456" t="str">
        <f>T("ZIQUAN")</f>
        <v>ZIQUAN</v>
      </c>
      <c r="H456" t="str">
        <f t="shared" si="25"/>
        <v>스토리위즈</v>
      </c>
      <c r="I456" t="str">
        <f>T("너랑 나랑 하면")</f>
        <v>너랑 나랑 하면</v>
      </c>
      <c r="J456">
        <v>400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R456" t="str">
        <f>T("0000000000000")</f>
        <v>0000000000000</v>
      </c>
      <c r="AT456" t="str">
        <f>T("9791166067884")</f>
        <v>9791166067884</v>
      </c>
      <c r="AV456" t="str">
        <f>T("BL 웹툰 &gt; 웹툰")</f>
        <v>BL 웹툰 &gt; 웹툰</v>
      </c>
    </row>
    <row r="457" spans="1:48" x14ac:dyDescent="0.4">
      <c r="A457">
        <v>4421000002</v>
      </c>
      <c r="B457">
        <v>4421000178</v>
      </c>
      <c r="C457" t="str">
        <f>T("이세계 소환은 두 번째라구요 23화")</f>
        <v>이세계 소환은 두 번째라구요 23화</v>
      </c>
      <c r="D457" t="str">
        <f>T("23")</f>
        <v>23</v>
      </c>
      <c r="E457" t="str">
        <f>T("Arashiyama, Kishimoto Kazuha, Shimahara")</f>
        <v>Arashiyama, Kishimoto Kazuha, Shimahara</v>
      </c>
      <c r="H457" t="str">
        <f t="shared" si="25"/>
        <v>스토리위즈</v>
      </c>
      <c r="I457" t="str">
        <f>T("이세계 소환은 두 번째라구요")</f>
        <v>이세계 소환은 두 번째라구요</v>
      </c>
      <c r="J457">
        <v>500</v>
      </c>
      <c r="K457">
        <v>0</v>
      </c>
      <c r="L457">
        <v>0</v>
      </c>
      <c r="M457">
        <v>0</v>
      </c>
      <c r="N457">
        <v>300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300</v>
      </c>
      <c r="AH457">
        <v>1</v>
      </c>
      <c r="AI457">
        <v>0</v>
      </c>
      <c r="AJ457">
        <v>0</v>
      </c>
      <c r="AK457">
        <v>300</v>
      </c>
      <c r="AL457">
        <v>0</v>
      </c>
      <c r="AM457">
        <v>0</v>
      </c>
      <c r="AN457">
        <v>0</v>
      </c>
      <c r="AO457">
        <v>0</v>
      </c>
      <c r="AP457">
        <v>210</v>
      </c>
      <c r="AT457" t="str">
        <f>T("9791166069390")</f>
        <v>9791166069390</v>
      </c>
      <c r="AV457" t="str">
        <f>T("웹툰 &gt; 판타지/SF")</f>
        <v>웹툰 &gt; 판타지/SF</v>
      </c>
    </row>
    <row r="458" spans="1:48" x14ac:dyDescent="0.4">
      <c r="A458">
        <v>4421000866</v>
      </c>
      <c r="B458">
        <v>4421000873</v>
      </c>
      <c r="C458" t="str">
        <f>T("최애에게 들켜버렸다 7화")</f>
        <v>최애에게 들켜버렸다 7화</v>
      </c>
      <c r="D458" t="str">
        <f>T("7")</f>
        <v>7</v>
      </c>
      <c r="E458" t="str">
        <f>T("Lv")</f>
        <v>Lv</v>
      </c>
      <c r="G458" t="str">
        <f>T("Lv")</f>
        <v>Lv</v>
      </c>
      <c r="H458" t="str">
        <f t="shared" si="25"/>
        <v>스토리위즈</v>
      </c>
      <c r="I458" t="str">
        <f>T("최애에게 들켜버렸다")</f>
        <v>최애에게 들켜버렸다</v>
      </c>
      <c r="J458">
        <v>400</v>
      </c>
      <c r="K458">
        <v>0</v>
      </c>
      <c r="L458">
        <v>0</v>
      </c>
      <c r="M458">
        <v>0</v>
      </c>
      <c r="N458">
        <v>400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400</v>
      </c>
      <c r="AH458">
        <v>2</v>
      </c>
      <c r="AI458">
        <v>0</v>
      </c>
      <c r="AJ458">
        <v>0</v>
      </c>
      <c r="AK458">
        <v>400</v>
      </c>
      <c r="AL458">
        <v>0</v>
      </c>
      <c r="AM458">
        <v>0</v>
      </c>
      <c r="AN458">
        <v>0</v>
      </c>
      <c r="AO458">
        <v>0</v>
      </c>
      <c r="AP458">
        <v>280</v>
      </c>
      <c r="AR458" t="str">
        <f>T("0000000000000")</f>
        <v>0000000000000</v>
      </c>
      <c r="AT458" t="str">
        <f>T("9791137601253")</f>
        <v>9791137601253</v>
      </c>
      <c r="AV458" t="str">
        <f>T("웹툰 &gt; 해외 순정")</f>
        <v>웹툰 &gt; 해외 순정</v>
      </c>
    </row>
    <row r="459" spans="1:48" x14ac:dyDescent="0.4">
      <c r="A459">
        <v>4421000069</v>
      </c>
      <c r="B459">
        <v>4421000114</v>
      </c>
      <c r="C459" t="str">
        <f>T("너랑 나랑 하면 44화")</f>
        <v>너랑 나랑 하면 44화</v>
      </c>
      <c r="D459" t="str">
        <f>T("44")</f>
        <v>44</v>
      </c>
      <c r="E459" t="str">
        <f>T("NISANSUI")</f>
        <v>NISANSUI</v>
      </c>
      <c r="G459" t="str">
        <f>T("ZIQUAN")</f>
        <v>ZIQUAN</v>
      </c>
      <c r="H459" t="str">
        <f t="shared" si="25"/>
        <v>스토리위즈</v>
      </c>
      <c r="I459" t="str">
        <f>T("너랑 나랑 하면")</f>
        <v>너랑 나랑 하면</v>
      </c>
      <c r="J459">
        <v>400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2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R459" t="str">
        <f>T("0000000000000")</f>
        <v>0000000000000</v>
      </c>
      <c r="AT459" t="str">
        <f>T("9791166067884")</f>
        <v>9791166067884</v>
      </c>
      <c r="AV459" t="str">
        <f>T("BL 웹툰 &gt; 웹툰")</f>
        <v>BL 웹툰 &gt; 웹툰</v>
      </c>
    </row>
    <row r="460" spans="1:48" x14ac:dyDescent="0.4">
      <c r="A460">
        <v>4421001340</v>
      </c>
      <c r="B460">
        <v>4421001342</v>
      </c>
      <c r="C460" t="str">
        <f>T("가출천사 육성계약 3화")</f>
        <v>가출천사 육성계약 3화</v>
      </c>
      <c r="D460" t="str">
        <f>T("3")</f>
        <v>3</v>
      </c>
      <c r="E460" t="str">
        <f>T("Bae.C, IIAKI, 박제후")</f>
        <v>Bae.C, IIAKI, 박제후</v>
      </c>
      <c r="G460" t="str">
        <f>T("Bae.C, 조우")</f>
        <v>Bae.C, 조우</v>
      </c>
      <c r="H460" t="str">
        <f t="shared" si="25"/>
        <v>스토리위즈</v>
      </c>
      <c r="I460" t="str">
        <f>T("가출천사 육성계약")</f>
        <v>가출천사 육성계약</v>
      </c>
      <c r="J460">
        <v>400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5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R460" t="str">
        <f>T("0000000000000")</f>
        <v>0000000000000</v>
      </c>
      <c r="AT460" t="str">
        <f>T("9791191765663")</f>
        <v>9791191765663</v>
      </c>
      <c r="AV460" t="str">
        <f>T("웹툰 &gt; 판타지/SF")</f>
        <v>웹툰 &gt; 판타지/SF</v>
      </c>
    </row>
    <row r="461" spans="1:48" x14ac:dyDescent="0.4">
      <c r="A461">
        <v>4421000001</v>
      </c>
      <c r="B461">
        <v>4421000049</v>
      </c>
      <c r="C461" t="str">
        <f>T("감옥실험 29화")</f>
        <v>감옥실험 29화</v>
      </c>
      <c r="D461" t="str">
        <f>T("29")</f>
        <v>29</v>
      </c>
      <c r="E461" t="str">
        <f>T("Kantetsu")</f>
        <v>Kantetsu</v>
      </c>
      <c r="G461" t="str">
        <f>T("Minase Chiho")</f>
        <v>Minase Chiho</v>
      </c>
      <c r="H461" t="str">
        <f t="shared" si="25"/>
        <v>스토리위즈</v>
      </c>
      <c r="I461" t="str">
        <f>T("감옥실험")</f>
        <v>감옥실험</v>
      </c>
      <c r="J461">
        <v>500</v>
      </c>
      <c r="K461">
        <v>0</v>
      </c>
      <c r="L461">
        <v>0</v>
      </c>
      <c r="M461">
        <v>0</v>
      </c>
      <c r="N461">
        <v>1500</v>
      </c>
      <c r="O461">
        <v>5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1500</v>
      </c>
      <c r="AH461">
        <v>5</v>
      </c>
      <c r="AI461">
        <v>0</v>
      </c>
      <c r="AJ461">
        <v>0</v>
      </c>
      <c r="AK461">
        <v>1500</v>
      </c>
      <c r="AL461">
        <v>0</v>
      </c>
      <c r="AM461">
        <v>0</v>
      </c>
      <c r="AN461">
        <v>0</v>
      </c>
      <c r="AO461">
        <v>0</v>
      </c>
      <c r="AP461">
        <v>1050</v>
      </c>
      <c r="AT461" t="str">
        <f>T("9791166069406")</f>
        <v>9791166069406</v>
      </c>
      <c r="AV461" t="str">
        <f>T("웹툰 &gt; 드라마")</f>
        <v>웹툰 &gt; 드라마</v>
      </c>
    </row>
    <row r="462" spans="1:48" x14ac:dyDescent="0.4">
      <c r="A462">
        <v>4421000002</v>
      </c>
      <c r="B462">
        <v>4421000254</v>
      </c>
      <c r="C462" t="str">
        <f>T("이세계 소환은 두 번째라구요 38화")</f>
        <v>이세계 소환은 두 번째라구요 38화</v>
      </c>
      <c r="D462" t="str">
        <f>T("38")</f>
        <v>38</v>
      </c>
      <c r="E462" t="str">
        <f>T("Arashiyama, Kishimoto Kazuha, Shimahara")</f>
        <v>Arashiyama, Kishimoto Kazuha, Shimahara</v>
      </c>
      <c r="H462" t="str">
        <f t="shared" si="25"/>
        <v>스토리위즈</v>
      </c>
      <c r="I462" t="str">
        <f>T("이세계 소환은 두 번째라구요")</f>
        <v>이세계 소환은 두 번째라구요</v>
      </c>
      <c r="J462">
        <v>500</v>
      </c>
      <c r="K462">
        <v>0</v>
      </c>
      <c r="L462">
        <v>0</v>
      </c>
      <c r="M462">
        <v>0</v>
      </c>
      <c r="N462">
        <v>300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300</v>
      </c>
      <c r="AH462">
        <v>1</v>
      </c>
      <c r="AI462">
        <v>0</v>
      </c>
      <c r="AJ462">
        <v>0</v>
      </c>
      <c r="AK462">
        <v>300</v>
      </c>
      <c r="AL462">
        <v>0</v>
      </c>
      <c r="AM462">
        <v>0</v>
      </c>
      <c r="AN462">
        <v>0</v>
      </c>
      <c r="AO462">
        <v>0</v>
      </c>
      <c r="AP462">
        <v>210</v>
      </c>
      <c r="AT462" t="str">
        <f>T("9791166069390")</f>
        <v>9791166069390</v>
      </c>
      <c r="AV462" t="str">
        <f>T("웹툰 &gt; 판타지/SF")</f>
        <v>웹툰 &gt; 판타지/SF</v>
      </c>
    </row>
    <row r="463" spans="1:48" x14ac:dyDescent="0.4">
      <c r="A463">
        <v>4421001325</v>
      </c>
      <c r="B463">
        <v>4421001325</v>
      </c>
      <c r="C463" t="str">
        <f>T("커피여우 김삼월 1화")</f>
        <v>커피여우 김삼월 1화</v>
      </c>
      <c r="D463" t="str">
        <f>T("1")</f>
        <v>1</v>
      </c>
      <c r="E463" t="str">
        <f>T("Nica")</f>
        <v>Nica</v>
      </c>
      <c r="G463" t="str">
        <f>T("A.Noa, RK Studio")</f>
        <v>A.Noa, RK Studio</v>
      </c>
      <c r="H463" t="str">
        <f t="shared" si="25"/>
        <v>스토리위즈</v>
      </c>
      <c r="I463" t="str">
        <f>T("커피여우 김삼월")</f>
        <v>커피여우 김삼월</v>
      </c>
      <c r="J463">
        <v>500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R463" t="str">
        <f>T("0000000000000")</f>
        <v>0000000000000</v>
      </c>
      <c r="AT463" t="str">
        <f>T("9791191241792")</f>
        <v>9791191241792</v>
      </c>
      <c r="AV463" t="str">
        <f>T("웹툰 &gt; 국내 순정")</f>
        <v>웹툰 &gt; 국내 순정</v>
      </c>
    </row>
    <row r="464" spans="1:48" x14ac:dyDescent="0.4">
      <c r="A464">
        <v>4421000866</v>
      </c>
      <c r="B464">
        <v>4421001281</v>
      </c>
      <c r="C464" t="str">
        <f>T("최애에게 들켜버렸다 65화")</f>
        <v>최애에게 들켜버렸다 65화</v>
      </c>
      <c r="D464" t="str">
        <f>T("68")</f>
        <v>68</v>
      </c>
      <c r="E464" t="str">
        <f>T("Lv")</f>
        <v>Lv</v>
      </c>
      <c r="G464" t="str">
        <f>T("Lv")</f>
        <v>Lv</v>
      </c>
      <c r="H464" t="str">
        <f t="shared" si="25"/>
        <v>스토리위즈</v>
      </c>
      <c r="I464" t="str">
        <f>T("최애에게 들켜버렸다")</f>
        <v>최애에게 들켜버렸다</v>
      </c>
      <c r="J464">
        <v>400</v>
      </c>
      <c r="K464">
        <v>0</v>
      </c>
      <c r="L464">
        <v>0</v>
      </c>
      <c r="M464">
        <v>0</v>
      </c>
      <c r="N464">
        <v>200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200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200</v>
      </c>
      <c r="AN464">
        <v>0</v>
      </c>
      <c r="AO464">
        <v>0</v>
      </c>
      <c r="AP464">
        <v>140</v>
      </c>
      <c r="AR464" t="str">
        <f>T("0000000000000")</f>
        <v>0000000000000</v>
      </c>
      <c r="AT464" t="str">
        <f>T("9791137601253")</f>
        <v>9791137601253</v>
      </c>
      <c r="AV464" t="str">
        <f>T("웹툰 &gt; 해외 순정")</f>
        <v>웹툰 &gt; 해외 순정</v>
      </c>
    </row>
    <row r="465" spans="1:48" x14ac:dyDescent="0.4">
      <c r="A465">
        <v>4421000001</v>
      </c>
      <c r="B465">
        <v>4421000042</v>
      </c>
      <c r="C465" t="str">
        <f>T("감옥실험 22화")</f>
        <v>감옥실험 22화</v>
      </c>
      <c r="D465" t="str">
        <f>T("22")</f>
        <v>22</v>
      </c>
      <c r="E465" t="str">
        <f>T("Kantetsu")</f>
        <v>Kantetsu</v>
      </c>
      <c r="G465" t="str">
        <f>T("Minase Chiho")</f>
        <v>Minase Chiho</v>
      </c>
      <c r="H465" t="str">
        <f t="shared" si="25"/>
        <v>스토리위즈</v>
      </c>
      <c r="I465" t="str">
        <f>T("감옥실험")</f>
        <v>감옥실험</v>
      </c>
      <c r="J465">
        <v>500</v>
      </c>
      <c r="K465">
        <v>0</v>
      </c>
      <c r="L465">
        <v>0</v>
      </c>
      <c r="M465">
        <v>0</v>
      </c>
      <c r="N465">
        <v>1800</v>
      </c>
      <c r="O465">
        <v>6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1800</v>
      </c>
      <c r="AH465">
        <v>6</v>
      </c>
      <c r="AI465">
        <v>0</v>
      </c>
      <c r="AJ465">
        <v>0</v>
      </c>
      <c r="AK465">
        <v>1800</v>
      </c>
      <c r="AL465">
        <v>0</v>
      </c>
      <c r="AM465">
        <v>0</v>
      </c>
      <c r="AN465">
        <v>0</v>
      </c>
      <c r="AO465">
        <v>0</v>
      </c>
      <c r="AP465">
        <v>1260</v>
      </c>
      <c r="AT465" t="str">
        <f>T("9791166069406")</f>
        <v>9791166069406</v>
      </c>
      <c r="AV465" t="str">
        <f>T("웹툰 &gt; 드라마")</f>
        <v>웹툰 &gt; 드라마</v>
      </c>
    </row>
    <row r="466" spans="1:48" x14ac:dyDescent="0.4">
      <c r="A466">
        <v>4421000002</v>
      </c>
      <c r="B466">
        <v>4421000247</v>
      </c>
      <c r="C466" t="str">
        <f>T("이세계 소환은 두 번째라구요 31화")</f>
        <v>이세계 소환은 두 번째라구요 31화</v>
      </c>
      <c r="D466" t="str">
        <f>T("31")</f>
        <v>31</v>
      </c>
      <c r="E466" t="str">
        <f>T("Arashiyama, Kishimoto Kazuha, Shimahara")</f>
        <v>Arashiyama, Kishimoto Kazuha, Shimahara</v>
      </c>
      <c r="H466" t="str">
        <f t="shared" si="25"/>
        <v>스토리위즈</v>
      </c>
      <c r="I466" t="str">
        <f>T("이세계 소환은 두 번째라구요")</f>
        <v>이세계 소환은 두 번째라구요</v>
      </c>
      <c r="J466">
        <v>500</v>
      </c>
      <c r="K466">
        <v>0</v>
      </c>
      <c r="L466">
        <v>0</v>
      </c>
      <c r="M466">
        <v>0</v>
      </c>
      <c r="N466">
        <v>300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300</v>
      </c>
      <c r="AH466">
        <v>1</v>
      </c>
      <c r="AI466">
        <v>0</v>
      </c>
      <c r="AJ466">
        <v>0</v>
      </c>
      <c r="AK466">
        <v>300</v>
      </c>
      <c r="AL466">
        <v>0</v>
      </c>
      <c r="AM466">
        <v>0</v>
      </c>
      <c r="AN466">
        <v>0</v>
      </c>
      <c r="AO466">
        <v>0</v>
      </c>
      <c r="AP466">
        <v>210</v>
      </c>
      <c r="AT466" t="str">
        <f>T("9791166069390")</f>
        <v>9791166069390</v>
      </c>
      <c r="AV466" t="str">
        <f>T("웹툰 &gt; 판타지/SF")</f>
        <v>웹툰 &gt; 판타지/SF</v>
      </c>
    </row>
    <row r="467" spans="1:48" x14ac:dyDescent="0.4">
      <c r="A467">
        <v>4421000518</v>
      </c>
      <c r="B467">
        <v>4421000525</v>
      </c>
      <c r="C467" t="str">
        <f>T("백스테이지 키스신 7화")</f>
        <v>백스테이지 키스신 7화</v>
      </c>
      <c r="D467" t="str">
        <f>T("7")</f>
        <v>7</v>
      </c>
      <c r="E467" t="str">
        <f>T("최도비")</f>
        <v>최도비</v>
      </c>
      <c r="G467" t="str">
        <f>T("수정과")</f>
        <v>수정과</v>
      </c>
      <c r="H467" t="str">
        <f t="shared" si="25"/>
        <v>스토리위즈</v>
      </c>
      <c r="I467" t="str">
        <f>T("백스테이지 키스신")</f>
        <v>백스테이지 키스신</v>
      </c>
      <c r="J467">
        <v>400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R467" t="str">
        <f>T("0000000000000")</f>
        <v>0000000000000</v>
      </c>
      <c r="AT467" t="str">
        <f>T("9791166067990")</f>
        <v>9791166067990</v>
      </c>
      <c r="AV467" t="str">
        <f>T("웹툰 &gt; 국내 순정")</f>
        <v>웹툰 &gt; 국내 순정</v>
      </c>
    </row>
    <row r="468" spans="1:48" x14ac:dyDescent="0.4">
      <c r="A468">
        <v>4421000069</v>
      </c>
      <c r="B468">
        <v>4421000074</v>
      </c>
      <c r="C468" t="str">
        <f>T("너랑 나랑 하면 5화")</f>
        <v>너랑 나랑 하면 5화</v>
      </c>
      <c r="D468" t="str">
        <f>T("5")</f>
        <v>5</v>
      </c>
      <c r="E468" t="str">
        <f>T("NISANSUI")</f>
        <v>NISANSUI</v>
      </c>
      <c r="G468" t="str">
        <f>T("ZIQUAN")</f>
        <v>ZIQUAN</v>
      </c>
      <c r="H468" t="str">
        <f t="shared" si="25"/>
        <v>스토리위즈</v>
      </c>
      <c r="I468" t="str">
        <f>T("너랑 나랑 하면")</f>
        <v>너랑 나랑 하면</v>
      </c>
      <c r="J468">
        <v>400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R468" t="str">
        <f>T("0000000000000")</f>
        <v>0000000000000</v>
      </c>
      <c r="AT468" t="str">
        <f>T("9791166067884")</f>
        <v>9791166067884</v>
      </c>
      <c r="AV468" t="str">
        <f>T("BL 웹툰 &gt; 웹툰")</f>
        <v>BL 웹툰 &gt; 웹툰</v>
      </c>
    </row>
    <row r="469" spans="1:48" x14ac:dyDescent="0.4">
      <c r="A469">
        <v>4421000001</v>
      </c>
      <c r="B469">
        <v>4421000171</v>
      </c>
      <c r="C469" t="str">
        <f>T("감옥실험 50화")</f>
        <v>감옥실험 50화</v>
      </c>
      <c r="D469" t="str">
        <f>T("50")</f>
        <v>50</v>
      </c>
      <c r="E469" t="str">
        <f>T("Kantetsu")</f>
        <v>Kantetsu</v>
      </c>
      <c r="G469" t="str">
        <f>T("Minase Chiho")</f>
        <v>Minase Chiho</v>
      </c>
      <c r="H469" t="str">
        <f t="shared" si="25"/>
        <v>스토리위즈</v>
      </c>
      <c r="I469" t="str">
        <f>T("감옥실험")</f>
        <v>감옥실험</v>
      </c>
      <c r="J469">
        <v>500</v>
      </c>
      <c r="K469">
        <v>0</v>
      </c>
      <c r="L469">
        <v>0</v>
      </c>
      <c r="M469">
        <v>0</v>
      </c>
      <c r="N469">
        <v>1200</v>
      </c>
      <c r="O469">
        <v>4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1200</v>
      </c>
      <c r="AH469">
        <v>4</v>
      </c>
      <c r="AI469">
        <v>0</v>
      </c>
      <c r="AJ469">
        <v>0</v>
      </c>
      <c r="AK469">
        <v>1200</v>
      </c>
      <c r="AL469">
        <v>0</v>
      </c>
      <c r="AM469">
        <v>0</v>
      </c>
      <c r="AN469">
        <v>0</v>
      </c>
      <c r="AO469">
        <v>0</v>
      </c>
      <c r="AP469">
        <v>840</v>
      </c>
      <c r="AT469" t="str">
        <f>T("9791166069406")</f>
        <v>9791166069406</v>
      </c>
      <c r="AV469" t="str">
        <f>T("웹툰 &gt; 드라마")</f>
        <v>웹툰 &gt; 드라마</v>
      </c>
    </row>
    <row r="470" spans="1:48" x14ac:dyDescent="0.4">
      <c r="A470">
        <v>4421000866</v>
      </c>
      <c r="B470">
        <v>4421000866</v>
      </c>
      <c r="C470" t="str">
        <f>T("최애에게 들켜버렸다 예고편")</f>
        <v>최애에게 들켜버렸다 예고편</v>
      </c>
      <c r="E470" t="str">
        <f>T("Lv")</f>
        <v>Lv</v>
      </c>
      <c r="G470" t="str">
        <f>T("Lv")</f>
        <v>Lv</v>
      </c>
      <c r="H470" t="str">
        <f t="shared" si="25"/>
        <v>스토리위즈</v>
      </c>
      <c r="I470" t="str">
        <f>T("최애에게 들켜버렸다")</f>
        <v>최애에게 들켜버렸다</v>
      </c>
      <c r="J470">
        <v>0</v>
      </c>
      <c r="K470">
        <v>0</v>
      </c>
      <c r="L470">
        <v>0</v>
      </c>
      <c r="M470">
        <v>2</v>
      </c>
      <c r="N470">
        <v>0</v>
      </c>
      <c r="O470">
        <v>0</v>
      </c>
      <c r="P470">
        <v>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4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R470" t="str">
        <f t="shared" ref="AR470:AR477" si="26">T("0000000000000")</f>
        <v>0000000000000</v>
      </c>
      <c r="AT470" t="str">
        <f>T("9791137601253")</f>
        <v>9791137601253</v>
      </c>
      <c r="AV470" t="str">
        <f>T("웹툰 &gt; 해외 순정")</f>
        <v>웹툰 &gt; 해외 순정</v>
      </c>
    </row>
    <row r="471" spans="1:48" x14ac:dyDescent="0.4">
      <c r="A471">
        <v>4421000069</v>
      </c>
      <c r="B471">
        <v>4421000107</v>
      </c>
      <c r="C471" t="str">
        <f>T("너랑 나랑 하면 37화")</f>
        <v>너랑 나랑 하면 37화</v>
      </c>
      <c r="D471" t="str">
        <f>T("37")</f>
        <v>37</v>
      </c>
      <c r="E471" t="str">
        <f>T("NISANSUI")</f>
        <v>NISANSUI</v>
      </c>
      <c r="G471" t="str">
        <f>T("ZIQUAN")</f>
        <v>ZIQUAN</v>
      </c>
      <c r="H471" t="str">
        <f t="shared" si="25"/>
        <v>스토리위즈</v>
      </c>
      <c r="I471" t="str">
        <f>T("너랑 나랑 하면")</f>
        <v>너랑 나랑 하면</v>
      </c>
      <c r="J471">
        <v>400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R471" t="str">
        <f t="shared" si="26"/>
        <v>0000000000000</v>
      </c>
      <c r="AT471" t="str">
        <f>T("9791166067884")</f>
        <v>9791166067884</v>
      </c>
      <c r="AV471" t="str">
        <f>T("BL 웹툰 &gt; 웹툰")</f>
        <v>BL 웹툰 &gt; 웹툰</v>
      </c>
    </row>
    <row r="472" spans="1:48" x14ac:dyDescent="0.4">
      <c r="A472">
        <v>4421000518</v>
      </c>
      <c r="B472">
        <v>4421000518</v>
      </c>
      <c r="C472" t="str">
        <f>T("백스테이지 키스신 프롤로그")</f>
        <v>백스테이지 키스신 프롤로그</v>
      </c>
      <c r="E472" t="str">
        <f>T("최도비")</f>
        <v>최도비</v>
      </c>
      <c r="G472" t="str">
        <f>T("수정과")</f>
        <v>수정과</v>
      </c>
      <c r="H472" t="str">
        <f t="shared" si="25"/>
        <v>스토리위즈</v>
      </c>
      <c r="I472" t="str">
        <f>T("백스테이지 키스신")</f>
        <v>백스테이지 키스신</v>
      </c>
      <c r="J472">
        <v>400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2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R472" t="str">
        <f t="shared" si="26"/>
        <v>0000000000000</v>
      </c>
      <c r="AT472" t="str">
        <f>T("9791166067990")</f>
        <v>9791166067990</v>
      </c>
      <c r="AV472" t="str">
        <f>T("웹툰 &gt; 국내 순정")</f>
        <v>웹툰 &gt; 국내 순정</v>
      </c>
    </row>
    <row r="473" spans="1:48" x14ac:dyDescent="0.4">
      <c r="A473">
        <v>4421000742</v>
      </c>
      <c r="B473">
        <v>4421000768</v>
      </c>
      <c r="C473" t="str">
        <f>T("연애 2분의 1 27화")</f>
        <v>연애 2분의 1 27화</v>
      </c>
      <c r="D473" t="str">
        <f>T("27")</f>
        <v>27</v>
      </c>
      <c r="E473" t="str">
        <f>T("Zhupi&amp;Yangxuetu")</f>
        <v>Zhupi&amp;Yangxuetu</v>
      </c>
      <c r="H473" t="str">
        <f t="shared" si="25"/>
        <v>스토리위즈</v>
      </c>
      <c r="I473" t="str">
        <f>T("연애 2분의 1")</f>
        <v>연애 2분의 1</v>
      </c>
      <c r="J473">
        <v>200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R473" t="str">
        <f t="shared" si="26"/>
        <v>0000000000000</v>
      </c>
      <c r="AT473" t="str">
        <f>T("9791166067891")</f>
        <v>9791166067891</v>
      </c>
      <c r="AV473" t="str">
        <f>T("웹툰 &gt; 해외 순정")</f>
        <v>웹툰 &gt; 해외 순정</v>
      </c>
    </row>
    <row r="474" spans="1:48" x14ac:dyDescent="0.4">
      <c r="A474">
        <v>4421000887</v>
      </c>
      <c r="B474">
        <v>4421001215</v>
      </c>
      <c r="C474" t="str">
        <f>T("폭군의 눈물 42화")</f>
        <v>폭군의 눈물 42화</v>
      </c>
      <c r="D474" t="str">
        <f>T("42")</f>
        <v>42</v>
      </c>
      <c r="E474" t="str">
        <f>T("Ice×FANFAN COMIC")</f>
        <v>Ice×FANFAN COMIC</v>
      </c>
      <c r="G474" t="str">
        <f>T("Ice×FANFAN COMIC")</f>
        <v>Ice×FANFAN COMIC</v>
      </c>
      <c r="H474" t="str">
        <f t="shared" si="25"/>
        <v>스토리위즈</v>
      </c>
      <c r="I474" t="str">
        <f>T("폭군의 눈물")</f>
        <v>폭군의 눈물</v>
      </c>
      <c r="J474">
        <v>400</v>
      </c>
      <c r="K474">
        <v>0</v>
      </c>
      <c r="L474">
        <v>0</v>
      </c>
      <c r="M474">
        <v>0</v>
      </c>
      <c r="N474">
        <v>600</v>
      </c>
      <c r="O474">
        <v>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600</v>
      </c>
      <c r="AH474">
        <v>3</v>
      </c>
      <c r="AI474">
        <v>0</v>
      </c>
      <c r="AJ474">
        <v>0</v>
      </c>
      <c r="AK474">
        <v>400</v>
      </c>
      <c r="AL474">
        <v>0</v>
      </c>
      <c r="AM474">
        <v>200</v>
      </c>
      <c r="AN474">
        <v>0</v>
      </c>
      <c r="AO474">
        <v>0</v>
      </c>
      <c r="AP474">
        <v>420</v>
      </c>
      <c r="AR474" t="str">
        <f t="shared" si="26"/>
        <v>0000000000000</v>
      </c>
      <c r="AT474" t="str">
        <f>T("9791137601291")</f>
        <v>9791137601291</v>
      </c>
      <c r="AV474" t="str">
        <f>T("웹툰 &gt; 해외 순정")</f>
        <v>웹툰 &gt; 해외 순정</v>
      </c>
    </row>
    <row r="475" spans="1:48" x14ac:dyDescent="0.4">
      <c r="A475">
        <v>4421000069</v>
      </c>
      <c r="B475">
        <v>4421000099</v>
      </c>
      <c r="C475" t="str">
        <f>T("너랑 나랑 하면 30화")</f>
        <v>너랑 나랑 하면 30화</v>
      </c>
      <c r="D475" t="str">
        <f>T("30")</f>
        <v>30</v>
      </c>
      <c r="E475" t="str">
        <f>T("NISANSUI")</f>
        <v>NISANSUI</v>
      </c>
      <c r="G475" t="str">
        <f>T("ZIQUAN")</f>
        <v>ZIQUAN</v>
      </c>
      <c r="H475" t="str">
        <f t="shared" si="25"/>
        <v>스토리위즈</v>
      </c>
      <c r="I475" t="str">
        <f>T("너랑 나랑 하면")</f>
        <v>너랑 나랑 하면</v>
      </c>
      <c r="J475">
        <v>400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R475" t="str">
        <f t="shared" si="26"/>
        <v>0000000000000</v>
      </c>
      <c r="AT475" t="str">
        <f>T("9791166067884")</f>
        <v>9791166067884</v>
      </c>
      <c r="AV475" t="str">
        <f>T("BL 웹툰 &gt; 웹툰")</f>
        <v>BL 웹툰 &gt; 웹툰</v>
      </c>
    </row>
    <row r="476" spans="1:48" x14ac:dyDescent="0.4">
      <c r="A476">
        <v>4421000866</v>
      </c>
      <c r="B476">
        <v>4421000992</v>
      </c>
      <c r="C476" t="str">
        <f>T("최애에게 들켜버렸다 34화")</f>
        <v>최애에게 들켜버렸다 34화</v>
      </c>
      <c r="D476" t="str">
        <f>T("35")</f>
        <v>35</v>
      </c>
      <c r="E476" t="str">
        <f>T("Lv")</f>
        <v>Lv</v>
      </c>
      <c r="G476" t="str">
        <f>T("Lv")</f>
        <v>Lv</v>
      </c>
      <c r="H476" t="str">
        <f t="shared" si="25"/>
        <v>스토리위즈</v>
      </c>
      <c r="I476" t="str">
        <f>T("최애에게 들켜버렸다")</f>
        <v>최애에게 들켜버렸다</v>
      </c>
      <c r="J476">
        <v>400</v>
      </c>
      <c r="K476">
        <v>0</v>
      </c>
      <c r="L476">
        <v>0</v>
      </c>
      <c r="M476">
        <v>0</v>
      </c>
      <c r="N476">
        <v>200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200</v>
      </c>
      <c r="AH476">
        <v>1</v>
      </c>
      <c r="AI476">
        <v>0</v>
      </c>
      <c r="AJ476">
        <v>0</v>
      </c>
      <c r="AK476">
        <v>200</v>
      </c>
      <c r="AL476">
        <v>0</v>
      </c>
      <c r="AM476">
        <v>0</v>
      </c>
      <c r="AN476">
        <v>0</v>
      </c>
      <c r="AO476">
        <v>0</v>
      </c>
      <c r="AP476">
        <v>140</v>
      </c>
      <c r="AR476" t="str">
        <f t="shared" si="26"/>
        <v>0000000000000</v>
      </c>
      <c r="AT476" t="str">
        <f>T("9791137601253")</f>
        <v>9791137601253</v>
      </c>
      <c r="AV476" t="str">
        <f>T("웹툰 &gt; 해외 순정")</f>
        <v>웹툰 &gt; 해외 순정</v>
      </c>
    </row>
    <row r="477" spans="1:48" x14ac:dyDescent="0.4">
      <c r="A477">
        <v>4421001377</v>
      </c>
      <c r="B477">
        <v>4421001475</v>
      </c>
      <c r="C477" t="str">
        <f>T("요괴님은 수련중 23화")</f>
        <v>요괴님은 수련중 23화</v>
      </c>
      <c r="D477" t="str">
        <f>T("23")</f>
        <v>23</v>
      </c>
      <c r="E477" t="str">
        <f>T("화방")</f>
        <v>화방</v>
      </c>
      <c r="G477" t="str">
        <f>T("망북")</f>
        <v>망북</v>
      </c>
      <c r="H477" t="str">
        <f t="shared" si="25"/>
        <v>스토리위즈</v>
      </c>
      <c r="I477" t="str">
        <f>T("요괴님은 수련중")</f>
        <v>요괴님은 수련중</v>
      </c>
      <c r="J477">
        <v>400</v>
      </c>
      <c r="K477">
        <v>0</v>
      </c>
      <c r="L477">
        <v>0</v>
      </c>
      <c r="M477">
        <v>0</v>
      </c>
      <c r="N477">
        <v>200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200</v>
      </c>
      <c r="AH477">
        <v>1</v>
      </c>
      <c r="AI477">
        <v>0</v>
      </c>
      <c r="AJ477">
        <v>0</v>
      </c>
      <c r="AK477">
        <v>200</v>
      </c>
      <c r="AL477">
        <v>0</v>
      </c>
      <c r="AM477">
        <v>0</v>
      </c>
      <c r="AN477">
        <v>0</v>
      </c>
      <c r="AO477">
        <v>0</v>
      </c>
      <c r="AP477">
        <v>140</v>
      </c>
      <c r="AR477" t="str">
        <f t="shared" si="26"/>
        <v>0000000000000</v>
      </c>
      <c r="AT477" t="str">
        <f>T("9791137603899")</f>
        <v>9791137603899</v>
      </c>
      <c r="AV477" t="str">
        <f>T("웹툰 &gt; 해외 순정")</f>
        <v>웹툰 &gt; 해외 순정</v>
      </c>
    </row>
    <row r="478" spans="1:48" x14ac:dyDescent="0.4">
      <c r="A478">
        <v>4421000001</v>
      </c>
      <c r="B478">
        <v>4421000028</v>
      </c>
      <c r="C478" t="str">
        <f>T("감옥실험 18화")</f>
        <v>감옥실험 18화</v>
      </c>
      <c r="D478" t="str">
        <f>T("18")</f>
        <v>18</v>
      </c>
      <c r="E478" t="str">
        <f>T("Kantetsu")</f>
        <v>Kantetsu</v>
      </c>
      <c r="G478" t="str">
        <f>T("Minase Chiho")</f>
        <v>Minase Chiho</v>
      </c>
      <c r="H478" t="str">
        <f t="shared" si="25"/>
        <v>스토리위즈</v>
      </c>
      <c r="I478" t="str">
        <f>T("감옥실험")</f>
        <v>감옥실험</v>
      </c>
      <c r="J478">
        <v>500</v>
      </c>
      <c r="K478">
        <v>0</v>
      </c>
      <c r="L478">
        <v>0</v>
      </c>
      <c r="M478">
        <v>0</v>
      </c>
      <c r="N478">
        <v>2100</v>
      </c>
      <c r="O478">
        <v>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2100</v>
      </c>
      <c r="AH478">
        <v>7</v>
      </c>
      <c r="AI478">
        <v>0</v>
      </c>
      <c r="AJ478">
        <v>0</v>
      </c>
      <c r="AK478">
        <v>2100</v>
      </c>
      <c r="AL478">
        <v>0</v>
      </c>
      <c r="AM478">
        <v>0</v>
      </c>
      <c r="AN478">
        <v>0</v>
      </c>
      <c r="AO478">
        <v>0</v>
      </c>
      <c r="AP478">
        <v>1470</v>
      </c>
      <c r="AT478" t="str">
        <f>T("9791166069406")</f>
        <v>9791166069406</v>
      </c>
      <c r="AV478" t="str">
        <f>T("웹툰 &gt; 드라마")</f>
        <v>웹툰 &gt; 드라마</v>
      </c>
    </row>
    <row r="479" spans="1:48" x14ac:dyDescent="0.4">
      <c r="A479">
        <v>4421001377</v>
      </c>
      <c r="B479">
        <v>4421001384</v>
      </c>
      <c r="C479" t="str">
        <f>T("요괴님은 수련중 8화")</f>
        <v>요괴님은 수련중 8화</v>
      </c>
      <c r="D479" t="str">
        <f>T("8")</f>
        <v>8</v>
      </c>
      <c r="E479" t="str">
        <f>T("화방")</f>
        <v>화방</v>
      </c>
      <c r="G479" t="str">
        <f>T("망북")</f>
        <v>망북</v>
      </c>
      <c r="H479" t="str">
        <f t="shared" si="25"/>
        <v>스토리위즈</v>
      </c>
      <c r="I479" t="str">
        <f>T("요괴님은 수련중")</f>
        <v>요괴님은 수련중</v>
      </c>
      <c r="J479">
        <v>400</v>
      </c>
      <c r="K479">
        <v>0</v>
      </c>
      <c r="L479">
        <v>0</v>
      </c>
      <c r="M479">
        <v>0</v>
      </c>
      <c r="N479">
        <v>200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200</v>
      </c>
      <c r="AH479">
        <v>1</v>
      </c>
      <c r="AI479">
        <v>0</v>
      </c>
      <c r="AJ479">
        <v>0</v>
      </c>
      <c r="AK479">
        <v>200</v>
      </c>
      <c r="AL479">
        <v>0</v>
      </c>
      <c r="AM479">
        <v>0</v>
      </c>
      <c r="AN479">
        <v>0</v>
      </c>
      <c r="AO479">
        <v>0</v>
      </c>
      <c r="AP479">
        <v>140</v>
      </c>
      <c r="AR479" t="str">
        <f>T("0000000000000")</f>
        <v>0000000000000</v>
      </c>
      <c r="AT479" t="str">
        <f>T("9791137603899")</f>
        <v>9791137603899</v>
      </c>
      <c r="AV479" t="str">
        <f>T("웹툰 &gt; 해외 순정")</f>
        <v>웹툰 &gt; 해외 순정</v>
      </c>
    </row>
    <row r="480" spans="1:48" x14ac:dyDescent="0.4">
      <c r="A480">
        <v>4421000001</v>
      </c>
      <c r="B480">
        <v>4421000067</v>
      </c>
      <c r="C480" t="str">
        <f>T("감옥실험 47화")</f>
        <v>감옥실험 47화</v>
      </c>
      <c r="D480" t="str">
        <f>T("47")</f>
        <v>47</v>
      </c>
      <c r="E480" t="str">
        <f>T("Kantetsu")</f>
        <v>Kantetsu</v>
      </c>
      <c r="G480" t="str">
        <f>T("Minase Chiho")</f>
        <v>Minase Chiho</v>
      </c>
      <c r="H480" t="str">
        <f t="shared" si="25"/>
        <v>스토리위즈</v>
      </c>
      <c r="I480" t="str">
        <f>T("감옥실험")</f>
        <v>감옥실험</v>
      </c>
      <c r="J480">
        <v>500</v>
      </c>
      <c r="K480">
        <v>0</v>
      </c>
      <c r="L480">
        <v>0</v>
      </c>
      <c r="M480">
        <v>0</v>
      </c>
      <c r="N480">
        <v>1200</v>
      </c>
      <c r="O480">
        <v>4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1200</v>
      </c>
      <c r="AH480">
        <v>4</v>
      </c>
      <c r="AI480">
        <v>0</v>
      </c>
      <c r="AJ480">
        <v>0</v>
      </c>
      <c r="AK480">
        <v>1200</v>
      </c>
      <c r="AL480">
        <v>0</v>
      </c>
      <c r="AM480">
        <v>0</v>
      </c>
      <c r="AN480">
        <v>0</v>
      </c>
      <c r="AO480">
        <v>0</v>
      </c>
      <c r="AP480">
        <v>840</v>
      </c>
      <c r="AT480" t="str">
        <f>T("9791166069406")</f>
        <v>9791166069406</v>
      </c>
      <c r="AV480" t="str">
        <f>T("웹툰 &gt; 드라마")</f>
        <v>웹툰 &gt; 드라마</v>
      </c>
    </row>
    <row r="481" spans="1:48" x14ac:dyDescent="0.4">
      <c r="A481">
        <v>4421000866</v>
      </c>
      <c r="B481">
        <v>4421000884</v>
      </c>
      <c r="C481" t="str">
        <f>T("최애에게 들켜버렸다 18화")</f>
        <v>최애에게 들켜버렸다 18화</v>
      </c>
      <c r="D481" t="str">
        <f>T("18")</f>
        <v>18</v>
      </c>
      <c r="E481" t="str">
        <f>T("Lv")</f>
        <v>Lv</v>
      </c>
      <c r="G481" t="str">
        <f>T("Lv")</f>
        <v>Lv</v>
      </c>
      <c r="H481" t="str">
        <f t="shared" si="25"/>
        <v>스토리위즈</v>
      </c>
      <c r="I481" t="str">
        <f>T("최애에게 들켜버렸다")</f>
        <v>최애에게 들켜버렸다</v>
      </c>
      <c r="J481">
        <v>400</v>
      </c>
      <c r="K481">
        <v>0</v>
      </c>
      <c r="L481">
        <v>0</v>
      </c>
      <c r="M481">
        <v>0</v>
      </c>
      <c r="N481">
        <v>400</v>
      </c>
      <c r="O481">
        <v>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400</v>
      </c>
      <c r="AH481">
        <v>2</v>
      </c>
      <c r="AI481">
        <v>0</v>
      </c>
      <c r="AJ481">
        <v>0</v>
      </c>
      <c r="AK481">
        <v>400</v>
      </c>
      <c r="AL481">
        <v>0</v>
      </c>
      <c r="AM481">
        <v>0</v>
      </c>
      <c r="AN481">
        <v>0</v>
      </c>
      <c r="AO481">
        <v>0</v>
      </c>
      <c r="AP481">
        <v>280</v>
      </c>
      <c r="AR481" t="str">
        <f>T("0000000000000")</f>
        <v>0000000000000</v>
      </c>
      <c r="AT481" t="str">
        <f>T("9791137601253")</f>
        <v>9791137601253</v>
      </c>
      <c r="AV481" t="str">
        <f>T("웹툰 &gt; 해외 순정")</f>
        <v>웹툰 &gt; 해외 순정</v>
      </c>
    </row>
    <row r="482" spans="1:48" x14ac:dyDescent="0.4">
      <c r="A482">
        <v>4421000198</v>
      </c>
      <c r="B482">
        <v>4421001462</v>
      </c>
      <c r="C482" t="str">
        <f>T("공주전쟁 95화")</f>
        <v>공주전쟁 95화</v>
      </c>
      <c r="D482" t="str">
        <f>T("95")</f>
        <v>95</v>
      </c>
      <c r="E482" t="str">
        <f>T("Hujing")</f>
        <v>Hujing</v>
      </c>
      <c r="G482" t="str">
        <f>T("Luojie")</f>
        <v>Luojie</v>
      </c>
      <c r="H482" t="str">
        <f t="shared" si="25"/>
        <v>스토리위즈</v>
      </c>
      <c r="I482" t="str">
        <f>T("공주전쟁")</f>
        <v>공주전쟁</v>
      </c>
      <c r="J482">
        <v>400</v>
      </c>
      <c r="K482">
        <v>0</v>
      </c>
      <c r="L482">
        <v>0</v>
      </c>
      <c r="M482">
        <v>0</v>
      </c>
      <c r="N482">
        <v>600</v>
      </c>
      <c r="O482">
        <v>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600</v>
      </c>
      <c r="AH482">
        <v>3</v>
      </c>
      <c r="AI482">
        <v>0</v>
      </c>
      <c r="AJ482">
        <v>0</v>
      </c>
      <c r="AK482">
        <v>600</v>
      </c>
      <c r="AL482">
        <v>0</v>
      </c>
      <c r="AM482">
        <v>0</v>
      </c>
      <c r="AN482">
        <v>0</v>
      </c>
      <c r="AO482">
        <v>0</v>
      </c>
      <c r="AP482">
        <v>420</v>
      </c>
      <c r="AR482" t="str">
        <f>T("0000000000000")</f>
        <v>0000000000000</v>
      </c>
      <c r="AT482" t="str">
        <f>T("9791166069666")</f>
        <v>9791166069666</v>
      </c>
      <c r="AV482" t="str">
        <f>T("웹툰 &gt; 해외 순정")</f>
        <v>웹툰 &gt; 해외 순정</v>
      </c>
    </row>
    <row r="483" spans="1:48" x14ac:dyDescent="0.4">
      <c r="A483">
        <v>4421000069</v>
      </c>
      <c r="B483">
        <v>4421000150</v>
      </c>
      <c r="C483" t="str">
        <f>T("너랑 나랑 하면 80화")</f>
        <v>너랑 나랑 하면 80화</v>
      </c>
      <c r="D483" t="str">
        <f>T("80")</f>
        <v>80</v>
      </c>
      <c r="E483" t="str">
        <f>T("NISANSUI")</f>
        <v>NISANSUI</v>
      </c>
      <c r="G483" t="str">
        <f>T("ZIQUAN")</f>
        <v>ZIQUAN</v>
      </c>
      <c r="H483" t="str">
        <f t="shared" si="25"/>
        <v>스토리위즈</v>
      </c>
      <c r="I483" t="str">
        <f>T("너랑 나랑 하면")</f>
        <v>너랑 나랑 하면</v>
      </c>
      <c r="J483">
        <v>400</v>
      </c>
      <c r="K483">
        <v>0</v>
      </c>
      <c r="L483">
        <v>0</v>
      </c>
      <c r="M483">
        <v>0</v>
      </c>
      <c r="N483">
        <v>200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200</v>
      </c>
      <c r="AH483">
        <v>1</v>
      </c>
      <c r="AI483">
        <v>0</v>
      </c>
      <c r="AJ483">
        <v>0</v>
      </c>
      <c r="AK483">
        <v>200</v>
      </c>
      <c r="AL483">
        <v>0</v>
      </c>
      <c r="AM483">
        <v>0</v>
      </c>
      <c r="AN483">
        <v>0</v>
      </c>
      <c r="AO483">
        <v>0</v>
      </c>
      <c r="AP483">
        <v>140</v>
      </c>
      <c r="AR483" t="str">
        <f>T("0000000000000")</f>
        <v>0000000000000</v>
      </c>
      <c r="AT483" t="str">
        <f>T("9791166067884")</f>
        <v>9791166067884</v>
      </c>
      <c r="AV483" t="str">
        <f>T("BL 웹툰 &gt; 웹툰")</f>
        <v>BL 웹툰 &gt; 웹툰</v>
      </c>
    </row>
    <row r="484" spans="1:48" x14ac:dyDescent="0.4">
      <c r="A484">
        <v>4421001377</v>
      </c>
      <c r="B484">
        <v>4421001377</v>
      </c>
      <c r="C484" t="str">
        <f>T("요괴님은 수련중 1화")</f>
        <v>요괴님은 수련중 1화</v>
      </c>
      <c r="D484" t="str">
        <f>T("1")</f>
        <v>1</v>
      </c>
      <c r="E484" t="str">
        <f>T("화방")</f>
        <v>화방</v>
      </c>
      <c r="G484" t="str">
        <f>T("망북")</f>
        <v>망북</v>
      </c>
      <c r="H484" t="str">
        <f t="shared" si="25"/>
        <v>스토리위즈</v>
      </c>
      <c r="I484" t="str">
        <f>T("요괴님은 수련중")</f>
        <v>요괴님은 수련중</v>
      </c>
      <c r="J484">
        <v>400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14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R484" t="str">
        <f>T("0000000000000")</f>
        <v>0000000000000</v>
      </c>
      <c r="AT484" t="str">
        <f>T("9791137603899")</f>
        <v>9791137603899</v>
      </c>
      <c r="AV484" t="str">
        <f>T("웹툰 &gt; 해외 순정")</f>
        <v>웹툰 &gt; 해외 순정</v>
      </c>
    </row>
    <row r="485" spans="1:48" x14ac:dyDescent="0.4">
      <c r="A485">
        <v>4421000001</v>
      </c>
      <c r="B485">
        <v>4421000060</v>
      </c>
      <c r="C485" t="str">
        <f>T("감옥실험 40화")</f>
        <v>감옥실험 40화</v>
      </c>
      <c r="D485" t="str">
        <f>T("40")</f>
        <v>40</v>
      </c>
      <c r="E485" t="str">
        <f>T("Kantetsu")</f>
        <v>Kantetsu</v>
      </c>
      <c r="G485" t="str">
        <f>T("Minase Chiho")</f>
        <v>Minase Chiho</v>
      </c>
      <c r="H485" t="str">
        <f t="shared" si="25"/>
        <v>스토리위즈</v>
      </c>
      <c r="I485" t="str">
        <f>T("감옥실험")</f>
        <v>감옥실험</v>
      </c>
      <c r="J485">
        <v>500</v>
      </c>
      <c r="K485">
        <v>0</v>
      </c>
      <c r="L485">
        <v>0</v>
      </c>
      <c r="M485">
        <v>0</v>
      </c>
      <c r="N485">
        <v>1200</v>
      </c>
      <c r="O485">
        <v>4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1200</v>
      </c>
      <c r="AH485">
        <v>4</v>
      </c>
      <c r="AI485">
        <v>0</v>
      </c>
      <c r="AJ485">
        <v>0</v>
      </c>
      <c r="AK485">
        <v>1200</v>
      </c>
      <c r="AL485">
        <v>0</v>
      </c>
      <c r="AM485">
        <v>0</v>
      </c>
      <c r="AN485">
        <v>0</v>
      </c>
      <c r="AO485">
        <v>0</v>
      </c>
      <c r="AP485">
        <v>840</v>
      </c>
      <c r="AT485" t="str">
        <f>T("9791166069406")</f>
        <v>9791166069406</v>
      </c>
      <c r="AV485" t="str">
        <f>T("웹툰 &gt; 드라마")</f>
        <v>웹툰 &gt; 드라마</v>
      </c>
    </row>
    <row r="486" spans="1:48" x14ac:dyDescent="0.4">
      <c r="A486">
        <v>4421000337</v>
      </c>
      <c r="B486">
        <v>4421000338</v>
      </c>
      <c r="C486" t="str">
        <f>T("계약연애, 오늘부터 1일 2화")</f>
        <v>계약연애, 오늘부터 1일 2화</v>
      </c>
      <c r="D486" t="str">
        <f>T("2")</f>
        <v>2</v>
      </c>
      <c r="E486" t="str">
        <f>T("원기공장")</f>
        <v>원기공장</v>
      </c>
      <c r="H486" t="str">
        <f t="shared" si="25"/>
        <v>스토리위즈</v>
      </c>
      <c r="I486" t="str">
        <f>T("계약연애, 오늘부터 1일")</f>
        <v>계약연애, 오늘부터 1일</v>
      </c>
      <c r="J486">
        <v>200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5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R486" t="str">
        <f t="shared" ref="AR486:AR493" si="27">T("0000000000000")</f>
        <v>0000000000000</v>
      </c>
      <c r="AT486" t="str">
        <f>T("9791166068027")</f>
        <v>9791166068027</v>
      </c>
      <c r="AV486" t="str">
        <f>T("웹툰 &gt; 해외 순정")</f>
        <v>웹툰 &gt; 해외 순정</v>
      </c>
    </row>
    <row r="487" spans="1:48" x14ac:dyDescent="0.4">
      <c r="A487">
        <v>4421000742</v>
      </c>
      <c r="B487">
        <v>4421000761</v>
      </c>
      <c r="C487" t="str">
        <f>T("연애 2분의 1 20화")</f>
        <v>연애 2분의 1 20화</v>
      </c>
      <c r="D487" t="str">
        <f>T("20")</f>
        <v>20</v>
      </c>
      <c r="E487" t="str">
        <f>T("Zhupi&amp;Yangxuetu")</f>
        <v>Zhupi&amp;Yangxuetu</v>
      </c>
      <c r="H487" t="str">
        <f t="shared" si="25"/>
        <v>스토리위즈</v>
      </c>
      <c r="I487" t="str">
        <f>T("연애 2분의 1")</f>
        <v>연애 2분의 1</v>
      </c>
      <c r="J487">
        <v>200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R487" t="str">
        <f t="shared" si="27"/>
        <v>0000000000000</v>
      </c>
      <c r="AT487" t="str">
        <f>T("9791166067891")</f>
        <v>9791166067891</v>
      </c>
      <c r="AV487" t="str">
        <f>T("웹툰 &gt; 해외 순정")</f>
        <v>웹툰 &gt; 해외 순정</v>
      </c>
    </row>
    <row r="488" spans="1:48" x14ac:dyDescent="0.4">
      <c r="A488">
        <v>4421000069</v>
      </c>
      <c r="B488">
        <v>4421000092</v>
      </c>
      <c r="C488" t="str">
        <f>T("너랑 나랑 하면 23화")</f>
        <v>너랑 나랑 하면 23화</v>
      </c>
      <c r="D488" t="str">
        <f>T("23")</f>
        <v>23</v>
      </c>
      <c r="E488" t="str">
        <f>T("NISANSUI")</f>
        <v>NISANSUI</v>
      </c>
      <c r="G488" t="str">
        <f>T("ZIQUAN")</f>
        <v>ZIQUAN</v>
      </c>
      <c r="H488" t="str">
        <f t="shared" si="25"/>
        <v>스토리위즈</v>
      </c>
      <c r="I488" t="str">
        <f>T("너랑 나랑 하면")</f>
        <v>너랑 나랑 하면</v>
      </c>
      <c r="J488">
        <v>400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R488" t="str">
        <f t="shared" si="27"/>
        <v>0000000000000</v>
      </c>
      <c r="AT488" t="str">
        <f>T("9791166067884")</f>
        <v>9791166067884</v>
      </c>
      <c r="AV488" t="str">
        <f>T("BL 웹툰 &gt; 웹툰")</f>
        <v>BL 웹툰 &gt; 웹툰</v>
      </c>
    </row>
    <row r="489" spans="1:48" x14ac:dyDescent="0.4">
      <c r="A489">
        <v>4421000198</v>
      </c>
      <c r="B489">
        <v>4421000201</v>
      </c>
      <c r="C489" t="str">
        <f>T("공주전쟁 4화")</f>
        <v>공주전쟁 4화</v>
      </c>
      <c r="D489" t="str">
        <f>T("4")</f>
        <v>4</v>
      </c>
      <c r="E489" t="str">
        <f>T("Hujing")</f>
        <v>Hujing</v>
      </c>
      <c r="G489" t="str">
        <f>T("Luojie")</f>
        <v>Luojie</v>
      </c>
      <c r="H489" t="str">
        <f t="shared" si="25"/>
        <v>스토리위즈</v>
      </c>
      <c r="I489" t="str">
        <f>T("공주전쟁")</f>
        <v>공주전쟁</v>
      </c>
      <c r="J489">
        <v>400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6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R489" t="str">
        <f t="shared" si="27"/>
        <v>0000000000000</v>
      </c>
      <c r="AT489" t="str">
        <f>T("9791166069666")</f>
        <v>9791166069666</v>
      </c>
      <c r="AV489" t="str">
        <f>T("웹툰 &gt; 해외 순정")</f>
        <v>웹툰 &gt; 해외 순정</v>
      </c>
    </row>
    <row r="490" spans="1:48" x14ac:dyDescent="0.4">
      <c r="A490">
        <v>4421000742</v>
      </c>
      <c r="B490">
        <v>4421000754</v>
      </c>
      <c r="C490" t="str">
        <f>T("연애 2분의 1 13화")</f>
        <v>연애 2분의 1 13화</v>
      </c>
      <c r="D490" t="str">
        <f>T("13")</f>
        <v>13</v>
      </c>
      <c r="E490" t="str">
        <f>T("Zhupi&amp;Yangxuetu")</f>
        <v>Zhupi&amp;Yangxuetu</v>
      </c>
      <c r="H490" t="str">
        <f t="shared" si="25"/>
        <v>스토리위즈</v>
      </c>
      <c r="I490" t="str">
        <f>T("연애 2분의 1")</f>
        <v>연애 2분의 1</v>
      </c>
      <c r="J490">
        <v>200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R490" t="str">
        <f t="shared" si="27"/>
        <v>0000000000000</v>
      </c>
      <c r="AT490" t="str">
        <f>T("9791166067891")</f>
        <v>9791166067891</v>
      </c>
      <c r="AV490" t="str">
        <f>T("웹툰 &gt; 해외 순정")</f>
        <v>웹툰 &gt; 해외 순정</v>
      </c>
    </row>
    <row r="491" spans="1:48" x14ac:dyDescent="0.4">
      <c r="A491">
        <v>4421000742</v>
      </c>
      <c r="B491">
        <v>4421000746</v>
      </c>
      <c r="C491" t="str">
        <f>T("연애 2분의 1 5화")</f>
        <v>연애 2분의 1 5화</v>
      </c>
      <c r="D491" t="str">
        <f>T("5")</f>
        <v>5</v>
      </c>
      <c r="E491" t="str">
        <f>T("Zhupi&amp;Yangxuetu")</f>
        <v>Zhupi&amp;Yangxuetu</v>
      </c>
      <c r="H491" t="str">
        <f t="shared" si="25"/>
        <v>스토리위즈</v>
      </c>
      <c r="I491" t="str">
        <f>T("연애 2분의 1")</f>
        <v>연애 2분의 1</v>
      </c>
      <c r="J491">
        <v>200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2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R491" t="str">
        <f t="shared" si="27"/>
        <v>0000000000000</v>
      </c>
      <c r="AT491" t="str">
        <f>T("9791166067891")</f>
        <v>9791166067891</v>
      </c>
      <c r="AV491" t="str">
        <f>T("웹툰 &gt; 해외 순정")</f>
        <v>웹툰 &gt; 해외 순정</v>
      </c>
    </row>
    <row r="492" spans="1:48" x14ac:dyDescent="0.4">
      <c r="A492">
        <v>4421000069</v>
      </c>
      <c r="B492">
        <v>4421000085</v>
      </c>
      <c r="C492" t="str">
        <f>T("너랑 나랑 하면 16화")</f>
        <v>너랑 나랑 하면 16화</v>
      </c>
      <c r="D492" t="str">
        <f>T("16")</f>
        <v>16</v>
      </c>
      <c r="E492" t="str">
        <f>T("NISANSUI")</f>
        <v>NISANSUI</v>
      </c>
      <c r="G492" t="str">
        <f>T("ZIQUAN")</f>
        <v>ZIQUAN</v>
      </c>
      <c r="H492" t="str">
        <f t="shared" si="25"/>
        <v>스토리위즈</v>
      </c>
      <c r="I492" t="str">
        <f>T("너랑 나랑 하면")</f>
        <v>너랑 나랑 하면</v>
      </c>
      <c r="J492">
        <v>400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R492" t="str">
        <f t="shared" si="27"/>
        <v>0000000000000</v>
      </c>
      <c r="AT492" t="str">
        <f>T("9791166067884")</f>
        <v>9791166067884</v>
      </c>
      <c r="AV492" t="str">
        <f>T("BL 웹툰 &gt; 웹툰")</f>
        <v>BL 웹툰 &gt; 웹툰</v>
      </c>
    </row>
    <row r="493" spans="1:48" x14ac:dyDescent="0.4">
      <c r="A493">
        <v>4421000866</v>
      </c>
      <c r="B493">
        <v>4421000972</v>
      </c>
      <c r="C493" t="str">
        <f>T("최애에게 들켜버렸다 30화")</f>
        <v>최애에게 들켜버렸다 30화</v>
      </c>
      <c r="D493" t="str">
        <f>T("31")</f>
        <v>31</v>
      </c>
      <c r="E493" t="str">
        <f>T("Lv")</f>
        <v>Lv</v>
      </c>
      <c r="G493" t="str">
        <f>T("Lv")</f>
        <v>Lv</v>
      </c>
      <c r="H493" t="str">
        <f t="shared" si="25"/>
        <v>스토리위즈</v>
      </c>
      <c r="I493" t="str">
        <f>T("최애에게 들켜버렸다")</f>
        <v>최애에게 들켜버렸다</v>
      </c>
      <c r="J493">
        <v>400</v>
      </c>
      <c r="K493">
        <v>0</v>
      </c>
      <c r="L493">
        <v>0</v>
      </c>
      <c r="M493">
        <v>0</v>
      </c>
      <c r="N493">
        <v>200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200</v>
      </c>
      <c r="AH493">
        <v>1</v>
      </c>
      <c r="AI493">
        <v>0</v>
      </c>
      <c r="AJ493">
        <v>0</v>
      </c>
      <c r="AK493">
        <v>200</v>
      </c>
      <c r="AL493">
        <v>0</v>
      </c>
      <c r="AM493">
        <v>0</v>
      </c>
      <c r="AN493">
        <v>0</v>
      </c>
      <c r="AO493">
        <v>0</v>
      </c>
      <c r="AP493">
        <v>140</v>
      </c>
      <c r="AR493" t="str">
        <f t="shared" si="27"/>
        <v>0000000000000</v>
      </c>
      <c r="AT493" t="str">
        <f>T("9791137601253")</f>
        <v>9791137601253</v>
      </c>
      <c r="AV493" t="str">
        <f>T("웹툰 &gt; 해외 순정")</f>
        <v>웹툰 &gt; 해외 순정</v>
      </c>
    </row>
    <row r="494" spans="1:48" x14ac:dyDescent="0.4">
      <c r="A494">
        <v>4421000002</v>
      </c>
      <c r="B494">
        <v>4421000182</v>
      </c>
      <c r="C494" t="str">
        <f>T("이세계 소환은 두 번째라구요 27화")</f>
        <v>이세계 소환은 두 번째라구요 27화</v>
      </c>
      <c r="D494" t="str">
        <f>T("27")</f>
        <v>27</v>
      </c>
      <c r="E494" t="str">
        <f>T("Arashiyama, Kishimoto Kazuha, Shimahara")</f>
        <v>Arashiyama, Kishimoto Kazuha, Shimahara</v>
      </c>
      <c r="H494" t="str">
        <f t="shared" si="25"/>
        <v>스토리위즈</v>
      </c>
      <c r="I494" t="str">
        <f>T("이세계 소환은 두 번째라구요")</f>
        <v>이세계 소환은 두 번째라구요</v>
      </c>
      <c r="J494">
        <v>500</v>
      </c>
      <c r="K494">
        <v>0</v>
      </c>
      <c r="L494">
        <v>0</v>
      </c>
      <c r="M494">
        <v>0</v>
      </c>
      <c r="N494">
        <v>300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300</v>
      </c>
      <c r="AH494">
        <v>1</v>
      </c>
      <c r="AI494">
        <v>0</v>
      </c>
      <c r="AJ494">
        <v>0</v>
      </c>
      <c r="AK494">
        <v>300</v>
      </c>
      <c r="AL494">
        <v>0</v>
      </c>
      <c r="AM494">
        <v>0</v>
      </c>
      <c r="AN494">
        <v>0</v>
      </c>
      <c r="AO494">
        <v>0</v>
      </c>
      <c r="AP494">
        <v>210</v>
      </c>
      <c r="AT494" t="str">
        <f>T("9791166069390")</f>
        <v>9791166069390</v>
      </c>
      <c r="AV494" t="str">
        <f>T("웹툰 &gt; 판타지/SF")</f>
        <v>웹툰 &gt; 판타지/SF</v>
      </c>
    </row>
    <row r="495" spans="1:48" x14ac:dyDescent="0.4">
      <c r="A495">
        <v>4421000866</v>
      </c>
      <c r="B495">
        <v>4421000877</v>
      </c>
      <c r="C495" t="str">
        <f>T("최애에게 들켜버렸다 11화")</f>
        <v>최애에게 들켜버렸다 11화</v>
      </c>
      <c r="D495" t="str">
        <f>T("11")</f>
        <v>11</v>
      </c>
      <c r="E495" t="str">
        <f>T("Lv")</f>
        <v>Lv</v>
      </c>
      <c r="G495" t="str">
        <f>T("Lv")</f>
        <v>Lv</v>
      </c>
      <c r="H495" t="str">
        <f t="shared" si="25"/>
        <v>스토리위즈</v>
      </c>
      <c r="I495" t="str">
        <f>T("최애에게 들켜버렸다")</f>
        <v>최애에게 들켜버렸다</v>
      </c>
      <c r="J495">
        <v>400</v>
      </c>
      <c r="K495">
        <v>0</v>
      </c>
      <c r="L495">
        <v>0</v>
      </c>
      <c r="M495">
        <v>0</v>
      </c>
      <c r="N495">
        <v>400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400</v>
      </c>
      <c r="AH495">
        <v>2</v>
      </c>
      <c r="AI495">
        <v>0</v>
      </c>
      <c r="AJ495">
        <v>0</v>
      </c>
      <c r="AK495">
        <v>400</v>
      </c>
      <c r="AL495">
        <v>0</v>
      </c>
      <c r="AM495">
        <v>0</v>
      </c>
      <c r="AN495">
        <v>0</v>
      </c>
      <c r="AO495">
        <v>0</v>
      </c>
      <c r="AP495">
        <v>280</v>
      </c>
      <c r="AR495" t="str">
        <f>T("0000000000000")</f>
        <v>0000000000000</v>
      </c>
      <c r="AT495" t="str">
        <f>T("9791137601253")</f>
        <v>9791137601253</v>
      </c>
      <c r="AV495" t="str">
        <f>T("웹툰 &gt; 해외 순정")</f>
        <v>웹툰 &gt; 해외 순정</v>
      </c>
    </row>
    <row r="496" spans="1:48" x14ac:dyDescent="0.4">
      <c r="A496">
        <v>4421001377</v>
      </c>
      <c r="B496">
        <v>4421001394</v>
      </c>
      <c r="C496" t="str">
        <f>T("요괴님은 수련중 18화")</f>
        <v>요괴님은 수련중 18화</v>
      </c>
      <c r="D496" t="str">
        <f>T("18")</f>
        <v>18</v>
      </c>
      <c r="E496" t="str">
        <f>T("화방")</f>
        <v>화방</v>
      </c>
      <c r="G496" t="str">
        <f>T("망북")</f>
        <v>망북</v>
      </c>
      <c r="H496" t="str">
        <f t="shared" si="25"/>
        <v>스토리위즈</v>
      </c>
      <c r="I496" t="str">
        <f>T("요괴님은 수련중")</f>
        <v>요괴님은 수련중</v>
      </c>
      <c r="J496">
        <v>400</v>
      </c>
      <c r="K496">
        <v>0</v>
      </c>
      <c r="L496">
        <v>0</v>
      </c>
      <c r="M496">
        <v>0</v>
      </c>
      <c r="N496">
        <v>200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200</v>
      </c>
      <c r="AH496">
        <v>1</v>
      </c>
      <c r="AI496">
        <v>0</v>
      </c>
      <c r="AJ496">
        <v>0</v>
      </c>
      <c r="AK496">
        <v>200</v>
      </c>
      <c r="AL496">
        <v>0</v>
      </c>
      <c r="AM496">
        <v>0</v>
      </c>
      <c r="AN496">
        <v>0</v>
      </c>
      <c r="AO496">
        <v>0</v>
      </c>
      <c r="AP496">
        <v>140</v>
      </c>
      <c r="AR496" t="str">
        <f>T("0000000000000")</f>
        <v>0000000000000</v>
      </c>
      <c r="AT496" t="str">
        <f>T("9791137603899")</f>
        <v>9791137603899</v>
      </c>
      <c r="AV496" t="str">
        <f>T("웹툰 &gt; 해외 순정")</f>
        <v>웹툰 &gt; 해외 순정</v>
      </c>
    </row>
    <row r="497" spans="1:48" x14ac:dyDescent="0.4">
      <c r="A497">
        <v>4421000001</v>
      </c>
      <c r="B497">
        <v>4421000014</v>
      </c>
      <c r="C497" t="str">
        <f>T("감옥실험 4화")</f>
        <v>감옥실험 4화</v>
      </c>
      <c r="D497" t="str">
        <f>T("4")</f>
        <v>4</v>
      </c>
      <c r="E497" t="str">
        <f>T("Kantetsu")</f>
        <v>Kantetsu</v>
      </c>
      <c r="G497" t="str">
        <f>T("Minase Chiho")</f>
        <v>Minase Chiho</v>
      </c>
      <c r="H497" t="str">
        <f t="shared" si="25"/>
        <v>스토리위즈</v>
      </c>
      <c r="I497" t="str">
        <f>T("감옥실험")</f>
        <v>감옥실험</v>
      </c>
      <c r="J497">
        <v>500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12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T497" t="str">
        <f>T("9791166069406")</f>
        <v>9791166069406</v>
      </c>
      <c r="AV497" t="str">
        <f>T("웹툰 &gt; 드라마")</f>
        <v>웹툰 &gt; 드라마</v>
      </c>
    </row>
    <row r="498" spans="1:48" x14ac:dyDescent="0.4">
      <c r="A498">
        <v>4421000069</v>
      </c>
      <c r="B498">
        <v>4421000118</v>
      </c>
      <c r="C498" t="str">
        <f>T("너랑 나랑 하면 48화")</f>
        <v>너랑 나랑 하면 48화</v>
      </c>
      <c r="D498" t="str">
        <f>T("48")</f>
        <v>48</v>
      </c>
      <c r="E498" t="str">
        <f>T("NISANSUI")</f>
        <v>NISANSUI</v>
      </c>
      <c r="G498" t="str">
        <f>T("ZIQUAN")</f>
        <v>ZIQUAN</v>
      </c>
      <c r="H498" t="str">
        <f t="shared" si="25"/>
        <v>스토리위즈</v>
      </c>
      <c r="I498" t="str">
        <f>T("너랑 나랑 하면")</f>
        <v>너랑 나랑 하면</v>
      </c>
      <c r="J498">
        <v>400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2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R498" t="str">
        <f>T("0000000000000")</f>
        <v>0000000000000</v>
      </c>
      <c r="AT498" t="str">
        <f>T("9791166067884")</f>
        <v>9791166067884</v>
      </c>
      <c r="AV498" t="str">
        <f>T("BL 웹툰 &gt; 웹툰")</f>
        <v>BL 웹툰 &gt; 웹툰</v>
      </c>
    </row>
    <row r="499" spans="1:48" x14ac:dyDescent="0.4">
      <c r="A499">
        <v>4421000887</v>
      </c>
      <c r="B499">
        <v>4421001294</v>
      </c>
      <c r="C499" t="str">
        <f>T("폭군의 눈물 55화")</f>
        <v>폭군의 눈물 55화</v>
      </c>
      <c r="D499" t="str">
        <f>T("55")</f>
        <v>55</v>
      </c>
      <c r="E499" t="str">
        <f>T("Ice×FANFAN COMIC")</f>
        <v>Ice×FANFAN COMIC</v>
      </c>
      <c r="G499" t="str">
        <f>T("Ice×FANFAN COMIC")</f>
        <v>Ice×FANFAN COMIC</v>
      </c>
      <c r="H499" t="str">
        <f t="shared" si="25"/>
        <v>스토리위즈</v>
      </c>
      <c r="I499" t="str">
        <f>T("폭군의 눈물")</f>
        <v>폭군의 눈물</v>
      </c>
      <c r="J499">
        <v>400</v>
      </c>
      <c r="K499">
        <v>0</v>
      </c>
      <c r="L499">
        <v>0</v>
      </c>
      <c r="M499">
        <v>0</v>
      </c>
      <c r="N499">
        <v>600</v>
      </c>
      <c r="O499">
        <v>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600</v>
      </c>
      <c r="AH499">
        <v>3</v>
      </c>
      <c r="AI499">
        <v>0</v>
      </c>
      <c r="AJ499">
        <v>0</v>
      </c>
      <c r="AK499">
        <v>400</v>
      </c>
      <c r="AL499">
        <v>0</v>
      </c>
      <c r="AM499">
        <v>200</v>
      </c>
      <c r="AN499">
        <v>0</v>
      </c>
      <c r="AO499">
        <v>0</v>
      </c>
      <c r="AP499">
        <v>420</v>
      </c>
      <c r="AR499" t="str">
        <f>T("0000000000000")</f>
        <v>0000000000000</v>
      </c>
      <c r="AT499" t="str">
        <f>T("9791137601291")</f>
        <v>9791137601291</v>
      </c>
      <c r="AV499" t="str">
        <f>T("웹툰 &gt; 해외 순정")</f>
        <v>웹툰 &gt; 해외 순정</v>
      </c>
    </row>
    <row r="500" spans="1:48" x14ac:dyDescent="0.4">
      <c r="A500">
        <v>4421000001</v>
      </c>
      <c r="B500">
        <v>4421000053</v>
      </c>
      <c r="C500" t="str">
        <f>T("감옥실험 33화")</f>
        <v>감옥실험 33화</v>
      </c>
      <c r="D500" t="str">
        <f>T("33")</f>
        <v>33</v>
      </c>
      <c r="E500" t="str">
        <f>T("Kantetsu")</f>
        <v>Kantetsu</v>
      </c>
      <c r="G500" t="str">
        <f>T("Minase Chiho")</f>
        <v>Minase Chiho</v>
      </c>
      <c r="H500" t="str">
        <f t="shared" si="25"/>
        <v>스토리위즈</v>
      </c>
      <c r="I500" t="str">
        <f>T("감옥실험")</f>
        <v>감옥실험</v>
      </c>
      <c r="J500">
        <v>500</v>
      </c>
      <c r="K500">
        <v>0</v>
      </c>
      <c r="L500">
        <v>0</v>
      </c>
      <c r="M500">
        <v>0</v>
      </c>
      <c r="N500">
        <v>1200</v>
      </c>
      <c r="O500">
        <v>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1200</v>
      </c>
      <c r="AH500">
        <v>4</v>
      </c>
      <c r="AI500">
        <v>0</v>
      </c>
      <c r="AJ500">
        <v>0</v>
      </c>
      <c r="AK500">
        <v>1200</v>
      </c>
      <c r="AL500">
        <v>0</v>
      </c>
      <c r="AM500">
        <v>0</v>
      </c>
      <c r="AN500">
        <v>0</v>
      </c>
      <c r="AO500">
        <v>0</v>
      </c>
      <c r="AP500">
        <v>840</v>
      </c>
      <c r="AT500" t="str">
        <f>T("9791166069406")</f>
        <v>9791166069406</v>
      </c>
      <c r="AV500" t="str">
        <f>T("웹툰 &gt; 드라마")</f>
        <v>웹툰 &gt; 드라마</v>
      </c>
    </row>
    <row r="501" spans="1:48" x14ac:dyDescent="0.4">
      <c r="A501">
        <v>4421000866</v>
      </c>
      <c r="B501">
        <v>4421000870</v>
      </c>
      <c r="C501" t="str">
        <f>T("최애에게 들켜버렸다 4화")</f>
        <v>최애에게 들켜버렸다 4화</v>
      </c>
      <c r="D501" t="str">
        <f>T("4")</f>
        <v>4</v>
      </c>
      <c r="E501" t="str">
        <f>T("Lv")</f>
        <v>Lv</v>
      </c>
      <c r="G501" t="str">
        <f>T("Lv")</f>
        <v>Lv</v>
      </c>
      <c r="H501" t="str">
        <f t="shared" si="25"/>
        <v>스토리위즈</v>
      </c>
      <c r="I501" t="str">
        <f>T("최애에게 들켜버렸다")</f>
        <v>최애에게 들켜버렸다</v>
      </c>
      <c r="J501">
        <v>400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2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R501" t="str">
        <f>T("0000000000000")</f>
        <v>0000000000000</v>
      </c>
      <c r="AT501" t="str">
        <f>T("9791137601253")</f>
        <v>9791137601253</v>
      </c>
      <c r="AV501" t="str">
        <f>T("웹툰 &gt; 해외 순정")</f>
        <v>웹툰 &gt; 해외 순정</v>
      </c>
    </row>
    <row r="502" spans="1:48" x14ac:dyDescent="0.4">
      <c r="A502">
        <v>4421000069</v>
      </c>
      <c r="B502">
        <v>4421000111</v>
      </c>
      <c r="C502" t="str">
        <f>T("너랑 나랑 하면 41화")</f>
        <v>너랑 나랑 하면 41화</v>
      </c>
      <c r="D502" t="str">
        <f>T("41")</f>
        <v>41</v>
      </c>
      <c r="E502" t="str">
        <f>T("NISANSUI")</f>
        <v>NISANSUI</v>
      </c>
      <c r="G502" t="str">
        <f>T("ZIQUAN")</f>
        <v>ZIQUAN</v>
      </c>
      <c r="H502" t="str">
        <f t="shared" si="25"/>
        <v>스토리위즈</v>
      </c>
      <c r="I502" t="str">
        <f>T("너랑 나랑 하면")</f>
        <v>너랑 나랑 하면</v>
      </c>
      <c r="J502">
        <v>400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2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R502" t="str">
        <f>T("0000000000000")</f>
        <v>0000000000000</v>
      </c>
      <c r="AT502" t="str">
        <f>T("9791166067884")</f>
        <v>9791166067884</v>
      </c>
      <c r="AV502" t="str">
        <f>T("BL 웹툰 &gt; 웹툰")</f>
        <v>BL 웹툰 &gt; 웹툰</v>
      </c>
    </row>
    <row r="503" spans="1:48" x14ac:dyDescent="0.4">
      <c r="A503">
        <v>4421001325</v>
      </c>
      <c r="B503">
        <v>4421001329</v>
      </c>
      <c r="C503" t="str">
        <f>T("커피여우 김삼월 5화")</f>
        <v>커피여우 김삼월 5화</v>
      </c>
      <c r="D503" t="str">
        <f>T("5")</f>
        <v>5</v>
      </c>
      <c r="E503" t="str">
        <f>T("Nica")</f>
        <v>Nica</v>
      </c>
      <c r="G503" t="str">
        <f>T("A.Noa, RK Studio")</f>
        <v>A.Noa, RK Studio</v>
      </c>
      <c r="H503" t="str">
        <f t="shared" si="25"/>
        <v>스토리위즈</v>
      </c>
      <c r="I503" t="str">
        <f>T("커피여우 김삼월")</f>
        <v>커피여우 김삼월</v>
      </c>
      <c r="J503">
        <v>500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3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R503" t="str">
        <f>T("0000000000000")</f>
        <v>0000000000000</v>
      </c>
      <c r="AT503" t="str">
        <f>T("9791191241792")</f>
        <v>9791191241792</v>
      </c>
      <c r="AV503" t="str">
        <f>T("웹툰 &gt; 국내 순정")</f>
        <v>웹툰 &gt; 국내 순정</v>
      </c>
    </row>
    <row r="504" spans="1:48" x14ac:dyDescent="0.4">
      <c r="A504">
        <v>4421000001</v>
      </c>
      <c r="B504">
        <v>4421000046</v>
      </c>
      <c r="C504" t="str">
        <f>T("감옥실험 26화")</f>
        <v>감옥실험 26화</v>
      </c>
      <c r="D504" t="str">
        <f>T("26")</f>
        <v>26</v>
      </c>
      <c r="E504" t="str">
        <f>T("Kantetsu")</f>
        <v>Kantetsu</v>
      </c>
      <c r="G504" t="str">
        <f>T("Minase Chiho")</f>
        <v>Minase Chiho</v>
      </c>
      <c r="H504" t="str">
        <f t="shared" si="25"/>
        <v>스토리위즈</v>
      </c>
      <c r="I504" t="str">
        <f>T("감옥실험")</f>
        <v>감옥실험</v>
      </c>
      <c r="J504">
        <v>500</v>
      </c>
      <c r="K504">
        <v>0</v>
      </c>
      <c r="L504">
        <v>0</v>
      </c>
      <c r="M504">
        <v>0</v>
      </c>
      <c r="N504">
        <v>1500</v>
      </c>
      <c r="O504">
        <v>5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1500</v>
      </c>
      <c r="AH504">
        <v>5</v>
      </c>
      <c r="AI504">
        <v>0</v>
      </c>
      <c r="AJ504">
        <v>0</v>
      </c>
      <c r="AK504">
        <v>1500</v>
      </c>
      <c r="AL504">
        <v>0</v>
      </c>
      <c r="AM504">
        <v>0</v>
      </c>
      <c r="AN504">
        <v>0</v>
      </c>
      <c r="AO504">
        <v>0</v>
      </c>
      <c r="AP504">
        <v>1050</v>
      </c>
      <c r="AT504" t="str">
        <f>T("9791166069406")</f>
        <v>9791166069406</v>
      </c>
      <c r="AV504" t="str">
        <f>T("웹툰 &gt; 드라마")</f>
        <v>웹툰 &gt; 드라마</v>
      </c>
    </row>
    <row r="505" spans="1:48" x14ac:dyDescent="0.4">
      <c r="A505">
        <v>4421000002</v>
      </c>
      <c r="B505">
        <v>4421000251</v>
      </c>
      <c r="C505" t="str">
        <f>T("이세계 소환은 두 번째라구요 35화")</f>
        <v>이세계 소환은 두 번째라구요 35화</v>
      </c>
      <c r="D505" t="str">
        <f>T("35")</f>
        <v>35</v>
      </c>
      <c r="E505" t="str">
        <f>T("Arashiyama, Kishimoto Kazuha, Shimahara")</f>
        <v>Arashiyama, Kishimoto Kazuha, Shimahara</v>
      </c>
      <c r="H505" t="str">
        <f t="shared" si="25"/>
        <v>스토리위즈</v>
      </c>
      <c r="I505" t="str">
        <f>T("이세계 소환은 두 번째라구요")</f>
        <v>이세계 소환은 두 번째라구요</v>
      </c>
      <c r="J505">
        <v>500</v>
      </c>
      <c r="K505">
        <v>0</v>
      </c>
      <c r="L505">
        <v>0</v>
      </c>
      <c r="M505">
        <v>0</v>
      </c>
      <c r="N505">
        <v>300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300</v>
      </c>
      <c r="AH505">
        <v>1</v>
      </c>
      <c r="AI505">
        <v>0</v>
      </c>
      <c r="AJ505">
        <v>0</v>
      </c>
      <c r="AK505">
        <v>300</v>
      </c>
      <c r="AL505">
        <v>0</v>
      </c>
      <c r="AM505">
        <v>0</v>
      </c>
      <c r="AN505">
        <v>0</v>
      </c>
      <c r="AO505">
        <v>0</v>
      </c>
      <c r="AP505">
        <v>210</v>
      </c>
      <c r="AT505" t="str">
        <f>T("9791166069390")</f>
        <v>9791166069390</v>
      </c>
      <c r="AV505" t="str">
        <f>T("웹툰 &gt; 판타지/SF")</f>
        <v>웹툰 &gt; 판타지/SF</v>
      </c>
    </row>
    <row r="506" spans="1:48" x14ac:dyDescent="0.4">
      <c r="A506">
        <v>4421000570</v>
      </c>
      <c r="B506">
        <v>4421000572</v>
      </c>
      <c r="C506" t="str">
        <f>T("폐하, 옥체 보존하세요! 3화")</f>
        <v>폐하, 옥체 보존하세요! 3화</v>
      </c>
      <c r="D506" t="str">
        <f>T("3")</f>
        <v>3</v>
      </c>
      <c r="E506" t="str">
        <f>T("Lvyeqianhe")</f>
        <v>Lvyeqianhe</v>
      </c>
      <c r="G506" t="str">
        <f>T("Youzhijiaozi")</f>
        <v>Youzhijiaozi</v>
      </c>
      <c r="H506" t="str">
        <f t="shared" si="25"/>
        <v>스토리위즈</v>
      </c>
      <c r="I506" t="str">
        <f>T("폐하, 옥체 보존하세요!")</f>
        <v>폐하, 옥체 보존하세요!</v>
      </c>
      <c r="J506">
        <v>200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R506" t="str">
        <f>T("0000000000000")</f>
        <v>0000000000000</v>
      </c>
      <c r="AT506" t="str">
        <f>T("9791166068003")</f>
        <v>9791166068003</v>
      </c>
      <c r="AV506" t="str">
        <f>T("웹툰 &gt; 해외 순정")</f>
        <v>웹툰 &gt; 해외 순정</v>
      </c>
    </row>
    <row r="507" spans="1:48" x14ac:dyDescent="0.4">
      <c r="A507">
        <v>4421000069</v>
      </c>
      <c r="B507">
        <v>4421000078</v>
      </c>
      <c r="C507" t="str">
        <f>T("너랑 나랑 하면 9화")</f>
        <v>너랑 나랑 하면 9화</v>
      </c>
      <c r="D507" t="str">
        <f>T("9")</f>
        <v>9</v>
      </c>
      <c r="E507" t="str">
        <f>T("NISANSUI")</f>
        <v>NISANSUI</v>
      </c>
      <c r="G507" t="str">
        <f>T("ZIQUAN")</f>
        <v>ZIQUAN</v>
      </c>
      <c r="H507" t="str">
        <f t="shared" si="25"/>
        <v>스토리위즈</v>
      </c>
      <c r="I507" t="str">
        <f>T("너랑 나랑 하면")</f>
        <v>너랑 나랑 하면</v>
      </c>
      <c r="J507">
        <v>400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R507" t="str">
        <f>T("0000000000000")</f>
        <v>0000000000000</v>
      </c>
      <c r="AT507" t="str">
        <f>T("9791166067884")</f>
        <v>9791166067884</v>
      </c>
      <c r="AV507" t="str">
        <f>T("BL 웹툰 &gt; 웹툰")</f>
        <v>BL 웹툰 &gt; 웹툰</v>
      </c>
    </row>
    <row r="508" spans="1:48" x14ac:dyDescent="0.4">
      <c r="A508">
        <v>4421000001</v>
      </c>
      <c r="B508">
        <v>4421000175</v>
      </c>
      <c r="C508" t="str">
        <f>T("감옥실험 54화 (완결)")</f>
        <v>감옥실험 54화 (완결)</v>
      </c>
      <c r="D508" t="str">
        <f>T("54")</f>
        <v>54</v>
      </c>
      <c r="E508" t="str">
        <f>T("Kantetsu")</f>
        <v>Kantetsu</v>
      </c>
      <c r="G508" t="str">
        <f>T("Minase Chiho")</f>
        <v>Minase Chiho</v>
      </c>
      <c r="H508" t="str">
        <f t="shared" si="25"/>
        <v>스토리위즈</v>
      </c>
      <c r="I508" t="str">
        <f>T("감옥실험")</f>
        <v>감옥실험</v>
      </c>
      <c r="J508">
        <v>500</v>
      </c>
      <c r="K508">
        <v>0</v>
      </c>
      <c r="L508">
        <v>0</v>
      </c>
      <c r="M508">
        <v>0</v>
      </c>
      <c r="N508">
        <v>1200</v>
      </c>
      <c r="O508">
        <v>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1200</v>
      </c>
      <c r="AH508">
        <v>4</v>
      </c>
      <c r="AI508">
        <v>0</v>
      </c>
      <c r="AJ508">
        <v>0</v>
      </c>
      <c r="AK508">
        <v>1200</v>
      </c>
      <c r="AL508">
        <v>0</v>
      </c>
      <c r="AM508">
        <v>0</v>
      </c>
      <c r="AN508">
        <v>0</v>
      </c>
      <c r="AO508">
        <v>0</v>
      </c>
      <c r="AP508">
        <v>840</v>
      </c>
      <c r="AT508" t="str">
        <f>T("9791166069406")</f>
        <v>9791166069406</v>
      </c>
      <c r="AV508" t="str">
        <f>T("웹툰 &gt; 드라마")</f>
        <v>웹툰 &gt; 드라마</v>
      </c>
    </row>
    <row r="509" spans="1:48" x14ac:dyDescent="0.4">
      <c r="A509">
        <v>4421001377</v>
      </c>
      <c r="B509">
        <v>4421001388</v>
      </c>
      <c r="C509" t="str">
        <f>T("요괴님은 수련중 12화")</f>
        <v>요괴님은 수련중 12화</v>
      </c>
      <c r="D509" t="str">
        <f>T("12")</f>
        <v>12</v>
      </c>
      <c r="E509" t="str">
        <f>T("화방")</f>
        <v>화방</v>
      </c>
      <c r="G509" t="str">
        <f>T("망북")</f>
        <v>망북</v>
      </c>
      <c r="H509" t="str">
        <f t="shared" si="25"/>
        <v>스토리위즈</v>
      </c>
      <c r="I509" t="str">
        <f>T("요괴님은 수련중")</f>
        <v>요괴님은 수련중</v>
      </c>
      <c r="J509">
        <v>400</v>
      </c>
      <c r="K509">
        <v>0</v>
      </c>
      <c r="L509">
        <v>0</v>
      </c>
      <c r="M509">
        <v>0</v>
      </c>
      <c r="N509">
        <v>200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200</v>
      </c>
      <c r="AH509">
        <v>1</v>
      </c>
      <c r="AI509">
        <v>0</v>
      </c>
      <c r="AJ509">
        <v>0</v>
      </c>
      <c r="AK509">
        <v>200</v>
      </c>
      <c r="AL509">
        <v>0</v>
      </c>
      <c r="AM509">
        <v>0</v>
      </c>
      <c r="AN509">
        <v>0</v>
      </c>
      <c r="AO509">
        <v>0</v>
      </c>
      <c r="AP509">
        <v>140</v>
      </c>
      <c r="AR509" t="str">
        <f>T("0000000000000")</f>
        <v>0000000000000</v>
      </c>
      <c r="AT509" t="str">
        <f>T("9791137603899")</f>
        <v>9791137603899</v>
      </c>
      <c r="AV509" t="str">
        <f>T("웹툰 &gt; 해외 순정")</f>
        <v>웹툰 &gt; 해외 순정</v>
      </c>
    </row>
    <row r="510" spans="1:48" x14ac:dyDescent="0.4">
      <c r="A510">
        <v>4421000069</v>
      </c>
      <c r="B510">
        <v>4421000071</v>
      </c>
      <c r="C510" t="str">
        <f>T("너랑 나랑 하면 2화")</f>
        <v>너랑 나랑 하면 2화</v>
      </c>
      <c r="D510" t="str">
        <f>T("2")</f>
        <v>2</v>
      </c>
      <c r="E510" t="str">
        <f>T("NISANSUI")</f>
        <v>NISANSUI</v>
      </c>
      <c r="G510" t="str">
        <f>T("ZIQUAN")</f>
        <v>ZIQUAN</v>
      </c>
      <c r="H510" t="str">
        <f t="shared" si="25"/>
        <v>스토리위즈</v>
      </c>
      <c r="I510" t="str">
        <f>T("너랑 나랑 하면")</f>
        <v>너랑 나랑 하면</v>
      </c>
      <c r="J510">
        <v>400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2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R510" t="str">
        <f>T("0000000000000")</f>
        <v>0000000000000</v>
      </c>
      <c r="AT510" t="str">
        <f>T("9791166067884")</f>
        <v>9791166067884</v>
      </c>
      <c r="AV510" t="str">
        <f>T("BL 웹툰 &gt; 웹툰")</f>
        <v>BL 웹툰 &gt; 웹툰</v>
      </c>
    </row>
    <row r="511" spans="1:48" x14ac:dyDescent="0.4">
      <c r="A511">
        <v>4421000518</v>
      </c>
      <c r="B511">
        <v>4421000522</v>
      </c>
      <c r="C511" t="str">
        <f>T("백스테이지 키스신 4화")</f>
        <v>백스테이지 키스신 4화</v>
      </c>
      <c r="D511" t="str">
        <f>T("4")</f>
        <v>4</v>
      </c>
      <c r="E511" t="str">
        <f>T("최도비")</f>
        <v>최도비</v>
      </c>
      <c r="G511" t="str">
        <f>T("수정과")</f>
        <v>수정과</v>
      </c>
      <c r="H511" t="str">
        <f t="shared" si="25"/>
        <v>스토리위즈</v>
      </c>
      <c r="I511" t="str">
        <f>T("백스테이지 키스신")</f>
        <v>백스테이지 키스신</v>
      </c>
      <c r="J511">
        <v>400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R511" t="str">
        <f>T("0000000000000")</f>
        <v>0000000000000</v>
      </c>
      <c r="AT511" t="str">
        <f>T("9791166067990")</f>
        <v>9791166067990</v>
      </c>
      <c r="AV511" t="str">
        <f>T("웹툰 &gt; 국내 순정")</f>
        <v>웹툰 &gt; 국내 순정</v>
      </c>
    </row>
    <row r="512" spans="1:48" x14ac:dyDescent="0.4">
      <c r="A512">
        <v>4421000069</v>
      </c>
      <c r="B512">
        <v>4421000104</v>
      </c>
      <c r="C512" t="str">
        <f>T("너랑 나랑 하면 34화")</f>
        <v>너랑 나랑 하면 34화</v>
      </c>
      <c r="D512" t="str">
        <f>T("34")</f>
        <v>34</v>
      </c>
      <c r="E512" t="str">
        <f>T("NISANSUI")</f>
        <v>NISANSUI</v>
      </c>
      <c r="G512" t="str">
        <f>T("ZIQUAN")</f>
        <v>ZIQUAN</v>
      </c>
      <c r="H512" t="str">
        <f t="shared" si="25"/>
        <v>스토리위즈</v>
      </c>
      <c r="I512" t="str">
        <f>T("너랑 나랑 하면")</f>
        <v>너랑 나랑 하면</v>
      </c>
      <c r="J512">
        <v>400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R512" t="str">
        <f>T("0000000000000")</f>
        <v>0000000000000</v>
      </c>
      <c r="AT512" t="str">
        <f>T("9791166067884")</f>
        <v>9791166067884</v>
      </c>
      <c r="AV512" t="str">
        <f>T("BL 웹툰 &gt; 웹툰")</f>
        <v>BL 웹툰 &gt; 웹툰</v>
      </c>
    </row>
    <row r="513" spans="1:48" x14ac:dyDescent="0.4">
      <c r="A513">
        <v>4421000866</v>
      </c>
      <c r="B513">
        <v>4421000997</v>
      </c>
      <c r="C513" t="str">
        <f>T("최애에게 들켜버렸다 38화")</f>
        <v>최애에게 들켜버렸다 38화</v>
      </c>
      <c r="D513" t="str">
        <f>T("39")</f>
        <v>39</v>
      </c>
      <c r="E513" t="str">
        <f>T("Lv")</f>
        <v>Lv</v>
      </c>
      <c r="G513" t="str">
        <f>T("Lv")</f>
        <v>Lv</v>
      </c>
      <c r="H513" t="str">
        <f t="shared" si="25"/>
        <v>스토리위즈</v>
      </c>
      <c r="I513" t="str">
        <f>T("최애에게 들켜버렸다")</f>
        <v>최애에게 들켜버렸다</v>
      </c>
      <c r="J513">
        <v>400</v>
      </c>
      <c r="K513">
        <v>0</v>
      </c>
      <c r="L513">
        <v>0</v>
      </c>
      <c r="M513">
        <v>0</v>
      </c>
      <c r="N513">
        <v>200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200</v>
      </c>
      <c r="AH513">
        <v>1</v>
      </c>
      <c r="AI513">
        <v>0</v>
      </c>
      <c r="AJ513">
        <v>0</v>
      </c>
      <c r="AK513">
        <v>200</v>
      </c>
      <c r="AL513">
        <v>0</v>
      </c>
      <c r="AM513">
        <v>0</v>
      </c>
      <c r="AN513">
        <v>0</v>
      </c>
      <c r="AO513">
        <v>0</v>
      </c>
      <c r="AP513">
        <v>140</v>
      </c>
      <c r="AR513" t="str">
        <f>T("0000000000000")</f>
        <v>0000000000000</v>
      </c>
      <c r="AT513" t="str">
        <f>T("9791137601253")</f>
        <v>9791137601253</v>
      </c>
      <c r="AV513" t="str">
        <f>T("웹툰 &gt; 해외 순정")</f>
        <v>웹툰 &gt; 해외 순정</v>
      </c>
    </row>
    <row r="514" spans="1:48" x14ac:dyDescent="0.4">
      <c r="A514">
        <v>4421000002</v>
      </c>
      <c r="B514">
        <v>4421000039</v>
      </c>
      <c r="C514" t="str">
        <f>T("이세계 소환은 두 번째라구요 19화")</f>
        <v>이세계 소환은 두 번째라구요 19화</v>
      </c>
      <c r="D514" t="str">
        <f>T("19")</f>
        <v>19</v>
      </c>
      <c r="E514" t="str">
        <f>T("Arashiyama, Kishimoto Kazuha, Shimahara")</f>
        <v>Arashiyama, Kishimoto Kazuha, Shimahara</v>
      </c>
      <c r="H514" t="str">
        <f t="shared" ref="H514:H523" si="28">T("스토리위즈")</f>
        <v>스토리위즈</v>
      </c>
      <c r="I514" t="str">
        <f>T("이세계 소환은 두 번째라구요")</f>
        <v>이세계 소환은 두 번째라구요</v>
      </c>
      <c r="J514">
        <v>500</v>
      </c>
      <c r="K514">
        <v>0</v>
      </c>
      <c r="L514">
        <v>0</v>
      </c>
      <c r="M514">
        <v>0</v>
      </c>
      <c r="N514">
        <v>300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300</v>
      </c>
      <c r="AH514">
        <v>1</v>
      </c>
      <c r="AI514">
        <v>0</v>
      </c>
      <c r="AJ514">
        <v>0</v>
      </c>
      <c r="AK514">
        <v>300</v>
      </c>
      <c r="AL514">
        <v>0</v>
      </c>
      <c r="AM514">
        <v>0</v>
      </c>
      <c r="AN514">
        <v>0</v>
      </c>
      <c r="AO514">
        <v>0</v>
      </c>
      <c r="AP514">
        <v>210</v>
      </c>
      <c r="AT514" t="str">
        <f>T("9791166069390")</f>
        <v>9791166069390</v>
      </c>
      <c r="AV514" t="str">
        <f>T("웹툰 &gt; 판타지/SF")</f>
        <v>웹툰 &gt; 판타지/SF</v>
      </c>
    </row>
    <row r="515" spans="1:48" x14ac:dyDescent="0.4">
      <c r="A515">
        <v>4421000866</v>
      </c>
      <c r="B515">
        <v>4421000959</v>
      </c>
      <c r="C515" t="str">
        <f>T("최애에게 들켜버렸다 25화")</f>
        <v>최애에게 들켜버렸다 25화</v>
      </c>
      <c r="D515" t="str">
        <f>T("26")</f>
        <v>26</v>
      </c>
      <c r="E515" t="str">
        <f>T("Lv")</f>
        <v>Lv</v>
      </c>
      <c r="G515" t="str">
        <f>T("Lv")</f>
        <v>Lv</v>
      </c>
      <c r="H515" t="str">
        <f t="shared" si="28"/>
        <v>스토리위즈</v>
      </c>
      <c r="I515" t="str">
        <f>T("최애에게 들켜버렸다")</f>
        <v>최애에게 들켜버렸다</v>
      </c>
      <c r="J515">
        <v>400</v>
      </c>
      <c r="K515">
        <v>0</v>
      </c>
      <c r="L515">
        <v>0</v>
      </c>
      <c r="M515">
        <v>0</v>
      </c>
      <c r="N515">
        <v>200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200</v>
      </c>
      <c r="AH515">
        <v>1</v>
      </c>
      <c r="AI515">
        <v>0</v>
      </c>
      <c r="AJ515">
        <v>0</v>
      </c>
      <c r="AK515">
        <v>200</v>
      </c>
      <c r="AL515">
        <v>0</v>
      </c>
      <c r="AM515">
        <v>0</v>
      </c>
      <c r="AN515">
        <v>0</v>
      </c>
      <c r="AO515">
        <v>0</v>
      </c>
      <c r="AP515">
        <v>140</v>
      </c>
      <c r="AR515" t="str">
        <f>T("0000000000000")</f>
        <v>0000000000000</v>
      </c>
      <c r="AT515" t="str">
        <f>T("9791137601253")</f>
        <v>9791137601253</v>
      </c>
      <c r="AV515" t="str">
        <f>T("웹툰 &gt; 해외 순정")</f>
        <v>웹툰 &gt; 해외 순정</v>
      </c>
    </row>
    <row r="516" spans="1:48" x14ac:dyDescent="0.4">
      <c r="A516">
        <v>4421000742</v>
      </c>
      <c r="B516">
        <v>4421000765</v>
      </c>
      <c r="C516" t="str">
        <f>T("연애 2분의 1 24화")</f>
        <v>연애 2분의 1 24화</v>
      </c>
      <c r="D516" t="str">
        <f>T("24")</f>
        <v>24</v>
      </c>
      <c r="E516" t="str">
        <f>T("Zhupi&amp;Yangxuetu")</f>
        <v>Zhupi&amp;Yangxuetu</v>
      </c>
      <c r="H516" t="str">
        <f t="shared" si="28"/>
        <v>스토리위즈</v>
      </c>
      <c r="I516" t="str">
        <f>T("연애 2분의 1")</f>
        <v>연애 2분의 1</v>
      </c>
      <c r="J516">
        <v>200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R516" t="str">
        <f>T("0000000000000")</f>
        <v>0000000000000</v>
      </c>
      <c r="AT516" t="str">
        <f>T("9791166067891")</f>
        <v>9791166067891</v>
      </c>
      <c r="AV516" t="str">
        <f>T("웹툰 &gt; 해외 순정")</f>
        <v>웹툰 &gt; 해외 순정</v>
      </c>
    </row>
    <row r="517" spans="1:48" x14ac:dyDescent="0.4">
      <c r="A517">
        <v>4421000069</v>
      </c>
      <c r="B517">
        <v>4421000096</v>
      </c>
      <c r="C517" t="str">
        <f>T("너랑 나랑 하면 27화")</f>
        <v>너랑 나랑 하면 27화</v>
      </c>
      <c r="D517" t="str">
        <f>T("27")</f>
        <v>27</v>
      </c>
      <c r="E517" t="str">
        <f>T("NISANSUI")</f>
        <v>NISANSUI</v>
      </c>
      <c r="G517" t="str">
        <f>T("ZIQUAN")</f>
        <v>ZIQUAN</v>
      </c>
      <c r="H517" t="str">
        <f t="shared" si="28"/>
        <v>스토리위즈</v>
      </c>
      <c r="I517" t="str">
        <f>T("너랑 나랑 하면")</f>
        <v>너랑 나랑 하면</v>
      </c>
      <c r="J517">
        <v>400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R517" t="str">
        <f>T("0000000000000")</f>
        <v>0000000000000</v>
      </c>
      <c r="AT517" t="str">
        <f>T("9791166067884")</f>
        <v>9791166067884</v>
      </c>
      <c r="AV517" t="str">
        <f>T("BL 웹툰 &gt; 웹툰")</f>
        <v>BL 웹툰 &gt; 웹툰</v>
      </c>
    </row>
    <row r="518" spans="1:48" x14ac:dyDescent="0.4">
      <c r="A518">
        <v>4421000887</v>
      </c>
      <c r="B518">
        <v>4421000888</v>
      </c>
      <c r="C518" t="str">
        <f>T("폭군의 눈물 2화")</f>
        <v>폭군의 눈물 2화</v>
      </c>
      <c r="D518" t="str">
        <f>T("2")</f>
        <v>2</v>
      </c>
      <c r="E518" t="str">
        <f>T("Ice×FANFAN COMIC")</f>
        <v>Ice×FANFAN COMIC</v>
      </c>
      <c r="G518" t="str">
        <f>T("Ice×FANFAN COMIC")</f>
        <v>Ice×FANFAN COMIC</v>
      </c>
      <c r="H518" t="str">
        <f t="shared" si="28"/>
        <v>스토리위즈</v>
      </c>
      <c r="I518" t="str">
        <f>T("폭군의 눈물")</f>
        <v>폭군의 눈물</v>
      </c>
      <c r="J518">
        <v>400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9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R518" t="str">
        <f>T("0000000000000")</f>
        <v>0000000000000</v>
      </c>
      <c r="AT518" t="str">
        <f>T("9791137601291")</f>
        <v>9791137601291</v>
      </c>
      <c r="AV518" t="str">
        <f>T("웹툰 &gt; 해외 순정")</f>
        <v>웹툰 &gt; 해외 순정</v>
      </c>
    </row>
    <row r="519" spans="1:48" x14ac:dyDescent="0.4">
      <c r="A519">
        <v>4421000001</v>
      </c>
      <c r="B519">
        <v>4421000025</v>
      </c>
      <c r="C519" t="str">
        <f>T("감옥실험 15화")</f>
        <v>감옥실험 15화</v>
      </c>
      <c r="D519" t="str">
        <f>T("15")</f>
        <v>15</v>
      </c>
      <c r="E519" t="str">
        <f>T("Kantetsu")</f>
        <v>Kantetsu</v>
      </c>
      <c r="G519" t="str">
        <f>T("Minase Chiho")</f>
        <v>Minase Chiho</v>
      </c>
      <c r="H519" t="str">
        <f t="shared" si="28"/>
        <v>스토리위즈</v>
      </c>
      <c r="I519" t="str">
        <f>T("감옥실험")</f>
        <v>감옥실험</v>
      </c>
      <c r="J519">
        <v>500</v>
      </c>
      <c r="K519">
        <v>0</v>
      </c>
      <c r="L519">
        <v>0</v>
      </c>
      <c r="M519">
        <v>0</v>
      </c>
      <c r="N519">
        <v>2100</v>
      </c>
      <c r="O519">
        <v>7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2100</v>
      </c>
      <c r="AH519">
        <v>7</v>
      </c>
      <c r="AI519">
        <v>0</v>
      </c>
      <c r="AJ519">
        <v>0</v>
      </c>
      <c r="AK519">
        <v>2100</v>
      </c>
      <c r="AL519">
        <v>0</v>
      </c>
      <c r="AM519">
        <v>0</v>
      </c>
      <c r="AN519">
        <v>0</v>
      </c>
      <c r="AO519">
        <v>0</v>
      </c>
      <c r="AP519">
        <v>1470</v>
      </c>
      <c r="AT519" t="str">
        <f>T("9791166069406")</f>
        <v>9791166069406</v>
      </c>
      <c r="AV519" t="str">
        <f>T("웹툰 &gt; 드라마")</f>
        <v>웹툰 &gt; 드라마</v>
      </c>
    </row>
    <row r="520" spans="1:48" x14ac:dyDescent="0.4">
      <c r="A520">
        <v>4421000069</v>
      </c>
      <c r="B520">
        <v>4421000154</v>
      </c>
      <c r="C520" t="str">
        <f>T("너랑 나랑 하면 84화")</f>
        <v>너랑 나랑 하면 84화</v>
      </c>
      <c r="D520" t="str">
        <f>T("84")</f>
        <v>84</v>
      </c>
      <c r="E520" t="str">
        <f>T("NISANSUI")</f>
        <v>NISANSUI</v>
      </c>
      <c r="G520" t="str">
        <f>T("ZIQUAN")</f>
        <v>ZIQUAN</v>
      </c>
      <c r="H520" t="str">
        <f t="shared" si="28"/>
        <v>스토리위즈</v>
      </c>
      <c r="I520" t="str">
        <f>T("너랑 나랑 하면")</f>
        <v>너랑 나랑 하면</v>
      </c>
      <c r="J520">
        <v>400</v>
      </c>
      <c r="K520">
        <v>0</v>
      </c>
      <c r="L520">
        <v>0</v>
      </c>
      <c r="M520">
        <v>0</v>
      </c>
      <c r="N520">
        <v>200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200</v>
      </c>
      <c r="AH520">
        <v>1</v>
      </c>
      <c r="AI520">
        <v>0</v>
      </c>
      <c r="AJ520">
        <v>0</v>
      </c>
      <c r="AK520">
        <v>200</v>
      </c>
      <c r="AL520">
        <v>0</v>
      </c>
      <c r="AM520">
        <v>0</v>
      </c>
      <c r="AN520">
        <v>0</v>
      </c>
      <c r="AO520">
        <v>0</v>
      </c>
      <c r="AP520">
        <v>140</v>
      </c>
      <c r="AR520" t="str">
        <f>T("0000000000000")</f>
        <v>0000000000000</v>
      </c>
      <c r="AT520" t="str">
        <f>T("9791166067884")</f>
        <v>9791166067884</v>
      </c>
      <c r="AV520" t="str">
        <f>T("BL 웹툰 &gt; 웹툰")</f>
        <v>BL 웹툰 &gt; 웹툰</v>
      </c>
    </row>
    <row r="521" spans="1:48" x14ac:dyDescent="0.4">
      <c r="A521">
        <v>4421001377</v>
      </c>
      <c r="B521">
        <v>4421001381</v>
      </c>
      <c r="C521" t="str">
        <f>T("요괴님은 수련중 5화")</f>
        <v>요괴님은 수련중 5화</v>
      </c>
      <c r="D521" t="str">
        <f>T("5")</f>
        <v>5</v>
      </c>
      <c r="E521" t="str">
        <f>T("화방")</f>
        <v>화방</v>
      </c>
      <c r="G521" t="str">
        <f>T("망북")</f>
        <v>망북</v>
      </c>
      <c r="H521" t="str">
        <f t="shared" si="28"/>
        <v>스토리위즈</v>
      </c>
      <c r="I521" t="str">
        <f>T("요괴님은 수련중")</f>
        <v>요괴님은 수련중</v>
      </c>
      <c r="J521">
        <v>400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5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R521" t="str">
        <f>T("0000000000000")</f>
        <v>0000000000000</v>
      </c>
      <c r="AT521" t="str">
        <f>T("9791137603899")</f>
        <v>9791137603899</v>
      </c>
      <c r="AV521" t="str">
        <f>T("웹툰 &gt; 해외 순정")</f>
        <v>웹툰 &gt; 해외 순정</v>
      </c>
    </row>
    <row r="522" spans="1:48" x14ac:dyDescent="0.4">
      <c r="A522">
        <v>4421000001</v>
      </c>
      <c r="B522">
        <v>4421000064</v>
      </c>
      <c r="C522" t="str">
        <f>T("감옥실험 44화")</f>
        <v>감옥실험 44화</v>
      </c>
      <c r="D522" t="str">
        <f>T("44")</f>
        <v>44</v>
      </c>
      <c r="E522" t="str">
        <f>T("Kantetsu")</f>
        <v>Kantetsu</v>
      </c>
      <c r="G522" t="str">
        <f>T("Minase Chiho")</f>
        <v>Minase Chiho</v>
      </c>
      <c r="H522" t="str">
        <f t="shared" si="28"/>
        <v>스토리위즈</v>
      </c>
      <c r="I522" t="str">
        <f>T("감옥실험")</f>
        <v>감옥실험</v>
      </c>
      <c r="J522">
        <v>500</v>
      </c>
      <c r="K522">
        <v>0</v>
      </c>
      <c r="L522">
        <v>0</v>
      </c>
      <c r="M522">
        <v>0</v>
      </c>
      <c r="N522">
        <v>1200</v>
      </c>
      <c r="O522">
        <v>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1200</v>
      </c>
      <c r="AH522">
        <v>4</v>
      </c>
      <c r="AI522">
        <v>0</v>
      </c>
      <c r="AJ522">
        <v>0</v>
      </c>
      <c r="AK522">
        <v>1200</v>
      </c>
      <c r="AL522">
        <v>0</v>
      </c>
      <c r="AM522">
        <v>0</v>
      </c>
      <c r="AN522">
        <v>0</v>
      </c>
      <c r="AO522">
        <v>0</v>
      </c>
      <c r="AP522">
        <v>840</v>
      </c>
      <c r="AT522" t="str">
        <f>T("9791166069406")</f>
        <v>9791166069406</v>
      </c>
      <c r="AV522" t="str">
        <f>T("웹툰 &gt; 드라마")</f>
        <v>웹툰 &gt; 드라마</v>
      </c>
    </row>
    <row r="523" spans="1:48" x14ac:dyDescent="0.4">
      <c r="A523">
        <v>4421000337</v>
      </c>
      <c r="B523">
        <v>4421000342</v>
      </c>
      <c r="C523" t="str">
        <f>T("계약연애, 오늘부터 1일 6화")</f>
        <v>계약연애, 오늘부터 1일 6화</v>
      </c>
      <c r="D523" t="str">
        <f>T("6")</f>
        <v>6</v>
      </c>
      <c r="E523" t="str">
        <f>T("원기공장")</f>
        <v>원기공장</v>
      </c>
      <c r="H523" t="str">
        <f t="shared" si="28"/>
        <v>스토리위즈</v>
      </c>
      <c r="I523" t="str">
        <f>T("계약연애, 오늘부터 1일")</f>
        <v>계약연애, 오늘부터 1일</v>
      </c>
      <c r="J523">
        <v>200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R523" t="str">
        <f>T("0000000000000")</f>
        <v>0000000000000</v>
      </c>
      <c r="AT523" t="str">
        <f>T("9791166068027")</f>
        <v>9791166068027</v>
      </c>
      <c r="AV523" t="str">
        <f>T("웹툰 &gt; 해외 순정")</f>
        <v>웹툰 &gt; 해외 순정</v>
      </c>
    </row>
    <row r="524" spans="1:48" x14ac:dyDescent="0.4">
      <c r="AP524" s="3">
        <f>SUM(AP2:AP523)</f>
        <v>307160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cp:lastPrinted>2020-12-21T04:53:15Z</cp:lastPrinted>
  <dcterms:created xsi:type="dcterms:W3CDTF">2019-02-21T06:29:33Z</dcterms:created>
  <dcterms:modified xsi:type="dcterms:W3CDTF">2022-05-24T03:03:23Z</dcterms:modified>
</cp:coreProperties>
</file>