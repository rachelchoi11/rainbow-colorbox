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델리툰(프,독)\"/>
    </mc:Choice>
  </mc:AlternateContent>
  <bookViews>
    <workbookView xWindow="0" yWindow="0" windowWidth="15504" windowHeight="9588" tabRatio="607"/>
  </bookViews>
  <sheets>
    <sheet name="종합" sheetId="1" r:id="rId1"/>
    <sheet name="월별 정산서" sheetId="7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2" i="1" l="1"/>
  <c r="I22" i="1"/>
  <c r="H22" i="1"/>
  <c r="E22" i="1"/>
  <c r="D22" i="1"/>
  <c r="C22" i="1"/>
  <c r="B22" i="1"/>
  <c r="B21" i="1"/>
  <c r="L21" i="1" l="1"/>
  <c r="I21" i="1"/>
  <c r="H21" i="1"/>
  <c r="E21" i="1"/>
  <c r="D21" i="1"/>
  <c r="C21" i="1"/>
  <c r="I60" i="7" l="1"/>
  <c r="H60" i="7"/>
  <c r="D60" i="7"/>
  <c r="C60" i="7"/>
  <c r="C19" i="1" l="1"/>
  <c r="I18" i="1" l="1"/>
  <c r="I17" i="1"/>
  <c r="H18" i="1"/>
  <c r="L18" i="1"/>
  <c r="B18" i="1"/>
  <c r="C18" i="1"/>
  <c r="H17" i="1" l="1"/>
  <c r="L17" i="1" s="1"/>
  <c r="B17" i="1"/>
  <c r="C17" i="1"/>
  <c r="D17" i="1"/>
  <c r="E17" i="1" l="1"/>
  <c r="D18" i="1" s="1"/>
  <c r="E18" i="1" s="1"/>
  <c r="I16" i="1"/>
  <c r="H16" i="1"/>
  <c r="L16" i="1" s="1"/>
  <c r="C16" i="1"/>
  <c r="B16" i="1"/>
  <c r="J15" i="1" l="1"/>
  <c r="I15" i="1"/>
  <c r="H15" i="1"/>
  <c r="L15" i="1" s="1"/>
  <c r="C15" i="1"/>
  <c r="B15" i="1"/>
  <c r="H14" i="1" l="1"/>
  <c r="H13" i="1"/>
  <c r="H12" i="1"/>
  <c r="H11" i="1"/>
  <c r="K11" i="1" s="1"/>
  <c r="G17" i="7"/>
  <c r="G16" i="7"/>
  <c r="C11" i="1"/>
  <c r="G23" i="7"/>
  <c r="G22" i="7"/>
  <c r="B12" i="1" l="1"/>
  <c r="I11" i="1" l="1"/>
  <c r="B11" i="1"/>
  <c r="E11" i="1" s="1"/>
  <c r="D12" i="1" l="1"/>
  <c r="E12" i="1" s="1"/>
  <c r="D13" i="1" s="1"/>
  <c r="E13" i="1" s="1"/>
  <c r="D14" i="1" s="1"/>
  <c r="E14" i="1" s="1"/>
  <c r="D15" i="1" s="1"/>
  <c r="E15" i="1" s="1"/>
  <c r="D16" i="1" s="1"/>
  <c r="E16" i="1" s="1"/>
  <c r="J12" i="1"/>
  <c r="K12" i="1" s="1"/>
  <c r="J13" i="1" s="1"/>
  <c r="K13" i="1" l="1"/>
  <c r="J14" i="1" s="1"/>
</calcChain>
</file>

<file path=xl/sharedStrings.xml><?xml version="1.0" encoding="utf-8"?>
<sst xmlns="http://schemas.openxmlformats.org/spreadsheetml/2006/main" count="239" uniqueCount="64">
  <si>
    <t>기본정보</t>
    <phoneticPr fontId="2" type="noConversion"/>
  </si>
  <si>
    <t>매출내역</t>
    <phoneticPr fontId="2" type="noConversion"/>
  </si>
  <si>
    <t>상세 *매출월 발생월 기준 / 타이틀 MG, RS 월별 정산 (M+2)</t>
    <phoneticPr fontId="11" type="Hiragana"/>
  </si>
  <si>
    <t>작품명</t>
    <phoneticPr fontId="2" type="noConversion"/>
  </si>
  <si>
    <t>런칭일</t>
    <phoneticPr fontId="2" type="noConversion"/>
  </si>
  <si>
    <t>MG</t>
    <phoneticPr fontId="2" type="noConversion"/>
  </si>
  <si>
    <t>MG 정산</t>
    <phoneticPr fontId="2" type="noConversion"/>
  </si>
  <si>
    <t>구분</t>
    <phoneticPr fontId="2" type="noConversion"/>
  </si>
  <si>
    <t>CP RS (￦)</t>
  </si>
  <si>
    <t>전체 MG (￦)</t>
  </si>
  <si>
    <t>남은 MG (￦)</t>
  </si>
  <si>
    <t>차감 후 MG (￦)</t>
  </si>
  <si>
    <t>지급 금액 (￦)</t>
    <phoneticPr fontId="2" type="noConversion"/>
  </si>
  <si>
    <t>정산현황</t>
    <phoneticPr fontId="2" type="noConversion"/>
  </si>
  <si>
    <t>N</t>
    <phoneticPr fontId="2" type="noConversion"/>
  </si>
  <si>
    <t>월별 매출</t>
    <phoneticPr fontId="2" type="noConversion"/>
  </si>
  <si>
    <t>cid</t>
  </si>
  <si>
    <t>title</t>
  </si>
  <si>
    <t>CP RS (€)</t>
  </si>
  <si>
    <t>자급 금액 (￦)</t>
  </si>
  <si>
    <t>Unit</t>
  </si>
  <si>
    <t>KRW</t>
  </si>
  <si>
    <t>Sum</t>
  </si>
  <si>
    <t>2021년 05월</t>
    <phoneticPr fontId="2" type="noConversion"/>
  </si>
  <si>
    <t>Tochter des Teufels  (마왕의 딸로 태어났습니다)</t>
    <phoneticPr fontId="2" type="noConversion"/>
  </si>
  <si>
    <t>Küsse hinter den Kulissen  (백스테이지 키스신)</t>
    <phoneticPr fontId="2" type="noConversion"/>
  </si>
  <si>
    <t>델리툰 (독)</t>
    <phoneticPr fontId="2" type="noConversion"/>
  </si>
  <si>
    <t>2021.05.09</t>
    <phoneticPr fontId="2" type="noConversion"/>
  </si>
  <si>
    <t>2021.05.03</t>
    <phoneticPr fontId="2" type="noConversion"/>
  </si>
  <si>
    <t>Tochter des Teufels</t>
  </si>
  <si>
    <t>Küsse hinter den Kulissen</t>
  </si>
  <si>
    <t>2020.12 SW매출인식 / 2021.01 입금</t>
    <phoneticPr fontId="2" type="noConversion"/>
  </si>
  <si>
    <t>CP RS (€)</t>
    <phoneticPr fontId="2" type="noConversion"/>
  </si>
  <si>
    <t>2021년 06월</t>
    <phoneticPr fontId="2" type="noConversion"/>
  </si>
  <si>
    <t>CP RS (€)</t>
    <phoneticPr fontId="2" type="noConversion"/>
  </si>
  <si>
    <t>2021년 07월</t>
    <phoneticPr fontId="2" type="noConversion"/>
  </si>
  <si>
    <t>2021년 08월</t>
    <phoneticPr fontId="2" type="noConversion"/>
  </si>
  <si>
    <t>2021.09 계산서 발행</t>
    <phoneticPr fontId="2" type="noConversion"/>
  </si>
  <si>
    <t>2021년 09월</t>
    <phoneticPr fontId="2" type="noConversion"/>
  </si>
  <si>
    <t>2021년 10월</t>
    <phoneticPr fontId="2" type="noConversion"/>
  </si>
  <si>
    <t>2021.10 계산서 발행</t>
    <phoneticPr fontId="2" type="noConversion"/>
  </si>
  <si>
    <t>2021.11 계산서 발행</t>
    <phoneticPr fontId="2" type="noConversion"/>
  </si>
  <si>
    <t>2021.10</t>
    <phoneticPr fontId="2" type="noConversion"/>
  </si>
  <si>
    <t>RS: 순매출의 40%
매출월: M
정산서 전달: M+1월 20일 내 (CMS로 확인)
실제 정산(계산서 발행): M+2M 진행
기타: 과세사업자</t>
    <phoneticPr fontId="2" type="noConversion"/>
  </si>
  <si>
    <t>2021년 11월</t>
    <phoneticPr fontId="2" type="noConversion"/>
  </si>
  <si>
    <t>CP RS (€)</t>
    <phoneticPr fontId="2" type="noConversion"/>
  </si>
  <si>
    <t>2021년 12월</t>
    <phoneticPr fontId="2" type="noConversion"/>
  </si>
  <si>
    <t>2021.12</t>
    <phoneticPr fontId="2" type="noConversion"/>
  </si>
  <si>
    <t>2021.11</t>
    <phoneticPr fontId="2" type="noConversion"/>
  </si>
  <si>
    <t>N</t>
    <phoneticPr fontId="2" type="noConversion"/>
  </si>
  <si>
    <t>2021.12 계산서 발행</t>
    <phoneticPr fontId="2" type="noConversion"/>
  </si>
  <si>
    <t>2022.01</t>
    <phoneticPr fontId="2" type="noConversion"/>
  </si>
  <si>
    <t>2022.02 계산서 발행</t>
    <phoneticPr fontId="2" type="noConversion"/>
  </si>
  <si>
    <t>2022.01 계산서 발행</t>
    <phoneticPr fontId="2" type="noConversion"/>
  </si>
  <si>
    <t>2022년 1월</t>
    <phoneticPr fontId="2" type="noConversion"/>
  </si>
  <si>
    <t>2022.02</t>
    <phoneticPr fontId="2" type="noConversion"/>
  </si>
  <si>
    <t>2022.03 계산서 발행</t>
    <phoneticPr fontId="2" type="noConversion"/>
  </si>
  <si>
    <t>2022년 2월</t>
    <phoneticPr fontId="2" type="noConversion"/>
  </si>
  <si>
    <t>CP RS (€)</t>
    <phoneticPr fontId="2" type="noConversion"/>
  </si>
  <si>
    <t>2022년 3월</t>
    <phoneticPr fontId="2" type="noConversion"/>
  </si>
  <si>
    <t>2022.03</t>
    <phoneticPr fontId="2" type="noConversion"/>
  </si>
  <si>
    <t>2022.04 계산서 발행</t>
    <phoneticPr fontId="2" type="noConversion"/>
  </si>
  <si>
    <t>2022년 4월</t>
    <phoneticPr fontId="2" type="noConversion"/>
  </si>
  <si>
    <t>2022.05 계산서 발행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</si>
</sst>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_(* #,##0_);_(* \(#,##0\);_(* &quot;-&quot;??_);_(@_)"/>
    <numFmt numFmtId="179" formatCode="_-* #,##0.00_-;\-* #,##0.0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name val="Arial"/>
      <family val="2"/>
    </font>
    <font>
      <sz val="10"/>
      <name val="맑은 고딕"/>
      <family val="2"/>
      <scheme val="minor"/>
    </font>
    <font>
      <sz val="10"/>
      <name val="Arial"/>
      <family val="2"/>
    </font>
    <font>
      <sz val="10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AB39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EBEBEB"/>
      </left>
      <right style="medium">
        <color rgb="FFE7E7E7"/>
      </right>
      <top style="medium">
        <color rgb="FFE7EAEC"/>
      </top>
      <bottom style="medium">
        <color rgb="FFE7E7E7"/>
      </bottom>
      <diagonal/>
    </border>
    <border>
      <left style="medium">
        <color rgb="FFE7E7E7"/>
      </left>
      <right style="medium">
        <color rgb="FFE7E7E7"/>
      </right>
      <top style="medium">
        <color rgb="FFE7EAEC"/>
      </top>
      <bottom style="medium">
        <color rgb="FFE7E7E7"/>
      </bottom>
      <diagonal/>
    </border>
    <border>
      <left style="medium">
        <color rgb="FFE7E7E7"/>
      </left>
      <right style="medium">
        <color rgb="FFEBEBEB"/>
      </right>
      <top style="medium">
        <color rgb="FFE7EAEC"/>
      </top>
      <bottom style="medium">
        <color rgb="FFE7E7E7"/>
      </bottom>
      <diagonal/>
    </border>
    <border>
      <left style="medium">
        <color rgb="FFEBEBEB"/>
      </left>
      <right style="medium">
        <color rgb="FFE7E7E7"/>
      </right>
      <top style="medium">
        <color rgb="FFE7EAEC"/>
      </top>
      <bottom style="medium">
        <color rgb="FFEBEBEB"/>
      </bottom>
      <diagonal/>
    </border>
    <border>
      <left style="medium">
        <color rgb="FFE7E7E7"/>
      </left>
      <right style="medium">
        <color rgb="FFE7E7E7"/>
      </right>
      <top style="medium">
        <color rgb="FFE7EAEC"/>
      </top>
      <bottom style="medium">
        <color rgb="FFEBEBEB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 style="medium">
        <color rgb="FFEBEBEB"/>
      </left>
      <right style="medium">
        <color rgb="FFE7E7E7"/>
      </right>
      <top/>
      <bottom style="medium">
        <color rgb="FFDDDDDD"/>
      </bottom>
      <diagonal/>
    </border>
    <border>
      <left style="medium">
        <color rgb="FFE7E7E7"/>
      </left>
      <right style="medium">
        <color rgb="FFE7E7E7"/>
      </right>
      <top/>
      <bottom style="medium">
        <color rgb="FFDDDDDD"/>
      </bottom>
      <diagonal/>
    </border>
    <border>
      <left style="medium">
        <color rgb="FFE7E7E7"/>
      </left>
      <right style="medium">
        <color rgb="FFEBEBEB"/>
      </right>
      <top/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176" fontId="9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2"/>
    <xf numFmtId="176" fontId="8" fillId="0" borderId="0" xfId="3" applyFont="1"/>
    <xf numFmtId="178" fontId="8" fillId="0" borderId="0" xfId="4" applyNumberFormat="1" applyFont="1"/>
    <xf numFmtId="0" fontId="9" fillId="0" borderId="0" xfId="5"/>
    <xf numFmtId="177" fontId="8" fillId="0" borderId="0" xfId="4" applyFont="1"/>
    <xf numFmtId="0" fontId="4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41" fontId="5" fillId="2" borderId="1" xfId="7" applyFont="1" applyFill="1" applyBorder="1">
      <alignment vertical="center"/>
    </xf>
    <xf numFmtId="41" fontId="4" fillId="4" borderId="1" xfId="7" applyFont="1" applyFill="1" applyBorder="1">
      <alignment vertical="center"/>
    </xf>
    <xf numFmtId="41" fontId="4" fillId="0" borderId="1" xfId="7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>
      <alignment vertical="center"/>
    </xf>
    <xf numFmtId="41" fontId="5" fillId="0" borderId="1" xfId="0" applyNumberFormat="1" applyFont="1" applyBorder="1">
      <alignment vertical="center"/>
    </xf>
    <xf numFmtId="0" fontId="10" fillId="0" borderId="0" xfId="2" applyFont="1"/>
    <xf numFmtId="0" fontId="10" fillId="4" borderId="0" xfId="2" applyFont="1" applyFill="1"/>
    <xf numFmtId="0" fontId="14" fillId="5" borderId="11" xfId="0" applyFont="1" applyFill="1" applyBorder="1" applyAlignment="1">
      <alignment horizontal="center" vertical="top" wrapText="1"/>
    </xf>
    <xf numFmtId="0" fontId="14" fillId="5" borderId="12" xfId="0" applyFont="1" applyFill="1" applyBorder="1" applyAlignment="1">
      <alignment horizontal="center" vertical="top" wrapText="1"/>
    </xf>
    <xf numFmtId="0" fontId="14" fillId="5" borderId="13" xfId="0" applyFont="1" applyFill="1" applyBorder="1" applyAlignment="1">
      <alignment horizontal="center" vertical="top" wrapText="1"/>
    </xf>
    <xf numFmtId="177" fontId="15" fillId="0" borderId="0" xfId="4" applyFont="1"/>
    <xf numFmtId="176" fontId="15" fillId="0" borderId="0" xfId="3" applyFont="1"/>
    <xf numFmtId="0" fontId="15" fillId="0" borderId="0" xfId="5" applyFont="1"/>
    <xf numFmtId="178" fontId="15" fillId="0" borderId="0" xfId="4" applyNumberFormat="1" applyFont="1"/>
    <xf numFmtId="0" fontId="15" fillId="0" borderId="0" xfId="2" applyFont="1"/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right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top" wrapText="1"/>
    </xf>
    <xf numFmtId="0" fontId="16" fillId="6" borderId="9" xfId="0" applyFont="1" applyFill="1" applyBorder="1" applyAlignment="1">
      <alignment horizontal="center" vertical="top" wrapText="1"/>
    </xf>
    <xf numFmtId="0" fontId="16" fillId="6" borderId="9" xfId="0" applyFont="1" applyFill="1" applyBorder="1" applyAlignment="1">
      <alignment horizontal="right" vertical="top" wrapText="1"/>
    </xf>
    <xf numFmtId="3" fontId="16" fillId="6" borderId="9" xfId="0" applyNumberFormat="1" applyFont="1" applyFill="1" applyBorder="1" applyAlignment="1">
      <alignment horizontal="right" vertical="top" wrapText="1"/>
    </xf>
    <xf numFmtId="0" fontId="17" fillId="7" borderId="10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1" fontId="14" fillId="5" borderId="12" xfId="7" applyFont="1" applyFill="1" applyBorder="1" applyAlignment="1">
      <alignment horizontal="center" vertical="top" wrapText="1"/>
    </xf>
    <xf numFmtId="179" fontId="14" fillId="5" borderId="12" xfId="7" applyNumberFormat="1" applyFont="1" applyFill="1" applyBorder="1" applyAlignment="1">
      <alignment horizontal="center" vertical="top" wrapText="1"/>
    </xf>
    <xf numFmtId="41" fontId="16" fillId="7" borderId="6" xfId="7" applyFont="1" applyFill="1" applyBorder="1" applyAlignment="1">
      <alignment horizontal="right" vertical="center" wrapText="1"/>
    </xf>
    <xf numFmtId="0" fontId="16" fillId="0" borderId="6" xfId="0" applyFont="1" applyFill="1" applyBorder="1" applyAlignment="1">
      <alignment horizontal="right" vertical="center" wrapText="1"/>
    </xf>
    <xf numFmtId="41" fontId="5" fillId="0" borderId="1" xfId="0" applyNumberFormat="1" applyFont="1" applyBorder="1" applyAlignment="1">
      <alignment horizontal="right" vertical="center"/>
    </xf>
    <xf numFmtId="3" fontId="16" fillId="0" borderId="6" xfId="0" applyNumberFormat="1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41" fontId="4" fillId="8" borderId="1" xfId="7" applyFont="1" applyFill="1" applyBorder="1" applyAlignment="1">
      <alignment horizontal="center" vertical="center"/>
    </xf>
    <xf numFmtId="3" fontId="5" fillId="8" borderId="1" xfId="0" applyNumberFormat="1" applyFont="1" applyFill="1" applyBorder="1">
      <alignment vertical="center"/>
    </xf>
    <xf numFmtId="41" fontId="5" fillId="8" borderId="1" xfId="0" applyNumberFormat="1" applyFont="1" applyFill="1" applyBorder="1">
      <alignment vertical="center"/>
    </xf>
    <xf numFmtId="41" fontId="5" fillId="8" borderId="1" xfId="7" applyFont="1" applyFill="1" applyBorder="1">
      <alignment vertical="center"/>
    </xf>
    <xf numFmtId="41" fontId="5" fillId="2" borderId="1" xfId="0" applyNumberFormat="1" applyFont="1" applyFill="1" applyBorder="1">
      <alignment vertical="center"/>
    </xf>
    <xf numFmtId="3" fontId="5" fillId="0" borderId="1" xfId="0" applyNumberFormat="1" applyFont="1" applyFill="1" applyBorder="1">
      <alignment vertical="center"/>
    </xf>
    <xf numFmtId="41" fontId="5" fillId="0" borderId="1" xfId="0" applyNumberFormat="1" applyFont="1" applyFill="1" applyBorder="1" applyAlignment="1">
      <alignment horizontal="right" vertical="center"/>
    </xf>
    <xf numFmtId="41" fontId="5" fillId="0" borderId="1" xfId="0" applyNumberFormat="1" applyFont="1" applyFill="1" applyBorder="1">
      <alignment vertical="center"/>
    </xf>
    <xf numFmtId="41" fontId="4" fillId="8" borderId="1" xfId="0" applyNumberFormat="1" applyFont="1" applyFill="1" applyBorder="1">
      <alignment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3" fontId="5" fillId="0" borderId="14" xfId="0" applyNumberFormat="1" applyFont="1" applyBorder="1" applyAlignment="1">
      <alignment vertical="center" wrapText="1"/>
    </xf>
    <xf numFmtId="41" fontId="14" fillId="5" borderId="12" xfId="7" applyNumberFormat="1" applyFont="1" applyFill="1" applyBorder="1" applyAlignment="1">
      <alignment horizontal="center" vertical="top" wrapText="1"/>
    </xf>
    <xf numFmtId="41" fontId="5" fillId="0" borderId="1" xfId="7" applyFont="1" applyFill="1" applyBorder="1">
      <alignment vertical="center"/>
    </xf>
    <xf numFmtId="41" fontId="4" fillId="0" borderId="1" xfId="0" applyNumberFormat="1" applyFont="1" applyFill="1" applyBorder="1">
      <alignment vertical="center"/>
    </xf>
    <xf numFmtId="41" fontId="4" fillId="0" borderId="1" xfId="7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41" fontId="4" fillId="0" borderId="1" xfId="7" applyFont="1" applyFill="1" applyBorder="1">
      <alignment vertical="center"/>
    </xf>
    <xf numFmtId="0" fontId="0" fillId="0" borderId="0" xfId="0" applyFill="1">
      <alignment vertical="center"/>
    </xf>
    <xf numFmtId="0" fontId="5" fillId="8" borderId="1" xfId="0" quotePrefix="1" applyFont="1" applyFill="1" applyBorder="1" applyAlignment="1">
      <alignment horizontal="center" vertical="center"/>
    </xf>
    <xf numFmtId="41" fontId="4" fillId="8" borderId="1" xfId="7" applyFont="1" applyFill="1" applyBorder="1">
      <alignment vertical="center"/>
    </xf>
    <xf numFmtId="41" fontId="5" fillId="0" borderId="1" xfId="7" applyFont="1" applyBorder="1" applyAlignment="1">
      <alignment horizontal="center" vertical="center"/>
    </xf>
    <xf numFmtId="41" fontId="5" fillId="0" borderId="3" xfId="7" applyFont="1" applyBorder="1" applyAlignment="1">
      <alignment horizontal="center" vertical="center"/>
    </xf>
    <xf numFmtId="41" fontId="5" fillId="0" borderId="4" xfId="7" applyFont="1" applyBorder="1" applyAlignment="1">
      <alignment horizontal="center" vertical="center"/>
    </xf>
    <xf numFmtId="41" fontId="5" fillId="0" borderId="2" xfId="7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8">
    <cellStyle name="Comma [0] 2 2" xfId="3"/>
    <cellStyle name="Normal 2" xfId="2"/>
    <cellStyle name="Normal 3 2" xfId="5"/>
    <cellStyle name="백분율 2" xfId="6"/>
    <cellStyle name="쉼표 [0]" xfId="7" builtinId="6"/>
    <cellStyle name="쉼표 2" xfId="4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="60" zoomScaleNormal="60" workbookViewId="0">
      <selection activeCell="P9" sqref="P9"/>
    </sheetView>
  </sheetViews>
  <sheetFormatPr defaultRowHeight="17.399999999999999" x14ac:dyDescent="0.4"/>
  <cols>
    <col min="1" max="1" width="12.69921875" customWidth="1"/>
    <col min="2" max="2" width="13.296875" customWidth="1"/>
    <col min="3" max="3" width="11.8984375" customWidth="1"/>
    <col min="4" max="4" width="13.5" customWidth="1"/>
    <col min="5" max="5" width="14.09765625" customWidth="1"/>
    <col min="6" max="6" width="13.296875" customWidth="1"/>
    <col min="7" max="7" width="11" customWidth="1"/>
    <col min="8" max="8" width="13.296875" customWidth="1"/>
    <col min="9" max="9" width="12.296875" customWidth="1"/>
    <col min="10" max="10" width="12.5" customWidth="1"/>
    <col min="11" max="11" width="14.19921875" customWidth="1"/>
    <col min="12" max="12" width="12.5" customWidth="1"/>
    <col min="13" max="13" width="20.5" customWidth="1"/>
    <col min="14" max="18" width="12.5" customWidth="1"/>
  </cols>
  <sheetData>
    <row r="1" spans="1:13" ht="25.2" x14ac:dyDescent="0.4">
      <c r="A1" s="3" t="s">
        <v>26</v>
      </c>
      <c r="B1" s="2"/>
    </row>
    <row r="2" spans="1:13" x14ac:dyDescent="0.4">
      <c r="A2" s="2" t="s">
        <v>0</v>
      </c>
      <c r="B2" s="2"/>
    </row>
    <row r="3" spans="1:13" ht="71.400000000000006" customHeight="1" x14ac:dyDescent="0.4">
      <c r="A3" s="71" t="s">
        <v>43</v>
      </c>
      <c r="B3" s="71"/>
      <c r="C3" s="71"/>
      <c r="D3" s="71"/>
      <c r="E3" s="1"/>
      <c r="F3" s="1"/>
      <c r="G3" s="1"/>
      <c r="H3" s="1"/>
      <c r="I3" s="1"/>
      <c r="J3" s="1"/>
      <c r="K3" s="1"/>
      <c r="L3" s="1"/>
      <c r="M3" s="1"/>
    </row>
    <row r="5" spans="1:13" x14ac:dyDescent="0.4">
      <c r="A5" s="2" t="s">
        <v>1</v>
      </c>
      <c r="B5" s="2"/>
    </row>
    <row r="6" spans="1:13" x14ac:dyDescent="0.4">
      <c r="A6" s="2" t="s">
        <v>2</v>
      </c>
    </row>
    <row r="7" spans="1:13" ht="31.05" customHeight="1" x14ac:dyDescent="0.4">
      <c r="A7" s="9" t="s">
        <v>3</v>
      </c>
      <c r="B7" s="72" t="s">
        <v>25</v>
      </c>
      <c r="C7" s="73"/>
      <c r="D7" s="73"/>
      <c r="E7" s="73"/>
      <c r="F7" s="73"/>
      <c r="G7" s="74"/>
      <c r="H7" s="75" t="s">
        <v>24</v>
      </c>
      <c r="I7" s="75"/>
      <c r="J7" s="75"/>
      <c r="K7" s="75"/>
      <c r="L7" s="75"/>
      <c r="M7" s="75"/>
    </row>
    <row r="8" spans="1:13" x14ac:dyDescent="0.4">
      <c r="A8" s="9" t="s">
        <v>4</v>
      </c>
      <c r="B8" s="76" t="s">
        <v>28</v>
      </c>
      <c r="C8" s="77"/>
      <c r="D8" s="77"/>
      <c r="E8" s="77"/>
      <c r="F8" s="77"/>
      <c r="G8" s="78"/>
      <c r="H8" s="79" t="s">
        <v>27</v>
      </c>
      <c r="I8" s="79"/>
      <c r="J8" s="79"/>
      <c r="K8" s="79"/>
      <c r="L8" s="79"/>
      <c r="M8" s="79"/>
    </row>
    <row r="9" spans="1:13" x14ac:dyDescent="0.4">
      <c r="A9" s="9" t="s">
        <v>5</v>
      </c>
      <c r="B9" s="67">
        <v>1500000</v>
      </c>
      <c r="C9" s="67"/>
      <c r="D9" s="9" t="s">
        <v>6</v>
      </c>
      <c r="E9" s="68" t="s">
        <v>31</v>
      </c>
      <c r="F9" s="69"/>
      <c r="G9" s="70"/>
      <c r="H9" s="67">
        <v>2500000</v>
      </c>
      <c r="I9" s="67"/>
      <c r="J9" s="9" t="s">
        <v>6</v>
      </c>
      <c r="K9" s="68" t="s">
        <v>31</v>
      </c>
      <c r="L9" s="69"/>
      <c r="M9" s="70"/>
    </row>
    <row r="10" spans="1:13" x14ac:dyDescent="0.35">
      <c r="A10" s="9" t="s">
        <v>7</v>
      </c>
      <c r="B10" s="10" t="s">
        <v>8</v>
      </c>
      <c r="C10" s="10" t="s">
        <v>9</v>
      </c>
      <c r="D10" s="10" t="s">
        <v>10</v>
      </c>
      <c r="E10" s="11" t="s">
        <v>11</v>
      </c>
      <c r="F10" s="11" t="s">
        <v>12</v>
      </c>
      <c r="G10" s="11" t="s">
        <v>13</v>
      </c>
      <c r="H10" s="10" t="s">
        <v>8</v>
      </c>
      <c r="I10" s="10" t="s">
        <v>9</v>
      </c>
      <c r="J10" s="10" t="s">
        <v>10</v>
      </c>
      <c r="K10" s="11" t="s">
        <v>11</v>
      </c>
      <c r="L10" s="11" t="s">
        <v>12</v>
      </c>
      <c r="M10" s="11" t="s">
        <v>13</v>
      </c>
    </row>
    <row r="11" spans="1:13" x14ac:dyDescent="0.4">
      <c r="A11" s="15">
        <v>2021.05</v>
      </c>
      <c r="B11" s="16">
        <f>'월별 정산서'!D6</f>
        <v>198635</v>
      </c>
      <c r="C11" s="16">
        <f>B9</f>
        <v>1500000</v>
      </c>
      <c r="D11" s="17">
        <v>1500000</v>
      </c>
      <c r="E11" s="12">
        <f t="shared" ref="E11:E16" si="0">D11-B11</f>
        <v>1301365</v>
      </c>
      <c r="F11" s="13">
        <v>0</v>
      </c>
      <c r="G11" s="14" t="s">
        <v>14</v>
      </c>
      <c r="H11" s="16">
        <f>'월별 정산서'!D5</f>
        <v>912185</v>
      </c>
      <c r="I11" s="16">
        <f>H9</f>
        <v>2500000</v>
      </c>
      <c r="J11" s="17">
        <v>2500000</v>
      </c>
      <c r="K11" s="12">
        <f>J11-H11</f>
        <v>1587815</v>
      </c>
      <c r="L11" s="13">
        <v>0</v>
      </c>
      <c r="M11" s="14" t="s">
        <v>14</v>
      </c>
    </row>
    <row r="12" spans="1:13" x14ac:dyDescent="0.4">
      <c r="A12" s="15">
        <v>2021.06</v>
      </c>
      <c r="B12" s="16">
        <f>'월별 정산서'!D12</f>
        <v>146046</v>
      </c>
      <c r="C12" s="16">
        <v>1500000</v>
      </c>
      <c r="D12" s="17">
        <f t="shared" ref="D12:D18" si="1">E11</f>
        <v>1301365</v>
      </c>
      <c r="E12" s="12">
        <f t="shared" si="0"/>
        <v>1155319</v>
      </c>
      <c r="F12" s="13">
        <v>0</v>
      </c>
      <c r="G12" s="14" t="s">
        <v>14</v>
      </c>
      <c r="H12" s="16">
        <f>'월별 정산서'!D11</f>
        <v>729877</v>
      </c>
      <c r="I12" s="43">
        <v>2500000</v>
      </c>
      <c r="J12" s="17">
        <f>K11</f>
        <v>1587815</v>
      </c>
      <c r="K12" s="12">
        <f>J12-H12</f>
        <v>857938</v>
      </c>
      <c r="L12" s="13">
        <v>0</v>
      </c>
      <c r="M12" s="14" t="s">
        <v>14</v>
      </c>
    </row>
    <row r="13" spans="1:13" x14ac:dyDescent="0.4">
      <c r="A13" s="38">
        <v>2021.07</v>
      </c>
      <c r="B13" s="16">
        <v>128768</v>
      </c>
      <c r="C13" s="16">
        <v>1500000</v>
      </c>
      <c r="D13" s="17">
        <f t="shared" si="1"/>
        <v>1155319</v>
      </c>
      <c r="E13" s="12">
        <f t="shared" si="0"/>
        <v>1026551</v>
      </c>
      <c r="F13" s="13">
        <v>0</v>
      </c>
      <c r="G13" s="14" t="s">
        <v>14</v>
      </c>
      <c r="H13" s="16">
        <f>'월별 정산서'!D16</f>
        <v>589005</v>
      </c>
      <c r="I13" s="43">
        <v>2500000</v>
      </c>
      <c r="J13" s="17">
        <f>K12</f>
        <v>857938</v>
      </c>
      <c r="K13" s="12">
        <f>J13-H13</f>
        <v>268933</v>
      </c>
      <c r="L13" s="13">
        <v>0</v>
      </c>
      <c r="M13" s="14" t="s">
        <v>14</v>
      </c>
    </row>
    <row r="14" spans="1:13" x14ac:dyDescent="0.4">
      <c r="A14" s="37">
        <v>2021.08</v>
      </c>
      <c r="B14" s="16">
        <v>127657</v>
      </c>
      <c r="C14" s="16">
        <v>1500000</v>
      </c>
      <c r="D14" s="17">
        <f t="shared" si="1"/>
        <v>1026551</v>
      </c>
      <c r="E14" s="12">
        <f t="shared" si="0"/>
        <v>898894</v>
      </c>
      <c r="F14" s="13">
        <v>0</v>
      </c>
      <c r="G14" s="14" t="s">
        <v>14</v>
      </c>
      <c r="H14" s="51">
        <f>'월별 정산서'!D22</f>
        <v>947442</v>
      </c>
      <c r="I14" s="52">
        <v>2500000</v>
      </c>
      <c r="J14" s="53">
        <f>K13</f>
        <v>268933</v>
      </c>
      <c r="K14" s="12">
        <v>0</v>
      </c>
      <c r="L14" s="13">
        <v>678509</v>
      </c>
      <c r="M14" s="14" t="s">
        <v>37</v>
      </c>
    </row>
    <row r="15" spans="1:13" x14ac:dyDescent="0.4">
      <c r="A15" s="45">
        <v>2021.09</v>
      </c>
      <c r="B15" s="16">
        <f>'월별 정산서'!D29</f>
        <v>198018</v>
      </c>
      <c r="C15" s="16">
        <f>'월별 정산서'!E29</f>
        <v>1500000</v>
      </c>
      <c r="D15" s="17">
        <f t="shared" si="1"/>
        <v>898894</v>
      </c>
      <c r="E15" s="50">
        <f t="shared" si="0"/>
        <v>700876</v>
      </c>
      <c r="F15" s="13">
        <v>0</v>
      </c>
      <c r="G15" s="14" t="s">
        <v>14</v>
      </c>
      <c r="H15" s="51">
        <f>'월별 정산서'!D28</f>
        <v>812388</v>
      </c>
      <c r="I15" s="52">
        <f>'월별 정산서'!E28</f>
        <v>2500000</v>
      </c>
      <c r="J15" s="53">
        <f>'월별 정산서'!F28</f>
        <v>0</v>
      </c>
      <c r="K15" s="12">
        <v>0</v>
      </c>
      <c r="L15" s="13">
        <f>H15</f>
        <v>812388</v>
      </c>
      <c r="M15" s="14" t="s">
        <v>40</v>
      </c>
    </row>
    <row r="16" spans="1:13" x14ac:dyDescent="0.4">
      <c r="A16" s="55" t="s">
        <v>42</v>
      </c>
      <c r="B16" s="16">
        <f>'월별 정산서'!D35</f>
        <v>156276</v>
      </c>
      <c r="C16" s="16">
        <f>'월별 정산서'!E35</f>
        <v>1500000</v>
      </c>
      <c r="D16" s="17">
        <f t="shared" si="1"/>
        <v>700876</v>
      </c>
      <c r="E16" s="50">
        <f t="shared" si="0"/>
        <v>544600</v>
      </c>
      <c r="F16" s="13">
        <v>0</v>
      </c>
      <c r="G16" s="14" t="s">
        <v>14</v>
      </c>
      <c r="H16" s="51">
        <f>'월별 정산서'!D34</f>
        <v>670121</v>
      </c>
      <c r="I16" s="52">
        <f>'월별 정산서'!E34</f>
        <v>2500000</v>
      </c>
      <c r="J16" s="53">
        <v>0</v>
      </c>
      <c r="K16" s="12">
        <v>0</v>
      </c>
      <c r="L16" s="13">
        <f>H16</f>
        <v>670121</v>
      </c>
      <c r="M16" s="14" t="s">
        <v>41</v>
      </c>
    </row>
    <row r="17" spans="1:13" x14ac:dyDescent="0.4">
      <c r="A17" s="55" t="s">
        <v>48</v>
      </c>
      <c r="B17" s="16">
        <f>'월별 정산서'!D41</f>
        <v>73734</v>
      </c>
      <c r="C17" s="16">
        <f>C16</f>
        <v>1500000</v>
      </c>
      <c r="D17" s="17">
        <f t="shared" si="1"/>
        <v>544600</v>
      </c>
      <c r="E17" s="50">
        <f t="shared" ref="E17" si="2">D17-B17</f>
        <v>470866</v>
      </c>
      <c r="F17" s="13">
        <v>0</v>
      </c>
      <c r="G17" s="14" t="s">
        <v>49</v>
      </c>
      <c r="H17" s="51">
        <f>'월별 정산서'!D40</f>
        <v>540293</v>
      </c>
      <c r="I17" s="52">
        <f>I16</f>
        <v>2500000</v>
      </c>
      <c r="J17" s="53">
        <v>0</v>
      </c>
      <c r="K17" s="12">
        <v>0</v>
      </c>
      <c r="L17" s="13">
        <f>H17</f>
        <v>540293</v>
      </c>
      <c r="M17" s="14" t="s">
        <v>50</v>
      </c>
    </row>
    <row r="18" spans="1:13" x14ac:dyDescent="0.4">
      <c r="A18" s="55" t="s">
        <v>47</v>
      </c>
      <c r="B18" s="16">
        <f>'월별 정산서'!D47</f>
        <v>109350</v>
      </c>
      <c r="C18" s="16">
        <f>C17</f>
        <v>1500000</v>
      </c>
      <c r="D18" s="17">
        <f t="shared" si="1"/>
        <v>470866</v>
      </c>
      <c r="E18" s="50">
        <f t="shared" ref="E18" si="3">D18-B18</f>
        <v>361516</v>
      </c>
      <c r="F18" s="13">
        <v>0</v>
      </c>
      <c r="G18" s="14" t="s">
        <v>14</v>
      </c>
      <c r="H18" s="51">
        <f>'월별 정산서'!D46</f>
        <v>472861</v>
      </c>
      <c r="I18" s="52">
        <f>I17</f>
        <v>2500000</v>
      </c>
      <c r="J18" s="53">
        <v>0</v>
      </c>
      <c r="K18" s="12">
        <v>0</v>
      </c>
      <c r="L18" s="13">
        <f>H18</f>
        <v>472861</v>
      </c>
      <c r="M18" s="14" t="s">
        <v>53</v>
      </c>
    </row>
    <row r="19" spans="1:13" x14ac:dyDescent="0.4">
      <c r="A19" s="55" t="s">
        <v>51</v>
      </c>
      <c r="B19" s="16">
        <v>100445</v>
      </c>
      <c r="C19" s="16">
        <f>C18</f>
        <v>1500000</v>
      </c>
      <c r="D19" s="17">
        <v>361516</v>
      </c>
      <c r="E19" s="50">
        <v>261071</v>
      </c>
      <c r="F19" s="13"/>
      <c r="G19" s="14" t="s">
        <v>14</v>
      </c>
      <c r="H19" s="51">
        <v>515623</v>
      </c>
      <c r="I19" s="59">
        <v>2500000</v>
      </c>
      <c r="J19" s="53">
        <v>0</v>
      </c>
      <c r="K19" s="59">
        <v>0</v>
      </c>
      <c r="L19" s="60">
        <v>515623</v>
      </c>
      <c r="M19" s="61" t="s">
        <v>52</v>
      </c>
    </row>
    <row r="20" spans="1:13" s="64" customFormat="1" x14ac:dyDescent="0.4">
      <c r="A20" s="62" t="s">
        <v>55</v>
      </c>
      <c r="B20" s="51">
        <v>82956</v>
      </c>
      <c r="C20" s="51">
        <v>1500000</v>
      </c>
      <c r="D20" s="53">
        <v>261071</v>
      </c>
      <c r="E20" s="53">
        <v>178115</v>
      </c>
      <c r="F20" s="63">
        <v>0</v>
      </c>
      <c r="G20" s="61" t="s">
        <v>14</v>
      </c>
      <c r="H20" s="51">
        <v>750990</v>
      </c>
      <c r="I20" s="59">
        <v>2500000</v>
      </c>
      <c r="J20" s="53">
        <v>0</v>
      </c>
      <c r="K20" s="59">
        <v>0</v>
      </c>
      <c r="L20" s="60">
        <v>750990</v>
      </c>
      <c r="M20" s="61" t="s">
        <v>56</v>
      </c>
    </row>
    <row r="21" spans="1:13" x14ac:dyDescent="0.4">
      <c r="A21" s="62" t="s">
        <v>60</v>
      </c>
      <c r="B21" s="51">
        <f>'월별 정산서'!D65</f>
        <v>24105</v>
      </c>
      <c r="C21" s="51">
        <f>'월별 정산서'!E65</f>
        <v>1500000</v>
      </c>
      <c r="D21" s="53">
        <f>'월별 정산서'!F65</f>
        <v>178115</v>
      </c>
      <c r="E21" s="53">
        <f>'월별 정산서'!G65</f>
        <v>154010</v>
      </c>
      <c r="F21" s="63">
        <v>0</v>
      </c>
      <c r="G21" s="61" t="s">
        <v>14</v>
      </c>
      <c r="H21" s="51">
        <f>'월별 정산서'!D64</f>
        <v>715197</v>
      </c>
      <c r="I21" s="59">
        <f>'월별 정산서'!E64</f>
        <v>2500000</v>
      </c>
      <c r="J21" s="53">
        <v>0</v>
      </c>
      <c r="K21" s="59">
        <v>0</v>
      </c>
      <c r="L21" s="60">
        <f>'월별 정산서'!H64</f>
        <v>715197</v>
      </c>
      <c r="M21" s="61" t="s">
        <v>61</v>
      </c>
    </row>
    <row r="22" spans="1:13" x14ac:dyDescent="0.4">
      <c r="A22" s="65">
        <v>2022.04</v>
      </c>
      <c r="B22" s="47">
        <f>'월별 정산서'!D71</f>
        <v>61907</v>
      </c>
      <c r="C22" s="47">
        <f>'월별 정산서'!E71</f>
        <v>1500000</v>
      </c>
      <c r="D22" s="48">
        <f>'월별 정산서'!F71</f>
        <v>154010</v>
      </c>
      <c r="E22" s="48">
        <f>'월별 정산서'!G71</f>
        <v>92103</v>
      </c>
      <c r="F22" s="66">
        <v>0</v>
      </c>
      <c r="G22" s="46" t="s">
        <v>49</v>
      </c>
      <c r="H22" s="47">
        <f>'월별 정산서'!D70</f>
        <v>715440</v>
      </c>
      <c r="I22" s="49">
        <f>'월별 정산서'!E70</f>
        <v>2500000</v>
      </c>
      <c r="J22" s="48"/>
      <c r="K22" s="49"/>
      <c r="L22" s="54">
        <f>'월별 정산서'!H70</f>
        <v>715440</v>
      </c>
      <c r="M22" s="46" t="s">
        <v>63</v>
      </c>
    </row>
  </sheetData>
  <mergeCells count="9">
    <mergeCell ref="B9:C9"/>
    <mergeCell ref="E9:G9"/>
    <mergeCell ref="H9:I9"/>
    <mergeCell ref="K9:M9"/>
    <mergeCell ref="A3:D3"/>
    <mergeCell ref="B7:G7"/>
    <mergeCell ref="H7:M7"/>
    <mergeCell ref="B8:G8"/>
    <mergeCell ref="H8:M8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zoomScale="98" zoomScaleNormal="98" workbookViewId="0">
      <pane ySplit="1" topLeftCell="A50" activePane="bottomLeft" state="frozen"/>
      <selection pane="bottomLeft" activeCell="C64" sqref="C64"/>
    </sheetView>
  </sheetViews>
  <sheetFormatPr defaultColWidth="8.69921875" defaultRowHeight="17.399999999999999" x14ac:dyDescent="0.4"/>
  <cols>
    <col min="1" max="1" width="8.296875" style="4" customWidth="1"/>
    <col min="2" max="2" width="28.296875" style="4" customWidth="1"/>
    <col min="3" max="3" width="8.8984375" style="4" bestFit="1" customWidth="1"/>
    <col min="4" max="4" width="9.69921875" style="4" bestFit="1" customWidth="1"/>
    <col min="5" max="5" width="11.3984375" style="4" bestFit="1" customWidth="1"/>
    <col min="6" max="6" width="11.3984375" style="8" bestFit="1" customWidth="1"/>
    <col min="7" max="7" width="13.69921875" style="8" bestFit="1" customWidth="1"/>
    <col min="8" max="8" width="12.09765625" style="8" bestFit="1" customWidth="1"/>
    <col min="9" max="9" width="5.09765625" style="8" bestFit="1" customWidth="1"/>
    <col min="10" max="11" width="18.69921875" style="8" customWidth="1"/>
    <col min="12" max="12" width="17.69921875" style="5" customWidth="1"/>
    <col min="13" max="13" width="21.09765625" style="7" customWidth="1"/>
    <col min="14" max="14" width="18.69921875" style="6" customWidth="1"/>
    <col min="15" max="16384" width="8.69921875" style="4"/>
  </cols>
  <sheetData>
    <row r="1" spans="1:14" x14ac:dyDescent="0.4">
      <c r="B1" s="18" t="s">
        <v>15</v>
      </c>
      <c r="M1" s="4"/>
    </row>
    <row r="3" spans="1:14" x14ac:dyDescent="0.4">
      <c r="B3" s="19" t="s">
        <v>23</v>
      </c>
    </row>
    <row r="4" spans="1:14" s="27" customFormat="1" ht="16.2" thickBot="1" x14ac:dyDescent="0.4">
      <c r="A4" s="20" t="s">
        <v>16</v>
      </c>
      <c r="B4" s="21" t="s">
        <v>17</v>
      </c>
      <c r="C4" s="21" t="s">
        <v>18</v>
      </c>
      <c r="D4" s="21" t="s">
        <v>8</v>
      </c>
      <c r="E4" s="21" t="s">
        <v>9</v>
      </c>
      <c r="F4" s="21" t="s">
        <v>10</v>
      </c>
      <c r="G4" s="21" t="s">
        <v>11</v>
      </c>
      <c r="H4" s="21" t="s">
        <v>19</v>
      </c>
      <c r="I4" s="22" t="s">
        <v>20</v>
      </c>
      <c r="J4" s="23"/>
      <c r="K4" s="23"/>
      <c r="L4" s="24"/>
      <c r="M4" s="25"/>
      <c r="N4" s="26"/>
    </row>
    <row r="5" spans="1:14" s="27" customFormat="1" ht="16.2" thickBot="1" x14ac:dyDescent="0.4">
      <c r="A5" s="28">
        <v>10083</v>
      </c>
      <c r="B5" s="29" t="s">
        <v>29</v>
      </c>
      <c r="C5" s="30">
        <v>674.1</v>
      </c>
      <c r="D5" s="44">
        <v>912185</v>
      </c>
      <c r="E5" s="44">
        <v>2500000</v>
      </c>
      <c r="F5" s="44">
        <v>2500000</v>
      </c>
      <c r="G5" s="44">
        <v>1587815</v>
      </c>
      <c r="H5" s="30">
        <v>0</v>
      </c>
      <c r="I5" s="31" t="s">
        <v>21</v>
      </c>
      <c r="J5" s="23"/>
      <c r="K5" s="23"/>
      <c r="L5" s="24"/>
      <c r="M5" s="25"/>
      <c r="N5" s="26"/>
    </row>
    <row r="6" spans="1:14" s="27" customFormat="1" ht="16.2" thickBot="1" x14ac:dyDescent="0.4">
      <c r="A6" s="28">
        <v>10082</v>
      </c>
      <c r="B6" s="29" t="s">
        <v>30</v>
      </c>
      <c r="C6" s="30">
        <v>146.79</v>
      </c>
      <c r="D6" s="44">
        <v>198635</v>
      </c>
      <c r="E6" s="44">
        <v>1500000</v>
      </c>
      <c r="F6" s="44">
        <v>1500000</v>
      </c>
      <c r="G6" s="44">
        <v>1301365</v>
      </c>
      <c r="H6" s="30">
        <v>0</v>
      </c>
      <c r="I6" s="31" t="s">
        <v>21</v>
      </c>
      <c r="J6" s="23"/>
      <c r="K6" s="23"/>
      <c r="L6" s="24"/>
      <c r="M6" s="25"/>
      <c r="N6" s="26"/>
    </row>
    <row r="7" spans="1:14" s="27" customFormat="1" ht="16.2" thickBot="1" x14ac:dyDescent="0.4">
      <c r="A7" s="32" t="s">
        <v>22</v>
      </c>
      <c r="B7" s="33"/>
      <c r="C7" s="34">
        <v>820.89</v>
      </c>
      <c r="D7" s="35">
        <v>1110820</v>
      </c>
      <c r="E7" s="33"/>
      <c r="F7" s="33"/>
      <c r="G7" s="33"/>
      <c r="H7" s="34">
        <v>0</v>
      </c>
      <c r="I7" s="36"/>
      <c r="J7" s="23"/>
      <c r="K7" s="23"/>
      <c r="L7" s="24"/>
      <c r="M7" s="25"/>
      <c r="N7" s="26"/>
    </row>
    <row r="9" spans="1:14" x14ac:dyDescent="0.4">
      <c r="B9" s="19" t="s">
        <v>33</v>
      </c>
      <c r="E9" s="8"/>
    </row>
    <row r="10" spans="1:14" s="27" customFormat="1" ht="16.2" thickBot="1" x14ac:dyDescent="0.4">
      <c r="A10" s="20" t="s">
        <v>16</v>
      </c>
      <c r="B10" s="21" t="s">
        <v>17</v>
      </c>
      <c r="C10" s="21" t="s">
        <v>32</v>
      </c>
      <c r="D10" s="21" t="s">
        <v>8</v>
      </c>
      <c r="E10" s="21" t="s">
        <v>9</v>
      </c>
      <c r="F10" s="21" t="s">
        <v>10</v>
      </c>
      <c r="G10" s="21" t="s">
        <v>11</v>
      </c>
      <c r="H10" s="21" t="s">
        <v>19</v>
      </c>
      <c r="I10" s="22" t="s">
        <v>20</v>
      </c>
      <c r="J10" s="23"/>
      <c r="K10" s="23"/>
      <c r="L10" s="24"/>
      <c r="M10" s="25"/>
      <c r="N10" s="26"/>
    </row>
    <row r="11" spans="1:14" s="27" customFormat="1" ht="16.2" thickBot="1" x14ac:dyDescent="0.4">
      <c r="A11" s="28">
        <v>10083</v>
      </c>
      <c r="B11" s="29" t="s">
        <v>29</v>
      </c>
      <c r="C11" s="30">
        <v>536.04</v>
      </c>
      <c r="D11" s="44">
        <v>729877</v>
      </c>
      <c r="E11" s="44">
        <v>2500000</v>
      </c>
      <c r="F11" s="44">
        <v>1587815</v>
      </c>
      <c r="G11" s="44">
        <v>857938</v>
      </c>
      <c r="H11" s="30">
        <v>0</v>
      </c>
      <c r="I11" s="31" t="s">
        <v>21</v>
      </c>
      <c r="J11" s="23"/>
      <c r="K11" s="23"/>
      <c r="L11" s="24"/>
      <c r="M11" s="25"/>
      <c r="N11" s="26"/>
    </row>
    <row r="12" spans="1:14" s="27" customFormat="1" ht="16.2" thickBot="1" x14ac:dyDescent="0.4">
      <c r="A12" s="28">
        <v>10082</v>
      </c>
      <c r="B12" s="29" t="s">
        <v>30</v>
      </c>
      <c r="C12" s="30">
        <v>107.26</v>
      </c>
      <c r="D12" s="44">
        <v>146046</v>
      </c>
      <c r="E12" s="44">
        <v>1500000</v>
      </c>
      <c r="F12" s="44">
        <v>1301365</v>
      </c>
      <c r="G12" s="44">
        <v>1155319</v>
      </c>
      <c r="H12" s="30">
        <v>0</v>
      </c>
      <c r="I12" s="31" t="s">
        <v>21</v>
      </c>
      <c r="J12" s="23"/>
      <c r="K12" s="23"/>
      <c r="L12" s="24"/>
      <c r="M12" s="25"/>
      <c r="N12" s="26"/>
    </row>
    <row r="14" spans="1:14" x14ac:dyDescent="0.4">
      <c r="B14" s="19" t="s">
        <v>35</v>
      </c>
      <c r="E14" s="8"/>
    </row>
    <row r="15" spans="1:14" ht="18" thickBot="1" x14ac:dyDescent="0.45">
      <c r="A15" s="20" t="s">
        <v>16</v>
      </c>
      <c r="B15" s="21" t="s">
        <v>17</v>
      </c>
      <c r="C15" s="21" t="s">
        <v>34</v>
      </c>
      <c r="D15" s="21" t="s">
        <v>8</v>
      </c>
      <c r="E15" s="21" t="s">
        <v>9</v>
      </c>
      <c r="F15" s="21" t="s">
        <v>10</v>
      </c>
      <c r="G15" s="21" t="s">
        <v>11</v>
      </c>
      <c r="H15" s="21" t="s">
        <v>19</v>
      </c>
      <c r="I15" s="22" t="s">
        <v>20</v>
      </c>
    </row>
    <row r="16" spans="1:14" ht="18" thickBot="1" x14ac:dyDescent="0.45">
      <c r="A16" s="28">
        <v>10083</v>
      </c>
      <c r="B16" s="29" t="s">
        <v>29</v>
      </c>
      <c r="C16" s="30">
        <v>432.99</v>
      </c>
      <c r="D16" s="44">
        <v>589005</v>
      </c>
      <c r="E16" s="44">
        <v>2500000</v>
      </c>
      <c r="F16" s="44">
        <v>857938</v>
      </c>
      <c r="G16" s="44">
        <f>F16-D16</f>
        <v>268933</v>
      </c>
      <c r="H16" s="30">
        <v>0</v>
      </c>
      <c r="I16" s="31" t="s">
        <v>21</v>
      </c>
    </row>
    <row r="17" spans="1:9" ht="18" thickBot="1" x14ac:dyDescent="0.45">
      <c r="A17" s="28">
        <v>10082</v>
      </c>
      <c r="B17" s="29" t="s">
        <v>30</v>
      </c>
      <c r="C17" s="30">
        <v>94.66</v>
      </c>
      <c r="D17" s="44">
        <v>128768</v>
      </c>
      <c r="E17" s="44">
        <v>1500000</v>
      </c>
      <c r="F17" s="44">
        <v>1155319</v>
      </c>
      <c r="G17" s="44">
        <f>F17-D17</f>
        <v>1026551</v>
      </c>
      <c r="H17" s="30">
        <v>0</v>
      </c>
      <c r="I17" s="31" t="s">
        <v>21</v>
      </c>
    </row>
    <row r="18" spans="1:9" ht="18" thickBot="1" x14ac:dyDescent="0.45">
      <c r="A18" s="20" t="s">
        <v>22</v>
      </c>
      <c r="B18" s="21"/>
      <c r="C18" s="40">
        <v>527.65</v>
      </c>
      <c r="D18" s="39">
        <v>717773</v>
      </c>
      <c r="E18" s="21"/>
      <c r="F18" s="21"/>
      <c r="G18" s="21"/>
      <c r="H18" s="21"/>
      <c r="I18" s="22"/>
    </row>
    <row r="20" spans="1:9" x14ac:dyDescent="0.4">
      <c r="B20" s="19" t="s">
        <v>36</v>
      </c>
      <c r="E20" s="8"/>
    </row>
    <row r="21" spans="1:9" ht="18" thickBot="1" x14ac:dyDescent="0.45">
      <c r="A21" s="20" t="s">
        <v>16</v>
      </c>
      <c r="B21" s="21" t="s">
        <v>17</v>
      </c>
      <c r="C21" s="21" t="s">
        <v>34</v>
      </c>
      <c r="D21" s="21" t="s">
        <v>8</v>
      </c>
      <c r="E21" s="21" t="s">
        <v>9</v>
      </c>
      <c r="F21" s="21" t="s">
        <v>10</v>
      </c>
      <c r="G21" s="21" t="s">
        <v>11</v>
      </c>
      <c r="H21" s="21" t="s">
        <v>19</v>
      </c>
      <c r="I21" s="22" t="s">
        <v>20</v>
      </c>
    </row>
    <row r="22" spans="1:9" ht="18" thickBot="1" x14ac:dyDescent="0.45">
      <c r="A22" s="28">
        <v>10083</v>
      </c>
      <c r="B22" s="29" t="s">
        <v>29</v>
      </c>
      <c r="C22" s="42">
        <v>684.88</v>
      </c>
      <c r="D22" s="44">
        <v>947442</v>
      </c>
      <c r="E22" s="44">
        <v>2500000</v>
      </c>
      <c r="F22" s="44">
        <v>268933</v>
      </c>
      <c r="G22" s="44">
        <f>F22-D22</f>
        <v>-678509</v>
      </c>
      <c r="H22" s="41">
        <v>678509</v>
      </c>
      <c r="I22" s="31" t="s">
        <v>21</v>
      </c>
    </row>
    <row r="23" spans="1:9" ht="18" thickBot="1" x14ac:dyDescent="0.45">
      <c r="A23" s="28">
        <v>10082</v>
      </c>
      <c r="B23" s="29" t="s">
        <v>30</v>
      </c>
      <c r="C23" s="42">
        <v>92.28</v>
      </c>
      <c r="D23" s="44">
        <v>127657</v>
      </c>
      <c r="E23" s="44">
        <v>1500000</v>
      </c>
      <c r="F23" s="44">
        <v>1026551</v>
      </c>
      <c r="G23" s="44">
        <f>F23-D23</f>
        <v>898894</v>
      </c>
      <c r="H23" s="30">
        <v>0</v>
      </c>
      <c r="I23" s="31" t="s">
        <v>21</v>
      </c>
    </row>
    <row r="24" spans="1:9" ht="18" thickBot="1" x14ac:dyDescent="0.45">
      <c r="A24" s="20" t="s">
        <v>22</v>
      </c>
      <c r="B24" s="21"/>
      <c r="C24" s="40">
        <v>527.65</v>
      </c>
      <c r="D24" s="39">
        <v>717773</v>
      </c>
      <c r="E24" s="21"/>
      <c r="F24" s="21"/>
      <c r="G24" s="21"/>
      <c r="H24" s="21"/>
      <c r="I24" s="22"/>
    </row>
    <row r="26" spans="1:9" x14ac:dyDescent="0.4">
      <c r="B26" s="19" t="s">
        <v>38</v>
      </c>
      <c r="E26" s="8"/>
    </row>
    <row r="27" spans="1:9" ht="18" thickBot="1" x14ac:dyDescent="0.45">
      <c r="A27" s="20" t="s">
        <v>16</v>
      </c>
      <c r="B27" s="21" t="s">
        <v>17</v>
      </c>
      <c r="C27" s="21" t="s">
        <v>32</v>
      </c>
      <c r="D27" s="21" t="s">
        <v>8</v>
      </c>
      <c r="E27" s="21" t="s">
        <v>9</v>
      </c>
      <c r="F27" s="21" t="s">
        <v>10</v>
      </c>
      <c r="G27" s="21" t="s">
        <v>11</v>
      </c>
      <c r="H27" s="21" t="s">
        <v>19</v>
      </c>
      <c r="I27" s="22" t="s">
        <v>20</v>
      </c>
    </row>
    <row r="28" spans="1:9" ht="18" thickBot="1" x14ac:dyDescent="0.45">
      <c r="A28" s="28">
        <v>10083</v>
      </c>
      <c r="B28" s="29" t="s">
        <v>29</v>
      </c>
      <c r="C28" s="42">
        <v>589.46</v>
      </c>
      <c r="D28" s="44">
        <v>812388</v>
      </c>
      <c r="E28" s="44">
        <v>2500000</v>
      </c>
      <c r="F28" s="44">
        <v>0</v>
      </c>
      <c r="G28" s="44">
        <v>0</v>
      </c>
      <c r="H28" s="41">
        <v>812388</v>
      </c>
      <c r="I28" s="31" t="s">
        <v>21</v>
      </c>
    </row>
    <row r="29" spans="1:9" ht="18" thickBot="1" x14ac:dyDescent="0.45">
      <c r="A29" s="28">
        <v>10082</v>
      </c>
      <c r="B29" s="29" t="s">
        <v>30</v>
      </c>
      <c r="C29" s="42">
        <v>143.68</v>
      </c>
      <c r="D29" s="44">
        <v>198018</v>
      </c>
      <c r="E29" s="44">
        <v>1500000</v>
      </c>
      <c r="F29" s="44">
        <v>898894</v>
      </c>
      <c r="G29" s="44">
        <v>700876</v>
      </c>
      <c r="H29" s="30">
        <v>0</v>
      </c>
      <c r="I29" s="31" t="s">
        <v>21</v>
      </c>
    </row>
    <row r="30" spans="1:9" ht="18" thickBot="1" x14ac:dyDescent="0.45">
      <c r="A30" s="20" t="s">
        <v>22</v>
      </c>
      <c r="B30" s="21"/>
      <c r="C30" s="40">
        <v>527.65</v>
      </c>
      <c r="D30" s="39">
        <v>717773</v>
      </c>
      <c r="E30" s="21"/>
      <c r="F30" s="21"/>
      <c r="G30" s="21"/>
      <c r="H30" s="21"/>
      <c r="I30" s="22"/>
    </row>
    <row r="32" spans="1:9" x14ac:dyDescent="0.4">
      <c r="B32" s="19" t="s">
        <v>39</v>
      </c>
      <c r="E32" s="8"/>
    </row>
    <row r="33" spans="1:9" ht="18" thickBot="1" x14ac:dyDescent="0.45">
      <c r="A33" s="20" t="s">
        <v>16</v>
      </c>
      <c r="B33" s="21" t="s">
        <v>17</v>
      </c>
      <c r="C33" s="21" t="s">
        <v>32</v>
      </c>
      <c r="D33" s="21" t="s">
        <v>8</v>
      </c>
      <c r="E33" s="21" t="s">
        <v>9</v>
      </c>
      <c r="F33" s="21" t="s">
        <v>10</v>
      </c>
      <c r="G33" s="21" t="s">
        <v>11</v>
      </c>
      <c r="H33" s="21" t="s">
        <v>19</v>
      </c>
      <c r="I33" s="22" t="s">
        <v>20</v>
      </c>
    </row>
    <row r="34" spans="1:9" ht="18" thickBot="1" x14ac:dyDescent="0.45">
      <c r="A34" s="28">
        <v>10083</v>
      </c>
      <c r="B34" s="29" t="s">
        <v>29</v>
      </c>
      <c r="C34" s="42">
        <v>496.43</v>
      </c>
      <c r="D34" s="44">
        <v>670121</v>
      </c>
      <c r="E34" s="44">
        <v>2500000</v>
      </c>
      <c r="F34" s="44">
        <v>0</v>
      </c>
      <c r="G34" s="44">
        <v>0</v>
      </c>
      <c r="H34" s="41">
        <v>670121</v>
      </c>
      <c r="I34" s="31" t="s">
        <v>21</v>
      </c>
    </row>
    <row r="35" spans="1:9" ht="18" thickBot="1" x14ac:dyDescent="0.45">
      <c r="A35" s="28">
        <v>10082</v>
      </c>
      <c r="B35" s="29" t="s">
        <v>30</v>
      </c>
      <c r="C35" s="42">
        <v>115.77</v>
      </c>
      <c r="D35" s="44">
        <v>156276</v>
      </c>
      <c r="E35" s="44">
        <v>1500000</v>
      </c>
      <c r="F35" s="44">
        <v>700876</v>
      </c>
      <c r="G35" s="44">
        <v>544600</v>
      </c>
      <c r="H35" s="30">
        <v>0</v>
      </c>
      <c r="I35" s="31" t="s">
        <v>21</v>
      </c>
    </row>
    <row r="36" spans="1:9" ht="18" thickBot="1" x14ac:dyDescent="0.45">
      <c r="A36" s="20" t="s">
        <v>22</v>
      </c>
      <c r="B36" s="21"/>
      <c r="C36" s="40">
        <v>612.20000000000005</v>
      </c>
      <c r="D36" s="39">
        <v>826397</v>
      </c>
      <c r="E36" s="21"/>
      <c r="F36" s="21"/>
      <c r="G36" s="21"/>
      <c r="H36" s="39">
        <v>670121</v>
      </c>
      <c r="I36" s="22"/>
    </row>
    <row r="38" spans="1:9" x14ac:dyDescent="0.4">
      <c r="B38" s="19" t="s">
        <v>44</v>
      </c>
    </row>
    <row r="39" spans="1:9" ht="18" thickBot="1" x14ac:dyDescent="0.45">
      <c r="A39" s="20" t="s">
        <v>16</v>
      </c>
      <c r="B39" s="21" t="s">
        <v>17</v>
      </c>
      <c r="C39" s="21" t="s">
        <v>45</v>
      </c>
      <c r="D39" s="21" t="s">
        <v>8</v>
      </c>
      <c r="E39" s="21" t="s">
        <v>9</v>
      </c>
      <c r="F39" s="21" t="s">
        <v>10</v>
      </c>
      <c r="G39" s="21" t="s">
        <v>11</v>
      </c>
      <c r="H39" s="21" t="s">
        <v>19</v>
      </c>
      <c r="I39" s="22" t="s">
        <v>20</v>
      </c>
    </row>
    <row r="40" spans="1:9" x14ac:dyDescent="0.4">
      <c r="A40" s="56">
        <v>10083</v>
      </c>
      <c r="B40" s="56" t="s">
        <v>29</v>
      </c>
      <c r="C40" s="56">
        <v>405.51</v>
      </c>
      <c r="D40" s="57">
        <v>540293</v>
      </c>
      <c r="E40" s="57">
        <v>2500000</v>
      </c>
      <c r="F40" s="56">
        <v>0</v>
      </c>
      <c r="G40" s="56">
        <v>0</v>
      </c>
      <c r="H40" s="57">
        <v>540293</v>
      </c>
      <c r="I40" s="56" t="s">
        <v>21</v>
      </c>
    </row>
    <row r="41" spans="1:9" x14ac:dyDescent="0.4">
      <c r="A41" s="56">
        <v>10082</v>
      </c>
      <c r="B41" s="56" t="s">
        <v>30</v>
      </c>
      <c r="C41" s="56">
        <v>55.34</v>
      </c>
      <c r="D41" s="57">
        <v>73734</v>
      </c>
      <c r="E41" s="57">
        <v>1500000</v>
      </c>
      <c r="F41" s="57">
        <v>544600</v>
      </c>
      <c r="G41" s="57">
        <v>470866</v>
      </c>
      <c r="H41" s="56">
        <v>0</v>
      </c>
      <c r="I41" s="56" t="s">
        <v>21</v>
      </c>
    </row>
    <row r="42" spans="1:9" ht="18" thickBot="1" x14ac:dyDescent="0.45">
      <c r="A42" s="20" t="s">
        <v>22</v>
      </c>
      <c r="B42" s="21"/>
      <c r="C42" s="40">
        <v>460.85</v>
      </c>
      <c r="D42" s="39">
        <v>614027</v>
      </c>
      <c r="E42" s="21"/>
      <c r="F42" s="21"/>
      <c r="G42" s="21"/>
      <c r="H42" s="39">
        <v>540293</v>
      </c>
      <c r="I42" s="22"/>
    </row>
    <row r="44" spans="1:9" x14ac:dyDescent="0.4">
      <c r="B44" s="19" t="s">
        <v>46</v>
      </c>
    </row>
    <row r="45" spans="1:9" ht="18" thickBot="1" x14ac:dyDescent="0.45">
      <c r="A45" s="20" t="s">
        <v>16</v>
      </c>
      <c r="B45" s="21" t="s">
        <v>17</v>
      </c>
      <c r="C45" s="21" t="s">
        <v>32</v>
      </c>
      <c r="D45" s="21" t="s">
        <v>8</v>
      </c>
      <c r="E45" s="21" t="s">
        <v>9</v>
      </c>
      <c r="F45" s="21" t="s">
        <v>10</v>
      </c>
      <c r="G45" s="21" t="s">
        <v>11</v>
      </c>
      <c r="H45" s="21" t="s">
        <v>19</v>
      </c>
      <c r="I45" s="22" t="s">
        <v>20</v>
      </c>
    </row>
    <row r="46" spans="1:9" x14ac:dyDescent="0.4">
      <c r="A46" s="56">
        <v>10083</v>
      </c>
      <c r="B46" s="56" t="s">
        <v>29</v>
      </c>
      <c r="C46" s="56">
        <v>347.37</v>
      </c>
      <c r="D46" s="57">
        <v>472861</v>
      </c>
      <c r="E46" s="57">
        <v>2500000</v>
      </c>
      <c r="F46" s="56">
        <v>0</v>
      </c>
      <c r="G46" s="56">
        <v>0</v>
      </c>
      <c r="H46" s="57">
        <v>472861</v>
      </c>
      <c r="I46" s="56" t="s">
        <v>21</v>
      </c>
    </row>
    <row r="47" spans="1:9" x14ac:dyDescent="0.4">
      <c r="A47" s="56">
        <v>10082</v>
      </c>
      <c r="B47" s="56" t="s">
        <v>30</v>
      </c>
      <c r="C47" s="56">
        <v>80.33</v>
      </c>
      <c r="D47" s="57">
        <v>109350</v>
      </c>
      <c r="E47" s="57">
        <v>1500000</v>
      </c>
      <c r="F47" s="57">
        <v>470866</v>
      </c>
      <c r="G47" s="57">
        <v>361516</v>
      </c>
      <c r="H47" s="56">
        <v>0</v>
      </c>
      <c r="I47" s="56" t="s">
        <v>21</v>
      </c>
    </row>
    <row r="48" spans="1:9" ht="18" thickBot="1" x14ac:dyDescent="0.45">
      <c r="A48" s="20" t="s">
        <v>22</v>
      </c>
      <c r="B48" s="21"/>
      <c r="C48" s="40">
        <v>427.7</v>
      </c>
      <c r="D48" s="39">
        <v>582211</v>
      </c>
      <c r="E48" s="21"/>
      <c r="F48" s="21"/>
      <c r="G48" s="21"/>
      <c r="H48" s="39">
        <v>472861</v>
      </c>
      <c r="I48" s="22"/>
    </row>
    <row r="50" spans="1:9" x14ac:dyDescent="0.4">
      <c r="B50" s="19" t="s">
        <v>54</v>
      </c>
    </row>
    <row r="51" spans="1:9" ht="18" thickBot="1" x14ac:dyDescent="0.45">
      <c r="A51" s="20" t="s">
        <v>16</v>
      </c>
      <c r="B51" s="21" t="s">
        <v>17</v>
      </c>
      <c r="C51" s="21" t="s">
        <v>32</v>
      </c>
      <c r="D51" s="21" t="s">
        <v>8</v>
      </c>
      <c r="E51" s="21" t="s">
        <v>9</v>
      </c>
      <c r="F51" s="21" t="s">
        <v>10</v>
      </c>
      <c r="G51" s="21" t="s">
        <v>11</v>
      </c>
      <c r="H51" s="21" t="s">
        <v>19</v>
      </c>
      <c r="I51" s="22" t="s">
        <v>20</v>
      </c>
    </row>
    <row r="52" spans="1:9" x14ac:dyDescent="0.4">
      <c r="A52" s="56">
        <v>10083</v>
      </c>
      <c r="B52" s="56" t="s">
        <v>29</v>
      </c>
      <c r="C52" s="56">
        <v>380.64</v>
      </c>
      <c r="D52" s="57">
        <v>515623</v>
      </c>
      <c r="E52" s="57">
        <v>2500000</v>
      </c>
      <c r="F52" s="56">
        <v>0</v>
      </c>
      <c r="G52" s="56">
        <v>0</v>
      </c>
      <c r="H52" s="57">
        <v>515623</v>
      </c>
      <c r="I52" s="56" t="s">
        <v>21</v>
      </c>
    </row>
    <row r="53" spans="1:9" x14ac:dyDescent="0.4">
      <c r="A53" s="56">
        <v>10082</v>
      </c>
      <c r="B53" s="56" t="s">
        <v>30</v>
      </c>
      <c r="C53" s="56">
        <v>74.150000000000006</v>
      </c>
      <c r="D53" s="57">
        <v>100445</v>
      </c>
      <c r="E53" s="57">
        <v>1500000</v>
      </c>
      <c r="F53" s="57">
        <v>361516</v>
      </c>
      <c r="G53" s="57">
        <v>261071</v>
      </c>
      <c r="H53" s="56">
        <v>0</v>
      </c>
      <c r="I53" s="56" t="s">
        <v>21</v>
      </c>
    </row>
    <row r="54" spans="1:9" ht="18" thickBot="1" x14ac:dyDescent="0.45">
      <c r="A54" s="20" t="s">
        <v>22</v>
      </c>
      <c r="B54" s="21"/>
      <c r="C54" s="40">
        <v>454.79</v>
      </c>
      <c r="D54" s="39">
        <v>616068</v>
      </c>
      <c r="E54" s="21"/>
      <c r="F54" s="21"/>
      <c r="G54" s="21"/>
      <c r="H54" s="39">
        <v>515623</v>
      </c>
      <c r="I54" s="22"/>
    </row>
    <row r="56" spans="1:9" x14ac:dyDescent="0.4">
      <c r="B56" s="19" t="s">
        <v>57</v>
      </c>
    </row>
    <row r="57" spans="1:9" ht="18" thickBot="1" x14ac:dyDescent="0.45">
      <c r="A57" s="20" t="s">
        <v>16</v>
      </c>
      <c r="B57" s="21" t="s">
        <v>17</v>
      </c>
      <c r="C57" s="21" t="s">
        <v>32</v>
      </c>
      <c r="D57" s="21" t="s">
        <v>8</v>
      </c>
      <c r="E57" s="21" t="s">
        <v>9</v>
      </c>
      <c r="F57" s="21" t="s">
        <v>10</v>
      </c>
      <c r="G57" s="21" t="s">
        <v>11</v>
      </c>
      <c r="H57" s="21" t="s">
        <v>19</v>
      </c>
      <c r="I57" s="22" t="s">
        <v>20</v>
      </c>
    </row>
    <row r="58" spans="1:9" x14ac:dyDescent="0.4">
      <c r="A58" s="56">
        <v>10083</v>
      </c>
      <c r="B58" s="56" t="s">
        <v>29</v>
      </c>
      <c r="C58" s="56">
        <v>554.58000000000004</v>
      </c>
      <c r="D58" s="57">
        <v>750990</v>
      </c>
      <c r="E58" s="57">
        <v>2500000</v>
      </c>
      <c r="F58" s="56">
        <v>0</v>
      </c>
      <c r="G58" s="56">
        <v>0</v>
      </c>
      <c r="H58" s="57">
        <v>750990</v>
      </c>
      <c r="I58" s="56" t="s">
        <v>21</v>
      </c>
    </row>
    <row r="59" spans="1:9" x14ac:dyDescent="0.4">
      <c r="A59" s="56">
        <v>10082</v>
      </c>
      <c r="B59" s="56" t="s">
        <v>30</v>
      </c>
      <c r="C59" s="56">
        <v>61.26</v>
      </c>
      <c r="D59" s="57">
        <v>82956</v>
      </c>
      <c r="E59" s="57">
        <v>1500000</v>
      </c>
      <c r="F59" s="57">
        <v>261071</v>
      </c>
      <c r="G59" s="57">
        <v>178115</v>
      </c>
      <c r="H59" s="56">
        <v>0</v>
      </c>
      <c r="I59" s="56" t="s">
        <v>21</v>
      </c>
    </row>
    <row r="60" spans="1:9" ht="18" thickBot="1" x14ac:dyDescent="0.45">
      <c r="A60" s="20" t="s">
        <v>22</v>
      </c>
      <c r="B60" s="21"/>
      <c r="C60" s="40">
        <f>SUM(C58:C59)</f>
        <v>615.84</v>
      </c>
      <c r="D60" s="39">
        <f>SUM(D58:D59)</f>
        <v>833946</v>
      </c>
      <c r="E60" s="21"/>
      <c r="F60" s="21"/>
      <c r="G60" s="21"/>
      <c r="H60" s="58">
        <f>SUM(H58:H59)</f>
        <v>750990</v>
      </c>
      <c r="I60" s="58">
        <f>SUM(I58:I59)</f>
        <v>0</v>
      </c>
    </row>
    <row r="62" spans="1:9" x14ac:dyDescent="0.4">
      <c r="B62" s="19" t="s">
        <v>59</v>
      </c>
    </row>
    <row r="63" spans="1:9" ht="18" thickBot="1" x14ac:dyDescent="0.45">
      <c r="A63" s="20" t="s">
        <v>16</v>
      </c>
      <c r="B63" s="21" t="s">
        <v>17</v>
      </c>
      <c r="C63" s="21" t="s">
        <v>58</v>
      </c>
      <c r="D63" s="21" t="s">
        <v>8</v>
      </c>
      <c r="E63" s="21" t="s">
        <v>9</v>
      </c>
      <c r="F63" s="21" t="s">
        <v>10</v>
      </c>
      <c r="G63" s="21" t="s">
        <v>11</v>
      </c>
      <c r="H63" s="21" t="s">
        <v>19</v>
      </c>
      <c r="I63" s="22" t="s">
        <v>20</v>
      </c>
    </row>
    <row r="64" spans="1:9" x14ac:dyDescent="0.4">
      <c r="A64" s="56">
        <v>10083</v>
      </c>
      <c r="B64" s="56" t="s">
        <v>29</v>
      </c>
      <c r="C64" s="56">
        <v>539.69000000000005</v>
      </c>
      <c r="D64" s="57">
        <v>715197</v>
      </c>
      <c r="E64" s="57">
        <v>2500000</v>
      </c>
      <c r="F64" s="56">
        <v>0</v>
      </c>
      <c r="G64" s="56">
        <v>0</v>
      </c>
      <c r="H64" s="57">
        <v>715197</v>
      </c>
      <c r="I64" s="56" t="s">
        <v>21</v>
      </c>
    </row>
    <row r="65" spans="1:9" x14ac:dyDescent="0.4">
      <c r="A65" s="56">
        <v>10082</v>
      </c>
      <c r="B65" s="56" t="s">
        <v>30</v>
      </c>
      <c r="C65" s="56">
        <v>18.190000000000001</v>
      </c>
      <c r="D65" s="57">
        <v>24105</v>
      </c>
      <c r="E65" s="57">
        <v>1500000</v>
      </c>
      <c r="F65" s="57">
        <v>178115</v>
      </c>
      <c r="G65" s="57">
        <v>154010</v>
      </c>
      <c r="H65" s="56">
        <v>0</v>
      </c>
      <c r="I65" s="56" t="s">
        <v>21</v>
      </c>
    </row>
    <row r="66" spans="1:9" ht="18" thickBot="1" x14ac:dyDescent="0.45">
      <c r="A66" s="20" t="s">
        <v>22</v>
      </c>
      <c r="B66" s="21"/>
      <c r="C66" s="40">
        <v>557.88</v>
      </c>
      <c r="D66" s="39">
        <v>739302</v>
      </c>
      <c r="E66" s="21"/>
      <c r="F66" s="21"/>
      <c r="G66" s="21"/>
      <c r="H66" s="58">
        <v>715197</v>
      </c>
      <c r="I66" s="58"/>
    </row>
    <row r="68" spans="1:9" x14ac:dyDescent="0.4">
      <c r="B68" s="19" t="s">
        <v>62</v>
      </c>
    </row>
    <row r="69" spans="1:9" ht="18" thickBot="1" x14ac:dyDescent="0.45">
      <c r="A69" s="20" t="s">
        <v>16</v>
      </c>
      <c r="B69" s="21" t="s">
        <v>17</v>
      </c>
      <c r="C69" s="21" t="s">
        <v>32</v>
      </c>
      <c r="D69" s="21" t="s">
        <v>8</v>
      </c>
      <c r="E69" s="21" t="s">
        <v>9</v>
      </c>
      <c r="F69" s="21" t="s">
        <v>10</v>
      </c>
      <c r="G69" s="21" t="s">
        <v>11</v>
      </c>
      <c r="H69" s="21" t="s">
        <v>19</v>
      </c>
      <c r="I69" s="22" t="s">
        <v>20</v>
      </c>
    </row>
    <row r="70" spans="1:9" x14ac:dyDescent="0.4">
      <c r="A70" s="56">
        <v>10083</v>
      </c>
      <c r="B70" s="56" t="s">
        <v>29</v>
      </c>
      <c r="C70" s="56">
        <v>535.77</v>
      </c>
      <c r="D70" s="57">
        <v>715440</v>
      </c>
      <c r="E70" s="57">
        <v>2500000</v>
      </c>
      <c r="F70" s="56">
        <v>0</v>
      </c>
      <c r="G70" s="56">
        <v>0</v>
      </c>
      <c r="H70" s="57">
        <v>715440</v>
      </c>
      <c r="I70" s="56" t="s">
        <v>21</v>
      </c>
    </row>
    <row r="71" spans="1:9" x14ac:dyDescent="0.4">
      <c r="A71" s="56">
        <v>10082</v>
      </c>
      <c r="B71" s="56" t="s">
        <v>30</v>
      </c>
      <c r="C71" s="56">
        <v>46.36</v>
      </c>
      <c r="D71" s="57">
        <v>61907</v>
      </c>
      <c r="E71" s="57">
        <v>1500000</v>
      </c>
      <c r="F71" s="57">
        <v>154010</v>
      </c>
      <c r="G71" s="57">
        <v>92103</v>
      </c>
      <c r="H71" s="56">
        <v>0</v>
      </c>
      <c r="I71" s="56" t="s">
        <v>21</v>
      </c>
    </row>
    <row r="72" spans="1:9" ht="18" thickBot="1" x14ac:dyDescent="0.45">
      <c r="A72" s="20" t="s">
        <v>22</v>
      </c>
      <c r="B72" s="21"/>
      <c r="C72" s="40">
        <v>582.13</v>
      </c>
      <c r="D72" s="39">
        <v>777347</v>
      </c>
      <c r="E72" s="21"/>
      <c r="F72" s="21"/>
      <c r="G72" s="21"/>
      <c r="H72" s="58">
        <v>715440</v>
      </c>
      <c r="I72" s="58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</vt:lpstr>
      <vt:lpstr>월별 정산서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soojeoung choi</dc:creator>
  <cp:lastModifiedBy>storywiz</cp:lastModifiedBy>
  <dcterms:created xsi:type="dcterms:W3CDTF">2020-12-02T06:07:48Z</dcterms:created>
  <dcterms:modified xsi:type="dcterms:W3CDTF">2022-05-18T02:04:21Z</dcterms:modified>
</cp:coreProperties>
</file>