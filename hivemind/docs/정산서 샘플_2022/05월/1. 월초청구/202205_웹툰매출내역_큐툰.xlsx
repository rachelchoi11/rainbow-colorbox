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5월 마감\1. 월초청구\"/>
    </mc:Choice>
  </mc:AlternateContent>
  <bookViews>
    <workbookView xWindow="0" yWindow="0" windowWidth="23040" windowHeight="8952"/>
  </bookViews>
  <sheets>
    <sheet name="합계(5)" sheetId="1" r:id="rId1"/>
  </sheets>
  <calcPr calcId="152511"/>
</workbook>
</file>

<file path=xl/calcChain.xml><?xml version="1.0" encoding="utf-8"?>
<calcChain xmlns="http://schemas.openxmlformats.org/spreadsheetml/2006/main">
  <c r="O10" i="1" l="1"/>
</calcChain>
</file>

<file path=xl/sharedStrings.xml><?xml version="1.0" encoding="utf-8"?>
<sst xmlns="http://schemas.openxmlformats.org/spreadsheetml/2006/main" count="47" uniqueCount="35">
  <si>
    <t>작품정보</t>
  </si>
  <si>
    <t>결제정보</t>
  </si>
  <si>
    <t>정산정보</t>
  </si>
  <si>
    <t>NO</t>
  </si>
  <si>
    <t>구분</t>
  </si>
  <si>
    <t>작가</t>
  </si>
  <si>
    <t>장르</t>
  </si>
  <si>
    <t>타이틀</t>
  </si>
  <si>
    <t>사용코인</t>
  </si>
  <si>
    <t>취소코인</t>
  </si>
  <si>
    <t>합계</t>
  </si>
  <si>
    <t>공제수수료</t>
  </si>
  <si>
    <t>정산총액</t>
  </si>
  <si>
    <t>코인</t>
  </si>
  <si>
    <t>금액</t>
  </si>
  <si>
    <t>결제</t>
  </si>
  <si>
    <t>이벤트</t>
  </si>
  <si>
    <t>계산금액</t>
  </si>
  <si>
    <t>정산금액</t>
  </si>
  <si>
    <t>웹툰</t>
  </si>
  <si>
    <t>Nisansui/Ziquan</t>
  </si>
  <si>
    <t>BL</t>
  </si>
  <si>
    <t>너랑 나랑 하면</t>
  </si>
  <si>
    <t>로맨스</t>
  </si>
  <si>
    <t>원기공장</t>
  </si>
  <si>
    <t>계약연애, 오늘부터 1일</t>
  </si>
  <si>
    <t>건일</t>
  </si>
  <si>
    <t>별빛 아래 우리</t>
  </si>
  <si>
    <t>칸테츠/미나세 치호</t>
  </si>
  <si>
    <t>드라마</t>
  </si>
  <si>
    <t>감옥실험</t>
  </si>
  <si>
    <t>Zhupi&amp;Yangxuetu</t>
  </si>
  <si>
    <t>연애 2분의 1</t>
  </si>
  <si>
    <t>Bless&amp;Cangshukou</t>
  </si>
  <si>
    <t>로맨틱 시그널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</si>
</sst>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1" formatCode="_-* #,##0_-;\-* #,##0_-;_-* &quot;-&quot;_-;_-@_-"/>
  </numFmts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/>
      <top style="medium">
        <color rgb="FFE6E6E6"/>
      </top>
      <bottom style="medium">
        <color rgb="FFE6E6E6"/>
      </bottom>
      <diagonal/>
    </border>
    <border>
      <left/>
      <right/>
      <top style="medium">
        <color rgb="FFE6E6E6"/>
      </top>
      <bottom style="medium">
        <color rgb="FFE6E6E6"/>
      </bottom>
      <diagonal/>
    </border>
    <border>
      <left/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9" fillId="33" borderId="10" xfId="0" applyFont="1" applyFill="1" applyBorder="1" applyAlignment="1">
      <alignment horizontal="center" vertical="center" wrapText="1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0" borderId="10" xfId="0" applyFont="1" applyBorder="1" applyAlignment="1">
      <alignment horizontal="right" vertical="center" wrapText="1"/>
    </xf>
    <xf numFmtId="3" fontId="20" fillId="0" borderId="10" xfId="0" applyNumberFormat="1" applyFont="1" applyBorder="1" applyAlignment="1">
      <alignment horizontal="right" vertical="center" wrapText="1"/>
    </xf>
    <xf numFmtId="41" fontId="0" fillId="34" borderId="0" xfId="42" applyFont="1" applyFill="1">
      <alignment vertical="center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0"/>
  <sheetViews>
    <sheetView showGridLines="0" tabSelected="1" workbookViewId="0">
      <selection sqref="A1:E1"/>
    </sheetView>
  </sheetViews>
  <sheetFormatPr defaultRowHeight="17.399999999999999" x14ac:dyDescent="0.4"/>
  <cols>
    <col min="1" max="1" width="4.09765625" customWidth="1"/>
    <col min="2" max="2" width="4.796875" customWidth="1"/>
    <col min="3" max="3" width="24.19921875" bestFit="1" customWidth="1"/>
    <col min="4" max="4" width="6.5" customWidth="1"/>
    <col min="5" max="5" width="24.796875" bestFit="1" customWidth="1"/>
    <col min="6" max="6" width="5.3984375" customWidth="1"/>
    <col min="7" max="7" width="7.19921875" customWidth="1"/>
    <col min="8" max="9" width="4.796875" customWidth="1"/>
    <col min="10" max="10" width="5.3984375" customWidth="1"/>
    <col min="11" max="11" width="7.19921875" customWidth="1"/>
    <col min="12" max="12" width="4.796875" customWidth="1"/>
    <col min="13" max="13" width="6.5" customWidth="1"/>
    <col min="14" max="14" width="8.19921875" customWidth="1"/>
    <col min="15" max="15" width="10.8984375" customWidth="1"/>
  </cols>
  <sheetData>
    <row r="1" spans="1:15" ht="18" thickBot="1" x14ac:dyDescent="0.45">
      <c r="A1" s="9" t="s">
        <v>0</v>
      </c>
      <c r="B1" s="11"/>
      <c r="C1" s="11"/>
      <c r="D1" s="11"/>
      <c r="E1" s="10"/>
      <c r="F1" s="9" t="s">
        <v>1</v>
      </c>
      <c r="G1" s="11"/>
      <c r="H1" s="11"/>
      <c r="I1" s="11"/>
      <c r="J1" s="11"/>
      <c r="K1" s="10"/>
      <c r="L1" s="9" t="s">
        <v>2</v>
      </c>
      <c r="M1" s="11"/>
      <c r="N1" s="11"/>
      <c r="O1" s="10"/>
    </row>
    <row r="2" spans="1:15" ht="18" thickBot="1" x14ac:dyDescent="0.45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9" t="s">
        <v>8</v>
      </c>
      <c r="G2" s="10"/>
      <c r="H2" s="9" t="s">
        <v>9</v>
      </c>
      <c r="I2" s="10"/>
      <c r="J2" s="9" t="s">
        <v>10</v>
      </c>
      <c r="K2" s="10"/>
      <c r="L2" s="9" t="s">
        <v>11</v>
      </c>
      <c r="M2" s="10"/>
      <c r="N2" s="9" t="s">
        <v>12</v>
      </c>
      <c r="O2" s="10"/>
    </row>
    <row r="3" spans="1:15" ht="18" thickBot="1" x14ac:dyDescent="0.45">
      <c r="A3" s="13"/>
      <c r="B3" s="13"/>
      <c r="C3" s="13"/>
      <c r="D3" s="13"/>
      <c r="E3" s="13"/>
      <c r="F3" s="1" t="s">
        <v>13</v>
      </c>
      <c r="G3" s="1" t="s">
        <v>14</v>
      </c>
      <c r="H3" s="1" t="s">
        <v>13</v>
      </c>
      <c r="I3" s="1" t="s">
        <v>14</v>
      </c>
      <c r="J3" s="1" t="s">
        <v>13</v>
      </c>
      <c r="K3" s="1" t="s">
        <v>14</v>
      </c>
      <c r="L3" s="1" t="s">
        <v>15</v>
      </c>
      <c r="M3" s="1" t="s">
        <v>16</v>
      </c>
      <c r="N3" s="1" t="s">
        <v>17</v>
      </c>
      <c r="O3" s="1" t="s">
        <v>18</v>
      </c>
    </row>
    <row r="4" spans="1:15" ht="18" thickBot="1" x14ac:dyDescent="0.45">
      <c r="A4" s="3">
        <v>1</v>
      </c>
      <c r="B4" s="4" t="s">
        <v>19</v>
      </c>
      <c r="C4" s="4" t="s">
        <v>28</v>
      </c>
      <c r="D4" s="4" t="s">
        <v>29</v>
      </c>
      <c r="E4" s="2" t="s">
        <v>30</v>
      </c>
      <c r="F4" s="3">
        <v>96</v>
      </c>
      <c r="G4" s="5">
        <v>9600</v>
      </c>
      <c r="H4" s="3">
        <v>0</v>
      </c>
      <c r="I4" s="3">
        <v>0</v>
      </c>
      <c r="J4" s="6">
        <v>96</v>
      </c>
      <c r="K4" s="7">
        <v>9600</v>
      </c>
      <c r="L4" s="3">
        <v>0</v>
      </c>
      <c r="M4" s="3">
        <v>0</v>
      </c>
      <c r="N4" s="5">
        <v>9600</v>
      </c>
      <c r="O4" s="7">
        <v>6720</v>
      </c>
    </row>
    <row r="5" spans="1:15" ht="18" thickBot="1" x14ac:dyDescent="0.45">
      <c r="A5" s="3">
        <v>2</v>
      </c>
      <c r="B5" s="4" t="s">
        <v>19</v>
      </c>
      <c r="C5" s="4" t="s">
        <v>20</v>
      </c>
      <c r="D5" s="4" t="s">
        <v>21</v>
      </c>
      <c r="E5" s="2" t="s">
        <v>22</v>
      </c>
      <c r="F5" s="3">
        <v>218</v>
      </c>
      <c r="G5" s="5">
        <v>21800</v>
      </c>
      <c r="H5" s="3">
        <v>0</v>
      </c>
      <c r="I5" s="3">
        <v>0</v>
      </c>
      <c r="J5" s="6">
        <v>218</v>
      </c>
      <c r="K5" s="7">
        <v>21800</v>
      </c>
      <c r="L5" s="3">
        <v>0</v>
      </c>
      <c r="M5" s="3">
        <v>0</v>
      </c>
      <c r="N5" s="5">
        <v>21800</v>
      </c>
      <c r="O5" s="7">
        <v>15260</v>
      </c>
    </row>
    <row r="6" spans="1:15" ht="18" thickBot="1" x14ac:dyDescent="0.45">
      <c r="A6" s="3">
        <v>3</v>
      </c>
      <c r="B6" s="4" t="s">
        <v>19</v>
      </c>
      <c r="C6" s="4" t="s">
        <v>24</v>
      </c>
      <c r="D6" s="4" t="s">
        <v>23</v>
      </c>
      <c r="E6" s="2" t="s">
        <v>25</v>
      </c>
      <c r="F6" s="3">
        <v>188</v>
      </c>
      <c r="G6" s="5">
        <v>18800</v>
      </c>
      <c r="H6" s="3">
        <v>0</v>
      </c>
      <c r="I6" s="3">
        <v>0</v>
      </c>
      <c r="J6" s="6">
        <v>188</v>
      </c>
      <c r="K6" s="7">
        <v>18800</v>
      </c>
      <c r="L6" s="3">
        <v>0</v>
      </c>
      <c r="M6" s="3">
        <v>0</v>
      </c>
      <c r="N6" s="5">
        <v>18800</v>
      </c>
      <c r="O6" s="7">
        <v>13160</v>
      </c>
    </row>
    <row r="7" spans="1:15" ht="18" thickBot="1" x14ac:dyDescent="0.45">
      <c r="A7" s="3">
        <v>4</v>
      </c>
      <c r="B7" s="4" t="s">
        <v>19</v>
      </c>
      <c r="C7" s="4" t="s">
        <v>26</v>
      </c>
      <c r="D7" s="4" t="s">
        <v>23</v>
      </c>
      <c r="E7" s="2" t="s">
        <v>27</v>
      </c>
      <c r="F7" s="5">
        <v>2348</v>
      </c>
      <c r="G7" s="5">
        <v>234800</v>
      </c>
      <c r="H7" s="3">
        <v>0</v>
      </c>
      <c r="I7" s="3">
        <v>0</v>
      </c>
      <c r="J7" s="7">
        <v>2348</v>
      </c>
      <c r="K7" s="7">
        <v>234800</v>
      </c>
      <c r="L7" s="3">
        <v>0</v>
      </c>
      <c r="M7" s="3">
        <v>0</v>
      </c>
      <c r="N7" s="5">
        <v>234800</v>
      </c>
      <c r="O7" s="7">
        <v>164360</v>
      </c>
    </row>
    <row r="8" spans="1:15" ht="18" thickBot="1" x14ac:dyDescent="0.45">
      <c r="A8" s="3">
        <v>5</v>
      </c>
      <c r="B8" s="4" t="s">
        <v>19</v>
      </c>
      <c r="C8" s="4" t="s">
        <v>31</v>
      </c>
      <c r="D8" s="4" t="s">
        <v>23</v>
      </c>
      <c r="E8" s="2" t="s">
        <v>32</v>
      </c>
      <c r="F8" s="3">
        <v>5</v>
      </c>
      <c r="G8" s="3">
        <v>500</v>
      </c>
      <c r="H8" s="3">
        <v>0</v>
      </c>
      <c r="I8" s="3">
        <v>0</v>
      </c>
      <c r="J8" s="6">
        <v>5</v>
      </c>
      <c r="K8" s="6">
        <v>500</v>
      </c>
      <c r="L8" s="3">
        <v>0</v>
      </c>
      <c r="M8" s="3">
        <v>0</v>
      </c>
      <c r="N8" s="3">
        <v>500</v>
      </c>
      <c r="O8" s="6">
        <v>350</v>
      </c>
    </row>
    <row r="9" spans="1:15" ht="18" thickBot="1" x14ac:dyDescent="0.45">
      <c r="A9" s="3">
        <v>6</v>
      </c>
      <c r="B9" s="4" t="s">
        <v>19</v>
      </c>
      <c r="C9" s="4" t="s">
        <v>33</v>
      </c>
      <c r="D9" s="4" t="s">
        <v>23</v>
      </c>
      <c r="E9" s="2" t="s">
        <v>34</v>
      </c>
      <c r="F9" s="3">
        <v>31</v>
      </c>
      <c r="G9" s="5">
        <v>3100</v>
      </c>
      <c r="H9" s="3">
        <v>0</v>
      </c>
      <c r="I9" s="3">
        <v>0</v>
      </c>
      <c r="J9" s="6">
        <v>31</v>
      </c>
      <c r="K9" s="7">
        <v>3100</v>
      </c>
      <c r="L9" s="3">
        <v>0</v>
      </c>
      <c r="M9" s="3">
        <v>0</v>
      </c>
      <c r="N9" s="5">
        <v>3100</v>
      </c>
      <c r="O9" s="7">
        <v>2170</v>
      </c>
    </row>
    <row r="10" spans="1:15" x14ac:dyDescent="0.4">
      <c r="O10" s="8">
        <f>SUM(O4:O9)</f>
        <v>202020</v>
      </c>
    </row>
  </sheetData>
  <mergeCells count="13">
    <mergeCell ref="J2:K2"/>
    <mergeCell ref="L2:M2"/>
    <mergeCell ref="N2:O2"/>
    <mergeCell ref="A1:E1"/>
    <mergeCell ref="F1:K1"/>
    <mergeCell ref="L1:O1"/>
    <mergeCell ref="A2:A3"/>
    <mergeCell ref="B2:B3"/>
    <mergeCell ref="C2:C3"/>
    <mergeCell ref="D2:D3"/>
    <mergeCell ref="E2:E3"/>
    <mergeCell ref="F2:G2"/>
    <mergeCell ref="H2:I2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합계(5)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storywiz</cp:lastModifiedBy>
  <dcterms:created xsi:type="dcterms:W3CDTF">2021-05-07T02:17:01Z</dcterms:created>
  <dcterms:modified xsi:type="dcterms:W3CDTF">2022-06-08T10:18:44Z</dcterms:modified>
</cp:coreProperties>
</file>