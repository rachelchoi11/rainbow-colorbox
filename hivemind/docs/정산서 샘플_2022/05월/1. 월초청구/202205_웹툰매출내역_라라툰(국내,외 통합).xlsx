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/>
  </bookViews>
  <sheets>
    <sheet name="합계(5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<sst xmlns="http://schemas.openxmlformats.org/spreadsheetml/2006/main" count="33" uniqueCount="22">
  <si>
    <t>저작권자 수익 금액</t>
  </si>
  <si>
    <t>수익분배율%</t>
  </si>
  <si>
    <t>원천세</t>
  </si>
  <si>
    <t>작품 번호</t>
  </si>
  <si>
    <t>작품명</t>
  </si>
  <si>
    <t>성인/비성인</t>
  </si>
  <si>
    <t>수익분배 대상 금액</t>
  </si>
  <si>
    <t>비성인</t>
  </si>
  <si>
    <t>번호</t>
    <phoneticPr fontId="1" type="noConversion"/>
  </si>
  <si>
    <r>
      <t>달콤한 결혼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</si>
  <si>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보스오빠, 살살!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</si>
  <si>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별빛 아래 우리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</si>
  <si>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공주전쟁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</si>
  <si>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악역이지만, 남주는 꼬시지 않아요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</si>
  <si>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최애에게 들켜버렸다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</si>
  <si>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백스테이지 키스신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</si>
  <si>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괴물아기[글로벌 전용]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</si>
  <si>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요괴님은 수련중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</si>
  <si>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폭군의 눈물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</si>
  <si>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대표님과 연애를 시작했습니다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</si>
  <si>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r>
      <t>계약연애, 오늘부터 1일 </t>
    </r>
    <r>
      <rPr>
        <u/>
        <sz val="11"/>
        <color theme="10"/>
        <rFont val="맑은 고딕"/>
        <family val="3"/>
        <charset val="129"/>
        <scheme val="minor"/>
      </rPr>
      <t>언어별</t>
    </r>
  </si>
  <si>
    <t>원천세 정산후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</si>
</sst>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7"/>
      <color rgb="FF666666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right" vertical="top" wrapText="1"/>
    </xf>
    <xf numFmtId="10" fontId="5" fillId="4" borderId="1" xfId="0" applyNumberFormat="1" applyFont="1" applyFill="1" applyBorder="1" applyAlignment="1">
      <alignment horizontal="right" vertical="top" wrapText="1"/>
    </xf>
    <xf numFmtId="4" fontId="5" fillId="4" borderId="1" xfId="0" applyNumberFormat="1" applyFont="1" applyFill="1" applyBorder="1" applyAlignment="1">
      <alignment horizontal="right" vertical="top" wrapText="1"/>
    </xf>
    <xf numFmtId="0" fontId="6" fillId="4" borderId="1" xfId="2" applyFill="1" applyBorder="1" applyAlignment="1">
      <alignment horizontal="center" vertical="top" wrapText="1"/>
    </xf>
    <xf numFmtId="41" fontId="0" fillId="3" borderId="0" xfId="1" applyFont="1" applyFill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pyrighter.lalatoon.com/stat/stat_total/Year/2022/toon_idx/6250" TargetMode="External"/><Relationship Id="rId3" Type="http://schemas.openxmlformats.org/officeDocument/2006/relationships/hyperlink" Target="https://copyrighter.lalatoon.com/stat/stat_total/Year/2022/toon_idx/6210" TargetMode="External"/><Relationship Id="rId7" Type="http://schemas.openxmlformats.org/officeDocument/2006/relationships/hyperlink" Target="https://copyrighter.lalatoon.com/stat/stat_total/Year/2022/toon_idx/6204" TargetMode="External"/><Relationship Id="rId12" Type="http://schemas.openxmlformats.org/officeDocument/2006/relationships/hyperlink" Target="https://copyrighter.lalatoon.com/stat/stat_total/Year/2022/toon_idx/6207" TargetMode="External"/><Relationship Id="rId2" Type="http://schemas.openxmlformats.org/officeDocument/2006/relationships/hyperlink" Target="https://copyrighter.lalatoon.com/stat/stat_total/Year/2022/toon_idx/6112" TargetMode="External"/><Relationship Id="rId1" Type="http://schemas.openxmlformats.org/officeDocument/2006/relationships/hyperlink" Target="https://copyrighter.lalatoon.com/stat/stat_total/Year/2022/toon_idx/6098" TargetMode="External"/><Relationship Id="rId6" Type="http://schemas.openxmlformats.org/officeDocument/2006/relationships/hyperlink" Target="https://copyrighter.lalatoon.com/stat/stat_total/Year/2022/toon_idx/6206" TargetMode="External"/><Relationship Id="rId11" Type="http://schemas.openxmlformats.org/officeDocument/2006/relationships/hyperlink" Target="https://copyrighter.lalatoon.com/stat/stat_total/Year/2022/toon_idx/6103" TargetMode="External"/><Relationship Id="rId5" Type="http://schemas.openxmlformats.org/officeDocument/2006/relationships/hyperlink" Target="https://copyrighter.lalatoon.com/stat/stat_total/Year/2022/toon_idx/6543" TargetMode="External"/><Relationship Id="rId10" Type="http://schemas.openxmlformats.org/officeDocument/2006/relationships/hyperlink" Target="https://copyrighter.lalatoon.com/stat/stat_total/Year/2022/toon_idx/6209" TargetMode="External"/><Relationship Id="rId4" Type="http://schemas.openxmlformats.org/officeDocument/2006/relationships/hyperlink" Target="https://copyrighter.lalatoon.com/stat/stat_total/Year/2022/toon_idx/6211" TargetMode="External"/><Relationship Id="rId9" Type="http://schemas.openxmlformats.org/officeDocument/2006/relationships/hyperlink" Target="https://copyrighter.lalatoon.com/stat/stat_total/Year/2022/toon_idx/65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/>
  </sheetViews>
  <sheetFormatPr defaultRowHeight="17.399999999999999" x14ac:dyDescent="0.4"/>
  <cols>
    <col min="1" max="1" width="6.59765625" customWidth="1"/>
    <col min="3" max="3" width="25.8984375" customWidth="1"/>
    <col min="4" max="4" width="14.3984375" customWidth="1"/>
    <col min="5" max="5" width="13.09765625" customWidth="1"/>
    <col min="6" max="6" width="14.3984375" customWidth="1"/>
    <col min="7" max="7" width="10.09765625" customWidth="1"/>
    <col min="8" max="8" width="11.19921875" customWidth="1"/>
    <col min="9" max="9" width="16.8984375" customWidth="1"/>
  </cols>
  <sheetData>
    <row r="1" spans="1:9" ht="31.8" thickBot="1" x14ac:dyDescent="0.45">
      <c r="A1" s="1" t="s">
        <v>8</v>
      </c>
      <c r="B1" s="1" t="s">
        <v>3</v>
      </c>
      <c r="C1" s="2" t="s">
        <v>4</v>
      </c>
      <c r="D1" s="2" t="s">
        <v>5</v>
      </c>
      <c r="E1" s="2" t="s">
        <v>6</v>
      </c>
      <c r="F1" s="2" t="s">
        <v>0</v>
      </c>
      <c r="G1" s="2" t="s">
        <v>1</v>
      </c>
      <c r="H1" s="2" t="s">
        <v>2</v>
      </c>
      <c r="I1" s="2" t="s">
        <v>21</v>
      </c>
    </row>
    <row r="2" spans="1:9" ht="18" thickBot="1" x14ac:dyDescent="0.45">
      <c r="A2" s="3">
        <v>1</v>
      </c>
      <c r="B2" s="3">
        <v>6098</v>
      </c>
      <c r="C2" s="7" t="s">
        <v>9</v>
      </c>
      <c r="D2" s="3" t="s">
        <v>7</v>
      </c>
      <c r="E2" s="6">
        <v>24073</v>
      </c>
      <c r="F2" s="6">
        <v>14443.8</v>
      </c>
      <c r="G2" s="5">
        <v>0.6</v>
      </c>
      <c r="H2" s="4">
        <v>0</v>
      </c>
      <c r="I2" s="6">
        <v>14443.8</v>
      </c>
    </row>
    <row r="3" spans="1:9" ht="18" thickBot="1" x14ac:dyDescent="0.45">
      <c r="A3" s="3">
        <v>2</v>
      </c>
      <c r="B3" s="3">
        <v>6112</v>
      </c>
      <c r="C3" s="7" t="s">
        <v>10</v>
      </c>
      <c r="D3" s="3" t="s">
        <v>7</v>
      </c>
      <c r="E3" s="6">
        <v>16226</v>
      </c>
      <c r="F3" s="6">
        <v>9735.6</v>
      </c>
      <c r="G3" s="5">
        <v>0.6</v>
      </c>
      <c r="H3" s="4">
        <v>0</v>
      </c>
      <c r="I3" s="6">
        <v>9735.6</v>
      </c>
    </row>
    <row r="4" spans="1:9" ht="18" thickBot="1" x14ac:dyDescent="0.45">
      <c r="A4" s="3">
        <v>3</v>
      </c>
      <c r="B4" s="3">
        <v>6210</v>
      </c>
      <c r="C4" s="7" t="s">
        <v>11</v>
      </c>
      <c r="D4" s="3" t="s">
        <v>7</v>
      </c>
      <c r="E4" s="6">
        <v>105469</v>
      </c>
      <c r="F4" s="6">
        <v>63281.4</v>
      </c>
      <c r="G4" s="5">
        <v>0.6</v>
      </c>
      <c r="H4" s="4">
        <v>0</v>
      </c>
      <c r="I4" s="6">
        <v>63281.4</v>
      </c>
    </row>
    <row r="5" spans="1:9" ht="18" thickBot="1" x14ac:dyDescent="0.45">
      <c r="A5" s="3">
        <v>4</v>
      </c>
      <c r="B5" s="3">
        <v>6211</v>
      </c>
      <c r="C5" s="7" t="s">
        <v>12</v>
      </c>
      <c r="D5" s="3" t="s">
        <v>7</v>
      </c>
      <c r="E5" s="6">
        <v>32718</v>
      </c>
      <c r="F5" s="6">
        <v>19630.8</v>
      </c>
      <c r="G5" s="5">
        <v>0.6</v>
      </c>
      <c r="H5" s="4">
        <v>0</v>
      </c>
      <c r="I5" s="6">
        <v>19630.8</v>
      </c>
    </row>
    <row r="6" spans="1:9" ht="35.4" thickBot="1" x14ac:dyDescent="0.45">
      <c r="A6" s="3">
        <v>5</v>
      </c>
      <c r="B6" s="3">
        <v>6543</v>
      </c>
      <c r="C6" s="7" t="s">
        <v>13</v>
      </c>
      <c r="D6" s="3" t="s">
        <v>7</v>
      </c>
      <c r="E6" s="6">
        <v>363622</v>
      </c>
      <c r="F6" s="6">
        <v>218173.2</v>
      </c>
      <c r="G6" s="5">
        <v>0.6</v>
      </c>
      <c r="H6" s="4">
        <v>0</v>
      </c>
      <c r="I6" s="6">
        <v>218173.2</v>
      </c>
    </row>
    <row r="7" spans="1:9" ht="18" thickBot="1" x14ac:dyDescent="0.45">
      <c r="A7" s="3">
        <v>6</v>
      </c>
      <c r="B7" s="3">
        <v>6206</v>
      </c>
      <c r="C7" s="7" t="s">
        <v>14</v>
      </c>
      <c r="D7" s="3" t="s">
        <v>7</v>
      </c>
      <c r="E7" s="6">
        <v>14896</v>
      </c>
      <c r="F7" s="6">
        <v>8937.6</v>
      </c>
      <c r="G7" s="5">
        <v>0.6</v>
      </c>
      <c r="H7" s="4">
        <v>0</v>
      </c>
      <c r="I7" s="6">
        <v>8937.6</v>
      </c>
    </row>
    <row r="8" spans="1:9" ht="18" thickBot="1" x14ac:dyDescent="0.45">
      <c r="A8" s="3">
        <v>7</v>
      </c>
      <c r="B8" s="3">
        <v>6204</v>
      </c>
      <c r="C8" s="7" t="s">
        <v>15</v>
      </c>
      <c r="D8" s="3" t="s">
        <v>7</v>
      </c>
      <c r="E8" s="6">
        <v>18354</v>
      </c>
      <c r="F8" s="6">
        <v>11012.4</v>
      </c>
      <c r="G8" s="5">
        <v>0.6</v>
      </c>
      <c r="H8" s="4">
        <v>0</v>
      </c>
      <c r="I8" s="6">
        <v>11012.4</v>
      </c>
    </row>
    <row r="9" spans="1:9" ht="18" thickBot="1" x14ac:dyDescent="0.45">
      <c r="A9" s="3">
        <v>8</v>
      </c>
      <c r="B9" s="3">
        <v>6250</v>
      </c>
      <c r="C9" s="7" t="s">
        <v>16</v>
      </c>
      <c r="D9" s="3" t="s">
        <v>7</v>
      </c>
      <c r="E9" s="6">
        <v>12901</v>
      </c>
      <c r="F9" s="6">
        <v>6450.5</v>
      </c>
      <c r="G9" s="5">
        <v>0.5</v>
      </c>
      <c r="H9" s="4">
        <v>0</v>
      </c>
      <c r="I9" s="6">
        <v>6450.5</v>
      </c>
    </row>
    <row r="10" spans="1:9" ht="18" thickBot="1" x14ac:dyDescent="0.45">
      <c r="A10" s="3">
        <v>9</v>
      </c>
      <c r="B10" s="3">
        <v>6544</v>
      </c>
      <c r="C10" s="7" t="s">
        <v>17</v>
      </c>
      <c r="D10" s="3" t="s">
        <v>7</v>
      </c>
      <c r="E10" s="6">
        <v>8246</v>
      </c>
      <c r="F10" s="6">
        <v>4947.6000000000004</v>
      </c>
      <c r="G10" s="5">
        <v>0.6</v>
      </c>
      <c r="H10" s="4">
        <v>0</v>
      </c>
      <c r="I10" s="6">
        <v>4947.6000000000004</v>
      </c>
    </row>
    <row r="11" spans="1:9" ht="18" thickBot="1" x14ac:dyDescent="0.45">
      <c r="A11" s="3">
        <v>10</v>
      </c>
      <c r="B11" s="3">
        <v>6209</v>
      </c>
      <c r="C11" s="7" t="s">
        <v>18</v>
      </c>
      <c r="D11" s="3" t="s">
        <v>7</v>
      </c>
      <c r="E11" s="6">
        <v>26600</v>
      </c>
      <c r="F11" s="6">
        <v>15960</v>
      </c>
      <c r="G11" s="5">
        <v>0.6</v>
      </c>
      <c r="H11" s="4">
        <v>0</v>
      </c>
      <c r="I11" s="6">
        <v>15960</v>
      </c>
    </row>
    <row r="12" spans="1:9" ht="35.4" thickBot="1" x14ac:dyDescent="0.45">
      <c r="A12" s="3">
        <v>11</v>
      </c>
      <c r="B12" s="3">
        <v>6103</v>
      </c>
      <c r="C12" s="7" t="s">
        <v>19</v>
      </c>
      <c r="D12" s="3" t="s">
        <v>7</v>
      </c>
      <c r="E12" s="6">
        <v>2394</v>
      </c>
      <c r="F12" s="6">
        <v>1436.4</v>
      </c>
      <c r="G12" s="5">
        <v>0.6</v>
      </c>
      <c r="H12" s="4">
        <v>0</v>
      </c>
      <c r="I12" s="6">
        <v>1436.4</v>
      </c>
    </row>
    <row r="13" spans="1:9" ht="18" thickBot="1" x14ac:dyDescent="0.45">
      <c r="A13" s="3">
        <v>12</v>
      </c>
      <c r="B13" s="3">
        <v>6207</v>
      </c>
      <c r="C13" s="7" t="s">
        <v>20</v>
      </c>
      <c r="D13" s="3" t="s">
        <v>7</v>
      </c>
      <c r="E13" s="6">
        <v>3990</v>
      </c>
      <c r="F13" s="6">
        <v>2394</v>
      </c>
      <c r="G13" s="5">
        <v>0.6</v>
      </c>
      <c r="H13" s="4">
        <v>0</v>
      </c>
      <c r="I13" s="6">
        <v>2394</v>
      </c>
    </row>
    <row r="14" spans="1:9" x14ac:dyDescent="0.4">
      <c r="I14" s="8">
        <f>SUM(I2:I13)</f>
        <v>376403.30000000005</v>
      </c>
    </row>
  </sheetData>
  <phoneticPr fontId="1" type="noConversion"/>
  <hyperlinks>
    <hyperlink ref="C2" r:id="rId1" display="https://copyrighter.lalatoon.com/stat/stat_total/Year/2022/toon_idx/6098"/>
    <hyperlink ref="C3" r:id="rId2" display="https://copyrighter.lalatoon.com/stat/stat_total/Year/2022/toon_idx/6112"/>
    <hyperlink ref="C4" r:id="rId3" display="https://copyrighter.lalatoon.com/stat/stat_total/Year/2022/toon_idx/6210"/>
    <hyperlink ref="C5" r:id="rId4" display="https://copyrighter.lalatoon.com/stat/stat_total/Year/2022/toon_idx/6211"/>
    <hyperlink ref="C6" r:id="rId5" display="https://copyrighter.lalatoon.com/stat/stat_total/Year/2022/toon_idx/6543"/>
    <hyperlink ref="C7" r:id="rId6" display="https://copyrighter.lalatoon.com/stat/stat_total/Year/2022/toon_idx/6206"/>
    <hyperlink ref="C8" r:id="rId7" display="https://copyrighter.lalatoon.com/stat/stat_total/Year/2022/toon_idx/6204"/>
    <hyperlink ref="C9" r:id="rId8" display="https://copyrighter.lalatoon.com/stat/stat_total/Year/2022/toon_idx/6250"/>
    <hyperlink ref="C10" r:id="rId9" display="https://copyrighter.lalatoon.com/stat/stat_total/Year/2022/toon_idx/6544"/>
    <hyperlink ref="C11" r:id="rId10" display="https://copyrighter.lalatoon.com/stat/stat_total/Year/2022/toon_idx/6209"/>
    <hyperlink ref="C12" r:id="rId11" display="https://copyrighter.lalatoon.com/stat/stat_total/Year/2022/toon_idx/6103"/>
    <hyperlink ref="C13" r:id="rId12" display="https://copyrighter.lalatoon.com/stat/stat_total/Year/2022/toon_idx/62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2022-06-09T02:24:03Z</dcterms:modified>
</cp:coreProperties>
</file>