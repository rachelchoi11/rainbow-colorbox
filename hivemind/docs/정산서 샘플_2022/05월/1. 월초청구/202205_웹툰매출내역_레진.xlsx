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592"/>
  </bookViews>
  <sheets>
    <sheet name="2022-5월-comic" sheetId="1" r:id="rId1"/>
  </sheets>
  <calcPr calcId="152511"/>
</workbook>
</file>

<file path=xl/calcChain.xml><?xml version="1.0" encoding="utf-8"?>
<calcChain xmlns="http://schemas.openxmlformats.org/spreadsheetml/2006/main">
  <c r="H18" i="1" l="1"/>
  <c r="H17" i="1"/>
  <c r="H15" i="1"/>
</calcChain>
</file>

<file path=xl/sharedStrings.xml><?xml version="1.0" encoding="utf-8"?>
<sst xmlns="http://schemas.openxmlformats.org/spreadsheetml/2006/main" count="36" uniqueCount="23">
  <si>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</si>
  <si>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</si>
  <si>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</si>
  <si>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</si>
  <si>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</si>
  <si>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</si>
  <si>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</si>
  <si>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</si>
  <si>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</si>
  <si>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상세보기</t>
  </si>
  <si>
    <t>감옥실험</t>
  </si>
  <si>
    <t>최애에게 들켜버렸다 [연재]</t>
  </si>
  <si>
    <t>폭군의 눈물 [연재]</t>
  </si>
  <si>
    <t>별빛 아래 우리 [연재]</t>
  </si>
  <si>
    <t>백스테이지 키스신</t>
  </si>
  <si>
    <t>내 남편의 스토커</t>
  </si>
  <si>
    <t>공주전쟁 [연재]</t>
  </si>
  <si>
    <t>피치 소르베</t>
  </si>
  <si>
    <t>커피여우 김삼월 [연재]</t>
  </si>
  <si>
    <t>악역이지만, 남주는 꼬시지 않아요 [연재]</t>
  </si>
  <si>
    <t>요괴님은 수련중 [연재]</t>
  </si>
  <si>
    <t>가출천사 육성계약 [연재]</t>
  </si>
  <si>
    <t>개천고 세계편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</si>
</sst>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"/>
      <family val="2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b/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19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right" vertical="top" wrapText="1"/>
    </xf>
    <xf numFmtId="3" fontId="19" fillId="0" borderId="10" xfId="0" applyNumberFormat="1" applyFont="1" applyBorder="1" applyAlignment="1">
      <alignment horizontal="right" vertical="top" wrapText="1"/>
    </xf>
    <xf numFmtId="0" fontId="20" fillId="0" borderId="10" xfId="42" applyBorder="1" applyAlignment="1">
      <alignment horizontal="center" vertical="top" wrapText="1"/>
    </xf>
    <xf numFmtId="3" fontId="21" fillId="33" borderId="0" xfId="0" applyNumberFormat="1" applyFont="1" applyFill="1">
      <alignment vertical="center"/>
    </xf>
    <xf numFmtId="3" fontId="22" fillId="33" borderId="10" xfId="0" applyNumberFormat="1" applyFont="1" applyFill="1" applyBorder="1" applyAlignment="1">
      <alignment horizontal="right" vertical="top" wrapText="1"/>
    </xf>
    <xf numFmtId="3" fontId="23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ner.lezhin.com/app/partner/" TargetMode="External"/><Relationship Id="rId13" Type="http://schemas.openxmlformats.org/officeDocument/2006/relationships/hyperlink" Target="https://partner.lezhin.com/app/partner/" TargetMode="External"/><Relationship Id="rId3" Type="http://schemas.openxmlformats.org/officeDocument/2006/relationships/hyperlink" Target="https://partner.lezhin.com/app/partner/" TargetMode="External"/><Relationship Id="rId7" Type="http://schemas.openxmlformats.org/officeDocument/2006/relationships/hyperlink" Target="https://partner.lezhin.com/app/partner/" TargetMode="External"/><Relationship Id="rId12" Type="http://schemas.openxmlformats.org/officeDocument/2006/relationships/hyperlink" Target="https://partner.lezhin.com/app/partner/" TargetMode="External"/><Relationship Id="rId2" Type="http://schemas.openxmlformats.org/officeDocument/2006/relationships/hyperlink" Target="https://partner.lezhin.com/app/partner/" TargetMode="External"/><Relationship Id="rId1" Type="http://schemas.openxmlformats.org/officeDocument/2006/relationships/hyperlink" Target="https://partner.lezhin.com/app/partner/" TargetMode="External"/><Relationship Id="rId6" Type="http://schemas.openxmlformats.org/officeDocument/2006/relationships/hyperlink" Target="https://partner.lezhin.com/app/partner/" TargetMode="External"/><Relationship Id="rId11" Type="http://schemas.openxmlformats.org/officeDocument/2006/relationships/hyperlink" Target="https://partner.lezhin.com/app/partner/" TargetMode="External"/><Relationship Id="rId5" Type="http://schemas.openxmlformats.org/officeDocument/2006/relationships/hyperlink" Target="https://partner.lezhin.com/app/partner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partner.lezhin.com/app/partner/" TargetMode="External"/><Relationship Id="rId4" Type="http://schemas.openxmlformats.org/officeDocument/2006/relationships/hyperlink" Target="https://partner.lezhin.com/app/partner/" TargetMode="External"/><Relationship Id="rId9" Type="http://schemas.openxmlformats.org/officeDocument/2006/relationships/hyperlink" Target="https://partner.lezhin.com/app/partner/" TargetMode="External"/><Relationship Id="rId14" Type="http://schemas.openxmlformats.org/officeDocument/2006/relationships/hyperlink" Target="https://partner.lezhin.com/app/part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9" ht="18" thickBot="1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9" ht="18" thickBot="1" x14ac:dyDescent="0.45">
      <c r="A2" s="3" t="s">
        <v>8</v>
      </c>
      <c r="B2" s="4">
        <v>93</v>
      </c>
      <c r="C2" s="4">
        <v>84</v>
      </c>
      <c r="D2" s="4">
        <v>84</v>
      </c>
      <c r="E2" s="4">
        <v>0</v>
      </c>
      <c r="F2" s="4">
        <v>0</v>
      </c>
      <c r="G2" s="4">
        <v>0</v>
      </c>
      <c r="H2" s="5">
        <v>7812</v>
      </c>
      <c r="I2" s="6" t="s">
        <v>9</v>
      </c>
    </row>
    <row r="3" spans="1:9" ht="18" thickBot="1" x14ac:dyDescent="0.45">
      <c r="A3" s="3" t="s">
        <v>10</v>
      </c>
      <c r="B3" s="5">
        <v>2961</v>
      </c>
      <c r="C3" s="4">
        <v>84</v>
      </c>
      <c r="D3" s="4">
        <v>84</v>
      </c>
      <c r="E3" s="4">
        <v>0</v>
      </c>
      <c r="F3" s="4">
        <v>0</v>
      </c>
      <c r="G3" s="4">
        <v>0</v>
      </c>
      <c r="H3" s="5">
        <v>248724</v>
      </c>
      <c r="I3" s="6" t="s">
        <v>9</v>
      </c>
    </row>
    <row r="4" spans="1:9" ht="18" thickBot="1" x14ac:dyDescent="0.45">
      <c r="A4" s="3" t="s">
        <v>11</v>
      </c>
      <c r="B4" s="4">
        <v>106</v>
      </c>
      <c r="C4" s="4">
        <v>84</v>
      </c>
      <c r="D4" s="4">
        <v>84</v>
      </c>
      <c r="E4" s="4">
        <v>0</v>
      </c>
      <c r="F4" s="4">
        <v>0</v>
      </c>
      <c r="G4" s="4">
        <v>0</v>
      </c>
      <c r="H4" s="5">
        <v>8904</v>
      </c>
      <c r="I4" s="6" t="s">
        <v>9</v>
      </c>
    </row>
    <row r="5" spans="1:9" ht="18" thickBot="1" x14ac:dyDescent="0.45">
      <c r="A5" s="3" t="s">
        <v>12</v>
      </c>
      <c r="B5" s="4">
        <v>21</v>
      </c>
      <c r="C5" s="4">
        <v>84</v>
      </c>
      <c r="D5" s="4">
        <v>84</v>
      </c>
      <c r="E5" s="4">
        <v>0</v>
      </c>
      <c r="F5" s="4">
        <v>0</v>
      </c>
      <c r="G5" s="4">
        <v>0</v>
      </c>
      <c r="H5" s="5">
        <v>1764</v>
      </c>
      <c r="I5" s="6" t="s">
        <v>9</v>
      </c>
    </row>
    <row r="6" spans="1:9" ht="18" thickBot="1" x14ac:dyDescent="0.45">
      <c r="A6" s="3" t="s">
        <v>13</v>
      </c>
      <c r="B6" s="4">
        <v>424</v>
      </c>
      <c r="C6" s="4">
        <v>84</v>
      </c>
      <c r="D6" s="4">
        <v>84</v>
      </c>
      <c r="E6" s="4">
        <v>0</v>
      </c>
      <c r="F6" s="4">
        <v>0</v>
      </c>
      <c r="G6" s="4">
        <v>0</v>
      </c>
      <c r="H6" s="5">
        <v>35616</v>
      </c>
      <c r="I6" s="6" t="s">
        <v>9</v>
      </c>
    </row>
    <row r="7" spans="1:9" ht="18" thickBot="1" x14ac:dyDescent="0.45">
      <c r="A7" s="3" t="s">
        <v>14</v>
      </c>
      <c r="B7" s="4">
        <v>56</v>
      </c>
      <c r="C7" s="4">
        <v>50</v>
      </c>
      <c r="D7" s="4">
        <v>50</v>
      </c>
      <c r="E7" s="4">
        <v>0</v>
      </c>
      <c r="F7" s="4">
        <v>0</v>
      </c>
      <c r="G7" s="4">
        <v>0</v>
      </c>
      <c r="H7" s="5">
        <v>2800</v>
      </c>
      <c r="I7" s="6" t="s">
        <v>9</v>
      </c>
    </row>
    <row r="8" spans="1:9" ht="18" thickBot="1" x14ac:dyDescent="0.45">
      <c r="A8" s="3" t="s">
        <v>15</v>
      </c>
      <c r="B8" s="4">
        <v>0</v>
      </c>
      <c r="C8" s="4">
        <v>50</v>
      </c>
      <c r="D8" s="4">
        <v>50</v>
      </c>
      <c r="E8" s="4">
        <v>0</v>
      </c>
      <c r="F8" s="4">
        <v>0</v>
      </c>
      <c r="G8" s="4">
        <v>0</v>
      </c>
      <c r="H8" s="4">
        <v>0</v>
      </c>
      <c r="I8" s="6" t="s">
        <v>9</v>
      </c>
    </row>
    <row r="9" spans="1:9" ht="18" thickBot="1" x14ac:dyDescent="0.45">
      <c r="A9" s="3" t="s">
        <v>16</v>
      </c>
      <c r="B9" s="4">
        <v>206</v>
      </c>
      <c r="C9" s="4">
        <v>84</v>
      </c>
      <c r="D9" s="4">
        <v>84</v>
      </c>
      <c r="E9" s="4">
        <v>0</v>
      </c>
      <c r="F9" s="4">
        <v>0</v>
      </c>
      <c r="G9" s="4">
        <v>0</v>
      </c>
      <c r="H9" s="5">
        <v>17304</v>
      </c>
      <c r="I9" s="6" t="s">
        <v>9</v>
      </c>
    </row>
    <row r="10" spans="1:9" ht="18" thickBot="1" x14ac:dyDescent="0.45">
      <c r="A10" s="3" t="s">
        <v>18</v>
      </c>
      <c r="B10" s="4">
        <v>81</v>
      </c>
      <c r="C10" s="4">
        <v>50</v>
      </c>
      <c r="D10" s="4">
        <v>50</v>
      </c>
      <c r="E10" s="4">
        <v>0</v>
      </c>
      <c r="F10" s="4">
        <v>0</v>
      </c>
      <c r="G10" s="4">
        <v>0</v>
      </c>
      <c r="H10" s="5">
        <v>4050</v>
      </c>
      <c r="I10" s="6" t="s">
        <v>9</v>
      </c>
    </row>
    <row r="11" spans="1:9" ht="34.200000000000003" thickBot="1" x14ac:dyDescent="0.45">
      <c r="A11" s="3" t="s">
        <v>19</v>
      </c>
      <c r="B11" s="5">
        <v>1384</v>
      </c>
      <c r="C11" s="4">
        <v>84</v>
      </c>
      <c r="D11" s="4">
        <v>84</v>
      </c>
      <c r="E11" s="4">
        <v>0</v>
      </c>
      <c r="F11" s="4">
        <v>0</v>
      </c>
      <c r="G11" s="4">
        <v>0</v>
      </c>
      <c r="H11" s="5">
        <v>116256</v>
      </c>
      <c r="I11" s="6" t="s">
        <v>9</v>
      </c>
    </row>
    <row r="12" spans="1:9" ht="18" thickBot="1" x14ac:dyDescent="0.45">
      <c r="A12" s="3" t="s">
        <v>20</v>
      </c>
      <c r="B12" s="4">
        <v>64</v>
      </c>
      <c r="C12" s="4">
        <v>84</v>
      </c>
      <c r="D12" s="4">
        <v>84</v>
      </c>
      <c r="E12" s="4">
        <v>0</v>
      </c>
      <c r="F12" s="4">
        <v>0</v>
      </c>
      <c r="G12" s="4">
        <v>0</v>
      </c>
      <c r="H12" s="5">
        <v>5376</v>
      </c>
      <c r="I12" s="6" t="s">
        <v>9</v>
      </c>
    </row>
    <row r="13" spans="1:9" ht="18" thickBot="1" x14ac:dyDescent="0.45">
      <c r="A13" s="3" t="s">
        <v>21</v>
      </c>
      <c r="B13" s="4">
        <v>498</v>
      </c>
      <c r="C13" s="4">
        <v>50</v>
      </c>
      <c r="D13" s="4">
        <v>50</v>
      </c>
      <c r="E13" s="4">
        <v>0</v>
      </c>
      <c r="F13" s="4">
        <v>0</v>
      </c>
      <c r="G13" s="4">
        <v>0</v>
      </c>
      <c r="H13" s="5">
        <v>24900</v>
      </c>
      <c r="I13" s="6" t="s">
        <v>9</v>
      </c>
    </row>
    <row r="14" spans="1:9" ht="18" thickBot="1" x14ac:dyDescent="0.45">
      <c r="A14" s="3" t="s">
        <v>22</v>
      </c>
      <c r="B14" s="5">
        <v>1380</v>
      </c>
      <c r="C14" s="4">
        <v>50</v>
      </c>
      <c r="D14" s="4">
        <v>50</v>
      </c>
      <c r="E14" s="4">
        <v>0</v>
      </c>
      <c r="F14" s="4">
        <v>0</v>
      </c>
      <c r="G14" s="4">
        <v>0</v>
      </c>
      <c r="H14" s="5">
        <v>69000</v>
      </c>
      <c r="I14" s="6" t="s">
        <v>9</v>
      </c>
    </row>
    <row r="15" spans="1:9" ht="18" thickBot="1" x14ac:dyDescent="0.45">
      <c r="A15" s="3"/>
      <c r="B15" s="5"/>
      <c r="C15" s="4"/>
      <c r="D15" s="4"/>
      <c r="E15" s="4"/>
      <c r="F15" s="4"/>
      <c r="G15" s="4"/>
      <c r="H15" s="8">
        <f>SUM(H2:H14)</f>
        <v>542506</v>
      </c>
      <c r="I15" s="6"/>
    </row>
    <row r="16" spans="1:9" ht="18" thickBot="1" x14ac:dyDescent="0.45">
      <c r="A16" s="3" t="s">
        <v>17</v>
      </c>
      <c r="B16" s="5">
        <v>539211</v>
      </c>
      <c r="C16" s="4">
        <v>50</v>
      </c>
      <c r="D16" s="4">
        <v>50</v>
      </c>
      <c r="E16" s="4">
        <v>0</v>
      </c>
      <c r="F16" s="4">
        <v>0</v>
      </c>
      <c r="G16" s="4">
        <v>0</v>
      </c>
      <c r="H16" s="5">
        <v>26960550</v>
      </c>
      <c r="I16" s="6" t="s">
        <v>9</v>
      </c>
    </row>
    <row r="17" spans="8:8" x14ac:dyDescent="0.4">
      <c r="H17" s="7">
        <f>SUM(H16)</f>
        <v>26960550</v>
      </c>
    </row>
    <row r="18" spans="8:8" x14ac:dyDescent="0.4">
      <c r="H18" s="9">
        <f>SUM(H17,H15)</f>
        <v>27503056</v>
      </c>
    </row>
  </sheetData>
  <phoneticPr fontId="18" type="noConversion"/>
  <hyperlinks>
    <hyperlink ref="I2" r:id="rId1" location="/paymentReportDetail?isMonth=true&amp;settlementId=563969&amp;contentType=comic&amp;partnerType=cp" display="https://partner.lezhin.com/app/partner/ - /paymentReportDetail?isMonth=true&amp;settlementId=563969&amp;contentType=comic&amp;partnerType=cp"/>
    <hyperlink ref="I3" r:id="rId2" location="/paymentReportDetail?isMonth=true&amp;settlementId=563984&amp;contentType=comic&amp;partnerType=cp" display="https://partner.lezhin.com/app/partner/ - /paymentReportDetail?isMonth=true&amp;settlementId=563984&amp;contentType=comic&amp;partnerType=cp"/>
    <hyperlink ref="I4" r:id="rId3" location="/paymentReportDetail?isMonth=true&amp;settlementId=564800&amp;contentType=comic&amp;partnerType=cp" display="https://partner.lezhin.com/app/partner/ - /paymentReportDetail?isMonth=true&amp;settlementId=564800&amp;contentType=comic&amp;partnerType=cp"/>
    <hyperlink ref="I5" r:id="rId4" location="/paymentReportDetail?isMonth=true&amp;settlementId=564899&amp;contentType=comic&amp;partnerType=cp" display="https://partner.lezhin.com/app/partner/ - /paymentReportDetail?isMonth=true&amp;settlementId=564899&amp;contentType=comic&amp;partnerType=cp"/>
    <hyperlink ref="I6" r:id="rId5" location="/paymentReportDetail?isMonth=true&amp;settlementId=564930&amp;contentType=comic&amp;partnerType=cp" display="https://partner.lezhin.com/app/partner/ - /paymentReportDetail?isMonth=true&amp;settlementId=564930&amp;contentType=comic&amp;partnerType=cp"/>
    <hyperlink ref="I7" r:id="rId6" location="/paymentReportDetail?isMonth=true&amp;settlementId=565007&amp;contentType=comic&amp;partnerType=cp" display="https://partner.lezhin.com/app/partner/ - /paymentReportDetail?isMonth=true&amp;settlementId=565007&amp;contentType=comic&amp;partnerType=cp"/>
    <hyperlink ref="I8" r:id="rId7" location="/paymentReportDetail?isMonth=true&amp;settlementId=565056&amp;contentType=comic&amp;partnerType=cp" display="https://partner.lezhin.com/app/partner/ - /paymentReportDetail?isMonth=true&amp;settlementId=565056&amp;contentType=comic&amp;partnerType=cp"/>
    <hyperlink ref="I9" r:id="rId8" location="/paymentReportDetail?isMonth=true&amp;settlementId=565099&amp;contentType=comic&amp;partnerType=cp" display="https://partner.lezhin.com/app/partner/ - /paymentReportDetail?isMonth=true&amp;settlementId=565099&amp;contentType=comic&amp;partnerType=cp"/>
    <hyperlink ref="I16" r:id="rId9" location="/paymentReportDetail?isMonth=true&amp;settlementId=565418&amp;contentType=comic&amp;partnerType=cp" display="https://partner.lezhin.com/app/partner/ - /paymentReportDetail?isMonth=true&amp;settlementId=565418&amp;contentType=comic&amp;partnerType=cp"/>
    <hyperlink ref="I10" r:id="rId10" location="/paymentReportDetail?isMonth=true&amp;settlementId=565890&amp;contentType=comic&amp;partnerType=cp" display="https://partner.lezhin.com/app/partner/ - /paymentReportDetail?isMonth=true&amp;settlementId=565890&amp;contentType=comic&amp;partnerType=cp"/>
    <hyperlink ref="I11" r:id="rId11" location="/paymentReportDetail?isMonth=true&amp;settlementId=565899&amp;contentType=comic&amp;partnerType=cp" display="https://partner.lezhin.com/app/partner/ - /paymentReportDetail?isMonth=true&amp;settlementId=565899&amp;contentType=comic&amp;partnerType=cp"/>
    <hyperlink ref="I12" r:id="rId12" location="/paymentReportDetail?isMonth=true&amp;settlementId=565905&amp;contentType=comic&amp;partnerType=cp" display="https://partner.lezhin.com/app/partner/ - /paymentReportDetail?isMonth=true&amp;settlementId=565905&amp;contentType=comic&amp;partnerType=cp"/>
    <hyperlink ref="I13" r:id="rId13" location="/paymentReportDetail?isMonth=true&amp;settlementId=565921&amp;contentType=comic&amp;partnerType=cp" display="https://partner.lezhin.com/app/partner/ - /paymentReportDetail?isMonth=true&amp;settlementId=565921&amp;contentType=comic&amp;partnerType=cp"/>
    <hyperlink ref="I14" r:id="rId14" location="/paymentReportDetail?isMonth=true&amp;settlementId=565994&amp;contentType=comic&amp;partnerType=cp" display="https://partner.lezhin.com/app/partner/ - /paymentReportDetail?isMonth=true&amp;settlementId=565994&amp;contentType=comic&amp;partnerType=cp"/>
  </hyperlinks>
  <pageMargins left="0.7" right="0.7" top="0.75" bottom="0.75" header="0.3" footer="0.3"/>
  <pageSetup paperSize="9" orientation="portrait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2022-5월-comic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2022-06-09T01:24:37Z</dcterms:modified>
</cp:coreProperties>
</file>