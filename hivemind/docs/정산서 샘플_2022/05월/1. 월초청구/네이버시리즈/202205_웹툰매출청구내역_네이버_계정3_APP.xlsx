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네이버시리즈\"/>
    </mc:Choice>
  </mc:AlternateContent>
  <bookViews>
    <workbookView xWindow="0" yWindow="0" windowWidth="23040" windowHeight="8952" tabRatio="766"/>
  </bookViews>
  <sheets>
    <sheet name="합계 (5)" sheetId="412" r:id="rId1"/>
  </sheets>
  <definedNames>
    <definedName name="_xlnm._FilterDatabase" localSheetId="0" hidden="1">'합계 (5)'!$A$1:$BO$1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O69" i="412" l="1"/>
  <c r="BO3" i="412"/>
  <c r="BO4" i="412"/>
  <c r="BO5" i="412"/>
  <c r="BO6" i="412"/>
  <c r="BO7" i="412"/>
  <c r="BO8" i="412"/>
  <c r="BO9" i="412"/>
  <c r="BO10" i="412"/>
  <c r="BO11" i="412"/>
  <c r="BO12" i="412"/>
  <c r="BO13" i="412"/>
  <c r="BO14" i="412"/>
  <c r="BO15" i="412"/>
  <c r="BO16" i="412"/>
  <c r="BO17" i="412"/>
  <c r="BO18" i="412"/>
  <c r="BO19" i="412"/>
  <c r="BO20" i="412"/>
  <c r="BO21" i="412"/>
  <c r="BO22" i="412"/>
  <c r="BO23" i="412"/>
  <c r="BO24" i="412"/>
  <c r="BO25" i="412"/>
  <c r="BO26" i="412"/>
  <c r="BO27" i="412"/>
  <c r="BO28" i="412"/>
  <c r="BO29" i="412"/>
  <c r="BO30" i="412"/>
  <c r="BO31" i="412"/>
  <c r="BO32" i="412"/>
  <c r="BO33" i="412"/>
  <c r="BO34" i="412"/>
  <c r="BO35" i="412"/>
  <c r="BO36" i="412"/>
  <c r="BO37" i="412"/>
  <c r="BO38" i="412"/>
  <c r="BO39" i="412"/>
  <c r="BO40" i="412"/>
  <c r="BO41" i="412"/>
  <c r="BO42" i="412"/>
  <c r="BO43" i="412"/>
  <c r="BO44" i="412"/>
  <c r="BO45" i="412"/>
  <c r="BO46" i="412"/>
  <c r="BO47" i="412"/>
  <c r="BO48" i="412"/>
  <c r="BO49" i="412"/>
  <c r="BO50" i="412"/>
  <c r="BO51" i="412"/>
  <c r="BO52" i="412"/>
  <c r="BO53" i="412"/>
  <c r="BO54" i="412"/>
  <c r="BO55" i="412"/>
  <c r="BO56" i="412"/>
  <c r="BO57" i="412"/>
  <c r="BO58" i="412"/>
  <c r="BO59" i="412"/>
  <c r="BO60" i="412"/>
  <c r="BO61" i="412"/>
  <c r="BO62" i="412"/>
  <c r="BO63" i="412"/>
  <c r="BO64" i="412"/>
  <c r="BO65" i="412"/>
  <c r="BO66" i="412"/>
  <c r="BO67" i="412"/>
  <c r="BO68" i="412"/>
  <c r="BO2" i="412"/>
  <c r="BN69" i="412"/>
  <c r="BM69" i="412"/>
  <c r="BN3" i="412"/>
  <c r="BN4" i="412"/>
  <c r="BN5" i="412"/>
  <c r="BN6" i="412"/>
  <c r="BN7" i="412"/>
  <c r="BN8" i="412"/>
  <c r="BN9" i="412"/>
  <c r="BN10" i="412"/>
  <c r="BN11" i="412"/>
  <c r="BN12" i="412"/>
  <c r="BN13" i="412"/>
  <c r="BN14" i="412"/>
  <c r="BN15" i="412"/>
  <c r="BN16" i="412"/>
  <c r="BN17" i="412"/>
  <c r="BN18" i="412"/>
  <c r="BN19" i="412"/>
  <c r="BN20" i="412"/>
  <c r="BN21" i="412"/>
  <c r="BN22" i="412"/>
  <c r="BN23" i="412"/>
  <c r="BN24" i="412"/>
  <c r="BN25" i="412"/>
  <c r="BN26" i="412"/>
  <c r="BN27" i="412"/>
  <c r="BN28" i="412"/>
  <c r="BN29" i="412"/>
  <c r="BN30" i="412"/>
  <c r="BN31" i="412"/>
  <c r="BN32" i="412"/>
  <c r="BN33" i="412"/>
  <c r="BN34" i="412"/>
  <c r="BN35" i="412"/>
  <c r="BN36" i="412"/>
  <c r="BN37" i="412"/>
  <c r="BN38" i="412"/>
  <c r="BN39" i="412"/>
  <c r="BN40" i="412"/>
  <c r="BN41" i="412"/>
  <c r="BN42" i="412"/>
  <c r="BN43" i="412"/>
  <c r="BN44" i="412"/>
  <c r="BN45" i="412"/>
  <c r="BN46" i="412"/>
  <c r="BN47" i="412"/>
  <c r="BN48" i="412"/>
  <c r="BN49" i="412"/>
  <c r="BN50" i="412"/>
  <c r="BN51" i="412"/>
  <c r="BN52" i="412"/>
  <c r="BN53" i="412"/>
  <c r="BN54" i="412"/>
  <c r="BN55" i="412"/>
  <c r="BN56" i="412"/>
  <c r="BN57" i="412"/>
  <c r="BN58" i="412"/>
  <c r="BN59" i="412"/>
  <c r="BN60" i="412"/>
  <c r="BN61" i="412"/>
  <c r="BN62" i="412"/>
  <c r="BN63" i="412"/>
  <c r="BN64" i="412"/>
  <c r="BN65" i="412"/>
  <c r="BN66" i="412"/>
  <c r="BN67" i="412"/>
  <c r="BN68" i="412"/>
  <c r="BN2" i="412"/>
  <c r="BL69" i="412"/>
</calcChain>
</file>

<file path=xl/sharedStrings.xml><?xml version="1.0" encoding="utf-8"?>
<sst xmlns="http://schemas.openxmlformats.org/spreadsheetml/2006/main" count="536" uniqueCount="102">
  <si>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</si>
  <si>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</si>
  <si>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</si>
  <si>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</si>
  <si>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</si>
  <si>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</si>
  <si>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</si>
  <si>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</si>
  <si>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</si>
  <si>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</si>
  <si>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</si>
  <si>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</si>
  <si>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</si>
  <si>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</si>
  <si>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</si>
  <si>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</si>
  <si>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</si>
  <si>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</si>
  <si>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</si>
  <si>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</si>
  <si>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</si>
  <si>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</si>
  <si>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</si>
  <si>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</si>
  <si>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</si>
  <si>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</si>
  <si>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</si>
  <si>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</si>
  <si>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2022.06.08</t>
  </si>
  <si>
    <t>2022.06.09</t>
  </si>
  <si>
    <t>2020.11.16</t>
  </si>
  <si>
    <t>2022.05.02</t>
  </si>
  <si>
    <t>별빛 아래 우리</t>
  </si>
  <si>
    <t>스토리위즈_만화</t>
  </si>
  <si>
    <t>건일</t>
  </si>
  <si>
    <t>가출천사 육성계약</t>
  </si>
  <si>
    <t>Bae.C, 조우</t>
  </si>
  <si>
    <t>폭군의 눈물</t>
  </si>
  <si>
    <t>Ice×FANFAN COMIC</t>
  </si>
  <si>
    <t>2022.03.16</t>
  </si>
  <si>
    <t>악역이지만, 남주는 꼬시지 않아요</t>
  </si>
  <si>
    <t>kuri</t>
  </si>
  <si>
    <t>2022.06.03</t>
  </si>
  <si>
    <t>최애에게 들켜버렸다</t>
  </si>
  <si>
    <t>Lv</t>
  </si>
  <si>
    <t>백스테이지 키스신</t>
  </si>
  <si>
    <t>수정과</t>
  </si>
  <si>
    <t>2019.12.07</t>
  </si>
  <si>
    <t>계약연애, 오늘부터 1일</t>
  </si>
  <si>
    <t>원기공장</t>
  </si>
  <si>
    <t>2019.03.11</t>
  </si>
  <si>
    <t>마스코마스코 [독점]</t>
  </si>
  <si>
    <t>남정훈</t>
  </si>
  <si>
    <t>2021.10.25</t>
  </si>
  <si>
    <t>개천고 세계편</t>
  </si>
  <si>
    <t>채준</t>
  </si>
  <si>
    <t>너랑 나랑 하면[BL]</t>
  </si>
  <si>
    <t>NISANSUI/ZIQUAN</t>
  </si>
  <si>
    <t>2022.02.09</t>
  </si>
  <si>
    <t>공주전쟁</t>
  </si>
  <si>
    <t>Luojie</t>
  </si>
  <si>
    <t>내 남편의 스토커</t>
  </si>
  <si>
    <t>혜원</t>
  </si>
  <si>
    <t>2020.07.13</t>
  </si>
  <si>
    <t>폐하, 옥체 보존하세요!</t>
  </si>
  <si>
    <t>IvyeqianheXyouzhijiaozi</t>
  </si>
  <si>
    <t>요괴님은 수련중</t>
  </si>
  <si>
    <t>망북</t>
  </si>
  <si>
    <t>이세계 소환은 두 번째라구요</t>
  </si>
  <si>
    <t>Arashiyama</t>
  </si>
  <si>
    <t>2021.07.23</t>
  </si>
  <si>
    <t>결혼전쟁</t>
  </si>
  <si>
    <t>성c네</t>
  </si>
  <si>
    <t>2018.09.30</t>
  </si>
  <si>
    <t>달콤한 결혼</t>
  </si>
  <si>
    <t>낙신동만</t>
  </si>
  <si>
    <t>2019.02.10</t>
  </si>
  <si>
    <t>보스 오빠, 살살!</t>
  </si>
  <si>
    <t>웹티, 올코</t>
  </si>
  <si>
    <t>2021.12.04</t>
  </si>
  <si>
    <t>커피여우 김삼월</t>
  </si>
  <si>
    <t>A.Noa, RK Studio</t>
  </si>
  <si>
    <t>연애 2분의 1</t>
  </si>
  <si>
    <t>ZHUPI&amp;YANGXUETU</t>
  </si>
  <si>
    <t>2020.12.31</t>
  </si>
  <si>
    <t>슈트 오브 스파이</t>
  </si>
  <si>
    <t>11hook</t>
  </si>
  <si>
    <t>2022.03.01</t>
  </si>
  <si>
    <t>그남자의 사랑방식 [BL]</t>
  </si>
  <si>
    <t>원색동만</t>
  </si>
  <si>
    <t>2020.02.01</t>
  </si>
  <si>
    <t>로맨틱 시그널</t>
  </si>
  <si>
    <t>Bless+cangshukou</t>
  </si>
  <si>
    <t>엔젤일진</t>
  </si>
  <si>
    <t>대운</t>
  </si>
  <si>
    <t>2022.05.08</t>
  </si>
  <si>
    <t>시리즈(APP)</t>
    <phoneticPr fontId="20" type="noConversion"/>
  </si>
  <si>
    <t>너랑 나랑 하면[BL]</t>
    <phoneticPr fontId="20" type="noConversion"/>
  </si>
  <si>
    <t>시리즈완전판(APP)</t>
    <phoneticPr fontId="20" type="noConversion"/>
  </si>
  <si>
    <t>시리즈(IOS)</t>
    <phoneticPr fontId="20" type="noConversion"/>
  </si>
  <si>
    <t>앱엔드(APP)</t>
    <phoneticPr fontId="20" type="noConversion"/>
  </si>
  <si>
    <t>IOS앱 엔드(APP)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</si>
</sst>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64"/>
  <sheetViews>
    <sheetView tabSelected="1" zoomScaleNormal="100" workbookViewId="0">
      <pane xSplit="9" ySplit="1" topLeftCell="BH2" activePane="bottomRight" state="frozen"/>
      <selection pane="topRight" activeCell="J1" sqref="J1"/>
      <selection pane="bottomLeft" activeCell="A2" sqref="A2"/>
      <selection pane="bottomRight" activeCell="C9" sqref="C9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6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2" t="s">
        <v>24</v>
      </c>
      <c r="BO1" s="12" t="s">
        <v>25</v>
      </c>
    </row>
    <row r="2" spans="1:67" x14ac:dyDescent="0.4">
      <c r="A2" s="5" t="s">
        <v>96</v>
      </c>
      <c r="B2" s="5" t="s">
        <v>32</v>
      </c>
      <c r="C2" s="5">
        <v>435954</v>
      </c>
      <c r="D2" s="6"/>
      <c r="E2" s="5" t="s">
        <v>33</v>
      </c>
      <c r="F2" s="5" t="s">
        <v>34</v>
      </c>
      <c r="G2" s="5" t="s">
        <v>11</v>
      </c>
      <c r="H2" s="7" t="s">
        <v>7</v>
      </c>
      <c r="I2" s="7" t="s">
        <v>29</v>
      </c>
      <c r="J2" s="7">
        <v>1</v>
      </c>
      <c r="K2" s="8">
        <v>5270</v>
      </c>
      <c r="L2" s="7">
        <v>200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6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8">
        <v>1719</v>
      </c>
      <c r="AC2" s="8">
        <v>246800</v>
      </c>
      <c r="AD2" s="8">
        <v>96800</v>
      </c>
      <c r="AE2" s="7">
        <v>221</v>
      </c>
      <c r="AF2" s="8">
        <v>38500</v>
      </c>
      <c r="AG2" s="8">
        <v>49900</v>
      </c>
      <c r="AH2" s="7">
        <v>5</v>
      </c>
      <c r="AI2" s="7">
        <v>0</v>
      </c>
      <c r="AJ2" s="7">
        <v>800</v>
      </c>
      <c r="AK2" s="7">
        <v>0</v>
      </c>
      <c r="AL2" s="7">
        <v>0</v>
      </c>
      <c r="AM2" s="7">
        <v>0</v>
      </c>
      <c r="AN2" s="7">
        <v>70</v>
      </c>
      <c r="AO2" s="8">
        <v>13800</v>
      </c>
      <c r="AP2" s="7">
        <v>200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447000</v>
      </c>
      <c r="BN2" s="14">
        <f>BM2-BL2</f>
        <v>447000</v>
      </c>
      <c r="BO2" s="15">
        <f>BN2*70%</f>
        <v>312900</v>
      </c>
    </row>
    <row r="3" spans="1:67" x14ac:dyDescent="0.4">
      <c r="A3" s="5" t="s">
        <v>96</v>
      </c>
      <c r="B3" s="5" t="s">
        <v>35</v>
      </c>
      <c r="C3" s="5">
        <v>465463</v>
      </c>
      <c r="D3" s="6"/>
      <c r="E3" s="5" t="s">
        <v>33</v>
      </c>
      <c r="F3" s="5" t="s">
        <v>36</v>
      </c>
      <c r="G3" s="5" t="s">
        <v>11</v>
      </c>
      <c r="H3" s="7" t="s">
        <v>10</v>
      </c>
      <c r="I3" s="7" t="s">
        <v>28</v>
      </c>
      <c r="J3" s="7">
        <v>0</v>
      </c>
      <c r="K3" s="8">
        <v>1252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12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467</v>
      </c>
      <c r="AC3" s="8">
        <v>68100</v>
      </c>
      <c r="AD3" s="8">
        <v>25300</v>
      </c>
      <c r="AE3" s="7">
        <v>177</v>
      </c>
      <c r="AF3" s="8">
        <v>61000</v>
      </c>
      <c r="AG3" s="8">
        <v>9600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44</v>
      </c>
      <c r="AO3" s="8">
        <v>8800</v>
      </c>
      <c r="AP3" s="7">
        <v>0</v>
      </c>
      <c r="AQ3" s="7">
        <v>47</v>
      </c>
      <c r="AR3" s="8">
        <v>18400</v>
      </c>
      <c r="AS3" s="7">
        <v>200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191400</v>
      </c>
      <c r="BN3" s="14">
        <f t="shared" ref="BN3:BN66" si="0">BM3-BL3</f>
        <v>191400</v>
      </c>
      <c r="BO3" s="15">
        <f t="shared" ref="BO3:BO66" si="1">BN3*70%</f>
        <v>133980</v>
      </c>
    </row>
    <row r="4" spans="1:67" ht="19.2" x14ac:dyDescent="0.4">
      <c r="A4" s="5" t="s">
        <v>96</v>
      </c>
      <c r="B4" s="5" t="s">
        <v>37</v>
      </c>
      <c r="C4" s="5">
        <v>434897</v>
      </c>
      <c r="D4" s="6"/>
      <c r="E4" s="5" t="s">
        <v>33</v>
      </c>
      <c r="F4" s="5" t="s">
        <v>38</v>
      </c>
      <c r="G4" s="5" t="s">
        <v>11</v>
      </c>
      <c r="H4" s="7" t="s">
        <v>8</v>
      </c>
      <c r="I4" s="7" t="s">
        <v>39</v>
      </c>
      <c r="J4" s="7">
        <v>8</v>
      </c>
      <c r="K4" s="8">
        <v>2741</v>
      </c>
      <c r="L4" s="8">
        <v>1600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792</v>
      </c>
      <c r="AC4" s="8">
        <v>136000</v>
      </c>
      <c r="AD4" s="8">
        <v>22400</v>
      </c>
      <c r="AE4" s="7">
        <v>1</v>
      </c>
      <c r="AF4" s="7">
        <v>0</v>
      </c>
      <c r="AG4" s="7">
        <v>400</v>
      </c>
      <c r="AH4" s="7">
        <v>2</v>
      </c>
      <c r="AI4" s="7">
        <v>0</v>
      </c>
      <c r="AJ4" s="7">
        <v>400</v>
      </c>
      <c r="AK4" s="7">
        <v>0</v>
      </c>
      <c r="AL4" s="7">
        <v>0</v>
      </c>
      <c r="AM4" s="7">
        <v>0</v>
      </c>
      <c r="AN4" s="7">
        <v>77</v>
      </c>
      <c r="AO4" s="8">
        <v>15400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176200</v>
      </c>
      <c r="BN4" s="14">
        <f t="shared" si="0"/>
        <v>176200</v>
      </c>
      <c r="BO4" s="15">
        <f t="shared" si="1"/>
        <v>123339.99999999999</v>
      </c>
    </row>
    <row r="5" spans="1:67" x14ac:dyDescent="0.4">
      <c r="A5" s="5" t="s">
        <v>96</v>
      </c>
      <c r="B5" s="5" t="s">
        <v>40</v>
      </c>
      <c r="C5" s="5">
        <v>465461</v>
      </c>
      <c r="D5" s="6"/>
      <c r="E5" s="5" t="s">
        <v>33</v>
      </c>
      <c r="F5" s="5" t="s">
        <v>41</v>
      </c>
      <c r="G5" s="5" t="s">
        <v>11</v>
      </c>
      <c r="H5" s="7" t="s">
        <v>7</v>
      </c>
      <c r="I5" s="7" t="s">
        <v>42</v>
      </c>
      <c r="J5" s="7">
        <v>0</v>
      </c>
      <c r="K5" s="7">
        <v>266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4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439</v>
      </c>
      <c r="AC5" s="8">
        <v>65500</v>
      </c>
      <c r="AD5" s="8">
        <v>22300</v>
      </c>
      <c r="AE5" s="7">
        <v>87</v>
      </c>
      <c r="AF5" s="8">
        <v>24000</v>
      </c>
      <c r="AG5" s="8">
        <v>10800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41</v>
      </c>
      <c r="AO5" s="8">
        <v>8200</v>
      </c>
      <c r="AP5" s="7">
        <v>0</v>
      </c>
      <c r="AQ5" s="7">
        <v>22</v>
      </c>
      <c r="AR5" s="8">
        <v>8600</v>
      </c>
      <c r="AS5" s="7">
        <v>200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139600</v>
      </c>
      <c r="BN5" s="14">
        <f t="shared" si="0"/>
        <v>139600</v>
      </c>
      <c r="BO5" s="15">
        <f t="shared" si="1"/>
        <v>97720</v>
      </c>
    </row>
    <row r="6" spans="1:67" x14ac:dyDescent="0.4">
      <c r="A6" s="5" t="s">
        <v>96</v>
      </c>
      <c r="B6" s="5" t="s">
        <v>43</v>
      </c>
      <c r="C6" s="5">
        <v>432749</v>
      </c>
      <c r="D6" s="6"/>
      <c r="E6" s="5" t="s">
        <v>33</v>
      </c>
      <c r="F6" s="5" t="s">
        <v>44</v>
      </c>
      <c r="G6" s="5" t="s">
        <v>11</v>
      </c>
      <c r="H6" s="7" t="s">
        <v>7</v>
      </c>
      <c r="I6" s="7" t="s">
        <v>29</v>
      </c>
      <c r="J6" s="7">
        <v>10</v>
      </c>
      <c r="K6" s="8">
        <v>5245</v>
      </c>
      <c r="L6" s="8">
        <v>2000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521</v>
      </c>
      <c r="AC6" s="8">
        <v>84500</v>
      </c>
      <c r="AD6" s="8">
        <v>19600</v>
      </c>
      <c r="AE6" s="7">
        <v>25</v>
      </c>
      <c r="AF6" s="8">
        <v>7600</v>
      </c>
      <c r="AG6" s="8">
        <v>2400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75</v>
      </c>
      <c r="AO6" s="8">
        <v>14700</v>
      </c>
      <c r="AP6" s="7">
        <v>200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131000</v>
      </c>
      <c r="BN6" s="14">
        <f t="shared" si="0"/>
        <v>131000</v>
      </c>
      <c r="BO6" s="15">
        <f t="shared" si="1"/>
        <v>91700</v>
      </c>
    </row>
    <row r="7" spans="1:67" x14ac:dyDescent="0.4">
      <c r="A7" s="5" t="s">
        <v>96</v>
      </c>
      <c r="B7" s="5" t="s">
        <v>45</v>
      </c>
      <c r="C7" s="5">
        <v>383201</v>
      </c>
      <c r="D7" s="6"/>
      <c r="E7" s="5" t="s">
        <v>33</v>
      </c>
      <c r="F7" s="5" t="s">
        <v>46</v>
      </c>
      <c r="G7" s="5" t="s">
        <v>11</v>
      </c>
      <c r="H7" s="7" t="s">
        <v>7</v>
      </c>
      <c r="I7" s="7" t="s">
        <v>47</v>
      </c>
      <c r="J7" s="7">
        <v>0</v>
      </c>
      <c r="K7" s="7">
        <v>24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476</v>
      </c>
      <c r="AC7" s="8">
        <v>84600</v>
      </c>
      <c r="AD7" s="8">
        <v>10500</v>
      </c>
      <c r="AE7" s="7">
        <v>1</v>
      </c>
      <c r="AF7" s="7">
        <v>400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46</v>
      </c>
      <c r="AO7" s="8">
        <v>9100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104600</v>
      </c>
      <c r="BN7" s="14">
        <f t="shared" si="0"/>
        <v>104600</v>
      </c>
      <c r="BO7" s="15">
        <f t="shared" si="1"/>
        <v>73220</v>
      </c>
    </row>
    <row r="8" spans="1:67" x14ac:dyDescent="0.4">
      <c r="A8" s="5" t="s">
        <v>96</v>
      </c>
      <c r="B8" s="5" t="s">
        <v>48</v>
      </c>
      <c r="C8" s="5">
        <v>351846</v>
      </c>
      <c r="D8" s="6"/>
      <c r="E8" s="5" t="s">
        <v>33</v>
      </c>
      <c r="F8" s="5" t="s">
        <v>49</v>
      </c>
      <c r="G8" s="5" t="s">
        <v>11</v>
      </c>
      <c r="H8" s="7" t="s">
        <v>7</v>
      </c>
      <c r="I8" s="7" t="s">
        <v>50</v>
      </c>
      <c r="J8" s="7">
        <v>0</v>
      </c>
      <c r="K8" s="7">
        <v>30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463</v>
      </c>
      <c r="AC8" s="8">
        <v>44600</v>
      </c>
      <c r="AD8" s="8">
        <v>1700</v>
      </c>
      <c r="AE8" s="7">
        <v>107</v>
      </c>
      <c r="AF8" s="8">
        <v>21200</v>
      </c>
      <c r="AG8" s="7">
        <v>200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10</v>
      </c>
      <c r="AO8" s="8">
        <v>1000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68700</v>
      </c>
      <c r="BN8" s="14">
        <f t="shared" si="0"/>
        <v>68700</v>
      </c>
      <c r="BO8" s="15">
        <f t="shared" si="1"/>
        <v>48090</v>
      </c>
    </row>
    <row r="9" spans="1:67" x14ac:dyDescent="0.4">
      <c r="A9" s="5" t="s">
        <v>96</v>
      </c>
      <c r="B9" s="5" t="s">
        <v>51</v>
      </c>
      <c r="C9" s="5">
        <v>448747</v>
      </c>
      <c r="D9" s="6"/>
      <c r="E9" s="5" t="s">
        <v>33</v>
      </c>
      <c r="F9" s="5" t="s">
        <v>52</v>
      </c>
      <c r="G9" s="5" t="s">
        <v>11</v>
      </c>
      <c r="H9" s="7" t="s">
        <v>7</v>
      </c>
      <c r="I9" s="7" t="s">
        <v>53</v>
      </c>
      <c r="J9" s="7">
        <v>0</v>
      </c>
      <c r="K9" s="7">
        <v>760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12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10</v>
      </c>
      <c r="AC9" s="8">
        <v>2000</v>
      </c>
      <c r="AD9" s="7">
        <v>0</v>
      </c>
      <c r="AE9" s="7">
        <v>115</v>
      </c>
      <c r="AF9" s="8">
        <v>46000</v>
      </c>
      <c r="AG9" s="7">
        <v>0</v>
      </c>
      <c r="AH9" s="7">
        <v>44</v>
      </c>
      <c r="AI9" s="7">
        <v>0</v>
      </c>
      <c r="AJ9" s="8">
        <v>8800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56800</v>
      </c>
      <c r="BN9" s="14">
        <f t="shared" si="0"/>
        <v>56800</v>
      </c>
      <c r="BO9" s="15">
        <f t="shared" si="1"/>
        <v>39760</v>
      </c>
    </row>
    <row r="10" spans="1:67" x14ac:dyDescent="0.4">
      <c r="A10" s="5" t="s">
        <v>96</v>
      </c>
      <c r="B10" s="5" t="s">
        <v>54</v>
      </c>
      <c r="C10" s="5">
        <v>467630</v>
      </c>
      <c r="D10" s="6"/>
      <c r="E10" s="5" t="s">
        <v>33</v>
      </c>
      <c r="F10" s="5" t="s">
        <v>55</v>
      </c>
      <c r="G10" s="5" t="s">
        <v>11</v>
      </c>
      <c r="H10" s="7" t="s">
        <v>8</v>
      </c>
      <c r="I10" s="7" t="s">
        <v>31</v>
      </c>
      <c r="J10" s="7">
        <v>0</v>
      </c>
      <c r="K10" s="7">
        <v>242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161</v>
      </c>
      <c r="AC10" s="8">
        <v>30600</v>
      </c>
      <c r="AD10" s="8">
        <v>1600</v>
      </c>
      <c r="AE10" s="7">
        <v>25</v>
      </c>
      <c r="AF10" s="8">
        <v>2000</v>
      </c>
      <c r="AG10" s="8">
        <v>8000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2</v>
      </c>
      <c r="AO10" s="7">
        <v>400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42600</v>
      </c>
      <c r="BN10" s="14">
        <f t="shared" si="0"/>
        <v>42600</v>
      </c>
      <c r="BO10" s="15">
        <f t="shared" si="1"/>
        <v>29819.999999999996</v>
      </c>
    </row>
    <row r="11" spans="1:67" ht="19.2" x14ac:dyDescent="0.4">
      <c r="A11" s="5" t="s">
        <v>96</v>
      </c>
      <c r="B11" s="5" t="s">
        <v>56</v>
      </c>
      <c r="C11" s="5">
        <v>412451</v>
      </c>
      <c r="D11" s="6"/>
      <c r="E11" s="5" t="s">
        <v>33</v>
      </c>
      <c r="F11" s="5" t="s">
        <v>57</v>
      </c>
      <c r="G11" s="5" t="s">
        <v>11</v>
      </c>
      <c r="H11" s="7" t="s">
        <v>8</v>
      </c>
      <c r="I11" s="7" t="s">
        <v>58</v>
      </c>
      <c r="J11" s="7">
        <v>0</v>
      </c>
      <c r="K11" s="7">
        <v>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86</v>
      </c>
      <c r="AC11" s="8">
        <v>9000</v>
      </c>
      <c r="AD11" s="8">
        <v>8200</v>
      </c>
      <c r="AE11" s="7">
        <v>46</v>
      </c>
      <c r="AF11" s="8">
        <v>14400</v>
      </c>
      <c r="AG11" s="8">
        <v>4000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35600</v>
      </c>
      <c r="BN11" s="14">
        <f t="shared" si="0"/>
        <v>35600</v>
      </c>
      <c r="BO11" s="15">
        <f t="shared" si="1"/>
        <v>24920</v>
      </c>
    </row>
    <row r="12" spans="1:67" x14ac:dyDescent="0.4">
      <c r="A12" s="5" t="s">
        <v>96</v>
      </c>
      <c r="B12" s="5" t="s">
        <v>59</v>
      </c>
      <c r="C12" s="5">
        <v>423525</v>
      </c>
      <c r="D12" s="6"/>
      <c r="E12" s="5" t="s">
        <v>33</v>
      </c>
      <c r="F12" s="5" t="s">
        <v>60</v>
      </c>
      <c r="G12" s="5" t="s">
        <v>11</v>
      </c>
      <c r="H12" s="7" t="s">
        <v>7</v>
      </c>
      <c r="I12" s="7" t="s">
        <v>42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81</v>
      </c>
      <c r="AC12" s="8">
        <v>10700</v>
      </c>
      <c r="AD12" s="8">
        <v>5500</v>
      </c>
      <c r="AE12" s="7">
        <v>23</v>
      </c>
      <c r="AF12" s="8">
        <v>8600</v>
      </c>
      <c r="AG12" s="7">
        <v>600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7</v>
      </c>
      <c r="AO12" s="8">
        <v>1200</v>
      </c>
      <c r="AP12" s="7">
        <v>200</v>
      </c>
      <c r="AQ12" s="7">
        <v>3</v>
      </c>
      <c r="AR12" s="8">
        <v>1200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28000</v>
      </c>
      <c r="BN12" s="14">
        <f t="shared" si="0"/>
        <v>28000</v>
      </c>
      <c r="BO12" s="15">
        <f t="shared" si="1"/>
        <v>19600</v>
      </c>
    </row>
    <row r="13" spans="1:67" x14ac:dyDescent="0.4">
      <c r="A13" s="5" t="s">
        <v>96</v>
      </c>
      <c r="B13" s="5" t="s">
        <v>61</v>
      </c>
      <c r="C13" s="5">
        <v>403837</v>
      </c>
      <c r="D13" s="6"/>
      <c r="E13" s="5" t="s">
        <v>33</v>
      </c>
      <c r="F13" s="5" t="s">
        <v>62</v>
      </c>
      <c r="G13" s="5" t="s">
        <v>11</v>
      </c>
      <c r="H13" s="7" t="s">
        <v>7</v>
      </c>
      <c r="I13" s="7" t="s">
        <v>63</v>
      </c>
      <c r="J13" s="7">
        <v>0</v>
      </c>
      <c r="K13" s="7">
        <v>3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78</v>
      </c>
      <c r="AC13" s="8">
        <v>15200</v>
      </c>
      <c r="AD13" s="7">
        <v>400</v>
      </c>
      <c r="AE13" s="7">
        <v>14</v>
      </c>
      <c r="AF13" s="8">
        <v>5600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21200</v>
      </c>
      <c r="BN13" s="14">
        <f t="shared" si="0"/>
        <v>21200</v>
      </c>
      <c r="BO13" s="15">
        <f t="shared" si="1"/>
        <v>14839.999999999998</v>
      </c>
    </row>
    <row r="14" spans="1:67" ht="19.2" x14ac:dyDescent="0.4">
      <c r="A14" s="5" t="s">
        <v>96</v>
      </c>
      <c r="B14" s="5" t="s">
        <v>64</v>
      </c>
      <c r="C14" s="5">
        <v>380491</v>
      </c>
      <c r="D14" s="6"/>
      <c r="E14" s="5" t="s">
        <v>33</v>
      </c>
      <c r="F14" s="5" t="s">
        <v>65</v>
      </c>
      <c r="G14" s="5" t="s">
        <v>11</v>
      </c>
      <c r="H14" s="7" t="s">
        <v>7</v>
      </c>
      <c r="I14" s="7" t="s">
        <v>63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186</v>
      </c>
      <c r="AC14" s="8">
        <v>16800</v>
      </c>
      <c r="AD14" s="8">
        <v>1800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18600</v>
      </c>
      <c r="BN14" s="14">
        <f t="shared" si="0"/>
        <v>18600</v>
      </c>
      <c r="BO14" s="15">
        <f t="shared" si="1"/>
        <v>13020</v>
      </c>
    </row>
    <row r="15" spans="1:67" x14ac:dyDescent="0.4">
      <c r="A15" s="5" t="s">
        <v>96</v>
      </c>
      <c r="B15" s="5" t="s">
        <v>66</v>
      </c>
      <c r="C15" s="5">
        <v>465658</v>
      </c>
      <c r="D15" s="6"/>
      <c r="E15" s="5" t="s">
        <v>33</v>
      </c>
      <c r="F15" s="5" t="s">
        <v>67</v>
      </c>
      <c r="G15" s="5" t="s">
        <v>11</v>
      </c>
      <c r="H15" s="7" t="s">
        <v>7</v>
      </c>
      <c r="I15" s="7" t="s">
        <v>42</v>
      </c>
      <c r="J15" s="7">
        <v>0</v>
      </c>
      <c r="K15" s="7">
        <v>138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44</v>
      </c>
      <c r="AC15" s="8">
        <v>6000</v>
      </c>
      <c r="AD15" s="8">
        <v>2800</v>
      </c>
      <c r="AE15" s="7">
        <v>19</v>
      </c>
      <c r="AF15" s="8">
        <v>7600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16400</v>
      </c>
      <c r="BN15" s="14">
        <f t="shared" si="0"/>
        <v>16400</v>
      </c>
      <c r="BO15" s="15">
        <f t="shared" si="1"/>
        <v>11480</v>
      </c>
    </row>
    <row r="16" spans="1:67" x14ac:dyDescent="0.4">
      <c r="A16" s="5" t="s">
        <v>96</v>
      </c>
      <c r="B16" s="5" t="s">
        <v>68</v>
      </c>
      <c r="C16" s="5">
        <v>419155</v>
      </c>
      <c r="D16" s="6"/>
      <c r="E16" s="5" t="s">
        <v>33</v>
      </c>
      <c r="F16" s="5" t="s">
        <v>69</v>
      </c>
      <c r="G16" s="5" t="s">
        <v>11</v>
      </c>
      <c r="H16" s="7" t="s">
        <v>7</v>
      </c>
      <c r="I16" s="7" t="s">
        <v>70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21</v>
      </c>
      <c r="AC16" s="8">
        <v>6300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6300</v>
      </c>
      <c r="BN16" s="14">
        <f t="shared" si="0"/>
        <v>6300</v>
      </c>
      <c r="BO16" s="15">
        <f t="shared" si="1"/>
        <v>4410</v>
      </c>
    </row>
    <row r="17" spans="1:67" x14ac:dyDescent="0.4">
      <c r="A17" s="5" t="s">
        <v>96</v>
      </c>
      <c r="B17" s="5" t="s">
        <v>71</v>
      </c>
      <c r="C17" s="5">
        <v>307024</v>
      </c>
      <c r="D17" s="6"/>
      <c r="E17" s="5" t="s">
        <v>33</v>
      </c>
      <c r="F17" s="5" t="s">
        <v>72</v>
      </c>
      <c r="G17" s="5" t="s">
        <v>11</v>
      </c>
      <c r="H17" s="7" t="s">
        <v>7</v>
      </c>
      <c r="I17" s="7" t="s">
        <v>73</v>
      </c>
      <c r="J17" s="7">
        <v>0</v>
      </c>
      <c r="K17" s="7">
        <v>161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11</v>
      </c>
      <c r="AC17" s="7">
        <v>200</v>
      </c>
      <c r="AD17" s="7">
        <v>900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1100</v>
      </c>
      <c r="BN17" s="14">
        <f t="shared" si="0"/>
        <v>1100</v>
      </c>
      <c r="BO17" s="15">
        <f t="shared" si="1"/>
        <v>770</v>
      </c>
    </row>
    <row r="18" spans="1:67" x14ac:dyDescent="0.4">
      <c r="A18" s="5" t="s">
        <v>96</v>
      </c>
      <c r="B18" s="5" t="s">
        <v>74</v>
      </c>
      <c r="C18" s="5">
        <v>323829</v>
      </c>
      <c r="D18" s="6"/>
      <c r="E18" s="5" t="s">
        <v>33</v>
      </c>
      <c r="F18" s="5" t="s">
        <v>75</v>
      </c>
      <c r="G18" s="5" t="s">
        <v>11</v>
      </c>
      <c r="H18" s="7" t="s">
        <v>7</v>
      </c>
      <c r="I18" s="7" t="s">
        <v>76</v>
      </c>
      <c r="J18" s="7">
        <v>0</v>
      </c>
      <c r="K18" s="7">
        <v>10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5</v>
      </c>
      <c r="AC18" s="7">
        <v>500</v>
      </c>
      <c r="AD18" s="7">
        <v>0</v>
      </c>
      <c r="AE18" s="7">
        <v>2</v>
      </c>
      <c r="AF18" s="7">
        <v>600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1100</v>
      </c>
      <c r="BN18" s="14">
        <f t="shared" si="0"/>
        <v>1100</v>
      </c>
      <c r="BO18" s="15">
        <f t="shared" si="1"/>
        <v>770</v>
      </c>
    </row>
    <row r="19" spans="1:67" x14ac:dyDescent="0.4">
      <c r="A19" s="5" t="s">
        <v>96</v>
      </c>
      <c r="B19" s="5" t="s">
        <v>77</v>
      </c>
      <c r="C19" s="5">
        <v>436040</v>
      </c>
      <c r="D19" s="6"/>
      <c r="E19" s="5" t="s">
        <v>33</v>
      </c>
      <c r="F19" s="5" t="s">
        <v>78</v>
      </c>
      <c r="G19" s="5" t="s">
        <v>11</v>
      </c>
      <c r="H19" s="7" t="s">
        <v>8</v>
      </c>
      <c r="I19" s="7" t="s">
        <v>79</v>
      </c>
      <c r="J19" s="7">
        <v>0</v>
      </c>
      <c r="K19" s="7">
        <v>248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5</v>
      </c>
      <c r="AC19" s="7">
        <v>400</v>
      </c>
      <c r="AD19" s="7">
        <v>600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1000</v>
      </c>
      <c r="BN19" s="14">
        <f t="shared" si="0"/>
        <v>1000</v>
      </c>
      <c r="BO19" s="15">
        <f t="shared" si="1"/>
        <v>700</v>
      </c>
    </row>
    <row r="20" spans="1:67" x14ac:dyDescent="0.4">
      <c r="A20" s="5" t="s">
        <v>96</v>
      </c>
      <c r="B20" s="5" t="s">
        <v>80</v>
      </c>
      <c r="C20" s="5">
        <v>464964</v>
      </c>
      <c r="D20" s="6"/>
      <c r="E20" s="5" t="s">
        <v>33</v>
      </c>
      <c r="F20" s="5" t="s">
        <v>81</v>
      </c>
      <c r="G20" s="5" t="s">
        <v>11</v>
      </c>
      <c r="H20" s="7" t="s">
        <v>7</v>
      </c>
      <c r="I20" s="7" t="s">
        <v>28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200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</v>
      </c>
      <c r="AR20" s="7">
        <v>500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700</v>
      </c>
      <c r="BN20" s="14">
        <f t="shared" si="0"/>
        <v>700</v>
      </c>
      <c r="BO20" s="15">
        <f t="shared" si="1"/>
        <v>489.99999999999994</v>
      </c>
    </row>
    <row r="21" spans="1:67" ht="19.2" x14ac:dyDescent="0.4">
      <c r="A21" s="5" t="s">
        <v>96</v>
      </c>
      <c r="B21" s="5" t="s">
        <v>82</v>
      </c>
      <c r="C21" s="5">
        <v>405596</v>
      </c>
      <c r="D21" s="6"/>
      <c r="E21" s="5" t="s">
        <v>33</v>
      </c>
      <c r="F21" s="5" t="s">
        <v>83</v>
      </c>
      <c r="G21" s="5" t="s">
        <v>11</v>
      </c>
      <c r="H21" s="7" t="s">
        <v>7</v>
      </c>
      <c r="I21" s="7" t="s">
        <v>84</v>
      </c>
      <c r="J21" s="7">
        <v>0</v>
      </c>
      <c r="K21" s="7">
        <v>416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0</v>
      </c>
      <c r="AD21" s="7">
        <v>100</v>
      </c>
      <c r="AE21" s="7">
        <v>1</v>
      </c>
      <c r="AF21" s="7">
        <v>0</v>
      </c>
      <c r="AG21" s="7">
        <v>200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300</v>
      </c>
      <c r="BN21" s="14">
        <f t="shared" si="0"/>
        <v>300</v>
      </c>
      <c r="BO21" s="15">
        <f t="shared" si="1"/>
        <v>210</v>
      </c>
    </row>
    <row r="22" spans="1:67" ht="19.2" x14ac:dyDescent="0.4">
      <c r="A22" s="5" t="s">
        <v>96</v>
      </c>
      <c r="B22" s="5" t="s">
        <v>91</v>
      </c>
      <c r="C22" s="5">
        <v>414835</v>
      </c>
      <c r="D22" s="6"/>
      <c r="E22" s="5" t="s">
        <v>33</v>
      </c>
      <c r="F22" s="5" t="s">
        <v>92</v>
      </c>
      <c r="G22" s="5" t="s">
        <v>11</v>
      </c>
      <c r="H22" s="7" t="s">
        <v>7</v>
      </c>
      <c r="I22" s="7" t="s">
        <v>30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2</v>
      </c>
      <c r="AC22" s="7">
        <v>200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200</v>
      </c>
      <c r="BN22" s="14">
        <f t="shared" si="0"/>
        <v>200</v>
      </c>
      <c r="BO22" s="15">
        <f t="shared" si="1"/>
        <v>140</v>
      </c>
    </row>
    <row r="23" spans="1:67" x14ac:dyDescent="0.4">
      <c r="A23" s="5" t="s">
        <v>96</v>
      </c>
      <c r="B23" s="5" t="s">
        <v>85</v>
      </c>
      <c r="C23" s="5">
        <v>458180</v>
      </c>
      <c r="D23" s="6"/>
      <c r="E23" s="5" t="s">
        <v>33</v>
      </c>
      <c r="F23" s="5" t="s">
        <v>86</v>
      </c>
      <c r="G23" s="5" t="s">
        <v>11</v>
      </c>
      <c r="H23" s="7" t="s">
        <v>7</v>
      </c>
      <c r="I23" s="7" t="s">
        <v>87</v>
      </c>
      <c r="J23" s="7">
        <v>0</v>
      </c>
      <c r="K23" s="7">
        <v>21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0</v>
      </c>
      <c r="AD23" s="7">
        <v>200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200</v>
      </c>
      <c r="BN23" s="14">
        <f t="shared" si="0"/>
        <v>200</v>
      </c>
      <c r="BO23" s="15">
        <f t="shared" si="1"/>
        <v>140</v>
      </c>
    </row>
    <row r="24" spans="1:67" x14ac:dyDescent="0.4">
      <c r="A24" s="5" t="s">
        <v>96</v>
      </c>
      <c r="B24" s="5" t="s">
        <v>88</v>
      </c>
      <c r="C24" s="5">
        <v>336507</v>
      </c>
      <c r="D24" s="6"/>
      <c r="E24" s="5" t="s">
        <v>33</v>
      </c>
      <c r="F24" s="5" t="s">
        <v>89</v>
      </c>
      <c r="G24" s="5" t="s">
        <v>11</v>
      </c>
      <c r="H24" s="7" t="s">
        <v>8</v>
      </c>
      <c r="I24" s="7" t="s">
        <v>90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200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200</v>
      </c>
      <c r="BN24" s="14">
        <f t="shared" si="0"/>
        <v>200</v>
      </c>
      <c r="BO24" s="15">
        <f t="shared" si="1"/>
        <v>140</v>
      </c>
    </row>
    <row r="25" spans="1:67" x14ac:dyDescent="0.4">
      <c r="A25" s="5" t="s">
        <v>96</v>
      </c>
      <c r="B25" s="5" t="s">
        <v>93</v>
      </c>
      <c r="C25" s="5">
        <v>463278</v>
      </c>
      <c r="D25" s="6"/>
      <c r="E25" s="5" t="s">
        <v>33</v>
      </c>
      <c r="F25" s="5" t="s">
        <v>94</v>
      </c>
      <c r="G25" s="5" t="s">
        <v>11</v>
      </c>
      <c r="H25" s="7" t="s">
        <v>7</v>
      </c>
      <c r="I25" s="7" t="s">
        <v>95</v>
      </c>
      <c r="J25" s="7">
        <v>0</v>
      </c>
      <c r="K25" s="7">
        <v>14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1">
        <v>0</v>
      </c>
      <c r="BN25" s="14">
        <f t="shared" si="0"/>
        <v>0</v>
      </c>
      <c r="BO25" s="15">
        <f t="shared" si="1"/>
        <v>0</v>
      </c>
    </row>
    <row r="26" spans="1:67" ht="19.2" x14ac:dyDescent="0.4">
      <c r="A26" s="5" t="s">
        <v>98</v>
      </c>
      <c r="B26" s="5" t="s">
        <v>32</v>
      </c>
      <c r="C26" s="5">
        <v>435954</v>
      </c>
      <c r="D26" s="6"/>
      <c r="E26" s="5" t="s">
        <v>33</v>
      </c>
      <c r="F26" s="5" t="s">
        <v>34</v>
      </c>
      <c r="G26" s="5" t="s">
        <v>11</v>
      </c>
      <c r="H26" s="7" t="s">
        <v>7</v>
      </c>
      <c r="I26" s="7" t="s">
        <v>29</v>
      </c>
      <c r="J26" s="7">
        <v>1</v>
      </c>
      <c r="K26" s="8">
        <v>1950</v>
      </c>
      <c r="L26" s="7">
        <v>200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221</v>
      </c>
      <c r="AC26" s="8">
        <v>20800</v>
      </c>
      <c r="AD26" s="8">
        <v>23400</v>
      </c>
      <c r="AE26" s="7">
        <v>26</v>
      </c>
      <c r="AF26" s="8">
        <v>4800</v>
      </c>
      <c r="AG26" s="8">
        <v>5600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97</v>
      </c>
      <c r="AO26" s="8">
        <v>19400</v>
      </c>
      <c r="AP26" s="7">
        <v>0</v>
      </c>
      <c r="AQ26" s="7">
        <v>1</v>
      </c>
      <c r="AR26" s="7">
        <v>400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74600</v>
      </c>
      <c r="BN26" s="14">
        <f t="shared" si="0"/>
        <v>74600</v>
      </c>
      <c r="BO26" s="15">
        <f t="shared" si="1"/>
        <v>52220</v>
      </c>
    </row>
    <row r="27" spans="1:67" ht="19.2" x14ac:dyDescent="0.4">
      <c r="A27" s="5" t="s">
        <v>98</v>
      </c>
      <c r="B27" s="5" t="s">
        <v>37</v>
      </c>
      <c r="C27" s="5">
        <v>434897</v>
      </c>
      <c r="D27" s="6"/>
      <c r="E27" s="5" t="s">
        <v>33</v>
      </c>
      <c r="F27" s="5" t="s">
        <v>38</v>
      </c>
      <c r="G27" s="5" t="s">
        <v>11</v>
      </c>
      <c r="H27" s="7" t="s">
        <v>8</v>
      </c>
      <c r="I27" s="7" t="s">
        <v>39</v>
      </c>
      <c r="J27" s="7">
        <v>2</v>
      </c>
      <c r="K27" s="8">
        <v>1588</v>
      </c>
      <c r="L27" s="7">
        <v>400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138</v>
      </c>
      <c r="AC27" s="8">
        <v>13100</v>
      </c>
      <c r="AD27" s="8">
        <v>14500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5</v>
      </c>
      <c r="AO27" s="8">
        <v>1000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29000</v>
      </c>
      <c r="BN27" s="14">
        <f t="shared" si="0"/>
        <v>29000</v>
      </c>
      <c r="BO27" s="15">
        <f t="shared" si="1"/>
        <v>20300</v>
      </c>
    </row>
    <row r="28" spans="1:67" ht="19.2" x14ac:dyDescent="0.4">
      <c r="A28" s="5" t="s">
        <v>98</v>
      </c>
      <c r="B28" s="5" t="s">
        <v>40</v>
      </c>
      <c r="C28" s="5">
        <v>465461</v>
      </c>
      <c r="D28" s="6"/>
      <c r="E28" s="5" t="s">
        <v>33</v>
      </c>
      <c r="F28" s="5" t="s">
        <v>41</v>
      </c>
      <c r="G28" s="5" t="s">
        <v>11</v>
      </c>
      <c r="H28" s="7" t="s">
        <v>7</v>
      </c>
      <c r="I28" s="7" t="s">
        <v>42</v>
      </c>
      <c r="J28" s="7">
        <v>0</v>
      </c>
      <c r="K28" s="7">
        <v>164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59</v>
      </c>
      <c r="AC28" s="8">
        <v>11000</v>
      </c>
      <c r="AD28" s="7">
        <v>800</v>
      </c>
      <c r="AE28" s="7">
        <v>29</v>
      </c>
      <c r="AF28" s="8">
        <v>9900</v>
      </c>
      <c r="AG28" s="8">
        <v>1700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23400</v>
      </c>
      <c r="BN28" s="14">
        <f t="shared" si="0"/>
        <v>23400</v>
      </c>
      <c r="BO28" s="15">
        <f t="shared" si="1"/>
        <v>16379.999999999998</v>
      </c>
    </row>
    <row r="29" spans="1:67" ht="19.2" x14ac:dyDescent="0.4">
      <c r="A29" s="5" t="s">
        <v>98</v>
      </c>
      <c r="B29" s="5" t="s">
        <v>45</v>
      </c>
      <c r="C29" s="5">
        <v>383201</v>
      </c>
      <c r="D29" s="6"/>
      <c r="E29" s="5" t="s">
        <v>33</v>
      </c>
      <c r="F29" s="5" t="s">
        <v>46</v>
      </c>
      <c r="G29" s="5" t="s">
        <v>11</v>
      </c>
      <c r="H29" s="7" t="s">
        <v>7</v>
      </c>
      <c r="I29" s="7" t="s">
        <v>47</v>
      </c>
      <c r="J29" s="7">
        <v>0</v>
      </c>
      <c r="K29" s="7">
        <v>7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110</v>
      </c>
      <c r="AC29" s="8">
        <v>20100</v>
      </c>
      <c r="AD29" s="8">
        <v>1900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22000</v>
      </c>
      <c r="BN29" s="14">
        <f t="shared" si="0"/>
        <v>22000</v>
      </c>
      <c r="BO29" s="15">
        <f t="shared" si="1"/>
        <v>15399.999999999998</v>
      </c>
    </row>
    <row r="30" spans="1:67" ht="19.2" x14ac:dyDescent="0.4">
      <c r="A30" s="5" t="s">
        <v>98</v>
      </c>
      <c r="B30" s="5" t="s">
        <v>59</v>
      </c>
      <c r="C30" s="5">
        <v>423525</v>
      </c>
      <c r="D30" s="6"/>
      <c r="E30" s="5" t="s">
        <v>33</v>
      </c>
      <c r="F30" s="5" t="s">
        <v>60</v>
      </c>
      <c r="G30" s="5" t="s">
        <v>11</v>
      </c>
      <c r="H30" s="7" t="s">
        <v>7</v>
      </c>
      <c r="I30" s="7" t="s">
        <v>42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64</v>
      </c>
      <c r="AC30" s="8">
        <v>10300</v>
      </c>
      <c r="AD30" s="8">
        <v>2500</v>
      </c>
      <c r="AE30" s="7">
        <v>8</v>
      </c>
      <c r="AF30" s="8">
        <v>3200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9</v>
      </c>
      <c r="AO30" s="8">
        <v>1700</v>
      </c>
      <c r="AP30" s="7">
        <v>100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17800</v>
      </c>
      <c r="BN30" s="14">
        <f t="shared" si="0"/>
        <v>17800</v>
      </c>
      <c r="BO30" s="15">
        <f t="shared" si="1"/>
        <v>12460</v>
      </c>
    </row>
    <row r="31" spans="1:67" ht="19.2" x14ac:dyDescent="0.4">
      <c r="A31" s="5" t="s">
        <v>98</v>
      </c>
      <c r="B31" s="5" t="s">
        <v>48</v>
      </c>
      <c r="C31" s="5">
        <v>351846</v>
      </c>
      <c r="D31" s="6"/>
      <c r="E31" s="5" t="s">
        <v>33</v>
      </c>
      <c r="F31" s="5" t="s">
        <v>49</v>
      </c>
      <c r="G31" s="5" t="s">
        <v>11</v>
      </c>
      <c r="H31" s="7" t="s">
        <v>7</v>
      </c>
      <c r="I31" s="7" t="s">
        <v>50</v>
      </c>
      <c r="J31" s="7">
        <v>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168</v>
      </c>
      <c r="AC31" s="8">
        <v>16800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16800</v>
      </c>
      <c r="BN31" s="14">
        <f t="shared" si="0"/>
        <v>16800</v>
      </c>
      <c r="BO31" s="15">
        <f t="shared" si="1"/>
        <v>11760</v>
      </c>
    </row>
    <row r="32" spans="1:67" ht="19.2" x14ac:dyDescent="0.4">
      <c r="A32" s="5" t="s">
        <v>98</v>
      </c>
      <c r="B32" s="5" t="s">
        <v>54</v>
      </c>
      <c r="C32" s="5">
        <v>467630</v>
      </c>
      <c r="D32" s="6"/>
      <c r="E32" s="5" t="s">
        <v>33</v>
      </c>
      <c r="F32" s="5" t="s">
        <v>55</v>
      </c>
      <c r="G32" s="5" t="s">
        <v>11</v>
      </c>
      <c r="H32" s="7" t="s">
        <v>8</v>
      </c>
      <c r="I32" s="7" t="s">
        <v>31</v>
      </c>
      <c r="J32" s="7">
        <v>0</v>
      </c>
      <c r="K32" s="7">
        <v>25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200</v>
      </c>
      <c r="AD32" s="7">
        <v>0</v>
      </c>
      <c r="AE32" s="7">
        <v>1</v>
      </c>
      <c r="AF32" s="7">
        <v>400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79</v>
      </c>
      <c r="AO32" s="8">
        <v>15800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16400</v>
      </c>
      <c r="BN32" s="14">
        <f t="shared" si="0"/>
        <v>16400</v>
      </c>
      <c r="BO32" s="15">
        <f t="shared" si="1"/>
        <v>11480</v>
      </c>
    </row>
    <row r="33" spans="1:67" ht="19.2" x14ac:dyDescent="0.4">
      <c r="A33" s="5" t="s">
        <v>98</v>
      </c>
      <c r="B33" s="5" t="s">
        <v>35</v>
      </c>
      <c r="C33" s="5">
        <v>465463</v>
      </c>
      <c r="D33" s="6"/>
      <c r="E33" s="5" t="s">
        <v>33</v>
      </c>
      <c r="F33" s="5" t="s">
        <v>36</v>
      </c>
      <c r="G33" s="5" t="s">
        <v>11</v>
      </c>
      <c r="H33" s="7" t="s">
        <v>10</v>
      </c>
      <c r="I33" s="7" t="s">
        <v>28</v>
      </c>
      <c r="J33" s="7">
        <v>0</v>
      </c>
      <c r="K33" s="7">
        <v>90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36</v>
      </c>
      <c r="AC33" s="8">
        <v>6400</v>
      </c>
      <c r="AD33" s="7">
        <v>800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7200</v>
      </c>
      <c r="BN33" s="14">
        <f t="shared" si="0"/>
        <v>7200</v>
      </c>
      <c r="BO33" s="15">
        <f t="shared" si="1"/>
        <v>5040</v>
      </c>
    </row>
    <row r="34" spans="1:67" ht="19.2" x14ac:dyDescent="0.4">
      <c r="A34" s="5" t="s">
        <v>98</v>
      </c>
      <c r="B34" s="5" t="s">
        <v>43</v>
      </c>
      <c r="C34" s="5">
        <v>432749</v>
      </c>
      <c r="D34" s="6"/>
      <c r="E34" s="5" t="s">
        <v>33</v>
      </c>
      <c r="F34" s="5" t="s">
        <v>44</v>
      </c>
      <c r="G34" s="5" t="s">
        <v>11</v>
      </c>
      <c r="H34" s="7" t="s">
        <v>7</v>
      </c>
      <c r="I34" s="7" t="s">
        <v>29</v>
      </c>
      <c r="J34" s="7">
        <v>4</v>
      </c>
      <c r="K34" s="8">
        <v>1201</v>
      </c>
      <c r="L34" s="7">
        <v>800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17</v>
      </c>
      <c r="AC34" s="7">
        <v>800</v>
      </c>
      <c r="AD34" s="8">
        <v>2600</v>
      </c>
      <c r="AE34" s="7">
        <v>5</v>
      </c>
      <c r="AF34" s="8">
        <v>2000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1</v>
      </c>
      <c r="AO34" s="7">
        <v>200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6400</v>
      </c>
      <c r="BN34" s="14">
        <f t="shared" si="0"/>
        <v>6400</v>
      </c>
      <c r="BO34" s="15">
        <f t="shared" si="1"/>
        <v>4480</v>
      </c>
    </row>
    <row r="35" spans="1:67" ht="19.2" x14ac:dyDescent="0.4">
      <c r="A35" s="5" t="s">
        <v>98</v>
      </c>
      <c r="B35" s="5" t="s">
        <v>66</v>
      </c>
      <c r="C35" s="5">
        <v>465658</v>
      </c>
      <c r="D35" s="6"/>
      <c r="E35" s="5" t="s">
        <v>33</v>
      </c>
      <c r="F35" s="5" t="s">
        <v>67</v>
      </c>
      <c r="G35" s="5" t="s">
        <v>11</v>
      </c>
      <c r="H35" s="7" t="s">
        <v>7</v>
      </c>
      <c r="I35" s="7" t="s">
        <v>42</v>
      </c>
      <c r="J35" s="7">
        <v>0</v>
      </c>
      <c r="K35" s="7">
        <v>110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24</v>
      </c>
      <c r="AC35" s="8">
        <v>4600</v>
      </c>
      <c r="AD35" s="7">
        <v>200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4800</v>
      </c>
      <c r="BN35" s="14">
        <f t="shared" si="0"/>
        <v>4800</v>
      </c>
      <c r="BO35" s="15">
        <f t="shared" si="1"/>
        <v>3360</v>
      </c>
    </row>
    <row r="36" spans="1:67" ht="19.2" x14ac:dyDescent="0.4">
      <c r="A36" s="5" t="s">
        <v>98</v>
      </c>
      <c r="B36" s="5" t="s">
        <v>61</v>
      </c>
      <c r="C36" s="5">
        <v>403837</v>
      </c>
      <c r="D36" s="6"/>
      <c r="E36" s="5" t="s">
        <v>33</v>
      </c>
      <c r="F36" s="5" t="s">
        <v>62</v>
      </c>
      <c r="G36" s="5" t="s">
        <v>11</v>
      </c>
      <c r="H36" s="7" t="s">
        <v>7</v>
      </c>
      <c r="I36" s="7" t="s">
        <v>63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17</v>
      </c>
      <c r="AC36" s="8">
        <v>3400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3400</v>
      </c>
      <c r="BN36" s="14">
        <f t="shared" si="0"/>
        <v>3400</v>
      </c>
      <c r="BO36" s="15">
        <f t="shared" si="1"/>
        <v>2380</v>
      </c>
    </row>
    <row r="37" spans="1:67" ht="19.2" x14ac:dyDescent="0.4">
      <c r="A37" s="5" t="s">
        <v>98</v>
      </c>
      <c r="B37" s="5" t="s">
        <v>97</v>
      </c>
      <c r="C37" s="5">
        <v>412451</v>
      </c>
      <c r="D37" s="6"/>
      <c r="E37" s="5" t="s">
        <v>33</v>
      </c>
      <c r="F37" s="5" t="s">
        <v>57</v>
      </c>
      <c r="G37" s="5" t="s">
        <v>11</v>
      </c>
      <c r="H37" s="7" t="s">
        <v>8</v>
      </c>
      <c r="I37" s="7" t="s">
        <v>58</v>
      </c>
      <c r="J37" s="7">
        <v>1</v>
      </c>
      <c r="K37" s="7">
        <v>0</v>
      </c>
      <c r="L37" s="7">
        <v>200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3</v>
      </c>
      <c r="AC37" s="7">
        <v>100</v>
      </c>
      <c r="AD37" s="7">
        <v>500</v>
      </c>
      <c r="AE37" s="7">
        <v>2</v>
      </c>
      <c r="AF37" s="7">
        <v>800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1600</v>
      </c>
      <c r="BN37" s="14">
        <f t="shared" si="0"/>
        <v>1600</v>
      </c>
      <c r="BO37" s="15">
        <f t="shared" si="1"/>
        <v>1120</v>
      </c>
    </row>
    <row r="38" spans="1:67" ht="19.2" x14ac:dyDescent="0.4">
      <c r="A38" s="5" t="s">
        <v>98</v>
      </c>
      <c r="B38" s="5" t="s">
        <v>51</v>
      </c>
      <c r="C38" s="5">
        <v>448747</v>
      </c>
      <c r="D38" s="6"/>
      <c r="E38" s="5" t="s">
        <v>33</v>
      </c>
      <c r="F38" s="5" t="s">
        <v>52</v>
      </c>
      <c r="G38" s="5" t="s">
        <v>11</v>
      </c>
      <c r="H38" s="7" t="s">
        <v>7</v>
      </c>
      <c r="I38" s="7" t="s">
        <v>53</v>
      </c>
      <c r="J38" s="7">
        <v>0</v>
      </c>
      <c r="K38" s="7">
        <v>379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6</v>
      </c>
      <c r="AC38" s="7">
        <v>100</v>
      </c>
      <c r="AD38" s="8">
        <v>1100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1200</v>
      </c>
      <c r="BN38" s="14">
        <f t="shared" si="0"/>
        <v>1200</v>
      </c>
      <c r="BO38" s="15">
        <f t="shared" si="1"/>
        <v>840</v>
      </c>
    </row>
    <row r="39" spans="1:67" ht="19.2" x14ac:dyDescent="0.4">
      <c r="A39" s="5" t="s">
        <v>98</v>
      </c>
      <c r="B39" s="5" t="s">
        <v>77</v>
      </c>
      <c r="C39" s="5">
        <v>436040</v>
      </c>
      <c r="D39" s="6"/>
      <c r="E39" s="5" t="s">
        <v>33</v>
      </c>
      <c r="F39" s="5" t="s">
        <v>78</v>
      </c>
      <c r="G39" s="5" t="s">
        <v>11</v>
      </c>
      <c r="H39" s="7" t="s">
        <v>8</v>
      </c>
      <c r="I39" s="7" t="s">
        <v>79</v>
      </c>
      <c r="J39" s="7">
        <v>0</v>
      </c>
      <c r="K39" s="7">
        <v>51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3</v>
      </c>
      <c r="AC39" s="7">
        <v>600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600</v>
      </c>
      <c r="BN39" s="14">
        <f t="shared" si="0"/>
        <v>600</v>
      </c>
      <c r="BO39" s="15">
        <f t="shared" si="1"/>
        <v>420</v>
      </c>
    </row>
    <row r="40" spans="1:67" ht="19.2" x14ac:dyDescent="0.4">
      <c r="A40" s="5" t="s">
        <v>98</v>
      </c>
      <c r="B40" s="5" t="s">
        <v>68</v>
      </c>
      <c r="C40" s="5">
        <v>419155</v>
      </c>
      <c r="D40" s="6"/>
      <c r="E40" s="5" t="s">
        <v>33</v>
      </c>
      <c r="F40" s="5" t="s">
        <v>69</v>
      </c>
      <c r="G40" s="5" t="s">
        <v>11</v>
      </c>
      <c r="H40" s="7" t="s">
        <v>7</v>
      </c>
      <c r="I40" s="7" t="s">
        <v>70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</v>
      </c>
      <c r="AC40" s="7">
        <v>300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300</v>
      </c>
      <c r="BN40" s="14">
        <f t="shared" si="0"/>
        <v>300</v>
      </c>
      <c r="BO40" s="15">
        <f t="shared" si="1"/>
        <v>210</v>
      </c>
    </row>
    <row r="41" spans="1:67" ht="19.2" x14ac:dyDescent="0.4">
      <c r="A41" s="5" t="s">
        <v>98</v>
      </c>
      <c r="B41" s="5" t="s">
        <v>74</v>
      </c>
      <c r="C41" s="5">
        <v>323829</v>
      </c>
      <c r="D41" s="6"/>
      <c r="E41" s="5" t="s">
        <v>33</v>
      </c>
      <c r="F41" s="5" t="s">
        <v>75</v>
      </c>
      <c r="G41" s="5" t="s">
        <v>11</v>
      </c>
      <c r="H41" s="7" t="s">
        <v>7</v>
      </c>
      <c r="I41" s="7" t="s">
        <v>76</v>
      </c>
      <c r="J41" s="7">
        <v>0</v>
      </c>
      <c r="K41" s="7">
        <v>2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2</v>
      </c>
      <c r="AC41" s="7">
        <v>200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200</v>
      </c>
      <c r="BN41" s="14">
        <f t="shared" si="0"/>
        <v>200</v>
      </c>
      <c r="BO41" s="15">
        <f t="shared" si="1"/>
        <v>140</v>
      </c>
    </row>
    <row r="42" spans="1:67" ht="19.2" x14ac:dyDescent="0.4">
      <c r="A42" s="5" t="s">
        <v>98</v>
      </c>
      <c r="B42" s="5" t="s">
        <v>85</v>
      </c>
      <c r="C42" s="5">
        <v>458180</v>
      </c>
      <c r="D42" s="6"/>
      <c r="E42" s="5" t="s">
        <v>33</v>
      </c>
      <c r="F42" s="5" t="s">
        <v>86</v>
      </c>
      <c r="G42" s="5" t="s">
        <v>11</v>
      </c>
      <c r="H42" s="7" t="s">
        <v>7</v>
      </c>
      <c r="I42" s="7" t="s">
        <v>87</v>
      </c>
      <c r="J42" s="7">
        <v>0</v>
      </c>
      <c r="K42" s="7">
        <v>18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0</v>
      </c>
      <c r="BN42" s="14">
        <f t="shared" si="0"/>
        <v>0</v>
      </c>
      <c r="BO42" s="15">
        <f t="shared" si="1"/>
        <v>0</v>
      </c>
    </row>
    <row r="43" spans="1:67" ht="19.2" x14ac:dyDescent="0.4">
      <c r="A43" s="5" t="s">
        <v>98</v>
      </c>
      <c r="B43" s="5" t="s">
        <v>93</v>
      </c>
      <c r="C43" s="5">
        <v>463278</v>
      </c>
      <c r="D43" s="6"/>
      <c r="E43" s="5" t="s">
        <v>33</v>
      </c>
      <c r="F43" s="5" t="s">
        <v>94</v>
      </c>
      <c r="G43" s="5" t="s">
        <v>11</v>
      </c>
      <c r="H43" s="7" t="s">
        <v>7</v>
      </c>
      <c r="I43" s="7" t="s">
        <v>95</v>
      </c>
      <c r="J43" s="7">
        <v>0</v>
      </c>
      <c r="K43" s="7">
        <v>4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1">
        <v>0</v>
      </c>
      <c r="BN43" s="14">
        <f t="shared" si="0"/>
        <v>0</v>
      </c>
      <c r="BO43" s="15">
        <f t="shared" si="1"/>
        <v>0</v>
      </c>
    </row>
    <row r="44" spans="1:67" ht="19.2" x14ac:dyDescent="0.4">
      <c r="A44" s="5" t="s">
        <v>98</v>
      </c>
      <c r="B44" s="5" t="s">
        <v>71</v>
      </c>
      <c r="C44" s="5">
        <v>307024</v>
      </c>
      <c r="D44" s="6"/>
      <c r="E44" s="5" t="s">
        <v>33</v>
      </c>
      <c r="F44" s="5" t="s">
        <v>72</v>
      </c>
      <c r="G44" s="5" t="s">
        <v>11</v>
      </c>
      <c r="H44" s="7" t="s">
        <v>7</v>
      </c>
      <c r="I44" s="7" t="s">
        <v>73</v>
      </c>
      <c r="J44" s="7">
        <v>0</v>
      </c>
      <c r="K44" s="7">
        <v>28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0</v>
      </c>
      <c r="BN44" s="14">
        <f t="shared" si="0"/>
        <v>0</v>
      </c>
      <c r="BO44" s="15">
        <f t="shared" si="1"/>
        <v>0</v>
      </c>
    </row>
    <row r="45" spans="1:67" ht="19.2" x14ac:dyDescent="0.4">
      <c r="A45" s="5" t="s">
        <v>98</v>
      </c>
      <c r="B45" s="5" t="s">
        <v>82</v>
      </c>
      <c r="C45" s="5">
        <v>405596</v>
      </c>
      <c r="D45" s="6"/>
      <c r="E45" s="5" t="s">
        <v>33</v>
      </c>
      <c r="F45" s="5" t="s">
        <v>83</v>
      </c>
      <c r="G45" s="5" t="s">
        <v>11</v>
      </c>
      <c r="H45" s="7" t="s">
        <v>7</v>
      </c>
      <c r="I45" s="7" t="s">
        <v>84</v>
      </c>
      <c r="J45" s="7">
        <v>0</v>
      </c>
      <c r="K45" s="7">
        <v>157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0</v>
      </c>
      <c r="BN45" s="14">
        <f t="shared" si="0"/>
        <v>0</v>
      </c>
      <c r="BO45" s="15">
        <f t="shared" si="1"/>
        <v>0</v>
      </c>
    </row>
    <row r="46" spans="1:67" x14ac:dyDescent="0.4">
      <c r="A46" s="5" t="s">
        <v>99</v>
      </c>
      <c r="B46" s="5" t="s">
        <v>32</v>
      </c>
      <c r="C46" s="5">
        <v>435954</v>
      </c>
      <c r="D46" s="6"/>
      <c r="E46" s="5" t="s">
        <v>33</v>
      </c>
      <c r="F46" s="5" t="s">
        <v>34</v>
      </c>
      <c r="G46" s="5" t="s">
        <v>11</v>
      </c>
      <c r="H46" s="7" t="s">
        <v>7</v>
      </c>
      <c r="I46" s="7" t="s">
        <v>29</v>
      </c>
      <c r="J46" s="7">
        <v>0</v>
      </c>
      <c r="K46" s="8">
        <v>1954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236</v>
      </c>
      <c r="AC46" s="8">
        <v>41600</v>
      </c>
      <c r="AD46" s="8">
        <v>5300</v>
      </c>
      <c r="AE46" s="7">
        <v>30</v>
      </c>
      <c r="AF46" s="8">
        <v>2800</v>
      </c>
      <c r="AG46" s="8">
        <v>9100</v>
      </c>
      <c r="AH46" s="7">
        <v>621</v>
      </c>
      <c r="AI46" s="8">
        <v>101364</v>
      </c>
      <c r="AJ46" s="8">
        <v>39500</v>
      </c>
      <c r="AK46" s="7">
        <v>107</v>
      </c>
      <c r="AL46" s="8">
        <v>16624</v>
      </c>
      <c r="AM46" s="8">
        <v>28900</v>
      </c>
      <c r="AN46" s="7">
        <v>88</v>
      </c>
      <c r="AO46" s="8">
        <v>17400</v>
      </c>
      <c r="AP46" s="7">
        <v>200</v>
      </c>
      <c r="AQ46" s="7">
        <v>21</v>
      </c>
      <c r="AR46" s="8">
        <v>8000</v>
      </c>
      <c r="AS46" s="7">
        <v>400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9">
        <v>35396.400000000001</v>
      </c>
      <c r="BM46" s="10">
        <v>271188</v>
      </c>
      <c r="BN46" s="14">
        <f t="shared" si="0"/>
        <v>235791.6</v>
      </c>
      <c r="BO46" s="15">
        <f t="shared" si="1"/>
        <v>165054.12</v>
      </c>
    </row>
    <row r="47" spans="1:67" x14ac:dyDescent="0.4">
      <c r="A47" s="5" t="s">
        <v>99</v>
      </c>
      <c r="B47" s="5" t="s">
        <v>40</v>
      </c>
      <c r="C47" s="5">
        <v>465461</v>
      </c>
      <c r="D47" s="6"/>
      <c r="E47" s="5" t="s">
        <v>33</v>
      </c>
      <c r="F47" s="5" t="s">
        <v>41</v>
      </c>
      <c r="G47" s="5" t="s">
        <v>11</v>
      </c>
      <c r="H47" s="7" t="s">
        <v>7</v>
      </c>
      <c r="I47" s="7" t="s">
        <v>42</v>
      </c>
      <c r="J47" s="7">
        <v>0</v>
      </c>
      <c r="K47" s="7">
        <v>54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4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180</v>
      </c>
      <c r="AC47" s="8">
        <v>23900</v>
      </c>
      <c r="AD47" s="8">
        <v>11800</v>
      </c>
      <c r="AE47" s="7">
        <v>55</v>
      </c>
      <c r="AF47" s="8">
        <v>16400</v>
      </c>
      <c r="AG47" s="8">
        <v>5300</v>
      </c>
      <c r="AH47" s="7">
        <v>243</v>
      </c>
      <c r="AI47" s="8">
        <v>48696</v>
      </c>
      <c r="AJ47" s="8">
        <v>7700</v>
      </c>
      <c r="AK47" s="7">
        <v>7</v>
      </c>
      <c r="AL47" s="8">
        <v>2280</v>
      </c>
      <c r="AM47" s="7">
        <v>800</v>
      </c>
      <c r="AN47" s="7">
        <v>7</v>
      </c>
      <c r="AO47" s="8">
        <v>1200</v>
      </c>
      <c r="AP47" s="7">
        <v>200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9">
        <v>15292.8</v>
      </c>
      <c r="BM47" s="10">
        <v>118276</v>
      </c>
      <c r="BN47" s="14">
        <f t="shared" si="0"/>
        <v>102983.2</v>
      </c>
      <c r="BO47" s="15">
        <f t="shared" si="1"/>
        <v>72088.239999999991</v>
      </c>
    </row>
    <row r="48" spans="1:67" ht="19.2" x14ac:dyDescent="0.4">
      <c r="A48" s="5" t="s">
        <v>99</v>
      </c>
      <c r="B48" s="5" t="s">
        <v>37</v>
      </c>
      <c r="C48" s="5">
        <v>434897</v>
      </c>
      <c r="D48" s="6"/>
      <c r="E48" s="5" t="s">
        <v>33</v>
      </c>
      <c r="F48" s="5" t="s">
        <v>38</v>
      </c>
      <c r="G48" s="5" t="s">
        <v>11</v>
      </c>
      <c r="H48" s="7" t="s">
        <v>8</v>
      </c>
      <c r="I48" s="7" t="s">
        <v>39</v>
      </c>
      <c r="J48" s="7">
        <v>3</v>
      </c>
      <c r="K48" s="7">
        <v>431</v>
      </c>
      <c r="L48" s="7">
        <v>600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104</v>
      </c>
      <c r="AC48" s="8">
        <v>20800</v>
      </c>
      <c r="AD48" s="7">
        <v>0</v>
      </c>
      <c r="AE48" s="7">
        <v>0</v>
      </c>
      <c r="AF48" s="7">
        <v>0</v>
      </c>
      <c r="AG48" s="7">
        <v>0</v>
      </c>
      <c r="AH48" s="7">
        <v>85</v>
      </c>
      <c r="AI48" s="8">
        <v>19680</v>
      </c>
      <c r="AJ48" s="7">
        <v>600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5904</v>
      </c>
      <c r="BM48" s="10">
        <v>41680</v>
      </c>
      <c r="BN48" s="14">
        <f t="shared" si="0"/>
        <v>35776</v>
      </c>
      <c r="BO48" s="15">
        <f t="shared" si="1"/>
        <v>25043.199999999997</v>
      </c>
    </row>
    <row r="49" spans="1:67" x14ac:dyDescent="0.4">
      <c r="A49" s="5" t="s">
        <v>99</v>
      </c>
      <c r="B49" s="5" t="s">
        <v>45</v>
      </c>
      <c r="C49" s="5">
        <v>383201</v>
      </c>
      <c r="D49" s="6"/>
      <c r="E49" s="5" t="s">
        <v>33</v>
      </c>
      <c r="F49" s="5" t="s">
        <v>46</v>
      </c>
      <c r="G49" s="5" t="s">
        <v>11</v>
      </c>
      <c r="H49" s="7" t="s">
        <v>7</v>
      </c>
      <c r="I49" s="7" t="s">
        <v>47</v>
      </c>
      <c r="J49" s="7">
        <v>0</v>
      </c>
      <c r="K49" s="7">
        <v>7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20</v>
      </c>
      <c r="AC49" s="8">
        <v>2800</v>
      </c>
      <c r="AD49" s="8">
        <v>1200</v>
      </c>
      <c r="AE49" s="7">
        <v>0</v>
      </c>
      <c r="AF49" s="7">
        <v>0</v>
      </c>
      <c r="AG49" s="7">
        <v>0</v>
      </c>
      <c r="AH49" s="7">
        <v>75</v>
      </c>
      <c r="AI49" s="8">
        <v>15120</v>
      </c>
      <c r="AJ49" s="8">
        <v>2200</v>
      </c>
      <c r="AK49" s="7">
        <v>1</v>
      </c>
      <c r="AL49" s="7">
        <v>480</v>
      </c>
      <c r="AM49" s="7">
        <v>0</v>
      </c>
      <c r="AN49" s="7">
        <v>74</v>
      </c>
      <c r="AO49" s="8">
        <v>14600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9">
        <v>4680</v>
      </c>
      <c r="BM49" s="10">
        <v>36400</v>
      </c>
      <c r="BN49" s="14">
        <f t="shared" si="0"/>
        <v>31720</v>
      </c>
      <c r="BO49" s="15">
        <f t="shared" si="1"/>
        <v>22204</v>
      </c>
    </row>
    <row r="50" spans="1:67" x14ac:dyDescent="0.4">
      <c r="A50" s="5" t="s">
        <v>99</v>
      </c>
      <c r="B50" s="5" t="s">
        <v>43</v>
      </c>
      <c r="C50" s="5">
        <v>432749</v>
      </c>
      <c r="D50" s="6"/>
      <c r="E50" s="5" t="s">
        <v>33</v>
      </c>
      <c r="F50" s="5" t="s">
        <v>44</v>
      </c>
      <c r="G50" s="5" t="s">
        <v>11</v>
      </c>
      <c r="H50" s="7" t="s">
        <v>7</v>
      </c>
      <c r="I50" s="7" t="s">
        <v>29</v>
      </c>
      <c r="J50" s="7">
        <v>4</v>
      </c>
      <c r="K50" s="8">
        <v>1661</v>
      </c>
      <c r="L50" s="7">
        <v>800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50</v>
      </c>
      <c r="AC50" s="8">
        <v>9600</v>
      </c>
      <c r="AD50" s="7">
        <v>300</v>
      </c>
      <c r="AE50" s="7">
        <v>5</v>
      </c>
      <c r="AF50" s="8">
        <v>1900</v>
      </c>
      <c r="AG50" s="7">
        <v>100</v>
      </c>
      <c r="AH50" s="7">
        <v>66</v>
      </c>
      <c r="AI50" s="8">
        <v>9360</v>
      </c>
      <c r="AJ50" s="8">
        <v>5300</v>
      </c>
      <c r="AK50" s="7">
        <v>0</v>
      </c>
      <c r="AL50" s="7">
        <v>0</v>
      </c>
      <c r="AM50" s="7">
        <v>0</v>
      </c>
      <c r="AN50" s="7">
        <v>13</v>
      </c>
      <c r="AO50" s="8">
        <v>2600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9">
        <v>2808</v>
      </c>
      <c r="BM50" s="10">
        <v>29960</v>
      </c>
      <c r="BN50" s="14">
        <f t="shared" si="0"/>
        <v>27152</v>
      </c>
      <c r="BO50" s="15">
        <f t="shared" si="1"/>
        <v>19006.399999999998</v>
      </c>
    </row>
    <row r="51" spans="1:67" x14ac:dyDescent="0.4">
      <c r="A51" s="5" t="s">
        <v>99</v>
      </c>
      <c r="B51" s="5" t="s">
        <v>61</v>
      </c>
      <c r="C51" s="5">
        <v>403837</v>
      </c>
      <c r="D51" s="6"/>
      <c r="E51" s="5" t="s">
        <v>33</v>
      </c>
      <c r="F51" s="5" t="s">
        <v>62</v>
      </c>
      <c r="G51" s="5" t="s">
        <v>11</v>
      </c>
      <c r="H51" s="7" t="s">
        <v>7</v>
      </c>
      <c r="I51" s="7" t="s">
        <v>63</v>
      </c>
      <c r="J51" s="7">
        <v>0</v>
      </c>
      <c r="K51" s="7">
        <v>7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15</v>
      </c>
      <c r="AC51" s="8">
        <v>3000</v>
      </c>
      <c r="AD51" s="7">
        <v>0</v>
      </c>
      <c r="AE51" s="7">
        <v>0</v>
      </c>
      <c r="AF51" s="7">
        <v>0</v>
      </c>
      <c r="AG51" s="7">
        <v>0</v>
      </c>
      <c r="AH51" s="7">
        <v>41</v>
      </c>
      <c r="AI51" s="8">
        <v>7440</v>
      </c>
      <c r="AJ51" s="8">
        <v>2000</v>
      </c>
      <c r="AK51" s="7">
        <v>0</v>
      </c>
      <c r="AL51" s="7">
        <v>0</v>
      </c>
      <c r="AM51" s="7">
        <v>0</v>
      </c>
      <c r="AN51" s="7">
        <v>39</v>
      </c>
      <c r="AO51" s="8">
        <v>7600</v>
      </c>
      <c r="AP51" s="7">
        <v>200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2232</v>
      </c>
      <c r="BM51" s="10">
        <v>20240</v>
      </c>
      <c r="BN51" s="14">
        <f t="shared" si="0"/>
        <v>18008</v>
      </c>
      <c r="BO51" s="15">
        <f t="shared" si="1"/>
        <v>12605.599999999999</v>
      </c>
    </row>
    <row r="52" spans="1:67" x14ac:dyDescent="0.4">
      <c r="A52" s="5" t="s">
        <v>99</v>
      </c>
      <c r="B52" s="5" t="s">
        <v>59</v>
      </c>
      <c r="C52" s="5">
        <v>423525</v>
      </c>
      <c r="D52" s="6"/>
      <c r="E52" s="5" t="s">
        <v>33</v>
      </c>
      <c r="F52" s="5" t="s">
        <v>60</v>
      </c>
      <c r="G52" s="5" t="s">
        <v>11</v>
      </c>
      <c r="H52" s="7" t="s">
        <v>7</v>
      </c>
      <c r="I52" s="7" t="s">
        <v>42</v>
      </c>
      <c r="J52" s="7">
        <v>0</v>
      </c>
      <c r="K52" s="7">
        <v>3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5</v>
      </c>
      <c r="AC52" s="8">
        <v>1000</v>
      </c>
      <c r="AD52" s="7">
        <v>0</v>
      </c>
      <c r="AE52" s="7">
        <v>0</v>
      </c>
      <c r="AF52" s="7">
        <v>0</v>
      </c>
      <c r="AG52" s="7">
        <v>0</v>
      </c>
      <c r="AH52" s="7">
        <v>52</v>
      </c>
      <c r="AI52" s="8">
        <v>12000</v>
      </c>
      <c r="AJ52" s="7">
        <v>400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3600</v>
      </c>
      <c r="BM52" s="10">
        <v>13400</v>
      </c>
      <c r="BN52" s="14">
        <f t="shared" si="0"/>
        <v>9800</v>
      </c>
      <c r="BO52" s="15">
        <f t="shared" si="1"/>
        <v>6860</v>
      </c>
    </row>
    <row r="53" spans="1:67" ht="19.2" x14ac:dyDescent="0.4">
      <c r="A53" s="5" t="s">
        <v>99</v>
      </c>
      <c r="B53" s="5" t="s">
        <v>56</v>
      </c>
      <c r="C53" s="5">
        <v>412451</v>
      </c>
      <c r="D53" s="6"/>
      <c r="E53" s="5" t="s">
        <v>33</v>
      </c>
      <c r="F53" s="5" t="s">
        <v>57</v>
      </c>
      <c r="G53" s="5" t="s">
        <v>11</v>
      </c>
      <c r="H53" s="7" t="s">
        <v>8</v>
      </c>
      <c r="I53" s="7" t="s">
        <v>58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5</v>
      </c>
      <c r="AC53" s="7">
        <v>600</v>
      </c>
      <c r="AD53" s="7">
        <v>400</v>
      </c>
      <c r="AE53" s="7">
        <v>0</v>
      </c>
      <c r="AF53" s="7">
        <v>0</v>
      </c>
      <c r="AG53" s="7">
        <v>0</v>
      </c>
      <c r="AH53" s="7">
        <v>27</v>
      </c>
      <c r="AI53" s="7">
        <v>0</v>
      </c>
      <c r="AJ53" s="8">
        <v>5400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6400</v>
      </c>
      <c r="BN53" s="14">
        <f t="shared" si="0"/>
        <v>6400</v>
      </c>
      <c r="BO53" s="15">
        <f t="shared" si="1"/>
        <v>4480</v>
      </c>
    </row>
    <row r="54" spans="1:67" x14ac:dyDescent="0.4">
      <c r="A54" s="5" t="s">
        <v>99</v>
      </c>
      <c r="B54" s="5" t="s">
        <v>35</v>
      </c>
      <c r="C54" s="5">
        <v>465463</v>
      </c>
      <c r="D54" s="6"/>
      <c r="E54" s="5" t="s">
        <v>33</v>
      </c>
      <c r="F54" s="5" t="s">
        <v>36</v>
      </c>
      <c r="G54" s="5" t="s">
        <v>11</v>
      </c>
      <c r="H54" s="7" t="s">
        <v>10</v>
      </c>
      <c r="I54" s="7" t="s">
        <v>28</v>
      </c>
      <c r="J54" s="7">
        <v>0</v>
      </c>
      <c r="K54" s="7">
        <v>66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28</v>
      </c>
      <c r="AC54" s="8">
        <v>1200</v>
      </c>
      <c r="AD54" s="8">
        <v>4400</v>
      </c>
      <c r="AE54" s="7">
        <v>0</v>
      </c>
      <c r="AF54" s="7">
        <v>0</v>
      </c>
      <c r="AG54" s="7">
        <v>0</v>
      </c>
      <c r="AH54" s="7">
        <v>3</v>
      </c>
      <c r="AI54" s="7">
        <v>720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216</v>
      </c>
      <c r="BM54" s="10">
        <v>6320</v>
      </c>
      <c r="BN54" s="14">
        <f t="shared" si="0"/>
        <v>6104</v>
      </c>
      <c r="BO54" s="15">
        <f t="shared" si="1"/>
        <v>4272.8</v>
      </c>
    </row>
    <row r="55" spans="1:67" x14ac:dyDescent="0.4">
      <c r="A55" s="5" t="s">
        <v>99</v>
      </c>
      <c r="B55" s="5" t="s">
        <v>66</v>
      </c>
      <c r="C55" s="5">
        <v>465658</v>
      </c>
      <c r="D55" s="6"/>
      <c r="E55" s="5" t="s">
        <v>33</v>
      </c>
      <c r="F55" s="5" t="s">
        <v>67</v>
      </c>
      <c r="G55" s="5" t="s">
        <v>11</v>
      </c>
      <c r="H55" s="7" t="s">
        <v>7</v>
      </c>
      <c r="I55" s="7" t="s">
        <v>42</v>
      </c>
      <c r="J55" s="7">
        <v>0</v>
      </c>
      <c r="K55" s="7">
        <v>11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3</v>
      </c>
      <c r="AC55" s="7">
        <v>600</v>
      </c>
      <c r="AD55" s="7">
        <v>0</v>
      </c>
      <c r="AE55" s="7">
        <v>0</v>
      </c>
      <c r="AF55" s="7">
        <v>0</v>
      </c>
      <c r="AG55" s="7">
        <v>0</v>
      </c>
      <c r="AH55" s="7">
        <v>21</v>
      </c>
      <c r="AI55" s="8">
        <v>5040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9">
        <v>1512</v>
      </c>
      <c r="BM55" s="10">
        <v>5640</v>
      </c>
      <c r="BN55" s="14">
        <f t="shared" si="0"/>
        <v>4128</v>
      </c>
      <c r="BO55" s="15">
        <f t="shared" si="1"/>
        <v>2889.6</v>
      </c>
    </row>
    <row r="56" spans="1:67" x14ac:dyDescent="0.4">
      <c r="A56" s="5" t="s">
        <v>99</v>
      </c>
      <c r="B56" s="5" t="s">
        <v>54</v>
      </c>
      <c r="C56" s="5">
        <v>467630</v>
      </c>
      <c r="D56" s="6"/>
      <c r="E56" s="5" t="s">
        <v>33</v>
      </c>
      <c r="F56" s="5" t="s">
        <v>55</v>
      </c>
      <c r="G56" s="5" t="s">
        <v>11</v>
      </c>
      <c r="H56" s="7" t="s">
        <v>8</v>
      </c>
      <c r="I56" s="7" t="s">
        <v>31</v>
      </c>
      <c r="J56" s="7">
        <v>0</v>
      </c>
      <c r="K56" s="7">
        <v>52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1</v>
      </c>
      <c r="AC56" s="7">
        <v>200</v>
      </c>
      <c r="AD56" s="7">
        <v>0</v>
      </c>
      <c r="AE56" s="7">
        <v>0</v>
      </c>
      <c r="AF56" s="7">
        <v>0</v>
      </c>
      <c r="AG56" s="7">
        <v>0</v>
      </c>
      <c r="AH56" s="7">
        <v>18</v>
      </c>
      <c r="AI56" s="8">
        <v>3840</v>
      </c>
      <c r="AJ56" s="7">
        <v>400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1152</v>
      </c>
      <c r="BM56" s="10">
        <v>4440</v>
      </c>
      <c r="BN56" s="14">
        <f t="shared" si="0"/>
        <v>3288</v>
      </c>
      <c r="BO56" s="15">
        <f t="shared" si="1"/>
        <v>2301.6</v>
      </c>
    </row>
    <row r="57" spans="1:67" ht="19.2" x14ac:dyDescent="0.4">
      <c r="A57" s="5" t="s">
        <v>99</v>
      </c>
      <c r="B57" s="5" t="s">
        <v>64</v>
      </c>
      <c r="C57" s="5">
        <v>380491</v>
      </c>
      <c r="D57" s="6"/>
      <c r="E57" s="5" t="s">
        <v>33</v>
      </c>
      <c r="F57" s="5" t="s">
        <v>65</v>
      </c>
      <c r="G57" s="5" t="s">
        <v>11</v>
      </c>
      <c r="H57" s="7" t="s">
        <v>7</v>
      </c>
      <c r="I57" s="7" t="s">
        <v>63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23</v>
      </c>
      <c r="AI57" s="8">
        <v>1560</v>
      </c>
      <c r="AJ57" s="8">
        <v>1000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468</v>
      </c>
      <c r="BM57" s="10">
        <v>2560</v>
      </c>
      <c r="BN57" s="14">
        <f t="shared" si="0"/>
        <v>2092</v>
      </c>
      <c r="BO57" s="15">
        <f t="shared" si="1"/>
        <v>1464.3999999999999</v>
      </c>
    </row>
    <row r="58" spans="1:67" x14ac:dyDescent="0.4">
      <c r="A58" s="5" t="s">
        <v>99</v>
      </c>
      <c r="B58" s="5" t="s">
        <v>48</v>
      </c>
      <c r="C58" s="5">
        <v>351846</v>
      </c>
      <c r="D58" s="6"/>
      <c r="E58" s="5" t="s">
        <v>33</v>
      </c>
      <c r="F58" s="5" t="s">
        <v>49</v>
      </c>
      <c r="G58" s="5" t="s">
        <v>11</v>
      </c>
      <c r="H58" s="7" t="s">
        <v>7</v>
      </c>
      <c r="I58" s="7" t="s">
        <v>50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12</v>
      </c>
      <c r="AI58" s="7">
        <v>600</v>
      </c>
      <c r="AJ58" s="7">
        <v>700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180</v>
      </c>
      <c r="BM58" s="10">
        <v>1300</v>
      </c>
      <c r="BN58" s="14">
        <f t="shared" si="0"/>
        <v>1120</v>
      </c>
      <c r="BO58" s="15">
        <f t="shared" si="1"/>
        <v>784</v>
      </c>
    </row>
    <row r="59" spans="1:67" x14ac:dyDescent="0.4">
      <c r="A59" s="5" t="s">
        <v>99</v>
      </c>
      <c r="B59" s="5" t="s">
        <v>68</v>
      </c>
      <c r="C59" s="5">
        <v>419155</v>
      </c>
      <c r="D59" s="6"/>
      <c r="E59" s="5" t="s">
        <v>33</v>
      </c>
      <c r="F59" s="5" t="s">
        <v>69</v>
      </c>
      <c r="G59" s="5" t="s">
        <v>11</v>
      </c>
      <c r="H59" s="7" t="s">
        <v>7</v>
      </c>
      <c r="I59" s="7" t="s">
        <v>70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1</v>
      </c>
      <c r="AI59" s="7">
        <v>360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108</v>
      </c>
      <c r="BM59" s="11">
        <v>360</v>
      </c>
      <c r="BN59" s="14">
        <f t="shared" si="0"/>
        <v>252</v>
      </c>
      <c r="BO59" s="15">
        <f t="shared" si="1"/>
        <v>176.39999999999998</v>
      </c>
    </row>
    <row r="60" spans="1:67" x14ac:dyDescent="0.4">
      <c r="A60" s="5" t="s">
        <v>99</v>
      </c>
      <c r="B60" s="5" t="s">
        <v>77</v>
      </c>
      <c r="C60" s="5">
        <v>436040</v>
      </c>
      <c r="D60" s="6"/>
      <c r="E60" s="5" t="s">
        <v>33</v>
      </c>
      <c r="F60" s="5" t="s">
        <v>78</v>
      </c>
      <c r="G60" s="5" t="s">
        <v>11</v>
      </c>
      <c r="H60" s="7" t="s">
        <v>8</v>
      </c>
      <c r="I60" s="7" t="s">
        <v>79</v>
      </c>
      <c r="J60" s="7">
        <v>0</v>
      </c>
      <c r="K60" s="7">
        <v>17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1">
        <v>0</v>
      </c>
      <c r="BN60" s="14">
        <f t="shared" si="0"/>
        <v>0</v>
      </c>
      <c r="BO60" s="15">
        <f t="shared" si="1"/>
        <v>0</v>
      </c>
    </row>
    <row r="61" spans="1:67" x14ac:dyDescent="0.4">
      <c r="A61" s="5" t="s">
        <v>99</v>
      </c>
      <c r="B61" s="5" t="s">
        <v>51</v>
      </c>
      <c r="C61" s="5">
        <v>448747</v>
      </c>
      <c r="D61" s="6"/>
      <c r="E61" s="5" t="s">
        <v>33</v>
      </c>
      <c r="F61" s="5" t="s">
        <v>52</v>
      </c>
      <c r="G61" s="5" t="s">
        <v>11</v>
      </c>
      <c r="H61" s="7" t="s">
        <v>7</v>
      </c>
      <c r="I61" s="7" t="s">
        <v>53</v>
      </c>
      <c r="J61" s="7">
        <v>0</v>
      </c>
      <c r="K61" s="7">
        <v>142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1">
        <v>0</v>
      </c>
      <c r="BN61" s="14">
        <f t="shared" si="0"/>
        <v>0</v>
      </c>
      <c r="BO61" s="15">
        <f t="shared" si="1"/>
        <v>0</v>
      </c>
    </row>
    <row r="62" spans="1:67" x14ac:dyDescent="0.4">
      <c r="A62" s="5" t="s">
        <v>99</v>
      </c>
      <c r="B62" s="5" t="s">
        <v>85</v>
      </c>
      <c r="C62" s="5">
        <v>458180</v>
      </c>
      <c r="D62" s="6"/>
      <c r="E62" s="5" t="s">
        <v>33</v>
      </c>
      <c r="F62" s="5" t="s">
        <v>86</v>
      </c>
      <c r="G62" s="5" t="s">
        <v>11</v>
      </c>
      <c r="H62" s="7" t="s">
        <v>7</v>
      </c>
      <c r="I62" s="7" t="s">
        <v>87</v>
      </c>
      <c r="J62" s="7">
        <v>0</v>
      </c>
      <c r="K62" s="7">
        <v>18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1">
        <v>0</v>
      </c>
      <c r="BN62" s="14">
        <f t="shared" si="0"/>
        <v>0</v>
      </c>
      <c r="BO62" s="15">
        <f t="shared" si="1"/>
        <v>0</v>
      </c>
    </row>
    <row r="63" spans="1:67" x14ac:dyDescent="0.4">
      <c r="A63" s="5" t="s">
        <v>99</v>
      </c>
      <c r="B63" s="5" t="s">
        <v>93</v>
      </c>
      <c r="C63" s="5">
        <v>463278</v>
      </c>
      <c r="D63" s="6"/>
      <c r="E63" s="5" t="s">
        <v>33</v>
      </c>
      <c r="F63" s="5" t="s">
        <v>94</v>
      </c>
      <c r="G63" s="5" t="s">
        <v>11</v>
      </c>
      <c r="H63" s="7" t="s">
        <v>7</v>
      </c>
      <c r="I63" s="7" t="s">
        <v>95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1">
        <v>0</v>
      </c>
      <c r="BN63" s="14">
        <f t="shared" si="0"/>
        <v>0</v>
      </c>
      <c r="BO63" s="15">
        <f t="shared" si="1"/>
        <v>0</v>
      </c>
    </row>
    <row r="64" spans="1:67" x14ac:dyDescent="0.4">
      <c r="A64" s="5" t="s">
        <v>99</v>
      </c>
      <c r="B64" s="5" t="s">
        <v>71</v>
      </c>
      <c r="C64" s="5">
        <v>307024</v>
      </c>
      <c r="D64" s="6"/>
      <c r="E64" s="5" t="s">
        <v>33</v>
      </c>
      <c r="F64" s="5" t="s">
        <v>72</v>
      </c>
      <c r="G64" s="5" t="s">
        <v>11</v>
      </c>
      <c r="H64" s="7" t="s">
        <v>7</v>
      </c>
      <c r="I64" s="7" t="s">
        <v>73</v>
      </c>
      <c r="J64" s="7">
        <v>0</v>
      </c>
      <c r="K64" s="7">
        <v>13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1">
        <v>0</v>
      </c>
      <c r="BN64" s="14">
        <f t="shared" si="0"/>
        <v>0</v>
      </c>
      <c r="BO64" s="15">
        <f t="shared" si="1"/>
        <v>0</v>
      </c>
    </row>
    <row r="65" spans="1:67" x14ac:dyDescent="0.4">
      <c r="A65" s="5" t="s">
        <v>99</v>
      </c>
      <c r="B65" s="5" t="s">
        <v>74</v>
      </c>
      <c r="C65" s="5">
        <v>323829</v>
      </c>
      <c r="D65" s="6"/>
      <c r="E65" s="5" t="s">
        <v>33</v>
      </c>
      <c r="F65" s="5" t="s">
        <v>75</v>
      </c>
      <c r="G65" s="5" t="s">
        <v>11</v>
      </c>
      <c r="H65" s="7" t="s">
        <v>7</v>
      </c>
      <c r="I65" s="7" t="s">
        <v>76</v>
      </c>
      <c r="J65" s="7">
        <v>0</v>
      </c>
      <c r="K65" s="7">
        <v>2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1">
        <v>0</v>
      </c>
      <c r="BN65" s="14">
        <f t="shared" si="0"/>
        <v>0</v>
      </c>
      <c r="BO65" s="15">
        <f t="shared" si="1"/>
        <v>0</v>
      </c>
    </row>
    <row r="66" spans="1:67" ht="19.2" x14ac:dyDescent="0.4">
      <c r="A66" s="5" t="s">
        <v>99</v>
      </c>
      <c r="B66" s="5" t="s">
        <v>82</v>
      </c>
      <c r="C66" s="5">
        <v>405596</v>
      </c>
      <c r="D66" s="6"/>
      <c r="E66" s="5" t="s">
        <v>33</v>
      </c>
      <c r="F66" s="5" t="s">
        <v>83</v>
      </c>
      <c r="G66" s="5" t="s">
        <v>11</v>
      </c>
      <c r="H66" s="7" t="s">
        <v>7</v>
      </c>
      <c r="I66" s="7" t="s">
        <v>84</v>
      </c>
      <c r="J66" s="7">
        <v>0</v>
      </c>
      <c r="K66" s="7">
        <v>8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1">
        <v>0</v>
      </c>
      <c r="BN66" s="14">
        <f t="shared" si="0"/>
        <v>0</v>
      </c>
      <c r="BO66" s="15">
        <f t="shared" si="1"/>
        <v>0</v>
      </c>
    </row>
    <row r="67" spans="1:67" x14ac:dyDescent="0.4">
      <c r="A67" s="5" t="s">
        <v>100</v>
      </c>
      <c r="B67" s="5" t="s">
        <v>51</v>
      </c>
      <c r="C67" s="5">
        <v>448747</v>
      </c>
      <c r="D67" s="6"/>
      <c r="E67" s="5" t="s">
        <v>33</v>
      </c>
      <c r="F67" s="5" t="s">
        <v>52</v>
      </c>
      <c r="G67" s="5" t="s">
        <v>11</v>
      </c>
      <c r="H67" s="7" t="s">
        <v>7</v>
      </c>
      <c r="I67" s="7" t="s">
        <v>53</v>
      </c>
      <c r="J67" s="7">
        <v>0</v>
      </c>
      <c r="K67" s="8">
        <v>5552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241</v>
      </c>
      <c r="AC67" s="8">
        <v>28200</v>
      </c>
      <c r="AD67" s="8">
        <v>20000</v>
      </c>
      <c r="AE67" s="7">
        <v>0</v>
      </c>
      <c r="AF67" s="7">
        <v>0</v>
      </c>
      <c r="AG67" s="7">
        <v>0</v>
      </c>
      <c r="AH67" s="7">
        <v>20</v>
      </c>
      <c r="AI67" s="7">
        <v>0</v>
      </c>
      <c r="AJ67" s="8">
        <v>4000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52200</v>
      </c>
      <c r="BN67" s="14">
        <f t="shared" ref="BN67:BN68" si="2">BM67-BL67</f>
        <v>52200</v>
      </c>
      <c r="BO67" s="15">
        <f t="shared" ref="BO67:BO68" si="3">BN67*70%</f>
        <v>36540</v>
      </c>
    </row>
    <row r="68" spans="1:67" x14ac:dyDescent="0.4">
      <c r="A68" s="5" t="s">
        <v>101</v>
      </c>
      <c r="B68" s="5" t="s">
        <v>51</v>
      </c>
      <c r="C68" s="5">
        <v>448747</v>
      </c>
      <c r="D68" s="6"/>
      <c r="E68" s="5" t="s">
        <v>33</v>
      </c>
      <c r="F68" s="5" t="s">
        <v>52</v>
      </c>
      <c r="G68" s="5" t="s">
        <v>11</v>
      </c>
      <c r="H68" s="7" t="s">
        <v>7</v>
      </c>
      <c r="I68" s="7" t="s">
        <v>53</v>
      </c>
      <c r="J68" s="7">
        <v>0</v>
      </c>
      <c r="K68" s="8">
        <v>2842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63</v>
      </c>
      <c r="AC68" s="8">
        <v>3900</v>
      </c>
      <c r="AD68" s="8">
        <v>8600</v>
      </c>
      <c r="AE68" s="7">
        <v>0</v>
      </c>
      <c r="AF68" s="7">
        <v>0</v>
      </c>
      <c r="AG68" s="7">
        <v>0</v>
      </c>
      <c r="AH68" s="7">
        <v>284</v>
      </c>
      <c r="AI68" s="8">
        <v>64106</v>
      </c>
      <c r="AJ68" s="8">
        <v>3300</v>
      </c>
      <c r="AK68" s="7">
        <v>0</v>
      </c>
      <c r="AL68" s="7">
        <v>0</v>
      </c>
      <c r="AM68" s="7">
        <v>0</v>
      </c>
      <c r="AN68" s="7">
        <v>2</v>
      </c>
      <c r="AO68" s="7">
        <v>400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19231.8</v>
      </c>
      <c r="BM68" s="10">
        <v>80306</v>
      </c>
      <c r="BN68" s="14">
        <f t="shared" si="2"/>
        <v>61074.2</v>
      </c>
      <c r="BO68" s="15">
        <f t="shared" si="3"/>
        <v>42751.939999999995</v>
      </c>
    </row>
    <row r="69" spans="1:67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>
        <f>SUM(BL2:BL68)</f>
        <v>92781</v>
      </c>
      <c r="BM69" s="10">
        <f>SUM(BM2:BM68)</f>
        <v>2405170</v>
      </c>
      <c r="BN69" s="13">
        <f>SUM(BN2:BN68)</f>
        <v>2312389</v>
      </c>
      <c r="BO69" s="13">
        <f>SUM(BO2:BO68)</f>
        <v>1618672.3</v>
      </c>
    </row>
    <row r="70" spans="1:67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7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7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7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7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7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7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7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7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8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7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8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8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8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8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8"/>
      <c r="AS137" s="8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8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1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1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1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1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1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1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1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1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1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1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8"/>
      <c r="L164" s="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8"/>
      <c r="AR164" s="8"/>
      <c r="AS164" s="8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8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8"/>
      <c r="AD166" s="8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8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8"/>
      <c r="L167" s="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8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8"/>
      <c r="K168" s="8"/>
      <c r="L168" s="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8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8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8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8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8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8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8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8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8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8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8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8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8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8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8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8"/>
      <c r="AP185" s="8"/>
      <c r="AQ185" s="7"/>
      <c r="AR185" s="8"/>
      <c r="AS185" s="8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8"/>
      <c r="AD193" s="8"/>
      <c r="AE193" s="7"/>
      <c r="AF193" s="7"/>
      <c r="AG193" s="8"/>
      <c r="AH193" s="7"/>
      <c r="AI193" s="7"/>
      <c r="AJ193" s="7"/>
      <c r="AK193" s="7"/>
      <c r="AL193" s="7"/>
      <c r="AM193" s="7"/>
      <c r="AN193" s="7"/>
      <c r="AO193" s="8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8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8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8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8"/>
      <c r="AD215" s="8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8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8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8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8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8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8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8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8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8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8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8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8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8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8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8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8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8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8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8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8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8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8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8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8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8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8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8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8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8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8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1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1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1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1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1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1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1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1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1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1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1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1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1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1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1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8"/>
      <c r="L335" s="8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8"/>
      <c r="AF335" s="8"/>
      <c r="AG335" s="8"/>
      <c r="AH335" s="7"/>
      <c r="AI335" s="7"/>
      <c r="AJ335" s="7"/>
      <c r="AK335" s="8"/>
      <c r="AL335" s="8"/>
      <c r="AM335" s="8"/>
      <c r="AN335" s="7"/>
      <c r="AO335" s="7"/>
      <c r="AP335" s="7"/>
      <c r="AQ335" s="8"/>
      <c r="AR335" s="8"/>
      <c r="AS335" s="8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8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8"/>
      <c r="AF336" s="8"/>
      <c r="AG336" s="8"/>
      <c r="AH336" s="7"/>
      <c r="AI336" s="7"/>
      <c r="AJ336" s="7"/>
      <c r="AK336" s="8"/>
      <c r="AL336" s="8"/>
      <c r="AM336" s="8"/>
      <c r="AN336" s="7"/>
      <c r="AO336" s="7"/>
      <c r="AP336" s="7"/>
      <c r="AQ336" s="7"/>
      <c r="AR336" s="8"/>
      <c r="AS336" s="8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8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8"/>
      <c r="AF337" s="8"/>
      <c r="AG337" s="8"/>
      <c r="AH337" s="7"/>
      <c r="AI337" s="7"/>
      <c r="AJ337" s="7"/>
      <c r="AK337" s="8"/>
      <c r="AL337" s="8"/>
      <c r="AM337" s="8"/>
      <c r="AN337" s="7"/>
      <c r="AO337" s="7"/>
      <c r="AP337" s="7"/>
      <c r="AQ337" s="8"/>
      <c r="AR337" s="8"/>
      <c r="AS337" s="8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8"/>
      <c r="AF338" s="8"/>
      <c r="AG338" s="8"/>
      <c r="AH338" s="7"/>
      <c r="AI338" s="7"/>
      <c r="AJ338" s="7"/>
      <c r="AK338" s="8"/>
      <c r="AL338" s="8"/>
      <c r="AM338" s="8"/>
      <c r="AN338" s="7"/>
      <c r="AO338" s="7"/>
      <c r="AP338" s="7"/>
      <c r="AQ338" s="8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8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8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8"/>
      <c r="AF340" s="8"/>
      <c r="AG340" s="8"/>
      <c r="AH340" s="7"/>
      <c r="AI340" s="7"/>
      <c r="AJ340" s="7"/>
      <c r="AK340" s="8"/>
      <c r="AL340" s="8"/>
      <c r="AM340" s="8"/>
      <c r="AN340" s="7"/>
      <c r="AO340" s="7"/>
      <c r="AP340" s="7"/>
      <c r="AQ340" s="7"/>
      <c r="AR340" s="8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8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8"/>
      <c r="AF341" s="8"/>
      <c r="AG341" s="8"/>
      <c r="AH341" s="7"/>
      <c r="AI341" s="7"/>
      <c r="AJ341" s="7"/>
      <c r="AK341" s="8"/>
      <c r="AL341" s="8"/>
      <c r="AM341" s="8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8"/>
      <c r="AF342" s="8"/>
      <c r="AG342" s="8"/>
      <c r="AH342" s="7"/>
      <c r="AI342" s="7"/>
      <c r="AJ342" s="7"/>
      <c r="AK342" s="8"/>
      <c r="AL342" s="8"/>
      <c r="AM342" s="8"/>
      <c r="AN342" s="7"/>
      <c r="AO342" s="7"/>
      <c r="AP342" s="7"/>
      <c r="AQ342" s="7"/>
      <c r="AR342" s="8"/>
      <c r="AS342" s="8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8"/>
      <c r="L343" s="8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8"/>
      <c r="AF343" s="8"/>
      <c r="AG343" s="8"/>
      <c r="AH343" s="7"/>
      <c r="AI343" s="7"/>
      <c r="AJ343" s="7"/>
      <c r="AK343" s="8"/>
      <c r="AL343" s="8"/>
      <c r="AM343" s="8"/>
      <c r="AN343" s="7"/>
      <c r="AO343" s="7"/>
      <c r="AP343" s="7"/>
      <c r="AQ343" s="7"/>
      <c r="AR343" s="8"/>
      <c r="AS343" s="8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8"/>
      <c r="AF344" s="8"/>
      <c r="AG344" s="8"/>
      <c r="AH344" s="7"/>
      <c r="AI344" s="7"/>
      <c r="AJ344" s="7"/>
      <c r="AK344" s="8"/>
      <c r="AL344" s="8"/>
      <c r="AM344" s="8"/>
      <c r="AN344" s="7"/>
      <c r="AO344" s="7"/>
      <c r="AP344" s="7"/>
      <c r="AQ344" s="7"/>
      <c r="AR344" s="8"/>
      <c r="AS344" s="8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8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8"/>
      <c r="AF345" s="8"/>
      <c r="AG345" s="8"/>
      <c r="AH345" s="7"/>
      <c r="AI345" s="7"/>
      <c r="AJ345" s="7"/>
      <c r="AK345" s="8"/>
      <c r="AL345" s="8"/>
      <c r="AM345" s="8"/>
      <c r="AN345" s="7"/>
      <c r="AO345" s="7"/>
      <c r="AP345" s="7"/>
      <c r="AQ345" s="7"/>
      <c r="AR345" s="8"/>
      <c r="AS345" s="8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8"/>
      <c r="AH346" s="7"/>
      <c r="AI346" s="7"/>
      <c r="AJ346" s="7"/>
      <c r="AK346" s="8"/>
      <c r="AL346" s="8"/>
      <c r="AM346" s="8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8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8"/>
      <c r="K348" s="7"/>
      <c r="L348" s="8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8"/>
      <c r="AH348" s="7"/>
      <c r="AI348" s="7"/>
      <c r="AJ348" s="7"/>
      <c r="AK348" s="7"/>
      <c r="AL348" s="8"/>
      <c r="AM348" s="8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8"/>
      <c r="AS350" s="8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8"/>
      <c r="AH351" s="7"/>
      <c r="AI351" s="7"/>
      <c r="AJ351" s="7"/>
      <c r="AK351" s="7"/>
      <c r="AL351" s="8"/>
      <c r="AM351" s="8"/>
      <c r="AN351" s="7"/>
      <c r="AO351" s="7"/>
      <c r="AP351" s="7"/>
      <c r="AQ351" s="7"/>
      <c r="AR351" s="8"/>
      <c r="AS351" s="8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8"/>
      <c r="AJ352" s="8"/>
      <c r="AK352" s="7"/>
      <c r="AL352" s="7"/>
      <c r="AM352" s="7"/>
      <c r="AN352" s="7"/>
      <c r="AO352" s="7"/>
      <c r="AP352" s="7"/>
      <c r="AQ352" s="7"/>
      <c r="AR352" s="8"/>
      <c r="AS352" s="8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8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8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8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8"/>
      <c r="AS355" s="8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8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8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8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8"/>
      <c r="AN361" s="7"/>
      <c r="AO361" s="7"/>
      <c r="AP361" s="7"/>
      <c r="AQ361" s="7"/>
      <c r="AR361" s="8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8"/>
      <c r="AH362" s="7"/>
      <c r="AI362" s="7"/>
      <c r="AJ362" s="7"/>
      <c r="AK362" s="7"/>
      <c r="AL362" s="8"/>
      <c r="AM362" s="8"/>
      <c r="AN362" s="7"/>
      <c r="AO362" s="7"/>
      <c r="AP362" s="7"/>
      <c r="AQ362" s="7"/>
      <c r="AR362" s="8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8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8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8"/>
      <c r="AH366" s="7"/>
      <c r="AI366" s="7"/>
      <c r="AJ366" s="7"/>
      <c r="AK366" s="7"/>
      <c r="AL366" s="8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8"/>
      <c r="AH367" s="7"/>
      <c r="AI367" s="7"/>
      <c r="AJ367" s="7"/>
      <c r="AK367" s="7"/>
      <c r="AL367" s="8"/>
      <c r="AM367" s="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8"/>
      <c r="AS368" s="8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8"/>
      <c r="AH369" s="7"/>
      <c r="AI369" s="7"/>
      <c r="AJ369" s="7"/>
      <c r="AK369" s="7"/>
      <c r="AL369" s="8"/>
      <c r="AM369" s="8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8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8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8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8"/>
      <c r="AM379" s="8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8"/>
      <c r="AM380" s="8"/>
      <c r="AN380" s="7"/>
      <c r="AO380" s="7"/>
      <c r="AP380" s="7"/>
      <c r="AQ380" s="7"/>
      <c r="AR380" s="8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8"/>
      <c r="AJ381" s="7"/>
      <c r="AK381" s="7"/>
      <c r="AL381" s="8"/>
      <c r="AM381" s="7"/>
      <c r="AN381" s="7"/>
      <c r="AO381" s="8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8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8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9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8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8"/>
      <c r="AS387" s="8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8"/>
      <c r="AM388" s="8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9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8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8"/>
      <c r="AN390" s="7"/>
      <c r="AO390" s="7"/>
      <c r="AP390" s="7"/>
      <c r="AQ390" s="7"/>
      <c r="AR390" s="8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9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9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8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8"/>
      <c r="AN396" s="7"/>
      <c r="AO396" s="7"/>
      <c r="AP396" s="7"/>
      <c r="AQ396" s="7"/>
      <c r="AR396" s="8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9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9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8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8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8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9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9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9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8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8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8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9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9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8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8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9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8"/>
      <c r="AH410" s="7"/>
      <c r="AI410" s="7"/>
      <c r="AJ410" s="7"/>
      <c r="AK410" s="7"/>
      <c r="AL410" s="7"/>
      <c r="AM410" s="8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8"/>
      <c r="AH411" s="7"/>
      <c r="AI411" s="7"/>
      <c r="AJ411" s="7"/>
      <c r="AK411" s="7"/>
      <c r="AL411" s="7"/>
      <c r="AM411" s="8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8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9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8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8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9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8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8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8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8"/>
      <c r="AH427" s="7"/>
      <c r="AI427" s="7"/>
      <c r="AJ427" s="7"/>
      <c r="AK427" s="7"/>
      <c r="AL427" s="7"/>
      <c r="AM427" s="8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8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8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8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8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8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8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0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8"/>
      <c r="AG436" s="7"/>
      <c r="AH436" s="7"/>
      <c r="AI436" s="7"/>
      <c r="AJ436" s="7"/>
      <c r="AK436" s="7"/>
      <c r="AL436" s="7"/>
      <c r="AM436" s="8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0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8"/>
      <c r="AG437" s="7"/>
      <c r="AH437" s="7"/>
      <c r="AI437" s="7"/>
      <c r="AJ437" s="7"/>
      <c r="AK437" s="7"/>
      <c r="AL437" s="7"/>
      <c r="AM437" s="8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0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8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0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8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0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8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0"/>
    </row>
    <row r="441" spans="1:65" x14ac:dyDescent="0.4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8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0"/>
    </row>
    <row r="442" spans="1:65" x14ac:dyDescent="0.4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8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0"/>
    </row>
    <row r="443" spans="1:65" x14ac:dyDescent="0.4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8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0"/>
    </row>
    <row r="444" spans="1:65" x14ac:dyDescent="0.4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8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0"/>
    </row>
    <row r="445" spans="1:65" x14ac:dyDescent="0.4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8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0"/>
    </row>
    <row r="446" spans="1:65" x14ac:dyDescent="0.4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0"/>
    </row>
    <row r="447" spans="1:65" x14ac:dyDescent="0.4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8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0"/>
    </row>
    <row r="448" spans="1:65" x14ac:dyDescent="0.4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8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0"/>
    </row>
    <row r="449" spans="1:65" x14ac:dyDescent="0.4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8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0"/>
    </row>
    <row r="450" spans="1:65" x14ac:dyDescent="0.4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1"/>
    </row>
    <row r="451" spans="1:65" x14ac:dyDescent="0.4">
      <c r="A451" s="5"/>
      <c r="B451" s="5"/>
      <c r="C451" s="5"/>
      <c r="D451" s="6"/>
      <c r="E451" s="5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11"/>
    </row>
    <row r="452" spans="1:65" x14ac:dyDescent="0.4">
      <c r="A452" s="5"/>
      <c r="B452" s="5"/>
      <c r="C452" s="5"/>
      <c r="D452" s="6"/>
      <c r="E452" s="5"/>
      <c r="F452" s="5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11"/>
    </row>
    <row r="453" spans="1:65" x14ac:dyDescent="0.4">
      <c r="A453" s="5"/>
      <c r="B453" s="5"/>
      <c r="C453" s="5"/>
      <c r="D453" s="6"/>
      <c r="E453" s="5"/>
      <c r="F453" s="5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11"/>
    </row>
    <row r="454" spans="1:65" x14ac:dyDescent="0.4">
      <c r="A454" s="5"/>
      <c r="B454" s="5"/>
      <c r="C454" s="5"/>
      <c r="D454" s="6"/>
      <c r="E454" s="5"/>
      <c r="F454" s="5"/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11"/>
    </row>
    <row r="455" spans="1:65" x14ac:dyDescent="0.4">
      <c r="A455" s="5"/>
      <c r="B455" s="5"/>
      <c r="C455" s="5"/>
      <c r="D455" s="6"/>
      <c r="E455" s="5"/>
      <c r="F455" s="5"/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11"/>
    </row>
    <row r="456" spans="1:65" x14ac:dyDescent="0.4">
      <c r="A456" s="5"/>
      <c r="B456" s="5"/>
      <c r="C456" s="5"/>
      <c r="D456" s="6"/>
      <c r="E456" s="5"/>
      <c r="F456" s="5"/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11"/>
    </row>
    <row r="457" spans="1:65" x14ac:dyDescent="0.4">
      <c r="A457" s="5"/>
      <c r="B457" s="5"/>
      <c r="C457" s="5"/>
      <c r="D457" s="6"/>
      <c r="E457" s="5"/>
      <c r="F457" s="5"/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11"/>
    </row>
    <row r="458" spans="1:65" x14ac:dyDescent="0.4">
      <c r="A458" s="5"/>
      <c r="B458" s="5"/>
      <c r="C458" s="5"/>
      <c r="D458" s="6"/>
      <c r="E458" s="5"/>
      <c r="F458" s="5"/>
      <c r="G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11"/>
    </row>
    <row r="459" spans="1:65" x14ac:dyDescent="0.4">
      <c r="A459" s="5"/>
      <c r="B459" s="5"/>
      <c r="C459" s="5"/>
      <c r="D459" s="6"/>
      <c r="E459" s="5"/>
      <c r="F459" s="5"/>
      <c r="G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11"/>
    </row>
    <row r="460" spans="1:65" x14ac:dyDescent="0.4">
      <c r="A460" s="5"/>
      <c r="B460" s="5"/>
      <c r="C460" s="5"/>
      <c r="D460" s="6"/>
      <c r="E460" s="5"/>
      <c r="F460" s="5"/>
      <c r="G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11"/>
    </row>
    <row r="461" spans="1:65" x14ac:dyDescent="0.4">
      <c r="A461" s="5"/>
      <c r="B461" s="5"/>
      <c r="C461" s="5"/>
      <c r="D461" s="6"/>
      <c r="E461" s="5"/>
      <c r="F461" s="5"/>
      <c r="G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11"/>
    </row>
    <row r="462" spans="1:65" x14ac:dyDescent="0.4">
      <c r="A462" s="5"/>
      <c r="B462" s="5"/>
      <c r="C462" s="5"/>
      <c r="D462" s="6"/>
      <c r="E462" s="5"/>
      <c r="F462" s="5"/>
      <c r="G462" s="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11"/>
    </row>
    <row r="463" spans="1:65" x14ac:dyDescent="0.4">
      <c r="A463" s="5"/>
      <c r="B463" s="5"/>
      <c r="C463" s="5"/>
      <c r="D463" s="6"/>
      <c r="E463" s="5"/>
      <c r="F463" s="5"/>
      <c r="G463" s="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11"/>
    </row>
    <row r="464" spans="1:65" x14ac:dyDescent="0.4">
      <c r="A464" s="5"/>
      <c r="B464" s="5"/>
      <c r="C464" s="5"/>
      <c r="D464" s="6"/>
      <c r="E464" s="5"/>
      <c r="F464" s="5"/>
      <c r="G464" s="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11"/>
    </row>
  </sheetData>
  <autoFilter ref="A1:BO1"/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2022-06-09T03:04:41Z</dcterms:modified>
</cp:coreProperties>
</file>