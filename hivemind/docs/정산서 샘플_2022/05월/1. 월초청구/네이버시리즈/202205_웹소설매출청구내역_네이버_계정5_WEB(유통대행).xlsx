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네이버시리즈\"/>
    </mc:Choice>
  </mc:AlternateContent>
  <bookViews>
    <workbookView xWindow="0" yWindow="0" windowWidth="23040" windowHeight="8955" tabRatio="766"/>
  </bookViews>
  <sheets>
    <sheet name="합계 (5)" sheetId="412" r:id="rId1"/>
  </sheets>
  <definedNames>
    <definedName name="_xlnm._FilterDatabase" localSheetId="0" hidden="1">'합계 (5)'!$A$1:$AM$1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M75" i="412" l="1"/>
  <c r="BN75" i="412"/>
  <c r="BO75" i="412"/>
  <c r="BL75" i="412"/>
  <c r="BN35" i="412"/>
  <c r="BO35" i="412"/>
  <c r="BN36" i="412"/>
  <c r="BO36" i="412"/>
  <c r="BN37" i="412"/>
  <c r="BO37" i="412"/>
  <c r="BN38" i="412"/>
  <c r="BO38" i="412"/>
  <c r="BN39" i="412"/>
  <c r="BO39" i="412" s="1"/>
  <c r="BN40" i="412"/>
  <c r="BO40" i="412"/>
  <c r="BN41" i="412"/>
  <c r="BO41" i="412"/>
  <c r="BN42" i="412"/>
  <c r="BO42" i="412"/>
  <c r="BN43" i="412"/>
  <c r="BO43" i="412"/>
  <c r="BN44" i="412"/>
  <c r="BO44" i="412"/>
  <c r="BN45" i="412"/>
  <c r="BO45" i="412"/>
  <c r="BN46" i="412"/>
  <c r="BO46" i="412"/>
  <c r="BN47" i="412"/>
  <c r="BO47" i="412" s="1"/>
  <c r="BN48" i="412"/>
  <c r="BO48" i="412"/>
  <c r="BN49" i="412"/>
  <c r="BO49" i="412"/>
  <c r="BN50" i="412"/>
  <c r="BO50" i="412"/>
  <c r="BN51" i="412"/>
  <c r="BO51" i="412"/>
  <c r="BN52" i="412"/>
  <c r="BO52" i="412"/>
  <c r="BN53" i="412"/>
  <c r="BO53" i="412"/>
  <c r="BN54" i="412"/>
  <c r="BO54" i="412"/>
  <c r="BN55" i="412"/>
  <c r="BO55" i="412" s="1"/>
  <c r="BN56" i="412"/>
  <c r="BO56" i="412"/>
  <c r="BN57" i="412"/>
  <c r="BO57" i="412"/>
  <c r="BN58" i="412"/>
  <c r="BO58" i="412"/>
  <c r="BN59" i="412"/>
  <c r="BO59" i="412"/>
  <c r="BN60" i="412"/>
  <c r="BO60" i="412"/>
  <c r="BN61" i="412"/>
  <c r="BO61" i="412"/>
  <c r="BN62" i="412"/>
  <c r="BO62" i="412"/>
  <c r="BN63" i="412"/>
  <c r="BO63" i="412" s="1"/>
  <c r="BN64" i="412"/>
  <c r="BO64" i="412"/>
  <c r="BN65" i="412"/>
  <c r="BO65" i="412"/>
  <c r="BN66" i="412"/>
  <c r="BO66" i="412"/>
  <c r="BN67" i="412"/>
  <c r="BO67" i="412"/>
  <c r="BN68" i="412"/>
  <c r="BO68" i="412"/>
  <c r="BN69" i="412"/>
  <c r="BO69" i="412"/>
  <c r="BN70" i="412"/>
  <c r="BO70" i="412"/>
  <c r="BN71" i="412"/>
  <c r="BO71" i="412" s="1"/>
  <c r="BN72" i="412"/>
  <c r="BO72" i="412"/>
  <c r="BN73" i="412"/>
  <c r="BO73" i="412"/>
  <c r="BN74" i="412"/>
  <c r="BO74" i="412"/>
  <c r="BN3" i="412"/>
  <c r="BO3" i="412"/>
  <c r="BN4" i="412"/>
  <c r="BO4" i="412"/>
  <c r="BN5" i="412"/>
  <c r="BO5" i="412"/>
  <c r="BN6" i="412"/>
  <c r="BO6" i="412" s="1"/>
  <c r="BN7" i="412"/>
  <c r="BO7" i="412"/>
  <c r="BN8" i="412"/>
  <c r="BO8" i="412"/>
  <c r="BN9" i="412"/>
  <c r="BO9" i="412"/>
  <c r="BN10" i="412"/>
  <c r="BO10" i="412"/>
  <c r="BN11" i="412"/>
  <c r="BO11" i="412"/>
  <c r="BN12" i="412"/>
  <c r="BO12" i="412"/>
  <c r="BN13" i="412"/>
  <c r="BO13" i="412"/>
  <c r="BN14" i="412"/>
  <c r="BO14" i="412" s="1"/>
  <c r="BN15" i="412"/>
  <c r="BO15" i="412"/>
  <c r="BN16" i="412"/>
  <c r="BO16" i="412"/>
  <c r="BN17" i="412"/>
  <c r="BO17" i="412"/>
  <c r="BN18" i="412"/>
  <c r="BO18" i="412"/>
  <c r="BN19" i="412"/>
  <c r="BO19" i="412"/>
  <c r="BN20" i="412"/>
  <c r="BO20" i="412"/>
  <c r="BN21" i="412"/>
  <c r="BO21" i="412"/>
  <c r="BN22" i="412"/>
  <c r="BO22" i="412" s="1"/>
  <c r="BN23" i="412"/>
  <c r="BO23" i="412"/>
  <c r="BN24" i="412"/>
  <c r="BO24" i="412"/>
  <c r="BN25" i="412"/>
  <c r="BO25" i="412"/>
  <c r="BN26" i="412"/>
  <c r="BO26" i="412"/>
  <c r="BN27" i="412"/>
  <c r="BO27" i="412"/>
  <c r="BN28" i="412"/>
  <c r="BO28" i="412"/>
  <c r="BN29" i="412"/>
  <c r="BO29" i="412"/>
  <c r="BN30" i="412"/>
  <c r="BO30" i="412" s="1"/>
  <c r="BN31" i="412"/>
  <c r="BO31" i="412"/>
  <c r="BN32" i="412"/>
  <c r="BO32" i="412"/>
  <c r="BN33" i="412"/>
  <c r="BO33" i="412"/>
  <c r="BN34" i="412"/>
  <c r="BO34" i="412"/>
  <c r="BN2" i="412"/>
  <c r="BO2" i="412" l="1"/>
</calcChain>
</file>

<file path=xl/sharedStrings.xml><?xml version="1.0" encoding="utf-8"?>
<sst xmlns="http://schemas.openxmlformats.org/spreadsheetml/2006/main" count="579" uniqueCount="162">
  <si>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</si>
  <si>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</si>
  <si>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</si>
  <si>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</si>
  <si>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</si>
  <si>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</si>
  <si>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</si>
  <si>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</si>
  <si>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</si>
  <si>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</si>
  <si>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</si>
  <si>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</si>
  <si>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</si>
  <si>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</si>
  <si>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</si>
  <si>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</si>
  <si>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</si>
  <si>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</si>
  <si>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</si>
  <si>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</si>
  <si>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</si>
  <si>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</si>
  <si>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</si>
  <si>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</si>
  <si>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</si>
  <si>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</si>
  <si>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</si>
  <si>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</si>
  <si>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</si>
  <si>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</si>
  <si>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</si>
  <si>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</si>
  <si>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</si>
  <si>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</si>
  <si>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</si>
  <si>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</si>
  <si>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</si>
  <si>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</si>
  <si>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</si>
  <si>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</si>
  <si>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</si>
  <si>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</si>
  <si>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</si>
  <si>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주해나</t>
  </si>
  <si>
    <t>쉬즈노블</t>
  </si>
  <si>
    <t>불꽃 [단행본]</t>
  </si>
  <si>
    <t>김혜연</t>
  </si>
  <si>
    <t>2022.05.16</t>
  </si>
  <si>
    <t>용가리맛쿠키</t>
  </si>
  <si>
    <t>블러쉬</t>
  </si>
  <si>
    <t>어게인(Again) [단행본]</t>
  </si>
  <si>
    <t>최준서</t>
  </si>
  <si>
    <t>2022.04.27</t>
  </si>
  <si>
    <t>악당의 리턴!</t>
  </si>
  <si>
    <t>354950</t>
  </si>
  <si>
    <t>2019.06.20</t>
  </si>
  <si>
    <t>전설이 돼라 [개정판]</t>
  </si>
  <si>
    <t>2022.03.02</t>
  </si>
  <si>
    <t>이별 그리고 그 후 [단행본]</t>
  </si>
  <si>
    <t>최현자</t>
  </si>
  <si>
    <t>2022.05.11</t>
  </si>
  <si>
    <t>유일한 취미 [단행본]</t>
  </si>
  <si>
    <t>서혜은</t>
  </si>
  <si>
    <t>2022.05.06</t>
  </si>
  <si>
    <t>전설이 돼라 [개정판][단행본]</t>
  </si>
  <si>
    <t>남창목가 [단행본]</t>
  </si>
  <si>
    <t>최재봉</t>
  </si>
  <si>
    <t>2020.05.18</t>
  </si>
  <si>
    <t>이세계 최강 군바리</t>
  </si>
  <si>
    <t>협행마</t>
  </si>
  <si>
    <t>2019.07.31</t>
  </si>
  <si>
    <t>sJessi</t>
  </si>
  <si>
    <t>쉬라즈</t>
  </si>
  <si>
    <t>브레이크 어웨이(Break Away) [단행본]</t>
  </si>
  <si>
    <t>서정윤</t>
  </si>
  <si>
    <t>2022.05.23</t>
  </si>
  <si>
    <t>남창목가 [외전 독점]</t>
  </si>
  <si>
    <t>2019.11.18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</si>
  <si>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</si>
  <si>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</si>
  <si>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</si>
  <si>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</si>
  <si>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</si>
  <si>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</si>
  <si>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</si>
  <si>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</si>
  <si>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2020.09.10</t>
  </si>
  <si>
    <t>사랑 그리고 그 후 [단행본]</t>
  </si>
  <si>
    <t>2022.03.14</t>
  </si>
  <si>
    <t>너만 보면 두근두근 [단행본]</t>
  </si>
  <si>
    <t>정경하</t>
  </si>
  <si>
    <t>2022.01.14</t>
  </si>
  <si>
    <t>이세계 최강 군바리 [단행본]</t>
  </si>
  <si>
    <t>2019.11.04</t>
  </si>
  <si>
    <t>악당의 리턴! [단행본]</t>
  </si>
  <si>
    <t>2019.11.26</t>
  </si>
  <si>
    <t>더티독 [BL][단행본]</t>
  </si>
  <si>
    <t>2020.04.09</t>
  </si>
  <si>
    <t>2022.01.21</t>
  </si>
  <si>
    <t>익스클루시브(Exclusive) [BL][단행본]</t>
  </si>
  <si>
    <t>사틴</t>
  </si>
  <si>
    <t>2021.08.13</t>
  </si>
  <si>
    <t>설국연가 [단행본]</t>
  </si>
  <si>
    <t>마뇽</t>
  </si>
  <si>
    <t>2022.01.17</t>
  </si>
  <si>
    <t>2021.09.14</t>
  </si>
  <si>
    <t>대공의 아내 [단행본]</t>
  </si>
  <si>
    <t>문시티</t>
  </si>
  <si>
    <t>2020.01.16</t>
  </si>
  <si>
    <t>이리 와 봐 [단행본]</t>
  </si>
  <si>
    <t>최강주</t>
  </si>
  <si>
    <t>2018.08.30</t>
  </si>
  <si>
    <t>바보가 만드는 멋진 세상 [개정판][단행본]</t>
  </si>
  <si>
    <t>나는 내 연인의 것 [BL][단행본]</t>
  </si>
  <si>
    <t>SISSI</t>
  </si>
  <si>
    <t>2021.02.01</t>
  </si>
  <si>
    <t>불건전한 수컷 [단행본]</t>
  </si>
  <si>
    <t>2020.10.31</t>
  </si>
  <si>
    <t>베르사유의 장미 [BL][단행본]</t>
  </si>
  <si>
    <t>2020.04.20</t>
  </si>
  <si>
    <t>슈크림 [단행본]</t>
  </si>
  <si>
    <t>송민선</t>
  </si>
  <si>
    <t>2022.04.15</t>
  </si>
  <si>
    <t>헌터 킹 [단행본]</t>
  </si>
  <si>
    <t>2021.12.10</t>
  </si>
  <si>
    <t>벗어 주세요</t>
  </si>
  <si>
    <t>2019.03.07</t>
  </si>
  <si>
    <t>진짜 사나이</t>
  </si>
  <si>
    <t>더 캡틴 [단행본]</t>
  </si>
  <si>
    <t>분홍의 작약 [단행본]</t>
  </si>
  <si>
    <t>송여희</t>
  </si>
  <si>
    <t>2022.01.12</t>
  </si>
  <si>
    <t>붉은 정자-살라댕 [단행본]</t>
  </si>
  <si>
    <t>라벤더블루</t>
  </si>
  <si>
    <t>2022.01.10</t>
  </si>
  <si>
    <t>키도</t>
  </si>
  <si>
    <t>돌아갈 수 없는 [BL][단행본]</t>
  </si>
  <si>
    <t>2020.09.26</t>
  </si>
  <si>
    <t>모닝콜(Morning Call) [단행본]</t>
  </si>
  <si>
    <t>하이지</t>
  </si>
  <si>
    <t>2022.01.19</t>
  </si>
  <si>
    <t>이리 와 봐 외전 [단행본]</t>
  </si>
  <si>
    <t>2018.10.19</t>
  </si>
  <si>
    <t>기획에 산다</t>
  </si>
  <si>
    <t>위사무적</t>
  </si>
  <si>
    <t>더티독 외전 [BL][단행본]</t>
  </si>
  <si>
    <t>N스토어(PC)</t>
    <phoneticPr fontId="20" type="noConversion"/>
  </si>
  <si>
    <t>2021.02.02</t>
  </si>
  <si>
    <t>PC뷰어(PC)</t>
    <phoneticPr fontId="20" type="noConversion"/>
  </si>
  <si>
    <t>예렌의 신부 [단행본]</t>
  </si>
  <si>
    <t>N스토어(MW)</t>
    <phoneticPr fontId="20" type="noConversion"/>
  </si>
  <si>
    <t>지하철 앤솔로지 [단행본]</t>
  </si>
  <si>
    <t>도큐진</t>
  </si>
  <si>
    <t>스토리위드</t>
  </si>
  <si>
    <t>오늘의 날씨 [BL][단행본]</t>
  </si>
  <si>
    <t>이예즈</t>
  </si>
  <si>
    <t>2018.11.23</t>
  </si>
  <si>
    <t>아침이 오지 않아도 [단행본]</t>
  </si>
  <si>
    <t>홍영</t>
  </si>
  <si>
    <t>러브스토리</t>
  </si>
  <si>
    <t>2018.05.25</t>
  </si>
  <si>
    <t>돌아갈 수 없는 외전 [BL][단행본]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</si>
</sst>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176" fontId="0" fillId="0" borderId="0" xfId="0" applyNumberFormat="1">
      <alignment vertical="center"/>
    </xf>
    <xf numFmtId="41" fontId="0" fillId="0" borderId="0" xfId="42" applyFont="1" applyFill="1">
      <alignment vertical="center"/>
    </xf>
    <xf numFmtId="0" fontId="18" fillId="33" borderId="0" xfId="0" applyFont="1" applyFill="1" applyAlignment="1">
      <alignment vertical="center" wrapText="1"/>
    </xf>
    <xf numFmtId="41" fontId="22" fillId="34" borderId="0" xfId="42" applyFont="1" applyFill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461"/>
  <sheetViews>
    <sheetView tabSelected="1" zoomScaleNormal="100" workbookViewId="0">
      <pane xSplit="9" ySplit="1" topLeftCell="BE52" activePane="bottomRight" state="frozen"/>
      <selection pane="topRight" activeCell="J1" sqref="J1"/>
      <selection pane="bottomLeft" activeCell="A2" sqref="A2"/>
      <selection pane="bottomRight" activeCell="BO73" sqref="BO73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3" customWidth="1"/>
  </cols>
  <sheetData>
    <row r="1" spans="1:67" ht="39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27</v>
      </c>
      <c r="I1" s="16" t="s">
        <v>6</v>
      </c>
      <c r="J1" s="12" t="s">
        <v>12</v>
      </c>
      <c r="K1" s="12" t="s">
        <v>13</v>
      </c>
      <c r="L1" s="12" t="s">
        <v>14</v>
      </c>
      <c r="M1" s="12" t="s">
        <v>15</v>
      </c>
      <c r="N1" s="12" t="s">
        <v>16</v>
      </c>
      <c r="O1" s="12" t="s">
        <v>17</v>
      </c>
      <c r="P1" s="12" t="s">
        <v>18</v>
      </c>
      <c r="Q1" s="12" t="s">
        <v>19</v>
      </c>
      <c r="R1" s="12" t="s">
        <v>20</v>
      </c>
      <c r="S1" s="12" t="s">
        <v>12</v>
      </c>
      <c r="T1" s="12" t="s">
        <v>13</v>
      </c>
      <c r="U1" s="12" t="s">
        <v>14</v>
      </c>
      <c r="V1" s="12" t="s">
        <v>15</v>
      </c>
      <c r="W1" s="12" t="s">
        <v>16</v>
      </c>
      <c r="X1" s="12" t="s">
        <v>17</v>
      </c>
      <c r="Y1" s="12" t="s">
        <v>18</v>
      </c>
      <c r="Z1" s="12" t="s">
        <v>19</v>
      </c>
      <c r="AA1" s="12" t="s">
        <v>20</v>
      </c>
      <c r="AB1" s="12" t="s">
        <v>12</v>
      </c>
      <c r="AC1" s="12" t="s">
        <v>21</v>
      </c>
      <c r="AD1" s="12" t="s">
        <v>22</v>
      </c>
      <c r="AE1" s="12" t="s">
        <v>12</v>
      </c>
      <c r="AF1" s="12" t="s">
        <v>21</v>
      </c>
      <c r="AG1" s="12" t="s">
        <v>22</v>
      </c>
      <c r="AH1" s="12" t="s">
        <v>12</v>
      </c>
      <c r="AI1" s="12" t="s">
        <v>21</v>
      </c>
      <c r="AJ1" s="12" t="s">
        <v>22</v>
      </c>
      <c r="AK1" s="12" t="s">
        <v>12</v>
      </c>
      <c r="AL1" s="12" t="s">
        <v>21</v>
      </c>
      <c r="AM1" s="12" t="s">
        <v>22</v>
      </c>
      <c r="AN1" s="12" t="s">
        <v>12</v>
      </c>
      <c r="AO1" s="12" t="s">
        <v>21</v>
      </c>
      <c r="AP1" s="12" t="s">
        <v>22</v>
      </c>
      <c r="AQ1" s="12" t="s">
        <v>12</v>
      </c>
      <c r="AR1" s="12" t="s">
        <v>21</v>
      </c>
      <c r="AS1" s="12" t="s">
        <v>22</v>
      </c>
      <c r="AT1" s="12" t="s">
        <v>12</v>
      </c>
      <c r="AU1" s="12" t="s">
        <v>21</v>
      </c>
      <c r="AV1" s="12" t="s">
        <v>22</v>
      </c>
      <c r="AW1" s="12" t="s">
        <v>12</v>
      </c>
      <c r="AX1" s="12" t="s">
        <v>21</v>
      </c>
      <c r="AY1" s="12" t="s">
        <v>22</v>
      </c>
      <c r="AZ1" s="12" t="s">
        <v>12</v>
      </c>
      <c r="BA1" s="12" t="s">
        <v>21</v>
      </c>
      <c r="BB1" s="12" t="s">
        <v>22</v>
      </c>
      <c r="BC1" s="12" t="s">
        <v>12</v>
      </c>
      <c r="BD1" s="12" t="s">
        <v>21</v>
      </c>
      <c r="BE1" s="12" t="s">
        <v>22</v>
      </c>
      <c r="BF1" s="12" t="s">
        <v>12</v>
      </c>
      <c r="BG1" s="12" t="s">
        <v>21</v>
      </c>
      <c r="BH1" s="12" t="s">
        <v>22</v>
      </c>
      <c r="BI1" s="12" t="s">
        <v>12</v>
      </c>
      <c r="BJ1" s="12" t="s">
        <v>21</v>
      </c>
      <c r="BK1" s="12" t="s">
        <v>22</v>
      </c>
      <c r="BL1" s="12" t="s">
        <v>26</v>
      </c>
      <c r="BM1" s="12" t="s">
        <v>23</v>
      </c>
      <c r="BN1" s="12" t="s">
        <v>24</v>
      </c>
      <c r="BO1" s="12" t="s">
        <v>25</v>
      </c>
    </row>
    <row r="2" spans="1:67" x14ac:dyDescent="0.3">
      <c r="A2" s="5" t="s">
        <v>146</v>
      </c>
      <c r="B2" s="5" t="s">
        <v>29</v>
      </c>
      <c r="C2" s="5">
        <v>465998</v>
      </c>
      <c r="D2" s="6"/>
      <c r="E2" s="5" t="s">
        <v>30</v>
      </c>
      <c r="F2" s="5" t="s">
        <v>31</v>
      </c>
      <c r="G2" s="5" t="s">
        <v>32</v>
      </c>
      <c r="H2" s="7" t="s">
        <v>10</v>
      </c>
      <c r="I2" s="7" t="s">
        <v>33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30</v>
      </c>
      <c r="AC2" s="8">
        <v>25800</v>
      </c>
      <c r="AD2" s="7">
        <v>500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1</v>
      </c>
      <c r="AO2" s="7">
        <v>700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27000</v>
      </c>
      <c r="BN2" s="14">
        <f>BM2-BL2</f>
        <v>27000</v>
      </c>
      <c r="BO2" s="15">
        <f t="shared" ref="BO2:BO5" si="0">BN2*70%</f>
        <v>18900</v>
      </c>
    </row>
    <row r="3" spans="1:67" x14ac:dyDescent="0.3">
      <c r="A3" s="5" t="s">
        <v>146</v>
      </c>
      <c r="B3" s="5" t="s">
        <v>45</v>
      </c>
      <c r="C3" s="5">
        <v>468578</v>
      </c>
      <c r="D3" s="6"/>
      <c r="E3" s="5" t="s">
        <v>30</v>
      </c>
      <c r="F3" s="5" t="s">
        <v>46</v>
      </c>
      <c r="G3" s="5" t="s">
        <v>37</v>
      </c>
      <c r="H3" s="7" t="s">
        <v>41</v>
      </c>
      <c r="I3" s="7" t="s">
        <v>47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5</v>
      </c>
      <c r="AF3" s="8">
        <v>15000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2</v>
      </c>
      <c r="AR3" s="8">
        <v>6000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21000</v>
      </c>
      <c r="BN3" s="14">
        <f t="shared" ref="BN3:BN34" si="1">BM3-BL3</f>
        <v>21000</v>
      </c>
      <c r="BO3" s="15">
        <f t="shared" ref="BO3:BO34" si="2">BN3*70%</f>
        <v>14699.999999999998</v>
      </c>
    </row>
    <row r="4" spans="1:67" x14ac:dyDescent="0.3">
      <c r="A4" s="5" t="s">
        <v>146</v>
      </c>
      <c r="B4" s="5" t="s">
        <v>50</v>
      </c>
      <c r="C4" s="5">
        <v>465773</v>
      </c>
      <c r="D4" s="6"/>
      <c r="E4" s="5" t="s">
        <v>30</v>
      </c>
      <c r="F4" s="5" t="s">
        <v>51</v>
      </c>
      <c r="G4" s="5" t="s">
        <v>37</v>
      </c>
      <c r="H4" s="7" t="s">
        <v>41</v>
      </c>
      <c r="I4" s="7" t="s">
        <v>52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3</v>
      </c>
      <c r="AF4" s="8">
        <v>3700</v>
      </c>
      <c r="AG4" s="8">
        <v>3500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1</v>
      </c>
      <c r="AR4" s="8">
        <v>3300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10500</v>
      </c>
      <c r="BN4" s="14">
        <f t="shared" si="1"/>
        <v>10500</v>
      </c>
      <c r="BO4" s="15">
        <f t="shared" si="2"/>
        <v>7349.9999999999991</v>
      </c>
    </row>
    <row r="5" spans="1:67" x14ac:dyDescent="0.3">
      <c r="A5" s="5" t="s">
        <v>146</v>
      </c>
      <c r="B5" s="5" t="s">
        <v>58</v>
      </c>
      <c r="C5" s="5">
        <v>467564</v>
      </c>
      <c r="D5" s="6"/>
      <c r="E5" s="5" t="s">
        <v>30</v>
      </c>
      <c r="F5" s="5" t="s">
        <v>59</v>
      </c>
      <c r="G5" s="5" t="s">
        <v>37</v>
      </c>
      <c r="H5" s="7" t="s">
        <v>41</v>
      </c>
      <c r="I5" s="7" t="s">
        <v>60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3</v>
      </c>
      <c r="AF5" s="8">
        <v>5900</v>
      </c>
      <c r="AG5" s="7">
        <v>100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2</v>
      </c>
      <c r="AR5" s="8">
        <v>4000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10000</v>
      </c>
      <c r="BN5" s="14">
        <f t="shared" si="1"/>
        <v>10000</v>
      </c>
      <c r="BO5" s="15">
        <f t="shared" si="2"/>
        <v>7000</v>
      </c>
    </row>
    <row r="6" spans="1:67" x14ac:dyDescent="0.3">
      <c r="A6" s="5" t="s">
        <v>146</v>
      </c>
      <c r="B6" s="5" t="s">
        <v>39</v>
      </c>
      <c r="C6" s="5">
        <v>459229</v>
      </c>
      <c r="D6" s="6"/>
      <c r="E6" s="5" t="s">
        <v>30</v>
      </c>
      <c r="F6" s="5" t="s">
        <v>40</v>
      </c>
      <c r="G6" s="5" t="s">
        <v>37</v>
      </c>
      <c r="H6" s="7" t="s">
        <v>41</v>
      </c>
      <c r="I6" s="7" t="s">
        <v>42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3</v>
      </c>
      <c r="AF6" s="8">
        <v>9000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9000</v>
      </c>
      <c r="BN6" s="14">
        <f t="shared" si="1"/>
        <v>9000</v>
      </c>
      <c r="BO6" s="15">
        <f t="shared" si="2"/>
        <v>6300</v>
      </c>
    </row>
    <row r="7" spans="1:67" x14ac:dyDescent="0.3">
      <c r="A7" s="5" t="s">
        <v>146</v>
      </c>
      <c r="B7" s="5" t="s">
        <v>56</v>
      </c>
      <c r="C7" s="5">
        <v>461432</v>
      </c>
      <c r="D7" s="6"/>
      <c r="E7" s="5" t="s">
        <v>30</v>
      </c>
      <c r="F7" s="5" t="s">
        <v>31</v>
      </c>
      <c r="G7" s="5" t="s">
        <v>32</v>
      </c>
      <c r="H7" s="7" t="s">
        <v>10</v>
      </c>
      <c r="I7" s="7" t="s">
        <v>57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59</v>
      </c>
      <c r="AF7" s="8">
        <v>5900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5900</v>
      </c>
      <c r="BN7" s="14">
        <f t="shared" si="1"/>
        <v>5900</v>
      </c>
      <c r="BO7" s="15">
        <f t="shared" si="2"/>
        <v>4130</v>
      </c>
    </row>
    <row r="8" spans="1:67" x14ac:dyDescent="0.3">
      <c r="A8" s="5" t="s">
        <v>146</v>
      </c>
      <c r="B8" s="5" t="s">
        <v>120</v>
      </c>
      <c r="C8" s="5">
        <v>464792</v>
      </c>
      <c r="D8" s="6"/>
      <c r="E8" s="5" t="s">
        <v>30</v>
      </c>
      <c r="F8" s="5" t="s">
        <v>121</v>
      </c>
      <c r="G8" s="5" t="s">
        <v>37</v>
      </c>
      <c r="H8" s="7" t="s">
        <v>41</v>
      </c>
      <c r="I8" s="7" t="s">
        <v>122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2</v>
      </c>
      <c r="AF8" s="8">
        <v>2500</v>
      </c>
      <c r="AG8" s="8">
        <v>2500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5000</v>
      </c>
      <c r="BN8" s="14">
        <f t="shared" si="1"/>
        <v>5000</v>
      </c>
      <c r="BO8" s="15">
        <f t="shared" si="2"/>
        <v>3500</v>
      </c>
    </row>
    <row r="9" spans="1:67" x14ac:dyDescent="0.3">
      <c r="A9" s="5" t="s">
        <v>146</v>
      </c>
      <c r="B9" s="5" t="s">
        <v>61</v>
      </c>
      <c r="C9" s="5">
        <v>467559</v>
      </c>
      <c r="D9" s="6"/>
      <c r="E9" s="5" t="s">
        <v>30</v>
      </c>
      <c r="F9" s="5" t="s">
        <v>62</v>
      </c>
      <c r="G9" s="5" t="s">
        <v>37</v>
      </c>
      <c r="H9" s="7" t="s">
        <v>7</v>
      </c>
      <c r="I9" s="7" t="s">
        <v>63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2</v>
      </c>
      <c r="AF9" s="8">
        <v>2000</v>
      </c>
      <c r="AG9" s="8">
        <v>2000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4000</v>
      </c>
      <c r="BN9" s="14">
        <f t="shared" si="1"/>
        <v>4000</v>
      </c>
      <c r="BO9" s="15">
        <f t="shared" si="2"/>
        <v>2800</v>
      </c>
    </row>
    <row r="10" spans="1:67" x14ac:dyDescent="0.3">
      <c r="A10" s="5" t="s">
        <v>146</v>
      </c>
      <c r="B10" s="5" t="s">
        <v>102</v>
      </c>
      <c r="C10" s="5">
        <v>457534</v>
      </c>
      <c r="D10" s="6"/>
      <c r="E10" s="5" t="s">
        <v>30</v>
      </c>
      <c r="F10" s="5" t="s">
        <v>103</v>
      </c>
      <c r="G10" s="5" t="s">
        <v>37</v>
      </c>
      <c r="H10" s="7" t="s">
        <v>41</v>
      </c>
      <c r="I10" s="7" t="s">
        <v>104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</v>
      </c>
      <c r="AF10" s="8">
        <v>2000</v>
      </c>
      <c r="AG10" s="7">
        <v>0</v>
      </c>
      <c r="AH10" s="7">
        <v>0</v>
      </c>
      <c r="AI10" s="7">
        <v>0</v>
      </c>
      <c r="AJ10" s="7">
        <v>0</v>
      </c>
      <c r="AK10" s="7">
        <v>1</v>
      </c>
      <c r="AL10" s="7">
        <v>0</v>
      </c>
      <c r="AM10" s="8">
        <v>2000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4000</v>
      </c>
      <c r="BN10" s="14">
        <f t="shared" si="1"/>
        <v>4000</v>
      </c>
      <c r="BO10" s="15">
        <f t="shared" si="2"/>
        <v>2800</v>
      </c>
    </row>
    <row r="11" spans="1:67" ht="19.5" x14ac:dyDescent="0.3">
      <c r="A11" s="5" t="s">
        <v>146</v>
      </c>
      <c r="B11" s="5" t="s">
        <v>112</v>
      </c>
      <c r="C11" s="5">
        <v>445576</v>
      </c>
      <c r="D11" s="6"/>
      <c r="E11" s="5" t="s">
        <v>30</v>
      </c>
      <c r="F11" s="5" t="s">
        <v>31</v>
      </c>
      <c r="G11" s="5" t="s">
        <v>32</v>
      </c>
      <c r="H11" s="7" t="s">
        <v>7</v>
      </c>
      <c r="I11" s="7" t="s">
        <v>105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4</v>
      </c>
      <c r="AC11" s="8">
        <v>3600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3600</v>
      </c>
      <c r="BN11" s="14">
        <f t="shared" si="1"/>
        <v>3600</v>
      </c>
      <c r="BO11" s="15">
        <f t="shared" si="2"/>
        <v>2520</v>
      </c>
    </row>
    <row r="12" spans="1:67" x14ac:dyDescent="0.3">
      <c r="A12" s="5" t="s">
        <v>146</v>
      </c>
      <c r="B12" s="5" t="s">
        <v>64</v>
      </c>
      <c r="C12" s="5">
        <v>461450</v>
      </c>
      <c r="D12" s="6"/>
      <c r="E12" s="5" t="s">
        <v>30</v>
      </c>
      <c r="F12" s="5" t="s">
        <v>31</v>
      </c>
      <c r="G12" s="5" t="s">
        <v>32</v>
      </c>
      <c r="H12" s="7" t="s">
        <v>10</v>
      </c>
      <c r="I12" s="7" t="s">
        <v>57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3</v>
      </c>
      <c r="AC12" s="8">
        <v>2700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1</v>
      </c>
      <c r="AO12" s="7">
        <v>900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3600</v>
      </c>
      <c r="BN12" s="14">
        <f t="shared" si="1"/>
        <v>3600</v>
      </c>
      <c r="BO12" s="15">
        <f t="shared" si="2"/>
        <v>2520</v>
      </c>
    </row>
    <row r="13" spans="1:67" x14ac:dyDescent="0.3">
      <c r="A13" s="5" t="s">
        <v>146</v>
      </c>
      <c r="B13" s="5" t="s">
        <v>96</v>
      </c>
      <c r="C13" s="5">
        <v>395231</v>
      </c>
      <c r="D13" s="6"/>
      <c r="E13" s="5" t="s">
        <v>30</v>
      </c>
      <c r="F13" s="5" t="s">
        <v>48</v>
      </c>
      <c r="G13" s="5" t="s">
        <v>49</v>
      </c>
      <c r="H13" s="7" t="s">
        <v>41</v>
      </c>
      <c r="I13" s="7" t="s">
        <v>97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1</v>
      </c>
      <c r="AF13" s="8">
        <v>3500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3500</v>
      </c>
      <c r="BN13" s="14">
        <f t="shared" si="1"/>
        <v>3500</v>
      </c>
      <c r="BO13" s="15">
        <f t="shared" si="2"/>
        <v>2450</v>
      </c>
    </row>
    <row r="14" spans="1:67" x14ac:dyDescent="0.3">
      <c r="A14" s="5" t="s">
        <v>146</v>
      </c>
      <c r="B14" s="5" t="s">
        <v>106</v>
      </c>
      <c r="C14" s="5">
        <v>387161</v>
      </c>
      <c r="D14" s="6"/>
      <c r="E14" s="5" t="s">
        <v>30</v>
      </c>
      <c r="F14" s="5" t="s">
        <v>107</v>
      </c>
      <c r="G14" s="5" t="s">
        <v>72</v>
      </c>
      <c r="H14" s="7" t="s">
        <v>41</v>
      </c>
      <c r="I14" s="7" t="s">
        <v>108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1</v>
      </c>
      <c r="AR14" s="8">
        <v>3200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3200</v>
      </c>
      <c r="BN14" s="14">
        <f t="shared" si="1"/>
        <v>3200</v>
      </c>
      <c r="BO14" s="15">
        <f t="shared" si="2"/>
        <v>2240</v>
      </c>
    </row>
    <row r="15" spans="1:67" x14ac:dyDescent="0.3">
      <c r="A15" s="5" t="s">
        <v>146</v>
      </c>
      <c r="B15" s="5" t="s">
        <v>78</v>
      </c>
      <c r="C15" s="5">
        <v>453445</v>
      </c>
      <c r="D15" s="6"/>
      <c r="E15" s="5" t="s">
        <v>30</v>
      </c>
      <c r="F15" s="5" t="s">
        <v>31</v>
      </c>
      <c r="G15" s="5" t="s">
        <v>32</v>
      </c>
      <c r="H15" s="7" t="s">
        <v>8</v>
      </c>
      <c r="I15" s="7" t="s">
        <v>79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</v>
      </c>
      <c r="AC15" s="7">
        <v>900</v>
      </c>
      <c r="AD15" s="7">
        <v>0</v>
      </c>
      <c r="AE15" s="7">
        <v>1</v>
      </c>
      <c r="AF15" s="8">
        <v>2000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2900</v>
      </c>
      <c r="BN15" s="14">
        <f t="shared" si="1"/>
        <v>2900</v>
      </c>
      <c r="BO15" s="15">
        <f t="shared" si="2"/>
        <v>2029.9999999999998</v>
      </c>
    </row>
    <row r="16" spans="1:67" x14ac:dyDescent="0.3">
      <c r="A16" s="5" t="s">
        <v>146</v>
      </c>
      <c r="B16" s="5" t="s">
        <v>149</v>
      </c>
      <c r="C16" s="5">
        <v>423665</v>
      </c>
      <c r="D16" s="6"/>
      <c r="E16" s="5" t="s">
        <v>30</v>
      </c>
      <c r="F16" s="5" t="s">
        <v>71</v>
      </c>
      <c r="G16" s="5" t="s">
        <v>72</v>
      </c>
      <c r="H16" s="7" t="s">
        <v>41</v>
      </c>
      <c r="I16" s="7" t="s">
        <v>147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1</v>
      </c>
      <c r="AF16" s="8">
        <v>2600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2600</v>
      </c>
      <c r="BN16" s="14">
        <f t="shared" si="1"/>
        <v>2600</v>
      </c>
      <c r="BO16" s="15">
        <f t="shared" si="2"/>
        <v>1819.9999999999998</v>
      </c>
    </row>
    <row r="17" spans="1:67" x14ac:dyDescent="0.3">
      <c r="A17" s="5" t="s">
        <v>146</v>
      </c>
      <c r="B17" s="5" t="s">
        <v>84</v>
      </c>
      <c r="C17" s="5">
        <v>461347</v>
      </c>
      <c r="D17" s="6"/>
      <c r="E17" s="5" t="s">
        <v>30</v>
      </c>
      <c r="F17" s="5" t="s">
        <v>62</v>
      </c>
      <c r="G17" s="5" t="s">
        <v>37</v>
      </c>
      <c r="H17" s="7" t="s">
        <v>41</v>
      </c>
      <c r="I17" s="7" t="s">
        <v>85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8">
        <v>2000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2000</v>
      </c>
      <c r="BN17" s="14">
        <f t="shared" si="1"/>
        <v>2000</v>
      </c>
      <c r="BO17" s="15">
        <f t="shared" si="2"/>
        <v>1400</v>
      </c>
    </row>
    <row r="18" spans="1:67" x14ac:dyDescent="0.3">
      <c r="A18" s="5" t="s">
        <v>146</v>
      </c>
      <c r="B18" s="5" t="s">
        <v>87</v>
      </c>
      <c r="C18" s="5">
        <v>461351</v>
      </c>
      <c r="D18" s="6"/>
      <c r="E18" s="5" t="s">
        <v>30</v>
      </c>
      <c r="F18" s="5" t="s">
        <v>59</v>
      </c>
      <c r="G18" s="5" t="s">
        <v>37</v>
      </c>
      <c r="H18" s="7" t="s">
        <v>41</v>
      </c>
      <c r="I18" s="7" t="s">
        <v>88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8">
        <v>2000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2000</v>
      </c>
      <c r="BN18" s="14">
        <f t="shared" si="1"/>
        <v>2000</v>
      </c>
      <c r="BO18" s="15">
        <f t="shared" si="2"/>
        <v>1400</v>
      </c>
    </row>
    <row r="19" spans="1:67" x14ac:dyDescent="0.3">
      <c r="A19" s="5" t="s">
        <v>146</v>
      </c>
      <c r="B19" s="5" t="s">
        <v>34</v>
      </c>
      <c r="C19" s="5">
        <v>451051</v>
      </c>
      <c r="D19" s="6"/>
      <c r="E19" s="5" t="s">
        <v>30</v>
      </c>
      <c r="F19" s="5" t="s">
        <v>31</v>
      </c>
      <c r="G19" s="5" t="s">
        <v>32</v>
      </c>
      <c r="H19" s="7" t="s">
        <v>10</v>
      </c>
      <c r="I19" s="7" t="s">
        <v>28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11</v>
      </c>
      <c r="AF19" s="8">
        <v>1100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1100</v>
      </c>
      <c r="BN19" s="14">
        <f t="shared" si="1"/>
        <v>1100</v>
      </c>
      <c r="BO19" s="15">
        <f t="shared" si="2"/>
        <v>770</v>
      </c>
    </row>
    <row r="20" spans="1:67" x14ac:dyDescent="0.3">
      <c r="A20" s="5" t="s">
        <v>146</v>
      </c>
      <c r="B20" s="5" t="s">
        <v>125</v>
      </c>
      <c r="C20" s="5">
        <v>354768</v>
      </c>
      <c r="D20" s="6"/>
      <c r="E20" s="5" t="s">
        <v>30</v>
      </c>
      <c r="F20" s="5" t="s">
        <v>43</v>
      </c>
      <c r="G20" s="5" t="s">
        <v>44</v>
      </c>
      <c r="H20" s="7" t="s">
        <v>8</v>
      </c>
      <c r="I20" s="7" t="s">
        <v>126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9</v>
      </c>
      <c r="AF20" s="7">
        <v>900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900</v>
      </c>
      <c r="BN20" s="14">
        <f t="shared" si="1"/>
        <v>900</v>
      </c>
      <c r="BO20" s="15">
        <f t="shared" si="2"/>
        <v>630</v>
      </c>
    </row>
    <row r="21" spans="1:67" x14ac:dyDescent="0.3">
      <c r="A21" s="5" t="s">
        <v>146</v>
      </c>
      <c r="B21" s="5" t="s">
        <v>94</v>
      </c>
      <c r="C21" s="5">
        <v>382098</v>
      </c>
      <c r="D21" s="6"/>
      <c r="E21" s="5" t="s">
        <v>30</v>
      </c>
      <c r="F21" s="5" t="s">
        <v>31</v>
      </c>
      <c r="G21" s="5" t="s">
        <v>11</v>
      </c>
      <c r="H21" s="7" t="s">
        <v>7</v>
      </c>
      <c r="I21" s="7" t="s">
        <v>95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1</v>
      </c>
      <c r="AO21" s="7">
        <v>900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900</v>
      </c>
      <c r="BN21" s="14">
        <f t="shared" si="1"/>
        <v>900</v>
      </c>
      <c r="BO21" s="15">
        <f t="shared" si="2"/>
        <v>630</v>
      </c>
    </row>
    <row r="22" spans="1:67" x14ac:dyDescent="0.3">
      <c r="A22" s="5" t="s">
        <v>146</v>
      </c>
      <c r="B22" s="5" t="s">
        <v>145</v>
      </c>
      <c r="C22" s="5">
        <v>395237</v>
      </c>
      <c r="D22" s="6"/>
      <c r="E22" s="5" t="s">
        <v>30</v>
      </c>
      <c r="F22" s="5" t="s">
        <v>48</v>
      </c>
      <c r="G22" s="5" t="s">
        <v>49</v>
      </c>
      <c r="H22" s="7" t="s">
        <v>41</v>
      </c>
      <c r="I22" s="7" t="s">
        <v>97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7">
        <v>200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1">
        <v>200</v>
      </c>
      <c r="BN22" s="14">
        <f t="shared" si="1"/>
        <v>200</v>
      </c>
      <c r="BO22" s="15">
        <f t="shared" si="2"/>
        <v>140</v>
      </c>
    </row>
    <row r="23" spans="1:67" x14ac:dyDescent="0.3">
      <c r="A23" s="5" t="s">
        <v>146</v>
      </c>
      <c r="B23" s="5" t="s">
        <v>144</v>
      </c>
      <c r="C23" s="5">
        <v>408838</v>
      </c>
      <c r="D23" s="6"/>
      <c r="E23" s="5" t="s">
        <v>30</v>
      </c>
      <c r="F23" s="5" t="s">
        <v>69</v>
      </c>
      <c r="G23" s="5" t="s">
        <v>11</v>
      </c>
      <c r="H23" s="7" t="s">
        <v>7</v>
      </c>
      <c r="I23" s="7" t="s">
        <v>86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2</v>
      </c>
      <c r="AF23" s="7">
        <v>200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1">
        <v>200</v>
      </c>
      <c r="BN23" s="14">
        <f t="shared" si="1"/>
        <v>200</v>
      </c>
      <c r="BO23" s="15">
        <f t="shared" si="2"/>
        <v>140</v>
      </c>
    </row>
    <row r="24" spans="1:67" x14ac:dyDescent="0.3">
      <c r="A24" s="5" t="s">
        <v>146</v>
      </c>
      <c r="B24" s="5" t="s">
        <v>127</v>
      </c>
      <c r="C24" s="5">
        <v>453397</v>
      </c>
      <c r="D24" s="6"/>
      <c r="E24" s="5" t="s">
        <v>30</v>
      </c>
      <c r="F24" s="5" t="s">
        <v>31</v>
      </c>
      <c r="G24" s="5" t="s">
        <v>32</v>
      </c>
      <c r="H24" s="7" t="s">
        <v>8</v>
      </c>
      <c r="I24" s="7" t="s">
        <v>79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</v>
      </c>
      <c r="AF24" s="7">
        <v>100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1">
        <v>100</v>
      </c>
      <c r="BN24" s="14">
        <f t="shared" si="1"/>
        <v>100</v>
      </c>
      <c r="BO24" s="15">
        <f t="shared" si="2"/>
        <v>70</v>
      </c>
    </row>
    <row r="25" spans="1:67" x14ac:dyDescent="0.3">
      <c r="A25" s="5" t="s">
        <v>146</v>
      </c>
      <c r="B25" s="5" t="s">
        <v>76</v>
      </c>
      <c r="C25" s="5">
        <v>369060</v>
      </c>
      <c r="D25" s="6"/>
      <c r="E25" s="5" t="s">
        <v>30</v>
      </c>
      <c r="F25" s="5" t="s">
        <v>66</v>
      </c>
      <c r="G25" s="5" t="s">
        <v>11</v>
      </c>
      <c r="H25" s="7" t="s">
        <v>7</v>
      </c>
      <c r="I25" s="7" t="s">
        <v>77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1</v>
      </c>
      <c r="AR25" s="7">
        <v>100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1">
        <v>100</v>
      </c>
      <c r="BN25" s="14">
        <f t="shared" si="1"/>
        <v>100</v>
      </c>
      <c r="BO25" s="15">
        <f t="shared" si="2"/>
        <v>70</v>
      </c>
    </row>
    <row r="26" spans="1:67" x14ac:dyDescent="0.3">
      <c r="A26" s="5" t="s">
        <v>146</v>
      </c>
      <c r="B26" s="5" t="s">
        <v>80</v>
      </c>
      <c r="C26" s="5">
        <v>440710</v>
      </c>
      <c r="D26" s="6"/>
      <c r="E26" s="5" t="s">
        <v>30</v>
      </c>
      <c r="F26" s="5" t="s">
        <v>81</v>
      </c>
      <c r="G26" s="5" t="s">
        <v>82</v>
      </c>
      <c r="H26" s="7" t="s">
        <v>7</v>
      </c>
      <c r="I26" s="7" t="s">
        <v>83</v>
      </c>
      <c r="J26" s="7">
        <v>0</v>
      </c>
      <c r="K26" s="7">
        <v>34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1">
        <v>0</v>
      </c>
      <c r="BN26" s="14">
        <f t="shared" si="1"/>
        <v>0</v>
      </c>
      <c r="BO26" s="15">
        <f t="shared" si="2"/>
        <v>0</v>
      </c>
    </row>
    <row r="27" spans="1:67" x14ac:dyDescent="0.3">
      <c r="A27" s="5" t="s">
        <v>148</v>
      </c>
      <c r="B27" s="5" t="s">
        <v>34</v>
      </c>
      <c r="C27" s="5">
        <v>451051</v>
      </c>
      <c r="D27" s="6"/>
      <c r="E27" s="5" t="s">
        <v>30</v>
      </c>
      <c r="F27" s="5" t="s">
        <v>31</v>
      </c>
      <c r="G27" s="5" t="s">
        <v>32</v>
      </c>
      <c r="H27" s="7" t="s">
        <v>10</v>
      </c>
      <c r="I27" s="7" t="s">
        <v>28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8">
        <v>1244</v>
      </c>
      <c r="AF27" s="8">
        <v>124400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124400</v>
      </c>
      <c r="BN27" s="14">
        <f t="shared" si="1"/>
        <v>124400</v>
      </c>
      <c r="BO27" s="15">
        <f t="shared" si="2"/>
        <v>87080</v>
      </c>
    </row>
    <row r="28" spans="1:67" x14ac:dyDescent="0.3">
      <c r="A28" s="5" t="s">
        <v>148</v>
      </c>
      <c r="B28" s="5" t="s">
        <v>29</v>
      </c>
      <c r="C28" s="5">
        <v>465998</v>
      </c>
      <c r="D28" s="6"/>
      <c r="E28" s="5" t="s">
        <v>30</v>
      </c>
      <c r="F28" s="5" t="s">
        <v>31</v>
      </c>
      <c r="G28" s="5" t="s">
        <v>32</v>
      </c>
      <c r="H28" s="7" t="s">
        <v>10</v>
      </c>
      <c r="I28" s="7" t="s">
        <v>33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102</v>
      </c>
      <c r="AC28" s="8">
        <v>91800</v>
      </c>
      <c r="AD28" s="7">
        <v>0</v>
      </c>
      <c r="AE28" s="7">
        <v>2</v>
      </c>
      <c r="AF28" s="8">
        <v>4000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18</v>
      </c>
      <c r="AO28" s="8">
        <v>16200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112000</v>
      </c>
      <c r="BN28" s="14">
        <f t="shared" si="1"/>
        <v>112000</v>
      </c>
      <c r="BO28" s="15">
        <f t="shared" si="2"/>
        <v>78400</v>
      </c>
    </row>
    <row r="29" spans="1:67" x14ac:dyDescent="0.3">
      <c r="A29" s="5" t="s">
        <v>148</v>
      </c>
      <c r="B29" s="5" t="s">
        <v>56</v>
      </c>
      <c r="C29" s="5">
        <v>461432</v>
      </c>
      <c r="D29" s="6"/>
      <c r="E29" s="5" t="s">
        <v>30</v>
      </c>
      <c r="F29" s="5" t="s">
        <v>31</v>
      </c>
      <c r="G29" s="5" t="s">
        <v>32</v>
      </c>
      <c r="H29" s="7" t="s">
        <v>10</v>
      </c>
      <c r="I29" s="7" t="s">
        <v>57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162</v>
      </c>
      <c r="AF29" s="8">
        <v>16200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16200</v>
      </c>
      <c r="BN29" s="14">
        <f t="shared" si="1"/>
        <v>16200</v>
      </c>
      <c r="BO29" s="15">
        <f t="shared" si="2"/>
        <v>11340</v>
      </c>
    </row>
    <row r="30" spans="1:67" x14ac:dyDescent="0.3">
      <c r="A30" s="5" t="s">
        <v>148</v>
      </c>
      <c r="B30" s="5" t="s">
        <v>78</v>
      </c>
      <c r="C30" s="5">
        <v>453445</v>
      </c>
      <c r="D30" s="6"/>
      <c r="E30" s="5" t="s">
        <v>30</v>
      </c>
      <c r="F30" s="5" t="s">
        <v>31</v>
      </c>
      <c r="G30" s="5" t="s">
        <v>32</v>
      </c>
      <c r="H30" s="7" t="s">
        <v>8</v>
      </c>
      <c r="I30" s="7" t="s">
        <v>79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7</v>
      </c>
      <c r="AC30" s="8">
        <v>6300</v>
      </c>
      <c r="AD30" s="7">
        <v>0</v>
      </c>
      <c r="AE30" s="7">
        <v>2</v>
      </c>
      <c r="AF30" s="8">
        <v>4000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10300</v>
      </c>
      <c r="BN30" s="14">
        <f t="shared" si="1"/>
        <v>10300</v>
      </c>
      <c r="BO30" s="15">
        <f t="shared" si="2"/>
        <v>7209.9999999999991</v>
      </c>
    </row>
    <row r="31" spans="1:67" x14ac:dyDescent="0.3">
      <c r="A31" s="5" t="s">
        <v>148</v>
      </c>
      <c r="B31" s="5" t="s">
        <v>128</v>
      </c>
      <c r="C31" s="5">
        <v>455900</v>
      </c>
      <c r="D31" s="6"/>
      <c r="E31" s="5" t="s">
        <v>30</v>
      </c>
      <c r="F31" s="5" t="s">
        <v>31</v>
      </c>
      <c r="G31" s="5" t="s">
        <v>32</v>
      </c>
      <c r="H31" s="7" t="s">
        <v>7</v>
      </c>
      <c r="I31" s="7" t="s">
        <v>98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8</v>
      </c>
      <c r="AC31" s="8">
        <v>7200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7200</v>
      </c>
      <c r="BN31" s="14">
        <f t="shared" si="1"/>
        <v>7200</v>
      </c>
      <c r="BO31" s="15">
        <f t="shared" si="2"/>
        <v>5040</v>
      </c>
    </row>
    <row r="32" spans="1:67" x14ac:dyDescent="0.3">
      <c r="A32" s="5" t="s">
        <v>148</v>
      </c>
      <c r="B32" s="5" t="s">
        <v>123</v>
      </c>
      <c r="C32" s="5">
        <v>454228</v>
      </c>
      <c r="D32" s="6"/>
      <c r="E32" s="5" t="s">
        <v>30</v>
      </c>
      <c r="F32" s="5" t="s">
        <v>31</v>
      </c>
      <c r="G32" s="5" t="s">
        <v>32</v>
      </c>
      <c r="H32" s="7" t="s">
        <v>7</v>
      </c>
      <c r="I32" s="7" t="s">
        <v>124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6</v>
      </c>
      <c r="AO32" s="8">
        <v>5200</v>
      </c>
      <c r="AP32" s="7">
        <v>200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0">
        <v>5400</v>
      </c>
      <c r="BN32" s="14">
        <f t="shared" si="1"/>
        <v>5400</v>
      </c>
      <c r="BO32" s="15">
        <f t="shared" si="2"/>
        <v>3779.9999999999995</v>
      </c>
    </row>
    <row r="33" spans="1:67" x14ac:dyDescent="0.3">
      <c r="A33" s="5" t="s">
        <v>148</v>
      </c>
      <c r="B33" s="5" t="s">
        <v>64</v>
      </c>
      <c r="C33" s="5">
        <v>461450</v>
      </c>
      <c r="D33" s="6"/>
      <c r="E33" s="5" t="s">
        <v>30</v>
      </c>
      <c r="F33" s="5" t="s">
        <v>31</v>
      </c>
      <c r="G33" s="5" t="s">
        <v>32</v>
      </c>
      <c r="H33" s="7" t="s">
        <v>10</v>
      </c>
      <c r="I33" s="7" t="s">
        <v>57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4</v>
      </c>
      <c r="AC33" s="8">
        <v>3600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1</v>
      </c>
      <c r="AO33" s="7">
        <v>900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0">
        <v>4500</v>
      </c>
      <c r="BN33" s="14">
        <f t="shared" si="1"/>
        <v>4500</v>
      </c>
      <c r="BO33" s="15">
        <f t="shared" si="2"/>
        <v>3150</v>
      </c>
    </row>
    <row r="34" spans="1:67" x14ac:dyDescent="0.3">
      <c r="A34" s="5" t="s">
        <v>148</v>
      </c>
      <c r="B34" s="5" t="s">
        <v>92</v>
      </c>
      <c r="C34" s="5">
        <v>379289</v>
      </c>
      <c r="D34" s="6"/>
      <c r="E34" s="5" t="s">
        <v>30</v>
      </c>
      <c r="F34" s="5" t="s">
        <v>69</v>
      </c>
      <c r="G34" s="5" t="s">
        <v>11</v>
      </c>
      <c r="H34" s="7" t="s">
        <v>7</v>
      </c>
      <c r="I34" s="7" t="s">
        <v>93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1</v>
      </c>
      <c r="AF34" s="8">
        <v>2500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0">
        <v>2500</v>
      </c>
      <c r="BN34" s="14">
        <f t="shared" si="1"/>
        <v>2500</v>
      </c>
      <c r="BO34" s="15">
        <f t="shared" si="2"/>
        <v>1750</v>
      </c>
    </row>
    <row r="35" spans="1:67" x14ac:dyDescent="0.3">
      <c r="A35" s="5" t="s">
        <v>148</v>
      </c>
      <c r="B35" s="5" t="s">
        <v>76</v>
      </c>
      <c r="C35" s="5">
        <v>369060</v>
      </c>
      <c r="D35" s="6"/>
      <c r="E35" s="5" t="s">
        <v>30</v>
      </c>
      <c r="F35" s="5" t="s">
        <v>66</v>
      </c>
      <c r="G35" s="5" t="s">
        <v>11</v>
      </c>
      <c r="H35" s="7" t="s">
        <v>7</v>
      </c>
      <c r="I35" s="7" t="s">
        <v>77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24</v>
      </c>
      <c r="AR35" s="8">
        <v>2400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0">
        <v>2400</v>
      </c>
      <c r="BN35" s="14">
        <f t="shared" ref="BN35:BN74" si="3">BM35-BL35</f>
        <v>2400</v>
      </c>
      <c r="BO35" s="15">
        <f t="shared" ref="BO35:BO74" si="4">BN35*70%</f>
        <v>1680</v>
      </c>
    </row>
    <row r="36" spans="1:67" x14ac:dyDescent="0.3">
      <c r="A36" s="5" t="s">
        <v>148</v>
      </c>
      <c r="B36" s="5" t="s">
        <v>65</v>
      </c>
      <c r="C36" s="5">
        <v>380954</v>
      </c>
      <c r="D36" s="6"/>
      <c r="E36" s="5" t="s">
        <v>30</v>
      </c>
      <c r="F36" s="5" t="s">
        <v>66</v>
      </c>
      <c r="G36" s="5" t="s">
        <v>11</v>
      </c>
      <c r="H36" s="7" t="s">
        <v>7</v>
      </c>
      <c r="I36" s="7" t="s">
        <v>67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2</v>
      </c>
      <c r="AC36" s="8">
        <v>1800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0">
        <v>1800</v>
      </c>
      <c r="BN36" s="14">
        <f t="shared" si="3"/>
        <v>1800</v>
      </c>
      <c r="BO36" s="15">
        <f t="shared" si="4"/>
        <v>1260</v>
      </c>
    </row>
    <row r="37" spans="1:67" x14ac:dyDescent="0.3">
      <c r="A37" s="5" t="s">
        <v>148</v>
      </c>
      <c r="B37" s="5" t="s">
        <v>125</v>
      </c>
      <c r="C37" s="5">
        <v>354768</v>
      </c>
      <c r="D37" s="6"/>
      <c r="E37" s="5" t="s">
        <v>30</v>
      </c>
      <c r="F37" s="5" t="s">
        <v>43</v>
      </c>
      <c r="G37" s="5" t="s">
        <v>44</v>
      </c>
      <c r="H37" s="7" t="s">
        <v>8</v>
      </c>
      <c r="I37" s="7" t="s">
        <v>126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14</v>
      </c>
      <c r="AF37" s="8">
        <v>1400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0">
        <v>1400</v>
      </c>
      <c r="BN37" s="14">
        <f t="shared" si="3"/>
        <v>1400</v>
      </c>
      <c r="BO37" s="15">
        <f t="shared" si="4"/>
        <v>979.99999999999989</v>
      </c>
    </row>
    <row r="38" spans="1:67" x14ac:dyDescent="0.3">
      <c r="A38" s="5" t="s">
        <v>148</v>
      </c>
      <c r="B38" s="5" t="s">
        <v>143</v>
      </c>
      <c r="C38" s="5">
        <v>451947</v>
      </c>
      <c r="D38" s="6"/>
      <c r="E38" s="5" t="s">
        <v>30</v>
      </c>
      <c r="F38" s="5" t="s">
        <v>31</v>
      </c>
      <c r="G38" s="5" t="s">
        <v>32</v>
      </c>
      <c r="H38" s="7" t="s">
        <v>7</v>
      </c>
      <c r="I38" s="7" t="s">
        <v>79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12</v>
      </c>
      <c r="AF38" s="8">
        <v>1200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0">
        <v>1200</v>
      </c>
      <c r="BN38" s="14">
        <f t="shared" si="3"/>
        <v>1200</v>
      </c>
      <c r="BO38" s="15">
        <f t="shared" si="4"/>
        <v>840</v>
      </c>
    </row>
    <row r="39" spans="1:67" ht="19.5" x14ac:dyDescent="0.3">
      <c r="A39" s="5" t="s">
        <v>148</v>
      </c>
      <c r="B39" s="5" t="s">
        <v>112</v>
      </c>
      <c r="C39" s="5">
        <v>445576</v>
      </c>
      <c r="D39" s="6"/>
      <c r="E39" s="5" t="s">
        <v>30</v>
      </c>
      <c r="F39" s="5" t="s">
        <v>31</v>
      </c>
      <c r="G39" s="5" t="s">
        <v>32</v>
      </c>
      <c r="H39" s="7" t="s">
        <v>7</v>
      </c>
      <c r="I39" s="7" t="s">
        <v>105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1</v>
      </c>
      <c r="AC39" s="7">
        <v>900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900</v>
      </c>
      <c r="BN39" s="14">
        <f t="shared" si="3"/>
        <v>900</v>
      </c>
      <c r="BO39" s="15">
        <f t="shared" si="4"/>
        <v>630</v>
      </c>
    </row>
    <row r="40" spans="1:67" x14ac:dyDescent="0.3">
      <c r="A40" s="5" t="s">
        <v>148</v>
      </c>
      <c r="B40" s="5" t="s">
        <v>94</v>
      </c>
      <c r="C40" s="5">
        <v>382098</v>
      </c>
      <c r="D40" s="6"/>
      <c r="E40" s="5" t="s">
        <v>30</v>
      </c>
      <c r="F40" s="5" t="s">
        <v>31</v>
      </c>
      <c r="G40" s="5" t="s">
        <v>11</v>
      </c>
      <c r="H40" s="7" t="s">
        <v>7</v>
      </c>
      <c r="I40" s="7" t="s">
        <v>95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1</v>
      </c>
      <c r="AO40" s="7">
        <v>900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900</v>
      </c>
      <c r="BN40" s="14">
        <f t="shared" si="3"/>
        <v>900</v>
      </c>
      <c r="BO40" s="15">
        <f t="shared" si="4"/>
        <v>630</v>
      </c>
    </row>
    <row r="41" spans="1:67" x14ac:dyDescent="0.3">
      <c r="A41" s="5" t="s">
        <v>148</v>
      </c>
      <c r="B41" s="5" t="s">
        <v>53</v>
      </c>
      <c r="C41" s="5">
        <v>354950</v>
      </c>
      <c r="D41" s="6" t="s">
        <v>54</v>
      </c>
      <c r="E41" s="5" t="s">
        <v>30</v>
      </c>
      <c r="F41" s="5" t="s">
        <v>31</v>
      </c>
      <c r="G41" s="5" t="s">
        <v>11</v>
      </c>
      <c r="H41" s="7" t="s">
        <v>7</v>
      </c>
      <c r="I41" s="7" t="s">
        <v>55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5</v>
      </c>
      <c r="AF41" s="7">
        <v>500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500</v>
      </c>
      <c r="BN41" s="14">
        <f t="shared" si="3"/>
        <v>500</v>
      </c>
      <c r="BO41" s="15">
        <f t="shared" si="4"/>
        <v>350</v>
      </c>
    </row>
    <row r="42" spans="1:67" x14ac:dyDescent="0.3">
      <c r="A42" s="5" t="s">
        <v>148</v>
      </c>
      <c r="B42" s="5" t="s">
        <v>144</v>
      </c>
      <c r="C42" s="5">
        <v>408838</v>
      </c>
      <c r="D42" s="6"/>
      <c r="E42" s="5" t="s">
        <v>30</v>
      </c>
      <c r="F42" s="5" t="s">
        <v>69</v>
      </c>
      <c r="G42" s="5" t="s">
        <v>11</v>
      </c>
      <c r="H42" s="7" t="s">
        <v>7</v>
      </c>
      <c r="I42" s="7" t="s">
        <v>86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5</v>
      </c>
      <c r="AF42" s="7">
        <v>500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500</v>
      </c>
      <c r="BN42" s="14">
        <f t="shared" si="3"/>
        <v>500</v>
      </c>
      <c r="BO42" s="15">
        <f t="shared" si="4"/>
        <v>350</v>
      </c>
    </row>
    <row r="43" spans="1:67" x14ac:dyDescent="0.3">
      <c r="A43" s="5" t="s">
        <v>148</v>
      </c>
      <c r="B43" s="5" t="s">
        <v>127</v>
      </c>
      <c r="C43" s="5">
        <v>453397</v>
      </c>
      <c r="D43" s="6"/>
      <c r="E43" s="5" t="s">
        <v>30</v>
      </c>
      <c r="F43" s="5" t="s">
        <v>31</v>
      </c>
      <c r="G43" s="5" t="s">
        <v>32</v>
      </c>
      <c r="H43" s="7" t="s">
        <v>8</v>
      </c>
      <c r="I43" s="7" t="s">
        <v>79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2</v>
      </c>
      <c r="AF43" s="7">
        <v>200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1">
        <v>200</v>
      </c>
      <c r="BN43" s="14">
        <f t="shared" si="3"/>
        <v>200</v>
      </c>
      <c r="BO43" s="15">
        <f t="shared" si="4"/>
        <v>140</v>
      </c>
    </row>
    <row r="44" spans="1:67" x14ac:dyDescent="0.3">
      <c r="A44" s="5" t="s">
        <v>148</v>
      </c>
      <c r="B44" s="5" t="s">
        <v>80</v>
      </c>
      <c r="C44" s="5">
        <v>440710</v>
      </c>
      <c r="D44" s="6"/>
      <c r="E44" s="5" t="s">
        <v>30</v>
      </c>
      <c r="F44" s="5" t="s">
        <v>81</v>
      </c>
      <c r="G44" s="5" t="s">
        <v>82</v>
      </c>
      <c r="H44" s="7" t="s">
        <v>7</v>
      </c>
      <c r="I44" s="7" t="s">
        <v>83</v>
      </c>
      <c r="J44" s="7">
        <v>0</v>
      </c>
      <c r="K44" s="7">
        <v>4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0</v>
      </c>
      <c r="BN44" s="14">
        <f t="shared" si="3"/>
        <v>0</v>
      </c>
      <c r="BO44" s="15">
        <f t="shared" si="4"/>
        <v>0</v>
      </c>
    </row>
    <row r="45" spans="1:67" x14ac:dyDescent="0.3">
      <c r="A45" s="5" t="s">
        <v>150</v>
      </c>
      <c r="B45" s="5" t="s">
        <v>45</v>
      </c>
      <c r="C45" s="5">
        <v>468578</v>
      </c>
      <c r="D45" s="6"/>
      <c r="E45" s="5" t="s">
        <v>30</v>
      </c>
      <c r="F45" s="5" t="s">
        <v>46</v>
      </c>
      <c r="G45" s="5" t="s">
        <v>37</v>
      </c>
      <c r="H45" s="7" t="s">
        <v>41</v>
      </c>
      <c r="I45" s="7" t="s">
        <v>47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14</v>
      </c>
      <c r="AF45" s="8">
        <v>42000</v>
      </c>
      <c r="AG45" s="7">
        <v>0</v>
      </c>
      <c r="AH45" s="7">
        <v>0</v>
      </c>
      <c r="AI45" s="7">
        <v>0</v>
      </c>
      <c r="AJ45" s="7">
        <v>0</v>
      </c>
      <c r="AK45" s="7">
        <v>1</v>
      </c>
      <c r="AL45" s="8">
        <v>3600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9">
        <v>1080</v>
      </c>
      <c r="BM45" s="10">
        <v>45600</v>
      </c>
      <c r="BN45" s="14">
        <f t="shared" si="3"/>
        <v>44520</v>
      </c>
      <c r="BO45" s="15">
        <f t="shared" si="4"/>
        <v>31163.999999999996</v>
      </c>
    </row>
    <row r="46" spans="1:67" x14ac:dyDescent="0.3">
      <c r="A46" s="5" t="s">
        <v>150</v>
      </c>
      <c r="B46" s="5" t="s">
        <v>58</v>
      </c>
      <c r="C46" s="5">
        <v>467564</v>
      </c>
      <c r="D46" s="6"/>
      <c r="E46" s="5" t="s">
        <v>30</v>
      </c>
      <c r="F46" s="5" t="s">
        <v>59</v>
      </c>
      <c r="G46" s="5" t="s">
        <v>37</v>
      </c>
      <c r="H46" s="7" t="s">
        <v>41</v>
      </c>
      <c r="I46" s="7" t="s">
        <v>60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12</v>
      </c>
      <c r="AF46" s="8">
        <v>23800</v>
      </c>
      <c r="AG46" s="7">
        <v>0</v>
      </c>
      <c r="AH46" s="7">
        <v>0</v>
      </c>
      <c r="AI46" s="7">
        <v>0</v>
      </c>
      <c r="AJ46" s="7">
        <v>0</v>
      </c>
      <c r="AK46" s="7">
        <v>3</v>
      </c>
      <c r="AL46" s="7">
        <v>0</v>
      </c>
      <c r="AM46" s="8">
        <v>4200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0">
        <v>28000</v>
      </c>
      <c r="BN46" s="14">
        <f t="shared" si="3"/>
        <v>28000</v>
      </c>
      <c r="BO46" s="15">
        <f t="shared" si="4"/>
        <v>19600</v>
      </c>
    </row>
    <row r="47" spans="1:67" x14ac:dyDescent="0.3">
      <c r="A47" s="5" t="s">
        <v>150</v>
      </c>
      <c r="B47" s="5" t="s">
        <v>39</v>
      </c>
      <c r="C47" s="5">
        <v>459229</v>
      </c>
      <c r="D47" s="6"/>
      <c r="E47" s="5" t="s">
        <v>30</v>
      </c>
      <c r="F47" s="5" t="s">
        <v>40</v>
      </c>
      <c r="G47" s="5" t="s">
        <v>37</v>
      </c>
      <c r="H47" s="7" t="s">
        <v>41</v>
      </c>
      <c r="I47" s="7" t="s">
        <v>42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8</v>
      </c>
      <c r="AF47" s="8">
        <v>20400</v>
      </c>
      <c r="AG47" s="8">
        <v>3300</v>
      </c>
      <c r="AH47" s="7">
        <v>0</v>
      </c>
      <c r="AI47" s="7">
        <v>0</v>
      </c>
      <c r="AJ47" s="7">
        <v>0</v>
      </c>
      <c r="AK47" s="7">
        <v>1</v>
      </c>
      <c r="AL47" s="7">
        <v>0</v>
      </c>
      <c r="AM47" s="7">
        <v>300</v>
      </c>
      <c r="AN47" s="7">
        <v>0</v>
      </c>
      <c r="AO47" s="7">
        <v>0</v>
      </c>
      <c r="AP47" s="7">
        <v>0</v>
      </c>
      <c r="AQ47" s="7">
        <v>1</v>
      </c>
      <c r="AR47" s="8">
        <v>3000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0">
        <v>27000</v>
      </c>
      <c r="BN47" s="14">
        <f t="shared" si="3"/>
        <v>27000</v>
      </c>
      <c r="BO47" s="15">
        <f t="shared" si="4"/>
        <v>18900</v>
      </c>
    </row>
    <row r="48" spans="1:67" x14ac:dyDescent="0.3">
      <c r="A48" s="5" t="s">
        <v>150</v>
      </c>
      <c r="B48" s="5" t="s">
        <v>50</v>
      </c>
      <c r="C48" s="5">
        <v>465773</v>
      </c>
      <c r="D48" s="6"/>
      <c r="E48" s="5" t="s">
        <v>30</v>
      </c>
      <c r="F48" s="5" t="s">
        <v>51</v>
      </c>
      <c r="G48" s="5" t="s">
        <v>37</v>
      </c>
      <c r="H48" s="7" t="s">
        <v>41</v>
      </c>
      <c r="I48" s="7" t="s">
        <v>52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4</v>
      </c>
      <c r="AF48" s="8">
        <v>10500</v>
      </c>
      <c r="AG48" s="8">
        <v>3500</v>
      </c>
      <c r="AH48" s="7">
        <v>0</v>
      </c>
      <c r="AI48" s="7">
        <v>0</v>
      </c>
      <c r="AJ48" s="7">
        <v>0</v>
      </c>
      <c r="AK48" s="7">
        <v>2</v>
      </c>
      <c r="AL48" s="8">
        <v>4200</v>
      </c>
      <c r="AM48" s="8">
        <v>3500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9">
        <v>1260</v>
      </c>
      <c r="BM48" s="10">
        <v>21700</v>
      </c>
      <c r="BN48" s="14">
        <f t="shared" si="3"/>
        <v>20440</v>
      </c>
      <c r="BO48" s="15">
        <f t="shared" si="4"/>
        <v>14308</v>
      </c>
    </row>
    <row r="49" spans="1:67" x14ac:dyDescent="0.3">
      <c r="A49" s="5" t="s">
        <v>150</v>
      </c>
      <c r="B49" s="5" t="s">
        <v>87</v>
      </c>
      <c r="C49" s="5">
        <v>461351</v>
      </c>
      <c r="D49" s="6"/>
      <c r="E49" s="5" t="s">
        <v>30</v>
      </c>
      <c r="F49" s="5" t="s">
        <v>59</v>
      </c>
      <c r="G49" s="5" t="s">
        <v>37</v>
      </c>
      <c r="H49" s="7" t="s">
        <v>41</v>
      </c>
      <c r="I49" s="7" t="s">
        <v>88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6</v>
      </c>
      <c r="AF49" s="8">
        <v>11200</v>
      </c>
      <c r="AG49" s="7">
        <v>0</v>
      </c>
      <c r="AH49" s="7">
        <v>0</v>
      </c>
      <c r="AI49" s="7">
        <v>0</v>
      </c>
      <c r="AJ49" s="7">
        <v>0</v>
      </c>
      <c r="AK49" s="7">
        <v>2</v>
      </c>
      <c r="AL49" s="7">
        <v>0</v>
      </c>
      <c r="AM49" s="8">
        <v>2800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0">
        <v>14000</v>
      </c>
      <c r="BN49" s="14">
        <f t="shared" si="3"/>
        <v>14000</v>
      </c>
      <c r="BO49" s="15">
        <f t="shared" si="4"/>
        <v>9800</v>
      </c>
    </row>
    <row r="50" spans="1:67" x14ac:dyDescent="0.3">
      <c r="A50" s="5" t="s">
        <v>150</v>
      </c>
      <c r="B50" s="5" t="s">
        <v>84</v>
      </c>
      <c r="C50" s="5">
        <v>461347</v>
      </c>
      <c r="D50" s="6"/>
      <c r="E50" s="5" t="s">
        <v>30</v>
      </c>
      <c r="F50" s="5" t="s">
        <v>62</v>
      </c>
      <c r="G50" s="5" t="s">
        <v>37</v>
      </c>
      <c r="H50" s="7" t="s">
        <v>41</v>
      </c>
      <c r="I50" s="7" t="s">
        <v>85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4</v>
      </c>
      <c r="AF50" s="8">
        <v>6000</v>
      </c>
      <c r="AG50" s="7">
        <v>200</v>
      </c>
      <c r="AH50" s="7">
        <v>0</v>
      </c>
      <c r="AI50" s="7">
        <v>0</v>
      </c>
      <c r="AJ50" s="7">
        <v>0</v>
      </c>
      <c r="AK50" s="7">
        <v>3</v>
      </c>
      <c r="AL50" s="8">
        <v>4800</v>
      </c>
      <c r="AM50" s="8">
        <v>1800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9">
        <v>1440</v>
      </c>
      <c r="BM50" s="10">
        <v>12800</v>
      </c>
      <c r="BN50" s="14">
        <f t="shared" si="3"/>
        <v>11360</v>
      </c>
      <c r="BO50" s="15">
        <f t="shared" si="4"/>
        <v>7951.9999999999991</v>
      </c>
    </row>
    <row r="51" spans="1:67" x14ac:dyDescent="0.3">
      <c r="A51" s="5" t="s">
        <v>150</v>
      </c>
      <c r="B51" s="5" t="s">
        <v>109</v>
      </c>
      <c r="C51" s="5">
        <v>326776</v>
      </c>
      <c r="D51" s="6"/>
      <c r="E51" s="5" t="s">
        <v>30</v>
      </c>
      <c r="F51" s="5" t="s">
        <v>110</v>
      </c>
      <c r="G51" s="5" t="s">
        <v>72</v>
      </c>
      <c r="H51" s="7" t="s">
        <v>41</v>
      </c>
      <c r="I51" s="7" t="s">
        <v>111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2</v>
      </c>
      <c r="AF51" s="8">
        <v>7600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1</v>
      </c>
      <c r="AR51" s="8">
        <v>3800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0">
        <v>11400</v>
      </c>
      <c r="BN51" s="14">
        <f t="shared" si="3"/>
        <v>11400</v>
      </c>
      <c r="BO51" s="15">
        <f t="shared" si="4"/>
        <v>7979.9999999999991</v>
      </c>
    </row>
    <row r="52" spans="1:67" x14ac:dyDescent="0.3">
      <c r="A52" s="5" t="s">
        <v>150</v>
      </c>
      <c r="B52" s="5" t="s">
        <v>99</v>
      </c>
      <c r="C52" s="5">
        <v>442667</v>
      </c>
      <c r="D52" s="6"/>
      <c r="E52" s="5" t="s">
        <v>30</v>
      </c>
      <c r="F52" s="5" t="s">
        <v>100</v>
      </c>
      <c r="G52" s="5" t="s">
        <v>49</v>
      </c>
      <c r="H52" s="7" t="s">
        <v>41</v>
      </c>
      <c r="I52" s="7" t="s">
        <v>101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3</v>
      </c>
      <c r="AL52" s="8">
        <v>3600</v>
      </c>
      <c r="AM52" s="8">
        <v>6000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9">
        <v>1080</v>
      </c>
      <c r="BM52" s="10">
        <v>9600</v>
      </c>
      <c r="BN52" s="14">
        <f t="shared" si="3"/>
        <v>8520</v>
      </c>
      <c r="BO52" s="15">
        <f t="shared" si="4"/>
        <v>5964</v>
      </c>
    </row>
    <row r="53" spans="1:67" x14ac:dyDescent="0.3">
      <c r="A53" s="5" t="s">
        <v>150</v>
      </c>
      <c r="B53" s="5" t="s">
        <v>151</v>
      </c>
      <c r="C53" s="5">
        <v>465756</v>
      </c>
      <c r="D53" s="6"/>
      <c r="E53" s="5" t="s">
        <v>30</v>
      </c>
      <c r="F53" s="5" t="s">
        <v>152</v>
      </c>
      <c r="G53" s="5" t="s">
        <v>153</v>
      </c>
      <c r="H53" s="7" t="s">
        <v>7</v>
      </c>
      <c r="I53" s="7" t="s">
        <v>33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</v>
      </c>
      <c r="AF53" s="8">
        <v>5500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0">
        <v>5500</v>
      </c>
      <c r="BN53" s="14">
        <f t="shared" si="3"/>
        <v>5500</v>
      </c>
      <c r="BO53" s="15">
        <f t="shared" si="4"/>
        <v>3849.9999999999995</v>
      </c>
    </row>
    <row r="54" spans="1:67" x14ac:dyDescent="0.3">
      <c r="A54" s="5" t="s">
        <v>150</v>
      </c>
      <c r="B54" s="5" t="s">
        <v>35</v>
      </c>
      <c r="C54" s="5">
        <v>464786</v>
      </c>
      <c r="D54" s="6"/>
      <c r="E54" s="5" t="s">
        <v>30</v>
      </c>
      <c r="F54" s="5" t="s">
        <v>36</v>
      </c>
      <c r="G54" s="5" t="s">
        <v>37</v>
      </c>
      <c r="H54" s="7" t="s">
        <v>10</v>
      </c>
      <c r="I54" s="7" t="s">
        <v>38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2</v>
      </c>
      <c r="AL54" s="7">
        <v>0</v>
      </c>
      <c r="AM54" s="8">
        <v>5000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0">
        <v>5000</v>
      </c>
      <c r="BN54" s="14">
        <f t="shared" si="3"/>
        <v>5000</v>
      </c>
      <c r="BO54" s="15">
        <f t="shared" si="4"/>
        <v>3500</v>
      </c>
    </row>
    <row r="55" spans="1:67" ht="19.5" x14ac:dyDescent="0.3">
      <c r="A55" s="5" t="s">
        <v>150</v>
      </c>
      <c r="B55" s="5" t="s">
        <v>73</v>
      </c>
      <c r="C55" s="5">
        <v>468582</v>
      </c>
      <c r="D55" s="6"/>
      <c r="E55" s="5" t="s">
        <v>30</v>
      </c>
      <c r="F55" s="5" t="s">
        <v>74</v>
      </c>
      <c r="G55" s="5" t="s">
        <v>37</v>
      </c>
      <c r="H55" s="7" t="s">
        <v>10</v>
      </c>
      <c r="I55" s="7" t="s">
        <v>75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2</v>
      </c>
      <c r="AF55" s="8">
        <v>5000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0">
        <v>5000</v>
      </c>
      <c r="BN55" s="14">
        <f t="shared" si="3"/>
        <v>5000</v>
      </c>
      <c r="BO55" s="15">
        <f t="shared" si="4"/>
        <v>3500</v>
      </c>
    </row>
    <row r="56" spans="1:67" x14ac:dyDescent="0.3">
      <c r="A56" s="5" t="s">
        <v>150</v>
      </c>
      <c r="B56" s="5" t="s">
        <v>89</v>
      </c>
      <c r="C56" s="5">
        <v>457533</v>
      </c>
      <c r="D56" s="6"/>
      <c r="E56" s="5" t="s">
        <v>30</v>
      </c>
      <c r="F56" s="5" t="s">
        <v>90</v>
      </c>
      <c r="G56" s="5" t="s">
        <v>37</v>
      </c>
      <c r="H56" s="7" t="s">
        <v>41</v>
      </c>
      <c r="I56" s="7" t="s">
        <v>91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2</v>
      </c>
      <c r="AF56" s="8">
        <v>5000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0">
        <v>5000</v>
      </c>
      <c r="BN56" s="14">
        <f t="shared" si="3"/>
        <v>5000</v>
      </c>
      <c r="BO56" s="15">
        <f t="shared" si="4"/>
        <v>3500</v>
      </c>
    </row>
    <row r="57" spans="1:67" x14ac:dyDescent="0.3">
      <c r="A57" s="5" t="s">
        <v>150</v>
      </c>
      <c r="B57" s="5" t="s">
        <v>61</v>
      </c>
      <c r="C57" s="5">
        <v>467559</v>
      </c>
      <c r="D57" s="6"/>
      <c r="E57" s="5" t="s">
        <v>30</v>
      </c>
      <c r="F57" s="5" t="s">
        <v>62</v>
      </c>
      <c r="G57" s="5" t="s">
        <v>37</v>
      </c>
      <c r="H57" s="7" t="s">
        <v>7</v>
      </c>
      <c r="I57" s="7" t="s">
        <v>63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</v>
      </c>
      <c r="AF57" s="8">
        <v>2000</v>
      </c>
      <c r="AG57" s="7">
        <v>0</v>
      </c>
      <c r="AH57" s="7">
        <v>0</v>
      </c>
      <c r="AI57" s="7">
        <v>0</v>
      </c>
      <c r="AJ57" s="7">
        <v>0</v>
      </c>
      <c r="AK57" s="7">
        <v>1</v>
      </c>
      <c r="AL57" s="7">
        <v>0</v>
      </c>
      <c r="AM57" s="8">
        <v>2000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0">
        <v>4000</v>
      </c>
      <c r="BN57" s="14">
        <f t="shared" si="3"/>
        <v>4000</v>
      </c>
      <c r="BO57" s="15">
        <f t="shared" si="4"/>
        <v>2800</v>
      </c>
    </row>
    <row r="58" spans="1:67" x14ac:dyDescent="0.3">
      <c r="A58" s="5" t="s">
        <v>150</v>
      </c>
      <c r="B58" s="5" t="s">
        <v>138</v>
      </c>
      <c r="C58" s="5">
        <v>457673</v>
      </c>
      <c r="D58" s="6"/>
      <c r="E58" s="5" t="s">
        <v>30</v>
      </c>
      <c r="F58" s="5" t="s">
        <v>139</v>
      </c>
      <c r="G58" s="5" t="s">
        <v>37</v>
      </c>
      <c r="H58" s="7" t="s">
        <v>41</v>
      </c>
      <c r="I58" s="7" t="s">
        <v>140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2</v>
      </c>
      <c r="AF58" s="8">
        <v>4000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10">
        <v>4000</v>
      </c>
      <c r="BN58" s="14">
        <f t="shared" si="3"/>
        <v>4000</v>
      </c>
      <c r="BO58" s="15">
        <f t="shared" si="4"/>
        <v>2800</v>
      </c>
    </row>
    <row r="59" spans="1:67" x14ac:dyDescent="0.3">
      <c r="A59" s="5" t="s">
        <v>150</v>
      </c>
      <c r="B59" s="5" t="s">
        <v>113</v>
      </c>
      <c r="C59" s="5">
        <v>423507</v>
      </c>
      <c r="D59" s="6"/>
      <c r="E59" s="5" t="s">
        <v>30</v>
      </c>
      <c r="F59" s="5" t="s">
        <v>114</v>
      </c>
      <c r="G59" s="5" t="s">
        <v>49</v>
      </c>
      <c r="H59" s="7" t="s">
        <v>41</v>
      </c>
      <c r="I59" s="7" t="s">
        <v>115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1</v>
      </c>
      <c r="AL59" s="8">
        <v>3840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1152</v>
      </c>
      <c r="BM59" s="10">
        <v>3840</v>
      </c>
      <c r="BN59" s="14">
        <f t="shared" si="3"/>
        <v>2688</v>
      </c>
      <c r="BO59" s="15">
        <f t="shared" si="4"/>
        <v>1881.6</v>
      </c>
    </row>
    <row r="60" spans="1:67" x14ac:dyDescent="0.3">
      <c r="A60" s="5" t="s">
        <v>150</v>
      </c>
      <c r="B60" s="5" t="s">
        <v>118</v>
      </c>
      <c r="C60" s="5">
        <v>395762</v>
      </c>
      <c r="D60" s="6"/>
      <c r="E60" s="5" t="s">
        <v>30</v>
      </c>
      <c r="F60" s="5" t="s">
        <v>114</v>
      </c>
      <c r="G60" s="5" t="s">
        <v>49</v>
      </c>
      <c r="H60" s="7" t="s">
        <v>41</v>
      </c>
      <c r="I60" s="7" t="s">
        <v>119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1</v>
      </c>
      <c r="AL60" s="8">
        <v>3600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9">
        <v>1080</v>
      </c>
      <c r="BM60" s="10">
        <v>3600</v>
      </c>
      <c r="BN60" s="14">
        <f t="shared" si="3"/>
        <v>2520</v>
      </c>
      <c r="BO60" s="15">
        <f t="shared" si="4"/>
        <v>1764</v>
      </c>
    </row>
    <row r="61" spans="1:67" x14ac:dyDescent="0.3">
      <c r="A61" s="5" t="s">
        <v>150</v>
      </c>
      <c r="B61" s="5" t="s">
        <v>154</v>
      </c>
      <c r="C61" s="5">
        <v>335136</v>
      </c>
      <c r="D61" s="6"/>
      <c r="E61" s="5" t="s">
        <v>30</v>
      </c>
      <c r="F61" s="5" t="s">
        <v>155</v>
      </c>
      <c r="G61" s="5" t="s">
        <v>49</v>
      </c>
      <c r="H61" s="7" t="s">
        <v>41</v>
      </c>
      <c r="I61" s="7" t="s">
        <v>156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1</v>
      </c>
      <c r="AL61" s="8">
        <v>3600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9">
        <v>1080</v>
      </c>
      <c r="BM61" s="10">
        <v>3600</v>
      </c>
      <c r="BN61" s="14">
        <f t="shared" si="3"/>
        <v>2520</v>
      </c>
      <c r="BO61" s="15">
        <f t="shared" si="4"/>
        <v>1764</v>
      </c>
    </row>
    <row r="62" spans="1:67" x14ac:dyDescent="0.3">
      <c r="A62" s="5" t="s">
        <v>150</v>
      </c>
      <c r="B62" s="5" t="s">
        <v>96</v>
      </c>
      <c r="C62" s="5">
        <v>395231</v>
      </c>
      <c r="D62" s="6"/>
      <c r="E62" s="5" t="s">
        <v>30</v>
      </c>
      <c r="F62" s="5" t="s">
        <v>48</v>
      </c>
      <c r="G62" s="5" t="s">
        <v>49</v>
      </c>
      <c r="H62" s="7" t="s">
        <v>41</v>
      </c>
      <c r="I62" s="7" t="s">
        <v>97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1</v>
      </c>
      <c r="AF62" s="7">
        <v>0</v>
      </c>
      <c r="AG62" s="8">
        <v>3500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3500</v>
      </c>
      <c r="BN62" s="14">
        <f t="shared" si="3"/>
        <v>3500</v>
      </c>
      <c r="BO62" s="15">
        <f t="shared" si="4"/>
        <v>2450</v>
      </c>
    </row>
    <row r="63" spans="1:67" x14ac:dyDescent="0.3">
      <c r="A63" s="5" t="s">
        <v>150</v>
      </c>
      <c r="B63" s="5" t="s">
        <v>157</v>
      </c>
      <c r="C63" s="5">
        <v>316015</v>
      </c>
      <c r="D63" s="6"/>
      <c r="E63" s="5" t="s">
        <v>30</v>
      </c>
      <c r="F63" s="5" t="s">
        <v>158</v>
      </c>
      <c r="G63" s="5" t="s">
        <v>159</v>
      </c>
      <c r="H63" s="7" t="s">
        <v>41</v>
      </c>
      <c r="I63" s="7" t="s">
        <v>160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1</v>
      </c>
      <c r="AF63" s="8">
        <v>3500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10">
        <v>3500</v>
      </c>
      <c r="BN63" s="14">
        <f t="shared" si="3"/>
        <v>3500</v>
      </c>
      <c r="BO63" s="15">
        <f t="shared" si="4"/>
        <v>2450</v>
      </c>
    </row>
    <row r="64" spans="1:67" x14ac:dyDescent="0.3">
      <c r="A64" s="5" t="s">
        <v>150</v>
      </c>
      <c r="B64" s="5" t="s">
        <v>116</v>
      </c>
      <c r="C64" s="5">
        <v>414543</v>
      </c>
      <c r="D64" s="6"/>
      <c r="E64" s="5" t="s">
        <v>30</v>
      </c>
      <c r="F64" s="5" t="s">
        <v>71</v>
      </c>
      <c r="G64" s="5" t="s">
        <v>72</v>
      </c>
      <c r="H64" s="7" t="s">
        <v>41</v>
      </c>
      <c r="I64" s="7" t="s">
        <v>117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1</v>
      </c>
      <c r="AF64" s="8">
        <v>3400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3400</v>
      </c>
      <c r="BN64" s="14">
        <f t="shared" si="3"/>
        <v>3400</v>
      </c>
      <c r="BO64" s="15">
        <f t="shared" si="4"/>
        <v>2380</v>
      </c>
    </row>
    <row r="65" spans="1:67" x14ac:dyDescent="0.3">
      <c r="A65" s="5" t="s">
        <v>150</v>
      </c>
      <c r="B65" s="5" t="s">
        <v>106</v>
      </c>
      <c r="C65" s="5">
        <v>387161</v>
      </c>
      <c r="D65" s="6"/>
      <c r="E65" s="5" t="s">
        <v>30</v>
      </c>
      <c r="F65" s="5" t="s">
        <v>107</v>
      </c>
      <c r="G65" s="5" t="s">
        <v>72</v>
      </c>
      <c r="H65" s="7" t="s">
        <v>41</v>
      </c>
      <c r="I65" s="7" t="s">
        <v>108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300</v>
      </c>
      <c r="AG65" s="8">
        <v>2900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3200</v>
      </c>
      <c r="BN65" s="14">
        <f t="shared" si="3"/>
        <v>3200</v>
      </c>
      <c r="BO65" s="15">
        <f t="shared" si="4"/>
        <v>2240</v>
      </c>
    </row>
    <row r="66" spans="1:67" x14ac:dyDescent="0.3">
      <c r="A66" s="5" t="s">
        <v>150</v>
      </c>
      <c r="B66" s="5" t="s">
        <v>136</v>
      </c>
      <c r="C66" s="5">
        <v>411956</v>
      </c>
      <c r="D66" s="6"/>
      <c r="E66" s="5" t="s">
        <v>30</v>
      </c>
      <c r="F66" s="5" t="s">
        <v>135</v>
      </c>
      <c r="G66" s="5" t="s">
        <v>49</v>
      </c>
      <c r="H66" s="7" t="s">
        <v>41</v>
      </c>
      <c r="I66" s="7" t="s">
        <v>137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1</v>
      </c>
      <c r="AR66" s="8">
        <v>3200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3200</v>
      </c>
      <c r="BN66" s="14">
        <f t="shared" si="3"/>
        <v>3200</v>
      </c>
      <c r="BO66" s="15">
        <f t="shared" si="4"/>
        <v>2240</v>
      </c>
    </row>
    <row r="67" spans="1:67" x14ac:dyDescent="0.3">
      <c r="A67" s="5" t="s">
        <v>150</v>
      </c>
      <c r="B67" s="5" t="s">
        <v>132</v>
      </c>
      <c r="C67" s="5">
        <v>457068</v>
      </c>
      <c r="D67" s="6"/>
      <c r="E67" s="5" t="s">
        <v>30</v>
      </c>
      <c r="F67" s="5" t="s">
        <v>133</v>
      </c>
      <c r="G67" s="5" t="s">
        <v>37</v>
      </c>
      <c r="H67" s="7" t="s">
        <v>41</v>
      </c>
      <c r="I67" s="7" t="s">
        <v>134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1</v>
      </c>
      <c r="AF67" s="7">
        <v>0</v>
      </c>
      <c r="AG67" s="8">
        <v>1700</v>
      </c>
      <c r="AH67" s="7">
        <v>0</v>
      </c>
      <c r="AI67" s="7">
        <v>0</v>
      </c>
      <c r="AJ67" s="7">
        <v>0</v>
      </c>
      <c r="AK67" s="7">
        <v>1</v>
      </c>
      <c r="AL67" s="7">
        <v>960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288</v>
      </c>
      <c r="BM67" s="10">
        <v>2660</v>
      </c>
      <c r="BN67" s="14">
        <f t="shared" si="3"/>
        <v>2372</v>
      </c>
      <c r="BO67" s="15">
        <f t="shared" si="4"/>
        <v>1660.3999999999999</v>
      </c>
    </row>
    <row r="68" spans="1:67" x14ac:dyDescent="0.3">
      <c r="A68" s="5" t="s">
        <v>150</v>
      </c>
      <c r="B68" s="5" t="s">
        <v>129</v>
      </c>
      <c r="C68" s="5">
        <v>457239</v>
      </c>
      <c r="D68" s="6"/>
      <c r="E68" s="5" t="s">
        <v>30</v>
      </c>
      <c r="F68" s="5" t="s">
        <v>130</v>
      </c>
      <c r="G68" s="5" t="s">
        <v>37</v>
      </c>
      <c r="H68" s="7" t="s">
        <v>41</v>
      </c>
      <c r="I68" s="7" t="s">
        <v>131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1</v>
      </c>
      <c r="AF68" s="7">
        <v>0</v>
      </c>
      <c r="AG68" s="8">
        <v>2000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10">
        <v>2000</v>
      </c>
      <c r="BN68" s="14">
        <f t="shared" si="3"/>
        <v>2000</v>
      </c>
      <c r="BO68" s="15">
        <f t="shared" si="4"/>
        <v>1400</v>
      </c>
    </row>
    <row r="69" spans="1:67" x14ac:dyDescent="0.3">
      <c r="A69" s="5" t="s">
        <v>150</v>
      </c>
      <c r="B69" s="5" t="s">
        <v>102</v>
      </c>
      <c r="C69" s="5">
        <v>457534</v>
      </c>
      <c r="D69" s="6"/>
      <c r="E69" s="5" t="s">
        <v>30</v>
      </c>
      <c r="F69" s="5" t="s">
        <v>103</v>
      </c>
      <c r="G69" s="5" t="s">
        <v>37</v>
      </c>
      <c r="H69" s="7" t="s">
        <v>41</v>
      </c>
      <c r="I69" s="7" t="s">
        <v>104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1</v>
      </c>
      <c r="AF69" s="8">
        <v>2000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2000</v>
      </c>
      <c r="BN69" s="14">
        <f t="shared" si="3"/>
        <v>2000</v>
      </c>
      <c r="BO69" s="15">
        <f t="shared" si="4"/>
        <v>1400</v>
      </c>
    </row>
    <row r="70" spans="1:67" x14ac:dyDescent="0.3">
      <c r="A70" s="5" t="s">
        <v>150</v>
      </c>
      <c r="B70" s="5" t="s">
        <v>141</v>
      </c>
      <c r="C70" s="5">
        <v>331754</v>
      </c>
      <c r="D70" s="6"/>
      <c r="E70" s="5" t="s">
        <v>30</v>
      </c>
      <c r="F70" s="5" t="s">
        <v>110</v>
      </c>
      <c r="G70" s="5" t="s">
        <v>72</v>
      </c>
      <c r="H70" s="7" t="s">
        <v>41</v>
      </c>
      <c r="I70" s="7" t="s">
        <v>142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2</v>
      </c>
      <c r="AF70" s="8">
        <v>1200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1200</v>
      </c>
      <c r="BN70" s="14">
        <f t="shared" si="3"/>
        <v>1200</v>
      </c>
      <c r="BO70" s="15">
        <f t="shared" si="4"/>
        <v>840</v>
      </c>
    </row>
    <row r="71" spans="1:67" x14ac:dyDescent="0.3">
      <c r="A71" s="5" t="s">
        <v>150</v>
      </c>
      <c r="B71" s="5" t="s">
        <v>65</v>
      </c>
      <c r="C71" s="5">
        <v>380954</v>
      </c>
      <c r="D71" s="6"/>
      <c r="E71" s="5" t="s">
        <v>30</v>
      </c>
      <c r="F71" s="5" t="s">
        <v>66</v>
      </c>
      <c r="G71" s="5" t="s">
        <v>11</v>
      </c>
      <c r="H71" s="7" t="s">
        <v>7</v>
      </c>
      <c r="I71" s="7" t="s">
        <v>67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1</v>
      </c>
      <c r="AC71" s="7">
        <v>900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1">
        <v>900</v>
      </c>
      <c r="BN71" s="14">
        <f t="shared" si="3"/>
        <v>900</v>
      </c>
      <c r="BO71" s="15">
        <f t="shared" si="4"/>
        <v>630</v>
      </c>
    </row>
    <row r="72" spans="1:67" x14ac:dyDescent="0.3">
      <c r="A72" s="5" t="s">
        <v>150</v>
      </c>
      <c r="B72" s="5" t="s">
        <v>145</v>
      </c>
      <c r="C72" s="5">
        <v>395237</v>
      </c>
      <c r="D72" s="6"/>
      <c r="E72" s="5" t="s">
        <v>30</v>
      </c>
      <c r="F72" s="5" t="s">
        <v>48</v>
      </c>
      <c r="G72" s="5" t="s">
        <v>49</v>
      </c>
      <c r="H72" s="7" t="s">
        <v>41</v>
      </c>
      <c r="I72" s="7" t="s">
        <v>97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1</v>
      </c>
      <c r="AF72" s="7">
        <v>0</v>
      </c>
      <c r="AG72" s="7">
        <v>200</v>
      </c>
      <c r="AH72" s="7">
        <v>0</v>
      </c>
      <c r="AI72" s="7">
        <v>0</v>
      </c>
      <c r="AJ72" s="7">
        <v>0</v>
      </c>
      <c r="AK72" s="7">
        <v>1</v>
      </c>
      <c r="AL72" s="7">
        <v>0</v>
      </c>
      <c r="AM72" s="7">
        <v>200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1">
        <v>400</v>
      </c>
      <c r="BN72" s="14">
        <f t="shared" si="3"/>
        <v>400</v>
      </c>
      <c r="BO72" s="15">
        <f t="shared" si="4"/>
        <v>280</v>
      </c>
    </row>
    <row r="73" spans="1:67" x14ac:dyDescent="0.3">
      <c r="A73" s="5" t="s">
        <v>150</v>
      </c>
      <c r="B73" s="5" t="s">
        <v>161</v>
      </c>
      <c r="C73" s="5">
        <v>411957</v>
      </c>
      <c r="D73" s="6"/>
      <c r="E73" s="5" t="s">
        <v>30</v>
      </c>
      <c r="F73" s="5" t="s">
        <v>135</v>
      </c>
      <c r="G73" s="5" t="s">
        <v>49</v>
      </c>
      <c r="H73" s="7" t="s">
        <v>41</v>
      </c>
      <c r="I73" s="7" t="s">
        <v>137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1</v>
      </c>
      <c r="AR73" s="7">
        <v>400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1">
        <v>400</v>
      </c>
      <c r="BN73" s="14">
        <f t="shared" si="3"/>
        <v>400</v>
      </c>
      <c r="BO73" s="15">
        <f t="shared" si="4"/>
        <v>280</v>
      </c>
    </row>
    <row r="74" spans="1:67" x14ac:dyDescent="0.3">
      <c r="A74" s="5" t="s">
        <v>150</v>
      </c>
      <c r="B74" s="5" t="s">
        <v>68</v>
      </c>
      <c r="C74" s="5">
        <v>361185</v>
      </c>
      <c r="D74" s="6"/>
      <c r="E74" s="5" t="s">
        <v>30</v>
      </c>
      <c r="F74" s="5" t="s">
        <v>69</v>
      </c>
      <c r="G74" s="5" t="s">
        <v>11</v>
      </c>
      <c r="H74" s="7" t="s">
        <v>7</v>
      </c>
      <c r="I74" s="7" t="s">
        <v>70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3</v>
      </c>
      <c r="AF74" s="7">
        <v>300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1">
        <v>300</v>
      </c>
      <c r="BN74" s="14">
        <f t="shared" si="3"/>
        <v>300</v>
      </c>
      <c r="BO74" s="15">
        <f t="shared" si="4"/>
        <v>210</v>
      </c>
    </row>
    <row r="75" spans="1:67" x14ac:dyDescent="0.3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8"/>
      <c r="AG75" s="7"/>
      <c r="AH75" s="7"/>
      <c r="AI75" s="7"/>
      <c r="AJ75" s="7"/>
      <c r="AK75" s="7"/>
      <c r="AL75" s="8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17">
        <f>SUM(BL2:BL74)</f>
        <v>8460</v>
      </c>
      <c r="BM75" s="17">
        <f t="shared" ref="BM75:BO75" si="5">SUM(BM2:BM74)</f>
        <v>651900</v>
      </c>
      <c r="BN75" s="17">
        <f t="shared" si="5"/>
        <v>643440</v>
      </c>
      <c r="BO75" s="17">
        <f t="shared" si="5"/>
        <v>450408</v>
      </c>
    </row>
    <row r="76" spans="1:67" x14ac:dyDescent="0.3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8"/>
      <c r="AG76" s="8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0"/>
    </row>
    <row r="77" spans="1:67" x14ac:dyDescent="0.3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8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0"/>
    </row>
    <row r="78" spans="1:67" x14ac:dyDescent="0.3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8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0"/>
    </row>
    <row r="79" spans="1:67" x14ac:dyDescent="0.3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8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9"/>
      <c r="BM79" s="10"/>
    </row>
    <row r="80" spans="1:67" x14ac:dyDescent="0.3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8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0"/>
    </row>
    <row r="81" spans="1:65" x14ac:dyDescent="0.3">
      <c r="A81" s="5"/>
      <c r="B81" s="5"/>
      <c r="C81" s="5"/>
      <c r="D81" s="6"/>
      <c r="E81" s="5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8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3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3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8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3">
      <c r="A84" s="5"/>
      <c r="B84" s="5"/>
      <c r="C84" s="5"/>
      <c r="D84" s="6"/>
      <c r="E84" s="5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3">
      <c r="A85" s="5"/>
      <c r="B85" s="5"/>
      <c r="C85" s="5"/>
      <c r="D85" s="6"/>
      <c r="E85" s="5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3">
      <c r="A86" s="5"/>
      <c r="B86" s="5"/>
      <c r="C86" s="5"/>
      <c r="D86" s="6"/>
      <c r="E86" s="5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3">
      <c r="A87" s="5"/>
      <c r="B87" s="5"/>
      <c r="C87" s="5"/>
      <c r="D87" s="6"/>
      <c r="E87" s="5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3">
      <c r="A88" s="5"/>
      <c r="B88" s="5"/>
      <c r="C88" s="5"/>
      <c r="D88" s="6"/>
      <c r="E88" s="5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8"/>
      <c r="AD88" s="8"/>
      <c r="AE88" s="7"/>
      <c r="AF88" s="8"/>
      <c r="AG88" s="7"/>
      <c r="AH88" s="7"/>
      <c r="AI88" s="7"/>
      <c r="AJ88" s="7"/>
      <c r="AK88" s="7"/>
      <c r="AL88" s="7"/>
      <c r="AM88" s="7"/>
      <c r="AN88" s="7"/>
      <c r="AO88" s="8"/>
      <c r="AP88" s="8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3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8"/>
      <c r="AF89" s="8"/>
      <c r="AG89" s="8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8"/>
      <c r="AS89" s="8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3">
      <c r="A90" s="5"/>
      <c r="B90" s="5"/>
      <c r="C90" s="5"/>
      <c r="D90" s="6"/>
      <c r="E90" s="5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8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3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8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3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3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3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8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8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3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8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8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3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8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8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3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8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3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8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3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3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3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8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3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8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3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3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3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8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8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3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3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8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3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3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8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3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8"/>
      <c r="AG110" s="8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3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8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3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8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8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3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3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3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3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8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3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3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3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3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3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3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8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3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8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3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8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3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8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3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3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3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3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8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3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8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3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8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3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8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3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8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3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3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3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8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3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3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3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3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8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3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1"/>
    </row>
    <row r="142" spans="1:65" x14ac:dyDescent="0.3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1"/>
    </row>
    <row r="143" spans="1:65" x14ac:dyDescent="0.3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1"/>
    </row>
    <row r="144" spans="1:65" x14ac:dyDescent="0.3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1"/>
    </row>
    <row r="145" spans="1:65" x14ac:dyDescent="0.3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1"/>
    </row>
    <row r="146" spans="1:65" x14ac:dyDescent="0.3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1"/>
    </row>
    <row r="147" spans="1:65" x14ac:dyDescent="0.3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1"/>
    </row>
    <row r="148" spans="1:65" x14ac:dyDescent="0.3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1"/>
    </row>
    <row r="149" spans="1:65" x14ac:dyDescent="0.3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1"/>
    </row>
    <row r="150" spans="1:65" x14ac:dyDescent="0.3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1"/>
    </row>
    <row r="151" spans="1:65" x14ac:dyDescent="0.3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8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3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8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3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8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3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8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3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8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8"/>
      <c r="AP155" s="7"/>
      <c r="AQ155" s="7"/>
      <c r="AR155" s="8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3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8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8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3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8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8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3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8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8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3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8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8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3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3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3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8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3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8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3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3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8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8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3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3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3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8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3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8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3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8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3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8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3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3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8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3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8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8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3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3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8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3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3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8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3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3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3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3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3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3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8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3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8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3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8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3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8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3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8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3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3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3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8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3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8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3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3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8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3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8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3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3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8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3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3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8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3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8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3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8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8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8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8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1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1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1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1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1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1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1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1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1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1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1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1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1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1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8"/>
      <c r="AH223" s="7"/>
      <c r="AI223" s="7"/>
      <c r="AJ223" s="7"/>
      <c r="AK223" s="7"/>
      <c r="AL223" s="8"/>
      <c r="AM223" s="8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9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8"/>
      <c r="AD224" s="7"/>
      <c r="AE224" s="7"/>
      <c r="AF224" s="7"/>
      <c r="AG224" s="7"/>
      <c r="AH224" s="7"/>
      <c r="AI224" s="8"/>
      <c r="AJ224" s="7"/>
      <c r="AK224" s="7"/>
      <c r="AL224" s="7"/>
      <c r="AM224" s="7"/>
      <c r="AN224" s="7"/>
      <c r="AO224" s="8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9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8"/>
      <c r="AG226" s="7"/>
      <c r="AH226" s="7"/>
      <c r="AI226" s="7"/>
      <c r="AJ226" s="7"/>
      <c r="AK226" s="7"/>
      <c r="AL226" s="8"/>
      <c r="AM226" s="8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9"/>
      <c r="BM226" s="10"/>
    </row>
    <row r="227" spans="1:65" x14ac:dyDescent="0.3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9"/>
      <c r="BM227" s="10"/>
    </row>
    <row r="228" spans="1:65" x14ac:dyDescent="0.3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8"/>
      <c r="AG228" s="7"/>
      <c r="AH228" s="7"/>
      <c r="AI228" s="7"/>
      <c r="AJ228" s="7"/>
      <c r="AK228" s="7"/>
      <c r="AL228" s="8"/>
      <c r="AM228" s="7"/>
      <c r="AN228" s="7"/>
      <c r="AO228" s="7"/>
      <c r="AP228" s="7"/>
      <c r="AQ228" s="7"/>
      <c r="AR228" s="8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9"/>
      <c r="BM228" s="10"/>
    </row>
    <row r="229" spans="1:65" x14ac:dyDescent="0.3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8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0"/>
    </row>
    <row r="230" spans="1:65" x14ac:dyDescent="0.3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8"/>
      <c r="AM230" s="8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0"/>
    </row>
    <row r="231" spans="1:65" x14ac:dyDescent="0.3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8"/>
      <c r="AG231" s="7"/>
      <c r="AH231" s="7"/>
      <c r="AI231" s="7"/>
      <c r="AJ231" s="7"/>
      <c r="AK231" s="7"/>
      <c r="AL231" s="7"/>
      <c r="AM231" s="8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0"/>
    </row>
    <row r="232" spans="1:65" x14ac:dyDescent="0.3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8"/>
      <c r="AM232" s="7"/>
      <c r="AN232" s="7"/>
      <c r="AO232" s="7"/>
      <c r="AP232" s="7"/>
      <c r="AQ232" s="7"/>
      <c r="AR232" s="8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0"/>
    </row>
    <row r="233" spans="1:65" x14ac:dyDescent="0.3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8"/>
      <c r="AH233" s="7"/>
      <c r="AI233" s="7"/>
      <c r="AJ233" s="7"/>
      <c r="AK233" s="7"/>
      <c r="AL233" s="8"/>
      <c r="AM233" s="8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0"/>
    </row>
    <row r="234" spans="1:65" x14ac:dyDescent="0.3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8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9"/>
      <c r="BM234" s="10"/>
    </row>
    <row r="235" spans="1:65" x14ac:dyDescent="0.3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8"/>
      <c r="AM235" s="8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0"/>
    </row>
    <row r="236" spans="1:65" x14ac:dyDescent="0.3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8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9"/>
      <c r="BM236" s="10"/>
    </row>
    <row r="237" spans="1:65" x14ac:dyDescent="0.3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8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9"/>
      <c r="BM237" s="10"/>
    </row>
    <row r="238" spans="1:65" x14ac:dyDescent="0.3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8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0"/>
    </row>
    <row r="239" spans="1:65" x14ac:dyDescent="0.3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8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9"/>
      <c r="BM239" s="10"/>
    </row>
    <row r="240" spans="1:65" x14ac:dyDescent="0.3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8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0"/>
    </row>
    <row r="241" spans="1:65" x14ac:dyDescent="0.3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8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0"/>
    </row>
    <row r="242" spans="1:65" x14ac:dyDescent="0.3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8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0"/>
    </row>
    <row r="243" spans="1:65" x14ac:dyDescent="0.3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8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0"/>
    </row>
    <row r="244" spans="1:65" x14ac:dyDescent="0.3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8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0"/>
    </row>
    <row r="245" spans="1:65" x14ac:dyDescent="0.3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8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0"/>
    </row>
    <row r="246" spans="1:65" x14ac:dyDescent="0.3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8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0"/>
    </row>
    <row r="247" spans="1:65" x14ac:dyDescent="0.3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8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0"/>
    </row>
    <row r="248" spans="1:65" x14ac:dyDescent="0.3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8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0"/>
    </row>
    <row r="249" spans="1:65" x14ac:dyDescent="0.3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8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0"/>
    </row>
    <row r="250" spans="1:65" x14ac:dyDescent="0.3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8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0"/>
    </row>
    <row r="251" spans="1:65" x14ac:dyDescent="0.3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8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0"/>
    </row>
    <row r="252" spans="1:65" x14ac:dyDescent="0.3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11"/>
    </row>
    <row r="253" spans="1:65" x14ac:dyDescent="0.3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11"/>
    </row>
    <row r="254" spans="1:65" x14ac:dyDescent="0.3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11"/>
    </row>
    <row r="255" spans="1:65" x14ac:dyDescent="0.3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11"/>
    </row>
    <row r="256" spans="1:65" x14ac:dyDescent="0.3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11"/>
    </row>
    <row r="257" spans="1:65" x14ac:dyDescent="0.3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8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10"/>
    </row>
    <row r="258" spans="1:65" x14ac:dyDescent="0.3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8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10"/>
    </row>
    <row r="259" spans="1:65" x14ac:dyDescent="0.3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8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10"/>
    </row>
    <row r="260" spans="1:65" x14ac:dyDescent="0.3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8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8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10"/>
    </row>
    <row r="261" spans="1:65" x14ac:dyDescent="0.3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8"/>
      <c r="AG261" s="8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10"/>
    </row>
    <row r="262" spans="1:65" x14ac:dyDescent="0.3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8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10"/>
    </row>
    <row r="263" spans="1:65" x14ac:dyDescent="0.3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10"/>
    </row>
    <row r="264" spans="1:65" x14ac:dyDescent="0.3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8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8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10"/>
    </row>
    <row r="265" spans="1:65" x14ac:dyDescent="0.3">
      <c r="A265" s="5"/>
      <c r="B265" s="5"/>
      <c r="C265" s="5"/>
      <c r="D265" s="6"/>
      <c r="E265" s="5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10"/>
    </row>
    <row r="266" spans="1:65" x14ac:dyDescent="0.3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10"/>
    </row>
    <row r="267" spans="1:65" x14ac:dyDescent="0.3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8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10"/>
    </row>
    <row r="268" spans="1:65" x14ac:dyDescent="0.3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10"/>
    </row>
    <row r="269" spans="1:65" x14ac:dyDescent="0.3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8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10"/>
    </row>
    <row r="270" spans="1:65" x14ac:dyDescent="0.3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10"/>
    </row>
    <row r="271" spans="1:65" x14ac:dyDescent="0.3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3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8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10"/>
    </row>
    <row r="273" spans="1:65" x14ac:dyDescent="0.3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3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10"/>
    </row>
    <row r="275" spans="1:65" x14ac:dyDescent="0.3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10"/>
    </row>
    <row r="276" spans="1:65" x14ac:dyDescent="0.3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8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3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10"/>
    </row>
    <row r="278" spans="1:65" x14ac:dyDescent="0.3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8"/>
      <c r="AG278" s="8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10"/>
    </row>
    <row r="279" spans="1:65" x14ac:dyDescent="0.3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10"/>
    </row>
    <row r="280" spans="1:65" x14ac:dyDescent="0.3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8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10"/>
    </row>
    <row r="281" spans="1:65" x14ac:dyDescent="0.3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10"/>
    </row>
    <row r="282" spans="1:65" x14ac:dyDescent="0.3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8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10"/>
    </row>
    <row r="283" spans="1:65" x14ac:dyDescent="0.3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8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10"/>
    </row>
    <row r="284" spans="1:65" x14ac:dyDescent="0.3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3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8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10"/>
    </row>
    <row r="286" spans="1:65" x14ac:dyDescent="0.3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8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10"/>
    </row>
    <row r="287" spans="1:65" x14ac:dyDescent="0.3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8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10"/>
    </row>
    <row r="288" spans="1:65" x14ac:dyDescent="0.3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3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8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10"/>
    </row>
    <row r="290" spans="1:65" x14ac:dyDescent="0.3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10"/>
    </row>
    <row r="291" spans="1:65" x14ac:dyDescent="0.3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8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8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10"/>
    </row>
    <row r="292" spans="1:65" x14ac:dyDescent="0.3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8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3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8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3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8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10"/>
    </row>
    <row r="295" spans="1:65" x14ac:dyDescent="0.3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0"/>
    </row>
    <row r="296" spans="1:65" x14ac:dyDescent="0.3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10"/>
    </row>
    <row r="297" spans="1:65" x14ac:dyDescent="0.3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8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3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10"/>
    </row>
    <row r="299" spans="1:65" x14ac:dyDescent="0.3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8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10"/>
    </row>
    <row r="300" spans="1:65" x14ac:dyDescent="0.3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10"/>
    </row>
    <row r="301" spans="1:65" x14ac:dyDescent="0.3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8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10"/>
    </row>
    <row r="302" spans="1:65" x14ac:dyDescent="0.3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0"/>
    </row>
    <row r="303" spans="1:65" x14ac:dyDescent="0.3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10"/>
    </row>
    <row r="304" spans="1:65" x14ac:dyDescent="0.3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1"/>
    </row>
    <row r="305" spans="1:65" x14ac:dyDescent="0.3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11"/>
    </row>
    <row r="306" spans="1:65" x14ac:dyDescent="0.3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11"/>
    </row>
    <row r="307" spans="1:65" x14ac:dyDescent="0.3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1"/>
    </row>
    <row r="308" spans="1:65" x14ac:dyDescent="0.3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11"/>
    </row>
    <row r="309" spans="1:65" x14ac:dyDescent="0.3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11"/>
    </row>
    <row r="310" spans="1:65" x14ac:dyDescent="0.3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11"/>
    </row>
    <row r="311" spans="1:65" x14ac:dyDescent="0.3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1"/>
    </row>
    <row r="312" spans="1:65" x14ac:dyDescent="0.3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11"/>
    </row>
    <row r="313" spans="1:65" x14ac:dyDescent="0.3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1"/>
    </row>
    <row r="314" spans="1:65" x14ac:dyDescent="0.3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11"/>
    </row>
    <row r="315" spans="1:65" x14ac:dyDescent="0.3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11"/>
    </row>
    <row r="316" spans="1:65" x14ac:dyDescent="0.3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1"/>
    </row>
    <row r="317" spans="1:65" x14ac:dyDescent="0.3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1"/>
    </row>
    <row r="318" spans="1:65" x14ac:dyDescent="0.3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11"/>
    </row>
    <row r="319" spans="1:65" x14ac:dyDescent="0.3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11"/>
    </row>
    <row r="320" spans="1:65" x14ac:dyDescent="0.3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11"/>
    </row>
    <row r="321" spans="1:65" x14ac:dyDescent="0.3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1"/>
    </row>
    <row r="322" spans="1:65" x14ac:dyDescent="0.3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1"/>
    </row>
    <row r="323" spans="1:65" x14ac:dyDescent="0.3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11"/>
    </row>
    <row r="324" spans="1:65" x14ac:dyDescent="0.3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11"/>
    </row>
    <row r="325" spans="1:65" x14ac:dyDescent="0.3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1"/>
    </row>
    <row r="326" spans="1:65" x14ac:dyDescent="0.3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11"/>
    </row>
    <row r="327" spans="1:65" x14ac:dyDescent="0.3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1"/>
    </row>
    <row r="328" spans="1:65" x14ac:dyDescent="0.3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1"/>
    </row>
    <row r="329" spans="1:65" x14ac:dyDescent="0.3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1"/>
    </row>
    <row r="330" spans="1:65" x14ac:dyDescent="0.3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1"/>
    </row>
    <row r="331" spans="1:65" x14ac:dyDescent="0.3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11"/>
    </row>
    <row r="332" spans="1:65" x14ac:dyDescent="0.3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8"/>
      <c r="L332" s="8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8"/>
      <c r="AF332" s="8"/>
      <c r="AG332" s="8"/>
      <c r="AH332" s="7"/>
      <c r="AI332" s="7"/>
      <c r="AJ332" s="7"/>
      <c r="AK332" s="8"/>
      <c r="AL332" s="8"/>
      <c r="AM332" s="8"/>
      <c r="AN332" s="7"/>
      <c r="AO332" s="7"/>
      <c r="AP332" s="7"/>
      <c r="AQ332" s="8"/>
      <c r="AR332" s="8"/>
      <c r="AS332" s="8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9"/>
      <c r="BM332" s="10"/>
    </row>
    <row r="333" spans="1:65" x14ac:dyDescent="0.3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8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8"/>
      <c r="AF333" s="8"/>
      <c r="AG333" s="8"/>
      <c r="AH333" s="7"/>
      <c r="AI333" s="7"/>
      <c r="AJ333" s="7"/>
      <c r="AK333" s="8"/>
      <c r="AL333" s="8"/>
      <c r="AM333" s="8"/>
      <c r="AN333" s="7"/>
      <c r="AO333" s="7"/>
      <c r="AP333" s="7"/>
      <c r="AQ333" s="7"/>
      <c r="AR333" s="8"/>
      <c r="AS333" s="8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9"/>
      <c r="BM333" s="10"/>
    </row>
    <row r="334" spans="1:65" x14ac:dyDescent="0.3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8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8"/>
      <c r="AF334" s="8"/>
      <c r="AG334" s="8"/>
      <c r="AH334" s="7"/>
      <c r="AI334" s="7"/>
      <c r="AJ334" s="7"/>
      <c r="AK334" s="8"/>
      <c r="AL334" s="8"/>
      <c r="AM334" s="8"/>
      <c r="AN334" s="7"/>
      <c r="AO334" s="7"/>
      <c r="AP334" s="7"/>
      <c r="AQ334" s="8"/>
      <c r="AR334" s="8"/>
      <c r="AS334" s="8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9"/>
      <c r="BM334" s="10"/>
    </row>
    <row r="335" spans="1:65" x14ac:dyDescent="0.3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8"/>
      <c r="AF335" s="8"/>
      <c r="AG335" s="8"/>
      <c r="AH335" s="7"/>
      <c r="AI335" s="7"/>
      <c r="AJ335" s="7"/>
      <c r="AK335" s="8"/>
      <c r="AL335" s="8"/>
      <c r="AM335" s="8"/>
      <c r="AN335" s="7"/>
      <c r="AO335" s="7"/>
      <c r="AP335" s="7"/>
      <c r="AQ335" s="8"/>
      <c r="AR335" s="8"/>
      <c r="AS335" s="8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3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8"/>
      <c r="AG336" s="8"/>
      <c r="AH336" s="7"/>
      <c r="AI336" s="7"/>
      <c r="AJ336" s="7"/>
      <c r="AK336" s="7"/>
      <c r="AL336" s="8"/>
      <c r="AM336" s="8"/>
      <c r="AN336" s="7"/>
      <c r="AO336" s="7"/>
      <c r="AP336" s="7"/>
      <c r="AQ336" s="7"/>
      <c r="AR336" s="8"/>
      <c r="AS336" s="8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9"/>
      <c r="BM336" s="10"/>
    </row>
    <row r="337" spans="1:65" x14ac:dyDescent="0.3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8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8"/>
      <c r="AF337" s="8"/>
      <c r="AG337" s="8"/>
      <c r="AH337" s="7"/>
      <c r="AI337" s="7"/>
      <c r="AJ337" s="7"/>
      <c r="AK337" s="8"/>
      <c r="AL337" s="8"/>
      <c r="AM337" s="8"/>
      <c r="AN337" s="7"/>
      <c r="AO337" s="7"/>
      <c r="AP337" s="7"/>
      <c r="AQ337" s="7"/>
      <c r="AR337" s="8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9"/>
      <c r="BM337" s="10"/>
    </row>
    <row r="338" spans="1:65" x14ac:dyDescent="0.3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8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8"/>
      <c r="AF338" s="8"/>
      <c r="AG338" s="8"/>
      <c r="AH338" s="7"/>
      <c r="AI338" s="7"/>
      <c r="AJ338" s="7"/>
      <c r="AK338" s="8"/>
      <c r="AL338" s="8"/>
      <c r="AM338" s="8"/>
      <c r="AN338" s="7"/>
      <c r="AO338" s="7"/>
      <c r="AP338" s="7"/>
      <c r="AQ338" s="7"/>
      <c r="AR338" s="8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9"/>
      <c r="BM338" s="10"/>
    </row>
    <row r="339" spans="1:65" x14ac:dyDescent="0.3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8"/>
      <c r="AF339" s="8"/>
      <c r="AG339" s="8"/>
      <c r="AH339" s="7"/>
      <c r="AI339" s="7"/>
      <c r="AJ339" s="7"/>
      <c r="AK339" s="8"/>
      <c r="AL339" s="8"/>
      <c r="AM339" s="8"/>
      <c r="AN339" s="7"/>
      <c r="AO339" s="7"/>
      <c r="AP339" s="7"/>
      <c r="AQ339" s="7"/>
      <c r="AR339" s="8"/>
      <c r="AS339" s="8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9"/>
      <c r="BM339" s="10"/>
    </row>
    <row r="340" spans="1:65" x14ac:dyDescent="0.3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8"/>
      <c r="L340" s="8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8"/>
      <c r="AF340" s="8"/>
      <c r="AG340" s="8"/>
      <c r="AH340" s="7"/>
      <c r="AI340" s="7"/>
      <c r="AJ340" s="7"/>
      <c r="AK340" s="8"/>
      <c r="AL340" s="8"/>
      <c r="AM340" s="8"/>
      <c r="AN340" s="7"/>
      <c r="AO340" s="7"/>
      <c r="AP340" s="7"/>
      <c r="AQ340" s="7"/>
      <c r="AR340" s="8"/>
      <c r="AS340" s="8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9"/>
      <c r="BM340" s="10"/>
    </row>
    <row r="341" spans="1:65" x14ac:dyDescent="0.3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8"/>
      <c r="AF341" s="8"/>
      <c r="AG341" s="8"/>
      <c r="AH341" s="7"/>
      <c r="AI341" s="7"/>
      <c r="AJ341" s="7"/>
      <c r="AK341" s="8"/>
      <c r="AL341" s="8"/>
      <c r="AM341" s="8"/>
      <c r="AN341" s="7"/>
      <c r="AO341" s="7"/>
      <c r="AP341" s="7"/>
      <c r="AQ341" s="7"/>
      <c r="AR341" s="8"/>
      <c r="AS341" s="8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9"/>
      <c r="BM341" s="10"/>
    </row>
    <row r="342" spans="1:65" x14ac:dyDescent="0.3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8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8"/>
      <c r="AF342" s="8"/>
      <c r="AG342" s="8"/>
      <c r="AH342" s="7"/>
      <c r="AI342" s="7"/>
      <c r="AJ342" s="7"/>
      <c r="AK342" s="8"/>
      <c r="AL342" s="8"/>
      <c r="AM342" s="8"/>
      <c r="AN342" s="7"/>
      <c r="AO342" s="7"/>
      <c r="AP342" s="7"/>
      <c r="AQ342" s="7"/>
      <c r="AR342" s="8"/>
      <c r="AS342" s="8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9"/>
      <c r="BM342" s="10"/>
    </row>
    <row r="343" spans="1:65" x14ac:dyDescent="0.3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8"/>
      <c r="AH343" s="7"/>
      <c r="AI343" s="7"/>
      <c r="AJ343" s="7"/>
      <c r="AK343" s="8"/>
      <c r="AL343" s="8"/>
      <c r="AM343" s="8"/>
      <c r="AN343" s="7"/>
      <c r="AO343" s="7"/>
      <c r="AP343" s="7"/>
      <c r="AQ343" s="7"/>
      <c r="AR343" s="8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9"/>
      <c r="BM343" s="10"/>
    </row>
    <row r="344" spans="1:65" x14ac:dyDescent="0.3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8"/>
      <c r="AG344" s="8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9"/>
      <c r="BM344" s="10"/>
    </row>
    <row r="345" spans="1:65" x14ac:dyDescent="0.3">
      <c r="A345" s="5"/>
      <c r="B345" s="5"/>
      <c r="C345" s="5"/>
      <c r="D345" s="6"/>
      <c r="E345" s="5"/>
      <c r="F345" s="5"/>
      <c r="G345" s="5"/>
      <c r="H345" s="7"/>
      <c r="I345" s="7"/>
      <c r="J345" s="8"/>
      <c r="K345" s="7"/>
      <c r="L345" s="8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8"/>
      <c r="AH345" s="7"/>
      <c r="AI345" s="7"/>
      <c r="AJ345" s="7"/>
      <c r="AK345" s="7"/>
      <c r="AL345" s="8"/>
      <c r="AM345" s="8"/>
      <c r="AN345" s="7"/>
      <c r="AO345" s="7"/>
      <c r="AP345" s="7"/>
      <c r="AQ345" s="7"/>
      <c r="AR345" s="8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9"/>
      <c r="BM345" s="10"/>
    </row>
    <row r="346" spans="1:65" x14ac:dyDescent="0.3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8"/>
      <c r="AM346" s="8"/>
      <c r="AN346" s="7"/>
      <c r="AO346" s="7"/>
      <c r="AP346" s="7"/>
      <c r="AQ346" s="7"/>
      <c r="AR346" s="8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9"/>
      <c r="BM346" s="10"/>
    </row>
    <row r="347" spans="1:65" x14ac:dyDescent="0.3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8"/>
      <c r="AG347" s="7"/>
      <c r="AH347" s="7"/>
      <c r="AI347" s="7"/>
      <c r="AJ347" s="7"/>
      <c r="AK347" s="7"/>
      <c r="AL347" s="8"/>
      <c r="AM347" s="8"/>
      <c r="AN347" s="7"/>
      <c r="AO347" s="7"/>
      <c r="AP347" s="7"/>
      <c r="AQ347" s="7"/>
      <c r="AR347" s="8"/>
      <c r="AS347" s="8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9"/>
      <c r="BM347" s="10"/>
    </row>
    <row r="348" spans="1:65" x14ac:dyDescent="0.3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8"/>
      <c r="AG348" s="8"/>
      <c r="AH348" s="7"/>
      <c r="AI348" s="7"/>
      <c r="AJ348" s="7"/>
      <c r="AK348" s="7"/>
      <c r="AL348" s="8"/>
      <c r="AM348" s="8"/>
      <c r="AN348" s="7"/>
      <c r="AO348" s="7"/>
      <c r="AP348" s="7"/>
      <c r="AQ348" s="7"/>
      <c r="AR348" s="8"/>
      <c r="AS348" s="8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9"/>
      <c r="BM348" s="10"/>
    </row>
    <row r="349" spans="1:65" x14ac:dyDescent="0.3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8"/>
      <c r="AG349" s="7"/>
      <c r="AH349" s="7"/>
      <c r="AI349" s="8"/>
      <c r="AJ349" s="8"/>
      <c r="AK349" s="7"/>
      <c r="AL349" s="7"/>
      <c r="AM349" s="7"/>
      <c r="AN349" s="7"/>
      <c r="AO349" s="7"/>
      <c r="AP349" s="7"/>
      <c r="AQ349" s="7"/>
      <c r="AR349" s="8"/>
      <c r="AS349" s="8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9"/>
      <c r="BM349" s="10"/>
    </row>
    <row r="350" spans="1:65" x14ac:dyDescent="0.3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8"/>
      <c r="AM350" s="8"/>
      <c r="AN350" s="7"/>
      <c r="AO350" s="7"/>
      <c r="AP350" s="7"/>
      <c r="AQ350" s="7"/>
      <c r="AR350" s="8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9"/>
      <c r="BM350" s="10"/>
    </row>
    <row r="351" spans="1:65" x14ac:dyDescent="0.3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8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8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3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8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8"/>
      <c r="AS352" s="8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9"/>
      <c r="BM352" s="10"/>
    </row>
    <row r="353" spans="1:65" x14ac:dyDescent="0.3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3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8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9"/>
      <c r="BM354" s="10"/>
    </row>
    <row r="355" spans="1:65" x14ac:dyDescent="0.3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8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9"/>
      <c r="BM355" s="10"/>
    </row>
    <row r="356" spans="1:65" x14ac:dyDescent="0.3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8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3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9"/>
      <c r="BM357" s="10"/>
    </row>
    <row r="358" spans="1:65" x14ac:dyDescent="0.3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8"/>
      <c r="AN358" s="7"/>
      <c r="AO358" s="7"/>
      <c r="AP358" s="7"/>
      <c r="AQ358" s="7"/>
      <c r="AR358" s="8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9"/>
      <c r="BM358" s="10"/>
    </row>
    <row r="359" spans="1:65" x14ac:dyDescent="0.3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8"/>
      <c r="AH359" s="7"/>
      <c r="AI359" s="7"/>
      <c r="AJ359" s="7"/>
      <c r="AK359" s="7"/>
      <c r="AL359" s="8"/>
      <c r="AM359" s="8"/>
      <c r="AN359" s="7"/>
      <c r="AO359" s="7"/>
      <c r="AP359" s="7"/>
      <c r="AQ359" s="7"/>
      <c r="AR359" s="8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9"/>
      <c r="BM359" s="10"/>
    </row>
    <row r="360" spans="1:65" x14ac:dyDescent="0.3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8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9"/>
      <c r="BM360" s="10"/>
    </row>
    <row r="361" spans="1:65" x14ac:dyDescent="0.3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8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8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9"/>
      <c r="BM361" s="10"/>
    </row>
    <row r="362" spans="1:65" x14ac:dyDescent="0.3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9"/>
      <c r="BM362" s="10"/>
    </row>
    <row r="363" spans="1:65" x14ac:dyDescent="0.3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8"/>
      <c r="AG363" s="8"/>
      <c r="AH363" s="7"/>
      <c r="AI363" s="7"/>
      <c r="AJ363" s="7"/>
      <c r="AK363" s="7"/>
      <c r="AL363" s="8"/>
      <c r="AM363" s="8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9"/>
      <c r="BM363" s="10"/>
    </row>
    <row r="364" spans="1:65" x14ac:dyDescent="0.3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8"/>
      <c r="AH364" s="7"/>
      <c r="AI364" s="7"/>
      <c r="AJ364" s="7"/>
      <c r="AK364" s="7"/>
      <c r="AL364" s="8"/>
      <c r="AM364" s="8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3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8"/>
      <c r="AM365" s="8"/>
      <c r="AN365" s="7"/>
      <c r="AO365" s="7"/>
      <c r="AP365" s="7"/>
      <c r="AQ365" s="7"/>
      <c r="AR365" s="8"/>
      <c r="AS365" s="8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9"/>
      <c r="BM365" s="10"/>
    </row>
    <row r="366" spans="1:65" x14ac:dyDescent="0.3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8"/>
      <c r="AG366" s="8"/>
      <c r="AH366" s="7"/>
      <c r="AI366" s="7"/>
      <c r="AJ366" s="7"/>
      <c r="AK366" s="7"/>
      <c r="AL366" s="8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9"/>
      <c r="BM366" s="10"/>
    </row>
    <row r="367" spans="1:65" x14ac:dyDescent="0.3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8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9"/>
      <c r="BM367" s="10"/>
    </row>
    <row r="368" spans="1:65" x14ac:dyDescent="0.3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8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0"/>
    </row>
    <row r="369" spans="1:65" x14ac:dyDescent="0.3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8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8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9"/>
      <c r="BM369" s="10"/>
    </row>
    <row r="370" spans="1:65" x14ac:dyDescent="0.3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8"/>
      <c r="AG370" s="7"/>
      <c r="AH370" s="7"/>
      <c r="AI370" s="7"/>
      <c r="AJ370" s="7"/>
      <c r="AK370" s="7"/>
      <c r="AL370" s="8"/>
      <c r="AM370" s="8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9"/>
      <c r="BM370" s="10"/>
    </row>
    <row r="371" spans="1:65" x14ac:dyDescent="0.3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8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9"/>
      <c r="BM371" s="10"/>
    </row>
    <row r="372" spans="1:65" x14ac:dyDescent="0.3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8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0"/>
    </row>
    <row r="373" spans="1:65" x14ac:dyDescent="0.3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8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8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0"/>
    </row>
    <row r="374" spans="1:65" x14ac:dyDescent="0.3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9"/>
      <c r="BM374" s="10"/>
    </row>
    <row r="375" spans="1:65" x14ac:dyDescent="0.3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8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0"/>
    </row>
    <row r="376" spans="1:65" x14ac:dyDescent="0.3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8"/>
      <c r="AG376" s="7"/>
      <c r="AH376" s="7"/>
      <c r="AI376" s="7"/>
      <c r="AJ376" s="7"/>
      <c r="AK376" s="7"/>
      <c r="AL376" s="8"/>
      <c r="AM376" s="8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9"/>
      <c r="BM376" s="10"/>
    </row>
    <row r="377" spans="1:65" x14ac:dyDescent="0.3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8"/>
      <c r="AG377" s="7"/>
      <c r="AH377" s="7"/>
      <c r="AI377" s="7"/>
      <c r="AJ377" s="7"/>
      <c r="AK377" s="7"/>
      <c r="AL377" s="8"/>
      <c r="AM377" s="8"/>
      <c r="AN377" s="7"/>
      <c r="AO377" s="7"/>
      <c r="AP377" s="7"/>
      <c r="AQ377" s="7"/>
      <c r="AR377" s="8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0"/>
    </row>
    <row r="378" spans="1:65" x14ac:dyDescent="0.3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8"/>
      <c r="AJ378" s="7"/>
      <c r="AK378" s="7"/>
      <c r="AL378" s="8"/>
      <c r="AM378" s="7"/>
      <c r="AN378" s="7"/>
      <c r="AO378" s="8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9"/>
      <c r="BM378" s="10"/>
    </row>
    <row r="379" spans="1:65" x14ac:dyDescent="0.3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8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9"/>
      <c r="BM379" s="10"/>
    </row>
    <row r="380" spans="1:65" x14ac:dyDescent="0.3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8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8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9"/>
      <c r="BM380" s="10"/>
    </row>
    <row r="381" spans="1:65" x14ac:dyDescent="0.3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9"/>
      <c r="BM381" s="10"/>
    </row>
    <row r="382" spans="1:65" x14ac:dyDescent="0.3">
      <c r="A382" s="5"/>
      <c r="B382" s="5"/>
      <c r="C382" s="5"/>
      <c r="D382" s="6"/>
      <c r="E382" s="5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8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8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10"/>
    </row>
    <row r="383" spans="1:65" x14ac:dyDescent="0.3">
      <c r="A383" s="5"/>
      <c r="B383" s="5"/>
      <c r="C383" s="5"/>
      <c r="D383" s="6"/>
      <c r="E383" s="5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8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9"/>
      <c r="BM383" s="10"/>
    </row>
    <row r="384" spans="1:65" x14ac:dyDescent="0.3">
      <c r="A384" s="5"/>
      <c r="B384" s="5"/>
      <c r="C384" s="5"/>
      <c r="D384" s="6"/>
      <c r="E384" s="5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8"/>
      <c r="AS384" s="8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10"/>
    </row>
    <row r="385" spans="1:65" x14ac:dyDescent="0.3">
      <c r="A385" s="5"/>
      <c r="B385" s="5"/>
      <c r="C385" s="5"/>
      <c r="D385" s="6"/>
      <c r="E385" s="5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8"/>
      <c r="AG385" s="7"/>
      <c r="AH385" s="7"/>
      <c r="AI385" s="7"/>
      <c r="AJ385" s="7"/>
      <c r="AK385" s="7"/>
      <c r="AL385" s="8"/>
      <c r="AM385" s="8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9"/>
      <c r="BM385" s="10"/>
    </row>
    <row r="386" spans="1:65" x14ac:dyDescent="0.3">
      <c r="A386" s="5"/>
      <c r="B386" s="5"/>
      <c r="C386" s="5"/>
      <c r="D386" s="6"/>
      <c r="E386" s="5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8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9"/>
      <c r="BM386" s="10"/>
    </row>
    <row r="387" spans="1:65" x14ac:dyDescent="0.3">
      <c r="A387" s="5"/>
      <c r="B387" s="5"/>
      <c r="C387" s="5"/>
      <c r="D387" s="6"/>
      <c r="E387" s="5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8"/>
      <c r="AG387" s="7"/>
      <c r="AH387" s="7"/>
      <c r="AI387" s="7"/>
      <c r="AJ387" s="7"/>
      <c r="AK387" s="7"/>
      <c r="AL387" s="7"/>
      <c r="AM387" s="8"/>
      <c r="AN387" s="7"/>
      <c r="AO387" s="7"/>
      <c r="AP387" s="7"/>
      <c r="AQ387" s="7"/>
      <c r="AR387" s="8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10"/>
    </row>
    <row r="388" spans="1:65" x14ac:dyDescent="0.3">
      <c r="A388" s="5"/>
      <c r="B388" s="5"/>
      <c r="C388" s="5"/>
      <c r="D388" s="6"/>
      <c r="E388" s="5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8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9"/>
      <c r="BM388" s="10"/>
    </row>
    <row r="389" spans="1:65" x14ac:dyDescent="0.3">
      <c r="A389" s="5"/>
      <c r="B389" s="5"/>
      <c r="C389" s="5"/>
      <c r="D389" s="6"/>
      <c r="E389" s="5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9"/>
      <c r="BM389" s="10"/>
    </row>
    <row r="390" spans="1:65" x14ac:dyDescent="0.3">
      <c r="A390" s="5"/>
      <c r="B390" s="5"/>
      <c r="C390" s="5"/>
      <c r="D390" s="6"/>
      <c r="E390" s="5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9"/>
      <c r="BM390" s="10"/>
    </row>
    <row r="391" spans="1:65" x14ac:dyDescent="0.3">
      <c r="A391" s="5"/>
      <c r="B391" s="5"/>
      <c r="C391" s="5"/>
      <c r="D391" s="6"/>
      <c r="E391" s="5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8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10"/>
    </row>
    <row r="392" spans="1:65" x14ac:dyDescent="0.3">
      <c r="A392" s="5"/>
      <c r="B392" s="5"/>
      <c r="C392" s="5"/>
      <c r="D392" s="6"/>
      <c r="E392" s="5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8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9"/>
      <c r="BM392" s="10"/>
    </row>
    <row r="393" spans="1:65" x14ac:dyDescent="0.3">
      <c r="A393" s="5"/>
      <c r="B393" s="5"/>
      <c r="C393" s="5"/>
      <c r="D393" s="6"/>
      <c r="E393" s="5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8"/>
      <c r="AN393" s="7"/>
      <c r="AO393" s="7"/>
      <c r="AP393" s="7"/>
      <c r="AQ393" s="7"/>
      <c r="AR393" s="8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10"/>
    </row>
    <row r="394" spans="1:65" x14ac:dyDescent="0.3">
      <c r="A394" s="5"/>
      <c r="B394" s="5"/>
      <c r="C394" s="5"/>
      <c r="D394" s="6"/>
      <c r="E394" s="5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8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9"/>
      <c r="BM394" s="10"/>
    </row>
    <row r="395" spans="1:65" x14ac:dyDescent="0.3">
      <c r="A395" s="5"/>
      <c r="B395" s="5"/>
      <c r="C395" s="5"/>
      <c r="D395" s="6"/>
      <c r="E395" s="5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9"/>
      <c r="BM395" s="10"/>
    </row>
    <row r="396" spans="1:65" x14ac:dyDescent="0.3">
      <c r="A396" s="5"/>
      <c r="B396" s="5"/>
      <c r="C396" s="5"/>
      <c r="D396" s="6"/>
      <c r="E396" s="5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8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10"/>
    </row>
    <row r="397" spans="1:65" x14ac:dyDescent="0.3">
      <c r="A397" s="5"/>
      <c r="B397" s="5"/>
      <c r="C397" s="5"/>
      <c r="D397" s="6"/>
      <c r="E397" s="5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8"/>
      <c r="AG397" s="8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10"/>
    </row>
    <row r="398" spans="1:65" x14ac:dyDescent="0.3">
      <c r="A398" s="5"/>
      <c r="B398" s="5"/>
      <c r="C398" s="5"/>
      <c r="D398" s="6"/>
      <c r="E398" s="5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8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9"/>
      <c r="BM398" s="10"/>
    </row>
    <row r="399" spans="1:65" x14ac:dyDescent="0.3">
      <c r="A399" s="5"/>
      <c r="B399" s="5"/>
      <c r="C399" s="5"/>
      <c r="D399" s="6"/>
      <c r="E399" s="5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9"/>
      <c r="BM399" s="10"/>
    </row>
    <row r="400" spans="1:65" x14ac:dyDescent="0.3">
      <c r="A400" s="5"/>
      <c r="B400" s="5"/>
      <c r="C400" s="5"/>
      <c r="D400" s="6"/>
      <c r="E400" s="5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9"/>
      <c r="BM400" s="10"/>
    </row>
    <row r="401" spans="1:65" x14ac:dyDescent="0.3">
      <c r="A401" s="5"/>
      <c r="B401" s="5"/>
      <c r="C401" s="5"/>
      <c r="D401" s="6"/>
      <c r="E401" s="5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8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8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10"/>
    </row>
    <row r="402" spans="1:65" x14ac:dyDescent="0.3">
      <c r="A402" s="5"/>
      <c r="B402" s="5"/>
      <c r="C402" s="5"/>
      <c r="D402" s="6"/>
      <c r="E402" s="5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8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10"/>
    </row>
    <row r="403" spans="1:65" x14ac:dyDescent="0.3">
      <c r="A403" s="5"/>
      <c r="B403" s="5"/>
      <c r="C403" s="5"/>
      <c r="D403" s="6"/>
      <c r="E403" s="5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8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9"/>
      <c r="BM403" s="10"/>
    </row>
    <row r="404" spans="1:65" x14ac:dyDescent="0.3">
      <c r="A404" s="5"/>
      <c r="B404" s="5"/>
      <c r="C404" s="5"/>
      <c r="D404" s="6"/>
      <c r="E404" s="5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9"/>
      <c r="BM404" s="10"/>
    </row>
    <row r="405" spans="1:65" x14ac:dyDescent="0.3">
      <c r="A405" s="5"/>
      <c r="B405" s="5"/>
      <c r="C405" s="5"/>
      <c r="D405" s="6"/>
      <c r="E405" s="5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8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8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10"/>
    </row>
    <row r="406" spans="1:65" x14ac:dyDescent="0.3">
      <c r="A406" s="5"/>
      <c r="B406" s="5"/>
      <c r="C406" s="5"/>
      <c r="D406" s="6"/>
      <c r="E406" s="5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9"/>
      <c r="BM406" s="10"/>
    </row>
    <row r="407" spans="1:65" x14ac:dyDescent="0.3">
      <c r="A407" s="5"/>
      <c r="B407" s="5"/>
      <c r="C407" s="5"/>
      <c r="D407" s="6"/>
      <c r="E407" s="5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8"/>
      <c r="AG407" s="8"/>
      <c r="AH407" s="7"/>
      <c r="AI407" s="7"/>
      <c r="AJ407" s="7"/>
      <c r="AK407" s="7"/>
      <c r="AL407" s="7"/>
      <c r="AM407" s="8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10"/>
    </row>
    <row r="408" spans="1:65" x14ac:dyDescent="0.3">
      <c r="A408" s="5"/>
      <c r="B408" s="5"/>
      <c r="C408" s="5"/>
      <c r="D408" s="6"/>
      <c r="E408" s="5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8"/>
      <c r="AH408" s="7"/>
      <c r="AI408" s="7"/>
      <c r="AJ408" s="7"/>
      <c r="AK408" s="7"/>
      <c r="AL408" s="7"/>
      <c r="AM408" s="8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10"/>
    </row>
    <row r="409" spans="1:65" x14ac:dyDescent="0.3">
      <c r="A409" s="5"/>
      <c r="B409" s="5"/>
      <c r="C409" s="5"/>
      <c r="D409" s="6"/>
      <c r="E409" s="5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8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10"/>
    </row>
    <row r="410" spans="1:65" x14ac:dyDescent="0.3">
      <c r="A410" s="5"/>
      <c r="B410" s="5"/>
      <c r="C410" s="5"/>
      <c r="D410" s="6"/>
      <c r="E410" s="5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8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10"/>
    </row>
    <row r="411" spans="1:65" x14ac:dyDescent="0.3">
      <c r="A411" s="5"/>
      <c r="B411" s="5"/>
      <c r="C411" s="5"/>
      <c r="D411" s="6"/>
      <c r="E411" s="5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9"/>
      <c r="BM411" s="10"/>
    </row>
    <row r="412" spans="1:65" x14ac:dyDescent="0.3">
      <c r="A412" s="5"/>
      <c r="B412" s="5"/>
      <c r="C412" s="5"/>
      <c r="D412" s="6"/>
      <c r="E412" s="5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8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10"/>
    </row>
    <row r="413" spans="1:65" x14ac:dyDescent="0.3">
      <c r="A413" s="5"/>
      <c r="B413" s="5"/>
      <c r="C413" s="5"/>
      <c r="D413" s="6"/>
      <c r="E413" s="5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8"/>
      <c r="AM413" s="8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10"/>
    </row>
    <row r="414" spans="1:65" x14ac:dyDescent="0.3">
      <c r="A414" s="5"/>
      <c r="B414" s="5"/>
      <c r="C414" s="5"/>
      <c r="D414" s="6"/>
      <c r="E414" s="5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10"/>
    </row>
    <row r="415" spans="1:65" x14ac:dyDescent="0.3">
      <c r="A415" s="5"/>
      <c r="B415" s="5"/>
      <c r="C415" s="5"/>
      <c r="D415" s="6"/>
      <c r="E415" s="5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9"/>
      <c r="BM415" s="10"/>
    </row>
    <row r="416" spans="1:65" x14ac:dyDescent="0.3">
      <c r="A416" s="5"/>
      <c r="B416" s="5"/>
      <c r="C416" s="5"/>
      <c r="D416" s="6"/>
      <c r="E416" s="5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8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10"/>
    </row>
    <row r="417" spans="1:65" x14ac:dyDescent="0.3">
      <c r="A417" s="5"/>
      <c r="B417" s="5"/>
      <c r="C417" s="5"/>
      <c r="D417" s="6"/>
      <c r="E417" s="5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8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10"/>
    </row>
    <row r="418" spans="1:65" x14ac:dyDescent="0.3">
      <c r="A418" s="5"/>
      <c r="B418" s="5"/>
      <c r="C418" s="5"/>
      <c r="D418" s="6"/>
      <c r="E418" s="5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8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10"/>
    </row>
    <row r="419" spans="1:65" x14ac:dyDescent="0.3">
      <c r="A419" s="5"/>
      <c r="B419" s="5"/>
      <c r="C419" s="5"/>
      <c r="D419" s="6"/>
      <c r="E419" s="5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8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10"/>
    </row>
    <row r="420" spans="1:65" x14ac:dyDescent="0.3">
      <c r="A420" s="5"/>
      <c r="B420" s="5"/>
      <c r="C420" s="5"/>
      <c r="D420" s="6"/>
      <c r="E420" s="5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8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10"/>
    </row>
    <row r="421" spans="1:65" x14ac:dyDescent="0.3">
      <c r="A421" s="5"/>
      <c r="B421" s="5"/>
      <c r="C421" s="5"/>
      <c r="D421" s="6"/>
      <c r="E421" s="5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8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10"/>
    </row>
    <row r="422" spans="1:65" x14ac:dyDescent="0.3">
      <c r="A422" s="5"/>
      <c r="B422" s="5"/>
      <c r="C422" s="5"/>
      <c r="D422" s="6"/>
      <c r="E422" s="5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8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10"/>
    </row>
    <row r="423" spans="1:65" x14ac:dyDescent="0.3">
      <c r="A423" s="5"/>
      <c r="B423" s="5"/>
      <c r="C423" s="5"/>
      <c r="D423" s="6"/>
      <c r="E423" s="5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8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10"/>
    </row>
    <row r="424" spans="1:65" x14ac:dyDescent="0.3">
      <c r="A424" s="5"/>
      <c r="B424" s="5"/>
      <c r="C424" s="5"/>
      <c r="D424" s="6"/>
      <c r="E424" s="5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8"/>
      <c r="AH424" s="7"/>
      <c r="AI424" s="7"/>
      <c r="AJ424" s="7"/>
      <c r="AK424" s="7"/>
      <c r="AL424" s="7"/>
      <c r="AM424" s="8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10"/>
    </row>
    <row r="425" spans="1:65" x14ac:dyDescent="0.3">
      <c r="A425" s="5"/>
      <c r="B425" s="5"/>
      <c r="C425" s="5"/>
      <c r="D425" s="6"/>
      <c r="E425" s="5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8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10"/>
    </row>
    <row r="426" spans="1:65" x14ac:dyDescent="0.3">
      <c r="A426" s="5"/>
      <c r="B426" s="5"/>
      <c r="C426" s="5"/>
      <c r="D426" s="6"/>
      <c r="E426" s="5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8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10"/>
    </row>
    <row r="427" spans="1:65" x14ac:dyDescent="0.3">
      <c r="A427" s="5"/>
      <c r="B427" s="5"/>
      <c r="C427" s="5"/>
      <c r="D427" s="6"/>
      <c r="E427" s="5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8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10"/>
    </row>
    <row r="428" spans="1:65" x14ac:dyDescent="0.3">
      <c r="A428" s="5"/>
      <c r="B428" s="5"/>
      <c r="C428" s="5"/>
      <c r="D428" s="6"/>
      <c r="E428" s="5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8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10"/>
    </row>
    <row r="429" spans="1:65" x14ac:dyDescent="0.3">
      <c r="A429" s="5"/>
      <c r="B429" s="5"/>
      <c r="C429" s="5"/>
      <c r="D429" s="6"/>
      <c r="E429" s="5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8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10"/>
    </row>
    <row r="430" spans="1:65" x14ac:dyDescent="0.3">
      <c r="A430" s="5"/>
      <c r="B430" s="5"/>
      <c r="C430" s="5"/>
      <c r="D430" s="6"/>
      <c r="E430" s="5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8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10"/>
    </row>
    <row r="431" spans="1:65" x14ac:dyDescent="0.3">
      <c r="A431" s="5"/>
      <c r="B431" s="5"/>
      <c r="C431" s="5"/>
      <c r="D431" s="6"/>
      <c r="E431" s="5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8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10"/>
    </row>
    <row r="432" spans="1:65" x14ac:dyDescent="0.3">
      <c r="A432" s="5"/>
      <c r="B432" s="5"/>
      <c r="C432" s="5"/>
      <c r="D432" s="6"/>
      <c r="E432" s="5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8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10"/>
    </row>
    <row r="433" spans="1:65" x14ac:dyDescent="0.3">
      <c r="A433" s="5"/>
      <c r="B433" s="5"/>
      <c r="C433" s="5"/>
      <c r="D433" s="6"/>
      <c r="E433" s="5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8"/>
      <c r="AG433" s="7"/>
      <c r="AH433" s="7"/>
      <c r="AI433" s="7"/>
      <c r="AJ433" s="7"/>
      <c r="AK433" s="7"/>
      <c r="AL433" s="7"/>
      <c r="AM433" s="8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10"/>
    </row>
    <row r="434" spans="1:65" x14ac:dyDescent="0.3">
      <c r="A434" s="5"/>
      <c r="B434" s="5"/>
      <c r="C434" s="5"/>
      <c r="D434" s="6"/>
      <c r="E434" s="5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8"/>
      <c r="AG434" s="7"/>
      <c r="AH434" s="7"/>
      <c r="AI434" s="7"/>
      <c r="AJ434" s="7"/>
      <c r="AK434" s="7"/>
      <c r="AL434" s="7"/>
      <c r="AM434" s="8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10"/>
    </row>
    <row r="435" spans="1:65" x14ac:dyDescent="0.3">
      <c r="A435" s="5"/>
      <c r="B435" s="5"/>
      <c r="C435" s="5"/>
      <c r="D435" s="6"/>
      <c r="E435" s="5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8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10"/>
    </row>
    <row r="436" spans="1:65" x14ac:dyDescent="0.3">
      <c r="A436" s="5"/>
      <c r="B436" s="5"/>
      <c r="C436" s="5"/>
      <c r="D436" s="6"/>
      <c r="E436" s="5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8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10"/>
    </row>
    <row r="437" spans="1:65" x14ac:dyDescent="0.3">
      <c r="A437" s="5"/>
      <c r="B437" s="5"/>
      <c r="C437" s="5"/>
      <c r="D437" s="6"/>
      <c r="E437" s="5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8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10"/>
    </row>
    <row r="438" spans="1:65" x14ac:dyDescent="0.3">
      <c r="A438" s="5"/>
      <c r="B438" s="5"/>
      <c r="C438" s="5"/>
      <c r="D438" s="6"/>
      <c r="E438" s="5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8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10"/>
    </row>
    <row r="439" spans="1:65" x14ac:dyDescent="0.3">
      <c r="A439" s="5"/>
      <c r="B439" s="5"/>
      <c r="C439" s="5"/>
      <c r="D439" s="6"/>
      <c r="E439" s="5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8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10"/>
    </row>
    <row r="440" spans="1:65" x14ac:dyDescent="0.3">
      <c r="A440" s="5"/>
      <c r="B440" s="5"/>
      <c r="C440" s="5"/>
      <c r="D440" s="6"/>
      <c r="E440" s="5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8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10"/>
    </row>
    <row r="441" spans="1:65" x14ac:dyDescent="0.3">
      <c r="A441" s="5"/>
      <c r="B441" s="5"/>
      <c r="C441" s="5"/>
      <c r="D441" s="6"/>
      <c r="E441" s="5"/>
      <c r="F441" s="5"/>
      <c r="G441" s="5"/>
      <c r="H441" s="7"/>
      <c r="I441" s="7"/>
      <c r="J441" s="7"/>
      <c r="K441" s="7"/>
      <c r="L441" s="8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10"/>
    </row>
    <row r="442" spans="1:65" x14ac:dyDescent="0.3">
      <c r="A442" s="5"/>
      <c r="B442" s="5"/>
      <c r="C442" s="5"/>
      <c r="D442" s="6"/>
      <c r="E442" s="5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8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10"/>
    </row>
    <row r="443" spans="1:65" x14ac:dyDescent="0.3">
      <c r="A443" s="5"/>
      <c r="B443" s="5"/>
      <c r="C443" s="5"/>
      <c r="D443" s="6"/>
      <c r="E443" s="5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10"/>
    </row>
    <row r="444" spans="1:65" x14ac:dyDescent="0.3">
      <c r="A444" s="5"/>
      <c r="B444" s="5"/>
      <c r="C444" s="5"/>
      <c r="D444" s="6"/>
      <c r="E444" s="5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8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10"/>
    </row>
    <row r="445" spans="1:65" x14ac:dyDescent="0.3">
      <c r="A445" s="5"/>
      <c r="B445" s="5"/>
      <c r="C445" s="5"/>
      <c r="D445" s="6"/>
      <c r="E445" s="5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8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10"/>
    </row>
    <row r="446" spans="1:65" x14ac:dyDescent="0.3">
      <c r="A446" s="5"/>
      <c r="B446" s="5"/>
      <c r="C446" s="5"/>
      <c r="D446" s="6"/>
      <c r="E446" s="5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8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10"/>
    </row>
    <row r="447" spans="1:65" x14ac:dyDescent="0.3">
      <c r="A447" s="5"/>
      <c r="B447" s="5"/>
      <c r="C447" s="5"/>
      <c r="D447" s="6"/>
      <c r="E447" s="5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11"/>
    </row>
    <row r="448" spans="1:65" x14ac:dyDescent="0.3">
      <c r="A448" s="5"/>
      <c r="B448" s="5"/>
      <c r="C448" s="5"/>
      <c r="D448" s="6"/>
      <c r="E448" s="5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11"/>
    </row>
    <row r="449" spans="1:65" x14ac:dyDescent="0.3">
      <c r="A449" s="5"/>
      <c r="B449" s="5"/>
      <c r="C449" s="5"/>
      <c r="D449" s="6"/>
      <c r="E449" s="5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11"/>
    </row>
    <row r="450" spans="1:65" x14ac:dyDescent="0.3">
      <c r="A450" s="5"/>
      <c r="B450" s="5"/>
      <c r="C450" s="5"/>
      <c r="D450" s="6"/>
      <c r="E450" s="5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11"/>
    </row>
    <row r="451" spans="1:65" x14ac:dyDescent="0.3">
      <c r="A451" s="5"/>
      <c r="B451" s="5"/>
      <c r="C451" s="5"/>
      <c r="D451" s="6"/>
      <c r="E451" s="5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11"/>
    </row>
    <row r="452" spans="1:65" x14ac:dyDescent="0.3">
      <c r="A452" s="5"/>
      <c r="B452" s="5"/>
      <c r="C452" s="5"/>
      <c r="D452" s="6"/>
      <c r="E452" s="5"/>
      <c r="F452" s="5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11"/>
    </row>
    <row r="453" spans="1:65" x14ac:dyDescent="0.3">
      <c r="A453" s="5"/>
      <c r="B453" s="5"/>
      <c r="C453" s="5"/>
      <c r="D453" s="6"/>
      <c r="E453" s="5"/>
      <c r="F453" s="5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11"/>
    </row>
    <row r="454" spans="1:65" x14ac:dyDescent="0.3">
      <c r="A454" s="5"/>
      <c r="B454" s="5"/>
      <c r="C454" s="5"/>
      <c r="D454" s="6"/>
      <c r="E454" s="5"/>
      <c r="F454" s="5"/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11"/>
    </row>
    <row r="455" spans="1:65" x14ac:dyDescent="0.3">
      <c r="A455" s="5"/>
      <c r="B455" s="5"/>
      <c r="C455" s="5"/>
      <c r="D455" s="6"/>
      <c r="E455" s="5"/>
      <c r="F455" s="5"/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11"/>
    </row>
    <row r="456" spans="1:65" x14ac:dyDescent="0.3">
      <c r="A456" s="5"/>
      <c r="B456" s="5"/>
      <c r="C456" s="5"/>
      <c r="D456" s="6"/>
      <c r="E456" s="5"/>
      <c r="F456" s="5"/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11"/>
    </row>
    <row r="457" spans="1:65" x14ac:dyDescent="0.3">
      <c r="A457" s="5"/>
      <c r="B457" s="5"/>
      <c r="C457" s="5"/>
      <c r="D457" s="6"/>
      <c r="E457" s="5"/>
      <c r="F457" s="5"/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11"/>
    </row>
    <row r="458" spans="1:65" x14ac:dyDescent="0.3">
      <c r="A458" s="5"/>
      <c r="B458" s="5"/>
      <c r="C458" s="5"/>
      <c r="D458" s="6"/>
      <c r="E458" s="5"/>
      <c r="F458" s="5"/>
      <c r="G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11"/>
    </row>
    <row r="459" spans="1:65" x14ac:dyDescent="0.3">
      <c r="A459" s="5"/>
      <c r="B459" s="5"/>
      <c r="C459" s="5"/>
      <c r="D459" s="6"/>
      <c r="E459" s="5"/>
      <c r="F459" s="5"/>
      <c r="G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11"/>
    </row>
    <row r="460" spans="1:65" x14ac:dyDescent="0.3">
      <c r="A460" s="5"/>
      <c r="B460" s="5"/>
      <c r="C460" s="5"/>
      <c r="D460" s="6"/>
      <c r="E460" s="5"/>
      <c r="F460" s="5"/>
      <c r="G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11"/>
    </row>
    <row r="461" spans="1:65" x14ac:dyDescent="0.3">
      <c r="A461" s="5"/>
      <c r="B461" s="5"/>
      <c r="C461" s="5"/>
      <c r="D461" s="6"/>
      <c r="E461" s="5"/>
      <c r="F461" s="5"/>
      <c r="G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user</cp:lastModifiedBy>
  <dcterms:created xsi:type="dcterms:W3CDTF">2019-02-07T01:40:45Z</dcterms:created>
  <dcterms:modified xsi:type="dcterms:W3CDTF">2022-06-09T02:35:29Z</dcterms:modified>
</cp:coreProperties>
</file>