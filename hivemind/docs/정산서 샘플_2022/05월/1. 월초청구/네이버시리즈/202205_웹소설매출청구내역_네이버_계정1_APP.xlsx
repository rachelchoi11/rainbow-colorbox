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네이버시리즈\"/>
    </mc:Choice>
  </mc:AlternateContent>
  <bookViews>
    <workbookView xWindow="0" yWindow="0" windowWidth="23040" windowHeight="8955" tabRatio="766"/>
  </bookViews>
  <sheets>
    <sheet name="합계 (4)" sheetId="412" r:id="rId1"/>
  </sheets>
  <definedNames>
    <definedName name="_xlnm._FilterDatabase" localSheetId="0" hidden="1">'합계 (4)'!$A$1:$AM$1</definedName>
    <definedName name="_xlnm.Extract" localSheetId="0">'합계 (4)'!#REF!</definedName>
  </definedNames>
  <calcPr calcId="152511"/>
</workbook>
</file>

<file path=xl/calcChain.xml><?xml version="1.0" encoding="utf-8"?>
<calcChain xmlns="http://schemas.openxmlformats.org/spreadsheetml/2006/main">
  <c r="BL126" i="412" l="1"/>
  <c r="BO126" i="412" l="1"/>
  <c r="BO120" i="412"/>
  <c r="BO121" i="412"/>
  <c r="BO122" i="412"/>
  <c r="BO123" i="412"/>
  <c r="BO124" i="412"/>
  <c r="BO125" i="412"/>
  <c r="BN3" i="412"/>
  <c r="BN4" i="412"/>
  <c r="BN5" i="412"/>
  <c r="BN6" i="412"/>
  <c r="BN7" i="412"/>
  <c r="BN8" i="412"/>
  <c r="BN9" i="412"/>
  <c r="BN10" i="412"/>
  <c r="BN11" i="412"/>
  <c r="BN12" i="412"/>
  <c r="BN13" i="412"/>
  <c r="BN14" i="412"/>
  <c r="BN15" i="412"/>
  <c r="BN16" i="412"/>
  <c r="BN17" i="412"/>
  <c r="BN18" i="412"/>
  <c r="BN19" i="412"/>
  <c r="BN20" i="412"/>
  <c r="BN21" i="412"/>
  <c r="BN22" i="412"/>
  <c r="BN23" i="412"/>
  <c r="BN24" i="412"/>
  <c r="BN25" i="412"/>
  <c r="BN26" i="412"/>
  <c r="BN27" i="412"/>
  <c r="BN28" i="412"/>
  <c r="BN29" i="412"/>
  <c r="BN30" i="412"/>
  <c r="BN31" i="412"/>
  <c r="BN32" i="412"/>
  <c r="BN33" i="412"/>
  <c r="BN34" i="412"/>
  <c r="BN35" i="412"/>
  <c r="BN36" i="412"/>
  <c r="BN37" i="412"/>
  <c r="BN38" i="412"/>
  <c r="BN39" i="412"/>
  <c r="BN40" i="412"/>
  <c r="BN41" i="412"/>
  <c r="BN42" i="412"/>
  <c r="BN43" i="412"/>
  <c r="BN44" i="412"/>
  <c r="BN45" i="412"/>
  <c r="BN46" i="412"/>
  <c r="BN47" i="412"/>
  <c r="BN48" i="412"/>
  <c r="BN49" i="412"/>
  <c r="BN50" i="412"/>
  <c r="BN51" i="412"/>
  <c r="BN52" i="412"/>
  <c r="BN53" i="412"/>
  <c r="BN54" i="412"/>
  <c r="BN55" i="412"/>
  <c r="BN56" i="412"/>
  <c r="BN57" i="412"/>
  <c r="BN58" i="412"/>
  <c r="BN59" i="412"/>
  <c r="BN60" i="412"/>
  <c r="BN61" i="412"/>
  <c r="BN62" i="412"/>
  <c r="BN63" i="412"/>
  <c r="BN64" i="412"/>
  <c r="BN65" i="412"/>
  <c r="BN66" i="412"/>
  <c r="BN67" i="412"/>
  <c r="BN68" i="412"/>
  <c r="BN69" i="412"/>
  <c r="BN70" i="412"/>
  <c r="BN71" i="412"/>
  <c r="BN72" i="412"/>
  <c r="BN73" i="412"/>
  <c r="BN74" i="412"/>
  <c r="BN75" i="412"/>
  <c r="BN76" i="412"/>
  <c r="BN77" i="412"/>
  <c r="BN78" i="412"/>
  <c r="BN79" i="412"/>
  <c r="BN80" i="412"/>
  <c r="BN81" i="412"/>
  <c r="BN82" i="412"/>
  <c r="BN83" i="412"/>
  <c r="BN84" i="412"/>
  <c r="BN85" i="412"/>
  <c r="BN86" i="412"/>
  <c r="BN87" i="412"/>
  <c r="BN88" i="412"/>
  <c r="BN89" i="412"/>
  <c r="BN90" i="412"/>
  <c r="BN91" i="412"/>
  <c r="BN92" i="412"/>
  <c r="BN93" i="412"/>
  <c r="BN94" i="412"/>
  <c r="BN95" i="412"/>
  <c r="BN96" i="412"/>
  <c r="BN97" i="412"/>
  <c r="BN98" i="412"/>
  <c r="BN99" i="412"/>
  <c r="BN100" i="412"/>
  <c r="BN101" i="412"/>
  <c r="BN102" i="412"/>
  <c r="BN103" i="412"/>
  <c r="BN104" i="412"/>
  <c r="BN105" i="412"/>
  <c r="BN106" i="412"/>
  <c r="BN107" i="412"/>
  <c r="BN108" i="412"/>
  <c r="BN109" i="412"/>
  <c r="BN110" i="412"/>
  <c r="BN111" i="412"/>
  <c r="BN112" i="412"/>
  <c r="BN113" i="412"/>
  <c r="BN114" i="412"/>
  <c r="BN115" i="412"/>
  <c r="BN116" i="412"/>
  <c r="BN117" i="412"/>
  <c r="BN118" i="412"/>
  <c r="BN119" i="412"/>
  <c r="BN120" i="412"/>
  <c r="BN121" i="412"/>
  <c r="BN122" i="412"/>
  <c r="BN123" i="412"/>
  <c r="BN124" i="412"/>
  <c r="BN125" i="412"/>
  <c r="BN2" i="412"/>
  <c r="BM126" i="412" l="1"/>
  <c r="BN126" i="412" l="1"/>
  <c r="BO2" i="412"/>
  <c r="BO3" i="412" l="1"/>
  <c r="BO4" i="412"/>
  <c r="BO5" i="412"/>
  <c r="BO6" i="412"/>
  <c r="BO7" i="412"/>
  <c r="BO8" i="412"/>
  <c r="BO9" i="412"/>
  <c r="BO10" i="412"/>
  <c r="BO11" i="412"/>
  <c r="BO12" i="412"/>
  <c r="BO13" i="412"/>
  <c r="BO14" i="412"/>
  <c r="BO15" i="412"/>
  <c r="BO16" i="412"/>
  <c r="BO17" i="412"/>
  <c r="BO18" i="412"/>
  <c r="BO19" i="412"/>
  <c r="BO20" i="412"/>
  <c r="BO21" i="412"/>
  <c r="BO22" i="412"/>
  <c r="BO23" i="412"/>
  <c r="BO24" i="412"/>
  <c r="BO25" i="412"/>
  <c r="BO26" i="412"/>
  <c r="BO27" i="412"/>
  <c r="BO28" i="412"/>
  <c r="BO29" i="412"/>
  <c r="BO30" i="412"/>
  <c r="BO31" i="412"/>
  <c r="BO32" i="412"/>
  <c r="BO33" i="412"/>
  <c r="BO34" i="412"/>
  <c r="BO35" i="412"/>
  <c r="BO36" i="412"/>
  <c r="BO37" i="412"/>
  <c r="BO38" i="412"/>
  <c r="BO39" i="412"/>
  <c r="BO40" i="412"/>
  <c r="BO41" i="412"/>
  <c r="BO42" i="412"/>
  <c r="BO43" i="412"/>
  <c r="BO44" i="412"/>
  <c r="BO45" i="412"/>
  <c r="BO46" i="412"/>
  <c r="BO47" i="412"/>
  <c r="BO48" i="412"/>
  <c r="BO49" i="412"/>
  <c r="BO50" i="412"/>
  <c r="BO51" i="412"/>
  <c r="BO52" i="412"/>
  <c r="BO53" i="412"/>
  <c r="BO54" i="412"/>
  <c r="BO55" i="412"/>
  <c r="BO56" i="412"/>
  <c r="BO57" i="412"/>
  <c r="BO58" i="412"/>
  <c r="BO59" i="412"/>
  <c r="BO60" i="412" l="1"/>
  <c r="BO61" i="412"/>
  <c r="BO62" i="412"/>
  <c r="BO63" i="412"/>
  <c r="BO64" i="412"/>
  <c r="BO65" i="412"/>
  <c r="BO66" i="412"/>
  <c r="BO67" i="412"/>
  <c r="BO68" i="412"/>
  <c r="BO69" i="412"/>
  <c r="BO70" i="412"/>
  <c r="BO71" i="412"/>
  <c r="BO72" i="412"/>
  <c r="BO73" i="412"/>
  <c r="BO74" i="412"/>
  <c r="BO75" i="412"/>
  <c r="BO76" i="412"/>
  <c r="BO77" i="412"/>
  <c r="BO78" i="412"/>
  <c r="BO79" i="412"/>
  <c r="BO80" i="412"/>
  <c r="BO81" i="412"/>
  <c r="BO82" i="412"/>
  <c r="BO83" i="412"/>
  <c r="BO84" i="412"/>
  <c r="BO85" i="412"/>
  <c r="BO86" i="412"/>
  <c r="BO87" i="412"/>
  <c r="BO88" i="412"/>
  <c r="BO89" i="412"/>
  <c r="BO90" i="412"/>
  <c r="BO91" i="412"/>
  <c r="BO92" i="412"/>
  <c r="BO93" i="412"/>
  <c r="BO94" i="412"/>
  <c r="BO95" i="412"/>
  <c r="BO96" i="412"/>
  <c r="BO97" i="412"/>
  <c r="BO98" i="412"/>
  <c r="BO99" i="412"/>
  <c r="BO100" i="412"/>
  <c r="BO101" i="412"/>
  <c r="BO102" i="412"/>
  <c r="BO103" i="412"/>
  <c r="BO104" i="412"/>
  <c r="BO105" i="412"/>
  <c r="BO106" i="412"/>
  <c r="BO107" i="412"/>
  <c r="BO108" i="412"/>
  <c r="BO109" i="412"/>
  <c r="BO110" i="412"/>
  <c r="BO111" i="412"/>
  <c r="BO112" i="412"/>
  <c r="BO113" i="412"/>
  <c r="BO114" i="412"/>
  <c r="BO115" i="412"/>
  <c r="BO116" i="412"/>
  <c r="BO117" i="412"/>
  <c r="BO118" i="412"/>
  <c r="BO119" i="412"/>
</calcChain>
</file>

<file path=xl/sharedStrings.xml><?xml version="1.0" encoding="utf-8"?>
<sst xmlns="http://schemas.openxmlformats.org/spreadsheetml/2006/main" count="935" uniqueCount="152">
  <si>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</si>
  <si>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</si>
  <si>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</si>
  <si>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</si>
  <si>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</si>
  <si>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</si>
  <si>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</si>
  <si>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</si>
  <si>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</si>
  <si>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</si>
  <si>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2018.02.21</t>
  </si>
  <si>
    <t>12세 이상 이용가능</t>
  </si>
  <si>
    <t>스토리위즈</t>
  </si>
  <si>
    <t>권용찬</t>
  </si>
  <si>
    <t>김광수</t>
  </si>
  <si>
    <t>회귀의 전설</t>
  </si>
  <si>
    <t>다크메이지 [단행본]</t>
  </si>
  <si>
    <t>김정률</t>
  </si>
  <si>
    <t>2014.10.23</t>
  </si>
  <si>
    <t>소드엠페러 [단행본]</t>
  </si>
  <si>
    <t>2014.10.22</t>
  </si>
  <si>
    <t>트루베니아 연대기 [단행본]</t>
  </si>
  <si>
    <t>21세기 대마법사</t>
  </si>
  <si>
    <t>주식회사 스토리위즈</t>
  </si>
  <si>
    <t>2020.09.16</t>
  </si>
  <si>
    <t>마계대공 연대기 [단행본]</t>
  </si>
  <si>
    <t>2014.08.20</t>
  </si>
  <si>
    <t>21세기 대마법사 [단행본]</t>
  </si>
  <si>
    <t>2014.07.24</t>
  </si>
  <si>
    <t>소드엠페러</t>
  </si>
  <si>
    <t>2020.12.18</t>
  </si>
  <si>
    <t>마신부활 [독점]</t>
  </si>
  <si>
    <t>만렙도끼</t>
  </si>
  <si>
    <t>하프블러드 [단행본]</t>
  </si>
  <si>
    <t>2014.10.21</t>
  </si>
  <si>
    <t>마왕 데이몬 [단행본]</t>
  </si>
  <si>
    <t>소드마스터의 환생 [독점]</t>
  </si>
  <si>
    <t>파란영</t>
  </si>
  <si>
    <t>2019.05.22</t>
  </si>
  <si>
    <t>데이몬 [단행본]</t>
  </si>
  <si>
    <t>2014.10.20</t>
  </si>
  <si>
    <t>블레이드헌터 [단행본]</t>
  </si>
  <si>
    <t>아나크레온 [단행본]</t>
  </si>
  <si>
    <t>2014.11.18</t>
  </si>
  <si>
    <t>만인지상 [단행본]</t>
  </si>
  <si>
    <t>전혁</t>
  </si>
  <si>
    <t>2015.05.27</t>
  </si>
  <si>
    <t>2020.08.12</t>
  </si>
  <si>
    <t>검령천하: 나의 검 너의 노래 [독점]</t>
  </si>
  <si>
    <t>금시조</t>
  </si>
  <si>
    <t>2020.08.10</t>
  </si>
  <si>
    <t>스피릿 소드 [단행본]</t>
  </si>
  <si>
    <t>2017.03.23</t>
  </si>
  <si>
    <t>마스터 K [단행본]</t>
  </si>
  <si>
    <t>2014.07.02</t>
  </si>
  <si>
    <t>스피릿 소드</t>
  </si>
  <si>
    <t>2016.07.06</t>
  </si>
  <si>
    <t>스트라이커</t>
  </si>
  <si>
    <t>독고진</t>
  </si>
  <si>
    <t>2016.05.25</t>
  </si>
  <si>
    <t>아나크레온</t>
  </si>
  <si>
    <t>2014.10.29</t>
  </si>
  <si>
    <t>월풍 [단행본]</t>
  </si>
  <si>
    <t>철중쟁쟁 [단행본]</t>
  </si>
  <si>
    <t>2016.03.17</t>
  </si>
  <si>
    <t>하프블러드</t>
  </si>
  <si>
    <t>트루베니아 연대기</t>
  </si>
  <si>
    <t>2020.10.13</t>
  </si>
  <si>
    <t>신궁전설 [단행본]</t>
  </si>
  <si>
    <t>2015.05.28</t>
  </si>
  <si>
    <t>신마협도 [단행본]</t>
  </si>
  <si>
    <t>2017.08.22</t>
  </si>
  <si>
    <t>화산지애 [단행본]</t>
  </si>
  <si>
    <t>2015.03.05</t>
  </si>
  <si>
    <t>데이몬</t>
  </si>
  <si>
    <t>2020.10.27</t>
  </si>
  <si>
    <t>절대비만 [단행본]</t>
  </si>
  <si>
    <t>2020.08.07</t>
  </si>
  <si>
    <t>영웅[개정판]</t>
  </si>
  <si>
    <t>2016.04.13</t>
  </si>
  <si>
    <t>상계무적 [단행본]</t>
  </si>
  <si>
    <t>2015.07.03</t>
  </si>
  <si>
    <t>천조를 가진 남자</t>
  </si>
  <si>
    <t>두경</t>
  </si>
  <si>
    <t>2017.11.15</t>
  </si>
  <si>
    <t>용중신권 [단행본]</t>
  </si>
  <si>
    <t>2020.09.11</t>
  </si>
  <si>
    <t>천조를 가진 남자 [단행본]</t>
  </si>
  <si>
    <t>스트라이커 [완전판] [단행본]</t>
  </si>
  <si>
    <t>2016.11.29</t>
  </si>
  <si>
    <t>절륜공자 [단행본]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</si>
  <si>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</si>
  <si>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</si>
  <si>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</si>
  <si>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</si>
  <si>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</si>
  <si>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</si>
  <si>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</si>
  <si>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</si>
  <si>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</si>
  <si>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</si>
  <si>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</si>
  <si>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합계</t>
  </si>
  <si>
    <t>순매출(합계-수수료)</t>
    <phoneticPr fontId="20" type="noConversion"/>
  </si>
  <si>
    <t>2021.02.20</t>
  </si>
  <si>
    <t>용중신권</t>
  </si>
  <si>
    <t>절륜공자</t>
  </si>
  <si>
    <t>게이트 헌터</t>
  </si>
  <si>
    <t>2016.12.25</t>
  </si>
  <si>
    <t>2021.08.12</t>
  </si>
  <si>
    <t>바람의 기사, 아르테온 [단행본]</t>
  </si>
  <si>
    <t>2014.11.27</t>
  </si>
  <si>
    <t>레이드 만물상점</t>
  </si>
  <si>
    <t>2016.01.22</t>
  </si>
  <si>
    <t>절대비만</t>
  </si>
  <si>
    <t>레이드 만물상점[완전판] [단행본]</t>
  </si>
  <si>
    <t>2016.06.16</t>
  </si>
  <si>
    <t>프리 나이트 [단행본]</t>
  </si>
  <si>
    <t>2014.10.01</t>
  </si>
  <si>
    <t>철중쟁쟁</t>
  </si>
  <si>
    <t>화산지애</t>
  </si>
  <si>
    <t>2020.09.07</t>
  </si>
  <si>
    <t>스포트라이트</t>
  </si>
  <si>
    <t>2018.03.29</t>
  </si>
  <si>
    <t>신마협도</t>
  </si>
  <si>
    <t>신규무사</t>
  </si>
  <si>
    <t>2018.11.06</t>
  </si>
  <si>
    <t>검산도해</t>
  </si>
  <si>
    <t>2020.04.28</t>
  </si>
  <si>
    <t>시리즈APP</t>
    <phoneticPr fontId="20" type="noConversion"/>
  </si>
  <si>
    <t>시리즈IOS</t>
    <phoneticPr fontId="20" type="noConversion"/>
  </si>
  <si>
    <t>시리즈APP</t>
    <phoneticPr fontId="20" type="noConversion"/>
  </si>
  <si>
    <t>시리즈APP</t>
    <phoneticPr fontId="20" type="noConversion"/>
  </si>
  <si>
    <t>시리즈APP</t>
    <phoneticPr fontId="20" type="noConversion"/>
  </si>
  <si>
    <t>상왕 진우몽 [단행본]</t>
  </si>
  <si>
    <t>시리즈APP</t>
    <phoneticPr fontId="20" type="noConversion"/>
  </si>
  <si>
    <t>가람검</t>
  </si>
  <si>
    <t>완전판APP</t>
  </si>
  <si>
    <t>시리즈IOS</t>
    <phoneticPr fontId="20" type="noConversion"/>
  </si>
  <si>
    <t>시리즈IOS</t>
    <phoneticPr fontId="20" type="noConversion"/>
  </si>
  <si>
    <t>독종무쌍 [단행본]</t>
  </si>
  <si>
    <t>2015.04.17</t>
  </si>
  <si>
    <t>신을 죽이러 갑니다</t>
  </si>
  <si>
    <t>2018.08.24</t>
  </si>
  <si>
    <t>SW 매출</t>
    <phoneticPr fontId="20" type="noConversion"/>
  </si>
  <si>
    <t>파계 [단행본]</t>
  </si>
  <si>
    <t>2016.06.10</t>
  </si>
  <si>
    <t>신룡전설</t>
  </si>
  <si>
    <t>신규무사 [단행본]</t>
  </si>
  <si>
    <t>2019.05.20</t>
  </si>
  <si>
    <t>앱마켓수수료</t>
  </si>
  <si>
    <t>나이제한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</si>
</sst>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41" fontId="0" fillId="34" borderId="0" xfId="42" applyFont="1" applyFill="1">
      <alignment vertical="center"/>
    </xf>
    <xf numFmtId="176" fontId="0" fillId="0" borderId="0" xfId="0" applyNumberFormat="1">
      <alignment vertical="center"/>
    </xf>
    <xf numFmtId="41" fontId="0" fillId="0" borderId="0" xfId="42" applyFont="1" applyFill="1">
      <alignment vertical="center"/>
    </xf>
    <xf numFmtId="0" fontId="18" fillId="33" borderId="0" xfId="0" applyFont="1" applyFill="1" applyAlignment="1">
      <alignment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O126"/>
  <sheetViews>
    <sheetView tabSelected="1" zoomScaleNormal="100" workbookViewId="0">
      <pane xSplit="9" ySplit="1" topLeftCell="BH104" activePane="bottomRight" state="frozen"/>
      <selection pane="topRight" activeCell="J1" sqref="J1"/>
      <selection pane="bottomLeft" activeCell="A2" sqref="A2"/>
      <selection pane="bottomRight" activeCell="BL126" sqref="BL126:BN126"/>
    </sheetView>
  </sheetViews>
  <sheetFormatPr defaultRowHeight="16.5" x14ac:dyDescent="0.3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5" max="65" width="12.75" bestFit="1" customWidth="1"/>
    <col min="66" max="66" width="13.5" bestFit="1" customWidth="1"/>
    <col min="67" max="67" width="13.375" style="13" customWidth="1"/>
  </cols>
  <sheetData>
    <row r="1" spans="1:67" ht="39" x14ac:dyDescent="0.3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151</v>
      </c>
      <c r="I1" s="17" t="s">
        <v>6</v>
      </c>
      <c r="J1" s="12" t="s">
        <v>91</v>
      </c>
      <c r="K1" s="12" t="s">
        <v>92</v>
      </c>
      <c r="L1" s="12" t="s">
        <v>93</v>
      </c>
      <c r="M1" s="12" t="s">
        <v>94</v>
      </c>
      <c r="N1" s="12" t="s">
        <v>95</v>
      </c>
      <c r="O1" s="12" t="s">
        <v>96</v>
      </c>
      <c r="P1" s="12" t="s">
        <v>97</v>
      </c>
      <c r="Q1" s="12" t="s">
        <v>98</v>
      </c>
      <c r="R1" s="12" t="s">
        <v>99</v>
      </c>
      <c r="S1" s="12" t="s">
        <v>91</v>
      </c>
      <c r="T1" s="12" t="s">
        <v>92</v>
      </c>
      <c r="U1" s="12" t="s">
        <v>93</v>
      </c>
      <c r="V1" s="12" t="s">
        <v>94</v>
      </c>
      <c r="W1" s="12" t="s">
        <v>95</v>
      </c>
      <c r="X1" s="12" t="s">
        <v>96</v>
      </c>
      <c r="Y1" s="12" t="s">
        <v>97</v>
      </c>
      <c r="Z1" s="12" t="s">
        <v>98</v>
      </c>
      <c r="AA1" s="12" t="s">
        <v>99</v>
      </c>
      <c r="AB1" s="12" t="s">
        <v>91</v>
      </c>
      <c r="AC1" s="12" t="s">
        <v>100</v>
      </c>
      <c r="AD1" s="12" t="s">
        <v>101</v>
      </c>
      <c r="AE1" s="12" t="s">
        <v>91</v>
      </c>
      <c r="AF1" s="12" t="s">
        <v>100</v>
      </c>
      <c r="AG1" s="12" t="s">
        <v>101</v>
      </c>
      <c r="AH1" s="12" t="s">
        <v>91</v>
      </c>
      <c r="AI1" s="12" t="s">
        <v>100</v>
      </c>
      <c r="AJ1" s="12" t="s">
        <v>101</v>
      </c>
      <c r="AK1" s="12" t="s">
        <v>91</v>
      </c>
      <c r="AL1" s="12" t="s">
        <v>100</v>
      </c>
      <c r="AM1" s="12" t="s">
        <v>101</v>
      </c>
      <c r="AN1" s="12" t="s">
        <v>91</v>
      </c>
      <c r="AO1" s="12" t="s">
        <v>100</v>
      </c>
      <c r="AP1" s="12" t="s">
        <v>101</v>
      </c>
      <c r="AQ1" s="12" t="s">
        <v>91</v>
      </c>
      <c r="AR1" s="12" t="s">
        <v>100</v>
      </c>
      <c r="AS1" s="12" t="s">
        <v>101</v>
      </c>
      <c r="AT1" s="12" t="s">
        <v>91</v>
      </c>
      <c r="AU1" s="12" t="s">
        <v>100</v>
      </c>
      <c r="AV1" s="12" t="s">
        <v>101</v>
      </c>
      <c r="AW1" s="12" t="s">
        <v>91</v>
      </c>
      <c r="AX1" s="12" t="s">
        <v>100</v>
      </c>
      <c r="AY1" s="12" t="s">
        <v>101</v>
      </c>
      <c r="AZ1" s="12" t="s">
        <v>91</v>
      </c>
      <c r="BA1" s="12" t="s">
        <v>100</v>
      </c>
      <c r="BB1" s="12" t="s">
        <v>101</v>
      </c>
      <c r="BC1" s="12" t="s">
        <v>91</v>
      </c>
      <c r="BD1" s="12" t="s">
        <v>100</v>
      </c>
      <c r="BE1" s="12" t="s">
        <v>101</v>
      </c>
      <c r="BF1" s="12" t="s">
        <v>91</v>
      </c>
      <c r="BG1" s="12" t="s">
        <v>100</v>
      </c>
      <c r="BH1" s="12" t="s">
        <v>101</v>
      </c>
      <c r="BI1" s="12" t="s">
        <v>91</v>
      </c>
      <c r="BJ1" s="12" t="s">
        <v>100</v>
      </c>
      <c r="BK1" s="12" t="s">
        <v>101</v>
      </c>
      <c r="BL1" s="12" t="s">
        <v>150</v>
      </c>
      <c r="BM1" s="12" t="s">
        <v>102</v>
      </c>
      <c r="BN1" s="12" t="s">
        <v>103</v>
      </c>
      <c r="BO1" s="12" t="s">
        <v>144</v>
      </c>
    </row>
    <row r="2" spans="1:67" x14ac:dyDescent="0.3">
      <c r="A2" s="5" t="s">
        <v>131</v>
      </c>
      <c r="B2" s="5" t="s">
        <v>15</v>
      </c>
      <c r="C2" s="5">
        <v>355332</v>
      </c>
      <c r="D2" s="6"/>
      <c r="E2" s="5" t="s">
        <v>12</v>
      </c>
      <c r="F2" s="5" t="s">
        <v>14</v>
      </c>
      <c r="G2" s="5" t="s">
        <v>12</v>
      </c>
      <c r="H2" s="7" t="s">
        <v>8</v>
      </c>
      <c r="I2" s="7" t="s">
        <v>109</v>
      </c>
      <c r="J2" s="7">
        <v>12</v>
      </c>
      <c r="K2" s="7">
        <v>227</v>
      </c>
      <c r="L2" s="8">
        <v>1200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8</v>
      </c>
      <c r="T2" s="8">
        <v>5543</v>
      </c>
      <c r="U2" s="7">
        <v>0</v>
      </c>
      <c r="V2" s="7">
        <v>100</v>
      </c>
      <c r="W2" s="7">
        <v>700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87152</v>
      </c>
      <c r="AF2" s="8">
        <v>7670800</v>
      </c>
      <c r="AG2" s="8">
        <v>1044400</v>
      </c>
      <c r="AH2" s="7">
        <v>0</v>
      </c>
      <c r="AI2" s="7">
        <v>0</v>
      </c>
      <c r="AJ2" s="7">
        <v>0</v>
      </c>
      <c r="AK2" s="7">
        <v>450</v>
      </c>
      <c r="AL2" s="8">
        <v>54000</v>
      </c>
      <c r="AM2" s="7">
        <v>0</v>
      </c>
      <c r="AN2" s="7">
        <v>0</v>
      </c>
      <c r="AO2" s="7">
        <v>0</v>
      </c>
      <c r="AP2" s="7">
        <v>0</v>
      </c>
      <c r="AQ2" s="8">
        <v>10465</v>
      </c>
      <c r="AR2" s="8">
        <v>1012100</v>
      </c>
      <c r="AS2" s="8">
        <v>34400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9">
        <v>16200</v>
      </c>
      <c r="BM2" s="10">
        <v>9817700</v>
      </c>
      <c r="BN2" s="15">
        <f>BM2-BL2</f>
        <v>9801500</v>
      </c>
      <c r="BO2" s="16">
        <f>BN2*70%</f>
        <v>6861050</v>
      </c>
    </row>
    <row r="3" spans="1:67" x14ac:dyDescent="0.3">
      <c r="A3" s="5" t="s">
        <v>129</v>
      </c>
      <c r="B3" s="5" t="s">
        <v>16</v>
      </c>
      <c r="C3" s="5">
        <v>159260</v>
      </c>
      <c r="D3" s="6"/>
      <c r="E3" s="5" t="s">
        <v>12</v>
      </c>
      <c r="F3" s="5" t="s">
        <v>17</v>
      </c>
      <c r="G3" s="5" t="s">
        <v>12</v>
      </c>
      <c r="H3" s="7" t="s">
        <v>7</v>
      </c>
      <c r="I3" s="7" t="s">
        <v>18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351</v>
      </c>
      <c r="AC3" s="8">
        <v>295200</v>
      </c>
      <c r="AD3" s="8">
        <v>20300</v>
      </c>
      <c r="AE3" s="7">
        <v>180</v>
      </c>
      <c r="AF3" s="8">
        <v>529100</v>
      </c>
      <c r="AG3" s="8">
        <v>46900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62</v>
      </c>
      <c r="AO3" s="8">
        <v>54200</v>
      </c>
      <c r="AP3" s="8">
        <v>1100</v>
      </c>
      <c r="AQ3" s="7">
        <v>1</v>
      </c>
      <c r="AR3" s="8">
        <v>3200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10">
        <v>950000</v>
      </c>
      <c r="BN3" s="15">
        <f t="shared" ref="BN3:BN66" si="0">BM3-BL3</f>
        <v>950000</v>
      </c>
      <c r="BO3" s="16">
        <f t="shared" ref="BO3:BO63" si="1">BN3*70%</f>
        <v>665000</v>
      </c>
    </row>
    <row r="4" spans="1:67" x14ac:dyDescent="0.3">
      <c r="A4" s="5" t="s">
        <v>132</v>
      </c>
      <c r="B4" s="5" t="s">
        <v>19</v>
      </c>
      <c r="C4" s="5">
        <v>161539</v>
      </c>
      <c r="D4" s="6"/>
      <c r="E4" s="5" t="s">
        <v>12</v>
      </c>
      <c r="F4" s="5" t="s">
        <v>17</v>
      </c>
      <c r="G4" s="5" t="s">
        <v>12</v>
      </c>
      <c r="H4" s="7" t="s">
        <v>7</v>
      </c>
      <c r="I4" s="7" t="s">
        <v>20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189</v>
      </c>
      <c r="AC4" s="8">
        <v>157500</v>
      </c>
      <c r="AD4" s="8">
        <v>12000</v>
      </c>
      <c r="AE4" s="7">
        <v>71</v>
      </c>
      <c r="AF4" s="8">
        <v>208800</v>
      </c>
      <c r="AG4" s="8">
        <v>13100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1</v>
      </c>
      <c r="AO4" s="7">
        <v>600</v>
      </c>
      <c r="AP4" s="7">
        <v>0</v>
      </c>
      <c r="AQ4" s="7">
        <v>13</v>
      </c>
      <c r="AR4" s="8">
        <v>36900</v>
      </c>
      <c r="AS4" s="7">
        <v>400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10">
        <v>429300</v>
      </c>
      <c r="BN4" s="15">
        <f t="shared" si="0"/>
        <v>429300</v>
      </c>
      <c r="BO4" s="16">
        <f t="shared" si="1"/>
        <v>300510</v>
      </c>
    </row>
    <row r="5" spans="1:67" x14ac:dyDescent="0.3">
      <c r="A5" s="5" t="s">
        <v>129</v>
      </c>
      <c r="B5" s="5" t="s">
        <v>21</v>
      </c>
      <c r="C5" s="5">
        <v>159270</v>
      </c>
      <c r="D5" s="6"/>
      <c r="E5" s="5" t="s">
        <v>12</v>
      </c>
      <c r="F5" s="5" t="s">
        <v>17</v>
      </c>
      <c r="G5" s="5" t="s">
        <v>12</v>
      </c>
      <c r="H5" s="7" t="s">
        <v>11</v>
      </c>
      <c r="I5" s="7" t="s">
        <v>20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209</v>
      </c>
      <c r="AC5" s="8">
        <v>167000</v>
      </c>
      <c r="AD5" s="8">
        <v>21100</v>
      </c>
      <c r="AE5" s="7">
        <v>47</v>
      </c>
      <c r="AF5" s="8">
        <v>149900</v>
      </c>
      <c r="AG5" s="7">
        <v>500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11</v>
      </c>
      <c r="AO5" s="8">
        <v>9700</v>
      </c>
      <c r="AP5" s="7">
        <v>200</v>
      </c>
      <c r="AQ5" s="7">
        <v>11</v>
      </c>
      <c r="AR5" s="8">
        <v>35200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10">
        <v>383600</v>
      </c>
      <c r="BN5" s="15">
        <f t="shared" si="0"/>
        <v>383600</v>
      </c>
      <c r="BO5" s="16">
        <f t="shared" si="1"/>
        <v>268520</v>
      </c>
    </row>
    <row r="6" spans="1:67" x14ac:dyDescent="0.3">
      <c r="A6" s="5" t="s">
        <v>132</v>
      </c>
      <c r="B6" s="5" t="s">
        <v>33</v>
      </c>
      <c r="C6" s="5">
        <v>159268</v>
      </c>
      <c r="D6" s="6"/>
      <c r="E6" s="5" t="s">
        <v>12</v>
      </c>
      <c r="F6" s="5" t="s">
        <v>17</v>
      </c>
      <c r="G6" s="5" t="s">
        <v>12</v>
      </c>
      <c r="H6" s="7" t="s">
        <v>7</v>
      </c>
      <c r="I6" s="7" t="s">
        <v>34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116</v>
      </c>
      <c r="AC6" s="8">
        <v>101000</v>
      </c>
      <c r="AD6" s="8">
        <v>2000</v>
      </c>
      <c r="AE6" s="7">
        <v>35</v>
      </c>
      <c r="AF6" s="8">
        <v>102000</v>
      </c>
      <c r="AG6" s="8">
        <v>7900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6</v>
      </c>
      <c r="AO6" s="8">
        <v>4400</v>
      </c>
      <c r="AP6" s="7">
        <v>600</v>
      </c>
      <c r="AQ6" s="7">
        <v>19</v>
      </c>
      <c r="AR6" s="8">
        <v>59700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10">
        <v>277600</v>
      </c>
      <c r="BN6" s="15">
        <f t="shared" si="0"/>
        <v>277600</v>
      </c>
      <c r="BO6" s="16">
        <f t="shared" si="1"/>
        <v>194320</v>
      </c>
    </row>
    <row r="7" spans="1:67" x14ac:dyDescent="0.3">
      <c r="A7" s="5" t="s">
        <v>129</v>
      </c>
      <c r="B7" s="5" t="s">
        <v>29</v>
      </c>
      <c r="C7" s="5">
        <v>418829</v>
      </c>
      <c r="D7" s="6"/>
      <c r="E7" s="5" t="s">
        <v>12</v>
      </c>
      <c r="F7" s="5" t="s">
        <v>17</v>
      </c>
      <c r="G7" s="5" t="s">
        <v>12</v>
      </c>
      <c r="H7" s="7" t="s">
        <v>7</v>
      </c>
      <c r="I7" s="7" t="s">
        <v>30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84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8">
        <v>2219</v>
      </c>
      <c r="AF7" s="8">
        <v>190500</v>
      </c>
      <c r="AG7" s="8">
        <v>31400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164</v>
      </c>
      <c r="AR7" s="8">
        <v>16200</v>
      </c>
      <c r="AS7" s="7">
        <v>200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10">
        <v>238300</v>
      </c>
      <c r="BN7" s="15">
        <f t="shared" si="0"/>
        <v>238300</v>
      </c>
      <c r="BO7" s="16">
        <f t="shared" si="1"/>
        <v>166810</v>
      </c>
    </row>
    <row r="8" spans="1:67" x14ac:dyDescent="0.3">
      <c r="A8" s="5" t="s">
        <v>133</v>
      </c>
      <c r="B8" s="5" t="s">
        <v>41</v>
      </c>
      <c r="C8" s="5">
        <v>159266</v>
      </c>
      <c r="D8" s="6"/>
      <c r="E8" s="5" t="s">
        <v>12</v>
      </c>
      <c r="F8" s="5" t="s">
        <v>17</v>
      </c>
      <c r="G8" s="5" t="s">
        <v>12</v>
      </c>
      <c r="H8" s="7" t="s">
        <v>7</v>
      </c>
      <c r="I8" s="7" t="s">
        <v>34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74</v>
      </c>
      <c r="AC8" s="8">
        <v>64400</v>
      </c>
      <c r="AD8" s="8">
        <v>1400</v>
      </c>
      <c r="AE8" s="7">
        <v>27</v>
      </c>
      <c r="AF8" s="8">
        <v>79300</v>
      </c>
      <c r="AG8" s="8">
        <v>4500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15</v>
      </c>
      <c r="AO8" s="8">
        <v>9700</v>
      </c>
      <c r="AP8" s="8">
        <v>3700</v>
      </c>
      <c r="AQ8" s="7">
        <v>1</v>
      </c>
      <c r="AR8" s="8">
        <v>2600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10">
        <v>165600</v>
      </c>
      <c r="BN8" s="15">
        <f t="shared" si="0"/>
        <v>165600</v>
      </c>
      <c r="BO8" s="16">
        <f t="shared" si="1"/>
        <v>115919.99999999999</v>
      </c>
    </row>
    <row r="9" spans="1:67" x14ac:dyDescent="0.3">
      <c r="A9" s="5" t="s">
        <v>129</v>
      </c>
      <c r="B9" s="5" t="s">
        <v>39</v>
      </c>
      <c r="C9" s="5">
        <v>159255</v>
      </c>
      <c r="D9" s="6"/>
      <c r="E9" s="5" t="s">
        <v>12</v>
      </c>
      <c r="F9" s="5" t="s">
        <v>17</v>
      </c>
      <c r="G9" s="5" t="s">
        <v>12</v>
      </c>
      <c r="H9" s="7" t="s">
        <v>8</v>
      </c>
      <c r="I9" s="7" t="s">
        <v>40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80</v>
      </c>
      <c r="AC9" s="8">
        <v>52900</v>
      </c>
      <c r="AD9" s="8">
        <v>19100</v>
      </c>
      <c r="AE9" s="7">
        <v>24</v>
      </c>
      <c r="AF9" s="8">
        <v>75500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12</v>
      </c>
      <c r="AO9" s="8">
        <v>10800</v>
      </c>
      <c r="AP9" s="7">
        <v>0</v>
      </c>
      <c r="AQ9" s="7">
        <v>2</v>
      </c>
      <c r="AR9" s="8">
        <v>4500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10">
        <v>162800</v>
      </c>
      <c r="BN9" s="15">
        <f t="shared" si="0"/>
        <v>162800</v>
      </c>
      <c r="BO9" s="16">
        <f t="shared" si="1"/>
        <v>113960</v>
      </c>
    </row>
    <row r="10" spans="1:67" x14ac:dyDescent="0.3">
      <c r="A10" s="5" t="s">
        <v>129</v>
      </c>
      <c r="B10" s="5" t="s">
        <v>25</v>
      </c>
      <c r="C10" s="5">
        <v>165741</v>
      </c>
      <c r="D10" s="6"/>
      <c r="E10" s="5" t="s">
        <v>12</v>
      </c>
      <c r="F10" s="5" t="s">
        <v>14</v>
      </c>
      <c r="G10" s="5" t="s">
        <v>12</v>
      </c>
      <c r="H10" s="7" t="s">
        <v>7</v>
      </c>
      <c r="I10" s="7" t="s">
        <v>26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138</v>
      </c>
      <c r="AC10" s="8">
        <v>116700</v>
      </c>
      <c r="AD10" s="8">
        <v>6900</v>
      </c>
      <c r="AE10" s="7">
        <v>3</v>
      </c>
      <c r="AF10" s="8">
        <v>9400</v>
      </c>
      <c r="AG10" s="7">
        <v>200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32</v>
      </c>
      <c r="AO10" s="8">
        <v>28100</v>
      </c>
      <c r="AP10" s="7">
        <v>400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10">
        <v>161700</v>
      </c>
      <c r="BN10" s="15">
        <f t="shared" si="0"/>
        <v>161700</v>
      </c>
      <c r="BO10" s="16">
        <f t="shared" si="1"/>
        <v>113190</v>
      </c>
    </row>
    <row r="11" spans="1:67" x14ac:dyDescent="0.3">
      <c r="A11" s="5" t="s">
        <v>133</v>
      </c>
      <c r="B11" s="5" t="s">
        <v>42</v>
      </c>
      <c r="C11" s="5">
        <v>173863</v>
      </c>
      <c r="D11" s="6"/>
      <c r="E11" s="5" t="s">
        <v>12</v>
      </c>
      <c r="F11" s="5" t="s">
        <v>17</v>
      </c>
      <c r="G11" s="5" t="s">
        <v>12</v>
      </c>
      <c r="H11" s="7" t="s">
        <v>7</v>
      </c>
      <c r="I11" s="7" t="s">
        <v>43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129</v>
      </c>
      <c r="AC11" s="8">
        <v>115500</v>
      </c>
      <c r="AD11" s="7">
        <v>600</v>
      </c>
      <c r="AE11" s="7">
        <v>13</v>
      </c>
      <c r="AF11" s="8">
        <v>41600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10">
        <v>157700</v>
      </c>
      <c r="BN11" s="15">
        <f t="shared" si="0"/>
        <v>157700</v>
      </c>
      <c r="BO11" s="16">
        <f t="shared" si="1"/>
        <v>110390</v>
      </c>
    </row>
    <row r="12" spans="1:67" x14ac:dyDescent="0.3">
      <c r="A12" s="5" t="s">
        <v>129</v>
      </c>
      <c r="B12" s="5" t="s">
        <v>70</v>
      </c>
      <c r="C12" s="5">
        <v>285993</v>
      </c>
      <c r="D12" s="6"/>
      <c r="E12" s="5" t="s">
        <v>12</v>
      </c>
      <c r="F12" s="5" t="s">
        <v>13</v>
      </c>
      <c r="G12" s="5" t="s">
        <v>12</v>
      </c>
      <c r="H12" s="7" t="s">
        <v>7</v>
      </c>
      <c r="I12" s="7" t="s">
        <v>71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150</v>
      </c>
      <c r="AC12" s="8">
        <v>127900</v>
      </c>
      <c r="AD12" s="8">
        <v>7100</v>
      </c>
      <c r="AE12" s="7">
        <v>2</v>
      </c>
      <c r="AF12" s="8">
        <v>5700</v>
      </c>
      <c r="AG12" s="7">
        <v>500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7</v>
      </c>
      <c r="AO12" s="8">
        <v>6300</v>
      </c>
      <c r="AP12" s="7">
        <v>0</v>
      </c>
      <c r="AQ12" s="7">
        <v>2</v>
      </c>
      <c r="AR12" s="8">
        <v>3400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10">
        <v>150900</v>
      </c>
      <c r="BN12" s="15">
        <f t="shared" si="0"/>
        <v>150900</v>
      </c>
      <c r="BO12" s="16">
        <f t="shared" si="1"/>
        <v>105630</v>
      </c>
    </row>
    <row r="13" spans="1:67" x14ac:dyDescent="0.3">
      <c r="A13" s="5" t="s">
        <v>132</v>
      </c>
      <c r="B13" s="5" t="s">
        <v>35</v>
      </c>
      <c r="C13" s="5">
        <v>159258</v>
      </c>
      <c r="D13" s="6"/>
      <c r="E13" s="5" t="s">
        <v>12</v>
      </c>
      <c r="F13" s="5" t="s">
        <v>17</v>
      </c>
      <c r="G13" s="5" t="s">
        <v>12</v>
      </c>
      <c r="H13" s="7" t="s">
        <v>7</v>
      </c>
      <c r="I13" s="7" t="s">
        <v>34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110</v>
      </c>
      <c r="AC13" s="8">
        <v>96000</v>
      </c>
      <c r="AD13" s="8">
        <v>3000</v>
      </c>
      <c r="AE13" s="7">
        <v>9</v>
      </c>
      <c r="AF13" s="8">
        <v>17300</v>
      </c>
      <c r="AG13" s="8">
        <v>11500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15</v>
      </c>
      <c r="AO13" s="8">
        <v>13500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10">
        <v>141300</v>
      </c>
      <c r="BN13" s="15">
        <f t="shared" si="0"/>
        <v>141300</v>
      </c>
      <c r="BO13" s="16">
        <f t="shared" si="1"/>
        <v>98910</v>
      </c>
    </row>
    <row r="14" spans="1:67" x14ac:dyDescent="0.3">
      <c r="A14" s="5" t="s">
        <v>132</v>
      </c>
      <c r="B14" s="5" t="s">
        <v>62</v>
      </c>
      <c r="C14" s="5">
        <v>192732</v>
      </c>
      <c r="D14" s="6"/>
      <c r="E14" s="5" t="s">
        <v>12</v>
      </c>
      <c r="F14" s="5" t="s">
        <v>45</v>
      </c>
      <c r="G14" s="5" t="s">
        <v>12</v>
      </c>
      <c r="H14" s="7" t="s">
        <v>7</v>
      </c>
      <c r="I14" s="7" t="s">
        <v>46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32</v>
      </c>
      <c r="AC14" s="8">
        <v>21600</v>
      </c>
      <c r="AD14" s="8">
        <v>7200</v>
      </c>
      <c r="AE14" s="7">
        <v>24</v>
      </c>
      <c r="AF14" s="8">
        <v>71500</v>
      </c>
      <c r="AG14" s="8">
        <v>1000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2</v>
      </c>
      <c r="AO14" s="8">
        <v>1800</v>
      </c>
      <c r="AP14" s="7">
        <v>0</v>
      </c>
      <c r="AQ14" s="7">
        <v>7</v>
      </c>
      <c r="AR14" s="8">
        <v>19600</v>
      </c>
      <c r="AS14" s="7">
        <v>700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10">
        <v>123400</v>
      </c>
      <c r="BN14" s="15">
        <f t="shared" si="0"/>
        <v>123400</v>
      </c>
      <c r="BO14" s="16">
        <f t="shared" si="1"/>
        <v>86380</v>
      </c>
    </row>
    <row r="15" spans="1:67" x14ac:dyDescent="0.3">
      <c r="A15" s="5" t="s">
        <v>132</v>
      </c>
      <c r="B15" s="5" t="s">
        <v>53</v>
      </c>
      <c r="C15" s="5">
        <v>159483</v>
      </c>
      <c r="D15" s="6"/>
      <c r="E15" s="5" t="s">
        <v>12</v>
      </c>
      <c r="F15" s="5" t="s">
        <v>14</v>
      </c>
      <c r="G15" s="5" t="s">
        <v>12</v>
      </c>
      <c r="H15" s="7" t="s">
        <v>7</v>
      </c>
      <c r="I15" s="7" t="s">
        <v>54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97</v>
      </c>
      <c r="AC15" s="8">
        <v>82800</v>
      </c>
      <c r="AD15" s="8">
        <v>4500</v>
      </c>
      <c r="AE15" s="7">
        <v>6</v>
      </c>
      <c r="AF15" s="8">
        <v>19200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10">
        <v>106500</v>
      </c>
      <c r="BN15" s="15">
        <f t="shared" si="0"/>
        <v>106500</v>
      </c>
      <c r="BO15" s="16">
        <f t="shared" si="1"/>
        <v>74550</v>
      </c>
    </row>
    <row r="16" spans="1:67" ht="19.5" x14ac:dyDescent="0.3">
      <c r="A16" s="5" t="s">
        <v>132</v>
      </c>
      <c r="B16" s="5" t="s">
        <v>22</v>
      </c>
      <c r="C16" s="5">
        <v>409392</v>
      </c>
      <c r="D16" s="6"/>
      <c r="E16" s="5" t="s">
        <v>12</v>
      </c>
      <c r="F16" s="5" t="s">
        <v>14</v>
      </c>
      <c r="G16" s="5" t="s">
        <v>23</v>
      </c>
      <c r="H16" s="7" t="s">
        <v>7</v>
      </c>
      <c r="I16" s="7" t="s">
        <v>24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64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8">
        <v>1010</v>
      </c>
      <c r="AF16" s="8">
        <v>99600</v>
      </c>
      <c r="AG16" s="8">
        <v>1400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2</v>
      </c>
      <c r="AR16" s="7">
        <v>200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10">
        <v>101200</v>
      </c>
      <c r="BN16" s="15">
        <f t="shared" si="0"/>
        <v>101200</v>
      </c>
      <c r="BO16" s="16">
        <f t="shared" si="1"/>
        <v>70840</v>
      </c>
    </row>
    <row r="17" spans="1:67" x14ac:dyDescent="0.3">
      <c r="A17" s="5" t="s">
        <v>129</v>
      </c>
      <c r="B17" s="5" t="s">
        <v>27</v>
      </c>
      <c r="C17" s="5">
        <v>161447</v>
      </c>
      <c r="D17" s="6"/>
      <c r="E17" s="5" t="s">
        <v>12</v>
      </c>
      <c r="F17" s="5" t="s">
        <v>14</v>
      </c>
      <c r="G17" s="5" t="s">
        <v>12</v>
      </c>
      <c r="H17" s="7" t="s">
        <v>7</v>
      </c>
      <c r="I17" s="7" t="s">
        <v>28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79</v>
      </c>
      <c r="AC17" s="8">
        <v>66200</v>
      </c>
      <c r="AD17" s="8">
        <v>4900</v>
      </c>
      <c r="AE17" s="7">
        <v>4</v>
      </c>
      <c r="AF17" s="8">
        <v>12800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17</v>
      </c>
      <c r="AO17" s="8">
        <v>15300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10">
        <v>99200</v>
      </c>
      <c r="BN17" s="15">
        <f t="shared" si="0"/>
        <v>99200</v>
      </c>
      <c r="BO17" s="16">
        <f t="shared" si="1"/>
        <v>69440</v>
      </c>
    </row>
    <row r="18" spans="1:67" x14ac:dyDescent="0.3">
      <c r="A18" s="5" t="s">
        <v>132</v>
      </c>
      <c r="B18" s="5" t="s">
        <v>44</v>
      </c>
      <c r="C18" s="5">
        <v>192737</v>
      </c>
      <c r="D18" s="6"/>
      <c r="E18" s="5" t="s">
        <v>12</v>
      </c>
      <c r="F18" s="5" t="s">
        <v>45</v>
      </c>
      <c r="G18" s="5" t="s">
        <v>12</v>
      </c>
      <c r="H18" s="7" t="s">
        <v>7</v>
      </c>
      <c r="I18" s="7" t="s">
        <v>46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90</v>
      </c>
      <c r="AC18" s="8">
        <v>75800</v>
      </c>
      <c r="AD18" s="8">
        <v>5200</v>
      </c>
      <c r="AE18" s="7">
        <v>2</v>
      </c>
      <c r="AF18" s="8">
        <v>6400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8</v>
      </c>
      <c r="AO18" s="8">
        <v>7000</v>
      </c>
      <c r="AP18" s="7">
        <v>200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10">
        <v>94600</v>
      </c>
      <c r="BN18" s="15">
        <f t="shared" si="0"/>
        <v>94600</v>
      </c>
      <c r="BO18" s="16">
        <f t="shared" si="1"/>
        <v>66220</v>
      </c>
    </row>
    <row r="19" spans="1:67" x14ac:dyDescent="0.3">
      <c r="A19" s="5" t="s">
        <v>129</v>
      </c>
      <c r="B19" s="5" t="s">
        <v>51</v>
      </c>
      <c r="C19" s="5">
        <v>268655</v>
      </c>
      <c r="D19" s="6"/>
      <c r="E19" s="5" t="s">
        <v>12</v>
      </c>
      <c r="F19" s="5" t="s">
        <v>17</v>
      </c>
      <c r="G19" s="5" t="s">
        <v>12</v>
      </c>
      <c r="H19" s="7" t="s">
        <v>7</v>
      </c>
      <c r="I19" s="7" t="s">
        <v>52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44</v>
      </c>
      <c r="AC19" s="8">
        <v>39600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11</v>
      </c>
      <c r="AO19" s="8">
        <v>9900</v>
      </c>
      <c r="AP19" s="7">
        <v>0</v>
      </c>
      <c r="AQ19" s="7">
        <v>4</v>
      </c>
      <c r="AR19" s="8">
        <v>12600</v>
      </c>
      <c r="AS19" s="7">
        <v>200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10">
        <v>62300</v>
      </c>
      <c r="BN19" s="15">
        <f t="shared" si="0"/>
        <v>62300</v>
      </c>
      <c r="BO19" s="16">
        <f t="shared" si="1"/>
        <v>43610</v>
      </c>
    </row>
    <row r="20" spans="1:67" x14ac:dyDescent="0.3">
      <c r="A20" s="5" t="s">
        <v>132</v>
      </c>
      <c r="B20" s="5" t="s">
        <v>68</v>
      </c>
      <c r="C20" s="5">
        <v>192729</v>
      </c>
      <c r="D20" s="6"/>
      <c r="E20" s="5" t="s">
        <v>12</v>
      </c>
      <c r="F20" s="5" t="s">
        <v>45</v>
      </c>
      <c r="G20" s="5" t="s">
        <v>12</v>
      </c>
      <c r="H20" s="7" t="s">
        <v>7</v>
      </c>
      <c r="I20" s="7" t="s">
        <v>69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33</v>
      </c>
      <c r="AC20" s="8">
        <v>29200</v>
      </c>
      <c r="AD20" s="7">
        <v>0</v>
      </c>
      <c r="AE20" s="7">
        <v>9</v>
      </c>
      <c r="AF20" s="8">
        <v>28800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6</v>
      </c>
      <c r="AO20" s="8">
        <v>3900</v>
      </c>
      <c r="AP20" s="7">
        <v>200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10">
        <v>62100</v>
      </c>
      <c r="BN20" s="15">
        <f t="shared" si="0"/>
        <v>62100</v>
      </c>
      <c r="BO20" s="16">
        <f t="shared" si="1"/>
        <v>43470</v>
      </c>
    </row>
    <row r="21" spans="1:67" ht="19.5" x14ac:dyDescent="0.3">
      <c r="A21" s="5" t="s">
        <v>132</v>
      </c>
      <c r="B21" s="5" t="s">
        <v>119</v>
      </c>
      <c r="C21" s="5">
        <v>408617</v>
      </c>
      <c r="D21" s="6"/>
      <c r="E21" s="5" t="s">
        <v>12</v>
      </c>
      <c r="F21" s="5" t="s">
        <v>13</v>
      </c>
      <c r="G21" s="5" t="s">
        <v>23</v>
      </c>
      <c r="H21" s="7" t="s">
        <v>11</v>
      </c>
      <c r="I21" s="7" t="s">
        <v>67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42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519</v>
      </c>
      <c r="AF21" s="8">
        <v>51500</v>
      </c>
      <c r="AG21" s="7">
        <v>400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25</v>
      </c>
      <c r="AR21" s="8">
        <v>2500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10">
        <v>54400</v>
      </c>
      <c r="BN21" s="15">
        <f t="shared" si="0"/>
        <v>54400</v>
      </c>
      <c r="BO21" s="16">
        <f t="shared" si="1"/>
        <v>38080</v>
      </c>
    </row>
    <row r="22" spans="1:67" x14ac:dyDescent="0.3">
      <c r="A22" s="5" t="s">
        <v>129</v>
      </c>
      <c r="B22" s="5" t="s">
        <v>65</v>
      </c>
      <c r="C22" s="5">
        <v>418830</v>
      </c>
      <c r="D22" s="6"/>
      <c r="E22" s="5" t="s">
        <v>12</v>
      </c>
      <c r="F22" s="5" t="s">
        <v>17</v>
      </c>
      <c r="G22" s="5" t="s">
        <v>12</v>
      </c>
      <c r="H22" s="7" t="s">
        <v>7</v>
      </c>
      <c r="I22" s="7" t="s">
        <v>30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10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461</v>
      </c>
      <c r="AF22" s="8">
        <v>32200</v>
      </c>
      <c r="AG22" s="8">
        <v>13900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1</v>
      </c>
      <c r="AR22" s="7">
        <v>100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10">
        <v>46200</v>
      </c>
      <c r="BN22" s="15">
        <f t="shared" si="0"/>
        <v>46200</v>
      </c>
      <c r="BO22" s="16">
        <f t="shared" si="1"/>
        <v>32339.999999999996</v>
      </c>
    </row>
    <row r="23" spans="1:67" x14ac:dyDescent="0.3">
      <c r="A23" s="5" t="s">
        <v>132</v>
      </c>
      <c r="B23" s="5" t="s">
        <v>31</v>
      </c>
      <c r="C23" s="5">
        <v>404358</v>
      </c>
      <c r="D23" s="6"/>
      <c r="E23" s="5" t="s">
        <v>12</v>
      </c>
      <c r="F23" s="5" t="s">
        <v>32</v>
      </c>
      <c r="G23" s="5" t="s">
        <v>12</v>
      </c>
      <c r="H23" s="7" t="s">
        <v>7</v>
      </c>
      <c r="I23" s="7" t="s">
        <v>104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12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422</v>
      </c>
      <c r="AF23" s="8">
        <v>39900</v>
      </c>
      <c r="AG23" s="8">
        <v>2300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10">
        <v>42200</v>
      </c>
      <c r="BN23" s="15">
        <f t="shared" si="0"/>
        <v>42200</v>
      </c>
      <c r="BO23" s="16">
        <f t="shared" si="1"/>
        <v>29539.999999999996</v>
      </c>
    </row>
    <row r="24" spans="1:67" x14ac:dyDescent="0.3">
      <c r="A24" s="5" t="s">
        <v>133</v>
      </c>
      <c r="B24" s="5" t="s">
        <v>36</v>
      </c>
      <c r="C24" s="5">
        <v>326544</v>
      </c>
      <c r="D24" s="6"/>
      <c r="E24" s="5" t="s">
        <v>12</v>
      </c>
      <c r="F24" s="5" t="s">
        <v>37</v>
      </c>
      <c r="G24" s="5" t="s">
        <v>12</v>
      </c>
      <c r="H24" s="7" t="s">
        <v>7</v>
      </c>
      <c r="I24" s="7" t="s">
        <v>38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4</v>
      </c>
      <c r="T24" s="7">
        <v>16</v>
      </c>
      <c r="U24" s="7">
        <v>0</v>
      </c>
      <c r="V24" s="7">
        <v>400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344</v>
      </c>
      <c r="AF24" s="8">
        <v>29700</v>
      </c>
      <c r="AG24" s="8">
        <v>4700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46</v>
      </c>
      <c r="AR24" s="8">
        <v>4600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10">
        <v>39400</v>
      </c>
      <c r="BN24" s="15">
        <f t="shared" si="0"/>
        <v>39400</v>
      </c>
      <c r="BO24" s="16">
        <f t="shared" si="1"/>
        <v>27580</v>
      </c>
    </row>
    <row r="25" spans="1:67" x14ac:dyDescent="0.3">
      <c r="A25" s="5" t="s">
        <v>132</v>
      </c>
      <c r="B25" s="5" t="s">
        <v>88</v>
      </c>
      <c r="C25" s="5">
        <v>258201</v>
      </c>
      <c r="D25" s="6"/>
      <c r="E25" s="5" t="s">
        <v>12</v>
      </c>
      <c r="F25" s="5" t="s">
        <v>58</v>
      </c>
      <c r="G25" s="5" t="s">
        <v>12</v>
      </c>
      <c r="H25" s="7" t="s">
        <v>7</v>
      </c>
      <c r="I25" s="7" t="s">
        <v>89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23</v>
      </c>
      <c r="AC25" s="8">
        <v>20700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17</v>
      </c>
      <c r="AO25" s="8">
        <v>15100</v>
      </c>
      <c r="AP25" s="7">
        <v>200</v>
      </c>
      <c r="AQ25" s="7">
        <v>1</v>
      </c>
      <c r="AR25" s="8">
        <v>3200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10">
        <v>39200</v>
      </c>
      <c r="BN25" s="15">
        <f t="shared" si="0"/>
        <v>39200</v>
      </c>
      <c r="BO25" s="16">
        <f t="shared" si="1"/>
        <v>27440</v>
      </c>
    </row>
    <row r="26" spans="1:67" x14ac:dyDescent="0.3">
      <c r="A26" s="5" t="s">
        <v>132</v>
      </c>
      <c r="B26" s="5" t="s">
        <v>63</v>
      </c>
      <c r="C26" s="5">
        <v>229857</v>
      </c>
      <c r="D26" s="6"/>
      <c r="E26" s="5" t="s">
        <v>12</v>
      </c>
      <c r="F26" s="5" t="s">
        <v>13</v>
      </c>
      <c r="G26" s="5" t="s">
        <v>12</v>
      </c>
      <c r="H26" s="7" t="s">
        <v>11</v>
      </c>
      <c r="I26" s="7" t="s">
        <v>64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30</v>
      </c>
      <c r="AC26" s="8">
        <v>27000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6</v>
      </c>
      <c r="AO26" s="8">
        <v>5400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10">
        <v>32400</v>
      </c>
      <c r="BN26" s="15">
        <f t="shared" si="0"/>
        <v>32400</v>
      </c>
      <c r="BO26" s="16">
        <f t="shared" si="1"/>
        <v>22680</v>
      </c>
    </row>
    <row r="27" spans="1:67" x14ac:dyDescent="0.3">
      <c r="A27" s="5" t="s">
        <v>132</v>
      </c>
      <c r="B27" s="5" t="s">
        <v>122</v>
      </c>
      <c r="C27" s="5">
        <v>308470</v>
      </c>
      <c r="D27" s="6"/>
      <c r="E27" s="5" t="s">
        <v>12</v>
      </c>
      <c r="F27" s="5" t="s">
        <v>45</v>
      </c>
      <c r="G27" s="5" t="s">
        <v>12</v>
      </c>
      <c r="H27" s="7" t="s">
        <v>7</v>
      </c>
      <c r="I27" s="7" t="s">
        <v>123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314</v>
      </c>
      <c r="AF27" s="8">
        <v>30900</v>
      </c>
      <c r="AG27" s="7">
        <v>500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10">
        <v>31400</v>
      </c>
      <c r="BN27" s="15">
        <f t="shared" si="0"/>
        <v>31400</v>
      </c>
      <c r="BO27" s="16">
        <f t="shared" si="1"/>
        <v>21980</v>
      </c>
    </row>
    <row r="28" spans="1:67" ht="19.5" x14ac:dyDescent="0.3">
      <c r="A28" s="5" t="s">
        <v>129</v>
      </c>
      <c r="B28" s="5" t="s">
        <v>105</v>
      </c>
      <c r="C28" s="5">
        <v>408450</v>
      </c>
      <c r="D28" s="6"/>
      <c r="E28" s="5" t="s">
        <v>12</v>
      </c>
      <c r="F28" s="5" t="s">
        <v>13</v>
      </c>
      <c r="G28" s="5" t="s">
        <v>23</v>
      </c>
      <c r="H28" s="7" t="s">
        <v>7</v>
      </c>
      <c r="I28" s="7" t="s">
        <v>86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6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287</v>
      </c>
      <c r="AF28" s="8">
        <v>28700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10">
        <v>28700</v>
      </c>
      <c r="BN28" s="15">
        <f t="shared" si="0"/>
        <v>28700</v>
      </c>
      <c r="BO28" s="16">
        <f t="shared" si="1"/>
        <v>20090</v>
      </c>
    </row>
    <row r="29" spans="1:67" x14ac:dyDescent="0.3">
      <c r="A29" s="5" t="s">
        <v>132</v>
      </c>
      <c r="B29" s="5" t="s">
        <v>57</v>
      </c>
      <c r="C29" s="5">
        <v>215737</v>
      </c>
      <c r="D29" s="6"/>
      <c r="E29" s="5" t="s">
        <v>12</v>
      </c>
      <c r="F29" s="5" t="s">
        <v>58</v>
      </c>
      <c r="G29" s="5" t="s">
        <v>12</v>
      </c>
      <c r="H29" s="7" t="s">
        <v>7</v>
      </c>
      <c r="I29" s="7" t="s">
        <v>59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49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287</v>
      </c>
      <c r="AF29" s="8">
        <v>27900</v>
      </c>
      <c r="AG29" s="7">
        <v>800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10">
        <v>28700</v>
      </c>
      <c r="BN29" s="15">
        <f t="shared" si="0"/>
        <v>28700</v>
      </c>
      <c r="BO29" s="16">
        <f t="shared" si="1"/>
        <v>20090</v>
      </c>
    </row>
    <row r="30" spans="1:67" x14ac:dyDescent="0.3">
      <c r="A30" s="5" t="s">
        <v>135</v>
      </c>
      <c r="B30" s="5" t="s">
        <v>82</v>
      </c>
      <c r="C30" s="5">
        <v>287064</v>
      </c>
      <c r="D30" s="6"/>
      <c r="E30" s="5" t="s">
        <v>12</v>
      </c>
      <c r="F30" s="5" t="s">
        <v>83</v>
      </c>
      <c r="G30" s="5" t="s">
        <v>12</v>
      </c>
      <c r="H30" s="7" t="s">
        <v>7</v>
      </c>
      <c r="I30" s="7" t="s">
        <v>84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8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270</v>
      </c>
      <c r="AF30" s="8">
        <v>19000</v>
      </c>
      <c r="AG30" s="8">
        <v>8000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10">
        <v>27000</v>
      </c>
      <c r="BN30" s="15">
        <f t="shared" si="0"/>
        <v>27000</v>
      </c>
      <c r="BO30" s="16">
        <f t="shared" si="1"/>
        <v>18900</v>
      </c>
    </row>
    <row r="31" spans="1:67" x14ac:dyDescent="0.3">
      <c r="A31" s="5" t="s">
        <v>132</v>
      </c>
      <c r="B31" s="5" t="s">
        <v>60</v>
      </c>
      <c r="C31" s="5">
        <v>99966</v>
      </c>
      <c r="D31" s="6"/>
      <c r="E31" s="5" t="s">
        <v>12</v>
      </c>
      <c r="F31" s="5" t="s">
        <v>17</v>
      </c>
      <c r="G31" s="5" t="s">
        <v>12</v>
      </c>
      <c r="H31" s="7" t="s">
        <v>11</v>
      </c>
      <c r="I31" s="7" t="s">
        <v>61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40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250</v>
      </c>
      <c r="AF31" s="8">
        <v>18400</v>
      </c>
      <c r="AG31" s="8">
        <v>6600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10">
        <v>25000</v>
      </c>
      <c r="BN31" s="15">
        <f t="shared" si="0"/>
        <v>25000</v>
      </c>
      <c r="BO31" s="16">
        <f t="shared" si="1"/>
        <v>17500</v>
      </c>
    </row>
    <row r="32" spans="1:67" x14ac:dyDescent="0.3">
      <c r="A32" s="5" t="s">
        <v>132</v>
      </c>
      <c r="B32" s="5" t="s">
        <v>127</v>
      </c>
      <c r="C32" s="5">
        <v>395747</v>
      </c>
      <c r="D32" s="6"/>
      <c r="E32" s="5" t="s">
        <v>12</v>
      </c>
      <c r="F32" s="5" t="s">
        <v>13</v>
      </c>
      <c r="G32" s="5" t="s">
        <v>12</v>
      </c>
      <c r="H32" s="7" t="s">
        <v>7</v>
      </c>
      <c r="I32" s="7" t="s">
        <v>128</v>
      </c>
      <c r="J32" s="7">
        <v>0</v>
      </c>
      <c r="K32" s="7">
        <v>21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1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206</v>
      </c>
      <c r="AF32" s="8">
        <v>16800</v>
      </c>
      <c r="AG32" s="8">
        <v>3800</v>
      </c>
      <c r="AH32" s="7">
        <v>0</v>
      </c>
      <c r="AI32" s="7">
        <v>0</v>
      </c>
      <c r="AJ32" s="7">
        <v>0</v>
      </c>
      <c r="AK32" s="7">
        <v>33</v>
      </c>
      <c r="AL32" s="8">
        <v>3960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9">
        <v>1188</v>
      </c>
      <c r="BM32" s="10">
        <v>24560</v>
      </c>
      <c r="BN32" s="15">
        <f t="shared" si="0"/>
        <v>23372</v>
      </c>
      <c r="BO32" s="16">
        <f t="shared" si="1"/>
        <v>16360.4</v>
      </c>
    </row>
    <row r="33" spans="1:67" ht="19.5" x14ac:dyDescent="0.3">
      <c r="A33" s="5" t="s">
        <v>129</v>
      </c>
      <c r="B33" s="5" t="s">
        <v>106</v>
      </c>
      <c r="C33" s="5">
        <v>408317</v>
      </c>
      <c r="D33" s="6"/>
      <c r="E33" s="5" t="s">
        <v>12</v>
      </c>
      <c r="F33" s="5" t="s">
        <v>45</v>
      </c>
      <c r="G33" s="5" t="s">
        <v>23</v>
      </c>
      <c r="H33" s="7" t="s">
        <v>8</v>
      </c>
      <c r="I33" s="7" t="s">
        <v>67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227</v>
      </c>
      <c r="AF33" s="8">
        <v>12400</v>
      </c>
      <c r="AG33" s="8">
        <v>10300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10">
        <v>22700</v>
      </c>
      <c r="BN33" s="15">
        <f t="shared" si="0"/>
        <v>22700</v>
      </c>
      <c r="BO33" s="16">
        <f t="shared" si="1"/>
        <v>15889.999999999998</v>
      </c>
    </row>
    <row r="34" spans="1:67" ht="19.5" x14ac:dyDescent="0.3">
      <c r="A34" s="5" t="s">
        <v>129</v>
      </c>
      <c r="B34" s="5" t="s">
        <v>66</v>
      </c>
      <c r="C34" s="5">
        <v>408054</v>
      </c>
      <c r="D34" s="6"/>
      <c r="E34" s="5" t="s">
        <v>12</v>
      </c>
      <c r="F34" s="5" t="s">
        <v>17</v>
      </c>
      <c r="G34" s="5" t="s">
        <v>23</v>
      </c>
      <c r="H34" s="7" t="s">
        <v>11</v>
      </c>
      <c r="I34" s="7" t="s">
        <v>67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19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223</v>
      </c>
      <c r="AF34" s="8">
        <v>22300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10">
        <v>22300</v>
      </c>
      <c r="BN34" s="15">
        <f t="shared" si="0"/>
        <v>22300</v>
      </c>
      <c r="BO34" s="16">
        <f t="shared" si="1"/>
        <v>15609.999999999998</v>
      </c>
    </row>
    <row r="35" spans="1:67" ht="19.5" x14ac:dyDescent="0.3">
      <c r="A35" s="5" t="s">
        <v>133</v>
      </c>
      <c r="B35" s="5" t="s">
        <v>120</v>
      </c>
      <c r="C35" s="5">
        <v>408050</v>
      </c>
      <c r="D35" s="6"/>
      <c r="E35" s="5" t="s">
        <v>12</v>
      </c>
      <c r="F35" s="5" t="s">
        <v>14</v>
      </c>
      <c r="G35" s="5" t="s">
        <v>23</v>
      </c>
      <c r="H35" s="7" t="s">
        <v>7</v>
      </c>
      <c r="I35" s="7" t="s">
        <v>121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161</v>
      </c>
      <c r="AF35" s="8">
        <v>16100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23</v>
      </c>
      <c r="AR35" s="8">
        <v>2300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10">
        <v>18400</v>
      </c>
      <c r="BN35" s="15">
        <f t="shared" si="0"/>
        <v>18400</v>
      </c>
      <c r="BO35" s="16">
        <f t="shared" si="1"/>
        <v>12880</v>
      </c>
    </row>
    <row r="36" spans="1:67" ht="19.5" x14ac:dyDescent="0.3">
      <c r="A36" s="5" t="s">
        <v>129</v>
      </c>
      <c r="B36" s="5" t="s">
        <v>74</v>
      </c>
      <c r="C36" s="5">
        <v>413545</v>
      </c>
      <c r="D36" s="6"/>
      <c r="E36" s="5" t="s">
        <v>12</v>
      </c>
      <c r="F36" s="5" t="s">
        <v>17</v>
      </c>
      <c r="G36" s="5" t="s">
        <v>23</v>
      </c>
      <c r="H36" s="7" t="s">
        <v>8</v>
      </c>
      <c r="I36" s="7" t="s">
        <v>75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10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174</v>
      </c>
      <c r="AF36" s="8">
        <v>14100</v>
      </c>
      <c r="AG36" s="8">
        <v>3300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10">
        <v>17400</v>
      </c>
      <c r="BN36" s="15">
        <f t="shared" si="0"/>
        <v>17400</v>
      </c>
      <c r="BO36" s="16">
        <f t="shared" si="1"/>
        <v>12180</v>
      </c>
    </row>
    <row r="37" spans="1:67" x14ac:dyDescent="0.3">
      <c r="A37" s="5" t="s">
        <v>133</v>
      </c>
      <c r="B37" s="5" t="s">
        <v>107</v>
      </c>
      <c r="C37" s="5">
        <v>249762</v>
      </c>
      <c r="D37" s="6"/>
      <c r="E37" s="5" t="s">
        <v>12</v>
      </c>
      <c r="F37" s="5" t="s">
        <v>13</v>
      </c>
      <c r="G37" s="5" t="s">
        <v>12</v>
      </c>
      <c r="H37" s="7" t="s">
        <v>7</v>
      </c>
      <c r="I37" s="7" t="s">
        <v>108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5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173</v>
      </c>
      <c r="AF37" s="8">
        <v>14000</v>
      </c>
      <c r="AG37" s="8">
        <v>3300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1</v>
      </c>
      <c r="AR37" s="7">
        <v>100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10">
        <v>17400</v>
      </c>
      <c r="BN37" s="15">
        <f t="shared" si="0"/>
        <v>17400</v>
      </c>
      <c r="BO37" s="16">
        <f t="shared" si="1"/>
        <v>12180</v>
      </c>
    </row>
    <row r="38" spans="1:67" x14ac:dyDescent="0.3">
      <c r="A38" s="5" t="s">
        <v>129</v>
      </c>
      <c r="B38" s="5" t="s">
        <v>115</v>
      </c>
      <c r="C38" s="5">
        <v>238494</v>
      </c>
      <c r="D38" s="6"/>
      <c r="E38" s="5" t="s">
        <v>12</v>
      </c>
      <c r="F38" s="5" t="s">
        <v>45</v>
      </c>
      <c r="G38" s="5" t="s">
        <v>12</v>
      </c>
      <c r="H38" s="7" t="s">
        <v>7</v>
      </c>
      <c r="I38" s="7" t="s">
        <v>116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15</v>
      </c>
      <c r="AC38" s="8">
        <v>12400</v>
      </c>
      <c r="AD38" s="8">
        <v>1100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3</v>
      </c>
      <c r="AO38" s="8">
        <v>2700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10">
        <v>16200</v>
      </c>
      <c r="BN38" s="15">
        <f t="shared" si="0"/>
        <v>16200</v>
      </c>
      <c r="BO38" s="16">
        <f t="shared" si="1"/>
        <v>11340</v>
      </c>
    </row>
    <row r="39" spans="1:67" x14ac:dyDescent="0.3">
      <c r="A39" s="5" t="s">
        <v>133</v>
      </c>
      <c r="B39" s="5" t="s">
        <v>55</v>
      </c>
      <c r="C39" s="5">
        <v>194565</v>
      </c>
      <c r="D39" s="6"/>
      <c r="E39" s="5" t="s">
        <v>12</v>
      </c>
      <c r="F39" s="5" t="s">
        <v>17</v>
      </c>
      <c r="G39" s="5" t="s">
        <v>12</v>
      </c>
      <c r="H39" s="7" t="s">
        <v>7</v>
      </c>
      <c r="I39" s="7" t="s">
        <v>56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4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141</v>
      </c>
      <c r="AF39" s="8">
        <v>7500</v>
      </c>
      <c r="AG39" s="8">
        <v>6600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3</v>
      </c>
      <c r="AR39" s="7">
        <v>300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10">
        <v>14400</v>
      </c>
      <c r="BN39" s="15">
        <f t="shared" si="0"/>
        <v>14400</v>
      </c>
      <c r="BO39" s="16">
        <f t="shared" si="1"/>
        <v>10080</v>
      </c>
    </row>
    <row r="40" spans="1:67" x14ac:dyDescent="0.3">
      <c r="A40" s="5" t="s">
        <v>132</v>
      </c>
      <c r="B40" s="5" t="s">
        <v>76</v>
      </c>
      <c r="C40" s="5">
        <v>192728</v>
      </c>
      <c r="D40" s="6"/>
      <c r="E40" s="5" t="s">
        <v>12</v>
      </c>
      <c r="F40" s="5" t="s">
        <v>45</v>
      </c>
      <c r="G40" s="5" t="s">
        <v>12</v>
      </c>
      <c r="H40" s="7" t="s">
        <v>7</v>
      </c>
      <c r="I40" s="7" t="s">
        <v>46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5</v>
      </c>
      <c r="AC40" s="8">
        <v>4500</v>
      </c>
      <c r="AD40" s="7">
        <v>0</v>
      </c>
      <c r="AE40" s="7">
        <v>3</v>
      </c>
      <c r="AF40" s="8">
        <v>9600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10">
        <v>14100</v>
      </c>
      <c r="BN40" s="15">
        <f t="shared" si="0"/>
        <v>14100</v>
      </c>
      <c r="BO40" s="16">
        <f t="shared" si="1"/>
        <v>9870</v>
      </c>
    </row>
    <row r="41" spans="1:67" x14ac:dyDescent="0.3">
      <c r="A41" s="5" t="s">
        <v>132</v>
      </c>
      <c r="B41" s="5" t="s">
        <v>140</v>
      </c>
      <c r="C41" s="5">
        <v>189476</v>
      </c>
      <c r="D41" s="6"/>
      <c r="E41" s="5" t="s">
        <v>12</v>
      </c>
      <c r="F41" s="5" t="s">
        <v>45</v>
      </c>
      <c r="G41" s="5" t="s">
        <v>12</v>
      </c>
      <c r="H41" s="7" t="s">
        <v>7</v>
      </c>
      <c r="I41" s="7" t="s">
        <v>141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15</v>
      </c>
      <c r="AC41" s="8">
        <v>13500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10">
        <v>13500</v>
      </c>
      <c r="BN41" s="15">
        <f t="shared" si="0"/>
        <v>13500</v>
      </c>
      <c r="BO41" s="16">
        <f t="shared" si="1"/>
        <v>9450</v>
      </c>
    </row>
    <row r="42" spans="1:67" x14ac:dyDescent="0.3">
      <c r="A42" s="5" t="s">
        <v>132</v>
      </c>
      <c r="B42" s="5" t="s">
        <v>87</v>
      </c>
      <c r="C42" s="5">
        <v>305089</v>
      </c>
      <c r="D42" s="6"/>
      <c r="E42" s="5" t="s">
        <v>12</v>
      </c>
      <c r="F42" s="5" t="s">
        <v>83</v>
      </c>
      <c r="G42" s="5" t="s">
        <v>12</v>
      </c>
      <c r="H42" s="7" t="s">
        <v>7</v>
      </c>
      <c r="I42" s="7" t="s">
        <v>10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6</v>
      </c>
      <c r="AC42" s="8">
        <v>5400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9</v>
      </c>
      <c r="AO42" s="8">
        <v>8100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10">
        <v>13500</v>
      </c>
      <c r="BN42" s="15">
        <f t="shared" si="0"/>
        <v>13500</v>
      </c>
      <c r="BO42" s="16">
        <f t="shared" si="1"/>
        <v>9450</v>
      </c>
    </row>
    <row r="43" spans="1:67" x14ac:dyDescent="0.3">
      <c r="A43" s="5" t="s">
        <v>132</v>
      </c>
      <c r="B43" s="5" t="s">
        <v>110</v>
      </c>
      <c r="C43" s="5">
        <v>174583</v>
      </c>
      <c r="D43" s="6"/>
      <c r="E43" s="5" t="s">
        <v>12</v>
      </c>
      <c r="F43" s="5" t="s">
        <v>14</v>
      </c>
      <c r="G43" s="5" t="s">
        <v>12</v>
      </c>
      <c r="H43" s="7" t="s">
        <v>7</v>
      </c>
      <c r="I43" s="7" t="s">
        <v>111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3</v>
      </c>
      <c r="AC43" s="8">
        <v>2700</v>
      </c>
      <c r="AD43" s="7">
        <v>0</v>
      </c>
      <c r="AE43" s="7">
        <v>3</v>
      </c>
      <c r="AF43" s="7">
        <v>0</v>
      </c>
      <c r="AG43" s="8">
        <v>9600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10">
        <v>12300</v>
      </c>
      <c r="BN43" s="15">
        <f t="shared" si="0"/>
        <v>12300</v>
      </c>
      <c r="BO43" s="16">
        <f t="shared" si="1"/>
        <v>8610</v>
      </c>
    </row>
    <row r="44" spans="1:67" ht="19.5" x14ac:dyDescent="0.3">
      <c r="A44" s="5" t="s">
        <v>132</v>
      </c>
      <c r="B44" s="5" t="s">
        <v>114</v>
      </c>
      <c r="C44" s="5">
        <v>409391</v>
      </c>
      <c r="D44" s="6"/>
      <c r="E44" s="5" t="s">
        <v>12</v>
      </c>
      <c r="F44" s="5" t="s">
        <v>45</v>
      </c>
      <c r="G44" s="5" t="s">
        <v>23</v>
      </c>
      <c r="H44" s="7" t="s">
        <v>7</v>
      </c>
      <c r="I44" s="7" t="s">
        <v>24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118</v>
      </c>
      <c r="AF44" s="8">
        <v>11800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10">
        <v>11800</v>
      </c>
      <c r="BN44" s="15">
        <f t="shared" si="0"/>
        <v>11800</v>
      </c>
      <c r="BO44" s="16">
        <f t="shared" si="1"/>
        <v>8260</v>
      </c>
    </row>
    <row r="45" spans="1:67" x14ac:dyDescent="0.3">
      <c r="A45" s="5" t="s">
        <v>132</v>
      </c>
      <c r="B45" s="5" t="s">
        <v>145</v>
      </c>
      <c r="C45" s="5">
        <v>239858</v>
      </c>
      <c r="D45" s="6"/>
      <c r="E45" s="5" t="s">
        <v>12</v>
      </c>
      <c r="F45" s="5" t="s">
        <v>13</v>
      </c>
      <c r="G45" s="5" t="s">
        <v>12</v>
      </c>
      <c r="H45" s="7" t="s">
        <v>7</v>
      </c>
      <c r="I45" s="7" t="s">
        <v>146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13</v>
      </c>
      <c r="AC45" s="8">
        <v>11700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10">
        <v>11700</v>
      </c>
      <c r="BN45" s="15">
        <f t="shared" si="0"/>
        <v>11700</v>
      </c>
      <c r="BO45" s="16">
        <f t="shared" si="1"/>
        <v>8189.9999999999991</v>
      </c>
    </row>
    <row r="46" spans="1:67" x14ac:dyDescent="0.3">
      <c r="A46" s="5" t="s">
        <v>132</v>
      </c>
      <c r="B46" s="5" t="s">
        <v>48</v>
      </c>
      <c r="C46" s="5">
        <v>388417</v>
      </c>
      <c r="D46" s="6"/>
      <c r="E46" s="5" t="s">
        <v>12</v>
      </c>
      <c r="F46" s="5" t="s">
        <v>49</v>
      </c>
      <c r="G46" s="5" t="s">
        <v>12</v>
      </c>
      <c r="H46" s="7" t="s">
        <v>7</v>
      </c>
      <c r="I46" s="7" t="s">
        <v>50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90</v>
      </c>
      <c r="AF46" s="7">
        <v>700</v>
      </c>
      <c r="AG46" s="8">
        <v>8300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5</v>
      </c>
      <c r="AR46" s="7">
        <v>500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10">
        <v>9500</v>
      </c>
      <c r="BN46" s="15">
        <f t="shared" si="0"/>
        <v>9500</v>
      </c>
      <c r="BO46" s="16">
        <f t="shared" si="1"/>
        <v>6650</v>
      </c>
    </row>
    <row r="47" spans="1:67" x14ac:dyDescent="0.3">
      <c r="A47" s="5" t="s">
        <v>132</v>
      </c>
      <c r="B47" s="5" t="s">
        <v>72</v>
      </c>
      <c r="C47" s="5">
        <v>183137</v>
      </c>
      <c r="D47" s="6"/>
      <c r="E47" s="5" t="s">
        <v>12</v>
      </c>
      <c r="F47" s="5" t="s">
        <v>14</v>
      </c>
      <c r="G47" s="5" t="s">
        <v>12</v>
      </c>
      <c r="H47" s="7" t="s">
        <v>7</v>
      </c>
      <c r="I47" s="7" t="s">
        <v>73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10</v>
      </c>
      <c r="AC47" s="8">
        <v>7200</v>
      </c>
      <c r="AD47" s="8">
        <v>1800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10">
        <v>9000</v>
      </c>
      <c r="BN47" s="15">
        <f t="shared" si="0"/>
        <v>9000</v>
      </c>
      <c r="BO47" s="16">
        <f t="shared" si="1"/>
        <v>6300</v>
      </c>
    </row>
    <row r="48" spans="1:67" x14ac:dyDescent="0.3">
      <c r="A48" s="5" t="s">
        <v>132</v>
      </c>
      <c r="B48" s="5" t="s">
        <v>124</v>
      </c>
      <c r="C48" s="5">
        <v>406732</v>
      </c>
      <c r="D48" s="6"/>
      <c r="E48" s="5" t="s">
        <v>12</v>
      </c>
      <c r="F48" s="5" t="s">
        <v>13</v>
      </c>
      <c r="G48" s="5" t="s">
        <v>12</v>
      </c>
      <c r="H48" s="7" t="s">
        <v>7</v>
      </c>
      <c r="I48" s="7" t="s">
        <v>47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8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84</v>
      </c>
      <c r="AF48" s="8">
        <v>3500</v>
      </c>
      <c r="AG48" s="8">
        <v>4900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10">
        <v>8400</v>
      </c>
      <c r="BN48" s="15">
        <f t="shared" si="0"/>
        <v>8400</v>
      </c>
      <c r="BO48" s="16">
        <f t="shared" si="1"/>
        <v>5880</v>
      </c>
    </row>
    <row r="49" spans="1:67" ht="19.5" x14ac:dyDescent="0.3">
      <c r="A49" s="5" t="s">
        <v>132</v>
      </c>
      <c r="B49" s="5" t="s">
        <v>90</v>
      </c>
      <c r="C49" s="5">
        <v>406370</v>
      </c>
      <c r="D49" s="6"/>
      <c r="E49" s="5" t="s">
        <v>12</v>
      </c>
      <c r="F49" s="5" t="s">
        <v>45</v>
      </c>
      <c r="G49" s="5" t="s">
        <v>23</v>
      </c>
      <c r="H49" s="7" t="s">
        <v>8</v>
      </c>
      <c r="I49" s="7" t="s">
        <v>77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9</v>
      </c>
      <c r="AC49" s="8">
        <v>8100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10">
        <v>8100</v>
      </c>
      <c r="BN49" s="15">
        <f t="shared" si="0"/>
        <v>8100</v>
      </c>
      <c r="BO49" s="16">
        <f t="shared" si="1"/>
        <v>5670</v>
      </c>
    </row>
    <row r="50" spans="1:67" x14ac:dyDescent="0.3">
      <c r="A50" s="5" t="s">
        <v>129</v>
      </c>
      <c r="B50" s="5" t="s">
        <v>112</v>
      </c>
      <c r="C50" s="5">
        <v>210381</v>
      </c>
      <c r="D50" s="6"/>
      <c r="E50" s="5" t="s">
        <v>12</v>
      </c>
      <c r="F50" s="5" t="s">
        <v>45</v>
      </c>
      <c r="G50" s="5" t="s">
        <v>12</v>
      </c>
      <c r="H50" s="7" t="s">
        <v>7</v>
      </c>
      <c r="I50" s="7" t="s">
        <v>113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5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78</v>
      </c>
      <c r="AF50" s="8">
        <v>7600</v>
      </c>
      <c r="AG50" s="7">
        <v>200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10">
        <v>7800</v>
      </c>
      <c r="BN50" s="15">
        <f t="shared" si="0"/>
        <v>7800</v>
      </c>
      <c r="BO50" s="16">
        <f t="shared" si="1"/>
        <v>5460</v>
      </c>
    </row>
    <row r="51" spans="1:67" x14ac:dyDescent="0.3">
      <c r="A51" s="5" t="s">
        <v>132</v>
      </c>
      <c r="B51" s="5" t="s">
        <v>85</v>
      </c>
      <c r="C51" s="5">
        <v>285990</v>
      </c>
      <c r="D51" s="6"/>
      <c r="E51" s="5" t="s">
        <v>12</v>
      </c>
      <c r="F51" s="5" t="s">
        <v>13</v>
      </c>
      <c r="G51" s="5" t="s">
        <v>12</v>
      </c>
      <c r="H51" s="7" t="s">
        <v>7</v>
      </c>
      <c r="I51" s="7" t="s">
        <v>71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8</v>
      </c>
      <c r="AC51" s="8">
        <v>7200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10">
        <v>7200</v>
      </c>
      <c r="BN51" s="15">
        <f t="shared" si="0"/>
        <v>7200</v>
      </c>
      <c r="BO51" s="16">
        <f t="shared" si="1"/>
        <v>5040</v>
      </c>
    </row>
    <row r="52" spans="1:67" x14ac:dyDescent="0.3">
      <c r="A52" s="5" t="s">
        <v>129</v>
      </c>
      <c r="B52" s="5" t="s">
        <v>117</v>
      </c>
      <c r="C52" s="5">
        <v>169151</v>
      </c>
      <c r="D52" s="6"/>
      <c r="E52" s="5" t="s">
        <v>12</v>
      </c>
      <c r="F52" s="5" t="s">
        <v>14</v>
      </c>
      <c r="G52" s="5" t="s">
        <v>12</v>
      </c>
      <c r="H52" s="7" t="s">
        <v>7</v>
      </c>
      <c r="I52" s="7" t="s">
        <v>118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8</v>
      </c>
      <c r="AC52" s="8">
        <v>7200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10">
        <v>7200</v>
      </c>
      <c r="BN52" s="15">
        <f t="shared" si="0"/>
        <v>7200</v>
      </c>
      <c r="BO52" s="16">
        <f t="shared" si="1"/>
        <v>5040</v>
      </c>
    </row>
    <row r="53" spans="1:67" x14ac:dyDescent="0.3">
      <c r="A53" s="5" t="s">
        <v>132</v>
      </c>
      <c r="B53" s="5" t="s">
        <v>80</v>
      </c>
      <c r="C53" s="5">
        <v>196917</v>
      </c>
      <c r="D53" s="6"/>
      <c r="E53" s="5" t="s">
        <v>12</v>
      </c>
      <c r="F53" s="5" t="s">
        <v>45</v>
      </c>
      <c r="G53" s="5" t="s">
        <v>12</v>
      </c>
      <c r="H53" s="7" t="s">
        <v>7</v>
      </c>
      <c r="I53" s="7" t="s">
        <v>81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1</v>
      </c>
      <c r="AC53" s="7">
        <v>900</v>
      </c>
      <c r="AD53" s="7">
        <v>0</v>
      </c>
      <c r="AE53" s="7">
        <v>1</v>
      </c>
      <c r="AF53" s="8">
        <v>2700</v>
      </c>
      <c r="AG53" s="7">
        <v>500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10">
        <v>4100</v>
      </c>
      <c r="BN53" s="15">
        <f t="shared" si="0"/>
        <v>4100</v>
      </c>
      <c r="BO53" s="16">
        <f t="shared" si="1"/>
        <v>2870</v>
      </c>
    </row>
    <row r="54" spans="1:67" x14ac:dyDescent="0.3">
      <c r="A54" s="5" t="s">
        <v>132</v>
      </c>
      <c r="B54" s="5" t="s">
        <v>134</v>
      </c>
      <c r="C54" s="5">
        <v>285988</v>
      </c>
      <c r="D54" s="6"/>
      <c r="E54" s="5" t="s">
        <v>12</v>
      </c>
      <c r="F54" s="5" t="s">
        <v>13</v>
      </c>
      <c r="G54" s="5" t="s">
        <v>12</v>
      </c>
      <c r="H54" s="7" t="s">
        <v>7</v>
      </c>
      <c r="I54" s="7" t="s">
        <v>71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3</v>
      </c>
      <c r="AC54" s="8">
        <v>2700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10">
        <v>2700</v>
      </c>
      <c r="BN54" s="15">
        <f t="shared" si="0"/>
        <v>2700</v>
      </c>
      <c r="BO54" s="16">
        <f t="shared" si="1"/>
        <v>1889.9999999999998</v>
      </c>
    </row>
    <row r="55" spans="1:67" ht="19.5" x14ac:dyDescent="0.3">
      <c r="A55" s="5" t="s">
        <v>132</v>
      </c>
      <c r="B55" s="5" t="s">
        <v>147</v>
      </c>
      <c r="C55" s="5">
        <v>408441</v>
      </c>
      <c r="D55" s="6"/>
      <c r="E55" s="5" t="s">
        <v>12</v>
      </c>
      <c r="F55" s="5" t="s">
        <v>136</v>
      </c>
      <c r="G55" s="5" t="s">
        <v>23</v>
      </c>
      <c r="H55" s="7" t="s">
        <v>7</v>
      </c>
      <c r="I55" s="7" t="s">
        <v>86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18</v>
      </c>
      <c r="AF55" s="8">
        <v>1700</v>
      </c>
      <c r="AG55" s="7">
        <v>100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10">
        <v>1800</v>
      </c>
      <c r="BN55" s="15">
        <f t="shared" si="0"/>
        <v>1800</v>
      </c>
      <c r="BO55" s="16">
        <f t="shared" si="1"/>
        <v>1260</v>
      </c>
    </row>
    <row r="56" spans="1:67" x14ac:dyDescent="0.3">
      <c r="A56" s="5" t="s">
        <v>132</v>
      </c>
      <c r="B56" s="5" t="s">
        <v>148</v>
      </c>
      <c r="C56" s="5">
        <v>361973</v>
      </c>
      <c r="D56" s="6"/>
      <c r="E56" s="5" t="s">
        <v>12</v>
      </c>
      <c r="F56" s="5" t="s">
        <v>13</v>
      </c>
      <c r="G56" s="5" t="s">
        <v>12</v>
      </c>
      <c r="H56" s="7" t="s">
        <v>7</v>
      </c>
      <c r="I56" s="7" t="s">
        <v>149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2</v>
      </c>
      <c r="AC56" s="8">
        <v>1800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10">
        <v>1800</v>
      </c>
      <c r="BN56" s="15">
        <f t="shared" si="0"/>
        <v>1800</v>
      </c>
      <c r="BO56" s="16">
        <f t="shared" si="1"/>
        <v>1260</v>
      </c>
    </row>
    <row r="57" spans="1:67" x14ac:dyDescent="0.3">
      <c r="A57" s="5" t="s">
        <v>132</v>
      </c>
      <c r="B57" s="5" t="s">
        <v>78</v>
      </c>
      <c r="C57" s="5">
        <v>227013</v>
      </c>
      <c r="D57" s="6"/>
      <c r="E57" s="5" t="s">
        <v>12</v>
      </c>
      <c r="F57" s="5" t="s">
        <v>14</v>
      </c>
      <c r="G57" s="5" t="s">
        <v>12</v>
      </c>
      <c r="H57" s="7" t="s">
        <v>7</v>
      </c>
      <c r="I57" s="7" t="s">
        <v>79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15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2</v>
      </c>
      <c r="AF57" s="7">
        <v>200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15</v>
      </c>
      <c r="AR57" s="8">
        <v>1500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10">
        <v>1700</v>
      </c>
      <c r="BN57" s="15">
        <f t="shared" si="0"/>
        <v>1700</v>
      </c>
      <c r="BO57" s="16">
        <f t="shared" si="1"/>
        <v>1190</v>
      </c>
    </row>
    <row r="58" spans="1:67" x14ac:dyDescent="0.3">
      <c r="A58" s="5" t="s">
        <v>132</v>
      </c>
      <c r="B58" s="5" t="s">
        <v>142</v>
      </c>
      <c r="C58" s="5">
        <v>300910</v>
      </c>
      <c r="D58" s="6"/>
      <c r="E58" s="5" t="s">
        <v>12</v>
      </c>
      <c r="F58" s="5" t="s">
        <v>58</v>
      </c>
      <c r="G58" s="5" t="s">
        <v>12</v>
      </c>
      <c r="H58" s="7" t="s">
        <v>7</v>
      </c>
      <c r="I58" s="7" t="s">
        <v>143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12</v>
      </c>
      <c r="AF58" s="7">
        <v>0</v>
      </c>
      <c r="AG58" s="8">
        <v>1200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10">
        <v>1200</v>
      </c>
      <c r="BN58" s="15">
        <f t="shared" si="0"/>
        <v>1200</v>
      </c>
      <c r="BO58" s="16">
        <f t="shared" si="1"/>
        <v>840</v>
      </c>
    </row>
    <row r="59" spans="1:67" x14ac:dyDescent="0.3">
      <c r="A59" s="5" t="s">
        <v>132</v>
      </c>
      <c r="B59" s="5" t="s">
        <v>125</v>
      </c>
      <c r="C59" s="5">
        <v>332843</v>
      </c>
      <c r="D59" s="6"/>
      <c r="E59" s="5" t="s">
        <v>12</v>
      </c>
      <c r="F59" s="5" t="s">
        <v>13</v>
      </c>
      <c r="G59" s="5" t="s">
        <v>12</v>
      </c>
      <c r="H59" s="7" t="s">
        <v>7</v>
      </c>
      <c r="I59" s="7" t="s">
        <v>126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2</v>
      </c>
      <c r="AF59" s="7">
        <v>200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11">
        <v>200</v>
      </c>
      <c r="BN59" s="15">
        <f t="shared" si="0"/>
        <v>200</v>
      </c>
      <c r="BO59" s="16">
        <f t="shared" si="1"/>
        <v>140</v>
      </c>
    </row>
    <row r="60" spans="1:67" x14ac:dyDescent="0.3">
      <c r="A60" s="5" t="s">
        <v>137</v>
      </c>
      <c r="B60" s="5" t="s">
        <v>15</v>
      </c>
      <c r="C60" s="5">
        <v>355332</v>
      </c>
      <c r="D60" s="6"/>
      <c r="E60" s="5" t="s">
        <v>12</v>
      </c>
      <c r="F60" s="5" t="s">
        <v>14</v>
      </c>
      <c r="G60" s="5" t="s">
        <v>12</v>
      </c>
      <c r="H60" s="7" t="s">
        <v>8</v>
      </c>
      <c r="I60" s="7" t="s">
        <v>109</v>
      </c>
      <c r="J60" s="7">
        <v>4</v>
      </c>
      <c r="K60" s="7">
        <v>9</v>
      </c>
      <c r="L60" s="7">
        <v>400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13</v>
      </c>
      <c r="T60" s="7">
        <v>626</v>
      </c>
      <c r="U60" s="7">
        <v>0</v>
      </c>
      <c r="V60" s="8">
        <v>1300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8">
        <v>7045</v>
      </c>
      <c r="AF60" s="8">
        <v>645800</v>
      </c>
      <c r="AG60" s="8">
        <v>58700</v>
      </c>
      <c r="AH60" s="7">
        <v>0</v>
      </c>
      <c r="AI60" s="7">
        <v>0</v>
      </c>
      <c r="AJ60" s="7">
        <v>0</v>
      </c>
      <c r="AK60" s="7">
        <v>42</v>
      </c>
      <c r="AL60" s="7">
        <v>480</v>
      </c>
      <c r="AM60" s="8">
        <v>3800</v>
      </c>
      <c r="AN60" s="7">
        <v>0</v>
      </c>
      <c r="AO60" s="7">
        <v>0</v>
      </c>
      <c r="AP60" s="7">
        <v>0</v>
      </c>
      <c r="AQ60" s="8">
        <v>2615</v>
      </c>
      <c r="AR60" s="8">
        <v>258600</v>
      </c>
      <c r="AS60" s="8">
        <v>2900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144</v>
      </c>
      <c r="BM60" s="10">
        <v>971980</v>
      </c>
      <c r="BN60" s="15">
        <f t="shared" si="0"/>
        <v>971836</v>
      </c>
      <c r="BO60" s="16">
        <f t="shared" si="1"/>
        <v>680285.2</v>
      </c>
    </row>
    <row r="61" spans="1:67" x14ac:dyDescent="0.3">
      <c r="A61" s="5" t="s">
        <v>137</v>
      </c>
      <c r="B61" s="5" t="s">
        <v>35</v>
      </c>
      <c r="C61" s="5">
        <v>159258</v>
      </c>
      <c r="D61" s="6"/>
      <c r="E61" s="5" t="s">
        <v>12</v>
      </c>
      <c r="F61" s="5" t="s">
        <v>17</v>
      </c>
      <c r="G61" s="5" t="s">
        <v>12</v>
      </c>
      <c r="H61" s="7" t="s">
        <v>7</v>
      </c>
      <c r="I61" s="7" t="s">
        <v>34</v>
      </c>
      <c r="J61" s="7">
        <v>1</v>
      </c>
      <c r="K61" s="7">
        <v>0</v>
      </c>
      <c r="L61" s="7">
        <v>0</v>
      </c>
      <c r="M61" s="7">
        <v>900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2</v>
      </c>
      <c r="AC61" s="8">
        <v>1800</v>
      </c>
      <c r="AD61" s="7">
        <v>0</v>
      </c>
      <c r="AE61" s="7">
        <v>4</v>
      </c>
      <c r="AF61" s="8">
        <v>12800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11</v>
      </c>
      <c r="AR61" s="8">
        <v>33400</v>
      </c>
      <c r="AS61" s="8">
        <v>1800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10">
        <v>50700</v>
      </c>
      <c r="BN61" s="15">
        <f t="shared" si="0"/>
        <v>50700</v>
      </c>
      <c r="BO61" s="16">
        <f t="shared" si="1"/>
        <v>35490</v>
      </c>
    </row>
    <row r="62" spans="1:67" x14ac:dyDescent="0.3">
      <c r="A62" s="5" t="s">
        <v>137</v>
      </c>
      <c r="B62" s="5" t="s">
        <v>21</v>
      </c>
      <c r="C62" s="5">
        <v>159270</v>
      </c>
      <c r="D62" s="6"/>
      <c r="E62" s="5" t="s">
        <v>12</v>
      </c>
      <c r="F62" s="5" t="s">
        <v>17</v>
      </c>
      <c r="G62" s="5" t="s">
        <v>12</v>
      </c>
      <c r="H62" s="7" t="s">
        <v>11</v>
      </c>
      <c r="I62" s="7" t="s">
        <v>20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9</v>
      </c>
      <c r="AC62" s="8">
        <v>8100</v>
      </c>
      <c r="AD62" s="7">
        <v>0</v>
      </c>
      <c r="AE62" s="7">
        <v>11</v>
      </c>
      <c r="AF62" s="8">
        <v>35200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10">
        <v>43300</v>
      </c>
      <c r="BN62" s="15">
        <f t="shared" si="0"/>
        <v>43300</v>
      </c>
      <c r="BO62" s="16">
        <f t="shared" si="1"/>
        <v>30309.999999999996</v>
      </c>
    </row>
    <row r="63" spans="1:67" x14ac:dyDescent="0.3">
      <c r="A63" s="5" t="s">
        <v>137</v>
      </c>
      <c r="B63" s="5" t="s">
        <v>33</v>
      </c>
      <c r="C63" s="5">
        <v>159268</v>
      </c>
      <c r="D63" s="6"/>
      <c r="E63" s="5" t="s">
        <v>12</v>
      </c>
      <c r="F63" s="5" t="s">
        <v>17</v>
      </c>
      <c r="G63" s="5" t="s">
        <v>12</v>
      </c>
      <c r="H63" s="7" t="s">
        <v>7</v>
      </c>
      <c r="I63" s="7" t="s">
        <v>34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4</v>
      </c>
      <c r="AC63" s="8">
        <v>3600</v>
      </c>
      <c r="AD63" s="7">
        <v>0</v>
      </c>
      <c r="AE63" s="7">
        <v>10</v>
      </c>
      <c r="AF63" s="8">
        <v>32000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3</v>
      </c>
      <c r="AO63" s="8">
        <v>2700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10">
        <v>38300</v>
      </c>
      <c r="BN63" s="15">
        <f t="shared" si="0"/>
        <v>38300</v>
      </c>
      <c r="BO63" s="16">
        <f t="shared" si="1"/>
        <v>26810</v>
      </c>
    </row>
    <row r="64" spans="1:67" x14ac:dyDescent="0.3">
      <c r="A64" s="5" t="s">
        <v>137</v>
      </c>
      <c r="B64" s="5" t="s">
        <v>39</v>
      </c>
      <c r="C64" s="5">
        <v>159255</v>
      </c>
      <c r="D64" s="6"/>
      <c r="E64" s="5" t="s">
        <v>12</v>
      </c>
      <c r="F64" s="5" t="s">
        <v>17</v>
      </c>
      <c r="G64" s="5" t="s">
        <v>12</v>
      </c>
      <c r="H64" s="7" t="s">
        <v>8</v>
      </c>
      <c r="I64" s="7" t="s">
        <v>40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5</v>
      </c>
      <c r="AC64" s="8">
        <v>4500</v>
      </c>
      <c r="AD64" s="7">
        <v>0</v>
      </c>
      <c r="AE64" s="7">
        <v>6</v>
      </c>
      <c r="AF64" s="8">
        <v>16100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5</v>
      </c>
      <c r="AR64" s="8">
        <v>15900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10">
        <v>36500</v>
      </c>
      <c r="BN64" s="15">
        <f t="shared" si="0"/>
        <v>36500</v>
      </c>
      <c r="BO64" s="16">
        <f t="shared" ref="BO64:BO125" si="2">BN64*70%</f>
        <v>25550</v>
      </c>
    </row>
    <row r="65" spans="1:67" x14ac:dyDescent="0.3">
      <c r="A65" s="5" t="s">
        <v>137</v>
      </c>
      <c r="B65" s="5" t="s">
        <v>42</v>
      </c>
      <c r="C65" s="5">
        <v>173863</v>
      </c>
      <c r="D65" s="6"/>
      <c r="E65" s="5" t="s">
        <v>12</v>
      </c>
      <c r="F65" s="5" t="s">
        <v>17</v>
      </c>
      <c r="G65" s="5" t="s">
        <v>12</v>
      </c>
      <c r="H65" s="7" t="s">
        <v>7</v>
      </c>
      <c r="I65" s="7" t="s">
        <v>43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39</v>
      </c>
      <c r="AC65" s="8">
        <v>28700</v>
      </c>
      <c r="AD65" s="8">
        <v>6400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10">
        <v>35100</v>
      </c>
      <c r="BN65" s="15">
        <f t="shared" si="0"/>
        <v>35100</v>
      </c>
      <c r="BO65" s="16">
        <f t="shared" si="2"/>
        <v>24570</v>
      </c>
    </row>
    <row r="66" spans="1:67" ht="19.5" x14ac:dyDescent="0.3">
      <c r="A66" s="5" t="s">
        <v>137</v>
      </c>
      <c r="B66" s="5" t="s">
        <v>66</v>
      </c>
      <c r="C66" s="5">
        <v>408054</v>
      </c>
      <c r="D66" s="6"/>
      <c r="E66" s="5" t="s">
        <v>12</v>
      </c>
      <c r="F66" s="5" t="s">
        <v>17</v>
      </c>
      <c r="G66" s="5" t="s">
        <v>23</v>
      </c>
      <c r="H66" s="7" t="s">
        <v>11</v>
      </c>
      <c r="I66" s="7" t="s">
        <v>67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178</v>
      </c>
      <c r="AF66" s="8">
        <v>17800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10">
        <v>17800</v>
      </c>
      <c r="BN66" s="15">
        <f t="shared" si="0"/>
        <v>17800</v>
      </c>
      <c r="BO66" s="16">
        <f t="shared" si="2"/>
        <v>12460</v>
      </c>
    </row>
    <row r="67" spans="1:67" x14ac:dyDescent="0.3">
      <c r="A67" s="5" t="s">
        <v>137</v>
      </c>
      <c r="B67" s="5" t="s">
        <v>19</v>
      </c>
      <c r="C67" s="5">
        <v>161539</v>
      </c>
      <c r="D67" s="6"/>
      <c r="E67" s="5" t="s">
        <v>12</v>
      </c>
      <c r="F67" s="5" t="s">
        <v>17</v>
      </c>
      <c r="G67" s="5" t="s">
        <v>12</v>
      </c>
      <c r="H67" s="7" t="s">
        <v>7</v>
      </c>
      <c r="I67" s="7" t="s">
        <v>20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16</v>
      </c>
      <c r="AC67" s="8">
        <v>14400</v>
      </c>
      <c r="AD67" s="7">
        <v>0</v>
      </c>
      <c r="AE67" s="7">
        <v>1</v>
      </c>
      <c r="AF67" s="8">
        <v>3200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10">
        <v>17600</v>
      </c>
      <c r="BN67" s="15">
        <f t="shared" ref="BN67:BN125" si="3">BM67-BL67</f>
        <v>17600</v>
      </c>
      <c r="BO67" s="16">
        <f t="shared" si="2"/>
        <v>12320</v>
      </c>
    </row>
    <row r="68" spans="1:67" ht="19.5" x14ac:dyDescent="0.3">
      <c r="A68" s="5" t="s">
        <v>137</v>
      </c>
      <c r="B68" s="5" t="s">
        <v>119</v>
      </c>
      <c r="C68" s="5">
        <v>408617</v>
      </c>
      <c r="D68" s="6"/>
      <c r="E68" s="5" t="s">
        <v>12</v>
      </c>
      <c r="F68" s="5" t="s">
        <v>13</v>
      </c>
      <c r="G68" s="5" t="s">
        <v>23</v>
      </c>
      <c r="H68" s="7" t="s">
        <v>11</v>
      </c>
      <c r="I68" s="7" t="s">
        <v>67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3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164</v>
      </c>
      <c r="AF68" s="8">
        <v>16300</v>
      </c>
      <c r="AG68" s="7">
        <v>100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4</v>
      </c>
      <c r="AR68" s="7">
        <v>400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10">
        <v>16800</v>
      </c>
      <c r="BN68" s="15">
        <f t="shared" si="3"/>
        <v>16800</v>
      </c>
      <c r="BO68" s="16">
        <f t="shared" si="2"/>
        <v>11760</v>
      </c>
    </row>
    <row r="69" spans="1:67" x14ac:dyDescent="0.3">
      <c r="A69" s="5" t="s">
        <v>137</v>
      </c>
      <c r="B69" s="5" t="s">
        <v>68</v>
      </c>
      <c r="C69" s="5">
        <v>192729</v>
      </c>
      <c r="D69" s="6"/>
      <c r="E69" s="5" t="s">
        <v>12</v>
      </c>
      <c r="F69" s="5" t="s">
        <v>45</v>
      </c>
      <c r="G69" s="5" t="s">
        <v>12</v>
      </c>
      <c r="H69" s="7" t="s">
        <v>7</v>
      </c>
      <c r="I69" s="7" t="s">
        <v>69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17</v>
      </c>
      <c r="AC69" s="8">
        <v>15300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10">
        <v>15300</v>
      </c>
      <c r="BN69" s="15">
        <f t="shared" si="3"/>
        <v>15300</v>
      </c>
      <c r="BO69" s="16">
        <f t="shared" si="2"/>
        <v>10710</v>
      </c>
    </row>
    <row r="70" spans="1:67" x14ac:dyDescent="0.3">
      <c r="A70" s="5" t="s">
        <v>137</v>
      </c>
      <c r="B70" s="5" t="s">
        <v>65</v>
      </c>
      <c r="C70" s="5">
        <v>418830</v>
      </c>
      <c r="D70" s="6"/>
      <c r="E70" s="5" t="s">
        <v>12</v>
      </c>
      <c r="F70" s="5" t="s">
        <v>17</v>
      </c>
      <c r="G70" s="5" t="s">
        <v>12</v>
      </c>
      <c r="H70" s="7" t="s">
        <v>7</v>
      </c>
      <c r="I70" s="7" t="s">
        <v>30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4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149</v>
      </c>
      <c r="AF70" s="7">
        <v>0</v>
      </c>
      <c r="AG70" s="8">
        <v>14900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10">
        <v>14900</v>
      </c>
      <c r="BN70" s="15">
        <f t="shared" si="3"/>
        <v>14900</v>
      </c>
      <c r="BO70" s="16">
        <f t="shared" si="2"/>
        <v>10430</v>
      </c>
    </row>
    <row r="71" spans="1:67" x14ac:dyDescent="0.3">
      <c r="A71" s="5" t="s">
        <v>137</v>
      </c>
      <c r="B71" s="5" t="s">
        <v>29</v>
      </c>
      <c r="C71" s="5">
        <v>418829</v>
      </c>
      <c r="D71" s="6"/>
      <c r="E71" s="5" t="s">
        <v>12</v>
      </c>
      <c r="F71" s="5" t="s">
        <v>17</v>
      </c>
      <c r="G71" s="5" t="s">
        <v>12</v>
      </c>
      <c r="H71" s="7" t="s">
        <v>7</v>
      </c>
      <c r="I71" s="7" t="s">
        <v>30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10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128</v>
      </c>
      <c r="AF71" s="8">
        <v>12800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10">
        <v>12800</v>
      </c>
      <c r="BN71" s="15">
        <f t="shared" si="3"/>
        <v>12800</v>
      </c>
      <c r="BO71" s="16">
        <f t="shared" si="2"/>
        <v>8960</v>
      </c>
    </row>
    <row r="72" spans="1:67" x14ac:dyDescent="0.3">
      <c r="A72" s="5" t="s">
        <v>137</v>
      </c>
      <c r="B72" s="5" t="s">
        <v>44</v>
      </c>
      <c r="C72" s="5">
        <v>192737</v>
      </c>
      <c r="D72" s="6"/>
      <c r="E72" s="5" t="s">
        <v>12</v>
      </c>
      <c r="F72" s="5" t="s">
        <v>45</v>
      </c>
      <c r="G72" s="5" t="s">
        <v>12</v>
      </c>
      <c r="H72" s="7" t="s">
        <v>7</v>
      </c>
      <c r="I72" s="7" t="s">
        <v>46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14</v>
      </c>
      <c r="AC72" s="8">
        <v>12000</v>
      </c>
      <c r="AD72" s="7">
        <v>600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10">
        <v>12600</v>
      </c>
      <c r="BN72" s="15">
        <f t="shared" si="3"/>
        <v>12600</v>
      </c>
      <c r="BO72" s="16">
        <f t="shared" si="2"/>
        <v>8820</v>
      </c>
    </row>
    <row r="73" spans="1:67" ht="19.5" x14ac:dyDescent="0.3">
      <c r="A73" s="5" t="s">
        <v>137</v>
      </c>
      <c r="B73" s="5" t="s">
        <v>74</v>
      </c>
      <c r="C73" s="5">
        <v>413545</v>
      </c>
      <c r="D73" s="6"/>
      <c r="E73" s="5" t="s">
        <v>12</v>
      </c>
      <c r="F73" s="5" t="s">
        <v>17</v>
      </c>
      <c r="G73" s="5" t="s">
        <v>23</v>
      </c>
      <c r="H73" s="7" t="s">
        <v>8</v>
      </c>
      <c r="I73" s="7" t="s">
        <v>75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125</v>
      </c>
      <c r="AF73" s="8">
        <v>12500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10">
        <v>12500</v>
      </c>
      <c r="BN73" s="15">
        <f t="shared" si="3"/>
        <v>12500</v>
      </c>
      <c r="BO73" s="16">
        <f t="shared" si="2"/>
        <v>8750</v>
      </c>
    </row>
    <row r="74" spans="1:67" x14ac:dyDescent="0.3">
      <c r="A74" s="5" t="s">
        <v>137</v>
      </c>
      <c r="B74" s="5" t="s">
        <v>27</v>
      </c>
      <c r="C74" s="5">
        <v>161447</v>
      </c>
      <c r="D74" s="6"/>
      <c r="E74" s="5" t="s">
        <v>12</v>
      </c>
      <c r="F74" s="5" t="s">
        <v>14</v>
      </c>
      <c r="G74" s="5" t="s">
        <v>12</v>
      </c>
      <c r="H74" s="7" t="s">
        <v>7</v>
      </c>
      <c r="I74" s="7" t="s">
        <v>28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11</v>
      </c>
      <c r="AC74" s="8">
        <v>9900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10">
        <v>9900</v>
      </c>
      <c r="BN74" s="15">
        <f t="shared" si="3"/>
        <v>9900</v>
      </c>
      <c r="BO74" s="16">
        <f t="shared" si="2"/>
        <v>6930</v>
      </c>
    </row>
    <row r="75" spans="1:67" x14ac:dyDescent="0.3">
      <c r="A75" s="5" t="s">
        <v>137</v>
      </c>
      <c r="B75" s="5" t="s">
        <v>41</v>
      </c>
      <c r="C75" s="5">
        <v>159266</v>
      </c>
      <c r="D75" s="6"/>
      <c r="E75" s="5" t="s">
        <v>12</v>
      </c>
      <c r="F75" s="5" t="s">
        <v>17</v>
      </c>
      <c r="G75" s="5" t="s">
        <v>12</v>
      </c>
      <c r="H75" s="7" t="s">
        <v>7</v>
      </c>
      <c r="I75" s="7" t="s">
        <v>34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9</v>
      </c>
      <c r="AC75" s="8">
        <v>8100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10">
        <v>8100</v>
      </c>
      <c r="BN75" s="15">
        <f t="shared" si="3"/>
        <v>8100</v>
      </c>
      <c r="BO75" s="16">
        <f t="shared" si="2"/>
        <v>5670</v>
      </c>
    </row>
    <row r="76" spans="1:67" ht="19.5" x14ac:dyDescent="0.3">
      <c r="A76" s="5" t="s">
        <v>137</v>
      </c>
      <c r="B76" s="5" t="s">
        <v>114</v>
      </c>
      <c r="C76" s="5">
        <v>409391</v>
      </c>
      <c r="D76" s="6"/>
      <c r="E76" s="5" t="s">
        <v>12</v>
      </c>
      <c r="F76" s="5" t="s">
        <v>45</v>
      </c>
      <c r="G76" s="5" t="s">
        <v>23</v>
      </c>
      <c r="H76" s="7" t="s">
        <v>7</v>
      </c>
      <c r="I76" s="7" t="s">
        <v>24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69</v>
      </c>
      <c r="AF76" s="8">
        <v>6900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10">
        <v>6900</v>
      </c>
      <c r="BN76" s="15">
        <f t="shared" si="3"/>
        <v>6900</v>
      </c>
      <c r="BO76" s="16">
        <f t="shared" si="2"/>
        <v>4830</v>
      </c>
    </row>
    <row r="77" spans="1:67" x14ac:dyDescent="0.3">
      <c r="A77" s="5" t="s">
        <v>137</v>
      </c>
      <c r="B77" s="5" t="s">
        <v>60</v>
      </c>
      <c r="C77" s="5">
        <v>99966</v>
      </c>
      <c r="D77" s="6"/>
      <c r="E77" s="5" t="s">
        <v>12</v>
      </c>
      <c r="F77" s="5" t="s">
        <v>17</v>
      </c>
      <c r="G77" s="5" t="s">
        <v>12</v>
      </c>
      <c r="H77" s="7" t="s">
        <v>11</v>
      </c>
      <c r="I77" s="7" t="s">
        <v>61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58</v>
      </c>
      <c r="AR77" s="8">
        <v>5600</v>
      </c>
      <c r="AS77" s="7">
        <v>200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10">
        <v>5800</v>
      </c>
      <c r="BN77" s="15">
        <f t="shared" si="3"/>
        <v>5800</v>
      </c>
      <c r="BO77" s="16">
        <f t="shared" si="2"/>
        <v>4059.9999999999995</v>
      </c>
    </row>
    <row r="78" spans="1:67" x14ac:dyDescent="0.3">
      <c r="A78" s="5" t="s">
        <v>137</v>
      </c>
      <c r="B78" s="5" t="s">
        <v>63</v>
      </c>
      <c r="C78" s="5">
        <v>229857</v>
      </c>
      <c r="D78" s="6"/>
      <c r="E78" s="5" t="s">
        <v>12</v>
      </c>
      <c r="F78" s="5" t="s">
        <v>13</v>
      </c>
      <c r="G78" s="5" t="s">
        <v>12</v>
      </c>
      <c r="H78" s="7" t="s">
        <v>11</v>
      </c>
      <c r="I78" s="7" t="s">
        <v>64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6</v>
      </c>
      <c r="AC78" s="8">
        <v>5400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10">
        <v>5400</v>
      </c>
      <c r="BN78" s="15">
        <f t="shared" si="3"/>
        <v>5400</v>
      </c>
      <c r="BO78" s="16">
        <f t="shared" si="2"/>
        <v>3779.9999999999995</v>
      </c>
    </row>
    <row r="79" spans="1:67" ht="19.5" x14ac:dyDescent="0.3">
      <c r="A79" s="5" t="s">
        <v>137</v>
      </c>
      <c r="B79" s="5" t="s">
        <v>120</v>
      </c>
      <c r="C79" s="5">
        <v>408050</v>
      </c>
      <c r="D79" s="6"/>
      <c r="E79" s="5" t="s">
        <v>12</v>
      </c>
      <c r="F79" s="5" t="s">
        <v>14</v>
      </c>
      <c r="G79" s="5" t="s">
        <v>23</v>
      </c>
      <c r="H79" s="7" t="s">
        <v>7</v>
      </c>
      <c r="I79" s="7" t="s">
        <v>121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48</v>
      </c>
      <c r="AF79" s="8">
        <v>4800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10">
        <v>4800</v>
      </c>
      <c r="BN79" s="15">
        <f t="shared" si="3"/>
        <v>4800</v>
      </c>
      <c r="BO79" s="16">
        <f t="shared" si="2"/>
        <v>3360</v>
      </c>
    </row>
    <row r="80" spans="1:67" x14ac:dyDescent="0.3">
      <c r="A80" s="5" t="s">
        <v>137</v>
      </c>
      <c r="B80" s="5" t="s">
        <v>62</v>
      </c>
      <c r="C80" s="5">
        <v>192732</v>
      </c>
      <c r="D80" s="6"/>
      <c r="E80" s="5" t="s">
        <v>12</v>
      </c>
      <c r="F80" s="5" t="s">
        <v>45</v>
      </c>
      <c r="G80" s="5" t="s">
        <v>12</v>
      </c>
      <c r="H80" s="7" t="s">
        <v>7</v>
      </c>
      <c r="I80" s="7" t="s">
        <v>46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1</v>
      </c>
      <c r="AC80" s="7">
        <v>900</v>
      </c>
      <c r="AD80" s="7">
        <v>0</v>
      </c>
      <c r="AE80" s="7">
        <v>1</v>
      </c>
      <c r="AF80" s="7">
        <v>0</v>
      </c>
      <c r="AG80" s="8">
        <v>3200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10">
        <v>4100</v>
      </c>
      <c r="BN80" s="15">
        <f t="shared" si="3"/>
        <v>4100</v>
      </c>
      <c r="BO80" s="16">
        <f t="shared" si="2"/>
        <v>2870</v>
      </c>
    </row>
    <row r="81" spans="1:67" x14ac:dyDescent="0.3">
      <c r="A81" s="5" t="s">
        <v>137</v>
      </c>
      <c r="B81" s="5" t="s">
        <v>16</v>
      </c>
      <c r="C81" s="5">
        <v>159260</v>
      </c>
      <c r="D81" s="6"/>
      <c r="E81" s="5" t="s">
        <v>12</v>
      </c>
      <c r="F81" s="5" t="s">
        <v>17</v>
      </c>
      <c r="G81" s="5" t="s">
        <v>12</v>
      </c>
      <c r="H81" s="7" t="s">
        <v>7</v>
      </c>
      <c r="I81" s="7" t="s">
        <v>18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4</v>
      </c>
      <c r="AC81" s="8">
        <v>3600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10">
        <v>3600</v>
      </c>
      <c r="BN81" s="15">
        <f t="shared" si="3"/>
        <v>3600</v>
      </c>
      <c r="BO81" s="16">
        <f t="shared" si="2"/>
        <v>2520</v>
      </c>
    </row>
    <row r="82" spans="1:67" x14ac:dyDescent="0.3">
      <c r="A82" s="5" t="s">
        <v>137</v>
      </c>
      <c r="B82" s="5" t="s">
        <v>70</v>
      </c>
      <c r="C82" s="5">
        <v>285993</v>
      </c>
      <c r="D82" s="6"/>
      <c r="E82" s="5" t="s">
        <v>12</v>
      </c>
      <c r="F82" s="5" t="s">
        <v>13</v>
      </c>
      <c r="G82" s="5" t="s">
        <v>12</v>
      </c>
      <c r="H82" s="7" t="s">
        <v>7</v>
      </c>
      <c r="I82" s="7" t="s">
        <v>71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2</v>
      </c>
      <c r="AC82" s="8">
        <v>1800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10">
        <v>1800</v>
      </c>
      <c r="BN82" s="15">
        <f t="shared" si="3"/>
        <v>1800</v>
      </c>
      <c r="BO82" s="16">
        <f t="shared" si="2"/>
        <v>1260</v>
      </c>
    </row>
    <row r="83" spans="1:67" x14ac:dyDescent="0.3">
      <c r="A83" s="5" t="s">
        <v>137</v>
      </c>
      <c r="B83" s="5" t="s">
        <v>87</v>
      </c>
      <c r="C83" s="5">
        <v>305089</v>
      </c>
      <c r="D83" s="6"/>
      <c r="E83" s="5" t="s">
        <v>12</v>
      </c>
      <c r="F83" s="5" t="s">
        <v>83</v>
      </c>
      <c r="G83" s="5" t="s">
        <v>12</v>
      </c>
      <c r="H83" s="7" t="s">
        <v>7</v>
      </c>
      <c r="I83" s="7" t="s">
        <v>10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2</v>
      </c>
      <c r="AC83" s="8">
        <v>1800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10">
        <v>1800</v>
      </c>
      <c r="BN83" s="15">
        <f t="shared" si="3"/>
        <v>1800</v>
      </c>
      <c r="BO83" s="16">
        <f t="shared" si="2"/>
        <v>1260</v>
      </c>
    </row>
    <row r="84" spans="1:67" ht="19.5" x14ac:dyDescent="0.3">
      <c r="A84" s="5" t="s">
        <v>137</v>
      </c>
      <c r="B84" s="5" t="s">
        <v>105</v>
      </c>
      <c r="C84" s="5">
        <v>408450</v>
      </c>
      <c r="D84" s="6"/>
      <c r="E84" s="5" t="s">
        <v>12</v>
      </c>
      <c r="F84" s="5" t="s">
        <v>13</v>
      </c>
      <c r="G84" s="5" t="s">
        <v>23</v>
      </c>
      <c r="H84" s="7" t="s">
        <v>7</v>
      </c>
      <c r="I84" s="7" t="s">
        <v>86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11</v>
      </c>
      <c r="AF84" s="8">
        <v>1100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10">
        <v>1100</v>
      </c>
      <c r="BN84" s="15">
        <f t="shared" si="3"/>
        <v>1100</v>
      </c>
      <c r="BO84" s="16">
        <f t="shared" si="2"/>
        <v>770</v>
      </c>
    </row>
    <row r="85" spans="1:67" ht="19.5" x14ac:dyDescent="0.3">
      <c r="A85" s="5" t="s">
        <v>137</v>
      </c>
      <c r="B85" s="5" t="s">
        <v>106</v>
      </c>
      <c r="C85" s="5">
        <v>408317</v>
      </c>
      <c r="D85" s="6"/>
      <c r="E85" s="5" t="s">
        <v>12</v>
      </c>
      <c r="F85" s="5" t="s">
        <v>45</v>
      </c>
      <c r="G85" s="5" t="s">
        <v>23</v>
      </c>
      <c r="H85" s="7" t="s">
        <v>8</v>
      </c>
      <c r="I85" s="7" t="s">
        <v>67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8</v>
      </c>
      <c r="AF85" s="7">
        <v>800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11">
        <v>800</v>
      </c>
      <c r="BN85" s="15">
        <f t="shared" si="3"/>
        <v>800</v>
      </c>
      <c r="BO85" s="16">
        <f t="shared" si="2"/>
        <v>560</v>
      </c>
    </row>
    <row r="86" spans="1:67" x14ac:dyDescent="0.3">
      <c r="A86" s="5" t="s">
        <v>137</v>
      </c>
      <c r="B86" s="5" t="s">
        <v>107</v>
      </c>
      <c r="C86" s="5">
        <v>249762</v>
      </c>
      <c r="D86" s="6"/>
      <c r="E86" s="5" t="s">
        <v>12</v>
      </c>
      <c r="F86" s="5" t="s">
        <v>13</v>
      </c>
      <c r="G86" s="5" t="s">
        <v>12</v>
      </c>
      <c r="H86" s="7" t="s">
        <v>7</v>
      </c>
      <c r="I86" s="7" t="s">
        <v>108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1</v>
      </c>
      <c r="AR86" s="7">
        <v>100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11">
        <v>100</v>
      </c>
      <c r="BN86" s="15">
        <f t="shared" si="3"/>
        <v>100</v>
      </c>
      <c r="BO86" s="16">
        <f t="shared" si="2"/>
        <v>70</v>
      </c>
    </row>
    <row r="87" spans="1:67" x14ac:dyDescent="0.3">
      <c r="A87" s="5" t="s">
        <v>137</v>
      </c>
      <c r="B87" s="5" t="s">
        <v>36</v>
      </c>
      <c r="C87" s="5">
        <v>326544</v>
      </c>
      <c r="D87" s="6"/>
      <c r="E87" s="5" t="s">
        <v>12</v>
      </c>
      <c r="F87" s="5" t="s">
        <v>37</v>
      </c>
      <c r="G87" s="5" t="s">
        <v>12</v>
      </c>
      <c r="H87" s="7" t="s">
        <v>7</v>
      </c>
      <c r="I87" s="7" t="s">
        <v>38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1</v>
      </c>
      <c r="AF87" s="7">
        <v>100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11">
        <v>100</v>
      </c>
      <c r="BN87" s="15">
        <f t="shared" si="3"/>
        <v>100</v>
      </c>
      <c r="BO87" s="16">
        <f t="shared" si="2"/>
        <v>70</v>
      </c>
    </row>
    <row r="88" spans="1:67" x14ac:dyDescent="0.3">
      <c r="A88" s="5" t="s">
        <v>137</v>
      </c>
      <c r="B88" s="5" t="s">
        <v>57</v>
      </c>
      <c r="C88" s="5">
        <v>215737</v>
      </c>
      <c r="D88" s="6"/>
      <c r="E88" s="5" t="s">
        <v>12</v>
      </c>
      <c r="F88" s="5" t="s">
        <v>58</v>
      </c>
      <c r="G88" s="5" t="s">
        <v>12</v>
      </c>
      <c r="H88" s="7" t="s">
        <v>7</v>
      </c>
      <c r="I88" s="7" t="s">
        <v>59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10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11">
        <v>0</v>
      </c>
      <c r="BN88" s="15">
        <f t="shared" si="3"/>
        <v>0</v>
      </c>
      <c r="BO88" s="16">
        <f t="shared" si="2"/>
        <v>0</v>
      </c>
    </row>
    <row r="89" spans="1:67" x14ac:dyDescent="0.3">
      <c r="A89" s="5" t="s">
        <v>137</v>
      </c>
      <c r="B89" s="5" t="s">
        <v>127</v>
      </c>
      <c r="C89" s="5">
        <v>395747</v>
      </c>
      <c r="D89" s="6"/>
      <c r="E89" s="5" t="s">
        <v>12</v>
      </c>
      <c r="F89" s="5" t="s">
        <v>13</v>
      </c>
      <c r="G89" s="5" t="s">
        <v>12</v>
      </c>
      <c r="H89" s="7" t="s">
        <v>7</v>
      </c>
      <c r="I89" s="7" t="s">
        <v>128</v>
      </c>
      <c r="J89" s="7">
        <v>0</v>
      </c>
      <c r="K89" s="7">
        <v>5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11">
        <v>0</v>
      </c>
      <c r="BN89" s="15">
        <f t="shared" si="3"/>
        <v>0</v>
      </c>
      <c r="BO89" s="16">
        <f t="shared" si="2"/>
        <v>0</v>
      </c>
    </row>
    <row r="90" spans="1:67" x14ac:dyDescent="0.3">
      <c r="A90" s="5" t="s">
        <v>130</v>
      </c>
      <c r="B90" s="5" t="s">
        <v>15</v>
      </c>
      <c r="C90" s="5">
        <v>355332</v>
      </c>
      <c r="D90" s="6"/>
      <c r="E90" s="5" t="s">
        <v>12</v>
      </c>
      <c r="F90" s="5" t="s">
        <v>14</v>
      </c>
      <c r="G90" s="5" t="s">
        <v>12</v>
      </c>
      <c r="H90" s="7" t="s">
        <v>8</v>
      </c>
      <c r="I90" s="7" t="s">
        <v>109</v>
      </c>
      <c r="J90" s="7">
        <v>0</v>
      </c>
      <c r="K90" s="7">
        <v>67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2</v>
      </c>
      <c r="T90" s="8">
        <v>2504</v>
      </c>
      <c r="U90" s="7">
        <v>0</v>
      </c>
      <c r="V90" s="7">
        <v>100</v>
      </c>
      <c r="W90" s="7">
        <v>0</v>
      </c>
      <c r="X90" s="7">
        <v>120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8">
        <v>14101</v>
      </c>
      <c r="AF90" s="8">
        <v>1338100</v>
      </c>
      <c r="AG90" s="8">
        <v>72000</v>
      </c>
      <c r="AH90" s="7">
        <v>0</v>
      </c>
      <c r="AI90" s="7">
        <v>0</v>
      </c>
      <c r="AJ90" s="7">
        <v>0</v>
      </c>
      <c r="AK90" s="8">
        <v>20370</v>
      </c>
      <c r="AL90" s="8">
        <v>2146599</v>
      </c>
      <c r="AM90" s="8">
        <v>254600</v>
      </c>
      <c r="AN90" s="7">
        <v>0</v>
      </c>
      <c r="AO90" s="7">
        <v>0</v>
      </c>
      <c r="AP90" s="7">
        <v>0</v>
      </c>
      <c r="AQ90" s="8">
        <v>5143</v>
      </c>
      <c r="AR90" s="8">
        <v>501500</v>
      </c>
      <c r="AS90" s="8">
        <v>12800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9">
        <v>644015.69999999995</v>
      </c>
      <c r="BM90" s="10">
        <v>4325819</v>
      </c>
      <c r="BN90" s="15">
        <f t="shared" si="3"/>
        <v>3681803.3</v>
      </c>
      <c r="BO90" s="16">
        <f t="shared" si="2"/>
        <v>2577262.3099999996</v>
      </c>
    </row>
    <row r="91" spans="1:67" x14ac:dyDescent="0.3">
      <c r="A91" s="5" t="s">
        <v>130</v>
      </c>
      <c r="B91" s="5" t="s">
        <v>16</v>
      </c>
      <c r="C91" s="5">
        <v>159260</v>
      </c>
      <c r="D91" s="6"/>
      <c r="E91" s="5" t="s">
        <v>12</v>
      </c>
      <c r="F91" s="5" t="s">
        <v>17</v>
      </c>
      <c r="G91" s="5" t="s">
        <v>12</v>
      </c>
      <c r="H91" s="7" t="s">
        <v>7</v>
      </c>
      <c r="I91" s="7" t="s">
        <v>18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83</v>
      </c>
      <c r="AC91" s="8">
        <v>62000</v>
      </c>
      <c r="AD91" s="8">
        <v>10100</v>
      </c>
      <c r="AE91" s="7">
        <v>25</v>
      </c>
      <c r="AF91" s="8">
        <v>73600</v>
      </c>
      <c r="AG91" s="8">
        <v>4900</v>
      </c>
      <c r="AH91" s="7">
        <v>148</v>
      </c>
      <c r="AI91" s="8">
        <v>147600</v>
      </c>
      <c r="AJ91" s="8">
        <v>6500</v>
      </c>
      <c r="AK91" s="7">
        <v>14</v>
      </c>
      <c r="AL91" s="8">
        <v>32400</v>
      </c>
      <c r="AM91" s="8">
        <v>9900</v>
      </c>
      <c r="AN91" s="7">
        <v>3</v>
      </c>
      <c r="AO91" s="8">
        <v>2700</v>
      </c>
      <c r="AP91" s="7">
        <v>0</v>
      </c>
      <c r="AQ91" s="7">
        <v>32</v>
      </c>
      <c r="AR91" s="8">
        <v>91200</v>
      </c>
      <c r="AS91" s="8">
        <v>7800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9">
        <v>54000</v>
      </c>
      <c r="BM91" s="10">
        <v>448700</v>
      </c>
      <c r="BN91" s="15">
        <f t="shared" si="3"/>
        <v>394700</v>
      </c>
      <c r="BO91" s="16">
        <f t="shared" si="2"/>
        <v>276290</v>
      </c>
    </row>
    <row r="92" spans="1:67" x14ac:dyDescent="0.3">
      <c r="A92" s="5" t="s">
        <v>130</v>
      </c>
      <c r="B92" s="5" t="s">
        <v>19</v>
      </c>
      <c r="C92" s="5">
        <v>161539</v>
      </c>
      <c r="D92" s="6"/>
      <c r="E92" s="5" t="s">
        <v>12</v>
      </c>
      <c r="F92" s="5" t="s">
        <v>17</v>
      </c>
      <c r="G92" s="5" t="s">
        <v>12</v>
      </c>
      <c r="H92" s="7" t="s">
        <v>7</v>
      </c>
      <c r="I92" s="7" t="s">
        <v>20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23</v>
      </c>
      <c r="AC92" s="8">
        <v>18900</v>
      </c>
      <c r="AD92" s="7">
        <v>0</v>
      </c>
      <c r="AE92" s="7">
        <v>17</v>
      </c>
      <c r="AF92" s="8">
        <v>54100</v>
      </c>
      <c r="AG92" s="7">
        <v>0</v>
      </c>
      <c r="AH92" s="7">
        <v>47</v>
      </c>
      <c r="AI92" s="8">
        <v>47520</v>
      </c>
      <c r="AJ92" s="7">
        <v>900</v>
      </c>
      <c r="AK92" s="7">
        <v>4</v>
      </c>
      <c r="AL92" s="7">
        <v>360</v>
      </c>
      <c r="AM92" s="8">
        <v>9600</v>
      </c>
      <c r="AN92" s="7">
        <v>3</v>
      </c>
      <c r="AO92" s="8">
        <v>2700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9">
        <v>14364</v>
      </c>
      <c r="BM92" s="10">
        <v>134080</v>
      </c>
      <c r="BN92" s="15">
        <f t="shared" si="3"/>
        <v>119716</v>
      </c>
      <c r="BO92" s="16">
        <f t="shared" si="2"/>
        <v>83801.2</v>
      </c>
    </row>
    <row r="93" spans="1:67" x14ac:dyDescent="0.3">
      <c r="A93" s="5" t="s">
        <v>139</v>
      </c>
      <c r="B93" s="5" t="s">
        <v>21</v>
      </c>
      <c r="C93" s="5">
        <v>159270</v>
      </c>
      <c r="D93" s="6"/>
      <c r="E93" s="5" t="s">
        <v>12</v>
      </c>
      <c r="F93" s="5" t="s">
        <v>17</v>
      </c>
      <c r="G93" s="5" t="s">
        <v>12</v>
      </c>
      <c r="H93" s="7" t="s">
        <v>11</v>
      </c>
      <c r="I93" s="7" t="s">
        <v>20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15</v>
      </c>
      <c r="AC93" s="8">
        <v>13500</v>
      </c>
      <c r="AD93" s="7">
        <v>0</v>
      </c>
      <c r="AE93" s="7">
        <v>2</v>
      </c>
      <c r="AF93" s="7">
        <v>0</v>
      </c>
      <c r="AG93" s="8">
        <v>4900</v>
      </c>
      <c r="AH93" s="7">
        <v>26</v>
      </c>
      <c r="AI93" s="8">
        <v>27240</v>
      </c>
      <c r="AJ93" s="7">
        <v>0</v>
      </c>
      <c r="AK93" s="7">
        <v>9</v>
      </c>
      <c r="AL93" s="8">
        <v>32520</v>
      </c>
      <c r="AM93" s="7">
        <v>0</v>
      </c>
      <c r="AN93" s="7">
        <v>10</v>
      </c>
      <c r="AO93" s="8">
        <v>8600</v>
      </c>
      <c r="AP93" s="7">
        <v>200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9">
        <v>17928</v>
      </c>
      <c r="BM93" s="10">
        <v>86960</v>
      </c>
      <c r="BN93" s="15">
        <f t="shared" si="3"/>
        <v>69032</v>
      </c>
      <c r="BO93" s="16">
        <f t="shared" si="2"/>
        <v>48322.399999999994</v>
      </c>
    </row>
    <row r="94" spans="1:67" x14ac:dyDescent="0.3">
      <c r="A94" s="5" t="s">
        <v>139</v>
      </c>
      <c r="B94" s="5" t="s">
        <v>33</v>
      </c>
      <c r="C94" s="5">
        <v>159268</v>
      </c>
      <c r="D94" s="6"/>
      <c r="E94" s="5" t="s">
        <v>12</v>
      </c>
      <c r="F94" s="5" t="s">
        <v>17</v>
      </c>
      <c r="G94" s="5" t="s">
        <v>12</v>
      </c>
      <c r="H94" s="7" t="s">
        <v>7</v>
      </c>
      <c r="I94" s="7" t="s">
        <v>34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20</v>
      </c>
      <c r="AC94" s="8">
        <v>17200</v>
      </c>
      <c r="AD94" s="7">
        <v>0</v>
      </c>
      <c r="AE94" s="7">
        <v>1</v>
      </c>
      <c r="AF94" s="7">
        <v>0</v>
      </c>
      <c r="AG94" s="8">
        <v>1700</v>
      </c>
      <c r="AH94" s="7">
        <v>54</v>
      </c>
      <c r="AI94" s="8">
        <v>57840</v>
      </c>
      <c r="AJ94" s="7">
        <v>300</v>
      </c>
      <c r="AK94" s="7">
        <v>1</v>
      </c>
      <c r="AL94" s="8">
        <v>1800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9">
        <v>17892</v>
      </c>
      <c r="BM94" s="10">
        <v>78840</v>
      </c>
      <c r="BN94" s="15">
        <f t="shared" si="3"/>
        <v>60948</v>
      </c>
      <c r="BO94" s="16">
        <f t="shared" si="2"/>
        <v>42663.6</v>
      </c>
    </row>
    <row r="95" spans="1:67" x14ac:dyDescent="0.3">
      <c r="A95" s="5" t="s">
        <v>130</v>
      </c>
      <c r="B95" s="5" t="s">
        <v>35</v>
      </c>
      <c r="C95" s="5">
        <v>159258</v>
      </c>
      <c r="D95" s="6"/>
      <c r="E95" s="5" t="s">
        <v>12</v>
      </c>
      <c r="F95" s="5" t="s">
        <v>17</v>
      </c>
      <c r="G95" s="5" t="s">
        <v>12</v>
      </c>
      <c r="H95" s="7" t="s">
        <v>7</v>
      </c>
      <c r="I95" s="7" t="s">
        <v>34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11</v>
      </c>
      <c r="AF95" s="8">
        <v>35200</v>
      </c>
      <c r="AG95" s="7">
        <v>0</v>
      </c>
      <c r="AH95" s="7">
        <v>15</v>
      </c>
      <c r="AI95" s="8">
        <v>16200</v>
      </c>
      <c r="AJ95" s="7">
        <v>0</v>
      </c>
      <c r="AK95" s="7">
        <v>2</v>
      </c>
      <c r="AL95" s="7">
        <v>0</v>
      </c>
      <c r="AM95" s="8">
        <v>6400</v>
      </c>
      <c r="AN95" s="7">
        <v>9</v>
      </c>
      <c r="AO95" s="8">
        <v>7900</v>
      </c>
      <c r="AP95" s="7">
        <v>200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9">
        <v>4860</v>
      </c>
      <c r="BM95" s="10">
        <v>65900</v>
      </c>
      <c r="BN95" s="15">
        <f t="shared" si="3"/>
        <v>61040</v>
      </c>
      <c r="BO95" s="16">
        <f t="shared" si="2"/>
        <v>42728</v>
      </c>
    </row>
    <row r="96" spans="1:67" x14ac:dyDescent="0.3">
      <c r="A96" s="5" t="s">
        <v>139</v>
      </c>
      <c r="B96" s="5" t="s">
        <v>39</v>
      </c>
      <c r="C96" s="5">
        <v>159255</v>
      </c>
      <c r="D96" s="6"/>
      <c r="E96" s="5" t="s">
        <v>12</v>
      </c>
      <c r="F96" s="5" t="s">
        <v>17</v>
      </c>
      <c r="G96" s="5" t="s">
        <v>12</v>
      </c>
      <c r="H96" s="7" t="s">
        <v>8</v>
      </c>
      <c r="I96" s="7" t="s">
        <v>40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2</v>
      </c>
      <c r="AC96" s="8">
        <v>1800</v>
      </c>
      <c r="AD96" s="7">
        <v>0</v>
      </c>
      <c r="AE96" s="7">
        <v>10</v>
      </c>
      <c r="AF96" s="8">
        <v>32000</v>
      </c>
      <c r="AG96" s="7">
        <v>0</v>
      </c>
      <c r="AH96" s="7">
        <v>23</v>
      </c>
      <c r="AI96" s="8">
        <v>24840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9">
        <v>7452</v>
      </c>
      <c r="BM96" s="10">
        <v>58640</v>
      </c>
      <c r="BN96" s="15">
        <f t="shared" si="3"/>
        <v>51188</v>
      </c>
      <c r="BO96" s="16">
        <f t="shared" si="2"/>
        <v>35831.599999999999</v>
      </c>
    </row>
    <row r="97" spans="1:67" ht="19.5" x14ac:dyDescent="0.3">
      <c r="A97" s="5" t="s">
        <v>130</v>
      </c>
      <c r="B97" s="5" t="s">
        <v>22</v>
      </c>
      <c r="C97" s="5">
        <v>409392</v>
      </c>
      <c r="D97" s="6"/>
      <c r="E97" s="5" t="s">
        <v>12</v>
      </c>
      <c r="F97" s="5" t="s">
        <v>14</v>
      </c>
      <c r="G97" s="5" t="s">
        <v>23</v>
      </c>
      <c r="H97" s="7" t="s">
        <v>7</v>
      </c>
      <c r="I97" s="7" t="s">
        <v>24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33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1</v>
      </c>
      <c r="AF97" s="7">
        <v>100</v>
      </c>
      <c r="AG97" s="7">
        <v>0</v>
      </c>
      <c r="AH97" s="7">
        <v>0</v>
      </c>
      <c r="AI97" s="7">
        <v>0</v>
      </c>
      <c r="AJ97" s="7">
        <v>0</v>
      </c>
      <c r="AK97" s="7">
        <v>453</v>
      </c>
      <c r="AL97" s="8">
        <v>54360</v>
      </c>
      <c r="AM97" s="7">
        <v>0</v>
      </c>
      <c r="AN97" s="7">
        <v>0</v>
      </c>
      <c r="AO97" s="7">
        <v>0</v>
      </c>
      <c r="AP97" s="7">
        <v>0</v>
      </c>
      <c r="AQ97" s="7">
        <v>22</v>
      </c>
      <c r="AR97" s="8">
        <v>2000</v>
      </c>
      <c r="AS97" s="7">
        <v>200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9">
        <v>16308</v>
      </c>
      <c r="BM97" s="10">
        <v>56660</v>
      </c>
      <c r="BN97" s="15">
        <f t="shared" si="3"/>
        <v>40352</v>
      </c>
      <c r="BO97" s="16">
        <f t="shared" si="2"/>
        <v>28246.399999999998</v>
      </c>
    </row>
    <row r="98" spans="1:67" x14ac:dyDescent="0.3">
      <c r="A98" s="5" t="s">
        <v>139</v>
      </c>
      <c r="B98" s="5" t="s">
        <v>42</v>
      </c>
      <c r="C98" s="5">
        <v>173863</v>
      </c>
      <c r="D98" s="6"/>
      <c r="E98" s="5" t="s">
        <v>12</v>
      </c>
      <c r="F98" s="5" t="s">
        <v>17</v>
      </c>
      <c r="G98" s="5" t="s">
        <v>12</v>
      </c>
      <c r="H98" s="7" t="s">
        <v>7</v>
      </c>
      <c r="I98" s="7" t="s">
        <v>43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9</v>
      </c>
      <c r="AC98" s="8">
        <v>6200</v>
      </c>
      <c r="AD98" s="8">
        <v>1800</v>
      </c>
      <c r="AE98" s="7">
        <v>0</v>
      </c>
      <c r="AF98" s="7">
        <v>0</v>
      </c>
      <c r="AG98" s="7">
        <v>0</v>
      </c>
      <c r="AH98" s="7">
        <v>17</v>
      </c>
      <c r="AI98" s="8">
        <v>16200</v>
      </c>
      <c r="AJ98" s="8">
        <v>1000</v>
      </c>
      <c r="AK98" s="7">
        <v>0</v>
      </c>
      <c r="AL98" s="7">
        <v>0</v>
      </c>
      <c r="AM98" s="7">
        <v>0</v>
      </c>
      <c r="AN98" s="7">
        <v>1</v>
      </c>
      <c r="AO98" s="7">
        <v>900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9">
        <v>4860</v>
      </c>
      <c r="BM98" s="10">
        <v>26100</v>
      </c>
      <c r="BN98" s="15">
        <f t="shared" si="3"/>
        <v>21240</v>
      </c>
      <c r="BO98" s="16">
        <f t="shared" si="2"/>
        <v>14867.999999999998</v>
      </c>
    </row>
    <row r="99" spans="1:67" x14ac:dyDescent="0.3">
      <c r="A99" s="5" t="s">
        <v>139</v>
      </c>
      <c r="B99" s="5" t="s">
        <v>70</v>
      </c>
      <c r="C99" s="5">
        <v>285993</v>
      </c>
      <c r="D99" s="6"/>
      <c r="E99" s="5" t="s">
        <v>12</v>
      </c>
      <c r="F99" s="5" t="s">
        <v>13</v>
      </c>
      <c r="G99" s="5" t="s">
        <v>12</v>
      </c>
      <c r="H99" s="7" t="s">
        <v>7</v>
      </c>
      <c r="I99" s="7" t="s">
        <v>71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10</v>
      </c>
      <c r="AC99" s="8">
        <v>9000</v>
      </c>
      <c r="AD99" s="7">
        <v>0</v>
      </c>
      <c r="AE99" s="7">
        <v>2</v>
      </c>
      <c r="AF99" s="8">
        <v>6400</v>
      </c>
      <c r="AG99" s="7">
        <v>0</v>
      </c>
      <c r="AH99" s="7">
        <v>5</v>
      </c>
      <c r="AI99" s="8">
        <v>5400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9">
        <v>1620</v>
      </c>
      <c r="BM99" s="10">
        <v>20800</v>
      </c>
      <c r="BN99" s="15">
        <f t="shared" si="3"/>
        <v>19180</v>
      </c>
      <c r="BO99" s="16">
        <f t="shared" si="2"/>
        <v>13426</v>
      </c>
    </row>
    <row r="100" spans="1:67" ht="19.5" x14ac:dyDescent="0.3">
      <c r="A100" s="5" t="s">
        <v>130</v>
      </c>
      <c r="B100" s="5" t="s">
        <v>106</v>
      </c>
      <c r="C100" s="5">
        <v>408317</v>
      </c>
      <c r="D100" s="6"/>
      <c r="E100" s="5" t="s">
        <v>12</v>
      </c>
      <c r="F100" s="5" t="s">
        <v>45</v>
      </c>
      <c r="G100" s="5" t="s">
        <v>23</v>
      </c>
      <c r="H100" s="7" t="s">
        <v>8</v>
      </c>
      <c r="I100" s="7" t="s">
        <v>67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207</v>
      </c>
      <c r="AF100" s="8">
        <v>20000</v>
      </c>
      <c r="AG100" s="7">
        <v>700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10">
        <v>20700</v>
      </c>
      <c r="BN100" s="15">
        <f t="shared" si="3"/>
        <v>20700</v>
      </c>
      <c r="BO100" s="16">
        <f t="shared" si="2"/>
        <v>14489.999999999998</v>
      </c>
    </row>
    <row r="101" spans="1:67" x14ac:dyDescent="0.3">
      <c r="A101" s="5" t="s">
        <v>139</v>
      </c>
      <c r="B101" s="5" t="s">
        <v>44</v>
      </c>
      <c r="C101" s="5">
        <v>192737</v>
      </c>
      <c r="D101" s="6"/>
      <c r="E101" s="5" t="s">
        <v>12</v>
      </c>
      <c r="F101" s="5" t="s">
        <v>45</v>
      </c>
      <c r="G101" s="5" t="s">
        <v>12</v>
      </c>
      <c r="H101" s="7" t="s">
        <v>7</v>
      </c>
      <c r="I101" s="7" t="s">
        <v>46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19</v>
      </c>
      <c r="AC101" s="8">
        <v>17100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10">
        <v>17100</v>
      </c>
      <c r="BN101" s="15">
        <f t="shared" si="3"/>
        <v>17100</v>
      </c>
      <c r="BO101" s="16">
        <f t="shared" si="2"/>
        <v>11970</v>
      </c>
    </row>
    <row r="102" spans="1:67" x14ac:dyDescent="0.3">
      <c r="A102" s="5" t="s">
        <v>130</v>
      </c>
      <c r="B102" s="5" t="s">
        <v>41</v>
      </c>
      <c r="C102" s="5">
        <v>159266</v>
      </c>
      <c r="D102" s="6"/>
      <c r="E102" s="5" t="s">
        <v>12</v>
      </c>
      <c r="F102" s="5" t="s">
        <v>17</v>
      </c>
      <c r="G102" s="5" t="s">
        <v>12</v>
      </c>
      <c r="H102" s="7" t="s">
        <v>7</v>
      </c>
      <c r="I102" s="7" t="s">
        <v>34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15</v>
      </c>
      <c r="AI102" s="8">
        <v>16200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9">
        <v>4860</v>
      </c>
      <c r="BM102" s="10">
        <v>16200</v>
      </c>
      <c r="BN102" s="15">
        <f t="shared" si="3"/>
        <v>11340</v>
      </c>
      <c r="BO102" s="16">
        <f t="shared" si="2"/>
        <v>7937.9999999999991</v>
      </c>
    </row>
    <row r="103" spans="1:67" x14ac:dyDescent="0.3">
      <c r="A103" s="5" t="s">
        <v>130</v>
      </c>
      <c r="B103" s="5" t="s">
        <v>29</v>
      </c>
      <c r="C103" s="5">
        <v>418829</v>
      </c>
      <c r="D103" s="6"/>
      <c r="E103" s="5" t="s">
        <v>12</v>
      </c>
      <c r="F103" s="5" t="s">
        <v>17</v>
      </c>
      <c r="G103" s="5" t="s">
        <v>12</v>
      </c>
      <c r="H103" s="7" t="s">
        <v>7</v>
      </c>
      <c r="I103" s="7" t="s">
        <v>30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14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25</v>
      </c>
      <c r="AF103" s="7">
        <v>0</v>
      </c>
      <c r="AG103" s="8">
        <v>2500</v>
      </c>
      <c r="AH103" s="7">
        <v>0</v>
      </c>
      <c r="AI103" s="7">
        <v>0</v>
      </c>
      <c r="AJ103" s="7">
        <v>0</v>
      </c>
      <c r="AK103" s="7">
        <v>120</v>
      </c>
      <c r="AL103" s="8">
        <v>6600</v>
      </c>
      <c r="AM103" s="8">
        <v>6500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9">
        <v>1980</v>
      </c>
      <c r="BM103" s="10">
        <v>15600</v>
      </c>
      <c r="BN103" s="15">
        <f t="shared" si="3"/>
        <v>13620</v>
      </c>
      <c r="BO103" s="16">
        <f t="shared" si="2"/>
        <v>9534</v>
      </c>
    </row>
    <row r="104" spans="1:67" ht="19.5" x14ac:dyDescent="0.3">
      <c r="A104" s="5" t="s">
        <v>130</v>
      </c>
      <c r="B104" s="5" t="s">
        <v>74</v>
      </c>
      <c r="C104" s="5">
        <v>413545</v>
      </c>
      <c r="D104" s="6"/>
      <c r="E104" s="5" t="s">
        <v>12</v>
      </c>
      <c r="F104" s="5" t="s">
        <v>17</v>
      </c>
      <c r="G104" s="5" t="s">
        <v>23</v>
      </c>
      <c r="H104" s="7" t="s">
        <v>8</v>
      </c>
      <c r="I104" s="7" t="s">
        <v>75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125</v>
      </c>
      <c r="AL104" s="8">
        <v>15000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9">
        <v>4500</v>
      </c>
      <c r="BM104" s="10">
        <v>15000</v>
      </c>
      <c r="BN104" s="15">
        <f t="shared" si="3"/>
        <v>10500</v>
      </c>
      <c r="BO104" s="16">
        <f t="shared" si="2"/>
        <v>7349.9999999999991</v>
      </c>
    </row>
    <row r="105" spans="1:67" x14ac:dyDescent="0.3">
      <c r="A105" s="5" t="s">
        <v>130</v>
      </c>
      <c r="B105" s="5" t="s">
        <v>25</v>
      </c>
      <c r="C105" s="5">
        <v>165741</v>
      </c>
      <c r="D105" s="6"/>
      <c r="E105" s="5" t="s">
        <v>12</v>
      </c>
      <c r="F105" s="5" t="s">
        <v>14</v>
      </c>
      <c r="G105" s="5" t="s">
        <v>12</v>
      </c>
      <c r="H105" s="7" t="s">
        <v>7</v>
      </c>
      <c r="I105" s="7" t="s">
        <v>26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2</v>
      </c>
      <c r="AF105" s="8">
        <v>6400</v>
      </c>
      <c r="AG105" s="7">
        <v>0</v>
      </c>
      <c r="AH105" s="7">
        <v>5</v>
      </c>
      <c r="AI105" s="8">
        <v>5400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9">
        <v>1620</v>
      </c>
      <c r="BM105" s="10">
        <v>11800</v>
      </c>
      <c r="BN105" s="15">
        <f t="shared" si="3"/>
        <v>10180</v>
      </c>
      <c r="BO105" s="16">
        <f t="shared" si="2"/>
        <v>7126</v>
      </c>
    </row>
    <row r="106" spans="1:67" x14ac:dyDescent="0.3">
      <c r="A106" s="5" t="s">
        <v>130</v>
      </c>
      <c r="B106" s="5" t="s">
        <v>53</v>
      </c>
      <c r="C106" s="5">
        <v>159483</v>
      </c>
      <c r="D106" s="6"/>
      <c r="E106" s="5" t="s">
        <v>12</v>
      </c>
      <c r="F106" s="5" t="s">
        <v>14</v>
      </c>
      <c r="G106" s="5" t="s">
        <v>12</v>
      </c>
      <c r="H106" s="7" t="s">
        <v>7</v>
      </c>
      <c r="I106" s="7" t="s">
        <v>54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11</v>
      </c>
      <c r="AO106" s="8">
        <v>9900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10">
        <v>9900</v>
      </c>
      <c r="BN106" s="15">
        <f t="shared" si="3"/>
        <v>9900</v>
      </c>
      <c r="BO106" s="16">
        <f t="shared" si="2"/>
        <v>6930</v>
      </c>
    </row>
    <row r="107" spans="1:67" x14ac:dyDescent="0.3">
      <c r="A107" s="5" t="s">
        <v>130</v>
      </c>
      <c r="B107" s="5" t="s">
        <v>145</v>
      </c>
      <c r="C107" s="5">
        <v>239858</v>
      </c>
      <c r="D107" s="6"/>
      <c r="E107" s="5" t="s">
        <v>12</v>
      </c>
      <c r="F107" s="5" t="s">
        <v>13</v>
      </c>
      <c r="G107" s="5" t="s">
        <v>12</v>
      </c>
      <c r="H107" s="7" t="s">
        <v>7</v>
      </c>
      <c r="I107" s="7" t="s">
        <v>146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7</v>
      </c>
      <c r="AI107" s="8">
        <v>7560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9">
        <v>2268</v>
      </c>
      <c r="BM107" s="10">
        <v>7560</v>
      </c>
      <c r="BN107" s="15">
        <f t="shared" si="3"/>
        <v>5292</v>
      </c>
      <c r="BO107" s="16">
        <f t="shared" si="2"/>
        <v>3704.3999999999996</v>
      </c>
    </row>
    <row r="108" spans="1:67" x14ac:dyDescent="0.3">
      <c r="A108" s="5" t="s">
        <v>130</v>
      </c>
      <c r="B108" s="5" t="s">
        <v>85</v>
      </c>
      <c r="C108" s="5">
        <v>285990</v>
      </c>
      <c r="D108" s="6"/>
      <c r="E108" s="5" t="s">
        <v>12</v>
      </c>
      <c r="F108" s="5" t="s">
        <v>13</v>
      </c>
      <c r="G108" s="5" t="s">
        <v>12</v>
      </c>
      <c r="H108" s="7" t="s">
        <v>7</v>
      </c>
      <c r="I108" s="7" t="s">
        <v>71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7</v>
      </c>
      <c r="AC108" s="8">
        <v>5400</v>
      </c>
      <c r="AD108" s="7">
        <v>900</v>
      </c>
      <c r="AE108" s="7">
        <v>0</v>
      </c>
      <c r="AF108" s="7">
        <v>0</v>
      </c>
      <c r="AG108" s="7">
        <v>0</v>
      </c>
      <c r="AH108" s="7">
        <v>1</v>
      </c>
      <c r="AI108" s="8">
        <v>1080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324</v>
      </c>
      <c r="BM108" s="10">
        <v>7380</v>
      </c>
      <c r="BN108" s="15">
        <f t="shared" si="3"/>
        <v>7056</v>
      </c>
      <c r="BO108" s="16">
        <f t="shared" si="2"/>
        <v>4939.2</v>
      </c>
    </row>
    <row r="109" spans="1:67" x14ac:dyDescent="0.3">
      <c r="A109" s="5" t="s">
        <v>138</v>
      </c>
      <c r="B109" s="5" t="s">
        <v>51</v>
      </c>
      <c r="C109" s="5">
        <v>268655</v>
      </c>
      <c r="D109" s="6"/>
      <c r="E109" s="5" t="s">
        <v>12</v>
      </c>
      <c r="F109" s="5" t="s">
        <v>17</v>
      </c>
      <c r="G109" s="5" t="s">
        <v>12</v>
      </c>
      <c r="H109" s="7" t="s">
        <v>7</v>
      </c>
      <c r="I109" s="7" t="s">
        <v>52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3</v>
      </c>
      <c r="AC109" s="7">
        <v>0</v>
      </c>
      <c r="AD109" s="8">
        <v>2100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4</v>
      </c>
      <c r="AO109" s="8">
        <v>2800</v>
      </c>
      <c r="AP109" s="7">
        <v>500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10">
        <v>5400</v>
      </c>
      <c r="BN109" s="15">
        <f t="shared" si="3"/>
        <v>5400</v>
      </c>
      <c r="BO109" s="16">
        <f t="shared" si="2"/>
        <v>3779.9999999999995</v>
      </c>
    </row>
    <row r="110" spans="1:67" x14ac:dyDescent="0.3">
      <c r="A110" s="5" t="s">
        <v>139</v>
      </c>
      <c r="B110" s="5" t="s">
        <v>78</v>
      </c>
      <c r="C110" s="5">
        <v>227013</v>
      </c>
      <c r="D110" s="6"/>
      <c r="E110" s="5" t="s">
        <v>12</v>
      </c>
      <c r="F110" s="5" t="s">
        <v>14</v>
      </c>
      <c r="G110" s="5" t="s">
        <v>12</v>
      </c>
      <c r="H110" s="7" t="s">
        <v>7</v>
      </c>
      <c r="I110" s="7" t="s">
        <v>79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53</v>
      </c>
      <c r="AL110" s="7">
        <v>0</v>
      </c>
      <c r="AM110" s="8">
        <v>5300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10">
        <v>5300</v>
      </c>
      <c r="BN110" s="15">
        <f t="shared" si="3"/>
        <v>5300</v>
      </c>
      <c r="BO110" s="16">
        <f t="shared" si="2"/>
        <v>3709.9999999999995</v>
      </c>
    </row>
    <row r="111" spans="1:67" x14ac:dyDescent="0.3">
      <c r="A111" s="5" t="s">
        <v>139</v>
      </c>
      <c r="B111" s="5" t="s">
        <v>68</v>
      </c>
      <c r="C111" s="5">
        <v>192729</v>
      </c>
      <c r="D111" s="6"/>
      <c r="E111" s="5" t="s">
        <v>12</v>
      </c>
      <c r="F111" s="5" t="s">
        <v>45</v>
      </c>
      <c r="G111" s="5" t="s">
        <v>12</v>
      </c>
      <c r="H111" s="7" t="s">
        <v>7</v>
      </c>
      <c r="I111" s="7" t="s">
        <v>69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3</v>
      </c>
      <c r="AC111" s="8">
        <v>2700</v>
      </c>
      <c r="AD111" s="7">
        <v>0</v>
      </c>
      <c r="AE111" s="7">
        <v>0</v>
      </c>
      <c r="AF111" s="7">
        <v>0</v>
      </c>
      <c r="AG111" s="7">
        <v>0</v>
      </c>
      <c r="AH111" s="7">
        <v>1</v>
      </c>
      <c r="AI111" s="8">
        <v>1080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324</v>
      </c>
      <c r="BM111" s="10">
        <v>3780</v>
      </c>
      <c r="BN111" s="15">
        <f t="shared" si="3"/>
        <v>3456</v>
      </c>
      <c r="BO111" s="16">
        <f t="shared" si="2"/>
        <v>2419.1999999999998</v>
      </c>
    </row>
    <row r="112" spans="1:67" x14ac:dyDescent="0.3">
      <c r="A112" s="5" t="s">
        <v>130</v>
      </c>
      <c r="B112" s="5" t="s">
        <v>80</v>
      </c>
      <c r="C112" s="5">
        <v>196917</v>
      </c>
      <c r="D112" s="6"/>
      <c r="E112" s="5" t="s">
        <v>12</v>
      </c>
      <c r="F112" s="5" t="s">
        <v>45</v>
      </c>
      <c r="G112" s="5" t="s">
        <v>12</v>
      </c>
      <c r="H112" s="7" t="s">
        <v>7</v>
      </c>
      <c r="I112" s="7" t="s">
        <v>81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4</v>
      </c>
      <c r="AC112" s="8">
        <v>3600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10">
        <v>3600</v>
      </c>
      <c r="BN112" s="15">
        <f t="shared" si="3"/>
        <v>3600</v>
      </c>
      <c r="BO112" s="16">
        <f t="shared" si="2"/>
        <v>2520</v>
      </c>
    </row>
    <row r="113" spans="1:67" x14ac:dyDescent="0.3">
      <c r="A113" s="5" t="s">
        <v>130</v>
      </c>
      <c r="B113" s="5" t="s">
        <v>63</v>
      </c>
      <c r="C113" s="5">
        <v>229857</v>
      </c>
      <c r="D113" s="6"/>
      <c r="E113" s="5" t="s">
        <v>12</v>
      </c>
      <c r="F113" s="5" t="s">
        <v>13</v>
      </c>
      <c r="G113" s="5" t="s">
        <v>12</v>
      </c>
      <c r="H113" s="7" t="s">
        <v>11</v>
      </c>
      <c r="I113" s="7" t="s">
        <v>64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4</v>
      </c>
      <c r="AC113" s="8">
        <v>3600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10">
        <v>3600</v>
      </c>
      <c r="BN113" s="15">
        <f t="shared" si="3"/>
        <v>3600</v>
      </c>
      <c r="BO113" s="16">
        <f t="shared" si="2"/>
        <v>2520</v>
      </c>
    </row>
    <row r="114" spans="1:67" x14ac:dyDescent="0.3">
      <c r="A114" s="5" t="s">
        <v>130</v>
      </c>
      <c r="B114" s="5" t="s">
        <v>72</v>
      </c>
      <c r="C114" s="5">
        <v>183137</v>
      </c>
      <c r="D114" s="6"/>
      <c r="E114" s="5" t="s">
        <v>12</v>
      </c>
      <c r="F114" s="5" t="s">
        <v>14</v>
      </c>
      <c r="G114" s="5" t="s">
        <v>12</v>
      </c>
      <c r="H114" s="7" t="s">
        <v>7</v>
      </c>
      <c r="I114" s="7" t="s">
        <v>73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3</v>
      </c>
      <c r="AI114" s="8">
        <v>3240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972</v>
      </c>
      <c r="BM114" s="10">
        <v>3240</v>
      </c>
      <c r="BN114" s="15">
        <f t="shared" si="3"/>
        <v>2268</v>
      </c>
      <c r="BO114" s="16">
        <f t="shared" si="2"/>
        <v>1587.6</v>
      </c>
    </row>
    <row r="115" spans="1:67" ht="19.5" x14ac:dyDescent="0.3">
      <c r="A115" s="5" t="s">
        <v>130</v>
      </c>
      <c r="B115" s="5" t="s">
        <v>66</v>
      </c>
      <c r="C115" s="5">
        <v>408054</v>
      </c>
      <c r="D115" s="6"/>
      <c r="E115" s="5" t="s">
        <v>12</v>
      </c>
      <c r="F115" s="5" t="s">
        <v>17</v>
      </c>
      <c r="G115" s="5" t="s">
        <v>23</v>
      </c>
      <c r="H115" s="7" t="s">
        <v>11</v>
      </c>
      <c r="I115" s="7" t="s">
        <v>67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20</v>
      </c>
      <c r="AF115" s="7">
        <v>0</v>
      </c>
      <c r="AG115" s="8">
        <v>2000</v>
      </c>
      <c r="AH115" s="7">
        <v>0</v>
      </c>
      <c r="AI115" s="7">
        <v>0</v>
      </c>
      <c r="AJ115" s="7">
        <v>0</v>
      </c>
      <c r="AK115" s="7">
        <v>6</v>
      </c>
      <c r="AL115" s="7">
        <v>720</v>
      </c>
      <c r="AM115" s="7">
        <v>0</v>
      </c>
      <c r="AN115" s="7">
        <v>0</v>
      </c>
      <c r="AO115" s="7">
        <v>0</v>
      </c>
      <c r="AP115" s="7">
        <v>0</v>
      </c>
      <c r="AQ115" s="7">
        <v>5</v>
      </c>
      <c r="AR115" s="7">
        <v>500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216</v>
      </c>
      <c r="BM115" s="10">
        <v>3220</v>
      </c>
      <c r="BN115" s="15">
        <f t="shared" si="3"/>
        <v>3004</v>
      </c>
      <c r="BO115" s="16">
        <f t="shared" si="2"/>
        <v>2102.7999999999997</v>
      </c>
    </row>
    <row r="116" spans="1:67" x14ac:dyDescent="0.3">
      <c r="A116" s="5" t="s">
        <v>138</v>
      </c>
      <c r="B116" s="5" t="s">
        <v>117</v>
      </c>
      <c r="C116" s="5">
        <v>169151</v>
      </c>
      <c r="D116" s="6"/>
      <c r="E116" s="5" t="s">
        <v>12</v>
      </c>
      <c r="F116" s="5" t="s">
        <v>14</v>
      </c>
      <c r="G116" s="5" t="s">
        <v>12</v>
      </c>
      <c r="H116" s="7" t="s">
        <v>7</v>
      </c>
      <c r="I116" s="7" t="s">
        <v>118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3</v>
      </c>
      <c r="AC116" s="8">
        <v>2700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10">
        <v>2700</v>
      </c>
      <c r="BN116" s="15">
        <f t="shared" si="3"/>
        <v>2700</v>
      </c>
      <c r="BO116" s="16">
        <f t="shared" si="2"/>
        <v>1889.9999999999998</v>
      </c>
    </row>
    <row r="117" spans="1:67" x14ac:dyDescent="0.3">
      <c r="A117" s="5" t="s">
        <v>130</v>
      </c>
      <c r="B117" s="5" t="s">
        <v>82</v>
      </c>
      <c r="C117" s="5">
        <v>287064</v>
      </c>
      <c r="D117" s="6"/>
      <c r="E117" s="5" t="s">
        <v>12</v>
      </c>
      <c r="F117" s="5" t="s">
        <v>83</v>
      </c>
      <c r="G117" s="5" t="s">
        <v>12</v>
      </c>
      <c r="H117" s="7" t="s">
        <v>7</v>
      </c>
      <c r="I117" s="7" t="s">
        <v>84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5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21</v>
      </c>
      <c r="AL117" s="8">
        <v>2520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756</v>
      </c>
      <c r="BM117" s="10">
        <v>2520</v>
      </c>
      <c r="BN117" s="15">
        <f t="shared" si="3"/>
        <v>1764</v>
      </c>
      <c r="BO117" s="16">
        <f t="shared" si="2"/>
        <v>1234.8</v>
      </c>
    </row>
    <row r="118" spans="1:67" x14ac:dyDescent="0.3">
      <c r="A118" s="5" t="s">
        <v>130</v>
      </c>
      <c r="B118" s="5" t="s">
        <v>62</v>
      </c>
      <c r="C118" s="5">
        <v>192732</v>
      </c>
      <c r="D118" s="6"/>
      <c r="E118" s="5" t="s">
        <v>12</v>
      </c>
      <c r="F118" s="5" t="s">
        <v>45</v>
      </c>
      <c r="G118" s="5" t="s">
        <v>12</v>
      </c>
      <c r="H118" s="7" t="s">
        <v>7</v>
      </c>
      <c r="I118" s="7" t="s">
        <v>46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2</v>
      </c>
      <c r="AI118" s="8">
        <v>2160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648</v>
      </c>
      <c r="BM118" s="10">
        <v>2160</v>
      </c>
      <c r="BN118" s="15">
        <f t="shared" si="3"/>
        <v>1512</v>
      </c>
      <c r="BO118" s="16">
        <f t="shared" si="2"/>
        <v>1058.3999999999999</v>
      </c>
    </row>
    <row r="119" spans="1:67" ht="19.5" x14ac:dyDescent="0.3">
      <c r="A119" s="5" t="s">
        <v>130</v>
      </c>
      <c r="B119" s="5" t="s">
        <v>105</v>
      </c>
      <c r="C119" s="5">
        <v>408450</v>
      </c>
      <c r="D119" s="6"/>
      <c r="E119" s="5" t="s">
        <v>12</v>
      </c>
      <c r="F119" s="5" t="s">
        <v>13</v>
      </c>
      <c r="G119" s="5" t="s">
        <v>23</v>
      </c>
      <c r="H119" s="7" t="s">
        <v>7</v>
      </c>
      <c r="I119" s="7" t="s">
        <v>86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20</v>
      </c>
      <c r="AL119" s="7">
        <v>0</v>
      </c>
      <c r="AM119" s="8">
        <v>2000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10">
        <v>2000</v>
      </c>
      <c r="BN119" s="15">
        <f t="shared" si="3"/>
        <v>2000</v>
      </c>
      <c r="BO119" s="16">
        <f t="shared" si="2"/>
        <v>1400</v>
      </c>
    </row>
    <row r="120" spans="1:67" x14ac:dyDescent="0.3">
      <c r="A120" s="5" t="s">
        <v>130</v>
      </c>
      <c r="B120" s="5" t="s">
        <v>27</v>
      </c>
      <c r="C120" s="5">
        <v>161447</v>
      </c>
      <c r="D120" s="6"/>
      <c r="E120" s="5" t="s">
        <v>12</v>
      </c>
      <c r="F120" s="5" t="s">
        <v>14</v>
      </c>
      <c r="G120" s="5" t="s">
        <v>12</v>
      </c>
      <c r="H120" s="7" t="s">
        <v>7</v>
      </c>
      <c r="I120" s="7" t="s">
        <v>28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2</v>
      </c>
      <c r="AO120" s="8">
        <v>1800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10">
        <v>1800</v>
      </c>
      <c r="BN120" s="15">
        <f t="shared" si="3"/>
        <v>1800</v>
      </c>
      <c r="BO120" s="16">
        <f t="shared" si="2"/>
        <v>1260</v>
      </c>
    </row>
    <row r="121" spans="1:67" x14ac:dyDescent="0.3">
      <c r="A121" s="5" t="s">
        <v>130</v>
      </c>
      <c r="B121" s="5" t="s">
        <v>148</v>
      </c>
      <c r="C121" s="5">
        <v>361973</v>
      </c>
      <c r="D121" s="6"/>
      <c r="E121" s="5" t="s">
        <v>12</v>
      </c>
      <c r="F121" s="5" t="s">
        <v>13</v>
      </c>
      <c r="G121" s="5" t="s">
        <v>12</v>
      </c>
      <c r="H121" s="7" t="s">
        <v>7</v>
      </c>
      <c r="I121" s="7" t="s">
        <v>149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2</v>
      </c>
      <c r="AC121" s="8">
        <v>1800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10">
        <v>1800</v>
      </c>
      <c r="BN121" s="15">
        <f t="shared" si="3"/>
        <v>1800</v>
      </c>
      <c r="BO121" s="16">
        <f t="shared" si="2"/>
        <v>1260</v>
      </c>
    </row>
    <row r="122" spans="1:67" ht="19.5" x14ac:dyDescent="0.3">
      <c r="A122" s="5" t="s">
        <v>130</v>
      </c>
      <c r="B122" s="5" t="s">
        <v>114</v>
      </c>
      <c r="C122" s="5">
        <v>409391</v>
      </c>
      <c r="D122" s="6"/>
      <c r="E122" s="5" t="s">
        <v>12</v>
      </c>
      <c r="F122" s="5" t="s">
        <v>45</v>
      </c>
      <c r="G122" s="5" t="s">
        <v>23</v>
      </c>
      <c r="H122" s="7" t="s">
        <v>7</v>
      </c>
      <c r="I122" s="7" t="s">
        <v>24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14</v>
      </c>
      <c r="AL122" s="8">
        <v>1680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504</v>
      </c>
      <c r="BM122" s="10">
        <v>1680</v>
      </c>
      <c r="BN122" s="15">
        <f t="shared" si="3"/>
        <v>1176</v>
      </c>
      <c r="BO122" s="16">
        <f t="shared" si="2"/>
        <v>823.19999999999993</v>
      </c>
    </row>
    <row r="123" spans="1:67" x14ac:dyDescent="0.3">
      <c r="A123" s="5" t="s">
        <v>130</v>
      </c>
      <c r="B123" s="5" t="s">
        <v>36</v>
      </c>
      <c r="C123" s="5">
        <v>326544</v>
      </c>
      <c r="D123" s="6"/>
      <c r="E123" s="5" t="s">
        <v>12</v>
      </c>
      <c r="F123" s="5" t="s">
        <v>37</v>
      </c>
      <c r="G123" s="5" t="s">
        <v>12</v>
      </c>
      <c r="H123" s="7" t="s">
        <v>7</v>
      </c>
      <c r="I123" s="7" t="s">
        <v>38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3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5</v>
      </c>
      <c r="AF123" s="7">
        <v>500</v>
      </c>
      <c r="AG123" s="7">
        <v>0</v>
      </c>
      <c r="AH123" s="7">
        <v>0</v>
      </c>
      <c r="AI123" s="7">
        <v>0</v>
      </c>
      <c r="AJ123" s="7">
        <v>0</v>
      </c>
      <c r="AK123" s="7">
        <v>4</v>
      </c>
      <c r="AL123" s="7">
        <v>480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144</v>
      </c>
      <c r="BM123" s="11">
        <v>980</v>
      </c>
      <c r="BN123" s="15">
        <f t="shared" si="3"/>
        <v>836</v>
      </c>
      <c r="BO123" s="16">
        <f t="shared" si="2"/>
        <v>585.19999999999993</v>
      </c>
    </row>
    <row r="124" spans="1:67" x14ac:dyDescent="0.3">
      <c r="A124" s="5" t="s">
        <v>130</v>
      </c>
      <c r="B124" s="5" t="s">
        <v>57</v>
      </c>
      <c r="C124" s="5">
        <v>215737</v>
      </c>
      <c r="D124" s="6"/>
      <c r="E124" s="5" t="s">
        <v>12</v>
      </c>
      <c r="F124" s="5" t="s">
        <v>58</v>
      </c>
      <c r="G124" s="5" t="s">
        <v>12</v>
      </c>
      <c r="H124" s="7" t="s">
        <v>7</v>
      </c>
      <c r="I124" s="7" t="s">
        <v>59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9</v>
      </c>
      <c r="AL124" s="7">
        <v>0</v>
      </c>
      <c r="AM124" s="7">
        <v>900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11">
        <v>900</v>
      </c>
      <c r="BN124" s="15">
        <f t="shared" si="3"/>
        <v>900</v>
      </c>
      <c r="BO124" s="16">
        <f t="shared" si="2"/>
        <v>630</v>
      </c>
    </row>
    <row r="125" spans="1:67" x14ac:dyDescent="0.3">
      <c r="A125" s="5" t="s">
        <v>130</v>
      </c>
      <c r="B125" s="5" t="s">
        <v>122</v>
      </c>
      <c r="C125" s="5">
        <v>308470</v>
      </c>
      <c r="D125" s="6"/>
      <c r="E125" s="5" t="s">
        <v>12</v>
      </c>
      <c r="F125" s="5" t="s">
        <v>45</v>
      </c>
      <c r="G125" s="5" t="s">
        <v>12</v>
      </c>
      <c r="H125" s="7" t="s">
        <v>7</v>
      </c>
      <c r="I125" s="7" t="s">
        <v>123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7</v>
      </c>
      <c r="AL125" s="7">
        <v>840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252</v>
      </c>
      <c r="BM125" s="11">
        <v>840</v>
      </c>
      <c r="BN125" s="15">
        <f t="shared" si="3"/>
        <v>588</v>
      </c>
      <c r="BO125" s="16">
        <f t="shared" si="2"/>
        <v>411.59999999999997</v>
      </c>
    </row>
    <row r="126" spans="1:67" x14ac:dyDescent="0.3">
      <c r="BL126" s="14">
        <f>SUM(BL2:BL125)</f>
        <v>820199.7</v>
      </c>
      <c r="BM126" s="14">
        <f>SUM(BM2:BM125)</f>
        <v>21201099</v>
      </c>
      <c r="BN126" s="14">
        <f>SUM(BN2:BN125)</f>
        <v>20380899.300000001</v>
      </c>
      <c r="BO126" s="14">
        <f>SUM(BO2:BO125)</f>
        <v>14266629.509999998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user</cp:lastModifiedBy>
  <dcterms:created xsi:type="dcterms:W3CDTF">2019-02-07T01:40:45Z</dcterms:created>
  <dcterms:modified xsi:type="dcterms:W3CDTF">2022-06-09T02:33:32Z</dcterms:modified>
</cp:coreProperties>
</file>