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네이버시리즈\"/>
    </mc:Choice>
  </mc:AlternateContent>
  <bookViews>
    <workbookView xWindow="0" yWindow="0" windowWidth="23040" windowHeight="8955" tabRatio="766"/>
  </bookViews>
  <sheets>
    <sheet name="합계 (5)" sheetId="412" r:id="rId1"/>
  </sheets>
  <definedNames>
    <definedName name="_xlnm._FilterDatabase" localSheetId="0" hidden="1">'합계 (5)'!$A$1:$AM$1</definedName>
    <definedName name="_xlnm.Extract" localSheetId="0">'합계 (5)'!#REF!</definedName>
  </definedNames>
  <calcPr calcId="152511"/>
</workbook>
</file>

<file path=xl/calcChain.xml><?xml version="1.0" encoding="utf-8"?>
<calcChain xmlns="http://schemas.openxmlformats.org/spreadsheetml/2006/main">
  <c r="BN471" i="412" l="1"/>
  <c r="BO471" i="412"/>
  <c r="BL471" i="412"/>
  <c r="BM471" i="412"/>
  <c r="BN36" i="412"/>
  <c r="BO36" i="412"/>
  <c r="BN37" i="412"/>
  <c r="BO37" i="412" s="1"/>
  <c r="BN38" i="412"/>
  <c r="BO38" i="412"/>
  <c r="BN39" i="412"/>
  <c r="BO39" i="412" s="1"/>
  <c r="BN40" i="412"/>
  <c r="BO40" i="412" s="1"/>
  <c r="BN41" i="412"/>
  <c r="BO41" i="412" s="1"/>
  <c r="BN42" i="412"/>
  <c r="BO42" i="412" s="1"/>
  <c r="BN43" i="412"/>
  <c r="BO43" i="412"/>
  <c r="BN44" i="412"/>
  <c r="BO44" i="412"/>
  <c r="BN45" i="412"/>
  <c r="BO45" i="412" s="1"/>
  <c r="BN46" i="412"/>
  <c r="BO46" i="412"/>
  <c r="BN47" i="412"/>
  <c r="BO47" i="412" s="1"/>
  <c r="BN48" i="412"/>
  <c r="BO48" i="412" s="1"/>
  <c r="BN49" i="412"/>
  <c r="BO49" i="412" s="1"/>
  <c r="BN50" i="412"/>
  <c r="BO50" i="412" s="1"/>
  <c r="BN51" i="412"/>
  <c r="BO51" i="412"/>
  <c r="BN52" i="412"/>
  <c r="BO52" i="412"/>
  <c r="BN53" i="412"/>
  <c r="BO53" i="412" s="1"/>
  <c r="BN54" i="412"/>
  <c r="BO54" i="412"/>
  <c r="BN55" i="412"/>
  <c r="BO55" i="412" s="1"/>
  <c r="BN56" i="412"/>
  <c r="BO56" i="412" s="1"/>
  <c r="BN57" i="412"/>
  <c r="BO57" i="412" s="1"/>
  <c r="BN58" i="412"/>
  <c r="BO58" i="412" s="1"/>
  <c r="BN59" i="412"/>
  <c r="BO59" i="412"/>
  <c r="BN60" i="412"/>
  <c r="BO60" i="412"/>
  <c r="BN61" i="412"/>
  <c r="BO61" i="412" s="1"/>
  <c r="BN62" i="412"/>
  <c r="BO62" i="412"/>
  <c r="BN63" i="412"/>
  <c r="BO63" i="412" s="1"/>
  <c r="BN64" i="412"/>
  <c r="BO64" i="412" s="1"/>
  <c r="BN65" i="412"/>
  <c r="BO65" i="412" s="1"/>
  <c r="BN66" i="412"/>
  <c r="BO66" i="412" s="1"/>
  <c r="BN67" i="412"/>
  <c r="BO67" i="412"/>
  <c r="BN68" i="412"/>
  <c r="BO68" i="412"/>
  <c r="BN69" i="412"/>
  <c r="BO69" i="412" s="1"/>
  <c r="BN70" i="412"/>
  <c r="BO70" i="412"/>
  <c r="BN71" i="412"/>
  <c r="BO71" i="412" s="1"/>
  <c r="BN72" i="412"/>
  <c r="BO72" i="412" s="1"/>
  <c r="BN73" i="412"/>
  <c r="BO73" i="412" s="1"/>
  <c r="BN74" i="412"/>
  <c r="BO74" i="412" s="1"/>
  <c r="BN75" i="412"/>
  <c r="BO75" i="412"/>
  <c r="BN76" i="412"/>
  <c r="BO76" i="412"/>
  <c r="BN77" i="412"/>
  <c r="BO77" i="412" s="1"/>
  <c r="BN78" i="412"/>
  <c r="BO78" i="412"/>
  <c r="BN79" i="412"/>
  <c r="BO79" i="412" s="1"/>
  <c r="BN80" i="412"/>
  <c r="BO80" i="412" s="1"/>
  <c r="BN81" i="412"/>
  <c r="BO81" i="412" s="1"/>
  <c r="BN82" i="412"/>
  <c r="BO82" i="412" s="1"/>
  <c r="BN83" i="412"/>
  <c r="BO83" i="412"/>
  <c r="BN84" i="412"/>
  <c r="BO84" i="412"/>
  <c r="BN85" i="412"/>
  <c r="BO85" i="412" s="1"/>
  <c r="BN86" i="412"/>
  <c r="BO86" i="412"/>
  <c r="BN87" i="412"/>
  <c r="BO87" i="412" s="1"/>
  <c r="BN88" i="412"/>
  <c r="BO88" i="412" s="1"/>
  <c r="BN89" i="412"/>
  <c r="BO89" i="412" s="1"/>
  <c r="BN90" i="412"/>
  <c r="BO90" i="412" s="1"/>
  <c r="BN91" i="412"/>
  <c r="BO91" i="412"/>
  <c r="BN92" i="412"/>
  <c r="BO92" i="412"/>
  <c r="BN93" i="412"/>
  <c r="BO93" i="412" s="1"/>
  <c r="BN94" i="412"/>
  <c r="BO94" i="412"/>
  <c r="BN95" i="412"/>
  <c r="BO95" i="412" s="1"/>
  <c r="BN96" i="412"/>
  <c r="BO96" i="412" s="1"/>
  <c r="BN97" i="412"/>
  <c r="BO97" i="412" s="1"/>
  <c r="BN98" i="412"/>
  <c r="BO98" i="412" s="1"/>
  <c r="BN99" i="412"/>
  <c r="BO99" i="412"/>
  <c r="BN100" i="412"/>
  <c r="BO100" i="412"/>
  <c r="BN101" i="412"/>
  <c r="BO101" i="412" s="1"/>
  <c r="BN102" i="412"/>
  <c r="BO102" i="412"/>
  <c r="BN103" i="412"/>
  <c r="BO103" i="412" s="1"/>
  <c r="BN104" i="412"/>
  <c r="BO104" i="412" s="1"/>
  <c r="BN105" i="412"/>
  <c r="BO105" i="412" s="1"/>
  <c r="BN106" i="412"/>
  <c r="BO106" i="412" s="1"/>
  <c r="BN107" i="412"/>
  <c r="BO107" i="412"/>
  <c r="BN108" i="412"/>
  <c r="BO108" i="412"/>
  <c r="BN109" i="412"/>
  <c r="BO109" i="412" s="1"/>
  <c r="BN110" i="412"/>
  <c r="BO110" i="412"/>
  <c r="BN111" i="412"/>
  <c r="BO111" i="412" s="1"/>
  <c r="BN112" i="412"/>
  <c r="BO112" i="412" s="1"/>
  <c r="BN113" i="412"/>
  <c r="BO113" i="412" s="1"/>
  <c r="BN114" i="412"/>
  <c r="BO114" i="412" s="1"/>
  <c r="BN115" i="412"/>
  <c r="BO115" i="412"/>
  <c r="BN116" i="412"/>
  <c r="BO116" i="412"/>
  <c r="BN117" i="412"/>
  <c r="BO117" i="412" s="1"/>
  <c r="BN118" i="412"/>
  <c r="BO118" i="412"/>
  <c r="BN119" i="412"/>
  <c r="BO119" i="412" s="1"/>
  <c r="BN120" i="412"/>
  <c r="BO120" i="412" s="1"/>
  <c r="BN121" i="412"/>
  <c r="BO121" i="412" s="1"/>
  <c r="BN122" i="412"/>
  <c r="BO122" i="412" s="1"/>
  <c r="BN123" i="412"/>
  <c r="BO123" i="412"/>
  <c r="BN124" i="412"/>
  <c r="BO124" i="412"/>
  <c r="BN125" i="412"/>
  <c r="BO125" i="412" s="1"/>
  <c r="BN126" i="412"/>
  <c r="BO126" i="412"/>
  <c r="BN127" i="412"/>
  <c r="BO127" i="412" s="1"/>
  <c r="BN128" i="412"/>
  <c r="BO128" i="412" s="1"/>
  <c r="BN129" i="412"/>
  <c r="BO129" i="412" s="1"/>
  <c r="BN130" i="412"/>
  <c r="BO130" i="412" s="1"/>
  <c r="BN131" i="412"/>
  <c r="BO131" i="412"/>
  <c r="BN132" i="412"/>
  <c r="BO132" i="412"/>
  <c r="BN133" i="412"/>
  <c r="BO133" i="412" s="1"/>
  <c r="BN134" i="412"/>
  <c r="BO134" i="412"/>
  <c r="BN135" i="412"/>
  <c r="BO135" i="412" s="1"/>
  <c r="BN136" i="412"/>
  <c r="BO136" i="412" s="1"/>
  <c r="BN137" i="412"/>
  <c r="BO137" i="412" s="1"/>
  <c r="BN138" i="412"/>
  <c r="BO138" i="412" s="1"/>
  <c r="BN139" i="412"/>
  <c r="BO139" i="412"/>
  <c r="BN140" i="412"/>
  <c r="BO140" i="412"/>
  <c r="BN141" i="412"/>
  <c r="BO141" i="412" s="1"/>
  <c r="BN142" i="412"/>
  <c r="BO142" i="412"/>
  <c r="BN143" i="412"/>
  <c r="BO143" i="412" s="1"/>
  <c r="BN144" i="412"/>
  <c r="BO144" i="412" s="1"/>
  <c r="BN145" i="412"/>
  <c r="BO145" i="412" s="1"/>
  <c r="BN146" i="412"/>
  <c r="BO146" i="412" s="1"/>
  <c r="BN147" i="412"/>
  <c r="BO147" i="412"/>
  <c r="BN148" i="412"/>
  <c r="BO148" i="412"/>
  <c r="BN149" i="412"/>
  <c r="BO149" i="412" s="1"/>
  <c r="BN150" i="412"/>
  <c r="BO150" i="412"/>
  <c r="BN151" i="412"/>
  <c r="BO151" i="412" s="1"/>
  <c r="BN152" i="412"/>
  <c r="BO152" i="412" s="1"/>
  <c r="BN153" i="412"/>
  <c r="BO153" i="412" s="1"/>
  <c r="BN154" i="412"/>
  <c r="BO154" i="412" s="1"/>
  <c r="BN155" i="412"/>
  <c r="BO155" i="412"/>
  <c r="BN156" i="412"/>
  <c r="BO156" i="412"/>
  <c r="BN157" i="412"/>
  <c r="BO157" i="412" s="1"/>
  <c r="BN158" i="412"/>
  <c r="BO158" i="412"/>
  <c r="BN159" i="412"/>
  <c r="BO159" i="412" s="1"/>
  <c r="BN160" i="412"/>
  <c r="BO160" i="412" s="1"/>
  <c r="BN161" i="412"/>
  <c r="BO161" i="412" s="1"/>
  <c r="BN162" i="412"/>
  <c r="BO162" i="412" s="1"/>
  <c r="BN163" i="412"/>
  <c r="BO163" i="412"/>
  <c r="BN164" i="412"/>
  <c r="BO164" i="412"/>
  <c r="BN165" i="412"/>
  <c r="BO165" i="412" s="1"/>
  <c r="BN166" i="412"/>
  <c r="BO166" i="412"/>
  <c r="BN167" i="412"/>
  <c r="BO167" i="412" s="1"/>
  <c r="BN168" i="412"/>
  <c r="BO168" i="412" s="1"/>
  <c r="BN169" i="412"/>
  <c r="BO169" i="412" s="1"/>
  <c r="BN170" i="412"/>
  <c r="BO170" i="412" s="1"/>
  <c r="BN171" i="412"/>
  <c r="BO171" i="412"/>
  <c r="BN172" i="412"/>
  <c r="BO172" i="412"/>
  <c r="BN173" i="412"/>
  <c r="BO173" i="412" s="1"/>
  <c r="BN174" i="412"/>
  <c r="BO174" i="412"/>
  <c r="BN175" i="412"/>
  <c r="BO175" i="412" s="1"/>
  <c r="BN176" i="412"/>
  <c r="BO176" i="412" s="1"/>
  <c r="BN177" i="412"/>
  <c r="BO177" i="412" s="1"/>
  <c r="BN178" i="412"/>
  <c r="BO178" i="412" s="1"/>
  <c r="BN179" i="412"/>
  <c r="BO179" i="412"/>
  <c r="BN180" i="412"/>
  <c r="BO180" i="412"/>
  <c r="BN181" i="412"/>
  <c r="BO181" i="412" s="1"/>
  <c r="BN182" i="412"/>
  <c r="BO182" i="412"/>
  <c r="BN183" i="412"/>
  <c r="BO183" i="412" s="1"/>
  <c r="BN184" i="412"/>
  <c r="BO184" i="412" s="1"/>
  <c r="BN185" i="412"/>
  <c r="BO185" i="412" s="1"/>
  <c r="BN186" i="412"/>
  <c r="BO186" i="412" s="1"/>
  <c r="BN187" i="412"/>
  <c r="BO187" i="412"/>
  <c r="BN188" i="412"/>
  <c r="BO188" i="412"/>
  <c r="BN189" i="412"/>
  <c r="BO189" i="412" s="1"/>
  <c r="BN190" i="412"/>
  <c r="BO190" i="412"/>
  <c r="BN191" i="412"/>
  <c r="BO191" i="412" s="1"/>
  <c r="BN192" i="412"/>
  <c r="BO192" i="412" s="1"/>
  <c r="BN193" i="412"/>
  <c r="BO193" i="412" s="1"/>
  <c r="BN194" i="412"/>
  <c r="BO194" i="412" s="1"/>
  <c r="BN195" i="412"/>
  <c r="BO195" i="412"/>
  <c r="BN196" i="412"/>
  <c r="BO196" i="412"/>
  <c r="BN197" i="412"/>
  <c r="BO197" i="412" s="1"/>
  <c r="BN198" i="412"/>
  <c r="BO198" i="412"/>
  <c r="BN199" i="412"/>
  <c r="BO199" i="412" s="1"/>
  <c r="BN200" i="412"/>
  <c r="BO200" i="412" s="1"/>
  <c r="BN201" i="412"/>
  <c r="BO201" i="412" s="1"/>
  <c r="BN202" i="412"/>
  <c r="BO202" i="412" s="1"/>
  <c r="BN203" i="412"/>
  <c r="BO203" i="412"/>
  <c r="BN204" i="412"/>
  <c r="BO204" i="412"/>
  <c r="BN205" i="412"/>
  <c r="BO205" i="412" s="1"/>
  <c r="BN206" i="412"/>
  <c r="BO206" i="412"/>
  <c r="BN207" i="412"/>
  <c r="BO207" i="412" s="1"/>
  <c r="BN208" i="412"/>
  <c r="BO208" i="412" s="1"/>
  <c r="BN209" i="412"/>
  <c r="BO209" i="412" s="1"/>
  <c r="BN210" i="412"/>
  <c r="BO210" i="412" s="1"/>
  <c r="BN211" i="412"/>
  <c r="BO211" i="412"/>
  <c r="BN212" i="412"/>
  <c r="BO212" i="412"/>
  <c r="BN213" i="412"/>
  <c r="BO213" i="412" s="1"/>
  <c r="BN214" i="412"/>
  <c r="BO214" i="412"/>
  <c r="BN215" i="412"/>
  <c r="BO215" i="412" s="1"/>
  <c r="BN216" i="412"/>
  <c r="BO216" i="412" s="1"/>
  <c r="BN217" i="412"/>
  <c r="BO217" i="412" s="1"/>
  <c r="BN218" i="412"/>
  <c r="BO218" i="412" s="1"/>
  <c r="BN219" i="412"/>
  <c r="BO219" i="412"/>
  <c r="BN220" i="412"/>
  <c r="BO220" i="412"/>
  <c r="BN221" i="412"/>
  <c r="BO221" i="412" s="1"/>
  <c r="BN222" i="412"/>
  <c r="BO222" i="412"/>
  <c r="BN223" i="412"/>
  <c r="BO223" i="412" s="1"/>
  <c r="BN224" i="412"/>
  <c r="BO224" i="412" s="1"/>
  <c r="BN225" i="412"/>
  <c r="BO225" i="412" s="1"/>
  <c r="BN226" i="412"/>
  <c r="BO226" i="412" s="1"/>
  <c r="BN227" i="412"/>
  <c r="BO227" i="412"/>
  <c r="BN228" i="412"/>
  <c r="BO228" i="412"/>
  <c r="BN229" i="412"/>
  <c r="BO229" i="412" s="1"/>
  <c r="BN230" i="412"/>
  <c r="BO230" i="412"/>
  <c r="BN231" i="412"/>
  <c r="BO231" i="412" s="1"/>
  <c r="BN232" i="412"/>
  <c r="BO232" i="412" s="1"/>
  <c r="BN233" i="412"/>
  <c r="BO233" i="412" s="1"/>
  <c r="BN234" i="412"/>
  <c r="BO234" i="412" s="1"/>
  <c r="BN235" i="412"/>
  <c r="BO235" i="412"/>
  <c r="BN236" i="412"/>
  <c r="BO236" i="412"/>
  <c r="BN237" i="412"/>
  <c r="BO237" i="412" s="1"/>
  <c r="BN238" i="412"/>
  <c r="BO238" i="412"/>
  <c r="BN239" i="412"/>
  <c r="BO239" i="412" s="1"/>
  <c r="BN240" i="412"/>
  <c r="BO240" i="412" s="1"/>
  <c r="BN241" i="412"/>
  <c r="BO241" i="412" s="1"/>
  <c r="BN242" i="412"/>
  <c r="BO242" i="412" s="1"/>
  <c r="BN243" i="412"/>
  <c r="BO243" i="412"/>
  <c r="BN244" i="412"/>
  <c r="BO244" i="412"/>
  <c r="BN245" i="412"/>
  <c r="BO245" i="412" s="1"/>
  <c r="BN246" i="412"/>
  <c r="BO246" i="412"/>
  <c r="BN247" i="412"/>
  <c r="BO247" i="412" s="1"/>
  <c r="BN248" i="412"/>
  <c r="BO248" i="412" s="1"/>
  <c r="BN249" i="412"/>
  <c r="BO249" i="412" s="1"/>
  <c r="BN250" i="412"/>
  <c r="BO250" i="412" s="1"/>
  <c r="BN251" i="412"/>
  <c r="BO251" i="412"/>
  <c r="BN252" i="412"/>
  <c r="BO252" i="412"/>
  <c r="BN253" i="412"/>
  <c r="BO253" i="412" s="1"/>
  <c r="BN254" i="412"/>
  <c r="BO254" i="412"/>
  <c r="BN255" i="412"/>
  <c r="BO255" i="412" s="1"/>
  <c r="BN256" i="412"/>
  <c r="BO256" i="412" s="1"/>
  <c r="BN257" i="412"/>
  <c r="BO257" i="412" s="1"/>
  <c r="BN258" i="412"/>
  <c r="BO258" i="412" s="1"/>
  <c r="BN259" i="412"/>
  <c r="BO259" i="412"/>
  <c r="BN260" i="412"/>
  <c r="BO260" i="412"/>
  <c r="BN261" i="412"/>
  <c r="BO261" i="412" s="1"/>
  <c r="BN262" i="412"/>
  <c r="BO262" i="412"/>
  <c r="BN263" i="412"/>
  <c r="BO263" i="412" s="1"/>
  <c r="BN264" i="412"/>
  <c r="BO264" i="412" s="1"/>
  <c r="BN265" i="412"/>
  <c r="BO265" i="412" s="1"/>
  <c r="BN266" i="412"/>
  <c r="BO266" i="412" s="1"/>
  <c r="BN267" i="412"/>
  <c r="BO267" i="412"/>
  <c r="BN268" i="412"/>
  <c r="BO268" i="412"/>
  <c r="BN269" i="412"/>
  <c r="BO269" i="412" s="1"/>
  <c r="BN270" i="412"/>
  <c r="BO270" i="412"/>
  <c r="BN271" i="412"/>
  <c r="BO271" i="412" s="1"/>
  <c r="BN272" i="412"/>
  <c r="BO272" i="412" s="1"/>
  <c r="BN273" i="412"/>
  <c r="BO273" i="412" s="1"/>
  <c r="BN274" i="412"/>
  <c r="BO274" i="412" s="1"/>
  <c r="BN275" i="412"/>
  <c r="BO275" i="412"/>
  <c r="BN276" i="412"/>
  <c r="BO276" i="412"/>
  <c r="BN277" i="412"/>
  <c r="BO277" i="412" s="1"/>
  <c r="BN278" i="412"/>
  <c r="BO278" i="412"/>
  <c r="BN279" i="412"/>
  <c r="BO279" i="412" s="1"/>
  <c r="BN280" i="412"/>
  <c r="BO280" i="412" s="1"/>
  <c r="BN281" i="412"/>
  <c r="BO281" i="412" s="1"/>
  <c r="BN282" i="412"/>
  <c r="BO282" i="412" s="1"/>
  <c r="BN283" i="412"/>
  <c r="BO283" i="412"/>
  <c r="BN284" i="412"/>
  <c r="BO284" i="412"/>
  <c r="BN285" i="412"/>
  <c r="BO285" i="412" s="1"/>
  <c r="BN286" i="412"/>
  <c r="BO286" i="412"/>
  <c r="BN287" i="412"/>
  <c r="BO287" i="412" s="1"/>
  <c r="BN288" i="412"/>
  <c r="BO288" i="412" s="1"/>
  <c r="BN289" i="412"/>
  <c r="BO289" i="412" s="1"/>
  <c r="BN290" i="412"/>
  <c r="BO290" i="412" s="1"/>
  <c r="BN291" i="412"/>
  <c r="BO291" i="412"/>
  <c r="BN292" i="412"/>
  <c r="BO292" i="412"/>
  <c r="BN293" i="412"/>
  <c r="BO293" i="412" s="1"/>
  <c r="BN294" i="412"/>
  <c r="BO294" i="412"/>
  <c r="BN295" i="412"/>
  <c r="BO295" i="412" s="1"/>
  <c r="BN296" i="412"/>
  <c r="BO296" i="412" s="1"/>
  <c r="BN297" i="412"/>
  <c r="BO297" i="412" s="1"/>
  <c r="BN298" i="412"/>
  <c r="BO298" i="412" s="1"/>
  <c r="BN299" i="412"/>
  <c r="BO299" i="412"/>
  <c r="BN300" i="412"/>
  <c r="BO300" i="412"/>
  <c r="BN301" i="412"/>
  <c r="BO301" i="412" s="1"/>
  <c r="BN302" i="412"/>
  <c r="BO302" i="412"/>
  <c r="BN303" i="412"/>
  <c r="BO303" i="412" s="1"/>
  <c r="BN304" i="412"/>
  <c r="BO304" i="412" s="1"/>
  <c r="BN305" i="412"/>
  <c r="BO305" i="412" s="1"/>
  <c r="BN306" i="412"/>
  <c r="BO306" i="412" s="1"/>
  <c r="BN307" i="412"/>
  <c r="BO307" i="412"/>
  <c r="BN308" i="412"/>
  <c r="BO308" i="412"/>
  <c r="BN309" i="412"/>
  <c r="BO309" i="412" s="1"/>
  <c r="BN310" i="412"/>
  <c r="BO310" i="412"/>
  <c r="BN311" i="412"/>
  <c r="BO311" i="412" s="1"/>
  <c r="BN312" i="412"/>
  <c r="BO312" i="412" s="1"/>
  <c r="BN313" i="412"/>
  <c r="BO313" i="412" s="1"/>
  <c r="BN314" i="412"/>
  <c r="BO314" i="412" s="1"/>
  <c r="BN315" i="412"/>
  <c r="BO315" i="412"/>
  <c r="BN316" i="412"/>
  <c r="BO316" i="412"/>
  <c r="BN317" i="412"/>
  <c r="BO317" i="412" s="1"/>
  <c r="BN318" i="412"/>
  <c r="BO318" i="412"/>
  <c r="BN319" i="412"/>
  <c r="BO319" i="412" s="1"/>
  <c r="BN320" i="412"/>
  <c r="BO320" i="412" s="1"/>
  <c r="BN321" i="412"/>
  <c r="BO321" i="412" s="1"/>
  <c r="BN322" i="412"/>
  <c r="BO322" i="412" s="1"/>
  <c r="BN323" i="412"/>
  <c r="BO323" i="412"/>
  <c r="BN324" i="412"/>
  <c r="BO324" i="412"/>
  <c r="BN325" i="412"/>
  <c r="BO325" i="412" s="1"/>
  <c r="BN326" i="412"/>
  <c r="BO326" i="412"/>
  <c r="BN327" i="412"/>
  <c r="BO327" i="412" s="1"/>
  <c r="BN328" i="412"/>
  <c r="BO328" i="412" s="1"/>
  <c r="BN329" i="412"/>
  <c r="BO329" i="412" s="1"/>
  <c r="BN330" i="412"/>
  <c r="BO330" i="412" s="1"/>
  <c r="BN331" i="412"/>
  <c r="BO331" i="412"/>
  <c r="BN332" i="412"/>
  <c r="BO332" i="412"/>
  <c r="BN333" i="412"/>
  <c r="BO333" i="412" s="1"/>
  <c r="BN334" i="412"/>
  <c r="BO334" i="412"/>
  <c r="BN335" i="412"/>
  <c r="BO335" i="412" s="1"/>
  <c r="BN336" i="412"/>
  <c r="BO336" i="412" s="1"/>
  <c r="BN337" i="412"/>
  <c r="BO337" i="412" s="1"/>
  <c r="BN338" i="412"/>
  <c r="BO338" i="412" s="1"/>
  <c r="BN339" i="412"/>
  <c r="BO339" i="412"/>
  <c r="BN340" i="412"/>
  <c r="BO340" i="412"/>
  <c r="BN341" i="412"/>
  <c r="BO341" i="412" s="1"/>
  <c r="BN342" i="412"/>
  <c r="BO342" i="412"/>
  <c r="BN343" i="412"/>
  <c r="BO343" i="412" s="1"/>
  <c r="BN344" i="412"/>
  <c r="BO344" i="412" s="1"/>
  <c r="BN345" i="412"/>
  <c r="BO345" i="412" s="1"/>
  <c r="BN346" i="412"/>
  <c r="BO346" i="412" s="1"/>
  <c r="BN347" i="412"/>
  <c r="BO347" i="412"/>
  <c r="BN348" i="412"/>
  <c r="BO348" i="412"/>
  <c r="BN349" i="412"/>
  <c r="BO349" i="412" s="1"/>
  <c r="BN350" i="412"/>
  <c r="BO350" i="412"/>
  <c r="BN351" i="412"/>
  <c r="BO351" i="412" s="1"/>
  <c r="BN352" i="412"/>
  <c r="BO352" i="412" s="1"/>
  <c r="BN353" i="412"/>
  <c r="BO353" i="412" s="1"/>
  <c r="BN354" i="412"/>
  <c r="BO354" i="412" s="1"/>
  <c r="BN355" i="412"/>
  <c r="BO355" i="412"/>
  <c r="BN356" i="412"/>
  <c r="BO356" i="412"/>
  <c r="BN357" i="412"/>
  <c r="BO357" i="412" s="1"/>
  <c r="BN358" i="412"/>
  <c r="BO358" i="412"/>
  <c r="BN359" i="412"/>
  <c r="BO359" i="412" s="1"/>
  <c r="BN360" i="412"/>
  <c r="BO360" i="412" s="1"/>
  <c r="BN361" i="412"/>
  <c r="BO361" i="412" s="1"/>
  <c r="BN362" i="412"/>
  <c r="BO362" i="412" s="1"/>
  <c r="BN363" i="412"/>
  <c r="BO363" i="412"/>
  <c r="BN364" i="412"/>
  <c r="BO364" i="412"/>
  <c r="BN365" i="412"/>
  <c r="BO365" i="412" s="1"/>
  <c r="BN366" i="412"/>
  <c r="BO366" i="412"/>
  <c r="BN367" i="412"/>
  <c r="BO367" i="412" s="1"/>
  <c r="BN368" i="412"/>
  <c r="BO368" i="412" s="1"/>
  <c r="BN369" i="412"/>
  <c r="BO369" i="412" s="1"/>
  <c r="BN370" i="412"/>
  <c r="BO370" i="412" s="1"/>
  <c r="BN371" i="412"/>
  <c r="BO371" i="412"/>
  <c r="BN372" i="412"/>
  <c r="BO372" i="412"/>
  <c r="BN373" i="412"/>
  <c r="BO373" i="412" s="1"/>
  <c r="BN374" i="412"/>
  <c r="BO374" i="412"/>
  <c r="BN375" i="412"/>
  <c r="BO375" i="412" s="1"/>
  <c r="BN376" i="412"/>
  <c r="BO376" i="412" s="1"/>
  <c r="BN377" i="412"/>
  <c r="BO377" i="412" s="1"/>
  <c r="BN378" i="412"/>
  <c r="BO378" i="412" s="1"/>
  <c r="BN379" i="412"/>
  <c r="BO379" i="412"/>
  <c r="BN380" i="412"/>
  <c r="BO380" i="412"/>
  <c r="BN381" i="412"/>
  <c r="BO381" i="412" s="1"/>
  <c r="BN382" i="412"/>
  <c r="BO382" i="412"/>
  <c r="BN383" i="412"/>
  <c r="BO383" i="412" s="1"/>
  <c r="BN384" i="412"/>
  <c r="BO384" i="412" s="1"/>
  <c r="BN385" i="412"/>
  <c r="BO385" i="412" s="1"/>
  <c r="BN386" i="412"/>
  <c r="BO386" i="412" s="1"/>
  <c r="BN387" i="412"/>
  <c r="BO387" i="412"/>
  <c r="BN388" i="412"/>
  <c r="BO388" i="412"/>
  <c r="BN389" i="412"/>
  <c r="BO389" i="412" s="1"/>
  <c r="BN390" i="412"/>
  <c r="BO390" i="412"/>
  <c r="BN391" i="412"/>
  <c r="BO391" i="412" s="1"/>
  <c r="BN392" i="412"/>
  <c r="BO392" i="412" s="1"/>
  <c r="BN393" i="412"/>
  <c r="BO393" i="412" s="1"/>
  <c r="BN394" i="412"/>
  <c r="BO394" i="412" s="1"/>
  <c r="BN395" i="412"/>
  <c r="BO395" i="412"/>
  <c r="BN396" i="412"/>
  <c r="BO396" i="412"/>
  <c r="BN397" i="412"/>
  <c r="BO397" i="412" s="1"/>
  <c r="BN398" i="412"/>
  <c r="BO398" i="412"/>
  <c r="BN399" i="412"/>
  <c r="BO399" i="412" s="1"/>
  <c r="BN400" i="412"/>
  <c r="BO400" i="412" s="1"/>
  <c r="BN401" i="412"/>
  <c r="BO401" i="412" s="1"/>
  <c r="BN402" i="412"/>
  <c r="BO402" i="412" s="1"/>
  <c r="BN403" i="412"/>
  <c r="BO403" i="412"/>
  <c r="BN404" i="412"/>
  <c r="BO404" i="412"/>
  <c r="BN405" i="412"/>
  <c r="BO405" i="412" s="1"/>
  <c r="BN406" i="412"/>
  <c r="BO406" i="412"/>
  <c r="BN407" i="412"/>
  <c r="BO407" i="412" s="1"/>
  <c r="BN408" i="412"/>
  <c r="BO408" i="412" s="1"/>
  <c r="BN409" i="412"/>
  <c r="BO409" i="412" s="1"/>
  <c r="BN410" i="412"/>
  <c r="BO410" i="412" s="1"/>
  <c r="BN411" i="412"/>
  <c r="BO411" i="412"/>
  <c r="BN412" i="412"/>
  <c r="BO412" i="412"/>
  <c r="BN413" i="412"/>
  <c r="BO413" i="412" s="1"/>
  <c r="BN414" i="412"/>
  <c r="BO414" i="412"/>
  <c r="BN415" i="412"/>
  <c r="BO415" i="412" s="1"/>
  <c r="BN416" i="412"/>
  <c r="BO416" i="412" s="1"/>
  <c r="BN417" i="412"/>
  <c r="BO417" i="412" s="1"/>
  <c r="BN418" i="412"/>
  <c r="BO418" i="412" s="1"/>
  <c r="BN419" i="412"/>
  <c r="BO419" i="412"/>
  <c r="BN420" i="412"/>
  <c r="BO420" i="412"/>
  <c r="BN421" i="412"/>
  <c r="BO421" i="412" s="1"/>
  <c r="BN422" i="412"/>
  <c r="BO422" i="412"/>
  <c r="BN423" i="412"/>
  <c r="BO423" i="412" s="1"/>
  <c r="BN424" i="412"/>
  <c r="BO424" i="412"/>
  <c r="BN425" i="412"/>
  <c r="BO425" i="412" s="1"/>
  <c r="BN426" i="412"/>
  <c r="BO426" i="412" s="1"/>
  <c r="BN427" i="412"/>
  <c r="BO427" i="412"/>
  <c r="BN428" i="412"/>
  <c r="BO428" i="412"/>
  <c r="BN429" i="412"/>
  <c r="BO429" i="412" s="1"/>
  <c r="BN430" i="412"/>
  <c r="BO430" i="412"/>
  <c r="BN431" i="412"/>
  <c r="BO431" i="412" s="1"/>
  <c r="BN432" i="412"/>
  <c r="BO432" i="412"/>
  <c r="BN433" i="412"/>
  <c r="BO433" i="412" s="1"/>
  <c r="BN434" i="412"/>
  <c r="BO434" i="412" s="1"/>
  <c r="BN435" i="412"/>
  <c r="BO435" i="412"/>
  <c r="BN436" i="412"/>
  <c r="BO436" i="412"/>
  <c r="BN437" i="412"/>
  <c r="BO437" i="412" s="1"/>
  <c r="BN438" i="412"/>
  <c r="BO438" i="412"/>
  <c r="BN439" i="412"/>
  <c r="BO439" i="412" s="1"/>
  <c r="BN440" i="412"/>
  <c r="BO440" i="412"/>
  <c r="BN441" i="412"/>
  <c r="BO441" i="412" s="1"/>
  <c r="BN442" i="412"/>
  <c r="BO442" i="412" s="1"/>
  <c r="BN443" i="412"/>
  <c r="BO443" i="412"/>
  <c r="BN444" i="412"/>
  <c r="BO444" i="412"/>
  <c r="BN445" i="412"/>
  <c r="BO445" i="412" s="1"/>
  <c r="BN446" i="412"/>
  <c r="BO446" i="412"/>
  <c r="BN447" i="412"/>
  <c r="BO447" i="412" s="1"/>
  <c r="BN448" i="412"/>
  <c r="BO448" i="412"/>
  <c r="BN449" i="412"/>
  <c r="BO449" i="412" s="1"/>
  <c r="BN450" i="412"/>
  <c r="BO450" i="412" s="1"/>
  <c r="BN451" i="412"/>
  <c r="BO451" i="412"/>
  <c r="BN452" i="412"/>
  <c r="BO452" i="412"/>
  <c r="BN453" i="412"/>
  <c r="BO453" i="412" s="1"/>
  <c r="BN454" i="412"/>
  <c r="BO454" i="412"/>
  <c r="BN455" i="412"/>
  <c r="BO455" i="412" s="1"/>
  <c r="BN456" i="412"/>
  <c r="BO456" i="412"/>
  <c r="BN457" i="412"/>
  <c r="BO457" i="412" s="1"/>
  <c r="BN458" i="412"/>
  <c r="BO458" i="412" s="1"/>
  <c r="BN459" i="412"/>
  <c r="BO459" i="412"/>
  <c r="BN460" i="412"/>
  <c r="BO460" i="412"/>
  <c r="BN461" i="412"/>
  <c r="BO461" i="412" s="1"/>
  <c r="BN462" i="412"/>
  <c r="BO462" i="412"/>
  <c r="BN463" i="412"/>
  <c r="BO463" i="412" s="1"/>
  <c r="BN464" i="412"/>
  <c r="BO464" i="412"/>
  <c r="BN465" i="412"/>
  <c r="BO465" i="412" s="1"/>
  <c r="BN466" i="412"/>
  <c r="BO466" i="412" s="1"/>
  <c r="BN467" i="412"/>
  <c r="BO467" i="412"/>
  <c r="BN468" i="412"/>
  <c r="BO468" i="412"/>
  <c r="BN469" i="412"/>
  <c r="BO469" i="412" s="1"/>
  <c r="BN470" i="412"/>
  <c r="BO470" i="412"/>
  <c r="BN3" i="412"/>
  <c r="BO3" i="412"/>
  <c r="BN4" i="412"/>
  <c r="BO4" i="412"/>
  <c r="BN5" i="412"/>
  <c r="BO5" i="412" s="1"/>
  <c r="BN6" i="412"/>
  <c r="BO6" i="412"/>
  <c r="BN7" i="412"/>
  <c r="BO7" i="412"/>
  <c r="BN8" i="412"/>
  <c r="BO8" i="412"/>
  <c r="BN9" i="412"/>
  <c r="BO9" i="412"/>
  <c r="BN10" i="412"/>
  <c r="BO10" i="412" s="1"/>
  <c r="BN11" i="412"/>
  <c r="BO11" i="412"/>
  <c r="BN12" i="412"/>
  <c r="BO12" i="412"/>
  <c r="BN13" i="412"/>
  <c r="BO13" i="412"/>
  <c r="BN14" i="412"/>
  <c r="BO14" i="412"/>
  <c r="BN15" i="412"/>
  <c r="BO15" i="412"/>
  <c r="BN16" i="412"/>
  <c r="BO16" i="412"/>
  <c r="BN17" i="412"/>
  <c r="BO17" i="412"/>
  <c r="BN18" i="412"/>
  <c r="BO18" i="412"/>
  <c r="BN19" i="412"/>
  <c r="BO19" i="412"/>
  <c r="BN20" i="412"/>
  <c r="BO20" i="412"/>
  <c r="BN21" i="412"/>
  <c r="BO21" i="412"/>
  <c r="BN22" i="412"/>
  <c r="BO22" i="412"/>
  <c r="BN23" i="412"/>
  <c r="BO23" i="412"/>
  <c r="BN24" i="412"/>
  <c r="BO24" i="412"/>
  <c r="BN25" i="412"/>
  <c r="BO25" i="412"/>
  <c r="BN26" i="412"/>
  <c r="BO26" i="412"/>
  <c r="BN27" i="412"/>
  <c r="BO27" i="412"/>
  <c r="BN28" i="412"/>
  <c r="BO28" i="412"/>
  <c r="BN29" i="412"/>
  <c r="BO29" i="412"/>
  <c r="BN30" i="412"/>
  <c r="BO30" i="412"/>
  <c r="BN31" i="412"/>
  <c r="BO31" i="412"/>
  <c r="BN32" i="412"/>
  <c r="BO32" i="412"/>
  <c r="BN33" i="412"/>
  <c r="BO33" i="412"/>
  <c r="BN34" i="412"/>
  <c r="BO34" i="412" s="1"/>
  <c r="BN35" i="412"/>
  <c r="BO35" i="412"/>
  <c r="BN2" i="412"/>
  <c r="BO2" i="412" l="1"/>
</calcChain>
</file>

<file path=xl/sharedStrings.xml><?xml version="1.0" encoding="utf-8"?>
<sst xmlns="http://schemas.openxmlformats.org/spreadsheetml/2006/main" count="3355" uniqueCount="544">
  <si>
    <t>컨텐츠</t>
  </si>
  <si>
    <t>컨텐츠No</t>
  </si>
  <si>
    <t>공급자코드</t>
  </si>
  <si>
    <t>CP명</t>
  </si>
  <si>
    <t>작가명</t>
  </si>
  <si>
    <t>출판사</t>
  </si>
  <si>
    <t>서비스일</t>
  </si>
  <si>
    <t>전체이용가</t>
  </si>
  <si>
    <t>15세 이상 이용가능</t>
  </si>
  <si>
    <t>구분</t>
    <phoneticPr fontId="20" type="noConversion"/>
  </si>
  <si>
    <t>12세 이상 이용가능</t>
  </si>
  <si>
    <t>스토리위즈</t>
  </si>
  <si>
    <t>권용찬</t>
  </si>
  <si>
    <t>김광수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</si>
  <si>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</si>
  <si>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</si>
  <si>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</si>
  <si>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</si>
  <si>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</si>
  <si>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</si>
  <si>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</si>
  <si>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</si>
  <si>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</si>
  <si>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</si>
  <si>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</si>
  <si>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합계</t>
  </si>
  <si>
    <t>순매출(합계-수수료)</t>
    <phoneticPr fontId="20" type="noConversion"/>
  </si>
  <si>
    <t>SW 매출</t>
    <phoneticPr fontId="20" type="noConversion"/>
  </si>
  <si>
    <t>앱마켓수수료</t>
  </si>
  <si>
    <t>나이제한</t>
    <phoneticPr fontId="20" type="noConversion"/>
  </si>
  <si>
    <t>시리즈APP</t>
    <phoneticPr fontId="20" type="noConversion"/>
  </si>
  <si>
    <t>구원, 그 잔혹함에 대하여 [선공개]</t>
  </si>
  <si>
    <t>스토리위즈_1</t>
  </si>
  <si>
    <t>한보연</t>
  </si>
  <si>
    <t>블레슈</t>
  </si>
  <si>
    <t>2022.06.02</t>
  </si>
  <si>
    <t>디버프 마스터</t>
  </si>
  <si>
    <t>담화공</t>
  </si>
  <si>
    <t>2022.05.04</t>
  </si>
  <si>
    <t>위대한 가문의 망나니가 되다 [독점]</t>
  </si>
  <si>
    <t>바나바다</t>
  </si>
  <si>
    <t>2022.04.17</t>
  </si>
  <si>
    <t>나 혼자 스킬융합 [독점]</t>
  </si>
  <si>
    <t>붕어빵</t>
  </si>
  <si>
    <t>2022.05.06</t>
  </si>
  <si>
    <t>회귀의 전설 [단행본]</t>
  </si>
  <si>
    <t>2021.02.19</t>
  </si>
  <si>
    <t>최종 보스 : 빛을 향해 달리는 그림자 [독점]</t>
  </si>
  <si>
    <t>무장</t>
  </si>
  <si>
    <t>2021.03.06</t>
  </si>
  <si>
    <t>사랑도 없이 결혼</t>
  </si>
  <si>
    <t>차홍주</t>
  </si>
  <si>
    <t>도서출판 태랑</t>
  </si>
  <si>
    <t>2020.12.07</t>
  </si>
  <si>
    <t>갓 오브 블랙필드</t>
  </si>
  <si>
    <t>2017.02.27</t>
  </si>
  <si>
    <t>신입사원이 이렇게 일을 잘했다고? [독점]</t>
  </si>
  <si>
    <t>왕십리글쟁이</t>
  </si>
  <si>
    <t>2022.06.08</t>
  </si>
  <si>
    <t>결혼의 함정 [선공개]</t>
  </si>
  <si>
    <t>블랙커피</t>
  </si>
  <si>
    <t>2022.05.10</t>
  </si>
  <si>
    <t>로드 오브 머니</t>
  </si>
  <si>
    <t>2018.08.02</t>
  </si>
  <si>
    <t>갓 오브 블랙필드 [개정판][단행본]</t>
  </si>
  <si>
    <t>2020.06.24</t>
  </si>
  <si>
    <t>어쩌다 계약 아내 [선공개]</t>
  </si>
  <si>
    <t>아슈크림</t>
  </si>
  <si>
    <t>2022.03.21</t>
  </si>
  <si>
    <t>전생자가 용병단장으로 살아가는 법 [독점]</t>
  </si>
  <si>
    <t>새우깡조아</t>
  </si>
  <si>
    <t>2022.06.09</t>
  </si>
  <si>
    <t>바랑둥이 내 남자</t>
  </si>
  <si>
    <t>밈스</t>
  </si>
  <si>
    <t>2022.05.25</t>
  </si>
  <si>
    <t>원코인 게이머 아포칼립스</t>
  </si>
  <si>
    <t>이한애비</t>
  </si>
  <si>
    <t>2022.03.23</t>
  </si>
  <si>
    <t>다정할수록 불순한 [외전 선공개]</t>
  </si>
  <si>
    <t>은지유</t>
  </si>
  <si>
    <t>2022.04.04</t>
  </si>
  <si>
    <t>형사의 게임</t>
  </si>
  <si>
    <t>2017.04.11</t>
  </si>
  <si>
    <t>간신이 나라를 살림</t>
  </si>
  <si>
    <t>루이세</t>
  </si>
  <si>
    <t>2020.01.22</t>
  </si>
  <si>
    <t>BJ소드마스터 [독점]</t>
  </si>
  <si>
    <t>이동열</t>
  </si>
  <si>
    <t>2020.07.24</t>
  </si>
  <si>
    <t>회귀자의 슬기로운 복수생활 [독점]</t>
  </si>
  <si>
    <t>구공</t>
  </si>
  <si>
    <t>2022.03.30</t>
  </si>
  <si>
    <t>위험한 신혼부부 [독점]</t>
  </si>
  <si>
    <t>박수정(방울마마)</t>
  </si>
  <si>
    <t>2016.07.20</t>
  </si>
  <si>
    <t>돌아온 막내 영애님을 조심하세요</t>
  </si>
  <si>
    <t>윈델</t>
  </si>
  <si>
    <t>2022.05.13</t>
  </si>
  <si>
    <t>기사가문 망나니는 10클래스</t>
  </si>
  <si>
    <t>예로나</t>
  </si>
  <si>
    <t>2020.03.11</t>
  </si>
  <si>
    <t>공작가의 남루한 신부</t>
  </si>
  <si>
    <t>무성매직</t>
  </si>
  <si>
    <t>2021.04.08</t>
  </si>
  <si>
    <t>로드 오브 머니 [단행본]</t>
  </si>
  <si>
    <t>2019.08.05</t>
  </si>
  <si>
    <t>절대자의 귀환</t>
  </si>
  <si>
    <t>장유진</t>
  </si>
  <si>
    <t>2021.01.19</t>
  </si>
  <si>
    <t>SSS급 마왕의 귀환</t>
  </si>
  <si>
    <t>구유</t>
  </si>
  <si>
    <t>2019.06.14</t>
  </si>
  <si>
    <t>슈퍼스타의 비밀 어플</t>
  </si>
  <si>
    <t>2022.03.11</t>
  </si>
  <si>
    <t>그라운드의 지배자</t>
  </si>
  <si>
    <t>2016.05.30</t>
  </si>
  <si>
    <t>삼국지 호접몽전 [단행본]</t>
  </si>
  <si>
    <t>청빙</t>
  </si>
  <si>
    <t>2020.05.05</t>
  </si>
  <si>
    <t>말빨</t>
  </si>
  <si>
    <t>2020.02.12</t>
  </si>
  <si>
    <t>그라운드의 지배자 [단행본]</t>
  </si>
  <si>
    <t>2017.09.06</t>
  </si>
  <si>
    <t>시크릿 맨 [개정판][삽화본]</t>
  </si>
  <si>
    <t>2020.04.10</t>
  </si>
  <si>
    <t>격렬하게, 다시 한번</t>
  </si>
  <si>
    <t>허니레몬</t>
  </si>
  <si>
    <t>2019.07.24</t>
  </si>
  <si>
    <t>임신부터 할까요?</t>
  </si>
  <si>
    <t>온서</t>
  </si>
  <si>
    <t>2021.03.26</t>
  </si>
  <si>
    <t>문답무용 - 삼국지 유비의 모사가 되었다</t>
  </si>
  <si>
    <t>2021.02.24</t>
  </si>
  <si>
    <t>다정할수록 불순한 [단행본]</t>
  </si>
  <si>
    <t>2022.05.20</t>
  </si>
  <si>
    <t>게임 속 유닛 [단행본]</t>
  </si>
  <si>
    <t>찬동</t>
  </si>
  <si>
    <t>2021.01.21</t>
  </si>
  <si>
    <t>뜨거운 항해</t>
  </si>
  <si>
    <t>2021.08.16</t>
  </si>
  <si>
    <t>화산검제 [은천검제 2부 연재]</t>
  </si>
  <si>
    <t>2020.03.24</t>
  </si>
  <si>
    <t>흔적</t>
  </si>
  <si>
    <t>꽃잠</t>
  </si>
  <si>
    <t>망작 리메이커 [독점]</t>
  </si>
  <si>
    <t>덕킹</t>
  </si>
  <si>
    <t>2021.08.03</t>
  </si>
  <si>
    <t>월급 주는 남편</t>
  </si>
  <si>
    <t>블 루 스 카 이</t>
  </si>
  <si>
    <t>2020.04.13</t>
  </si>
  <si>
    <t>형사의 게임 [단행본]</t>
  </si>
  <si>
    <t>2017.10.27</t>
  </si>
  <si>
    <t>야쿠자가 사랑을 한다면 [개정판][BL]</t>
  </si>
  <si>
    <t>모리미</t>
  </si>
  <si>
    <t>2019.12.05</t>
  </si>
  <si>
    <t>구애</t>
  </si>
  <si>
    <t>셔틀</t>
  </si>
  <si>
    <t>2019.11.22</t>
  </si>
  <si>
    <t>게임 속 유닛</t>
  </si>
  <si>
    <t>2020.08.18</t>
  </si>
  <si>
    <t>그땐 미처</t>
  </si>
  <si>
    <t>2018.12.26</t>
  </si>
  <si>
    <t>적왕의 깊은 밤</t>
  </si>
  <si>
    <t>엘리신</t>
  </si>
  <si>
    <t>2020.11.02</t>
  </si>
  <si>
    <t>기어이 사랑</t>
  </si>
  <si>
    <t>2020.01.31</t>
  </si>
  <si>
    <t>사랑을 놓치고</t>
  </si>
  <si>
    <t>2018.11.09</t>
  </si>
  <si>
    <t>SSS급 마왕의 귀환 [단행본]</t>
  </si>
  <si>
    <t>2020.03.19</t>
  </si>
  <si>
    <t>이과생 둘이 회귀했다 [단행본]</t>
  </si>
  <si>
    <t>하이후</t>
  </si>
  <si>
    <t>라스트 서바이버 : 진화로 살아남아라!</t>
  </si>
  <si>
    <t>친구의 고백</t>
  </si>
  <si>
    <t>빵양이</t>
  </si>
  <si>
    <t>2019.02.01</t>
  </si>
  <si>
    <t>내 남자 길들이기</t>
  </si>
  <si>
    <t>2020.11.16</t>
  </si>
  <si>
    <t>칵테일로 레벨업 [독점]</t>
  </si>
  <si>
    <t>서강후</t>
  </si>
  <si>
    <t>2021.11.01</t>
  </si>
  <si>
    <t>너는 내 숨결이니까</t>
  </si>
  <si>
    <t>2020.09.14</t>
  </si>
  <si>
    <t>On the air [BL]</t>
  </si>
  <si>
    <t>DION(디온)</t>
  </si>
  <si>
    <t>2021.02.03</t>
  </si>
  <si>
    <t>영원한 1위 [BL][단행본]</t>
  </si>
  <si>
    <t>羽宸寰(Uchenhu), 林珮瑜(Lin Peiyu)</t>
  </si>
  <si>
    <t>2022.05.02</t>
  </si>
  <si>
    <t>처음이어도 좋아</t>
  </si>
  <si>
    <t>테레자</t>
  </si>
  <si>
    <t>2020.05.18</t>
  </si>
  <si>
    <t>이과생 둘이 회귀했다</t>
  </si>
  <si>
    <t>2020.07.10</t>
  </si>
  <si>
    <t>컬러 러쉬 [BL]</t>
  </si>
  <si>
    <t>세상</t>
  </si>
  <si>
    <t>2021.04.07</t>
  </si>
  <si>
    <t>회귀했는데 FFF급 부두술사 [독점]</t>
  </si>
  <si>
    <t>빡선생</t>
  </si>
  <si>
    <t>2021.11.17</t>
  </si>
  <si>
    <t>나 혼자만 일일 보상</t>
  </si>
  <si>
    <t>2018.12.20</t>
  </si>
  <si>
    <t>욕망에 눈뜨다</t>
  </si>
  <si>
    <t>2020.05.15</t>
  </si>
  <si>
    <t>이 비서 다리 좀 치워 [BL]</t>
  </si>
  <si>
    <t>2019.05.16</t>
  </si>
  <si>
    <t>살 떨리는 동거</t>
  </si>
  <si>
    <t>2021.01.14</t>
  </si>
  <si>
    <t>도폐풍운록</t>
  </si>
  <si>
    <t>2021.01.29</t>
  </si>
  <si>
    <t>성군이십니다 [독점]</t>
  </si>
  <si>
    <t>이준영</t>
  </si>
  <si>
    <t>2019.04.17</t>
  </si>
  <si>
    <t>2위의 역습 [BL][단행본]</t>
  </si>
  <si>
    <t>사랑한다 윤혜영 [개정판][삽화본]</t>
  </si>
  <si>
    <t>2021.01.18</t>
  </si>
  <si>
    <t>어쩌다 계약 아내 [단행본]</t>
  </si>
  <si>
    <t>2021.09.17</t>
  </si>
  <si>
    <t>리얼 머니 [독점]</t>
  </si>
  <si>
    <t>진문</t>
  </si>
  <si>
    <t>2020.06.03</t>
  </si>
  <si>
    <t>선유문주 [단행본]</t>
  </si>
  <si>
    <t>2022.01.27</t>
  </si>
  <si>
    <t>도폐풍운록 [단행본]</t>
  </si>
  <si>
    <t>영웅 [개정판][단행본]</t>
  </si>
  <si>
    <t>2020.10.29</t>
  </si>
  <si>
    <t>내 사랑 스토커</t>
  </si>
  <si>
    <t>디버스 대도서관</t>
  </si>
  <si>
    <t>2019.04.01</t>
  </si>
  <si>
    <t>네가 뭔데 그러세요 [BL]</t>
  </si>
  <si>
    <t>주이서</t>
  </si>
  <si>
    <t>2021.01.13</t>
  </si>
  <si>
    <t>우리야, 이리온</t>
  </si>
  <si>
    <t>김온별(러브마인)</t>
  </si>
  <si>
    <t>2022.04.08</t>
  </si>
  <si>
    <t>베리타 (verità)</t>
  </si>
  <si>
    <t>2021.04.02</t>
  </si>
  <si>
    <t>강호유정</t>
  </si>
  <si>
    <t>2020.08.25</t>
  </si>
  <si>
    <t>말빨 [단행본]</t>
  </si>
  <si>
    <t>2020.09.08</t>
  </si>
  <si>
    <t>버그 걸린 드래곤 [독점]</t>
  </si>
  <si>
    <t>폴딩</t>
  </si>
  <si>
    <t>2021.10.15</t>
  </si>
  <si>
    <t>올마스터가 된 비전서고 [독점]</t>
  </si>
  <si>
    <t>글면증</t>
  </si>
  <si>
    <t>2021.11.18</t>
  </si>
  <si>
    <t>나는 너를, 너는 나를 [BL]</t>
  </si>
  <si>
    <t>라비니안느</t>
  </si>
  <si>
    <t>2019.03.07</t>
  </si>
  <si>
    <t>앙팡테리블</t>
  </si>
  <si>
    <t>쇠렌센</t>
  </si>
  <si>
    <t>2020.09.29</t>
  </si>
  <si>
    <t>나쁜 이혼 [선공개]</t>
  </si>
  <si>
    <t>진숙</t>
  </si>
  <si>
    <t>2021.03.02</t>
  </si>
  <si>
    <t>비서의 유혹</t>
  </si>
  <si>
    <t>2020.02.14</t>
  </si>
  <si>
    <t>기사가문 망나니는 10클래스 [단행본]</t>
  </si>
  <si>
    <t>2020.08.26</t>
  </si>
  <si>
    <t>컬러 러쉬 [BL][단행본]</t>
  </si>
  <si>
    <t>2021.04.13</t>
  </si>
  <si>
    <t>강호유정 [단행본]</t>
  </si>
  <si>
    <t>131100761</t>
  </si>
  <si>
    <t>2013.11.15</t>
  </si>
  <si>
    <t>유성하소월 [1~83화]</t>
  </si>
  <si>
    <t>se1392001</t>
  </si>
  <si>
    <t>2019.01.31</t>
  </si>
  <si>
    <t>사랑, 흘러간다 [BL]</t>
  </si>
  <si>
    <t>사냥:꿈 [BL]</t>
  </si>
  <si>
    <t>2018.02.22</t>
  </si>
  <si>
    <t>선유문주</t>
  </si>
  <si>
    <t>짝사랑 이별곡 [BL]</t>
  </si>
  <si>
    <t>2019.01.24</t>
  </si>
  <si>
    <t>던전 공략 LIVE</t>
  </si>
  <si>
    <t>2018.06.20</t>
  </si>
  <si>
    <t>슈퍼스타의 비밀 어플 [단행본]</t>
  </si>
  <si>
    <t>2022.03.10</t>
  </si>
  <si>
    <t>영원한 1위 &amp; 2위의 역습 [BL]</t>
  </si>
  <si>
    <t>2022.05.19</t>
  </si>
  <si>
    <t>트리거 [BL]</t>
  </si>
  <si>
    <t>2020.06.05</t>
  </si>
  <si>
    <t>내 안에 흑염룡이 산다! [독점]</t>
  </si>
  <si>
    <t>리세마라</t>
  </si>
  <si>
    <t>2022.02.10</t>
  </si>
  <si>
    <t>여왕 아델</t>
  </si>
  <si>
    <t>이린비</t>
  </si>
  <si>
    <t>2018.01.25</t>
  </si>
  <si>
    <t>위층 아이 아빠 [BL]</t>
  </si>
  <si>
    <t>2019.03.05</t>
  </si>
  <si>
    <t>은천검제(2부 화산검제) [단행본]</t>
  </si>
  <si>
    <t>리얼 머니 [단행본]</t>
  </si>
  <si>
    <t>2020.12.11</t>
  </si>
  <si>
    <t>검산도해 [단행본]</t>
  </si>
  <si>
    <t>골 때리는 사랑 [BL]</t>
  </si>
  <si>
    <t>2020.04.17</t>
  </si>
  <si>
    <t>낚싯대 하나로 세계최강 [독점]</t>
  </si>
  <si>
    <t>단팥크림빵7</t>
  </si>
  <si>
    <t>2021.08.20</t>
  </si>
  <si>
    <t>궁성</t>
  </si>
  <si>
    <t>스내치</t>
  </si>
  <si>
    <t>2020.12.21</t>
  </si>
  <si>
    <t>신인류 좀비의 아포칼립스 [독점]</t>
  </si>
  <si>
    <t>모험왕선우</t>
  </si>
  <si>
    <t>2021.12.08</t>
  </si>
  <si>
    <t>푸르디푸른 내 달빛</t>
  </si>
  <si>
    <t>모리미J</t>
  </si>
  <si>
    <t>2020.11.30</t>
  </si>
  <si>
    <t>그 여름 네 입술</t>
  </si>
  <si>
    <t>레드트러블</t>
  </si>
  <si>
    <t>그땐 그랬었다 [BL]</t>
  </si>
  <si>
    <t>2018.09.07</t>
  </si>
  <si>
    <t>완벽한 계략 남편</t>
  </si>
  <si>
    <t>2021.01.04</t>
  </si>
  <si>
    <t>얼어 죽어도, 겨울</t>
  </si>
  <si>
    <t>진새벽</t>
  </si>
  <si>
    <t>2020.11.27</t>
  </si>
  <si>
    <t>야릇한 그놈</t>
  </si>
  <si>
    <t>해달화영</t>
  </si>
  <si>
    <t>2020.07.22</t>
  </si>
  <si>
    <t>격렬하게, 다시 한번 [단행본]</t>
  </si>
  <si>
    <t>2020.03.20</t>
  </si>
  <si>
    <t>그 알파 내 오메가 만들기 [BL]</t>
  </si>
  <si>
    <t>2018.09.20</t>
  </si>
  <si>
    <t>나 혼자만 일일 보상 [단행본]</t>
  </si>
  <si>
    <t>2020.03.05</t>
  </si>
  <si>
    <t>욕과 정이 깨어날 때</t>
  </si>
  <si>
    <t>김너울</t>
  </si>
  <si>
    <t>2019.12.27</t>
  </si>
  <si>
    <t>어쩌다 계약 아내 외전 [단행본]</t>
  </si>
  <si>
    <t>두 형사 [개정판][삽화본]</t>
  </si>
  <si>
    <t>2021.03.12</t>
  </si>
  <si>
    <t>더 라스트 웨어울프</t>
  </si>
  <si>
    <t>2020.11.11</t>
  </si>
  <si>
    <t>아프오 안 아프오 나는 [BL]</t>
  </si>
  <si>
    <t>내 남편의 열렬한 구애</t>
  </si>
  <si>
    <t>아이리스</t>
  </si>
  <si>
    <t>2019.12.09</t>
  </si>
  <si>
    <t>구애 [단행본]</t>
  </si>
  <si>
    <t>19세 이상 이용가능</t>
  </si>
  <si>
    <t>충동적인 결혼</t>
  </si>
  <si>
    <t>2019.11.29</t>
  </si>
  <si>
    <t>SOTUS [BL][단행본]</t>
  </si>
  <si>
    <t>BitterSweet</t>
  </si>
  <si>
    <t>본능에 눈뜨다 [개정증보판]</t>
  </si>
  <si>
    <t>2019.11.15</t>
  </si>
  <si>
    <t>절대자의 귀환 [단행본]</t>
  </si>
  <si>
    <t>2021.04.15</t>
  </si>
  <si>
    <t>사랑도 없이 결혼 [단행본]</t>
  </si>
  <si>
    <t>아래층에 전남편이 산다</t>
  </si>
  <si>
    <t>2021.10.01</t>
  </si>
  <si>
    <t>우리 [개정판][삽화본]</t>
  </si>
  <si>
    <t>월급 주는 남편 [단행본]</t>
  </si>
  <si>
    <t>2020.09.28</t>
  </si>
  <si>
    <t>호랑이 신을 길들여 버렸다</t>
  </si>
  <si>
    <t>부엉이콩</t>
  </si>
  <si>
    <t>2021.11.19</t>
  </si>
  <si>
    <t>완벽한 계략 남편 [단행본]</t>
  </si>
  <si>
    <t>꿈속의 보스</t>
  </si>
  <si>
    <t>2021.01.12</t>
  </si>
  <si>
    <t>나만의 스타</t>
  </si>
  <si>
    <t>2018.11.07</t>
  </si>
  <si>
    <t>게이 하우스 [BL]</t>
  </si>
  <si>
    <t>빨강뽀뽀</t>
  </si>
  <si>
    <t>2019.06.26</t>
  </si>
  <si>
    <t>보좌관</t>
  </si>
  <si>
    <t>2019.04.11</t>
  </si>
  <si>
    <t>쉿, 그놈을 부탁해</t>
  </si>
  <si>
    <t>먼나무</t>
  </si>
  <si>
    <t>2021.11.15</t>
  </si>
  <si>
    <t>유성하소월 [84~122화]</t>
  </si>
  <si>
    <t>se1392084</t>
  </si>
  <si>
    <t>2014.09.12</t>
  </si>
  <si>
    <t>레이디 스칼렛</t>
  </si>
  <si>
    <t>불고기자리</t>
  </si>
  <si>
    <t>2020.08.20</t>
  </si>
  <si>
    <t>와그작 [BL]</t>
  </si>
  <si>
    <t>2021.06.02</t>
  </si>
  <si>
    <t>라지에르의 서</t>
  </si>
  <si>
    <t>공든탑</t>
  </si>
  <si>
    <t>2017.07.03</t>
  </si>
  <si>
    <t>내일은 이혼해요</t>
  </si>
  <si>
    <t>윤비밀</t>
  </si>
  <si>
    <t>2020.02.24</t>
  </si>
  <si>
    <t>퇴마사(巫者) [BL][단행본]</t>
  </si>
  <si>
    <t>시무(蒔舞)</t>
  </si>
  <si>
    <t>2022.01.21</t>
  </si>
  <si>
    <t>살 떨리는 동거 [단행본]</t>
  </si>
  <si>
    <t>문답무용 - 삼국지 유비의 모사가 되었다 [단행본]</t>
  </si>
  <si>
    <t>2021.05.20</t>
  </si>
  <si>
    <t>The Siren [BL][단행본]</t>
  </si>
  <si>
    <t>헬로미니</t>
  </si>
  <si>
    <t>2021.04.22</t>
  </si>
  <si>
    <t>복수하는 회귀 사서 [독점]</t>
  </si>
  <si>
    <t>백일하</t>
  </si>
  <si>
    <t>SOTUS S [BL]</t>
  </si>
  <si>
    <t>2022.05.27</t>
  </si>
  <si>
    <t>얼굴 천재 교주가 되었다</t>
  </si>
  <si>
    <t>비고</t>
  </si>
  <si>
    <t>사라족의 간택 [삽화본][BL]</t>
  </si>
  <si>
    <t>납치</t>
  </si>
  <si>
    <t>컬러 러쉬 외전 [BL][단행본]</t>
  </si>
  <si>
    <t>중독</t>
  </si>
  <si>
    <t>문스톤</t>
  </si>
  <si>
    <t>2019.12.18</t>
  </si>
  <si>
    <t>스타의 연애 [BL]</t>
  </si>
  <si>
    <t>퇴마사(巫者) [BL]</t>
  </si>
  <si>
    <t>2021.12.03</t>
  </si>
  <si>
    <t>내 몸을 돌려줘요</t>
  </si>
  <si>
    <t>박도아</t>
  </si>
  <si>
    <t>2020.04.22</t>
  </si>
  <si>
    <t>사랑은 내가, 너는 행복만</t>
  </si>
  <si>
    <t>아타락시아</t>
  </si>
  <si>
    <t>2021.02.15</t>
  </si>
  <si>
    <t>완벽한 타인과</t>
  </si>
  <si>
    <t>2020.01.28</t>
  </si>
  <si>
    <t>베놈 마스터</t>
  </si>
  <si>
    <t>시계태엽오란씨</t>
  </si>
  <si>
    <t>2020.02.03</t>
  </si>
  <si>
    <t>바빌로니아의 검은 책</t>
  </si>
  <si>
    <t>펌킨몬</t>
  </si>
  <si>
    <t>2018.07.14</t>
  </si>
  <si>
    <t>아저씨, 내 기분 왜 이래요?</t>
  </si>
  <si>
    <t>Livingston</t>
  </si>
  <si>
    <t>2021.03.29</t>
  </si>
  <si>
    <t>혀끝에서 맴도는</t>
  </si>
  <si>
    <t>수레국화꽃말</t>
  </si>
  <si>
    <t>2020.06.29</t>
  </si>
  <si>
    <t>시리즈완전판(APP)</t>
    <phoneticPr fontId="20" type="noConversion"/>
  </si>
  <si>
    <t>시리즈완전판(APP)</t>
    <phoneticPr fontId="20" type="noConversion"/>
  </si>
  <si>
    <t>우리야, 이리온 [단행본]</t>
  </si>
  <si>
    <t>2021.12.20</t>
  </si>
  <si>
    <t>바랑둥이 내 남자 [단행본]</t>
  </si>
  <si>
    <t>나쁜 이혼 [단행본]</t>
  </si>
  <si>
    <t>야쿠자가 사랑을 한다면 2 [개정판][BL][단행본]</t>
  </si>
  <si>
    <t>2022.01.28</t>
  </si>
  <si>
    <t>너는 내 숨결이니까 [단행본]</t>
  </si>
  <si>
    <t>2021.04.09</t>
  </si>
  <si>
    <t>이 비서 다리 좀 치워 [BL][단행본]</t>
  </si>
  <si>
    <t>2020.05.08</t>
  </si>
  <si>
    <t>선택된 남자 [BL][단행본]</t>
  </si>
  <si>
    <t>2021.05.21</t>
  </si>
  <si>
    <t>시크릿 맨 [개정판][삽화본][단행본]</t>
  </si>
  <si>
    <t>2020.05.29</t>
  </si>
  <si>
    <t>아래층에 전남편이 산다 [단행본]</t>
  </si>
  <si>
    <t>사랑을 놓치고 [단행본]</t>
  </si>
  <si>
    <t>2019.10.11</t>
  </si>
  <si>
    <t>야쿠자가 사랑을 한다면 [개정판][BL][단행본]</t>
  </si>
  <si>
    <t>낚싯대 하나로 세계최강 [단행본]</t>
  </si>
  <si>
    <t>중독 [단행본]</t>
  </si>
  <si>
    <t>2020.01.02</t>
  </si>
  <si>
    <t>썸원(Someone) [단행본]</t>
  </si>
  <si>
    <t>2020.11.23</t>
  </si>
  <si>
    <t>들이대지 마 [BL][단행본]</t>
  </si>
  <si>
    <t>아이 컨택 [BL][단행본]</t>
  </si>
  <si>
    <t>2021.05.18</t>
  </si>
  <si>
    <t>사랑한다 윤혜영 [개정판][삽화본][단행본]</t>
  </si>
  <si>
    <t>내 남자 길들이기 [단행본]</t>
  </si>
  <si>
    <t>매혹적인 상사 [단행본]</t>
  </si>
  <si>
    <t>친구의 고백 [단행본]</t>
  </si>
  <si>
    <t>그 알파 내 오메가 만들기 [개정판][BL][단행본]</t>
  </si>
  <si>
    <t>2018.10.30</t>
  </si>
  <si>
    <t>완벽한 타인과 [단행본]</t>
  </si>
  <si>
    <t>2020.12.22</t>
  </si>
  <si>
    <t>우리야, 이리온 외전 [단행본]</t>
  </si>
  <si>
    <t>너를 삼키다 [BL][단행본]</t>
  </si>
  <si>
    <t>2021.09.08</t>
  </si>
  <si>
    <t>흔적 [단행본]</t>
  </si>
  <si>
    <t>2020.12.08</t>
  </si>
  <si>
    <t>심장이 뛰면 [단행본]</t>
  </si>
  <si>
    <t>Yulia</t>
  </si>
  <si>
    <t>2021.03.11</t>
  </si>
  <si>
    <t>그대를 탐하다 [BL][단행본]</t>
  </si>
  <si>
    <t>2021.03.03</t>
  </si>
  <si>
    <t>사냥 [외전증보판][단행본]</t>
  </si>
  <si>
    <t>2020.02.06</t>
  </si>
  <si>
    <t>Only you [BL][단행본]</t>
  </si>
  <si>
    <t>2021.09.09</t>
  </si>
  <si>
    <t>너는 내 숨결이니까 외전 [단행본]</t>
  </si>
  <si>
    <t>아로새긴 [외전증보판][단행본]</t>
  </si>
  <si>
    <t>충동적인 결혼 [외전증보판][단행본]</t>
  </si>
  <si>
    <t>On the air [BL][단행본]</t>
  </si>
  <si>
    <t>내게만 악마 같은 놈 [삽화본][단행본]</t>
  </si>
  <si>
    <t>매혹적인 상사</t>
  </si>
  <si>
    <t>2022.03.04</t>
  </si>
  <si>
    <t>몸의 선율 [외전증보판][단행본]</t>
  </si>
  <si>
    <t>한서아</t>
  </si>
  <si>
    <t>나쁜 이혼 외전 [단행본]</t>
  </si>
  <si>
    <t>단단한 남자 [외전증보판][단행본]</t>
  </si>
  <si>
    <t>간신이 나라를 살림 [단행본]</t>
  </si>
  <si>
    <t>아래층에 전남편이 산다 외전 [단행본]</t>
  </si>
  <si>
    <t>골 때리는 사랑 [BL][단행본]</t>
  </si>
  <si>
    <t>2021.03.10</t>
  </si>
  <si>
    <t>사랑, 흘러간다 [BL][단행본]</t>
  </si>
  <si>
    <t>2021.02.17</t>
  </si>
  <si>
    <t>들이대지 마 외전 [BL][단행본]</t>
  </si>
  <si>
    <t>숨결을 삼키다</t>
  </si>
  <si>
    <t>2020.08.17</t>
  </si>
  <si>
    <t>SOTUS 외전 [BL][단행본]</t>
  </si>
  <si>
    <t>사랑을 놓치고 외전 [단행본]</t>
  </si>
  <si>
    <t>바랑둥이 내 남자 [외전][단행본]</t>
  </si>
  <si>
    <t>이 비서 다리 좀 치워 외전 [BL][단행본]</t>
  </si>
  <si>
    <t>2020.05.10</t>
  </si>
  <si>
    <t>야쿠자가 사랑을 한다면 외전 [개정판][BL][단행본]</t>
  </si>
  <si>
    <t>매혹적인 상사 외전 [단행본]</t>
  </si>
  <si>
    <t>그대를 탐하다 외전 [BL][단행본]</t>
  </si>
  <si>
    <t>내 사랑 스토커 외전 [단행본]</t>
  </si>
  <si>
    <t>2020.05.12</t>
  </si>
  <si>
    <t>썸원(Someone)</t>
  </si>
  <si>
    <t>시크릿 맨 외전 [개정판][단행본]</t>
  </si>
  <si>
    <t>아이 컨택 외전 [BL][단행본]</t>
  </si>
  <si>
    <t>흔적 외전 [단행본]</t>
  </si>
  <si>
    <t>선택된 남자 외전 [BL][단행본]</t>
  </si>
  <si>
    <t>아프오 안 아프오 나는 외전 [BL][단행본]</t>
  </si>
  <si>
    <t>골 때리는 사랑 외전 [BL][단행본]</t>
  </si>
  <si>
    <t>베리타 (verità) 외전 [단행본]</t>
  </si>
  <si>
    <t>아로새긴</t>
  </si>
  <si>
    <t>SOTUS 특별 외전 [BL][단행본]</t>
  </si>
  <si>
    <t>Only you 외전 [BL][단행본]</t>
  </si>
  <si>
    <t>사냥 [삽화본]</t>
  </si>
  <si>
    <t>2019.11.07</t>
  </si>
  <si>
    <t>시리즈(ISO)</t>
    <phoneticPr fontId="20" type="noConversion"/>
  </si>
  <si>
    <t>임신부터 할까요? [단행본]</t>
  </si>
  <si>
    <t>2022.01.26</t>
  </si>
  <si>
    <t>여왕 아델 [단행본]</t>
  </si>
  <si>
    <t>2020.10.21</t>
  </si>
  <si>
    <t>본능에 눈뜨다 [개정판][단행본]</t>
  </si>
  <si>
    <t>사랑 한 스푼</t>
  </si>
  <si>
    <t>란토파즈</t>
  </si>
  <si>
    <t>2019.01.29</t>
  </si>
  <si>
    <t>기어이 사랑 [단행본]</t>
  </si>
  <si>
    <t>라지에르의 서 [단행본]</t>
  </si>
  <si>
    <t>2018.01.05</t>
  </si>
  <si>
    <t>젖어 들다</t>
  </si>
  <si>
    <t>2019.07.05</t>
  </si>
  <si>
    <t>비서의 유혹 외전 [단행본]</t>
  </si>
  <si>
    <t>본능에 눈뜨다 외전 [개정판][단행본]</t>
  </si>
  <si>
    <t>꽂히다</t>
  </si>
  <si>
    <t>어처구니없는 결혼 약속</t>
  </si>
  <si>
    <t>2020.03.25</t>
  </si>
  <si>
    <t>시리즈완전판(APP)</t>
    <phoneticPr fontId="20" type="noConversion"/>
  </si>
  <si>
    <t>시리즈(ISO)</t>
    <phoneticPr fontId="20" type="noConversion"/>
  </si>
  <si>
    <t>시리즈(ISO)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</si>
</sst>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7" formatCode="#,##0.0_ 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41" fontId="0" fillId="0" borderId="0" xfId="42" applyFont="1">
      <alignment vertical="center"/>
    </xf>
    <xf numFmtId="41" fontId="0" fillId="0" borderId="0" xfId="42" applyFont="1" applyFill="1">
      <alignment vertical="center"/>
    </xf>
    <xf numFmtId="0" fontId="18" fillId="33" borderId="0" xfId="0" applyFont="1" applyFill="1" applyAlignment="1">
      <alignment vertical="center" wrapText="1"/>
    </xf>
    <xf numFmtId="177" fontId="0" fillId="0" borderId="0" xfId="0" applyNumberFormat="1">
      <alignment vertical="center"/>
    </xf>
    <xf numFmtId="41" fontId="0" fillId="34" borderId="0" xfId="42" applyFon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O471"/>
  <sheetViews>
    <sheetView tabSelected="1" zoomScaleNormal="100" workbookViewId="0">
      <pane xSplit="9" ySplit="1" topLeftCell="BE452" activePane="bottomRight" state="frozen"/>
      <selection pane="topRight" activeCell="J1" sqref="J1"/>
      <selection pane="bottomLeft" activeCell="A2" sqref="A2"/>
      <selection pane="bottomRight" activeCell="BJ464" sqref="BJ464"/>
    </sheetView>
  </sheetViews>
  <sheetFormatPr defaultRowHeight="16.5" x14ac:dyDescent="0.3"/>
  <cols>
    <col min="1" max="1" width="9.375" style="1" customWidth="1"/>
    <col min="2" max="2" width="20" bestFit="1" customWidth="1"/>
    <col min="3" max="3" width="6.5" customWidth="1"/>
    <col min="4" max="4" width="7.25" customWidth="1"/>
    <col min="5" max="5" width="10" customWidth="1"/>
    <col min="6" max="6" width="10.25" customWidth="1"/>
    <col min="7" max="7" width="10" bestFit="1" customWidth="1"/>
    <col min="8" max="8" width="13.625" customWidth="1"/>
    <col min="9" max="9" width="7.375" customWidth="1"/>
    <col min="10" max="10" width="4.25" customWidth="1"/>
    <col min="11" max="11" width="4.75" customWidth="1"/>
    <col min="12" max="12" width="7.25" customWidth="1"/>
    <col min="13" max="13" width="6.75" customWidth="1"/>
    <col min="14" max="14" width="6" customWidth="1"/>
    <col min="15" max="16" width="6.25" customWidth="1"/>
    <col min="17" max="17" width="5" customWidth="1"/>
    <col min="18" max="18" width="4.75" customWidth="1"/>
    <col min="19" max="19" width="7.25" customWidth="1"/>
    <col min="20" max="20" width="6.75" customWidth="1"/>
    <col min="21" max="21" width="6" customWidth="1"/>
    <col min="22" max="23" width="6.25" customWidth="1"/>
    <col min="24" max="24" width="3.625" customWidth="1"/>
    <col min="25" max="25" width="5" customWidth="1"/>
    <col min="26" max="27" width="3.625" customWidth="1"/>
    <col min="28" max="28" width="4.25" bestFit="1" customWidth="1"/>
    <col min="29" max="29" width="6.75" bestFit="1" customWidth="1"/>
    <col min="30" max="30" width="5.75" bestFit="1" customWidth="1"/>
    <col min="31" max="31" width="5" bestFit="1" customWidth="1"/>
    <col min="32" max="33" width="6.75" bestFit="1" customWidth="1"/>
    <col min="34" max="35" width="3.625" customWidth="1"/>
    <col min="36" max="36" width="12.75" bestFit="1" customWidth="1"/>
    <col min="37" max="38" width="12.875" bestFit="1" customWidth="1"/>
    <col min="39" max="39" width="15.75" bestFit="1" customWidth="1"/>
    <col min="48" max="48" width="13.875" bestFit="1" customWidth="1"/>
    <col min="64" max="64" width="11.75" bestFit="1" customWidth="1"/>
    <col min="65" max="65" width="12.75" bestFit="1" customWidth="1"/>
    <col min="66" max="66" width="13.5" bestFit="1" customWidth="1"/>
    <col min="67" max="67" width="13.375" style="13" customWidth="1"/>
  </cols>
  <sheetData>
    <row r="1" spans="1:67" ht="39" x14ac:dyDescent="0.3">
      <c r="A1" s="2" t="s">
        <v>9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29</v>
      </c>
      <c r="I1" s="15" t="s">
        <v>6</v>
      </c>
      <c r="J1" s="12" t="s">
        <v>14</v>
      </c>
      <c r="K1" s="12" t="s">
        <v>15</v>
      </c>
      <c r="L1" s="12" t="s">
        <v>16</v>
      </c>
      <c r="M1" s="12" t="s">
        <v>17</v>
      </c>
      <c r="N1" s="12" t="s">
        <v>18</v>
      </c>
      <c r="O1" s="12" t="s">
        <v>19</v>
      </c>
      <c r="P1" s="12" t="s">
        <v>20</v>
      </c>
      <c r="Q1" s="12" t="s">
        <v>21</v>
      </c>
      <c r="R1" s="12" t="s">
        <v>22</v>
      </c>
      <c r="S1" s="12" t="s">
        <v>14</v>
      </c>
      <c r="T1" s="12" t="s">
        <v>15</v>
      </c>
      <c r="U1" s="12" t="s">
        <v>16</v>
      </c>
      <c r="V1" s="12" t="s">
        <v>17</v>
      </c>
      <c r="W1" s="12" t="s">
        <v>18</v>
      </c>
      <c r="X1" s="12" t="s">
        <v>19</v>
      </c>
      <c r="Y1" s="12" t="s">
        <v>20</v>
      </c>
      <c r="Z1" s="12" t="s">
        <v>21</v>
      </c>
      <c r="AA1" s="12" t="s">
        <v>22</v>
      </c>
      <c r="AB1" s="12" t="s">
        <v>14</v>
      </c>
      <c r="AC1" s="12" t="s">
        <v>23</v>
      </c>
      <c r="AD1" s="12" t="s">
        <v>24</v>
      </c>
      <c r="AE1" s="12" t="s">
        <v>14</v>
      </c>
      <c r="AF1" s="12" t="s">
        <v>23</v>
      </c>
      <c r="AG1" s="12" t="s">
        <v>24</v>
      </c>
      <c r="AH1" s="12" t="s">
        <v>14</v>
      </c>
      <c r="AI1" s="12" t="s">
        <v>23</v>
      </c>
      <c r="AJ1" s="12" t="s">
        <v>24</v>
      </c>
      <c r="AK1" s="12" t="s">
        <v>14</v>
      </c>
      <c r="AL1" s="12" t="s">
        <v>23</v>
      </c>
      <c r="AM1" s="12" t="s">
        <v>24</v>
      </c>
      <c r="AN1" s="12" t="s">
        <v>14</v>
      </c>
      <c r="AO1" s="12" t="s">
        <v>23</v>
      </c>
      <c r="AP1" s="12" t="s">
        <v>24</v>
      </c>
      <c r="AQ1" s="12" t="s">
        <v>14</v>
      </c>
      <c r="AR1" s="12" t="s">
        <v>23</v>
      </c>
      <c r="AS1" s="12" t="s">
        <v>24</v>
      </c>
      <c r="AT1" s="12" t="s">
        <v>14</v>
      </c>
      <c r="AU1" s="12" t="s">
        <v>23</v>
      </c>
      <c r="AV1" s="12" t="s">
        <v>24</v>
      </c>
      <c r="AW1" s="12" t="s">
        <v>14</v>
      </c>
      <c r="AX1" s="12" t="s">
        <v>23</v>
      </c>
      <c r="AY1" s="12" t="s">
        <v>24</v>
      </c>
      <c r="AZ1" s="12" t="s">
        <v>14</v>
      </c>
      <c r="BA1" s="12" t="s">
        <v>23</v>
      </c>
      <c r="BB1" s="12" t="s">
        <v>24</v>
      </c>
      <c r="BC1" s="12" t="s">
        <v>14</v>
      </c>
      <c r="BD1" s="12" t="s">
        <v>23</v>
      </c>
      <c r="BE1" s="12" t="s">
        <v>24</v>
      </c>
      <c r="BF1" s="12" t="s">
        <v>14</v>
      </c>
      <c r="BG1" s="12" t="s">
        <v>23</v>
      </c>
      <c r="BH1" s="12" t="s">
        <v>24</v>
      </c>
      <c r="BI1" s="12" t="s">
        <v>14</v>
      </c>
      <c r="BJ1" s="12" t="s">
        <v>23</v>
      </c>
      <c r="BK1" s="12" t="s">
        <v>24</v>
      </c>
      <c r="BL1" s="12" t="s">
        <v>28</v>
      </c>
      <c r="BM1" s="12" t="s">
        <v>25</v>
      </c>
      <c r="BN1" s="12" t="s">
        <v>26</v>
      </c>
      <c r="BO1" s="12" t="s">
        <v>27</v>
      </c>
    </row>
    <row r="2" spans="1:67" x14ac:dyDescent="0.3">
      <c r="A2" s="5" t="s">
        <v>30</v>
      </c>
      <c r="B2" s="5" t="s">
        <v>31</v>
      </c>
      <c r="C2" s="5">
        <v>465248</v>
      </c>
      <c r="D2" s="6"/>
      <c r="E2" s="5" t="s">
        <v>32</v>
      </c>
      <c r="F2" s="5" t="s">
        <v>33</v>
      </c>
      <c r="G2" s="5" t="s">
        <v>34</v>
      </c>
      <c r="H2" s="7" t="s">
        <v>10</v>
      </c>
      <c r="I2" s="7" t="s">
        <v>35</v>
      </c>
      <c r="J2" s="7">
        <v>123</v>
      </c>
      <c r="K2" s="8">
        <v>55332</v>
      </c>
      <c r="L2" s="8">
        <v>12300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8">
        <v>70723</v>
      </c>
      <c r="AF2" s="8">
        <v>5052500</v>
      </c>
      <c r="AG2" s="8">
        <v>2019800</v>
      </c>
      <c r="AH2" s="7">
        <v>0</v>
      </c>
      <c r="AI2" s="7">
        <v>0</v>
      </c>
      <c r="AJ2" s="7">
        <v>0</v>
      </c>
      <c r="AK2" s="7">
        <v>266</v>
      </c>
      <c r="AL2" s="8">
        <v>24376</v>
      </c>
      <c r="AM2" s="8">
        <v>6400</v>
      </c>
      <c r="AN2" s="7">
        <v>0</v>
      </c>
      <c r="AO2" s="7">
        <v>0</v>
      </c>
      <c r="AP2" s="7">
        <v>0</v>
      </c>
      <c r="AQ2" s="8">
        <v>7042</v>
      </c>
      <c r="AR2" s="8">
        <v>677500</v>
      </c>
      <c r="AS2" s="8">
        <v>26700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  <c r="AZ2" s="7">
        <v>0</v>
      </c>
      <c r="BA2" s="7">
        <v>0</v>
      </c>
      <c r="BB2" s="7">
        <v>0</v>
      </c>
      <c r="BC2" s="7">
        <v>0</v>
      </c>
      <c r="BD2" s="7">
        <v>0</v>
      </c>
      <c r="BE2" s="7">
        <v>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7">
        <v>0</v>
      </c>
      <c r="BL2" s="9">
        <v>7312.8</v>
      </c>
      <c r="BM2" s="10">
        <v>7819576</v>
      </c>
      <c r="BN2" s="16">
        <f>BM2-BL2</f>
        <v>7812263.2000000002</v>
      </c>
      <c r="BO2" s="14">
        <f t="shared" ref="BO2:BO5" si="0">BN2*70%</f>
        <v>5468584.2400000002</v>
      </c>
    </row>
    <row r="3" spans="1:67" x14ac:dyDescent="0.3">
      <c r="A3" s="5" t="s">
        <v>30</v>
      </c>
      <c r="B3" s="5" t="s">
        <v>36</v>
      </c>
      <c r="C3" s="5">
        <v>463799</v>
      </c>
      <c r="D3" s="6"/>
      <c r="E3" s="5" t="s">
        <v>32</v>
      </c>
      <c r="F3" s="5" t="s">
        <v>37</v>
      </c>
      <c r="G3" s="5" t="s">
        <v>11</v>
      </c>
      <c r="H3" s="7" t="s">
        <v>7</v>
      </c>
      <c r="I3" s="7" t="s">
        <v>38</v>
      </c>
      <c r="J3" s="7">
        <v>0</v>
      </c>
      <c r="K3" s="8">
        <v>14745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8">
        <v>1586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8">
        <v>31169</v>
      </c>
      <c r="AF3" s="8">
        <v>2999300</v>
      </c>
      <c r="AG3" s="8">
        <v>117600</v>
      </c>
      <c r="AH3" s="7">
        <v>0</v>
      </c>
      <c r="AI3" s="7">
        <v>0</v>
      </c>
      <c r="AJ3" s="7">
        <v>0</v>
      </c>
      <c r="AK3" s="7">
        <v>2</v>
      </c>
      <c r="AL3" s="7">
        <v>0</v>
      </c>
      <c r="AM3" s="7">
        <v>200</v>
      </c>
      <c r="AN3" s="7">
        <v>0</v>
      </c>
      <c r="AO3" s="7">
        <v>0</v>
      </c>
      <c r="AP3" s="7">
        <v>0</v>
      </c>
      <c r="AQ3" s="8">
        <v>8850</v>
      </c>
      <c r="AR3" s="8">
        <v>859100</v>
      </c>
      <c r="AS3" s="8">
        <v>25900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  <c r="AZ3" s="7">
        <v>0</v>
      </c>
      <c r="BA3" s="7">
        <v>0</v>
      </c>
      <c r="BB3" s="7">
        <v>0</v>
      </c>
      <c r="BC3" s="7">
        <v>0</v>
      </c>
      <c r="BD3" s="7">
        <v>0</v>
      </c>
      <c r="BE3" s="7">
        <v>0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K3" s="7">
        <v>0</v>
      </c>
      <c r="BL3" s="7">
        <v>0</v>
      </c>
      <c r="BM3" s="10">
        <v>4002100</v>
      </c>
      <c r="BN3" s="16">
        <f t="shared" ref="BN3:BN36" si="1">BM3-BL3</f>
        <v>4002100</v>
      </c>
      <c r="BO3" s="14">
        <f t="shared" ref="BO3:BO36" si="2">BN3*70%</f>
        <v>2801470</v>
      </c>
    </row>
    <row r="4" spans="1:67" x14ac:dyDescent="0.3">
      <c r="A4" s="5" t="s">
        <v>30</v>
      </c>
      <c r="B4" s="5" t="s">
        <v>39</v>
      </c>
      <c r="C4" s="5">
        <v>445688</v>
      </c>
      <c r="D4" s="6"/>
      <c r="E4" s="5" t="s">
        <v>32</v>
      </c>
      <c r="F4" s="5" t="s">
        <v>40</v>
      </c>
      <c r="G4" s="5" t="s">
        <v>11</v>
      </c>
      <c r="H4" s="7" t="s">
        <v>7</v>
      </c>
      <c r="I4" s="7" t="s">
        <v>41</v>
      </c>
      <c r="J4" s="7">
        <v>0</v>
      </c>
      <c r="K4" s="8">
        <v>19657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8">
        <v>28154</v>
      </c>
      <c r="AF4" s="8">
        <v>2599500</v>
      </c>
      <c r="AG4" s="8">
        <v>215900</v>
      </c>
      <c r="AH4" s="7">
        <v>0</v>
      </c>
      <c r="AI4" s="7">
        <v>0</v>
      </c>
      <c r="AJ4" s="7">
        <v>0</v>
      </c>
      <c r="AK4" s="7">
        <v>34</v>
      </c>
      <c r="AL4" s="8">
        <v>3840</v>
      </c>
      <c r="AM4" s="7">
        <v>200</v>
      </c>
      <c r="AN4" s="7">
        <v>0</v>
      </c>
      <c r="AO4" s="7">
        <v>0</v>
      </c>
      <c r="AP4" s="7">
        <v>0</v>
      </c>
      <c r="AQ4" s="8">
        <v>6350</v>
      </c>
      <c r="AR4" s="8">
        <v>606300</v>
      </c>
      <c r="AS4" s="8">
        <v>28700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0</v>
      </c>
      <c r="BB4" s="7">
        <v>0</v>
      </c>
      <c r="BC4" s="7">
        <v>0</v>
      </c>
      <c r="BD4" s="7">
        <v>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9">
        <v>1152</v>
      </c>
      <c r="BM4" s="10">
        <v>3454440</v>
      </c>
      <c r="BN4" s="16">
        <f t="shared" si="1"/>
        <v>3453288</v>
      </c>
      <c r="BO4" s="14">
        <f t="shared" si="2"/>
        <v>2417301.5999999996</v>
      </c>
    </row>
    <row r="5" spans="1:67" x14ac:dyDescent="0.3">
      <c r="A5" s="5" t="s">
        <v>30</v>
      </c>
      <c r="B5" s="5" t="s">
        <v>42</v>
      </c>
      <c r="C5" s="5">
        <v>449889</v>
      </c>
      <c r="D5" s="6"/>
      <c r="E5" s="5" t="s">
        <v>32</v>
      </c>
      <c r="F5" s="5" t="s">
        <v>43</v>
      </c>
      <c r="G5" s="5" t="s">
        <v>11</v>
      </c>
      <c r="H5" s="7" t="s">
        <v>7</v>
      </c>
      <c r="I5" s="7" t="s">
        <v>44</v>
      </c>
      <c r="J5" s="7">
        <v>3</v>
      </c>
      <c r="K5" s="8">
        <v>17973</v>
      </c>
      <c r="L5" s="7">
        <v>300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667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8">
        <v>22400</v>
      </c>
      <c r="AF5" s="8">
        <v>1914500</v>
      </c>
      <c r="AG5" s="8">
        <v>325500</v>
      </c>
      <c r="AH5" s="7">
        <v>0</v>
      </c>
      <c r="AI5" s="7">
        <v>0</v>
      </c>
      <c r="AJ5" s="7">
        <v>0</v>
      </c>
      <c r="AK5" s="7">
        <v>10</v>
      </c>
      <c r="AL5" s="7">
        <v>120</v>
      </c>
      <c r="AM5" s="7">
        <v>900</v>
      </c>
      <c r="AN5" s="7">
        <v>0</v>
      </c>
      <c r="AO5" s="7">
        <v>0</v>
      </c>
      <c r="AP5" s="7">
        <v>0</v>
      </c>
      <c r="AQ5" s="8">
        <v>4928</v>
      </c>
      <c r="AR5" s="8">
        <v>479300</v>
      </c>
      <c r="AS5" s="8">
        <v>13500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36</v>
      </c>
      <c r="BM5" s="10">
        <v>2734120</v>
      </c>
      <c r="BN5" s="16">
        <f t="shared" si="1"/>
        <v>2734084</v>
      </c>
      <c r="BO5" s="14">
        <f t="shared" si="2"/>
        <v>1913858.7999999998</v>
      </c>
    </row>
    <row r="6" spans="1:67" x14ac:dyDescent="0.3">
      <c r="A6" s="5" t="s">
        <v>30</v>
      </c>
      <c r="B6" s="5" t="s">
        <v>45</v>
      </c>
      <c r="C6" s="5">
        <v>414278</v>
      </c>
      <c r="D6" s="6"/>
      <c r="E6" s="5" t="s">
        <v>32</v>
      </c>
      <c r="F6" s="5" t="s">
        <v>13</v>
      </c>
      <c r="G6" s="5" t="s">
        <v>11</v>
      </c>
      <c r="H6" s="7" t="s">
        <v>8</v>
      </c>
      <c r="I6" s="7" t="s">
        <v>46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661</v>
      </c>
      <c r="AF6" s="8">
        <v>2013000</v>
      </c>
      <c r="AG6" s="8">
        <v>95000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80</v>
      </c>
      <c r="AR6" s="8">
        <v>244500</v>
      </c>
      <c r="AS6" s="8">
        <v>5900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  <c r="BD6" s="7">
        <v>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7">
        <v>0</v>
      </c>
      <c r="BM6" s="10">
        <v>2358400</v>
      </c>
      <c r="BN6" s="16">
        <f t="shared" si="1"/>
        <v>2358400</v>
      </c>
      <c r="BO6" s="14">
        <f t="shared" si="2"/>
        <v>1650880</v>
      </c>
    </row>
    <row r="7" spans="1:67" ht="19.5" x14ac:dyDescent="0.3">
      <c r="A7" s="5" t="s">
        <v>30</v>
      </c>
      <c r="B7" s="5" t="s">
        <v>47</v>
      </c>
      <c r="C7" s="5">
        <v>369220</v>
      </c>
      <c r="D7" s="6"/>
      <c r="E7" s="5" t="s">
        <v>32</v>
      </c>
      <c r="F7" s="5" t="s">
        <v>48</v>
      </c>
      <c r="G7" s="5" t="s">
        <v>11</v>
      </c>
      <c r="H7" s="7" t="s">
        <v>7</v>
      </c>
      <c r="I7" s="7" t="s">
        <v>49</v>
      </c>
      <c r="J7" s="7">
        <v>4</v>
      </c>
      <c r="K7" s="7">
        <v>107</v>
      </c>
      <c r="L7" s="7">
        <v>400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21</v>
      </c>
      <c r="T7" s="7">
        <v>782</v>
      </c>
      <c r="U7" s="7">
        <v>0</v>
      </c>
      <c r="V7" s="8">
        <v>1000</v>
      </c>
      <c r="W7" s="8">
        <v>1100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8">
        <v>19595</v>
      </c>
      <c r="AF7" s="8">
        <v>1764700</v>
      </c>
      <c r="AG7" s="8">
        <v>194800</v>
      </c>
      <c r="AH7" s="7">
        <v>0</v>
      </c>
      <c r="AI7" s="7">
        <v>0</v>
      </c>
      <c r="AJ7" s="7">
        <v>0</v>
      </c>
      <c r="AK7" s="7">
        <v>5</v>
      </c>
      <c r="AL7" s="7">
        <v>600</v>
      </c>
      <c r="AM7" s="7">
        <v>0</v>
      </c>
      <c r="AN7" s="7">
        <v>0</v>
      </c>
      <c r="AO7" s="7">
        <v>0</v>
      </c>
      <c r="AP7" s="7">
        <v>0</v>
      </c>
      <c r="AQ7" s="8">
        <v>2760</v>
      </c>
      <c r="AR7" s="8">
        <v>270000</v>
      </c>
      <c r="AS7" s="8">
        <v>6000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180</v>
      </c>
      <c r="BM7" s="10">
        <v>2238600</v>
      </c>
      <c r="BN7" s="16">
        <f t="shared" si="1"/>
        <v>2238420</v>
      </c>
      <c r="BO7" s="14">
        <f t="shared" si="2"/>
        <v>1566894</v>
      </c>
    </row>
    <row r="8" spans="1:67" x14ac:dyDescent="0.3">
      <c r="A8" s="5" t="s">
        <v>30</v>
      </c>
      <c r="B8" s="5" t="s">
        <v>50</v>
      </c>
      <c r="C8" s="5">
        <v>395270</v>
      </c>
      <c r="D8" s="6"/>
      <c r="E8" s="5" t="s">
        <v>32</v>
      </c>
      <c r="F8" s="5" t="s">
        <v>51</v>
      </c>
      <c r="G8" s="5" t="s">
        <v>52</v>
      </c>
      <c r="H8" s="7" t="s">
        <v>8</v>
      </c>
      <c r="I8" s="7" t="s">
        <v>53</v>
      </c>
      <c r="J8" s="7">
        <v>0</v>
      </c>
      <c r="K8" s="8">
        <v>54170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493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8">
        <v>17083</v>
      </c>
      <c r="AF8" s="8">
        <v>1326700</v>
      </c>
      <c r="AG8" s="8">
        <v>381600</v>
      </c>
      <c r="AH8" s="7">
        <v>0</v>
      </c>
      <c r="AI8" s="7">
        <v>0</v>
      </c>
      <c r="AJ8" s="7">
        <v>0</v>
      </c>
      <c r="AK8" s="7">
        <v>36</v>
      </c>
      <c r="AL8" s="7">
        <v>0</v>
      </c>
      <c r="AM8" s="8">
        <v>3600</v>
      </c>
      <c r="AN8" s="7">
        <v>0</v>
      </c>
      <c r="AO8" s="7">
        <v>0</v>
      </c>
      <c r="AP8" s="7">
        <v>0</v>
      </c>
      <c r="AQ8" s="8">
        <v>2144</v>
      </c>
      <c r="AR8" s="8">
        <v>205200</v>
      </c>
      <c r="AS8" s="8">
        <v>9200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10">
        <v>1926300</v>
      </c>
      <c r="BN8" s="16">
        <f t="shared" si="1"/>
        <v>1926300</v>
      </c>
      <c r="BO8" s="14">
        <f t="shared" si="2"/>
        <v>1348410</v>
      </c>
    </row>
    <row r="9" spans="1:67" x14ac:dyDescent="0.3">
      <c r="A9" s="5" t="s">
        <v>30</v>
      </c>
      <c r="B9" s="5" t="s">
        <v>54</v>
      </c>
      <c r="C9" s="5">
        <v>178856</v>
      </c>
      <c r="D9" s="6"/>
      <c r="E9" s="5" t="s">
        <v>32</v>
      </c>
      <c r="F9" s="5" t="s">
        <v>48</v>
      </c>
      <c r="G9" s="5" t="s">
        <v>11</v>
      </c>
      <c r="H9" s="7" t="s">
        <v>10</v>
      </c>
      <c r="I9" s="7" t="s">
        <v>55</v>
      </c>
      <c r="J9" s="7">
        <v>0</v>
      </c>
      <c r="K9" s="7">
        <v>41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42</v>
      </c>
      <c r="T9" s="8">
        <v>3813</v>
      </c>
      <c r="U9" s="7">
        <v>0</v>
      </c>
      <c r="V9" s="8">
        <v>4200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8">
        <v>15512</v>
      </c>
      <c r="AF9" s="8">
        <v>1155000</v>
      </c>
      <c r="AG9" s="8">
        <v>396200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8">
        <v>2222</v>
      </c>
      <c r="AR9" s="8">
        <v>216100</v>
      </c>
      <c r="AS9" s="8">
        <v>6100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10">
        <v>1777600</v>
      </c>
      <c r="BN9" s="16">
        <f t="shared" si="1"/>
        <v>1777600</v>
      </c>
      <c r="BO9" s="14">
        <f t="shared" si="2"/>
        <v>1244320</v>
      </c>
    </row>
    <row r="10" spans="1:67" ht="19.5" x14ac:dyDescent="0.3">
      <c r="A10" s="5" t="s">
        <v>30</v>
      </c>
      <c r="B10" s="5" t="s">
        <v>56</v>
      </c>
      <c r="C10" s="5">
        <v>454534</v>
      </c>
      <c r="D10" s="6"/>
      <c r="E10" s="5" t="s">
        <v>32</v>
      </c>
      <c r="F10" s="5" t="s">
        <v>57</v>
      </c>
      <c r="G10" s="5" t="s">
        <v>11</v>
      </c>
      <c r="H10" s="7" t="s">
        <v>7</v>
      </c>
      <c r="I10" s="7" t="s">
        <v>58</v>
      </c>
      <c r="J10" s="7">
        <v>0</v>
      </c>
      <c r="K10" s="8">
        <v>25996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160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8">
        <v>12955</v>
      </c>
      <c r="AF10" s="8">
        <v>1061300</v>
      </c>
      <c r="AG10" s="8">
        <v>234200</v>
      </c>
      <c r="AH10" s="7">
        <v>0</v>
      </c>
      <c r="AI10" s="7">
        <v>0</v>
      </c>
      <c r="AJ10" s="7">
        <v>0</v>
      </c>
      <c r="AK10" s="7">
        <v>28</v>
      </c>
      <c r="AL10" s="8">
        <v>2992</v>
      </c>
      <c r="AM10" s="7">
        <v>300</v>
      </c>
      <c r="AN10" s="7">
        <v>0</v>
      </c>
      <c r="AO10" s="7">
        <v>0</v>
      </c>
      <c r="AP10" s="7">
        <v>0</v>
      </c>
      <c r="AQ10" s="8">
        <v>2141</v>
      </c>
      <c r="AR10" s="8">
        <v>210800</v>
      </c>
      <c r="AS10" s="8">
        <v>3300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897.6</v>
      </c>
      <c r="BM10" s="10">
        <v>1512892</v>
      </c>
      <c r="BN10" s="16">
        <f t="shared" si="1"/>
        <v>1511994.4</v>
      </c>
      <c r="BO10" s="14">
        <f t="shared" si="2"/>
        <v>1058396.0799999998</v>
      </c>
    </row>
    <row r="11" spans="1:67" x14ac:dyDescent="0.3">
      <c r="A11" s="5" t="s">
        <v>30</v>
      </c>
      <c r="B11" s="5" t="s">
        <v>59</v>
      </c>
      <c r="C11" s="5">
        <v>457807</v>
      </c>
      <c r="D11" s="6"/>
      <c r="E11" s="5" t="s">
        <v>32</v>
      </c>
      <c r="F11" s="5" t="s">
        <v>60</v>
      </c>
      <c r="G11" s="5" t="s">
        <v>52</v>
      </c>
      <c r="H11" s="7" t="s">
        <v>8</v>
      </c>
      <c r="I11" s="7" t="s">
        <v>61</v>
      </c>
      <c r="J11" s="7">
        <v>445</v>
      </c>
      <c r="K11" s="8">
        <v>8967</v>
      </c>
      <c r="L11" s="8">
        <v>44500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332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8">
        <v>10578</v>
      </c>
      <c r="AF11" s="8">
        <v>913400</v>
      </c>
      <c r="AG11" s="8">
        <v>144400</v>
      </c>
      <c r="AH11" s="7">
        <v>0</v>
      </c>
      <c r="AI11" s="7">
        <v>0</v>
      </c>
      <c r="AJ11" s="7">
        <v>0</v>
      </c>
      <c r="AK11" s="7">
        <v>10</v>
      </c>
      <c r="AL11" s="7">
        <v>0</v>
      </c>
      <c r="AM11" s="8">
        <v>1000</v>
      </c>
      <c r="AN11" s="7">
        <v>0</v>
      </c>
      <c r="AO11" s="7">
        <v>0</v>
      </c>
      <c r="AP11" s="7">
        <v>0</v>
      </c>
      <c r="AQ11" s="8">
        <v>1445</v>
      </c>
      <c r="AR11" s="8">
        <v>139000</v>
      </c>
      <c r="AS11" s="8">
        <v>5500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10">
        <v>1247800</v>
      </c>
      <c r="BN11" s="16">
        <f t="shared" si="1"/>
        <v>1247800</v>
      </c>
      <c r="BO11" s="14">
        <f t="shared" si="2"/>
        <v>873460</v>
      </c>
    </row>
    <row r="12" spans="1:67" x14ac:dyDescent="0.3">
      <c r="A12" s="5" t="s">
        <v>30</v>
      </c>
      <c r="B12" s="5" t="s">
        <v>62</v>
      </c>
      <c r="C12" s="5">
        <v>321812</v>
      </c>
      <c r="D12" s="6"/>
      <c r="E12" s="5" t="s">
        <v>32</v>
      </c>
      <c r="F12" s="5" t="s">
        <v>48</v>
      </c>
      <c r="G12" s="5" t="s">
        <v>11</v>
      </c>
      <c r="H12" s="7" t="s">
        <v>7</v>
      </c>
      <c r="I12" s="7" t="s">
        <v>63</v>
      </c>
      <c r="J12" s="7">
        <v>0</v>
      </c>
      <c r="K12" s="7">
        <v>5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331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8">
        <v>8706</v>
      </c>
      <c r="AF12" s="8">
        <v>758000</v>
      </c>
      <c r="AG12" s="8">
        <v>112600</v>
      </c>
      <c r="AH12" s="7">
        <v>0</v>
      </c>
      <c r="AI12" s="7">
        <v>0</v>
      </c>
      <c r="AJ12" s="7">
        <v>0</v>
      </c>
      <c r="AK12" s="7">
        <v>25</v>
      </c>
      <c r="AL12" s="7">
        <v>0</v>
      </c>
      <c r="AM12" s="8">
        <v>2500</v>
      </c>
      <c r="AN12" s="7">
        <v>0</v>
      </c>
      <c r="AO12" s="7">
        <v>0</v>
      </c>
      <c r="AP12" s="7">
        <v>0</v>
      </c>
      <c r="AQ12" s="8">
        <v>1486</v>
      </c>
      <c r="AR12" s="8">
        <v>146200</v>
      </c>
      <c r="AS12" s="8">
        <v>2400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0</v>
      </c>
      <c r="BM12" s="10">
        <v>1021700</v>
      </c>
      <c r="BN12" s="16">
        <f t="shared" si="1"/>
        <v>1021700</v>
      </c>
      <c r="BO12" s="14">
        <f t="shared" si="2"/>
        <v>715190</v>
      </c>
    </row>
    <row r="13" spans="1:67" x14ac:dyDescent="0.3">
      <c r="A13" s="5" t="s">
        <v>30</v>
      </c>
      <c r="B13" s="5" t="s">
        <v>64</v>
      </c>
      <c r="C13" s="5">
        <v>324335</v>
      </c>
      <c r="D13" s="6"/>
      <c r="E13" s="5" t="s">
        <v>32</v>
      </c>
      <c r="F13" s="5" t="s">
        <v>48</v>
      </c>
      <c r="G13" s="5" t="s">
        <v>11</v>
      </c>
      <c r="H13" s="7" t="s">
        <v>10</v>
      </c>
      <c r="I13" s="7" t="s">
        <v>65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266</v>
      </c>
      <c r="AF13" s="8">
        <v>780100</v>
      </c>
      <c r="AG13" s="8">
        <v>55700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30</v>
      </c>
      <c r="AR13" s="8">
        <v>85300</v>
      </c>
      <c r="AS13" s="8">
        <v>3700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0</v>
      </c>
      <c r="BM13" s="10">
        <v>924800</v>
      </c>
      <c r="BN13" s="16">
        <f t="shared" si="1"/>
        <v>924800</v>
      </c>
      <c r="BO13" s="14">
        <f t="shared" si="2"/>
        <v>647360</v>
      </c>
    </row>
    <row r="14" spans="1:67" x14ac:dyDescent="0.3">
      <c r="A14" s="5" t="s">
        <v>30</v>
      </c>
      <c r="B14" s="5" t="s">
        <v>66</v>
      </c>
      <c r="C14" s="5">
        <v>412919</v>
      </c>
      <c r="D14" s="6"/>
      <c r="E14" s="5" t="s">
        <v>32</v>
      </c>
      <c r="F14" s="5" t="s">
        <v>67</v>
      </c>
      <c r="G14" s="5" t="s">
        <v>52</v>
      </c>
      <c r="H14" s="7" t="s">
        <v>8</v>
      </c>
      <c r="I14" s="7" t="s">
        <v>68</v>
      </c>
      <c r="J14" s="7">
        <v>6</v>
      </c>
      <c r="K14" s="7">
        <v>265</v>
      </c>
      <c r="L14" s="7">
        <v>600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222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8">
        <v>7377</v>
      </c>
      <c r="AF14" s="8">
        <v>611500</v>
      </c>
      <c r="AG14" s="8">
        <v>126200</v>
      </c>
      <c r="AH14" s="7">
        <v>0</v>
      </c>
      <c r="AI14" s="7">
        <v>0</v>
      </c>
      <c r="AJ14" s="7">
        <v>0</v>
      </c>
      <c r="AK14" s="7">
        <v>11</v>
      </c>
      <c r="AL14" s="7">
        <v>0</v>
      </c>
      <c r="AM14" s="8">
        <v>1100</v>
      </c>
      <c r="AN14" s="7">
        <v>0</v>
      </c>
      <c r="AO14" s="7">
        <v>0</v>
      </c>
      <c r="AP14" s="7">
        <v>0</v>
      </c>
      <c r="AQ14" s="8">
        <v>1032</v>
      </c>
      <c r="AR14" s="8">
        <v>101600</v>
      </c>
      <c r="AS14" s="8">
        <v>1600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7">
        <v>0</v>
      </c>
      <c r="BM14" s="10">
        <v>842600</v>
      </c>
      <c r="BN14" s="16">
        <f t="shared" si="1"/>
        <v>842600</v>
      </c>
      <c r="BO14" s="14">
        <f t="shared" si="2"/>
        <v>589820</v>
      </c>
    </row>
    <row r="15" spans="1:67" ht="19.5" x14ac:dyDescent="0.3">
      <c r="A15" s="5" t="s">
        <v>30</v>
      </c>
      <c r="B15" s="5" t="s">
        <v>69</v>
      </c>
      <c r="C15" s="5">
        <v>459997</v>
      </c>
      <c r="D15" s="6"/>
      <c r="E15" s="5" t="s">
        <v>32</v>
      </c>
      <c r="F15" s="5" t="s">
        <v>70</v>
      </c>
      <c r="G15" s="5" t="s">
        <v>11</v>
      </c>
      <c r="H15" s="7" t="s">
        <v>7</v>
      </c>
      <c r="I15" s="7" t="s">
        <v>71</v>
      </c>
      <c r="J15" s="8">
        <v>5055</v>
      </c>
      <c r="K15" s="8">
        <v>2526</v>
      </c>
      <c r="L15" s="8">
        <v>505500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52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8">
        <v>2370</v>
      </c>
      <c r="AF15" s="8">
        <v>184100</v>
      </c>
      <c r="AG15" s="8">
        <v>52900</v>
      </c>
      <c r="AH15" s="7">
        <v>0</v>
      </c>
      <c r="AI15" s="7">
        <v>0</v>
      </c>
      <c r="AJ15" s="7">
        <v>0</v>
      </c>
      <c r="AK15" s="7">
        <v>77</v>
      </c>
      <c r="AL15" s="8">
        <v>9086</v>
      </c>
      <c r="AM15" s="7">
        <v>0</v>
      </c>
      <c r="AN15" s="7">
        <v>0</v>
      </c>
      <c r="AO15" s="7">
        <v>0</v>
      </c>
      <c r="AP15" s="7">
        <v>0</v>
      </c>
      <c r="AQ15" s="7">
        <v>394</v>
      </c>
      <c r="AR15" s="8">
        <v>38700</v>
      </c>
      <c r="AS15" s="7">
        <v>700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9">
        <v>2725.8</v>
      </c>
      <c r="BM15" s="10">
        <v>790986</v>
      </c>
      <c r="BN15" s="16">
        <f t="shared" si="1"/>
        <v>788260.2</v>
      </c>
      <c r="BO15" s="14">
        <f t="shared" si="2"/>
        <v>551782.1399999999</v>
      </c>
    </row>
    <row r="16" spans="1:67" x14ac:dyDescent="0.3">
      <c r="A16" s="5" t="s">
        <v>30</v>
      </c>
      <c r="B16" s="5" t="s">
        <v>72</v>
      </c>
      <c r="C16" s="5">
        <v>369720</v>
      </c>
      <c r="D16" s="6"/>
      <c r="E16" s="5" t="s">
        <v>32</v>
      </c>
      <c r="F16" s="5" t="s">
        <v>73</v>
      </c>
      <c r="G16" s="5" t="s">
        <v>52</v>
      </c>
      <c r="H16" s="7" t="s">
        <v>8</v>
      </c>
      <c r="I16" s="7" t="s">
        <v>74</v>
      </c>
      <c r="J16" s="7">
        <v>0</v>
      </c>
      <c r="K16" s="8">
        <v>1430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10</v>
      </c>
      <c r="T16" s="7">
        <v>271</v>
      </c>
      <c r="U16" s="7">
        <v>0</v>
      </c>
      <c r="V16" s="7">
        <v>100</v>
      </c>
      <c r="W16" s="7">
        <v>200</v>
      </c>
      <c r="X16" s="7">
        <v>840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8">
        <v>6369</v>
      </c>
      <c r="AF16" s="8">
        <v>578800</v>
      </c>
      <c r="AG16" s="8">
        <v>58100</v>
      </c>
      <c r="AH16" s="7">
        <v>0</v>
      </c>
      <c r="AI16" s="7">
        <v>0</v>
      </c>
      <c r="AJ16" s="7">
        <v>0</v>
      </c>
      <c r="AK16" s="7">
        <v>2</v>
      </c>
      <c r="AL16" s="7">
        <v>240</v>
      </c>
      <c r="AM16" s="7">
        <v>0</v>
      </c>
      <c r="AN16" s="7">
        <v>0</v>
      </c>
      <c r="AO16" s="7">
        <v>0</v>
      </c>
      <c r="AP16" s="7">
        <v>0</v>
      </c>
      <c r="AQ16" s="7">
        <v>494</v>
      </c>
      <c r="AR16" s="8">
        <v>48500</v>
      </c>
      <c r="AS16" s="7">
        <v>900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7">
        <v>324</v>
      </c>
      <c r="BM16" s="10">
        <v>687680</v>
      </c>
      <c r="BN16" s="16">
        <f t="shared" si="1"/>
        <v>687356</v>
      </c>
      <c r="BO16" s="14">
        <f t="shared" si="2"/>
        <v>481149.19999999995</v>
      </c>
    </row>
    <row r="17" spans="1:67" x14ac:dyDescent="0.3">
      <c r="A17" s="5" t="s">
        <v>30</v>
      </c>
      <c r="B17" s="5" t="s">
        <v>75</v>
      </c>
      <c r="C17" s="5">
        <v>463946</v>
      </c>
      <c r="D17" s="6"/>
      <c r="E17" s="5" t="s">
        <v>32</v>
      </c>
      <c r="F17" s="5" t="s">
        <v>76</v>
      </c>
      <c r="G17" s="5" t="s">
        <v>11</v>
      </c>
      <c r="H17" s="7" t="s">
        <v>7</v>
      </c>
      <c r="I17" s="7" t="s">
        <v>77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100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8">
        <v>3311</v>
      </c>
      <c r="AF17" s="8">
        <v>310300</v>
      </c>
      <c r="AG17" s="8">
        <v>20800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522</v>
      </c>
      <c r="AR17" s="8">
        <v>52200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10">
        <v>383300</v>
      </c>
      <c r="BN17" s="16">
        <f t="shared" si="1"/>
        <v>383300</v>
      </c>
      <c r="BO17" s="14">
        <f t="shared" si="2"/>
        <v>268310</v>
      </c>
    </row>
    <row r="18" spans="1:67" x14ac:dyDescent="0.3">
      <c r="A18" s="5" t="s">
        <v>30</v>
      </c>
      <c r="B18" s="5" t="s">
        <v>78</v>
      </c>
      <c r="C18" s="5">
        <v>464776</v>
      </c>
      <c r="D18" s="6"/>
      <c r="E18" s="5" t="s">
        <v>32</v>
      </c>
      <c r="F18" s="5" t="s">
        <v>79</v>
      </c>
      <c r="G18" s="5" t="s">
        <v>34</v>
      </c>
      <c r="H18" s="7" t="s">
        <v>10</v>
      </c>
      <c r="I18" s="7" t="s">
        <v>80</v>
      </c>
      <c r="J18" s="7">
        <v>0</v>
      </c>
      <c r="K18" s="7">
        <v>50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8">
        <v>3116</v>
      </c>
      <c r="AF18" s="8">
        <v>277200</v>
      </c>
      <c r="AG18" s="8">
        <v>34400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678</v>
      </c>
      <c r="AR18" s="8">
        <v>64600</v>
      </c>
      <c r="AS18" s="8">
        <v>3200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7">
        <v>0</v>
      </c>
      <c r="BM18" s="10">
        <v>379400</v>
      </c>
      <c r="BN18" s="16">
        <f t="shared" si="1"/>
        <v>379400</v>
      </c>
      <c r="BO18" s="14">
        <f t="shared" si="2"/>
        <v>265580</v>
      </c>
    </row>
    <row r="19" spans="1:67" x14ac:dyDescent="0.3">
      <c r="A19" s="5" t="s">
        <v>30</v>
      </c>
      <c r="B19" s="5" t="s">
        <v>81</v>
      </c>
      <c r="C19" s="5">
        <v>245889</v>
      </c>
      <c r="D19" s="6"/>
      <c r="E19" s="5" t="s">
        <v>32</v>
      </c>
      <c r="F19" s="5" t="s">
        <v>48</v>
      </c>
      <c r="G19" s="5" t="s">
        <v>11</v>
      </c>
      <c r="H19" s="7" t="s">
        <v>7</v>
      </c>
      <c r="I19" s="7" t="s">
        <v>82</v>
      </c>
      <c r="J19" s="7">
        <v>9</v>
      </c>
      <c r="K19" s="7">
        <v>0</v>
      </c>
      <c r="L19" s="7">
        <v>900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88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8">
        <v>3752</v>
      </c>
      <c r="AF19" s="8">
        <v>343700</v>
      </c>
      <c r="AG19" s="8">
        <v>31500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10">
        <v>376100</v>
      </c>
      <c r="BN19" s="16">
        <f t="shared" si="1"/>
        <v>376100</v>
      </c>
      <c r="BO19" s="14">
        <f t="shared" si="2"/>
        <v>263270</v>
      </c>
    </row>
    <row r="20" spans="1:67" x14ac:dyDescent="0.3">
      <c r="A20" s="5" t="s">
        <v>30</v>
      </c>
      <c r="B20" s="5" t="s">
        <v>83</v>
      </c>
      <c r="C20" s="5">
        <v>386960</v>
      </c>
      <c r="D20" s="6"/>
      <c r="E20" s="5" t="s">
        <v>32</v>
      </c>
      <c r="F20" s="5" t="s">
        <v>84</v>
      </c>
      <c r="G20" s="5" t="s">
        <v>11</v>
      </c>
      <c r="H20" s="7" t="s">
        <v>7</v>
      </c>
      <c r="I20" s="7" t="s">
        <v>85</v>
      </c>
      <c r="J20" s="7">
        <v>0</v>
      </c>
      <c r="K20" s="7">
        <v>10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60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8">
        <v>2936</v>
      </c>
      <c r="AF20" s="8">
        <v>231900</v>
      </c>
      <c r="AG20" s="8">
        <v>61700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637</v>
      </c>
      <c r="AR20" s="8">
        <v>63500</v>
      </c>
      <c r="AS20" s="7">
        <v>200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10">
        <v>357300</v>
      </c>
      <c r="BN20" s="16">
        <f t="shared" si="1"/>
        <v>357300</v>
      </c>
      <c r="BO20" s="14">
        <f t="shared" si="2"/>
        <v>250109.99999999997</v>
      </c>
    </row>
    <row r="21" spans="1:67" x14ac:dyDescent="0.3">
      <c r="A21" s="5" t="s">
        <v>30</v>
      </c>
      <c r="B21" s="5" t="s">
        <v>86</v>
      </c>
      <c r="C21" s="5">
        <v>387417</v>
      </c>
      <c r="D21" s="6"/>
      <c r="E21" s="5" t="s">
        <v>32</v>
      </c>
      <c r="F21" s="5" t="s">
        <v>87</v>
      </c>
      <c r="G21" s="5" t="s">
        <v>11</v>
      </c>
      <c r="H21" s="7" t="s">
        <v>7</v>
      </c>
      <c r="I21" s="7" t="s">
        <v>88</v>
      </c>
      <c r="J21" s="7">
        <v>0</v>
      </c>
      <c r="K21" s="7">
        <v>54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132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8">
        <v>3192</v>
      </c>
      <c r="AF21" s="8">
        <v>279700</v>
      </c>
      <c r="AG21" s="8">
        <v>39500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313</v>
      </c>
      <c r="AR21" s="8">
        <v>30900</v>
      </c>
      <c r="AS21" s="7">
        <v>400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10">
        <v>350500</v>
      </c>
      <c r="BN21" s="16">
        <f t="shared" si="1"/>
        <v>350500</v>
      </c>
      <c r="BO21" s="14">
        <f t="shared" si="2"/>
        <v>245349.99999999997</v>
      </c>
    </row>
    <row r="22" spans="1:67" x14ac:dyDescent="0.3">
      <c r="A22" s="5" t="s">
        <v>30</v>
      </c>
      <c r="B22" s="5" t="s">
        <v>89</v>
      </c>
      <c r="C22" s="5">
        <v>442274</v>
      </c>
      <c r="D22" s="6"/>
      <c r="E22" s="5" t="s">
        <v>32</v>
      </c>
      <c r="F22" s="5" t="s">
        <v>90</v>
      </c>
      <c r="G22" s="5" t="s">
        <v>11</v>
      </c>
      <c r="H22" s="7" t="s">
        <v>7</v>
      </c>
      <c r="I22" s="7" t="s">
        <v>91</v>
      </c>
      <c r="J22" s="7">
        <v>7</v>
      </c>
      <c r="K22" s="8">
        <v>4132</v>
      </c>
      <c r="L22" s="7">
        <v>700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8">
        <v>2448</v>
      </c>
      <c r="AF22" s="8">
        <v>200000</v>
      </c>
      <c r="AG22" s="8">
        <v>44800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828</v>
      </c>
      <c r="AR22" s="8">
        <v>80600</v>
      </c>
      <c r="AS22" s="8">
        <v>2200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0</v>
      </c>
      <c r="BM22" s="10">
        <v>328300</v>
      </c>
      <c r="BN22" s="16">
        <f t="shared" si="1"/>
        <v>328300</v>
      </c>
      <c r="BO22" s="14">
        <f t="shared" si="2"/>
        <v>229809.99999999997</v>
      </c>
    </row>
    <row r="23" spans="1:67" x14ac:dyDescent="0.3">
      <c r="A23" s="5" t="s">
        <v>30</v>
      </c>
      <c r="B23" s="5" t="s">
        <v>92</v>
      </c>
      <c r="C23" s="5">
        <v>219203</v>
      </c>
      <c r="D23" s="6"/>
      <c r="E23" s="5" t="s">
        <v>32</v>
      </c>
      <c r="F23" s="5" t="s">
        <v>93</v>
      </c>
      <c r="G23" s="5" t="s">
        <v>11</v>
      </c>
      <c r="H23" s="7" t="s">
        <v>7</v>
      </c>
      <c r="I23" s="7" t="s">
        <v>94</v>
      </c>
      <c r="J23" s="7">
        <v>21</v>
      </c>
      <c r="K23" s="7">
        <v>50</v>
      </c>
      <c r="L23" s="8">
        <v>2100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8">
        <v>1651</v>
      </c>
      <c r="AC23" s="8">
        <v>137000</v>
      </c>
      <c r="AD23" s="8">
        <v>28100</v>
      </c>
      <c r="AE23" s="7">
        <v>271</v>
      </c>
      <c r="AF23" s="8">
        <v>57200</v>
      </c>
      <c r="AG23" s="8">
        <v>24100</v>
      </c>
      <c r="AH23" s="7">
        <v>1</v>
      </c>
      <c r="AI23" s="7">
        <v>0</v>
      </c>
      <c r="AJ23" s="7">
        <v>100</v>
      </c>
      <c r="AK23" s="7">
        <v>0</v>
      </c>
      <c r="AL23" s="7">
        <v>0</v>
      </c>
      <c r="AM23" s="7">
        <v>0</v>
      </c>
      <c r="AN23" s="7">
        <v>510</v>
      </c>
      <c r="AO23" s="8">
        <v>50400</v>
      </c>
      <c r="AP23" s="7">
        <v>600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10">
        <v>299600</v>
      </c>
      <c r="BN23" s="16">
        <f t="shared" si="1"/>
        <v>299600</v>
      </c>
      <c r="BO23" s="14">
        <f t="shared" si="2"/>
        <v>209720</v>
      </c>
    </row>
    <row r="24" spans="1:67" x14ac:dyDescent="0.3">
      <c r="A24" s="5" t="s">
        <v>30</v>
      </c>
      <c r="B24" s="5" t="s">
        <v>95</v>
      </c>
      <c r="C24" s="5">
        <v>465250</v>
      </c>
      <c r="D24" s="6"/>
      <c r="E24" s="5" t="s">
        <v>32</v>
      </c>
      <c r="F24" s="5" t="s">
        <v>96</v>
      </c>
      <c r="G24" s="5" t="s">
        <v>34</v>
      </c>
      <c r="H24" s="7" t="s">
        <v>7</v>
      </c>
      <c r="I24" s="7" t="s">
        <v>97</v>
      </c>
      <c r="J24" s="7">
        <v>0</v>
      </c>
      <c r="K24" s="7">
        <v>174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8">
        <v>2189</v>
      </c>
      <c r="AF24" s="8">
        <v>197800</v>
      </c>
      <c r="AG24" s="8">
        <v>21100</v>
      </c>
      <c r="AH24" s="7">
        <v>0</v>
      </c>
      <c r="AI24" s="7">
        <v>0</v>
      </c>
      <c r="AJ24" s="7">
        <v>0</v>
      </c>
      <c r="AK24" s="7">
        <v>36</v>
      </c>
      <c r="AL24" s="7">
        <v>0</v>
      </c>
      <c r="AM24" s="8">
        <v>3600</v>
      </c>
      <c r="AN24" s="7">
        <v>0</v>
      </c>
      <c r="AO24" s="7">
        <v>0</v>
      </c>
      <c r="AP24" s="7">
        <v>0</v>
      </c>
      <c r="AQ24" s="7">
        <v>753</v>
      </c>
      <c r="AR24" s="8">
        <v>74400</v>
      </c>
      <c r="AS24" s="7">
        <v>900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10">
        <v>297800</v>
      </c>
      <c r="BN24" s="16">
        <f t="shared" si="1"/>
        <v>297800</v>
      </c>
      <c r="BO24" s="14">
        <f t="shared" si="2"/>
        <v>208460</v>
      </c>
    </row>
    <row r="25" spans="1:67" x14ac:dyDescent="0.3">
      <c r="A25" s="5" t="s">
        <v>30</v>
      </c>
      <c r="B25" s="5" t="s">
        <v>98</v>
      </c>
      <c r="C25" s="5">
        <v>387942</v>
      </c>
      <c r="D25" s="6"/>
      <c r="E25" s="5" t="s">
        <v>32</v>
      </c>
      <c r="F25" s="5" t="s">
        <v>99</v>
      </c>
      <c r="G25" s="5" t="s">
        <v>11</v>
      </c>
      <c r="H25" s="7" t="s">
        <v>7</v>
      </c>
      <c r="I25" s="7" t="s">
        <v>100</v>
      </c>
      <c r="J25" s="7">
        <v>0</v>
      </c>
      <c r="K25" s="7">
        <v>5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45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8">
        <v>2388</v>
      </c>
      <c r="AF25" s="8">
        <v>231600</v>
      </c>
      <c r="AG25" s="8">
        <v>7200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467</v>
      </c>
      <c r="AR25" s="8">
        <v>45100</v>
      </c>
      <c r="AS25" s="8">
        <v>1600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10">
        <v>285500</v>
      </c>
      <c r="BN25" s="16">
        <f t="shared" si="1"/>
        <v>285500</v>
      </c>
      <c r="BO25" s="14">
        <f t="shared" si="2"/>
        <v>199850</v>
      </c>
    </row>
    <row r="26" spans="1:67" x14ac:dyDescent="0.3">
      <c r="A26" s="5" t="s">
        <v>30</v>
      </c>
      <c r="B26" s="5" t="s">
        <v>101</v>
      </c>
      <c r="C26" s="5">
        <v>429621</v>
      </c>
      <c r="D26" s="6"/>
      <c r="E26" s="5" t="s">
        <v>32</v>
      </c>
      <c r="F26" s="5" t="s">
        <v>102</v>
      </c>
      <c r="G26" s="5" t="s">
        <v>11</v>
      </c>
      <c r="H26" s="7" t="s">
        <v>8</v>
      </c>
      <c r="I26" s="7" t="s">
        <v>103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60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8">
        <v>1983</v>
      </c>
      <c r="AF26" s="8">
        <v>191700</v>
      </c>
      <c r="AG26" s="8">
        <v>6600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304</v>
      </c>
      <c r="AR26" s="8">
        <v>28500</v>
      </c>
      <c r="AS26" s="8">
        <v>1900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10">
        <v>228700</v>
      </c>
      <c r="BN26" s="16">
        <f t="shared" si="1"/>
        <v>228700</v>
      </c>
      <c r="BO26" s="14">
        <f t="shared" si="2"/>
        <v>160090</v>
      </c>
    </row>
    <row r="27" spans="1:67" x14ac:dyDescent="0.3">
      <c r="A27" s="5" t="s">
        <v>30</v>
      </c>
      <c r="B27" s="5" t="s">
        <v>104</v>
      </c>
      <c r="C27" s="5">
        <v>370935</v>
      </c>
      <c r="D27" s="6"/>
      <c r="E27" s="5" t="s">
        <v>32</v>
      </c>
      <c r="F27" s="5" t="s">
        <v>48</v>
      </c>
      <c r="G27" s="5" t="s">
        <v>11</v>
      </c>
      <c r="H27" s="7" t="s">
        <v>7</v>
      </c>
      <c r="I27" s="7" t="s">
        <v>105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56</v>
      </c>
      <c r="AF27" s="8">
        <v>167800</v>
      </c>
      <c r="AG27" s="8">
        <v>10200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15</v>
      </c>
      <c r="AR27" s="8">
        <v>45100</v>
      </c>
      <c r="AS27" s="7">
        <v>900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0</v>
      </c>
      <c r="BM27" s="10">
        <v>224000</v>
      </c>
      <c r="BN27" s="16">
        <f t="shared" si="1"/>
        <v>224000</v>
      </c>
      <c r="BO27" s="14">
        <f t="shared" si="2"/>
        <v>156800</v>
      </c>
    </row>
    <row r="28" spans="1:67" x14ac:dyDescent="0.3">
      <c r="A28" s="5" t="s">
        <v>30</v>
      </c>
      <c r="B28" s="5" t="s">
        <v>106</v>
      </c>
      <c r="C28" s="5">
        <v>422032</v>
      </c>
      <c r="D28" s="6"/>
      <c r="E28" s="5" t="s">
        <v>32</v>
      </c>
      <c r="F28" s="5" t="s">
        <v>107</v>
      </c>
      <c r="G28" s="5" t="s">
        <v>11</v>
      </c>
      <c r="H28" s="7" t="s">
        <v>10</v>
      </c>
      <c r="I28" s="7" t="s">
        <v>108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36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8">
        <v>1762</v>
      </c>
      <c r="AF28" s="8">
        <v>173600</v>
      </c>
      <c r="AG28" s="8">
        <v>2600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233</v>
      </c>
      <c r="AR28" s="8">
        <v>19900</v>
      </c>
      <c r="AS28" s="8">
        <v>3400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10">
        <v>199500</v>
      </c>
      <c r="BN28" s="16">
        <f t="shared" si="1"/>
        <v>199500</v>
      </c>
      <c r="BO28" s="14">
        <f t="shared" si="2"/>
        <v>139650</v>
      </c>
    </row>
    <row r="29" spans="1:67" x14ac:dyDescent="0.3">
      <c r="A29" s="5" t="s">
        <v>30</v>
      </c>
      <c r="B29" s="5" t="s">
        <v>109</v>
      </c>
      <c r="C29" s="5">
        <v>364724</v>
      </c>
      <c r="D29" s="6"/>
      <c r="E29" s="5" t="s">
        <v>32</v>
      </c>
      <c r="F29" s="5" t="s">
        <v>110</v>
      </c>
      <c r="G29" s="5" t="s">
        <v>11</v>
      </c>
      <c r="H29" s="7" t="s">
        <v>7</v>
      </c>
      <c r="I29" s="7" t="s">
        <v>111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63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8">
        <v>1108</v>
      </c>
      <c r="AF29" s="8">
        <v>100100</v>
      </c>
      <c r="AG29" s="8">
        <v>10700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616</v>
      </c>
      <c r="AR29" s="8">
        <v>61400</v>
      </c>
      <c r="AS29" s="7">
        <v>200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0</v>
      </c>
      <c r="BM29" s="10">
        <v>172400</v>
      </c>
      <c r="BN29" s="16">
        <f t="shared" si="1"/>
        <v>172400</v>
      </c>
      <c r="BO29" s="14">
        <f t="shared" si="2"/>
        <v>120679.99999999999</v>
      </c>
    </row>
    <row r="30" spans="1:67" x14ac:dyDescent="0.3">
      <c r="A30" s="5" t="s">
        <v>30</v>
      </c>
      <c r="B30" s="5" t="s">
        <v>112</v>
      </c>
      <c r="C30" s="5">
        <v>462353</v>
      </c>
      <c r="D30" s="6"/>
      <c r="E30" s="5" t="s">
        <v>32</v>
      </c>
      <c r="F30" s="5" t="s">
        <v>57</v>
      </c>
      <c r="G30" s="5" t="s">
        <v>11</v>
      </c>
      <c r="H30" s="7" t="s">
        <v>7</v>
      </c>
      <c r="I30" s="7" t="s">
        <v>113</v>
      </c>
      <c r="J30" s="7">
        <v>3</v>
      </c>
      <c r="K30" s="7">
        <v>0</v>
      </c>
      <c r="L30" s="7">
        <v>300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34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8">
        <v>1503</v>
      </c>
      <c r="AF30" s="8">
        <v>134700</v>
      </c>
      <c r="AG30" s="8">
        <v>15600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186</v>
      </c>
      <c r="AR30" s="8">
        <v>18200</v>
      </c>
      <c r="AS30" s="7">
        <v>400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10">
        <v>169200</v>
      </c>
      <c r="BN30" s="16">
        <f t="shared" si="1"/>
        <v>169200</v>
      </c>
      <c r="BO30" s="14">
        <f t="shared" si="2"/>
        <v>118439.99999999999</v>
      </c>
    </row>
    <row r="31" spans="1:67" x14ac:dyDescent="0.3">
      <c r="A31" s="5" t="s">
        <v>30</v>
      </c>
      <c r="B31" s="5" t="s">
        <v>114</v>
      </c>
      <c r="C31" s="5">
        <v>211158</v>
      </c>
      <c r="D31" s="6"/>
      <c r="E31" s="5" t="s">
        <v>32</v>
      </c>
      <c r="F31" s="5" t="s">
        <v>48</v>
      </c>
      <c r="G31" s="5" t="s">
        <v>11</v>
      </c>
      <c r="H31" s="7" t="s">
        <v>7</v>
      </c>
      <c r="I31" s="7" t="s">
        <v>115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8">
        <v>1406</v>
      </c>
      <c r="AF31" s="8">
        <v>117500</v>
      </c>
      <c r="AG31" s="8">
        <v>23100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235</v>
      </c>
      <c r="AR31" s="8">
        <v>23500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10">
        <v>164100</v>
      </c>
      <c r="BN31" s="16">
        <f t="shared" si="1"/>
        <v>164100</v>
      </c>
      <c r="BO31" s="14">
        <f t="shared" si="2"/>
        <v>114869.99999999999</v>
      </c>
    </row>
    <row r="32" spans="1:67" x14ac:dyDescent="0.3">
      <c r="A32" s="5" t="s">
        <v>30</v>
      </c>
      <c r="B32" s="5" t="s">
        <v>116</v>
      </c>
      <c r="C32" s="5">
        <v>395179</v>
      </c>
      <c r="D32" s="6"/>
      <c r="E32" s="5" t="s">
        <v>32</v>
      </c>
      <c r="F32" s="5" t="s">
        <v>117</v>
      </c>
      <c r="G32" s="5" t="s">
        <v>11</v>
      </c>
      <c r="H32" s="7" t="s">
        <v>7</v>
      </c>
      <c r="I32" s="7" t="s">
        <v>118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41</v>
      </c>
      <c r="AF32" s="8">
        <v>116400</v>
      </c>
      <c r="AG32" s="8">
        <v>9300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11</v>
      </c>
      <c r="AR32" s="8">
        <v>30200</v>
      </c>
      <c r="AS32" s="7">
        <v>900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10">
        <v>156800</v>
      </c>
      <c r="BN32" s="16">
        <f t="shared" si="1"/>
        <v>156800</v>
      </c>
      <c r="BO32" s="14">
        <f t="shared" si="2"/>
        <v>109760</v>
      </c>
    </row>
    <row r="33" spans="1:67" x14ac:dyDescent="0.3">
      <c r="A33" s="5" t="s">
        <v>30</v>
      </c>
      <c r="B33" s="5" t="s">
        <v>119</v>
      </c>
      <c r="C33" s="5">
        <v>388999</v>
      </c>
      <c r="D33" s="6"/>
      <c r="E33" s="5" t="s">
        <v>32</v>
      </c>
      <c r="F33" s="5" t="s">
        <v>87</v>
      </c>
      <c r="G33" s="5" t="s">
        <v>11</v>
      </c>
      <c r="H33" s="7" t="s">
        <v>7</v>
      </c>
      <c r="I33" s="7" t="s">
        <v>120</v>
      </c>
      <c r="J33" s="7">
        <v>0</v>
      </c>
      <c r="K33" s="7">
        <v>17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84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945</v>
      </c>
      <c r="AF33" s="8">
        <v>94100</v>
      </c>
      <c r="AG33" s="7">
        <v>400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443</v>
      </c>
      <c r="AR33" s="8">
        <v>42300</v>
      </c>
      <c r="AS33" s="8">
        <v>2000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10">
        <v>138800</v>
      </c>
      <c r="BN33" s="16">
        <f t="shared" si="1"/>
        <v>138800</v>
      </c>
      <c r="BO33" s="14">
        <f t="shared" si="2"/>
        <v>97160</v>
      </c>
    </row>
    <row r="34" spans="1:67" x14ac:dyDescent="0.3">
      <c r="A34" s="5" t="s">
        <v>30</v>
      </c>
      <c r="B34" s="5" t="s">
        <v>121</v>
      </c>
      <c r="C34" s="5">
        <v>287641</v>
      </c>
      <c r="D34" s="6"/>
      <c r="E34" s="5" t="s">
        <v>32</v>
      </c>
      <c r="F34" s="5" t="s">
        <v>48</v>
      </c>
      <c r="G34" s="5" t="s">
        <v>11</v>
      </c>
      <c r="H34" s="7" t="s">
        <v>7</v>
      </c>
      <c r="I34" s="7" t="s">
        <v>122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26</v>
      </c>
      <c r="AF34" s="8">
        <v>77400</v>
      </c>
      <c r="AG34" s="7">
        <v>500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19</v>
      </c>
      <c r="AR34" s="8">
        <v>59300</v>
      </c>
      <c r="AS34" s="7">
        <v>400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0</v>
      </c>
      <c r="BM34" s="10">
        <v>137600</v>
      </c>
      <c r="BN34" s="16">
        <f t="shared" si="1"/>
        <v>137600</v>
      </c>
      <c r="BO34" s="14">
        <f t="shared" si="2"/>
        <v>96320</v>
      </c>
    </row>
    <row r="35" spans="1:67" x14ac:dyDescent="0.3">
      <c r="A35" s="5" t="s">
        <v>30</v>
      </c>
      <c r="B35" s="5" t="s">
        <v>123</v>
      </c>
      <c r="C35" s="5">
        <v>394830</v>
      </c>
      <c r="D35" s="6"/>
      <c r="E35" s="5" t="s">
        <v>32</v>
      </c>
      <c r="F35" s="5" t="s">
        <v>60</v>
      </c>
      <c r="G35" s="5" t="s">
        <v>52</v>
      </c>
      <c r="H35" s="7" t="s">
        <v>8</v>
      </c>
      <c r="I35" s="7" t="s">
        <v>124</v>
      </c>
      <c r="J35" s="7">
        <v>0</v>
      </c>
      <c r="K35" s="7">
        <v>6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56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8">
        <v>1111</v>
      </c>
      <c r="AF35" s="8">
        <v>107200</v>
      </c>
      <c r="AG35" s="8">
        <v>3900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239</v>
      </c>
      <c r="AR35" s="8">
        <v>23900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10">
        <v>135000</v>
      </c>
      <c r="BN35" s="16">
        <f t="shared" si="1"/>
        <v>135000</v>
      </c>
      <c r="BO35" s="14">
        <f t="shared" si="2"/>
        <v>94500</v>
      </c>
    </row>
    <row r="36" spans="1:67" x14ac:dyDescent="0.3">
      <c r="A36" s="5" t="s">
        <v>30</v>
      </c>
      <c r="B36" s="5" t="s">
        <v>125</v>
      </c>
      <c r="C36" s="5">
        <v>359539</v>
      </c>
      <c r="D36" s="6"/>
      <c r="E36" s="5" t="s">
        <v>32</v>
      </c>
      <c r="F36" s="5" t="s">
        <v>126</v>
      </c>
      <c r="G36" s="5" t="s">
        <v>52</v>
      </c>
      <c r="H36" s="7" t="s">
        <v>8</v>
      </c>
      <c r="I36" s="7" t="s">
        <v>127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26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8">
        <v>1243</v>
      </c>
      <c r="AF36" s="8">
        <v>113900</v>
      </c>
      <c r="AG36" s="8">
        <v>10400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28</v>
      </c>
      <c r="AR36" s="8">
        <v>2600</v>
      </c>
      <c r="AS36" s="7">
        <v>200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10">
        <v>127100</v>
      </c>
      <c r="BN36" s="16">
        <f t="shared" si="1"/>
        <v>127100</v>
      </c>
      <c r="BO36" s="14">
        <f t="shared" si="2"/>
        <v>88970</v>
      </c>
    </row>
    <row r="37" spans="1:67" x14ac:dyDescent="0.3">
      <c r="A37" s="5" t="s">
        <v>30</v>
      </c>
      <c r="B37" s="5" t="s">
        <v>128</v>
      </c>
      <c r="C37" s="5">
        <v>428379</v>
      </c>
      <c r="D37" s="6"/>
      <c r="E37" s="5" t="s">
        <v>32</v>
      </c>
      <c r="F37" s="5" t="s">
        <v>129</v>
      </c>
      <c r="G37" s="5" t="s">
        <v>11</v>
      </c>
      <c r="H37" s="7" t="s">
        <v>8</v>
      </c>
      <c r="I37" s="7" t="s">
        <v>130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4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989</v>
      </c>
      <c r="AF37" s="8">
        <v>93000</v>
      </c>
      <c r="AG37" s="8">
        <v>5900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111</v>
      </c>
      <c r="AR37" s="8">
        <v>10600</v>
      </c>
      <c r="AS37" s="7">
        <v>500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10">
        <v>110000</v>
      </c>
      <c r="BN37" s="16">
        <f t="shared" ref="BN37:BN100" si="3">BM37-BL37</f>
        <v>110000</v>
      </c>
      <c r="BO37" s="14">
        <f t="shared" ref="BO37:BO100" si="4">BN37*70%</f>
        <v>77000</v>
      </c>
    </row>
    <row r="38" spans="1:67" ht="19.5" x14ac:dyDescent="0.3">
      <c r="A38" s="5" t="s">
        <v>30</v>
      </c>
      <c r="B38" s="5" t="s">
        <v>131</v>
      </c>
      <c r="C38" s="5">
        <v>425289</v>
      </c>
      <c r="D38" s="6"/>
      <c r="E38" s="5" t="s">
        <v>32</v>
      </c>
      <c r="F38" s="5" t="s">
        <v>117</v>
      </c>
      <c r="G38" s="5" t="s">
        <v>11</v>
      </c>
      <c r="H38" s="7" t="s">
        <v>7</v>
      </c>
      <c r="I38" s="7" t="s">
        <v>132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51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869</v>
      </c>
      <c r="AF38" s="8">
        <v>72300</v>
      </c>
      <c r="AG38" s="8">
        <v>14600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214</v>
      </c>
      <c r="AR38" s="8">
        <v>19400</v>
      </c>
      <c r="AS38" s="8">
        <v>2000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10">
        <v>108300</v>
      </c>
      <c r="BN38" s="16">
        <f t="shared" si="3"/>
        <v>108300</v>
      </c>
      <c r="BO38" s="14">
        <f t="shared" si="4"/>
        <v>75810</v>
      </c>
    </row>
    <row r="39" spans="1:67" x14ac:dyDescent="0.3">
      <c r="A39" s="5" t="s">
        <v>30</v>
      </c>
      <c r="B39" s="5" t="s">
        <v>133</v>
      </c>
      <c r="C39" s="5">
        <v>469075</v>
      </c>
      <c r="D39" s="6"/>
      <c r="E39" s="5" t="s">
        <v>32</v>
      </c>
      <c r="F39" s="5" t="s">
        <v>79</v>
      </c>
      <c r="G39" s="5" t="s">
        <v>34</v>
      </c>
      <c r="H39" s="7" t="s">
        <v>10</v>
      </c>
      <c r="I39" s="7" t="s">
        <v>134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22</v>
      </c>
      <c r="AF39" s="8">
        <v>71500</v>
      </c>
      <c r="AG39" s="8">
        <v>7800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6</v>
      </c>
      <c r="AR39" s="8">
        <v>23200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7">
        <v>0</v>
      </c>
      <c r="BL39" s="7">
        <v>0</v>
      </c>
      <c r="BM39" s="10">
        <v>102500</v>
      </c>
      <c r="BN39" s="16">
        <f t="shared" si="3"/>
        <v>102500</v>
      </c>
      <c r="BO39" s="14">
        <f t="shared" si="4"/>
        <v>71750</v>
      </c>
    </row>
    <row r="40" spans="1:67" x14ac:dyDescent="0.3">
      <c r="A40" s="5" t="s">
        <v>30</v>
      </c>
      <c r="B40" s="5" t="s">
        <v>135</v>
      </c>
      <c r="C40" s="5">
        <v>422368</v>
      </c>
      <c r="D40" s="6"/>
      <c r="E40" s="5" t="s">
        <v>32</v>
      </c>
      <c r="F40" s="5" t="s">
        <v>136</v>
      </c>
      <c r="G40" s="5" t="s">
        <v>11</v>
      </c>
      <c r="H40" s="7" t="s">
        <v>7</v>
      </c>
      <c r="I40" s="7" t="s">
        <v>137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32</v>
      </c>
      <c r="AF40" s="8">
        <v>102400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10">
        <v>102400</v>
      </c>
      <c r="BN40" s="16">
        <f t="shared" si="3"/>
        <v>102400</v>
      </c>
      <c r="BO40" s="14">
        <f t="shared" si="4"/>
        <v>71680</v>
      </c>
    </row>
    <row r="41" spans="1:67" x14ac:dyDescent="0.3">
      <c r="A41" s="5" t="s">
        <v>30</v>
      </c>
      <c r="B41" s="5" t="s">
        <v>138</v>
      </c>
      <c r="C41" s="5">
        <v>415710</v>
      </c>
      <c r="D41" s="6"/>
      <c r="E41" s="5" t="s">
        <v>32</v>
      </c>
      <c r="F41" s="5" t="s">
        <v>73</v>
      </c>
      <c r="G41" s="5" t="s">
        <v>52</v>
      </c>
      <c r="H41" s="7" t="s">
        <v>8</v>
      </c>
      <c r="I41" s="7" t="s">
        <v>139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35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772</v>
      </c>
      <c r="AF41" s="8">
        <v>67900</v>
      </c>
      <c r="AG41" s="8">
        <v>9300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206</v>
      </c>
      <c r="AR41" s="8">
        <v>16700</v>
      </c>
      <c r="AS41" s="8">
        <v>3900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10">
        <v>97800</v>
      </c>
      <c r="BN41" s="16">
        <f t="shared" si="3"/>
        <v>97800</v>
      </c>
      <c r="BO41" s="14">
        <f t="shared" si="4"/>
        <v>68460</v>
      </c>
    </row>
    <row r="42" spans="1:67" x14ac:dyDescent="0.3">
      <c r="A42" s="5" t="s">
        <v>30</v>
      </c>
      <c r="B42" s="5" t="s">
        <v>140</v>
      </c>
      <c r="C42" s="5">
        <v>379813</v>
      </c>
      <c r="D42" s="6"/>
      <c r="E42" s="5" t="s">
        <v>32</v>
      </c>
      <c r="F42" s="5" t="s">
        <v>48</v>
      </c>
      <c r="G42" s="5" t="s">
        <v>11</v>
      </c>
      <c r="H42" s="7" t="s">
        <v>7</v>
      </c>
      <c r="I42" s="7" t="s">
        <v>141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59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970</v>
      </c>
      <c r="AF42" s="8">
        <v>84100</v>
      </c>
      <c r="AG42" s="8">
        <v>12900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10">
        <v>97000</v>
      </c>
      <c r="BN42" s="16">
        <f t="shared" si="3"/>
        <v>97000</v>
      </c>
      <c r="BO42" s="14">
        <f t="shared" si="4"/>
        <v>67900</v>
      </c>
    </row>
    <row r="43" spans="1:67" x14ac:dyDescent="0.3">
      <c r="A43" s="5" t="s">
        <v>30</v>
      </c>
      <c r="B43" s="5" t="s">
        <v>142</v>
      </c>
      <c r="C43" s="5">
        <v>390809</v>
      </c>
      <c r="D43" s="6"/>
      <c r="E43" s="5" t="s">
        <v>32</v>
      </c>
      <c r="F43" s="5" t="s">
        <v>143</v>
      </c>
      <c r="G43" s="5" t="s">
        <v>52</v>
      </c>
      <c r="H43" s="7" t="s">
        <v>8</v>
      </c>
      <c r="I43" s="7" t="s">
        <v>53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11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721</v>
      </c>
      <c r="AF43" s="8">
        <v>71000</v>
      </c>
      <c r="AG43" s="8">
        <v>1100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139</v>
      </c>
      <c r="AR43" s="8">
        <v>13700</v>
      </c>
      <c r="AS43" s="7">
        <v>200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7">
        <v>0</v>
      </c>
      <c r="BM43" s="10">
        <v>86000</v>
      </c>
      <c r="BN43" s="16">
        <f t="shared" si="3"/>
        <v>86000</v>
      </c>
      <c r="BO43" s="14">
        <f t="shared" si="4"/>
        <v>60199.999999999993</v>
      </c>
    </row>
    <row r="44" spans="1:67" x14ac:dyDescent="0.3">
      <c r="A44" s="5" t="s">
        <v>30</v>
      </c>
      <c r="B44" s="5" t="s">
        <v>144</v>
      </c>
      <c r="C44" s="5">
        <v>425414</v>
      </c>
      <c r="D44" s="6"/>
      <c r="E44" s="5" t="s">
        <v>32</v>
      </c>
      <c r="F44" s="5" t="s">
        <v>145</v>
      </c>
      <c r="G44" s="5" t="s">
        <v>11</v>
      </c>
      <c r="H44" s="7" t="s">
        <v>7</v>
      </c>
      <c r="I44" s="7" t="s">
        <v>146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7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747</v>
      </c>
      <c r="AF44" s="8">
        <v>66800</v>
      </c>
      <c r="AG44" s="8">
        <v>7900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96</v>
      </c>
      <c r="AR44" s="8">
        <v>9600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0</v>
      </c>
      <c r="BM44" s="10">
        <v>84300</v>
      </c>
      <c r="BN44" s="16">
        <f t="shared" si="3"/>
        <v>84300</v>
      </c>
      <c r="BO44" s="14">
        <f t="shared" si="4"/>
        <v>59009.999999999993</v>
      </c>
    </row>
    <row r="45" spans="1:67" x14ac:dyDescent="0.3">
      <c r="A45" s="5" t="s">
        <v>30</v>
      </c>
      <c r="B45" s="5" t="s">
        <v>147</v>
      </c>
      <c r="C45" s="5">
        <v>386704</v>
      </c>
      <c r="D45" s="6"/>
      <c r="E45" s="5" t="s">
        <v>32</v>
      </c>
      <c r="F45" s="5" t="s">
        <v>148</v>
      </c>
      <c r="G45" s="5" t="s">
        <v>52</v>
      </c>
      <c r="H45" s="7" t="s">
        <v>8</v>
      </c>
      <c r="I45" s="7" t="s">
        <v>149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5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716</v>
      </c>
      <c r="AF45" s="8">
        <v>71300</v>
      </c>
      <c r="AG45" s="7">
        <v>300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101</v>
      </c>
      <c r="AR45" s="8">
        <v>8300</v>
      </c>
      <c r="AS45" s="8">
        <v>1800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0</v>
      </c>
      <c r="BM45" s="10">
        <v>81700</v>
      </c>
      <c r="BN45" s="16">
        <f t="shared" si="3"/>
        <v>81700</v>
      </c>
      <c r="BO45" s="14">
        <f t="shared" si="4"/>
        <v>57190</v>
      </c>
    </row>
    <row r="46" spans="1:67" x14ac:dyDescent="0.3">
      <c r="A46" s="5" t="s">
        <v>30</v>
      </c>
      <c r="B46" s="5" t="s">
        <v>150</v>
      </c>
      <c r="C46" s="5">
        <v>290890</v>
      </c>
      <c r="D46" s="6"/>
      <c r="E46" s="5" t="s">
        <v>32</v>
      </c>
      <c r="F46" s="5" t="s">
        <v>48</v>
      </c>
      <c r="G46" s="5" t="s">
        <v>11</v>
      </c>
      <c r="H46" s="7" t="s">
        <v>7</v>
      </c>
      <c r="I46" s="7" t="s">
        <v>151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23</v>
      </c>
      <c r="AC46" s="8">
        <v>18900</v>
      </c>
      <c r="AD46" s="8">
        <v>1800</v>
      </c>
      <c r="AE46" s="7">
        <v>11</v>
      </c>
      <c r="AF46" s="8">
        <v>35200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19</v>
      </c>
      <c r="AO46" s="8">
        <v>16900</v>
      </c>
      <c r="AP46" s="7">
        <v>200</v>
      </c>
      <c r="AQ46" s="7">
        <v>2</v>
      </c>
      <c r="AR46" s="8">
        <v>6400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0</v>
      </c>
      <c r="BM46" s="10">
        <v>79400</v>
      </c>
      <c r="BN46" s="16">
        <f t="shared" si="3"/>
        <v>79400</v>
      </c>
      <c r="BO46" s="14">
        <f t="shared" si="4"/>
        <v>55580</v>
      </c>
    </row>
    <row r="47" spans="1:67" x14ac:dyDescent="0.3">
      <c r="A47" s="5" t="s">
        <v>30</v>
      </c>
      <c r="B47" s="5" t="s">
        <v>152</v>
      </c>
      <c r="C47" s="5">
        <v>383229</v>
      </c>
      <c r="D47" s="6"/>
      <c r="E47" s="5" t="s">
        <v>32</v>
      </c>
      <c r="F47" s="5" t="s">
        <v>153</v>
      </c>
      <c r="G47" s="5" t="s">
        <v>52</v>
      </c>
      <c r="H47" s="7" t="s">
        <v>8</v>
      </c>
      <c r="I47" s="7" t="s">
        <v>154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43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662</v>
      </c>
      <c r="AF47" s="8">
        <v>41700</v>
      </c>
      <c r="AG47" s="8">
        <v>24500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97</v>
      </c>
      <c r="AR47" s="8">
        <v>9300</v>
      </c>
      <c r="AS47" s="7">
        <v>400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0</v>
      </c>
      <c r="BM47" s="10">
        <v>75900</v>
      </c>
      <c r="BN47" s="16">
        <f t="shared" si="3"/>
        <v>75900</v>
      </c>
      <c r="BO47" s="14">
        <f t="shared" si="4"/>
        <v>53130</v>
      </c>
    </row>
    <row r="48" spans="1:67" x14ac:dyDescent="0.3">
      <c r="A48" s="5" t="s">
        <v>30</v>
      </c>
      <c r="B48" s="5" t="s">
        <v>155</v>
      </c>
      <c r="C48" s="5">
        <v>359912</v>
      </c>
      <c r="D48" s="6"/>
      <c r="E48" s="5" t="s">
        <v>32</v>
      </c>
      <c r="F48" s="5" t="s">
        <v>156</v>
      </c>
      <c r="G48" s="5" t="s">
        <v>52</v>
      </c>
      <c r="H48" s="7" t="s">
        <v>8</v>
      </c>
      <c r="I48" s="7" t="s">
        <v>157</v>
      </c>
      <c r="J48" s="7">
        <v>0</v>
      </c>
      <c r="K48" s="7">
        <v>6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35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742</v>
      </c>
      <c r="AF48" s="8">
        <v>72700</v>
      </c>
      <c r="AG48" s="8">
        <v>1500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7</v>
      </c>
      <c r="AR48" s="7">
        <v>700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7">
        <v>0</v>
      </c>
      <c r="BM48" s="10">
        <v>74900</v>
      </c>
      <c r="BN48" s="16">
        <f t="shared" si="3"/>
        <v>74900</v>
      </c>
      <c r="BO48" s="14">
        <f t="shared" si="4"/>
        <v>52430</v>
      </c>
    </row>
    <row r="49" spans="1:67" x14ac:dyDescent="0.3">
      <c r="A49" s="5" t="s">
        <v>30</v>
      </c>
      <c r="B49" s="5" t="s">
        <v>158</v>
      </c>
      <c r="C49" s="5">
        <v>406849</v>
      </c>
      <c r="D49" s="6"/>
      <c r="E49" s="5" t="s">
        <v>32</v>
      </c>
      <c r="F49" s="5" t="s">
        <v>136</v>
      </c>
      <c r="G49" s="5" t="s">
        <v>11</v>
      </c>
      <c r="H49" s="7" t="s">
        <v>7</v>
      </c>
      <c r="I49" s="7" t="s">
        <v>159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1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620</v>
      </c>
      <c r="AF49" s="8">
        <v>61900</v>
      </c>
      <c r="AG49" s="7">
        <v>100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75</v>
      </c>
      <c r="AR49" s="8">
        <v>7500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0</v>
      </c>
      <c r="BM49" s="10">
        <v>69500</v>
      </c>
      <c r="BN49" s="16">
        <f t="shared" si="3"/>
        <v>69500</v>
      </c>
      <c r="BO49" s="14">
        <f t="shared" si="4"/>
        <v>48650</v>
      </c>
    </row>
    <row r="50" spans="1:67" x14ac:dyDescent="0.3">
      <c r="A50" s="5" t="s">
        <v>30</v>
      </c>
      <c r="B50" s="5" t="s">
        <v>160</v>
      </c>
      <c r="C50" s="5">
        <v>337887</v>
      </c>
      <c r="D50" s="6"/>
      <c r="E50" s="5" t="s">
        <v>32</v>
      </c>
      <c r="F50" s="5" t="s">
        <v>156</v>
      </c>
      <c r="G50" s="5" t="s">
        <v>52</v>
      </c>
      <c r="H50" s="7" t="s">
        <v>8</v>
      </c>
      <c r="I50" s="7" t="s">
        <v>161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15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601</v>
      </c>
      <c r="AF50" s="8">
        <v>52800</v>
      </c>
      <c r="AG50" s="8">
        <v>7300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40</v>
      </c>
      <c r="AR50" s="8">
        <v>4000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0</v>
      </c>
      <c r="BM50" s="10">
        <v>64100</v>
      </c>
      <c r="BN50" s="16">
        <f t="shared" si="3"/>
        <v>64100</v>
      </c>
      <c r="BO50" s="14">
        <f t="shared" si="4"/>
        <v>44870</v>
      </c>
    </row>
    <row r="51" spans="1:67" x14ac:dyDescent="0.3">
      <c r="A51" s="5" t="s">
        <v>30</v>
      </c>
      <c r="B51" s="5" t="s">
        <v>162</v>
      </c>
      <c r="C51" s="5">
        <v>399034</v>
      </c>
      <c r="D51" s="6"/>
      <c r="E51" s="5" t="s">
        <v>32</v>
      </c>
      <c r="F51" s="5" t="s">
        <v>163</v>
      </c>
      <c r="G51" s="5" t="s">
        <v>52</v>
      </c>
      <c r="H51" s="7" t="s">
        <v>8</v>
      </c>
      <c r="I51" s="7" t="s">
        <v>164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37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505</v>
      </c>
      <c r="AF51" s="8">
        <v>47700</v>
      </c>
      <c r="AG51" s="8">
        <v>2800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109</v>
      </c>
      <c r="AR51" s="8">
        <v>9800</v>
      </c>
      <c r="AS51" s="8">
        <v>1100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0</v>
      </c>
      <c r="BM51" s="10">
        <v>61400</v>
      </c>
      <c r="BN51" s="16">
        <f t="shared" si="3"/>
        <v>61400</v>
      </c>
      <c r="BO51" s="14">
        <f t="shared" si="4"/>
        <v>42980</v>
      </c>
    </row>
    <row r="52" spans="1:67" x14ac:dyDescent="0.3">
      <c r="A52" s="5" t="s">
        <v>30</v>
      </c>
      <c r="B52" s="5" t="s">
        <v>165</v>
      </c>
      <c r="C52" s="5">
        <v>367994</v>
      </c>
      <c r="D52" s="6"/>
      <c r="E52" s="5" t="s">
        <v>32</v>
      </c>
      <c r="F52" s="5" t="s">
        <v>51</v>
      </c>
      <c r="G52" s="5" t="s">
        <v>52</v>
      </c>
      <c r="H52" s="7" t="s">
        <v>8</v>
      </c>
      <c r="I52" s="7" t="s">
        <v>166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21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449</v>
      </c>
      <c r="AF52" s="8">
        <v>42700</v>
      </c>
      <c r="AG52" s="8">
        <v>2200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101</v>
      </c>
      <c r="AR52" s="8">
        <v>10000</v>
      </c>
      <c r="AS52" s="7">
        <v>100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7">
        <v>0</v>
      </c>
      <c r="BM52" s="10">
        <v>55000</v>
      </c>
      <c r="BN52" s="16">
        <f t="shared" si="3"/>
        <v>55000</v>
      </c>
      <c r="BO52" s="14">
        <f t="shared" si="4"/>
        <v>38500</v>
      </c>
    </row>
    <row r="53" spans="1:67" x14ac:dyDescent="0.3">
      <c r="A53" s="5" t="s">
        <v>30</v>
      </c>
      <c r="B53" s="5" t="s">
        <v>167</v>
      </c>
      <c r="C53" s="5">
        <v>328404</v>
      </c>
      <c r="D53" s="6"/>
      <c r="E53" s="5" t="s">
        <v>32</v>
      </c>
      <c r="F53" s="5" t="s">
        <v>51</v>
      </c>
      <c r="G53" s="5" t="s">
        <v>52</v>
      </c>
      <c r="H53" s="7" t="s">
        <v>8</v>
      </c>
      <c r="I53" s="7" t="s">
        <v>168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11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458</v>
      </c>
      <c r="AF53" s="8">
        <v>37600</v>
      </c>
      <c r="AG53" s="8">
        <v>8200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92</v>
      </c>
      <c r="AR53" s="8">
        <v>9000</v>
      </c>
      <c r="AS53" s="7">
        <v>200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0</v>
      </c>
      <c r="BM53" s="10">
        <v>55000</v>
      </c>
      <c r="BN53" s="16">
        <f t="shared" si="3"/>
        <v>55000</v>
      </c>
      <c r="BO53" s="14">
        <f t="shared" si="4"/>
        <v>38500</v>
      </c>
    </row>
    <row r="54" spans="1:67" x14ac:dyDescent="0.3">
      <c r="A54" s="5" t="s">
        <v>30</v>
      </c>
      <c r="B54" s="5" t="s">
        <v>169</v>
      </c>
      <c r="C54" s="5">
        <v>392777</v>
      </c>
      <c r="D54" s="6"/>
      <c r="E54" s="5" t="s">
        <v>32</v>
      </c>
      <c r="F54" s="5" t="s">
        <v>110</v>
      </c>
      <c r="G54" s="5" t="s">
        <v>11</v>
      </c>
      <c r="H54" s="7" t="s">
        <v>7</v>
      </c>
      <c r="I54" s="7" t="s">
        <v>170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17</v>
      </c>
      <c r="AF54" s="8">
        <v>54400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7">
        <v>0</v>
      </c>
      <c r="BM54" s="10">
        <v>54400</v>
      </c>
      <c r="BN54" s="16">
        <f t="shared" si="3"/>
        <v>54400</v>
      </c>
      <c r="BO54" s="14">
        <f t="shared" si="4"/>
        <v>38080</v>
      </c>
    </row>
    <row r="55" spans="1:67" x14ac:dyDescent="0.3">
      <c r="A55" s="5" t="s">
        <v>30</v>
      </c>
      <c r="B55" s="5" t="s">
        <v>171</v>
      </c>
      <c r="C55" s="5">
        <v>422374</v>
      </c>
      <c r="D55" s="6"/>
      <c r="E55" s="5" t="s">
        <v>32</v>
      </c>
      <c r="F55" s="5" t="s">
        <v>172</v>
      </c>
      <c r="G55" s="5" t="s">
        <v>11</v>
      </c>
      <c r="H55" s="7" t="s">
        <v>7</v>
      </c>
      <c r="I55" s="7" t="s">
        <v>137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15</v>
      </c>
      <c r="AF55" s="8">
        <v>41800</v>
      </c>
      <c r="AG55" s="8">
        <v>6200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2</v>
      </c>
      <c r="AR55" s="8">
        <v>6400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0</v>
      </c>
      <c r="BM55" s="10">
        <v>54400</v>
      </c>
      <c r="BN55" s="16">
        <f t="shared" si="3"/>
        <v>54400</v>
      </c>
      <c r="BO55" s="14">
        <f t="shared" si="4"/>
        <v>38080</v>
      </c>
    </row>
    <row r="56" spans="1:67" x14ac:dyDescent="0.3">
      <c r="A56" s="5" t="s">
        <v>30</v>
      </c>
      <c r="B56" s="5" t="s">
        <v>173</v>
      </c>
      <c r="C56" s="5">
        <v>428319</v>
      </c>
      <c r="D56" s="6"/>
      <c r="E56" s="5" t="s">
        <v>32</v>
      </c>
      <c r="F56" s="5" t="s">
        <v>117</v>
      </c>
      <c r="G56" s="5" t="s">
        <v>11</v>
      </c>
      <c r="H56" s="7" t="s">
        <v>7</v>
      </c>
      <c r="I56" s="7" t="s">
        <v>130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36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536</v>
      </c>
      <c r="AF56" s="8">
        <v>31200</v>
      </c>
      <c r="AG56" s="8">
        <v>22400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7">
        <v>0</v>
      </c>
      <c r="BM56" s="10">
        <v>53600</v>
      </c>
      <c r="BN56" s="16">
        <f t="shared" si="3"/>
        <v>53600</v>
      </c>
      <c r="BO56" s="14">
        <f t="shared" si="4"/>
        <v>37520</v>
      </c>
    </row>
    <row r="57" spans="1:67" x14ac:dyDescent="0.3">
      <c r="A57" s="5" t="s">
        <v>30</v>
      </c>
      <c r="B57" s="5" t="s">
        <v>174</v>
      </c>
      <c r="C57" s="5">
        <v>350894</v>
      </c>
      <c r="D57" s="6"/>
      <c r="E57" s="5" t="s">
        <v>32</v>
      </c>
      <c r="F57" s="5" t="s">
        <v>175</v>
      </c>
      <c r="G57" s="5" t="s">
        <v>52</v>
      </c>
      <c r="H57" s="7" t="s">
        <v>8</v>
      </c>
      <c r="I57" s="7" t="s">
        <v>176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13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518</v>
      </c>
      <c r="AF57" s="8">
        <v>48300</v>
      </c>
      <c r="AG57" s="8">
        <v>3500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1</v>
      </c>
      <c r="AR57" s="7">
        <v>100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7">
        <v>0</v>
      </c>
      <c r="BM57" s="10">
        <v>51900</v>
      </c>
      <c r="BN57" s="16">
        <f t="shared" si="3"/>
        <v>51900</v>
      </c>
      <c r="BO57" s="14">
        <f t="shared" si="4"/>
        <v>36330</v>
      </c>
    </row>
    <row r="58" spans="1:67" x14ac:dyDescent="0.3">
      <c r="A58" s="5" t="s">
        <v>30</v>
      </c>
      <c r="B58" s="5" t="s">
        <v>177</v>
      </c>
      <c r="C58" s="5">
        <v>394079</v>
      </c>
      <c r="D58" s="6"/>
      <c r="E58" s="5" t="s">
        <v>32</v>
      </c>
      <c r="F58" s="5" t="s">
        <v>73</v>
      </c>
      <c r="G58" s="5" t="s">
        <v>52</v>
      </c>
      <c r="H58" s="7" t="s">
        <v>8</v>
      </c>
      <c r="I58" s="7" t="s">
        <v>178</v>
      </c>
      <c r="J58" s="7">
        <v>0</v>
      </c>
      <c r="K58" s="7">
        <v>5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21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519</v>
      </c>
      <c r="AF58" s="8">
        <v>50400</v>
      </c>
      <c r="AG58" s="8">
        <v>1500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0</v>
      </c>
      <c r="BL58" s="7">
        <v>0</v>
      </c>
      <c r="BM58" s="10">
        <v>51900</v>
      </c>
      <c r="BN58" s="16">
        <f t="shared" si="3"/>
        <v>51900</v>
      </c>
      <c r="BO58" s="14">
        <f t="shared" si="4"/>
        <v>36330</v>
      </c>
    </row>
    <row r="59" spans="1:67" x14ac:dyDescent="0.3">
      <c r="A59" s="5" t="s">
        <v>30</v>
      </c>
      <c r="B59" s="5" t="s">
        <v>179</v>
      </c>
      <c r="C59" s="5">
        <v>433508</v>
      </c>
      <c r="D59" s="6"/>
      <c r="E59" s="5" t="s">
        <v>32</v>
      </c>
      <c r="F59" s="5" t="s">
        <v>180</v>
      </c>
      <c r="G59" s="5" t="s">
        <v>11</v>
      </c>
      <c r="H59" s="7" t="s">
        <v>7</v>
      </c>
      <c r="I59" s="7" t="s">
        <v>181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20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287</v>
      </c>
      <c r="AF59" s="8">
        <v>28200</v>
      </c>
      <c r="AG59" s="7">
        <v>500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172</v>
      </c>
      <c r="AR59" s="8">
        <v>17000</v>
      </c>
      <c r="AS59" s="7">
        <v>200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7">
        <v>0</v>
      </c>
      <c r="BM59" s="10">
        <v>45900</v>
      </c>
      <c r="BN59" s="16">
        <f t="shared" si="3"/>
        <v>45900</v>
      </c>
      <c r="BO59" s="14">
        <f t="shared" si="4"/>
        <v>32129.999999999996</v>
      </c>
    </row>
    <row r="60" spans="1:67" x14ac:dyDescent="0.3">
      <c r="A60" s="5" t="s">
        <v>30</v>
      </c>
      <c r="B60" s="5" t="s">
        <v>182</v>
      </c>
      <c r="C60" s="5">
        <v>376361</v>
      </c>
      <c r="D60" s="6"/>
      <c r="E60" s="5" t="s">
        <v>32</v>
      </c>
      <c r="F60" s="5" t="s">
        <v>67</v>
      </c>
      <c r="G60" s="5" t="s">
        <v>52</v>
      </c>
      <c r="H60" s="7" t="s">
        <v>8</v>
      </c>
      <c r="I60" s="7" t="s">
        <v>183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16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345</v>
      </c>
      <c r="AF60" s="8">
        <v>34300</v>
      </c>
      <c r="AG60" s="7">
        <v>200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96</v>
      </c>
      <c r="AR60" s="8">
        <v>7700</v>
      </c>
      <c r="AS60" s="8">
        <v>1900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0</v>
      </c>
      <c r="BH60" s="7">
        <v>0</v>
      </c>
      <c r="BI60" s="7">
        <v>0</v>
      </c>
      <c r="BJ60" s="7">
        <v>0</v>
      </c>
      <c r="BK60" s="7">
        <v>0</v>
      </c>
      <c r="BL60" s="7">
        <v>0</v>
      </c>
      <c r="BM60" s="10">
        <v>44100</v>
      </c>
      <c r="BN60" s="16">
        <f t="shared" si="3"/>
        <v>44100</v>
      </c>
      <c r="BO60" s="14">
        <f t="shared" si="4"/>
        <v>30869.999999999996</v>
      </c>
    </row>
    <row r="61" spans="1:67" x14ac:dyDescent="0.3">
      <c r="A61" s="5" t="s">
        <v>30</v>
      </c>
      <c r="B61" s="5" t="s">
        <v>184</v>
      </c>
      <c r="C61" s="5">
        <v>423577</v>
      </c>
      <c r="D61" s="6"/>
      <c r="E61" s="5" t="s">
        <v>32</v>
      </c>
      <c r="F61" s="5" t="s">
        <v>185</v>
      </c>
      <c r="G61" s="5" t="s">
        <v>52</v>
      </c>
      <c r="H61" s="7" t="s">
        <v>8</v>
      </c>
      <c r="I61" s="7" t="s">
        <v>186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12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356</v>
      </c>
      <c r="AF61" s="8">
        <v>31900</v>
      </c>
      <c r="AG61" s="8">
        <v>3700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66</v>
      </c>
      <c r="AR61" s="8">
        <v>6400</v>
      </c>
      <c r="AS61" s="7">
        <v>200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F61" s="7">
        <v>0</v>
      </c>
      <c r="BG61" s="7">
        <v>0</v>
      </c>
      <c r="BH61" s="7">
        <v>0</v>
      </c>
      <c r="BI61" s="7">
        <v>0</v>
      </c>
      <c r="BJ61" s="7">
        <v>0</v>
      </c>
      <c r="BK61" s="7">
        <v>0</v>
      </c>
      <c r="BL61" s="7">
        <v>0</v>
      </c>
      <c r="BM61" s="10">
        <v>42200</v>
      </c>
      <c r="BN61" s="16">
        <f t="shared" si="3"/>
        <v>42200</v>
      </c>
      <c r="BO61" s="14">
        <f t="shared" si="4"/>
        <v>29539.999999999996</v>
      </c>
    </row>
    <row r="62" spans="1:67" ht="19.5" x14ac:dyDescent="0.3">
      <c r="A62" s="5" t="s">
        <v>30</v>
      </c>
      <c r="B62" s="5" t="s">
        <v>187</v>
      </c>
      <c r="C62" s="5">
        <v>467470</v>
      </c>
      <c r="D62" s="6"/>
      <c r="E62" s="5" t="s">
        <v>32</v>
      </c>
      <c r="F62" s="5" t="s">
        <v>188</v>
      </c>
      <c r="G62" s="5" t="s">
        <v>52</v>
      </c>
      <c r="H62" s="7" t="s">
        <v>8</v>
      </c>
      <c r="I62" s="7" t="s">
        <v>189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14</v>
      </c>
      <c r="AF62" s="8">
        <v>34500</v>
      </c>
      <c r="AG62" s="8">
        <v>7500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0</v>
      </c>
      <c r="BB62" s="7">
        <v>0</v>
      </c>
      <c r="BC62" s="7">
        <v>0</v>
      </c>
      <c r="BD62" s="7">
        <v>0</v>
      </c>
      <c r="BE62" s="7">
        <v>0</v>
      </c>
      <c r="BF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7">
        <v>0</v>
      </c>
      <c r="BM62" s="10">
        <v>42000</v>
      </c>
      <c r="BN62" s="16">
        <f t="shared" si="3"/>
        <v>42000</v>
      </c>
      <c r="BO62" s="14">
        <f t="shared" si="4"/>
        <v>29399.999999999996</v>
      </c>
    </row>
    <row r="63" spans="1:67" x14ac:dyDescent="0.3">
      <c r="A63" s="5" t="s">
        <v>30</v>
      </c>
      <c r="B63" s="5" t="s">
        <v>190</v>
      </c>
      <c r="C63" s="5">
        <v>387822</v>
      </c>
      <c r="D63" s="6"/>
      <c r="E63" s="5" t="s">
        <v>32</v>
      </c>
      <c r="F63" s="5" t="s">
        <v>191</v>
      </c>
      <c r="G63" s="5" t="s">
        <v>52</v>
      </c>
      <c r="H63" s="7" t="s">
        <v>8</v>
      </c>
      <c r="I63" s="7" t="s">
        <v>192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11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415</v>
      </c>
      <c r="AF63" s="8">
        <v>41400</v>
      </c>
      <c r="AG63" s="7">
        <v>100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0</v>
      </c>
      <c r="AZ63" s="7">
        <v>0</v>
      </c>
      <c r="BA63" s="7">
        <v>0</v>
      </c>
      <c r="BB63" s="7">
        <v>0</v>
      </c>
      <c r="BC63" s="7">
        <v>0</v>
      </c>
      <c r="BD63" s="7">
        <v>0</v>
      </c>
      <c r="BE63" s="7">
        <v>0</v>
      </c>
      <c r="BF63" s="7">
        <v>0</v>
      </c>
      <c r="BG63" s="7">
        <v>0</v>
      </c>
      <c r="BH63" s="7">
        <v>0</v>
      </c>
      <c r="BI63" s="7">
        <v>0</v>
      </c>
      <c r="BJ63" s="7">
        <v>0</v>
      </c>
      <c r="BK63" s="7">
        <v>0</v>
      </c>
      <c r="BL63" s="7">
        <v>0</v>
      </c>
      <c r="BM63" s="10">
        <v>41500</v>
      </c>
      <c r="BN63" s="16">
        <f t="shared" si="3"/>
        <v>41500</v>
      </c>
      <c r="BO63" s="14">
        <f t="shared" si="4"/>
        <v>29049.999999999996</v>
      </c>
    </row>
    <row r="64" spans="1:67" x14ac:dyDescent="0.3">
      <c r="A64" s="5" t="s">
        <v>30</v>
      </c>
      <c r="B64" s="5" t="s">
        <v>193</v>
      </c>
      <c r="C64" s="5">
        <v>382640</v>
      </c>
      <c r="D64" s="6"/>
      <c r="E64" s="5" t="s">
        <v>32</v>
      </c>
      <c r="F64" s="5" t="s">
        <v>172</v>
      </c>
      <c r="G64" s="5" t="s">
        <v>11</v>
      </c>
      <c r="H64" s="7" t="s">
        <v>7</v>
      </c>
      <c r="I64" s="7" t="s">
        <v>194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23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397</v>
      </c>
      <c r="AF64" s="8">
        <v>39700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1</v>
      </c>
      <c r="AR64" s="7">
        <v>100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F64" s="7">
        <v>0</v>
      </c>
      <c r="BG64" s="7">
        <v>0</v>
      </c>
      <c r="BH64" s="7">
        <v>0</v>
      </c>
      <c r="BI64" s="7">
        <v>0</v>
      </c>
      <c r="BJ64" s="7">
        <v>0</v>
      </c>
      <c r="BK64" s="7">
        <v>0</v>
      </c>
      <c r="BL64" s="7">
        <v>0</v>
      </c>
      <c r="BM64" s="10">
        <v>39800</v>
      </c>
      <c r="BN64" s="16">
        <f t="shared" si="3"/>
        <v>39800</v>
      </c>
      <c r="BO64" s="14">
        <f t="shared" si="4"/>
        <v>27860</v>
      </c>
    </row>
    <row r="65" spans="1:67" x14ac:dyDescent="0.3">
      <c r="A65" s="5" t="s">
        <v>30</v>
      </c>
      <c r="B65" s="5" t="s">
        <v>195</v>
      </c>
      <c r="C65" s="5">
        <v>429496</v>
      </c>
      <c r="D65" s="6"/>
      <c r="E65" s="5" t="s">
        <v>32</v>
      </c>
      <c r="F65" s="5" t="s">
        <v>196</v>
      </c>
      <c r="G65" s="5" t="s">
        <v>11</v>
      </c>
      <c r="H65" s="7" t="s">
        <v>7</v>
      </c>
      <c r="I65" s="7" t="s">
        <v>197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10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382</v>
      </c>
      <c r="AF65" s="8">
        <v>31500</v>
      </c>
      <c r="AG65" s="8">
        <v>6700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1</v>
      </c>
      <c r="AR65" s="7">
        <v>0</v>
      </c>
      <c r="AS65" s="7">
        <v>100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0</v>
      </c>
      <c r="BL65" s="7">
        <v>0</v>
      </c>
      <c r="BM65" s="10">
        <v>38300</v>
      </c>
      <c r="BN65" s="16">
        <f t="shared" si="3"/>
        <v>38300</v>
      </c>
      <c r="BO65" s="14">
        <f t="shared" si="4"/>
        <v>26810</v>
      </c>
    </row>
    <row r="66" spans="1:67" x14ac:dyDescent="0.3">
      <c r="A66" s="5" t="s">
        <v>30</v>
      </c>
      <c r="B66" s="5" t="s">
        <v>198</v>
      </c>
      <c r="C66" s="5">
        <v>419744</v>
      </c>
      <c r="D66" s="6"/>
      <c r="E66" s="5" t="s">
        <v>32</v>
      </c>
      <c r="F66" s="5" t="s">
        <v>199</v>
      </c>
      <c r="G66" s="5" t="s">
        <v>11</v>
      </c>
      <c r="H66" s="7" t="s">
        <v>7</v>
      </c>
      <c r="I66" s="7" t="s">
        <v>200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29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377</v>
      </c>
      <c r="AF66" s="8">
        <v>26300</v>
      </c>
      <c r="AG66" s="8">
        <v>11400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0</v>
      </c>
      <c r="BF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0</v>
      </c>
      <c r="BL66" s="7">
        <v>0</v>
      </c>
      <c r="BM66" s="10">
        <v>37700</v>
      </c>
      <c r="BN66" s="16">
        <f t="shared" si="3"/>
        <v>37700</v>
      </c>
      <c r="BO66" s="14">
        <f t="shared" si="4"/>
        <v>26390</v>
      </c>
    </row>
    <row r="67" spans="1:67" x14ac:dyDescent="0.3">
      <c r="A67" s="5" t="s">
        <v>30</v>
      </c>
      <c r="B67" s="5" t="s">
        <v>201</v>
      </c>
      <c r="C67" s="5">
        <v>316658</v>
      </c>
      <c r="D67" s="6"/>
      <c r="E67" s="5" t="s">
        <v>32</v>
      </c>
      <c r="F67" s="5" t="s">
        <v>87</v>
      </c>
      <c r="G67" s="5" t="s">
        <v>11</v>
      </c>
      <c r="H67" s="7" t="s">
        <v>7</v>
      </c>
      <c r="I67" s="7" t="s">
        <v>202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16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207</v>
      </c>
      <c r="AF67" s="8">
        <v>20000</v>
      </c>
      <c r="AG67" s="7">
        <v>700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156</v>
      </c>
      <c r="AR67" s="8">
        <v>15400</v>
      </c>
      <c r="AS67" s="7">
        <v>200</v>
      </c>
      <c r="AT67" s="7">
        <v>0</v>
      </c>
      <c r="AU67" s="7">
        <v>0</v>
      </c>
      <c r="AV67" s="7">
        <v>0</v>
      </c>
      <c r="AW67" s="7">
        <v>0</v>
      </c>
      <c r="AX67" s="7">
        <v>0</v>
      </c>
      <c r="AY67" s="7">
        <v>0</v>
      </c>
      <c r="AZ67" s="7">
        <v>0</v>
      </c>
      <c r="BA67" s="7">
        <v>0</v>
      </c>
      <c r="BB67" s="7">
        <v>0</v>
      </c>
      <c r="BC67" s="7">
        <v>0</v>
      </c>
      <c r="BD67" s="7">
        <v>0</v>
      </c>
      <c r="BE67" s="7">
        <v>0</v>
      </c>
      <c r="BF67" s="7">
        <v>0</v>
      </c>
      <c r="BG67" s="7">
        <v>0</v>
      </c>
      <c r="BH67" s="7">
        <v>0</v>
      </c>
      <c r="BI67" s="7">
        <v>0</v>
      </c>
      <c r="BJ67" s="7">
        <v>0</v>
      </c>
      <c r="BK67" s="7">
        <v>0</v>
      </c>
      <c r="BL67" s="7">
        <v>0</v>
      </c>
      <c r="BM67" s="10">
        <v>36300</v>
      </c>
      <c r="BN67" s="16">
        <f t="shared" si="3"/>
        <v>36300</v>
      </c>
      <c r="BO67" s="14">
        <f t="shared" si="4"/>
        <v>25410</v>
      </c>
    </row>
    <row r="68" spans="1:67" x14ac:dyDescent="0.3">
      <c r="A68" s="5" t="s">
        <v>30</v>
      </c>
      <c r="B68" s="5" t="s">
        <v>203</v>
      </c>
      <c r="C68" s="5">
        <v>370192</v>
      </c>
      <c r="D68" s="6"/>
      <c r="E68" s="5" t="s">
        <v>32</v>
      </c>
      <c r="F68" s="5" t="s">
        <v>156</v>
      </c>
      <c r="G68" s="5" t="s">
        <v>52</v>
      </c>
      <c r="H68" s="7" t="s">
        <v>8</v>
      </c>
      <c r="I68" s="7" t="s">
        <v>204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1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351</v>
      </c>
      <c r="AF68" s="8">
        <v>28000</v>
      </c>
      <c r="AG68" s="8">
        <v>7100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1</v>
      </c>
      <c r="AR68" s="7">
        <v>100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F68" s="7">
        <v>0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7">
        <v>0</v>
      </c>
      <c r="BM68" s="10">
        <v>35200</v>
      </c>
      <c r="BN68" s="16">
        <f t="shared" si="3"/>
        <v>35200</v>
      </c>
      <c r="BO68" s="14">
        <f t="shared" si="4"/>
        <v>24640</v>
      </c>
    </row>
    <row r="69" spans="1:67" x14ac:dyDescent="0.3">
      <c r="A69" s="5" t="s">
        <v>30</v>
      </c>
      <c r="B69" s="5" t="s">
        <v>205</v>
      </c>
      <c r="C69" s="5">
        <v>359006</v>
      </c>
      <c r="D69" s="6"/>
      <c r="E69" s="5" t="s">
        <v>32</v>
      </c>
      <c r="F69" s="5" t="s">
        <v>153</v>
      </c>
      <c r="G69" s="5" t="s">
        <v>52</v>
      </c>
      <c r="H69" s="7" t="s">
        <v>8</v>
      </c>
      <c r="I69" s="7" t="s">
        <v>206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7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350</v>
      </c>
      <c r="AF69" s="8">
        <v>30700</v>
      </c>
      <c r="AG69" s="8">
        <v>4300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F69" s="7">
        <v>0</v>
      </c>
      <c r="BG69" s="7">
        <v>0</v>
      </c>
      <c r="BH69" s="7">
        <v>0</v>
      </c>
      <c r="BI69" s="7">
        <v>0</v>
      </c>
      <c r="BJ69" s="7">
        <v>0</v>
      </c>
      <c r="BK69" s="7">
        <v>0</v>
      </c>
      <c r="BL69" s="7">
        <v>0</v>
      </c>
      <c r="BM69" s="10">
        <v>35000</v>
      </c>
      <c r="BN69" s="16">
        <f t="shared" si="3"/>
        <v>35000</v>
      </c>
      <c r="BO69" s="14">
        <f t="shared" si="4"/>
        <v>24500</v>
      </c>
    </row>
    <row r="70" spans="1:67" x14ac:dyDescent="0.3">
      <c r="A70" s="5" t="s">
        <v>30</v>
      </c>
      <c r="B70" s="5" t="s">
        <v>207</v>
      </c>
      <c r="C70" s="5">
        <v>378409</v>
      </c>
      <c r="D70" s="6"/>
      <c r="E70" s="5" t="s">
        <v>32</v>
      </c>
      <c r="F70" s="5" t="s">
        <v>67</v>
      </c>
      <c r="G70" s="5" t="s">
        <v>52</v>
      </c>
      <c r="H70" s="7" t="s">
        <v>8</v>
      </c>
      <c r="I70" s="7" t="s">
        <v>208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21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342</v>
      </c>
      <c r="AF70" s="8">
        <v>32300</v>
      </c>
      <c r="AG70" s="8">
        <v>1900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1</v>
      </c>
      <c r="AR70" s="7">
        <v>100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F70" s="7">
        <v>0</v>
      </c>
      <c r="BG70" s="7">
        <v>0</v>
      </c>
      <c r="BH70" s="7">
        <v>0</v>
      </c>
      <c r="BI70" s="7">
        <v>0</v>
      </c>
      <c r="BJ70" s="7">
        <v>0</v>
      </c>
      <c r="BK70" s="7">
        <v>0</v>
      </c>
      <c r="BL70" s="7">
        <v>0</v>
      </c>
      <c r="BM70" s="10">
        <v>34300</v>
      </c>
      <c r="BN70" s="16">
        <f t="shared" si="3"/>
        <v>34300</v>
      </c>
      <c r="BO70" s="14">
        <f t="shared" si="4"/>
        <v>24010</v>
      </c>
    </row>
    <row r="71" spans="1:67" x14ac:dyDescent="0.3">
      <c r="A71" s="5" t="s">
        <v>30</v>
      </c>
      <c r="B71" s="5" t="s">
        <v>209</v>
      </c>
      <c r="C71" s="5">
        <v>423328</v>
      </c>
      <c r="D71" s="6"/>
      <c r="E71" s="5" t="s">
        <v>32</v>
      </c>
      <c r="F71" s="5" t="s">
        <v>48</v>
      </c>
      <c r="G71" s="5" t="s">
        <v>11</v>
      </c>
      <c r="H71" s="7" t="s">
        <v>7</v>
      </c>
      <c r="I71" s="7" t="s">
        <v>210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8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337</v>
      </c>
      <c r="AF71" s="8">
        <v>21200</v>
      </c>
      <c r="AG71" s="8">
        <v>12500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7">
        <v>0</v>
      </c>
      <c r="AY71" s="7">
        <v>0</v>
      </c>
      <c r="AZ71" s="7">
        <v>0</v>
      </c>
      <c r="BA71" s="7">
        <v>0</v>
      </c>
      <c r="BB71" s="7">
        <v>0</v>
      </c>
      <c r="BC71" s="7">
        <v>0</v>
      </c>
      <c r="BD71" s="7">
        <v>0</v>
      </c>
      <c r="BE71" s="7">
        <v>0</v>
      </c>
      <c r="BF71" s="7">
        <v>0</v>
      </c>
      <c r="BG71" s="7">
        <v>0</v>
      </c>
      <c r="BH71" s="7">
        <v>0</v>
      </c>
      <c r="BI71" s="7">
        <v>0</v>
      </c>
      <c r="BJ71" s="7">
        <v>0</v>
      </c>
      <c r="BK71" s="7">
        <v>0</v>
      </c>
      <c r="BL71" s="7">
        <v>0</v>
      </c>
      <c r="BM71" s="10">
        <v>33700</v>
      </c>
      <c r="BN71" s="16">
        <f t="shared" si="3"/>
        <v>33700</v>
      </c>
      <c r="BO71" s="14">
        <f t="shared" si="4"/>
        <v>23590</v>
      </c>
    </row>
    <row r="72" spans="1:67" x14ac:dyDescent="0.3">
      <c r="A72" s="5" t="s">
        <v>30</v>
      </c>
      <c r="B72" s="5" t="s">
        <v>211</v>
      </c>
      <c r="C72" s="5">
        <v>325640</v>
      </c>
      <c r="D72" s="6"/>
      <c r="E72" s="5" t="s">
        <v>32</v>
      </c>
      <c r="F72" s="5" t="s">
        <v>212</v>
      </c>
      <c r="G72" s="5" t="s">
        <v>11</v>
      </c>
      <c r="H72" s="7" t="s">
        <v>7</v>
      </c>
      <c r="I72" s="7" t="s">
        <v>213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8</v>
      </c>
      <c r="T72" s="7">
        <v>4</v>
      </c>
      <c r="U72" s="7">
        <v>0</v>
      </c>
      <c r="V72" s="7">
        <v>0</v>
      </c>
      <c r="W72" s="7">
        <v>800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322</v>
      </c>
      <c r="AF72" s="8">
        <v>25800</v>
      </c>
      <c r="AG72" s="8">
        <v>6400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7">
        <v>0</v>
      </c>
      <c r="AZ72" s="7">
        <v>0</v>
      </c>
      <c r="BA72" s="7">
        <v>0</v>
      </c>
      <c r="BB72" s="7">
        <v>0</v>
      </c>
      <c r="BC72" s="7">
        <v>0</v>
      </c>
      <c r="BD72" s="7">
        <v>0</v>
      </c>
      <c r="BE72" s="7">
        <v>0</v>
      </c>
      <c r="BF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7">
        <v>0</v>
      </c>
      <c r="BM72" s="10">
        <v>33000</v>
      </c>
      <c r="BN72" s="16">
        <f t="shared" si="3"/>
        <v>33000</v>
      </c>
      <c r="BO72" s="14">
        <f t="shared" si="4"/>
        <v>23100</v>
      </c>
    </row>
    <row r="73" spans="1:67" ht="19.5" x14ac:dyDescent="0.3">
      <c r="A73" s="5" t="s">
        <v>30</v>
      </c>
      <c r="B73" s="5" t="s">
        <v>214</v>
      </c>
      <c r="C73" s="5">
        <v>467503</v>
      </c>
      <c r="D73" s="6"/>
      <c r="E73" s="5" t="s">
        <v>32</v>
      </c>
      <c r="F73" s="5" t="s">
        <v>188</v>
      </c>
      <c r="G73" s="5" t="s">
        <v>52</v>
      </c>
      <c r="H73" s="7" t="s">
        <v>8</v>
      </c>
      <c r="I73" s="7" t="s">
        <v>44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9</v>
      </c>
      <c r="AF73" s="8">
        <v>25100</v>
      </c>
      <c r="AG73" s="8">
        <v>3700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1</v>
      </c>
      <c r="AR73" s="8">
        <v>3200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AZ73" s="7">
        <v>0</v>
      </c>
      <c r="BA73" s="7">
        <v>0</v>
      </c>
      <c r="BB73" s="7">
        <v>0</v>
      </c>
      <c r="BC73" s="7">
        <v>0</v>
      </c>
      <c r="BD73" s="7">
        <v>0</v>
      </c>
      <c r="BE73" s="7">
        <v>0</v>
      </c>
      <c r="BF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0</v>
      </c>
      <c r="BL73" s="7">
        <v>0</v>
      </c>
      <c r="BM73" s="10">
        <v>32000</v>
      </c>
      <c r="BN73" s="16">
        <f t="shared" si="3"/>
        <v>32000</v>
      </c>
      <c r="BO73" s="14">
        <f t="shared" si="4"/>
        <v>22400</v>
      </c>
    </row>
    <row r="74" spans="1:67" x14ac:dyDescent="0.3">
      <c r="A74" s="5" t="s">
        <v>30</v>
      </c>
      <c r="B74" s="5" t="s">
        <v>215</v>
      </c>
      <c r="C74" s="5">
        <v>402649</v>
      </c>
      <c r="D74" s="6"/>
      <c r="E74" s="5" t="s">
        <v>32</v>
      </c>
      <c r="F74" s="5" t="s">
        <v>60</v>
      </c>
      <c r="G74" s="5" t="s">
        <v>52</v>
      </c>
      <c r="H74" s="7" t="s">
        <v>8</v>
      </c>
      <c r="I74" s="7" t="s">
        <v>216</v>
      </c>
      <c r="J74" s="7">
        <v>3</v>
      </c>
      <c r="K74" s="7">
        <v>0</v>
      </c>
      <c r="L74" s="7">
        <v>300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6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289</v>
      </c>
      <c r="AF74" s="8">
        <v>28700</v>
      </c>
      <c r="AG74" s="7">
        <v>200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19</v>
      </c>
      <c r="AR74" s="8">
        <v>1900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F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7">
        <v>0</v>
      </c>
      <c r="BM74" s="10">
        <v>31100</v>
      </c>
      <c r="BN74" s="16">
        <f t="shared" si="3"/>
        <v>31100</v>
      </c>
      <c r="BO74" s="14">
        <f t="shared" si="4"/>
        <v>21770</v>
      </c>
    </row>
    <row r="75" spans="1:67" x14ac:dyDescent="0.3">
      <c r="A75" s="5" t="s">
        <v>30</v>
      </c>
      <c r="B75" s="5" t="s">
        <v>217</v>
      </c>
      <c r="C75" s="5">
        <v>445861</v>
      </c>
      <c r="D75" s="6"/>
      <c r="E75" s="5" t="s">
        <v>32</v>
      </c>
      <c r="F75" s="5" t="s">
        <v>67</v>
      </c>
      <c r="G75" s="5" t="s">
        <v>52</v>
      </c>
      <c r="H75" s="7" t="s">
        <v>8</v>
      </c>
      <c r="I75" s="7" t="s">
        <v>218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10</v>
      </c>
      <c r="AF75" s="8">
        <v>16800</v>
      </c>
      <c r="AG75" s="8">
        <v>11200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1</v>
      </c>
      <c r="AR75" s="8">
        <v>2800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F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7">
        <v>0</v>
      </c>
      <c r="BM75" s="10">
        <v>30800</v>
      </c>
      <c r="BN75" s="16">
        <f t="shared" si="3"/>
        <v>30800</v>
      </c>
      <c r="BO75" s="14">
        <f t="shared" si="4"/>
        <v>21560</v>
      </c>
    </row>
    <row r="76" spans="1:67" x14ac:dyDescent="0.3">
      <c r="A76" s="5" t="s">
        <v>30</v>
      </c>
      <c r="B76" s="5" t="s">
        <v>219</v>
      </c>
      <c r="C76" s="5">
        <v>371774</v>
      </c>
      <c r="D76" s="6"/>
      <c r="E76" s="5" t="s">
        <v>32</v>
      </c>
      <c r="F76" s="5" t="s">
        <v>220</v>
      </c>
      <c r="G76" s="5" t="s">
        <v>11</v>
      </c>
      <c r="H76" s="7" t="s">
        <v>7</v>
      </c>
      <c r="I76" s="7" t="s">
        <v>221</v>
      </c>
      <c r="J76" s="7">
        <v>0</v>
      </c>
      <c r="K76" s="7">
        <v>2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13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300</v>
      </c>
      <c r="AF76" s="8">
        <v>25800</v>
      </c>
      <c r="AG76" s="8">
        <v>4200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F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7">
        <v>0</v>
      </c>
      <c r="BM76" s="10">
        <v>30000</v>
      </c>
      <c r="BN76" s="16">
        <f t="shared" si="3"/>
        <v>30000</v>
      </c>
      <c r="BO76" s="14">
        <f t="shared" si="4"/>
        <v>21000</v>
      </c>
    </row>
    <row r="77" spans="1:67" x14ac:dyDescent="0.3">
      <c r="A77" s="5" t="s">
        <v>30</v>
      </c>
      <c r="B77" s="5" t="s">
        <v>222</v>
      </c>
      <c r="C77" s="5">
        <v>458566</v>
      </c>
      <c r="D77" s="6"/>
      <c r="E77" s="5" t="s">
        <v>32</v>
      </c>
      <c r="F77" s="5" t="s">
        <v>48</v>
      </c>
      <c r="G77" s="5" t="s">
        <v>11</v>
      </c>
      <c r="H77" s="7" t="s">
        <v>7</v>
      </c>
      <c r="I77" s="7" t="s">
        <v>223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9</v>
      </c>
      <c r="AF77" s="8">
        <v>28800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0</v>
      </c>
      <c r="BM77" s="10">
        <v>28800</v>
      </c>
      <c r="BN77" s="16">
        <f t="shared" si="3"/>
        <v>28800</v>
      </c>
      <c r="BO77" s="14">
        <f t="shared" si="4"/>
        <v>20160</v>
      </c>
    </row>
    <row r="78" spans="1:67" x14ac:dyDescent="0.3">
      <c r="A78" s="5" t="s">
        <v>30</v>
      </c>
      <c r="B78" s="5" t="s">
        <v>224</v>
      </c>
      <c r="C78" s="5">
        <v>458568</v>
      </c>
      <c r="D78" s="6"/>
      <c r="E78" s="5" t="s">
        <v>32</v>
      </c>
      <c r="F78" s="5" t="s">
        <v>48</v>
      </c>
      <c r="G78" s="5" t="s">
        <v>11</v>
      </c>
      <c r="H78" s="7" t="s">
        <v>7</v>
      </c>
      <c r="I78" s="7" t="s">
        <v>223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8</v>
      </c>
      <c r="AF78" s="8">
        <v>22400</v>
      </c>
      <c r="AG78" s="8">
        <v>3200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1</v>
      </c>
      <c r="AR78" s="8">
        <v>3200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F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10">
        <v>28800</v>
      </c>
      <c r="BN78" s="16">
        <f t="shared" si="3"/>
        <v>28800</v>
      </c>
      <c r="BO78" s="14">
        <f t="shared" si="4"/>
        <v>20160</v>
      </c>
    </row>
    <row r="79" spans="1:67" x14ac:dyDescent="0.3">
      <c r="A79" s="5" t="s">
        <v>30</v>
      </c>
      <c r="B79" s="5" t="s">
        <v>225</v>
      </c>
      <c r="C79" s="5">
        <v>414343</v>
      </c>
      <c r="D79" s="6"/>
      <c r="E79" s="5" t="s">
        <v>32</v>
      </c>
      <c r="F79" s="5" t="s">
        <v>13</v>
      </c>
      <c r="G79" s="5" t="s">
        <v>11</v>
      </c>
      <c r="H79" s="7" t="s">
        <v>7</v>
      </c>
      <c r="I79" s="7" t="s">
        <v>226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9</v>
      </c>
      <c r="AF79" s="8">
        <v>28800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F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10">
        <v>28800</v>
      </c>
      <c r="BN79" s="16">
        <f t="shared" si="3"/>
        <v>28800</v>
      </c>
      <c r="BO79" s="14">
        <f t="shared" si="4"/>
        <v>20160</v>
      </c>
    </row>
    <row r="80" spans="1:67" x14ac:dyDescent="0.3">
      <c r="A80" s="5" t="s">
        <v>30</v>
      </c>
      <c r="B80" s="5" t="s">
        <v>227</v>
      </c>
      <c r="C80" s="5">
        <v>332138</v>
      </c>
      <c r="D80" s="6"/>
      <c r="E80" s="5" t="s">
        <v>32</v>
      </c>
      <c r="F80" s="5" t="s">
        <v>228</v>
      </c>
      <c r="G80" s="5" t="s">
        <v>52</v>
      </c>
      <c r="H80" s="7" t="s">
        <v>10</v>
      </c>
      <c r="I80" s="7" t="s">
        <v>229</v>
      </c>
      <c r="J80" s="7">
        <v>16</v>
      </c>
      <c r="K80" s="7">
        <v>0</v>
      </c>
      <c r="L80" s="8">
        <v>1600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10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266</v>
      </c>
      <c r="AF80" s="8">
        <v>25200</v>
      </c>
      <c r="AG80" s="8">
        <v>1400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F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7">
        <v>0</v>
      </c>
      <c r="BM80" s="10">
        <v>28200</v>
      </c>
      <c r="BN80" s="16">
        <f t="shared" si="3"/>
        <v>28200</v>
      </c>
      <c r="BO80" s="14">
        <f t="shared" si="4"/>
        <v>19740</v>
      </c>
    </row>
    <row r="81" spans="1:67" x14ac:dyDescent="0.3">
      <c r="A81" s="5" t="s">
        <v>30</v>
      </c>
      <c r="B81" s="5" t="s">
        <v>230</v>
      </c>
      <c r="C81" s="5">
        <v>421661</v>
      </c>
      <c r="D81" s="6"/>
      <c r="E81" s="5" t="s">
        <v>32</v>
      </c>
      <c r="F81" s="5" t="s">
        <v>231</v>
      </c>
      <c r="G81" s="5" t="s">
        <v>52</v>
      </c>
      <c r="H81" s="7" t="s">
        <v>8</v>
      </c>
      <c r="I81" s="7" t="s">
        <v>232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12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244</v>
      </c>
      <c r="AF81" s="8">
        <v>24400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37</v>
      </c>
      <c r="AR81" s="8">
        <v>2900</v>
      </c>
      <c r="AS81" s="7">
        <v>800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10">
        <v>28100</v>
      </c>
      <c r="BN81" s="16">
        <f t="shared" si="3"/>
        <v>28100</v>
      </c>
      <c r="BO81" s="14">
        <f t="shared" si="4"/>
        <v>19670</v>
      </c>
    </row>
    <row r="82" spans="1:67" x14ac:dyDescent="0.3">
      <c r="A82" s="5" t="s">
        <v>30</v>
      </c>
      <c r="B82" s="5" t="s">
        <v>233</v>
      </c>
      <c r="C82" s="5">
        <v>393598</v>
      </c>
      <c r="D82" s="6"/>
      <c r="E82" s="5" t="s">
        <v>32</v>
      </c>
      <c r="F82" s="5" t="s">
        <v>234</v>
      </c>
      <c r="G82" s="5" t="s">
        <v>52</v>
      </c>
      <c r="H82" s="7" t="s">
        <v>8</v>
      </c>
      <c r="I82" s="7" t="s">
        <v>235</v>
      </c>
      <c r="J82" s="7">
        <v>0</v>
      </c>
      <c r="K82" s="7">
        <v>45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6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134</v>
      </c>
      <c r="AF82" s="8">
        <v>4400</v>
      </c>
      <c r="AG82" s="8">
        <v>9000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143</v>
      </c>
      <c r="AR82" s="8">
        <v>14100</v>
      </c>
      <c r="AS82" s="7">
        <v>200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10">
        <v>27700</v>
      </c>
      <c r="BN82" s="16">
        <f t="shared" si="3"/>
        <v>27700</v>
      </c>
      <c r="BO82" s="14">
        <f t="shared" si="4"/>
        <v>19390</v>
      </c>
    </row>
    <row r="83" spans="1:67" x14ac:dyDescent="0.3">
      <c r="A83" s="5" t="s">
        <v>30</v>
      </c>
      <c r="B83" s="5" t="s">
        <v>236</v>
      </c>
      <c r="C83" s="5">
        <v>415992</v>
      </c>
      <c r="D83" s="6"/>
      <c r="E83" s="5" t="s">
        <v>32</v>
      </c>
      <c r="F83" s="5" t="s">
        <v>60</v>
      </c>
      <c r="G83" s="5" t="s">
        <v>52</v>
      </c>
      <c r="H83" s="7" t="s">
        <v>8</v>
      </c>
      <c r="I83" s="7" t="s">
        <v>237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18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275</v>
      </c>
      <c r="AF83" s="8">
        <v>15900</v>
      </c>
      <c r="AG83" s="8">
        <v>11600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1</v>
      </c>
      <c r="AR83" s="7">
        <v>100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10">
        <v>27600</v>
      </c>
      <c r="BN83" s="16">
        <f t="shared" si="3"/>
        <v>27600</v>
      </c>
      <c r="BO83" s="14">
        <f t="shared" si="4"/>
        <v>19320</v>
      </c>
    </row>
    <row r="84" spans="1:67" x14ac:dyDescent="0.3">
      <c r="A84" s="5" t="s">
        <v>30</v>
      </c>
      <c r="B84" s="5" t="s">
        <v>238</v>
      </c>
      <c r="C84" s="5">
        <v>407733</v>
      </c>
      <c r="D84" s="6"/>
      <c r="E84" s="5" t="s">
        <v>32</v>
      </c>
      <c r="F84" s="5" t="s">
        <v>48</v>
      </c>
      <c r="G84" s="5" t="s">
        <v>11</v>
      </c>
      <c r="H84" s="7" t="s">
        <v>7</v>
      </c>
      <c r="I84" s="7" t="s">
        <v>239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9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137</v>
      </c>
      <c r="AF84" s="8">
        <v>2500</v>
      </c>
      <c r="AG84" s="8">
        <v>11200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125</v>
      </c>
      <c r="AR84" s="8">
        <v>12300</v>
      </c>
      <c r="AS84" s="7">
        <v>200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10">
        <v>26200</v>
      </c>
      <c r="BN84" s="16">
        <f t="shared" si="3"/>
        <v>26200</v>
      </c>
      <c r="BO84" s="14">
        <f t="shared" si="4"/>
        <v>18340</v>
      </c>
    </row>
    <row r="85" spans="1:67" x14ac:dyDescent="0.3">
      <c r="A85" s="5" t="s">
        <v>30</v>
      </c>
      <c r="B85" s="5" t="s">
        <v>240</v>
      </c>
      <c r="C85" s="5">
        <v>410076</v>
      </c>
      <c r="D85" s="6"/>
      <c r="E85" s="5" t="s">
        <v>32</v>
      </c>
      <c r="F85" s="5" t="s">
        <v>87</v>
      </c>
      <c r="G85" s="5" t="s">
        <v>11</v>
      </c>
      <c r="H85" s="7" t="s">
        <v>7</v>
      </c>
      <c r="I85" s="7" t="s">
        <v>241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8</v>
      </c>
      <c r="AR85" s="8">
        <v>25600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10">
        <v>25600</v>
      </c>
      <c r="BN85" s="16">
        <f t="shared" si="3"/>
        <v>25600</v>
      </c>
      <c r="BO85" s="14">
        <f t="shared" si="4"/>
        <v>17920</v>
      </c>
    </row>
    <row r="86" spans="1:67" x14ac:dyDescent="0.3">
      <c r="A86" s="5" t="s">
        <v>30</v>
      </c>
      <c r="B86" s="5" t="s">
        <v>242</v>
      </c>
      <c r="C86" s="5">
        <v>434877</v>
      </c>
      <c r="D86" s="6"/>
      <c r="E86" s="5" t="s">
        <v>32</v>
      </c>
      <c r="F86" s="5" t="s">
        <v>243</v>
      </c>
      <c r="G86" s="5" t="s">
        <v>11</v>
      </c>
      <c r="H86" s="7" t="s">
        <v>7</v>
      </c>
      <c r="I86" s="7" t="s">
        <v>244</v>
      </c>
      <c r="J86" s="7">
        <v>7</v>
      </c>
      <c r="K86" s="7">
        <v>0</v>
      </c>
      <c r="L86" s="7">
        <v>700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8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248</v>
      </c>
      <c r="AF86" s="8">
        <v>23300</v>
      </c>
      <c r="AG86" s="8">
        <v>1500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F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10">
        <v>25500</v>
      </c>
      <c r="BN86" s="16">
        <f t="shared" si="3"/>
        <v>25500</v>
      </c>
      <c r="BO86" s="14">
        <f t="shared" si="4"/>
        <v>17850</v>
      </c>
    </row>
    <row r="87" spans="1:67" x14ac:dyDescent="0.3">
      <c r="A87" s="5" t="s">
        <v>30</v>
      </c>
      <c r="B87" s="5" t="s">
        <v>245</v>
      </c>
      <c r="C87" s="5">
        <v>434558</v>
      </c>
      <c r="D87" s="6"/>
      <c r="E87" s="5" t="s">
        <v>32</v>
      </c>
      <c r="F87" s="5" t="s">
        <v>246</v>
      </c>
      <c r="G87" s="5" t="s">
        <v>11</v>
      </c>
      <c r="H87" s="7" t="s">
        <v>7</v>
      </c>
      <c r="I87" s="7" t="s">
        <v>247</v>
      </c>
      <c r="J87" s="7">
        <v>1</v>
      </c>
      <c r="K87" s="7">
        <v>207</v>
      </c>
      <c r="L87" s="7">
        <v>100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251</v>
      </c>
      <c r="AF87" s="8">
        <v>21500</v>
      </c>
      <c r="AG87" s="8">
        <v>3600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F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10">
        <v>25200</v>
      </c>
      <c r="BN87" s="16">
        <f t="shared" si="3"/>
        <v>25200</v>
      </c>
      <c r="BO87" s="14">
        <f t="shared" si="4"/>
        <v>17640</v>
      </c>
    </row>
    <row r="88" spans="1:67" x14ac:dyDescent="0.3">
      <c r="A88" s="5" t="s">
        <v>30</v>
      </c>
      <c r="B88" s="5" t="s">
        <v>248</v>
      </c>
      <c r="C88" s="5">
        <v>353981</v>
      </c>
      <c r="D88" s="6"/>
      <c r="E88" s="5" t="s">
        <v>32</v>
      </c>
      <c r="F88" s="5" t="s">
        <v>249</v>
      </c>
      <c r="G88" s="5" t="s">
        <v>52</v>
      </c>
      <c r="H88" s="7" t="s">
        <v>8</v>
      </c>
      <c r="I88" s="7" t="s">
        <v>250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237</v>
      </c>
      <c r="AF88" s="8">
        <v>22500</v>
      </c>
      <c r="AG88" s="8">
        <v>1200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F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0</v>
      </c>
      <c r="BM88" s="10">
        <v>23700</v>
      </c>
      <c r="BN88" s="16">
        <f t="shared" si="3"/>
        <v>23700</v>
      </c>
      <c r="BO88" s="14">
        <f t="shared" si="4"/>
        <v>16590</v>
      </c>
    </row>
    <row r="89" spans="1:67" x14ac:dyDescent="0.3">
      <c r="A89" s="5" t="s">
        <v>30</v>
      </c>
      <c r="B89" s="5" t="s">
        <v>251</v>
      </c>
      <c r="C89" s="5">
        <v>410549</v>
      </c>
      <c r="D89" s="6"/>
      <c r="E89" s="5" t="s">
        <v>32</v>
      </c>
      <c r="F89" s="5" t="s">
        <v>252</v>
      </c>
      <c r="G89" s="5" t="s">
        <v>11</v>
      </c>
      <c r="H89" s="7" t="s">
        <v>7</v>
      </c>
      <c r="I89" s="7" t="s">
        <v>253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1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234</v>
      </c>
      <c r="AF89" s="8">
        <v>21800</v>
      </c>
      <c r="AG89" s="8">
        <v>1600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F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7">
        <v>0</v>
      </c>
      <c r="BM89" s="10">
        <v>23400</v>
      </c>
      <c r="BN89" s="16">
        <f t="shared" si="3"/>
        <v>23400</v>
      </c>
      <c r="BO89" s="14">
        <f t="shared" si="4"/>
        <v>16379.999999999998</v>
      </c>
    </row>
    <row r="90" spans="1:67" x14ac:dyDescent="0.3">
      <c r="A90" s="5" t="s">
        <v>30</v>
      </c>
      <c r="B90" s="5" t="s">
        <v>254</v>
      </c>
      <c r="C90" s="5">
        <v>399878</v>
      </c>
      <c r="D90" s="6"/>
      <c r="E90" s="5" t="s">
        <v>32</v>
      </c>
      <c r="F90" s="5" t="s">
        <v>255</v>
      </c>
      <c r="G90" s="5" t="s">
        <v>52</v>
      </c>
      <c r="H90" s="7" t="s">
        <v>8</v>
      </c>
      <c r="I90" s="7" t="s">
        <v>256</v>
      </c>
      <c r="J90" s="7">
        <v>0</v>
      </c>
      <c r="K90" s="7">
        <v>3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7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232</v>
      </c>
      <c r="AF90" s="8">
        <v>22800</v>
      </c>
      <c r="AG90" s="7">
        <v>400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2</v>
      </c>
      <c r="AR90" s="7">
        <v>200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F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0</v>
      </c>
      <c r="BM90" s="10">
        <v>23400</v>
      </c>
      <c r="BN90" s="16">
        <f t="shared" si="3"/>
        <v>23400</v>
      </c>
      <c r="BO90" s="14">
        <f t="shared" si="4"/>
        <v>16379.999999999998</v>
      </c>
    </row>
    <row r="91" spans="1:67" x14ac:dyDescent="0.3">
      <c r="A91" s="5" t="s">
        <v>30</v>
      </c>
      <c r="B91" s="5" t="s">
        <v>257</v>
      </c>
      <c r="C91" s="5">
        <v>382446</v>
      </c>
      <c r="D91" s="6"/>
      <c r="E91" s="5" t="s">
        <v>32</v>
      </c>
      <c r="F91" s="5" t="s">
        <v>73</v>
      </c>
      <c r="G91" s="5" t="s">
        <v>52</v>
      </c>
      <c r="H91" s="7" t="s">
        <v>8</v>
      </c>
      <c r="I91" s="7" t="s">
        <v>258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3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204</v>
      </c>
      <c r="AF91" s="8">
        <v>19300</v>
      </c>
      <c r="AG91" s="8">
        <v>1100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28</v>
      </c>
      <c r="AR91" s="8">
        <v>2800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7">
        <v>0</v>
      </c>
      <c r="BD91" s="7">
        <v>0</v>
      </c>
      <c r="BE91" s="7">
        <v>0</v>
      </c>
      <c r="BF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7">
        <v>0</v>
      </c>
      <c r="BM91" s="10">
        <v>23200</v>
      </c>
      <c r="BN91" s="16">
        <f t="shared" si="3"/>
        <v>23200</v>
      </c>
      <c r="BO91" s="14">
        <f t="shared" si="4"/>
        <v>16239.999999999998</v>
      </c>
    </row>
    <row r="92" spans="1:67" x14ac:dyDescent="0.3">
      <c r="A92" s="5" t="s">
        <v>30</v>
      </c>
      <c r="B92" s="5" t="s">
        <v>259</v>
      </c>
      <c r="C92" s="5">
        <v>408593</v>
      </c>
      <c r="D92" s="6"/>
      <c r="E92" s="5" t="s">
        <v>32</v>
      </c>
      <c r="F92" s="5" t="s">
        <v>99</v>
      </c>
      <c r="G92" s="5" t="s">
        <v>11</v>
      </c>
      <c r="H92" s="7" t="s">
        <v>7</v>
      </c>
      <c r="I92" s="7" t="s">
        <v>260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2</v>
      </c>
      <c r="AF92" s="8">
        <v>3200</v>
      </c>
      <c r="AG92" s="8">
        <v>1300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6</v>
      </c>
      <c r="AR92" s="8">
        <v>17200</v>
      </c>
      <c r="AS92" s="7">
        <v>700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AZ92" s="7">
        <v>0</v>
      </c>
      <c r="BA92" s="7">
        <v>0</v>
      </c>
      <c r="BB92" s="7">
        <v>0</v>
      </c>
      <c r="BC92" s="7">
        <v>0</v>
      </c>
      <c r="BD92" s="7">
        <v>0</v>
      </c>
      <c r="BE92" s="7">
        <v>0</v>
      </c>
      <c r="BF92" s="7">
        <v>0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L92" s="7">
        <v>0</v>
      </c>
      <c r="BM92" s="10">
        <v>22400</v>
      </c>
      <c r="BN92" s="16">
        <f t="shared" si="3"/>
        <v>22400</v>
      </c>
      <c r="BO92" s="14">
        <f t="shared" si="4"/>
        <v>15679.999999999998</v>
      </c>
    </row>
    <row r="93" spans="1:67" x14ac:dyDescent="0.3">
      <c r="A93" s="5" t="s">
        <v>30</v>
      </c>
      <c r="B93" s="5" t="s">
        <v>261</v>
      </c>
      <c r="C93" s="5">
        <v>429534</v>
      </c>
      <c r="D93" s="6"/>
      <c r="E93" s="5" t="s">
        <v>32</v>
      </c>
      <c r="F93" s="5" t="s">
        <v>196</v>
      </c>
      <c r="G93" s="5" t="s">
        <v>11</v>
      </c>
      <c r="H93" s="7" t="s">
        <v>7</v>
      </c>
      <c r="I93" s="7" t="s">
        <v>262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8</v>
      </c>
      <c r="AF93" s="8">
        <v>16800</v>
      </c>
      <c r="AG93" s="8">
        <v>5600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AZ93" s="7">
        <v>0</v>
      </c>
      <c r="BA93" s="7">
        <v>0</v>
      </c>
      <c r="BB93" s="7">
        <v>0</v>
      </c>
      <c r="BC93" s="7">
        <v>0</v>
      </c>
      <c r="BD93" s="7">
        <v>0</v>
      </c>
      <c r="BE93" s="7">
        <v>0</v>
      </c>
      <c r="BF93" s="7">
        <v>0</v>
      </c>
      <c r="BG93" s="7">
        <v>0</v>
      </c>
      <c r="BH93" s="7">
        <v>0</v>
      </c>
      <c r="BI93" s="7">
        <v>0</v>
      </c>
      <c r="BJ93" s="7">
        <v>0</v>
      </c>
      <c r="BK93" s="7">
        <v>0</v>
      </c>
      <c r="BL93" s="7">
        <v>0</v>
      </c>
      <c r="BM93" s="10">
        <v>22400</v>
      </c>
      <c r="BN93" s="16">
        <f t="shared" si="3"/>
        <v>22400</v>
      </c>
      <c r="BO93" s="14">
        <f t="shared" si="4"/>
        <v>15679.999999999998</v>
      </c>
    </row>
    <row r="94" spans="1:67" x14ac:dyDescent="0.3">
      <c r="A94" s="5" t="s">
        <v>30</v>
      </c>
      <c r="B94" s="5" t="s">
        <v>263</v>
      </c>
      <c r="C94" s="5">
        <v>134596</v>
      </c>
      <c r="D94" s="6" t="s">
        <v>264</v>
      </c>
      <c r="E94" s="5" t="s">
        <v>32</v>
      </c>
      <c r="F94" s="5" t="s">
        <v>48</v>
      </c>
      <c r="G94" s="5" t="s">
        <v>11</v>
      </c>
      <c r="H94" s="7" t="s">
        <v>7</v>
      </c>
      <c r="I94" s="7" t="s">
        <v>265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4</v>
      </c>
      <c r="AF94" s="8">
        <v>9800</v>
      </c>
      <c r="AG94" s="7">
        <v>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  <c r="AQ94" s="7">
        <v>4</v>
      </c>
      <c r="AR94" s="8">
        <v>12600</v>
      </c>
      <c r="AS94" s="7">
        <v>0</v>
      </c>
      <c r="AT94" s="7">
        <v>0</v>
      </c>
      <c r="AU94" s="7">
        <v>0</v>
      </c>
      <c r="AV94" s="7">
        <v>0</v>
      </c>
      <c r="AW94" s="7">
        <v>0</v>
      </c>
      <c r="AX94" s="7">
        <v>0</v>
      </c>
      <c r="AY94" s="7">
        <v>0</v>
      </c>
      <c r="AZ94" s="7">
        <v>0</v>
      </c>
      <c r="BA94" s="7">
        <v>0</v>
      </c>
      <c r="BB94" s="7">
        <v>0</v>
      </c>
      <c r="BC94" s="7">
        <v>0</v>
      </c>
      <c r="BD94" s="7">
        <v>0</v>
      </c>
      <c r="BE94" s="7">
        <v>0</v>
      </c>
      <c r="BF94" s="7">
        <v>0</v>
      </c>
      <c r="BG94" s="7">
        <v>0</v>
      </c>
      <c r="BH94" s="7">
        <v>0</v>
      </c>
      <c r="BI94" s="7">
        <v>0</v>
      </c>
      <c r="BJ94" s="7">
        <v>0</v>
      </c>
      <c r="BK94" s="7">
        <v>0</v>
      </c>
      <c r="BL94" s="7">
        <v>0</v>
      </c>
      <c r="BM94" s="10">
        <v>22400</v>
      </c>
      <c r="BN94" s="16">
        <f t="shared" si="3"/>
        <v>22400</v>
      </c>
      <c r="BO94" s="14">
        <f t="shared" si="4"/>
        <v>15679.999999999998</v>
      </c>
    </row>
    <row r="95" spans="1:67" x14ac:dyDescent="0.3">
      <c r="A95" s="5" t="s">
        <v>30</v>
      </c>
      <c r="B95" s="5" t="s">
        <v>266</v>
      </c>
      <c r="C95" s="5">
        <v>351033</v>
      </c>
      <c r="D95" s="6" t="s">
        <v>267</v>
      </c>
      <c r="E95" s="5" t="s">
        <v>32</v>
      </c>
      <c r="F95" s="5" t="s">
        <v>48</v>
      </c>
      <c r="G95" s="5" t="s">
        <v>11</v>
      </c>
      <c r="H95" s="7" t="s">
        <v>7</v>
      </c>
      <c r="I95" s="7" t="s">
        <v>268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154</v>
      </c>
      <c r="AF95" s="8">
        <v>15100</v>
      </c>
      <c r="AG95" s="7">
        <v>300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7">
        <v>67</v>
      </c>
      <c r="AR95" s="8">
        <v>6500</v>
      </c>
      <c r="AS95" s="7">
        <v>200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  <c r="BD95" s="7">
        <v>0</v>
      </c>
      <c r="BE95" s="7">
        <v>0</v>
      </c>
      <c r="BF95" s="7">
        <v>0</v>
      </c>
      <c r="BG95" s="7">
        <v>0</v>
      </c>
      <c r="BH95" s="7">
        <v>0</v>
      </c>
      <c r="BI95" s="7">
        <v>0</v>
      </c>
      <c r="BJ95" s="7">
        <v>0</v>
      </c>
      <c r="BK95" s="7">
        <v>0</v>
      </c>
      <c r="BL95" s="7">
        <v>0</v>
      </c>
      <c r="BM95" s="10">
        <v>22100</v>
      </c>
      <c r="BN95" s="16">
        <f t="shared" si="3"/>
        <v>22100</v>
      </c>
      <c r="BO95" s="14">
        <f t="shared" si="4"/>
        <v>15469.999999999998</v>
      </c>
    </row>
    <row r="96" spans="1:67" x14ac:dyDescent="0.3">
      <c r="A96" s="5" t="s">
        <v>30</v>
      </c>
      <c r="B96" s="5" t="s">
        <v>269</v>
      </c>
      <c r="C96" s="5">
        <v>356295</v>
      </c>
      <c r="D96" s="6"/>
      <c r="E96" s="5" t="s">
        <v>32</v>
      </c>
      <c r="F96" s="5" t="s">
        <v>60</v>
      </c>
      <c r="G96" s="5" t="s">
        <v>52</v>
      </c>
      <c r="H96" s="7" t="s">
        <v>8</v>
      </c>
      <c r="I96" s="7" t="s">
        <v>229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4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220</v>
      </c>
      <c r="AF96" s="8">
        <v>13700</v>
      </c>
      <c r="AG96" s="8">
        <v>8300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7">
        <v>0</v>
      </c>
      <c r="BE96" s="7">
        <v>0</v>
      </c>
      <c r="BF96" s="7">
        <v>0</v>
      </c>
      <c r="BG96" s="7">
        <v>0</v>
      </c>
      <c r="BH96" s="7">
        <v>0</v>
      </c>
      <c r="BI96" s="7">
        <v>0</v>
      </c>
      <c r="BJ96" s="7">
        <v>0</v>
      </c>
      <c r="BK96" s="7">
        <v>0</v>
      </c>
      <c r="BL96" s="7">
        <v>0</v>
      </c>
      <c r="BM96" s="10">
        <v>22000</v>
      </c>
      <c r="BN96" s="16">
        <f t="shared" si="3"/>
        <v>22000</v>
      </c>
      <c r="BO96" s="14">
        <f t="shared" si="4"/>
        <v>15399.999999999998</v>
      </c>
    </row>
    <row r="97" spans="1:67" x14ac:dyDescent="0.3">
      <c r="A97" s="5" t="s">
        <v>30</v>
      </c>
      <c r="B97" s="5" t="s">
        <v>270</v>
      </c>
      <c r="C97" s="5">
        <v>305522</v>
      </c>
      <c r="D97" s="6"/>
      <c r="E97" s="5" t="s">
        <v>32</v>
      </c>
      <c r="F97" s="5" t="s">
        <v>60</v>
      </c>
      <c r="G97" s="5" t="s">
        <v>52</v>
      </c>
      <c r="H97" s="7" t="s">
        <v>8</v>
      </c>
      <c r="I97" s="7" t="s">
        <v>271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206</v>
      </c>
      <c r="AF97" s="8">
        <v>13700</v>
      </c>
      <c r="AG97" s="8">
        <v>6900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4</v>
      </c>
      <c r="AR97" s="7">
        <v>400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7">
        <v>0</v>
      </c>
      <c r="BM97" s="10">
        <v>21000</v>
      </c>
      <c r="BN97" s="16">
        <f t="shared" si="3"/>
        <v>21000</v>
      </c>
      <c r="BO97" s="14">
        <f t="shared" si="4"/>
        <v>14699.999999999998</v>
      </c>
    </row>
    <row r="98" spans="1:67" x14ac:dyDescent="0.3">
      <c r="A98" s="5" t="s">
        <v>30</v>
      </c>
      <c r="B98" s="5" t="s">
        <v>272</v>
      </c>
      <c r="C98" s="5">
        <v>458561</v>
      </c>
      <c r="D98" s="6"/>
      <c r="E98" s="5" t="s">
        <v>32</v>
      </c>
      <c r="F98" s="5" t="s">
        <v>48</v>
      </c>
      <c r="G98" s="5" t="s">
        <v>11</v>
      </c>
      <c r="H98" s="7" t="s">
        <v>7</v>
      </c>
      <c r="I98" s="7" t="s">
        <v>223</v>
      </c>
      <c r="J98" s="7">
        <v>2</v>
      </c>
      <c r="K98" s="7">
        <v>0</v>
      </c>
      <c r="L98" s="7">
        <v>200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127</v>
      </c>
      <c r="AF98" s="8">
        <v>3300</v>
      </c>
      <c r="AG98" s="8">
        <v>9400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79</v>
      </c>
      <c r="AR98" s="8">
        <v>7700</v>
      </c>
      <c r="AS98" s="7">
        <v>200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0</v>
      </c>
      <c r="BH98" s="7">
        <v>0</v>
      </c>
      <c r="BI98" s="7">
        <v>0</v>
      </c>
      <c r="BJ98" s="7">
        <v>0</v>
      </c>
      <c r="BK98" s="7">
        <v>0</v>
      </c>
      <c r="BL98" s="7">
        <v>0</v>
      </c>
      <c r="BM98" s="10">
        <v>20800</v>
      </c>
      <c r="BN98" s="16">
        <f t="shared" si="3"/>
        <v>20800</v>
      </c>
      <c r="BO98" s="14">
        <f t="shared" si="4"/>
        <v>14559.999999999998</v>
      </c>
    </row>
    <row r="99" spans="1:67" x14ac:dyDescent="0.3">
      <c r="A99" s="5" t="s">
        <v>30</v>
      </c>
      <c r="B99" s="5" t="s">
        <v>273</v>
      </c>
      <c r="C99" s="5">
        <v>341374</v>
      </c>
      <c r="D99" s="6"/>
      <c r="E99" s="5" t="s">
        <v>32</v>
      </c>
      <c r="F99" s="5" t="s">
        <v>153</v>
      </c>
      <c r="G99" s="5" t="s">
        <v>52</v>
      </c>
      <c r="H99" s="7" t="s">
        <v>8</v>
      </c>
      <c r="I99" s="7" t="s">
        <v>274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7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207</v>
      </c>
      <c r="AF99" s="8">
        <v>19200</v>
      </c>
      <c r="AG99" s="8">
        <v>1500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</v>
      </c>
      <c r="BH99" s="7">
        <v>0</v>
      </c>
      <c r="BI99" s="7">
        <v>0</v>
      </c>
      <c r="BJ99" s="7">
        <v>0</v>
      </c>
      <c r="BK99" s="7">
        <v>0</v>
      </c>
      <c r="BL99" s="7">
        <v>0</v>
      </c>
      <c r="BM99" s="10">
        <v>20700</v>
      </c>
      <c r="BN99" s="16">
        <f t="shared" si="3"/>
        <v>20700</v>
      </c>
      <c r="BO99" s="14">
        <f t="shared" si="4"/>
        <v>14489.999999999998</v>
      </c>
    </row>
    <row r="100" spans="1:67" x14ac:dyDescent="0.3">
      <c r="A100" s="5" t="s">
        <v>30</v>
      </c>
      <c r="B100" s="5" t="s">
        <v>275</v>
      </c>
      <c r="C100" s="5">
        <v>251205</v>
      </c>
      <c r="D100" s="6"/>
      <c r="E100" s="5" t="s">
        <v>32</v>
      </c>
      <c r="F100" s="5" t="s">
        <v>87</v>
      </c>
      <c r="G100" s="5" t="s">
        <v>11</v>
      </c>
      <c r="H100" s="7" t="s">
        <v>7</v>
      </c>
      <c r="I100" s="7" t="s">
        <v>276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10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62</v>
      </c>
      <c r="AF100" s="8">
        <v>5700</v>
      </c>
      <c r="AG100" s="7">
        <v>500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132</v>
      </c>
      <c r="AR100" s="8">
        <v>12800</v>
      </c>
      <c r="AS100" s="7">
        <v>400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7">
        <v>0</v>
      </c>
      <c r="BI100" s="7">
        <v>0</v>
      </c>
      <c r="BJ100" s="7">
        <v>0</v>
      </c>
      <c r="BK100" s="7">
        <v>0</v>
      </c>
      <c r="BL100" s="7">
        <v>0</v>
      </c>
      <c r="BM100" s="10">
        <v>19400</v>
      </c>
      <c r="BN100" s="16">
        <f t="shared" si="3"/>
        <v>19400</v>
      </c>
      <c r="BO100" s="14">
        <f t="shared" si="4"/>
        <v>13580</v>
      </c>
    </row>
    <row r="101" spans="1:67" x14ac:dyDescent="0.3">
      <c r="A101" s="5" t="s">
        <v>30</v>
      </c>
      <c r="B101" s="5" t="s">
        <v>277</v>
      </c>
      <c r="C101" s="5">
        <v>462361</v>
      </c>
      <c r="D101" s="6"/>
      <c r="E101" s="5" t="s">
        <v>32</v>
      </c>
      <c r="F101" s="5" t="s">
        <v>57</v>
      </c>
      <c r="G101" s="5" t="s">
        <v>11</v>
      </c>
      <c r="H101" s="7" t="s">
        <v>7</v>
      </c>
      <c r="I101" s="7" t="s">
        <v>278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1</v>
      </c>
      <c r="AF101" s="7">
        <v>400</v>
      </c>
      <c r="AG101" s="8">
        <v>2800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5</v>
      </c>
      <c r="AR101" s="8">
        <v>15100</v>
      </c>
      <c r="AS101" s="7">
        <v>900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F101" s="7">
        <v>0</v>
      </c>
      <c r="BG101" s="7">
        <v>0</v>
      </c>
      <c r="BH101" s="7">
        <v>0</v>
      </c>
      <c r="BI101" s="7">
        <v>0</v>
      </c>
      <c r="BJ101" s="7">
        <v>0</v>
      </c>
      <c r="BK101" s="7">
        <v>0</v>
      </c>
      <c r="BL101" s="7">
        <v>0</v>
      </c>
      <c r="BM101" s="10">
        <v>19200</v>
      </c>
      <c r="BN101" s="16">
        <f t="shared" ref="BN101:BN164" si="5">BM101-BL101</f>
        <v>19200</v>
      </c>
      <c r="BO101" s="14">
        <f t="shared" ref="BO101:BO164" si="6">BN101*70%</f>
        <v>13440</v>
      </c>
    </row>
    <row r="102" spans="1:67" ht="19.5" x14ac:dyDescent="0.3">
      <c r="A102" s="5" t="s">
        <v>30</v>
      </c>
      <c r="B102" s="5" t="s">
        <v>279</v>
      </c>
      <c r="C102" s="5">
        <v>469072</v>
      </c>
      <c r="D102" s="6"/>
      <c r="E102" s="5" t="s">
        <v>32</v>
      </c>
      <c r="F102" s="5" t="s">
        <v>188</v>
      </c>
      <c r="G102" s="5" t="s">
        <v>52</v>
      </c>
      <c r="H102" s="7" t="s">
        <v>8</v>
      </c>
      <c r="I102" s="7" t="s">
        <v>280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137</v>
      </c>
      <c r="AF102" s="8">
        <v>11600</v>
      </c>
      <c r="AG102" s="8">
        <v>2100</v>
      </c>
      <c r="AH102" s="7">
        <v>0</v>
      </c>
      <c r="AI102" s="7">
        <v>0</v>
      </c>
      <c r="AJ102" s="7">
        <v>0</v>
      </c>
      <c r="AK102" s="7">
        <v>1</v>
      </c>
      <c r="AL102" s="7">
        <v>0</v>
      </c>
      <c r="AM102" s="7">
        <v>100</v>
      </c>
      <c r="AN102" s="7">
        <v>0</v>
      </c>
      <c r="AO102" s="7">
        <v>0</v>
      </c>
      <c r="AP102" s="7">
        <v>0</v>
      </c>
      <c r="AQ102" s="7">
        <v>52</v>
      </c>
      <c r="AR102" s="8">
        <v>5000</v>
      </c>
      <c r="AS102" s="7">
        <v>200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7">
        <v>0</v>
      </c>
      <c r="BG102" s="7">
        <v>0</v>
      </c>
      <c r="BH102" s="7">
        <v>0</v>
      </c>
      <c r="BI102" s="7">
        <v>0</v>
      </c>
      <c r="BJ102" s="7">
        <v>0</v>
      </c>
      <c r="BK102" s="7">
        <v>0</v>
      </c>
      <c r="BL102" s="7">
        <v>0</v>
      </c>
      <c r="BM102" s="10">
        <v>19000</v>
      </c>
      <c r="BN102" s="16">
        <f t="shared" si="5"/>
        <v>19000</v>
      </c>
      <c r="BO102" s="14">
        <f t="shared" si="6"/>
        <v>13300</v>
      </c>
    </row>
    <row r="103" spans="1:67" x14ac:dyDescent="0.3">
      <c r="A103" s="5" t="s">
        <v>30</v>
      </c>
      <c r="B103" s="5" t="s">
        <v>281</v>
      </c>
      <c r="C103" s="5">
        <v>400251</v>
      </c>
      <c r="D103" s="6"/>
      <c r="E103" s="5" t="s">
        <v>32</v>
      </c>
      <c r="F103" s="5" t="s">
        <v>60</v>
      </c>
      <c r="G103" s="5" t="s">
        <v>52</v>
      </c>
      <c r="H103" s="7" t="s">
        <v>8</v>
      </c>
      <c r="I103" s="7" t="s">
        <v>282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7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130</v>
      </c>
      <c r="AF103" s="8">
        <v>12400</v>
      </c>
      <c r="AG103" s="7">
        <v>600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44</v>
      </c>
      <c r="AR103" s="8">
        <v>3900</v>
      </c>
      <c r="AS103" s="7">
        <v>500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F103" s="7">
        <v>0</v>
      </c>
      <c r="BG103" s="7">
        <v>0</v>
      </c>
      <c r="BH103" s="7">
        <v>0</v>
      </c>
      <c r="BI103" s="7">
        <v>0</v>
      </c>
      <c r="BJ103" s="7">
        <v>0</v>
      </c>
      <c r="BK103" s="7">
        <v>0</v>
      </c>
      <c r="BL103" s="7">
        <v>0</v>
      </c>
      <c r="BM103" s="10">
        <v>17400</v>
      </c>
      <c r="BN103" s="16">
        <f t="shared" si="5"/>
        <v>17400</v>
      </c>
      <c r="BO103" s="14">
        <f t="shared" si="6"/>
        <v>12180</v>
      </c>
    </row>
    <row r="104" spans="1:67" x14ac:dyDescent="0.3">
      <c r="A104" s="5" t="s">
        <v>30</v>
      </c>
      <c r="B104" s="5" t="s">
        <v>283</v>
      </c>
      <c r="C104" s="5">
        <v>434853</v>
      </c>
      <c r="D104" s="6"/>
      <c r="E104" s="5" t="s">
        <v>32</v>
      </c>
      <c r="F104" s="5" t="s">
        <v>284</v>
      </c>
      <c r="G104" s="5" t="s">
        <v>11</v>
      </c>
      <c r="H104" s="7" t="s">
        <v>7</v>
      </c>
      <c r="I104" s="7" t="s">
        <v>285</v>
      </c>
      <c r="J104" s="7">
        <v>5</v>
      </c>
      <c r="K104" s="7">
        <v>0</v>
      </c>
      <c r="L104" s="7">
        <v>500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165</v>
      </c>
      <c r="AF104" s="8">
        <v>16400</v>
      </c>
      <c r="AG104" s="7">
        <v>100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  <c r="AQ104" s="7">
        <v>0</v>
      </c>
      <c r="AR104" s="7">
        <v>0</v>
      </c>
      <c r="AS104" s="7">
        <v>0</v>
      </c>
      <c r="AT104" s="7">
        <v>0</v>
      </c>
      <c r="AU104" s="7">
        <v>0</v>
      </c>
      <c r="AV104" s="7">
        <v>0</v>
      </c>
      <c r="AW104" s="7">
        <v>0</v>
      </c>
      <c r="AX104" s="7">
        <v>0</v>
      </c>
      <c r="AY104" s="7">
        <v>0</v>
      </c>
      <c r="AZ104" s="7">
        <v>0</v>
      </c>
      <c r="BA104" s="7">
        <v>0</v>
      </c>
      <c r="BB104" s="7">
        <v>0</v>
      </c>
      <c r="BC104" s="7">
        <v>0</v>
      </c>
      <c r="BD104" s="7">
        <v>0</v>
      </c>
      <c r="BE104" s="7">
        <v>0</v>
      </c>
      <c r="BF104" s="7">
        <v>0</v>
      </c>
      <c r="BG104" s="7">
        <v>0</v>
      </c>
      <c r="BH104" s="7">
        <v>0</v>
      </c>
      <c r="BI104" s="7">
        <v>0</v>
      </c>
      <c r="BJ104" s="7">
        <v>0</v>
      </c>
      <c r="BK104" s="7">
        <v>0</v>
      </c>
      <c r="BL104" s="7">
        <v>0</v>
      </c>
      <c r="BM104" s="10">
        <v>17000</v>
      </c>
      <c r="BN104" s="16">
        <f t="shared" si="5"/>
        <v>17000</v>
      </c>
      <c r="BO104" s="14">
        <f t="shared" si="6"/>
        <v>11900</v>
      </c>
    </row>
    <row r="105" spans="1:67" x14ac:dyDescent="0.3">
      <c r="A105" s="5" t="s">
        <v>30</v>
      </c>
      <c r="B105" s="5" t="s">
        <v>286</v>
      </c>
      <c r="C105" s="5">
        <v>297776</v>
      </c>
      <c r="D105" s="6"/>
      <c r="E105" s="5" t="s">
        <v>32</v>
      </c>
      <c r="F105" s="5" t="s">
        <v>287</v>
      </c>
      <c r="G105" s="5" t="s">
        <v>11</v>
      </c>
      <c r="H105" s="7" t="s">
        <v>10</v>
      </c>
      <c r="I105" s="7" t="s">
        <v>288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12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164</v>
      </c>
      <c r="AF105" s="8">
        <v>16200</v>
      </c>
      <c r="AG105" s="7">
        <v>200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S105" s="7">
        <v>0</v>
      </c>
      <c r="AT105" s="7">
        <v>0</v>
      </c>
      <c r="AU105" s="7">
        <v>0</v>
      </c>
      <c r="AV105" s="7">
        <v>0</v>
      </c>
      <c r="AW105" s="7">
        <v>0</v>
      </c>
      <c r="AX105" s="7">
        <v>0</v>
      </c>
      <c r="AY105" s="7">
        <v>0</v>
      </c>
      <c r="AZ105" s="7">
        <v>0</v>
      </c>
      <c r="BA105" s="7">
        <v>0</v>
      </c>
      <c r="BB105" s="7">
        <v>0</v>
      </c>
      <c r="BC105" s="7">
        <v>0</v>
      </c>
      <c r="BD105" s="7">
        <v>0</v>
      </c>
      <c r="BE105" s="7">
        <v>0</v>
      </c>
      <c r="BF105" s="7">
        <v>0</v>
      </c>
      <c r="BG105" s="7">
        <v>0</v>
      </c>
      <c r="BH105" s="7">
        <v>0</v>
      </c>
      <c r="BI105" s="7">
        <v>0</v>
      </c>
      <c r="BJ105" s="7">
        <v>0</v>
      </c>
      <c r="BK105" s="7">
        <v>0</v>
      </c>
      <c r="BL105" s="7">
        <v>0</v>
      </c>
      <c r="BM105" s="10">
        <v>16400</v>
      </c>
      <c r="BN105" s="16">
        <f t="shared" si="5"/>
        <v>16400</v>
      </c>
      <c r="BO105" s="14">
        <f t="shared" si="6"/>
        <v>11480</v>
      </c>
    </row>
    <row r="106" spans="1:67" x14ac:dyDescent="0.3">
      <c r="A106" s="5" t="s">
        <v>30</v>
      </c>
      <c r="B106" s="5" t="s">
        <v>289</v>
      </c>
      <c r="C106" s="5">
        <v>353788</v>
      </c>
      <c r="D106" s="6"/>
      <c r="E106" s="5" t="s">
        <v>32</v>
      </c>
      <c r="F106" s="5" t="s">
        <v>231</v>
      </c>
      <c r="G106" s="5" t="s">
        <v>52</v>
      </c>
      <c r="H106" s="7" t="s">
        <v>8</v>
      </c>
      <c r="I106" s="7" t="s">
        <v>290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14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160</v>
      </c>
      <c r="AF106" s="8">
        <v>10500</v>
      </c>
      <c r="AG106" s="8">
        <v>5500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7">
        <v>0</v>
      </c>
      <c r="AZ106" s="7">
        <v>0</v>
      </c>
      <c r="BA106" s="7">
        <v>0</v>
      </c>
      <c r="BB106" s="7">
        <v>0</v>
      </c>
      <c r="BC106" s="7">
        <v>0</v>
      </c>
      <c r="BD106" s="7">
        <v>0</v>
      </c>
      <c r="BE106" s="7">
        <v>0</v>
      </c>
      <c r="BF106" s="7">
        <v>0</v>
      </c>
      <c r="BG106" s="7">
        <v>0</v>
      </c>
      <c r="BH106" s="7">
        <v>0</v>
      </c>
      <c r="BI106" s="7">
        <v>0</v>
      </c>
      <c r="BJ106" s="7">
        <v>0</v>
      </c>
      <c r="BK106" s="7">
        <v>0</v>
      </c>
      <c r="BL106" s="7">
        <v>0</v>
      </c>
      <c r="BM106" s="10">
        <v>16000</v>
      </c>
      <c r="BN106" s="16">
        <f t="shared" si="5"/>
        <v>16000</v>
      </c>
      <c r="BO106" s="14">
        <f t="shared" si="6"/>
        <v>11200</v>
      </c>
    </row>
    <row r="107" spans="1:67" x14ac:dyDescent="0.3">
      <c r="A107" s="5" t="s">
        <v>30</v>
      </c>
      <c r="B107" s="5" t="s">
        <v>291</v>
      </c>
      <c r="C107" s="5">
        <v>408579</v>
      </c>
      <c r="D107" s="6"/>
      <c r="E107" s="5" t="s">
        <v>32</v>
      </c>
      <c r="F107" s="5" t="s">
        <v>48</v>
      </c>
      <c r="G107" s="5" t="s">
        <v>11</v>
      </c>
      <c r="H107" s="7" t="s">
        <v>7</v>
      </c>
      <c r="I107" s="7" t="s">
        <v>260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5</v>
      </c>
      <c r="AF107" s="8">
        <v>16000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F107" s="7">
        <v>0</v>
      </c>
      <c r="BG107" s="7">
        <v>0</v>
      </c>
      <c r="BH107" s="7">
        <v>0</v>
      </c>
      <c r="BI107" s="7">
        <v>0</v>
      </c>
      <c r="BJ107" s="7">
        <v>0</v>
      </c>
      <c r="BK107" s="7">
        <v>0</v>
      </c>
      <c r="BL107" s="7">
        <v>0</v>
      </c>
      <c r="BM107" s="10">
        <v>16000</v>
      </c>
      <c r="BN107" s="16">
        <f t="shared" si="5"/>
        <v>16000</v>
      </c>
      <c r="BO107" s="14">
        <f t="shared" si="6"/>
        <v>11200</v>
      </c>
    </row>
    <row r="108" spans="1:67" x14ac:dyDescent="0.3">
      <c r="A108" s="5" t="s">
        <v>30</v>
      </c>
      <c r="B108" s="5" t="s">
        <v>292</v>
      </c>
      <c r="C108" s="5">
        <v>418689</v>
      </c>
      <c r="D108" s="6"/>
      <c r="E108" s="5" t="s">
        <v>32</v>
      </c>
      <c r="F108" s="5" t="s">
        <v>220</v>
      </c>
      <c r="G108" s="5" t="s">
        <v>11</v>
      </c>
      <c r="H108" s="7" t="s">
        <v>7</v>
      </c>
      <c r="I108" s="7" t="s">
        <v>293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5</v>
      </c>
      <c r="AF108" s="8">
        <v>15700</v>
      </c>
      <c r="AG108" s="7">
        <v>300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F108" s="7">
        <v>0</v>
      </c>
      <c r="BG108" s="7">
        <v>0</v>
      </c>
      <c r="BH108" s="7">
        <v>0</v>
      </c>
      <c r="BI108" s="7">
        <v>0</v>
      </c>
      <c r="BJ108" s="7">
        <v>0</v>
      </c>
      <c r="BK108" s="7">
        <v>0</v>
      </c>
      <c r="BL108" s="7">
        <v>0</v>
      </c>
      <c r="BM108" s="10">
        <v>16000</v>
      </c>
      <c r="BN108" s="16">
        <f t="shared" si="5"/>
        <v>16000</v>
      </c>
      <c r="BO108" s="14">
        <f t="shared" si="6"/>
        <v>11200</v>
      </c>
    </row>
    <row r="109" spans="1:67" x14ac:dyDescent="0.3">
      <c r="A109" s="5" t="s">
        <v>30</v>
      </c>
      <c r="B109" s="5" t="s">
        <v>294</v>
      </c>
      <c r="C109" s="5">
        <v>410077</v>
      </c>
      <c r="D109" s="6"/>
      <c r="E109" s="5" t="s">
        <v>32</v>
      </c>
      <c r="F109" s="5" t="s">
        <v>12</v>
      </c>
      <c r="G109" s="5" t="s">
        <v>11</v>
      </c>
      <c r="H109" s="7" t="s">
        <v>7</v>
      </c>
      <c r="I109" s="7" t="s">
        <v>241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5</v>
      </c>
      <c r="AF109" s="8">
        <v>15600</v>
      </c>
      <c r="AG109" s="7">
        <v>400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F109" s="7">
        <v>0</v>
      </c>
      <c r="BG109" s="7">
        <v>0</v>
      </c>
      <c r="BH109" s="7">
        <v>0</v>
      </c>
      <c r="BI109" s="7">
        <v>0</v>
      </c>
      <c r="BJ109" s="7">
        <v>0</v>
      </c>
      <c r="BK109" s="7">
        <v>0</v>
      </c>
      <c r="BL109" s="7">
        <v>0</v>
      </c>
      <c r="BM109" s="10">
        <v>16000</v>
      </c>
      <c r="BN109" s="16">
        <f t="shared" si="5"/>
        <v>16000</v>
      </c>
      <c r="BO109" s="14">
        <f t="shared" si="6"/>
        <v>11200</v>
      </c>
    </row>
    <row r="110" spans="1:67" x14ac:dyDescent="0.3">
      <c r="A110" s="5" t="s">
        <v>30</v>
      </c>
      <c r="B110" s="5" t="s">
        <v>295</v>
      </c>
      <c r="C110" s="5">
        <v>395192</v>
      </c>
      <c r="D110" s="6"/>
      <c r="E110" s="5" t="s">
        <v>32</v>
      </c>
      <c r="F110" s="5" t="s">
        <v>153</v>
      </c>
      <c r="G110" s="5" t="s">
        <v>52</v>
      </c>
      <c r="H110" s="7" t="s">
        <v>8</v>
      </c>
      <c r="I110" s="7" t="s">
        <v>296</v>
      </c>
      <c r="J110" s="7">
        <v>0</v>
      </c>
      <c r="K110" s="7">
        <v>1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10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157</v>
      </c>
      <c r="AF110" s="8">
        <v>9700</v>
      </c>
      <c r="AG110" s="8">
        <v>6000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0</v>
      </c>
      <c r="AY110" s="7">
        <v>0</v>
      </c>
      <c r="AZ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F110" s="7">
        <v>0</v>
      </c>
      <c r="BG110" s="7">
        <v>0</v>
      </c>
      <c r="BH110" s="7">
        <v>0</v>
      </c>
      <c r="BI110" s="7">
        <v>0</v>
      </c>
      <c r="BJ110" s="7">
        <v>0</v>
      </c>
      <c r="BK110" s="7">
        <v>0</v>
      </c>
      <c r="BL110" s="7">
        <v>0</v>
      </c>
      <c r="BM110" s="10">
        <v>15700</v>
      </c>
      <c r="BN110" s="16">
        <f t="shared" si="5"/>
        <v>15700</v>
      </c>
      <c r="BO110" s="14">
        <f t="shared" si="6"/>
        <v>10990</v>
      </c>
    </row>
    <row r="111" spans="1:67" x14ac:dyDescent="0.3">
      <c r="A111" s="5" t="s">
        <v>30</v>
      </c>
      <c r="B111" s="5" t="s">
        <v>297</v>
      </c>
      <c r="C111" s="5">
        <v>428860</v>
      </c>
      <c r="D111" s="6"/>
      <c r="E111" s="5" t="s">
        <v>32</v>
      </c>
      <c r="F111" s="5" t="s">
        <v>298</v>
      </c>
      <c r="G111" s="5" t="s">
        <v>11</v>
      </c>
      <c r="H111" s="7" t="s">
        <v>7</v>
      </c>
      <c r="I111" s="7" t="s">
        <v>299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156</v>
      </c>
      <c r="AF111" s="8">
        <v>14100</v>
      </c>
      <c r="AG111" s="8">
        <v>1500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0</v>
      </c>
      <c r="AZ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F111" s="7">
        <v>0</v>
      </c>
      <c r="BG111" s="7">
        <v>0</v>
      </c>
      <c r="BH111" s="7">
        <v>0</v>
      </c>
      <c r="BI111" s="7">
        <v>0</v>
      </c>
      <c r="BJ111" s="7">
        <v>0</v>
      </c>
      <c r="BK111" s="7">
        <v>0</v>
      </c>
      <c r="BL111" s="7">
        <v>0</v>
      </c>
      <c r="BM111" s="10">
        <v>15600</v>
      </c>
      <c r="BN111" s="16">
        <f t="shared" si="5"/>
        <v>15600</v>
      </c>
      <c r="BO111" s="14">
        <f t="shared" si="6"/>
        <v>10920</v>
      </c>
    </row>
    <row r="112" spans="1:67" x14ac:dyDescent="0.3">
      <c r="A112" s="5" t="s">
        <v>30</v>
      </c>
      <c r="B112" s="5" t="s">
        <v>300</v>
      </c>
      <c r="C112" s="5">
        <v>407159</v>
      </c>
      <c r="D112" s="6"/>
      <c r="E112" s="5" t="s">
        <v>32</v>
      </c>
      <c r="F112" s="5" t="s">
        <v>301</v>
      </c>
      <c r="G112" s="5" t="s">
        <v>52</v>
      </c>
      <c r="H112" s="7" t="s">
        <v>8</v>
      </c>
      <c r="I112" s="7" t="s">
        <v>302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3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50</v>
      </c>
      <c r="AF112" s="8">
        <v>5000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95</v>
      </c>
      <c r="AR112" s="8">
        <v>9500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0</v>
      </c>
      <c r="AY112" s="7">
        <v>0</v>
      </c>
      <c r="AZ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F112" s="7">
        <v>0</v>
      </c>
      <c r="BG112" s="7">
        <v>0</v>
      </c>
      <c r="BH112" s="7">
        <v>0</v>
      </c>
      <c r="BI112" s="7">
        <v>0</v>
      </c>
      <c r="BJ112" s="7">
        <v>0</v>
      </c>
      <c r="BK112" s="7">
        <v>0</v>
      </c>
      <c r="BL112" s="7">
        <v>0</v>
      </c>
      <c r="BM112" s="10">
        <v>14500</v>
      </c>
      <c r="BN112" s="16">
        <f t="shared" si="5"/>
        <v>14500</v>
      </c>
      <c r="BO112" s="14">
        <f t="shared" si="6"/>
        <v>10150</v>
      </c>
    </row>
    <row r="113" spans="1:67" x14ac:dyDescent="0.3">
      <c r="A113" s="5" t="s">
        <v>30</v>
      </c>
      <c r="B113" s="5" t="s">
        <v>303</v>
      </c>
      <c r="C113" s="5">
        <v>434847</v>
      </c>
      <c r="D113" s="6"/>
      <c r="E113" s="5" t="s">
        <v>32</v>
      </c>
      <c r="F113" s="5" t="s">
        <v>304</v>
      </c>
      <c r="G113" s="5" t="s">
        <v>11</v>
      </c>
      <c r="H113" s="7" t="s">
        <v>7</v>
      </c>
      <c r="I113" s="7" t="s">
        <v>305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144</v>
      </c>
      <c r="AF113" s="8">
        <v>14400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F113" s="7">
        <v>0</v>
      </c>
      <c r="BG113" s="7">
        <v>0</v>
      </c>
      <c r="BH113" s="7">
        <v>0</v>
      </c>
      <c r="BI113" s="7">
        <v>0</v>
      </c>
      <c r="BJ113" s="7">
        <v>0</v>
      </c>
      <c r="BK113" s="7">
        <v>0</v>
      </c>
      <c r="BL113" s="7">
        <v>0</v>
      </c>
      <c r="BM113" s="10">
        <v>14400</v>
      </c>
      <c r="BN113" s="16">
        <f t="shared" si="5"/>
        <v>14400</v>
      </c>
      <c r="BO113" s="14">
        <f t="shared" si="6"/>
        <v>10080</v>
      </c>
    </row>
    <row r="114" spans="1:67" x14ac:dyDescent="0.3">
      <c r="A114" s="5" t="s">
        <v>30</v>
      </c>
      <c r="B114" s="5" t="s">
        <v>306</v>
      </c>
      <c r="C114" s="5">
        <v>417258</v>
      </c>
      <c r="D114" s="6"/>
      <c r="E114" s="5" t="s">
        <v>32</v>
      </c>
      <c r="F114" s="5" t="s">
        <v>307</v>
      </c>
      <c r="G114" s="5" t="s">
        <v>52</v>
      </c>
      <c r="H114" s="7" t="s">
        <v>8</v>
      </c>
      <c r="I114" s="7" t="s">
        <v>308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1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114</v>
      </c>
      <c r="AF114" s="8">
        <v>11300</v>
      </c>
      <c r="AG114" s="7">
        <v>100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13</v>
      </c>
      <c r="AR114" s="8">
        <v>1300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10">
        <v>12700</v>
      </c>
      <c r="BN114" s="16">
        <f t="shared" si="5"/>
        <v>12700</v>
      </c>
      <c r="BO114" s="14">
        <f t="shared" si="6"/>
        <v>8890</v>
      </c>
    </row>
    <row r="115" spans="1:67" x14ac:dyDescent="0.3">
      <c r="A115" s="5" t="s">
        <v>30</v>
      </c>
      <c r="B115" s="5" t="s">
        <v>309</v>
      </c>
      <c r="C115" s="5">
        <v>358724</v>
      </c>
      <c r="D115" s="6"/>
      <c r="E115" s="5" t="s">
        <v>32</v>
      </c>
      <c r="F115" s="5" t="s">
        <v>310</v>
      </c>
      <c r="G115" s="5" t="s">
        <v>52</v>
      </c>
      <c r="H115" s="7" t="s">
        <v>8</v>
      </c>
      <c r="I115" s="7" t="s">
        <v>127</v>
      </c>
      <c r="J115" s="7">
        <v>23</v>
      </c>
      <c r="K115" s="7">
        <v>0</v>
      </c>
      <c r="L115" s="8">
        <v>2300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2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90</v>
      </c>
      <c r="AF115" s="8">
        <v>8900</v>
      </c>
      <c r="AG115" s="7">
        <v>100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10</v>
      </c>
      <c r="AR115" s="8">
        <v>1000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F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0</v>
      </c>
      <c r="BM115" s="10">
        <v>12300</v>
      </c>
      <c r="BN115" s="16">
        <f t="shared" si="5"/>
        <v>12300</v>
      </c>
      <c r="BO115" s="14">
        <f t="shared" si="6"/>
        <v>8610</v>
      </c>
    </row>
    <row r="116" spans="1:67" x14ac:dyDescent="0.3">
      <c r="A116" s="5" t="s">
        <v>30</v>
      </c>
      <c r="B116" s="5" t="s">
        <v>311</v>
      </c>
      <c r="C116" s="5">
        <v>327548</v>
      </c>
      <c r="D116" s="6"/>
      <c r="E116" s="5" t="s">
        <v>32</v>
      </c>
      <c r="F116" s="5" t="s">
        <v>231</v>
      </c>
      <c r="G116" s="5" t="s">
        <v>52</v>
      </c>
      <c r="H116" s="7" t="s">
        <v>8</v>
      </c>
      <c r="I116" s="7" t="s">
        <v>312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78</v>
      </c>
      <c r="AF116" s="8">
        <v>1400</v>
      </c>
      <c r="AG116" s="8">
        <v>6400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  <c r="AQ116" s="7">
        <v>39</v>
      </c>
      <c r="AR116" s="8">
        <v>3800</v>
      </c>
      <c r="AS116" s="7">
        <v>100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7">
        <v>0</v>
      </c>
      <c r="AZ116" s="7">
        <v>0</v>
      </c>
      <c r="BA116" s="7">
        <v>0</v>
      </c>
      <c r="BB116" s="7">
        <v>0</v>
      </c>
      <c r="BC116" s="7">
        <v>0</v>
      </c>
      <c r="BD116" s="7">
        <v>0</v>
      </c>
      <c r="BE116" s="7">
        <v>0</v>
      </c>
      <c r="BF116" s="7">
        <v>0</v>
      </c>
      <c r="BG116" s="7">
        <v>0</v>
      </c>
      <c r="BH116" s="7">
        <v>0</v>
      </c>
      <c r="BI116" s="7">
        <v>0</v>
      </c>
      <c r="BJ116" s="7">
        <v>0</v>
      </c>
      <c r="BK116" s="7">
        <v>0</v>
      </c>
      <c r="BL116" s="7">
        <v>0</v>
      </c>
      <c r="BM116" s="10">
        <v>11700</v>
      </c>
      <c r="BN116" s="16">
        <f t="shared" si="5"/>
        <v>11700</v>
      </c>
      <c r="BO116" s="14">
        <f t="shared" si="6"/>
        <v>8189.9999999999991</v>
      </c>
    </row>
    <row r="117" spans="1:67" x14ac:dyDescent="0.3">
      <c r="A117" s="5" t="s">
        <v>30</v>
      </c>
      <c r="B117" s="5" t="s">
        <v>313</v>
      </c>
      <c r="C117" s="5">
        <v>416378</v>
      </c>
      <c r="D117" s="6"/>
      <c r="E117" s="5" t="s">
        <v>32</v>
      </c>
      <c r="F117" s="5" t="s">
        <v>148</v>
      </c>
      <c r="G117" s="5" t="s">
        <v>52</v>
      </c>
      <c r="H117" s="7" t="s">
        <v>8</v>
      </c>
      <c r="I117" s="7" t="s">
        <v>314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105</v>
      </c>
      <c r="AF117" s="8">
        <v>10500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AZ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0</v>
      </c>
      <c r="BF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0</v>
      </c>
      <c r="BL117" s="7">
        <v>0</v>
      </c>
      <c r="BM117" s="10">
        <v>10500</v>
      </c>
      <c r="BN117" s="16">
        <f t="shared" si="5"/>
        <v>10500</v>
      </c>
      <c r="BO117" s="14">
        <f t="shared" si="6"/>
        <v>7349.9999999999991</v>
      </c>
    </row>
    <row r="118" spans="1:67" x14ac:dyDescent="0.3">
      <c r="A118" s="5" t="s">
        <v>30</v>
      </c>
      <c r="B118" s="5" t="s">
        <v>315</v>
      </c>
      <c r="C118" s="5">
        <v>381070</v>
      </c>
      <c r="D118" s="6"/>
      <c r="E118" s="5" t="s">
        <v>32</v>
      </c>
      <c r="F118" s="5" t="s">
        <v>316</v>
      </c>
      <c r="G118" s="5" t="s">
        <v>52</v>
      </c>
      <c r="H118" s="7" t="s">
        <v>8</v>
      </c>
      <c r="I118" s="7" t="s">
        <v>317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7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86</v>
      </c>
      <c r="AF118" s="8">
        <v>8600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14</v>
      </c>
      <c r="AR118" s="8">
        <v>1400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0</v>
      </c>
      <c r="AY118" s="7">
        <v>0</v>
      </c>
      <c r="AZ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F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0</v>
      </c>
      <c r="BM118" s="10">
        <v>10000</v>
      </c>
      <c r="BN118" s="16">
        <f t="shared" si="5"/>
        <v>10000</v>
      </c>
      <c r="BO118" s="14">
        <f t="shared" si="6"/>
        <v>7000</v>
      </c>
    </row>
    <row r="119" spans="1:67" x14ac:dyDescent="0.3">
      <c r="A119" s="5" t="s">
        <v>30</v>
      </c>
      <c r="B119" s="5" t="s">
        <v>318</v>
      </c>
      <c r="C119" s="5">
        <v>404148</v>
      </c>
      <c r="D119" s="6"/>
      <c r="E119" s="5" t="s">
        <v>32</v>
      </c>
      <c r="F119" s="5" t="s">
        <v>319</v>
      </c>
      <c r="G119" s="5" t="s">
        <v>52</v>
      </c>
      <c r="H119" s="7" t="s">
        <v>8</v>
      </c>
      <c r="I119" s="7" t="s">
        <v>320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98</v>
      </c>
      <c r="AF119" s="8">
        <v>9700</v>
      </c>
      <c r="AG119" s="7">
        <v>100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F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0</v>
      </c>
      <c r="BM119" s="10">
        <v>9800</v>
      </c>
      <c r="BN119" s="16">
        <f t="shared" si="5"/>
        <v>9800</v>
      </c>
      <c r="BO119" s="14">
        <f t="shared" si="6"/>
        <v>6860</v>
      </c>
    </row>
    <row r="120" spans="1:67" x14ac:dyDescent="0.3">
      <c r="A120" s="5" t="s">
        <v>30</v>
      </c>
      <c r="B120" s="5" t="s">
        <v>321</v>
      </c>
      <c r="C120" s="5">
        <v>392673</v>
      </c>
      <c r="D120" s="6"/>
      <c r="E120" s="5" t="s">
        <v>32</v>
      </c>
      <c r="F120" s="5" t="s">
        <v>126</v>
      </c>
      <c r="G120" s="5" t="s">
        <v>52</v>
      </c>
      <c r="H120" s="7" t="s">
        <v>8</v>
      </c>
      <c r="I120" s="7" t="s">
        <v>322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3</v>
      </c>
      <c r="AF120" s="8">
        <v>9600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F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10">
        <v>9600</v>
      </c>
      <c r="BN120" s="16">
        <f t="shared" si="5"/>
        <v>9600</v>
      </c>
      <c r="BO120" s="14">
        <f t="shared" si="6"/>
        <v>6720</v>
      </c>
    </row>
    <row r="121" spans="1:67" x14ac:dyDescent="0.3">
      <c r="A121" s="5" t="s">
        <v>30</v>
      </c>
      <c r="B121" s="5" t="s">
        <v>323</v>
      </c>
      <c r="C121" s="5">
        <v>328894</v>
      </c>
      <c r="D121" s="6"/>
      <c r="E121" s="5" t="s">
        <v>32</v>
      </c>
      <c r="F121" s="5" t="s">
        <v>231</v>
      </c>
      <c r="G121" s="5" t="s">
        <v>52</v>
      </c>
      <c r="H121" s="7" t="s">
        <v>8</v>
      </c>
      <c r="I121" s="7" t="s">
        <v>324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5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79</v>
      </c>
      <c r="AF121" s="8">
        <v>6800</v>
      </c>
      <c r="AG121" s="8">
        <v>1100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17</v>
      </c>
      <c r="AR121" s="8">
        <v>1700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F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0</v>
      </c>
      <c r="BM121" s="10">
        <v>9600</v>
      </c>
      <c r="BN121" s="16">
        <f t="shared" si="5"/>
        <v>9600</v>
      </c>
      <c r="BO121" s="14">
        <f t="shared" si="6"/>
        <v>6720</v>
      </c>
    </row>
    <row r="122" spans="1:67" x14ac:dyDescent="0.3">
      <c r="A122" s="5" t="s">
        <v>30</v>
      </c>
      <c r="B122" s="5" t="s">
        <v>325</v>
      </c>
      <c r="C122" s="5">
        <v>391329</v>
      </c>
      <c r="D122" s="6"/>
      <c r="E122" s="5" t="s">
        <v>32</v>
      </c>
      <c r="F122" s="5" t="s">
        <v>87</v>
      </c>
      <c r="G122" s="5" t="s">
        <v>11</v>
      </c>
      <c r="H122" s="7" t="s">
        <v>7</v>
      </c>
      <c r="I122" s="7" t="s">
        <v>326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3</v>
      </c>
      <c r="AF122" s="8">
        <v>4000</v>
      </c>
      <c r="AG122" s="8">
        <v>5600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0</v>
      </c>
      <c r="BB122" s="7">
        <v>0</v>
      </c>
      <c r="BC122" s="7">
        <v>0</v>
      </c>
      <c r="BD122" s="7">
        <v>0</v>
      </c>
      <c r="BE122" s="7">
        <v>0</v>
      </c>
      <c r="BF122" s="7">
        <v>0</v>
      </c>
      <c r="BG122" s="7">
        <v>0</v>
      </c>
      <c r="BH122" s="7">
        <v>0</v>
      </c>
      <c r="BI122" s="7">
        <v>0</v>
      </c>
      <c r="BJ122" s="7">
        <v>0</v>
      </c>
      <c r="BK122" s="7">
        <v>0</v>
      </c>
      <c r="BL122" s="7">
        <v>0</v>
      </c>
      <c r="BM122" s="10">
        <v>9600</v>
      </c>
      <c r="BN122" s="16">
        <f t="shared" si="5"/>
        <v>9600</v>
      </c>
      <c r="BO122" s="14">
        <f t="shared" si="6"/>
        <v>6720</v>
      </c>
    </row>
    <row r="123" spans="1:67" x14ac:dyDescent="0.3">
      <c r="A123" s="5" t="s">
        <v>30</v>
      </c>
      <c r="B123" s="5" t="s">
        <v>327</v>
      </c>
      <c r="C123" s="5">
        <v>355320</v>
      </c>
      <c r="D123" s="6"/>
      <c r="E123" s="5" t="s">
        <v>32</v>
      </c>
      <c r="F123" s="5" t="s">
        <v>328</v>
      </c>
      <c r="G123" s="5" t="s">
        <v>52</v>
      </c>
      <c r="H123" s="7" t="s">
        <v>8</v>
      </c>
      <c r="I123" s="7" t="s">
        <v>329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88</v>
      </c>
      <c r="AF123" s="8">
        <v>8800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  <c r="AQ123" s="7">
        <v>0</v>
      </c>
      <c r="AR123" s="7">
        <v>0</v>
      </c>
      <c r="AS123" s="7">
        <v>0</v>
      </c>
      <c r="AT123" s="7">
        <v>0</v>
      </c>
      <c r="AU123" s="7">
        <v>0</v>
      </c>
      <c r="AV123" s="7">
        <v>0</v>
      </c>
      <c r="AW123" s="7">
        <v>0</v>
      </c>
      <c r="AX123" s="7">
        <v>0</v>
      </c>
      <c r="AY123" s="7">
        <v>0</v>
      </c>
      <c r="AZ123" s="7">
        <v>0</v>
      </c>
      <c r="BA123" s="7">
        <v>0</v>
      </c>
      <c r="BB123" s="7">
        <v>0</v>
      </c>
      <c r="BC123" s="7">
        <v>0</v>
      </c>
      <c r="BD123" s="7">
        <v>0</v>
      </c>
      <c r="BE123" s="7">
        <v>0</v>
      </c>
      <c r="BF123" s="7">
        <v>0</v>
      </c>
      <c r="BG123" s="7">
        <v>0</v>
      </c>
      <c r="BH123" s="7">
        <v>0</v>
      </c>
      <c r="BI123" s="7">
        <v>0</v>
      </c>
      <c r="BJ123" s="7">
        <v>0</v>
      </c>
      <c r="BK123" s="7">
        <v>0</v>
      </c>
      <c r="BL123" s="7">
        <v>0</v>
      </c>
      <c r="BM123" s="10">
        <v>8800</v>
      </c>
      <c r="BN123" s="16">
        <f t="shared" si="5"/>
        <v>8800</v>
      </c>
      <c r="BO123" s="14">
        <f t="shared" si="6"/>
        <v>6160</v>
      </c>
    </row>
    <row r="124" spans="1:67" x14ac:dyDescent="0.3">
      <c r="A124" s="5" t="s">
        <v>30</v>
      </c>
      <c r="B124" s="5" t="s">
        <v>330</v>
      </c>
      <c r="C124" s="5">
        <v>445862</v>
      </c>
      <c r="D124" s="6"/>
      <c r="E124" s="5" t="s">
        <v>32</v>
      </c>
      <c r="F124" s="5" t="s">
        <v>67</v>
      </c>
      <c r="G124" s="5" t="s">
        <v>52</v>
      </c>
      <c r="H124" s="7" t="s">
        <v>8</v>
      </c>
      <c r="I124" s="7" t="s">
        <v>218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3</v>
      </c>
      <c r="AF124" s="8">
        <v>6600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1</v>
      </c>
      <c r="AR124" s="8">
        <v>2200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F124" s="7">
        <v>0</v>
      </c>
      <c r="BG124" s="7">
        <v>0</v>
      </c>
      <c r="BH124" s="7">
        <v>0</v>
      </c>
      <c r="BI124" s="7">
        <v>0</v>
      </c>
      <c r="BJ124" s="7">
        <v>0</v>
      </c>
      <c r="BK124" s="7">
        <v>0</v>
      </c>
      <c r="BL124" s="7">
        <v>0</v>
      </c>
      <c r="BM124" s="10">
        <v>8800</v>
      </c>
      <c r="BN124" s="16">
        <f t="shared" si="5"/>
        <v>8800</v>
      </c>
      <c r="BO124" s="14">
        <f t="shared" si="6"/>
        <v>6160</v>
      </c>
    </row>
    <row r="125" spans="1:67" x14ac:dyDescent="0.3">
      <c r="A125" s="5" t="s">
        <v>30</v>
      </c>
      <c r="B125" s="5" t="s">
        <v>331</v>
      </c>
      <c r="C125" s="5">
        <v>427091</v>
      </c>
      <c r="D125" s="6"/>
      <c r="E125" s="5" t="s">
        <v>32</v>
      </c>
      <c r="F125" s="5" t="s">
        <v>60</v>
      </c>
      <c r="G125" s="5" t="s">
        <v>52</v>
      </c>
      <c r="H125" s="7" t="s">
        <v>8</v>
      </c>
      <c r="I125" s="7" t="s">
        <v>332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4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41</v>
      </c>
      <c r="AF125" s="7">
        <v>500</v>
      </c>
      <c r="AG125" s="8">
        <v>3600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43</v>
      </c>
      <c r="AR125" s="8">
        <v>4100</v>
      </c>
      <c r="AS125" s="7">
        <v>200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s="7">
        <v>0</v>
      </c>
      <c r="BC125" s="7">
        <v>0</v>
      </c>
      <c r="BD125" s="7">
        <v>0</v>
      </c>
      <c r="BE125" s="7">
        <v>0</v>
      </c>
      <c r="BF125" s="7">
        <v>0</v>
      </c>
      <c r="BG125" s="7">
        <v>0</v>
      </c>
      <c r="BH125" s="7">
        <v>0</v>
      </c>
      <c r="BI125" s="7">
        <v>0</v>
      </c>
      <c r="BJ125" s="7">
        <v>0</v>
      </c>
      <c r="BK125" s="7">
        <v>0</v>
      </c>
      <c r="BL125" s="7">
        <v>0</v>
      </c>
      <c r="BM125" s="10">
        <v>8400</v>
      </c>
      <c r="BN125" s="16">
        <f t="shared" si="5"/>
        <v>8400</v>
      </c>
      <c r="BO125" s="14">
        <f t="shared" si="6"/>
        <v>5880</v>
      </c>
    </row>
    <row r="126" spans="1:67" x14ac:dyDescent="0.3">
      <c r="A126" s="5" t="s">
        <v>30</v>
      </c>
      <c r="B126" s="5" t="s">
        <v>333</v>
      </c>
      <c r="C126" s="5">
        <v>391008</v>
      </c>
      <c r="D126" s="6"/>
      <c r="E126" s="5" t="s">
        <v>32</v>
      </c>
      <c r="F126" s="5" t="s">
        <v>148</v>
      </c>
      <c r="G126" s="5" t="s">
        <v>52</v>
      </c>
      <c r="H126" s="7" t="s">
        <v>8</v>
      </c>
      <c r="I126" s="7" t="s">
        <v>334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83</v>
      </c>
      <c r="AF126" s="8">
        <v>8300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AZ126" s="7">
        <v>0</v>
      </c>
      <c r="BA126" s="7">
        <v>0</v>
      </c>
      <c r="BB126" s="7">
        <v>0</v>
      </c>
      <c r="BC126" s="7">
        <v>0</v>
      </c>
      <c r="BD126" s="7">
        <v>0</v>
      </c>
      <c r="BE126" s="7">
        <v>0</v>
      </c>
      <c r="BF126" s="7">
        <v>0</v>
      </c>
      <c r="BG126" s="7">
        <v>0</v>
      </c>
      <c r="BH126" s="7">
        <v>0</v>
      </c>
      <c r="BI126" s="7">
        <v>0</v>
      </c>
      <c r="BJ126" s="7">
        <v>0</v>
      </c>
      <c r="BK126" s="7">
        <v>0</v>
      </c>
      <c r="BL126" s="7">
        <v>0</v>
      </c>
      <c r="BM126" s="10">
        <v>8300</v>
      </c>
      <c r="BN126" s="16">
        <f t="shared" si="5"/>
        <v>8300</v>
      </c>
      <c r="BO126" s="14">
        <f t="shared" si="6"/>
        <v>5810</v>
      </c>
    </row>
    <row r="127" spans="1:67" x14ac:dyDescent="0.3">
      <c r="A127" s="5" t="s">
        <v>30</v>
      </c>
      <c r="B127" s="5" t="s">
        <v>335</v>
      </c>
      <c r="C127" s="5">
        <v>385169</v>
      </c>
      <c r="D127" s="6"/>
      <c r="E127" s="5" t="s">
        <v>32</v>
      </c>
      <c r="F127" s="5" t="s">
        <v>231</v>
      </c>
      <c r="G127" s="5" t="s">
        <v>52</v>
      </c>
      <c r="H127" s="7" t="s">
        <v>8</v>
      </c>
      <c r="I127" s="7" t="s">
        <v>329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4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81</v>
      </c>
      <c r="AF127" s="8">
        <v>6700</v>
      </c>
      <c r="AG127" s="8">
        <v>1400</v>
      </c>
      <c r="AH127" s="7">
        <v>0</v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0</v>
      </c>
      <c r="AP127" s="7">
        <v>0</v>
      </c>
      <c r="AQ127" s="7">
        <v>0</v>
      </c>
      <c r="AR127" s="7">
        <v>0</v>
      </c>
      <c r="AS127" s="7">
        <v>0</v>
      </c>
      <c r="AT127" s="7">
        <v>0</v>
      </c>
      <c r="AU127" s="7">
        <v>0</v>
      </c>
      <c r="AV127" s="7">
        <v>0</v>
      </c>
      <c r="AW127" s="7">
        <v>0</v>
      </c>
      <c r="AX127" s="7">
        <v>0</v>
      </c>
      <c r="AY127" s="7">
        <v>0</v>
      </c>
      <c r="AZ127" s="7">
        <v>0</v>
      </c>
      <c r="BA127" s="7">
        <v>0</v>
      </c>
      <c r="BB127" s="7">
        <v>0</v>
      </c>
      <c r="BC127" s="7">
        <v>0</v>
      </c>
      <c r="BD127" s="7">
        <v>0</v>
      </c>
      <c r="BE127" s="7">
        <v>0</v>
      </c>
      <c r="BF127" s="7">
        <v>0</v>
      </c>
      <c r="BG127" s="7">
        <v>0</v>
      </c>
      <c r="BH127" s="7">
        <v>0</v>
      </c>
      <c r="BI127" s="7">
        <v>0</v>
      </c>
      <c r="BJ127" s="7">
        <v>0</v>
      </c>
      <c r="BK127" s="7">
        <v>0</v>
      </c>
      <c r="BL127" s="7">
        <v>0</v>
      </c>
      <c r="BM127" s="10">
        <v>8100</v>
      </c>
      <c r="BN127" s="16">
        <f t="shared" si="5"/>
        <v>8100</v>
      </c>
      <c r="BO127" s="14">
        <f t="shared" si="6"/>
        <v>5670</v>
      </c>
    </row>
    <row r="128" spans="1:67" x14ac:dyDescent="0.3">
      <c r="A128" s="5" t="s">
        <v>30</v>
      </c>
      <c r="B128" s="5" t="s">
        <v>336</v>
      </c>
      <c r="C128" s="5">
        <v>377088</v>
      </c>
      <c r="D128" s="6"/>
      <c r="E128" s="5" t="s">
        <v>32</v>
      </c>
      <c r="F128" s="5" t="s">
        <v>337</v>
      </c>
      <c r="G128" s="5" t="s">
        <v>52</v>
      </c>
      <c r="H128" s="7" t="s">
        <v>8</v>
      </c>
      <c r="I128" s="7" t="s">
        <v>338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5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75</v>
      </c>
      <c r="AF128" s="8">
        <v>6300</v>
      </c>
      <c r="AG128" s="8">
        <v>1200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0</v>
      </c>
      <c r="AP128" s="7">
        <v>0</v>
      </c>
      <c r="AQ128" s="7">
        <v>3</v>
      </c>
      <c r="AR128" s="7">
        <v>300</v>
      </c>
      <c r="AS128" s="7">
        <v>0</v>
      </c>
      <c r="AT128" s="7">
        <v>0</v>
      </c>
      <c r="AU128" s="7">
        <v>0</v>
      </c>
      <c r="AV128" s="7">
        <v>0</v>
      </c>
      <c r="AW128" s="7">
        <v>0</v>
      </c>
      <c r="AX128" s="7">
        <v>0</v>
      </c>
      <c r="AY128" s="7">
        <v>0</v>
      </c>
      <c r="AZ128" s="7">
        <v>0</v>
      </c>
      <c r="BA128" s="7">
        <v>0</v>
      </c>
      <c r="BB128" s="7">
        <v>0</v>
      </c>
      <c r="BC128" s="7">
        <v>0</v>
      </c>
      <c r="BD128" s="7">
        <v>0</v>
      </c>
      <c r="BE128" s="7">
        <v>0</v>
      </c>
      <c r="BF128" s="7">
        <v>0</v>
      </c>
      <c r="BG128" s="7">
        <v>0</v>
      </c>
      <c r="BH128" s="7">
        <v>0</v>
      </c>
      <c r="BI128" s="7">
        <v>0</v>
      </c>
      <c r="BJ128" s="7">
        <v>0</v>
      </c>
      <c r="BK128" s="7">
        <v>0</v>
      </c>
      <c r="BL128" s="7">
        <v>0</v>
      </c>
      <c r="BM128" s="10">
        <v>7800</v>
      </c>
      <c r="BN128" s="16">
        <f t="shared" si="5"/>
        <v>7800</v>
      </c>
      <c r="BO128" s="14">
        <f t="shared" si="6"/>
        <v>5460</v>
      </c>
    </row>
    <row r="129" spans="1:67" x14ac:dyDescent="0.3">
      <c r="A129" s="5" t="s">
        <v>30</v>
      </c>
      <c r="B129" s="5" t="s">
        <v>339</v>
      </c>
      <c r="C129" s="5">
        <v>381684</v>
      </c>
      <c r="D129" s="6"/>
      <c r="E129" s="5" t="s">
        <v>32</v>
      </c>
      <c r="F129" s="5" t="s">
        <v>156</v>
      </c>
      <c r="G129" s="5" t="s">
        <v>52</v>
      </c>
      <c r="H129" s="7" t="s">
        <v>340</v>
      </c>
      <c r="I129" s="7" t="s">
        <v>157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2</v>
      </c>
      <c r="AF129" s="8">
        <v>7400</v>
      </c>
      <c r="AG129" s="7">
        <v>200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0</v>
      </c>
      <c r="AP129" s="7">
        <v>0</v>
      </c>
      <c r="AQ129" s="7">
        <v>0</v>
      </c>
      <c r="AR129" s="7">
        <v>0</v>
      </c>
      <c r="AS129" s="7">
        <v>0</v>
      </c>
      <c r="AT129" s="7">
        <v>0</v>
      </c>
      <c r="AU129" s="7">
        <v>0</v>
      </c>
      <c r="AV129" s="7">
        <v>0</v>
      </c>
      <c r="AW129" s="7">
        <v>0</v>
      </c>
      <c r="AX129" s="7">
        <v>0</v>
      </c>
      <c r="AY129" s="7">
        <v>0</v>
      </c>
      <c r="AZ129" s="7">
        <v>0</v>
      </c>
      <c r="BA129" s="7">
        <v>0</v>
      </c>
      <c r="BB129" s="7">
        <v>0</v>
      </c>
      <c r="BC129" s="7">
        <v>0</v>
      </c>
      <c r="BD129" s="7">
        <v>0</v>
      </c>
      <c r="BE129" s="7">
        <v>0</v>
      </c>
      <c r="BF129" s="7">
        <v>0</v>
      </c>
      <c r="BG129" s="7">
        <v>0</v>
      </c>
      <c r="BH129" s="7">
        <v>0</v>
      </c>
      <c r="BI129" s="7">
        <v>0</v>
      </c>
      <c r="BJ129" s="7">
        <v>0</v>
      </c>
      <c r="BK129" s="7">
        <v>0</v>
      </c>
      <c r="BL129" s="7">
        <v>0</v>
      </c>
      <c r="BM129" s="10">
        <v>7600</v>
      </c>
      <c r="BN129" s="16">
        <f t="shared" si="5"/>
        <v>7600</v>
      </c>
      <c r="BO129" s="14">
        <f t="shared" si="6"/>
        <v>5320</v>
      </c>
    </row>
    <row r="130" spans="1:67" x14ac:dyDescent="0.3">
      <c r="A130" s="5" t="s">
        <v>30</v>
      </c>
      <c r="B130" s="5" t="s">
        <v>341</v>
      </c>
      <c r="C130" s="5">
        <v>382325</v>
      </c>
      <c r="D130" s="6"/>
      <c r="E130" s="5" t="s">
        <v>32</v>
      </c>
      <c r="F130" s="5" t="s">
        <v>51</v>
      </c>
      <c r="G130" s="5" t="s">
        <v>52</v>
      </c>
      <c r="H130" s="7" t="s">
        <v>8</v>
      </c>
      <c r="I130" s="7" t="s">
        <v>342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76</v>
      </c>
      <c r="AF130" s="8">
        <v>7200</v>
      </c>
      <c r="AG130" s="7">
        <v>400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  <c r="AQ130" s="7">
        <v>0</v>
      </c>
      <c r="AR130" s="7">
        <v>0</v>
      </c>
      <c r="AS130" s="7">
        <v>0</v>
      </c>
      <c r="AT130" s="7">
        <v>0</v>
      </c>
      <c r="AU130" s="7">
        <v>0</v>
      </c>
      <c r="AV130" s="7">
        <v>0</v>
      </c>
      <c r="AW130" s="7">
        <v>0</v>
      </c>
      <c r="AX130" s="7">
        <v>0</v>
      </c>
      <c r="AY130" s="7">
        <v>0</v>
      </c>
      <c r="AZ130" s="7">
        <v>0</v>
      </c>
      <c r="BA130" s="7">
        <v>0</v>
      </c>
      <c r="BB130" s="7">
        <v>0</v>
      </c>
      <c r="BC130" s="7">
        <v>0</v>
      </c>
      <c r="BD130" s="7">
        <v>0</v>
      </c>
      <c r="BE130" s="7">
        <v>0</v>
      </c>
      <c r="BF130" s="7">
        <v>0</v>
      </c>
      <c r="BG130" s="7">
        <v>0</v>
      </c>
      <c r="BH130" s="7">
        <v>0</v>
      </c>
      <c r="BI130" s="7">
        <v>0</v>
      </c>
      <c r="BJ130" s="7">
        <v>0</v>
      </c>
      <c r="BK130" s="7">
        <v>0</v>
      </c>
      <c r="BL130" s="7">
        <v>0</v>
      </c>
      <c r="BM130" s="10">
        <v>7600</v>
      </c>
      <c r="BN130" s="16">
        <f t="shared" si="5"/>
        <v>7600</v>
      </c>
      <c r="BO130" s="14">
        <f t="shared" si="6"/>
        <v>5320</v>
      </c>
    </row>
    <row r="131" spans="1:67" x14ac:dyDescent="0.3">
      <c r="A131" s="5" t="s">
        <v>30</v>
      </c>
      <c r="B131" s="5" t="s">
        <v>343</v>
      </c>
      <c r="C131" s="5">
        <v>467494</v>
      </c>
      <c r="D131" s="6"/>
      <c r="E131" s="5" t="s">
        <v>32</v>
      </c>
      <c r="F131" s="5" t="s">
        <v>344</v>
      </c>
      <c r="G131" s="5" t="s">
        <v>52</v>
      </c>
      <c r="H131" s="7" t="s">
        <v>8</v>
      </c>
      <c r="I131" s="7" t="s">
        <v>38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2</v>
      </c>
      <c r="AF131" s="8">
        <v>7200</v>
      </c>
      <c r="AG131" s="7">
        <v>0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7">
        <v>0</v>
      </c>
      <c r="BC131" s="7">
        <v>0</v>
      </c>
      <c r="BD131" s="7">
        <v>0</v>
      </c>
      <c r="BE131" s="7">
        <v>0</v>
      </c>
      <c r="BF131" s="7">
        <v>0</v>
      </c>
      <c r="BG131" s="7">
        <v>0</v>
      </c>
      <c r="BH131" s="7">
        <v>0</v>
      </c>
      <c r="BI131" s="7">
        <v>0</v>
      </c>
      <c r="BJ131" s="7">
        <v>0</v>
      </c>
      <c r="BK131" s="7">
        <v>0</v>
      </c>
      <c r="BL131" s="7">
        <v>0</v>
      </c>
      <c r="BM131" s="10">
        <v>7200</v>
      </c>
      <c r="BN131" s="16">
        <f t="shared" si="5"/>
        <v>7200</v>
      </c>
      <c r="BO131" s="14">
        <f t="shared" si="6"/>
        <v>5040</v>
      </c>
    </row>
    <row r="132" spans="1:67" x14ac:dyDescent="0.3">
      <c r="A132" s="5" t="s">
        <v>30</v>
      </c>
      <c r="B132" s="5" t="s">
        <v>345</v>
      </c>
      <c r="C132" s="5">
        <v>363413</v>
      </c>
      <c r="D132" s="6"/>
      <c r="E132" s="5" t="s">
        <v>32</v>
      </c>
      <c r="F132" s="5" t="s">
        <v>126</v>
      </c>
      <c r="G132" s="5" t="s">
        <v>52</v>
      </c>
      <c r="H132" s="7" t="s">
        <v>8</v>
      </c>
      <c r="I132" s="7" t="s">
        <v>346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61</v>
      </c>
      <c r="AF132" s="8">
        <v>6100</v>
      </c>
      <c r="AG132" s="7">
        <v>0</v>
      </c>
      <c r="AH132" s="7">
        <v>0</v>
      </c>
      <c r="AI132" s="7">
        <v>0</v>
      </c>
      <c r="AJ132" s="7">
        <v>0</v>
      </c>
      <c r="AK132" s="7">
        <v>3</v>
      </c>
      <c r="AL132" s="7">
        <v>339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7">
        <v>0</v>
      </c>
      <c r="BB132" s="7">
        <v>0</v>
      </c>
      <c r="BC132" s="7">
        <v>0</v>
      </c>
      <c r="BD132" s="7">
        <v>0</v>
      </c>
      <c r="BE132" s="7">
        <v>0</v>
      </c>
      <c r="BF132" s="7">
        <v>0</v>
      </c>
      <c r="BG132" s="7">
        <v>0</v>
      </c>
      <c r="BH132" s="7">
        <v>0</v>
      </c>
      <c r="BI132" s="7">
        <v>0</v>
      </c>
      <c r="BJ132" s="7">
        <v>0</v>
      </c>
      <c r="BK132" s="7">
        <v>0</v>
      </c>
      <c r="BL132" s="7">
        <v>101.7</v>
      </c>
      <c r="BM132" s="10">
        <v>6439</v>
      </c>
      <c r="BN132" s="16">
        <f t="shared" si="5"/>
        <v>6337.3</v>
      </c>
      <c r="BO132" s="14">
        <f t="shared" si="6"/>
        <v>4436.1099999999997</v>
      </c>
    </row>
    <row r="133" spans="1:67" x14ac:dyDescent="0.3">
      <c r="A133" s="5" t="s">
        <v>30</v>
      </c>
      <c r="B133" s="5" t="s">
        <v>347</v>
      </c>
      <c r="C133" s="5">
        <v>430085</v>
      </c>
      <c r="D133" s="6"/>
      <c r="E133" s="5" t="s">
        <v>32</v>
      </c>
      <c r="F133" s="5" t="s">
        <v>107</v>
      </c>
      <c r="G133" s="5" t="s">
        <v>11</v>
      </c>
      <c r="H133" s="7" t="s">
        <v>10</v>
      </c>
      <c r="I133" s="7" t="s">
        <v>348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2</v>
      </c>
      <c r="AF133" s="8">
        <v>6400</v>
      </c>
      <c r="AG133" s="7">
        <v>0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0</v>
      </c>
      <c r="AY133" s="7">
        <v>0</v>
      </c>
      <c r="AZ133" s="7">
        <v>0</v>
      </c>
      <c r="BA133" s="7">
        <v>0</v>
      </c>
      <c r="BB133" s="7">
        <v>0</v>
      </c>
      <c r="BC133" s="7">
        <v>0</v>
      </c>
      <c r="BD133" s="7">
        <v>0</v>
      </c>
      <c r="BE133" s="7">
        <v>0</v>
      </c>
      <c r="BF133" s="7">
        <v>0</v>
      </c>
      <c r="BG133" s="7">
        <v>0</v>
      </c>
      <c r="BH133" s="7">
        <v>0</v>
      </c>
      <c r="BI133" s="7">
        <v>0</v>
      </c>
      <c r="BJ133" s="7">
        <v>0</v>
      </c>
      <c r="BK133" s="7">
        <v>0</v>
      </c>
      <c r="BL133" s="7">
        <v>0</v>
      </c>
      <c r="BM133" s="10">
        <v>6400</v>
      </c>
      <c r="BN133" s="16">
        <f t="shared" si="5"/>
        <v>6400</v>
      </c>
      <c r="BO133" s="14">
        <f t="shared" si="6"/>
        <v>4480</v>
      </c>
    </row>
    <row r="134" spans="1:67" x14ac:dyDescent="0.3">
      <c r="A134" s="5" t="s">
        <v>30</v>
      </c>
      <c r="B134" s="5" t="s">
        <v>349</v>
      </c>
      <c r="C134" s="5">
        <v>418302</v>
      </c>
      <c r="D134" s="6"/>
      <c r="E134" s="5" t="s">
        <v>32</v>
      </c>
      <c r="F134" s="5" t="s">
        <v>51</v>
      </c>
      <c r="G134" s="5" t="s">
        <v>52</v>
      </c>
      <c r="H134" s="7" t="s">
        <v>340</v>
      </c>
      <c r="I134" s="7" t="s">
        <v>53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1</v>
      </c>
      <c r="AC134" s="8">
        <v>2800</v>
      </c>
      <c r="AD134" s="7">
        <v>0</v>
      </c>
      <c r="AE134" s="7">
        <v>1</v>
      </c>
      <c r="AF134" s="8">
        <v>3500</v>
      </c>
      <c r="AG134" s="7">
        <v>0</v>
      </c>
      <c r="AH134" s="7">
        <v>0</v>
      </c>
      <c r="AI134" s="7">
        <v>0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0</v>
      </c>
      <c r="AZ134" s="7">
        <v>0</v>
      </c>
      <c r="BA134" s="7">
        <v>0</v>
      </c>
      <c r="BB134" s="7">
        <v>0</v>
      </c>
      <c r="BC134" s="7">
        <v>0</v>
      </c>
      <c r="BD134" s="7">
        <v>0</v>
      </c>
      <c r="BE134" s="7">
        <v>0</v>
      </c>
      <c r="BF134" s="7">
        <v>0</v>
      </c>
      <c r="BG134" s="7">
        <v>0</v>
      </c>
      <c r="BH134" s="7">
        <v>0</v>
      </c>
      <c r="BI134" s="7">
        <v>0</v>
      </c>
      <c r="BJ134" s="7">
        <v>0</v>
      </c>
      <c r="BK134" s="7">
        <v>0</v>
      </c>
      <c r="BL134" s="7">
        <v>0</v>
      </c>
      <c r="BM134" s="10">
        <v>6300</v>
      </c>
      <c r="BN134" s="16">
        <f t="shared" si="5"/>
        <v>6300</v>
      </c>
      <c r="BO134" s="14">
        <f t="shared" si="6"/>
        <v>4410</v>
      </c>
    </row>
    <row r="135" spans="1:67" x14ac:dyDescent="0.3">
      <c r="A135" s="5" t="s">
        <v>30</v>
      </c>
      <c r="B135" s="5" t="s">
        <v>350</v>
      </c>
      <c r="C135" s="5">
        <v>431330</v>
      </c>
      <c r="D135" s="6"/>
      <c r="E135" s="5" t="s">
        <v>32</v>
      </c>
      <c r="F135" s="5" t="s">
        <v>301</v>
      </c>
      <c r="G135" s="5" t="s">
        <v>52</v>
      </c>
      <c r="H135" s="7" t="s">
        <v>8</v>
      </c>
      <c r="I135" s="7" t="s">
        <v>351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63</v>
      </c>
      <c r="AF135" s="8">
        <v>2500</v>
      </c>
      <c r="AG135" s="8">
        <v>3800</v>
      </c>
      <c r="AH135" s="7">
        <v>0</v>
      </c>
      <c r="AI135" s="7">
        <v>0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  <c r="AY135" s="7">
        <v>0</v>
      </c>
      <c r="AZ135" s="7">
        <v>0</v>
      </c>
      <c r="BA135" s="7">
        <v>0</v>
      </c>
      <c r="BB135" s="7">
        <v>0</v>
      </c>
      <c r="BC135" s="7">
        <v>0</v>
      </c>
      <c r="BD135" s="7">
        <v>0</v>
      </c>
      <c r="BE135" s="7">
        <v>0</v>
      </c>
      <c r="BF135" s="7">
        <v>0</v>
      </c>
      <c r="BG135" s="7">
        <v>0</v>
      </c>
      <c r="BH135" s="7">
        <v>0</v>
      </c>
      <c r="BI135" s="7">
        <v>0</v>
      </c>
      <c r="BJ135" s="7">
        <v>0</v>
      </c>
      <c r="BK135" s="7">
        <v>0</v>
      </c>
      <c r="BL135" s="7">
        <v>0</v>
      </c>
      <c r="BM135" s="10">
        <v>6300</v>
      </c>
      <c r="BN135" s="16">
        <f t="shared" si="5"/>
        <v>6300</v>
      </c>
      <c r="BO135" s="14">
        <f t="shared" si="6"/>
        <v>4410</v>
      </c>
    </row>
    <row r="136" spans="1:67" x14ac:dyDescent="0.3">
      <c r="A136" s="5" t="s">
        <v>30</v>
      </c>
      <c r="B136" s="5" t="s">
        <v>352</v>
      </c>
      <c r="C136" s="5">
        <v>414120</v>
      </c>
      <c r="D136" s="6"/>
      <c r="E136" s="5" t="s">
        <v>32</v>
      </c>
      <c r="F136" s="5" t="s">
        <v>60</v>
      </c>
      <c r="G136" s="5" t="s">
        <v>52</v>
      </c>
      <c r="H136" s="7" t="s">
        <v>8</v>
      </c>
      <c r="I136" s="7" t="s">
        <v>226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4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62</v>
      </c>
      <c r="AF136" s="8">
        <v>6200</v>
      </c>
      <c r="AG136" s="7">
        <v>0</v>
      </c>
      <c r="AH136" s="7">
        <v>0</v>
      </c>
      <c r="AI136" s="7">
        <v>0</v>
      </c>
      <c r="AJ136" s="7">
        <v>0</v>
      </c>
      <c r="AK136" s="7">
        <v>0</v>
      </c>
      <c r="AL136" s="7">
        <v>0</v>
      </c>
      <c r="AM136" s="7">
        <v>0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</v>
      </c>
      <c r="AV136" s="7">
        <v>0</v>
      </c>
      <c r="AW136" s="7">
        <v>0</v>
      </c>
      <c r="AX136" s="7">
        <v>0</v>
      </c>
      <c r="AY136" s="7">
        <v>0</v>
      </c>
      <c r="AZ136" s="7">
        <v>0</v>
      </c>
      <c r="BA136" s="7">
        <v>0</v>
      </c>
      <c r="BB136" s="7">
        <v>0</v>
      </c>
      <c r="BC136" s="7">
        <v>0</v>
      </c>
      <c r="BD136" s="7">
        <v>0</v>
      </c>
      <c r="BE136" s="7">
        <v>0</v>
      </c>
      <c r="BF136" s="7">
        <v>0</v>
      </c>
      <c r="BG136" s="7">
        <v>0</v>
      </c>
      <c r="BH136" s="7">
        <v>0</v>
      </c>
      <c r="BI136" s="7">
        <v>0</v>
      </c>
      <c r="BJ136" s="7">
        <v>0</v>
      </c>
      <c r="BK136" s="7">
        <v>0</v>
      </c>
      <c r="BL136" s="7">
        <v>0</v>
      </c>
      <c r="BM136" s="10">
        <v>6200</v>
      </c>
      <c r="BN136" s="16">
        <f t="shared" si="5"/>
        <v>6200</v>
      </c>
      <c r="BO136" s="14">
        <f t="shared" si="6"/>
        <v>4340</v>
      </c>
    </row>
    <row r="137" spans="1:67" x14ac:dyDescent="0.3">
      <c r="A137" s="5" t="s">
        <v>30</v>
      </c>
      <c r="B137" s="5" t="s">
        <v>353</v>
      </c>
      <c r="C137" s="5">
        <v>411933</v>
      </c>
      <c r="D137" s="6"/>
      <c r="E137" s="5" t="s">
        <v>32</v>
      </c>
      <c r="F137" s="5" t="s">
        <v>148</v>
      </c>
      <c r="G137" s="5" t="s">
        <v>52</v>
      </c>
      <c r="H137" s="7" t="s">
        <v>340</v>
      </c>
      <c r="I137" s="7" t="s">
        <v>354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2</v>
      </c>
      <c r="AF137" s="8">
        <v>6000</v>
      </c>
      <c r="AG137" s="7">
        <v>0</v>
      </c>
      <c r="AH137" s="7">
        <v>0</v>
      </c>
      <c r="AI137" s="7">
        <v>0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7">
        <v>0</v>
      </c>
      <c r="AV137" s="7">
        <v>0</v>
      </c>
      <c r="AW137" s="7">
        <v>0</v>
      </c>
      <c r="AX137" s="7">
        <v>0</v>
      </c>
      <c r="AY137" s="7">
        <v>0</v>
      </c>
      <c r="AZ137" s="7">
        <v>0</v>
      </c>
      <c r="BA137" s="7">
        <v>0</v>
      </c>
      <c r="BB137" s="7">
        <v>0</v>
      </c>
      <c r="BC137" s="7">
        <v>0</v>
      </c>
      <c r="BD137" s="7">
        <v>0</v>
      </c>
      <c r="BE137" s="7">
        <v>0</v>
      </c>
      <c r="BF137" s="7">
        <v>0</v>
      </c>
      <c r="BG137" s="7">
        <v>0</v>
      </c>
      <c r="BH137" s="7">
        <v>0</v>
      </c>
      <c r="BI137" s="7">
        <v>0</v>
      </c>
      <c r="BJ137" s="7">
        <v>0</v>
      </c>
      <c r="BK137" s="7">
        <v>0</v>
      </c>
      <c r="BL137" s="7">
        <v>0</v>
      </c>
      <c r="BM137" s="10">
        <v>6000</v>
      </c>
      <c r="BN137" s="16">
        <f t="shared" si="5"/>
        <v>6000</v>
      </c>
      <c r="BO137" s="14">
        <f t="shared" si="6"/>
        <v>4200</v>
      </c>
    </row>
    <row r="138" spans="1:67" x14ac:dyDescent="0.3">
      <c r="A138" s="5" t="s">
        <v>30</v>
      </c>
      <c r="B138" s="5" t="s">
        <v>355</v>
      </c>
      <c r="C138" s="5">
        <v>440303</v>
      </c>
      <c r="D138" s="6"/>
      <c r="E138" s="5" t="s">
        <v>32</v>
      </c>
      <c r="F138" s="5" t="s">
        <v>356</v>
      </c>
      <c r="G138" s="5" t="s">
        <v>11</v>
      </c>
      <c r="H138" s="7" t="s">
        <v>7</v>
      </c>
      <c r="I138" s="7" t="s">
        <v>357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48</v>
      </c>
      <c r="AF138" s="7">
        <v>0</v>
      </c>
      <c r="AG138" s="8">
        <v>4800</v>
      </c>
      <c r="AH138" s="7">
        <v>0</v>
      </c>
      <c r="AI138" s="7">
        <v>0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7">
        <v>0</v>
      </c>
      <c r="AU138" s="7">
        <v>0</v>
      </c>
      <c r="AV138" s="7">
        <v>0</v>
      </c>
      <c r="AW138" s="7">
        <v>0</v>
      </c>
      <c r="AX138" s="7">
        <v>0</v>
      </c>
      <c r="AY138" s="7">
        <v>0</v>
      </c>
      <c r="AZ138" s="7">
        <v>0</v>
      </c>
      <c r="BA138" s="7">
        <v>0</v>
      </c>
      <c r="BB138" s="7">
        <v>0</v>
      </c>
      <c r="BC138" s="7">
        <v>0</v>
      </c>
      <c r="BD138" s="7">
        <v>0</v>
      </c>
      <c r="BE138" s="7">
        <v>0</v>
      </c>
      <c r="BF138" s="7">
        <v>0</v>
      </c>
      <c r="BG138" s="7">
        <v>0</v>
      </c>
      <c r="BH138" s="7">
        <v>0</v>
      </c>
      <c r="BI138" s="7">
        <v>0</v>
      </c>
      <c r="BJ138" s="7">
        <v>0</v>
      </c>
      <c r="BK138" s="7">
        <v>0</v>
      </c>
      <c r="BL138" s="7">
        <v>0</v>
      </c>
      <c r="BM138" s="10">
        <v>4800</v>
      </c>
      <c r="BN138" s="16">
        <f t="shared" si="5"/>
        <v>4800</v>
      </c>
      <c r="BO138" s="14">
        <f t="shared" si="6"/>
        <v>3360</v>
      </c>
    </row>
    <row r="139" spans="1:67" x14ac:dyDescent="0.3">
      <c r="A139" s="5" t="s">
        <v>30</v>
      </c>
      <c r="B139" s="5" t="s">
        <v>358</v>
      </c>
      <c r="C139" s="5">
        <v>420814</v>
      </c>
      <c r="D139" s="6"/>
      <c r="E139" s="5" t="s">
        <v>32</v>
      </c>
      <c r="F139" s="5" t="s">
        <v>148</v>
      </c>
      <c r="G139" s="5" t="s">
        <v>52</v>
      </c>
      <c r="H139" s="7" t="s">
        <v>340</v>
      </c>
      <c r="I139" s="7" t="s">
        <v>314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1</v>
      </c>
      <c r="AF139" s="8">
        <v>4600</v>
      </c>
      <c r="AG139" s="7">
        <v>0</v>
      </c>
      <c r="AH139" s="7">
        <v>0</v>
      </c>
      <c r="AI139" s="7">
        <v>0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7">
        <v>0</v>
      </c>
      <c r="AP139" s="7">
        <v>0</v>
      </c>
      <c r="AQ139" s="7">
        <v>0</v>
      </c>
      <c r="AR139" s="7">
        <v>0</v>
      </c>
      <c r="AS139" s="7">
        <v>0</v>
      </c>
      <c r="AT139" s="7">
        <v>0</v>
      </c>
      <c r="AU139" s="7">
        <v>0</v>
      </c>
      <c r="AV139" s="7">
        <v>0</v>
      </c>
      <c r="AW139" s="7">
        <v>0</v>
      </c>
      <c r="AX139" s="7">
        <v>0</v>
      </c>
      <c r="AY139" s="7">
        <v>0</v>
      </c>
      <c r="AZ139" s="7">
        <v>0</v>
      </c>
      <c r="BA139" s="7">
        <v>0</v>
      </c>
      <c r="BB139" s="7">
        <v>0</v>
      </c>
      <c r="BC139" s="7">
        <v>0</v>
      </c>
      <c r="BD139" s="7">
        <v>0</v>
      </c>
      <c r="BE139" s="7">
        <v>0</v>
      </c>
      <c r="BF139" s="7">
        <v>0</v>
      </c>
      <c r="BG139" s="7">
        <v>0</v>
      </c>
      <c r="BH139" s="7">
        <v>0</v>
      </c>
      <c r="BI139" s="7">
        <v>0</v>
      </c>
      <c r="BJ139" s="7">
        <v>0</v>
      </c>
      <c r="BK139" s="7">
        <v>0</v>
      </c>
      <c r="BL139" s="7">
        <v>0</v>
      </c>
      <c r="BM139" s="10">
        <v>4600</v>
      </c>
      <c r="BN139" s="16">
        <f t="shared" si="5"/>
        <v>4600</v>
      </c>
      <c r="BO139" s="14">
        <f t="shared" si="6"/>
        <v>3220</v>
      </c>
    </row>
    <row r="140" spans="1:67" x14ac:dyDescent="0.3">
      <c r="A140" s="5" t="s">
        <v>30</v>
      </c>
      <c r="B140" s="5" t="s">
        <v>359</v>
      </c>
      <c r="C140" s="5">
        <v>389960</v>
      </c>
      <c r="D140" s="6"/>
      <c r="E140" s="5" t="s">
        <v>32</v>
      </c>
      <c r="F140" s="5" t="s">
        <v>129</v>
      </c>
      <c r="G140" s="5" t="s">
        <v>11</v>
      </c>
      <c r="H140" s="7" t="s">
        <v>10</v>
      </c>
      <c r="I140" s="7" t="s">
        <v>360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46</v>
      </c>
      <c r="AF140" s="8">
        <v>4600</v>
      </c>
      <c r="AG140" s="7">
        <v>0</v>
      </c>
      <c r="AH140" s="7">
        <v>0</v>
      </c>
      <c r="AI140" s="7">
        <v>0</v>
      </c>
      <c r="AJ140" s="7">
        <v>0</v>
      </c>
      <c r="AK140" s="7">
        <v>0</v>
      </c>
      <c r="AL140" s="7">
        <v>0</v>
      </c>
      <c r="AM140" s="7">
        <v>0</v>
      </c>
      <c r="AN140" s="7">
        <v>0</v>
      </c>
      <c r="AO140" s="7">
        <v>0</v>
      </c>
      <c r="AP140" s="7">
        <v>0</v>
      </c>
      <c r="AQ140" s="7">
        <v>0</v>
      </c>
      <c r="AR140" s="7">
        <v>0</v>
      </c>
      <c r="AS140" s="7">
        <v>0</v>
      </c>
      <c r="AT140" s="7">
        <v>0</v>
      </c>
      <c r="AU140" s="7">
        <v>0</v>
      </c>
      <c r="AV140" s="7">
        <v>0</v>
      </c>
      <c r="AW140" s="7">
        <v>0</v>
      </c>
      <c r="AX140" s="7">
        <v>0</v>
      </c>
      <c r="AY140" s="7">
        <v>0</v>
      </c>
      <c r="AZ140" s="7">
        <v>0</v>
      </c>
      <c r="BA140" s="7">
        <v>0</v>
      </c>
      <c r="BB140" s="7">
        <v>0</v>
      </c>
      <c r="BC140" s="7">
        <v>0</v>
      </c>
      <c r="BD140" s="7">
        <v>0</v>
      </c>
      <c r="BE140" s="7">
        <v>0</v>
      </c>
      <c r="BF140" s="7">
        <v>0</v>
      </c>
      <c r="BG140" s="7">
        <v>0</v>
      </c>
      <c r="BH140" s="7">
        <v>0</v>
      </c>
      <c r="BI140" s="7">
        <v>0</v>
      </c>
      <c r="BJ140" s="7">
        <v>0</v>
      </c>
      <c r="BK140" s="7">
        <v>0</v>
      </c>
      <c r="BL140" s="7">
        <v>0</v>
      </c>
      <c r="BM140" s="10">
        <v>4600</v>
      </c>
      <c r="BN140" s="16">
        <f t="shared" si="5"/>
        <v>4600</v>
      </c>
      <c r="BO140" s="14">
        <f t="shared" si="6"/>
        <v>3220</v>
      </c>
    </row>
    <row r="141" spans="1:67" x14ac:dyDescent="0.3">
      <c r="A141" s="5" t="s">
        <v>30</v>
      </c>
      <c r="B141" s="5" t="s">
        <v>361</v>
      </c>
      <c r="C141" s="5">
        <v>332935</v>
      </c>
      <c r="D141" s="6"/>
      <c r="E141" s="5" t="s">
        <v>32</v>
      </c>
      <c r="F141" s="5" t="s">
        <v>301</v>
      </c>
      <c r="G141" s="5" t="s">
        <v>52</v>
      </c>
      <c r="H141" s="7" t="s">
        <v>8</v>
      </c>
      <c r="I141" s="7" t="s">
        <v>362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3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13</v>
      </c>
      <c r="AF141" s="8">
        <v>1300</v>
      </c>
      <c r="AG141" s="7">
        <v>0</v>
      </c>
      <c r="AH141" s="7">
        <v>0</v>
      </c>
      <c r="AI141" s="7">
        <v>0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7">
        <v>0</v>
      </c>
      <c r="AP141" s="7">
        <v>0</v>
      </c>
      <c r="AQ141" s="7">
        <v>33</v>
      </c>
      <c r="AR141" s="8">
        <v>3300</v>
      </c>
      <c r="AS141" s="7">
        <v>0</v>
      </c>
      <c r="AT141" s="7">
        <v>0</v>
      </c>
      <c r="AU141" s="7">
        <v>0</v>
      </c>
      <c r="AV141" s="7">
        <v>0</v>
      </c>
      <c r="AW141" s="7">
        <v>0</v>
      </c>
      <c r="AX141" s="7">
        <v>0</v>
      </c>
      <c r="AY141" s="7">
        <v>0</v>
      </c>
      <c r="AZ141" s="7">
        <v>0</v>
      </c>
      <c r="BA141" s="7">
        <v>0</v>
      </c>
      <c r="BB141" s="7">
        <v>0</v>
      </c>
      <c r="BC141" s="7">
        <v>0</v>
      </c>
      <c r="BD141" s="7">
        <v>0</v>
      </c>
      <c r="BE141" s="7">
        <v>0</v>
      </c>
      <c r="BF141" s="7">
        <v>0</v>
      </c>
      <c r="BG141" s="7">
        <v>0</v>
      </c>
      <c r="BH141" s="7">
        <v>0</v>
      </c>
      <c r="BI141" s="7">
        <v>0</v>
      </c>
      <c r="BJ141" s="7">
        <v>0</v>
      </c>
      <c r="BK141" s="7">
        <v>0</v>
      </c>
      <c r="BL141" s="7">
        <v>0</v>
      </c>
      <c r="BM141" s="10">
        <v>4600</v>
      </c>
      <c r="BN141" s="16">
        <f t="shared" si="5"/>
        <v>4600</v>
      </c>
      <c r="BO141" s="14">
        <f t="shared" si="6"/>
        <v>3220</v>
      </c>
    </row>
    <row r="142" spans="1:67" x14ac:dyDescent="0.3">
      <c r="A142" s="5" t="s">
        <v>30</v>
      </c>
      <c r="B142" s="5" t="s">
        <v>363</v>
      </c>
      <c r="C142" s="5">
        <v>366144</v>
      </c>
      <c r="D142" s="6"/>
      <c r="E142" s="5" t="s">
        <v>32</v>
      </c>
      <c r="F142" s="5" t="s">
        <v>364</v>
      </c>
      <c r="G142" s="5" t="s">
        <v>52</v>
      </c>
      <c r="H142" s="7" t="s">
        <v>8</v>
      </c>
      <c r="I142" s="7" t="s">
        <v>365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46</v>
      </c>
      <c r="AF142" s="8">
        <v>3300</v>
      </c>
      <c r="AG142" s="8">
        <v>1300</v>
      </c>
      <c r="AH142" s="7">
        <v>0</v>
      </c>
      <c r="AI142" s="7">
        <v>0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7">
        <v>0</v>
      </c>
      <c r="AP142" s="7">
        <v>0</v>
      </c>
      <c r="AQ142" s="7">
        <v>0</v>
      </c>
      <c r="AR142" s="7">
        <v>0</v>
      </c>
      <c r="AS142" s="7">
        <v>0</v>
      </c>
      <c r="AT142" s="7">
        <v>0</v>
      </c>
      <c r="AU142" s="7">
        <v>0</v>
      </c>
      <c r="AV142" s="7">
        <v>0</v>
      </c>
      <c r="AW142" s="7">
        <v>0</v>
      </c>
      <c r="AX142" s="7">
        <v>0</v>
      </c>
      <c r="AY142" s="7">
        <v>0</v>
      </c>
      <c r="AZ142" s="7">
        <v>0</v>
      </c>
      <c r="BA142" s="7">
        <v>0</v>
      </c>
      <c r="BB142" s="7">
        <v>0</v>
      </c>
      <c r="BC142" s="7">
        <v>0</v>
      </c>
      <c r="BD142" s="7">
        <v>0</v>
      </c>
      <c r="BE142" s="7">
        <v>0</v>
      </c>
      <c r="BF142" s="7">
        <v>0</v>
      </c>
      <c r="BG142" s="7">
        <v>0</v>
      </c>
      <c r="BH142" s="7">
        <v>0</v>
      </c>
      <c r="BI142" s="7">
        <v>0</v>
      </c>
      <c r="BJ142" s="7">
        <v>0</v>
      </c>
      <c r="BK142" s="7">
        <v>0</v>
      </c>
      <c r="BL142" s="7">
        <v>0</v>
      </c>
      <c r="BM142" s="10">
        <v>4600</v>
      </c>
      <c r="BN142" s="16">
        <f t="shared" si="5"/>
        <v>4600</v>
      </c>
      <c r="BO142" s="14">
        <f t="shared" si="6"/>
        <v>3220</v>
      </c>
    </row>
    <row r="143" spans="1:67" x14ac:dyDescent="0.3">
      <c r="A143" s="5" t="s">
        <v>30</v>
      </c>
      <c r="B143" s="5" t="s">
        <v>366</v>
      </c>
      <c r="C143" s="5">
        <v>358202</v>
      </c>
      <c r="D143" s="6"/>
      <c r="E143" s="5" t="s">
        <v>32</v>
      </c>
      <c r="F143" s="5" t="s">
        <v>301</v>
      </c>
      <c r="G143" s="5" t="s">
        <v>52</v>
      </c>
      <c r="H143" s="7" t="s">
        <v>8</v>
      </c>
      <c r="I143" s="7" t="s">
        <v>367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4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7">
        <v>0</v>
      </c>
      <c r="AP143" s="7">
        <v>0</v>
      </c>
      <c r="AQ143" s="7">
        <v>41</v>
      </c>
      <c r="AR143" s="8">
        <v>2100</v>
      </c>
      <c r="AS143" s="8">
        <v>2000</v>
      </c>
      <c r="AT143" s="7">
        <v>0</v>
      </c>
      <c r="AU143" s="7">
        <v>0</v>
      </c>
      <c r="AV143" s="7">
        <v>0</v>
      </c>
      <c r="AW143" s="7">
        <v>0</v>
      </c>
      <c r="AX143" s="7">
        <v>0</v>
      </c>
      <c r="AY143" s="7">
        <v>0</v>
      </c>
      <c r="AZ143" s="7">
        <v>0</v>
      </c>
      <c r="BA143" s="7">
        <v>0</v>
      </c>
      <c r="BB143" s="7">
        <v>0</v>
      </c>
      <c r="BC143" s="7">
        <v>0</v>
      </c>
      <c r="BD143" s="7">
        <v>0</v>
      </c>
      <c r="BE143" s="7">
        <v>0</v>
      </c>
      <c r="BF143" s="7">
        <v>0</v>
      </c>
      <c r="BG143" s="7">
        <v>0</v>
      </c>
      <c r="BH143" s="7">
        <v>0</v>
      </c>
      <c r="BI143" s="7">
        <v>0</v>
      </c>
      <c r="BJ143" s="7">
        <v>0</v>
      </c>
      <c r="BK143" s="7">
        <v>0</v>
      </c>
      <c r="BL143" s="7">
        <v>0</v>
      </c>
      <c r="BM143" s="10">
        <v>4100</v>
      </c>
      <c r="BN143" s="16">
        <f t="shared" si="5"/>
        <v>4100</v>
      </c>
      <c r="BO143" s="14">
        <f t="shared" si="6"/>
        <v>2870</v>
      </c>
    </row>
    <row r="144" spans="1:67" x14ac:dyDescent="0.3">
      <c r="A144" s="5" t="s">
        <v>30</v>
      </c>
      <c r="B144" s="5" t="s">
        <v>368</v>
      </c>
      <c r="C144" s="5">
        <v>451412</v>
      </c>
      <c r="D144" s="6"/>
      <c r="E144" s="5" t="s">
        <v>32</v>
      </c>
      <c r="F144" s="5" t="s">
        <v>369</v>
      </c>
      <c r="G144" s="5" t="s">
        <v>11</v>
      </c>
      <c r="H144" s="7" t="s">
        <v>8</v>
      </c>
      <c r="I144" s="7" t="s">
        <v>370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41</v>
      </c>
      <c r="AF144" s="8">
        <v>4100</v>
      </c>
      <c r="AG144" s="7">
        <v>0</v>
      </c>
      <c r="AH144" s="7">
        <v>0</v>
      </c>
      <c r="AI144" s="7">
        <v>0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7">
        <v>0</v>
      </c>
      <c r="AP144" s="7">
        <v>0</v>
      </c>
      <c r="AQ144" s="7">
        <v>0</v>
      </c>
      <c r="AR144" s="7">
        <v>0</v>
      </c>
      <c r="AS144" s="7">
        <v>0</v>
      </c>
      <c r="AT144" s="7">
        <v>0</v>
      </c>
      <c r="AU144" s="7">
        <v>0</v>
      </c>
      <c r="AV144" s="7">
        <v>0</v>
      </c>
      <c r="AW144" s="7">
        <v>0</v>
      </c>
      <c r="AX144" s="7">
        <v>0</v>
      </c>
      <c r="AY144" s="7">
        <v>0</v>
      </c>
      <c r="AZ144" s="7">
        <v>0</v>
      </c>
      <c r="BA144" s="7">
        <v>0</v>
      </c>
      <c r="BB144" s="7">
        <v>0</v>
      </c>
      <c r="BC144" s="7">
        <v>0</v>
      </c>
      <c r="BD144" s="7">
        <v>0</v>
      </c>
      <c r="BE144" s="7">
        <v>0</v>
      </c>
      <c r="BF144" s="7">
        <v>0</v>
      </c>
      <c r="BG144" s="7">
        <v>0</v>
      </c>
      <c r="BH144" s="7">
        <v>0</v>
      </c>
      <c r="BI144" s="7">
        <v>0</v>
      </c>
      <c r="BJ144" s="7">
        <v>0</v>
      </c>
      <c r="BK144" s="7">
        <v>0</v>
      </c>
      <c r="BL144" s="7">
        <v>0</v>
      </c>
      <c r="BM144" s="10">
        <v>4100</v>
      </c>
      <c r="BN144" s="16">
        <f t="shared" si="5"/>
        <v>4100</v>
      </c>
      <c r="BO144" s="14">
        <f t="shared" si="6"/>
        <v>2870</v>
      </c>
    </row>
    <row r="145" spans="1:67" x14ac:dyDescent="0.3">
      <c r="A145" s="5" t="s">
        <v>30</v>
      </c>
      <c r="B145" s="5" t="s">
        <v>371</v>
      </c>
      <c r="C145" s="5">
        <v>157002</v>
      </c>
      <c r="D145" s="6" t="s">
        <v>372</v>
      </c>
      <c r="E145" s="5" t="s">
        <v>32</v>
      </c>
      <c r="F145" s="5" t="s">
        <v>48</v>
      </c>
      <c r="G145" s="5" t="s">
        <v>11</v>
      </c>
      <c r="H145" s="7" t="s">
        <v>7</v>
      </c>
      <c r="I145" s="7" t="s">
        <v>373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40</v>
      </c>
      <c r="AF145" s="8">
        <v>1900</v>
      </c>
      <c r="AG145" s="8">
        <v>2100</v>
      </c>
      <c r="AH145" s="7">
        <v>0</v>
      </c>
      <c r="AI145" s="7">
        <v>0</v>
      </c>
      <c r="AJ145" s="7">
        <v>0</v>
      </c>
      <c r="AK145" s="7">
        <v>0</v>
      </c>
      <c r="AL145" s="7">
        <v>0</v>
      </c>
      <c r="AM145" s="7">
        <v>0</v>
      </c>
      <c r="AN145" s="7">
        <v>0</v>
      </c>
      <c r="AO145" s="7">
        <v>0</v>
      </c>
      <c r="AP145" s="7">
        <v>0</v>
      </c>
      <c r="AQ145" s="7">
        <v>0</v>
      </c>
      <c r="AR145" s="7">
        <v>0</v>
      </c>
      <c r="AS145" s="7">
        <v>0</v>
      </c>
      <c r="AT145" s="7">
        <v>0</v>
      </c>
      <c r="AU145" s="7">
        <v>0</v>
      </c>
      <c r="AV145" s="7">
        <v>0</v>
      </c>
      <c r="AW145" s="7">
        <v>0</v>
      </c>
      <c r="AX145" s="7">
        <v>0</v>
      </c>
      <c r="AY145" s="7">
        <v>0</v>
      </c>
      <c r="AZ145" s="7">
        <v>0</v>
      </c>
      <c r="BA145" s="7">
        <v>0</v>
      </c>
      <c r="BB145" s="7">
        <v>0</v>
      </c>
      <c r="BC145" s="7">
        <v>0</v>
      </c>
      <c r="BD145" s="7">
        <v>0</v>
      </c>
      <c r="BE145" s="7">
        <v>0</v>
      </c>
      <c r="BF145" s="7">
        <v>0</v>
      </c>
      <c r="BG145" s="7">
        <v>0</v>
      </c>
      <c r="BH145" s="7">
        <v>0</v>
      </c>
      <c r="BI145" s="7">
        <v>0</v>
      </c>
      <c r="BJ145" s="7">
        <v>0</v>
      </c>
      <c r="BK145" s="7">
        <v>0</v>
      </c>
      <c r="BL145" s="7">
        <v>0</v>
      </c>
      <c r="BM145" s="10">
        <v>4000</v>
      </c>
      <c r="BN145" s="16">
        <f t="shared" si="5"/>
        <v>4000</v>
      </c>
      <c r="BO145" s="14">
        <f t="shared" si="6"/>
        <v>2800</v>
      </c>
    </row>
    <row r="146" spans="1:67" x14ac:dyDescent="0.3">
      <c r="A146" s="5" t="s">
        <v>30</v>
      </c>
      <c r="B146" s="5" t="s">
        <v>374</v>
      </c>
      <c r="C146" s="5">
        <v>406872</v>
      </c>
      <c r="D146" s="6"/>
      <c r="E146" s="5" t="s">
        <v>32</v>
      </c>
      <c r="F146" s="5" t="s">
        <v>375</v>
      </c>
      <c r="G146" s="5" t="s">
        <v>11</v>
      </c>
      <c r="H146" s="7" t="s">
        <v>10</v>
      </c>
      <c r="I146" s="7" t="s">
        <v>376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7">
        <v>0</v>
      </c>
      <c r="AE146" s="7">
        <v>11</v>
      </c>
      <c r="AF146" s="7">
        <v>200</v>
      </c>
      <c r="AG146" s="7">
        <v>900</v>
      </c>
      <c r="AH146" s="7">
        <v>0</v>
      </c>
      <c r="AI146" s="7">
        <v>0</v>
      </c>
      <c r="AJ146" s="7">
        <v>0</v>
      </c>
      <c r="AK146" s="7">
        <v>0</v>
      </c>
      <c r="AL146" s="7">
        <v>0</v>
      </c>
      <c r="AM146" s="7">
        <v>0</v>
      </c>
      <c r="AN146" s="7">
        <v>0</v>
      </c>
      <c r="AO146" s="7">
        <v>0</v>
      </c>
      <c r="AP146" s="7">
        <v>0</v>
      </c>
      <c r="AQ146" s="7">
        <v>28</v>
      </c>
      <c r="AR146" s="8">
        <v>2800</v>
      </c>
      <c r="AS146" s="7">
        <v>0</v>
      </c>
      <c r="AT146" s="7">
        <v>0</v>
      </c>
      <c r="AU146" s="7">
        <v>0</v>
      </c>
      <c r="AV146" s="7">
        <v>0</v>
      </c>
      <c r="AW146" s="7">
        <v>0</v>
      </c>
      <c r="AX146" s="7">
        <v>0</v>
      </c>
      <c r="AY146" s="7">
        <v>0</v>
      </c>
      <c r="AZ146" s="7">
        <v>0</v>
      </c>
      <c r="BA146" s="7">
        <v>0</v>
      </c>
      <c r="BB146" s="7">
        <v>0</v>
      </c>
      <c r="BC146" s="7">
        <v>0</v>
      </c>
      <c r="BD146" s="7">
        <v>0</v>
      </c>
      <c r="BE146" s="7">
        <v>0</v>
      </c>
      <c r="BF146" s="7">
        <v>0</v>
      </c>
      <c r="BG146" s="7">
        <v>0</v>
      </c>
      <c r="BH146" s="7">
        <v>0</v>
      </c>
      <c r="BI146" s="7">
        <v>0</v>
      </c>
      <c r="BJ146" s="7">
        <v>0</v>
      </c>
      <c r="BK146" s="7">
        <v>0</v>
      </c>
      <c r="BL146" s="7">
        <v>0</v>
      </c>
      <c r="BM146" s="10">
        <v>3900</v>
      </c>
      <c r="BN146" s="16">
        <f t="shared" si="5"/>
        <v>3900</v>
      </c>
      <c r="BO146" s="14">
        <f t="shared" si="6"/>
        <v>2730</v>
      </c>
    </row>
    <row r="147" spans="1:67" x14ac:dyDescent="0.3">
      <c r="A147" s="5" t="s">
        <v>30</v>
      </c>
      <c r="B147" s="5" t="s">
        <v>377</v>
      </c>
      <c r="C147" s="5">
        <v>434544</v>
      </c>
      <c r="D147" s="6"/>
      <c r="E147" s="5" t="s">
        <v>32</v>
      </c>
      <c r="F147" s="5" t="s">
        <v>196</v>
      </c>
      <c r="G147" s="5" t="s">
        <v>11</v>
      </c>
      <c r="H147" s="7" t="s">
        <v>340</v>
      </c>
      <c r="I147" s="7" t="s">
        <v>378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38</v>
      </c>
      <c r="AF147" s="8">
        <v>3800</v>
      </c>
      <c r="AG147" s="7">
        <v>0</v>
      </c>
      <c r="AH147" s="7">
        <v>0</v>
      </c>
      <c r="AI147" s="7">
        <v>0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  <c r="AO147" s="7">
        <v>0</v>
      </c>
      <c r="AP147" s="7">
        <v>0</v>
      </c>
      <c r="AQ147" s="7">
        <v>0</v>
      </c>
      <c r="AR147" s="7">
        <v>0</v>
      </c>
      <c r="AS147" s="7">
        <v>0</v>
      </c>
      <c r="AT147" s="7">
        <v>0</v>
      </c>
      <c r="AU147" s="7">
        <v>0</v>
      </c>
      <c r="AV147" s="7">
        <v>0</v>
      </c>
      <c r="AW147" s="7">
        <v>0</v>
      </c>
      <c r="AX147" s="7">
        <v>0</v>
      </c>
      <c r="AY147" s="7">
        <v>0</v>
      </c>
      <c r="AZ147" s="7">
        <v>0</v>
      </c>
      <c r="BA147" s="7">
        <v>0</v>
      </c>
      <c r="BB147" s="7">
        <v>0</v>
      </c>
      <c r="BC147" s="7">
        <v>0</v>
      </c>
      <c r="BD147" s="7">
        <v>0</v>
      </c>
      <c r="BE147" s="7">
        <v>0</v>
      </c>
      <c r="BF147" s="7">
        <v>0</v>
      </c>
      <c r="BG147" s="7">
        <v>0</v>
      </c>
      <c r="BH147" s="7">
        <v>0</v>
      </c>
      <c r="BI147" s="7">
        <v>0</v>
      </c>
      <c r="BJ147" s="7">
        <v>0</v>
      </c>
      <c r="BK147" s="7">
        <v>0</v>
      </c>
      <c r="BL147" s="7">
        <v>0</v>
      </c>
      <c r="BM147" s="10">
        <v>3800</v>
      </c>
      <c r="BN147" s="16">
        <f t="shared" si="5"/>
        <v>3800</v>
      </c>
      <c r="BO147" s="14">
        <f t="shared" si="6"/>
        <v>2660</v>
      </c>
    </row>
    <row r="148" spans="1:67" x14ac:dyDescent="0.3">
      <c r="A148" s="5" t="s">
        <v>30</v>
      </c>
      <c r="B148" s="5" t="s">
        <v>379</v>
      </c>
      <c r="C148" s="5">
        <v>278898</v>
      </c>
      <c r="D148" s="6"/>
      <c r="E148" s="5" t="s">
        <v>32</v>
      </c>
      <c r="F148" s="5" t="s">
        <v>380</v>
      </c>
      <c r="G148" s="5" t="s">
        <v>11</v>
      </c>
      <c r="H148" s="7" t="s">
        <v>7</v>
      </c>
      <c r="I148" s="7" t="s">
        <v>381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1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7">
        <v>0</v>
      </c>
      <c r="AE148" s="7">
        <v>8</v>
      </c>
      <c r="AF148" s="7">
        <v>800</v>
      </c>
      <c r="AG148" s="7">
        <v>0</v>
      </c>
      <c r="AH148" s="7">
        <v>0</v>
      </c>
      <c r="AI148" s="7">
        <v>0</v>
      </c>
      <c r="AJ148" s="7">
        <v>0</v>
      </c>
      <c r="AK148" s="7">
        <v>0</v>
      </c>
      <c r="AL148" s="7">
        <v>0</v>
      </c>
      <c r="AM148" s="7">
        <v>0</v>
      </c>
      <c r="AN148" s="7">
        <v>0</v>
      </c>
      <c r="AO148" s="7">
        <v>0</v>
      </c>
      <c r="AP148" s="7">
        <v>0</v>
      </c>
      <c r="AQ148" s="7">
        <v>29</v>
      </c>
      <c r="AR148" s="8">
        <v>2900</v>
      </c>
      <c r="AS148" s="7">
        <v>0</v>
      </c>
      <c r="AT148" s="7">
        <v>0</v>
      </c>
      <c r="AU148" s="7">
        <v>0</v>
      </c>
      <c r="AV148" s="7">
        <v>0</v>
      </c>
      <c r="AW148" s="7">
        <v>0</v>
      </c>
      <c r="AX148" s="7">
        <v>0</v>
      </c>
      <c r="AY148" s="7">
        <v>0</v>
      </c>
      <c r="AZ148" s="7">
        <v>0</v>
      </c>
      <c r="BA148" s="7">
        <v>0</v>
      </c>
      <c r="BB148" s="7">
        <v>0</v>
      </c>
      <c r="BC148" s="7">
        <v>0</v>
      </c>
      <c r="BD148" s="7">
        <v>0</v>
      </c>
      <c r="BE148" s="7">
        <v>0</v>
      </c>
      <c r="BF148" s="7">
        <v>0</v>
      </c>
      <c r="BG148" s="7">
        <v>0</v>
      </c>
      <c r="BH148" s="7">
        <v>0</v>
      </c>
      <c r="BI148" s="7">
        <v>0</v>
      </c>
      <c r="BJ148" s="7">
        <v>0</v>
      </c>
      <c r="BK148" s="7">
        <v>0</v>
      </c>
      <c r="BL148" s="7">
        <v>0</v>
      </c>
      <c r="BM148" s="10">
        <v>3700</v>
      </c>
      <c r="BN148" s="16">
        <f t="shared" si="5"/>
        <v>3700</v>
      </c>
      <c r="BO148" s="14">
        <f t="shared" si="6"/>
        <v>2590</v>
      </c>
    </row>
    <row r="149" spans="1:67" x14ac:dyDescent="0.3">
      <c r="A149" s="5" t="s">
        <v>30</v>
      </c>
      <c r="B149" s="5" t="s">
        <v>382</v>
      </c>
      <c r="C149" s="5">
        <v>388508</v>
      </c>
      <c r="D149" s="6"/>
      <c r="E149" s="5" t="s">
        <v>32</v>
      </c>
      <c r="F149" s="5" t="s">
        <v>383</v>
      </c>
      <c r="G149" s="5" t="s">
        <v>11</v>
      </c>
      <c r="H149" s="7" t="s">
        <v>7</v>
      </c>
      <c r="I149" s="7" t="s">
        <v>384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34</v>
      </c>
      <c r="AF149" s="8">
        <v>3400</v>
      </c>
      <c r="AG149" s="7">
        <v>0</v>
      </c>
      <c r="AH149" s="7">
        <v>0</v>
      </c>
      <c r="AI149" s="7">
        <v>0</v>
      </c>
      <c r="AJ149" s="7">
        <v>0</v>
      </c>
      <c r="AK149" s="7">
        <v>0</v>
      </c>
      <c r="AL149" s="7">
        <v>0</v>
      </c>
      <c r="AM149" s="7">
        <v>0</v>
      </c>
      <c r="AN149" s="7">
        <v>0</v>
      </c>
      <c r="AO149" s="7">
        <v>0</v>
      </c>
      <c r="AP149" s="7">
        <v>0</v>
      </c>
      <c r="AQ149" s="7">
        <v>0</v>
      </c>
      <c r="AR149" s="7">
        <v>0</v>
      </c>
      <c r="AS149" s="7">
        <v>0</v>
      </c>
      <c r="AT149" s="7">
        <v>0</v>
      </c>
      <c r="AU149" s="7">
        <v>0</v>
      </c>
      <c r="AV149" s="7">
        <v>0</v>
      </c>
      <c r="AW149" s="7">
        <v>0</v>
      </c>
      <c r="AX149" s="7">
        <v>0</v>
      </c>
      <c r="AY149" s="7">
        <v>0</v>
      </c>
      <c r="AZ149" s="7">
        <v>0</v>
      </c>
      <c r="BA149" s="7">
        <v>0</v>
      </c>
      <c r="BB149" s="7">
        <v>0</v>
      </c>
      <c r="BC149" s="7">
        <v>0</v>
      </c>
      <c r="BD149" s="7">
        <v>0</v>
      </c>
      <c r="BE149" s="7">
        <v>0</v>
      </c>
      <c r="BF149" s="7">
        <v>0</v>
      </c>
      <c r="BG149" s="7">
        <v>0</v>
      </c>
      <c r="BH149" s="7">
        <v>0</v>
      </c>
      <c r="BI149" s="7">
        <v>0</v>
      </c>
      <c r="BJ149" s="7">
        <v>0</v>
      </c>
      <c r="BK149" s="7">
        <v>0</v>
      </c>
      <c r="BL149" s="7">
        <v>0</v>
      </c>
      <c r="BM149" s="10">
        <v>3400</v>
      </c>
      <c r="BN149" s="16">
        <f t="shared" si="5"/>
        <v>3400</v>
      </c>
      <c r="BO149" s="14">
        <f t="shared" si="6"/>
        <v>2380</v>
      </c>
    </row>
    <row r="150" spans="1:67" x14ac:dyDescent="0.3">
      <c r="A150" s="5" t="s">
        <v>30</v>
      </c>
      <c r="B150" s="5" t="s">
        <v>385</v>
      </c>
      <c r="C150" s="5">
        <v>457958</v>
      </c>
      <c r="D150" s="6"/>
      <c r="E150" s="5" t="s">
        <v>32</v>
      </c>
      <c r="F150" s="5" t="s">
        <v>386</v>
      </c>
      <c r="G150" s="5" t="s">
        <v>52</v>
      </c>
      <c r="H150" s="7" t="s">
        <v>8</v>
      </c>
      <c r="I150" s="7" t="s">
        <v>387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1</v>
      </c>
      <c r="AF150" s="8">
        <v>3300</v>
      </c>
      <c r="AG150" s="7">
        <v>0</v>
      </c>
      <c r="AH150" s="7">
        <v>0</v>
      </c>
      <c r="AI150" s="7">
        <v>0</v>
      </c>
      <c r="AJ150" s="7">
        <v>0</v>
      </c>
      <c r="AK150" s="7">
        <v>0</v>
      </c>
      <c r="AL150" s="7">
        <v>0</v>
      </c>
      <c r="AM150" s="7">
        <v>0</v>
      </c>
      <c r="AN150" s="7">
        <v>0</v>
      </c>
      <c r="AO150" s="7">
        <v>0</v>
      </c>
      <c r="AP150" s="7">
        <v>0</v>
      </c>
      <c r="AQ150" s="7">
        <v>0</v>
      </c>
      <c r="AR150" s="7">
        <v>0</v>
      </c>
      <c r="AS150" s="7">
        <v>0</v>
      </c>
      <c r="AT150" s="7">
        <v>0</v>
      </c>
      <c r="AU150" s="7">
        <v>0</v>
      </c>
      <c r="AV150" s="7">
        <v>0</v>
      </c>
      <c r="AW150" s="7">
        <v>0</v>
      </c>
      <c r="AX150" s="7">
        <v>0</v>
      </c>
      <c r="AY150" s="7">
        <v>0</v>
      </c>
      <c r="AZ150" s="7">
        <v>0</v>
      </c>
      <c r="BA150" s="7">
        <v>0</v>
      </c>
      <c r="BB150" s="7">
        <v>0</v>
      </c>
      <c r="BC150" s="7">
        <v>0</v>
      </c>
      <c r="BD150" s="7">
        <v>0</v>
      </c>
      <c r="BE150" s="7">
        <v>0</v>
      </c>
      <c r="BF150" s="7">
        <v>0</v>
      </c>
      <c r="BG150" s="7">
        <v>0</v>
      </c>
      <c r="BH150" s="7">
        <v>0</v>
      </c>
      <c r="BI150" s="7">
        <v>0</v>
      </c>
      <c r="BJ150" s="7">
        <v>0</v>
      </c>
      <c r="BK150" s="7">
        <v>0</v>
      </c>
      <c r="BL150" s="7">
        <v>0</v>
      </c>
      <c r="BM150" s="10">
        <v>3300</v>
      </c>
      <c r="BN150" s="16">
        <f t="shared" si="5"/>
        <v>3300</v>
      </c>
      <c r="BO150" s="14">
        <f t="shared" si="6"/>
        <v>2310</v>
      </c>
    </row>
    <row r="151" spans="1:67" x14ac:dyDescent="0.3">
      <c r="A151" s="5" t="s">
        <v>30</v>
      </c>
      <c r="B151" s="5" t="s">
        <v>388</v>
      </c>
      <c r="C151" s="5">
        <v>428118</v>
      </c>
      <c r="D151" s="6"/>
      <c r="E151" s="5" t="s">
        <v>32</v>
      </c>
      <c r="F151" s="5" t="s">
        <v>67</v>
      </c>
      <c r="G151" s="5" t="s">
        <v>52</v>
      </c>
      <c r="H151" s="7" t="s">
        <v>8</v>
      </c>
      <c r="I151" s="7" t="s">
        <v>197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1</v>
      </c>
      <c r="AF151" s="8">
        <v>3200</v>
      </c>
      <c r="AG151" s="7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  <c r="AO151" s="7">
        <v>0</v>
      </c>
      <c r="AP151" s="7">
        <v>0</v>
      </c>
      <c r="AQ151" s="7">
        <v>0</v>
      </c>
      <c r="AR151" s="7">
        <v>0</v>
      </c>
      <c r="AS151" s="7">
        <v>0</v>
      </c>
      <c r="AT151" s="7">
        <v>0</v>
      </c>
      <c r="AU151" s="7">
        <v>0</v>
      </c>
      <c r="AV151" s="7">
        <v>0</v>
      </c>
      <c r="AW151" s="7">
        <v>0</v>
      </c>
      <c r="AX151" s="7">
        <v>0</v>
      </c>
      <c r="AY151" s="7">
        <v>0</v>
      </c>
      <c r="AZ151" s="7">
        <v>0</v>
      </c>
      <c r="BA151" s="7">
        <v>0</v>
      </c>
      <c r="BB151" s="7">
        <v>0</v>
      </c>
      <c r="BC151" s="7">
        <v>0</v>
      </c>
      <c r="BD151" s="7">
        <v>0</v>
      </c>
      <c r="BE151" s="7">
        <v>0</v>
      </c>
      <c r="BF151" s="7">
        <v>0</v>
      </c>
      <c r="BG151" s="7">
        <v>0</v>
      </c>
      <c r="BH151" s="7">
        <v>0</v>
      </c>
      <c r="BI151" s="7">
        <v>0</v>
      </c>
      <c r="BJ151" s="7">
        <v>0</v>
      </c>
      <c r="BK151" s="7">
        <v>0</v>
      </c>
      <c r="BL151" s="7">
        <v>0</v>
      </c>
      <c r="BM151" s="10">
        <v>3200</v>
      </c>
      <c r="BN151" s="16">
        <f t="shared" si="5"/>
        <v>3200</v>
      </c>
      <c r="BO151" s="14">
        <f t="shared" si="6"/>
        <v>2240</v>
      </c>
    </row>
    <row r="152" spans="1:67" ht="19.5" x14ac:dyDescent="0.3">
      <c r="A152" s="5" t="s">
        <v>30</v>
      </c>
      <c r="B152" s="5" t="s">
        <v>389</v>
      </c>
      <c r="C152" s="5">
        <v>431511</v>
      </c>
      <c r="D152" s="6"/>
      <c r="E152" s="5" t="s">
        <v>32</v>
      </c>
      <c r="F152" s="5" t="s">
        <v>117</v>
      </c>
      <c r="G152" s="5" t="s">
        <v>11</v>
      </c>
      <c r="H152" s="7" t="s">
        <v>7</v>
      </c>
      <c r="I152" s="7" t="s">
        <v>390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1</v>
      </c>
      <c r="AF152" s="8">
        <v>3200</v>
      </c>
      <c r="AG152" s="7">
        <v>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0</v>
      </c>
      <c r="AQ152" s="7">
        <v>0</v>
      </c>
      <c r="AR152" s="7">
        <v>0</v>
      </c>
      <c r="AS152" s="7">
        <v>0</v>
      </c>
      <c r="AT152" s="7">
        <v>0</v>
      </c>
      <c r="AU152" s="7">
        <v>0</v>
      </c>
      <c r="AV152" s="7">
        <v>0</v>
      </c>
      <c r="AW152" s="7">
        <v>0</v>
      </c>
      <c r="AX152" s="7">
        <v>0</v>
      </c>
      <c r="AY152" s="7">
        <v>0</v>
      </c>
      <c r="AZ152" s="7">
        <v>0</v>
      </c>
      <c r="BA152" s="7">
        <v>0</v>
      </c>
      <c r="BB152" s="7">
        <v>0</v>
      </c>
      <c r="BC152" s="7">
        <v>0</v>
      </c>
      <c r="BD152" s="7">
        <v>0</v>
      </c>
      <c r="BE152" s="7">
        <v>0</v>
      </c>
      <c r="BF152" s="7">
        <v>0</v>
      </c>
      <c r="BG152" s="7">
        <v>0</v>
      </c>
      <c r="BH152" s="7">
        <v>0</v>
      </c>
      <c r="BI152" s="7">
        <v>0</v>
      </c>
      <c r="BJ152" s="7">
        <v>0</v>
      </c>
      <c r="BK152" s="7">
        <v>0</v>
      </c>
      <c r="BL152" s="7">
        <v>0</v>
      </c>
      <c r="BM152" s="10">
        <v>3200</v>
      </c>
      <c r="BN152" s="16">
        <f t="shared" si="5"/>
        <v>3200</v>
      </c>
      <c r="BO152" s="14">
        <f t="shared" si="6"/>
        <v>2240</v>
      </c>
    </row>
    <row r="153" spans="1:67" x14ac:dyDescent="0.3">
      <c r="A153" s="5" t="s">
        <v>30</v>
      </c>
      <c r="B153" s="5" t="s">
        <v>391</v>
      </c>
      <c r="C153" s="5">
        <v>428735</v>
      </c>
      <c r="D153" s="6"/>
      <c r="E153" s="5" t="s">
        <v>32</v>
      </c>
      <c r="F153" s="5" t="s">
        <v>392</v>
      </c>
      <c r="G153" s="5" t="s">
        <v>52</v>
      </c>
      <c r="H153" s="7" t="s">
        <v>340</v>
      </c>
      <c r="I153" s="7" t="s">
        <v>393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7">
        <v>0</v>
      </c>
      <c r="AP153" s="7">
        <v>0</v>
      </c>
      <c r="AQ153" s="7">
        <v>1</v>
      </c>
      <c r="AR153" s="8">
        <v>2900</v>
      </c>
      <c r="AS153" s="7">
        <v>0</v>
      </c>
      <c r="AT153" s="7">
        <v>0</v>
      </c>
      <c r="AU153" s="7">
        <v>0</v>
      </c>
      <c r="AV153" s="7">
        <v>0</v>
      </c>
      <c r="AW153" s="7">
        <v>0</v>
      </c>
      <c r="AX153" s="7">
        <v>0</v>
      </c>
      <c r="AY153" s="7">
        <v>0</v>
      </c>
      <c r="AZ153" s="7">
        <v>0</v>
      </c>
      <c r="BA153" s="7">
        <v>0</v>
      </c>
      <c r="BB153" s="7">
        <v>0</v>
      </c>
      <c r="BC153" s="7">
        <v>0</v>
      </c>
      <c r="BD153" s="7">
        <v>0</v>
      </c>
      <c r="BE153" s="7">
        <v>0</v>
      </c>
      <c r="BF153" s="7">
        <v>0</v>
      </c>
      <c r="BG153" s="7">
        <v>0</v>
      </c>
      <c r="BH153" s="7">
        <v>0</v>
      </c>
      <c r="BI153" s="7">
        <v>0</v>
      </c>
      <c r="BJ153" s="7">
        <v>0</v>
      </c>
      <c r="BK153" s="7">
        <v>0</v>
      </c>
      <c r="BL153" s="7">
        <v>0</v>
      </c>
      <c r="BM153" s="10">
        <v>2900</v>
      </c>
      <c r="BN153" s="16">
        <f t="shared" si="5"/>
        <v>2900</v>
      </c>
      <c r="BO153" s="14">
        <f t="shared" si="6"/>
        <v>2029.9999999999998</v>
      </c>
    </row>
    <row r="154" spans="1:67" x14ac:dyDescent="0.3">
      <c r="A154" s="5" t="s">
        <v>30</v>
      </c>
      <c r="B154" s="5" t="s">
        <v>394</v>
      </c>
      <c r="C154" s="5">
        <v>450457</v>
      </c>
      <c r="D154" s="6"/>
      <c r="E154" s="5" t="s">
        <v>32</v>
      </c>
      <c r="F154" s="5" t="s">
        <v>395</v>
      </c>
      <c r="G154" s="5" t="s">
        <v>11</v>
      </c>
      <c r="H154" s="7" t="s">
        <v>7</v>
      </c>
      <c r="I154" s="7" t="s">
        <v>97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26</v>
      </c>
      <c r="AF154" s="8">
        <v>2400</v>
      </c>
      <c r="AG154" s="7">
        <v>200</v>
      </c>
      <c r="AH154" s="7">
        <v>0</v>
      </c>
      <c r="AI154" s="7">
        <v>0</v>
      </c>
      <c r="AJ154" s="7">
        <v>0</v>
      </c>
      <c r="AK154" s="7">
        <v>0</v>
      </c>
      <c r="AL154" s="7">
        <v>0</v>
      </c>
      <c r="AM154" s="7">
        <v>0</v>
      </c>
      <c r="AN154" s="7">
        <v>0</v>
      </c>
      <c r="AO154" s="7">
        <v>0</v>
      </c>
      <c r="AP154" s="7">
        <v>0</v>
      </c>
      <c r="AQ154" s="7">
        <v>0</v>
      </c>
      <c r="AR154" s="7">
        <v>0</v>
      </c>
      <c r="AS154" s="7">
        <v>0</v>
      </c>
      <c r="AT154" s="7">
        <v>0</v>
      </c>
      <c r="AU154" s="7">
        <v>0</v>
      </c>
      <c r="AV154" s="7">
        <v>0</v>
      </c>
      <c r="AW154" s="7">
        <v>0</v>
      </c>
      <c r="AX154" s="7">
        <v>0</v>
      </c>
      <c r="AY154" s="7">
        <v>0</v>
      </c>
      <c r="AZ154" s="7">
        <v>0</v>
      </c>
      <c r="BA154" s="7">
        <v>0</v>
      </c>
      <c r="BB154" s="7">
        <v>0</v>
      </c>
      <c r="BC154" s="7">
        <v>0</v>
      </c>
      <c r="BD154" s="7">
        <v>0</v>
      </c>
      <c r="BE154" s="7">
        <v>0</v>
      </c>
      <c r="BF154" s="7">
        <v>0</v>
      </c>
      <c r="BG154" s="7">
        <v>0</v>
      </c>
      <c r="BH154" s="7">
        <v>0</v>
      </c>
      <c r="BI154" s="7">
        <v>0</v>
      </c>
      <c r="BJ154" s="7">
        <v>0</v>
      </c>
      <c r="BK154" s="7">
        <v>0</v>
      </c>
      <c r="BL154" s="7">
        <v>0</v>
      </c>
      <c r="BM154" s="10">
        <v>2600</v>
      </c>
      <c r="BN154" s="16">
        <f t="shared" si="5"/>
        <v>2600</v>
      </c>
      <c r="BO154" s="14">
        <f t="shared" si="6"/>
        <v>1819.9999999999998</v>
      </c>
    </row>
    <row r="155" spans="1:67" x14ac:dyDescent="0.3">
      <c r="A155" s="5" t="s">
        <v>30</v>
      </c>
      <c r="B155" s="5" t="s">
        <v>396</v>
      </c>
      <c r="C155" s="5">
        <v>469950</v>
      </c>
      <c r="D155" s="6"/>
      <c r="E155" s="5" t="s">
        <v>32</v>
      </c>
      <c r="F155" s="5" t="s">
        <v>344</v>
      </c>
      <c r="G155" s="5" t="s">
        <v>52</v>
      </c>
      <c r="H155" s="7" t="s">
        <v>8</v>
      </c>
      <c r="I155" s="7" t="s">
        <v>397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22</v>
      </c>
      <c r="AF155" s="7">
        <v>0</v>
      </c>
      <c r="AG155" s="8">
        <v>2200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0</v>
      </c>
      <c r="AP155" s="7">
        <v>0</v>
      </c>
      <c r="AQ155" s="7">
        <v>0</v>
      </c>
      <c r="AR155" s="7">
        <v>0</v>
      </c>
      <c r="AS155" s="7">
        <v>0</v>
      </c>
      <c r="AT155" s="7">
        <v>0</v>
      </c>
      <c r="AU155" s="7">
        <v>0</v>
      </c>
      <c r="AV155" s="7">
        <v>0</v>
      </c>
      <c r="AW155" s="7">
        <v>0</v>
      </c>
      <c r="AX155" s="7">
        <v>0</v>
      </c>
      <c r="AY155" s="7">
        <v>0</v>
      </c>
      <c r="AZ155" s="7">
        <v>0</v>
      </c>
      <c r="BA155" s="7">
        <v>0</v>
      </c>
      <c r="BB155" s="7">
        <v>0</v>
      </c>
      <c r="BC155" s="7">
        <v>0</v>
      </c>
      <c r="BD155" s="7">
        <v>0</v>
      </c>
      <c r="BE155" s="7">
        <v>0</v>
      </c>
      <c r="BF155" s="7">
        <v>0</v>
      </c>
      <c r="BG155" s="7">
        <v>0</v>
      </c>
      <c r="BH155" s="7">
        <v>0</v>
      </c>
      <c r="BI155" s="7">
        <v>0</v>
      </c>
      <c r="BJ155" s="7">
        <v>0</v>
      </c>
      <c r="BK155" s="7">
        <v>0</v>
      </c>
      <c r="BL155" s="7">
        <v>0</v>
      </c>
      <c r="BM155" s="10">
        <v>2200</v>
      </c>
      <c r="BN155" s="16">
        <f t="shared" si="5"/>
        <v>2200</v>
      </c>
      <c r="BO155" s="14">
        <f t="shared" si="6"/>
        <v>1540</v>
      </c>
    </row>
    <row r="156" spans="1:67" x14ac:dyDescent="0.3">
      <c r="A156" s="5" t="s">
        <v>30</v>
      </c>
      <c r="B156" s="5" t="s">
        <v>398</v>
      </c>
      <c r="C156" s="5">
        <v>463949</v>
      </c>
      <c r="D156" s="6"/>
      <c r="E156" s="5" t="s">
        <v>32</v>
      </c>
      <c r="F156" s="5" t="s">
        <v>399</v>
      </c>
      <c r="G156" s="5" t="s">
        <v>11</v>
      </c>
      <c r="H156" s="7" t="s">
        <v>7</v>
      </c>
      <c r="I156" s="7" t="s">
        <v>77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21</v>
      </c>
      <c r="AF156" s="8">
        <v>2000</v>
      </c>
      <c r="AG156" s="7">
        <v>100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0</v>
      </c>
      <c r="AU156" s="7">
        <v>0</v>
      </c>
      <c r="AV156" s="7">
        <v>0</v>
      </c>
      <c r="AW156" s="7">
        <v>0</v>
      </c>
      <c r="AX156" s="7">
        <v>0</v>
      </c>
      <c r="AY156" s="7">
        <v>0</v>
      </c>
      <c r="AZ156" s="7">
        <v>0</v>
      </c>
      <c r="BA156" s="7">
        <v>0</v>
      </c>
      <c r="BB156" s="7">
        <v>0</v>
      </c>
      <c r="BC156" s="7">
        <v>0</v>
      </c>
      <c r="BD156" s="7">
        <v>0</v>
      </c>
      <c r="BE156" s="7">
        <v>0</v>
      </c>
      <c r="BF156" s="7">
        <v>0</v>
      </c>
      <c r="BG156" s="7">
        <v>0</v>
      </c>
      <c r="BH156" s="7">
        <v>0</v>
      </c>
      <c r="BI156" s="7">
        <v>0</v>
      </c>
      <c r="BJ156" s="7">
        <v>0</v>
      </c>
      <c r="BK156" s="7">
        <v>0</v>
      </c>
      <c r="BL156" s="7">
        <v>0</v>
      </c>
      <c r="BM156" s="10">
        <v>2100</v>
      </c>
      <c r="BN156" s="16">
        <f t="shared" si="5"/>
        <v>2100</v>
      </c>
      <c r="BO156" s="14">
        <f t="shared" si="6"/>
        <v>1470</v>
      </c>
    </row>
    <row r="157" spans="1:67" x14ac:dyDescent="0.3">
      <c r="A157" s="5" t="s">
        <v>30</v>
      </c>
      <c r="B157" s="5" t="s">
        <v>400</v>
      </c>
      <c r="C157" s="5">
        <v>408191</v>
      </c>
      <c r="D157" s="6"/>
      <c r="E157" s="5" t="s">
        <v>32</v>
      </c>
      <c r="F157" s="5" t="s">
        <v>153</v>
      </c>
      <c r="G157" s="5" t="s">
        <v>52</v>
      </c>
      <c r="H157" s="7" t="s">
        <v>8</v>
      </c>
      <c r="I157" s="7" t="s">
        <v>260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15</v>
      </c>
      <c r="AF157" s="7">
        <v>800</v>
      </c>
      <c r="AG157" s="7">
        <v>700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0</v>
      </c>
      <c r="AP157" s="7">
        <v>0</v>
      </c>
      <c r="AQ157" s="7">
        <v>0</v>
      </c>
      <c r="AR157" s="7">
        <v>0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X157" s="7">
        <v>0</v>
      </c>
      <c r="AY157" s="7">
        <v>0</v>
      </c>
      <c r="AZ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  <c r="BF157" s="7">
        <v>0</v>
      </c>
      <c r="BG157" s="7">
        <v>0</v>
      </c>
      <c r="BH157" s="7">
        <v>0</v>
      </c>
      <c r="BI157" s="7">
        <v>0</v>
      </c>
      <c r="BJ157" s="7">
        <v>0</v>
      </c>
      <c r="BK157" s="7">
        <v>0</v>
      </c>
      <c r="BL157" s="7">
        <v>0</v>
      </c>
      <c r="BM157" s="10">
        <v>1500</v>
      </c>
      <c r="BN157" s="16">
        <f t="shared" si="5"/>
        <v>1500</v>
      </c>
      <c r="BO157" s="14">
        <f t="shared" si="6"/>
        <v>1050</v>
      </c>
    </row>
    <row r="158" spans="1:67" x14ac:dyDescent="0.3">
      <c r="A158" s="5" t="s">
        <v>30</v>
      </c>
      <c r="B158" s="5" t="s">
        <v>401</v>
      </c>
      <c r="C158" s="5">
        <v>420277</v>
      </c>
      <c r="D158" s="6"/>
      <c r="E158" s="5" t="s">
        <v>32</v>
      </c>
      <c r="F158" s="5" t="s">
        <v>301</v>
      </c>
      <c r="G158" s="5" t="s">
        <v>52</v>
      </c>
      <c r="H158" s="7" t="s">
        <v>8</v>
      </c>
      <c r="I158" s="7" t="s">
        <v>314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10</v>
      </c>
      <c r="AF158" s="7">
        <v>900</v>
      </c>
      <c r="AG158" s="7">
        <v>100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  <c r="AQ158" s="7">
        <v>0</v>
      </c>
      <c r="AR158" s="7">
        <v>0</v>
      </c>
      <c r="AS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AZ158" s="7">
        <v>0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F158" s="7">
        <v>0</v>
      </c>
      <c r="BG158" s="7">
        <v>0</v>
      </c>
      <c r="BH158" s="7">
        <v>0</v>
      </c>
      <c r="BI158" s="7">
        <v>0</v>
      </c>
      <c r="BJ158" s="7">
        <v>0</v>
      </c>
      <c r="BK158" s="7">
        <v>0</v>
      </c>
      <c r="BL158" s="7">
        <v>0</v>
      </c>
      <c r="BM158" s="10">
        <v>1000</v>
      </c>
      <c r="BN158" s="16">
        <f t="shared" si="5"/>
        <v>1000</v>
      </c>
      <c r="BO158" s="14">
        <f t="shared" si="6"/>
        <v>700</v>
      </c>
    </row>
    <row r="159" spans="1:67" x14ac:dyDescent="0.3">
      <c r="A159" s="5" t="s">
        <v>30</v>
      </c>
      <c r="B159" s="5" t="s">
        <v>402</v>
      </c>
      <c r="C159" s="5">
        <v>429538</v>
      </c>
      <c r="D159" s="6"/>
      <c r="E159" s="5" t="s">
        <v>32</v>
      </c>
      <c r="F159" s="5" t="s">
        <v>196</v>
      </c>
      <c r="G159" s="5" t="s">
        <v>11</v>
      </c>
      <c r="H159" s="7" t="s">
        <v>7</v>
      </c>
      <c r="I159" s="7" t="s">
        <v>262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1</v>
      </c>
      <c r="AF159" s="8">
        <v>1000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7">
        <v>0</v>
      </c>
      <c r="AR159" s="7">
        <v>0</v>
      </c>
      <c r="AS159" s="7">
        <v>0</v>
      </c>
      <c r="AT159" s="7">
        <v>0</v>
      </c>
      <c r="AU159" s="7">
        <v>0</v>
      </c>
      <c r="AV159" s="7">
        <v>0</v>
      </c>
      <c r="AW159" s="7">
        <v>0</v>
      </c>
      <c r="AX159" s="7">
        <v>0</v>
      </c>
      <c r="AY159" s="7">
        <v>0</v>
      </c>
      <c r="AZ159" s="7">
        <v>0</v>
      </c>
      <c r="BA159" s="7">
        <v>0</v>
      </c>
      <c r="BB159" s="7">
        <v>0</v>
      </c>
      <c r="BC159" s="7">
        <v>0</v>
      </c>
      <c r="BD159" s="7">
        <v>0</v>
      </c>
      <c r="BE159" s="7">
        <v>0</v>
      </c>
      <c r="BF159" s="7">
        <v>0</v>
      </c>
      <c r="BG159" s="7">
        <v>0</v>
      </c>
      <c r="BH159" s="7">
        <v>0</v>
      </c>
      <c r="BI159" s="7">
        <v>0</v>
      </c>
      <c r="BJ159" s="7">
        <v>0</v>
      </c>
      <c r="BK159" s="7">
        <v>0</v>
      </c>
      <c r="BL159" s="7">
        <v>0</v>
      </c>
      <c r="BM159" s="10">
        <v>1000</v>
      </c>
      <c r="BN159" s="16">
        <f t="shared" si="5"/>
        <v>1000</v>
      </c>
      <c r="BO159" s="14">
        <f t="shared" si="6"/>
        <v>700</v>
      </c>
    </row>
    <row r="160" spans="1:67" x14ac:dyDescent="0.3">
      <c r="A160" s="5" t="s">
        <v>30</v>
      </c>
      <c r="B160" s="5" t="s">
        <v>403</v>
      </c>
      <c r="C160" s="5">
        <v>384107</v>
      </c>
      <c r="D160" s="6"/>
      <c r="E160" s="5" t="s">
        <v>32</v>
      </c>
      <c r="F160" s="5" t="s">
        <v>404</v>
      </c>
      <c r="G160" s="5" t="s">
        <v>52</v>
      </c>
      <c r="H160" s="7" t="s">
        <v>340</v>
      </c>
      <c r="I160" s="7" t="s">
        <v>405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8</v>
      </c>
      <c r="AF160" s="7">
        <v>0</v>
      </c>
      <c r="AG160" s="7">
        <v>800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7">
        <v>0</v>
      </c>
      <c r="AV160" s="7">
        <v>0</v>
      </c>
      <c r="AW160" s="7">
        <v>0</v>
      </c>
      <c r="AX160" s="7">
        <v>0</v>
      </c>
      <c r="AY160" s="7">
        <v>0</v>
      </c>
      <c r="AZ160" s="7">
        <v>0</v>
      </c>
      <c r="BA160" s="7">
        <v>0</v>
      </c>
      <c r="BB160" s="7">
        <v>0</v>
      </c>
      <c r="BC160" s="7">
        <v>0</v>
      </c>
      <c r="BD160" s="7">
        <v>0</v>
      </c>
      <c r="BE160" s="7">
        <v>0</v>
      </c>
      <c r="BF160" s="7">
        <v>0</v>
      </c>
      <c r="BG160" s="7">
        <v>0</v>
      </c>
      <c r="BH160" s="7">
        <v>0</v>
      </c>
      <c r="BI160" s="7">
        <v>0</v>
      </c>
      <c r="BJ160" s="7">
        <v>0</v>
      </c>
      <c r="BK160" s="7">
        <v>0</v>
      </c>
      <c r="BL160" s="7">
        <v>0</v>
      </c>
      <c r="BM160" s="11">
        <v>800</v>
      </c>
      <c r="BN160" s="16">
        <f t="shared" si="5"/>
        <v>800</v>
      </c>
      <c r="BO160" s="14">
        <f t="shared" si="6"/>
        <v>560</v>
      </c>
    </row>
    <row r="161" spans="1:67" x14ac:dyDescent="0.3">
      <c r="A161" s="5" t="s">
        <v>30</v>
      </c>
      <c r="B161" s="5" t="s">
        <v>406</v>
      </c>
      <c r="C161" s="5">
        <v>356294</v>
      </c>
      <c r="D161" s="6"/>
      <c r="E161" s="5" t="s">
        <v>32</v>
      </c>
      <c r="F161" s="5" t="s">
        <v>60</v>
      </c>
      <c r="G161" s="5" t="s">
        <v>52</v>
      </c>
      <c r="H161" s="7" t="s">
        <v>8</v>
      </c>
      <c r="I161" s="7" t="s">
        <v>229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6</v>
      </c>
      <c r="AF161" s="7">
        <v>300</v>
      </c>
      <c r="AG161" s="7">
        <v>300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7">
        <v>1</v>
      </c>
      <c r="AR161" s="7">
        <v>100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>
        <v>0</v>
      </c>
      <c r="AZ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F161" s="7">
        <v>0</v>
      </c>
      <c r="BG161" s="7">
        <v>0</v>
      </c>
      <c r="BH161" s="7">
        <v>0</v>
      </c>
      <c r="BI161" s="7">
        <v>0</v>
      </c>
      <c r="BJ161" s="7">
        <v>0</v>
      </c>
      <c r="BK161" s="7">
        <v>0</v>
      </c>
      <c r="BL161" s="7">
        <v>0</v>
      </c>
      <c r="BM161" s="11">
        <v>700</v>
      </c>
      <c r="BN161" s="16">
        <f t="shared" si="5"/>
        <v>700</v>
      </c>
      <c r="BO161" s="14">
        <f t="shared" si="6"/>
        <v>489.99999999999994</v>
      </c>
    </row>
    <row r="162" spans="1:67" x14ac:dyDescent="0.3">
      <c r="A162" s="5" t="s">
        <v>30</v>
      </c>
      <c r="B162" s="5" t="s">
        <v>407</v>
      </c>
      <c r="C162" s="5">
        <v>452403</v>
      </c>
      <c r="D162" s="6"/>
      <c r="E162" s="5" t="s">
        <v>32</v>
      </c>
      <c r="F162" s="5" t="s">
        <v>386</v>
      </c>
      <c r="G162" s="5" t="s">
        <v>52</v>
      </c>
      <c r="H162" s="7" t="s">
        <v>8</v>
      </c>
      <c r="I162" s="7" t="s">
        <v>408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7</v>
      </c>
      <c r="AF162" s="7">
        <v>700</v>
      </c>
      <c r="AG162" s="7">
        <v>0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0</v>
      </c>
      <c r="AP162" s="7">
        <v>0</v>
      </c>
      <c r="AQ162" s="7">
        <v>0</v>
      </c>
      <c r="AR162" s="7">
        <v>0</v>
      </c>
      <c r="AS162" s="7">
        <v>0</v>
      </c>
      <c r="AT162" s="7">
        <v>0</v>
      </c>
      <c r="AU162" s="7">
        <v>0</v>
      </c>
      <c r="AV162" s="7">
        <v>0</v>
      </c>
      <c r="AW162" s="7">
        <v>0</v>
      </c>
      <c r="AX162" s="7">
        <v>0</v>
      </c>
      <c r="AY162" s="7">
        <v>0</v>
      </c>
      <c r="AZ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F162" s="7">
        <v>0</v>
      </c>
      <c r="BG162" s="7">
        <v>0</v>
      </c>
      <c r="BH162" s="7">
        <v>0</v>
      </c>
      <c r="BI162" s="7">
        <v>0</v>
      </c>
      <c r="BJ162" s="7">
        <v>0</v>
      </c>
      <c r="BK162" s="7">
        <v>0</v>
      </c>
      <c r="BL162" s="7">
        <v>0</v>
      </c>
      <c r="BM162" s="11">
        <v>700</v>
      </c>
      <c r="BN162" s="16">
        <f t="shared" si="5"/>
        <v>700</v>
      </c>
      <c r="BO162" s="14">
        <f t="shared" si="6"/>
        <v>489.99999999999994</v>
      </c>
    </row>
    <row r="163" spans="1:67" x14ac:dyDescent="0.3">
      <c r="A163" s="5" t="s">
        <v>30</v>
      </c>
      <c r="B163" s="5" t="s">
        <v>409</v>
      </c>
      <c r="C163" s="5">
        <v>395497</v>
      </c>
      <c r="D163" s="6"/>
      <c r="E163" s="5" t="s">
        <v>32</v>
      </c>
      <c r="F163" s="5" t="s">
        <v>410</v>
      </c>
      <c r="G163" s="5" t="s">
        <v>52</v>
      </c>
      <c r="H163" s="7" t="s">
        <v>8</v>
      </c>
      <c r="I163" s="7" t="s">
        <v>411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6</v>
      </c>
      <c r="AF163" s="7">
        <v>0</v>
      </c>
      <c r="AG163" s="7">
        <v>600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7">
        <v>0</v>
      </c>
      <c r="AR163" s="7">
        <v>0</v>
      </c>
      <c r="AS163" s="7">
        <v>0</v>
      </c>
      <c r="AT163" s="7">
        <v>0</v>
      </c>
      <c r="AU163" s="7">
        <v>0</v>
      </c>
      <c r="AV163" s="7">
        <v>0</v>
      </c>
      <c r="AW163" s="7">
        <v>0</v>
      </c>
      <c r="AX163" s="7">
        <v>0</v>
      </c>
      <c r="AY163" s="7">
        <v>0</v>
      </c>
      <c r="AZ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F163" s="7">
        <v>0</v>
      </c>
      <c r="BG163" s="7">
        <v>0</v>
      </c>
      <c r="BH163" s="7">
        <v>0</v>
      </c>
      <c r="BI163" s="7">
        <v>0</v>
      </c>
      <c r="BJ163" s="7">
        <v>0</v>
      </c>
      <c r="BK163" s="7">
        <v>0</v>
      </c>
      <c r="BL163" s="7">
        <v>0</v>
      </c>
      <c r="BM163" s="11">
        <v>600</v>
      </c>
      <c r="BN163" s="16">
        <f t="shared" si="5"/>
        <v>600</v>
      </c>
      <c r="BO163" s="14">
        <f t="shared" si="6"/>
        <v>420</v>
      </c>
    </row>
    <row r="164" spans="1:67" x14ac:dyDescent="0.3">
      <c r="A164" s="5" t="s">
        <v>30</v>
      </c>
      <c r="B164" s="5" t="s">
        <v>412</v>
      </c>
      <c r="C164" s="5">
        <v>414859</v>
      </c>
      <c r="D164" s="6"/>
      <c r="E164" s="5" t="s">
        <v>32</v>
      </c>
      <c r="F164" s="5" t="s">
        <v>413</v>
      </c>
      <c r="G164" s="5" t="s">
        <v>52</v>
      </c>
      <c r="H164" s="7" t="s">
        <v>8</v>
      </c>
      <c r="I164" s="7" t="s">
        <v>414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5</v>
      </c>
      <c r="AF164" s="7">
        <v>500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7">
        <v>0</v>
      </c>
      <c r="AV164" s="7">
        <v>0</v>
      </c>
      <c r="AW164" s="7">
        <v>0</v>
      </c>
      <c r="AX164" s="7">
        <v>0</v>
      </c>
      <c r="AY164" s="7">
        <v>0</v>
      </c>
      <c r="AZ164" s="7">
        <v>0</v>
      </c>
      <c r="BA164" s="7">
        <v>0</v>
      </c>
      <c r="BB164" s="7">
        <v>0</v>
      </c>
      <c r="BC164" s="7">
        <v>0</v>
      </c>
      <c r="BD164" s="7">
        <v>0</v>
      </c>
      <c r="BE164" s="7">
        <v>0</v>
      </c>
      <c r="BF164" s="7">
        <v>0</v>
      </c>
      <c r="BG164" s="7">
        <v>0</v>
      </c>
      <c r="BH164" s="7">
        <v>0</v>
      </c>
      <c r="BI164" s="7">
        <v>0</v>
      </c>
      <c r="BJ164" s="7">
        <v>0</v>
      </c>
      <c r="BK164" s="7">
        <v>0</v>
      </c>
      <c r="BL164" s="7">
        <v>0</v>
      </c>
      <c r="BM164" s="11">
        <v>500</v>
      </c>
      <c r="BN164" s="16">
        <f t="shared" si="5"/>
        <v>500</v>
      </c>
      <c r="BO164" s="14">
        <f t="shared" si="6"/>
        <v>350</v>
      </c>
    </row>
    <row r="165" spans="1:67" x14ac:dyDescent="0.3">
      <c r="A165" s="5" t="s">
        <v>30</v>
      </c>
      <c r="B165" s="5" t="s">
        <v>415</v>
      </c>
      <c r="C165" s="5">
        <v>387687</v>
      </c>
      <c r="D165" s="6"/>
      <c r="E165" s="5" t="s">
        <v>32</v>
      </c>
      <c r="F165" s="5" t="s">
        <v>143</v>
      </c>
      <c r="G165" s="5" t="s">
        <v>52</v>
      </c>
      <c r="H165" s="7" t="s">
        <v>8</v>
      </c>
      <c r="I165" s="7" t="s">
        <v>416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3</v>
      </c>
      <c r="AF165" s="7">
        <v>300</v>
      </c>
      <c r="AG165" s="7">
        <v>0</v>
      </c>
      <c r="AH165" s="7">
        <v>0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0</v>
      </c>
      <c r="AP165" s="7">
        <v>0</v>
      </c>
      <c r="AQ165" s="7">
        <v>0</v>
      </c>
      <c r="AR165" s="7">
        <v>0</v>
      </c>
      <c r="AS165" s="7">
        <v>0</v>
      </c>
      <c r="AT165" s="7">
        <v>0</v>
      </c>
      <c r="AU165" s="7">
        <v>0</v>
      </c>
      <c r="AV165" s="7">
        <v>0</v>
      </c>
      <c r="AW165" s="7">
        <v>0</v>
      </c>
      <c r="AX165" s="7">
        <v>0</v>
      </c>
      <c r="AY165" s="7">
        <v>0</v>
      </c>
      <c r="AZ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F165" s="7">
        <v>0</v>
      </c>
      <c r="BG165" s="7">
        <v>0</v>
      </c>
      <c r="BH165" s="7">
        <v>0</v>
      </c>
      <c r="BI165" s="7">
        <v>0</v>
      </c>
      <c r="BJ165" s="7">
        <v>0</v>
      </c>
      <c r="BK165" s="7">
        <v>0</v>
      </c>
      <c r="BL165" s="7">
        <v>0</v>
      </c>
      <c r="BM165" s="11">
        <v>300</v>
      </c>
      <c r="BN165" s="16">
        <f t="shared" ref="BN165:BN228" si="7">BM165-BL165</f>
        <v>300</v>
      </c>
      <c r="BO165" s="14">
        <f t="shared" ref="BO165:BO228" si="8">BN165*70%</f>
        <v>210</v>
      </c>
    </row>
    <row r="166" spans="1:67" x14ac:dyDescent="0.3">
      <c r="A166" s="5" t="s">
        <v>30</v>
      </c>
      <c r="B166" s="5" t="s">
        <v>417</v>
      </c>
      <c r="C166" s="5">
        <v>385872</v>
      </c>
      <c r="D166" s="6"/>
      <c r="E166" s="5" t="s">
        <v>32</v>
      </c>
      <c r="F166" s="5" t="s">
        <v>418</v>
      </c>
      <c r="G166" s="5" t="s">
        <v>11</v>
      </c>
      <c r="H166" s="7" t="s">
        <v>7</v>
      </c>
      <c r="I166" s="7" t="s">
        <v>419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2</v>
      </c>
      <c r="AF166" s="7">
        <v>200</v>
      </c>
      <c r="AG166" s="7">
        <v>0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  <c r="AV166" s="7">
        <v>0</v>
      </c>
      <c r="AW166" s="7">
        <v>0</v>
      </c>
      <c r="AX166" s="7">
        <v>0</v>
      </c>
      <c r="AY166" s="7">
        <v>0</v>
      </c>
      <c r="AZ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F166" s="7">
        <v>0</v>
      </c>
      <c r="BG166" s="7">
        <v>0</v>
      </c>
      <c r="BH166" s="7">
        <v>0</v>
      </c>
      <c r="BI166" s="7">
        <v>0</v>
      </c>
      <c r="BJ166" s="7">
        <v>0</v>
      </c>
      <c r="BK166" s="7">
        <v>0</v>
      </c>
      <c r="BL166" s="7">
        <v>0</v>
      </c>
      <c r="BM166" s="11">
        <v>200</v>
      </c>
      <c r="BN166" s="16">
        <f t="shared" si="7"/>
        <v>200</v>
      </c>
      <c r="BO166" s="14">
        <f t="shared" si="8"/>
        <v>140</v>
      </c>
    </row>
    <row r="167" spans="1:67" x14ac:dyDescent="0.3">
      <c r="A167" s="5" t="s">
        <v>30</v>
      </c>
      <c r="B167" s="5" t="s">
        <v>420</v>
      </c>
      <c r="C167" s="5">
        <v>321027</v>
      </c>
      <c r="D167" s="6"/>
      <c r="E167" s="5" t="s">
        <v>32</v>
      </c>
      <c r="F167" s="5" t="s">
        <v>421</v>
      </c>
      <c r="G167" s="5" t="s">
        <v>11</v>
      </c>
      <c r="H167" s="7" t="s">
        <v>7</v>
      </c>
      <c r="I167" s="7" t="s">
        <v>422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1</v>
      </c>
      <c r="AF167" s="7">
        <v>0</v>
      </c>
      <c r="AG167" s="7">
        <v>100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AZ167" s="7">
        <v>0</v>
      </c>
      <c r="BA167" s="7">
        <v>0</v>
      </c>
      <c r="BB167" s="7">
        <v>0</v>
      </c>
      <c r="BC167" s="7">
        <v>0</v>
      </c>
      <c r="BD167" s="7">
        <v>0</v>
      </c>
      <c r="BE167" s="7">
        <v>0</v>
      </c>
      <c r="BF167" s="7">
        <v>0</v>
      </c>
      <c r="BG167" s="7">
        <v>0</v>
      </c>
      <c r="BH167" s="7">
        <v>0</v>
      </c>
      <c r="BI167" s="7">
        <v>0</v>
      </c>
      <c r="BJ167" s="7">
        <v>0</v>
      </c>
      <c r="BK167" s="7">
        <v>0</v>
      </c>
      <c r="BL167" s="7">
        <v>0</v>
      </c>
      <c r="BM167" s="11">
        <v>100</v>
      </c>
      <c r="BN167" s="16">
        <f t="shared" si="7"/>
        <v>100</v>
      </c>
      <c r="BO167" s="14">
        <f t="shared" si="8"/>
        <v>70</v>
      </c>
    </row>
    <row r="168" spans="1:67" x14ac:dyDescent="0.3">
      <c r="A168" s="5" t="s">
        <v>30</v>
      </c>
      <c r="B168" s="5" t="s">
        <v>423</v>
      </c>
      <c r="C168" s="5">
        <v>424589</v>
      </c>
      <c r="D168" s="6"/>
      <c r="E168" s="5" t="s">
        <v>32</v>
      </c>
      <c r="F168" s="5" t="s">
        <v>424</v>
      </c>
      <c r="G168" s="5" t="s">
        <v>11</v>
      </c>
      <c r="H168" s="7" t="s">
        <v>8</v>
      </c>
      <c r="I168" s="7" t="s">
        <v>425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1</v>
      </c>
      <c r="AF168" s="7">
        <v>100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7">
        <v>0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7">
        <v>0</v>
      </c>
      <c r="AV168" s="7">
        <v>0</v>
      </c>
      <c r="AW168" s="7">
        <v>0</v>
      </c>
      <c r="AX168" s="7">
        <v>0</v>
      </c>
      <c r="AY168" s="7">
        <v>0</v>
      </c>
      <c r="AZ168" s="7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  <c r="BF168" s="7">
        <v>0</v>
      </c>
      <c r="BG168" s="7">
        <v>0</v>
      </c>
      <c r="BH168" s="7">
        <v>0</v>
      </c>
      <c r="BI168" s="7">
        <v>0</v>
      </c>
      <c r="BJ168" s="7">
        <v>0</v>
      </c>
      <c r="BK168" s="7">
        <v>0</v>
      </c>
      <c r="BL168" s="7">
        <v>0</v>
      </c>
      <c r="BM168" s="11">
        <v>100</v>
      </c>
      <c r="BN168" s="16">
        <f t="shared" si="7"/>
        <v>100</v>
      </c>
      <c r="BO168" s="14">
        <f t="shared" si="8"/>
        <v>70</v>
      </c>
    </row>
    <row r="169" spans="1:67" x14ac:dyDescent="0.3">
      <c r="A169" s="5" t="s">
        <v>30</v>
      </c>
      <c r="B169" s="5" t="s">
        <v>426</v>
      </c>
      <c r="C169" s="5">
        <v>388468</v>
      </c>
      <c r="D169" s="6"/>
      <c r="E169" s="5" t="s">
        <v>32</v>
      </c>
      <c r="F169" s="5" t="s">
        <v>427</v>
      </c>
      <c r="G169" s="5" t="s">
        <v>52</v>
      </c>
      <c r="H169" s="7" t="s">
        <v>8</v>
      </c>
      <c r="I169" s="7" t="s">
        <v>428</v>
      </c>
      <c r="J169" s="7">
        <v>0</v>
      </c>
      <c r="K169" s="7">
        <v>5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  <c r="AQ169" s="7">
        <v>0</v>
      </c>
      <c r="AR169" s="7">
        <v>0</v>
      </c>
      <c r="AS169" s="7">
        <v>0</v>
      </c>
      <c r="AT169" s="7">
        <v>0</v>
      </c>
      <c r="AU169" s="7">
        <v>0</v>
      </c>
      <c r="AV169" s="7">
        <v>0</v>
      </c>
      <c r="AW169" s="7">
        <v>0</v>
      </c>
      <c r="AX169" s="7">
        <v>0</v>
      </c>
      <c r="AY169" s="7">
        <v>0</v>
      </c>
      <c r="AZ169" s="7">
        <v>0</v>
      </c>
      <c r="BA169" s="7">
        <v>0</v>
      </c>
      <c r="BB169" s="7">
        <v>0</v>
      </c>
      <c r="BC169" s="7">
        <v>0</v>
      </c>
      <c r="BD169" s="7">
        <v>0</v>
      </c>
      <c r="BE169" s="7">
        <v>0</v>
      </c>
      <c r="BF169" s="7">
        <v>0</v>
      </c>
      <c r="BG169" s="7">
        <v>0</v>
      </c>
      <c r="BH169" s="7">
        <v>0</v>
      </c>
      <c r="BI169" s="7">
        <v>0</v>
      </c>
      <c r="BJ169" s="7">
        <v>0</v>
      </c>
      <c r="BK169" s="7">
        <v>0</v>
      </c>
      <c r="BL169" s="7">
        <v>0</v>
      </c>
      <c r="BM169" s="11">
        <v>0</v>
      </c>
      <c r="BN169" s="16">
        <f t="shared" si="7"/>
        <v>0</v>
      </c>
      <c r="BO169" s="14">
        <f t="shared" si="8"/>
        <v>0</v>
      </c>
    </row>
    <row r="170" spans="1:67" ht="19.5" x14ac:dyDescent="0.3">
      <c r="A170" s="5" t="s">
        <v>430</v>
      </c>
      <c r="B170" s="5" t="s">
        <v>31</v>
      </c>
      <c r="C170" s="5">
        <v>465248</v>
      </c>
      <c r="D170" s="6"/>
      <c r="E170" s="5" t="s">
        <v>32</v>
      </c>
      <c r="F170" s="5" t="s">
        <v>33</v>
      </c>
      <c r="G170" s="5" t="s">
        <v>34</v>
      </c>
      <c r="H170" s="7" t="s">
        <v>10</v>
      </c>
      <c r="I170" s="7" t="s">
        <v>35</v>
      </c>
      <c r="J170" s="7">
        <v>44</v>
      </c>
      <c r="K170" s="8">
        <v>16003</v>
      </c>
      <c r="L170" s="8">
        <v>4400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8">
        <v>19876</v>
      </c>
      <c r="AF170" s="8">
        <v>1284800</v>
      </c>
      <c r="AG170" s="8">
        <v>702800</v>
      </c>
      <c r="AH170" s="7">
        <v>0</v>
      </c>
      <c r="AI170" s="7">
        <v>0</v>
      </c>
      <c r="AJ170" s="7">
        <v>0</v>
      </c>
      <c r="AK170" s="7">
        <v>5</v>
      </c>
      <c r="AL170" s="7">
        <v>0</v>
      </c>
      <c r="AM170" s="7">
        <v>500</v>
      </c>
      <c r="AN170" s="7">
        <v>0</v>
      </c>
      <c r="AO170" s="7">
        <v>0</v>
      </c>
      <c r="AP170" s="7">
        <v>0</v>
      </c>
      <c r="AQ170" s="8">
        <v>2360</v>
      </c>
      <c r="AR170" s="8">
        <v>231000</v>
      </c>
      <c r="AS170" s="8">
        <v>5000</v>
      </c>
      <c r="AT170" s="7">
        <v>0</v>
      </c>
      <c r="AU170" s="7">
        <v>0</v>
      </c>
      <c r="AV170" s="7">
        <v>0</v>
      </c>
      <c r="AW170" s="7">
        <v>0</v>
      </c>
      <c r="AX170" s="7">
        <v>0</v>
      </c>
      <c r="AY170" s="7">
        <v>0</v>
      </c>
      <c r="AZ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  <c r="BF170" s="7">
        <v>0</v>
      </c>
      <c r="BG170" s="7">
        <v>0</v>
      </c>
      <c r="BH170" s="7">
        <v>0</v>
      </c>
      <c r="BI170" s="7">
        <v>0</v>
      </c>
      <c r="BJ170" s="7">
        <v>0</v>
      </c>
      <c r="BK170" s="7">
        <v>0</v>
      </c>
      <c r="BL170" s="7">
        <v>0</v>
      </c>
      <c r="BM170" s="10">
        <v>2228500</v>
      </c>
      <c r="BN170" s="16">
        <f t="shared" si="7"/>
        <v>2228500</v>
      </c>
      <c r="BO170" s="14">
        <f t="shared" si="8"/>
        <v>1559950</v>
      </c>
    </row>
    <row r="171" spans="1:67" ht="19.5" x14ac:dyDescent="0.3">
      <c r="A171" s="5" t="s">
        <v>430</v>
      </c>
      <c r="B171" s="5" t="s">
        <v>45</v>
      </c>
      <c r="C171" s="5">
        <v>414278</v>
      </c>
      <c r="D171" s="6"/>
      <c r="E171" s="5" t="s">
        <v>32</v>
      </c>
      <c r="F171" s="5" t="s">
        <v>13</v>
      </c>
      <c r="G171" s="5" t="s">
        <v>11</v>
      </c>
      <c r="H171" s="7" t="s">
        <v>8</v>
      </c>
      <c r="I171" s="7" t="s">
        <v>46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135</v>
      </c>
      <c r="AF171" s="8">
        <v>424400</v>
      </c>
      <c r="AG171" s="8">
        <v>1000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7">
        <v>0</v>
      </c>
      <c r="AP171" s="7">
        <v>0</v>
      </c>
      <c r="AQ171" s="7">
        <v>27</v>
      </c>
      <c r="AR171" s="8">
        <v>82200</v>
      </c>
      <c r="AS171" s="8">
        <v>1200</v>
      </c>
      <c r="AT171" s="7">
        <v>0</v>
      </c>
      <c r="AU171" s="7">
        <v>0</v>
      </c>
      <c r="AV171" s="7">
        <v>0</v>
      </c>
      <c r="AW171" s="7">
        <v>0</v>
      </c>
      <c r="AX171" s="7">
        <v>0</v>
      </c>
      <c r="AY171" s="7">
        <v>0</v>
      </c>
      <c r="AZ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F171" s="7">
        <v>0</v>
      </c>
      <c r="BG171" s="7">
        <v>0</v>
      </c>
      <c r="BH171" s="7">
        <v>0</v>
      </c>
      <c r="BI171" s="7">
        <v>0</v>
      </c>
      <c r="BJ171" s="7">
        <v>0</v>
      </c>
      <c r="BK171" s="7">
        <v>0</v>
      </c>
      <c r="BL171" s="7">
        <v>0</v>
      </c>
      <c r="BM171" s="10">
        <v>508800</v>
      </c>
      <c r="BN171" s="16">
        <f t="shared" si="7"/>
        <v>508800</v>
      </c>
      <c r="BO171" s="14">
        <f t="shared" si="8"/>
        <v>356160</v>
      </c>
    </row>
    <row r="172" spans="1:67" ht="19.5" x14ac:dyDescent="0.3">
      <c r="A172" s="5" t="s">
        <v>430</v>
      </c>
      <c r="B172" s="5" t="s">
        <v>349</v>
      </c>
      <c r="C172" s="5">
        <v>418302</v>
      </c>
      <c r="D172" s="6"/>
      <c r="E172" s="5" t="s">
        <v>32</v>
      </c>
      <c r="F172" s="5" t="s">
        <v>51</v>
      </c>
      <c r="G172" s="5" t="s">
        <v>52</v>
      </c>
      <c r="H172" s="7" t="s">
        <v>340</v>
      </c>
      <c r="I172" s="7" t="s">
        <v>53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40</v>
      </c>
      <c r="AC172" s="8">
        <v>82600</v>
      </c>
      <c r="AD172" s="8">
        <v>17300</v>
      </c>
      <c r="AE172" s="7">
        <v>62</v>
      </c>
      <c r="AF172" s="8">
        <v>167000</v>
      </c>
      <c r="AG172" s="8">
        <v>39800</v>
      </c>
      <c r="AH172" s="7">
        <v>0</v>
      </c>
      <c r="AI172" s="7">
        <v>0</v>
      </c>
      <c r="AJ172" s="7">
        <v>0</v>
      </c>
      <c r="AK172" s="7">
        <v>0</v>
      </c>
      <c r="AL172" s="7">
        <v>0</v>
      </c>
      <c r="AM172" s="7">
        <v>0</v>
      </c>
      <c r="AN172" s="7">
        <v>19</v>
      </c>
      <c r="AO172" s="8">
        <v>48300</v>
      </c>
      <c r="AP172" s="7">
        <v>200</v>
      </c>
      <c r="AQ172" s="7">
        <v>12</v>
      </c>
      <c r="AR172" s="8">
        <v>34500</v>
      </c>
      <c r="AS172" s="7">
        <v>200</v>
      </c>
      <c r="AT172" s="7">
        <v>0</v>
      </c>
      <c r="AU172" s="7">
        <v>0</v>
      </c>
      <c r="AV172" s="7">
        <v>0</v>
      </c>
      <c r="AW172" s="7">
        <v>0</v>
      </c>
      <c r="AX172" s="7">
        <v>0</v>
      </c>
      <c r="AY172" s="7">
        <v>0</v>
      </c>
      <c r="AZ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F172" s="7">
        <v>0</v>
      </c>
      <c r="BG172" s="7">
        <v>0</v>
      </c>
      <c r="BH172" s="7">
        <v>0</v>
      </c>
      <c r="BI172" s="7">
        <v>0</v>
      </c>
      <c r="BJ172" s="7">
        <v>0</v>
      </c>
      <c r="BK172" s="7">
        <v>0</v>
      </c>
      <c r="BL172" s="7">
        <v>0</v>
      </c>
      <c r="BM172" s="10">
        <v>389900</v>
      </c>
      <c r="BN172" s="16">
        <f t="shared" si="7"/>
        <v>389900</v>
      </c>
      <c r="BO172" s="14">
        <f t="shared" si="8"/>
        <v>272930</v>
      </c>
    </row>
    <row r="173" spans="1:67" ht="19.5" x14ac:dyDescent="0.3">
      <c r="A173" s="5" t="s">
        <v>430</v>
      </c>
      <c r="B173" s="5" t="s">
        <v>59</v>
      </c>
      <c r="C173" s="5">
        <v>457807</v>
      </c>
      <c r="D173" s="6"/>
      <c r="E173" s="5" t="s">
        <v>32</v>
      </c>
      <c r="F173" s="5" t="s">
        <v>60</v>
      </c>
      <c r="G173" s="5" t="s">
        <v>52</v>
      </c>
      <c r="H173" s="7" t="s">
        <v>8</v>
      </c>
      <c r="I173" s="7" t="s">
        <v>61</v>
      </c>
      <c r="J173" s="7">
        <v>138</v>
      </c>
      <c r="K173" s="8">
        <v>5094</v>
      </c>
      <c r="L173" s="8">
        <v>13800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120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8">
        <v>2852</v>
      </c>
      <c r="AF173" s="8">
        <v>225200</v>
      </c>
      <c r="AG173" s="8">
        <v>60000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0</v>
      </c>
      <c r="AP173" s="7">
        <v>0</v>
      </c>
      <c r="AQ173" s="7">
        <v>176</v>
      </c>
      <c r="AR173" s="8">
        <v>17400</v>
      </c>
      <c r="AS173" s="7">
        <v>200</v>
      </c>
      <c r="AT173" s="7">
        <v>0</v>
      </c>
      <c r="AU173" s="7">
        <v>0</v>
      </c>
      <c r="AV173" s="7">
        <v>0</v>
      </c>
      <c r="AW173" s="7">
        <v>0</v>
      </c>
      <c r="AX173" s="7">
        <v>0</v>
      </c>
      <c r="AY173" s="7">
        <v>0</v>
      </c>
      <c r="AZ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F173" s="7">
        <v>0</v>
      </c>
      <c r="BG173" s="7">
        <v>0</v>
      </c>
      <c r="BH173" s="7">
        <v>0</v>
      </c>
      <c r="BI173" s="7">
        <v>0</v>
      </c>
      <c r="BJ173" s="7">
        <v>0</v>
      </c>
      <c r="BK173" s="7">
        <v>0</v>
      </c>
      <c r="BL173" s="7">
        <v>0</v>
      </c>
      <c r="BM173" s="10">
        <v>316600</v>
      </c>
      <c r="BN173" s="16">
        <f t="shared" si="7"/>
        <v>316600</v>
      </c>
      <c r="BO173" s="14">
        <f t="shared" si="8"/>
        <v>221620</v>
      </c>
    </row>
    <row r="174" spans="1:67" ht="19.5" x14ac:dyDescent="0.3">
      <c r="A174" s="5" t="s">
        <v>430</v>
      </c>
      <c r="B174" s="5" t="s">
        <v>69</v>
      </c>
      <c r="C174" s="5">
        <v>459997</v>
      </c>
      <c r="D174" s="6"/>
      <c r="E174" s="5" t="s">
        <v>32</v>
      </c>
      <c r="F174" s="5" t="s">
        <v>70</v>
      </c>
      <c r="G174" s="5" t="s">
        <v>11</v>
      </c>
      <c r="H174" s="7" t="s">
        <v>7</v>
      </c>
      <c r="I174" s="7" t="s">
        <v>71</v>
      </c>
      <c r="J174" s="8">
        <v>2591</v>
      </c>
      <c r="K174" s="8">
        <v>1379</v>
      </c>
      <c r="L174" s="8">
        <v>259100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3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332</v>
      </c>
      <c r="AF174" s="8">
        <v>19600</v>
      </c>
      <c r="AG174" s="8">
        <v>13600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7">
        <v>0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>
        <v>0</v>
      </c>
      <c r="AY174" s="7">
        <v>0</v>
      </c>
      <c r="AZ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F174" s="7">
        <v>0</v>
      </c>
      <c r="BG174" s="7">
        <v>0</v>
      </c>
      <c r="BH174" s="7">
        <v>0</v>
      </c>
      <c r="BI174" s="7">
        <v>0</v>
      </c>
      <c r="BJ174" s="7">
        <v>0</v>
      </c>
      <c r="BK174" s="7">
        <v>0</v>
      </c>
      <c r="BL174" s="7">
        <v>0</v>
      </c>
      <c r="BM174" s="10">
        <v>292300</v>
      </c>
      <c r="BN174" s="16">
        <f t="shared" si="7"/>
        <v>292300</v>
      </c>
      <c r="BO174" s="14">
        <f t="shared" si="8"/>
        <v>204610</v>
      </c>
    </row>
    <row r="175" spans="1:67" ht="19.5" x14ac:dyDescent="0.3">
      <c r="A175" s="5" t="s">
        <v>430</v>
      </c>
      <c r="B175" s="5" t="s">
        <v>50</v>
      </c>
      <c r="C175" s="5">
        <v>395270</v>
      </c>
      <c r="D175" s="6"/>
      <c r="E175" s="5" t="s">
        <v>32</v>
      </c>
      <c r="F175" s="5" t="s">
        <v>51</v>
      </c>
      <c r="G175" s="5" t="s">
        <v>52</v>
      </c>
      <c r="H175" s="7" t="s">
        <v>8</v>
      </c>
      <c r="I175" s="7" t="s">
        <v>53</v>
      </c>
      <c r="J175" s="7">
        <v>0</v>
      </c>
      <c r="K175" s="8">
        <v>10572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123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8">
        <v>2479</v>
      </c>
      <c r="AF175" s="8">
        <v>179700</v>
      </c>
      <c r="AG175" s="8">
        <v>68200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  <c r="AQ175" s="7">
        <v>324</v>
      </c>
      <c r="AR175" s="8">
        <v>32000</v>
      </c>
      <c r="AS175" s="7">
        <v>400</v>
      </c>
      <c r="AT175" s="7">
        <v>0</v>
      </c>
      <c r="AU175" s="7">
        <v>0</v>
      </c>
      <c r="AV175" s="7">
        <v>0</v>
      </c>
      <c r="AW175" s="7">
        <v>0</v>
      </c>
      <c r="AX175" s="7">
        <v>0</v>
      </c>
      <c r="AY175" s="7">
        <v>0</v>
      </c>
      <c r="AZ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F175" s="7">
        <v>0</v>
      </c>
      <c r="BG175" s="7">
        <v>0</v>
      </c>
      <c r="BH175" s="7">
        <v>0</v>
      </c>
      <c r="BI175" s="7">
        <v>0</v>
      </c>
      <c r="BJ175" s="7">
        <v>0</v>
      </c>
      <c r="BK175" s="7">
        <v>0</v>
      </c>
      <c r="BL175" s="7">
        <v>0</v>
      </c>
      <c r="BM175" s="10">
        <v>280300</v>
      </c>
      <c r="BN175" s="16">
        <f t="shared" si="7"/>
        <v>280300</v>
      </c>
      <c r="BO175" s="14">
        <f t="shared" si="8"/>
        <v>196210</v>
      </c>
    </row>
    <row r="176" spans="1:67" ht="19.5" x14ac:dyDescent="0.3">
      <c r="A176" s="5" t="s">
        <v>430</v>
      </c>
      <c r="B176" s="5" t="s">
        <v>39</v>
      </c>
      <c r="C176" s="5">
        <v>445688</v>
      </c>
      <c r="D176" s="6"/>
      <c r="E176" s="5" t="s">
        <v>32</v>
      </c>
      <c r="F176" s="5" t="s">
        <v>40</v>
      </c>
      <c r="G176" s="5" t="s">
        <v>11</v>
      </c>
      <c r="H176" s="7" t="s">
        <v>7</v>
      </c>
      <c r="I176" s="7" t="s">
        <v>41</v>
      </c>
      <c r="J176" s="7">
        <v>0</v>
      </c>
      <c r="K176" s="8">
        <v>9266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8">
        <v>2369</v>
      </c>
      <c r="AF176" s="8">
        <v>209300</v>
      </c>
      <c r="AG176" s="8">
        <v>27600</v>
      </c>
      <c r="AH176" s="7">
        <v>0</v>
      </c>
      <c r="AI176" s="7">
        <v>0</v>
      </c>
      <c r="AJ176" s="7">
        <v>0</v>
      </c>
      <c r="AK176" s="7">
        <v>1</v>
      </c>
      <c r="AL176" s="7">
        <v>0</v>
      </c>
      <c r="AM176" s="7">
        <v>100</v>
      </c>
      <c r="AN176" s="7">
        <v>0</v>
      </c>
      <c r="AO176" s="7">
        <v>0</v>
      </c>
      <c r="AP176" s="7">
        <v>0</v>
      </c>
      <c r="AQ176" s="7">
        <v>430</v>
      </c>
      <c r="AR176" s="8">
        <v>42500</v>
      </c>
      <c r="AS176" s="7">
        <v>500</v>
      </c>
      <c r="AT176" s="7">
        <v>0</v>
      </c>
      <c r="AU176" s="7">
        <v>0</v>
      </c>
      <c r="AV176" s="7">
        <v>0</v>
      </c>
      <c r="AW176" s="7">
        <v>0</v>
      </c>
      <c r="AX176" s="7">
        <v>0</v>
      </c>
      <c r="AY176" s="7">
        <v>0</v>
      </c>
      <c r="AZ176" s="7">
        <v>0</v>
      </c>
      <c r="BA176" s="7">
        <v>0</v>
      </c>
      <c r="BB176" s="7">
        <v>0</v>
      </c>
      <c r="BC176" s="7">
        <v>0</v>
      </c>
      <c r="BD176" s="7">
        <v>0</v>
      </c>
      <c r="BE176" s="7">
        <v>0</v>
      </c>
      <c r="BF176" s="7">
        <v>0</v>
      </c>
      <c r="BG176" s="7">
        <v>0</v>
      </c>
      <c r="BH176" s="7">
        <v>0</v>
      </c>
      <c r="BI176" s="7">
        <v>0</v>
      </c>
      <c r="BJ176" s="7">
        <v>0</v>
      </c>
      <c r="BK176" s="7">
        <v>0</v>
      </c>
      <c r="BL176" s="7">
        <v>0</v>
      </c>
      <c r="BM176" s="10">
        <v>280000</v>
      </c>
      <c r="BN176" s="16">
        <f t="shared" si="7"/>
        <v>280000</v>
      </c>
      <c r="BO176" s="14">
        <f t="shared" si="8"/>
        <v>196000</v>
      </c>
    </row>
    <row r="177" spans="1:67" ht="19.5" x14ac:dyDescent="0.3">
      <c r="A177" s="5" t="s">
        <v>430</v>
      </c>
      <c r="B177" s="5" t="s">
        <v>42</v>
      </c>
      <c r="C177" s="5">
        <v>449889</v>
      </c>
      <c r="D177" s="6"/>
      <c r="E177" s="5" t="s">
        <v>32</v>
      </c>
      <c r="F177" s="5" t="s">
        <v>43</v>
      </c>
      <c r="G177" s="5" t="s">
        <v>11</v>
      </c>
      <c r="H177" s="7" t="s">
        <v>7</v>
      </c>
      <c r="I177" s="7" t="s">
        <v>44</v>
      </c>
      <c r="J177" s="7">
        <v>0</v>
      </c>
      <c r="K177" s="8">
        <v>1295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62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8">
        <v>1970</v>
      </c>
      <c r="AF177" s="8">
        <v>188100</v>
      </c>
      <c r="AG177" s="8">
        <v>8900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0</v>
      </c>
      <c r="AP177" s="7">
        <v>0</v>
      </c>
      <c r="AQ177" s="7">
        <v>368</v>
      </c>
      <c r="AR177" s="8">
        <v>35900</v>
      </c>
      <c r="AS177" s="7">
        <v>900</v>
      </c>
      <c r="AT177" s="7">
        <v>0</v>
      </c>
      <c r="AU177" s="7">
        <v>0</v>
      </c>
      <c r="AV177" s="7">
        <v>0</v>
      </c>
      <c r="AW177" s="7">
        <v>0</v>
      </c>
      <c r="AX177" s="7">
        <v>0</v>
      </c>
      <c r="AY177" s="7">
        <v>0</v>
      </c>
      <c r="AZ177" s="7">
        <v>0</v>
      </c>
      <c r="BA177" s="7">
        <v>0</v>
      </c>
      <c r="BB177" s="7">
        <v>0</v>
      </c>
      <c r="BC177" s="7">
        <v>0</v>
      </c>
      <c r="BD177" s="7">
        <v>0</v>
      </c>
      <c r="BE177" s="7">
        <v>0</v>
      </c>
      <c r="BF177" s="7">
        <v>0</v>
      </c>
      <c r="BG177" s="7">
        <v>0</v>
      </c>
      <c r="BH177" s="7">
        <v>0</v>
      </c>
      <c r="BI177" s="7">
        <v>0</v>
      </c>
      <c r="BJ177" s="7">
        <v>0</v>
      </c>
      <c r="BK177" s="7">
        <v>0</v>
      </c>
      <c r="BL177" s="7">
        <v>0</v>
      </c>
      <c r="BM177" s="10">
        <v>233800</v>
      </c>
      <c r="BN177" s="16">
        <f t="shared" si="7"/>
        <v>233800</v>
      </c>
      <c r="BO177" s="14">
        <f t="shared" si="8"/>
        <v>163660</v>
      </c>
    </row>
    <row r="178" spans="1:67" ht="19.5" x14ac:dyDescent="0.3">
      <c r="A178" s="5" t="s">
        <v>430</v>
      </c>
      <c r="B178" s="5" t="s">
        <v>431</v>
      </c>
      <c r="C178" s="5">
        <v>454879</v>
      </c>
      <c r="D178" s="6"/>
      <c r="E178" s="5" t="s">
        <v>32</v>
      </c>
      <c r="F178" s="5" t="s">
        <v>234</v>
      </c>
      <c r="G178" s="5" t="s">
        <v>52</v>
      </c>
      <c r="H178" s="7" t="s">
        <v>340</v>
      </c>
      <c r="I178" s="7" t="s">
        <v>432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4</v>
      </c>
      <c r="AC178" s="8">
        <v>9500</v>
      </c>
      <c r="AD178" s="7">
        <v>500</v>
      </c>
      <c r="AE178" s="7">
        <v>39</v>
      </c>
      <c r="AF178" s="8">
        <v>96400</v>
      </c>
      <c r="AG178" s="8">
        <v>36900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  <c r="AN178" s="7">
        <v>5</v>
      </c>
      <c r="AO178" s="8">
        <v>12400</v>
      </c>
      <c r="AP178" s="7">
        <v>0</v>
      </c>
      <c r="AQ178" s="7">
        <v>15</v>
      </c>
      <c r="AR178" s="8">
        <v>46500</v>
      </c>
      <c r="AS178" s="7">
        <v>200</v>
      </c>
      <c r="AT178" s="7">
        <v>0</v>
      </c>
      <c r="AU178" s="7">
        <v>0</v>
      </c>
      <c r="AV178" s="7">
        <v>0</v>
      </c>
      <c r="AW178" s="7">
        <v>0</v>
      </c>
      <c r="AX178" s="7">
        <v>0</v>
      </c>
      <c r="AY178" s="7">
        <v>0</v>
      </c>
      <c r="AZ178" s="7">
        <v>0</v>
      </c>
      <c r="BA178" s="7">
        <v>0</v>
      </c>
      <c r="BB178" s="7">
        <v>0</v>
      </c>
      <c r="BC178" s="7">
        <v>0</v>
      </c>
      <c r="BD178" s="7">
        <v>0</v>
      </c>
      <c r="BE178" s="7">
        <v>0</v>
      </c>
      <c r="BF178" s="7">
        <v>0</v>
      </c>
      <c r="BG178" s="7">
        <v>0</v>
      </c>
      <c r="BH178" s="7">
        <v>0</v>
      </c>
      <c r="BI178" s="7">
        <v>0</v>
      </c>
      <c r="BJ178" s="7">
        <v>0</v>
      </c>
      <c r="BK178" s="7">
        <v>0</v>
      </c>
      <c r="BL178" s="7">
        <v>0</v>
      </c>
      <c r="BM178" s="10">
        <v>202400</v>
      </c>
      <c r="BN178" s="16">
        <f t="shared" si="7"/>
        <v>202400</v>
      </c>
      <c r="BO178" s="14">
        <f t="shared" si="8"/>
        <v>141680</v>
      </c>
    </row>
    <row r="179" spans="1:67" ht="19.5" x14ac:dyDescent="0.3">
      <c r="A179" s="5" t="s">
        <v>430</v>
      </c>
      <c r="B179" s="5" t="s">
        <v>56</v>
      </c>
      <c r="C179" s="5">
        <v>454534</v>
      </c>
      <c r="D179" s="6"/>
      <c r="E179" s="5" t="s">
        <v>32</v>
      </c>
      <c r="F179" s="5" t="s">
        <v>57</v>
      </c>
      <c r="G179" s="5" t="s">
        <v>11</v>
      </c>
      <c r="H179" s="7" t="s">
        <v>7</v>
      </c>
      <c r="I179" s="7" t="s">
        <v>58</v>
      </c>
      <c r="J179" s="7">
        <v>0</v>
      </c>
      <c r="K179" s="8">
        <v>2331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19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8">
        <v>1658</v>
      </c>
      <c r="AF179" s="8">
        <v>123500</v>
      </c>
      <c r="AG179" s="8">
        <v>42300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275</v>
      </c>
      <c r="AR179" s="8">
        <v>27400</v>
      </c>
      <c r="AS179" s="7">
        <v>100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0</v>
      </c>
      <c r="AZ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F179" s="7">
        <v>0</v>
      </c>
      <c r="BG179" s="7">
        <v>0</v>
      </c>
      <c r="BH179" s="7">
        <v>0</v>
      </c>
      <c r="BI179" s="7">
        <v>0</v>
      </c>
      <c r="BJ179" s="7">
        <v>0</v>
      </c>
      <c r="BK179" s="7">
        <v>0</v>
      </c>
      <c r="BL179" s="7">
        <v>0</v>
      </c>
      <c r="BM179" s="10">
        <v>193300</v>
      </c>
      <c r="BN179" s="16">
        <f t="shared" si="7"/>
        <v>193300</v>
      </c>
      <c r="BO179" s="14">
        <f t="shared" si="8"/>
        <v>135310</v>
      </c>
    </row>
    <row r="180" spans="1:67" ht="19.5" x14ac:dyDescent="0.3">
      <c r="A180" s="5" t="s">
        <v>430</v>
      </c>
      <c r="B180" s="5" t="s">
        <v>36</v>
      </c>
      <c r="C180" s="5">
        <v>463799</v>
      </c>
      <c r="D180" s="6"/>
      <c r="E180" s="5" t="s">
        <v>32</v>
      </c>
      <c r="F180" s="5" t="s">
        <v>37</v>
      </c>
      <c r="G180" s="5" t="s">
        <v>11</v>
      </c>
      <c r="H180" s="7" t="s">
        <v>7</v>
      </c>
      <c r="I180" s="7" t="s">
        <v>38</v>
      </c>
      <c r="J180" s="7">
        <v>0</v>
      </c>
      <c r="K180" s="7">
        <v>604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108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8">
        <v>1660</v>
      </c>
      <c r="AF180" s="8">
        <v>159600</v>
      </c>
      <c r="AG180" s="8">
        <v>6400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0</v>
      </c>
      <c r="AP180" s="7">
        <v>0</v>
      </c>
      <c r="AQ180" s="7">
        <v>167</v>
      </c>
      <c r="AR180" s="8">
        <v>14700</v>
      </c>
      <c r="AS180" s="8">
        <v>2000</v>
      </c>
      <c r="AT180" s="7">
        <v>0</v>
      </c>
      <c r="AU180" s="7">
        <v>0</v>
      </c>
      <c r="AV180" s="7">
        <v>0</v>
      </c>
      <c r="AW180" s="7">
        <v>0</v>
      </c>
      <c r="AX180" s="7">
        <v>0</v>
      </c>
      <c r="AY180" s="7">
        <v>0</v>
      </c>
      <c r="AZ180" s="7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0</v>
      </c>
      <c r="BF180" s="7">
        <v>0</v>
      </c>
      <c r="BG180" s="7">
        <v>0</v>
      </c>
      <c r="BH180" s="7">
        <v>0</v>
      </c>
      <c r="BI180" s="7">
        <v>0</v>
      </c>
      <c r="BJ180" s="7">
        <v>0</v>
      </c>
      <c r="BK180" s="7">
        <v>0</v>
      </c>
      <c r="BL180" s="7">
        <v>0</v>
      </c>
      <c r="BM180" s="10">
        <v>182700</v>
      </c>
      <c r="BN180" s="16">
        <f t="shared" si="7"/>
        <v>182700</v>
      </c>
      <c r="BO180" s="14">
        <f t="shared" si="8"/>
        <v>127889.99999999999</v>
      </c>
    </row>
    <row r="181" spans="1:67" ht="19.5" x14ac:dyDescent="0.3">
      <c r="A181" s="5" t="s">
        <v>430</v>
      </c>
      <c r="B181" s="5" t="s">
        <v>66</v>
      </c>
      <c r="C181" s="5">
        <v>412919</v>
      </c>
      <c r="D181" s="6"/>
      <c r="E181" s="5" t="s">
        <v>32</v>
      </c>
      <c r="F181" s="5" t="s">
        <v>67</v>
      </c>
      <c r="G181" s="5" t="s">
        <v>52</v>
      </c>
      <c r="H181" s="7" t="s">
        <v>8</v>
      </c>
      <c r="I181" s="7" t="s">
        <v>68</v>
      </c>
      <c r="J181" s="7">
        <v>0</v>
      </c>
      <c r="K181" s="7">
        <v>72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88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8">
        <v>1524</v>
      </c>
      <c r="AF181" s="8">
        <v>122700</v>
      </c>
      <c r="AG181" s="8">
        <v>29700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7">
        <v>81</v>
      </c>
      <c r="AR181" s="8">
        <v>7400</v>
      </c>
      <c r="AS181" s="7">
        <v>700</v>
      </c>
      <c r="AT181" s="7">
        <v>0</v>
      </c>
      <c r="AU181" s="7">
        <v>0</v>
      </c>
      <c r="AV181" s="7">
        <v>0</v>
      </c>
      <c r="AW181" s="7">
        <v>0</v>
      </c>
      <c r="AX181" s="7">
        <v>0</v>
      </c>
      <c r="AY181" s="7">
        <v>0</v>
      </c>
      <c r="AZ181" s="7">
        <v>0</v>
      </c>
      <c r="BA181" s="7">
        <v>0</v>
      </c>
      <c r="BB181" s="7">
        <v>0</v>
      </c>
      <c r="BC181" s="7">
        <v>0</v>
      </c>
      <c r="BD181" s="7">
        <v>0</v>
      </c>
      <c r="BE181" s="7">
        <v>0</v>
      </c>
      <c r="BF181" s="7">
        <v>0</v>
      </c>
      <c r="BG181" s="7">
        <v>0</v>
      </c>
      <c r="BH181" s="7">
        <v>0</v>
      </c>
      <c r="BI181" s="7">
        <v>0</v>
      </c>
      <c r="BJ181" s="7">
        <v>0</v>
      </c>
      <c r="BK181" s="7">
        <v>0</v>
      </c>
      <c r="BL181" s="7">
        <v>0</v>
      </c>
      <c r="BM181" s="10">
        <v>160500</v>
      </c>
      <c r="BN181" s="16">
        <f t="shared" si="7"/>
        <v>160500</v>
      </c>
      <c r="BO181" s="14">
        <f t="shared" si="8"/>
        <v>112350</v>
      </c>
    </row>
    <row r="182" spans="1:67" ht="19.5" x14ac:dyDescent="0.3">
      <c r="A182" s="5" t="s">
        <v>430</v>
      </c>
      <c r="B182" s="5" t="s">
        <v>47</v>
      </c>
      <c r="C182" s="5">
        <v>369220</v>
      </c>
      <c r="D182" s="6"/>
      <c r="E182" s="5" t="s">
        <v>32</v>
      </c>
      <c r="F182" s="5" t="s">
        <v>48</v>
      </c>
      <c r="G182" s="5" t="s">
        <v>11</v>
      </c>
      <c r="H182" s="7" t="s">
        <v>7</v>
      </c>
      <c r="I182" s="7" t="s">
        <v>49</v>
      </c>
      <c r="J182" s="7">
        <v>0</v>
      </c>
      <c r="K182" s="7">
        <v>16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53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995</v>
      </c>
      <c r="AF182" s="8">
        <v>59400</v>
      </c>
      <c r="AG182" s="8">
        <v>40100</v>
      </c>
      <c r="AH182" s="7">
        <v>0</v>
      </c>
      <c r="AI182" s="7">
        <v>0</v>
      </c>
      <c r="AJ182" s="7">
        <v>0</v>
      </c>
      <c r="AK182" s="7">
        <v>0</v>
      </c>
      <c r="AL182" s="7">
        <v>0</v>
      </c>
      <c r="AM182" s="7">
        <v>0</v>
      </c>
      <c r="AN182" s="7">
        <v>0</v>
      </c>
      <c r="AO182" s="7">
        <v>0</v>
      </c>
      <c r="AP182" s="7">
        <v>0</v>
      </c>
      <c r="AQ182" s="7">
        <v>337</v>
      </c>
      <c r="AR182" s="8">
        <v>33200</v>
      </c>
      <c r="AS182" s="7">
        <v>500</v>
      </c>
      <c r="AT182" s="7">
        <v>0</v>
      </c>
      <c r="AU182" s="7">
        <v>0</v>
      </c>
      <c r="AV182" s="7">
        <v>0</v>
      </c>
      <c r="AW182" s="7">
        <v>0</v>
      </c>
      <c r="AX182" s="7">
        <v>0</v>
      </c>
      <c r="AY182" s="7">
        <v>0</v>
      </c>
      <c r="AZ182" s="7">
        <v>0</v>
      </c>
      <c r="BA182" s="7">
        <v>0</v>
      </c>
      <c r="BB182" s="7">
        <v>0</v>
      </c>
      <c r="BC182" s="7">
        <v>0</v>
      </c>
      <c r="BD182" s="7">
        <v>0</v>
      </c>
      <c r="BE182" s="7">
        <v>0</v>
      </c>
      <c r="BF182" s="7">
        <v>0</v>
      </c>
      <c r="BG182" s="7">
        <v>0</v>
      </c>
      <c r="BH182" s="7">
        <v>0</v>
      </c>
      <c r="BI182" s="7">
        <v>0</v>
      </c>
      <c r="BJ182" s="7">
        <v>0</v>
      </c>
      <c r="BK182" s="7">
        <v>0</v>
      </c>
      <c r="BL182" s="7">
        <v>0</v>
      </c>
      <c r="BM182" s="10">
        <v>133200</v>
      </c>
      <c r="BN182" s="16">
        <f t="shared" si="7"/>
        <v>133200</v>
      </c>
      <c r="BO182" s="14">
        <f t="shared" si="8"/>
        <v>93240</v>
      </c>
    </row>
    <row r="183" spans="1:67" ht="19.5" x14ac:dyDescent="0.3">
      <c r="A183" s="5" t="s">
        <v>430</v>
      </c>
      <c r="B183" s="5" t="s">
        <v>54</v>
      </c>
      <c r="C183" s="5">
        <v>178856</v>
      </c>
      <c r="D183" s="6"/>
      <c r="E183" s="5" t="s">
        <v>32</v>
      </c>
      <c r="F183" s="5" t="s">
        <v>48</v>
      </c>
      <c r="G183" s="5" t="s">
        <v>11</v>
      </c>
      <c r="H183" s="7" t="s">
        <v>10</v>
      </c>
      <c r="I183" s="7" t="s">
        <v>55</v>
      </c>
      <c r="J183" s="7">
        <v>0</v>
      </c>
      <c r="K183" s="7">
        <v>3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427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8">
        <v>1092</v>
      </c>
      <c r="AF183" s="8">
        <v>99200</v>
      </c>
      <c r="AG183" s="8">
        <v>10000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7">
        <v>0</v>
      </c>
      <c r="AP183" s="7">
        <v>0</v>
      </c>
      <c r="AQ183" s="7">
        <v>82</v>
      </c>
      <c r="AR183" s="8">
        <v>8100</v>
      </c>
      <c r="AS183" s="7">
        <v>100</v>
      </c>
      <c r="AT183" s="7">
        <v>0</v>
      </c>
      <c r="AU183" s="7">
        <v>0</v>
      </c>
      <c r="AV183" s="7">
        <v>0</v>
      </c>
      <c r="AW183" s="7">
        <v>0</v>
      </c>
      <c r="AX183" s="7">
        <v>0</v>
      </c>
      <c r="AY183" s="7">
        <v>0</v>
      </c>
      <c r="AZ183" s="7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0</v>
      </c>
      <c r="BF183" s="7">
        <v>0</v>
      </c>
      <c r="BG183" s="7">
        <v>0</v>
      </c>
      <c r="BH183" s="7">
        <v>0</v>
      </c>
      <c r="BI183" s="7">
        <v>0</v>
      </c>
      <c r="BJ183" s="7">
        <v>0</v>
      </c>
      <c r="BK183" s="7">
        <v>0</v>
      </c>
      <c r="BL183" s="7">
        <v>0</v>
      </c>
      <c r="BM183" s="10">
        <v>117400</v>
      </c>
      <c r="BN183" s="16">
        <f t="shared" si="7"/>
        <v>117400</v>
      </c>
      <c r="BO183" s="14">
        <f t="shared" si="8"/>
        <v>82180</v>
      </c>
    </row>
    <row r="184" spans="1:67" ht="19.5" x14ac:dyDescent="0.3">
      <c r="A184" s="5" t="s">
        <v>430</v>
      </c>
      <c r="B184" s="5" t="s">
        <v>72</v>
      </c>
      <c r="C184" s="5">
        <v>369720</v>
      </c>
      <c r="D184" s="6"/>
      <c r="E184" s="5" t="s">
        <v>32</v>
      </c>
      <c r="F184" s="5" t="s">
        <v>73</v>
      </c>
      <c r="G184" s="5" t="s">
        <v>52</v>
      </c>
      <c r="H184" s="7" t="s">
        <v>8</v>
      </c>
      <c r="I184" s="7" t="s">
        <v>74</v>
      </c>
      <c r="J184" s="7">
        <v>0</v>
      </c>
      <c r="K184" s="7">
        <v>585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97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8">
        <v>1045</v>
      </c>
      <c r="AF184" s="8">
        <v>88300</v>
      </c>
      <c r="AG184" s="8">
        <v>16200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  <c r="AQ184" s="7">
        <v>79</v>
      </c>
      <c r="AR184" s="8">
        <v>7700</v>
      </c>
      <c r="AS184" s="7">
        <v>200</v>
      </c>
      <c r="AT184" s="7">
        <v>0</v>
      </c>
      <c r="AU184" s="7">
        <v>0</v>
      </c>
      <c r="AV184" s="7">
        <v>0</v>
      </c>
      <c r="AW184" s="7">
        <v>0</v>
      </c>
      <c r="AX184" s="7">
        <v>0</v>
      </c>
      <c r="AY184" s="7">
        <v>0</v>
      </c>
      <c r="AZ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F184" s="7">
        <v>0</v>
      </c>
      <c r="BG184" s="7">
        <v>0</v>
      </c>
      <c r="BH184" s="7">
        <v>0</v>
      </c>
      <c r="BI184" s="7">
        <v>0</v>
      </c>
      <c r="BJ184" s="7">
        <v>0</v>
      </c>
      <c r="BK184" s="7">
        <v>0</v>
      </c>
      <c r="BL184" s="7">
        <v>0</v>
      </c>
      <c r="BM184" s="10">
        <v>112400</v>
      </c>
      <c r="BN184" s="16">
        <f t="shared" si="7"/>
        <v>112400</v>
      </c>
      <c r="BO184" s="14">
        <f t="shared" si="8"/>
        <v>78680</v>
      </c>
    </row>
    <row r="185" spans="1:67" ht="19.5" x14ac:dyDescent="0.3">
      <c r="A185" s="5" t="s">
        <v>430</v>
      </c>
      <c r="B185" s="5" t="s">
        <v>78</v>
      </c>
      <c r="C185" s="5">
        <v>464776</v>
      </c>
      <c r="D185" s="6"/>
      <c r="E185" s="5" t="s">
        <v>32</v>
      </c>
      <c r="F185" s="5" t="s">
        <v>79</v>
      </c>
      <c r="G185" s="5" t="s">
        <v>34</v>
      </c>
      <c r="H185" s="7" t="s">
        <v>10</v>
      </c>
      <c r="I185" s="7" t="s">
        <v>80</v>
      </c>
      <c r="J185" s="7">
        <v>0</v>
      </c>
      <c r="K185" s="7">
        <v>62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984</v>
      </c>
      <c r="AF185" s="8">
        <v>88400</v>
      </c>
      <c r="AG185" s="8">
        <v>10000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7">
        <v>48</v>
      </c>
      <c r="AR185" s="8">
        <v>4800</v>
      </c>
      <c r="AS185" s="7">
        <v>0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7">
        <v>0</v>
      </c>
      <c r="AZ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F185" s="7">
        <v>0</v>
      </c>
      <c r="BG185" s="7">
        <v>0</v>
      </c>
      <c r="BH185" s="7">
        <v>0</v>
      </c>
      <c r="BI185" s="7">
        <v>0</v>
      </c>
      <c r="BJ185" s="7">
        <v>0</v>
      </c>
      <c r="BK185" s="7">
        <v>0</v>
      </c>
      <c r="BL185" s="7">
        <v>0</v>
      </c>
      <c r="BM185" s="10">
        <v>103200</v>
      </c>
      <c r="BN185" s="16">
        <f t="shared" si="7"/>
        <v>103200</v>
      </c>
      <c r="BO185" s="14">
        <f t="shared" si="8"/>
        <v>72240</v>
      </c>
    </row>
    <row r="186" spans="1:67" ht="19.5" x14ac:dyDescent="0.3">
      <c r="A186" s="5" t="s">
        <v>430</v>
      </c>
      <c r="B186" s="5" t="s">
        <v>64</v>
      </c>
      <c r="C186" s="5">
        <v>324335</v>
      </c>
      <c r="D186" s="6"/>
      <c r="E186" s="5" t="s">
        <v>32</v>
      </c>
      <c r="F186" s="5" t="s">
        <v>48</v>
      </c>
      <c r="G186" s="5" t="s">
        <v>11</v>
      </c>
      <c r="H186" s="7" t="s">
        <v>10</v>
      </c>
      <c r="I186" s="7" t="s">
        <v>65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30</v>
      </c>
      <c r="AF186" s="8">
        <v>90800</v>
      </c>
      <c r="AG186" s="8">
        <v>5200</v>
      </c>
      <c r="AH186" s="7">
        <v>0</v>
      </c>
      <c r="AI186" s="7">
        <v>0</v>
      </c>
      <c r="AJ186" s="7">
        <v>0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7">
        <v>0</v>
      </c>
      <c r="AV186" s="7">
        <v>0</v>
      </c>
      <c r="AW186" s="7">
        <v>0</v>
      </c>
      <c r="AX186" s="7">
        <v>0</v>
      </c>
      <c r="AY186" s="7">
        <v>0</v>
      </c>
      <c r="AZ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F186" s="7">
        <v>0</v>
      </c>
      <c r="BG186" s="7">
        <v>0</v>
      </c>
      <c r="BH186" s="7">
        <v>0</v>
      </c>
      <c r="BI186" s="7">
        <v>0</v>
      </c>
      <c r="BJ186" s="7">
        <v>0</v>
      </c>
      <c r="BK186" s="7">
        <v>0</v>
      </c>
      <c r="BL186" s="7">
        <v>0</v>
      </c>
      <c r="BM186" s="10">
        <v>96000</v>
      </c>
      <c r="BN186" s="16">
        <f t="shared" si="7"/>
        <v>96000</v>
      </c>
      <c r="BO186" s="14">
        <f t="shared" si="8"/>
        <v>67200</v>
      </c>
    </row>
    <row r="187" spans="1:67" ht="19.5" x14ac:dyDescent="0.3">
      <c r="A187" s="5" t="s">
        <v>430</v>
      </c>
      <c r="B187" s="5" t="s">
        <v>62</v>
      </c>
      <c r="C187" s="5">
        <v>321812</v>
      </c>
      <c r="D187" s="6"/>
      <c r="E187" s="5" t="s">
        <v>32</v>
      </c>
      <c r="F187" s="5" t="s">
        <v>48</v>
      </c>
      <c r="G187" s="5" t="s">
        <v>11</v>
      </c>
      <c r="H187" s="7" t="s">
        <v>7</v>
      </c>
      <c r="I187" s="7" t="s">
        <v>63</v>
      </c>
      <c r="J187" s="7">
        <v>0</v>
      </c>
      <c r="K187" s="7">
        <v>5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31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863</v>
      </c>
      <c r="AF187" s="8">
        <v>73800</v>
      </c>
      <c r="AG187" s="8">
        <v>12500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7">
        <v>6</v>
      </c>
      <c r="AR187" s="7">
        <v>400</v>
      </c>
      <c r="AS187" s="7">
        <v>200</v>
      </c>
      <c r="AT187" s="7">
        <v>0</v>
      </c>
      <c r="AU187" s="7">
        <v>0</v>
      </c>
      <c r="AV187" s="7">
        <v>0</v>
      </c>
      <c r="AW187" s="7">
        <v>0</v>
      </c>
      <c r="AX187" s="7">
        <v>0</v>
      </c>
      <c r="AY187" s="7">
        <v>0</v>
      </c>
      <c r="AZ187" s="7">
        <v>0</v>
      </c>
      <c r="BA187" s="7">
        <v>0</v>
      </c>
      <c r="BB187" s="7">
        <v>0</v>
      </c>
      <c r="BC187" s="7">
        <v>0</v>
      </c>
      <c r="BD187" s="7">
        <v>0</v>
      </c>
      <c r="BE187" s="7">
        <v>0</v>
      </c>
      <c r="BF187" s="7">
        <v>0</v>
      </c>
      <c r="BG187" s="7">
        <v>0</v>
      </c>
      <c r="BH187" s="7">
        <v>0</v>
      </c>
      <c r="BI187" s="7">
        <v>0</v>
      </c>
      <c r="BJ187" s="7">
        <v>0</v>
      </c>
      <c r="BK187" s="7">
        <v>0</v>
      </c>
      <c r="BL187" s="7">
        <v>0</v>
      </c>
      <c r="BM187" s="10">
        <v>86900</v>
      </c>
      <c r="BN187" s="16">
        <f t="shared" si="7"/>
        <v>86900</v>
      </c>
      <c r="BO187" s="14">
        <f t="shared" si="8"/>
        <v>60829.999999999993</v>
      </c>
    </row>
    <row r="188" spans="1:67" ht="19.5" x14ac:dyDescent="0.3">
      <c r="A188" s="5" t="s">
        <v>430</v>
      </c>
      <c r="B188" s="5" t="s">
        <v>95</v>
      </c>
      <c r="C188" s="5">
        <v>465250</v>
      </c>
      <c r="D188" s="6"/>
      <c r="E188" s="5" t="s">
        <v>32</v>
      </c>
      <c r="F188" s="5" t="s">
        <v>96</v>
      </c>
      <c r="G188" s="5" t="s">
        <v>34</v>
      </c>
      <c r="H188" s="7" t="s">
        <v>7</v>
      </c>
      <c r="I188" s="7" t="s">
        <v>97</v>
      </c>
      <c r="J188" s="7">
        <v>0</v>
      </c>
      <c r="K188" s="7">
        <v>63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521</v>
      </c>
      <c r="AF188" s="8">
        <v>49600</v>
      </c>
      <c r="AG188" s="8">
        <v>2500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7">
        <v>0</v>
      </c>
      <c r="AP188" s="7">
        <v>0</v>
      </c>
      <c r="AQ188" s="7">
        <v>229</v>
      </c>
      <c r="AR188" s="8">
        <v>22500</v>
      </c>
      <c r="AS188" s="7">
        <v>400</v>
      </c>
      <c r="AT188" s="7">
        <v>0</v>
      </c>
      <c r="AU188" s="7">
        <v>0</v>
      </c>
      <c r="AV188" s="7">
        <v>0</v>
      </c>
      <c r="AW188" s="7">
        <v>0</v>
      </c>
      <c r="AX188" s="7">
        <v>0</v>
      </c>
      <c r="AY188" s="7">
        <v>0</v>
      </c>
      <c r="AZ188" s="7">
        <v>0</v>
      </c>
      <c r="BA188" s="7">
        <v>0</v>
      </c>
      <c r="BB188" s="7">
        <v>0</v>
      </c>
      <c r="BC188" s="7">
        <v>0</v>
      </c>
      <c r="BD188" s="7">
        <v>0</v>
      </c>
      <c r="BE188" s="7">
        <v>0</v>
      </c>
      <c r="BF188" s="7">
        <v>0</v>
      </c>
      <c r="BG188" s="7">
        <v>0</v>
      </c>
      <c r="BH188" s="7">
        <v>0</v>
      </c>
      <c r="BI188" s="7">
        <v>0</v>
      </c>
      <c r="BJ188" s="7">
        <v>0</v>
      </c>
      <c r="BK188" s="7">
        <v>0</v>
      </c>
      <c r="BL188" s="7">
        <v>0</v>
      </c>
      <c r="BM188" s="10">
        <v>75000</v>
      </c>
      <c r="BN188" s="16">
        <f t="shared" si="7"/>
        <v>75000</v>
      </c>
      <c r="BO188" s="14">
        <f t="shared" si="8"/>
        <v>52500</v>
      </c>
    </row>
    <row r="189" spans="1:67" ht="19.5" x14ac:dyDescent="0.3">
      <c r="A189" s="5" t="s">
        <v>430</v>
      </c>
      <c r="B189" s="5" t="s">
        <v>233</v>
      </c>
      <c r="C189" s="5">
        <v>393598</v>
      </c>
      <c r="D189" s="6"/>
      <c r="E189" s="5" t="s">
        <v>32</v>
      </c>
      <c r="F189" s="5" t="s">
        <v>234</v>
      </c>
      <c r="G189" s="5" t="s">
        <v>52</v>
      </c>
      <c r="H189" s="7" t="s">
        <v>8</v>
      </c>
      <c r="I189" s="7" t="s">
        <v>235</v>
      </c>
      <c r="J189" s="7">
        <v>0</v>
      </c>
      <c r="K189" s="7">
        <v>25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46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330</v>
      </c>
      <c r="AF189" s="8">
        <v>23000</v>
      </c>
      <c r="AG189" s="8">
        <v>10000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7">
        <v>0</v>
      </c>
      <c r="AP189" s="7">
        <v>0</v>
      </c>
      <c r="AQ189" s="7">
        <v>267</v>
      </c>
      <c r="AR189" s="8">
        <v>26500</v>
      </c>
      <c r="AS189" s="7">
        <v>200</v>
      </c>
      <c r="AT189" s="7">
        <v>0</v>
      </c>
      <c r="AU189" s="7">
        <v>0</v>
      </c>
      <c r="AV189" s="7">
        <v>0</v>
      </c>
      <c r="AW189" s="7">
        <v>0</v>
      </c>
      <c r="AX189" s="7">
        <v>0</v>
      </c>
      <c r="AY189" s="7">
        <v>0</v>
      </c>
      <c r="AZ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F189" s="7">
        <v>0</v>
      </c>
      <c r="BG189" s="7">
        <v>0</v>
      </c>
      <c r="BH189" s="7">
        <v>0</v>
      </c>
      <c r="BI189" s="7">
        <v>0</v>
      </c>
      <c r="BJ189" s="7">
        <v>0</v>
      </c>
      <c r="BK189" s="7">
        <v>0</v>
      </c>
      <c r="BL189" s="7">
        <v>0</v>
      </c>
      <c r="BM189" s="10">
        <v>59700</v>
      </c>
      <c r="BN189" s="16">
        <f t="shared" si="7"/>
        <v>59700</v>
      </c>
      <c r="BO189" s="14">
        <f t="shared" si="8"/>
        <v>41790</v>
      </c>
    </row>
    <row r="190" spans="1:67" ht="19.5" x14ac:dyDescent="0.3">
      <c r="A190" s="5" t="s">
        <v>430</v>
      </c>
      <c r="B190" s="5" t="s">
        <v>433</v>
      </c>
      <c r="C190" s="5">
        <v>392658</v>
      </c>
      <c r="D190" s="6"/>
      <c r="E190" s="5" t="s">
        <v>32</v>
      </c>
      <c r="F190" s="5" t="s">
        <v>73</v>
      </c>
      <c r="G190" s="5" t="s">
        <v>52</v>
      </c>
      <c r="H190" s="7" t="s">
        <v>340</v>
      </c>
      <c r="I190" s="7" t="s">
        <v>322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15</v>
      </c>
      <c r="AF190" s="8">
        <v>47400</v>
      </c>
      <c r="AG190" s="7">
        <v>600</v>
      </c>
      <c r="AH190" s="7">
        <v>0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  <c r="AQ190" s="7">
        <v>3</v>
      </c>
      <c r="AR190" s="8">
        <v>9600</v>
      </c>
      <c r="AS190" s="7">
        <v>0</v>
      </c>
      <c r="AT190" s="7">
        <v>0</v>
      </c>
      <c r="AU190" s="7">
        <v>0</v>
      </c>
      <c r="AV190" s="7">
        <v>0</v>
      </c>
      <c r="AW190" s="7">
        <v>0</v>
      </c>
      <c r="AX190" s="7">
        <v>0</v>
      </c>
      <c r="AY190" s="7">
        <v>0</v>
      </c>
      <c r="AZ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F190" s="7">
        <v>0</v>
      </c>
      <c r="BG190" s="7">
        <v>0</v>
      </c>
      <c r="BH190" s="7">
        <v>0</v>
      </c>
      <c r="BI190" s="7">
        <v>0</v>
      </c>
      <c r="BJ190" s="7">
        <v>0</v>
      </c>
      <c r="BK190" s="7">
        <v>0</v>
      </c>
      <c r="BL190" s="7">
        <v>0</v>
      </c>
      <c r="BM190" s="10">
        <v>57600</v>
      </c>
      <c r="BN190" s="16">
        <f t="shared" si="7"/>
        <v>57600</v>
      </c>
      <c r="BO190" s="14">
        <f t="shared" si="8"/>
        <v>40320</v>
      </c>
    </row>
    <row r="191" spans="1:67" ht="19.5" x14ac:dyDescent="0.3">
      <c r="A191" s="5" t="s">
        <v>430</v>
      </c>
      <c r="B191" s="5" t="s">
        <v>434</v>
      </c>
      <c r="C191" s="5">
        <v>425648</v>
      </c>
      <c r="D191" s="6"/>
      <c r="E191" s="5" t="s">
        <v>32</v>
      </c>
      <c r="F191" s="5" t="s">
        <v>255</v>
      </c>
      <c r="G191" s="5" t="s">
        <v>52</v>
      </c>
      <c r="H191" s="7" t="s">
        <v>340</v>
      </c>
      <c r="I191" s="7" t="s">
        <v>256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12</v>
      </c>
      <c r="AC191" s="8">
        <v>27500</v>
      </c>
      <c r="AD191" s="7">
        <v>500</v>
      </c>
      <c r="AE191" s="7">
        <v>3</v>
      </c>
      <c r="AF191" s="8">
        <v>6400</v>
      </c>
      <c r="AG191" s="8">
        <v>3200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3</v>
      </c>
      <c r="AO191" s="8">
        <v>5000</v>
      </c>
      <c r="AP191" s="8">
        <v>2000</v>
      </c>
      <c r="AQ191" s="7">
        <v>3</v>
      </c>
      <c r="AR191" s="8">
        <v>7600</v>
      </c>
      <c r="AS191" s="8">
        <v>2000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AZ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F191" s="7">
        <v>0</v>
      </c>
      <c r="BG191" s="7">
        <v>0</v>
      </c>
      <c r="BH191" s="7">
        <v>0</v>
      </c>
      <c r="BI191" s="7">
        <v>0</v>
      </c>
      <c r="BJ191" s="7">
        <v>0</v>
      </c>
      <c r="BK191" s="7">
        <v>0</v>
      </c>
      <c r="BL191" s="7">
        <v>0</v>
      </c>
      <c r="BM191" s="10">
        <v>54200</v>
      </c>
      <c r="BN191" s="16">
        <f t="shared" si="7"/>
        <v>54200</v>
      </c>
      <c r="BO191" s="14">
        <f t="shared" si="8"/>
        <v>37940</v>
      </c>
    </row>
    <row r="192" spans="1:67" ht="19.5" x14ac:dyDescent="0.3">
      <c r="A192" s="5" t="s">
        <v>430</v>
      </c>
      <c r="B192" s="5" t="s">
        <v>435</v>
      </c>
      <c r="C192" s="5">
        <v>458432</v>
      </c>
      <c r="D192" s="6"/>
      <c r="E192" s="5" t="s">
        <v>32</v>
      </c>
      <c r="F192" s="5" t="s">
        <v>153</v>
      </c>
      <c r="G192" s="5" t="s">
        <v>52</v>
      </c>
      <c r="H192" s="7" t="s">
        <v>340</v>
      </c>
      <c r="I192" s="7" t="s">
        <v>436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16</v>
      </c>
      <c r="AF192" s="8">
        <v>33000</v>
      </c>
      <c r="AG192" s="8">
        <v>14500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7">
        <v>0</v>
      </c>
      <c r="AP192" s="7">
        <v>0</v>
      </c>
      <c r="AQ192" s="7">
        <v>2</v>
      </c>
      <c r="AR192" s="8">
        <v>3500</v>
      </c>
      <c r="AS192" s="7">
        <v>0</v>
      </c>
      <c r="AT192" s="7">
        <v>0</v>
      </c>
      <c r="AU192" s="7">
        <v>0</v>
      </c>
      <c r="AV192" s="7">
        <v>0</v>
      </c>
      <c r="AW192" s="7">
        <v>0</v>
      </c>
      <c r="AX192" s="7">
        <v>0</v>
      </c>
      <c r="AY192" s="7">
        <v>0</v>
      </c>
      <c r="AZ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F192" s="7">
        <v>0</v>
      </c>
      <c r="BG192" s="7">
        <v>0</v>
      </c>
      <c r="BH192" s="7">
        <v>0</v>
      </c>
      <c r="BI192" s="7">
        <v>0</v>
      </c>
      <c r="BJ192" s="7">
        <v>0</v>
      </c>
      <c r="BK192" s="7">
        <v>0</v>
      </c>
      <c r="BL192" s="7">
        <v>0</v>
      </c>
      <c r="BM192" s="10">
        <v>51000</v>
      </c>
      <c r="BN192" s="16">
        <f t="shared" si="7"/>
        <v>51000</v>
      </c>
      <c r="BO192" s="14">
        <f t="shared" si="8"/>
        <v>35700</v>
      </c>
    </row>
    <row r="193" spans="1:67" ht="19.5" x14ac:dyDescent="0.3">
      <c r="A193" s="5" t="s">
        <v>430</v>
      </c>
      <c r="B193" s="5" t="s">
        <v>133</v>
      </c>
      <c r="C193" s="5">
        <v>469075</v>
      </c>
      <c r="D193" s="6"/>
      <c r="E193" s="5" t="s">
        <v>32</v>
      </c>
      <c r="F193" s="5" t="s">
        <v>79</v>
      </c>
      <c r="G193" s="5" t="s">
        <v>34</v>
      </c>
      <c r="H193" s="7" t="s">
        <v>10</v>
      </c>
      <c r="I193" s="7" t="s">
        <v>134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10</v>
      </c>
      <c r="AF193" s="8">
        <v>32500</v>
      </c>
      <c r="AG193" s="8">
        <v>8500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7">
        <v>0</v>
      </c>
      <c r="AP193" s="7">
        <v>0</v>
      </c>
      <c r="AQ193" s="7">
        <v>2</v>
      </c>
      <c r="AR193" s="8">
        <v>8200</v>
      </c>
      <c r="AS193" s="7">
        <v>0</v>
      </c>
      <c r="AT193" s="7">
        <v>0</v>
      </c>
      <c r="AU193" s="7">
        <v>0</v>
      </c>
      <c r="AV193" s="7">
        <v>0</v>
      </c>
      <c r="AW193" s="7">
        <v>0</v>
      </c>
      <c r="AX193" s="7">
        <v>0</v>
      </c>
      <c r="AY193" s="7">
        <v>0</v>
      </c>
      <c r="AZ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F193" s="7">
        <v>0</v>
      </c>
      <c r="BG193" s="7">
        <v>0</v>
      </c>
      <c r="BH193" s="7">
        <v>0</v>
      </c>
      <c r="BI193" s="7">
        <v>0</v>
      </c>
      <c r="BJ193" s="7">
        <v>0</v>
      </c>
      <c r="BK193" s="7">
        <v>0</v>
      </c>
      <c r="BL193" s="7">
        <v>0</v>
      </c>
      <c r="BM193" s="10">
        <v>49200</v>
      </c>
      <c r="BN193" s="16">
        <f t="shared" si="7"/>
        <v>49200</v>
      </c>
      <c r="BO193" s="14">
        <f t="shared" si="8"/>
        <v>34440</v>
      </c>
    </row>
    <row r="194" spans="1:67" ht="19.5" x14ac:dyDescent="0.3">
      <c r="A194" s="5" t="s">
        <v>430</v>
      </c>
      <c r="B194" s="5" t="s">
        <v>131</v>
      </c>
      <c r="C194" s="5">
        <v>425289</v>
      </c>
      <c r="D194" s="6"/>
      <c r="E194" s="5" t="s">
        <v>32</v>
      </c>
      <c r="F194" s="5" t="s">
        <v>117</v>
      </c>
      <c r="G194" s="5" t="s">
        <v>11</v>
      </c>
      <c r="H194" s="7" t="s">
        <v>7</v>
      </c>
      <c r="I194" s="7" t="s">
        <v>132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146</v>
      </c>
      <c r="AF194" s="8">
        <v>14600</v>
      </c>
      <c r="AG194" s="7">
        <v>0</v>
      </c>
      <c r="AH194" s="7">
        <v>0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  <c r="AO194" s="7">
        <v>0</v>
      </c>
      <c r="AP194" s="7">
        <v>0</v>
      </c>
      <c r="AQ194" s="7">
        <v>318</v>
      </c>
      <c r="AR194" s="8">
        <v>31400</v>
      </c>
      <c r="AS194" s="7">
        <v>400</v>
      </c>
      <c r="AT194" s="7">
        <v>0</v>
      </c>
      <c r="AU194" s="7">
        <v>0</v>
      </c>
      <c r="AV194" s="7">
        <v>0</v>
      </c>
      <c r="AW194" s="7">
        <v>0</v>
      </c>
      <c r="AX194" s="7">
        <v>0</v>
      </c>
      <c r="AY194" s="7">
        <v>0</v>
      </c>
      <c r="AZ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F194" s="7">
        <v>0</v>
      </c>
      <c r="BG194" s="7">
        <v>0</v>
      </c>
      <c r="BH194" s="7">
        <v>0</v>
      </c>
      <c r="BI194" s="7">
        <v>0</v>
      </c>
      <c r="BJ194" s="7">
        <v>0</v>
      </c>
      <c r="BK194" s="7">
        <v>0</v>
      </c>
      <c r="BL194" s="7">
        <v>0</v>
      </c>
      <c r="BM194" s="10">
        <v>46400</v>
      </c>
      <c r="BN194" s="16">
        <f t="shared" si="7"/>
        <v>46400</v>
      </c>
      <c r="BO194" s="14">
        <f t="shared" si="8"/>
        <v>32479.999999999996</v>
      </c>
    </row>
    <row r="195" spans="1:67" ht="19.5" x14ac:dyDescent="0.3">
      <c r="A195" s="5" t="s">
        <v>430</v>
      </c>
      <c r="B195" s="5" t="s">
        <v>101</v>
      </c>
      <c r="C195" s="5">
        <v>429621</v>
      </c>
      <c r="D195" s="6"/>
      <c r="E195" s="5" t="s">
        <v>32</v>
      </c>
      <c r="F195" s="5" t="s">
        <v>102</v>
      </c>
      <c r="G195" s="5" t="s">
        <v>11</v>
      </c>
      <c r="H195" s="7" t="s">
        <v>8</v>
      </c>
      <c r="I195" s="7" t="s">
        <v>103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8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309</v>
      </c>
      <c r="AF195" s="8">
        <v>29500</v>
      </c>
      <c r="AG195" s="8">
        <v>1400</v>
      </c>
      <c r="AH195" s="7">
        <v>0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  <c r="AO195" s="7">
        <v>0</v>
      </c>
      <c r="AP195" s="7">
        <v>0</v>
      </c>
      <c r="AQ195" s="7">
        <v>101</v>
      </c>
      <c r="AR195" s="8">
        <v>10100</v>
      </c>
      <c r="AS195" s="7">
        <v>0</v>
      </c>
      <c r="AT195" s="7">
        <v>0</v>
      </c>
      <c r="AU195" s="7">
        <v>0</v>
      </c>
      <c r="AV195" s="7">
        <v>0</v>
      </c>
      <c r="AW195" s="7">
        <v>0</v>
      </c>
      <c r="AX195" s="7">
        <v>0</v>
      </c>
      <c r="AY195" s="7">
        <v>0</v>
      </c>
      <c r="AZ195" s="7">
        <v>0</v>
      </c>
      <c r="BA195" s="7">
        <v>0</v>
      </c>
      <c r="BB195" s="7">
        <v>0</v>
      </c>
      <c r="BC195" s="7">
        <v>0</v>
      </c>
      <c r="BD195" s="7">
        <v>0</v>
      </c>
      <c r="BE195" s="7">
        <v>0</v>
      </c>
      <c r="BF195" s="7">
        <v>0</v>
      </c>
      <c r="BG195" s="7">
        <v>0</v>
      </c>
      <c r="BH195" s="7">
        <v>0</v>
      </c>
      <c r="BI195" s="7">
        <v>0</v>
      </c>
      <c r="BJ195" s="7">
        <v>0</v>
      </c>
      <c r="BK195" s="7">
        <v>0</v>
      </c>
      <c r="BL195" s="7">
        <v>0</v>
      </c>
      <c r="BM195" s="10">
        <v>41000</v>
      </c>
      <c r="BN195" s="16">
        <f t="shared" si="7"/>
        <v>41000</v>
      </c>
      <c r="BO195" s="14">
        <f t="shared" si="8"/>
        <v>28699.999999999996</v>
      </c>
    </row>
    <row r="196" spans="1:67" ht="19.5" x14ac:dyDescent="0.3">
      <c r="A196" s="5" t="s">
        <v>430</v>
      </c>
      <c r="B196" s="5" t="s">
        <v>106</v>
      </c>
      <c r="C196" s="5">
        <v>422032</v>
      </c>
      <c r="D196" s="6"/>
      <c r="E196" s="5" t="s">
        <v>32</v>
      </c>
      <c r="F196" s="5" t="s">
        <v>107</v>
      </c>
      <c r="G196" s="5" t="s">
        <v>11</v>
      </c>
      <c r="H196" s="7" t="s">
        <v>10</v>
      </c>
      <c r="I196" s="7" t="s">
        <v>108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11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364</v>
      </c>
      <c r="AF196" s="8">
        <v>36400</v>
      </c>
      <c r="AG196" s="7">
        <v>0</v>
      </c>
      <c r="AH196" s="7">
        <v>0</v>
      </c>
      <c r="AI196" s="7">
        <v>0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  <c r="AO196" s="7">
        <v>0</v>
      </c>
      <c r="AP196" s="7">
        <v>0</v>
      </c>
      <c r="AQ196" s="7">
        <v>4</v>
      </c>
      <c r="AR196" s="7">
        <v>0</v>
      </c>
      <c r="AS196" s="7">
        <v>400</v>
      </c>
      <c r="AT196" s="7">
        <v>0</v>
      </c>
      <c r="AU196" s="7">
        <v>0</v>
      </c>
      <c r="AV196" s="7">
        <v>0</v>
      </c>
      <c r="AW196" s="7">
        <v>0</v>
      </c>
      <c r="AX196" s="7">
        <v>0</v>
      </c>
      <c r="AY196" s="7">
        <v>0</v>
      </c>
      <c r="AZ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F196" s="7">
        <v>0</v>
      </c>
      <c r="BG196" s="7">
        <v>0</v>
      </c>
      <c r="BH196" s="7">
        <v>0</v>
      </c>
      <c r="BI196" s="7">
        <v>0</v>
      </c>
      <c r="BJ196" s="7">
        <v>0</v>
      </c>
      <c r="BK196" s="7">
        <v>0</v>
      </c>
      <c r="BL196" s="7">
        <v>0</v>
      </c>
      <c r="BM196" s="10">
        <v>36800</v>
      </c>
      <c r="BN196" s="16">
        <f t="shared" si="7"/>
        <v>36800</v>
      </c>
      <c r="BO196" s="14">
        <f t="shared" si="8"/>
        <v>25760</v>
      </c>
    </row>
    <row r="197" spans="1:67" ht="19.5" x14ac:dyDescent="0.3">
      <c r="A197" s="5" t="s">
        <v>430</v>
      </c>
      <c r="B197" s="5" t="s">
        <v>89</v>
      </c>
      <c r="C197" s="5">
        <v>442274</v>
      </c>
      <c r="D197" s="6"/>
      <c r="E197" s="5" t="s">
        <v>32</v>
      </c>
      <c r="F197" s="5" t="s">
        <v>90</v>
      </c>
      <c r="G197" s="5" t="s">
        <v>11</v>
      </c>
      <c r="H197" s="7" t="s">
        <v>7</v>
      </c>
      <c r="I197" s="7" t="s">
        <v>91</v>
      </c>
      <c r="J197" s="7">
        <v>1</v>
      </c>
      <c r="K197" s="7">
        <v>344</v>
      </c>
      <c r="L197" s="7">
        <v>100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156</v>
      </c>
      <c r="AF197" s="8">
        <v>15300</v>
      </c>
      <c r="AG197" s="7">
        <v>300</v>
      </c>
      <c r="AH197" s="7">
        <v>0</v>
      </c>
      <c r="AI197" s="7">
        <v>0</v>
      </c>
      <c r="AJ197" s="7">
        <v>0</v>
      </c>
      <c r="AK197" s="7">
        <v>0</v>
      </c>
      <c r="AL197" s="7">
        <v>0</v>
      </c>
      <c r="AM197" s="7">
        <v>0</v>
      </c>
      <c r="AN197" s="7">
        <v>0</v>
      </c>
      <c r="AO197" s="7">
        <v>0</v>
      </c>
      <c r="AP197" s="7">
        <v>0</v>
      </c>
      <c r="AQ197" s="7">
        <v>175</v>
      </c>
      <c r="AR197" s="8">
        <v>16900</v>
      </c>
      <c r="AS197" s="7">
        <v>600</v>
      </c>
      <c r="AT197" s="7">
        <v>0</v>
      </c>
      <c r="AU197" s="7">
        <v>0</v>
      </c>
      <c r="AV197" s="7">
        <v>0</v>
      </c>
      <c r="AW197" s="7">
        <v>0</v>
      </c>
      <c r="AX197" s="7">
        <v>0</v>
      </c>
      <c r="AY197" s="7">
        <v>0</v>
      </c>
      <c r="AZ197" s="7">
        <v>0</v>
      </c>
      <c r="BA197" s="7">
        <v>0</v>
      </c>
      <c r="BB197" s="7">
        <v>0</v>
      </c>
      <c r="BC197" s="7">
        <v>0</v>
      </c>
      <c r="BD197" s="7">
        <v>0</v>
      </c>
      <c r="BE197" s="7">
        <v>0</v>
      </c>
      <c r="BF197" s="7">
        <v>0</v>
      </c>
      <c r="BG197" s="7">
        <v>0</v>
      </c>
      <c r="BH197" s="7">
        <v>0</v>
      </c>
      <c r="BI197" s="7">
        <v>0</v>
      </c>
      <c r="BJ197" s="7">
        <v>0</v>
      </c>
      <c r="BK197" s="7">
        <v>0</v>
      </c>
      <c r="BL197" s="7">
        <v>0</v>
      </c>
      <c r="BM197" s="10">
        <v>33200</v>
      </c>
      <c r="BN197" s="16">
        <f t="shared" si="7"/>
        <v>33200</v>
      </c>
      <c r="BO197" s="14">
        <f t="shared" si="8"/>
        <v>23240</v>
      </c>
    </row>
    <row r="198" spans="1:67" ht="19.5" x14ac:dyDescent="0.3">
      <c r="A198" s="5" t="s">
        <v>430</v>
      </c>
      <c r="B198" s="5" t="s">
        <v>291</v>
      </c>
      <c r="C198" s="5">
        <v>408579</v>
      </c>
      <c r="D198" s="6"/>
      <c r="E198" s="5" t="s">
        <v>32</v>
      </c>
      <c r="F198" s="5" t="s">
        <v>48</v>
      </c>
      <c r="G198" s="5" t="s">
        <v>11</v>
      </c>
      <c r="H198" s="7" t="s">
        <v>7</v>
      </c>
      <c r="I198" s="7" t="s">
        <v>260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10</v>
      </c>
      <c r="AF198" s="8">
        <v>32000</v>
      </c>
      <c r="AG198" s="7">
        <v>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0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7">
        <v>0</v>
      </c>
      <c r="AV198" s="7">
        <v>0</v>
      </c>
      <c r="AW198" s="7">
        <v>0</v>
      </c>
      <c r="AX198" s="7">
        <v>0</v>
      </c>
      <c r="AY198" s="7">
        <v>0</v>
      </c>
      <c r="AZ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F198" s="7">
        <v>0</v>
      </c>
      <c r="BG198" s="7">
        <v>0</v>
      </c>
      <c r="BH198" s="7">
        <v>0</v>
      </c>
      <c r="BI198" s="7">
        <v>0</v>
      </c>
      <c r="BJ198" s="7">
        <v>0</v>
      </c>
      <c r="BK198" s="7">
        <v>0</v>
      </c>
      <c r="BL198" s="7">
        <v>0</v>
      </c>
      <c r="BM198" s="10">
        <v>32000</v>
      </c>
      <c r="BN198" s="16">
        <f t="shared" si="7"/>
        <v>32000</v>
      </c>
      <c r="BO198" s="14">
        <f t="shared" si="8"/>
        <v>22400</v>
      </c>
    </row>
    <row r="199" spans="1:67" ht="19.5" x14ac:dyDescent="0.3">
      <c r="A199" s="5" t="s">
        <v>430</v>
      </c>
      <c r="B199" s="5" t="s">
        <v>92</v>
      </c>
      <c r="C199" s="5">
        <v>219203</v>
      </c>
      <c r="D199" s="6"/>
      <c r="E199" s="5" t="s">
        <v>32</v>
      </c>
      <c r="F199" s="5" t="s">
        <v>93</v>
      </c>
      <c r="G199" s="5" t="s">
        <v>11</v>
      </c>
      <c r="H199" s="7" t="s">
        <v>7</v>
      </c>
      <c r="I199" s="7" t="s">
        <v>94</v>
      </c>
      <c r="J199" s="7">
        <v>0</v>
      </c>
      <c r="K199" s="7">
        <v>10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218</v>
      </c>
      <c r="AC199" s="8">
        <v>13500</v>
      </c>
      <c r="AD199" s="8">
        <v>8300</v>
      </c>
      <c r="AE199" s="7">
        <v>5</v>
      </c>
      <c r="AF199" s="7">
        <v>300</v>
      </c>
      <c r="AG199" s="8">
        <v>1200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69</v>
      </c>
      <c r="AO199" s="8">
        <v>6900</v>
      </c>
      <c r="AP199" s="7">
        <v>0</v>
      </c>
      <c r="AQ199" s="7">
        <v>0</v>
      </c>
      <c r="AR199" s="7">
        <v>0</v>
      </c>
      <c r="AS199" s="7">
        <v>0</v>
      </c>
      <c r="AT199" s="7">
        <v>0</v>
      </c>
      <c r="AU199" s="7">
        <v>0</v>
      </c>
      <c r="AV199" s="7">
        <v>0</v>
      </c>
      <c r="AW199" s="7">
        <v>0</v>
      </c>
      <c r="AX199" s="7">
        <v>0</v>
      </c>
      <c r="AY199" s="7">
        <v>0</v>
      </c>
      <c r="AZ199" s="7">
        <v>0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F199" s="7">
        <v>0</v>
      </c>
      <c r="BG199" s="7">
        <v>0</v>
      </c>
      <c r="BH199" s="7">
        <v>0</v>
      </c>
      <c r="BI199" s="7">
        <v>0</v>
      </c>
      <c r="BJ199" s="7">
        <v>0</v>
      </c>
      <c r="BK199" s="7">
        <v>0</v>
      </c>
      <c r="BL199" s="7">
        <v>0</v>
      </c>
      <c r="BM199" s="10">
        <v>30200</v>
      </c>
      <c r="BN199" s="16">
        <f t="shared" si="7"/>
        <v>30200</v>
      </c>
      <c r="BO199" s="14">
        <f t="shared" si="8"/>
        <v>21140</v>
      </c>
    </row>
    <row r="200" spans="1:67" ht="19.5" x14ac:dyDescent="0.3">
      <c r="A200" s="5" t="s">
        <v>430</v>
      </c>
      <c r="B200" s="5" t="s">
        <v>437</v>
      </c>
      <c r="C200" s="5">
        <v>428126</v>
      </c>
      <c r="D200" s="6"/>
      <c r="E200" s="5" t="s">
        <v>32</v>
      </c>
      <c r="F200" s="5" t="s">
        <v>67</v>
      </c>
      <c r="G200" s="5" t="s">
        <v>52</v>
      </c>
      <c r="H200" s="7" t="s">
        <v>340</v>
      </c>
      <c r="I200" s="7" t="s">
        <v>438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8</v>
      </c>
      <c r="AF200" s="8">
        <v>17100</v>
      </c>
      <c r="AG200" s="8">
        <v>9100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N200" s="7">
        <v>0</v>
      </c>
      <c r="AO200" s="7">
        <v>0</v>
      </c>
      <c r="AP200" s="7">
        <v>0</v>
      </c>
      <c r="AQ200" s="7">
        <v>1</v>
      </c>
      <c r="AR200" s="8">
        <v>1800</v>
      </c>
      <c r="AS200" s="7">
        <v>0</v>
      </c>
      <c r="AT200" s="7">
        <v>0</v>
      </c>
      <c r="AU200" s="7">
        <v>0</v>
      </c>
      <c r="AV200" s="7">
        <v>0</v>
      </c>
      <c r="AW200" s="7">
        <v>0</v>
      </c>
      <c r="AX200" s="7">
        <v>0</v>
      </c>
      <c r="AY200" s="7">
        <v>0</v>
      </c>
      <c r="AZ200" s="7">
        <v>0</v>
      </c>
      <c r="BA200" s="7">
        <v>0</v>
      </c>
      <c r="BB200" s="7">
        <v>0</v>
      </c>
      <c r="BC200" s="7">
        <v>0</v>
      </c>
      <c r="BD200" s="7">
        <v>0</v>
      </c>
      <c r="BE200" s="7">
        <v>0</v>
      </c>
      <c r="BF200" s="7">
        <v>0</v>
      </c>
      <c r="BG200" s="7">
        <v>0</v>
      </c>
      <c r="BH200" s="7">
        <v>0</v>
      </c>
      <c r="BI200" s="7">
        <v>0</v>
      </c>
      <c r="BJ200" s="7">
        <v>0</v>
      </c>
      <c r="BK200" s="7">
        <v>0</v>
      </c>
      <c r="BL200" s="7">
        <v>0</v>
      </c>
      <c r="BM200" s="10">
        <v>28000</v>
      </c>
      <c r="BN200" s="16">
        <f t="shared" si="7"/>
        <v>28000</v>
      </c>
      <c r="BO200" s="14">
        <f t="shared" si="8"/>
        <v>19600</v>
      </c>
    </row>
    <row r="201" spans="1:67" ht="19.5" x14ac:dyDescent="0.3">
      <c r="A201" s="5" t="s">
        <v>430</v>
      </c>
      <c r="B201" s="5" t="s">
        <v>138</v>
      </c>
      <c r="C201" s="5">
        <v>415710</v>
      </c>
      <c r="D201" s="6"/>
      <c r="E201" s="5" t="s">
        <v>32</v>
      </c>
      <c r="F201" s="5" t="s">
        <v>73</v>
      </c>
      <c r="G201" s="5" t="s">
        <v>52</v>
      </c>
      <c r="H201" s="7" t="s">
        <v>8</v>
      </c>
      <c r="I201" s="7" t="s">
        <v>139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18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75</v>
      </c>
      <c r="AF201" s="8">
        <v>7300</v>
      </c>
      <c r="AG201" s="7">
        <v>200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7">
        <v>0</v>
      </c>
      <c r="AP201" s="7">
        <v>0</v>
      </c>
      <c r="AQ201" s="7">
        <v>199</v>
      </c>
      <c r="AR201" s="8">
        <v>19900</v>
      </c>
      <c r="AS201" s="7">
        <v>0</v>
      </c>
      <c r="AT201" s="7">
        <v>0</v>
      </c>
      <c r="AU201" s="7">
        <v>0</v>
      </c>
      <c r="AV201" s="7">
        <v>0</v>
      </c>
      <c r="AW201" s="7">
        <v>0</v>
      </c>
      <c r="AX201" s="7">
        <v>0</v>
      </c>
      <c r="AY201" s="7">
        <v>0</v>
      </c>
      <c r="AZ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F201" s="7">
        <v>0</v>
      </c>
      <c r="BG201" s="7">
        <v>0</v>
      </c>
      <c r="BH201" s="7">
        <v>0</v>
      </c>
      <c r="BI201" s="7">
        <v>0</v>
      </c>
      <c r="BJ201" s="7">
        <v>0</v>
      </c>
      <c r="BK201" s="7">
        <v>0</v>
      </c>
      <c r="BL201" s="7">
        <v>0</v>
      </c>
      <c r="BM201" s="10">
        <v>27400</v>
      </c>
      <c r="BN201" s="16">
        <f t="shared" si="7"/>
        <v>27400</v>
      </c>
      <c r="BO201" s="14">
        <f t="shared" si="8"/>
        <v>19180</v>
      </c>
    </row>
    <row r="202" spans="1:67" ht="19.5" x14ac:dyDescent="0.3">
      <c r="A202" s="5" t="s">
        <v>430</v>
      </c>
      <c r="B202" s="5" t="s">
        <v>83</v>
      </c>
      <c r="C202" s="5">
        <v>386960</v>
      </c>
      <c r="D202" s="6"/>
      <c r="E202" s="5" t="s">
        <v>32</v>
      </c>
      <c r="F202" s="5" t="s">
        <v>84</v>
      </c>
      <c r="G202" s="5" t="s">
        <v>11</v>
      </c>
      <c r="H202" s="7" t="s">
        <v>7</v>
      </c>
      <c r="I202" s="7" t="s">
        <v>85</v>
      </c>
      <c r="J202" s="7">
        <v>0</v>
      </c>
      <c r="K202" s="7">
        <v>5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17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7">
        <v>266</v>
      </c>
      <c r="AF202" s="8">
        <v>19100</v>
      </c>
      <c r="AG202" s="8">
        <v>7500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  <c r="AM202" s="7">
        <v>0</v>
      </c>
      <c r="AN202" s="7">
        <v>0</v>
      </c>
      <c r="AO202" s="7">
        <v>0</v>
      </c>
      <c r="AP202" s="7">
        <v>0</v>
      </c>
      <c r="AQ202" s="7">
        <v>0</v>
      </c>
      <c r="AR202" s="7">
        <v>0</v>
      </c>
      <c r="AS202" s="7">
        <v>0</v>
      </c>
      <c r="AT202" s="7">
        <v>0</v>
      </c>
      <c r="AU202" s="7">
        <v>0</v>
      </c>
      <c r="AV202" s="7">
        <v>0</v>
      </c>
      <c r="AW202" s="7">
        <v>0</v>
      </c>
      <c r="AX202" s="7">
        <v>0</v>
      </c>
      <c r="AY202" s="7">
        <v>0</v>
      </c>
      <c r="AZ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F202" s="7">
        <v>0</v>
      </c>
      <c r="BG202" s="7">
        <v>0</v>
      </c>
      <c r="BH202" s="7">
        <v>0</v>
      </c>
      <c r="BI202" s="7">
        <v>0</v>
      </c>
      <c r="BJ202" s="7">
        <v>0</v>
      </c>
      <c r="BK202" s="7">
        <v>0</v>
      </c>
      <c r="BL202" s="7">
        <v>0</v>
      </c>
      <c r="BM202" s="10">
        <v>26600</v>
      </c>
      <c r="BN202" s="16">
        <f t="shared" si="7"/>
        <v>26600</v>
      </c>
      <c r="BO202" s="14">
        <f t="shared" si="8"/>
        <v>18620</v>
      </c>
    </row>
    <row r="203" spans="1:67" ht="19.5" x14ac:dyDescent="0.3">
      <c r="A203" s="5" t="s">
        <v>430</v>
      </c>
      <c r="B203" s="5" t="s">
        <v>75</v>
      </c>
      <c r="C203" s="5">
        <v>463946</v>
      </c>
      <c r="D203" s="6"/>
      <c r="E203" s="5" t="s">
        <v>32</v>
      </c>
      <c r="F203" s="5" t="s">
        <v>76</v>
      </c>
      <c r="G203" s="5" t="s">
        <v>11</v>
      </c>
      <c r="H203" s="7" t="s">
        <v>7</v>
      </c>
      <c r="I203" s="7" t="s">
        <v>77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5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247</v>
      </c>
      <c r="AF203" s="8">
        <v>24700</v>
      </c>
      <c r="AG203" s="7">
        <v>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  <c r="AO203" s="7">
        <v>0</v>
      </c>
      <c r="AP203" s="7">
        <v>0</v>
      </c>
      <c r="AQ203" s="7">
        <v>0</v>
      </c>
      <c r="AR203" s="7">
        <v>0</v>
      </c>
      <c r="AS203" s="7">
        <v>0</v>
      </c>
      <c r="AT203" s="7">
        <v>0</v>
      </c>
      <c r="AU203" s="7">
        <v>0</v>
      </c>
      <c r="AV203" s="7">
        <v>0</v>
      </c>
      <c r="AW203" s="7">
        <v>0</v>
      </c>
      <c r="AX203" s="7">
        <v>0</v>
      </c>
      <c r="AY203" s="7">
        <v>0</v>
      </c>
      <c r="AZ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F203" s="7">
        <v>0</v>
      </c>
      <c r="BG203" s="7">
        <v>0</v>
      </c>
      <c r="BH203" s="7">
        <v>0</v>
      </c>
      <c r="BI203" s="7">
        <v>0</v>
      </c>
      <c r="BJ203" s="7">
        <v>0</v>
      </c>
      <c r="BK203" s="7">
        <v>0</v>
      </c>
      <c r="BL203" s="7">
        <v>0</v>
      </c>
      <c r="BM203" s="10">
        <v>24700</v>
      </c>
      <c r="BN203" s="16">
        <f t="shared" si="7"/>
        <v>24700</v>
      </c>
      <c r="BO203" s="14">
        <f t="shared" si="8"/>
        <v>17290</v>
      </c>
    </row>
    <row r="204" spans="1:67" ht="19.5" x14ac:dyDescent="0.3">
      <c r="A204" s="5" t="s">
        <v>430</v>
      </c>
      <c r="B204" s="5" t="s">
        <v>248</v>
      </c>
      <c r="C204" s="5">
        <v>353981</v>
      </c>
      <c r="D204" s="6"/>
      <c r="E204" s="5" t="s">
        <v>32</v>
      </c>
      <c r="F204" s="5" t="s">
        <v>249</v>
      </c>
      <c r="G204" s="5" t="s">
        <v>52</v>
      </c>
      <c r="H204" s="7" t="s">
        <v>8</v>
      </c>
      <c r="I204" s="7" t="s">
        <v>250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9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223</v>
      </c>
      <c r="AF204" s="8">
        <v>13600</v>
      </c>
      <c r="AG204" s="8">
        <v>8700</v>
      </c>
      <c r="AH204" s="7">
        <v>0</v>
      </c>
      <c r="AI204" s="7">
        <v>0</v>
      </c>
      <c r="AJ204" s="7">
        <v>0</v>
      </c>
      <c r="AK204" s="7">
        <v>0</v>
      </c>
      <c r="AL204" s="7">
        <v>0</v>
      </c>
      <c r="AM204" s="7">
        <v>0</v>
      </c>
      <c r="AN204" s="7">
        <v>0</v>
      </c>
      <c r="AO204" s="7">
        <v>0</v>
      </c>
      <c r="AP204" s="7">
        <v>0</v>
      </c>
      <c r="AQ204" s="7">
        <v>0</v>
      </c>
      <c r="AR204" s="7">
        <v>0</v>
      </c>
      <c r="AS204" s="7">
        <v>0</v>
      </c>
      <c r="AT204" s="7">
        <v>0</v>
      </c>
      <c r="AU204" s="7">
        <v>0</v>
      </c>
      <c r="AV204" s="7">
        <v>0</v>
      </c>
      <c r="AW204" s="7">
        <v>0</v>
      </c>
      <c r="AX204" s="7">
        <v>0</v>
      </c>
      <c r="AY204" s="7">
        <v>0</v>
      </c>
      <c r="AZ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F204" s="7">
        <v>0</v>
      </c>
      <c r="BG204" s="7">
        <v>0</v>
      </c>
      <c r="BH204" s="7">
        <v>0</v>
      </c>
      <c r="BI204" s="7">
        <v>0</v>
      </c>
      <c r="BJ204" s="7">
        <v>0</v>
      </c>
      <c r="BK204" s="7">
        <v>0</v>
      </c>
      <c r="BL204" s="7">
        <v>0</v>
      </c>
      <c r="BM204" s="10">
        <v>22300</v>
      </c>
      <c r="BN204" s="16">
        <f t="shared" si="7"/>
        <v>22300</v>
      </c>
      <c r="BO204" s="14">
        <f t="shared" si="8"/>
        <v>15609.999999999998</v>
      </c>
    </row>
    <row r="205" spans="1:67" ht="19.5" x14ac:dyDescent="0.3">
      <c r="A205" s="5" t="s">
        <v>430</v>
      </c>
      <c r="B205" s="5" t="s">
        <v>439</v>
      </c>
      <c r="C205" s="5">
        <v>397392</v>
      </c>
      <c r="D205" s="6"/>
      <c r="E205" s="5" t="s">
        <v>32</v>
      </c>
      <c r="F205" s="5" t="s">
        <v>153</v>
      </c>
      <c r="G205" s="5" t="s">
        <v>52</v>
      </c>
      <c r="H205" s="7" t="s">
        <v>340</v>
      </c>
      <c r="I205" s="7" t="s">
        <v>440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10</v>
      </c>
      <c r="AF205" s="8">
        <v>13000</v>
      </c>
      <c r="AG205" s="8">
        <v>7900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0</v>
      </c>
      <c r="AO205" s="7">
        <v>0</v>
      </c>
      <c r="AP205" s="7">
        <v>0</v>
      </c>
      <c r="AQ205" s="7">
        <v>1</v>
      </c>
      <c r="AR205" s="8">
        <v>1100</v>
      </c>
      <c r="AS205" s="7">
        <v>0</v>
      </c>
      <c r="AT205" s="7">
        <v>0</v>
      </c>
      <c r="AU205" s="7">
        <v>0</v>
      </c>
      <c r="AV205" s="7">
        <v>0</v>
      </c>
      <c r="AW205" s="7">
        <v>0</v>
      </c>
      <c r="AX205" s="7">
        <v>0</v>
      </c>
      <c r="AY205" s="7">
        <v>0</v>
      </c>
      <c r="AZ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F205" s="7">
        <v>0</v>
      </c>
      <c r="BG205" s="7">
        <v>0</v>
      </c>
      <c r="BH205" s="7">
        <v>0</v>
      </c>
      <c r="BI205" s="7">
        <v>0</v>
      </c>
      <c r="BJ205" s="7">
        <v>0</v>
      </c>
      <c r="BK205" s="7">
        <v>0</v>
      </c>
      <c r="BL205" s="7">
        <v>0</v>
      </c>
      <c r="BM205" s="10">
        <v>22000</v>
      </c>
      <c r="BN205" s="16">
        <f t="shared" si="7"/>
        <v>22000</v>
      </c>
      <c r="BO205" s="14">
        <f t="shared" si="8"/>
        <v>15399.999999999998</v>
      </c>
    </row>
    <row r="206" spans="1:67" ht="19.5" x14ac:dyDescent="0.3">
      <c r="A206" s="5" t="s">
        <v>430</v>
      </c>
      <c r="B206" s="5" t="s">
        <v>441</v>
      </c>
      <c r="C206" s="5">
        <v>431802</v>
      </c>
      <c r="D206" s="6"/>
      <c r="E206" s="5" t="s">
        <v>32</v>
      </c>
      <c r="F206" s="5" t="s">
        <v>153</v>
      </c>
      <c r="G206" s="5" t="s">
        <v>52</v>
      </c>
      <c r="H206" s="7" t="s">
        <v>340</v>
      </c>
      <c r="I206" s="7" t="s">
        <v>442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9</v>
      </c>
      <c r="AF206" s="8">
        <v>12700</v>
      </c>
      <c r="AG206" s="8">
        <v>8900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7">
        <v>0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0</v>
      </c>
      <c r="AV206" s="7">
        <v>0</v>
      </c>
      <c r="AW206" s="7">
        <v>0</v>
      </c>
      <c r="AX206" s="7">
        <v>0</v>
      </c>
      <c r="AY206" s="7">
        <v>0</v>
      </c>
      <c r="AZ206" s="7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0</v>
      </c>
      <c r="BF206" s="7">
        <v>0</v>
      </c>
      <c r="BG206" s="7">
        <v>0</v>
      </c>
      <c r="BH206" s="7">
        <v>0</v>
      </c>
      <c r="BI206" s="7">
        <v>0</v>
      </c>
      <c r="BJ206" s="7">
        <v>0</v>
      </c>
      <c r="BK206" s="7">
        <v>0</v>
      </c>
      <c r="BL206" s="7">
        <v>0</v>
      </c>
      <c r="BM206" s="10">
        <v>21600</v>
      </c>
      <c r="BN206" s="16">
        <f t="shared" si="7"/>
        <v>21600</v>
      </c>
      <c r="BO206" s="14">
        <f t="shared" si="8"/>
        <v>15119.999999999998</v>
      </c>
    </row>
    <row r="207" spans="1:67" ht="19.5" x14ac:dyDescent="0.3">
      <c r="A207" s="5" t="s">
        <v>430</v>
      </c>
      <c r="B207" s="5" t="s">
        <v>273</v>
      </c>
      <c r="C207" s="5">
        <v>341374</v>
      </c>
      <c r="D207" s="6"/>
      <c r="E207" s="5" t="s">
        <v>32</v>
      </c>
      <c r="F207" s="5" t="s">
        <v>153</v>
      </c>
      <c r="G207" s="5" t="s">
        <v>52</v>
      </c>
      <c r="H207" s="7" t="s">
        <v>8</v>
      </c>
      <c r="I207" s="7" t="s">
        <v>274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13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214</v>
      </c>
      <c r="AF207" s="8">
        <v>9800</v>
      </c>
      <c r="AG207" s="8">
        <v>11600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7">
        <v>0</v>
      </c>
      <c r="AN207" s="7">
        <v>0</v>
      </c>
      <c r="AO207" s="7">
        <v>0</v>
      </c>
      <c r="AP207" s="7">
        <v>0</v>
      </c>
      <c r="AQ207" s="7">
        <v>0</v>
      </c>
      <c r="AR207" s="7">
        <v>0</v>
      </c>
      <c r="AS207" s="7">
        <v>0</v>
      </c>
      <c r="AT207" s="7">
        <v>0</v>
      </c>
      <c r="AU207" s="7">
        <v>0</v>
      </c>
      <c r="AV207" s="7">
        <v>0</v>
      </c>
      <c r="AW207" s="7">
        <v>0</v>
      </c>
      <c r="AX207" s="7">
        <v>0</v>
      </c>
      <c r="AY207" s="7">
        <v>0</v>
      </c>
      <c r="AZ207" s="7">
        <v>0</v>
      </c>
      <c r="BA207" s="7">
        <v>0</v>
      </c>
      <c r="BB207" s="7">
        <v>0</v>
      </c>
      <c r="BC207" s="7">
        <v>0</v>
      </c>
      <c r="BD207" s="7">
        <v>0</v>
      </c>
      <c r="BE207" s="7">
        <v>0</v>
      </c>
      <c r="BF207" s="7">
        <v>0</v>
      </c>
      <c r="BG207" s="7">
        <v>0</v>
      </c>
      <c r="BH207" s="7">
        <v>0</v>
      </c>
      <c r="BI207" s="7">
        <v>0</v>
      </c>
      <c r="BJ207" s="7">
        <v>0</v>
      </c>
      <c r="BK207" s="7">
        <v>0</v>
      </c>
      <c r="BL207" s="7">
        <v>0</v>
      </c>
      <c r="BM207" s="10">
        <v>21400</v>
      </c>
      <c r="BN207" s="16">
        <f t="shared" si="7"/>
        <v>21400</v>
      </c>
      <c r="BO207" s="14">
        <f t="shared" si="8"/>
        <v>14979.999999999998</v>
      </c>
    </row>
    <row r="208" spans="1:67" ht="19.5" x14ac:dyDescent="0.3">
      <c r="A208" s="5" t="s">
        <v>430</v>
      </c>
      <c r="B208" s="5" t="s">
        <v>443</v>
      </c>
      <c r="C208" s="5">
        <v>399402</v>
      </c>
      <c r="D208" s="6"/>
      <c r="E208" s="5" t="s">
        <v>32</v>
      </c>
      <c r="F208" s="5" t="s">
        <v>60</v>
      </c>
      <c r="G208" s="5" t="s">
        <v>52</v>
      </c>
      <c r="H208" s="7" t="s">
        <v>340</v>
      </c>
      <c r="I208" s="7" t="s">
        <v>444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4</v>
      </c>
      <c r="AF208" s="8">
        <v>9400</v>
      </c>
      <c r="AG208" s="7">
        <v>300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7">
        <v>0</v>
      </c>
      <c r="AP208" s="7">
        <v>0</v>
      </c>
      <c r="AQ208" s="7">
        <v>4</v>
      </c>
      <c r="AR208" s="8">
        <v>11100</v>
      </c>
      <c r="AS208" s="7">
        <v>200</v>
      </c>
      <c r="AT208" s="7">
        <v>0</v>
      </c>
      <c r="AU208" s="7">
        <v>0</v>
      </c>
      <c r="AV208" s="7">
        <v>0</v>
      </c>
      <c r="AW208" s="7">
        <v>0</v>
      </c>
      <c r="AX208" s="7">
        <v>0</v>
      </c>
      <c r="AY208" s="7">
        <v>0</v>
      </c>
      <c r="AZ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F208" s="7">
        <v>0</v>
      </c>
      <c r="BG208" s="7">
        <v>0</v>
      </c>
      <c r="BH208" s="7">
        <v>0</v>
      </c>
      <c r="BI208" s="7">
        <v>0</v>
      </c>
      <c r="BJ208" s="7">
        <v>0</v>
      </c>
      <c r="BK208" s="7">
        <v>0</v>
      </c>
      <c r="BL208" s="7">
        <v>0</v>
      </c>
      <c r="BM208" s="10">
        <v>21000</v>
      </c>
      <c r="BN208" s="16">
        <f t="shared" si="7"/>
        <v>21000</v>
      </c>
      <c r="BO208" s="14">
        <f t="shared" si="8"/>
        <v>14699.999999999998</v>
      </c>
    </row>
    <row r="209" spans="1:67" ht="19.5" x14ac:dyDescent="0.3">
      <c r="A209" s="5" t="s">
        <v>430</v>
      </c>
      <c r="B209" s="5" t="s">
        <v>445</v>
      </c>
      <c r="C209" s="5">
        <v>446880</v>
      </c>
      <c r="D209" s="6"/>
      <c r="E209" s="5" t="s">
        <v>32</v>
      </c>
      <c r="F209" s="5" t="s">
        <v>301</v>
      </c>
      <c r="G209" s="5" t="s">
        <v>52</v>
      </c>
      <c r="H209" s="7" t="s">
        <v>340</v>
      </c>
      <c r="I209" s="7" t="s">
        <v>351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4</v>
      </c>
      <c r="AF209" s="8">
        <v>4500</v>
      </c>
      <c r="AG209" s="8">
        <v>9500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0</v>
      </c>
      <c r="AP209" s="7">
        <v>0</v>
      </c>
      <c r="AQ209" s="7">
        <v>2</v>
      </c>
      <c r="AR209" s="8">
        <v>7000</v>
      </c>
      <c r="AS209" s="7">
        <v>0</v>
      </c>
      <c r="AT209" s="7">
        <v>0</v>
      </c>
      <c r="AU209" s="7">
        <v>0</v>
      </c>
      <c r="AV209" s="7">
        <v>0</v>
      </c>
      <c r="AW209" s="7">
        <v>0</v>
      </c>
      <c r="AX209" s="7">
        <v>0</v>
      </c>
      <c r="AY209" s="7">
        <v>0</v>
      </c>
      <c r="AZ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F209" s="7">
        <v>0</v>
      </c>
      <c r="BG209" s="7">
        <v>0</v>
      </c>
      <c r="BH209" s="7">
        <v>0</v>
      </c>
      <c r="BI209" s="7">
        <v>0</v>
      </c>
      <c r="BJ209" s="7">
        <v>0</v>
      </c>
      <c r="BK209" s="7">
        <v>0</v>
      </c>
      <c r="BL209" s="7">
        <v>0</v>
      </c>
      <c r="BM209" s="10">
        <v>21000</v>
      </c>
      <c r="BN209" s="16">
        <f t="shared" si="7"/>
        <v>21000</v>
      </c>
      <c r="BO209" s="14">
        <f t="shared" si="8"/>
        <v>14699.999999999998</v>
      </c>
    </row>
    <row r="210" spans="1:67" ht="19.5" x14ac:dyDescent="0.3">
      <c r="A210" s="5" t="s">
        <v>430</v>
      </c>
      <c r="B210" s="5" t="s">
        <v>446</v>
      </c>
      <c r="C210" s="5">
        <v>377683</v>
      </c>
      <c r="D210" s="6"/>
      <c r="E210" s="5" t="s">
        <v>32</v>
      </c>
      <c r="F210" s="5" t="s">
        <v>51</v>
      </c>
      <c r="G210" s="5" t="s">
        <v>52</v>
      </c>
      <c r="H210" s="7" t="s">
        <v>340</v>
      </c>
      <c r="I210" s="7" t="s">
        <v>447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5</v>
      </c>
      <c r="AF210" s="8">
        <v>9000</v>
      </c>
      <c r="AG210" s="8">
        <v>6000</v>
      </c>
      <c r="AH210" s="7">
        <v>0</v>
      </c>
      <c r="AI210" s="7">
        <v>0</v>
      </c>
      <c r="AJ210" s="7">
        <v>0</v>
      </c>
      <c r="AK210" s="7">
        <v>0</v>
      </c>
      <c r="AL210" s="7">
        <v>0</v>
      </c>
      <c r="AM210" s="7">
        <v>0</v>
      </c>
      <c r="AN210" s="7">
        <v>0</v>
      </c>
      <c r="AO210" s="7">
        <v>0</v>
      </c>
      <c r="AP210" s="7">
        <v>0</v>
      </c>
      <c r="AQ210" s="7">
        <v>2</v>
      </c>
      <c r="AR210" s="8">
        <v>6000</v>
      </c>
      <c r="AS210" s="7">
        <v>0</v>
      </c>
      <c r="AT210" s="7">
        <v>0</v>
      </c>
      <c r="AU210" s="7">
        <v>0</v>
      </c>
      <c r="AV210" s="7">
        <v>0</v>
      </c>
      <c r="AW210" s="7">
        <v>0</v>
      </c>
      <c r="AX210" s="7">
        <v>0</v>
      </c>
      <c r="AY210" s="7">
        <v>0</v>
      </c>
      <c r="AZ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F210" s="7">
        <v>0</v>
      </c>
      <c r="BG210" s="7">
        <v>0</v>
      </c>
      <c r="BH210" s="7">
        <v>0</v>
      </c>
      <c r="BI210" s="7">
        <v>0</v>
      </c>
      <c r="BJ210" s="7">
        <v>0</v>
      </c>
      <c r="BK210" s="7">
        <v>0</v>
      </c>
      <c r="BL210" s="7">
        <v>0</v>
      </c>
      <c r="BM210" s="10">
        <v>21000</v>
      </c>
      <c r="BN210" s="16">
        <f t="shared" si="7"/>
        <v>21000</v>
      </c>
      <c r="BO210" s="14">
        <f t="shared" si="8"/>
        <v>14699.999999999998</v>
      </c>
    </row>
    <row r="211" spans="1:67" ht="19.5" x14ac:dyDescent="0.3">
      <c r="A211" s="5" t="s">
        <v>430</v>
      </c>
      <c r="B211" s="5" t="s">
        <v>207</v>
      </c>
      <c r="C211" s="5">
        <v>378409</v>
      </c>
      <c r="D211" s="6"/>
      <c r="E211" s="5" t="s">
        <v>32</v>
      </c>
      <c r="F211" s="5" t="s">
        <v>67</v>
      </c>
      <c r="G211" s="5" t="s">
        <v>52</v>
      </c>
      <c r="H211" s="7" t="s">
        <v>8</v>
      </c>
      <c r="I211" s="7" t="s">
        <v>208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13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199</v>
      </c>
      <c r="AF211" s="8">
        <v>12500</v>
      </c>
      <c r="AG211" s="8">
        <v>7400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7">
        <v>0</v>
      </c>
      <c r="AP211" s="7">
        <v>0</v>
      </c>
      <c r="AQ211" s="7">
        <v>0</v>
      </c>
      <c r="AR211" s="7">
        <v>0</v>
      </c>
      <c r="AS211" s="7">
        <v>0</v>
      </c>
      <c r="AT211" s="7">
        <v>0</v>
      </c>
      <c r="AU211" s="7">
        <v>0</v>
      </c>
      <c r="AV211" s="7">
        <v>0</v>
      </c>
      <c r="AW211" s="7">
        <v>0</v>
      </c>
      <c r="AX211" s="7">
        <v>0</v>
      </c>
      <c r="AY211" s="7">
        <v>0</v>
      </c>
      <c r="AZ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F211" s="7">
        <v>0</v>
      </c>
      <c r="BG211" s="7">
        <v>0</v>
      </c>
      <c r="BH211" s="7">
        <v>0</v>
      </c>
      <c r="BI211" s="7">
        <v>0</v>
      </c>
      <c r="BJ211" s="7">
        <v>0</v>
      </c>
      <c r="BK211" s="7">
        <v>0</v>
      </c>
      <c r="BL211" s="7">
        <v>0</v>
      </c>
      <c r="BM211" s="10">
        <v>19900</v>
      </c>
      <c r="BN211" s="16">
        <f t="shared" si="7"/>
        <v>19900</v>
      </c>
      <c r="BO211" s="14">
        <f t="shared" si="8"/>
        <v>13930</v>
      </c>
    </row>
    <row r="212" spans="1:67" ht="19.5" x14ac:dyDescent="0.3">
      <c r="A212" s="5" t="s">
        <v>430</v>
      </c>
      <c r="B212" s="5" t="s">
        <v>448</v>
      </c>
      <c r="C212" s="5">
        <v>383234</v>
      </c>
      <c r="D212" s="6"/>
      <c r="E212" s="5" t="s">
        <v>32</v>
      </c>
      <c r="F212" s="5" t="s">
        <v>153</v>
      </c>
      <c r="G212" s="5" t="s">
        <v>52</v>
      </c>
      <c r="H212" s="7" t="s">
        <v>340</v>
      </c>
      <c r="I212" s="7" t="s">
        <v>154</v>
      </c>
      <c r="J212" s="7">
        <v>0</v>
      </c>
      <c r="K212" s="7">
        <v>0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6</v>
      </c>
      <c r="AF212" s="8">
        <v>19000</v>
      </c>
      <c r="AG212" s="7">
        <v>200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  <c r="AN212" s="7">
        <v>0</v>
      </c>
      <c r="AO212" s="7">
        <v>0</v>
      </c>
      <c r="AP212" s="7">
        <v>0</v>
      </c>
      <c r="AQ212" s="7">
        <v>0</v>
      </c>
      <c r="AR212" s="7">
        <v>0</v>
      </c>
      <c r="AS212" s="7">
        <v>0</v>
      </c>
      <c r="AT212" s="7">
        <v>0</v>
      </c>
      <c r="AU212" s="7">
        <v>0</v>
      </c>
      <c r="AV212" s="7">
        <v>0</v>
      </c>
      <c r="AW212" s="7">
        <v>0</v>
      </c>
      <c r="AX212" s="7">
        <v>0</v>
      </c>
      <c r="AY212" s="7">
        <v>0</v>
      </c>
      <c r="AZ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F212" s="7">
        <v>0</v>
      </c>
      <c r="BG212" s="7">
        <v>0</v>
      </c>
      <c r="BH212" s="7">
        <v>0</v>
      </c>
      <c r="BI212" s="7">
        <v>0</v>
      </c>
      <c r="BJ212" s="7">
        <v>0</v>
      </c>
      <c r="BK212" s="7">
        <v>0</v>
      </c>
      <c r="BL212" s="7">
        <v>0</v>
      </c>
      <c r="BM212" s="10">
        <v>19200</v>
      </c>
      <c r="BN212" s="16">
        <f t="shared" si="7"/>
        <v>19200</v>
      </c>
      <c r="BO212" s="14">
        <f t="shared" si="8"/>
        <v>13440</v>
      </c>
    </row>
    <row r="213" spans="1:67" ht="19.5" x14ac:dyDescent="0.3">
      <c r="A213" s="5" t="s">
        <v>430</v>
      </c>
      <c r="B213" s="5" t="s">
        <v>86</v>
      </c>
      <c r="C213" s="5">
        <v>387417</v>
      </c>
      <c r="D213" s="6"/>
      <c r="E213" s="5" t="s">
        <v>32</v>
      </c>
      <c r="F213" s="5" t="s">
        <v>87</v>
      </c>
      <c r="G213" s="5" t="s">
        <v>11</v>
      </c>
      <c r="H213" s="7" t="s">
        <v>7</v>
      </c>
      <c r="I213" s="7" t="s">
        <v>88</v>
      </c>
      <c r="J213" s="7">
        <v>0</v>
      </c>
      <c r="K213" s="7">
        <v>1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1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177</v>
      </c>
      <c r="AF213" s="8">
        <v>15400</v>
      </c>
      <c r="AG213" s="8">
        <v>2300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  <c r="AN213" s="7">
        <v>0</v>
      </c>
      <c r="AO213" s="7">
        <v>0</v>
      </c>
      <c r="AP213" s="7">
        <v>0</v>
      </c>
      <c r="AQ213" s="7">
        <v>12</v>
      </c>
      <c r="AR213" s="8">
        <v>1100</v>
      </c>
      <c r="AS213" s="7">
        <v>100</v>
      </c>
      <c r="AT213" s="7">
        <v>0</v>
      </c>
      <c r="AU213" s="7">
        <v>0</v>
      </c>
      <c r="AV213" s="7">
        <v>0</v>
      </c>
      <c r="AW213" s="7">
        <v>0</v>
      </c>
      <c r="AX213" s="7">
        <v>0</v>
      </c>
      <c r="AY213" s="7">
        <v>0</v>
      </c>
      <c r="AZ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F213" s="7">
        <v>0</v>
      </c>
      <c r="BG213" s="7">
        <v>0</v>
      </c>
      <c r="BH213" s="7">
        <v>0</v>
      </c>
      <c r="BI213" s="7">
        <v>0</v>
      </c>
      <c r="BJ213" s="7">
        <v>0</v>
      </c>
      <c r="BK213" s="7">
        <v>0</v>
      </c>
      <c r="BL213" s="7">
        <v>0</v>
      </c>
      <c r="BM213" s="10">
        <v>18900</v>
      </c>
      <c r="BN213" s="16">
        <f t="shared" si="7"/>
        <v>18900</v>
      </c>
      <c r="BO213" s="14">
        <f t="shared" si="8"/>
        <v>13230</v>
      </c>
    </row>
    <row r="214" spans="1:67" ht="19.5" x14ac:dyDescent="0.3">
      <c r="A214" s="5" t="s">
        <v>430</v>
      </c>
      <c r="B214" s="5" t="s">
        <v>379</v>
      </c>
      <c r="C214" s="5">
        <v>278898</v>
      </c>
      <c r="D214" s="6"/>
      <c r="E214" s="5" t="s">
        <v>32</v>
      </c>
      <c r="F214" s="5" t="s">
        <v>380</v>
      </c>
      <c r="G214" s="5" t="s">
        <v>11</v>
      </c>
      <c r="H214" s="7" t="s">
        <v>7</v>
      </c>
      <c r="I214" s="7" t="s">
        <v>381</v>
      </c>
      <c r="J214" s="7">
        <v>0</v>
      </c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12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0</v>
      </c>
      <c r="AE214" s="7">
        <v>174</v>
      </c>
      <c r="AF214" s="8">
        <v>13500</v>
      </c>
      <c r="AG214" s="8">
        <v>3900</v>
      </c>
      <c r="AH214" s="7">
        <v>0</v>
      </c>
      <c r="AI214" s="7">
        <v>0</v>
      </c>
      <c r="AJ214" s="7">
        <v>0</v>
      </c>
      <c r="AK214" s="7">
        <v>0</v>
      </c>
      <c r="AL214" s="7">
        <v>0</v>
      </c>
      <c r="AM214" s="7">
        <v>0</v>
      </c>
      <c r="AN214" s="7">
        <v>0</v>
      </c>
      <c r="AO214" s="7">
        <v>0</v>
      </c>
      <c r="AP214" s="7">
        <v>0</v>
      </c>
      <c r="AQ214" s="7">
        <v>0</v>
      </c>
      <c r="AR214" s="7">
        <v>0</v>
      </c>
      <c r="AS214" s="7">
        <v>0</v>
      </c>
      <c r="AT214" s="7">
        <v>0</v>
      </c>
      <c r="AU214" s="7">
        <v>0</v>
      </c>
      <c r="AV214" s="7">
        <v>0</v>
      </c>
      <c r="AW214" s="7">
        <v>0</v>
      </c>
      <c r="AX214" s="7">
        <v>0</v>
      </c>
      <c r="AY214" s="7">
        <v>0</v>
      </c>
      <c r="AZ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F214" s="7">
        <v>0</v>
      </c>
      <c r="BG214" s="7">
        <v>0</v>
      </c>
      <c r="BH214" s="7">
        <v>0</v>
      </c>
      <c r="BI214" s="7">
        <v>0</v>
      </c>
      <c r="BJ214" s="7">
        <v>0</v>
      </c>
      <c r="BK214" s="7">
        <v>0</v>
      </c>
      <c r="BL214" s="7">
        <v>0</v>
      </c>
      <c r="BM214" s="10">
        <v>17400</v>
      </c>
      <c r="BN214" s="16">
        <f t="shared" si="7"/>
        <v>17400</v>
      </c>
      <c r="BO214" s="14">
        <f t="shared" si="8"/>
        <v>12180</v>
      </c>
    </row>
    <row r="215" spans="1:67" ht="19.5" x14ac:dyDescent="0.3">
      <c r="A215" s="5" t="s">
        <v>430</v>
      </c>
      <c r="B215" s="5" t="s">
        <v>123</v>
      </c>
      <c r="C215" s="5">
        <v>394830</v>
      </c>
      <c r="D215" s="6"/>
      <c r="E215" s="5" t="s">
        <v>32</v>
      </c>
      <c r="F215" s="5" t="s">
        <v>60</v>
      </c>
      <c r="G215" s="5" t="s">
        <v>52</v>
      </c>
      <c r="H215" s="7" t="s">
        <v>8</v>
      </c>
      <c r="I215" s="7" t="s">
        <v>124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6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134</v>
      </c>
      <c r="AF215" s="8">
        <v>12800</v>
      </c>
      <c r="AG215" s="7">
        <v>600</v>
      </c>
      <c r="AH215" s="7">
        <v>0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7">
        <v>0</v>
      </c>
      <c r="AP215" s="7">
        <v>0</v>
      </c>
      <c r="AQ215" s="7">
        <v>34</v>
      </c>
      <c r="AR215" s="8">
        <v>3400</v>
      </c>
      <c r="AS215" s="7">
        <v>0</v>
      </c>
      <c r="AT215" s="7">
        <v>0</v>
      </c>
      <c r="AU215" s="7">
        <v>0</v>
      </c>
      <c r="AV215" s="7">
        <v>0</v>
      </c>
      <c r="AW215" s="7">
        <v>0</v>
      </c>
      <c r="AX215" s="7">
        <v>0</v>
      </c>
      <c r="AY215" s="7">
        <v>0</v>
      </c>
      <c r="AZ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F215" s="7">
        <v>0</v>
      </c>
      <c r="BG215" s="7">
        <v>0</v>
      </c>
      <c r="BH215" s="7">
        <v>0</v>
      </c>
      <c r="BI215" s="7">
        <v>0</v>
      </c>
      <c r="BJ215" s="7">
        <v>0</v>
      </c>
      <c r="BK215" s="7">
        <v>0</v>
      </c>
      <c r="BL215" s="7">
        <v>0</v>
      </c>
      <c r="BM215" s="10">
        <v>16800</v>
      </c>
      <c r="BN215" s="16">
        <f t="shared" si="7"/>
        <v>16800</v>
      </c>
      <c r="BO215" s="14">
        <f t="shared" si="8"/>
        <v>11760</v>
      </c>
    </row>
    <row r="216" spans="1:67" ht="19.5" x14ac:dyDescent="0.3">
      <c r="A216" s="5" t="s">
        <v>430</v>
      </c>
      <c r="B216" s="5" t="s">
        <v>222</v>
      </c>
      <c r="C216" s="5">
        <v>458566</v>
      </c>
      <c r="D216" s="6"/>
      <c r="E216" s="5" t="s">
        <v>32</v>
      </c>
      <c r="F216" s="5" t="s">
        <v>48</v>
      </c>
      <c r="G216" s="5" t="s">
        <v>11</v>
      </c>
      <c r="H216" s="7" t="s">
        <v>7</v>
      </c>
      <c r="I216" s="7" t="s">
        <v>223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5</v>
      </c>
      <c r="AF216" s="8">
        <v>16000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  <c r="AQ216" s="7">
        <v>0</v>
      </c>
      <c r="AR216" s="7">
        <v>0</v>
      </c>
      <c r="AS216" s="7">
        <v>0</v>
      </c>
      <c r="AT216" s="7">
        <v>0</v>
      </c>
      <c r="AU216" s="7">
        <v>0</v>
      </c>
      <c r="AV216" s="7">
        <v>0</v>
      </c>
      <c r="AW216" s="7">
        <v>0</v>
      </c>
      <c r="AX216" s="7">
        <v>0</v>
      </c>
      <c r="AY216" s="7">
        <v>0</v>
      </c>
      <c r="AZ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F216" s="7">
        <v>0</v>
      </c>
      <c r="BG216" s="7">
        <v>0</v>
      </c>
      <c r="BH216" s="7">
        <v>0</v>
      </c>
      <c r="BI216" s="7">
        <v>0</v>
      </c>
      <c r="BJ216" s="7">
        <v>0</v>
      </c>
      <c r="BK216" s="7">
        <v>0</v>
      </c>
      <c r="BL216" s="7">
        <v>0</v>
      </c>
      <c r="BM216" s="10">
        <v>16000</v>
      </c>
      <c r="BN216" s="16">
        <f t="shared" si="7"/>
        <v>16000</v>
      </c>
      <c r="BO216" s="14">
        <f t="shared" si="8"/>
        <v>11200</v>
      </c>
    </row>
    <row r="217" spans="1:67" ht="19.5" x14ac:dyDescent="0.3">
      <c r="A217" s="5" t="s">
        <v>430</v>
      </c>
      <c r="B217" s="5" t="s">
        <v>449</v>
      </c>
      <c r="C217" s="5">
        <v>463952</v>
      </c>
      <c r="D217" s="6"/>
      <c r="E217" s="5" t="s">
        <v>32</v>
      </c>
      <c r="F217" s="5" t="s">
        <v>298</v>
      </c>
      <c r="G217" s="5" t="s">
        <v>11</v>
      </c>
      <c r="H217" s="7" t="s">
        <v>7</v>
      </c>
      <c r="I217" s="7" t="s">
        <v>77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5</v>
      </c>
      <c r="AF217" s="8">
        <v>16000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0</v>
      </c>
      <c r="AP217" s="7">
        <v>0</v>
      </c>
      <c r="AQ217" s="7">
        <v>0</v>
      </c>
      <c r="AR217" s="7">
        <v>0</v>
      </c>
      <c r="AS217" s="7">
        <v>0</v>
      </c>
      <c r="AT217" s="7">
        <v>0</v>
      </c>
      <c r="AU217" s="7">
        <v>0</v>
      </c>
      <c r="AV217" s="7">
        <v>0</v>
      </c>
      <c r="AW217" s="7">
        <v>0</v>
      </c>
      <c r="AX217" s="7">
        <v>0</v>
      </c>
      <c r="AY217" s="7">
        <v>0</v>
      </c>
      <c r="AZ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F217" s="7">
        <v>0</v>
      </c>
      <c r="BG217" s="7">
        <v>0</v>
      </c>
      <c r="BH217" s="7">
        <v>0</v>
      </c>
      <c r="BI217" s="7">
        <v>0</v>
      </c>
      <c r="BJ217" s="7">
        <v>0</v>
      </c>
      <c r="BK217" s="7">
        <v>0</v>
      </c>
      <c r="BL217" s="7">
        <v>0</v>
      </c>
      <c r="BM217" s="10">
        <v>16000</v>
      </c>
      <c r="BN217" s="16">
        <f t="shared" si="7"/>
        <v>16000</v>
      </c>
      <c r="BO217" s="14">
        <f t="shared" si="8"/>
        <v>11200</v>
      </c>
    </row>
    <row r="218" spans="1:67" ht="19.5" x14ac:dyDescent="0.3">
      <c r="A218" s="5" t="s">
        <v>430</v>
      </c>
      <c r="B218" s="5" t="s">
        <v>450</v>
      </c>
      <c r="C218" s="5">
        <v>384110</v>
      </c>
      <c r="D218" s="6"/>
      <c r="E218" s="5" t="s">
        <v>32</v>
      </c>
      <c r="F218" s="5" t="s">
        <v>404</v>
      </c>
      <c r="G218" s="5" t="s">
        <v>52</v>
      </c>
      <c r="H218" s="7" t="s">
        <v>340</v>
      </c>
      <c r="I218" s="7" t="s">
        <v>451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4</v>
      </c>
      <c r="AF218" s="8">
        <v>16000</v>
      </c>
      <c r="AG218" s="7">
        <v>0</v>
      </c>
      <c r="AH218" s="7">
        <v>0</v>
      </c>
      <c r="AI218" s="7">
        <v>0</v>
      </c>
      <c r="AJ218" s="7">
        <v>0</v>
      </c>
      <c r="AK218" s="7">
        <v>0</v>
      </c>
      <c r="AL218" s="7">
        <v>0</v>
      </c>
      <c r="AM218" s="7">
        <v>0</v>
      </c>
      <c r="AN218" s="7">
        <v>0</v>
      </c>
      <c r="AO218" s="7">
        <v>0</v>
      </c>
      <c r="AP218" s="7">
        <v>0</v>
      </c>
      <c r="AQ218" s="7">
        <v>0</v>
      </c>
      <c r="AR218" s="7">
        <v>0</v>
      </c>
      <c r="AS218" s="7">
        <v>0</v>
      </c>
      <c r="AT218" s="7">
        <v>0</v>
      </c>
      <c r="AU218" s="7">
        <v>0</v>
      </c>
      <c r="AV218" s="7">
        <v>0</v>
      </c>
      <c r="AW218" s="7">
        <v>0</v>
      </c>
      <c r="AX218" s="7">
        <v>0</v>
      </c>
      <c r="AY218" s="7">
        <v>0</v>
      </c>
      <c r="AZ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F218" s="7">
        <v>0</v>
      </c>
      <c r="BG218" s="7">
        <v>0</v>
      </c>
      <c r="BH218" s="7">
        <v>0</v>
      </c>
      <c r="BI218" s="7">
        <v>0</v>
      </c>
      <c r="BJ218" s="7">
        <v>0</v>
      </c>
      <c r="BK218" s="7">
        <v>0</v>
      </c>
      <c r="BL218" s="7">
        <v>0</v>
      </c>
      <c r="BM218" s="10">
        <v>16000</v>
      </c>
      <c r="BN218" s="16">
        <f t="shared" si="7"/>
        <v>16000</v>
      </c>
      <c r="BO218" s="14">
        <f t="shared" si="8"/>
        <v>11200</v>
      </c>
    </row>
    <row r="219" spans="1:67" ht="19.5" x14ac:dyDescent="0.3">
      <c r="A219" s="5" t="s">
        <v>430</v>
      </c>
      <c r="B219" s="5" t="s">
        <v>187</v>
      </c>
      <c r="C219" s="5">
        <v>467470</v>
      </c>
      <c r="D219" s="6"/>
      <c r="E219" s="5" t="s">
        <v>32</v>
      </c>
      <c r="F219" s="5" t="s">
        <v>188</v>
      </c>
      <c r="G219" s="5" t="s">
        <v>52</v>
      </c>
      <c r="H219" s="7" t="s">
        <v>8</v>
      </c>
      <c r="I219" s="7" t="s">
        <v>189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5</v>
      </c>
      <c r="AF219" s="8">
        <v>12000</v>
      </c>
      <c r="AG219" s="8">
        <v>3000</v>
      </c>
      <c r="AH219" s="7">
        <v>0</v>
      </c>
      <c r="AI219" s="7">
        <v>0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  <c r="AO219" s="7">
        <v>0</v>
      </c>
      <c r="AP219" s="7">
        <v>0</v>
      </c>
      <c r="AQ219" s="7">
        <v>0</v>
      </c>
      <c r="AR219" s="7">
        <v>0</v>
      </c>
      <c r="AS219" s="7">
        <v>0</v>
      </c>
      <c r="AT219" s="7">
        <v>0</v>
      </c>
      <c r="AU219" s="7">
        <v>0</v>
      </c>
      <c r="AV219" s="7">
        <v>0</v>
      </c>
      <c r="AW219" s="7">
        <v>0</v>
      </c>
      <c r="AX219" s="7">
        <v>0</v>
      </c>
      <c r="AY219" s="7">
        <v>0</v>
      </c>
      <c r="AZ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F219" s="7">
        <v>0</v>
      </c>
      <c r="BG219" s="7">
        <v>0</v>
      </c>
      <c r="BH219" s="7">
        <v>0</v>
      </c>
      <c r="BI219" s="7">
        <v>0</v>
      </c>
      <c r="BJ219" s="7">
        <v>0</v>
      </c>
      <c r="BK219" s="7">
        <v>0</v>
      </c>
      <c r="BL219" s="7">
        <v>0</v>
      </c>
      <c r="BM219" s="10">
        <v>15000</v>
      </c>
      <c r="BN219" s="16">
        <f t="shared" si="7"/>
        <v>15000</v>
      </c>
      <c r="BO219" s="14">
        <f t="shared" si="8"/>
        <v>10500</v>
      </c>
    </row>
    <row r="220" spans="1:67" ht="19.5" x14ac:dyDescent="0.3">
      <c r="A220" s="5" t="s">
        <v>430</v>
      </c>
      <c r="B220" s="5" t="s">
        <v>114</v>
      </c>
      <c r="C220" s="5">
        <v>211158</v>
      </c>
      <c r="D220" s="6"/>
      <c r="E220" s="5" t="s">
        <v>32</v>
      </c>
      <c r="F220" s="5" t="s">
        <v>48</v>
      </c>
      <c r="G220" s="5" t="s">
        <v>11</v>
      </c>
      <c r="H220" s="7" t="s">
        <v>7</v>
      </c>
      <c r="I220" s="7" t="s">
        <v>115</v>
      </c>
      <c r="J220" s="7">
        <v>0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145</v>
      </c>
      <c r="AF220" s="8">
        <v>14300</v>
      </c>
      <c r="AG220" s="7">
        <v>200</v>
      </c>
      <c r="AH220" s="7">
        <v>0</v>
      </c>
      <c r="AI220" s="7">
        <v>0</v>
      </c>
      <c r="AJ220" s="7">
        <v>0</v>
      </c>
      <c r="AK220" s="7">
        <v>0</v>
      </c>
      <c r="AL220" s="7">
        <v>0</v>
      </c>
      <c r="AM220" s="7">
        <v>0</v>
      </c>
      <c r="AN220" s="7">
        <v>0</v>
      </c>
      <c r="AO220" s="7">
        <v>0</v>
      </c>
      <c r="AP220" s="7">
        <v>0</v>
      </c>
      <c r="AQ220" s="7">
        <v>0</v>
      </c>
      <c r="AR220" s="7">
        <v>0</v>
      </c>
      <c r="AS220" s="7">
        <v>0</v>
      </c>
      <c r="AT220" s="7">
        <v>0</v>
      </c>
      <c r="AU220" s="7">
        <v>0</v>
      </c>
      <c r="AV220" s="7">
        <v>0</v>
      </c>
      <c r="AW220" s="7">
        <v>0</v>
      </c>
      <c r="AX220" s="7">
        <v>0</v>
      </c>
      <c r="AY220" s="7">
        <v>0</v>
      </c>
      <c r="AZ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F220" s="7">
        <v>0</v>
      </c>
      <c r="BG220" s="7">
        <v>0</v>
      </c>
      <c r="BH220" s="7">
        <v>0</v>
      </c>
      <c r="BI220" s="7">
        <v>0</v>
      </c>
      <c r="BJ220" s="7">
        <v>0</v>
      </c>
      <c r="BK220" s="7">
        <v>0</v>
      </c>
      <c r="BL220" s="7">
        <v>0</v>
      </c>
      <c r="BM220" s="10">
        <v>14500</v>
      </c>
      <c r="BN220" s="16">
        <f t="shared" si="7"/>
        <v>14500</v>
      </c>
      <c r="BO220" s="14">
        <f t="shared" si="8"/>
        <v>10150</v>
      </c>
    </row>
    <row r="221" spans="1:67" ht="19.5" x14ac:dyDescent="0.3">
      <c r="A221" s="5" t="s">
        <v>430</v>
      </c>
      <c r="B221" s="5" t="s">
        <v>150</v>
      </c>
      <c r="C221" s="5">
        <v>290890</v>
      </c>
      <c r="D221" s="6"/>
      <c r="E221" s="5" t="s">
        <v>32</v>
      </c>
      <c r="F221" s="5" t="s">
        <v>48</v>
      </c>
      <c r="G221" s="5" t="s">
        <v>11</v>
      </c>
      <c r="H221" s="7" t="s">
        <v>7</v>
      </c>
      <c r="I221" s="7" t="s">
        <v>151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16</v>
      </c>
      <c r="AC221" s="8">
        <v>9900</v>
      </c>
      <c r="AD221" s="8">
        <v>4500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7">
        <v>0</v>
      </c>
      <c r="AP221" s="7">
        <v>0</v>
      </c>
      <c r="AQ221" s="7">
        <v>0</v>
      </c>
      <c r="AR221" s="7">
        <v>0</v>
      </c>
      <c r="AS221" s="7">
        <v>0</v>
      </c>
      <c r="AT221" s="7">
        <v>0</v>
      </c>
      <c r="AU221" s="7">
        <v>0</v>
      </c>
      <c r="AV221" s="7">
        <v>0</v>
      </c>
      <c r="AW221" s="7">
        <v>0</v>
      </c>
      <c r="AX221" s="7">
        <v>0</v>
      </c>
      <c r="AY221" s="7">
        <v>0</v>
      </c>
      <c r="AZ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F221" s="7">
        <v>0</v>
      </c>
      <c r="BG221" s="7">
        <v>0</v>
      </c>
      <c r="BH221" s="7">
        <v>0</v>
      </c>
      <c r="BI221" s="7">
        <v>0</v>
      </c>
      <c r="BJ221" s="7">
        <v>0</v>
      </c>
      <c r="BK221" s="7">
        <v>0</v>
      </c>
      <c r="BL221" s="7">
        <v>0</v>
      </c>
      <c r="BM221" s="10">
        <v>14400</v>
      </c>
      <c r="BN221" s="16">
        <f t="shared" si="7"/>
        <v>14400</v>
      </c>
      <c r="BO221" s="14">
        <f t="shared" si="8"/>
        <v>10080</v>
      </c>
    </row>
    <row r="222" spans="1:67" ht="19.5" x14ac:dyDescent="0.3">
      <c r="A222" s="5" t="s">
        <v>430</v>
      </c>
      <c r="B222" s="5" t="s">
        <v>182</v>
      </c>
      <c r="C222" s="5">
        <v>376361</v>
      </c>
      <c r="D222" s="6"/>
      <c r="E222" s="5" t="s">
        <v>32</v>
      </c>
      <c r="F222" s="5" t="s">
        <v>67</v>
      </c>
      <c r="G222" s="5" t="s">
        <v>52</v>
      </c>
      <c r="H222" s="7" t="s">
        <v>8</v>
      </c>
      <c r="I222" s="7" t="s">
        <v>183</v>
      </c>
      <c r="J222" s="7">
        <v>0</v>
      </c>
      <c r="K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13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7">
        <v>0</v>
      </c>
      <c r="AE222" s="7">
        <v>141</v>
      </c>
      <c r="AF222" s="8">
        <v>7100</v>
      </c>
      <c r="AG222" s="8">
        <v>7000</v>
      </c>
      <c r="AH222" s="7">
        <v>0</v>
      </c>
      <c r="AI222" s="7">
        <v>0</v>
      </c>
      <c r="AJ222" s="7">
        <v>0</v>
      </c>
      <c r="AK222" s="7">
        <v>0</v>
      </c>
      <c r="AL222" s="7">
        <v>0</v>
      </c>
      <c r="AM222" s="7">
        <v>0</v>
      </c>
      <c r="AN222" s="7">
        <v>0</v>
      </c>
      <c r="AO222" s="7">
        <v>0</v>
      </c>
      <c r="AP222" s="7">
        <v>0</v>
      </c>
      <c r="AQ222" s="7">
        <v>0</v>
      </c>
      <c r="AR222" s="7">
        <v>0</v>
      </c>
      <c r="AS222" s="7">
        <v>0</v>
      </c>
      <c r="AT222" s="7">
        <v>0</v>
      </c>
      <c r="AU222" s="7">
        <v>0</v>
      </c>
      <c r="AV222" s="7">
        <v>0</v>
      </c>
      <c r="AW222" s="7">
        <v>0</v>
      </c>
      <c r="AX222" s="7">
        <v>0</v>
      </c>
      <c r="AY222" s="7">
        <v>0</v>
      </c>
      <c r="AZ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  <c r="BF222" s="7">
        <v>0</v>
      </c>
      <c r="BG222" s="7">
        <v>0</v>
      </c>
      <c r="BH222" s="7">
        <v>0</v>
      </c>
      <c r="BI222" s="7">
        <v>0</v>
      </c>
      <c r="BJ222" s="7">
        <v>0</v>
      </c>
      <c r="BK222" s="7">
        <v>0</v>
      </c>
      <c r="BL222" s="7">
        <v>0</v>
      </c>
      <c r="BM222" s="10">
        <v>14100</v>
      </c>
      <c r="BN222" s="16">
        <f t="shared" si="7"/>
        <v>14100</v>
      </c>
      <c r="BO222" s="14">
        <f t="shared" si="8"/>
        <v>9870</v>
      </c>
    </row>
    <row r="223" spans="1:67" ht="19.5" x14ac:dyDescent="0.3">
      <c r="A223" s="5" t="s">
        <v>430</v>
      </c>
      <c r="B223" s="5" t="s">
        <v>452</v>
      </c>
      <c r="C223" s="5">
        <v>416208</v>
      </c>
      <c r="D223" s="6"/>
      <c r="E223" s="5" t="s">
        <v>32</v>
      </c>
      <c r="F223" s="5" t="s">
        <v>301</v>
      </c>
      <c r="G223" s="5" t="s">
        <v>52</v>
      </c>
      <c r="H223" s="7" t="s">
        <v>340</v>
      </c>
      <c r="I223" s="7" t="s">
        <v>453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4</v>
      </c>
      <c r="AF223" s="8">
        <v>14000</v>
      </c>
      <c r="AG223" s="7">
        <v>0</v>
      </c>
      <c r="AH223" s="7">
        <v>0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7">
        <v>0</v>
      </c>
      <c r="AP223" s="7">
        <v>0</v>
      </c>
      <c r="AQ223" s="7">
        <v>0</v>
      </c>
      <c r="AR223" s="7">
        <v>0</v>
      </c>
      <c r="AS223" s="7">
        <v>0</v>
      </c>
      <c r="AT223" s="7">
        <v>0</v>
      </c>
      <c r="AU223" s="7">
        <v>0</v>
      </c>
      <c r="AV223" s="7">
        <v>0</v>
      </c>
      <c r="AW223" s="7">
        <v>0</v>
      </c>
      <c r="AX223" s="7">
        <v>0</v>
      </c>
      <c r="AY223" s="7">
        <v>0</v>
      </c>
      <c r="AZ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F223" s="7">
        <v>0</v>
      </c>
      <c r="BG223" s="7">
        <v>0</v>
      </c>
      <c r="BH223" s="7">
        <v>0</v>
      </c>
      <c r="BI223" s="7">
        <v>0</v>
      </c>
      <c r="BJ223" s="7">
        <v>0</v>
      </c>
      <c r="BK223" s="7">
        <v>0</v>
      </c>
      <c r="BL223" s="7">
        <v>0</v>
      </c>
      <c r="BM223" s="10">
        <v>14000</v>
      </c>
      <c r="BN223" s="16">
        <f t="shared" si="7"/>
        <v>14000</v>
      </c>
      <c r="BO223" s="14">
        <f t="shared" si="8"/>
        <v>9800</v>
      </c>
    </row>
    <row r="224" spans="1:67" ht="19.5" x14ac:dyDescent="0.3">
      <c r="A224" s="5" t="s">
        <v>430</v>
      </c>
      <c r="B224" s="5" t="s">
        <v>454</v>
      </c>
      <c r="C224" s="5">
        <v>431797</v>
      </c>
      <c r="D224" s="6"/>
      <c r="E224" s="5" t="s">
        <v>32</v>
      </c>
      <c r="F224" s="5" t="s">
        <v>153</v>
      </c>
      <c r="G224" s="5" t="s">
        <v>52</v>
      </c>
      <c r="H224" s="7" t="s">
        <v>340</v>
      </c>
      <c r="I224" s="7" t="s">
        <v>390</v>
      </c>
      <c r="J224" s="7">
        <v>0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5</v>
      </c>
      <c r="AF224" s="8">
        <v>2900</v>
      </c>
      <c r="AG224" s="8">
        <v>9000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0</v>
      </c>
      <c r="AP224" s="7">
        <v>0</v>
      </c>
      <c r="AQ224" s="7">
        <v>2</v>
      </c>
      <c r="AR224" s="8">
        <v>2100</v>
      </c>
      <c r="AS224" s="7">
        <v>0</v>
      </c>
      <c r="AT224" s="7">
        <v>0</v>
      </c>
      <c r="AU224" s="7">
        <v>0</v>
      </c>
      <c r="AV224" s="7">
        <v>0</v>
      </c>
      <c r="AW224" s="7">
        <v>0</v>
      </c>
      <c r="AX224" s="7">
        <v>0</v>
      </c>
      <c r="AY224" s="7">
        <v>0</v>
      </c>
      <c r="AZ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F224" s="7">
        <v>0</v>
      </c>
      <c r="BG224" s="7">
        <v>0</v>
      </c>
      <c r="BH224" s="7">
        <v>0</v>
      </c>
      <c r="BI224" s="7">
        <v>0</v>
      </c>
      <c r="BJ224" s="7">
        <v>0</v>
      </c>
      <c r="BK224" s="7">
        <v>0</v>
      </c>
      <c r="BL224" s="7">
        <v>0</v>
      </c>
      <c r="BM224" s="10">
        <v>14000</v>
      </c>
      <c r="BN224" s="16">
        <f t="shared" si="7"/>
        <v>14000</v>
      </c>
      <c r="BO224" s="14">
        <f t="shared" si="8"/>
        <v>9800</v>
      </c>
    </row>
    <row r="225" spans="1:67" ht="19.5" x14ac:dyDescent="0.3">
      <c r="A225" s="5" t="s">
        <v>430</v>
      </c>
      <c r="B225" s="5" t="s">
        <v>205</v>
      </c>
      <c r="C225" s="5">
        <v>359006</v>
      </c>
      <c r="D225" s="6"/>
      <c r="E225" s="5" t="s">
        <v>32</v>
      </c>
      <c r="F225" s="5" t="s">
        <v>153</v>
      </c>
      <c r="G225" s="5" t="s">
        <v>52</v>
      </c>
      <c r="H225" s="7" t="s">
        <v>8</v>
      </c>
      <c r="I225" s="7" t="s">
        <v>206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7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137</v>
      </c>
      <c r="AF225" s="8">
        <v>13700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0</v>
      </c>
      <c r="AP225" s="7">
        <v>0</v>
      </c>
      <c r="AQ225" s="7">
        <v>0</v>
      </c>
      <c r="AR225" s="7">
        <v>0</v>
      </c>
      <c r="AS225" s="7">
        <v>0</v>
      </c>
      <c r="AT225" s="7">
        <v>0</v>
      </c>
      <c r="AU225" s="7">
        <v>0</v>
      </c>
      <c r="AV225" s="7">
        <v>0</v>
      </c>
      <c r="AW225" s="7">
        <v>0</v>
      </c>
      <c r="AX225" s="7">
        <v>0</v>
      </c>
      <c r="AY225" s="7">
        <v>0</v>
      </c>
      <c r="AZ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F225" s="7">
        <v>0</v>
      </c>
      <c r="BG225" s="7">
        <v>0</v>
      </c>
      <c r="BH225" s="7">
        <v>0</v>
      </c>
      <c r="BI225" s="7">
        <v>0</v>
      </c>
      <c r="BJ225" s="7">
        <v>0</v>
      </c>
      <c r="BK225" s="7">
        <v>0</v>
      </c>
      <c r="BL225" s="7">
        <v>0</v>
      </c>
      <c r="BM225" s="10">
        <v>13700</v>
      </c>
      <c r="BN225" s="16">
        <f t="shared" si="7"/>
        <v>13700</v>
      </c>
      <c r="BO225" s="14">
        <f t="shared" si="8"/>
        <v>9590</v>
      </c>
    </row>
    <row r="226" spans="1:67" ht="19.5" x14ac:dyDescent="0.3">
      <c r="A226" s="5" t="s">
        <v>430</v>
      </c>
      <c r="B226" s="5" t="s">
        <v>254</v>
      </c>
      <c r="C226" s="5">
        <v>399878</v>
      </c>
      <c r="D226" s="6"/>
      <c r="E226" s="5" t="s">
        <v>32</v>
      </c>
      <c r="F226" s="5" t="s">
        <v>255</v>
      </c>
      <c r="G226" s="5" t="s">
        <v>52</v>
      </c>
      <c r="H226" s="7" t="s">
        <v>8</v>
      </c>
      <c r="I226" s="7" t="s">
        <v>256</v>
      </c>
      <c r="J226" s="7">
        <v>0</v>
      </c>
      <c r="K226" s="7">
        <v>1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130</v>
      </c>
      <c r="AF226" s="8">
        <v>11800</v>
      </c>
      <c r="AG226" s="8">
        <v>1200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0</v>
      </c>
      <c r="AP226" s="7">
        <v>0</v>
      </c>
      <c r="AQ226" s="7">
        <v>0</v>
      </c>
      <c r="AR226" s="7">
        <v>0</v>
      </c>
      <c r="AS226" s="7">
        <v>0</v>
      </c>
      <c r="AT226" s="7">
        <v>0</v>
      </c>
      <c r="AU226" s="7">
        <v>0</v>
      </c>
      <c r="AV226" s="7">
        <v>0</v>
      </c>
      <c r="AW226" s="7">
        <v>0</v>
      </c>
      <c r="AX226" s="7">
        <v>0</v>
      </c>
      <c r="AY226" s="7">
        <v>0</v>
      </c>
      <c r="AZ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F226" s="7">
        <v>0</v>
      </c>
      <c r="BG226" s="7">
        <v>0</v>
      </c>
      <c r="BH226" s="7">
        <v>0</v>
      </c>
      <c r="BI226" s="7">
        <v>0</v>
      </c>
      <c r="BJ226" s="7">
        <v>0</v>
      </c>
      <c r="BK226" s="7">
        <v>0</v>
      </c>
      <c r="BL226" s="7">
        <v>0</v>
      </c>
      <c r="BM226" s="10">
        <v>13000</v>
      </c>
      <c r="BN226" s="16">
        <f t="shared" si="7"/>
        <v>13000</v>
      </c>
      <c r="BO226" s="14">
        <f t="shared" si="8"/>
        <v>9100</v>
      </c>
    </row>
    <row r="227" spans="1:67" ht="19.5" x14ac:dyDescent="0.3">
      <c r="A227" s="5" t="s">
        <v>430</v>
      </c>
      <c r="B227" s="5" t="s">
        <v>214</v>
      </c>
      <c r="C227" s="5">
        <v>467503</v>
      </c>
      <c r="D227" s="6"/>
      <c r="E227" s="5" t="s">
        <v>32</v>
      </c>
      <c r="F227" s="5" t="s">
        <v>188</v>
      </c>
      <c r="G227" s="5" t="s">
        <v>52</v>
      </c>
      <c r="H227" s="7" t="s">
        <v>8</v>
      </c>
      <c r="I227" s="7" t="s">
        <v>44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4</v>
      </c>
      <c r="AF227" s="8">
        <v>9100</v>
      </c>
      <c r="AG227" s="8">
        <v>3700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7">
        <v>0</v>
      </c>
      <c r="AP227" s="7">
        <v>0</v>
      </c>
      <c r="AQ227" s="7">
        <v>0</v>
      </c>
      <c r="AR227" s="7">
        <v>0</v>
      </c>
      <c r="AS227" s="7">
        <v>0</v>
      </c>
      <c r="AT227" s="7">
        <v>0</v>
      </c>
      <c r="AU227" s="7">
        <v>0</v>
      </c>
      <c r="AV227" s="7">
        <v>0</v>
      </c>
      <c r="AW227" s="7">
        <v>0</v>
      </c>
      <c r="AX227" s="7">
        <v>0</v>
      </c>
      <c r="AY227" s="7">
        <v>0</v>
      </c>
      <c r="AZ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F227" s="7">
        <v>0</v>
      </c>
      <c r="BG227" s="7">
        <v>0</v>
      </c>
      <c r="BH227" s="7">
        <v>0</v>
      </c>
      <c r="BI227" s="7">
        <v>0</v>
      </c>
      <c r="BJ227" s="7">
        <v>0</v>
      </c>
      <c r="BK227" s="7">
        <v>0</v>
      </c>
      <c r="BL227" s="7">
        <v>0</v>
      </c>
      <c r="BM227" s="10">
        <v>12800</v>
      </c>
      <c r="BN227" s="16">
        <f t="shared" si="7"/>
        <v>12800</v>
      </c>
      <c r="BO227" s="14">
        <f t="shared" si="8"/>
        <v>8960</v>
      </c>
    </row>
    <row r="228" spans="1:67" ht="19.5" x14ac:dyDescent="0.3">
      <c r="A228" s="5" t="s">
        <v>430</v>
      </c>
      <c r="B228" s="5" t="s">
        <v>128</v>
      </c>
      <c r="C228" s="5">
        <v>428379</v>
      </c>
      <c r="D228" s="6"/>
      <c r="E228" s="5" t="s">
        <v>32</v>
      </c>
      <c r="F228" s="5" t="s">
        <v>129</v>
      </c>
      <c r="G228" s="5" t="s">
        <v>11</v>
      </c>
      <c r="H228" s="7" t="s">
        <v>8</v>
      </c>
      <c r="I228" s="7" t="s">
        <v>130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105</v>
      </c>
      <c r="AF228" s="8">
        <v>10400</v>
      </c>
      <c r="AG228" s="7">
        <v>100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0</v>
      </c>
      <c r="AP228" s="7">
        <v>0</v>
      </c>
      <c r="AQ228" s="7">
        <v>19</v>
      </c>
      <c r="AR228" s="8">
        <v>1900</v>
      </c>
      <c r="AS228" s="7">
        <v>0</v>
      </c>
      <c r="AT228" s="7">
        <v>0</v>
      </c>
      <c r="AU228" s="7">
        <v>0</v>
      </c>
      <c r="AV228" s="7">
        <v>0</v>
      </c>
      <c r="AW228" s="7">
        <v>0</v>
      </c>
      <c r="AX228" s="7">
        <v>0</v>
      </c>
      <c r="AY228" s="7">
        <v>0</v>
      </c>
      <c r="AZ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F228" s="7">
        <v>0</v>
      </c>
      <c r="BG228" s="7">
        <v>0</v>
      </c>
      <c r="BH228" s="7">
        <v>0</v>
      </c>
      <c r="BI228" s="7">
        <v>0</v>
      </c>
      <c r="BJ228" s="7">
        <v>0</v>
      </c>
      <c r="BK228" s="7">
        <v>0</v>
      </c>
      <c r="BL228" s="7">
        <v>0</v>
      </c>
      <c r="BM228" s="10">
        <v>12400</v>
      </c>
      <c r="BN228" s="16">
        <f t="shared" si="7"/>
        <v>12400</v>
      </c>
      <c r="BO228" s="14">
        <f t="shared" si="8"/>
        <v>8680</v>
      </c>
    </row>
    <row r="229" spans="1:67" ht="19.5" x14ac:dyDescent="0.3">
      <c r="A229" s="5" t="s">
        <v>430</v>
      </c>
      <c r="B229" s="5" t="s">
        <v>112</v>
      </c>
      <c r="C229" s="5">
        <v>462353</v>
      </c>
      <c r="D229" s="6"/>
      <c r="E229" s="5" t="s">
        <v>32</v>
      </c>
      <c r="F229" s="5" t="s">
        <v>57</v>
      </c>
      <c r="G229" s="5" t="s">
        <v>11</v>
      </c>
      <c r="H229" s="7" t="s">
        <v>7</v>
      </c>
      <c r="I229" s="7" t="s">
        <v>113</v>
      </c>
      <c r="J229" s="7">
        <v>2</v>
      </c>
      <c r="K229" s="7">
        <v>0</v>
      </c>
      <c r="L229" s="7">
        <v>200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8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119</v>
      </c>
      <c r="AF229" s="8">
        <v>11900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0</v>
      </c>
      <c r="AP229" s="7">
        <v>0</v>
      </c>
      <c r="AQ229" s="7">
        <v>0</v>
      </c>
      <c r="AR229" s="7">
        <v>0</v>
      </c>
      <c r="AS229" s="7">
        <v>0</v>
      </c>
      <c r="AT229" s="7">
        <v>0</v>
      </c>
      <c r="AU229" s="7">
        <v>0</v>
      </c>
      <c r="AV229" s="7">
        <v>0</v>
      </c>
      <c r="AW229" s="7">
        <v>0</v>
      </c>
      <c r="AX229" s="7">
        <v>0</v>
      </c>
      <c r="AY229" s="7">
        <v>0</v>
      </c>
      <c r="AZ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F229" s="7">
        <v>0</v>
      </c>
      <c r="BG229" s="7">
        <v>0</v>
      </c>
      <c r="BH229" s="7">
        <v>0</v>
      </c>
      <c r="BI229" s="7">
        <v>0</v>
      </c>
      <c r="BJ229" s="7">
        <v>0</v>
      </c>
      <c r="BK229" s="7">
        <v>0</v>
      </c>
      <c r="BL229" s="7">
        <v>0</v>
      </c>
      <c r="BM229" s="10">
        <v>12100</v>
      </c>
      <c r="BN229" s="16">
        <f t="shared" ref="BN229:BN292" si="9">BM229-BL229</f>
        <v>12100</v>
      </c>
      <c r="BO229" s="14">
        <f t="shared" ref="BO229:BO292" si="10">BN229*70%</f>
        <v>8470</v>
      </c>
    </row>
    <row r="230" spans="1:67" ht="19.5" x14ac:dyDescent="0.3">
      <c r="A230" s="5" t="s">
        <v>430</v>
      </c>
      <c r="B230" s="5" t="s">
        <v>355</v>
      </c>
      <c r="C230" s="5">
        <v>440303</v>
      </c>
      <c r="D230" s="6"/>
      <c r="E230" s="5" t="s">
        <v>32</v>
      </c>
      <c r="F230" s="5" t="s">
        <v>356</v>
      </c>
      <c r="G230" s="5" t="s">
        <v>11</v>
      </c>
      <c r="H230" s="7" t="s">
        <v>7</v>
      </c>
      <c r="I230" s="7" t="s">
        <v>357</v>
      </c>
      <c r="J230" s="7">
        <v>0</v>
      </c>
      <c r="K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120</v>
      </c>
      <c r="AF230" s="8">
        <v>12000</v>
      </c>
      <c r="AG230" s="7">
        <v>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7">
        <v>0</v>
      </c>
      <c r="AP230" s="7">
        <v>0</v>
      </c>
      <c r="AQ230" s="7">
        <v>0</v>
      </c>
      <c r="AR230" s="7">
        <v>0</v>
      </c>
      <c r="AS230" s="7">
        <v>0</v>
      </c>
      <c r="AT230" s="7">
        <v>0</v>
      </c>
      <c r="AU230" s="7">
        <v>0</v>
      </c>
      <c r="AV230" s="7">
        <v>0</v>
      </c>
      <c r="AW230" s="7">
        <v>0</v>
      </c>
      <c r="AX230" s="7">
        <v>0</v>
      </c>
      <c r="AY230" s="7">
        <v>0</v>
      </c>
      <c r="AZ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F230" s="7">
        <v>0</v>
      </c>
      <c r="BG230" s="7">
        <v>0</v>
      </c>
      <c r="BH230" s="7">
        <v>0</v>
      </c>
      <c r="BI230" s="7">
        <v>0</v>
      </c>
      <c r="BJ230" s="7">
        <v>0</v>
      </c>
      <c r="BK230" s="7">
        <v>0</v>
      </c>
      <c r="BL230" s="7">
        <v>0</v>
      </c>
      <c r="BM230" s="10">
        <v>12000</v>
      </c>
      <c r="BN230" s="16">
        <f t="shared" si="9"/>
        <v>12000</v>
      </c>
      <c r="BO230" s="14">
        <f t="shared" si="10"/>
        <v>8400</v>
      </c>
    </row>
    <row r="231" spans="1:67" ht="19.5" x14ac:dyDescent="0.3">
      <c r="A231" s="5" t="s">
        <v>430</v>
      </c>
      <c r="B231" s="5" t="s">
        <v>455</v>
      </c>
      <c r="C231" s="5">
        <v>431788</v>
      </c>
      <c r="D231" s="6"/>
      <c r="E231" s="5" t="s">
        <v>32</v>
      </c>
      <c r="F231" s="5" t="s">
        <v>153</v>
      </c>
      <c r="G231" s="5" t="s">
        <v>52</v>
      </c>
      <c r="H231" s="7" t="s">
        <v>340</v>
      </c>
      <c r="I231" s="7" t="s">
        <v>456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2</v>
      </c>
      <c r="AF231" s="8">
        <v>6000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0</v>
      </c>
      <c r="AQ231" s="7">
        <v>2</v>
      </c>
      <c r="AR231" s="8">
        <v>6000</v>
      </c>
      <c r="AS231" s="7">
        <v>0</v>
      </c>
      <c r="AT231" s="7">
        <v>0</v>
      </c>
      <c r="AU231" s="7">
        <v>0</v>
      </c>
      <c r="AV231" s="7">
        <v>0</v>
      </c>
      <c r="AW231" s="7">
        <v>0</v>
      </c>
      <c r="AX231" s="7">
        <v>0</v>
      </c>
      <c r="AY231" s="7">
        <v>0</v>
      </c>
      <c r="AZ231" s="7">
        <v>0</v>
      </c>
      <c r="BA231" s="7">
        <v>0</v>
      </c>
      <c r="BB231" s="7">
        <v>0</v>
      </c>
      <c r="BC231" s="7">
        <v>0</v>
      </c>
      <c r="BD231" s="7">
        <v>0</v>
      </c>
      <c r="BE231" s="7">
        <v>0</v>
      </c>
      <c r="BF231" s="7">
        <v>0</v>
      </c>
      <c r="BG231" s="7">
        <v>0</v>
      </c>
      <c r="BH231" s="7">
        <v>0</v>
      </c>
      <c r="BI231" s="7">
        <v>0</v>
      </c>
      <c r="BJ231" s="7">
        <v>0</v>
      </c>
      <c r="BK231" s="7">
        <v>0</v>
      </c>
      <c r="BL231" s="7">
        <v>0</v>
      </c>
      <c r="BM231" s="10">
        <v>12000</v>
      </c>
      <c r="BN231" s="16">
        <f t="shared" si="9"/>
        <v>12000</v>
      </c>
      <c r="BO231" s="14">
        <f t="shared" si="10"/>
        <v>8400</v>
      </c>
    </row>
    <row r="232" spans="1:67" ht="19.5" x14ac:dyDescent="0.3">
      <c r="A232" s="5" t="s">
        <v>430</v>
      </c>
      <c r="B232" s="5" t="s">
        <v>165</v>
      </c>
      <c r="C232" s="5">
        <v>367994</v>
      </c>
      <c r="D232" s="6"/>
      <c r="E232" s="5" t="s">
        <v>32</v>
      </c>
      <c r="F232" s="5" t="s">
        <v>51</v>
      </c>
      <c r="G232" s="5" t="s">
        <v>52</v>
      </c>
      <c r="H232" s="7" t="s">
        <v>8</v>
      </c>
      <c r="I232" s="7" t="s">
        <v>166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20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120</v>
      </c>
      <c r="AF232" s="8">
        <v>5900</v>
      </c>
      <c r="AG232" s="8">
        <v>6100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7">
        <v>0</v>
      </c>
      <c r="AP232" s="7">
        <v>0</v>
      </c>
      <c r="AQ232" s="7">
        <v>0</v>
      </c>
      <c r="AR232" s="7">
        <v>0</v>
      </c>
      <c r="AS232" s="7">
        <v>0</v>
      </c>
      <c r="AT232" s="7">
        <v>0</v>
      </c>
      <c r="AU232" s="7">
        <v>0</v>
      </c>
      <c r="AV232" s="7">
        <v>0</v>
      </c>
      <c r="AW232" s="7">
        <v>0</v>
      </c>
      <c r="AX232" s="7">
        <v>0</v>
      </c>
      <c r="AY232" s="7">
        <v>0</v>
      </c>
      <c r="AZ232" s="7">
        <v>0</v>
      </c>
      <c r="BA232" s="7">
        <v>0</v>
      </c>
      <c r="BB232" s="7">
        <v>0</v>
      </c>
      <c r="BC232" s="7">
        <v>0</v>
      </c>
      <c r="BD232" s="7">
        <v>0</v>
      </c>
      <c r="BE232" s="7">
        <v>0</v>
      </c>
      <c r="BF232" s="7">
        <v>0</v>
      </c>
      <c r="BG232" s="7">
        <v>0</v>
      </c>
      <c r="BH232" s="7">
        <v>0</v>
      </c>
      <c r="BI232" s="7">
        <v>0</v>
      </c>
      <c r="BJ232" s="7">
        <v>0</v>
      </c>
      <c r="BK232" s="7">
        <v>0</v>
      </c>
      <c r="BL232" s="7">
        <v>0</v>
      </c>
      <c r="BM232" s="10">
        <v>12000</v>
      </c>
      <c r="BN232" s="16">
        <f t="shared" si="9"/>
        <v>12000</v>
      </c>
      <c r="BO232" s="14">
        <f t="shared" si="10"/>
        <v>8400</v>
      </c>
    </row>
    <row r="233" spans="1:67" ht="19.5" x14ac:dyDescent="0.3">
      <c r="A233" s="5" t="s">
        <v>430</v>
      </c>
      <c r="B233" s="5" t="s">
        <v>457</v>
      </c>
      <c r="C233" s="5">
        <v>421814</v>
      </c>
      <c r="D233" s="6"/>
      <c r="E233" s="5" t="s">
        <v>32</v>
      </c>
      <c r="F233" s="5" t="s">
        <v>60</v>
      </c>
      <c r="G233" s="5" t="s">
        <v>52</v>
      </c>
      <c r="H233" s="7" t="s">
        <v>340</v>
      </c>
      <c r="I233" s="7" t="s">
        <v>216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4</v>
      </c>
      <c r="AF233" s="8">
        <v>11600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0</v>
      </c>
      <c r="AP233" s="7">
        <v>0</v>
      </c>
      <c r="AQ233" s="7">
        <v>0</v>
      </c>
      <c r="AR233" s="7">
        <v>0</v>
      </c>
      <c r="AS233" s="7">
        <v>0</v>
      </c>
      <c r="AT233" s="7">
        <v>0</v>
      </c>
      <c r="AU233" s="7">
        <v>0</v>
      </c>
      <c r="AV233" s="7">
        <v>0</v>
      </c>
      <c r="AW233" s="7">
        <v>0</v>
      </c>
      <c r="AX233" s="7">
        <v>0</v>
      </c>
      <c r="AY233" s="7">
        <v>0</v>
      </c>
      <c r="AZ233" s="7">
        <v>0</v>
      </c>
      <c r="BA233" s="7">
        <v>0</v>
      </c>
      <c r="BB233" s="7">
        <v>0</v>
      </c>
      <c r="BC233" s="7">
        <v>0</v>
      </c>
      <c r="BD233" s="7">
        <v>0</v>
      </c>
      <c r="BE233" s="7">
        <v>0</v>
      </c>
      <c r="BF233" s="7">
        <v>0</v>
      </c>
      <c r="BG233" s="7">
        <v>0</v>
      </c>
      <c r="BH233" s="7">
        <v>0</v>
      </c>
      <c r="BI233" s="7">
        <v>0</v>
      </c>
      <c r="BJ233" s="7">
        <v>0</v>
      </c>
      <c r="BK233" s="7">
        <v>0</v>
      </c>
      <c r="BL233" s="7">
        <v>0</v>
      </c>
      <c r="BM233" s="10">
        <v>11600</v>
      </c>
      <c r="BN233" s="16">
        <f t="shared" si="9"/>
        <v>11600</v>
      </c>
      <c r="BO233" s="14">
        <f t="shared" si="10"/>
        <v>8119.9999999999991</v>
      </c>
    </row>
    <row r="234" spans="1:67" ht="19.5" x14ac:dyDescent="0.3">
      <c r="A234" s="5" t="s">
        <v>430</v>
      </c>
      <c r="B234" s="5" t="s">
        <v>209</v>
      </c>
      <c r="C234" s="5">
        <v>423328</v>
      </c>
      <c r="D234" s="6"/>
      <c r="E234" s="5" t="s">
        <v>32</v>
      </c>
      <c r="F234" s="5" t="s">
        <v>48</v>
      </c>
      <c r="G234" s="5" t="s">
        <v>11</v>
      </c>
      <c r="H234" s="7" t="s">
        <v>7</v>
      </c>
      <c r="I234" s="7" t="s">
        <v>210</v>
      </c>
      <c r="J234" s="7">
        <v>0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5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115</v>
      </c>
      <c r="AF234" s="8">
        <v>3200</v>
      </c>
      <c r="AG234" s="8">
        <v>8300</v>
      </c>
      <c r="AH234" s="7">
        <v>0</v>
      </c>
      <c r="AI234" s="7">
        <v>0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  <c r="AO234" s="7">
        <v>0</v>
      </c>
      <c r="AP234" s="7">
        <v>0</v>
      </c>
      <c r="AQ234" s="7">
        <v>0</v>
      </c>
      <c r="AR234" s="7">
        <v>0</v>
      </c>
      <c r="AS234" s="7">
        <v>0</v>
      </c>
      <c r="AT234" s="7">
        <v>0</v>
      </c>
      <c r="AU234" s="7">
        <v>0</v>
      </c>
      <c r="AV234" s="7">
        <v>0</v>
      </c>
      <c r="AW234" s="7">
        <v>0</v>
      </c>
      <c r="AX234" s="7">
        <v>0</v>
      </c>
      <c r="AY234" s="7">
        <v>0</v>
      </c>
      <c r="AZ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F234" s="7">
        <v>0</v>
      </c>
      <c r="BG234" s="7">
        <v>0</v>
      </c>
      <c r="BH234" s="7">
        <v>0</v>
      </c>
      <c r="BI234" s="7">
        <v>0</v>
      </c>
      <c r="BJ234" s="7">
        <v>0</v>
      </c>
      <c r="BK234" s="7">
        <v>0</v>
      </c>
      <c r="BL234" s="7">
        <v>0</v>
      </c>
      <c r="BM234" s="10">
        <v>11500</v>
      </c>
      <c r="BN234" s="16">
        <f t="shared" si="9"/>
        <v>11500</v>
      </c>
      <c r="BO234" s="14">
        <f t="shared" si="10"/>
        <v>8049.9999999999991</v>
      </c>
    </row>
    <row r="235" spans="1:67" ht="19.5" x14ac:dyDescent="0.3">
      <c r="A235" s="5" t="s">
        <v>430</v>
      </c>
      <c r="B235" s="5" t="s">
        <v>458</v>
      </c>
      <c r="C235" s="5">
        <v>416195</v>
      </c>
      <c r="D235" s="6"/>
      <c r="E235" s="5" t="s">
        <v>32</v>
      </c>
      <c r="F235" s="5" t="s">
        <v>73</v>
      </c>
      <c r="G235" s="5" t="s">
        <v>52</v>
      </c>
      <c r="H235" s="7" t="s">
        <v>340</v>
      </c>
      <c r="I235" s="7" t="s">
        <v>178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1</v>
      </c>
      <c r="AF235" s="8">
        <v>3800</v>
      </c>
      <c r="AG235" s="7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  <c r="AO235" s="7">
        <v>0</v>
      </c>
      <c r="AP235" s="7">
        <v>0</v>
      </c>
      <c r="AQ235" s="7">
        <v>2</v>
      </c>
      <c r="AR235" s="8">
        <v>7600</v>
      </c>
      <c r="AS235" s="7">
        <v>0</v>
      </c>
      <c r="AT235" s="7">
        <v>0</v>
      </c>
      <c r="AU235" s="7">
        <v>0</v>
      </c>
      <c r="AV235" s="7">
        <v>0</v>
      </c>
      <c r="AW235" s="7">
        <v>0</v>
      </c>
      <c r="AX235" s="7">
        <v>0</v>
      </c>
      <c r="AY235" s="7">
        <v>0</v>
      </c>
      <c r="AZ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F235" s="7">
        <v>0</v>
      </c>
      <c r="BG235" s="7">
        <v>0</v>
      </c>
      <c r="BH235" s="7">
        <v>0</v>
      </c>
      <c r="BI235" s="7">
        <v>0</v>
      </c>
      <c r="BJ235" s="7">
        <v>0</v>
      </c>
      <c r="BK235" s="7">
        <v>0</v>
      </c>
      <c r="BL235" s="7">
        <v>0</v>
      </c>
      <c r="BM235" s="10">
        <v>11400</v>
      </c>
      <c r="BN235" s="16">
        <f t="shared" si="9"/>
        <v>11400</v>
      </c>
      <c r="BO235" s="14">
        <f t="shared" si="10"/>
        <v>7979.9999999999991</v>
      </c>
    </row>
    <row r="236" spans="1:67" ht="19.5" x14ac:dyDescent="0.3">
      <c r="A236" s="5" t="s">
        <v>430</v>
      </c>
      <c r="B236" s="5" t="s">
        <v>459</v>
      </c>
      <c r="C236" s="5">
        <v>462656</v>
      </c>
      <c r="D236" s="6"/>
      <c r="E236" s="5" t="s">
        <v>32</v>
      </c>
      <c r="F236" s="5" t="s">
        <v>301</v>
      </c>
      <c r="G236" s="5" t="s">
        <v>52</v>
      </c>
      <c r="H236" s="7" t="s">
        <v>340</v>
      </c>
      <c r="I236" s="7" t="s">
        <v>113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3</v>
      </c>
      <c r="AF236" s="8">
        <v>11400</v>
      </c>
      <c r="AG236" s="7">
        <v>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7">
        <v>0</v>
      </c>
      <c r="AR236" s="7">
        <v>0</v>
      </c>
      <c r="AS236" s="7">
        <v>0</v>
      </c>
      <c r="AT236" s="7">
        <v>0</v>
      </c>
      <c r="AU236" s="7">
        <v>0</v>
      </c>
      <c r="AV236" s="7">
        <v>0</v>
      </c>
      <c r="AW236" s="7">
        <v>0</v>
      </c>
      <c r="AX236" s="7">
        <v>0</v>
      </c>
      <c r="AY236" s="7">
        <v>0</v>
      </c>
      <c r="AZ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F236" s="7">
        <v>0</v>
      </c>
      <c r="BG236" s="7">
        <v>0</v>
      </c>
      <c r="BH236" s="7">
        <v>0</v>
      </c>
      <c r="BI236" s="7">
        <v>0</v>
      </c>
      <c r="BJ236" s="7">
        <v>0</v>
      </c>
      <c r="BK236" s="7">
        <v>0</v>
      </c>
      <c r="BL236" s="7">
        <v>0</v>
      </c>
      <c r="BM236" s="10">
        <v>11400</v>
      </c>
      <c r="BN236" s="16">
        <f t="shared" si="9"/>
        <v>11400</v>
      </c>
      <c r="BO236" s="14">
        <f t="shared" si="10"/>
        <v>7979.9999999999991</v>
      </c>
    </row>
    <row r="237" spans="1:67" ht="19.5" x14ac:dyDescent="0.3">
      <c r="A237" s="5" t="s">
        <v>430</v>
      </c>
      <c r="B237" s="5" t="s">
        <v>460</v>
      </c>
      <c r="C237" s="5">
        <v>387975</v>
      </c>
      <c r="D237" s="6"/>
      <c r="E237" s="5" t="s">
        <v>32</v>
      </c>
      <c r="F237" s="5" t="s">
        <v>175</v>
      </c>
      <c r="G237" s="5" t="s">
        <v>52</v>
      </c>
      <c r="H237" s="7" t="s">
        <v>340</v>
      </c>
      <c r="I237" s="7" t="s">
        <v>166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4</v>
      </c>
      <c r="AF237" s="8">
        <v>11200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7">
        <v>0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7">
        <v>0</v>
      </c>
      <c r="AV237" s="7">
        <v>0</v>
      </c>
      <c r="AW237" s="7">
        <v>0</v>
      </c>
      <c r="AX237" s="7">
        <v>0</v>
      </c>
      <c r="AY237" s="7">
        <v>0</v>
      </c>
      <c r="AZ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F237" s="7">
        <v>0</v>
      </c>
      <c r="BG237" s="7">
        <v>0</v>
      </c>
      <c r="BH237" s="7">
        <v>0</v>
      </c>
      <c r="BI237" s="7">
        <v>0</v>
      </c>
      <c r="BJ237" s="7">
        <v>0</v>
      </c>
      <c r="BK237" s="7">
        <v>0</v>
      </c>
      <c r="BL237" s="7">
        <v>0</v>
      </c>
      <c r="BM237" s="10">
        <v>11200</v>
      </c>
      <c r="BN237" s="16">
        <f t="shared" si="9"/>
        <v>11200</v>
      </c>
      <c r="BO237" s="14">
        <f t="shared" si="10"/>
        <v>7839.9999999999991</v>
      </c>
    </row>
    <row r="238" spans="1:67" ht="19.5" x14ac:dyDescent="0.3">
      <c r="A238" s="5" t="s">
        <v>430</v>
      </c>
      <c r="B238" s="5" t="s">
        <v>217</v>
      </c>
      <c r="C238" s="5">
        <v>445861</v>
      </c>
      <c r="D238" s="6"/>
      <c r="E238" s="5" t="s">
        <v>32</v>
      </c>
      <c r="F238" s="5" t="s">
        <v>67</v>
      </c>
      <c r="G238" s="5" t="s">
        <v>52</v>
      </c>
      <c r="H238" s="7" t="s">
        <v>8</v>
      </c>
      <c r="I238" s="7" t="s">
        <v>218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4</v>
      </c>
      <c r="AF238" s="8">
        <v>11200</v>
      </c>
      <c r="AG238" s="7">
        <v>0</v>
      </c>
      <c r="AH238" s="7">
        <v>0</v>
      </c>
      <c r="AI238" s="7">
        <v>0</v>
      </c>
      <c r="AJ238" s="7">
        <v>0</v>
      </c>
      <c r="AK238" s="7">
        <v>0</v>
      </c>
      <c r="AL238" s="7">
        <v>0</v>
      </c>
      <c r="AM238" s="7">
        <v>0</v>
      </c>
      <c r="AN238" s="7">
        <v>0</v>
      </c>
      <c r="AO238" s="7">
        <v>0</v>
      </c>
      <c r="AP238" s="7">
        <v>0</v>
      </c>
      <c r="AQ238" s="7">
        <v>0</v>
      </c>
      <c r="AR238" s="7">
        <v>0</v>
      </c>
      <c r="AS238" s="7">
        <v>0</v>
      </c>
      <c r="AT238" s="7">
        <v>0</v>
      </c>
      <c r="AU238" s="7">
        <v>0</v>
      </c>
      <c r="AV238" s="7">
        <v>0</v>
      </c>
      <c r="AW238" s="7">
        <v>0</v>
      </c>
      <c r="AX238" s="7">
        <v>0</v>
      </c>
      <c r="AY238" s="7">
        <v>0</v>
      </c>
      <c r="AZ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F238" s="7">
        <v>0</v>
      </c>
      <c r="BG238" s="7">
        <v>0</v>
      </c>
      <c r="BH238" s="7">
        <v>0</v>
      </c>
      <c r="BI238" s="7">
        <v>0</v>
      </c>
      <c r="BJ238" s="7">
        <v>0</v>
      </c>
      <c r="BK238" s="7">
        <v>0</v>
      </c>
      <c r="BL238" s="7">
        <v>0</v>
      </c>
      <c r="BM238" s="10">
        <v>11200</v>
      </c>
      <c r="BN238" s="16">
        <f t="shared" si="9"/>
        <v>11200</v>
      </c>
      <c r="BO238" s="14">
        <f t="shared" si="10"/>
        <v>7839.9999999999991</v>
      </c>
    </row>
    <row r="239" spans="1:67" ht="19.5" x14ac:dyDescent="0.3">
      <c r="A239" s="5" t="s">
        <v>430</v>
      </c>
      <c r="B239" s="5" t="s">
        <v>281</v>
      </c>
      <c r="C239" s="5">
        <v>400251</v>
      </c>
      <c r="D239" s="6"/>
      <c r="E239" s="5" t="s">
        <v>32</v>
      </c>
      <c r="F239" s="5" t="s">
        <v>60</v>
      </c>
      <c r="G239" s="5" t="s">
        <v>52</v>
      </c>
      <c r="H239" s="7" t="s">
        <v>8</v>
      </c>
      <c r="I239" s="7" t="s">
        <v>282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7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91</v>
      </c>
      <c r="AF239" s="8">
        <v>7700</v>
      </c>
      <c r="AG239" s="8">
        <v>1400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7">
        <v>13</v>
      </c>
      <c r="AR239" s="8">
        <v>1300</v>
      </c>
      <c r="AS239" s="7">
        <v>0</v>
      </c>
      <c r="AT239" s="7">
        <v>0</v>
      </c>
      <c r="AU239" s="7">
        <v>0</v>
      </c>
      <c r="AV239" s="7">
        <v>0</v>
      </c>
      <c r="AW239" s="7">
        <v>0</v>
      </c>
      <c r="AX239" s="7">
        <v>0</v>
      </c>
      <c r="AY239" s="7">
        <v>0</v>
      </c>
      <c r="AZ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F239" s="7">
        <v>0</v>
      </c>
      <c r="BG239" s="7">
        <v>0</v>
      </c>
      <c r="BH239" s="7">
        <v>0</v>
      </c>
      <c r="BI239" s="7">
        <v>0</v>
      </c>
      <c r="BJ239" s="7">
        <v>0</v>
      </c>
      <c r="BK239" s="7">
        <v>0</v>
      </c>
      <c r="BL239" s="7">
        <v>0</v>
      </c>
      <c r="BM239" s="10">
        <v>10400</v>
      </c>
      <c r="BN239" s="16">
        <f t="shared" si="9"/>
        <v>10400</v>
      </c>
      <c r="BO239" s="14">
        <f t="shared" si="10"/>
        <v>7279.9999999999991</v>
      </c>
    </row>
    <row r="240" spans="1:67" ht="19.5" x14ac:dyDescent="0.3">
      <c r="A240" s="5" t="s">
        <v>430</v>
      </c>
      <c r="B240" s="5" t="s">
        <v>160</v>
      </c>
      <c r="C240" s="5">
        <v>337887</v>
      </c>
      <c r="D240" s="6"/>
      <c r="E240" s="5" t="s">
        <v>32</v>
      </c>
      <c r="F240" s="5" t="s">
        <v>156</v>
      </c>
      <c r="G240" s="5" t="s">
        <v>52</v>
      </c>
      <c r="H240" s="7" t="s">
        <v>8</v>
      </c>
      <c r="I240" s="7" t="s">
        <v>161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87</v>
      </c>
      <c r="AF240" s="8">
        <v>8700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N240" s="7">
        <v>0</v>
      </c>
      <c r="AO240" s="7">
        <v>0</v>
      </c>
      <c r="AP240" s="7">
        <v>0</v>
      </c>
      <c r="AQ240" s="7">
        <v>12</v>
      </c>
      <c r="AR240" s="8">
        <v>1000</v>
      </c>
      <c r="AS240" s="7">
        <v>200</v>
      </c>
      <c r="AT240" s="7">
        <v>0</v>
      </c>
      <c r="AU240" s="7">
        <v>0</v>
      </c>
      <c r="AV240" s="7">
        <v>0</v>
      </c>
      <c r="AW240" s="7">
        <v>0</v>
      </c>
      <c r="AX240" s="7">
        <v>0</v>
      </c>
      <c r="AY240" s="7">
        <v>0</v>
      </c>
      <c r="AZ240" s="7">
        <v>0</v>
      </c>
      <c r="BA240" s="7">
        <v>0</v>
      </c>
      <c r="BB240" s="7">
        <v>0</v>
      </c>
      <c r="BC240" s="7">
        <v>0</v>
      </c>
      <c r="BD240" s="7">
        <v>0</v>
      </c>
      <c r="BE240" s="7">
        <v>0</v>
      </c>
      <c r="BF240" s="7">
        <v>0</v>
      </c>
      <c r="BG240" s="7">
        <v>0</v>
      </c>
      <c r="BH240" s="7">
        <v>0</v>
      </c>
      <c r="BI240" s="7">
        <v>0</v>
      </c>
      <c r="BJ240" s="7">
        <v>0</v>
      </c>
      <c r="BK240" s="7">
        <v>0</v>
      </c>
      <c r="BL240" s="7">
        <v>0</v>
      </c>
      <c r="BM240" s="10">
        <v>9900</v>
      </c>
      <c r="BN240" s="16">
        <f t="shared" si="9"/>
        <v>9900</v>
      </c>
      <c r="BO240" s="14">
        <f t="shared" si="10"/>
        <v>6930</v>
      </c>
    </row>
    <row r="241" spans="1:67" ht="19.5" x14ac:dyDescent="0.3">
      <c r="A241" s="5" t="s">
        <v>430</v>
      </c>
      <c r="B241" s="5" t="s">
        <v>461</v>
      </c>
      <c r="C241" s="5">
        <v>331748</v>
      </c>
      <c r="D241" s="6"/>
      <c r="E241" s="5" t="s">
        <v>32</v>
      </c>
      <c r="F241" s="5" t="s">
        <v>231</v>
      </c>
      <c r="G241" s="5" t="s">
        <v>52</v>
      </c>
      <c r="H241" s="7" t="s">
        <v>340</v>
      </c>
      <c r="I241" s="7" t="s">
        <v>462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2</v>
      </c>
      <c r="AF241" s="8">
        <v>6200</v>
      </c>
      <c r="AG241" s="8">
        <v>3600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7">
        <v>0</v>
      </c>
      <c r="AP241" s="7">
        <v>0</v>
      </c>
      <c r="AQ241" s="7">
        <v>0</v>
      </c>
      <c r="AR241" s="7">
        <v>0</v>
      </c>
      <c r="AS241" s="7">
        <v>0</v>
      </c>
      <c r="AT241" s="7">
        <v>0</v>
      </c>
      <c r="AU241" s="7">
        <v>0</v>
      </c>
      <c r="AV241" s="7">
        <v>0</v>
      </c>
      <c r="AW241" s="7">
        <v>0</v>
      </c>
      <c r="AX241" s="7">
        <v>0</v>
      </c>
      <c r="AY241" s="7">
        <v>0</v>
      </c>
      <c r="AZ241" s="7">
        <v>0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F241" s="7">
        <v>0</v>
      </c>
      <c r="BG241" s="7">
        <v>0</v>
      </c>
      <c r="BH241" s="7">
        <v>0</v>
      </c>
      <c r="BI241" s="7">
        <v>0</v>
      </c>
      <c r="BJ241" s="7">
        <v>0</v>
      </c>
      <c r="BK241" s="7">
        <v>0</v>
      </c>
      <c r="BL241" s="7">
        <v>0</v>
      </c>
      <c r="BM241" s="10">
        <v>9800</v>
      </c>
      <c r="BN241" s="16">
        <f t="shared" si="9"/>
        <v>9800</v>
      </c>
      <c r="BO241" s="14">
        <f t="shared" si="10"/>
        <v>6860</v>
      </c>
    </row>
    <row r="242" spans="1:67" ht="19.5" x14ac:dyDescent="0.3">
      <c r="A242" s="5" t="s">
        <v>430</v>
      </c>
      <c r="B242" s="5" t="s">
        <v>358</v>
      </c>
      <c r="C242" s="5">
        <v>420814</v>
      </c>
      <c r="D242" s="6"/>
      <c r="E242" s="5" t="s">
        <v>32</v>
      </c>
      <c r="F242" s="5" t="s">
        <v>148</v>
      </c>
      <c r="G242" s="5" t="s">
        <v>52</v>
      </c>
      <c r="H242" s="7" t="s">
        <v>340</v>
      </c>
      <c r="I242" s="7" t="s">
        <v>314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7">
        <v>2</v>
      </c>
      <c r="AF242" s="8">
        <v>4600</v>
      </c>
      <c r="AG242" s="8">
        <v>4600</v>
      </c>
      <c r="AH242" s="7">
        <v>0</v>
      </c>
      <c r="AI242" s="7">
        <v>0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  <c r="AQ242" s="7">
        <v>0</v>
      </c>
      <c r="AR242" s="7">
        <v>0</v>
      </c>
      <c r="AS242" s="7">
        <v>0</v>
      </c>
      <c r="AT242" s="7">
        <v>0</v>
      </c>
      <c r="AU242" s="7">
        <v>0</v>
      </c>
      <c r="AV242" s="7">
        <v>0</v>
      </c>
      <c r="AW242" s="7">
        <v>0</v>
      </c>
      <c r="AX242" s="7">
        <v>0</v>
      </c>
      <c r="AY242" s="7">
        <v>0</v>
      </c>
      <c r="AZ242" s="7">
        <v>0</v>
      </c>
      <c r="BA242" s="7">
        <v>0</v>
      </c>
      <c r="BB242" s="7">
        <v>0</v>
      </c>
      <c r="BC242" s="7">
        <v>0</v>
      </c>
      <c r="BD242" s="7">
        <v>0</v>
      </c>
      <c r="BE242" s="7">
        <v>0</v>
      </c>
      <c r="BF242" s="7">
        <v>0</v>
      </c>
      <c r="BG242" s="7">
        <v>0</v>
      </c>
      <c r="BH242" s="7">
        <v>0</v>
      </c>
      <c r="BI242" s="7">
        <v>0</v>
      </c>
      <c r="BJ242" s="7">
        <v>0</v>
      </c>
      <c r="BK242" s="7">
        <v>0</v>
      </c>
      <c r="BL242" s="7">
        <v>0</v>
      </c>
      <c r="BM242" s="10">
        <v>9200</v>
      </c>
      <c r="BN242" s="16">
        <f t="shared" si="9"/>
        <v>9200</v>
      </c>
      <c r="BO242" s="14">
        <f t="shared" si="10"/>
        <v>6440</v>
      </c>
    </row>
    <row r="243" spans="1:67" ht="19.5" x14ac:dyDescent="0.3">
      <c r="A243" s="5" t="s">
        <v>430</v>
      </c>
      <c r="B243" s="5" t="s">
        <v>81</v>
      </c>
      <c r="C243" s="5">
        <v>245889</v>
      </c>
      <c r="D243" s="6"/>
      <c r="E243" s="5" t="s">
        <v>32</v>
      </c>
      <c r="F243" s="5" t="s">
        <v>48</v>
      </c>
      <c r="G243" s="5" t="s">
        <v>11</v>
      </c>
      <c r="H243" s="7" t="s">
        <v>7</v>
      </c>
      <c r="I243" s="7" t="s">
        <v>82</v>
      </c>
      <c r="J243" s="7">
        <v>6</v>
      </c>
      <c r="K243" s="7">
        <v>0</v>
      </c>
      <c r="L243" s="7">
        <v>600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84</v>
      </c>
      <c r="AF243" s="8">
        <v>1700</v>
      </c>
      <c r="AG243" s="8">
        <v>6700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0</v>
      </c>
      <c r="AP243" s="7">
        <v>0</v>
      </c>
      <c r="AQ243" s="7">
        <v>1</v>
      </c>
      <c r="AR243" s="7">
        <v>100</v>
      </c>
      <c r="AS243" s="7">
        <v>0</v>
      </c>
      <c r="AT243" s="7">
        <v>0</v>
      </c>
      <c r="AU243" s="7">
        <v>0</v>
      </c>
      <c r="AV243" s="7">
        <v>0</v>
      </c>
      <c r="AW243" s="7">
        <v>0</v>
      </c>
      <c r="AX243" s="7">
        <v>0</v>
      </c>
      <c r="AY243" s="7">
        <v>0</v>
      </c>
      <c r="AZ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F243" s="7">
        <v>0</v>
      </c>
      <c r="BG243" s="7">
        <v>0</v>
      </c>
      <c r="BH243" s="7">
        <v>0</v>
      </c>
      <c r="BI243" s="7">
        <v>0</v>
      </c>
      <c r="BJ243" s="7">
        <v>0</v>
      </c>
      <c r="BK243" s="7">
        <v>0</v>
      </c>
      <c r="BL243" s="7">
        <v>0</v>
      </c>
      <c r="BM243" s="10">
        <v>9100</v>
      </c>
      <c r="BN243" s="16">
        <f t="shared" si="9"/>
        <v>9100</v>
      </c>
      <c r="BO243" s="14">
        <f t="shared" si="10"/>
        <v>6370</v>
      </c>
    </row>
    <row r="244" spans="1:67" ht="19.5" x14ac:dyDescent="0.3">
      <c r="A244" s="5" t="s">
        <v>430</v>
      </c>
      <c r="B244" s="5" t="s">
        <v>272</v>
      </c>
      <c r="C244" s="5">
        <v>458561</v>
      </c>
      <c r="D244" s="6"/>
      <c r="E244" s="5" t="s">
        <v>32</v>
      </c>
      <c r="F244" s="5" t="s">
        <v>48</v>
      </c>
      <c r="G244" s="5" t="s">
        <v>11</v>
      </c>
      <c r="H244" s="7" t="s">
        <v>7</v>
      </c>
      <c r="I244" s="7" t="s">
        <v>223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85</v>
      </c>
      <c r="AF244" s="8">
        <v>8100</v>
      </c>
      <c r="AG244" s="7">
        <v>400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  <c r="AN244" s="7">
        <v>0</v>
      </c>
      <c r="AO244" s="7">
        <v>0</v>
      </c>
      <c r="AP244" s="7">
        <v>0</v>
      </c>
      <c r="AQ244" s="7">
        <v>0</v>
      </c>
      <c r="AR244" s="7">
        <v>0</v>
      </c>
      <c r="AS244" s="7">
        <v>0</v>
      </c>
      <c r="AT244" s="7">
        <v>0</v>
      </c>
      <c r="AU244" s="7">
        <v>0</v>
      </c>
      <c r="AV244" s="7">
        <v>0</v>
      </c>
      <c r="AW244" s="7">
        <v>0</v>
      </c>
      <c r="AX244" s="7">
        <v>0</v>
      </c>
      <c r="AY244" s="7">
        <v>0</v>
      </c>
      <c r="AZ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F244" s="7">
        <v>0</v>
      </c>
      <c r="BG244" s="7">
        <v>0</v>
      </c>
      <c r="BH244" s="7">
        <v>0</v>
      </c>
      <c r="BI244" s="7">
        <v>0</v>
      </c>
      <c r="BJ244" s="7">
        <v>0</v>
      </c>
      <c r="BK244" s="7">
        <v>0</v>
      </c>
      <c r="BL244" s="7">
        <v>0</v>
      </c>
      <c r="BM244" s="10">
        <v>8500</v>
      </c>
      <c r="BN244" s="16">
        <f t="shared" si="9"/>
        <v>8500</v>
      </c>
      <c r="BO244" s="14">
        <f t="shared" si="10"/>
        <v>5950</v>
      </c>
    </row>
    <row r="245" spans="1:67" ht="19.5" x14ac:dyDescent="0.3">
      <c r="A245" s="5" t="s">
        <v>430</v>
      </c>
      <c r="B245" s="5" t="s">
        <v>350</v>
      </c>
      <c r="C245" s="5">
        <v>431330</v>
      </c>
      <c r="D245" s="6"/>
      <c r="E245" s="5" t="s">
        <v>32</v>
      </c>
      <c r="F245" s="5" t="s">
        <v>301</v>
      </c>
      <c r="G245" s="5" t="s">
        <v>52</v>
      </c>
      <c r="H245" s="7" t="s">
        <v>8</v>
      </c>
      <c r="I245" s="7" t="s">
        <v>351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5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83</v>
      </c>
      <c r="AF245" s="7">
        <v>800</v>
      </c>
      <c r="AG245" s="8">
        <v>7500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  <c r="AN245" s="7">
        <v>0</v>
      </c>
      <c r="AO245" s="7">
        <v>0</v>
      </c>
      <c r="AP245" s="7">
        <v>0</v>
      </c>
      <c r="AQ245" s="7">
        <v>0</v>
      </c>
      <c r="AR245" s="7">
        <v>0</v>
      </c>
      <c r="AS245" s="7">
        <v>0</v>
      </c>
      <c r="AT245" s="7">
        <v>0</v>
      </c>
      <c r="AU245" s="7">
        <v>0</v>
      </c>
      <c r="AV245" s="7">
        <v>0</v>
      </c>
      <c r="AW245" s="7">
        <v>0</v>
      </c>
      <c r="AX245" s="7">
        <v>0</v>
      </c>
      <c r="AY245" s="7">
        <v>0</v>
      </c>
      <c r="AZ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F245" s="7">
        <v>0</v>
      </c>
      <c r="BG245" s="7">
        <v>0</v>
      </c>
      <c r="BH245" s="7">
        <v>0</v>
      </c>
      <c r="BI245" s="7">
        <v>0</v>
      </c>
      <c r="BJ245" s="7">
        <v>0</v>
      </c>
      <c r="BK245" s="7">
        <v>0</v>
      </c>
      <c r="BL245" s="7">
        <v>0</v>
      </c>
      <c r="BM245" s="10">
        <v>8300</v>
      </c>
      <c r="BN245" s="16">
        <f t="shared" si="9"/>
        <v>8300</v>
      </c>
      <c r="BO245" s="14">
        <f t="shared" si="10"/>
        <v>5810</v>
      </c>
    </row>
    <row r="246" spans="1:67" ht="19.5" x14ac:dyDescent="0.3">
      <c r="A246" s="5" t="s">
        <v>430</v>
      </c>
      <c r="B246" s="5" t="s">
        <v>257</v>
      </c>
      <c r="C246" s="5">
        <v>382446</v>
      </c>
      <c r="D246" s="6"/>
      <c r="E246" s="5" t="s">
        <v>32</v>
      </c>
      <c r="F246" s="5" t="s">
        <v>73</v>
      </c>
      <c r="G246" s="5" t="s">
        <v>52</v>
      </c>
      <c r="H246" s="7" t="s">
        <v>8</v>
      </c>
      <c r="I246" s="7" t="s">
        <v>258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7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80</v>
      </c>
      <c r="AF246" s="8">
        <v>8000</v>
      </c>
      <c r="AG246" s="7">
        <v>0</v>
      </c>
      <c r="AH246" s="7">
        <v>0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  <c r="AO246" s="7">
        <v>0</v>
      </c>
      <c r="AP246" s="7">
        <v>0</v>
      </c>
      <c r="AQ246" s="7">
        <v>0</v>
      </c>
      <c r="AR246" s="7">
        <v>0</v>
      </c>
      <c r="AS246" s="7">
        <v>0</v>
      </c>
      <c r="AT246" s="7">
        <v>0</v>
      </c>
      <c r="AU246" s="7">
        <v>0</v>
      </c>
      <c r="AV246" s="7">
        <v>0</v>
      </c>
      <c r="AW246" s="7">
        <v>0</v>
      </c>
      <c r="AX246" s="7">
        <v>0</v>
      </c>
      <c r="AY246" s="7">
        <v>0</v>
      </c>
      <c r="AZ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F246" s="7">
        <v>0</v>
      </c>
      <c r="BG246" s="7">
        <v>0</v>
      </c>
      <c r="BH246" s="7">
        <v>0</v>
      </c>
      <c r="BI246" s="7">
        <v>0</v>
      </c>
      <c r="BJ246" s="7">
        <v>0</v>
      </c>
      <c r="BK246" s="7">
        <v>0</v>
      </c>
      <c r="BL246" s="7">
        <v>0</v>
      </c>
      <c r="BM246" s="10">
        <v>8000</v>
      </c>
      <c r="BN246" s="16">
        <f t="shared" si="9"/>
        <v>8000</v>
      </c>
      <c r="BO246" s="14">
        <f t="shared" si="10"/>
        <v>5600</v>
      </c>
    </row>
    <row r="247" spans="1:67" ht="19.5" x14ac:dyDescent="0.3">
      <c r="A247" s="5" t="s">
        <v>430</v>
      </c>
      <c r="B247" s="5" t="s">
        <v>463</v>
      </c>
      <c r="C247" s="5">
        <v>419418</v>
      </c>
      <c r="D247" s="6"/>
      <c r="E247" s="5" t="s">
        <v>32</v>
      </c>
      <c r="F247" s="5" t="s">
        <v>143</v>
      </c>
      <c r="G247" s="5" t="s">
        <v>52</v>
      </c>
      <c r="H247" s="7" t="s">
        <v>340</v>
      </c>
      <c r="I247" s="7" t="s">
        <v>464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2</v>
      </c>
      <c r="AF247" s="8">
        <v>8000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7">
        <v>0</v>
      </c>
      <c r="AP247" s="7">
        <v>0</v>
      </c>
      <c r="AQ247" s="7">
        <v>0</v>
      </c>
      <c r="AR247" s="7">
        <v>0</v>
      </c>
      <c r="AS247" s="7">
        <v>0</v>
      </c>
      <c r="AT247" s="7">
        <v>0</v>
      </c>
      <c r="AU247" s="7">
        <v>0</v>
      </c>
      <c r="AV247" s="7">
        <v>0</v>
      </c>
      <c r="AW247" s="7">
        <v>0</v>
      </c>
      <c r="AX247" s="7">
        <v>0</v>
      </c>
      <c r="AY247" s="7">
        <v>0</v>
      </c>
      <c r="AZ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F247" s="7">
        <v>0</v>
      </c>
      <c r="BG247" s="7">
        <v>0</v>
      </c>
      <c r="BH247" s="7">
        <v>0</v>
      </c>
      <c r="BI247" s="7">
        <v>0</v>
      </c>
      <c r="BJ247" s="7">
        <v>0</v>
      </c>
      <c r="BK247" s="7">
        <v>0</v>
      </c>
      <c r="BL247" s="7">
        <v>0</v>
      </c>
      <c r="BM247" s="10">
        <v>8000</v>
      </c>
      <c r="BN247" s="16">
        <f t="shared" si="9"/>
        <v>8000</v>
      </c>
      <c r="BO247" s="14">
        <f t="shared" si="10"/>
        <v>5600</v>
      </c>
    </row>
    <row r="248" spans="1:67" ht="19.5" x14ac:dyDescent="0.3">
      <c r="A248" s="5" t="s">
        <v>430</v>
      </c>
      <c r="B248" s="5" t="s">
        <v>286</v>
      </c>
      <c r="C248" s="5">
        <v>297776</v>
      </c>
      <c r="D248" s="6"/>
      <c r="E248" s="5" t="s">
        <v>32</v>
      </c>
      <c r="F248" s="5" t="s">
        <v>287</v>
      </c>
      <c r="G248" s="5" t="s">
        <v>11</v>
      </c>
      <c r="H248" s="7" t="s">
        <v>10</v>
      </c>
      <c r="I248" s="7" t="s">
        <v>288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3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77</v>
      </c>
      <c r="AF248" s="7">
        <v>100</v>
      </c>
      <c r="AG248" s="8">
        <v>7600</v>
      </c>
      <c r="AH248" s="7">
        <v>0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  <c r="AN248" s="7">
        <v>0</v>
      </c>
      <c r="AO248" s="7">
        <v>0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7">
        <v>0</v>
      </c>
      <c r="AV248" s="7">
        <v>0</v>
      </c>
      <c r="AW248" s="7">
        <v>0</v>
      </c>
      <c r="AX248" s="7">
        <v>0</v>
      </c>
      <c r="AY248" s="7">
        <v>0</v>
      </c>
      <c r="AZ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F248" s="7">
        <v>0</v>
      </c>
      <c r="BG248" s="7">
        <v>0</v>
      </c>
      <c r="BH248" s="7">
        <v>0</v>
      </c>
      <c r="BI248" s="7">
        <v>0</v>
      </c>
      <c r="BJ248" s="7">
        <v>0</v>
      </c>
      <c r="BK248" s="7">
        <v>0</v>
      </c>
      <c r="BL248" s="7">
        <v>0</v>
      </c>
      <c r="BM248" s="10">
        <v>7700</v>
      </c>
      <c r="BN248" s="16">
        <f t="shared" si="9"/>
        <v>7700</v>
      </c>
      <c r="BO248" s="14">
        <f t="shared" si="10"/>
        <v>5390</v>
      </c>
    </row>
    <row r="249" spans="1:67" ht="19.5" x14ac:dyDescent="0.3">
      <c r="A249" s="5" t="s">
        <v>430</v>
      </c>
      <c r="B249" s="5" t="s">
        <v>465</v>
      </c>
      <c r="C249" s="5">
        <v>464146</v>
      </c>
      <c r="D249" s="6"/>
      <c r="E249" s="5" t="s">
        <v>32</v>
      </c>
      <c r="F249" s="5" t="s">
        <v>234</v>
      </c>
      <c r="G249" s="5" t="s">
        <v>52</v>
      </c>
      <c r="H249" s="7" t="s">
        <v>340</v>
      </c>
      <c r="I249" s="7" t="s">
        <v>235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5</v>
      </c>
      <c r="AF249" s="8">
        <v>3400</v>
      </c>
      <c r="AG249" s="8">
        <v>2100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7">
        <v>0</v>
      </c>
      <c r="AP249" s="7">
        <v>0</v>
      </c>
      <c r="AQ249" s="7">
        <v>2</v>
      </c>
      <c r="AR249" s="8">
        <v>2200</v>
      </c>
      <c r="AS249" s="7">
        <v>0</v>
      </c>
      <c r="AT249" s="7">
        <v>0</v>
      </c>
      <c r="AU249" s="7">
        <v>0</v>
      </c>
      <c r="AV249" s="7">
        <v>0</v>
      </c>
      <c r="AW249" s="7">
        <v>0</v>
      </c>
      <c r="AX249" s="7">
        <v>0</v>
      </c>
      <c r="AY249" s="7">
        <v>0</v>
      </c>
      <c r="AZ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F249" s="7">
        <v>0</v>
      </c>
      <c r="BG249" s="7">
        <v>0</v>
      </c>
      <c r="BH249" s="7">
        <v>0</v>
      </c>
      <c r="BI249" s="7">
        <v>0</v>
      </c>
      <c r="BJ249" s="7">
        <v>0</v>
      </c>
      <c r="BK249" s="7">
        <v>0</v>
      </c>
      <c r="BL249" s="7">
        <v>0</v>
      </c>
      <c r="BM249" s="10">
        <v>7700</v>
      </c>
      <c r="BN249" s="16">
        <f t="shared" si="9"/>
        <v>7700</v>
      </c>
      <c r="BO249" s="14">
        <f t="shared" si="10"/>
        <v>5390</v>
      </c>
    </row>
    <row r="250" spans="1:67" ht="19.5" x14ac:dyDescent="0.3">
      <c r="A250" s="5" t="s">
        <v>430</v>
      </c>
      <c r="B250" s="5" t="s">
        <v>339</v>
      </c>
      <c r="C250" s="5">
        <v>381684</v>
      </c>
      <c r="D250" s="6"/>
      <c r="E250" s="5" t="s">
        <v>32</v>
      </c>
      <c r="F250" s="5" t="s">
        <v>156</v>
      </c>
      <c r="G250" s="5" t="s">
        <v>52</v>
      </c>
      <c r="H250" s="7" t="s">
        <v>340</v>
      </c>
      <c r="I250" s="7" t="s">
        <v>157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2</v>
      </c>
      <c r="AF250" s="8">
        <v>7600</v>
      </c>
      <c r="AG250" s="7">
        <v>0</v>
      </c>
      <c r="AH250" s="7">
        <v>0</v>
      </c>
      <c r="AI250" s="7">
        <v>0</v>
      </c>
      <c r="AJ250" s="7">
        <v>0</v>
      </c>
      <c r="AK250" s="7">
        <v>0</v>
      </c>
      <c r="AL250" s="7">
        <v>0</v>
      </c>
      <c r="AM250" s="7">
        <v>0</v>
      </c>
      <c r="AN250" s="7">
        <v>0</v>
      </c>
      <c r="AO250" s="7">
        <v>0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7">
        <v>0</v>
      </c>
      <c r="AV250" s="7">
        <v>0</v>
      </c>
      <c r="AW250" s="7">
        <v>0</v>
      </c>
      <c r="AX250" s="7">
        <v>0</v>
      </c>
      <c r="AY250" s="7">
        <v>0</v>
      </c>
      <c r="AZ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F250" s="7">
        <v>0</v>
      </c>
      <c r="BG250" s="7">
        <v>0</v>
      </c>
      <c r="BH250" s="7">
        <v>0</v>
      </c>
      <c r="BI250" s="7">
        <v>0</v>
      </c>
      <c r="BJ250" s="7">
        <v>0</v>
      </c>
      <c r="BK250" s="7">
        <v>0</v>
      </c>
      <c r="BL250" s="7">
        <v>0</v>
      </c>
      <c r="BM250" s="10">
        <v>7600</v>
      </c>
      <c r="BN250" s="16">
        <f t="shared" si="9"/>
        <v>7600</v>
      </c>
      <c r="BO250" s="14">
        <f t="shared" si="10"/>
        <v>5320</v>
      </c>
    </row>
    <row r="251" spans="1:67" ht="19.5" x14ac:dyDescent="0.3">
      <c r="A251" s="5" t="s">
        <v>430</v>
      </c>
      <c r="B251" s="5" t="s">
        <v>155</v>
      </c>
      <c r="C251" s="5">
        <v>359912</v>
      </c>
      <c r="D251" s="6"/>
      <c r="E251" s="5" t="s">
        <v>32</v>
      </c>
      <c r="F251" s="5" t="s">
        <v>156</v>
      </c>
      <c r="G251" s="5" t="s">
        <v>52</v>
      </c>
      <c r="H251" s="7" t="s">
        <v>8</v>
      </c>
      <c r="I251" s="7" t="s">
        <v>157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3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69</v>
      </c>
      <c r="AF251" s="8">
        <v>6000</v>
      </c>
      <c r="AG251" s="7">
        <v>900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  <c r="AO251" s="7">
        <v>0</v>
      </c>
      <c r="AP251" s="7">
        <v>0</v>
      </c>
      <c r="AQ251" s="7">
        <v>4</v>
      </c>
      <c r="AR251" s="7">
        <v>400</v>
      </c>
      <c r="AS251" s="7">
        <v>0</v>
      </c>
      <c r="AT251" s="7">
        <v>0</v>
      </c>
      <c r="AU251" s="7">
        <v>0</v>
      </c>
      <c r="AV251" s="7">
        <v>0</v>
      </c>
      <c r="AW251" s="7">
        <v>0</v>
      </c>
      <c r="AX251" s="7">
        <v>0</v>
      </c>
      <c r="AY251" s="7">
        <v>0</v>
      </c>
      <c r="AZ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F251" s="7">
        <v>0</v>
      </c>
      <c r="BG251" s="7">
        <v>0</v>
      </c>
      <c r="BH251" s="7">
        <v>0</v>
      </c>
      <c r="BI251" s="7">
        <v>0</v>
      </c>
      <c r="BJ251" s="7">
        <v>0</v>
      </c>
      <c r="BK251" s="7">
        <v>0</v>
      </c>
      <c r="BL251" s="7">
        <v>0</v>
      </c>
      <c r="BM251" s="10">
        <v>7300</v>
      </c>
      <c r="BN251" s="16">
        <f t="shared" si="9"/>
        <v>7300</v>
      </c>
      <c r="BO251" s="14">
        <f t="shared" si="10"/>
        <v>5110</v>
      </c>
    </row>
    <row r="252" spans="1:67" ht="19.5" x14ac:dyDescent="0.3">
      <c r="A252" s="5" t="s">
        <v>430</v>
      </c>
      <c r="B252" s="5" t="s">
        <v>343</v>
      </c>
      <c r="C252" s="5">
        <v>467494</v>
      </c>
      <c r="D252" s="6"/>
      <c r="E252" s="5" t="s">
        <v>32</v>
      </c>
      <c r="F252" s="5" t="s">
        <v>344</v>
      </c>
      <c r="G252" s="5" t="s">
        <v>52</v>
      </c>
      <c r="H252" s="7" t="s">
        <v>8</v>
      </c>
      <c r="I252" s="7" t="s">
        <v>38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2</v>
      </c>
      <c r="AF252" s="7">
        <v>0</v>
      </c>
      <c r="AG252" s="8">
        <v>7200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  <c r="AQ252" s="7">
        <v>0</v>
      </c>
      <c r="AR252" s="7">
        <v>0</v>
      </c>
      <c r="AS252" s="7">
        <v>0</v>
      </c>
      <c r="AT252" s="7">
        <v>0</v>
      </c>
      <c r="AU252" s="7">
        <v>0</v>
      </c>
      <c r="AV252" s="7">
        <v>0</v>
      </c>
      <c r="AW252" s="7">
        <v>0</v>
      </c>
      <c r="AX252" s="7">
        <v>0</v>
      </c>
      <c r="AY252" s="7">
        <v>0</v>
      </c>
      <c r="AZ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F252" s="7">
        <v>0</v>
      </c>
      <c r="BG252" s="7">
        <v>0</v>
      </c>
      <c r="BH252" s="7">
        <v>0</v>
      </c>
      <c r="BI252" s="7">
        <v>0</v>
      </c>
      <c r="BJ252" s="7">
        <v>0</v>
      </c>
      <c r="BK252" s="7">
        <v>0</v>
      </c>
      <c r="BL252" s="7">
        <v>0</v>
      </c>
      <c r="BM252" s="10">
        <v>7200</v>
      </c>
      <c r="BN252" s="16">
        <f t="shared" si="9"/>
        <v>7200</v>
      </c>
      <c r="BO252" s="14">
        <f t="shared" si="10"/>
        <v>5040</v>
      </c>
    </row>
    <row r="253" spans="1:67" ht="19.5" x14ac:dyDescent="0.3">
      <c r="A253" s="5" t="s">
        <v>430</v>
      </c>
      <c r="B253" s="5" t="s">
        <v>174</v>
      </c>
      <c r="C253" s="5">
        <v>350894</v>
      </c>
      <c r="D253" s="6"/>
      <c r="E253" s="5" t="s">
        <v>32</v>
      </c>
      <c r="F253" s="5" t="s">
        <v>175</v>
      </c>
      <c r="G253" s="5" t="s">
        <v>52</v>
      </c>
      <c r="H253" s="7" t="s">
        <v>8</v>
      </c>
      <c r="I253" s="7" t="s">
        <v>176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7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12</v>
      </c>
      <c r="AF253" s="8">
        <v>1200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0</v>
      </c>
      <c r="AP253" s="7">
        <v>0</v>
      </c>
      <c r="AQ253" s="7">
        <v>58</v>
      </c>
      <c r="AR253" s="8">
        <v>5800</v>
      </c>
      <c r="AS253" s="7">
        <v>0</v>
      </c>
      <c r="AT253" s="7">
        <v>0</v>
      </c>
      <c r="AU253" s="7">
        <v>0</v>
      </c>
      <c r="AV253" s="7">
        <v>0</v>
      </c>
      <c r="AW253" s="7">
        <v>0</v>
      </c>
      <c r="AX253" s="7">
        <v>0</v>
      </c>
      <c r="AY253" s="7">
        <v>0</v>
      </c>
      <c r="AZ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F253" s="7">
        <v>0</v>
      </c>
      <c r="BG253" s="7">
        <v>0</v>
      </c>
      <c r="BH253" s="7">
        <v>0</v>
      </c>
      <c r="BI253" s="7">
        <v>0</v>
      </c>
      <c r="BJ253" s="7">
        <v>0</v>
      </c>
      <c r="BK253" s="7">
        <v>0</v>
      </c>
      <c r="BL253" s="7">
        <v>0</v>
      </c>
      <c r="BM253" s="10">
        <v>7000</v>
      </c>
      <c r="BN253" s="16">
        <f t="shared" si="9"/>
        <v>7000</v>
      </c>
      <c r="BO253" s="14">
        <f t="shared" si="10"/>
        <v>4900</v>
      </c>
    </row>
    <row r="254" spans="1:67" ht="19.5" x14ac:dyDescent="0.3">
      <c r="A254" s="5" t="s">
        <v>430</v>
      </c>
      <c r="B254" s="5" t="s">
        <v>466</v>
      </c>
      <c r="C254" s="5">
        <v>444215</v>
      </c>
      <c r="D254" s="6"/>
      <c r="E254" s="5" t="s">
        <v>32</v>
      </c>
      <c r="F254" s="5" t="s">
        <v>249</v>
      </c>
      <c r="G254" s="5" t="s">
        <v>52</v>
      </c>
      <c r="H254" s="7" t="s">
        <v>340</v>
      </c>
      <c r="I254" s="7" t="s">
        <v>467</v>
      </c>
      <c r="J254" s="7">
        <v>0</v>
      </c>
      <c r="K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2</v>
      </c>
      <c r="AF254" s="8">
        <v>6800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0</v>
      </c>
      <c r="AQ254" s="7">
        <v>0</v>
      </c>
      <c r="AR254" s="7">
        <v>0</v>
      </c>
      <c r="AS254" s="7">
        <v>0</v>
      </c>
      <c r="AT254" s="7">
        <v>0</v>
      </c>
      <c r="AU254" s="7">
        <v>0</v>
      </c>
      <c r="AV254" s="7">
        <v>0</v>
      </c>
      <c r="AW254" s="7">
        <v>0</v>
      </c>
      <c r="AX254" s="7">
        <v>0</v>
      </c>
      <c r="AY254" s="7">
        <v>0</v>
      </c>
      <c r="AZ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F254" s="7">
        <v>0</v>
      </c>
      <c r="BG254" s="7">
        <v>0</v>
      </c>
      <c r="BH254" s="7">
        <v>0</v>
      </c>
      <c r="BI254" s="7">
        <v>0</v>
      </c>
      <c r="BJ254" s="7">
        <v>0</v>
      </c>
      <c r="BK254" s="7">
        <v>0</v>
      </c>
      <c r="BL254" s="7">
        <v>0</v>
      </c>
      <c r="BM254" s="10">
        <v>6800</v>
      </c>
      <c r="BN254" s="16">
        <f t="shared" si="9"/>
        <v>6800</v>
      </c>
      <c r="BO254" s="14">
        <f t="shared" si="10"/>
        <v>4760</v>
      </c>
    </row>
    <row r="255" spans="1:67" ht="19.5" x14ac:dyDescent="0.3">
      <c r="A255" s="5" t="s">
        <v>430</v>
      </c>
      <c r="B255" s="5" t="s">
        <v>215</v>
      </c>
      <c r="C255" s="5">
        <v>402649</v>
      </c>
      <c r="D255" s="6"/>
      <c r="E255" s="5" t="s">
        <v>32</v>
      </c>
      <c r="F255" s="5" t="s">
        <v>60</v>
      </c>
      <c r="G255" s="5" t="s">
        <v>52</v>
      </c>
      <c r="H255" s="7" t="s">
        <v>8</v>
      </c>
      <c r="I255" s="7" t="s">
        <v>216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67</v>
      </c>
      <c r="AF255" s="8">
        <v>6200</v>
      </c>
      <c r="AG255" s="7">
        <v>500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7">
        <v>0</v>
      </c>
      <c r="AP255" s="7">
        <v>0</v>
      </c>
      <c r="AQ255" s="7">
        <v>0</v>
      </c>
      <c r="AR255" s="7">
        <v>0</v>
      </c>
      <c r="AS255" s="7">
        <v>0</v>
      </c>
      <c r="AT255" s="7">
        <v>0</v>
      </c>
      <c r="AU255" s="7">
        <v>0</v>
      </c>
      <c r="AV255" s="7">
        <v>0</v>
      </c>
      <c r="AW255" s="7">
        <v>0</v>
      </c>
      <c r="AX255" s="7">
        <v>0</v>
      </c>
      <c r="AY255" s="7">
        <v>0</v>
      </c>
      <c r="AZ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F255" s="7">
        <v>0</v>
      </c>
      <c r="BG255" s="7">
        <v>0</v>
      </c>
      <c r="BH255" s="7">
        <v>0</v>
      </c>
      <c r="BI255" s="7">
        <v>0</v>
      </c>
      <c r="BJ255" s="7">
        <v>0</v>
      </c>
      <c r="BK255" s="7">
        <v>0</v>
      </c>
      <c r="BL255" s="7">
        <v>0</v>
      </c>
      <c r="BM255" s="10">
        <v>6700</v>
      </c>
      <c r="BN255" s="16">
        <f t="shared" si="9"/>
        <v>6700</v>
      </c>
      <c r="BO255" s="14">
        <f t="shared" si="10"/>
        <v>4690</v>
      </c>
    </row>
    <row r="256" spans="1:67" ht="19.5" x14ac:dyDescent="0.3">
      <c r="A256" s="5" t="s">
        <v>430</v>
      </c>
      <c r="B256" s="5" t="s">
        <v>177</v>
      </c>
      <c r="C256" s="5">
        <v>394079</v>
      </c>
      <c r="D256" s="6"/>
      <c r="E256" s="5" t="s">
        <v>32</v>
      </c>
      <c r="F256" s="5" t="s">
        <v>73</v>
      </c>
      <c r="G256" s="5" t="s">
        <v>52</v>
      </c>
      <c r="H256" s="7" t="s">
        <v>8</v>
      </c>
      <c r="I256" s="7" t="s">
        <v>178</v>
      </c>
      <c r="J256" s="7">
        <v>0</v>
      </c>
      <c r="K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3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51</v>
      </c>
      <c r="AF256" s="8">
        <v>2600</v>
      </c>
      <c r="AG256" s="8">
        <v>2500</v>
      </c>
      <c r="AH256" s="7">
        <v>0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O256" s="7">
        <v>0</v>
      </c>
      <c r="AP256" s="7">
        <v>0</v>
      </c>
      <c r="AQ256" s="7">
        <v>16</v>
      </c>
      <c r="AR256" s="8">
        <v>1600</v>
      </c>
      <c r="AS256" s="7">
        <v>0</v>
      </c>
      <c r="AT256" s="7">
        <v>0</v>
      </c>
      <c r="AU256" s="7">
        <v>0</v>
      </c>
      <c r="AV256" s="7">
        <v>0</v>
      </c>
      <c r="AW256" s="7">
        <v>0</v>
      </c>
      <c r="AX256" s="7">
        <v>0</v>
      </c>
      <c r="AY256" s="7">
        <v>0</v>
      </c>
      <c r="AZ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F256" s="7">
        <v>0</v>
      </c>
      <c r="BG256" s="7">
        <v>0</v>
      </c>
      <c r="BH256" s="7">
        <v>0</v>
      </c>
      <c r="BI256" s="7">
        <v>0</v>
      </c>
      <c r="BJ256" s="7">
        <v>0</v>
      </c>
      <c r="BK256" s="7">
        <v>0</v>
      </c>
      <c r="BL256" s="7">
        <v>0</v>
      </c>
      <c r="BM256" s="10">
        <v>6700</v>
      </c>
      <c r="BN256" s="16">
        <f t="shared" si="9"/>
        <v>6700</v>
      </c>
      <c r="BO256" s="14">
        <f t="shared" si="10"/>
        <v>4690</v>
      </c>
    </row>
    <row r="257" spans="1:67" ht="19.5" x14ac:dyDescent="0.3">
      <c r="A257" s="5" t="s">
        <v>430</v>
      </c>
      <c r="B257" s="5" t="s">
        <v>336</v>
      </c>
      <c r="C257" s="5">
        <v>377088</v>
      </c>
      <c r="D257" s="6"/>
      <c r="E257" s="5" t="s">
        <v>32</v>
      </c>
      <c r="F257" s="5" t="s">
        <v>337</v>
      </c>
      <c r="G257" s="5" t="s">
        <v>52</v>
      </c>
      <c r="H257" s="7" t="s">
        <v>8</v>
      </c>
      <c r="I257" s="7" t="s">
        <v>338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60</v>
      </c>
      <c r="T257" s="7">
        <v>8</v>
      </c>
      <c r="U257" s="7">
        <v>0</v>
      </c>
      <c r="V257" s="8">
        <v>6000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7">
        <v>0</v>
      </c>
      <c r="AP257" s="7">
        <v>0</v>
      </c>
      <c r="AQ257" s="7">
        <v>7</v>
      </c>
      <c r="AR257" s="7">
        <v>700</v>
      </c>
      <c r="AS257" s="7">
        <v>0</v>
      </c>
      <c r="AT257" s="7">
        <v>0</v>
      </c>
      <c r="AU257" s="7">
        <v>0</v>
      </c>
      <c r="AV257" s="7">
        <v>0</v>
      </c>
      <c r="AW257" s="7">
        <v>0</v>
      </c>
      <c r="AX257" s="7">
        <v>0</v>
      </c>
      <c r="AY257" s="7">
        <v>0</v>
      </c>
      <c r="AZ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F257" s="7">
        <v>0</v>
      </c>
      <c r="BG257" s="7">
        <v>0</v>
      </c>
      <c r="BH257" s="7">
        <v>0</v>
      </c>
      <c r="BI257" s="7">
        <v>0</v>
      </c>
      <c r="BJ257" s="7">
        <v>0</v>
      </c>
      <c r="BK257" s="7">
        <v>0</v>
      </c>
      <c r="BL257" s="7">
        <v>0</v>
      </c>
      <c r="BM257" s="10">
        <v>6700</v>
      </c>
      <c r="BN257" s="16">
        <f t="shared" si="9"/>
        <v>6700</v>
      </c>
      <c r="BO257" s="14">
        <f t="shared" si="10"/>
        <v>4690</v>
      </c>
    </row>
    <row r="258" spans="1:67" ht="19.5" x14ac:dyDescent="0.3">
      <c r="A258" s="5" t="s">
        <v>430</v>
      </c>
      <c r="B258" s="5" t="s">
        <v>468</v>
      </c>
      <c r="C258" s="5">
        <v>418305</v>
      </c>
      <c r="D258" s="6"/>
      <c r="E258" s="5" t="s">
        <v>32</v>
      </c>
      <c r="F258" s="5" t="s">
        <v>143</v>
      </c>
      <c r="G258" s="5" t="s">
        <v>52</v>
      </c>
      <c r="H258" s="7" t="s">
        <v>340</v>
      </c>
      <c r="I258" s="7" t="s">
        <v>469</v>
      </c>
      <c r="J258" s="7">
        <v>0</v>
      </c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2</v>
      </c>
      <c r="AF258" s="8">
        <v>6600</v>
      </c>
      <c r="AG258" s="7">
        <v>0</v>
      </c>
      <c r="AH258" s="7">
        <v>0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0</v>
      </c>
      <c r="AP258" s="7">
        <v>0</v>
      </c>
      <c r="AQ258" s="7">
        <v>0</v>
      </c>
      <c r="AR258" s="7">
        <v>0</v>
      </c>
      <c r="AS258" s="7">
        <v>0</v>
      </c>
      <c r="AT258" s="7">
        <v>0</v>
      </c>
      <c r="AU258" s="7">
        <v>0</v>
      </c>
      <c r="AV258" s="7">
        <v>0</v>
      </c>
      <c r="AW258" s="7">
        <v>0</v>
      </c>
      <c r="AX258" s="7">
        <v>0</v>
      </c>
      <c r="AY258" s="7">
        <v>0</v>
      </c>
      <c r="AZ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F258" s="7">
        <v>0</v>
      </c>
      <c r="BG258" s="7">
        <v>0</v>
      </c>
      <c r="BH258" s="7">
        <v>0</v>
      </c>
      <c r="BI258" s="7">
        <v>0</v>
      </c>
      <c r="BJ258" s="7">
        <v>0</v>
      </c>
      <c r="BK258" s="7">
        <v>0</v>
      </c>
      <c r="BL258" s="7">
        <v>0</v>
      </c>
      <c r="BM258" s="10">
        <v>6600</v>
      </c>
      <c r="BN258" s="16">
        <f t="shared" si="9"/>
        <v>6600</v>
      </c>
      <c r="BO258" s="14">
        <f t="shared" si="10"/>
        <v>4620</v>
      </c>
    </row>
    <row r="259" spans="1:67" ht="19.5" x14ac:dyDescent="0.3">
      <c r="A259" s="5" t="s">
        <v>430</v>
      </c>
      <c r="B259" s="5" t="s">
        <v>277</v>
      </c>
      <c r="C259" s="5">
        <v>462361</v>
      </c>
      <c r="D259" s="6"/>
      <c r="E259" s="5" t="s">
        <v>32</v>
      </c>
      <c r="F259" s="5" t="s">
        <v>57</v>
      </c>
      <c r="G259" s="5" t="s">
        <v>11</v>
      </c>
      <c r="H259" s="7" t="s">
        <v>7</v>
      </c>
      <c r="I259" s="7" t="s">
        <v>278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2</v>
      </c>
      <c r="AF259" s="8">
        <v>6400</v>
      </c>
      <c r="AG259" s="7">
        <v>0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  <c r="AO259" s="7">
        <v>0</v>
      </c>
      <c r="AP259" s="7">
        <v>0</v>
      </c>
      <c r="AQ259" s="7">
        <v>0</v>
      </c>
      <c r="AR259" s="7">
        <v>0</v>
      </c>
      <c r="AS259" s="7">
        <v>0</v>
      </c>
      <c r="AT259" s="7">
        <v>0</v>
      </c>
      <c r="AU259" s="7">
        <v>0</v>
      </c>
      <c r="AV259" s="7">
        <v>0</v>
      </c>
      <c r="AW259" s="7">
        <v>0</v>
      </c>
      <c r="AX259" s="7">
        <v>0</v>
      </c>
      <c r="AY259" s="7">
        <v>0</v>
      </c>
      <c r="AZ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F259" s="7">
        <v>0</v>
      </c>
      <c r="BG259" s="7">
        <v>0</v>
      </c>
      <c r="BH259" s="7">
        <v>0</v>
      </c>
      <c r="BI259" s="7">
        <v>0</v>
      </c>
      <c r="BJ259" s="7">
        <v>0</v>
      </c>
      <c r="BK259" s="7">
        <v>0</v>
      </c>
      <c r="BL259" s="7">
        <v>0</v>
      </c>
      <c r="BM259" s="10">
        <v>6400</v>
      </c>
      <c r="BN259" s="16">
        <f t="shared" si="9"/>
        <v>6400</v>
      </c>
      <c r="BO259" s="14">
        <f t="shared" si="10"/>
        <v>4480</v>
      </c>
    </row>
    <row r="260" spans="1:67" ht="19.5" x14ac:dyDescent="0.3">
      <c r="A260" s="5" t="s">
        <v>430</v>
      </c>
      <c r="B260" s="5" t="s">
        <v>292</v>
      </c>
      <c r="C260" s="5">
        <v>418689</v>
      </c>
      <c r="D260" s="6"/>
      <c r="E260" s="5" t="s">
        <v>32</v>
      </c>
      <c r="F260" s="5" t="s">
        <v>220</v>
      </c>
      <c r="G260" s="5" t="s">
        <v>11</v>
      </c>
      <c r="H260" s="7" t="s">
        <v>7</v>
      </c>
      <c r="I260" s="7" t="s">
        <v>293</v>
      </c>
      <c r="J260" s="7">
        <v>0</v>
      </c>
      <c r="K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1</v>
      </c>
      <c r="AF260" s="7">
        <v>800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  <c r="AO260" s="7">
        <v>0</v>
      </c>
      <c r="AP260" s="7">
        <v>0</v>
      </c>
      <c r="AQ260" s="7">
        <v>2</v>
      </c>
      <c r="AR260" s="8">
        <v>5600</v>
      </c>
      <c r="AS260" s="7">
        <v>0</v>
      </c>
      <c r="AT260" s="7">
        <v>0</v>
      </c>
      <c r="AU260" s="7">
        <v>0</v>
      </c>
      <c r="AV260" s="7">
        <v>0</v>
      </c>
      <c r="AW260" s="7">
        <v>0</v>
      </c>
      <c r="AX260" s="7">
        <v>0</v>
      </c>
      <c r="AY260" s="7">
        <v>0</v>
      </c>
      <c r="AZ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F260" s="7">
        <v>0</v>
      </c>
      <c r="BG260" s="7">
        <v>0</v>
      </c>
      <c r="BH260" s="7">
        <v>0</v>
      </c>
      <c r="BI260" s="7">
        <v>0</v>
      </c>
      <c r="BJ260" s="7">
        <v>0</v>
      </c>
      <c r="BK260" s="7">
        <v>0</v>
      </c>
      <c r="BL260" s="7">
        <v>0</v>
      </c>
      <c r="BM260" s="10">
        <v>6400</v>
      </c>
      <c r="BN260" s="16">
        <f t="shared" si="9"/>
        <v>6400</v>
      </c>
      <c r="BO260" s="14">
        <f t="shared" si="10"/>
        <v>4480</v>
      </c>
    </row>
    <row r="261" spans="1:67" ht="19.5" x14ac:dyDescent="0.3">
      <c r="A261" s="5" t="s">
        <v>430</v>
      </c>
      <c r="B261" s="5" t="s">
        <v>470</v>
      </c>
      <c r="C261" s="5">
        <v>426265</v>
      </c>
      <c r="D261" s="6"/>
      <c r="E261" s="5" t="s">
        <v>32</v>
      </c>
      <c r="F261" s="5" t="s">
        <v>471</v>
      </c>
      <c r="G261" s="5" t="s">
        <v>52</v>
      </c>
      <c r="H261" s="7" t="s">
        <v>340</v>
      </c>
      <c r="I261" s="7" t="s">
        <v>472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2</v>
      </c>
      <c r="AF261" s="8">
        <v>6400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7">
        <v>0</v>
      </c>
      <c r="AR261" s="7">
        <v>0</v>
      </c>
      <c r="AS261" s="7">
        <v>0</v>
      </c>
      <c r="AT261" s="7">
        <v>0</v>
      </c>
      <c r="AU261" s="7">
        <v>0</v>
      </c>
      <c r="AV261" s="7">
        <v>0</v>
      </c>
      <c r="AW261" s="7">
        <v>0</v>
      </c>
      <c r="AX261" s="7">
        <v>0</v>
      </c>
      <c r="AY261" s="7">
        <v>0</v>
      </c>
      <c r="AZ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F261" s="7">
        <v>0</v>
      </c>
      <c r="BG261" s="7">
        <v>0</v>
      </c>
      <c r="BH261" s="7">
        <v>0</v>
      </c>
      <c r="BI261" s="7">
        <v>0</v>
      </c>
      <c r="BJ261" s="7">
        <v>0</v>
      </c>
      <c r="BK261" s="7">
        <v>0</v>
      </c>
      <c r="BL261" s="7">
        <v>0</v>
      </c>
      <c r="BM261" s="10">
        <v>6400</v>
      </c>
      <c r="BN261" s="16">
        <f t="shared" si="9"/>
        <v>6400</v>
      </c>
      <c r="BO261" s="14">
        <f t="shared" si="10"/>
        <v>4480</v>
      </c>
    </row>
    <row r="262" spans="1:67" ht="19.5" x14ac:dyDescent="0.3">
      <c r="A262" s="5" t="s">
        <v>430</v>
      </c>
      <c r="B262" s="5" t="s">
        <v>388</v>
      </c>
      <c r="C262" s="5">
        <v>428118</v>
      </c>
      <c r="D262" s="6"/>
      <c r="E262" s="5" t="s">
        <v>32</v>
      </c>
      <c r="F262" s="5" t="s">
        <v>67</v>
      </c>
      <c r="G262" s="5" t="s">
        <v>52</v>
      </c>
      <c r="H262" s="7" t="s">
        <v>8</v>
      </c>
      <c r="I262" s="7" t="s">
        <v>197</v>
      </c>
      <c r="J262" s="7">
        <v>0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2</v>
      </c>
      <c r="AF262" s="8">
        <v>6400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  <c r="AQ262" s="7">
        <v>0</v>
      </c>
      <c r="AR262" s="7">
        <v>0</v>
      </c>
      <c r="AS262" s="7">
        <v>0</v>
      </c>
      <c r="AT262" s="7">
        <v>0</v>
      </c>
      <c r="AU262" s="7">
        <v>0</v>
      </c>
      <c r="AV262" s="7">
        <v>0</v>
      </c>
      <c r="AW262" s="7">
        <v>0</v>
      </c>
      <c r="AX262" s="7">
        <v>0</v>
      </c>
      <c r="AY262" s="7">
        <v>0</v>
      </c>
      <c r="AZ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F262" s="7">
        <v>0</v>
      </c>
      <c r="BG262" s="7">
        <v>0</v>
      </c>
      <c r="BH262" s="7">
        <v>0</v>
      </c>
      <c r="BI262" s="7">
        <v>0</v>
      </c>
      <c r="BJ262" s="7">
        <v>0</v>
      </c>
      <c r="BK262" s="7">
        <v>0</v>
      </c>
      <c r="BL262" s="7">
        <v>0</v>
      </c>
      <c r="BM262" s="10">
        <v>6400</v>
      </c>
      <c r="BN262" s="16">
        <f t="shared" si="9"/>
        <v>6400</v>
      </c>
      <c r="BO262" s="14">
        <f t="shared" si="10"/>
        <v>4480</v>
      </c>
    </row>
    <row r="263" spans="1:67" ht="19.5" x14ac:dyDescent="0.3">
      <c r="A263" s="5" t="s">
        <v>430</v>
      </c>
      <c r="B263" s="5" t="s">
        <v>406</v>
      </c>
      <c r="C263" s="5">
        <v>356294</v>
      </c>
      <c r="D263" s="6"/>
      <c r="E263" s="5" t="s">
        <v>32</v>
      </c>
      <c r="F263" s="5" t="s">
        <v>60</v>
      </c>
      <c r="G263" s="5" t="s">
        <v>52</v>
      </c>
      <c r="H263" s="7" t="s">
        <v>8</v>
      </c>
      <c r="I263" s="7" t="s">
        <v>229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5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61</v>
      </c>
      <c r="AF263" s="8">
        <v>6100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7">
        <v>0</v>
      </c>
      <c r="AR263" s="7">
        <v>0</v>
      </c>
      <c r="AS263" s="7">
        <v>0</v>
      </c>
      <c r="AT263" s="7">
        <v>0</v>
      </c>
      <c r="AU263" s="7">
        <v>0</v>
      </c>
      <c r="AV263" s="7">
        <v>0</v>
      </c>
      <c r="AW263" s="7">
        <v>0</v>
      </c>
      <c r="AX263" s="7">
        <v>0</v>
      </c>
      <c r="AY263" s="7">
        <v>0</v>
      </c>
      <c r="AZ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F263" s="7">
        <v>0</v>
      </c>
      <c r="BG263" s="7">
        <v>0</v>
      </c>
      <c r="BH263" s="7">
        <v>0</v>
      </c>
      <c r="BI263" s="7">
        <v>0</v>
      </c>
      <c r="BJ263" s="7">
        <v>0</v>
      </c>
      <c r="BK263" s="7">
        <v>0</v>
      </c>
      <c r="BL263" s="7">
        <v>0</v>
      </c>
      <c r="BM263" s="10">
        <v>6100</v>
      </c>
      <c r="BN263" s="16">
        <f t="shared" si="9"/>
        <v>6100</v>
      </c>
      <c r="BO263" s="14">
        <f t="shared" si="10"/>
        <v>4270</v>
      </c>
    </row>
    <row r="264" spans="1:67" ht="19.5" x14ac:dyDescent="0.3">
      <c r="A264" s="5" t="s">
        <v>430</v>
      </c>
      <c r="B264" s="5" t="s">
        <v>245</v>
      </c>
      <c r="C264" s="5">
        <v>434558</v>
      </c>
      <c r="D264" s="6"/>
      <c r="E264" s="5" t="s">
        <v>32</v>
      </c>
      <c r="F264" s="5" t="s">
        <v>246</v>
      </c>
      <c r="G264" s="5" t="s">
        <v>11</v>
      </c>
      <c r="H264" s="7" t="s">
        <v>7</v>
      </c>
      <c r="I264" s="7" t="s">
        <v>247</v>
      </c>
      <c r="J264" s="7">
        <v>1</v>
      </c>
      <c r="K264" s="7">
        <v>41</v>
      </c>
      <c r="L264" s="7">
        <v>100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60</v>
      </c>
      <c r="AF264" s="8">
        <v>6000</v>
      </c>
      <c r="AG264" s="7">
        <v>0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7">
        <v>0</v>
      </c>
      <c r="AP264" s="7">
        <v>0</v>
      </c>
      <c r="AQ264" s="7">
        <v>0</v>
      </c>
      <c r="AR264" s="7">
        <v>0</v>
      </c>
      <c r="AS264" s="7">
        <v>0</v>
      </c>
      <c r="AT264" s="7">
        <v>0</v>
      </c>
      <c r="AU264" s="7">
        <v>0</v>
      </c>
      <c r="AV264" s="7">
        <v>0</v>
      </c>
      <c r="AW264" s="7">
        <v>0</v>
      </c>
      <c r="AX264" s="7">
        <v>0</v>
      </c>
      <c r="AY264" s="7">
        <v>0</v>
      </c>
      <c r="AZ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F264" s="7">
        <v>0</v>
      </c>
      <c r="BG264" s="7">
        <v>0</v>
      </c>
      <c r="BH264" s="7">
        <v>0</v>
      </c>
      <c r="BI264" s="7">
        <v>0</v>
      </c>
      <c r="BJ264" s="7">
        <v>0</v>
      </c>
      <c r="BK264" s="7">
        <v>0</v>
      </c>
      <c r="BL264" s="7">
        <v>0</v>
      </c>
      <c r="BM264" s="10">
        <v>6100</v>
      </c>
      <c r="BN264" s="16">
        <f t="shared" si="9"/>
        <v>6100</v>
      </c>
      <c r="BO264" s="14">
        <f t="shared" si="10"/>
        <v>4270</v>
      </c>
    </row>
    <row r="265" spans="1:67" ht="19.5" x14ac:dyDescent="0.3">
      <c r="A265" s="5" t="s">
        <v>430</v>
      </c>
      <c r="B265" s="5" t="s">
        <v>473</v>
      </c>
      <c r="C265" s="5">
        <v>426251</v>
      </c>
      <c r="D265" s="6"/>
      <c r="E265" s="5" t="s">
        <v>32</v>
      </c>
      <c r="F265" s="5" t="s">
        <v>249</v>
      </c>
      <c r="G265" s="5" t="s">
        <v>52</v>
      </c>
      <c r="H265" s="7" t="s">
        <v>340</v>
      </c>
      <c r="I265" s="7" t="s">
        <v>474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2</v>
      </c>
      <c r="AF265" s="8">
        <v>6000</v>
      </c>
      <c r="AG265" s="7">
        <v>0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  <c r="AO265" s="7">
        <v>0</v>
      </c>
      <c r="AP265" s="7">
        <v>0</v>
      </c>
      <c r="AQ265" s="7">
        <v>0</v>
      </c>
      <c r="AR265" s="7">
        <v>0</v>
      </c>
      <c r="AS265" s="7">
        <v>0</v>
      </c>
      <c r="AT265" s="7">
        <v>0</v>
      </c>
      <c r="AU265" s="7">
        <v>0</v>
      </c>
      <c r="AV265" s="7">
        <v>0</v>
      </c>
      <c r="AW265" s="7">
        <v>0</v>
      </c>
      <c r="AX265" s="7">
        <v>0</v>
      </c>
      <c r="AY265" s="7">
        <v>0</v>
      </c>
      <c r="AZ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F265" s="7">
        <v>0</v>
      </c>
      <c r="BG265" s="7">
        <v>0</v>
      </c>
      <c r="BH265" s="7">
        <v>0</v>
      </c>
      <c r="BI265" s="7">
        <v>0</v>
      </c>
      <c r="BJ265" s="7">
        <v>0</v>
      </c>
      <c r="BK265" s="7">
        <v>0</v>
      </c>
      <c r="BL265" s="7">
        <v>0</v>
      </c>
      <c r="BM265" s="10">
        <v>6000</v>
      </c>
      <c r="BN265" s="16">
        <f t="shared" si="9"/>
        <v>6000</v>
      </c>
      <c r="BO265" s="14">
        <f t="shared" si="10"/>
        <v>4200</v>
      </c>
    </row>
    <row r="266" spans="1:67" ht="19.5" x14ac:dyDescent="0.3">
      <c r="A266" s="5" t="s">
        <v>430</v>
      </c>
      <c r="B266" s="5" t="s">
        <v>236</v>
      </c>
      <c r="C266" s="5">
        <v>415992</v>
      </c>
      <c r="D266" s="6"/>
      <c r="E266" s="5" t="s">
        <v>32</v>
      </c>
      <c r="F266" s="5" t="s">
        <v>60</v>
      </c>
      <c r="G266" s="5" t="s">
        <v>52</v>
      </c>
      <c r="H266" s="7" t="s">
        <v>8</v>
      </c>
      <c r="I266" s="7" t="s">
        <v>237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52</v>
      </c>
      <c r="AF266" s="8">
        <v>5200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  <c r="AQ266" s="7">
        <v>0</v>
      </c>
      <c r="AR266" s="7">
        <v>0</v>
      </c>
      <c r="AS266" s="7">
        <v>0</v>
      </c>
      <c r="AT266" s="7">
        <v>0</v>
      </c>
      <c r="AU266" s="7">
        <v>0</v>
      </c>
      <c r="AV266" s="7">
        <v>0</v>
      </c>
      <c r="AW266" s="7">
        <v>0</v>
      </c>
      <c r="AX266" s="7">
        <v>0</v>
      </c>
      <c r="AY266" s="7">
        <v>0</v>
      </c>
      <c r="AZ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F266" s="7">
        <v>0</v>
      </c>
      <c r="BG266" s="7">
        <v>0</v>
      </c>
      <c r="BH266" s="7">
        <v>0</v>
      </c>
      <c r="BI266" s="7">
        <v>0</v>
      </c>
      <c r="BJ266" s="7">
        <v>0</v>
      </c>
      <c r="BK266" s="7">
        <v>0</v>
      </c>
      <c r="BL266" s="7">
        <v>0</v>
      </c>
      <c r="BM266" s="10">
        <v>5200</v>
      </c>
      <c r="BN266" s="16">
        <f t="shared" si="9"/>
        <v>5200</v>
      </c>
      <c r="BO266" s="14">
        <f t="shared" si="10"/>
        <v>3639.9999999999995</v>
      </c>
    </row>
    <row r="267" spans="1:67" ht="19.5" x14ac:dyDescent="0.3">
      <c r="A267" s="5" t="s">
        <v>430</v>
      </c>
      <c r="B267" s="5" t="s">
        <v>374</v>
      </c>
      <c r="C267" s="5">
        <v>406872</v>
      </c>
      <c r="D267" s="6"/>
      <c r="E267" s="5" t="s">
        <v>32</v>
      </c>
      <c r="F267" s="5" t="s">
        <v>375</v>
      </c>
      <c r="G267" s="5" t="s">
        <v>11</v>
      </c>
      <c r="H267" s="7" t="s">
        <v>10</v>
      </c>
      <c r="I267" s="7" t="s">
        <v>376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52</v>
      </c>
      <c r="AF267" s="8">
        <v>5200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7">
        <v>0</v>
      </c>
      <c r="AR267" s="7">
        <v>0</v>
      </c>
      <c r="AS267" s="7">
        <v>0</v>
      </c>
      <c r="AT267" s="7">
        <v>0</v>
      </c>
      <c r="AU267" s="7">
        <v>0</v>
      </c>
      <c r="AV267" s="7">
        <v>0</v>
      </c>
      <c r="AW267" s="7">
        <v>0</v>
      </c>
      <c r="AX267" s="7">
        <v>0</v>
      </c>
      <c r="AY267" s="7">
        <v>0</v>
      </c>
      <c r="AZ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F267" s="7">
        <v>0</v>
      </c>
      <c r="BG267" s="7">
        <v>0</v>
      </c>
      <c r="BH267" s="7">
        <v>0</v>
      </c>
      <c r="BI267" s="7">
        <v>0</v>
      </c>
      <c r="BJ267" s="7">
        <v>0</v>
      </c>
      <c r="BK267" s="7">
        <v>0</v>
      </c>
      <c r="BL267" s="7">
        <v>0</v>
      </c>
      <c r="BM267" s="10">
        <v>5200</v>
      </c>
      <c r="BN267" s="16">
        <f t="shared" si="9"/>
        <v>5200</v>
      </c>
      <c r="BO267" s="14">
        <f t="shared" si="10"/>
        <v>3639.9999999999995</v>
      </c>
    </row>
    <row r="268" spans="1:67" ht="19.5" x14ac:dyDescent="0.3">
      <c r="A268" s="5" t="s">
        <v>430</v>
      </c>
      <c r="B268" s="5" t="s">
        <v>475</v>
      </c>
      <c r="C268" s="5">
        <v>388541</v>
      </c>
      <c r="D268" s="6"/>
      <c r="E268" s="5" t="s">
        <v>32</v>
      </c>
      <c r="F268" s="5" t="s">
        <v>60</v>
      </c>
      <c r="G268" s="5" t="s">
        <v>52</v>
      </c>
      <c r="H268" s="7" t="s">
        <v>340</v>
      </c>
      <c r="I268" s="7" t="s">
        <v>476</v>
      </c>
      <c r="J268" s="7">
        <v>0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1</v>
      </c>
      <c r="AF268" s="8">
        <v>5100</v>
      </c>
      <c r="AG268" s="7">
        <v>0</v>
      </c>
      <c r="AH268" s="7">
        <v>0</v>
      </c>
      <c r="AI268" s="7">
        <v>0</v>
      </c>
      <c r="AJ268" s="7">
        <v>0</v>
      </c>
      <c r="AK268" s="7">
        <v>0</v>
      </c>
      <c r="AL268" s="7">
        <v>0</v>
      </c>
      <c r="AM268" s="7">
        <v>0</v>
      </c>
      <c r="AN268" s="7">
        <v>0</v>
      </c>
      <c r="AO268" s="7">
        <v>0</v>
      </c>
      <c r="AP268" s="7">
        <v>0</v>
      </c>
      <c r="AQ268" s="7">
        <v>0</v>
      </c>
      <c r="AR268" s="7">
        <v>0</v>
      </c>
      <c r="AS268" s="7">
        <v>0</v>
      </c>
      <c r="AT268" s="7">
        <v>0</v>
      </c>
      <c r="AU268" s="7">
        <v>0</v>
      </c>
      <c r="AV268" s="7">
        <v>0</v>
      </c>
      <c r="AW268" s="7">
        <v>0</v>
      </c>
      <c r="AX268" s="7">
        <v>0</v>
      </c>
      <c r="AY268" s="7">
        <v>0</v>
      </c>
      <c r="AZ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F268" s="7">
        <v>0</v>
      </c>
      <c r="BG268" s="7">
        <v>0</v>
      </c>
      <c r="BH268" s="7">
        <v>0</v>
      </c>
      <c r="BI268" s="7">
        <v>0</v>
      </c>
      <c r="BJ268" s="7">
        <v>0</v>
      </c>
      <c r="BK268" s="7">
        <v>0</v>
      </c>
      <c r="BL268" s="7">
        <v>0</v>
      </c>
      <c r="BM268" s="10">
        <v>5100</v>
      </c>
      <c r="BN268" s="16">
        <f t="shared" si="9"/>
        <v>5100</v>
      </c>
      <c r="BO268" s="14">
        <f t="shared" si="10"/>
        <v>3570</v>
      </c>
    </row>
    <row r="269" spans="1:67" ht="19.5" x14ac:dyDescent="0.3">
      <c r="A269" s="5" t="s">
        <v>430</v>
      </c>
      <c r="B269" s="5" t="s">
        <v>477</v>
      </c>
      <c r="C269" s="5">
        <v>444217</v>
      </c>
      <c r="D269" s="6"/>
      <c r="E269" s="5" t="s">
        <v>32</v>
      </c>
      <c r="F269" s="5" t="s">
        <v>153</v>
      </c>
      <c r="G269" s="5" t="s">
        <v>52</v>
      </c>
      <c r="H269" s="7" t="s">
        <v>340</v>
      </c>
      <c r="I269" s="7" t="s">
        <v>478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1</v>
      </c>
      <c r="AF269" s="8">
        <v>2500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  <c r="AQ269" s="7">
        <v>1</v>
      </c>
      <c r="AR269" s="8">
        <v>2500</v>
      </c>
      <c r="AS269" s="7">
        <v>0</v>
      </c>
      <c r="AT269" s="7">
        <v>0</v>
      </c>
      <c r="AU269" s="7">
        <v>0</v>
      </c>
      <c r="AV269" s="7">
        <v>0</v>
      </c>
      <c r="AW269" s="7">
        <v>0</v>
      </c>
      <c r="AX269" s="7">
        <v>0</v>
      </c>
      <c r="AY269" s="7">
        <v>0</v>
      </c>
      <c r="AZ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F269" s="7">
        <v>0</v>
      </c>
      <c r="BG269" s="7">
        <v>0</v>
      </c>
      <c r="BH269" s="7">
        <v>0</v>
      </c>
      <c r="BI269" s="7">
        <v>0</v>
      </c>
      <c r="BJ269" s="7">
        <v>0</v>
      </c>
      <c r="BK269" s="7">
        <v>0</v>
      </c>
      <c r="BL269" s="7">
        <v>0</v>
      </c>
      <c r="BM269" s="10">
        <v>5000</v>
      </c>
      <c r="BN269" s="16">
        <f t="shared" si="9"/>
        <v>5000</v>
      </c>
      <c r="BO269" s="14">
        <f t="shared" si="10"/>
        <v>3500</v>
      </c>
    </row>
    <row r="270" spans="1:67" ht="19.5" x14ac:dyDescent="0.3">
      <c r="A270" s="5" t="s">
        <v>430</v>
      </c>
      <c r="B270" s="5" t="s">
        <v>269</v>
      </c>
      <c r="C270" s="5">
        <v>356295</v>
      </c>
      <c r="D270" s="6"/>
      <c r="E270" s="5" t="s">
        <v>32</v>
      </c>
      <c r="F270" s="5" t="s">
        <v>60</v>
      </c>
      <c r="G270" s="5" t="s">
        <v>52</v>
      </c>
      <c r="H270" s="7" t="s">
        <v>8</v>
      </c>
      <c r="I270" s="7" t="s">
        <v>229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4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7">
        <v>49</v>
      </c>
      <c r="AF270" s="8">
        <v>1200</v>
      </c>
      <c r="AG270" s="8">
        <v>3700</v>
      </c>
      <c r="AH270" s="7">
        <v>0</v>
      </c>
      <c r="AI270" s="7">
        <v>0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  <c r="AO270" s="7">
        <v>0</v>
      </c>
      <c r="AP270" s="7">
        <v>0</v>
      </c>
      <c r="AQ270" s="7">
        <v>0</v>
      </c>
      <c r="AR270" s="7">
        <v>0</v>
      </c>
      <c r="AS270" s="7">
        <v>0</v>
      </c>
      <c r="AT270" s="7">
        <v>0</v>
      </c>
      <c r="AU270" s="7">
        <v>0</v>
      </c>
      <c r="AV270" s="7">
        <v>0</v>
      </c>
      <c r="AW270" s="7">
        <v>0</v>
      </c>
      <c r="AX270" s="7">
        <v>0</v>
      </c>
      <c r="AY270" s="7">
        <v>0</v>
      </c>
      <c r="AZ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F270" s="7">
        <v>0</v>
      </c>
      <c r="BG270" s="7">
        <v>0</v>
      </c>
      <c r="BH270" s="7">
        <v>0</v>
      </c>
      <c r="BI270" s="7">
        <v>0</v>
      </c>
      <c r="BJ270" s="7">
        <v>0</v>
      </c>
      <c r="BK270" s="7">
        <v>0</v>
      </c>
      <c r="BL270" s="7">
        <v>0</v>
      </c>
      <c r="BM270" s="10">
        <v>4900</v>
      </c>
      <c r="BN270" s="16">
        <f t="shared" si="9"/>
        <v>4900</v>
      </c>
      <c r="BO270" s="14">
        <f t="shared" si="10"/>
        <v>3430</v>
      </c>
    </row>
    <row r="271" spans="1:67" ht="19.5" x14ac:dyDescent="0.3">
      <c r="A271" s="5" t="s">
        <v>430</v>
      </c>
      <c r="B271" s="5" t="s">
        <v>162</v>
      </c>
      <c r="C271" s="5">
        <v>399034</v>
      </c>
      <c r="D271" s="6"/>
      <c r="E271" s="5" t="s">
        <v>32</v>
      </c>
      <c r="F271" s="5" t="s">
        <v>163</v>
      </c>
      <c r="G271" s="5" t="s">
        <v>52</v>
      </c>
      <c r="H271" s="7" t="s">
        <v>8</v>
      </c>
      <c r="I271" s="7" t="s">
        <v>164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5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49</v>
      </c>
      <c r="AF271" s="8">
        <v>4900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7">
        <v>0</v>
      </c>
      <c r="AP271" s="7">
        <v>0</v>
      </c>
      <c r="AQ271" s="7">
        <v>0</v>
      </c>
      <c r="AR271" s="7">
        <v>0</v>
      </c>
      <c r="AS271" s="7">
        <v>0</v>
      </c>
      <c r="AT271" s="7">
        <v>0</v>
      </c>
      <c r="AU271" s="7">
        <v>0</v>
      </c>
      <c r="AV271" s="7">
        <v>0</v>
      </c>
      <c r="AW271" s="7">
        <v>0</v>
      </c>
      <c r="AX271" s="7">
        <v>0</v>
      </c>
      <c r="AY271" s="7">
        <v>0</v>
      </c>
      <c r="AZ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F271" s="7">
        <v>0</v>
      </c>
      <c r="BG271" s="7">
        <v>0</v>
      </c>
      <c r="BH271" s="7">
        <v>0</v>
      </c>
      <c r="BI271" s="7">
        <v>0</v>
      </c>
      <c r="BJ271" s="7">
        <v>0</v>
      </c>
      <c r="BK271" s="7">
        <v>0</v>
      </c>
      <c r="BL271" s="7">
        <v>0</v>
      </c>
      <c r="BM271" s="10">
        <v>4900</v>
      </c>
      <c r="BN271" s="16">
        <f t="shared" si="9"/>
        <v>4900</v>
      </c>
      <c r="BO271" s="14">
        <f t="shared" si="10"/>
        <v>3430</v>
      </c>
    </row>
    <row r="272" spans="1:67" ht="19.5" x14ac:dyDescent="0.3">
      <c r="A272" s="5" t="s">
        <v>430</v>
      </c>
      <c r="B272" s="5" t="s">
        <v>152</v>
      </c>
      <c r="C272" s="5">
        <v>383229</v>
      </c>
      <c r="D272" s="6"/>
      <c r="E272" s="5" t="s">
        <v>32</v>
      </c>
      <c r="F272" s="5" t="s">
        <v>153</v>
      </c>
      <c r="G272" s="5" t="s">
        <v>52</v>
      </c>
      <c r="H272" s="7" t="s">
        <v>8</v>
      </c>
      <c r="I272" s="7" t="s">
        <v>154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1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47</v>
      </c>
      <c r="AF272" s="8">
        <v>4400</v>
      </c>
      <c r="AG272" s="7">
        <v>300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  <c r="AO272" s="7">
        <v>0</v>
      </c>
      <c r="AP272" s="7">
        <v>0</v>
      </c>
      <c r="AQ272" s="7">
        <v>0</v>
      </c>
      <c r="AR272" s="7">
        <v>0</v>
      </c>
      <c r="AS272" s="7">
        <v>0</v>
      </c>
      <c r="AT272" s="7">
        <v>0</v>
      </c>
      <c r="AU272" s="7">
        <v>0</v>
      </c>
      <c r="AV272" s="7">
        <v>0</v>
      </c>
      <c r="AW272" s="7">
        <v>0</v>
      </c>
      <c r="AX272" s="7">
        <v>0</v>
      </c>
      <c r="AY272" s="7">
        <v>0</v>
      </c>
      <c r="AZ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F272" s="7">
        <v>0</v>
      </c>
      <c r="BG272" s="7">
        <v>0</v>
      </c>
      <c r="BH272" s="7">
        <v>0</v>
      </c>
      <c r="BI272" s="7">
        <v>0</v>
      </c>
      <c r="BJ272" s="7">
        <v>0</v>
      </c>
      <c r="BK272" s="7">
        <v>0</v>
      </c>
      <c r="BL272" s="7">
        <v>0</v>
      </c>
      <c r="BM272" s="10">
        <v>4700</v>
      </c>
      <c r="BN272" s="16">
        <f t="shared" si="9"/>
        <v>4700</v>
      </c>
      <c r="BO272" s="14">
        <f t="shared" si="10"/>
        <v>3290</v>
      </c>
    </row>
    <row r="273" spans="1:67" ht="19.5" x14ac:dyDescent="0.3">
      <c r="A273" s="5" t="s">
        <v>430</v>
      </c>
      <c r="B273" s="5" t="s">
        <v>403</v>
      </c>
      <c r="C273" s="5">
        <v>384107</v>
      </c>
      <c r="D273" s="6"/>
      <c r="E273" s="5" t="s">
        <v>32</v>
      </c>
      <c r="F273" s="5" t="s">
        <v>404</v>
      </c>
      <c r="G273" s="5" t="s">
        <v>52</v>
      </c>
      <c r="H273" s="7" t="s">
        <v>340</v>
      </c>
      <c r="I273" s="7" t="s">
        <v>405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3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10</v>
      </c>
      <c r="AF273" s="7">
        <v>0</v>
      </c>
      <c r="AG273" s="8">
        <v>1000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  <c r="AO273" s="7">
        <v>0</v>
      </c>
      <c r="AP273" s="7">
        <v>0</v>
      </c>
      <c r="AQ273" s="7">
        <v>33</v>
      </c>
      <c r="AR273" s="8">
        <v>3300</v>
      </c>
      <c r="AS273" s="7">
        <v>0</v>
      </c>
      <c r="AT273" s="7">
        <v>0</v>
      </c>
      <c r="AU273" s="7">
        <v>0</v>
      </c>
      <c r="AV273" s="7">
        <v>0</v>
      </c>
      <c r="AW273" s="7">
        <v>0</v>
      </c>
      <c r="AX273" s="7">
        <v>0</v>
      </c>
      <c r="AY273" s="7">
        <v>0</v>
      </c>
      <c r="AZ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F273" s="7">
        <v>0</v>
      </c>
      <c r="BG273" s="7">
        <v>0</v>
      </c>
      <c r="BH273" s="7">
        <v>0</v>
      </c>
      <c r="BI273" s="7">
        <v>0</v>
      </c>
      <c r="BJ273" s="7">
        <v>0</v>
      </c>
      <c r="BK273" s="7">
        <v>0</v>
      </c>
      <c r="BL273" s="7">
        <v>0</v>
      </c>
      <c r="BM273" s="10">
        <v>4300</v>
      </c>
      <c r="BN273" s="16">
        <f t="shared" si="9"/>
        <v>4300</v>
      </c>
      <c r="BO273" s="14">
        <f t="shared" si="10"/>
        <v>3010</v>
      </c>
    </row>
    <row r="274" spans="1:67" ht="19.5" x14ac:dyDescent="0.3">
      <c r="A274" s="5" t="s">
        <v>430</v>
      </c>
      <c r="B274" s="5" t="s">
        <v>479</v>
      </c>
      <c r="C274" s="5">
        <v>428129</v>
      </c>
      <c r="D274" s="6"/>
      <c r="E274" s="5" t="s">
        <v>32</v>
      </c>
      <c r="F274" s="5" t="s">
        <v>67</v>
      </c>
      <c r="G274" s="5" t="s">
        <v>52</v>
      </c>
      <c r="H274" s="7" t="s">
        <v>340</v>
      </c>
      <c r="I274" s="7" t="s">
        <v>438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3</v>
      </c>
      <c r="AF274" s="8">
        <v>4200</v>
      </c>
      <c r="AG274" s="7">
        <v>0</v>
      </c>
      <c r="AH274" s="7">
        <v>0</v>
      </c>
      <c r="AI274" s="7">
        <v>0</v>
      </c>
      <c r="AJ274" s="7">
        <v>0</v>
      </c>
      <c r="AK274" s="7">
        <v>0</v>
      </c>
      <c r="AL274" s="7">
        <v>0</v>
      </c>
      <c r="AM274" s="7">
        <v>0</v>
      </c>
      <c r="AN274" s="7">
        <v>0</v>
      </c>
      <c r="AO274" s="7">
        <v>0</v>
      </c>
      <c r="AP274" s="7">
        <v>0</v>
      </c>
      <c r="AQ274" s="7">
        <v>0</v>
      </c>
      <c r="AR274" s="7">
        <v>0</v>
      </c>
      <c r="AS274" s="7">
        <v>0</v>
      </c>
      <c r="AT274" s="7">
        <v>0</v>
      </c>
      <c r="AU274" s="7">
        <v>0</v>
      </c>
      <c r="AV274" s="7">
        <v>0</v>
      </c>
      <c r="AW274" s="7">
        <v>0</v>
      </c>
      <c r="AX274" s="7">
        <v>0</v>
      </c>
      <c r="AY274" s="7">
        <v>0</v>
      </c>
      <c r="AZ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F274" s="7">
        <v>0</v>
      </c>
      <c r="BG274" s="7">
        <v>0</v>
      </c>
      <c r="BH274" s="7">
        <v>0</v>
      </c>
      <c r="BI274" s="7">
        <v>0</v>
      </c>
      <c r="BJ274" s="7">
        <v>0</v>
      </c>
      <c r="BK274" s="7">
        <v>0</v>
      </c>
      <c r="BL274" s="7">
        <v>0</v>
      </c>
      <c r="BM274" s="10">
        <v>4200</v>
      </c>
      <c r="BN274" s="16">
        <f t="shared" si="9"/>
        <v>4200</v>
      </c>
      <c r="BO274" s="14">
        <f t="shared" si="10"/>
        <v>2940</v>
      </c>
    </row>
    <row r="275" spans="1:67" ht="19.5" x14ac:dyDescent="0.3">
      <c r="A275" s="5" t="s">
        <v>430</v>
      </c>
      <c r="B275" s="5" t="s">
        <v>480</v>
      </c>
      <c r="C275" s="5">
        <v>383717</v>
      </c>
      <c r="D275" s="6"/>
      <c r="E275" s="5" t="s">
        <v>32</v>
      </c>
      <c r="F275" s="5" t="s">
        <v>301</v>
      </c>
      <c r="G275" s="5" t="s">
        <v>52</v>
      </c>
      <c r="H275" s="7" t="s">
        <v>340</v>
      </c>
      <c r="I275" s="7" t="s">
        <v>154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1</v>
      </c>
      <c r="AF275" s="8">
        <v>4000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  <c r="AO275" s="7">
        <v>0</v>
      </c>
      <c r="AP275" s="7">
        <v>0</v>
      </c>
      <c r="AQ275" s="7">
        <v>0</v>
      </c>
      <c r="AR275" s="7">
        <v>0</v>
      </c>
      <c r="AS275" s="7">
        <v>0</v>
      </c>
      <c r="AT275" s="7">
        <v>0</v>
      </c>
      <c r="AU275" s="7">
        <v>0</v>
      </c>
      <c r="AV275" s="7">
        <v>0</v>
      </c>
      <c r="AW275" s="7">
        <v>0</v>
      </c>
      <c r="AX275" s="7">
        <v>0</v>
      </c>
      <c r="AY275" s="7">
        <v>0</v>
      </c>
      <c r="AZ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F275" s="7">
        <v>0</v>
      </c>
      <c r="BG275" s="7">
        <v>0</v>
      </c>
      <c r="BH275" s="7">
        <v>0</v>
      </c>
      <c r="BI275" s="7">
        <v>0</v>
      </c>
      <c r="BJ275" s="7">
        <v>0</v>
      </c>
      <c r="BK275" s="7">
        <v>0</v>
      </c>
      <c r="BL275" s="7">
        <v>0</v>
      </c>
      <c r="BM275" s="10">
        <v>4000</v>
      </c>
      <c r="BN275" s="16">
        <f t="shared" si="9"/>
        <v>4000</v>
      </c>
      <c r="BO275" s="14">
        <f t="shared" si="10"/>
        <v>2800</v>
      </c>
    </row>
    <row r="276" spans="1:67" ht="19.5" x14ac:dyDescent="0.3">
      <c r="A276" s="5" t="s">
        <v>430</v>
      </c>
      <c r="B276" s="5" t="s">
        <v>481</v>
      </c>
      <c r="C276" s="5">
        <v>381823</v>
      </c>
      <c r="D276" s="6"/>
      <c r="E276" s="5" t="s">
        <v>32</v>
      </c>
      <c r="F276" s="5" t="s">
        <v>51</v>
      </c>
      <c r="G276" s="5" t="s">
        <v>52</v>
      </c>
      <c r="H276" s="7" t="s">
        <v>340</v>
      </c>
      <c r="I276" s="7" t="s">
        <v>342</v>
      </c>
      <c r="J276" s="7">
        <v>0</v>
      </c>
      <c r="K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1</v>
      </c>
      <c r="AF276" s="7">
        <v>0</v>
      </c>
      <c r="AG276" s="8">
        <v>3900</v>
      </c>
      <c r="AH276" s="7">
        <v>0</v>
      </c>
      <c r="AI276" s="7">
        <v>0</v>
      </c>
      <c r="AJ276" s="7">
        <v>0</v>
      </c>
      <c r="AK276" s="7">
        <v>0</v>
      </c>
      <c r="AL276" s="7">
        <v>0</v>
      </c>
      <c r="AM276" s="7">
        <v>0</v>
      </c>
      <c r="AN276" s="7">
        <v>0</v>
      </c>
      <c r="AO276" s="7">
        <v>0</v>
      </c>
      <c r="AP276" s="7">
        <v>0</v>
      </c>
      <c r="AQ276" s="7">
        <v>0</v>
      </c>
      <c r="AR276" s="7">
        <v>0</v>
      </c>
      <c r="AS276" s="7">
        <v>0</v>
      </c>
      <c r="AT276" s="7">
        <v>0</v>
      </c>
      <c r="AU276" s="7">
        <v>0</v>
      </c>
      <c r="AV276" s="7">
        <v>0</v>
      </c>
      <c r="AW276" s="7">
        <v>0</v>
      </c>
      <c r="AX276" s="7">
        <v>0</v>
      </c>
      <c r="AY276" s="7">
        <v>0</v>
      </c>
      <c r="AZ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F276" s="7">
        <v>0</v>
      </c>
      <c r="BG276" s="7">
        <v>0</v>
      </c>
      <c r="BH276" s="7">
        <v>0</v>
      </c>
      <c r="BI276" s="7">
        <v>0</v>
      </c>
      <c r="BJ276" s="7">
        <v>0</v>
      </c>
      <c r="BK276" s="7">
        <v>0</v>
      </c>
      <c r="BL276" s="7">
        <v>0</v>
      </c>
      <c r="BM276" s="10">
        <v>3900</v>
      </c>
      <c r="BN276" s="16">
        <f t="shared" si="9"/>
        <v>3900</v>
      </c>
      <c r="BO276" s="14">
        <f t="shared" si="10"/>
        <v>2730</v>
      </c>
    </row>
    <row r="277" spans="1:67" ht="19.5" x14ac:dyDescent="0.3">
      <c r="A277" s="5" t="s">
        <v>430</v>
      </c>
      <c r="B277" s="5" t="s">
        <v>318</v>
      </c>
      <c r="C277" s="5">
        <v>404148</v>
      </c>
      <c r="D277" s="6"/>
      <c r="E277" s="5" t="s">
        <v>32</v>
      </c>
      <c r="F277" s="5" t="s">
        <v>319</v>
      </c>
      <c r="G277" s="5" t="s">
        <v>52</v>
      </c>
      <c r="H277" s="7" t="s">
        <v>8</v>
      </c>
      <c r="I277" s="7" t="s">
        <v>320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3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38</v>
      </c>
      <c r="AF277" s="8">
        <v>3800</v>
      </c>
      <c r="AG277" s="7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7">
        <v>0</v>
      </c>
      <c r="AP277" s="7">
        <v>0</v>
      </c>
      <c r="AQ277" s="7">
        <v>0</v>
      </c>
      <c r="AR277" s="7">
        <v>0</v>
      </c>
      <c r="AS277" s="7">
        <v>0</v>
      </c>
      <c r="AT277" s="7">
        <v>0</v>
      </c>
      <c r="AU277" s="7">
        <v>0</v>
      </c>
      <c r="AV277" s="7">
        <v>0</v>
      </c>
      <c r="AW277" s="7">
        <v>0</v>
      </c>
      <c r="AX277" s="7">
        <v>0</v>
      </c>
      <c r="AY277" s="7">
        <v>0</v>
      </c>
      <c r="AZ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  <c r="BF277" s="7">
        <v>0</v>
      </c>
      <c r="BG277" s="7">
        <v>0</v>
      </c>
      <c r="BH277" s="7">
        <v>0</v>
      </c>
      <c r="BI277" s="7">
        <v>0</v>
      </c>
      <c r="BJ277" s="7">
        <v>0</v>
      </c>
      <c r="BK277" s="7">
        <v>0</v>
      </c>
      <c r="BL277" s="7">
        <v>0</v>
      </c>
      <c r="BM277" s="10">
        <v>3800</v>
      </c>
      <c r="BN277" s="16">
        <f t="shared" si="9"/>
        <v>3800</v>
      </c>
      <c r="BO277" s="14">
        <f t="shared" si="10"/>
        <v>2660</v>
      </c>
    </row>
    <row r="278" spans="1:67" ht="19.5" x14ac:dyDescent="0.3">
      <c r="A278" s="5" t="s">
        <v>430</v>
      </c>
      <c r="B278" s="5" t="s">
        <v>377</v>
      </c>
      <c r="C278" s="5">
        <v>434544</v>
      </c>
      <c r="D278" s="6"/>
      <c r="E278" s="5" t="s">
        <v>32</v>
      </c>
      <c r="F278" s="5" t="s">
        <v>196</v>
      </c>
      <c r="G278" s="5" t="s">
        <v>11</v>
      </c>
      <c r="H278" s="7" t="s">
        <v>340</v>
      </c>
      <c r="I278" s="7" t="s">
        <v>378</v>
      </c>
      <c r="J278" s="7">
        <v>0</v>
      </c>
      <c r="K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37</v>
      </c>
      <c r="AF278" s="8">
        <v>2500</v>
      </c>
      <c r="AG278" s="8">
        <v>1200</v>
      </c>
      <c r="AH278" s="7">
        <v>0</v>
      </c>
      <c r="AI278" s="7">
        <v>0</v>
      </c>
      <c r="AJ278" s="7">
        <v>0</v>
      </c>
      <c r="AK278" s="7">
        <v>0</v>
      </c>
      <c r="AL278" s="7">
        <v>0</v>
      </c>
      <c r="AM278" s="7">
        <v>0</v>
      </c>
      <c r="AN278" s="7">
        <v>0</v>
      </c>
      <c r="AO278" s="7">
        <v>0</v>
      </c>
      <c r="AP278" s="7">
        <v>0</v>
      </c>
      <c r="AQ278" s="7">
        <v>0</v>
      </c>
      <c r="AR278" s="7">
        <v>0</v>
      </c>
      <c r="AS278" s="7">
        <v>0</v>
      </c>
      <c r="AT278" s="7">
        <v>0</v>
      </c>
      <c r="AU278" s="7">
        <v>0</v>
      </c>
      <c r="AV278" s="7">
        <v>0</v>
      </c>
      <c r="AW278" s="7">
        <v>0</v>
      </c>
      <c r="AX278" s="7">
        <v>0</v>
      </c>
      <c r="AY278" s="7">
        <v>0</v>
      </c>
      <c r="AZ278" s="7">
        <v>0</v>
      </c>
      <c r="BA278" s="7">
        <v>0</v>
      </c>
      <c r="BB278" s="7">
        <v>0</v>
      </c>
      <c r="BC278" s="7">
        <v>0</v>
      </c>
      <c r="BD278" s="7">
        <v>0</v>
      </c>
      <c r="BE278" s="7">
        <v>0</v>
      </c>
      <c r="BF278" s="7">
        <v>0</v>
      </c>
      <c r="BG278" s="7">
        <v>0</v>
      </c>
      <c r="BH278" s="7">
        <v>0</v>
      </c>
      <c r="BI278" s="7">
        <v>0</v>
      </c>
      <c r="BJ278" s="7">
        <v>0</v>
      </c>
      <c r="BK278" s="7">
        <v>0</v>
      </c>
      <c r="BL278" s="7">
        <v>0</v>
      </c>
      <c r="BM278" s="10">
        <v>3700</v>
      </c>
      <c r="BN278" s="16">
        <f t="shared" si="9"/>
        <v>3700</v>
      </c>
      <c r="BO278" s="14">
        <f t="shared" si="10"/>
        <v>2590</v>
      </c>
    </row>
    <row r="279" spans="1:67" ht="19.5" x14ac:dyDescent="0.3">
      <c r="A279" s="5" t="s">
        <v>430</v>
      </c>
      <c r="B279" s="5" t="s">
        <v>482</v>
      </c>
      <c r="C279" s="5">
        <v>423579</v>
      </c>
      <c r="D279" s="6"/>
      <c r="E279" s="5" t="s">
        <v>32</v>
      </c>
      <c r="F279" s="5" t="s">
        <v>185</v>
      </c>
      <c r="G279" s="5" t="s">
        <v>52</v>
      </c>
      <c r="H279" s="7" t="s">
        <v>340</v>
      </c>
      <c r="I279" s="7" t="s">
        <v>186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1</v>
      </c>
      <c r="AF279" s="8">
        <v>3600</v>
      </c>
      <c r="AG279" s="7">
        <v>0</v>
      </c>
      <c r="AH279" s="7">
        <v>0</v>
      </c>
      <c r="AI279" s="7">
        <v>0</v>
      </c>
      <c r="AJ279" s="7">
        <v>0</v>
      </c>
      <c r="AK279" s="7">
        <v>0</v>
      </c>
      <c r="AL279" s="7">
        <v>0</v>
      </c>
      <c r="AM279" s="7">
        <v>0</v>
      </c>
      <c r="AN279" s="7">
        <v>0</v>
      </c>
      <c r="AO279" s="7">
        <v>0</v>
      </c>
      <c r="AP279" s="7">
        <v>0</v>
      </c>
      <c r="AQ279" s="7">
        <v>0</v>
      </c>
      <c r="AR279" s="7">
        <v>0</v>
      </c>
      <c r="AS279" s="7">
        <v>0</v>
      </c>
      <c r="AT279" s="7">
        <v>0</v>
      </c>
      <c r="AU279" s="7">
        <v>0</v>
      </c>
      <c r="AV279" s="7">
        <v>0</v>
      </c>
      <c r="AW279" s="7">
        <v>0</v>
      </c>
      <c r="AX279" s="7">
        <v>0</v>
      </c>
      <c r="AY279" s="7">
        <v>0</v>
      </c>
      <c r="AZ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  <c r="BF279" s="7">
        <v>0</v>
      </c>
      <c r="BG279" s="7">
        <v>0</v>
      </c>
      <c r="BH279" s="7">
        <v>0</v>
      </c>
      <c r="BI279" s="7">
        <v>0</v>
      </c>
      <c r="BJ279" s="7">
        <v>0</v>
      </c>
      <c r="BK279" s="7">
        <v>0</v>
      </c>
      <c r="BL279" s="7">
        <v>0</v>
      </c>
      <c r="BM279" s="10">
        <v>3600</v>
      </c>
      <c r="BN279" s="16">
        <f t="shared" si="9"/>
        <v>3600</v>
      </c>
      <c r="BO279" s="14">
        <f t="shared" si="10"/>
        <v>2520</v>
      </c>
    </row>
    <row r="280" spans="1:67" ht="19.5" x14ac:dyDescent="0.3">
      <c r="A280" s="5" t="s">
        <v>430</v>
      </c>
      <c r="B280" s="5" t="s">
        <v>483</v>
      </c>
      <c r="C280" s="5">
        <v>419231</v>
      </c>
      <c r="D280" s="6"/>
      <c r="E280" s="5" t="s">
        <v>32</v>
      </c>
      <c r="F280" s="5" t="s">
        <v>231</v>
      </c>
      <c r="G280" s="5" t="s">
        <v>52</v>
      </c>
      <c r="H280" s="7" t="s">
        <v>340</v>
      </c>
      <c r="I280" s="7" t="s">
        <v>464</v>
      </c>
      <c r="J280" s="7">
        <v>0</v>
      </c>
      <c r="K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7">
        <v>1</v>
      </c>
      <c r="AF280" s="8">
        <v>3500</v>
      </c>
      <c r="AG280" s="7">
        <v>0</v>
      </c>
      <c r="AH280" s="7">
        <v>0</v>
      </c>
      <c r="AI280" s="7">
        <v>0</v>
      </c>
      <c r="AJ280" s="7">
        <v>0</v>
      </c>
      <c r="AK280" s="7">
        <v>0</v>
      </c>
      <c r="AL280" s="7">
        <v>0</v>
      </c>
      <c r="AM280" s="7">
        <v>0</v>
      </c>
      <c r="AN280" s="7">
        <v>0</v>
      </c>
      <c r="AO280" s="7">
        <v>0</v>
      </c>
      <c r="AP280" s="7">
        <v>0</v>
      </c>
      <c r="AQ280" s="7">
        <v>0</v>
      </c>
      <c r="AR280" s="7">
        <v>0</v>
      </c>
      <c r="AS280" s="7">
        <v>0</v>
      </c>
      <c r="AT280" s="7">
        <v>0</v>
      </c>
      <c r="AU280" s="7">
        <v>0</v>
      </c>
      <c r="AV280" s="7">
        <v>0</v>
      </c>
      <c r="AW280" s="7">
        <v>0</v>
      </c>
      <c r="AX280" s="7">
        <v>0</v>
      </c>
      <c r="AY280" s="7">
        <v>0</v>
      </c>
      <c r="AZ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F280" s="7">
        <v>0</v>
      </c>
      <c r="BG280" s="7">
        <v>0</v>
      </c>
      <c r="BH280" s="7">
        <v>0</v>
      </c>
      <c r="BI280" s="7">
        <v>0</v>
      </c>
      <c r="BJ280" s="7">
        <v>0</v>
      </c>
      <c r="BK280" s="7">
        <v>0</v>
      </c>
      <c r="BL280" s="7">
        <v>0</v>
      </c>
      <c r="BM280" s="10">
        <v>3500</v>
      </c>
      <c r="BN280" s="16">
        <f t="shared" si="9"/>
        <v>3500</v>
      </c>
      <c r="BO280" s="14">
        <f t="shared" si="10"/>
        <v>2450</v>
      </c>
    </row>
    <row r="281" spans="1:67" ht="19.5" x14ac:dyDescent="0.3">
      <c r="A281" s="5" t="s">
        <v>430</v>
      </c>
      <c r="B281" s="5" t="s">
        <v>484</v>
      </c>
      <c r="C281" s="5">
        <v>447222</v>
      </c>
      <c r="D281" s="6"/>
      <c r="E281" s="5" t="s">
        <v>32</v>
      </c>
      <c r="F281" s="5" t="s">
        <v>301</v>
      </c>
      <c r="G281" s="5" t="s">
        <v>52</v>
      </c>
      <c r="H281" s="7" t="s">
        <v>8</v>
      </c>
      <c r="I281" s="7" t="s">
        <v>485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34</v>
      </c>
      <c r="AF281" s="8">
        <v>2200</v>
      </c>
      <c r="AG281" s="8">
        <v>1200</v>
      </c>
      <c r="AH281" s="7">
        <v>0</v>
      </c>
      <c r="AI281" s="7">
        <v>0</v>
      </c>
      <c r="AJ281" s="7">
        <v>0</v>
      </c>
      <c r="AK281" s="7">
        <v>0</v>
      </c>
      <c r="AL281" s="7">
        <v>0</v>
      </c>
      <c r="AM281" s="7">
        <v>0</v>
      </c>
      <c r="AN281" s="7">
        <v>0</v>
      </c>
      <c r="AO281" s="7">
        <v>0</v>
      </c>
      <c r="AP281" s="7">
        <v>0</v>
      </c>
      <c r="AQ281" s="7">
        <v>0</v>
      </c>
      <c r="AR281" s="7">
        <v>0</v>
      </c>
      <c r="AS281" s="7">
        <v>0</v>
      </c>
      <c r="AT281" s="7">
        <v>0</v>
      </c>
      <c r="AU281" s="7">
        <v>0</v>
      </c>
      <c r="AV281" s="7">
        <v>0</v>
      </c>
      <c r="AW281" s="7">
        <v>0</v>
      </c>
      <c r="AX281" s="7">
        <v>0</v>
      </c>
      <c r="AY281" s="7">
        <v>0</v>
      </c>
      <c r="AZ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F281" s="7">
        <v>0</v>
      </c>
      <c r="BG281" s="7">
        <v>0</v>
      </c>
      <c r="BH281" s="7">
        <v>0</v>
      </c>
      <c r="BI281" s="7">
        <v>0</v>
      </c>
      <c r="BJ281" s="7">
        <v>0</v>
      </c>
      <c r="BK281" s="7">
        <v>0</v>
      </c>
      <c r="BL281" s="7">
        <v>0</v>
      </c>
      <c r="BM281" s="10">
        <v>3400</v>
      </c>
      <c r="BN281" s="16">
        <f t="shared" si="9"/>
        <v>3400</v>
      </c>
      <c r="BO281" s="14">
        <f t="shared" si="10"/>
        <v>2380</v>
      </c>
    </row>
    <row r="282" spans="1:67" ht="19.5" x14ac:dyDescent="0.3">
      <c r="A282" s="5" t="s">
        <v>430</v>
      </c>
      <c r="B282" s="5" t="s">
        <v>486</v>
      </c>
      <c r="C282" s="5">
        <v>419368</v>
      </c>
      <c r="D282" s="6"/>
      <c r="E282" s="5" t="s">
        <v>32</v>
      </c>
      <c r="F282" s="5" t="s">
        <v>487</v>
      </c>
      <c r="G282" s="5" t="s">
        <v>52</v>
      </c>
      <c r="H282" s="7" t="s">
        <v>340</v>
      </c>
      <c r="I282" s="7" t="s">
        <v>464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v>0</v>
      </c>
      <c r="AE282" s="7">
        <v>1</v>
      </c>
      <c r="AF282" s="8">
        <v>3400</v>
      </c>
      <c r="AG282" s="7">
        <v>0</v>
      </c>
      <c r="AH282" s="7">
        <v>0</v>
      </c>
      <c r="AI282" s="7">
        <v>0</v>
      </c>
      <c r="AJ282" s="7">
        <v>0</v>
      </c>
      <c r="AK282" s="7">
        <v>0</v>
      </c>
      <c r="AL282" s="7">
        <v>0</v>
      </c>
      <c r="AM282" s="7">
        <v>0</v>
      </c>
      <c r="AN282" s="7">
        <v>0</v>
      </c>
      <c r="AO282" s="7">
        <v>0</v>
      </c>
      <c r="AP282" s="7">
        <v>0</v>
      </c>
      <c r="AQ282" s="7">
        <v>0</v>
      </c>
      <c r="AR282" s="7">
        <v>0</v>
      </c>
      <c r="AS282" s="7">
        <v>0</v>
      </c>
      <c r="AT282" s="7">
        <v>0</v>
      </c>
      <c r="AU282" s="7">
        <v>0</v>
      </c>
      <c r="AV282" s="7">
        <v>0</v>
      </c>
      <c r="AW282" s="7">
        <v>0</v>
      </c>
      <c r="AX282" s="7">
        <v>0</v>
      </c>
      <c r="AY282" s="7">
        <v>0</v>
      </c>
      <c r="AZ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F282" s="7">
        <v>0</v>
      </c>
      <c r="BG282" s="7">
        <v>0</v>
      </c>
      <c r="BH282" s="7">
        <v>0</v>
      </c>
      <c r="BI282" s="7">
        <v>0</v>
      </c>
      <c r="BJ282" s="7">
        <v>0</v>
      </c>
      <c r="BK282" s="7">
        <v>0</v>
      </c>
      <c r="BL282" s="7">
        <v>0</v>
      </c>
      <c r="BM282" s="10">
        <v>3400</v>
      </c>
      <c r="BN282" s="16">
        <f t="shared" si="9"/>
        <v>3400</v>
      </c>
      <c r="BO282" s="14">
        <f t="shared" si="10"/>
        <v>2380</v>
      </c>
    </row>
    <row r="283" spans="1:67" ht="19.5" x14ac:dyDescent="0.3">
      <c r="A283" s="5" t="s">
        <v>430</v>
      </c>
      <c r="B283" s="5" t="s">
        <v>488</v>
      </c>
      <c r="C283" s="5">
        <v>425649</v>
      </c>
      <c r="D283" s="6"/>
      <c r="E283" s="5" t="s">
        <v>32</v>
      </c>
      <c r="F283" s="5" t="s">
        <v>255</v>
      </c>
      <c r="G283" s="5" t="s">
        <v>52</v>
      </c>
      <c r="H283" s="7" t="s">
        <v>340</v>
      </c>
      <c r="I283" s="7" t="s">
        <v>256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2</v>
      </c>
      <c r="AF283" s="8">
        <v>2200</v>
      </c>
      <c r="AG283" s="7">
        <v>0</v>
      </c>
      <c r="AH283" s="7">
        <v>0</v>
      </c>
      <c r="AI283" s="7">
        <v>0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  <c r="AO283" s="7">
        <v>0</v>
      </c>
      <c r="AP283" s="7">
        <v>0</v>
      </c>
      <c r="AQ283" s="7">
        <v>1</v>
      </c>
      <c r="AR283" s="8">
        <v>1100</v>
      </c>
      <c r="AS283" s="7">
        <v>0</v>
      </c>
      <c r="AT283" s="7">
        <v>0</v>
      </c>
      <c r="AU283" s="7">
        <v>0</v>
      </c>
      <c r="AV283" s="7">
        <v>0</v>
      </c>
      <c r="AW283" s="7">
        <v>0</v>
      </c>
      <c r="AX283" s="7">
        <v>0</v>
      </c>
      <c r="AY283" s="7">
        <v>0</v>
      </c>
      <c r="AZ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F283" s="7">
        <v>0</v>
      </c>
      <c r="BG283" s="7">
        <v>0</v>
      </c>
      <c r="BH283" s="7">
        <v>0</v>
      </c>
      <c r="BI283" s="7">
        <v>0</v>
      </c>
      <c r="BJ283" s="7">
        <v>0</v>
      </c>
      <c r="BK283" s="7">
        <v>0</v>
      </c>
      <c r="BL283" s="7">
        <v>0</v>
      </c>
      <c r="BM283" s="10">
        <v>3300</v>
      </c>
      <c r="BN283" s="16">
        <f t="shared" si="9"/>
        <v>3300</v>
      </c>
      <c r="BO283" s="14">
        <f t="shared" si="10"/>
        <v>2310</v>
      </c>
    </row>
    <row r="284" spans="1:67" ht="19.5" x14ac:dyDescent="0.3">
      <c r="A284" s="5" t="s">
        <v>430</v>
      </c>
      <c r="B284" s="5" t="s">
        <v>489</v>
      </c>
      <c r="C284" s="5">
        <v>428123</v>
      </c>
      <c r="D284" s="6"/>
      <c r="E284" s="5" t="s">
        <v>32</v>
      </c>
      <c r="F284" s="5" t="s">
        <v>310</v>
      </c>
      <c r="G284" s="5" t="s">
        <v>52</v>
      </c>
      <c r="H284" s="7" t="s">
        <v>340</v>
      </c>
      <c r="I284" s="7" t="s">
        <v>103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7">
        <v>1</v>
      </c>
      <c r="AF284" s="8">
        <v>3300</v>
      </c>
      <c r="AG284" s="7">
        <v>0</v>
      </c>
      <c r="AH284" s="7">
        <v>0</v>
      </c>
      <c r="AI284" s="7">
        <v>0</v>
      </c>
      <c r="AJ284" s="7">
        <v>0</v>
      </c>
      <c r="AK284" s="7">
        <v>0</v>
      </c>
      <c r="AL284" s="7">
        <v>0</v>
      </c>
      <c r="AM284" s="7">
        <v>0</v>
      </c>
      <c r="AN284" s="7">
        <v>0</v>
      </c>
      <c r="AO284" s="7">
        <v>0</v>
      </c>
      <c r="AP284" s="7">
        <v>0</v>
      </c>
      <c r="AQ284" s="7">
        <v>0</v>
      </c>
      <c r="AR284" s="7">
        <v>0</v>
      </c>
      <c r="AS284" s="7">
        <v>0</v>
      </c>
      <c r="AT284" s="7">
        <v>0</v>
      </c>
      <c r="AU284" s="7">
        <v>0</v>
      </c>
      <c r="AV284" s="7">
        <v>0</v>
      </c>
      <c r="AW284" s="7">
        <v>0</v>
      </c>
      <c r="AX284" s="7">
        <v>0</v>
      </c>
      <c r="AY284" s="7">
        <v>0</v>
      </c>
      <c r="AZ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F284" s="7">
        <v>0</v>
      </c>
      <c r="BG284" s="7">
        <v>0</v>
      </c>
      <c r="BH284" s="7">
        <v>0</v>
      </c>
      <c r="BI284" s="7">
        <v>0</v>
      </c>
      <c r="BJ284" s="7">
        <v>0</v>
      </c>
      <c r="BK284" s="7">
        <v>0</v>
      </c>
      <c r="BL284" s="7">
        <v>0</v>
      </c>
      <c r="BM284" s="10">
        <v>3300</v>
      </c>
      <c r="BN284" s="16">
        <f t="shared" si="9"/>
        <v>3300</v>
      </c>
      <c r="BO284" s="14">
        <f t="shared" si="10"/>
        <v>2310</v>
      </c>
    </row>
    <row r="285" spans="1:67" ht="19.5" x14ac:dyDescent="0.3">
      <c r="A285" s="5" t="s">
        <v>430</v>
      </c>
      <c r="B285" s="5" t="s">
        <v>490</v>
      </c>
      <c r="C285" s="5">
        <v>410142</v>
      </c>
      <c r="D285" s="6"/>
      <c r="E285" s="5" t="s">
        <v>32</v>
      </c>
      <c r="F285" s="5" t="s">
        <v>84</v>
      </c>
      <c r="G285" s="5" t="s">
        <v>11</v>
      </c>
      <c r="H285" s="7" t="s">
        <v>7</v>
      </c>
      <c r="I285" s="7" t="s">
        <v>241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1</v>
      </c>
      <c r="AF285" s="7">
        <v>0</v>
      </c>
      <c r="AG285" s="8">
        <v>3200</v>
      </c>
      <c r="AH285" s="7">
        <v>0</v>
      </c>
      <c r="AI285" s="7">
        <v>0</v>
      </c>
      <c r="AJ285" s="7">
        <v>0</v>
      </c>
      <c r="AK285" s="7">
        <v>0</v>
      </c>
      <c r="AL285" s="7">
        <v>0</v>
      </c>
      <c r="AM285" s="7">
        <v>0</v>
      </c>
      <c r="AN285" s="7">
        <v>0</v>
      </c>
      <c r="AO285" s="7">
        <v>0</v>
      </c>
      <c r="AP285" s="7">
        <v>0</v>
      </c>
      <c r="AQ285" s="7">
        <v>0</v>
      </c>
      <c r="AR285" s="7">
        <v>0</v>
      </c>
      <c r="AS285" s="7">
        <v>0</v>
      </c>
      <c r="AT285" s="7">
        <v>0</v>
      </c>
      <c r="AU285" s="7">
        <v>0</v>
      </c>
      <c r="AV285" s="7">
        <v>0</v>
      </c>
      <c r="AW285" s="7">
        <v>0</v>
      </c>
      <c r="AX285" s="7">
        <v>0</v>
      </c>
      <c r="AY285" s="7">
        <v>0</v>
      </c>
      <c r="AZ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F285" s="7">
        <v>0</v>
      </c>
      <c r="BG285" s="7">
        <v>0</v>
      </c>
      <c r="BH285" s="7">
        <v>0</v>
      </c>
      <c r="BI285" s="7">
        <v>0</v>
      </c>
      <c r="BJ285" s="7">
        <v>0</v>
      </c>
      <c r="BK285" s="7">
        <v>0</v>
      </c>
      <c r="BL285" s="7">
        <v>0</v>
      </c>
      <c r="BM285" s="10">
        <v>3200</v>
      </c>
      <c r="BN285" s="16">
        <f t="shared" si="9"/>
        <v>3200</v>
      </c>
      <c r="BO285" s="14">
        <f t="shared" si="10"/>
        <v>2240</v>
      </c>
    </row>
    <row r="286" spans="1:67" ht="19.5" x14ac:dyDescent="0.3">
      <c r="A286" s="5" t="s">
        <v>430</v>
      </c>
      <c r="B286" s="5" t="s">
        <v>347</v>
      </c>
      <c r="C286" s="5">
        <v>430085</v>
      </c>
      <c r="D286" s="6"/>
      <c r="E286" s="5" t="s">
        <v>32</v>
      </c>
      <c r="F286" s="5" t="s">
        <v>107</v>
      </c>
      <c r="G286" s="5" t="s">
        <v>11</v>
      </c>
      <c r="H286" s="7" t="s">
        <v>10</v>
      </c>
      <c r="I286" s="7" t="s">
        <v>348</v>
      </c>
      <c r="J286" s="7">
        <v>0</v>
      </c>
      <c r="K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0</v>
      </c>
      <c r="AA286" s="7">
        <v>0</v>
      </c>
      <c r="AB286" s="7">
        <v>0</v>
      </c>
      <c r="AC286" s="7">
        <v>0</v>
      </c>
      <c r="AD286" s="7">
        <v>0</v>
      </c>
      <c r="AE286" s="7">
        <v>1</v>
      </c>
      <c r="AF286" s="8">
        <v>3200</v>
      </c>
      <c r="AG286" s="7">
        <v>0</v>
      </c>
      <c r="AH286" s="7">
        <v>0</v>
      </c>
      <c r="AI286" s="7">
        <v>0</v>
      </c>
      <c r="AJ286" s="7">
        <v>0</v>
      </c>
      <c r="AK286" s="7">
        <v>0</v>
      </c>
      <c r="AL286" s="7">
        <v>0</v>
      </c>
      <c r="AM286" s="7">
        <v>0</v>
      </c>
      <c r="AN286" s="7">
        <v>0</v>
      </c>
      <c r="AO286" s="7">
        <v>0</v>
      </c>
      <c r="AP286" s="7">
        <v>0</v>
      </c>
      <c r="AQ286" s="7">
        <v>0</v>
      </c>
      <c r="AR286" s="7">
        <v>0</v>
      </c>
      <c r="AS286" s="7">
        <v>0</v>
      </c>
      <c r="AT286" s="7">
        <v>0</v>
      </c>
      <c r="AU286" s="7">
        <v>0</v>
      </c>
      <c r="AV286" s="7">
        <v>0</v>
      </c>
      <c r="AW286" s="7">
        <v>0</v>
      </c>
      <c r="AX286" s="7">
        <v>0</v>
      </c>
      <c r="AY286" s="7">
        <v>0</v>
      </c>
      <c r="AZ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F286" s="7">
        <v>0</v>
      </c>
      <c r="BG286" s="7">
        <v>0</v>
      </c>
      <c r="BH286" s="7">
        <v>0</v>
      </c>
      <c r="BI286" s="7">
        <v>0</v>
      </c>
      <c r="BJ286" s="7">
        <v>0</v>
      </c>
      <c r="BK286" s="7">
        <v>0</v>
      </c>
      <c r="BL286" s="7">
        <v>0</v>
      </c>
      <c r="BM286" s="10">
        <v>3200</v>
      </c>
      <c r="BN286" s="16">
        <f t="shared" si="9"/>
        <v>3200</v>
      </c>
      <c r="BO286" s="14">
        <f t="shared" si="10"/>
        <v>2240</v>
      </c>
    </row>
    <row r="287" spans="1:67" ht="19.5" x14ac:dyDescent="0.3">
      <c r="A287" s="5" t="s">
        <v>430</v>
      </c>
      <c r="B287" s="5" t="s">
        <v>491</v>
      </c>
      <c r="C287" s="5">
        <v>446882</v>
      </c>
      <c r="D287" s="6"/>
      <c r="E287" s="5" t="s">
        <v>32</v>
      </c>
      <c r="F287" s="5" t="s">
        <v>301</v>
      </c>
      <c r="G287" s="5" t="s">
        <v>52</v>
      </c>
      <c r="H287" s="7" t="s">
        <v>340</v>
      </c>
      <c r="I287" s="7" t="s">
        <v>351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2</v>
      </c>
      <c r="AF287" s="8">
        <v>1000</v>
      </c>
      <c r="AG287" s="8">
        <v>1000</v>
      </c>
      <c r="AH287" s="7">
        <v>0</v>
      </c>
      <c r="AI287" s="7">
        <v>0</v>
      </c>
      <c r="AJ287" s="7">
        <v>0</v>
      </c>
      <c r="AK287" s="7">
        <v>0</v>
      </c>
      <c r="AL287" s="7">
        <v>0</v>
      </c>
      <c r="AM287" s="7">
        <v>0</v>
      </c>
      <c r="AN287" s="7">
        <v>0</v>
      </c>
      <c r="AO287" s="7">
        <v>0</v>
      </c>
      <c r="AP287" s="7">
        <v>0</v>
      </c>
      <c r="AQ287" s="7">
        <v>1</v>
      </c>
      <c r="AR287" s="8">
        <v>1000</v>
      </c>
      <c r="AS287" s="7">
        <v>0</v>
      </c>
      <c r="AT287" s="7">
        <v>0</v>
      </c>
      <c r="AU287" s="7">
        <v>0</v>
      </c>
      <c r="AV287" s="7">
        <v>0</v>
      </c>
      <c r="AW287" s="7">
        <v>0</v>
      </c>
      <c r="AX287" s="7">
        <v>0</v>
      </c>
      <c r="AY287" s="7">
        <v>0</v>
      </c>
      <c r="AZ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  <c r="BF287" s="7">
        <v>0</v>
      </c>
      <c r="BG287" s="7">
        <v>0</v>
      </c>
      <c r="BH287" s="7">
        <v>0</v>
      </c>
      <c r="BI287" s="7">
        <v>0</v>
      </c>
      <c r="BJ287" s="7">
        <v>0</v>
      </c>
      <c r="BK287" s="7">
        <v>0</v>
      </c>
      <c r="BL287" s="7">
        <v>0</v>
      </c>
      <c r="BM287" s="10">
        <v>3000</v>
      </c>
      <c r="BN287" s="16">
        <f t="shared" si="9"/>
        <v>3000</v>
      </c>
      <c r="BO287" s="14">
        <f t="shared" si="10"/>
        <v>2100</v>
      </c>
    </row>
    <row r="288" spans="1:67" ht="19.5" x14ac:dyDescent="0.3">
      <c r="A288" s="5" t="s">
        <v>430</v>
      </c>
      <c r="B288" s="5" t="s">
        <v>391</v>
      </c>
      <c r="C288" s="5">
        <v>428735</v>
      </c>
      <c r="D288" s="6"/>
      <c r="E288" s="5" t="s">
        <v>32</v>
      </c>
      <c r="F288" s="5" t="s">
        <v>392</v>
      </c>
      <c r="G288" s="5" t="s">
        <v>52</v>
      </c>
      <c r="H288" s="7" t="s">
        <v>340</v>
      </c>
      <c r="I288" s="7" t="s">
        <v>393</v>
      </c>
      <c r="J288" s="7">
        <v>0</v>
      </c>
      <c r="K288" s="7">
        <v>0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Z288" s="7">
        <v>0</v>
      </c>
      <c r="AA288" s="7">
        <v>0</v>
      </c>
      <c r="AB288" s="7">
        <v>0</v>
      </c>
      <c r="AC288" s="7">
        <v>0</v>
      </c>
      <c r="AD288" s="7">
        <v>0</v>
      </c>
      <c r="AE288" s="7">
        <v>1</v>
      </c>
      <c r="AF288" s="8">
        <v>2900</v>
      </c>
      <c r="AG288" s="7">
        <v>0</v>
      </c>
      <c r="AH288" s="7">
        <v>0</v>
      </c>
      <c r="AI288" s="7">
        <v>0</v>
      </c>
      <c r="AJ288" s="7">
        <v>0</v>
      </c>
      <c r="AK288" s="7">
        <v>0</v>
      </c>
      <c r="AL288" s="7">
        <v>0</v>
      </c>
      <c r="AM288" s="7">
        <v>0</v>
      </c>
      <c r="AN288" s="7">
        <v>0</v>
      </c>
      <c r="AO288" s="7">
        <v>0</v>
      </c>
      <c r="AP288" s="7">
        <v>0</v>
      </c>
      <c r="AQ288" s="7">
        <v>0</v>
      </c>
      <c r="AR288" s="7">
        <v>0</v>
      </c>
      <c r="AS288" s="7">
        <v>0</v>
      </c>
      <c r="AT288" s="7">
        <v>0</v>
      </c>
      <c r="AU288" s="7">
        <v>0</v>
      </c>
      <c r="AV288" s="7">
        <v>0</v>
      </c>
      <c r="AW288" s="7">
        <v>0</v>
      </c>
      <c r="AX288" s="7">
        <v>0</v>
      </c>
      <c r="AY288" s="7">
        <v>0</v>
      </c>
      <c r="AZ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F288" s="7">
        <v>0</v>
      </c>
      <c r="BG288" s="7">
        <v>0</v>
      </c>
      <c r="BH288" s="7">
        <v>0</v>
      </c>
      <c r="BI288" s="7">
        <v>0</v>
      </c>
      <c r="BJ288" s="7">
        <v>0</v>
      </c>
      <c r="BK288" s="7">
        <v>0</v>
      </c>
      <c r="BL288" s="7">
        <v>0</v>
      </c>
      <c r="BM288" s="10">
        <v>2900</v>
      </c>
      <c r="BN288" s="16">
        <f t="shared" si="9"/>
        <v>2900</v>
      </c>
      <c r="BO288" s="14">
        <f t="shared" si="10"/>
        <v>2029.9999999999998</v>
      </c>
    </row>
    <row r="289" spans="1:67" ht="19.5" x14ac:dyDescent="0.3">
      <c r="A289" s="5" t="s">
        <v>430</v>
      </c>
      <c r="B289" s="5" t="s">
        <v>270</v>
      </c>
      <c r="C289" s="5">
        <v>305522</v>
      </c>
      <c r="D289" s="6"/>
      <c r="E289" s="5" t="s">
        <v>32</v>
      </c>
      <c r="F289" s="5" t="s">
        <v>60</v>
      </c>
      <c r="G289" s="5" t="s">
        <v>52</v>
      </c>
      <c r="H289" s="7" t="s">
        <v>8</v>
      </c>
      <c r="I289" s="7" t="s">
        <v>271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10</v>
      </c>
      <c r="AF289" s="7">
        <v>800</v>
      </c>
      <c r="AG289" s="7">
        <v>200</v>
      </c>
      <c r="AH289" s="7">
        <v>0</v>
      </c>
      <c r="AI289" s="7">
        <v>0</v>
      </c>
      <c r="AJ289" s="7">
        <v>0</v>
      </c>
      <c r="AK289" s="7">
        <v>0</v>
      </c>
      <c r="AL289" s="7">
        <v>0</v>
      </c>
      <c r="AM289" s="7">
        <v>0</v>
      </c>
      <c r="AN289" s="7">
        <v>0</v>
      </c>
      <c r="AO289" s="7">
        <v>0</v>
      </c>
      <c r="AP289" s="7">
        <v>0</v>
      </c>
      <c r="AQ289" s="7">
        <v>19</v>
      </c>
      <c r="AR289" s="8">
        <v>1900</v>
      </c>
      <c r="AS289" s="7">
        <v>0</v>
      </c>
      <c r="AT289" s="7">
        <v>0</v>
      </c>
      <c r="AU289" s="7">
        <v>0</v>
      </c>
      <c r="AV289" s="7">
        <v>0</v>
      </c>
      <c r="AW289" s="7">
        <v>0</v>
      </c>
      <c r="AX289" s="7">
        <v>0</v>
      </c>
      <c r="AY289" s="7">
        <v>0</v>
      </c>
      <c r="AZ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F289" s="7">
        <v>0</v>
      </c>
      <c r="BG289" s="7">
        <v>0</v>
      </c>
      <c r="BH289" s="7">
        <v>0</v>
      </c>
      <c r="BI289" s="7">
        <v>0</v>
      </c>
      <c r="BJ289" s="7">
        <v>0</v>
      </c>
      <c r="BK289" s="7">
        <v>0</v>
      </c>
      <c r="BL289" s="7">
        <v>0</v>
      </c>
      <c r="BM289" s="10">
        <v>2900</v>
      </c>
      <c r="BN289" s="16">
        <f t="shared" si="9"/>
        <v>2900</v>
      </c>
      <c r="BO289" s="14">
        <f t="shared" si="10"/>
        <v>2029.9999999999998</v>
      </c>
    </row>
    <row r="290" spans="1:67" ht="19.5" x14ac:dyDescent="0.3">
      <c r="A290" s="5" t="s">
        <v>430</v>
      </c>
      <c r="B290" s="5" t="s">
        <v>492</v>
      </c>
      <c r="C290" s="5">
        <v>426259</v>
      </c>
      <c r="D290" s="6"/>
      <c r="E290" s="5" t="s">
        <v>32</v>
      </c>
      <c r="F290" s="5" t="s">
        <v>153</v>
      </c>
      <c r="G290" s="5" t="s">
        <v>52</v>
      </c>
      <c r="H290" s="7" t="s">
        <v>340</v>
      </c>
      <c r="I290" s="7" t="s">
        <v>493</v>
      </c>
      <c r="J290" s="7">
        <v>0</v>
      </c>
      <c r="K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0</v>
      </c>
      <c r="AB290" s="7">
        <v>0</v>
      </c>
      <c r="AC290" s="7">
        <v>0</v>
      </c>
      <c r="AD290" s="7">
        <v>0</v>
      </c>
      <c r="AE290" s="7">
        <v>1</v>
      </c>
      <c r="AF290" s="8">
        <v>2800</v>
      </c>
      <c r="AG290" s="7">
        <v>0</v>
      </c>
      <c r="AH290" s="7">
        <v>0</v>
      </c>
      <c r="AI290" s="7">
        <v>0</v>
      </c>
      <c r="AJ290" s="7">
        <v>0</v>
      </c>
      <c r="AK290" s="7">
        <v>0</v>
      </c>
      <c r="AL290" s="7">
        <v>0</v>
      </c>
      <c r="AM290" s="7">
        <v>0</v>
      </c>
      <c r="AN290" s="7">
        <v>0</v>
      </c>
      <c r="AO290" s="7">
        <v>0</v>
      </c>
      <c r="AP290" s="7">
        <v>0</v>
      </c>
      <c r="AQ290" s="7">
        <v>0</v>
      </c>
      <c r="AR290" s="7">
        <v>0</v>
      </c>
      <c r="AS290" s="7">
        <v>0</v>
      </c>
      <c r="AT290" s="7">
        <v>0</v>
      </c>
      <c r="AU290" s="7">
        <v>0</v>
      </c>
      <c r="AV290" s="7">
        <v>0</v>
      </c>
      <c r="AW290" s="7">
        <v>0</v>
      </c>
      <c r="AX290" s="7">
        <v>0</v>
      </c>
      <c r="AY290" s="7">
        <v>0</v>
      </c>
      <c r="AZ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F290" s="7">
        <v>0</v>
      </c>
      <c r="BG290" s="7">
        <v>0</v>
      </c>
      <c r="BH290" s="7">
        <v>0</v>
      </c>
      <c r="BI290" s="7">
        <v>0</v>
      </c>
      <c r="BJ290" s="7">
        <v>0</v>
      </c>
      <c r="BK290" s="7">
        <v>0</v>
      </c>
      <c r="BL290" s="7">
        <v>0</v>
      </c>
      <c r="BM290" s="10">
        <v>2800</v>
      </c>
      <c r="BN290" s="16">
        <f t="shared" si="9"/>
        <v>2800</v>
      </c>
      <c r="BO290" s="14">
        <f t="shared" si="10"/>
        <v>1959.9999999999998</v>
      </c>
    </row>
    <row r="291" spans="1:67" ht="19.5" x14ac:dyDescent="0.3">
      <c r="A291" s="5" t="s">
        <v>430</v>
      </c>
      <c r="B291" s="5" t="s">
        <v>415</v>
      </c>
      <c r="C291" s="5">
        <v>387687</v>
      </c>
      <c r="D291" s="6"/>
      <c r="E291" s="5" t="s">
        <v>32</v>
      </c>
      <c r="F291" s="5" t="s">
        <v>143</v>
      </c>
      <c r="G291" s="5" t="s">
        <v>52</v>
      </c>
      <c r="H291" s="7" t="s">
        <v>8</v>
      </c>
      <c r="I291" s="7" t="s">
        <v>416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3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27</v>
      </c>
      <c r="AF291" s="8">
        <v>2700</v>
      </c>
      <c r="AG291" s="7">
        <v>0</v>
      </c>
      <c r="AH291" s="7">
        <v>0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N291" s="7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F291" s="7">
        <v>0</v>
      </c>
      <c r="BG291" s="7">
        <v>0</v>
      </c>
      <c r="BH291" s="7">
        <v>0</v>
      </c>
      <c r="BI291" s="7">
        <v>0</v>
      </c>
      <c r="BJ291" s="7">
        <v>0</v>
      </c>
      <c r="BK291" s="7">
        <v>0</v>
      </c>
      <c r="BL291" s="7">
        <v>0</v>
      </c>
      <c r="BM291" s="10">
        <v>2700</v>
      </c>
      <c r="BN291" s="16">
        <f t="shared" si="9"/>
        <v>2700</v>
      </c>
      <c r="BO291" s="14">
        <f t="shared" si="10"/>
        <v>1889.9999999999998</v>
      </c>
    </row>
    <row r="292" spans="1:67" ht="19.5" x14ac:dyDescent="0.3">
      <c r="A292" s="5" t="s">
        <v>430</v>
      </c>
      <c r="B292" s="5" t="s">
        <v>125</v>
      </c>
      <c r="C292" s="5">
        <v>359539</v>
      </c>
      <c r="D292" s="6"/>
      <c r="E292" s="5" t="s">
        <v>32</v>
      </c>
      <c r="F292" s="5" t="s">
        <v>126</v>
      </c>
      <c r="G292" s="5" t="s">
        <v>52</v>
      </c>
      <c r="H292" s="7" t="s">
        <v>8</v>
      </c>
      <c r="I292" s="7" t="s">
        <v>127</v>
      </c>
      <c r="J292" s="7">
        <v>0</v>
      </c>
      <c r="K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7">
        <v>26</v>
      </c>
      <c r="AF292" s="7">
        <v>300</v>
      </c>
      <c r="AG292" s="8">
        <v>2300</v>
      </c>
      <c r="AH292" s="7">
        <v>0</v>
      </c>
      <c r="AI292" s="7">
        <v>0</v>
      </c>
      <c r="AJ292" s="7">
        <v>0</v>
      </c>
      <c r="AK292" s="7">
        <v>0</v>
      </c>
      <c r="AL292" s="7">
        <v>0</v>
      </c>
      <c r="AM292" s="7">
        <v>0</v>
      </c>
      <c r="AN292" s="7">
        <v>0</v>
      </c>
      <c r="AO292" s="7">
        <v>0</v>
      </c>
      <c r="AP292" s="7">
        <v>0</v>
      </c>
      <c r="AQ292" s="7">
        <v>1</v>
      </c>
      <c r="AR292" s="7">
        <v>100</v>
      </c>
      <c r="AS292" s="7">
        <v>0</v>
      </c>
      <c r="AT292" s="7">
        <v>0</v>
      </c>
      <c r="AU292" s="7">
        <v>0</v>
      </c>
      <c r="AV292" s="7">
        <v>0</v>
      </c>
      <c r="AW292" s="7">
        <v>0</v>
      </c>
      <c r="AX292" s="7">
        <v>0</v>
      </c>
      <c r="AY292" s="7">
        <v>0</v>
      </c>
      <c r="AZ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F292" s="7">
        <v>0</v>
      </c>
      <c r="BG292" s="7">
        <v>0</v>
      </c>
      <c r="BH292" s="7">
        <v>0</v>
      </c>
      <c r="BI292" s="7">
        <v>0</v>
      </c>
      <c r="BJ292" s="7">
        <v>0</v>
      </c>
      <c r="BK292" s="7">
        <v>0</v>
      </c>
      <c r="BL292" s="7">
        <v>0</v>
      </c>
      <c r="BM292" s="10">
        <v>2700</v>
      </c>
      <c r="BN292" s="16">
        <f t="shared" si="9"/>
        <v>2700</v>
      </c>
      <c r="BO292" s="14">
        <f t="shared" si="10"/>
        <v>1889.9999999999998</v>
      </c>
    </row>
    <row r="293" spans="1:67" ht="19.5" x14ac:dyDescent="0.3">
      <c r="A293" s="5" t="s">
        <v>430</v>
      </c>
      <c r="B293" s="5" t="s">
        <v>289</v>
      </c>
      <c r="C293" s="5">
        <v>353788</v>
      </c>
      <c r="D293" s="6"/>
      <c r="E293" s="5" t="s">
        <v>32</v>
      </c>
      <c r="F293" s="5" t="s">
        <v>231</v>
      </c>
      <c r="G293" s="5" t="s">
        <v>52</v>
      </c>
      <c r="H293" s="7" t="s">
        <v>8</v>
      </c>
      <c r="I293" s="7" t="s">
        <v>290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26</v>
      </c>
      <c r="AF293" s="8">
        <v>2200</v>
      </c>
      <c r="AG293" s="7">
        <v>400</v>
      </c>
      <c r="AH293" s="7">
        <v>0</v>
      </c>
      <c r="AI293" s="7">
        <v>0</v>
      </c>
      <c r="AJ293" s="7">
        <v>0</v>
      </c>
      <c r="AK293" s="7">
        <v>0</v>
      </c>
      <c r="AL293" s="7">
        <v>0</v>
      </c>
      <c r="AM293" s="7">
        <v>0</v>
      </c>
      <c r="AN293" s="7">
        <v>0</v>
      </c>
      <c r="AO293" s="7">
        <v>0</v>
      </c>
      <c r="AP293" s="7">
        <v>0</v>
      </c>
      <c r="AQ293" s="7">
        <v>0</v>
      </c>
      <c r="AR293" s="7">
        <v>0</v>
      </c>
      <c r="AS293" s="7">
        <v>0</v>
      </c>
      <c r="AT293" s="7">
        <v>0</v>
      </c>
      <c r="AU293" s="7">
        <v>0</v>
      </c>
      <c r="AV293" s="7">
        <v>0</v>
      </c>
      <c r="AW293" s="7">
        <v>0</v>
      </c>
      <c r="AX293" s="7">
        <v>0</v>
      </c>
      <c r="AY293" s="7">
        <v>0</v>
      </c>
      <c r="AZ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F293" s="7">
        <v>0</v>
      </c>
      <c r="BG293" s="7">
        <v>0</v>
      </c>
      <c r="BH293" s="7">
        <v>0</v>
      </c>
      <c r="BI293" s="7">
        <v>0</v>
      </c>
      <c r="BJ293" s="7">
        <v>0</v>
      </c>
      <c r="BK293" s="7">
        <v>0</v>
      </c>
      <c r="BL293" s="7">
        <v>0</v>
      </c>
      <c r="BM293" s="10">
        <v>2600</v>
      </c>
      <c r="BN293" s="16">
        <f t="shared" ref="BN293:BN356" si="11">BM293-BL293</f>
        <v>2600</v>
      </c>
      <c r="BO293" s="14">
        <f t="shared" ref="BO293:BO356" si="12">BN293*70%</f>
        <v>1819.9999999999998</v>
      </c>
    </row>
    <row r="294" spans="1:67" ht="19.5" x14ac:dyDescent="0.3">
      <c r="A294" s="5" t="s">
        <v>430</v>
      </c>
      <c r="B294" s="5" t="s">
        <v>211</v>
      </c>
      <c r="C294" s="5">
        <v>325640</v>
      </c>
      <c r="D294" s="6"/>
      <c r="E294" s="5" t="s">
        <v>32</v>
      </c>
      <c r="F294" s="5" t="s">
        <v>212</v>
      </c>
      <c r="G294" s="5" t="s">
        <v>11</v>
      </c>
      <c r="H294" s="7" t="s">
        <v>7</v>
      </c>
      <c r="I294" s="7" t="s">
        <v>213</v>
      </c>
      <c r="J294" s="7">
        <v>0</v>
      </c>
      <c r="K294" s="7">
        <v>0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7">
        <v>0</v>
      </c>
      <c r="AA294" s="7">
        <v>0</v>
      </c>
      <c r="AB294" s="7">
        <v>0</v>
      </c>
      <c r="AC294" s="7">
        <v>0</v>
      </c>
      <c r="AD294" s="7">
        <v>0</v>
      </c>
      <c r="AE294" s="7">
        <v>0</v>
      </c>
      <c r="AF294" s="7">
        <v>0</v>
      </c>
      <c r="AG294" s="7">
        <v>0</v>
      </c>
      <c r="AH294" s="7">
        <v>0</v>
      </c>
      <c r="AI294" s="7">
        <v>0</v>
      </c>
      <c r="AJ294" s="7">
        <v>0</v>
      </c>
      <c r="AK294" s="7">
        <v>0</v>
      </c>
      <c r="AL294" s="7">
        <v>0</v>
      </c>
      <c r="AM294" s="7">
        <v>0</v>
      </c>
      <c r="AN294" s="7">
        <v>0</v>
      </c>
      <c r="AO294" s="7">
        <v>0</v>
      </c>
      <c r="AP294" s="7">
        <v>0</v>
      </c>
      <c r="AQ294" s="7">
        <v>26</v>
      </c>
      <c r="AR294" s="8">
        <v>2600</v>
      </c>
      <c r="AS294" s="7">
        <v>0</v>
      </c>
      <c r="AT294" s="7">
        <v>0</v>
      </c>
      <c r="AU294" s="7">
        <v>0</v>
      </c>
      <c r="AV294" s="7">
        <v>0</v>
      </c>
      <c r="AW294" s="7">
        <v>0</v>
      </c>
      <c r="AX294" s="7">
        <v>0</v>
      </c>
      <c r="AY294" s="7">
        <v>0</v>
      </c>
      <c r="AZ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F294" s="7">
        <v>0</v>
      </c>
      <c r="BG294" s="7">
        <v>0</v>
      </c>
      <c r="BH294" s="7">
        <v>0</v>
      </c>
      <c r="BI294" s="7">
        <v>0</v>
      </c>
      <c r="BJ294" s="7">
        <v>0</v>
      </c>
      <c r="BK294" s="7">
        <v>0</v>
      </c>
      <c r="BL294" s="7">
        <v>0</v>
      </c>
      <c r="BM294" s="10">
        <v>2600</v>
      </c>
      <c r="BN294" s="16">
        <f t="shared" si="11"/>
        <v>2600</v>
      </c>
      <c r="BO294" s="14">
        <f t="shared" si="12"/>
        <v>1819.9999999999998</v>
      </c>
    </row>
    <row r="295" spans="1:67" ht="19.5" x14ac:dyDescent="0.3">
      <c r="A295" s="5" t="s">
        <v>430</v>
      </c>
      <c r="B295" s="5" t="s">
        <v>494</v>
      </c>
      <c r="C295" s="5">
        <v>424575</v>
      </c>
      <c r="D295" s="6"/>
      <c r="E295" s="5" t="s">
        <v>32</v>
      </c>
      <c r="F295" s="5" t="s">
        <v>60</v>
      </c>
      <c r="G295" s="5" t="s">
        <v>52</v>
      </c>
      <c r="H295" s="7" t="s">
        <v>340</v>
      </c>
      <c r="I295" s="7" t="s">
        <v>495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7">
        <v>0</v>
      </c>
      <c r="AP295" s="7">
        <v>0</v>
      </c>
      <c r="AQ295" s="7">
        <v>1</v>
      </c>
      <c r="AR295" s="8">
        <v>2500</v>
      </c>
      <c r="AS295" s="7">
        <v>0</v>
      </c>
      <c r="AT295" s="7">
        <v>0</v>
      </c>
      <c r="AU295" s="7">
        <v>0</v>
      </c>
      <c r="AV295" s="7">
        <v>0</v>
      </c>
      <c r="AW295" s="7">
        <v>0</v>
      </c>
      <c r="AX295" s="7">
        <v>0</v>
      </c>
      <c r="AY295" s="7">
        <v>0</v>
      </c>
      <c r="AZ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F295" s="7">
        <v>0</v>
      </c>
      <c r="BG295" s="7">
        <v>0</v>
      </c>
      <c r="BH295" s="7">
        <v>0</v>
      </c>
      <c r="BI295" s="7">
        <v>0</v>
      </c>
      <c r="BJ295" s="7">
        <v>0</v>
      </c>
      <c r="BK295" s="7">
        <v>0</v>
      </c>
      <c r="BL295" s="7">
        <v>0</v>
      </c>
      <c r="BM295" s="10">
        <v>2500</v>
      </c>
      <c r="BN295" s="16">
        <f t="shared" si="11"/>
        <v>2500</v>
      </c>
      <c r="BO295" s="14">
        <f t="shared" si="12"/>
        <v>1750</v>
      </c>
    </row>
    <row r="296" spans="1:67" ht="19.5" x14ac:dyDescent="0.3">
      <c r="A296" s="5" t="s">
        <v>430</v>
      </c>
      <c r="B296" s="5" t="s">
        <v>335</v>
      </c>
      <c r="C296" s="5">
        <v>385169</v>
      </c>
      <c r="D296" s="6"/>
      <c r="E296" s="5" t="s">
        <v>32</v>
      </c>
      <c r="F296" s="5" t="s">
        <v>231</v>
      </c>
      <c r="G296" s="5" t="s">
        <v>52</v>
      </c>
      <c r="H296" s="7" t="s">
        <v>8</v>
      </c>
      <c r="I296" s="7" t="s">
        <v>329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25</v>
      </c>
      <c r="AF296" s="8">
        <v>1100</v>
      </c>
      <c r="AG296" s="8">
        <v>1400</v>
      </c>
      <c r="AH296" s="7">
        <v>0</v>
      </c>
      <c r="AI296" s="7">
        <v>0</v>
      </c>
      <c r="AJ296" s="7">
        <v>0</v>
      </c>
      <c r="AK296" s="7">
        <v>0</v>
      </c>
      <c r="AL296" s="7">
        <v>0</v>
      </c>
      <c r="AM296" s="7">
        <v>0</v>
      </c>
      <c r="AN296" s="7">
        <v>0</v>
      </c>
      <c r="AO296" s="7">
        <v>0</v>
      </c>
      <c r="AP296" s="7">
        <v>0</v>
      </c>
      <c r="AQ296" s="7">
        <v>0</v>
      </c>
      <c r="AR296" s="7">
        <v>0</v>
      </c>
      <c r="AS296" s="7">
        <v>0</v>
      </c>
      <c r="AT296" s="7">
        <v>0</v>
      </c>
      <c r="AU296" s="7">
        <v>0</v>
      </c>
      <c r="AV296" s="7">
        <v>0</v>
      </c>
      <c r="AW296" s="7">
        <v>0</v>
      </c>
      <c r="AX296" s="7">
        <v>0</v>
      </c>
      <c r="AY296" s="7">
        <v>0</v>
      </c>
      <c r="AZ296" s="7">
        <v>0</v>
      </c>
      <c r="BA296" s="7">
        <v>0</v>
      </c>
      <c r="BB296" s="7">
        <v>0</v>
      </c>
      <c r="BC296" s="7">
        <v>0</v>
      </c>
      <c r="BD296" s="7">
        <v>0</v>
      </c>
      <c r="BE296" s="7">
        <v>0</v>
      </c>
      <c r="BF296" s="7">
        <v>0</v>
      </c>
      <c r="BG296" s="7">
        <v>0</v>
      </c>
      <c r="BH296" s="7">
        <v>0</v>
      </c>
      <c r="BI296" s="7">
        <v>0</v>
      </c>
      <c r="BJ296" s="7">
        <v>0</v>
      </c>
      <c r="BK296" s="7">
        <v>0</v>
      </c>
      <c r="BL296" s="7">
        <v>0</v>
      </c>
      <c r="BM296" s="10">
        <v>2500</v>
      </c>
      <c r="BN296" s="16">
        <f t="shared" si="11"/>
        <v>2500</v>
      </c>
      <c r="BO296" s="14">
        <f t="shared" si="12"/>
        <v>1750</v>
      </c>
    </row>
    <row r="297" spans="1:67" ht="19.5" x14ac:dyDescent="0.3">
      <c r="A297" s="5" t="s">
        <v>430</v>
      </c>
      <c r="B297" s="5" t="s">
        <v>330</v>
      </c>
      <c r="C297" s="5">
        <v>445862</v>
      </c>
      <c r="D297" s="6"/>
      <c r="E297" s="5" t="s">
        <v>32</v>
      </c>
      <c r="F297" s="5" t="s">
        <v>67</v>
      </c>
      <c r="G297" s="5" t="s">
        <v>52</v>
      </c>
      <c r="H297" s="7" t="s">
        <v>8</v>
      </c>
      <c r="I297" s="7" t="s">
        <v>218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1</v>
      </c>
      <c r="AF297" s="8">
        <v>2200</v>
      </c>
      <c r="AG297" s="7">
        <v>0</v>
      </c>
      <c r="AH297" s="7">
        <v>0</v>
      </c>
      <c r="AI297" s="7">
        <v>0</v>
      </c>
      <c r="AJ297" s="7">
        <v>0</v>
      </c>
      <c r="AK297" s="7">
        <v>0</v>
      </c>
      <c r="AL297" s="7">
        <v>0</v>
      </c>
      <c r="AM297" s="7">
        <v>0</v>
      </c>
      <c r="AN297" s="7">
        <v>0</v>
      </c>
      <c r="AO297" s="7">
        <v>0</v>
      </c>
      <c r="AP297" s="7">
        <v>0</v>
      </c>
      <c r="AQ297" s="7">
        <v>0</v>
      </c>
      <c r="AR297" s="7">
        <v>0</v>
      </c>
      <c r="AS297" s="7">
        <v>0</v>
      </c>
      <c r="AT297" s="7">
        <v>0</v>
      </c>
      <c r="AU297" s="7">
        <v>0</v>
      </c>
      <c r="AV297" s="7">
        <v>0</v>
      </c>
      <c r="AW297" s="7">
        <v>0</v>
      </c>
      <c r="AX297" s="7">
        <v>0</v>
      </c>
      <c r="AY297" s="7">
        <v>0</v>
      </c>
      <c r="AZ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F297" s="7">
        <v>0</v>
      </c>
      <c r="BG297" s="7">
        <v>0</v>
      </c>
      <c r="BH297" s="7">
        <v>0</v>
      </c>
      <c r="BI297" s="7">
        <v>0</v>
      </c>
      <c r="BJ297" s="7">
        <v>0</v>
      </c>
      <c r="BK297" s="7">
        <v>0</v>
      </c>
      <c r="BL297" s="7">
        <v>0</v>
      </c>
      <c r="BM297" s="10">
        <v>2200</v>
      </c>
      <c r="BN297" s="16">
        <f t="shared" si="11"/>
        <v>2200</v>
      </c>
      <c r="BO297" s="14">
        <f t="shared" si="12"/>
        <v>1540</v>
      </c>
    </row>
    <row r="298" spans="1:67" ht="19.5" x14ac:dyDescent="0.3">
      <c r="A298" s="5" t="s">
        <v>430</v>
      </c>
      <c r="B298" s="5" t="s">
        <v>295</v>
      </c>
      <c r="C298" s="5">
        <v>395192</v>
      </c>
      <c r="D298" s="6"/>
      <c r="E298" s="5" t="s">
        <v>32</v>
      </c>
      <c r="F298" s="5" t="s">
        <v>153</v>
      </c>
      <c r="G298" s="5" t="s">
        <v>52</v>
      </c>
      <c r="H298" s="7" t="s">
        <v>8</v>
      </c>
      <c r="I298" s="7" t="s">
        <v>296</v>
      </c>
      <c r="J298" s="7">
        <v>0</v>
      </c>
      <c r="K298" s="7">
        <v>1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21</v>
      </c>
      <c r="AF298" s="7">
        <v>500</v>
      </c>
      <c r="AG298" s="8">
        <v>1600</v>
      </c>
      <c r="AH298" s="7">
        <v>0</v>
      </c>
      <c r="AI298" s="7">
        <v>0</v>
      </c>
      <c r="AJ298" s="7">
        <v>0</v>
      </c>
      <c r="AK298" s="7">
        <v>0</v>
      </c>
      <c r="AL298" s="7">
        <v>0</v>
      </c>
      <c r="AM298" s="7">
        <v>0</v>
      </c>
      <c r="AN298" s="7">
        <v>0</v>
      </c>
      <c r="AO298" s="7">
        <v>0</v>
      </c>
      <c r="AP298" s="7">
        <v>0</v>
      </c>
      <c r="AQ298" s="7">
        <v>0</v>
      </c>
      <c r="AR298" s="7">
        <v>0</v>
      </c>
      <c r="AS298" s="7">
        <v>0</v>
      </c>
      <c r="AT298" s="7">
        <v>0</v>
      </c>
      <c r="AU298" s="7">
        <v>0</v>
      </c>
      <c r="AV298" s="7">
        <v>0</v>
      </c>
      <c r="AW298" s="7">
        <v>0</v>
      </c>
      <c r="AX298" s="7">
        <v>0</v>
      </c>
      <c r="AY298" s="7">
        <v>0</v>
      </c>
      <c r="AZ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  <c r="BF298" s="7">
        <v>0</v>
      </c>
      <c r="BG298" s="7">
        <v>0</v>
      </c>
      <c r="BH298" s="7">
        <v>0</v>
      </c>
      <c r="BI298" s="7">
        <v>0</v>
      </c>
      <c r="BJ298" s="7">
        <v>0</v>
      </c>
      <c r="BK298" s="7">
        <v>0</v>
      </c>
      <c r="BL298" s="7">
        <v>0</v>
      </c>
      <c r="BM298" s="10">
        <v>2100</v>
      </c>
      <c r="BN298" s="16">
        <f t="shared" si="11"/>
        <v>2100</v>
      </c>
      <c r="BO298" s="14">
        <f t="shared" si="12"/>
        <v>1470</v>
      </c>
    </row>
    <row r="299" spans="1:67" ht="19.5" x14ac:dyDescent="0.3">
      <c r="A299" s="5" t="s">
        <v>430</v>
      </c>
      <c r="B299" s="5" t="s">
        <v>98</v>
      </c>
      <c r="C299" s="5">
        <v>387942</v>
      </c>
      <c r="D299" s="6"/>
      <c r="E299" s="5" t="s">
        <v>32</v>
      </c>
      <c r="F299" s="5" t="s">
        <v>99</v>
      </c>
      <c r="G299" s="5" t="s">
        <v>11</v>
      </c>
      <c r="H299" s="7" t="s">
        <v>7</v>
      </c>
      <c r="I299" s="7" t="s">
        <v>100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21</v>
      </c>
      <c r="AF299" s="8">
        <v>2100</v>
      </c>
      <c r="AG299" s="7">
        <v>0</v>
      </c>
      <c r="AH299" s="7">
        <v>0</v>
      </c>
      <c r="AI299" s="7">
        <v>0</v>
      </c>
      <c r="AJ299" s="7">
        <v>0</v>
      </c>
      <c r="AK299" s="7">
        <v>0</v>
      </c>
      <c r="AL299" s="7">
        <v>0</v>
      </c>
      <c r="AM299" s="7">
        <v>0</v>
      </c>
      <c r="AN299" s="7">
        <v>0</v>
      </c>
      <c r="AO299" s="7">
        <v>0</v>
      </c>
      <c r="AP299" s="7">
        <v>0</v>
      </c>
      <c r="AQ299" s="7">
        <v>0</v>
      </c>
      <c r="AR299" s="7">
        <v>0</v>
      </c>
      <c r="AS299" s="7">
        <v>0</v>
      </c>
      <c r="AT299" s="7">
        <v>0</v>
      </c>
      <c r="AU299" s="7">
        <v>0</v>
      </c>
      <c r="AV299" s="7">
        <v>0</v>
      </c>
      <c r="AW299" s="7">
        <v>0</v>
      </c>
      <c r="AX299" s="7">
        <v>0</v>
      </c>
      <c r="AY299" s="7">
        <v>0</v>
      </c>
      <c r="AZ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F299" s="7">
        <v>0</v>
      </c>
      <c r="BG299" s="7">
        <v>0</v>
      </c>
      <c r="BH299" s="7">
        <v>0</v>
      </c>
      <c r="BI299" s="7">
        <v>0</v>
      </c>
      <c r="BJ299" s="7">
        <v>0</v>
      </c>
      <c r="BK299" s="7">
        <v>0</v>
      </c>
      <c r="BL299" s="7">
        <v>0</v>
      </c>
      <c r="BM299" s="10">
        <v>2100</v>
      </c>
      <c r="BN299" s="16">
        <f t="shared" si="11"/>
        <v>2100</v>
      </c>
      <c r="BO299" s="14">
        <f t="shared" si="12"/>
        <v>1470</v>
      </c>
    </row>
    <row r="300" spans="1:67" ht="19.5" x14ac:dyDescent="0.3">
      <c r="A300" s="5" t="s">
        <v>430</v>
      </c>
      <c r="B300" s="5" t="s">
        <v>496</v>
      </c>
      <c r="C300" s="5">
        <v>431800</v>
      </c>
      <c r="D300" s="6"/>
      <c r="E300" s="5" t="s">
        <v>32</v>
      </c>
      <c r="F300" s="5" t="s">
        <v>153</v>
      </c>
      <c r="G300" s="5" t="s">
        <v>52</v>
      </c>
      <c r="H300" s="7" t="s">
        <v>340</v>
      </c>
      <c r="I300" s="7" t="s">
        <v>390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0</v>
      </c>
      <c r="AD300" s="7">
        <v>0</v>
      </c>
      <c r="AE300" s="7">
        <v>1</v>
      </c>
      <c r="AF300" s="7">
        <v>0</v>
      </c>
      <c r="AG300" s="8">
        <v>1000</v>
      </c>
      <c r="AH300" s="7">
        <v>0</v>
      </c>
      <c r="AI300" s="7">
        <v>0</v>
      </c>
      <c r="AJ300" s="7">
        <v>0</v>
      </c>
      <c r="AK300" s="7">
        <v>0</v>
      </c>
      <c r="AL300" s="7">
        <v>0</v>
      </c>
      <c r="AM300" s="7">
        <v>0</v>
      </c>
      <c r="AN300" s="7">
        <v>0</v>
      </c>
      <c r="AO300" s="7">
        <v>0</v>
      </c>
      <c r="AP300" s="7">
        <v>0</v>
      </c>
      <c r="AQ300" s="7">
        <v>1</v>
      </c>
      <c r="AR300" s="8">
        <v>1000</v>
      </c>
      <c r="AS300" s="7">
        <v>0</v>
      </c>
      <c r="AT300" s="7">
        <v>0</v>
      </c>
      <c r="AU300" s="7">
        <v>0</v>
      </c>
      <c r="AV300" s="7">
        <v>0</v>
      </c>
      <c r="AW300" s="7">
        <v>0</v>
      </c>
      <c r="AX300" s="7">
        <v>0</v>
      </c>
      <c r="AY300" s="7">
        <v>0</v>
      </c>
      <c r="AZ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F300" s="7">
        <v>0</v>
      </c>
      <c r="BG300" s="7">
        <v>0</v>
      </c>
      <c r="BH300" s="7">
        <v>0</v>
      </c>
      <c r="BI300" s="7">
        <v>0</v>
      </c>
      <c r="BJ300" s="7">
        <v>0</v>
      </c>
      <c r="BK300" s="7">
        <v>0</v>
      </c>
      <c r="BL300" s="7">
        <v>0</v>
      </c>
      <c r="BM300" s="10">
        <v>2000</v>
      </c>
      <c r="BN300" s="16">
        <f t="shared" si="11"/>
        <v>2000</v>
      </c>
      <c r="BO300" s="14">
        <f t="shared" si="12"/>
        <v>1400</v>
      </c>
    </row>
    <row r="301" spans="1:67" ht="19.5" x14ac:dyDescent="0.3">
      <c r="A301" s="5" t="s">
        <v>430</v>
      </c>
      <c r="B301" s="5" t="s">
        <v>371</v>
      </c>
      <c r="C301" s="5">
        <v>157002</v>
      </c>
      <c r="D301" s="6" t="s">
        <v>372</v>
      </c>
      <c r="E301" s="5" t="s">
        <v>32</v>
      </c>
      <c r="F301" s="5" t="s">
        <v>48</v>
      </c>
      <c r="G301" s="5" t="s">
        <v>11</v>
      </c>
      <c r="H301" s="7" t="s">
        <v>7</v>
      </c>
      <c r="I301" s="7" t="s">
        <v>373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19</v>
      </c>
      <c r="AF301" s="7">
        <v>0</v>
      </c>
      <c r="AG301" s="8">
        <v>1900</v>
      </c>
      <c r="AH301" s="7">
        <v>0</v>
      </c>
      <c r="AI301" s="7">
        <v>0</v>
      </c>
      <c r="AJ301" s="7">
        <v>0</v>
      </c>
      <c r="AK301" s="7">
        <v>0</v>
      </c>
      <c r="AL301" s="7">
        <v>0</v>
      </c>
      <c r="AM301" s="7">
        <v>0</v>
      </c>
      <c r="AN301" s="7">
        <v>0</v>
      </c>
      <c r="AO301" s="7">
        <v>0</v>
      </c>
      <c r="AP301" s="7">
        <v>0</v>
      </c>
      <c r="AQ301" s="7">
        <v>0</v>
      </c>
      <c r="AR301" s="7">
        <v>0</v>
      </c>
      <c r="AS301" s="7">
        <v>0</v>
      </c>
      <c r="AT301" s="7">
        <v>0</v>
      </c>
      <c r="AU301" s="7">
        <v>0</v>
      </c>
      <c r="AV301" s="7">
        <v>0</v>
      </c>
      <c r="AW301" s="7">
        <v>0</v>
      </c>
      <c r="AX301" s="7">
        <v>0</v>
      </c>
      <c r="AY301" s="7">
        <v>0</v>
      </c>
      <c r="AZ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F301" s="7">
        <v>0</v>
      </c>
      <c r="BG301" s="7">
        <v>0</v>
      </c>
      <c r="BH301" s="7">
        <v>0</v>
      </c>
      <c r="BI301" s="7">
        <v>0</v>
      </c>
      <c r="BJ301" s="7">
        <v>0</v>
      </c>
      <c r="BK301" s="7">
        <v>0</v>
      </c>
      <c r="BL301" s="7">
        <v>0</v>
      </c>
      <c r="BM301" s="10">
        <v>1900</v>
      </c>
      <c r="BN301" s="16">
        <f t="shared" si="11"/>
        <v>1900</v>
      </c>
      <c r="BO301" s="14">
        <f t="shared" si="12"/>
        <v>1330</v>
      </c>
    </row>
    <row r="302" spans="1:67" ht="19.5" x14ac:dyDescent="0.3">
      <c r="A302" s="5" t="s">
        <v>430</v>
      </c>
      <c r="B302" s="5" t="s">
        <v>497</v>
      </c>
      <c r="C302" s="5">
        <v>407003</v>
      </c>
      <c r="D302" s="6"/>
      <c r="E302" s="5" t="s">
        <v>32</v>
      </c>
      <c r="F302" s="5" t="s">
        <v>404</v>
      </c>
      <c r="G302" s="5" t="s">
        <v>52</v>
      </c>
      <c r="H302" s="7" t="s">
        <v>340</v>
      </c>
      <c r="I302" s="7" t="s">
        <v>498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19</v>
      </c>
      <c r="AF302" s="7">
        <v>500</v>
      </c>
      <c r="AG302" s="8">
        <v>1400</v>
      </c>
      <c r="AH302" s="7">
        <v>0</v>
      </c>
      <c r="AI302" s="7">
        <v>0</v>
      </c>
      <c r="AJ302" s="7">
        <v>0</v>
      </c>
      <c r="AK302" s="7">
        <v>0</v>
      </c>
      <c r="AL302" s="7">
        <v>0</v>
      </c>
      <c r="AM302" s="7">
        <v>0</v>
      </c>
      <c r="AN302" s="7">
        <v>0</v>
      </c>
      <c r="AO302" s="7">
        <v>0</v>
      </c>
      <c r="AP302" s="7">
        <v>0</v>
      </c>
      <c r="AQ302" s="7">
        <v>0</v>
      </c>
      <c r="AR302" s="7">
        <v>0</v>
      </c>
      <c r="AS302" s="7">
        <v>0</v>
      </c>
      <c r="AT302" s="7">
        <v>0</v>
      </c>
      <c r="AU302" s="7">
        <v>0</v>
      </c>
      <c r="AV302" s="7">
        <v>0</v>
      </c>
      <c r="AW302" s="7">
        <v>0</v>
      </c>
      <c r="AX302" s="7">
        <v>0</v>
      </c>
      <c r="AY302" s="7">
        <v>0</v>
      </c>
      <c r="AZ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F302" s="7">
        <v>0</v>
      </c>
      <c r="BG302" s="7">
        <v>0</v>
      </c>
      <c r="BH302" s="7">
        <v>0</v>
      </c>
      <c r="BI302" s="7">
        <v>0</v>
      </c>
      <c r="BJ302" s="7">
        <v>0</v>
      </c>
      <c r="BK302" s="7">
        <v>0</v>
      </c>
      <c r="BL302" s="7">
        <v>0</v>
      </c>
      <c r="BM302" s="10">
        <v>1900</v>
      </c>
      <c r="BN302" s="16">
        <f t="shared" si="11"/>
        <v>1900</v>
      </c>
      <c r="BO302" s="14">
        <f t="shared" si="12"/>
        <v>1330</v>
      </c>
    </row>
    <row r="303" spans="1:67" ht="19.5" x14ac:dyDescent="0.3">
      <c r="A303" s="5" t="s">
        <v>430</v>
      </c>
      <c r="B303" s="5" t="s">
        <v>499</v>
      </c>
      <c r="C303" s="5">
        <v>467498</v>
      </c>
      <c r="D303" s="6"/>
      <c r="E303" s="5" t="s">
        <v>32</v>
      </c>
      <c r="F303" s="5" t="s">
        <v>344</v>
      </c>
      <c r="G303" s="5" t="s">
        <v>52</v>
      </c>
      <c r="H303" s="7" t="s">
        <v>8</v>
      </c>
      <c r="I303" s="7" t="s">
        <v>38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1</v>
      </c>
      <c r="AF303" s="7">
        <v>0</v>
      </c>
      <c r="AG303" s="8">
        <v>1800</v>
      </c>
      <c r="AH303" s="7">
        <v>0</v>
      </c>
      <c r="AI303" s="7">
        <v>0</v>
      </c>
      <c r="AJ303" s="7">
        <v>0</v>
      </c>
      <c r="AK303" s="7">
        <v>0</v>
      </c>
      <c r="AL303" s="7">
        <v>0</v>
      </c>
      <c r="AM303" s="7">
        <v>0</v>
      </c>
      <c r="AN303" s="7">
        <v>0</v>
      </c>
      <c r="AO303" s="7">
        <v>0</v>
      </c>
      <c r="AP303" s="7">
        <v>0</v>
      </c>
      <c r="AQ303" s="7">
        <v>0</v>
      </c>
      <c r="AR303" s="7">
        <v>0</v>
      </c>
      <c r="AS303" s="7">
        <v>0</v>
      </c>
      <c r="AT303" s="7">
        <v>0</v>
      </c>
      <c r="AU303" s="7">
        <v>0</v>
      </c>
      <c r="AV303" s="7">
        <v>0</v>
      </c>
      <c r="AW303" s="7">
        <v>0</v>
      </c>
      <c r="AX303" s="7">
        <v>0</v>
      </c>
      <c r="AY303" s="7">
        <v>0</v>
      </c>
      <c r="AZ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F303" s="7">
        <v>0</v>
      </c>
      <c r="BG303" s="7">
        <v>0</v>
      </c>
      <c r="BH303" s="7">
        <v>0</v>
      </c>
      <c r="BI303" s="7">
        <v>0</v>
      </c>
      <c r="BJ303" s="7">
        <v>0</v>
      </c>
      <c r="BK303" s="7">
        <v>0</v>
      </c>
      <c r="BL303" s="7">
        <v>0</v>
      </c>
      <c r="BM303" s="10">
        <v>1800</v>
      </c>
      <c r="BN303" s="16">
        <f t="shared" si="11"/>
        <v>1800</v>
      </c>
      <c r="BO303" s="14">
        <f t="shared" si="12"/>
        <v>1260</v>
      </c>
    </row>
    <row r="304" spans="1:67" ht="19.5" x14ac:dyDescent="0.3">
      <c r="A304" s="5" t="s">
        <v>430</v>
      </c>
      <c r="B304" s="5" t="s">
        <v>500</v>
      </c>
      <c r="C304" s="5">
        <v>377684</v>
      </c>
      <c r="D304" s="6"/>
      <c r="E304" s="5" t="s">
        <v>32</v>
      </c>
      <c r="F304" s="5" t="s">
        <v>51</v>
      </c>
      <c r="G304" s="5" t="s">
        <v>52</v>
      </c>
      <c r="H304" s="7" t="s">
        <v>340</v>
      </c>
      <c r="I304" s="7" t="s">
        <v>447</v>
      </c>
      <c r="J304" s="7">
        <v>0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0</v>
      </c>
      <c r="AB304" s="7">
        <v>0</v>
      </c>
      <c r="AC304" s="7">
        <v>0</v>
      </c>
      <c r="AD304" s="7">
        <v>0</v>
      </c>
      <c r="AE304" s="7">
        <v>2</v>
      </c>
      <c r="AF304" s="7">
        <v>500</v>
      </c>
      <c r="AG304" s="7">
        <v>500</v>
      </c>
      <c r="AH304" s="7">
        <v>0</v>
      </c>
      <c r="AI304" s="7">
        <v>0</v>
      </c>
      <c r="AJ304" s="7">
        <v>0</v>
      </c>
      <c r="AK304" s="7">
        <v>0</v>
      </c>
      <c r="AL304" s="7">
        <v>0</v>
      </c>
      <c r="AM304" s="7">
        <v>0</v>
      </c>
      <c r="AN304" s="7">
        <v>0</v>
      </c>
      <c r="AO304" s="7">
        <v>0</v>
      </c>
      <c r="AP304" s="7">
        <v>0</v>
      </c>
      <c r="AQ304" s="7">
        <v>1</v>
      </c>
      <c r="AR304" s="7">
        <v>500</v>
      </c>
      <c r="AS304" s="7">
        <v>0</v>
      </c>
      <c r="AT304" s="7">
        <v>0</v>
      </c>
      <c r="AU304" s="7">
        <v>0</v>
      </c>
      <c r="AV304" s="7">
        <v>0</v>
      </c>
      <c r="AW304" s="7">
        <v>0</v>
      </c>
      <c r="AX304" s="7">
        <v>0</v>
      </c>
      <c r="AY304" s="7">
        <v>0</v>
      </c>
      <c r="AZ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F304" s="7">
        <v>0</v>
      </c>
      <c r="BG304" s="7">
        <v>0</v>
      </c>
      <c r="BH304" s="7">
        <v>0</v>
      </c>
      <c r="BI304" s="7">
        <v>0</v>
      </c>
      <c r="BJ304" s="7">
        <v>0</v>
      </c>
      <c r="BK304" s="7">
        <v>0</v>
      </c>
      <c r="BL304" s="7">
        <v>0</v>
      </c>
      <c r="BM304" s="10">
        <v>1500</v>
      </c>
      <c r="BN304" s="16">
        <f t="shared" si="11"/>
        <v>1500</v>
      </c>
      <c r="BO304" s="14">
        <f t="shared" si="12"/>
        <v>1050</v>
      </c>
    </row>
    <row r="305" spans="1:67" ht="19.5" x14ac:dyDescent="0.3">
      <c r="A305" s="5" t="s">
        <v>430</v>
      </c>
      <c r="B305" s="5" t="s">
        <v>501</v>
      </c>
      <c r="C305" s="5">
        <v>392659</v>
      </c>
      <c r="D305" s="6"/>
      <c r="E305" s="5" t="s">
        <v>32</v>
      </c>
      <c r="F305" s="5" t="s">
        <v>73</v>
      </c>
      <c r="G305" s="5" t="s">
        <v>52</v>
      </c>
      <c r="H305" s="7" t="s">
        <v>340</v>
      </c>
      <c r="I305" s="7" t="s">
        <v>322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5</v>
      </c>
      <c r="AF305" s="8">
        <v>1500</v>
      </c>
      <c r="AG305" s="7">
        <v>0</v>
      </c>
      <c r="AH305" s="7">
        <v>0</v>
      </c>
      <c r="AI305" s="7">
        <v>0</v>
      </c>
      <c r="AJ305" s="7">
        <v>0</v>
      </c>
      <c r="AK305" s="7">
        <v>0</v>
      </c>
      <c r="AL305" s="7">
        <v>0</v>
      </c>
      <c r="AM305" s="7">
        <v>0</v>
      </c>
      <c r="AN305" s="7">
        <v>0</v>
      </c>
      <c r="AO305" s="7">
        <v>0</v>
      </c>
      <c r="AP305" s="7">
        <v>0</v>
      </c>
      <c r="AQ305" s="7">
        <v>0</v>
      </c>
      <c r="AR305" s="7">
        <v>0</v>
      </c>
      <c r="AS305" s="7">
        <v>0</v>
      </c>
      <c r="AT305" s="7">
        <v>0</v>
      </c>
      <c r="AU305" s="7">
        <v>0</v>
      </c>
      <c r="AV305" s="7">
        <v>0</v>
      </c>
      <c r="AW305" s="7">
        <v>0</v>
      </c>
      <c r="AX305" s="7">
        <v>0</v>
      </c>
      <c r="AY305" s="7">
        <v>0</v>
      </c>
      <c r="AZ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F305" s="7">
        <v>0</v>
      </c>
      <c r="BG305" s="7">
        <v>0</v>
      </c>
      <c r="BH305" s="7">
        <v>0</v>
      </c>
      <c r="BI305" s="7">
        <v>0</v>
      </c>
      <c r="BJ305" s="7">
        <v>0</v>
      </c>
      <c r="BK305" s="7">
        <v>0</v>
      </c>
      <c r="BL305" s="7">
        <v>0</v>
      </c>
      <c r="BM305" s="10">
        <v>1500</v>
      </c>
      <c r="BN305" s="16">
        <f t="shared" si="11"/>
        <v>1500</v>
      </c>
      <c r="BO305" s="14">
        <f t="shared" si="12"/>
        <v>1050</v>
      </c>
    </row>
    <row r="306" spans="1:67" ht="19.5" x14ac:dyDescent="0.3">
      <c r="A306" s="5" t="s">
        <v>430</v>
      </c>
      <c r="B306" s="5" t="s">
        <v>266</v>
      </c>
      <c r="C306" s="5">
        <v>351033</v>
      </c>
      <c r="D306" s="6" t="s">
        <v>267</v>
      </c>
      <c r="E306" s="5" t="s">
        <v>32</v>
      </c>
      <c r="F306" s="5" t="s">
        <v>48</v>
      </c>
      <c r="G306" s="5" t="s">
        <v>11</v>
      </c>
      <c r="H306" s="7" t="s">
        <v>7</v>
      </c>
      <c r="I306" s="7" t="s">
        <v>268</v>
      </c>
      <c r="J306" s="7">
        <v>0</v>
      </c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7">
        <v>0</v>
      </c>
      <c r="AD306" s="7">
        <v>0</v>
      </c>
      <c r="AE306" s="7">
        <v>13</v>
      </c>
      <c r="AF306" s="7">
        <v>0</v>
      </c>
      <c r="AG306" s="8">
        <v>1300</v>
      </c>
      <c r="AH306" s="7">
        <v>0</v>
      </c>
      <c r="AI306" s="7">
        <v>0</v>
      </c>
      <c r="AJ306" s="7">
        <v>0</v>
      </c>
      <c r="AK306" s="7">
        <v>0</v>
      </c>
      <c r="AL306" s="7">
        <v>0</v>
      </c>
      <c r="AM306" s="7">
        <v>0</v>
      </c>
      <c r="AN306" s="7">
        <v>0</v>
      </c>
      <c r="AO306" s="7">
        <v>0</v>
      </c>
      <c r="AP306" s="7">
        <v>0</v>
      </c>
      <c r="AQ306" s="7">
        <v>0</v>
      </c>
      <c r="AR306" s="7">
        <v>0</v>
      </c>
      <c r="AS306" s="7">
        <v>0</v>
      </c>
      <c r="AT306" s="7">
        <v>0</v>
      </c>
      <c r="AU306" s="7">
        <v>0</v>
      </c>
      <c r="AV306" s="7">
        <v>0</v>
      </c>
      <c r="AW306" s="7">
        <v>0</v>
      </c>
      <c r="AX306" s="7">
        <v>0</v>
      </c>
      <c r="AY306" s="7">
        <v>0</v>
      </c>
      <c r="AZ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  <c r="BF306" s="7">
        <v>0</v>
      </c>
      <c r="BG306" s="7">
        <v>0</v>
      </c>
      <c r="BH306" s="7">
        <v>0</v>
      </c>
      <c r="BI306" s="7">
        <v>0</v>
      </c>
      <c r="BJ306" s="7">
        <v>0</v>
      </c>
      <c r="BK306" s="7">
        <v>0</v>
      </c>
      <c r="BL306" s="7">
        <v>0</v>
      </c>
      <c r="BM306" s="10">
        <v>1300</v>
      </c>
      <c r="BN306" s="16">
        <f t="shared" si="11"/>
        <v>1300</v>
      </c>
      <c r="BO306" s="14">
        <f t="shared" si="12"/>
        <v>909.99999999999989</v>
      </c>
    </row>
    <row r="307" spans="1:67" ht="19.5" x14ac:dyDescent="0.3">
      <c r="A307" s="5" t="s">
        <v>430</v>
      </c>
      <c r="B307" s="5" t="s">
        <v>502</v>
      </c>
      <c r="C307" s="5">
        <v>397393</v>
      </c>
      <c r="D307" s="6"/>
      <c r="E307" s="5" t="s">
        <v>32</v>
      </c>
      <c r="F307" s="5" t="s">
        <v>153</v>
      </c>
      <c r="G307" s="5" t="s">
        <v>52</v>
      </c>
      <c r="H307" s="7" t="s">
        <v>340</v>
      </c>
      <c r="I307" s="7" t="s">
        <v>503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4</v>
      </c>
      <c r="AF307" s="7">
        <v>700</v>
      </c>
      <c r="AG307" s="7">
        <v>500</v>
      </c>
      <c r="AH307" s="7">
        <v>0</v>
      </c>
      <c r="AI307" s="7">
        <v>0</v>
      </c>
      <c r="AJ307" s="7">
        <v>0</v>
      </c>
      <c r="AK307" s="7">
        <v>0</v>
      </c>
      <c r="AL307" s="7">
        <v>0</v>
      </c>
      <c r="AM307" s="7">
        <v>0</v>
      </c>
      <c r="AN307" s="7">
        <v>0</v>
      </c>
      <c r="AO307" s="7">
        <v>0</v>
      </c>
      <c r="AP307" s="7">
        <v>0</v>
      </c>
      <c r="AQ307" s="7">
        <v>0</v>
      </c>
      <c r="AR307" s="7">
        <v>0</v>
      </c>
      <c r="AS307" s="7">
        <v>0</v>
      </c>
      <c r="AT307" s="7">
        <v>0</v>
      </c>
      <c r="AU307" s="7">
        <v>0</v>
      </c>
      <c r="AV307" s="7">
        <v>0</v>
      </c>
      <c r="AW307" s="7">
        <v>0</v>
      </c>
      <c r="AX307" s="7">
        <v>0</v>
      </c>
      <c r="AY307" s="7">
        <v>0</v>
      </c>
      <c r="AZ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0</v>
      </c>
      <c r="BF307" s="7">
        <v>0</v>
      </c>
      <c r="BG307" s="7">
        <v>0</v>
      </c>
      <c r="BH307" s="7">
        <v>0</v>
      </c>
      <c r="BI307" s="7">
        <v>0</v>
      </c>
      <c r="BJ307" s="7">
        <v>0</v>
      </c>
      <c r="BK307" s="7">
        <v>0</v>
      </c>
      <c r="BL307" s="7">
        <v>0</v>
      </c>
      <c r="BM307" s="10">
        <v>1200</v>
      </c>
      <c r="BN307" s="16">
        <f t="shared" si="11"/>
        <v>1200</v>
      </c>
      <c r="BO307" s="14">
        <f t="shared" si="12"/>
        <v>840</v>
      </c>
    </row>
    <row r="308" spans="1:67" ht="19.5" x14ac:dyDescent="0.3">
      <c r="A308" s="5" t="s">
        <v>430</v>
      </c>
      <c r="B308" s="5" t="s">
        <v>504</v>
      </c>
      <c r="C308" s="5">
        <v>383236</v>
      </c>
      <c r="D308" s="6"/>
      <c r="E308" s="5" t="s">
        <v>32</v>
      </c>
      <c r="F308" s="5" t="s">
        <v>153</v>
      </c>
      <c r="G308" s="5" t="s">
        <v>52</v>
      </c>
      <c r="H308" s="7" t="s">
        <v>340</v>
      </c>
      <c r="I308" s="7" t="s">
        <v>154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0</v>
      </c>
      <c r="AE308" s="7">
        <v>3</v>
      </c>
      <c r="AF308" s="8">
        <v>1000</v>
      </c>
      <c r="AG308" s="7">
        <v>0</v>
      </c>
      <c r="AH308" s="7">
        <v>0</v>
      </c>
      <c r="AI308" s="7">
        <v>0</v>
      </c>
      <c r="AJ308" s="7">
        <v>0</v>
      </c>
      <c r="AK308" s="7">
        <v>0</v>
      </c>
      <c r="AL308" s="7">
        <v>0</v>
      </c>
      <c r="AM308" s="7">
        <v>0</v>
      </c>
      <c r="AN308" s="7">
        <v>0</v>
      </c>
      <c r="AO308" s="7">
        <v>0</v>
      </c>
      <c r="AP308" s="7">
        <v>0</v>
      </c>
      <c r="AQ308" s="7">
        <v>1</v>
      </c>
      <c r="AR308" s="7">
        <v>0</v>
      </c>
      <c r="AS308" s="7">
        <v>200</v>
      </c>
      <c r="AT308" s="7">
        <v>0</v>
      </c>
      <c r="AU308" s="7">
        <v>0</v>
      </c>
      <c r="AV308" s="7">
        <v>0</v>
      </c>
      <c r="AW308" s="7">
        <v>0</v>
      </c>
      <c r="AX308" s="7">
        <v>0</v>
      </c>
      <c r="AY308" s="7">
        <v>0</v>
      </c>
      <c r="AZ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F308" s="7">
        <v>0</v>
      </c>
      <c r="BG308" s="7">
        <v>0</v>
      </c>
      <c r="BH308" s="7">
        <v>0</v>
      </c>
      <c r="BI308" s="7">
        <v>0</v>
      </c>
      <c r="BJ308" s="7">
        <v>0</v>
      </c>
      <c r="BK308" s="7">
        <v>0</v>
      </c>
      <c r="BL308" s="7">
        <v>0</v>
      </c>
      <c r="BM308" s="10">
        <v>1200</v>
      </c>
      <c r="BN308" s="16">
        <f t="shared" si="11"/>
        <v>1200</v>
      </c>
      <c r="BO308" s="14">
        <f t="shared" si="12"/>
        <v>840</v>
      </c>
    </row>
    <row r="309" spans="1:67" ht="19.5" x14ac:dyDescent="0.3">
      <c r="A309" s="5" t="s">
        <v>430</v>
      </c>
      <c r="B309" s="5" t="s">
        <v>142</v>
      </c>
      <c r="C309" s="5">
        <v>390809</v>
      </c>
      <c r="D309" s="6"/>
      <c r="E309" s="5" t="s">
        <v>32</v>
      </c>
      <c r="F309" s="5" t="s">
        <v>143</v>
      </c>
      <c r="G309" s="5" t="s">
        <v>52</v>
      </c>
      <c r="H309" s="7" t="s">
        <v>8</v>
      </c>
      <c r="I309" s="7" t="s">
        <v>53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11</v>
      </c>
      <c r="AF309" s="8">
        <v>1100</v>
      </c>
      <c r="AG309" s="7">
        <v>0</v>
      </c>
      <c r="AH309" s="7">
        <v>0</v>
      </c>
      <c r="AI309" s="7">
        <v>0</v>
      </c>
      <c r="AJ309" s="7">
        <v>0</v>
      </c>
      <c r="AK309" s="7">
        <v>0</v>
      </c>
      <c r="AL309" s="7">
        <v>0</v>
      </c>
      <c r="AM309" s="7">
        <v>0</v>
      </c>
      <c r="AN309" s="7">
        <v>0</v>
      </c>
      <c r="AO309" s="7">
        <v>0</v>
      </c>
      <c r="AP309" s="7">
        <v>0</v>
      </c>
      <c r="AQ309" s="7">
        <v>0</v>
      </c>
      <c r="AR309" s="7">
        <v>0</v>
      </c>
      <c r="AS309" s="7">
        <v>0</v>
      </c>
      <c r="AT309" s="7">
        <v>0</v>
      </c>
      <c r="AU309" s="7">
        <v>0</v>
      </c>
      <c r="AV309" s="7">
        <v>0</v>
      </c>
      <c r="AW309" s="7">
        <v>0</v>
      </c>
      <c r="AX309" s="7">
        <v>0</v>
      </c>
      <c r="AY309" s="7">
        <v>0</v>
      </c>
      <c r="AZ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F309" s="7">
        <v>0</v>
      </c>
      <c r="BG309" s="7">
        <v>0</v>
      </c>
      <c r="BH309" s="7">
        <v>0</v>
      </c>
      <c r="BI309" s="7">
        <v>0</v>
      </c>
      <c r="BJ309" s="7">
        <v>0</v>
      </c>
      <c r="BK309" s="7">
        <v>0</v>
      </c>
      <c r="BL309" s="7">
        <v>0</v>
      </c>
      <c r="BM309" s="10">
        <v>1100</v>
      </c>
      <c r="BN309" s="16">
        <f t="shared" si="11"/>
        <v>1100</v>
      </c>
      <c r="BO309" s="14">
        <f t="shared" si="12"/>
        <v>770</v>
      </c>
    </row>
    <row r="310" spans="1:67" ht="19.5" x14ac:dyDescent="0.3">
      <c r="A310" s="5" t="s">
        <v>430</v>
      </c>
      <c r="B310" s="5" t="s">
        <v>279</v>
      </c>
      <c r="C310" s="5">
        <v>469072</v>
      </c>
      <c r="D310" s="6"/>
      <c r="E310" s="5" t="s">
        <v>32</v>
      </c>
      <c r="F310" s="5" t="s">
        <v>188</v>
      </c>
      <c r="G310" s="5" t="s">
        <v>52</v>
      </c>
      <c r="H310" s="7" t="s">
        <v>8</v>
      </c>
      <c r="I310" s="7" t="s">
        <v>280</v>
      </c>
      <c r="J310" s="7">
        <v>0</v>
      </c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10</v>
      </c>
      <c r="AF310" s="8">
        <v>1000</v>
      </c>
      <c r="AG310" s="7">
        <v>0</v>
      </c>
      <c r="AH310" s="7">
        <v>0</v>
      </c>
      <c r="AI310" s="7">
        <v>0</v>
      </c>
      <c r="AJ310" s="7">
        <v>0</v>
      </c>
      <c r="AK310" s="7">
        <v>0</v>
      </c>
      <c r="AL310" s="7">
        <v>0</v>
      </c>
      <c r="AM310" s="7">
        <v>0</v>
      </c>
      <c r="AN310" s="7">
        <v>0</v>
      </c>
      <c r="AO310" s="7">
        <v>0</v>
      </c>
      <c r="AP310" s="7">
        <v>0</v>
      </c>
      <c r="AQ310" s="7">
        <v>0</v>
      </c>
      <c r="AR310" s="7">
        <v>0</v>
      </c>
      <c r="AS310" s="7">
        <v>0</v>
      </c>
      <c r="AT310" s="7">
        <v>0</v>
      </c>
      <c r="AU310" s="7">
        <v>0</v>
      </c>
      <c r="AV310" s="7">
        <v>0</v>
      </c>
      <c r="AW310" s="7">
        <v>0</v>
      </c>
      <c r="AX310" s="7">
        <v>0</v>
      </c>
      <c r="AY310" s="7">
        <v>0</v>
      </c>
      <c r="AZ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F310" s="7">
        <v>0</v>
      </c>
      <c r="BG310" s="7">
        <v>0</v>
      </c>
      <c r="BH310" s="7">
        <v>0</v>
      </c>
      <c r="BI310" s="7">
        <v>0</v>
      </c>
      <c r="BJ310" s="7">
        <v>0</v>
      </c>
      <c r="BK310" s="7">
        <v>0</v>
      </c>
      <c r="BL310" s="7">
        <v>0</v>
      </c>
      <c r="BM310" s="10">
        <v>1000</v>
      </c>
      <c r="BN310" s="16">
        <f t="shared" si="11"/>
        <v>1000</v>
      </c>
      <c r="BO310" s="14">
        <f t="shared" si="12"/>
        <v>700</v>
      </c>
    </row>
    <row r="311" spans="1:67" ht="19.5" x14ac:dyDescent="0.3">
      <c r="A311" s="5" t="s">
        <v>430</v>
      </c>
      <c r="B311" s="5" t="s">
        <v>505</v>
      </c>
      <c r="C311" s="5">
        <v>462657</v>
      </c>
      <c r="D311" s="6"/>
      <c r="E311" s="5" t="s">
        <v>32</v>
      </c>
      <c r="F311" s="5" t="s">
        <v>301</v>
      </c>
      <c r="G311" s="5" t="s">
        <v>52</v>
      </c>
      <c r="H311" s="7" t="s">
        <v>340</v>
      </c>
      <c r="I311" s="7" t="s">
        <v>113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1</v>
      </c>
      <c r="AF311" s="8">
        <v>1000</v>
      </c>
      <c r="AG311" s="7">
        <v>0</v>
      </c>
      <c r="AH311" s="7">
        <v>0</v>
      </c>
      <c r="AI311" s="7">
        <v>0</v>
      </c>
      <c r="AJ311" s="7">
        <v>0</v>
      </c>
      <c r="AK311" s="7">
        <v>0</v>
      </c>
      <c r="AL311" s="7">
        <v>0</v>
      </c>
      <c r="AM311" s="7">
        <v>0</v>
      </c>
      <c r="AN311" s="7">
        <v>0</v>
      </c>
      <c r="AO311" s="7">
        <v>0</v>
      </c>
      <c r="AP311" s="7">
        <v>0</v>
      </c>
      <c r="AQ311" s="7">
        <v>0</v>
      </c>
      <c r="AR311" s="7">
        <v>0</v>
      </c>
      <c r="AS311" s="7">
        <v>0</v>
      </c>
      <c r="AT311" s="7">
        <v>0</v>
      </c>
      <c r="AU311" s="7">
        <v>0</v>
      </c>
      <c r="AV311" s="7">
        <v>0</v>
      </c>
      <c r="AW311" s="7">
        <v>0</v>
      </c>
      <c r="AX311" s="7">
        <v>0</v>
      </c>
      <c r="AY311" s="7">
        <v>0</v>
      </c>
      <c r="AZ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F311" s="7">
        <v>0</v>
      </c>
      <c r="BG311" s="7">
        <v>0</v>
      </c>
      <c r="BH311" s="7">
        <v>0</v>
      </c>
      <c r="BI311" s="7">
        <v>0</v>
      </c>
      <c r="BJ311" s="7">
        <v>0</v>
      </c>
      <c r="BK311" s="7">
        <v>0</v>
      </c>
      <c r="BL311" s="7">
        <v>0</v>
      </c>
      <c r="BM311" s="10">
        <v>1000</v>
      </c>
      <c r="BN311" s="16">
        <f t="shared" si="11"/>
        <v>1000</v>
      </c>
      <c r="BO311" s="14">
        <f t="shared" si="12"/>
        <v>700</v>
      </c>
    </row>
    <row r="312" spans="1:67" ht="19.5" x14ac:dyDescent="0.3">
      <c r="A312" s="5" t="s">
        <v>430</v>
      </c>
      <c r="B312" s="5" t="s">
        <v>506</v>
      </c>
      <c r="C312" s="5">
        <v>426253</v>
      </c>
      <c r="D312" s="6"/>
      <c r="E312" s="5" t="s">
        <v>32</v>
      </c>
      <c r="F312" s="5" t="s">
        <v>249</v>
      </c>
      <c r="G312" s="5" t="s">
        <v>52</v>
      </c>
      <c r="H312" s="7" t="s">
        <v>340</v>
      </c>
      <c r="I312" s="7" t="s">
        <v>474</v>
      </c>
      <c r="J312" s="7">
        <v>0</v>
      </c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  <c r="AB312" s="7">
        <v>0</v>
      </c>
      <c r="AC312" s="7">
        <v>0</v>
      </c>
      <c r="AD312" s="7">
        <v>0</v>
      </c>
      <c r="AE312" s="7">
        <v>2</v>
      </c>
      <c r="AF312" s="8">
        <v>1000</v>
      </c>
      <c r="AG312" s="7">
        <v>0</v>
      </c>
      <c r="AH312" s="7">
        <v>0</v>
      </c>
      <c r="AI312" s="7">
        <v>0</v>
      </c>
      <c r="AJ312" s="7">
        <v>0</v>
      </c>
      <c r="AK312" s="7">
        <v>0</v>
      </c>
      <c r="AL312" s="7">
        <v>0</v>
      </c>
      <c r="AM312" s="7">
        <v>0</v>
      </c>
      <c r="AN312" s="7">
        <v>0</v>
      </c>
      <c r="AO312" s="7">
        <v>0</v>
      </c>
      <c r="AP312" s="7">
        <v>0</v>
      </c>
      <c r="AQ312" s="7">
        <v>0</v>
      </c>
      <c r="AR312" s="7">
        <v>0</v>
      </c>
      <c r="AS312" s="7">
        <v>0</v>
      </c>
      <c r="AT312" s="7">
        <v>0</v>
      </c>
      <c r="AU312" s="7">
        <v>0</v>
      </c>
      <c r="AV312" s="7">
        <v>0</v>
      </c>
      <c r="AW312" s="7">
        <v>0</v>
      </c>
      <c r="AX312" s="7">
        <v>0</v>
      </c>
      <c r="AY312" s="7">
        <v>0</v>
      </c>
      <c r="AZ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F312" s="7">
        <v>0</v>
      </c>
      <c r="BG312" s="7">
        <v>0</v>
      </c>
      <c r="BH312" s="7">
        <v>0</v>
      </c>
      <c r="BI312" s="7">
        <v>0</v>
      </c>
      <c r="BJ312" s="7">
        <v>0</v>
      </c>
      <c r="BK312" s="7">
        <v>0</v>
      </c>
      <c r="BL312" s="7">
        <v>0</v>
      </c>
      <c r="BM312" s="10">
        <v>1000</v>
      </c>
      <c r="BN312" s="16">
        <f t="shared" si="11"/>
        <v>1000</v>
      </c>
      <c r="BO312" s="14">
        <f t="shared" si="12"/>
        <v>700</v>
      </c>
    </row>
    <row r="313" spans="1:67" ht="19.5" x14ac:dyDescent="0.3">
      <c r="A313" s="5" t="s">
        <v>430</v>
      </c>
      <c r="B313" s="5" t="s">
        <v>507</v>
      </c>
      <c r="C313" s="5">
        <v>397418</v>
      </c>
      <c r="D313" s="6"/>
      <c r="E313" s="5" t="s">
        <v>32</v>
      </c>
      <c r="F313" s="5" t="s">
        <v>228</v>
      </c>
      <c r="G313" s="5" t="s">
        <v>52</v>
      </c>
      <c r="H313" s="7" t="s">
        <v>340</v>
      </c>
      <c r="I313" s="7" t="s">
        <v>508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1</v>
      </c>
      <c r="AF313" s="7">
        <v>0</v>
      </c>
      <c r="AG313" s="7">
        <v>800</v>
      </c>
      <c r="AH313" s="7">
        <v>0</v>
      </c>
      <c r="AI313" s="7">
        <v>0</v>
      </c>
      <c r="AJ313" s="7">
        <v>0</v>
      </c>
      <c r="AK313" s="7">
        <v>0</v>
      </c>
      <c r="AL313" s="7">
        <v>0</v>
      </c>
      <c r="AM313" s="7">
        <v>0</v>
      </c>
      <c r="AN313" s="7">
        <v>0</v>
      </c>
      <c r="AO313" s="7">
        <v>0</v>
      </c>
      <c r="AP313" s="7">
        <v>0</v>
      </c>
      <c r="AQ313" s="7">
        <v>0</v>
      </c>
      <c r="AR313" s="7">
        <v>0</v>
      </c>
      <c r="AS313" s="7">
        <v>0</v>
      </c>
      <c r="AT313" s="7">
        <v>0</v>
      </c>
      <c r="AU313" s="7">
        <v>0</v>
      </c>
      <c r="AV313" s="7">
        <v>0</v>
      </c>
      <c r="AW313" s="7">
        <v>0</v>
      </c>
      <c r="AX313" s="7">
        <v>0</v>
      </c>
      <c r="AY313" s="7">
        <v>0</v>
      </c>
      <c r="AZ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0</v>
      </c>
      <c r="BF313" s="7">
        <v>0</v>
      </c>
      <c r="BG313" s="7">
        <v>0</v>
      </c>
      <c r="BH313" s="7">
        <v>0</v>
      </c>
      <c r="BI313" s="7">
        <v>0</v>
      </c>
      <c r="BJ313" s="7">
        <v>0</v>
      </c>
      <c r="BK313" s="7">
        <v>0</v>
      </c>
      <c r="BL313" s="7">
        <v>0</v>
      </c>
      <c r="BM313" s="11">
        <v>800</v>
      </c>
      <c r="BN313" s="16">
        <f t="shared" si="11"/>
        <v>800</v>
      </c>
      <c r="BO313" s="14">
        <f t="shared" si="12"/>
        <v>560</v>
      </c>
    </row>
    <row r="314" spans="1:67" ht="19.5" x14ac:dyDescent="0.3">
      <c r="A314" s="5" t="s">
        <v>430</v>
      </c>
      <c r="B314" s="5" t="s">
        <v>323</v>
      </c>
      <c r="C314" s="5">
        <v>328894</v>
      </c>
      <c r="D314" s="6"/>
      <c r="E314" s="5" t="s">
        <v>32</v>
      </c>
      <c r="F314" s="5" t="s">
        <v>231</v>
      </c>
      <c r="G314" s="5" t="s">
        <v>52</v>
      </c>
      <c r="H314" s="7" t="s">
        <v>8</v>
      </c>
      <c r="I314" s="7" t="s">
        <v>324</v>
      </c>
      <c r="J314" s="7">
        <v>0</v>
      </c>
      <c r="K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0</v>
      </c>
      <c r="AE314" s="7">
        <v>8</v>
      </c>
      <c r="AF314" s="7">
        <v>700</v>
      </c>
      <c r="AG314" s="7">
        <v>100</v>
      </c>
      <c r="AH314" s="7">
        <v>0</v>
      </c>
      <c r="AI314" s="7">
        <v>0</v>
      </c>
      <c r="AJ314" s="7">
        <v>0</v>
      </c>
      <c r="AK314" s="7">
        <v>0</v>
      </c>
      <c r="AL314" s="7">
        <v>0</v>
      </c>
      <c r="AM314" s="7">
        <v>0</v>
      </c>
      <c r="AN314" s="7">
        <v>0</v>
      </c>
      <c r="AO314" s="7">
        <v>0</v>
      </c>
      <c r="AP314" s="7">
        <v>0</v>
      </c>
      <c r="AQ314" s="7">
        <v>0</v>
      </c>
      <c r="AR314" s="7">
        <v>0</v>
      </c>
      <c r="AS314" s="7">
        <v>0</v>
      </c>
      <c r="AT314" s="7">
        <v>0</v>
      </c>
      <c r="AU314" s="7">
        <v>0</v>
      </c>
      <c r="AV314" s="7">
        <v>0</v>
      </c>
      <c r="AW314" s="7">
        <v>0</v>
      </c>
      <c r="AX314" s="7">
        <v>0</v>
      </c>
      <c r="AY314" s="7">
        <v>0</v>
      </c>
      <c r="AZ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  <c r="BF314" s="7">
        <v>0</v>
      </c>
      <c r="BG314" s="7">
        <v>0</v>
      </c>
      <c r="BH314" s="7">
        <v>0</v>
      </c>
      <c r="BI314" s="7">
        <v>0</v>
      </c>
      <c r="BJ314" s="7">
        <v>0</v>
      </c>
      <c r="BK314" s="7">
        <v>0</v>
      </c>
      <c r="BL314" s="7">
        <v>0</v>
      </c>
      <c r="BM314" s="11">
        <v>800</v>
      </c>
      <c r="BN314" s="16">
        <f t="shared" si="11"/>
        <v>800</v>
      </c>
      <c r="BO314" s="14">
        <f t="shared" si="12"/>
        <v>560</v>
      </c>
    </row>
    <row r="315" spans="1:67" ht="19.5" x14ac:dyDescent="0.3">
      <c r="A315" s="5" t="s">
        <v>430</v>
      </c>
      <c r="B315" s="5" t="s">
        <v>509</v>
      </c>
      <c r="C315" s="5">
        <v>392578</v>
      </c>
      <c r="D315" s="6"/>
      <c r="E315" s="5" t="s">
        <v>32</v>
      </c>
      <c r="F315" s="5" t="s">
        <v>301</v>
      </c>
      <c r="G315" s="5" t="s">
        <v>52</v>
      </c>
      <c r="H315" s="7" t="s">
        <v>340</v>
      </c>
      <c r="I315" s="7" t="s">
        <v>453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8</v>
      </c>
      <c r="AF315" s="7">
        <v>0</v>
      </c>
      <c r="AG315" s="7">
        <v>800</v>
      </c>
      <c r="AH315" s="7">
        <v>0</v>
      </c>
      <c r="AI315" s="7">
        <v>0</v>
      </c>
      <c r="AJ315" s="7">
        <v>0</v>
      </c>
      <c r="AK315" s="7">
        <v>0</v>
      </c>
      <c r="AL315" s="7">
        <v>0</v>
      </c>
      <c r="AM315" s="7">
        <v>0</v>
      </c>
      <c r="AN315" s="7">
        <v>0</v>
      </c>
      <c r="AO315" s="7">
        <v>0</v>
      </c>
      <c r="AP315" s="7">
        <v>0</v>
      </c>
      <c r="AQ315" s="7">
        <v>0</v>
      </c>
      <c r="AR315" s="7">
        <v>0</v>
      </c>
      <c r="AS315" s="7">
        <v>0</v>
      </c>
      <c r="AT315" s="7">
        <v>0</v>
      </c>
      <c r="AU315" s="7">
        <v>0</v>
      </c>
      <c r="AV315" s="7">
        <v>0</v>
      </c>
      <c r="AW315" s="7">
        <v>0</v>
      </c>
      <c r="AX315" s="7">
        <v>0</v>
      </c>
      <c r="AY315" s="7">
        <v>0</v>
      </c>
      <c r="AZ315" s="7">
        <v>0</v>
      </c>
      <c r="BA315" s="7">
        <v>0</v>
      </c>
      <c r="BB315" s="7">
        <v>0</v>
      </c>
      <c r="BC315" s="7">
        <v>0</v>
      </c>
      <c r="BD315" s="7">
        <v>0</v>
      </c>
      <c r="BE315" s="7">
        <v>0</v>
      </c>
      <c r="BF315" s="7">
        <v>0</v>
      </c>
      <c r="BG315" s="7">
        <v>0</v>
      </c>
      <c r="BH315" s="7">
        <v>0</v>
      </c>
      <c r="BI315" s="7">
        <v>0</v>
      </c>
      <c r="BJ315" s="7">
        <v>0</v>
      </c>
      <c r="BK315" s="7">
        <v>0</v>
      </c>
      <c r="BL315" s="7">
        <v>0</v>
      </c>
      <c r="BM315" s="11">
        <v>800</v>
      </c>
      <c r="BN315" s="16">
        <f t="shared" si="11"/>
        <v>800</v>
      </c>
      <c r="BO315" s="14">
        <f t="shared" si="12"/>
        <v>560</v>
      </c>
    </row>
    <row r="316" spans="1:67" ht="19.5" x14ac:dyDescent="0.3">
      <c r="A316" s="5" t="s">
        <v>430</v>
      </c>
      <c r="B316" s="5" t="s">
        <v>400</v>
      </c>
      <c r="C316" s="5">
        <v>408191</v>
      </c>
      <c r="D316" s="6"/>
      <c r="E316" s="5" t="s">
        <v>32</v>
      </c>
      <c r="F316" s="5" t="s">
        <v>153</v>
      </c>
      <c r="G316" s="5" t="s">
        <v>52</v>
      </c>
      <c r="H316" s="7" t="s">
        <v>8</v>
      </c>
      <c r="I316" s="7" t="s">
        <v>260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7">
        <v>0</v>
      </c>
      <c r="AC316" s="7">
        <v>0</v>
      </c>
      <c r="AD316" s="7">
        <v>0</v>
      </c>
      <c r="AE316" s="7">
        <v>7</v>
      </c>
      <c r="AF316" s="7">
        <v>200</v>
      </c>
      <c r="AG316" s="7">
        <v>500</v>
      </c>
      <c r="AH316" s="7">
        <v>0</v>
      </c>
      <c r="AI316" s="7">
        <v>0</v>
      </c>
      <c r="AJ316" s="7">
        <v>0</v>
      </c>
      <c r="AK316" s="7">
        <v>0</v>
      </c>
      <c r="AL316" s="7">
        <v>0</v>
      </c>
      <c r="AM316" s="7">
        <v>0</v>
      </c>
      <c r="AN316" s="7">
        <v>0</v>
      </c>
      <c r="AO316" s="7">
        <v>0</v>
      </c>
      <c r="AP316" s="7">
        <v>0</v>
      </c>
      <c r="AQ316" s="7">
        <v>0</v>
      </c>
      <c r="AR316" s="7">
        <v>0</v>
      </c>
      <c r="AS316" s="7">
        <v>0</v>
      </c>
      <c r="AT316" s="7">
        <v>0</v>
      </c>
      <c r="AU316" s="7">
        <v>0</v>
      </c>
      <c r="AV316" s="7">
        <v>0</v>
      </c>
      <c r="AW316" s="7">
        <v>0</v>
      </c>
      <c r="AX316" s="7">
        <v>0</v>
      </c>
      <c r="AY316" s="7">
        <v>0</v>
      </c>
      <c r="AZ316" s="7">
        <v>0</v>
      </c>
      <c r="BA316" s="7">
        <v>0</v>
      </c>
      <c r="BB316" s="7">
        <v>0</v>
      </c>
      <c r="BC316" s="7">
        <v>0</v>
      </c>
      <c r="BD316" s="7">
        <v>0</v>
      </c>
      <c r="BE316" s="7">
        <v>0</v>
      </c>
      <c r="BF316" s="7">
        <v>0</v>
      </c>
      <c r="BG316" s="7">
        <v>0</v>
      </c>
      <c r="BH316" s="7">
        <v>0</v>
      </c>
      <c r="BI316" s="7">
        <v>0</v>
      </c>
      <c r="BJ316" s="7">
        <v>0</v>
      </c>
      <c r="BK316" s="7">
        <v>0</v>
      </c>
      <c r="BL316" s="7">
        <v>0</v>
      </c>
      <c r="BM316" s="11">
        <v>700</v>
      </c>
      <c r="BN316" s="16">
        <f t="shared" si="11"/>
        <v>700</v>
      </c>
      <c r="BO316" s="14">
        <f t="shared" si="12"/>
        <v>489.99999999999994</v>
      </c>
    </row>
    <row r="317" spans="1:67" ht="19.5" x14ac:dyDescent="0.3">
      <c r="A317" s="5" t="s">
        <v>430</v>
      </c>
      <c r="B317" s="5" t="s">
        <v>510</v>
      </c>
      <c r="C317" s="5">
        <v>399401</v>
      </c>
      <c r="D317" s="6"/>
      <c r="E317" s="5" t="s">
        <v>32</v>
      </c>
      <c r="F317" s="5" t="s">
        <v>60</v>
      </c>
      <c r="G317" s="5" t="s">
        <v>52</v>
      </c>
      <c r="H317" s="7" t="s">
        <v>340</v>
      </c>
      <c r="I317" s="7" t="s">
        <v>444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1</v>
      </c>
      <c r="AF317" s="7">
        <v>300</v>
      </c>
      <c r="AG317" s="7">
        <v>0</v>
      </c>
      <c r="AH317" s="7">
        <v>0</v>
      </c>
      <c r="AI317" s="7">
        <v>0</v>
      </c>
      <c r="AJ317" s="7">
        <v>0</v>
      </c>
      <c r="AK317" s="7">
        <v>0</v>
      </c>
      <c r="AL317" s="7">
        <v>0</v>
      </c>
      <c r="AM317" s="7">
        <v>0</v>
      </c>
      <c r="AN317" s="7">
        <v>0</v>
      </c>
      <c r="AO317" s="7">
        <v>0</v>
      </c>
      <c r="AP317" s="7">
        <v>0</v>
      </c>
      <c r="AQ317" s="7">
        <v>1</v>
      </c>
      <c r="AR317" s="7">
        <v>100</v>
      </c>
      <c r="AS317" s="7">
        <v>200</v>
      </c>
      <c r="AT317" s="7">
        <v>0</v>
      </c>
      <c r="AU317" s="7">
        <v>0</v>
      </c>
      <c r="AV317" s="7">
        <v>0</v>
      </c>
      <c r="AW317" s="7">
        <v>0</v>
      </c>
      <c r="AX317" s="7">
        <v>0</v>
      </c>
      <c r="AY317" s="7">
        <v>0</v>
      </c>
      <c r="AZ317" s="7">
        <v>0</v>
      </c>
      <c r="BA317" s="7">
        <v>0</v>
      </c>
      <c r="BB317" s="7">
        <v>0</v>
      </c>
      <c r="BC317" s="7">
        <v>0</v>
      </c>
      <c r="BD317" s="7">
        <v>0</v>
      </c>
      <c r="BE317" s="7">
        <v>0</v>
      </c>
      <c r="BF317" s="7">
        <v>0</v>
      </c>
      <c r="BG317" s="7">
        <v>0</v>
      </c>
      <c r="BH317" s="7">
        <v>0</v>
      </c>
      <c r="BI317" s="7">
        <v>0</v>
      </c>
      <c r="BJ317" s="7">
        <v>0</v>
      </c>
      <c r="BK317" s="7">
        <v>0</v>
      </c>
      <c r="BL317" s="7">
        <v>0</v>
      </c>
      <c r="BM317" s="11">
        <v>600</v>
      </c>
      <c r="BN317" s="16">
        <f t="shared" si="11"/>
        <v>600</v>
      </c>
      <c r="BO317" s="14">
        <f t="shared" si="12"/>
        <v>420</v>
      </c>
    </row>
    <row r="318" spans="1:67" ht="19.5" x14ac:dyDescent="0.3">
      <c r="A318" s="5" t="s">
        <v>430</v>
      </c>
      <c r="B318" s="5" t="s">
        <v>511</v>
      </c>
      <c r="C318" s="5">
        <v>431789</v>
      </c>
      <c r="D318" s="6"/>
      <c r="E318" s="5" t="s">
        <v>32</v>
      </c>
      <c r="F318" s="5" t="s">
        <v>153</v>
      </c>
      <c r="G318" s="5" t="s">
        <v>52</v>
      </c>
      <c r="H318" s="7" t="s">
        <v>340</v>
      </c>
      <c r="I318" s="7" t="s">
        <v>456</v>
      </c>
      <c r="J318" s="7">
        <v>0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  <c r="AB318" s="7">
        <v>0</v>
      </c>
      <c r="AC318" s="7">
        <v>0</v>
      </c>
      <c r="AD318" s="7">
        <v>0</v>
      </c>
      <c r="AE318" s="7">
        <v>1</v>
      </c>
      <c r="AF318" s="7">
        <v>200</v>
      </c>
      <c r="AG318" s="7">
        <v>100</v>
      </c>
      <c r="AH318" s="7">
        <v>0</v>
      </c>
      <c r="AI318" s="7">
        <v>0</v>
      </c>
      <c r="AJ318" s="7">
        <v>0</v>
      </c>
      <c r="AK318" s="7">
        <v>0</v>
      </c>
      <c r="AL318" s="7">
        <v>0</v>
      </c>
      <c r="AM318" s="7">
        <v>0</v>
      </c>
      <c r="AN318" s="7">
        <v>0</v>
      </c>
      <c r="AO318" s="7">
        <v>0</v>
      </c>
      <c r="AP318" s="7">
        <v>0</v>
      </c>
      <c r="AQ318" s="7">
        <v>1</v>
      </c>
      <c r="AR318" s="7">
        <v>100</v>
      </c>
      <c r="AS318" s="7">
        <v>200</v>
      </c>
      <c r="AT318" s="7">
        <v>0</v>
      </c>
      <c r="AU318" s="7">
        <v>0</v>
      </c>
      <c r="AV318" s="7">
        <v>0</v>
      </c>
      <c r="AW318" s="7">
        <v>0</v>
      </c>
      <c r="AX318" s="7">
        <v>0</v>
      </c>
      <c r="AY318" s="7">
        <v>0</v>
      </c>
      <c r="AZ318" s="7">
        <v>0</v>
      </c>
      <c r="BA318" s="7">
        <v>0</v>
      </c>
      <c r="BB318" s="7">
        <v>0</v>
      </c>
      <c r="BC318" s="7">
        <v>0</v>
      </c>
      <c r="BD318" s="7">
        <v>0</v>
      </c>
      <c r="BE318" s="7">
        <v>0</v>
      </c>
      <c r="BF318" s="7">
        <v>0</v>
      </c>
      <c r="BG318" s="7">
        <v>0</v>
      </c>
      <c r="BH318" s="7">
        <v>0</v>
      </c>
      <c r="BI318" s="7">
        <v>0</v>
      </c>
      <c r="BJ318" s="7">
        <v>0</v>
      </c>
      <c r="BK318" s="7">
        <v>0</v>
      </c>
      <c r="BL318" s="7">
        <v>0</v>
      </c>
      <c r="BM318" s="11">
        <v>600</v>
      </c>
      <c r="BN318" s="16">
        <f t="shared" si="11"/>
        <v>600</v>
      </c>
      <c r="BO318" s="14">
        <f t="shared" si="12"/>
        <v>420</v>
      </c>
    </row>
    <row r="319" spans="1:67" ht="19.5" x14ac:dyDescent="0.3">
      <c r="A319" s="5" t="s">
        <v>430</v>
      </c>
      <c r="B319" s="5" t="s">
        <v>512</v>
      </c>
      <c r="C319" s="5">
        <v>418306</v>
      </c>
      <c r="D319" s="6"/>
      <c r="E319" s="5" t="s">
        <v>32</v>
      </c>
      <c r="F319" s="5" t="s">
        <v>143</v>
      </c>
      <c r="G319" s="5" t="s">
        <v>52</v>
      </c>
      <c r="H319" s="7" t="s">
        <v>340</v>
      </c>
      <c r="I319" s="7" t="s">
        <v>469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1</v>
      </c>
      <c r="AF319" s="7">
        <v>600</v>
      </c>
      <c r="AG319" s="7">
        <v>0</v>
      </c>
      <c r="AH319" s="7">
        <v>0</v>
      </c>
      <c r="AI319" s="7">
        <v>0</v>
      </c>
      <c r="AJ319" s="7">
        <v>0</v>
      </c>
      <c r="AK319" s="7">
        <v>0</v>
      </c>
      <c r="AL319" s="7">
        <v>0</v>
      </c>
      <c r="AM319" s="7">
        <v>0</v>
      </c>
      <c r="AN319" s="7">
        <v>0</v>
      </c>
      <c r="AO319" s="7">
        <v>0</v>
      </c>
      <c r="AP319" s="7">
        <v>0</v>
      </c>
      <c r="AQ319" s="7">
        <v>0</v>
      </c>
      <c r="AR319" s="7">
        <v>0</v>
      </c>
      <c r="AS319" s="7">
        <v>0</v>
      </c>
      <c r="AT319" s="7">
        <v>0</v>
      </c>
      <c r="AU319" s="7">
        <v>0</v>
      </c>
      <c r="AV319" s="7">
        <v>0</v>
      </c>
      <c r="AW319" s="7">
        <v>0</v>
      </c>
      <c r="AX319" s="7">
        <v>0</v>
      </c>
      <c r="AY319" s="7">
        <v>0</v>
      </c>
      <c r="AZ319" s="7">
        <v>0</v>
      </c>
      <c r="BA319" s="7">
        <v>0</v>
      </c>
      <c r="BB319" s="7">
        <v>0</v>
      </c>
      <c r="BC319" s="7">
        <v>0</v>
      </c>
      <c r="BD319" s="7">
        <v>0</v>
      </c>
      <c r="BE319" s="7">
        <v>0</v>
      </c>
      <c r="BF319" s="7">
        <v>0</v>
      </c>
      <c r="BG319" s="7">
        <v>0</v>
      </c>
      <c r="BH319" s="7">
        <v>0</v>
      </c>
      <c r="BI319" s="7">
        <v>0</v>
      </c>
      <c r="BJ319" s="7">
        <v>0</v>
      </c>
      <c r="BK319" s="7">
        <v>0</v>
      </c>
      <c r="BL319" s="7">
        <v>0</v>
      </c>
      <c r="BM319" s="11">
        <v>600</v>
      </c>
      <c r="BN319" s="16">
        <f t="shared" si="11"/>
        <v>600</v>
      </c>
      <c r="BO319" s="14">
        <f t="shared" si="12"/>
        <v>420</v>
      </c>
    </row>
    <row r="320" spans="1:67" ht="19.5" x14ac:dyDescent="0.3">
      <c r="A320" s="5" t="s">
        <v>430</v>
      </c>
      <c r="B320" s="5" t="s">
        <v>227</v>
      </c>
      <c r="C320" s="5">
        <v>332138</v>
      </c>
      <c r="D320" s="6"/>
      <c r="E320" s="5" t="s">
        <v>32</v>
      </c>
      <c r="F320" s="5" t="s">
        <v>228</v>
      </c>
      <c r="G320" s="5" t="s">
        <v>52</v>
      </c>
      <c r="H320" s="7" t="s">
        <v>10</v>
      </c>
      <c r="I320" s="7" t="s">
        <v>229</v>
      </c>
      <c r="J320" s="7">
        <v>0</v>
      </c>
      <c r="K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0</v>
      </c>
      <c r="AB320" s="7">
        <v>0</v>
      </c>
      <c r="AC320" s="7">
        <v>0</v>
      </c>
      <c r="AD320" s="7">
        <v>0</v>
      </c>
      <c r="AE320" s="7">
        <v>6</v>
      </c>
      <c r="AF320" s="7">
        <v>600</v>
      </c>
      <c r="AG320" s="7">
        <v>0</v>
      </c>
      <c r="AH320" s="7">
        <v>0</v>
      </c>
      <c r="AI320" s="7">
        <v>0</v>
      </c>
      <c r="AJ320" s="7">
        <v>0</v>
      </c>
      <c r="AK320" s="7">
        <v>0</v>
      </c>
      <c r="AL320" s="7">
        <v>0</v>
      </c>
      <c r="AM320" s="7">
        <v>0</v>
      </c>
      <c r="AN320" s="7">
        <v>0</v>
      </c>
      <c r="AO320" s="7">
        <v>0</v>
      </c>
      <c r="AP320" s="7">
        <v>0</v>
      </c>
      <c r="AQ320" s="7">
        <v>0</v>
      </c>
      <c r="AR320" s="7">
        <v>0</v>
      </c>
      <c r="AS320" s="7">
        <v>0</v>
      </c>
      <c r="AT320" s="7">
        <v>0</v>
      </c>
      <c r="AU320" s="7">
        <v>0</v>
      </c>
      <c r="AV320" s="7">
        <v>0</v>
      </c>
      <c r="AW320" s="7">
        <v>0</v>
      </c>
      <c r="AX320" s="7">
        <v>0</v>
      </c>
      <c r="AY320" s="7">
        <v>0</v>
      </c>
      <c r="AZ320" s="7">
        <v>0</v>
      </c>
      <c r="BA320" s="7">
        <v>0</v>
      </c>
      <c r="BB320" s="7">
        <v>0</v>
      </c>
      <c r="BC320" s="7">
        <v>0</v>
      </c>
      <c r="BD320" s="7">
        <v>0</v>
      </c>
      <c r="BE320" s="7">
        <v>0</v>
      </c>
      <c r="BF320" s="7">
        <v>0</v>
      </c>
      <c r="BG320" s="7">
        <v>0</v>
      </c>
      <c r="BH320" s="7">
        <v>0</v>
      </c>
      <c r="BI320" s="7">
        <v>0</v>
      </c>
      <c r="BJ320" s="7">
        <v>0</v>
      </c>
      <c r="BK320" s="7">
        <v>0</v>
      </c>
      <c r="BL320" s="7">
        <v>0</v>
      </c>
      <c r="BM320" s="11">
        <v>600</v>
      </c>
      <c r="BN320" s="16">
        <f t="shared" si="11"/>
        <v>600</v>
      </c>
      <c r="BO320" s="14">
        <f t="shared" si="12"/>
        <v>420</v>
      </c>
    </row>
    <row r="321" spans="1:67" ht="19.5" x14ac:dyDescent="0.3">
      <c r="A321" s="5" t="s">
        <v>430</v>
      </c>
      <c r="B321" s="5" t="s">
        <v>513</v>
      </c>
      <c r="C321" s="5">
        <v>431805</v>
      </c>
      <c r="D321" s="6"/>
      <c r="E321" s="5" t="s">
        <v>32</v>
      </c>
      <c r="F321" s="5" t="s">
        <v>153</v>
      </c>
      <c r="G321" s="5" t="s">
        <v>52</v>
      </c>
      <c r="H321" s="7" t="s">
        <v>340</v>
      </c>
      <c r="I321" s="7" t="s">
        <v>442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2</v>
      </c>
      <c r="AF321" s="7">
        <v>600</v>
      </c>
      <c r="AG321" s="7">
        <v>0</v>
      </c>
      <c r="AH321" s="7">
        <v>0</v>
      </c>
      <c r="AI321" s="7">
        <v>0</v>
      </c>
      <c r="AJ321" s="7">
        <v>0</v>
      </c>
      <c r="AK321" s="7">
        <v>0</v>
      </c>
      <c r="AL321" s="7">
        <v>0</v>
      </c>
      <c r="AM321" s="7">
        <v>0</v>
      </c>
      <c r="AN321" s="7">
        <v>0</v>
      </c>
      <c r="AO321" s="7">
        <v>0</v>
      </c>
      <c r="AP321" s="7">
        <v>0</v>
      </c>
      <c r="AQ321" s="7">
        <v>0</v>
      </c>
      <c r="AR321" s="7">
        <v>0</v>
      </c>
      <c r="AS321" s="7">
        <v>0</v>
      </c>
      <c r="AT321" s="7">
        <v>0</v>
      </c>
      <c r="AU321" s="7">
        <v>0</v>
      </c>
      <c r="AV321" s="7">
        <v>0</v>
      </c>
      <c r="AW321" s="7">
        <v>0</v>
      </c>
      <c r="AX321" s="7">
        <v>0</v>
      </c>
      <c r="AY321" s="7">
        <v>0</v>
      </c>
      <c r="AZ321" s="7">
        <v>0</v>
      </c>
      <c r="BA321" s="7">
        <v>0</v>
      </c>
      <c r="BB321" s="7">
        <v>0</v>
      </c>
      <c r="BC321" s="7">
        <v>0</v>
      </c>
      <c r="BD321" s="7">
        <v>0</v>
      </c>
      <c r="BE321" s="7">
        <v>0</v>
      </c>
      <c r="BF321" s="7">
        <v>0</v>
      </c>
      <c r="BG321" s="7">
        <v>0</v>
      </c>
      <c r="BH321" s="7">
        <v>0</v>
      </c>
      <c r="BI321" s="7">
        <v>0</v>
      </c>
      <c r="BJ321" s="7">
        <v>0</v>
      </c>
      <c r="BK321" s="7">
        <v>0</v>
      </c>
      <c r="BL321" s="7">
        <v>0</v>
      </c>
      <c r="BM321" s="11">
        <v>600</v>
      </c>
      <c r="BN321" s="16">
        <f t="shared" si="11"/>
        <v>600</v>
      </c>
      <c r="BO321" s="14">
        <f t="shared" si="12"/>
        <v>420</v>
      </c>
    </row>
    <row r="322" spans="1:67" ht="19.5" x14ac:dyDescent="0.3">
      <c r="A322" s="5" t="s">
        <v>430</v>
      </c>
      <c r="B322" s="5" t="s">
        <v>514</v>
      </c>
      <c r="C322" s="5">
        <v>385173</v>
      </c>
      <c r="D322" s="6"/>
      <c r="E322" s="5" t="s">
        <v>32</v>
      </c>
      <c r="F322" s="5" t="s">
        <v>231</v>
      </c>
      <c r="G322" s="5" t="s">
        <v>52</v>
      </c>
      <c r="H322" s="7" t="s">
        <v>340</v>
      </c>
      <c r="I322" s="7" t="s">
        <v>329</v>
      </c>
      <c r="J322" s="7">
        <v>0</v>
      </c>
      <c r="K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Z322" s="7">
        <v>0</v>
      </c>
      <c r="AA322" s="7">
        <v>0</v>
      </c>
      <c r="AB322" s="7">
        <v>0</v>
      </c>
      <c r="AC322" s="7">
        <v>0</v>
      </c>
      <c r="AD322" s="7">
        <v>0</v>
      </c>
      <c r="AE322" s="7">
        <v>1</v>
      </c>
      <c r="AF322" s="7">
        <v>500</v>
      </c>
      <c r="AG322" s="7">
        <v>0</v>
      </c>
      <c r="AH322" s="7">
        <v>0</v>
      </c>
      <c r="AI322" s="7">
        <v>0</v>
      </c>
      <c r="AJ322" s="7">
        <v>0</v>
      </c>
      <c r="AK322" s="7">
        <v>0</v>
      </c>
      <c r="AL322" s="7">
        <v>0</v>
      </c>
      <c r="AM322" s="7">
        <v>0</v>
      </c>
      <c r="AN322" s="7">
        <v>0</v>
      </c>
      <c r="AO322" s="7">
        <v>0</v>
      </c>
      <c r="AP322" s="7">
        <v>0</v>
      </c>
      <c r="AQ322" s="7">
        <v>0</v>
      </c>
      <c r="AR322" s="7">
        <v>0</v>
      </c>
      <c r="AS322" s="7">
        <v>0</v>
      </c>
      <c r="AT322" s="7">
        <v>0</v>
      </c>
      <c r="AU322" s="7">
        <v>0</v>
      </c>
      <c r="AV322" s="7">
        <v>0</v>
      </c>
      <c r="AW322" s="7">
        <v>0</v>
      </c>
      <c r="AX322" s="7">
        <v>0</v>
      </c>
      <c r="AY322" s="7">
        <v>0</v>
      </c>
      <c r="AZ322" s="7">
        <v>0</v>
      </c>
      <c r="BA322" s="7">
        <v>0</v>
      </c>
      <c r="BB322" s="7">
        <v>0</v>
      </c>
      <c r="BC322" s="7">
        <v>0</v>
      </c>
      <c r="BD322" s="7">
        <v>0</v>
      </c>
      <c r="BE322" s="7">
        <v>0</v>
      </c>
      <c r="BF322" s="7">
        <v>0</v>
      </c>
      <c r="BG322" s="7">
        <v>0</v>
      </c>
      <c r="BH322" s="7">
        <v>0</v>
      </c>
      <c r="BI322" s="7">
        <v>0</v>
      </c>
      <c r="BJ322" s="7">
        <v>0</v>
      </c>
      <c r="BK322" s="7">
        <v>0</v>
      </c>
      <c r="BL322" s="7">
        <v>0</v>
      </c>
      <c r="BM322" s="11">
        <v>500</v>
      </c>
      <c r="BN322" s="16">
        <f t="shared" si="11"/>
        <v>500</v>
      </c>
      <c r="BO322" s="14">
        <f t="shared" si="12"/>
        <v>350</v>
      </c>
    </row>
    <row r="323" spans="1:67" ht="19.5" x14ac:dyDescent="0.3">
      <c r="A323" s="5" t="s">
        <v>430</v>
      </c>
      <c r="B323" s="5" t="s">
        <v>167</v>
      </c>
      <c r="C323" s="5">
        <v>328404</v>
      </c>
      <c r="D323" s="6"/>
      <c r="E323" s="5" t="s">
        <v>32</v>
      </c>
      <c r="F323" s="5" t="s">
        <v>51</v>
      </c>
      <c r="G323" s="5" t="s">
        <v>52</v>
      </c>
      <c r="H323" s="7" t="s">
        <v>8</v>
      </c>
      <c r="I323" s="7" t="s">
        <v>168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7">
        <v>0</v>
      </c>
      <c r="AK323" s="7">
        <v>0</v>
      </c>
      <c r="AL323" s="7">
        <v>0</v>
      </c>
      <c r="AM323" s="7">
        <v>0</v>
      </c>
      <c r="AN323" s="7">
        <v>0</v>
      </c>
      <c r="AO323" s="7">
        <v>0</v>
      </c>
      <c r="AP323" s="7">
        <v>0</v>
      </c>
      <c r="AQ323" s="7">
        <v>5</v>
      </c>
      <c r="AR323" s="7">
        <v>500</v>
      </c>
      <c r="AS323" s="7">
        <v>0</v>
      </c>
      <c r="AT323" s="7">
        <v>0</v>
      </c>
      <c r="AU323" s="7">
        <v>0</v>
      </c>
      <c r="AV323" s="7">
        <v>0</v>
      </c>
      <c r="AW323" s="7">
        <v>0</v>
      </c>
      <c r="AX323" s="7">
        <v>0</v>
      </c>
      <c r="AY323" s="7">
        <v>0</v>
      </c>
      <c r="AZ323" s="7">
        <v>0</v>
      </c>
      <c r="BA323" s="7">
        <v>0</v>
      </c>
      <c r="BB323" s="7">
        <v>0</v>
      </c>
      <c r="BC323" s="7">
        <v>0</v>
      </c>
      <c r="BD323" s="7">
        <v>0</v>
      </c>
      <c r="BE323" s="7">
        <v>0</v>
      </c>
      <c r="BF323" s="7">
        <v>0</v>
      </c>
      <c r="BG323" s="7">
        <v>0</v>
      </c>
      <c r="BH323" s="7">
        <v>0</v>
      </c>
      <c r="BI323" s="7">
        <v>0</v>
      </c>
      <c r="BJ323" s="7">
        <v>0</v>
      </c>
      <c r="BK323" s="7">
        <v>0</v>
      </c>
      <c r="BL323" s="7">
        <v>0</v>
      </c>
      <c r="BM323" s="11">
        <v>500</v>
      </c>
      <c r="BN323" s="16">
        <f t="shared" si="11"/>
        <v>500</v>
      </c>
      <c r="BO323" s="14">
        <f t="shared" si="12"/>
        <v>350</v>
      </c>
    </row>
    <row r="324" spans="1:67" ht="19.5" x14ac:dyDescent="0.3">
      <c r="A324" s="5" t="s">
        <v>430</v>
      </c>
      <c r="B324" s="5" t="s">
        <v>109</v>
      </c>
      <c r="C324" s="5">
        <v>364724</v>
      </c>
      <c r="D324" s="6"/>
      <c r="E324" s="5" t="s">
        <v>32</v>
      </c>
      <c r="F324" s="5" t="s">
        <v>110</v>
      </c>
      <c r="G324" s="5" t="s">
        <v>11</v>
      </c>
      <c r="H324" s="7" t="s">
        <v>7</v>
      </c>
      <c r="I324" s="7" t="s">
        <v>111</v>
      </c>
      <c r="J324" s="7">
        <v>0</v>
      </c>
      <c r="K324" s="7">
        <v>0</v>
      </c>
      <c r="L324" s="7">
        <v>0</v>
      </c>
      <c r="M324" s="7">
        <v>0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V324" s="7">
        <v>0</v>
      </c>
      <c r="W324" s="7">
        <v>0</v>
      </c>
      <c r="X324" s="7">
        <v>0</v>
      </c>
      <c r="Y324" s="7">
        <v>0</v>
      </c>
      <c r="Z324" s="7">
        <v>0</v>
      </c>
      <c r="AA324" s="7">
        <v>0</v>
      </c>
      <c r="AB324" s="7">
        <v>0</v>
      </c>
      <c r="AC324" s="7">
        <v>0</v>
      </c>
      <c r="AD324" s="7">
        <v>0</v>
      </c>
      <c r="AE324" s="7">
        <v>5</v>
      </c>
      <c r="AF324" s="7">
        <v>0</v>
      </c>
      <c r="AG324" s="7">
        <v>500</v>
      </c>
      <c r="AH324" s="7">
        <v>0</v>
      </c>
      <c r="AI324" s="7">
        <v>0</v>
      </c>
      <c r="AJ324" s="7">
        <v>0</v>
      </c>
      <c r="AK324" s="7">
        <v>0</v>
      </c>
      <c r="AL324" s="7">
        <v>0</v>
      </c>
      <c r="AM324" s="7">
        <v>0</v>
      </c>
      <c r="AN324" s="7">
        <v>0</v>
      </c>
      <c r="AO324" s="7">
        <v>0</v>
      </c>
      <c r="AP324" s="7">
        <v>0</v>
      </c>
      <c r="AQ324" s="7">
        <v>0</v>
      </c>
      <c r="AR324" s="7">
        <v>0</v>
      </c>
      <c r="AS324" s="7">
        <v>0</v>
      </c>
      <c r="AT324" s="7">
        <v>0</v>
      </c>
      <c r="AU324" s="7">
        <v>0</v>
      </c>
      <c r="AV324" s="7">
        <v>0</v>
      </c>
      <c r="AW324" s="7">
        <v>0</v>
      </c>
      <c r="AX324" s="7">
        <v>0</v>
      </c>
      <c r="AY324" s="7">
        <v>0</v>
      </c>
      <c r="AZ324" s="7">
        <v>0</v>
      </c>
      <c r="BA324" s="7">
        <v>0</v>
      </c>
      <c r="BB324" s="7">
        <v>0</v>
      </c>
      <c r="BC324" s="7">
        <v>0</v>
      </c>
      <c r="BD324" s="7">
        <v>0</v>
      </c>
      <c r="BE324" s="7">
        <v>0</v>
      </c>
      <c r="BF324" s="7">
        <v>0</v>
      </c>
      <c r="BG324" s="7">
        <v>0</v>
      </c>
      <c r="BH324" s="7">
        <v>0</v>
      </c>
      <c r="BI324" s="7">
        <v>0</v>
      </c>
      <c r="BJ324" s="7">
        <v>0</v>
      </c>
      <c r="BK324" s="7">
        <v>0</v>
      </c>
      <c r="BL324" s="7">
        <v>0</v>
      </c>
      <c r="BM324" s="11">
        <v>500</v>
      </c>
      <c r="BN324" s="16">
        <f t="shared" si="11"/>
        <v>500</v>
      </c>
      <c r="BO324" s="14">
        <f t="shared" si="12"/>
        <v>350</v>
      </c>
    </row>
    <row r="325" spans="1:67" ht="19.5" x14ac:dyDescent="0.3">
      <c r="A325" s="5" t="s">
        <v>430</v>
      </c>
      <c r="B325" s="5" t="s">
        <v>515</v>
      </c>
      <c r="C325" s="5">
        <v>426261</v>
      </c>
      <c r="D325" s="6"/>
      <c r="E325" s="5" t="s">
        <v>32</v>
      </c>
      <c r="F325" s="5" t="s">
        <v>153</v>
      </c>
      <c r="G325" s="5" t="s">
        <v>52</v>
      </c>
      <c r="H325" s="7" t="s">
        <v>340</v>
      </c>
      <c r="I325" s="7" t="s">
        <v>493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1</v>
      </c>
      <c r="AF325" s="7">
        <v>500</v>
      </c>
      <c r="AG325" s="7">
        <v>0</v>
      </c>
      <c r="AH325" s="7">
        <v>0</v>
      </c>
      <c r="AI325" s="7">
        <v>0</v>
      </c>
      <c r="AJ325" s="7">
        <v>0</v>
      </c>
      <c r="AK325" s="7">
        <v>0</v>
      </c>
      <c r="AL325" s="7">
        <v>0</v>
      </c>
      <c r="AM325" s="7">
        <v>0</v>
      </c>
      <c r="AN325" s="7">
        <v>0</v>
      </c>
      <c r="AO325" s="7">
        <v>0</v>
      </c>
      <c r="AP325" s="7">
        <v>0</v>
      </c>
      <c r="AQ325" s="7">
        <v>0</v>
      </c>
      <c r="AR325" s="7">
        <v>0</v>
      </c>
      <c r="AS325" s="7">
        <v>0</v>
      </c>
      <c r="AT325" s="7">
        <v>0</v>
      </c>
      <c r="AU325" s="7">
        <v>0</v>
      </c>
      <c r="AV325" s="7">
        <v>0</v>
      </c>
      <c r="AW325" s="7">
        <v>0</v>
      </c>
      <c r="AX325" s="7">
        <v>0</v>
      </c>
      <c r="AY325" s="7">
        <v>0</v>
      </c>
      <c r="AZ325" s="7">
        <v>0</v>
      </c>
      <c r="BA325" s="7">
        <v>0</v>
      </c>
      <c r="BB325" s="7">
        <v>0</v>
      </c>
      <c r="BC325" s="7">
        <v>0</v>
      </c>
      <c r="BD325" s="7">
        <v>0</v>
      </c>
      <c r="BE325" s="7">
        <v>0</v>
      </c>
      <c r="BF325" s="7">
        <v>0</v>
      </c>
      <c r="BG325" s="7">
        <v>0</v>
      </c>
      <c r="BH325" s="7">
        <v>0</v>
      </c>
      <c r="BI325" s="7">
        <v>0</v>
      </c>
      <c r="BJ325" s="7">
        <v>0</v>
      </c>
      <c r="BK325" s="7">
        <v>0</v>
      </c>
      <c r="BL325" s="7">
        <v>0</v>
      </c>
      <c r="BM325" s="11">
        <v>500</v>
      </c>
      <c r="BN325" s="16">
        <f t="shared" si="11"/>
        <v>500</v>
      </c>
      <c r="BO325" s="14">
        <f t="shared" si="12"/>
        <v>350</v>
      </c>
    </row>
    <row r="326" spans="1:67" ht="19.5" x14ac:dyDescent="0.3">
      <c r="A326" s="5" t="s">
        <v>430</v>
      </c>
      <c r="B326" s="5" t="s">
        <v>179</v>
      </c>
      <c r="C326" s="5">
        <v>433508</v>
      </c>
      <c r="D326" s="6"/>
      <c r="E326" s="5" t="s">
        <v>32</v>
      </c>
      <c r="F326" s="5" t="s">
        <v>180</v>
      </c>
      <c r="G326" s="5" t="s">
        <v>11</v>
      </c>
      <c r="H326" s="7" t="s">
        <v>7</v>
      </c>
      <c r="I326" s="7" t="s">
        <v>181</v>
      </c>
      <c r="J326" s="7">
        <v>0</v>
      </c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0</v>
      </c>
      <c r="AB326" s="7">
        <v>0</v>
      </c>
      <c r="AC326" s="7">
        <v>0</v>
      </c>
      <c r="AD326" s="7">
        <v>0</v>
      </c>
      <c r="AE326" s="7">
        <v>2</v>
      </c>
      <c r="AF326" s="7">
        <v>200</v>
      </c>
      <c r="AG326" s="7">
        <v>0</v>
      </c>
      <c r="AH326" s="7">
        <v>0</v>
      </c>
      <c r="AI326" s="7">
        <v>0</v>
      </c>
      <c r="AJ326" s="7">
        <v>0</v>
      </c>
      <c r="AK326" s="7">
        <v>0</v>
      </c>
      <c r="AL326" s="7">
        <v>0</v>
      </c>
      <c r="AM326" s="7">
        <v>0</v>
      </c>
      <c r="AN326" s="7">
        <v>0</v>
      </c>
      <c r="AO326" s="7">
        <v>0</v>
      </c>
      <c r="AP326" s="7">
        <v>0</v>
      </c>
      <c r="AQ326" s="7">
        <v>3</v>
      </c>
      <c r="AR326" s="7">
        <v>300</v>
      </c>
      <c r="AS326" s="7">
        <v>0</v>
      </c>
      <c r="AT326" s="7">
        <v>0</v>
      </c>
      <c r="AU326" s="7">
        <v>0</v>
      </c>
      <c r="AV326" s="7">
        <v>0</v>
      </c>
      <c r="AW326" s="7">
        <v>0</v>
      </c>
      <c r="AX326" s="7">
        <v>0</v>
      </c>
      <c r="AY326" s="7">
        <v>0</v>
      </c>
      <c r="AZ326" s="7">
        <v>0</v>
      </c>
      <c r="BA326" s="7">
        <v>0</v>
      </c>
      <c r="BB326" s="7">
        <v>0</v>
      </c>
      <c r="BC326" s="7">
        <v>0</v>
      </c>
      <c r="BD326" s="7">
        <v>0</v>
      </c>
      <c r="BE326" s="7">
        <v>0</v>
      </c>
      <c r="BF326" s="7">
        <v>0</v>
      </c>
      <c r="BG326" s="7">
        <v>0</v>
      </c>
      <c r="BH326" s="7">
        <v>0</v>
      </c>
      <c r="BI326" s="7">
        <v>0</v>
      </c>
      <c r="BJ326" s="7">
        <v>0</v>
      </c>
      <c r="BK326" s="7">
        <v>0</v>
      </c>
      <c r="BL326" s="7">
        <v>0</v>
      </c>
      <c r="BM326" s="11">
        <v>500</v>
      </c>
      <c r="BN326" s="16">
        <f t="shared" si="11"/>
        <v>500</v>
      </c>
      <c r="BO326" s="14">
        <f t="shared" si="12"/>
        <v>350</v>
      </c>
    </row>
    <row r="327" spans="1:67" ht="19.5" x14ac:dyDescent="0.3">
      <c r="A327" s="5" t="s">
        <v>430</v>
      </c>
      <c r="B327" s="5" t="s">
        <v>242</v>
      </c>
      <c r="C327" s="5">
        <v>434877</v>
      </c>
      <c r="D327" s="6"/>
      <c r="E327" s="5" t="s">
        <v>32</v>
      </c>
      <c r="F327" s="5" t="s">
        <v>243</v>
      </c>
      <c r="G327" s="5" t="s">
        <v>11</v>
      </c>
      <c r="H327" s="7" t="s">
        <v>7</v>
      </c>
      <c r="I327" s="7" t="s">
        <v>244</v>
      </c>
      <c r="J327" s="7">
        <v>4</v>
      </c>
      <c r="K327" s="7">
        <v>0</v>
      </c>
      <c r="L327" s="7">
        <v>400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7">
        <v>0</v>
      </c>
      <c r="AK327" s="7">
        <v>0</v>
      </c>
      <c r="AL327" s="7">
        <v>0</v>
      </c>
      <c r="AM327" s="7">
        <v>0</v>
      </c>
      <c r="AN327" s="7">
        <v>0</v>
      </c>
      <c r="AO327" s="7">
        <v>0</v>
      </c>
      <c r="AP327" s="7">
        <v>0</v>
      </c>
      <c r="AQ327" s="7">
        <v>0</v>
      </c>
      <c r="AR327" s="7">
        <v>0</v>
      </c>
      <c r="AS327" s="7">
        <v>0</v>
      </c>
      <c r="AT327" s="7">
        <v>0</v>
      </c>
      <c r="AU327" s="7">
        <v>0</v>
      </c>
      <c r="AV327" s="7">
        <v>0</v>
      </c>
      <c r="AW327" s="7">
        <v>0</v>
      </c>
      <c r="AX327" s="7">
        <v>0</v>
      </c>
      <c r="AY327" s="7">
        <v>0</v>
      </c>
      <c r="AZ327" s="7">
        <v>0</v>
      </c>
      <c r="BA327" s="7">
        <v>0</v>
      </c>
      <c r="BB327" s="7">
        <v>0</v>
      </c>
      <c r="BC327" s="7">
        <v>0</v>
      </c>
      <c r="BD327" s="7">
        <v>0</v>
      </c>
      <c r="BE327" s="7">
        <v>0</v>
      </c>
      <c r="BF327" s="7">
        <v>0</v>
      </c>
      <c r="BG327" s="7">
        <v>0</v>
      </c>
      <c r="BH327" s="7">
        <v>0</v>
      </c>
      <c r="BI327" s="7">
        <v>0</v>
      </c>
      <c r="BJ327" s="7">
        <v>0</v>
      </c>
      <c r="BK327" s="7">
        <v>0</v>
      </c>
      <c r="BL327" s="7">
        <v>0</v>
      </c>
      <c r="BM327" s="11">
        <v>400</v>
      </c>
      <c r="BN327" s="16">
        <f t="shared" si="11"/>
        <v>400</v>
      </c>
      <c r="BO327" s="14">
        <f t="shared" si="12"/>
        <v>280</v>
      </c>
    </row>
    <row r="328" spans="1:67" ht="19.5" x14ac:dyDescent="0.3">
      <c r="A328" s="5" t="s">
        <v>430</v>
      </c>
      <c r="B328" s="5" t="s">
        <v>147</v>
      </c>
      <c r="C328" s="5">
        <v>386704</v>
      </c>
      <c r="D328" s="6"/>
      <c r="E328" s="5" t="s">
        <v>32</v>
      </c>
      <c r="F328" s="5" t="s">
        <v>148</v>
      </c>
      <c r="G328" s="5" t="s">
        <v>52</v>
      </c>
      <c r="H328" s="7" t="s">
        <v>8</v>
      </c>
      <c r="I328" s="7" t="s">
        <v>149</v>
      </c>
      <c r="J328" s="7">
        <v>0</v>
      </c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0</v>
      </c>
      <c r="AA328" s="7">
        <v>0</v>
      </c>
      <c r="AB328" s="7">
        <v>0</v>
      </c>
      <c r="AC328" s="7">
        <v>0</v>
      </c>
      <c r="AD328" s="7">
        <v>0</v>
      </c>
      <c r="AE328" s="7">
        <v>1</v>
      </c>
      <c r="AF328" s="7">
        <v>100</v>
      </c>
      <c r="AG328" s="7">
        <v>0</v>
      </c>
      <c r="AH328" s="7">
        <v>0</v>
      </c>
      <c r="AI328" s="7">
        <v>0</v>
      </c>
      <c r="AJ328" s="7">
        <v>0</v>
      </c>
      <c r="AK328" s="7">
        <v>0</v>
      </c>
      <c r="AL328" s="7">
        <v>0</v>
      </c>
      <c r="AM328" s="7">
        <v>0</v>
      </c>
      <c r="AN328" s="7">
        <v>0</v>
      </c>
      <c r="AO328" s="7">
        <v>0</v>
      </c>
      <c r="AP328" s="7">
        <v>0</v>
      </c>
      <c r="AQ328" s="7">
        <v>3</v>
      </c>
      <c r="AR328" s="7">
        <v>0</v>
      </c>
      <c r="AS328" s="7">
        <v>300</v>
      </c>
      <c r="AT328" s="7">
        <v>0</v>
      </c>
      <c r="AU328" s="7">
        <v>0</v>
      </c>
      <c r="AV328" s="7">
        <v>0</v>
      </c>
      <c r="AW328" s="7">
        <v>0</v>
      </c>
      <c r="AX328" s="7">
        <v>0</v>
      </c>
      <c r="AY328" s="7">
        <v>0</v>
      </c>
      <c r="AZ328" s="7">
        <v>0</v>
      </c>
      <c r="BA328" s="7">
        <v>0</v>
      </c>
      <c r="BB328" s="7">
        <v>0</v>
      </c>
      <c r="BC328" s="7">
        <v>0</v>
      </c>
      <c r="BD328" s="7">
        <v>0</v>
      </c>
      <c r="BE328" s="7">
        <v>0</v>
      </c>
      <c r="BF328" s="7">
        <v>0</v>
      </c>
      <c r="BG328" s="7">
        <v>0</v>
      </c>
      <c r="BH328" s="7">
        <v>0</v>
      </c>
      <c r="BI328" s="7">
        <v>0</v>
      </c>
      <c r="BJ328" s="7">
        <v>0</v>
      </c>
      <c r="BK328" s="7">
        <v>0</v>
      </c>
      <c r="BL328" s="7">
        <v>0</v>
      </c>
      <c r="BM328" s="11">
        <v>400</v>
      </c>
      <c r="BN328" s="16">
        <f t="shared" si="11"/>
        <v>400</v>
      </c>
      <c r="BO328" s="14">
        <f t="shared" si="12"/>
        <v>280</v>
      </c>
    </row>
    <row r="329" spans="1:67" ht="19.5" x14ac:dyDescent="0.3">
      <c r="A329" s="5" t="s">
        <v>430</v>
      </c>
      <c r="B329" s="5" t="s">
        <v>516</v>
      </c>
      <c r="C329" s="5">
        <v>428409</v>
      </c>
      <c r="D329" s="6"/>
      <c r="E329" s="5" t="s">
        <v>32</v>
      </c>
      <c r="F329" s="5" t="s">
        <v>60</v>
      </c>
      <c r="G329" s="5" t="s">
        <v>52</v>
      </c>
      <c r="H329" s="7" t="s">
        <v>340</v>
      </c>
      <c r="I329" s="7" t="s">
        <v>237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1</v>
      </c>
      <c r="AF329" s="7">
        <v>0</v>
      </c>
      <c r="AG329" s="7">
        <v>400</v>
      </c>
      <c r="AH329" s="7">
        <v>0</v>
      </c>
      <c r="AI329" s="7">
        <v>0</v>
      </c>
      <c r="AJ329" s="7">
        <v>0</v>
      </c>
      <c r="AK329" s="7">
        <v>0</v>
      </c>
      <c r="AL329" s="7">
        <v>0</v>
      </c>
      <c r="AM329" s="7">
        <v>0</v>
      </c>
      <c r="AN329" s="7">
        <v>0</v>
      </c>
      <c r="AO329" s="7">
        <v>0</v>
      </c>
      <c r="AP329" s="7">
        <v>0</v>
      </c>
      <c r="AQ329" s="7">
        <v>0</v>
      </c>
      <c r="AR329" s="7">
        <v>0</v>
      </c>
      <c r="AS329" s="7">
        <v>0</v>
      </c>
      <c r="AT329" s="7">
        <v>0</v>
      </c>
      <c r="AU329" s="7">
        <v>0</v>
      </c>
      <c r="AV329" s="7">
        <v>0</v>
      </c>
      <c r="AW329" s="7">
        <v>0</v>
      </c>
      <c r="AX329" s="7">
        <v>0</v>
      </c>
      <c r="AY329" s="7">
        <v>0</v>
      </c>
      <c r="AZ329" s="7">
        <v>0</v>
      </c>
      <c r="BA329" s="7">
        <v>0</v>
      </c>
      <c r="BB329" s="7">
        <v>0</v>
      </c>
      <c r="BC329" s="7">
        <v>0</v>
      </c>
      <c r="BD329" s="7">
        <v>0</v>
      </c>
      <c r="BE329" s="7">
        <v>0</v>
      </c>
      <c r="BF329" s="7">
        <v>0</v>
      </c>
      <c r="BG329" s="7">
        <v>0</v>
      </c>
      <c r="BH329" s="7">
        <v>0</v>
      </c>
      <c r="BI329" s="7">
        <v>0</v>
      </c>
      <c r="BJ329" s="7">
        <v>0</v>
      </c>
      <c r="BK329" s="7">
        <v>0</v>
      </c>
      <c r="BL329" s="7">
        <v>0</v>
      </c>
      <c r="BM329" s="11">
        <v>400</v>
      </c>
      <c r="BN329" s="16">
        <f t="shared" si="11"/>
        <v>400</v>
      </c>
      <c r="BO329" s="14">
        <f t="shared" si="12"/>
        <v>280</v>
      </c>
    </row>
    <row r="330" spans="1:67" ht="19.5" x14ac:dyDescent="0.3">
      <c r="A330" s="5" t="s">
        <v>429</v>
      </c>
      <c r="B330" s="5" t="s">
        <v>517</v>
      </c>
      <c r="C330" s="5">
        <v>383716</v>
      </c>
      <c r="D330" s="6"/>
      <c r="E330" s="5" t="s">
        <v>32</v>
      </c>
      <c r="F330" s="5" t="s">
        <v>301</v>
      </c>
      <c r="G330" s="5" t="s">
        <v>52</v>
      </c>
      <c r="H330" s="7" t="s">
        <v>340</v>
      </c>
      <c r="I330" s="7" t="s">
        <v>405</v>
      </c>
      <c r="J330" s="7">
        <v>0</v>
      </c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v>0</v>
      </c>
      <c r="AD330" s="7">
        <v>0</v>
      </c>
      <c r="AE330" s="7">
        <v>4</v>
      </c>
      <c r="AF330" s="7">
        <v>400</v>
      </c>
      <c r="AG330" s="7">
        <v>0</v>
      </c>
      <c r="AH330" s="7">
        <v>0</v>
      </c>
      <c r="AI330" s="7">
        <v>0</v>
      </c>
      <c r="AJ330" s="7">
        <v>0</v>
      </c>
      <c r="AK330" s="7">
        <v>0</v>
      </c>
      <c r="AL330" s="7">
        <v>0</v>
      </c>
      <c r="AM330" s="7">
        <v>0</v>
      </c>
      <c r="AN330" s="7">
        <v>0</v>
      </c>
      <c r="AO330" s="7">
        <v>0</v>
      </c>
      <c r="AP330" s="7">
        <v>0</v>
      </c>
      <c r="AQ330" s="7">
        <v>0</v>
      </c>
      <c r="AR330" s="7">
        <v>0</v>
      </c>
      <c r="AS330" s="7">
        <v>0</v>
      </c>
      <c r="AT330" s="7">
        <v>0</v>
      </c>
      <c r="AU330" s="7">
        <v>0</v>
      </c>
      <c r="AV330" s="7">
        <v>0</v>
      </c>
      <c r="AW330" s="7">
        <v>0</v>
      </c>
      <c r="AX330" s="7">
        <v>0</v>
      </c>
      <c r="AY330" s="7">
        <v>0</v>
      </c>
      <c r="AZ330" s="7">
        <v>0</v>
      </c>
      <c r="BA330" s="7">
        <v>0</v>
      </c>
      <c r="BB330" s="7">
        <v>0</v>
      </c>
      <c r="BC330" s="7">
        <v>0</v>
      </c>
      <c r="BD330" s="7">
        <v>0</v>
      </c>
      <c r="BE330" s="7">
        <v>0</v>
      </c>
      <c r="BF330" s="7">
        <v>0</v>
      </c>
      <c r="BG330" s="7">
        <v>0</v>
      </c>
      <c r="BH330" s="7">
        <v>0</v>
      </c>
      <c r="BI330" s="7">
        <v>0</v>
      </c>
      <c r="BJ330" s="7">
        <v>0</v>
      </c>
      <c r="BK330" s="7">
        <v>0</v>
      </c>
      <c r="BL330" s="7">
        <v>0</v>
      </c>
      <c r="BM330" s="11">
        <v>400</v>
      </c>
      <c r="BN330" s="16">
        <f t="shared" si="11"/>
        <v>400</v>
      </c>
      <c r="BO330" s="14">
        <f t="shared" si="12"/>
        <v>280</v>
      </c>
    </row>
    <row r="331" spans="1:67" ht="19.5" x14ac:dyDescent="0.3">
      <c r="A331" s="5" t="s">
        <v>541</v>
      </c>
      <c r="B331" s="5" t="s">
        <v>518</v>
      </c>
      <c r="C331" s="5">
        <v>467500</v>
      </c>
      <c r="D331" s="6"/>
      <c r="E331" s="5" t="s">
        <v>32</v>
      </c>
      <c r="F331" s="5" t="s">
        <v>344</v>
      </c>
      <c r="G331" s="5" t="s">
        <v>52</v>
      </c>
      <c r="H331" s="7" t="s">
        <v>8</v>
      </c>
      <c r="I331" s="7" t="s">
        <v>38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1</v>
      </c>
      <c r="AF331" s="7">
        <v>0</v>
      </c>
      <c r="AG331" s="7">
        <v>300</v>
      </c>
      <c r="AH331" s="7">
        <v>0</v>
      </c>
      <c r="AI331" s="7">
        <v>0</v>
      </c>
      <c r="AJ331" s="7">
        <v>0</v>
      </c>
      <c r="AK331" s="7">
        <v>0</v>
      </c>
      <c r="AL331" s="7">
        <v>0</v>
      </c>
      <c r="AM331" s="7">
        <v>0</v>
      </c>
      <c r="AN331" s="7">
        <v>0</v>
      </c>
      <c r="AO331" s="7">
        <v>0</v>
      </c>
      <c r="AP331" s="7">
        <v>0</v>
      </c>
      <c r="AQ331" s="7">
        <v>0</v>
      </c>
      <c r="AR331" s="7">
        <v>0</v>
      </c>
      <c r="AS331" s="7">
        <v>0</v>
      </c>
      <c r="AT331" s="7">
        <v>0</v>
      </c>
      <c r="AU331" s="7">
        <v>0</v>
      </c>
      <c r="AV331" s="7">
        <v>0</v>
      </c>
      <c r="AW331" s="7">
        <v>0</v>
      </c>
      <c r="AX331" s="7">
        <v>0</v>
      </c>
      <c r="AY331" s="7">
        <v>0</v>
      </c>
      <c r="AZ331" s="7">
        <v>0</v>
      </c>
      <c r="BA331" s="7">
        <v>0</v>
      </c>
      <c r="BB331" s="7">
        <v>0</v>
      </c>
      <c r="BC331" s="7">
        <v>0</v>
      </c>
      <c r="BD331" s="7">
        <v>0</v>
      </c>
      <c r="BE331" s="7">
        <v>0</v>
      </c>
      <c r="BF331" s="7">
        <v>0</v>
      </c>
      <c r="BG331" s="7">
        <v>0</v>
      </c>
      <c r="BH331" s="7">
        <v>0</v>
      </c>
      <c r="BI331" s="7">
        <v>0</v>
      </c>
      <c r="BJ331" s="7">
        <v>0</v>
      </c>
      <c r="BK331" s="7">
        <v>0</v>
      </c>
      <c r="BL331" s="7">
        <v>0</v>
      </c>
      <c r="BM331" s="11">
        <v>300</v>
      </c>
      <c r="BN331" s="16">
        <f t="shared" si="11"/>
        <v>300</v>
      </c>
      <c r="BO331" s="14">
        <f t="shared" si="12"/>
        <v>210</v>
      </c>
    </row>
    <row r="332" spans="1:67" ht="19.5" x14ac:dyDescent="0.3">
      <c r="A332" s="5" t="s">
        <v>429</v>
      </c>
      <c r="B332" s="5" t="s">
        <v>519</v>
      </c>
      <c r="C332" s="5">
        <v>444218</v>
      </c>
      <c r="D332" s="6"/>
      <c r="E332" s="5" t="s">
        <v>32</v>
      </c>
      <c r="F332" s="5" t="s">
        <v>153</v>
      </c>
      <c r="G332" s="5" t="s">
        <v>52</v>
      </c>
      <c r="H332" s="7" t="s">
        <v>340</v>
      </c>
      <c r="I332" s="7" t="s">
        <v>478</v>
      </c>
      <c r="J332" s="7">
        <v>0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0</v>
      </c>
      <c r="AB332" s="7">
        <v>0</v>
      </c>
      <c r="AC332" s="7">
        <v>0</v>
      </c>
      <c r="AD332" s="7">
        <v>0</v>
      </c>
      <c r="AE332" s="7">
        <v>1</v>
      </c>
      <c r="AF332" s="7">
        <v>300</v>
      </c>
      <c r="AG332" s="7">
        <v>0</v>
      </c>
      <c r="AH332" s="7">
        <v>0</v>
      </c>
      <c r="AI332" s="7">
        <v>0</v>
      </c>
      <c r="AJ332" s="7">
        <v>0</v>
      </c>
      <c r="AK332" s="7">
        <v>0</v>
      </c>
      <c r="AL332" s="7">
        <v>0</v>
      </c>
      <c r="AM332" s="7">
        <v>0</v>
      </c>
      <c r="AN332" s="7">
        <v>0</v>
      </c>
      <c r="AO332" s="7">
        <v>0</v>
      </c>
      <c r="AP332" s="7">
        <v>0</v>
      </c>
      <c r="AQ332" s="7">
        <v>0</v>
      </c>
      <c r="AR332" s="7">
        <v>0</v>
      </c>
      <c r="AS332" s="7">
        <v>0</v>
      </c>
      <c r="AT332" s="7">
        <v>0</v>
      </c>
      <c r="AU332" s="7">
        <v>0</v>
      </c>
      <c r="AV332" s="7">
        <v>0</v>
      </c>
      <c r="AW332" s="7">
        <v>0</v>
      </c>
      <c r="AX332" s="7">
        <v>0</v>
      </c>
      <c r="AY332" s="7">
        <v>0</v>
      </c>
      <c r="AZ332" s="7">
        <v>0</v>
      </c>
      <c r="BA332" s="7">
        <v>0</v>
      </c>
      <c r="BB332" s="7">
        <v>0</v>
      </c>
      <c r="BC332" s="7">
        <v>0</v>
      </c>
      <c r="BD332" s="7">
        <v>0</v>
      </c>
      <c r="BE332" s="7">
        <v>0</v>
      </c>
      <c r="BF332" s="7">
        <v>0</v>
      </c>
      <c r="BG332" s="7">
        <v>0</v>
      </c>
      <c r="BH332" s="7">
        <v>0</v>
      </c>
      <c r="BI332" s="7">
        <v>0</v>
      </c>
      <c r="BJ332" s="7">
        <v>0</v>
      </c>
      <c r="BK332" s="7">
        <v>0</v>
      </c>
      <c r="BL332" s="7">
        <v>0</v>
      </c>
      <c r="BM332" s="11">
        <v>300</v>
      </c>
      <c r="BN332" s="16">
        <f t="shared" si="11"/>
        <v>300</v>
      </c>
      <c r="BO332" s="14">
        <f t="shared" si="12"/>
        <v>210</v>
      </c>
    </row>
    <row r="333" spans="1:67" ht="19.5" x14ac:dyDescent="0.3">
      <c r="A333" s="5" t="s">
        <v>430</v>
      </c>
      <c r="B333" s="5" t="s">
        <v>315</v>
      </c>
      <c r="C333" s="5">
        <v>381070</v>
      </c>
      <c r="D333" s="6"/>
      <c r="E333" s="5" t="s">
        <v>32</v>
      </c>
      <c r="F333" s="5" t="s">
        <v>316</v>
      </c>
      <c r="G333" s="5" t="s">
        <v>52</v>
      </c>
      <c r="H333" s="7" t="s">
        <v>8</v>
      </c>
      <c r="I333" s="7" t="s">
        <v>317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7">
        <v>0</v>
      </c>
      <c r="AK333" s="7">
        <v>0</v>
      </c>
      <c r="AL333" s="7">
        <v>0</v>
      </c>
      <c r="AM333" s="7">
        <v>0</v>
      </c>
      <c r="AN333" s="7">
        <v>0</v>
      </c>
      <c r="AO333" s="7">
        <v>0</v>
      </c>
      <c r="AP333" s="7">
        <v>0</v>
      </c>
      <c r="AQ333" s="7">
        <v>2</v>
      </c>
      <c r="AR333" s="7">
        <v>200</v>
      </c>
      <c r="AS333" s="7">
        <v>0</v>
      </c>
      <c r="AT333" s="7">
        <v>0</v>
      </c>
      <c r="AU333" s="7">
        <v>0</v>
      </c>
      <c r="AV333" s="7">
        <v>0</v>
      </c>
      <c r="AW333" s="7">
        <v>0</v>
      </c>
      <c r="AX333" s="7">
        <v>0</v>
      </c>
      <c r="AY333" s="7">
        <v>0</v>
      </c>
      <c r="AZ333" s="7">
        <v>0</v>
      </c>
      <c r="BA333" s="7">
        <v>0</v>
      </c>
      <c r="BB333" s="7">
        <v>0</v>
      </c>
      <c r="BC333" s="7">
        <v>0</v>
      </c>
      <c r="BD333" s="7">
        <v>0</v>
      </c>
      <c r="BE333" s="7">
        <v>0</v>
      </c>
      <c r="BF333" s="7">
        <v>0</v>
      </c>
      <c r="BG333" s="7">
        <v>0</v>
      </c>
      <c r="BH333" s="7">
        <v>0</v>
      </c>
      <c r="BI333" s="7">
        <v>0</v>
      </c>
      <c r="BJ333" s="7">
        <v>0</v>
      </c>
      <c r="BK333" s="7">
        <v>0</v>
      </c>
      <c r="BL333" s="7">
        <v>0</v>
      </c>
      <c r="BM333" s="11">
        <v>200</v>
      </c>
      <c r="BN333" s="16">
        <f t="shared" si="11"/>
        <v>200</v>
      </c>
      <c r="BO333" s="14">
        <f t="shared" si="12"/>
        <v>140</v>
      </c>
    </row>
    <row r="334" spans="1:67" ht="19.5" x14ac:dyDescent="0.3">
      <c r="A334" s="5" t="s">
        <v>429</v>
      </c>
      <c r="B334" s="5" t="s">
        <v>283</v>
      </c>
      <c r="C334" s="5">
        <v>434853</v>
      </c>
      <c r="D334" s="6"/>
      <c r="E334" s="5" t="s">
        <v>32</v>
      </c>
      <c r="F334" s="5" t="s">
        <v>284</v>
      </c>
      <c r="G334" s="5" t="s">
        <v>11</v>
      </c>
      <c r="H334" s="7" t="s">
        <v>7</v>
      </c>
      <c r="I334" s="7" t="s">
        <v>285</v>
      </c>
      <c r="J334" s="7">
        <v>0</v>
      </c>
      <c r="K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Z334" s="7">
        <v>0</v>
      </c>
      <c r="AA334" s="7">
        <v>0</v>
      </c>
      <c r="AB334" s="7">
        <v>0</v>
      </c>
      <c r="AC334" s="7">
        <v>0</v>
      </c>
      <c r="AD334" s="7">
        <v>0</v>
      </c>
      <c r="AE334" s="7">
        <v>1</v>
      </c>
      <c r="AF334" s="7">
        <v>100</v>
      </c>
      <c r="AG334" s="7">
        <v>0</v>
      </c>
      <c r="AH334" s="7">
        <v>0</v>
      </c>
      <c r="AI334" s="7">
        <v>0</v>
      </c>
      <c r="AJ334" s="7">
        <v>0</v>
      </c>
      <c r="AK334" s="7">
        <v>0</v>
      </c>
      <c r="AL334" s="7">
        <v>0</v>
      </c>
      <c r="AM334" s="7">
        <v>0</v>
      </c>
      <c r="AN334" s="7">
        <v>0</v>
      </c>
      <c r="AO334" s="7">
        <v>0</v>
      </c>
      <c r="AP334" s="7">
        <v>0</v>
      </c>
      <c r="AQ334" s="7">
        <v>0</v>
      </c>
      <c r="AR334" s="7">
        <v>0</v>
      </c>
      <c r="AS334" s="7">
        <v>0</v>
      </c>
      <c r="AT334" s="7">
        <v>0</v>
      </c>
      <c r="AU334" s="7">
        <v>0</v>
      </c>
      <c r="AV334" s="7">
        <v>0</v>
      </c>
      <c r="AW334" s="7">
        <v>0</v>
      </c>
      <c r="AX334" s="7">
        <v>0</v>
      </c>
      <c r="AY334" s="7">
        <v>0</v>
      </c>
      <c r="AZ334" s="7">
        <v>0</v>
      </c>
      <c r="BA334" s="7">
        <v>0</v>
      </c>
      <c r="BB334" s="7">
        <v>0</v>
      </c>
      <c r="BC334" s="7">
        <v>0</v>
      </c>
      <c r="BD334" s="7">
        <v>0</v>
      </c>
      <c r="BE334" s="7">
        <v>0</v>
      </c>
      <c r="BF334" s="7">
        <v>0</v>
      </c>
      <c r="BG334" s="7">
        <v>0</v>
      </c>
      <c r="BH334" s="7">
        <v>0</v>
      </c>
      <c r="BI334" s="7">
        <v>0</v>
      </c>
      <c r="BJ334" s="7">
        <v>0</v>
      </c>
      <c r="BK334" s="7">
        <v>0</v>
      </c>
      <c r="BL334" s="7">
        <v>0</v>
      </c>
      <c r="BM334" s="11">
        <v>100</v>
      </c>
      <c r="BN334" s="16">
        <f t="shared" si="11"/>
        <v>100</v>
      </c>
      <c r="BO334" s="14">
        <f t="shared" si="12"/>
        <v>70</v>
      </c>
    </row>
    <row r="335" spans="1:67" ht="19.5" x14ac:dyDescent="0.3">
      <c r="A335" s="5" t="s">
        <v>429</v>
      </c>
      <c r="B335" s="5" t="s">
        <v>520</v>
      </c>
      <c r="C335" s="5">
        <v>380275</v>
      </c>
      <c r="D335" s="6"/>
      <c r="E335" s="5" t="s">
        <v>32</v>
      </c>
      <c r="F335" s="5" t="s">
        <v>60</v>
      </c>
      <c r="G335" s="5" t="s">
        <v>52</v>
      </c>
      <c r="H335" s="7" t="s">
        <v>340</v>
      </c>
      <c r="I335" s="7" t="s">
        <v>521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7">
        <v>1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1</v>
      </c>
      <c r="AF335" s="7">
        <v>100</v>
      </c>
      <c r="AG335" s="7">
        <v>0</v>
      </c>
      <c r="AH335" s="7">
        <v>0</v>
      </c>
      <c r="AI335" s="7">
        <v>0</v>
      </c>
      <c r="AJ335" s="7">
        <v>0</v>
      </c>
      <c r="AK335" s="7">
        <v>0</v>
      </c>
      <c r="AL335" s="7">
        <v>0</v>
      </c>
      <c r="AM335" s="7">
        <v>0</v>
      </c>
      <c r="AN335" s="7">
        <v>0</v>
      </c>
      <c r="AO335" s="7">
        <v>0</v>
      </c>
      <c r="AP335" s="7">
        <v>0</v>
      </c>
      <c r="AQ335" s="7">
        <v>0</v>
      </c>
      <c r="AR335" s="7">
        <v>0</v>
      </c>
      <c r="AS335" s="7">
        <v>0</v>
      </c>
      <c r="AT335" s="7">
        <v>0</v>
      </c>
      <c r="AU335" s="7">
        <v>0</v>
      </c>
      <c r="AV335" s="7">
        <v>0</v>
      </c>
      <c r="AW335" s="7">
        <v>0</v>
      </c>
      <c r="AX335" s="7">
        <v>0</v>
      </c>
      <c r="AY335" s="7">
        <v>0</v>
      </c>
      <c r="AZ335" s="7">
        <v>0</v>
      </c>
      <c r="BA335" s="7">
        <v>0</v>
      </c>
      <c r="BB335" s="7">
        <v>0</v>
      </c>
      <c r="BC335" s="7">
        <v>0</v>
      </c>
      <c r="BD335" s="7">
        <v>0</v>
      </c>
      <c r="BE335" s="7">
        <v>0</v>
      </c>
      <c r="BF335" s="7">
        <v>0</v>
      </c>
      <c r="BG335" s="7">
        <v>0</v>
      </c>
      <c r="BH335" s="7">
        <v>0</v>
      </c>
      <c r="BI335" s="7">
        <v>0</v>
      </c>
      <c r="BJ335" s="7">
        <v>0</v>
      </c>
      <c r="BK335" s="7">
        <v>0</v>
      </c>
      <c r="BL335" s="7">
        <v>0</v>
      </c>
      <c r="BM335" s="11">
        <v>100</v>
      </c>
      <c r="BN335" s="16">
        <f t="shared" si="11"/>
        <v>100</v>
      </c>
      <c r="BO335" s="14">
        <f t="shared" si="12"/>
        <v>70</v>
      </c>
    </row>
    <row r="336" spans="1:67" ht="19.5" x14ac:dyDescent="0.3">
      <c r="A336" s="5" t="s">
        <v>429</v>
      </c>
      <c r="B336" s="5" t="s">
        <v>309</v>
      </c>
      <c r="C336" s="5">
        <v>358724</v>
      </c>
      <c r="D336" s="6"/>
      <c r="E336" s="5" t="s">
        <v>32</v>
      </c>
      <c r="F336" s="5" t="s">
        <v>310</v>
      </c>
      <c r="G336" s="5" t="s">
        <v>52</v>
      </c>
      <c r="H336" s="7" t="s">
        <v>8</v>
      </c>
      <c r="I336" s="7" t="s">
        <v>127</v>
      </c>
      <c r="J336" s="7">
        <v>1</v>
      </c>
      <c r="K336" s="7">
        <v>0</v>
      </c>
      <c r="L336" s="7">
        <v>100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Z336" s="7">
        <v>0</v>
      </c>
      <c r="AA336" s="7">
        <v>0</v>
      </c>
      <c r="AB336" s="7">
        <v>0</v>
      </c>
      <c r="AC336" s="7">
        <v>0</v>
      </c>
      <c r="AD336" s="7">
        <v>0</v>
      </c>
      <c r="AE336" s="7">
        <v>0</v>
      </c>
      <c r="AF336" s="7">
        <v>0</v>
      </c>
      <c r="AG336" s="7">
        <v>0</v>
      </c>
      <c r="AH336" s="7">
        <v>0</v>
      </c>
      <c r="AI336" s="7">
        <v>0</v>
      </c>
      <c r="AJ336" s="7">
        <v>0</v>
      </c>
      <c r="AK336" s="7">
        <v>0</v>
      </c>
      <c r="AL336" s="7">
        <v>0</v>
      </c>
      <c r="AM336" s="7">
        <v>0</v>
      </c>
      <c r="AN336" s="7">
        <v>0</v>
      </c>
      <c r="AO336" s="7">
        <v>0</v>
      </c>
      <c r="AP336" s="7">
        <v>0</v>
      </c>
      <c r="AQ336" s="7">
        <v>0</v>
      </c>
      <c r="AR336" s="7">
        <v>0</v>
      </c>
      <c r="AS336" s="7">
        <v>0</v>
      </c>
      <c r="AT336" s="7">
        <v>0</v>
      </c>
      <c r="AU336" s="7">
        <v>0</v>
      </c>
      <c r="AV336" s="7">
        <v>0</v>
      </c>
      <c r="AW336" s="7">
        <v>0</v>
      </c>
      <c r="AX336" s="7">
        <v>0</v>
      </c>
      <c r="AY336" s="7">
        <v>0</v>
      </c>
      <c r="AZ336" s="7">
        <v>0</v>
      </c>
      <c r="BA336" s="7">
        <v>0</v>
      </c>
      <c r="BB336" s="7">
        <v>0</v>
      </c>
      <c r="BC336" s="7">
        <v>0</v>
      </c>
      <c r="BD336" s="7">
        <v>0</v>
      </c>
      <c r="BE336" s="7">
        <v>0</v>
      </c>
      <c r="BF336" s="7">
        <v>0</v>
      </c>
      <c r="BG336" s="7">
        <v>0</v>
      </c>
      <c r="BH336" s="7">
        <v>0</v>
      </c>
      <c r="BI336" s="7">
        <v>0</v>
      </c>
      <c r="BJ336" s="7">
        <v>0</v>
      </c>
      <c r="BK336" s="7">
        <v>0</v>
      </c>
      <c r="BL336" s="7">
        <v>0</v>
      </c>
      <c r="BM336" s="11">
        <v>100</v>
      </c>
      <c r="BN336" s="16">
        <f t="shared" si="11"/>
        <v>100</v>
      </c>
      <c r="BO336" s="14">
        <f t="shared" si="12"/>
        <v>70</v>
      </c>
    </row>
    <row r="337" spans="1:67" ht="19.5" x14ac:dyDescent="0.3">
      <c r="A337" s="5" t="s">
        <v>429</v>
      </c>
      <c r="B337" s="5" t="s">
        <v>345</v>
      </c>
      <c r="C337" s="5">
        <v>363413</v>
      </c>
      <c r="D337" s="6"/>
      <c r="E337" s="5" t="s">
        <v>32</v>
      </c>
      <c r="F337" s="5" t="s">
        <v>126</v>
      </c>
      <c r="G337" s="5" t="s">
        <v>52</v>
      </c>
      <c r="H337" s="7" t="s">
        <v>8</v>
      </c>
      <c r="I337" s="7" t="s">
        <v>346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1</v>
      </c>
      <c r="AF337" s="7">
        <v>100</v>
      </c>
      <c r="AG337" s="7">
        <v>0</v>
      </c>
      <c r="AH337" s="7">
        <v>0</v>
      </c>
      <c r="AI337" s="7">
        <v>0</v>
      </c>
      <c r="AJ337" s="7">
        <v>0</v>
      </c>
      <c r="AK337" s="7">
        <v>0</v>
      </c>
      <c r="AL337" s="7">
        <v>0</v>
      </c>
      <c r="AM337" s="7">
        <v>0</v>
      </c>
      <c r="AN337" s="7">
        <v>0</v>
      </c>
      <c r="AO337" s="7">
        <v>0</v>
      </c>
      <c r="AP337" s="7">
        <v>0</v>
      </c>
      <c r="AQ337" s="7">
        <v>0</v>
      </c>
      <c r="AR337" s="7">
        <v>0</v>
      </c>
      <c r="AS337" s="7">
        <v>0</v>
      </c>
      <c r="AT337" s="7">
        <v>0</v>
      </c>
      <c r="AU337" s="7">
        <v>0</v>
      </c>
      <c r="AV337" s="7">
        <v>0</v>
      </c>
      <c r="AW337" s="7">
        <v>0</v>
      </c>
      <c r="AX337" s="7">
        <v>0</v>
      </c>
      <c r="AY337" s="7">
        <v>0</v>
      </c>
      <c r="AZ337" s="7">
        <v>0</v>
      </c>
      <c r="BA337" s="7">
        <v>0</v>
      </c>
      <c r="BB337" s="7">
        <v>0</v>
      </c>
      <c r="BC337" s="7">
        <v>0</v>
      </c>
      <c r="BD337" s="7">
        <v>0</v>
      </c>
      <c r="BE337" s="7">
        <v>0</v>
      </c>
      <c r="BF337" s="7">
        <v>0</v>
      </c>
      <c r="BG337" s="7">
        <v>0</v>
      </c>
      <c r="BH337" s="7">
        <v>0</v>
      </c>
      <c r="BI337" s="7">
        <v>0</v>
      </c>
      <c r="BJ337" s="7">
        <v>0</v>
      </c>
      <c r="BK337" s="7">
        <v>0</v>
      </c>
      <c r="BL337" s="7">
        <v>0</v>
      </c>
      <c r="BM337" s="11">
        <v>100</v>
      </c>
      <c r="BN337" s="16">
        <f t="shared" si="11"/>
        <v>100</v>
      </c>
      <c r="BO337" s="14">
        <f t="shared" si="12"/>
        <v>70</v>
      </c>
    </row>
    <row r="338" spans="1:67" ht="19.5" x14ac:dyDescent="0.3">
      <c r="A338" s="5" t="s">
        <v>541</v>
      </c>
      <c r="B338" s="5" t="s">
        <v>230</v>
      </c>
      <c r="C338" s="5">
        <v>421661</v>
      </c>
      <c r="D338" s="6"/>
      <c r="E338" s="5" t="s">
        <v>32</v>
      </c>
      <c r="F338" s="5" t="s">
        <v>231</v>
      </c>
      <c r="G338" s="5" t="s">
        <v>52</v>
      </c>
      <c r="H338" s="7" t="s">
        <v>8</v>
      </c>
      <c r="I338" s="7" t="s">
        <v>232</v>
      </c>
      <c r="J338" s="7">
        <v>0</v>
      </c>
      <c r="K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Z338" s="7">
        <v>0</v>
      </c>
      <c r="AA338" s="7">
        <v>0</v>
      </c>
      <c r="AB338" s="7">
        <v>0</v>
      </c>
      <c r="AC338" s="7">
        <v>0</v>
      </c>
      <c r="AD338" s="7">
        <v>0</v>
      </c>
      <c r="AE338" s="7">
        <v>1</v>
      </c>
      <c r="AF338" s="7">
        <v>100</v>
      </c>
      <c r="AG338" s="7">
        <v>0</v>
      </c>
      <c r="AH338" s="7">
        <v>0</v>
      </c>
      <c r="AI338" s="7">
        <v>0</v>
      </c>
      <c r="AJ338" s="7">
        <v>0</v>
      </c>
      <c r="AK338" s="7">
        <v>0</v>
      </c>
      <c r="AL338" s="7">
        <v>0</v>
      </c>
      <c r="AM338" s="7">
        <v>0</v>
      </c>
      <c r="AN338" s="7">
        <v>0</v>
      </c>
      <c r="AO338" s="7">
        <v>0</v>
      </c>
      <c r="AP338" s="7">
        <v>0</v>
      </c>
      <c r="AQ338" s="7">
        <v>0</v>
      </c>
      <c r="AR338" s="7">
        <v>0</v>
      </c>
      <c r="AS338" s="7">
        <v>0</v>
      </c>
      <c r="AT338" s="7">
        <v>0</v>
      </c>
      <c r="AU338" s="7">
        <v>0</v>
      </c>
      <c r="AV338" s="7">
        <v>0</v>
      </c>
      <c r="AW338" s="7">
        <v>0</v>
      </c>
      <c r="AX338" s="7">
        <v>0</v>
      </c>
      <c r="AY338" s="7">
        <v>0</v>
      </c>
      <c r="AZ338" s="7">
        <v>0</v>
      </c>
      <c r="BA338" s="7">
        <v>0</v>
      </c>
      <c r="BB338" s="7">
        <v>0</v>
      </c>
      <c r="BC338" s="7">
        <v>0</v>
      </c>
      <c r="BD338" s="7">
        <v>0</v>
      </c>
      <c r="BE338" s="7">
        <v>0</v>
      </c>
      <c r="BF338" s="7">
        <v>0</v>
      </c>
      <c r="BG338" s="7">
        <v>0</v>
      </c>
      <c r="BH338" s="7">
        <v>0</v>
      </c>
      <c r="BI338" s="7">
        <v>0</v>
      </c>
      <c r="BJ338" s="7">
        <v>0</v>
      </c>
      <c r="BK338" s="7">
        <v>0</v>
      </c>
      <c r="BL338" s="7">
        <v>0</v>
      </c>
      <c r="BM338" s="11">
        <v>100</v>
      </c>
      <c r="BN338" s="16">
        <f t="shared" si="11"/>
        <v>100</v>
      </c>
      <c r="BO338" s="14">
        <f t="shared" si="12"/>
        <v>70</v>
      </c>
    </row>
    <row r="339" spans="1:67" ht="19.5" x14ac:dyDescent="0.3">
      <c r="A339" s="5" t="s">
        <v>541</v>
      </c>
      <c r="B339" s="5" t="s">
        <v>341</v>
      </c>
      <c r="C339" s="5">
        <v>382325</v>
      </c>
      <c r="D339" s="6"/>
      <c r="E339" s="5" t="s">
        <v>32</v>
      </c>
      <c r="F339" s="5" t="s">
        <v>51</v>
      </c>
      <c r="G339" s="5" t="s">
        <v>52</v>
      </c>
      <c r="H339" s="7" t="s">
        <v>8</v>
      </c>
      <c r="I339" s="7" t="s">
        <v>342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7">
        <v>2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7">
        <v>0</v>
      </c>
      <c r="AK339" s="7">
        <v>0</v>
      </c>
      <c r="AL339" s="7">
        <v>0</v>
      </c>
      <c r="AM339" s="7">
        <v>0</v>
      </c>
      <c r="AN339" s="7">
        <v>0</v>
      </c>
      <c r="AO339" s="7">
        <v>0</v>
      </c>
      <c r="AP339" s="7">
        <v>0</v>
      </c>
      <c r="AQ339" s="7">
        <v>0</v>
      </c>
      <c r="AR339" s="7">
        <v>0</v>
      </c>
      <c r="AS339" s="7">
        <v>0</v>
      </c>
      <c r="AT339" s="7">
        <v>0</v>
      </c>
      <c r="AU339" s="7">
        <v>0</v>
      </c>
      <c r="AV339" s="7">
        <v>0</v>
      </c>
      <c r="AW339" s="7">
        <v>0</v>
      </c>
      <c r="AX339" s="7">
        <v>0</v>
      </c>
      <c r="AY339" s="7">
        <v>0</v>
      </c>
      <c r="AZ339" s="7">
        <v>0</v>
      </c>
      <c r="BA339" s="7">
        <v>0</v>
      </c>
      <c r="BB339" s="7">
        <v>0</v>
      </c>
      <c r="BC339" s="7">
        <v>0</v>
      </c>
      <c r="BD339" s="7">
        <v>0</v>
      </c>
      <c r="BE339" s="7">
        <v>0</v>
      </c>
      <c r="BF339" s="7">
        <v>0</v>
      </c>
      <c r="BG339" s="7">
        <v>0</v>
      </c>
      <c r="BH339" s="7">
        <v>0</v>
      </c>
      <c r="BI339" s="7">
        <v>0</v>
      </c>
      <c r="BJ339" s="7">
        <v>0</v>
      </c>
      <c r="BK339" s="7">
        <v>0</v>
      </c>
      <c r="BL339" s="7">
        <v>0</v>
      </c>
      <c r="BM339" s="11">
        <v>0</v>
      </c>
      <c r="BN339" s="16">
        <f t="shared" si="11"/>
        <v>0</v>
      </c>
      <c r="BO339" s="14">
        <f t="shared" si="12"/>
        <v>0</v>
      </c>
    </row>
    <row r="340" spans="1:67" ht="19.5" x14ac:dyDescent="0.3">
      <c r="A340" s="5" t="s">
        <v>430</v>
      </c>
      <c r="B340" s="5" t="s">
        <v>119</v>
      </c>
      <c r="C340" s="5">
        <v>388999</v>
      </c>
      <c r="D340" s="6"/>
      <c r="E340" s="5" t="s">
        <v>32</v>
      </c>
      <c r="F340" s="5" t="s">
        <v>87</v>
      </c>
      <c r="G340" s="5" t="s">
        <v>11</v>
      </c>
      <c r="H340" s="7" t="s">
        <v>7</v>
      </c>
      <c r="I340" s="7" t="s">
        <v>120</v>
      </c>
      <c r="J340" s="7">
        <v>0</v>
      </c>
      <c r="K340" s="7">
        <v>1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T340" s="7">
        <v>0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Z340" s="7">
        <v>0</v>
      </c>
      <c r="AA340" s="7">
        <v>0</v>
      </c>
      <c r="AB340" s="7">
        <v>0</v>
      </c>
      <c r="AC340" s="7">
        <v>0</v>
      </c>
      <c r="AD340" s="7">
        <v>0</v>
      </c>
      <c r="AE340" s="7">
        <v>0</v>
      </c>
      <c r="AF340" s="7">
        <v>0</v>
      </c>
      <c r="AG340" s="7">
        <v>0</v>
      </c>
      <c r="AH340" s="7">
        <v>0</v>
      </c>
      <c r="AI340" s="7">
        <v>0</v>
      </c>
      <c r="AJ340" s="7">
        <v>0</v>
      </c>
      <c r="AK340" s="7">
        <v>0</v>
      </c>
      <c r="AL340" s="7">
        <v>0</v>
      </c>
      <c r="AM340" s="7">
        <v>0</v>
      </c>
      <c r="AN340" s="7">
        <v>0</v>
      </c>
      <c r="AO340" s="7">
        <v>0</v>
      </c>
      <c r="AP340" s="7">
        <v>0</v>
      </c>
      <c r="AQ340" s="7">
        <v>0</v>
      </c>
      <c r="AR340" s="7">
        <v>0</v>
      </c>
      <c r="AS340" s="7">
        <v>0</v>
      </c>
      <c r="AT340" s="7">
        <v>0</v>
      </c>
      <c r="AU340" s="7">
        <v>0</v>
      </c>
      <c r="AV340" s="7">
        <v>0</v>
      </c>
      <c r="AW340" s="7">
        <v>0</v>
      </c>
      <c r="AX340" s="7">
        <v>0</v>
      </c>
      <c r="AY340" s="7">
        <v>0</v>
      </c>
      <c r="AZ340" s="7">
        <v>0</v>
      </c>
      <c r="BA340" s="7">
        <v>0</v>
      </c>
      <c r="BB340" s="7">
        <v>0</v>
      </c>
      <c r="BC340" s="7">
        <v>0</v>
      </c>
      <c r="BD340" s="7">
        <v>0</v>
      </c>
      <c r="BE340" s="7">
        <v>0</v>
      </c>
      <c r="BF340" s="7">
        <v>0</v>
      </c>
      <c r="BG340" s="7">
        <v>0</v>
      </c>
      <c r="BH340" s="7">
        <v>0</v>
      </c>
      <c r="BI340" s="7">
        <v>0</v>
      </c>
      <c r="BJ340" s="7">
        <v>0</v>
      </c>
      <c r="BK340" s="7">
        <v>0</v>
      </c>
      <c r="BL340" s="7">
        <v>0</v>
      </c>
      <c r="BM340" s="11">
        <v>0</v>
      </c>
      <c r="BN340" s="16">
        <f t="shared" si="11"/>
        <v>0</v>
      </c>
      <c r="BO340" s="14">
        <f t="shared" si="12"/>
        <v>0</v>
      </c>
    </row>
    <row r="341" spans="1:67" x14ac:dyDescent="0.3">
      <c r="A341" s="5" t="s">
        <v>522</v>
      </c>
      <c r="B341" s="5" t="s">
        <v>31</v>
      </c>
      <c r="C341" s="5">
        <v>465248</v>
      </c>
      <c r="D341" s="6"/>
      <c r="E341" s="5" t="s">
        <v>32</v>
      </c>
      <c r="F341" s="5" t="s">
        <v>33</v>
      </c>
      <c r="G341" s="5" t="s">
        <v>34</v>
      </c>
      <c r="H341" s="7" t="s">
        <v>10</v>
      </c>
      <c r="I341" s="7" t="s">
        <v>35</v>
      </c>
      <c r="J341" s="7">
        <v>25</v>
      </c>
      <c r="K341" s="8">
        <v>15125</v>
      </c>
      <c r="L341" s="8">
        <v>2500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7">
        <v>0</v>
      </c>
      <c r="U341" s="7">
        <v>0</v>
      </c>
      <c r="V341" s="7">
        <v>0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8">
        <v>12820</v>
      </c>
      <c r="AF341" s="8">
        <v>1069600</v>
      </c>
      <c r="AG341" s="8">
        <v>212400</v>
      </c>
      <c r="AH341" s="7">
        <v>0</v>
      </c>
      <c r="AI341" s="7">
        <v>0</v>
      </c>
      <c r="AJ341" s="7">
        <v>0</v>
      </c>
      <c r="AK341" s="8">
        <v>17977</v>
      </c>
      <c r="AL341" s="8">
        <v>1322156</v>
      </c>
      <c r="AM341" s="8">
        <v>698000</v>
      </c>
      <c r="AN341" s="7">
        <v>0</v>
      </c>
      <c r="AO341" s="7">
        <v>0</v>
      </c>
      <c r="AP341" s="7">
        <v>0</v>
      </c>
      <c r="AQ341" s="8">
        <v>3875</v>
      </c>
      <c r="AR341" s="8">
        <v>377900</v>
      </c>
      <c r="AS341" s="8">
        <v>9600</v>
      </c>
      <c r="AT341" s="7">
        <v>0</v>
      </c>
      <c r="AU341" s="7">
        <v>0</v>
      </c>
      <c r="AV341" s="7">
        <v>0</v>
      </c>
      <c r="AW341" s="7">
        <v>0</v>
      </c>
      <c r="AX341" s="7">
        <v>0</v>
      </c>
      <c r="AY341" s="7">
        <v>0</v>
      </c>
      <c r="AZ341" s="7">
        <v>0</v>
      </c>
      <c r="BA341" s="7">
        <v>0</v>
      </c>
      <c r="BB341" s="7">
        <v>0</v>
      </c>
      <c r="BC341" s="7">
        <v>0</v>
      </c>
      <c r="BD341" s="7">
        <v>0</v>
      </c>
      <c r="BE341" s="7">
        <v>0</v>
      </c>
      <c r="BF341" s="7">
        <v>0</v>
      </c>
      <c r="BG341" s="7">
        <v>0</v>
      </c>
      <c r="BH341" s="7">
        <v>0</v>
      </c>
      <c r="BI341" s="7">
        <v>0</v>
      </c>
      <c r="BJ341" s="7">
        <v>0</v>
      </c>
      <c r="BK341" s="7">
        <v>0</v>
      </c>
      <c r="BL341" s="9">
        <v>396646.8</v>
      </c>
      <c r="BM341" s="10">
        <v>3692156</v>
      </c>
      <c r="BN341" s="16">
        <f t="shared" si="11"/>
        <v>3295509.2</v>
      </c>
      <c r="BO341" s="14">
        <f t="shared" si="12"/>
        <v>2306856.44</v>
      </c>
    </row>
    <row r="342" spans="1:67" x14ac:dyDescent="0.3">
      <c r="A342" s="5" t="s">
        <v>522</v>
      </c>
      <c r="B342" s="5" t="s">
        <v>39</v>
      </c>
      <c r="C342" s="5">
        <v>445688</v>
      </c>
      <c r="D342" s="6"/>
      <c r="E342" s="5" t="s">
        <v>32</v>
      </c>
      <c r="F342" s="5" t="s">
        <v>40</v>
      </c>
      <c r="G342" s="5" t="s">
        <v>11</v>
      </c>
      <c r="H342" s="7" t="s">
        <v>7</v>
      </c>
      <c r="I342" s="7" t="s">
        <v>41</v>
      </c>
      <c r="J342" s="7">
        <v>0</v>
      </c>
      <c r="K342" s="8">
        <v>3867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T342" s="7">
        <v>0</v>
      </c>
      <c r="U342" s="7">
        <v>0</v>
      </c>
      <c r="V342" s="7">
        <v>0</v>
      </c>
      <c r="W342" s="7">
        <v>0</v>
      </c>
      <c r="X342" s="7">
        <v>0</v>
      </c>
      <c r="Y342" s="7">
        <v>0</v>
      </c>
      <c r="Z342" s="7">
        <v>0</v>
      </c>
      <c r="AA342" s="7">
        <v>0</v>
      </c>
      <c r="AB342" s="7">
        <v>0</v>
      </c>
      <c r="AC342" s="7">
        <v>0</v>
      </c>
      <c r="AD342" s="7">
        <v>0</v>
      </c>
      <c r="AE342" s="8">
        <v>3508</v>
      </c>
      <c r="AF342" s="8">
        <v>328900</v>
      </c>
      <c r="AG342" s="8">
        <v>21900</v>
      </c>
      <c r="AH342" s="7">
        <v>0</v>
      </c>
      <c r="AI342" s="7">
        <v>0</v>
      </c>
      <c r="AJ342" s="7">
        <v>0</v>
      </c>
      <c r="AK342" s="8">
        <v>3350</v>
      </c>
      <c r="AL342" s="8">
        <v>360558</v>
      </c>
      <c r="AM342" s="8">
        <v>36200</v>
      </c>
      <c r="AN342" s="7">
        <v>0</v>
      </c>
      <c r="AO342" s="7">
        <v>0</v>
      </c>
      <c r="AP342" s="7">
        <v>0</v>
      </c>
      <c r="AQ342" s="7">
        <v>839</v>
      </c>
      <c r="AR342" s="8">
        <v>81200</v>
      </c>
      <c r="AS342" s="8">
        <v>2700</v>
      </c>
      <c r="AT342" s="7">
        <v>0</v>
      </c>
      <c r="AU342" s="7">
        <v>0</v>
      </c>
      <c r="AV342" s="7">
        <v>0</v>
      </c>
      <c r="AW342" s="7">
        <v>0</v>
      </c>
      <c r="AX342" s="7">
        <v>0</v>
      </c>
      <c r="AY342" s="7">
        <v>0</v>
      </c>
      <c r="AZ342" s="7">
        <v>0</v>
      </c>
      <c r="BA342" s="7">
        <v>0</v>
      </c>
      <c r="BB342" s="7">
        <v>0</v>
      </c>
      <c r="BC342" s="7">
        <v>0</v>
      </c>
      <c r="BD342" s="7">
        <v>0</v>
      </c>
      <c r="BE342" s="7">
        <v>0</v>
      </c>
      <c r="BF342" s="7">
        <v>0</v>
      </c>
      <c r="BG342" s="7">
        <v>0</v>
      </c>
      <c r="BH342" s="7">
        <v>0</v>
      </c>
      <c r="BI342" s="7">
        <v>0</v>
      </c>
      <c r="BJ342" s="7">
        <v>0</v>
      </c>
      <c r="BK342" s="7">
        <v>0</v>
      </c>
      <c r="BL342" s="9">
        <v>108167.4</v>
      </c>
      <c r="BM342" s="10">
        <v>831458</v>
      </c>
      <c r="BN342" s="16">
        <f t="shared" si="11"/>
        <v>723290.6</v>
      </c>
      <c r="BO342" s="14">
        <f t="shared" si="12"/>
        <v>506303.41999999993</v>
      </c>
    </row>
    <row r="343" spans="1:67" x14ac:dyDescent="0.3">
      <c r="A343" s="5" t="s">
        <v>522</v>
      </c>
      <c r="B343" s="5" t="s">
        <v>36</v>
      </c>
      <c r="C343" s="5">
        <v>463799</v>
      </c>
      <c r="D343" s="6"/>
      <c r="E343" s="5" t="s">
        <v>32</v>
      </c>
      <c r="F343" s="5" t="s">
        <v>37</v>
      </c>
      <c r="G343" s="5" t="s">
        <v>11</v>
      </c>
      <c r="H343" s="7" t="s">
        <v>7</v>
      </c>
      <c r="I343" s="7" t="s">
        <v>38</v>
      </c>
      <c r="J343" s="7">
        <v>0</v>
      </c>
      <c r="K343" s="8">
        <v>2687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7">
        <v>451</v>
      </c>
      <c r="U343" s="7">
        <v>0</v>
      </c>
      <c r="V343" s="7">
        <v>0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8">
        <v>2649</v>
      </c>
      <c r="AF343" s="8">
        <v>251100</v>
      </c>
      <c r="AG343" s="8">
        <v>13800</v>
      </c>
      <c r="AH343" s="7">
        <v>0</v>
      </c>
      <c r="AI343" s="7">
        <v>0</v>
      </c>
      <c r="AJ343" s="7">
        <v>0</v>
      </c>
      <c r="AK343" s="8">
        <v>2979</v>
      </c>
      <c r="AL343" s="8">
        <v>319521</v>
      </c>
      <c r="AM343" s="8">
        <v>31700</v>
      </c>
      <c r="AN343" s="7">
        <v>0</v>
      </c>
      <c r="AO343" s="7">
        <v>0</v>
      </c>
      <c r="AP343" s="7">
        <v>0</v>
      </c>
      <c r="AQ343" s="8">
        <v>2110</v>
      </c>
      <c r="AR343" s="8">
        <v>197900</v>
      </c>
      <c r="AS343" s="8">
        <v>13100</v>
      </c>
      <c r="AT343" s="7">
        <v>0</v>
      </c>
      <c r="AU343" s="7">
        <v>0</v>
      </c>
      <c r="AV343" s="7">
        <v>0</v>
      </c>
      <c r="AW343" s="7">
        <v>0</v>
      </c>
      <c r="AX343" s="7">
        <v>0</v>
      </c>
      <c r="AY343" s="7">
        <v>0</v>
      </c>
      <c r="AZ343" s="7">
        <v>0</v>
      </c>
      <c r="BA343" s="7">
        <v>0</v>
      </c>
      <c r="BB343" s="7">
        <v>0</v>
      </c>
      <c r="BC343" s="7">
        <v>0</v>
      </c>
      <c r="BD343" s="7">
        <v>0</v>
      </c>
      <c r="BE343" s="7">
        <v>0</v>
      </c>
      <c r="BF343" s="7">
        <v>0</v>
      </c>
      <c r="BG343" s="7">
        <v>0</v>
      </c>
      <c r="BH343" s="7">
        <v>0</v>
      </c>
      <c r="BI343" s="7">
        <v>0</v>
      </c>
      <c r="BJ343" s="7">
        <v>0</v>
      </c>
      <c r="BK343" s="7">
        <v>0</v>
      </c>
      <c r="BL343" s="9">
        <v>95856.3</v>
      </c>
      <c r="BM343" s="10">
        <v>827121</v>
      </c>
      <c r="BN343" s="16">
        <f t="shared" si="11"/>
        <v>731264.7</v>
      </c>
      <c r="BO343" s="14">
        <f t="shared" si="12"/>
        <v>511885.28999999992</v>
      </c>
    </row>
    <row r="344" spans="1:67" x14ac:dyDescent="0.3">
      <c r="A344" s="5" t="s">
        <v>522</v>
      </c>
      <c r="B344" s="5" t="s">
        <v>54</v>
      </c>
      <c r="C344" s="5">
        <v>178856</v>
      </c>
      <c r="D344" s="6"/>
      <c r="E344" s="5" t="s">
        <v>32</v>
      </c>
      <c r="F344" s="5" t="s">
        <v>48</v>
      </c>
      <c r="G344" s="5" t="s">
        <v>11</v>
      </c>
      <c r="H344" s="7" t="s">
        <v>10</v>
      </c>
      <c r="I344" s="7" t="s">
        <v>55</v>
      </c>
      <c r="J344" s="7">
        <v>0</v>
      </c>
      <c r="K344" s="7">
        <v>0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  <c r="S344" s="7">
        <v>0</v>
      </c>
      <c r="T344" s="7">
        <v>919</v>
      </c>
      <c r="U344" s="7">
        <v>0</v>
      </c>
      <c r="V344" s="7">
        <v>0</v>
      </c>
      <c r="W344" s="7">
        <v>0</v>
      </c>
      <c r="X344" s="7">
        <v>0</v>
      </c>
      <c r="Y344" s="7">
        <v>0</v>
      </c>
      <c r="Z344" s="7">
        <v>0</v>
      </c>
      <c r="AA344" s="7">
        <v>0</v>
      </c>
      <c r="AB344" s="7">
        <v>0</v>
      </c>
      <c r="AC344" s="7">
        <v>0</v>
      </c>
      <c r="AD344" s="7">
        <v>0</v>
      </c>
      <c r="AE344" s="8">
        <v>4146</v>
      </c>
      <c r="AF344" s="8">
        <v>358400</v>
      </c>
      <c r="AG344" s="8">
        <v>56200</v>
      </c>
      <c r="AH344" s="7">
        <v>0</v>
      </c>
      <c r="AI344" s="7">
        <v>0</v>
      </c>
      <c r="AJ344" s="7">
        <v>0</v>
      </c>
      <c r="AK344" s="8">
        <v>2150</v>
      </c>
      <c r="AL344" s="8">
        <v>189003</v>
      </c>
      <c r="AM344" s="8">
        <v>58100</v>
      </c>
      <c r="AN344" s="7">
        <v>0</v>
      </c>
      <c r="AO344" s="7">
        <v>0</v>
      </c>
      <c r="AP344" s="7">
        <v>0</v>
      </c>
      <c r="AQ344" s="8">
        <v>1483</v>
      </c>
      <c r="AR344" s="8">
        <v>144400</v>
      </c>
      <c r="AS344" s="8">
        <v>3900</v>
      </c>
      <c r="AT344" s="7">
        <v>0</v>
      </c>
      <c r="AU344" s="7">
        <v>0</v>
      </c>
      <c r="AV344" s="7">
        <v>0</v>
      </c>
      <c r="AW344" s="7">
        <v>0</v>
      </c>
      <c r="AX344" s="7">
        <v>0</v>
      </c>
      <c r="AY344" s="7">
        <v>0</v>
      </c>
      <c r="AZ344" s="7">
        <v>0</v>
      </c>
      <c r="BA344" s="7">
        <v>0</v>
      </c>
      <c r="BB344" s="7">
        <v>0</v>
      </c>
      <c r="BC344" s="7">
        <v>0</v>
      </c>
      <c r="BD344" s="7">
        <v>0</v>
      </c>
      <c r="BE344" s="7">
        <v>0</v>
      </c>
      <c r="BF344" s="7">
        <v>0</v>
      </c>
      <c r="BG344" s="7">
        <v>0</v>
      </c>
      <c r="BH344" s="7">
        <v>0</v>
      </c>
      <c r="BI344" s="7">
        <v>0</v>
      </c>
      <c r="BJ344" s="7">
        <v>0</v>
      </c>
      <c r="BK344" s="7">
        <v>0</v>
      </c>
      <c r="BL344" s="9">
        <v>56700.9</v>
      </c>
      <c r="BM344" s="10">
        <v>810003</v>
      </c>
      <c r="BN344" s="16">
        <f t="shared" si="11"/>
        <v>753302.1</v>
      </c>
      <c r="BO344" s="14">
        <f t="shared" si="12"/>
        <v>527311.47</v>
      </c>
    </row>
    <row r="345" spans="1:67" x14ac:dyDescent="0.3">
      <c r="A345" s="5" t="s">
        <v>522</v>
      </c>
      <c r="B345" s="5" t="s">
        <v>64</v>
      </c>
      <c r="C345" s="5">
        <v>324335</v>
      </c>
      <c r="D345" s="6"/>
      <c r="E345" s="5" t="s">
        <v>32</v>
      </c>
      <c r="F345" s="5" t="s">
        <v>48</v>
      </c>
      <c r="G345" s="5" t="s">
        <v>11</v>
      </c>
      <c r="H345" s="7" t="s">
        <v>10</v>
      </c>
      <c r="I345" s="7" t="s">
        <v>65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7">
        <v>0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21</v>
      </c>
      <c r="AF345" s="8">
        <v>63000</v>
      </c>
      <c r="AG345" s="8">
        <v>3200</v>
      </c>
      <c r="AH345" s="7">
        <v>0</v>
      </c>
      <c r="AI345" s="7">
        <v>0</v>
      </c>
      <c r="AJ345" s="7">
        <v>0</v>
      </c>
      <c r="AK345" s="7">
        <v>161</v>
      </c>
      <c r="AL345" s="8">
        <v>570488</v>
      </c>
      <c r="AM345" s="8">
        <v>24500</v>
      </c>
      <c r="AN345" s="7">
        <v>0</v>
      </c>
      <c r="AO345" s="7">
        <v>0</v>
      </c>
      <c r="AP345" s="7">
        <v>0</v>
      </c>
      <c r="AQ345" s="7">
        <v>29</v>
      </c>
      <c r="AR345" s="8">
        <v>87100</v>
      </c>
      <c r="AS345" s="8">
        <v>2900</v>
      </c>
      <c r="AT345" s="7">
        <v>0</v>
      </c>
      <c r="AU345" s="7">
        <v>0</v>
      </c>
      <c r="AV345" s="7">
        <v>0</v>
      </c>
      <c r="AW345" s="7">
        <v>0</v>
      </c>
      <c r="AX345" s="7">
        <v>0</v>
      </c>
      <c r="AY345" s="7">
        <v>0</v>
      </c>
      <c r="AZ345" s="7">
        <v>0</v>
      </c>
      <c r="BA345" s="7">
        <v>0</v>
      </c>
      <c r="BB345" s="7">
        <v>0</v>
      </c>
      <c r="BC345" s="7">
        <v>0</v>
      </c>
      <c r="BD345" s="7">
        <v>0</v>
      </c>
      <c r="BE345" s="7">
        <v>0</v>
      </c>
      <c r="BF345" s="7">
        <v>0</v>
      </c>
      <c r="BG345" s="7">
        <v>0</v>
      </c>
      <c r="BH345" s="7">
        <v>0</v>
      </c>
      <c r="BI345" s="7">
        <v>0</v>
      </c>
      <c r="BJ345" s="7">
        <v>0</v>
      </c>
      <c r="BK345" s="7">
        <v>0</v>
      </c>
      <c r="BL345" s="9">
        <v>171146.4</v>
      </c>
      <c r="BM345" s="10">
        <v>751188</v>
      </c>
      <c r="BN345" s="16">
        <f t="shared" si="11"/>
        <v>580041.6</v>
      </c>
      <c r="BO345" s="14">
        <f t="shared" si="12"/>
        <v>406029.11999999994</v>
      </c>
    </row>
    <row r="346" spans="1:67" x14ac:dyDescent="0.3">
      <c r="A346" s="5" t="s">
        <v>522</v>
      </c>
      <c r="B346" s="5" t="s">
        <v>50</v>
      </c>
      <c r="C346" s="5">
        <v>395270</v>
      </c>
      <c r="D346" s="6"/>
      <c r="E346" s="5" t="s">
        <v>32</v>
      </c>
      <c r="F346" s="5" t="s">
        <v>51</v>
      </c>
      <c r="G346" s="5" t="s">
        <v>52</v>
      </c>
      <c r="H346" s="7" t="s">
        <v>8</v>
      </c>
      <c r="I346" s="7" t="s">
        <v>53</v>
      </c>
      <c r="J346" s="7">
        <v>0</v>
      </c>
      <c r="K346" s="8">
        <v>13659</v>
      </c>
      <c r="L346" s="7">
        <v>0</v>
      </c>
      <c r="M346" s="7">
        <v>0</v>
      </c>
      <c r="N346" s="7">
        <v>0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T346" s="7">
        <v>180</v>
      </c>
      <c r="U346" s="7">
        <v>0</v>
      </c>
      <c r="V346" s="7">
        <v>0</v>
      </c>
      <c r="W346" s="7">
        <v>0</v>
      </c>
      <c r="X346" s="7">
        <v>0</v>
      </c>
      <c r="Y346" s="7">
        <v>0</v>
      </c>
      <c r="Z346" s="7">
        <v>0</v>
      </c>
      <c r="AA346" s="7">
        <v>0</v>
      </c>
      <c r="AB346" s="7">
        <v>0</v>
      </c>
      <c r="AC346" s="7">
        <v>0</v>
      </c>
      <c r="AD346" s="7">
        <v>0</v>
      </c>
      <c r="AE346" s="8">
        <v>2046</v>
      </c>
      <c r="AF346" s="8">
        <v>183600</v>
      </c>
      <c r="AG346" s="8">
        <v>21000</v>
      </c>
      <c r="AH346" s="7">
        <v>0</v>
      </c>
      <c r="AI346" s="7">
        <v>0</v>
      </c>
      <c r="AJ346" s="7">
        <v>0</v>
      </c>
      <c r="AK346" s="8">
        <v>2364</v>
      </c>
      <c r="AL346" s="8">
        <v>175890</v>
      </c>
      <c r="AM346" s="8">
        <v>90400</v>
      </c>
      <c r="AN346" s="7">
        <v>0</v>
      </c>
      <c r="AO346" s="7">
        <v>0</v>
      </c>
      <c r="AP346" s="7">
        <v>0</v>
      </c>
      <c r="AQ346" s="7">
        <v>455</v>
      </c>
      <c r="AR346" s="8">
        <v>44800</v>
      </c>
      <c r="AS346" s="7">
        <v>700</v>
      </c>
      <c r="AT346" s="7">
        <v>0</v>
      </c>
      <c r="AU346" s="7">
        <v>0</v>
      </c>
      <c r="AV346" s="7">
        <v>0</v>
      </c>
      <c r="AW346" s="7">
        <v>0</v>
      </c>
      <c r="AX346" s="7">
        <v>0</v>
      </c>
      <c r="AY346" s="7">
        <v>0</v>
      </c>
      <c r="AZ346" s="7">
        <v>0</v>
      </c>
      <c r="BA346" s="7">
        <v>0</v>
      </c>
      <c r="BB346" s="7">
        <v>0</v>
      </c>
      <c r="BC346" s="7">
        <v>0</v>
      </c>
      <c r="BD346" s="7">
        <v>0</v>
      </c>
      <c r="BE346" s="7">
        <v>0</v>
      </c>
      <c r="BF346" s="7">
        <v>0</v>
      </c>
      <c r="BG346" s="7">
        <v>0</v>
      </c>
      <c r="BH346" s="7">
        <v>0</v>
      </c>
      <c r="BI346" s="7">
        <v>0</v>
      </c>
      <c r="BJ346" s="7">
        <v>0</v>
      </c>
      <c r="BK346" s="7">
        <v>0</v>
      </c>
      <c r="BL346" s="9">
        <v>52767</v>
      </c>
      <c r="BM346" s="10">
        <v>516390</v>
      </c>
      <c r="BN346" s="16">
        <f t="shared" si="11"/>
        <v>463623</v>
      </c>
      <c r="BO346" s="14">
        <f t="shared" si="12"/>
        <v>324536.09999999998</v>
      </c>
    </row>
    <row r="347" spans="1:67" x14ac:dyDescent="0.3">
      <c r="A347" s="5" t="s">
        <v>522</v>
      </c>
      <c r="B347" s="5" t="s">
        <v>42</v>
      </c>
      <c r="C347" s="5">
        <v>449889</v>
      </c>
      <c r="D347" s="6"/>
      <c r="E347" s="5" t="s">
        <v>32</v>
      </c>
      <c r="F347" s="5" t="s">
        <v>43</v>
      </c>
      <c r="G347" s="5" t="s">
        <v>11</v>
      </c>
      <c r="H347" s="7" t="s">
        <v>7</v>
      </c>
      <c r="I347" s="7" t="s">
        <v>44</v>
      </c>
      <c r="J347" s="7">
        <v>0</v>
      </c>
      <c r="K347" s="8">
        <v>1929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7">
        <v>124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8">
        <v>1427</v>
      </c>
      <c r="AF347" s="8">
        <v>132600</v>
      </c>
      <c r="AG347" s="8">
        <v>10100</v>
      </c>
      <c r="AH347" s="7">
        <v>0</v>
      </c>
      <c r="AI347" s="7">
        <v>0</v>
      </c>
      <c r="AJ347" s="7">
        <v>0</v>
      </c>
      <c r="AK347" s="8">
        <v>1651</v>
      </c>
      <c r="AL347" s="8">
        <v>172080</v>
      </c>
      <c r="AM347" s="8">
        <v>21700</v>
      </c>
      <c r="AN347" s="7">
        <v>0</v>
      </c>
      <c r="AO347" s="7">
        <v>0</v>
      </c>
      <c r="AP347" s="7">
        <v>0</v>
      </c>
      <c r="AQ347" s="7">
        <v>575</v>
      </c>
      <c r="AR347" s="8">
        <v>57300</v>
      </c>
      <c r="AS347" s="7">
        <v>200</v>
      </c>
      <c r="AT347" s="7">
        <v>0</v>
      </c>
      <c r="AU347" s="7">
        <v>0</v>
      </c>
      <c r="AV347" s="7">
        <v>0</v>
      </c>
      <c r="AW347" s="7">
        <v>0</v>
      </c>
      <c r="AX347" s="7">
        <v>0</v>
      </c>
      <c r="AY347" s="7">
        <v>0</v>
      </c>
      <c r="AZ347" s="7">
        <v>0</v>
      </c>
      <c r="BA347" s="7">
        <v>0</v>
      </c>
      <c r="BB347" s="7">
        <v>0</v>
      </c>
      <c r="BC347" s="7">
        <v>0</v>
      </c>
      <c r="BD347" s="7">
        <v>0</v>
      </c>
      <c r="BE347" s="7">
        <v>0</v>
      </c>
      <c r="BF347" s="7">
        <v>0</v>
      </c>
      <c r="BG347" s="7">
        <v>0</v>
      </c>
      <c r="BH347" s="7">
        <v>0</v>
      </c>
      <c r="BI347" s="7">
        <v>0</v>
      </c>
      <c r="BJ347" s="7">
        <v>0</v>
      </c>
      <c r="BK347" s="7">
        <v>0</v>
      </c>
      <c r="BL347" s="9">
        <v>51624</v>
      </c>
      <c r="BM347" s="10">
        <v>393980</v>
      </c>
      <c r="BN347" s="16">
        <f t="shared" si="11"/>
        <v>342356</v>
      </c>
      <c r="BO347" s="14">
        <f t="shared" si="12"/>
        <v>239649.19999999998</v>
      </c>
    </row>
    <row r="348" spans="1:67" x14ac:dyDescent="0.3">
      <c r="A348" s="5" t="s">
        <v>522</v>
      </c>
      <c r="B348" s="5" t="s">
        <v>66</v>
      </c>
      <c r="C348" s="5">
        <v>412919</v>
      </c>
      <c r="D348" s="6"/>
      <c r="E348" s="5" t="s">
        <v>32</v>
      </c>
      <c r="F348" s="5" t="s">
        <v>67</v>
      </c>
      <c r="G348" s="5" t="s">
        <v>52</v>
      </c>
      <c r="H348" s="7" t="s">
        <v>8</v>
      </c>
      <c r="I348" s="7" t="s">
        <v>68</v>
      </c>
      <c r="J348" s="7">
        <v>0</v>
      </c>
      <c r="K348" s="7">
        <v>105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T348" s="7">
        <v>140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Z348" s="7">
        <v>0</v>
      </c>
      <c r="AA348" s="7">
        <v>0</v>
      </c>
      <c r="AB348" s="7">
        <v>0</v>
      </c>
      <c r="AC348" s="7">
        <v>0</v>
      </c>
      <c r="AD348" s="7">
        <v>0</v>
      </c>
      <c r="AE348" s="8">
        <v>1095</v>
      </c>
      <c r="AF348" s="8">
        <v>102100</v>
      </c>
      <c r="AG348" s="8">
        <v>7400</v>
      </c>
      <c r="AH348" s="7">
        <v>0</v>
      </c>
      <c r="AI348" s="7">
        <v>0</v>
      </c>
      <c r="AJ348" s="7">
        <v>0</v>
      </c>
      <c r="AK348" s="8">
        <v>1976</v>
      </c>
      <c r="AL348" s="8">
        <v>168386</v>
      </c>
      <c r="AM348" s="8">
        <v>57200</v>
      </c>
      <c r="AN348" s="7">
        <v>0</v>
      </c>
      <c r="AO348" s="7">
        <v>0</v>
      </c>
      <c r="AP348" s="7">
        <v>0</v>
      </c>
      <c r="AQ348" s="7">
        <v>433</v>
      </c>
      <c r="AR348" s="8">
        <v>42100</v>
      </c>
      <c r="AS348" s="8">
        <v>1200</v>
      </c>
      <c r="AT348" s="7">
        <v>0</v>
      </c>
      <c r="AU348" s="7">
        <v>0</v>
      </c>
      <c r="AV348" s="7">
        <v>0</v>
      </c>
      <c r="AW348" s="7">
        <v>0</v>
      </c>
      <c r="AX348" s="7">
        <v>0</v>
      </c>
      <c r="AY348" s="7">
        <v>0</v>
      </c>
      <c r="AZ348" s="7">
        <v>0</v>
      </c>
      <c r="BA348" s="7">
        <v>0</v>
      </c>
      <c r="BB348" s="7">
        <v>0</v>
      </c>
      <c r="BC348" s="7">
        <v>0</v>
      </c>
      <c r="BD348" s="7">
        <v>0</v>
      </c>
      <c r="BE348" s="7">
        <v>0</v>
      </c>
      <c r="BF348" s="7">
        <v>0</v>
      </c>
      <c r="BG348" s="7">
        <v>0</v>
      </c>
      <c r="BH348" s="7">
        <v>0</v>
      </c>
      <c r="BI348" s="7">
        <v>0</v>
      </c>
      <c r="BJ348" s="7">
        <v>0</v>
      </c>
      <c r="BK348" s="7">
        <v>0</v>
      </c>
      <c r="BL348" s="9">
        <v>50515.8</v>
      </c>
      <c r="BM348" s="10">
        <v>378386</v>
      </c>
      <c r="BN348" s="16">
        <f t="shared" si="11"/>
        <v>327870.2</v>
      </c>
      <c r="BO348" s="14">
        <f t="shared" si="12"/>
        <v>229509.13999999998</v>
      </c>
    </row>
    <row r="349" spans="1:67" x14ac:dyDescent="0.3">
      <c r="A349" s="5" t="s">
        <v>542</v>
      </c>
      <c r="B349" s="5" t="s">
        <v>59</v>
      </c>
      <c r="C349" s="5">
        <v>457807</v>
      </c>
      <c r="D349" s="6"/>
      <c r="E349" s="5" t="s">
        <v>32</v>
      </c>
      <c r="F349" s="5" t="s">
        <v>60</v>
      </c>
      <c r="G349" s="5" t="s">
        <v>52</v>
      </c>
      <c r="H349" s="7" t="s">
        <v>8</v>
      </c>
      <c r="I349" s="7" t="s">
        <v>61</v>
      </c>
      <c r="J349" s="7">
        <v>141</v>
      </c>
      <c r="K349" s="8">
        <v>2186</v>
      </c>
      <c r="L349" s="8">
        <v>14100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7">
        <v>128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8">
        <v>1371</v>
      </c>
      <c r="AF349" s="8">
        <v>134200</v>
      </c>
      <c r="AG349" s="8">
        <v>2900</v>
      </c>
      <c r="AH349" s="7">
        <v>0</v>
      </c>
      <c r="AI349" s="7">
        <v>0</v>
      </c>
      <c r="AJ349" s="7">
        <v>0</v>
      </c>
      <c r="AK349" s="8">
        <v>1127</v>
      </c>
      <c r="AL349" s="8">
        <v>109987</v>
      </c>
      <c r="AM349" s="8">
        <v>21100</v>
      </c>
      <c r="AN349" s="7">
        <v>0</v>
      </c>
      <c r="AO349" s="7">
        <v>0</v>
      </c>
      <c r="AP349" s="7">
        <v>0</v>
      </c>
      <c r="AQ349" s="7">
        <v>721</v>
      </c>
      <c r="AR349" s="8">
        <v>65600</v>
      </c>
      <c r="AS349" s="8">
        <v>6500</v>
      </c>
      <c r="AT349" s="7">
        <v>0</v>
      </c>
      <c r="AU349" s="7">
        <v>0</v>
      </c>
      <c r="AV349" s="7">
        <v>0</v>
      </c>
      <c r="AW349" s="7">
        <v>0</v>
      </c>
      <c r="AX349" s="7">
        <v>0</v>
      </c>
      <c r="AY349" s="7">
        <v>0</v>
      </c>
      <c r="AZ349" s="7">
        <v>0</v>
      </c>
      <c r="BA349" s="7">
        <v>0</v>
      </c>
      <c r="BB349" s="7">
        <v>0</v>
      </c>
      <c r="BC349" s="7">
        <v>0</v>
      </c>
      <c r="BD349" s="7">
        <v>0</v>
      </c>
      <c r="BE349" s="7">
        <v>0</v>
      </c>
      <c r="BF349" s="7">
        <v>0</v>
      </c>
      <c r="BG349" s="7">
        <v>0</v>
      </c>
      <c r="BH349" s="7">
        <v>0</v>
      </c>
      <c r="BI349" s="7">
        <v>0</v>
      </c>
      <c r="BJ349" s="7">
        <v>0</v>
      </c>
      <c r="BK349" s="7">
        <v>0</v>
      </c>
      <c r="BL349" s="9">
        <v>32996.1</v>
      </c>
      <c r="BM349" s="10">
        <v>354387</v>
      </c>
      <c r="BN349" s="16">
        <f t="shared" si="11"/>
        <v>321390.90000000002</v>
      </c>
      <c r="BO349" s="14">
        <f t="shared" si="12"/>
        <v>224973.63</v>
      </c>
    </row>
    <row r="350" spans="1:67" ht="19.5" x14ac:dyDescent="0.3">
      <c r="A350" s="5" t="s">
        <v>543</v>
      </c>
      <c r="B350" s="5" t="s">
        <v>47</v>
      </c>
      <c r="C350" s="5">
        <v>369220</v>
      </c>
      <c r="D350" s="6"/>
      <c r="E350" s="5" t="s">
        <v>32</v>
      </c>
      <c r="F350" s="5" t="s">
        <v>48</v>
      </c>
      <c r="G350" s="5" t="s">
        <v>11</v>
      </c>
      <c r="H350" s="7" t="s">
        <v>7</v>
      </c>
      <c r="I350" s="7" t="s">
        <v>49</v>
      </c>
      <c r="J350" s="7">
        <v>0</v>
      </c>
      <c r="K350" s="7">
        <v>28</v>
      </c>
      <c r="L350" s="7">
        <v>0</v>
      </c>
      <c r="M350" s="7">
        <v>0</v>
      </c>
      <c r="N350" s="7">
        <v>0</v>
      </c>
      <c r="O350" s="7">
        <v>0</v>
      </c>
      <c r="P350" s="7">
        <v>0</v>
      </c>
      <c r="Q350" s="7">
        <v>0</v>
      </c>
      <c r="R350" s="7">
        <v>0</v>
      </c>
      <c r="S350" s="7">
        <v>0</v>
      </c>
      <c r="T350" s="7">
        <v>181</v>
      </c>
      <c r="U350" s="7">
        <v>0</v>
      </c>
      <c r="V350" s="7">
        <v>0</v>
      </c>
      <c r="W350" s="7">
        <v>0</v>
      </c>
      <c r="X350" s="7">
        <v>0</v>
      </c>
      <c r="Y350" s="7">
        <v>0</v>
      </c>
      <c r="Z350" s="7">
        <v>0</v>
      </c>
      <c r="AA350" s="7">
        <v>0</v>
      </c>
      <c r="AB350" s="7">
        <v>0</v>
      </c>
      <c r="AC350" s="7">
        <v>0</v>
      </c>
      <c r="AD350" s="7">
        <v>0</v>
      </c>
      <c r="AE350" s="8">
        <v>1193</v>
      </c>
      <c r="AF350" s="8">
        <v>111900</v>
      </c>
      <c r="AG350" s="8">
        <v>7400</v>
      </c>
      <c r="AH350" s="7">
        <v>0</v>
      </c>
      <c r="AI350" s="7">
        <v>0</v>
      </c>
      <c r="AJ350" s="7">
        <v>0</v>
      </c>
      <c r="AK350" s="8">
        <v>1328</v>
      </c>
      <c r="AL350" s="8">
        <v>122070</v>
      </c>
      <c r="AM350" s="8">
        <v>30900</v>
      </c>
      <c r="AN350" s="7">
        <v>0</v>
      </c>
      <c r="AO350" s="7">
        <v>0</v>
      </c>
      <c r="AP350" s="7">
        <v>0</v>
      </c>
      <c r="AQ350" s="7">
        <v>811</v>
      </c>
      <c r="AR350" s="8">
        <v>79600</v>
      </c>
      <c r="AS350" s="8">
        <v>1500</v>
      </c>
      <c r="AT350" s="7">
        <v>0</v>
      </c>
      <c r="AU350" s="7">
        <v>0</v>
      </c>
      <c r="AV350" s="7">
        <v>0</v>
      </c>
      <c r="AW350" s="7">
        <v>0</v>
      </c>
      <c r="AX350" s="7">
        <v>0</v>
      </c>
      <c r="AY350" s="7">
        <v>0</v>
      </c>
      <c r="AZ350" s="7">
        <v>0</v>
      </c>
      <c r="BA350" s="7">
        <v>0</v>
      </c>
      <c r="BB350" s="7">
        <v>0</v>
      </c>
      <c r="BC350" s="7">
        <v>0</v>
      </c>
      <c r="BD350" s="7">
        <v>0</v>
      </c>
      <c r="BE350" s="7">
        <v>0</v>
      </c>
      <c r="BF350" s="7">
        <v>0</v>
      </c>
      <c r="BG350" s="7">
        <v>0</v>
      </c>
      <c r="BH350" s="7">
        <v>0</v>
      </c>
      <c r="BI350" s="7">
        <v>0</v>
      </c>
      <c r="BJ350" s="7">
        <v>0</v>
      </c>
      <c r="BK350" s="7">
        <v>0</v>
      </c>
      <c r="BL350" s="9">
        <v>36621</v>
      </c>
      <c r="BM350" s="10">
        <v>353370</v>
      </c>
      <c r="BN350" s="16">
        <f t="shared" si="11"/>
        <v>316749</v>
      </c>
      <c r="BO350" s="14">
        <f t="shared" si="12"/>
        <v>221724.3</v>
      </c>
    </row>
    <row r="351" spans="1:67" ht="19.5" x14ac:dyDescent="0.3">
      <c r="A351" s="5" t="s">
        <v>522</v>
      </c>
      <c r="B351" s="5" t="s">
        <v>56</v>
      </c>
      <c r="C351" s="5">
        <v>454534</v>
      </c>
      <c r="D351" s="6"/>
      <c r="E351" s="5" t="s">
        <v>32</v>
      </c>
      <c r="F351" s="5" t="s">
        <v>57</v>
      </c>
      <c r="G351" s="5" t="s">
        <v>11</v>
      </c>
      <c r="H351" s="7" t="s">
        <v>7</v>
      </c>
      <c r="I351" s="7" t="s">
        <v>58</v>
      </c>
      <c r="J351" s="7">
        <v>0</v>
      </c>
      <c r="K351" s="8">
        <v>3412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7">
        <v>50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8">
        <v>1177</v>
      </c>
      <c r="AF351" s="8">
        <v>104800</v>
      </c>
      <c r="AG351" s="8">
        <v>12900</v>
      </c>
      <c r="AH351" s="7">
        <v>0</v>
      </c>
      <c r="AI351" s="7">
        <v>0</v>
      </c>
      <c r="AJ351" s="7">
        <v>0</v>
      </c>
      <c r="AK351" s="8">
        <v>1493</v>
      </c>
      <c r="AL351" s="8">
        <v>142575</v>
      </c>
      <c r="AM351" s="8">
        <v>30500</v>
      </c>
      <c r="AN351" s="7">
        <v>0</v>
      </c>
      <c r="AO351" s="7">
        <v>0</v>
      </c>
      <c r="AP351" s="7">
        <v>0</v>
      </c>
      <c r="AQ351" s="7">
        <v>498</v>
      </c>
      <c r="AR351" s="8">
        <v>48700</v>
      </c>
      <c r="AS351" s="8">
        <v>1100</v>
      </c>
      <c r="AT351" s="7">
        <v>0</v>
      </c>
      <c r="AU351" s="7">
        <v>0</v>
      </c>
      <c r="AV351" s="7">
        <v>0</v>
      </c>
      <c r="AW351" s="7">
        <v>0</v>
      </c>
      <c r="AX351" s="7">
        <v>0</v>
      </c>
      <c r="AY351" s="7">
        <v>0</v>
      </c>
      <c r="AZ351" s="7">
        <v>0</v>
      </c>
      <c r="BA351" s="7">
        <v>0</v>
      </c>
      <c r="BB351" s="7">
        <v>0</v>
      </c>
      <c r="BC351" s="7">
        <v>0</v>
      </c>
      <c r="BD351" s="7">
        <v>0</v>
      </c>
      <c r="BE351" s="7">
        <v>0</v>
      </c>
      <c r="BF351" s="7">
        <v>0</v>
      </c>
      <c r="BG351" s="7">
        <v>0</v>
      </c>
      <c r="BH351" s="7">
        <v>0</v>
      </c>
      <c r="BI351" s="7">
        <v>0</v>
      </c>
      <c r="BJ351" s="7">
        <v>0</v>
      </c>
      <c r="BK351" s="7">
        <v>0</v>
      </c>
      <c r="BL351" s="9">
        <v>42772.5</v>
      </c>
      <c r="BM351" s="10">
        <v>340575</v>
      </c>
      <c r="BN351" s="16">
        <f t="shared" si="11"/>
        <v>297802.5</v>
      </c>
      <c r="BO351" s="14">
        <f t="shared" si="12"/>
        <v>208461.75</v>
      </c>
    </row>
    <row r="352" spans="1:67" x14ac:dyDescent="0.3">
      <c r="A352" s="5" t="s">
        <v>522</v>
      </c>
      <c r="B352" s="5" t="s">
        <v>72</v>
      </c>
      <c r="C352" s="5">
        <v>369720</v>
      </c>
      <c r="D352" s="6"/>
      <c r="E352" s="5" t="s">
        <v>32</v>
      </c>
      <c r="F352" s="5" t="s">
        <v>73</v>
      </c>
      <c r="G352" s="5" t="s">
        <v>52</v>
      </c>
      <c r="H352" s="7" t="s">
        <v>8</v>
      </c>
      <c r="I352" s="7" t="s">
        <v>74</v>
      </c>
      <c r="J352" s="7">
        <v>0</v>
      </c>
      <c r="K352" s="7">
        <v>396</v>
      </c>
      <c r="L352" s="7">
        <v>0</v>
      </c>
      <c r="M352" s="7">
        <v>0</v>
      </c>
      <c r="N352" s="7">
        <v>0</v>
      </c>
      <c r="O352" s="7">
        <v>0</v>
      </c>
      <c r="P352" s="7">
        <v>0</v>
      </c>
      <c r="Q352" s="7">
        <v>0</v>
      </c>
      <c r="R352" s="7">
        <v>0</v>
      </c>
      <c r="S352" s="7">
        <v>0</v>
      </c>
      <c r="T352" s="7">
        <v>104</v>
      </c>
      <c r="U352" s="7">
        <v>0</v>
      </c>
      <c r="V352" s="7">
        <v>0</v>
      </c>
      <c r="W352" s="7">
        <v>0</v>
      </c>
      <c r="X352" s="7">
        <v>0</v>
      </c>
      <c r="Y352" s="7">
        <v>0</v>
      </c>
      <c r="Z352" s="7">
        <v>0</v>
      </c>
      <c r="AA352" s="7">
        <v>0</v>
      </c>
      <c r="AB352" s="7">
        <v>0</v>
      </c>
      <c r="AC352" s="7">
        <v>0</v>
      </c>
      <c r="AD352" s="7">
        <v>0</v>
      </c>
      <c r="AE352" s="7">
        <v>661</v>
      </c>
      <c r="AF352" s="8">
        <v>61700</v>
      </c>
      <c r="AG352" s="8">
        <v>4400</v>
      </c>
      <c r="AH352" s="7">
        <v>0</v>
      </c>
      <c r="AI352" s="7">
        <v>0</v>
      </c>
      <c r="AJ352" s="7">
        <v>0</v>
      </c>
      <c r="AK352" s="8">
        <v>1087</v>
      </c>
      <c r="AL352" s="8">
        <v>111016</v>
      </c>
      <c r="AM352" s="8">
        <v>16600</v>
      </c>
      <c r="AN352" s="7">
        <v>0</v>
      </c>
      <c r="AO352" s="7">
        <v>0</v>
      </c>
      <c r="AP352" s="7">
        <v>0</v>
      </c>
      <c r="AQ352" s="7">
        <v>385</v>
      </c>
      <c r="AR352" s="8">
        <v>37600</v>
      </c>
      <c r="AS352" s="7">
        <v>900</v>
      </c>
      <c r="AT352" s="7">
        <v>0</v>
      </c>
      <c r="AU352" s="7">
        <v>0</v>
      </c>
      <c r="AV352" s="7">
        <v>0</v>
      </c>
      <c r="AW352" s="7">
        <v>0</v>
      </c>
      <c r="AX352" s="7">
        <v>0</v>
      </c>
      <c r="AY352" s="7">
        <v>0</v>
      </c>
      <c r="AZ352" s="7">
        <v>0</v>
      </c>
      <c r="BA352" s="7">
        <v>0</v>
      </c>
      <c r="BB352" s="7">
        <v>0</v>
      </c>
      <c r="BC352" s="7">
        <v>0</v>
      </c>
      <c r="BD352" s="7">
        <v>0</v>
      </c>
      <c r="BE352" s="7">
        <v>0</v>
      </c>
      <c r="BF352" s="7">
        <v>0</v>
      </c>
      <c r="BG352" s="7">
        <v>0</v>
      </c>
      <c r="BH352" s="7">
        <v>0</v>
      </c>
      <c r="BI352" s="7">
        <v>0</v>
      </c>
      <c r="BJ352" s="7">
        <v>0</v>
      </c>
      <c r="BK352" s="7">
        <v>0</v>
      </c>
      <c r="BL352" s="9">
        <v>33304.800000000003</v>
      </c>
      <c r="BM352" s="10">
        <v>232216</v>
      </c>
      <c r="BN352" s="16">
        <f t="shared" si="11"/>
        <v>198911.2</v>
      </c>
      <c r="BO352" s="14">
        <f t="shared" si="12"/>
        <v>139237.84</v>
      </c>
    </row>
    <row r="353" spans="1:67" x14ac:dyDescent="0.3">
      <c r="A353" s="5" t="s">
        <v>542</v>
      </c>
      <c r="B353" s="5" t="s">
        <v>45</v>
      </c>
      <c r="C353" s="5">
        <v>414278</v>
      </c>
      <c r="D353" s="6"/>
      <c r="E353" s="5" t="s">
        <v>32</v>
      </c>
      <c r="F353" s="5" t="s">
        <v>13</v>
      </c>
      <c r="G353" s="5" t="s">
        <v>11</v>
      </c>
      <c r="H353" s="7" t="s">
        <v>8</v>
      </c>
      <c r="I353" s="7" t="s">
        <v>46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7">
        <v>0</v>
      </c>
      <c r="U353" s="7">
        <v>0</v>
      </c>
      <c r="V353" s="7">
        <v>0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35</v>
      </c>
      <c r="AF353" s="8">
        <v>108800</v>
      </c>
      <c r="AG353" s="8">
        <v>3200</v>
      </c>
      <c r="AH353" s="7">
        <v>0</v>
      </c>
      <c r="AI353" s="7">
        <v>0</v>
      </c>
      <c r="AJ353" s="7">
        <v>0</v>
      </c>
      <c r="AK353" s="7">
        <v>20</v>
      </c>
      <c r="AL353" s="8">
        <v>76800</v>
      </c>
      <c r="AM353" s="7">
        <v>0</v>
      </c>
      <c r="AN353" s="7">
        <v>0</v>
      </c>
      <c r="AO353" s="7">
        <v>0</v>
      </c>
      <c r="AP353" s="7">
        <v>0</v>
      </c>
      <c r="AQ353" s="7">
        <v>0</v>
      </c>
      <c r="AR353" s="7">
        <v>0</v>
      </c>
      <c r="AS353" s="7">
        <v>0</v>
      </c>
      <c r="AT353" s="7">
        <v>0</v>
      </c>
      <c r="AU353" s="7">
        <v>0</v>
      </c>
      <c r="AV353" s="7">
        <v>0</v>
      </c>
      <c r="AW353" s="7">
        <v>0</v>
      </c>
      <c r="AX353" s="7">
        <v>0</v>
      </c>
      <c r="AY353" s="7">
        <v>0</v>
      </c>
      <c r="AZ353" s="7">
        <v>0</v>
      </c>
      <c r="BA353" s="7">
        <v>0</v>
      </c>
      <c r="BB353" s="7">
        <v>0</v>
      </c>
      <c r="BC353" s="7">
        <v>0</v>
      </c>
      <c r="BD353" s="7">
        <v>0</v>
      </c>
      <c r="BE353" s="7">
        <v>0</v>
      </c>
      <c r="BF353" s="7">
        <v>0</v>
      </c>
      <c r="BG353" s="7">
        <v>0</v>
      </c>
      <c r="BH353" s="7">
        <v>0</v>
      </c>
      <c r="BI353" s="7">
        <v>0</v>
      </c>
      <c r="BJ353" s="7">
        <v>0</v>
      </c>
      <c r="BK353" s="7">
        <v>0</v>
      </c>
      <c r="BL353" s="9">
        <v>23040</v>
      </c>
      <c r="BM353" s="10">
        <v>188800</v>
      </c>
      <c r="BN353" s="16">
        <f t="shared" si="11"/>
        <v>165760</v>
      </c>
      <c r="BO353" s="14">
        <f t="shared" si="12"/>
        <v>116031.99999999999</v>
      </c>
    </row>
    <row r="354" spans="1:67" ht="19.5" x14ac:dyDescent="0.3">
      <c r="A354" s="5" t="s">
        <v>542</v>
      </c>
      <c r="B354" s="5" t="s">
        <v>69</v>
      </c>
      <c r="C354" s="5">
        <v>459997</v>
      </c>
      <c r="D354" s="6"/>
      <c r="E354" s="5" t="s">
        <v>32</v>
      </c>
      <c r="F354" s="5" t="s">
        <v>70</v>
      </c>
      <c r="G354" s="5" t="s">
        <v>11</v>
      </c>
      <c r="H354" s="7" t="s">
        <v>7</v>
      </c>
      <c r="I354" s="7" t="s">
        <v>71</v>
      </c>
      <c r="J354" s="8">
        <v>1162</v>
      </c>
      <c r="K354" s="7">
        <v>574</v>
      </c>
      <c r="L354" s="8">
        <v>116200</v>
      </c>
      <c r="M354" s="7">
        <v>0</v>
      </c>
      <c r="N354" s="7">
        <v>0</v>
      </c>
      <c r="O354" s="7">
        <v>0</v>
      </c>
      <c r="P354" s="7">
        <v>0</v>
      </c>
      <c r="Q354" s="7">
        <v>0</v>
      </c>
      <c r="R354" s="7">
        <v>0</v>
      </c>
      <c r="S354" s="7">
        <v>0</v>
      </c>
      <c r="T354" s="7">
        <v>6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Z354" s="7">
        <v>0</v>
      </c>
      <c r="AA354" s="7">
        <v>0</v>
      </c>
      <c r="AB354" s="7">
        <v>0</v>
      </c>
      <c r="AC354" s="7">
        <v>0</v>
      </c>
      <c r="AD354" s="7">
        <v>0</v>
      </c>
      <c r="AE354" s="7">
        <v>124</v>
      </c>
      <c r="AF354" s="8">
        <v>8500</v>
      </c>
      <c r="AG354" s="8">
        <v>3900</v>
      </c>
      <c r="AH354" s="7">
        <v>0</v>
      </c>
      <c r="AI354" s="7">
        <v>0</v>
      </c>
      <c r="AJ354" s="7">
        <v>0</v>
      </c>
      <c r="AK354" s="7">
        <v>125</v>
      </c>
      <c r="AL354" s="8">
        <v>7680</v>
      </c>
      <c r="AM354" s="8">
        <v>6100</v>
      </c>
      <c r="AN354" s="7">
        <v>0</v>
      </c>
      <c r="AO354" s="7">
        <v>0</v>
      </c>
      <c r="AP354" s="7">
        <v>0</v>
      </c>
      <c r="AQ354" s="7">
        <v>78</v>
      </c>
      <c r="AR354" s="8">
        <v>7800</v>
      </c>
      <c r="AS354" s="7">
        <v>0</v>
      </c>
      <c r="AT354" s="7">
        <v>0</v>
      </c>
      <c r="AU354" s="7">
        <v>0</v>
      </c>
      <c r="AV354" s="7">
        <v>0</v>
      </c>
      <c r="AW354" s="7">
        <v>0</v>
      </c>
      <c r="AX354" s="7">
        <v>0</v>
      </c>
      <c r="AY354" s="7">
        <v>0</v>
      </c>
      <c r="AZ354" s="7">
        <v>0</v>
      </c>
      <c r="BA354" s="7">
        <v>0</v>
      </c>
      <c r="BB354" s="7">
        <v>0</v>
      </c>
      <c r="BC354" s="7">
        <v>0</v>
      </c>
      <c r="BD354" s="7">
        <v>0</v>
      </c>
      <c r="BE354" s="7">
        <v>0</v>
      </c>
      <c r="BF354" s="7">
        <v>0</v>
      </c>
      <c r="BG354" s="7">
        <v>0</v>
      </c>
      <c r="BH354" s="7">
        <v>0</v>
      </c>
      <c r="BI354" s="7">
        <v>0</v>
      </c>
      <c r="BJ354" s="7">
        <v>0</v>
      </c>
      <c r="BK354" s="7">
        <v>0</v>
      </c>
      <c r="BL354" s="9">
        <v>2304</v>
      </c>
      <c r="BM354" s="10">
        <v>150180</v>
      </c>
      <c r="BN354" s="16">
        <f t="shared" si="11"/>
        <v>147876</v>
      </c>
      <c r="BO354" s="14">
        <f t="shared" si="12"/>
        <v>103513.2</v>
      </c>
    </row>
    <row r="355" spans="1:67" x14ac:dyDescent="0.3">
      <c r="A355" s="5" t="s">
        <v>543</v>
      </c>
      <c r="B355" s="5" t="s">
        <v>81</v>
      </c>
      <c r="C355" s="5">
        <v>245889</v>
      </c>
      <c r="D355" s="6"/>
      <c r="E355" s="5" t="s">
        <v>32</v>
      </c>
      <c r="F355" s="5" t="s">
        <v>48</v>
      </c>
      <c r="G355" s="5" t="s">
        <v>11</v>
      </c>
      <c r="H355" s="7" t="s">
        <v>7</v>
      </c>
      <c r="I355" s="7" t="s">
        <v>82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7">
        <v>56</v>
      </c>
      <c r="U355" s="7">
        <v>0</v>
      </c>
      <c r="V355" s="7">
        <v>0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214</v>
      </c>
      <c r="AF355" s="8">
        <v>21400</v>
      </c>
      <c r="AG355" s="7">
        <v>0</v>
      </c>
      <c r="AH355" s="7">
        <v>0</v>
      </c>
      <c r="AI355" s="7">
        <v>0</v>
      </c>
      <c r="AJ355" s="7">
        <v>0</v>
      </c>
      <c r="AK355" s="7">
        <v>718</v>
      </c>
      <c r="AL355" s="8">
        <v>74760</v>
      </c>
      <c r="AM355" s="8">
        <v>9500</v>
      </c>
      <c r="AN355" s="7">
        <v>0</v>
      </c>
      <c r="AO355" s="7">
        <v>0</v>
      </c>
      <c r="AP355" s="7">
        <v>0</v>
      </c>
      <c r="AQ355" s="7">
        <v>214</v>
      </c>
      <c r="AR355" s="8">
        <v>21400</v>
      </c>
      <c r="AS355" s="7">
        <v>0</v>
      </c>
      <c r="AT355" s="7">
        <v>0</v>
      </c>
      <c r="AU355" s="7">
        <v>0</v>
      </c>
      <c r="AV355" s="7">
        <v>0</v>
      </c>
      <c r="AW355" s="7">
        <v>0</v>
      </c>
      <c r="AX355" s="7">
        <v>0</v>
      </c>
      <c r="AY355" s="7">
        <v>0</v>
      </c>
      <c r="AZ355" s="7">
        <v>0</v>
      </c>
      <c r="BA355" s="7">
        <v>0</v>
      </c>
      <c r="BB355" s="7">
        <v>0</v>
      </c>
      <c r="BC355" s="7">
        <v>0</v>
      </c>
      <c r="BD355" s="7">
        <v>0</v>
      </c>
      <c r="BE355" s="7">
        <v>0</v>
      </c>
      <c r="BF355" s="7">
        <v>0</v>
      </c>
      <c r="BG355" s="7">
        <v>0</v>
      </c>
      <c r="BH355" s="7">
        <v>0</v>
      </c>
      <c r="BI355" s="7">
        <v>0</v>
      </c>
      <c r="BJ355" s="7">
        <v>0</v>
      </c>
      <c r="BK355" s="7">
        <v>0</v>
      </c>
      <c r="BL355" s="9">
        <v>22428</v>
      </c>
      <c r="BM355" s="10">
        <v>127060</v>
      </c>
      <c r="BN355" s="16">
        <f t="shared" si="11"/>
        <v>104632</v>
      </c>
      <c r="BO355" s="14">
        <f t="shared" si="12"/>
        <v>73242.399999999994</v>
      </c>
    </row>
    <row r="356" spans="1:67" x14ac:dyDescent="0.3">
      <c r="A356" s="5" t="s">
        <v>522</v>
      </c>
      <c r="B356" s="5" t="s">
        <v>62</v>
      </c>
      <c r="C356" s="5">
        <v>321812</v>
      </c>
      <c r="D356" s="6"/>
      <c r="E356" s="5" t="s">
        <v>32</v>
      </c>
      <c r="F356" s="5" t="s">
        <v>48</v>
      </c>
      <c r="G356" s="5" t="s">
        <v>11</v>
      </c>
      <c r="H356" s="7" t="s">
        <v>7</v>
      </c>
      <c r="I356" s="7" t="s">
        <v>63</v>
      </c>
      <c r="J356" s="7">
        <v>0</v>
      </c>
      <c r="K356" s="7">
        <v>0</v>
      </c>
      <c r="L356" s="7">
        <v>0</v>
      </c>
      <c r="M356" s="7">
        <v>0</v>
      </c>
      <c r="N356" s="7">
        <v>0</v>
      </c>
      <c r="O356" s="7">
        <v>0</v>
      </c>
      <c r="P356" s="7">
        <v>0</v>
      </c>
      <c r="Q356" s="7">
        <v>0</v>
      </c>
      <c r="R356" s="7">
        <v>0</v>
      </c>
      <c r="S356" s="7">
        <v>0</v>
      </c>
      <c r="T356" s="7">
        <v>83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Z356" s="7">
        <v>0</v>
      </c>
      <c r="AA356" s="7">
        <v>0</v>
      </c>
      <c r="AB356" s="7">
        <v>0</v>
      </c>
      <c r="AC356" s="7">
        <v>0</v>
      </c>
      <c r="AD356" s="7">
        <v>0</v>
      </c>
      <c r="AE356" s="7">
        <v>145</v>
      </c>
      <c r="AF356" s="8">
        <v>13700</v>
      </c>
      <c r="AG356" s="7">
        <v>800</v>
      </c>
      <c r="AH356" s="7">
        <v>0</v>
      </c>
      <c r="AI356" s="7">
        <v>0</v>
      </c>
      <c r="AJ356" s="7">
        <v>0</v>
      </c>
      <c r="AK356" s="7">
        <v>595</v>
      </c>
      <c r="AL356" s="8">
        <v>38645</v>
      </c>
      <c r="AM356" s="8">
        <v>27400</v>
      </c>
      <c r="AN356" s="7">
        <v>0</v>
      </c>
      <c r="AO356" s="7">
        <v>0</v>
      </c>
      <c r="AP356" s="7">
        <v>0</v>
      </c>
      <c r="AQ356" s="7">
        <v>462</v>
      </c>
      <c r="AR356" s="8">
        <v>45200</v>
      </c>
      <c r="AS356" s="8">
        <v>1000</v>
      </c>
      <c r="AT356" s="7">
        <v>0</v>
      </c>
      <c r="AU356" s="7">
        <v>0</v>
      </c>
      <c r="AV356" s="7">
        <v>0</v>
      </c>
      <c r="AW356" s="7">
        <v>0</v>
      </c>
      <c r="AX356" s="7">
        <v>0</v>
      </c>
      <c r="AY356" s="7">
        <v>0</v>
      </c>
      <c r="AZ356" s="7">
        <v>0</v>
      </c>
      <c r="BA356" s="7">
        <v>0</v>
      </c>
      <c r="BB356" s="7">
        <v>0</v>
      </c>
      <c r="BC356" s="7">
        <v>0</v>
      </c>
      <c r="BD356" s="7">
        <v>0</v>
      </c>
      <c r="BE356" s="7">
        <v>0</v>
      </c>
      <c r="BF356" s="7">
        <v>0</v>
      </c>
      <c r="BG356" s="7">
        <v>0</v>
      </c>
      <c r="BH356" s="7">
        <v>0</v>
      </c>
      <c r="BI356" s="7">
        <v>0</v>
      </c>
      <c r="BJ356" s="7">
        <v>0</v>
      </c>
      <c r="BK356" s="7">
        <v>0</v>
      </c>
      <c r="BL356" s="9">
        <v>11593.5</v>
      </c>
      <c r="BM356" s="10">
        <v>126745</v>
      </c>
      <c r="BN356" s="16">
        <f t="shared" si="11"/>
        <v>115151.5</v>
      </c>
      <c r="BO356" s="14">
        <f t="shared" si="12"/>
        <v>80606.049999999988</v>
      </c>
    </row>
    <row r="357" spans="1:67" x14ac:dyDescent="0.3">
      <c r="A357" s="5" t="s">
        <v>522</v>
      </c>
      <c r="B357" s="5" t="s">
        <v>78</v>
      </c>
      <c r="C357" s="5">
        <v>464776</v>
      </c>
      <c r="D357" s="6"/>
      <c r="E357" s="5" t="s">
        <v>32</v>
      </c>
      <c r="F357" s="5" t="s">
        <v>79</v>
      </c>
      <c r="G357" s="5" t="s">
        <v>34</v>
      </c>
      <c r="H357" s="7" t="s">
        <v>10</v>
      </c>
      <c r="I357" s="7" t="s">
        <v>80</v>
      </c>
      <c r="J357" s="7">
        <v>0</v>
      </c>
      <c r="K357" s="7">
        <v>29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7">
        <v>0</v>
      </c>
      <c r="U357" s="7">
        <v>0</v>
      </c>
      <c r="V357" s="7">
        <v>0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315</v>
      </c>
      <c r="AF357" s="8">
        <v>29200</v>
      </c>
      <c r="AG357" s="8">
        <v>2300</v>
      </c>
      <c r="AH357" s="7">
        <v>0</v>
      </c>
      <c r="AI357" s="7">
        <v>0</v>
      </c>
      <c r="AJ357" s="7">
        <v>0</v>
      </c>
      <c r="AK357" s="7">
        <v>307</v>
      </c>
      <c r="AL357" s="8">
        <v>35748</v>
      </c>
      <c r="AM357" s="8">
        <v>1300</v>
      </c>
      <c r="AN357" s="7">
        <v>0</v>
      </c>
      <c r="AO357" s="7">
        <v>0</v>
      </c>
      <c r="AP357" s="7">
        <v>0</v>
      </c>
      <c r="AQ357" s="7">
        <v>191</v>
      </c>
      <c r="AR357" s="8">
        <v>17800</v>
      </c>
      <c r="AS357" s="8">
        <v>1300</v>
      </c>
      <c r="AT357" s="7">
        <v>0</v>
      </c>
      <c r="AU357" s="7">
        <v>0</v>
      </c>
      <c r="AV357" s="7">
        <v>0</v>
      </c>
      <c r="AW357" s="7">
        <v>0</v>
      </c>
      <c r="AX357" s="7">
        <v>0</v>
      </c>
      <c r="AY357" s="7">
        <v>0</v>
      </c>
      <c r="AZ357" s="7">
        <v>0</v>
      </c>
      <c r="BA357" s="7">
        <v>0</v>
      </c>
      <c r="BB357" s="7">
        <v>0</v>
      </c>
      <c r="BC357" s="7">
        <v>0</v>
      </c>
      <c r="BD357" s="7">
        <v>0</v>
      </c>
      <c r="BE357" s="7">
        <v>0</v>
      </c>
      <c r="BF357" s="7">
        <v>0</v>
      </c>
      <c r="BG357" s="7">
        <v>0</v>
      </c>
      <c r="BH357" s="7">
        <v>0</v>
      </c>
      <c r="BI357" s="7">
        <v>0</v>
      </c>
      <c r="BJ357" s="7">
        <v>0</v>
      </c>
      <c r="BK357" s="7">
        <v>0</v>
      </c>
      <c r="BL357" s="9">
        <v>10724.4</v>
      </c>
      <c r="BM357" s="10">
        <v>87648</v>
      </c>
      <c r="BN357" s="16">
        <f t="shared" ref="BN357:BN420" si="13">BM357-BL357</f>
        <v>76923.600000000006</v>
      </c>
      <c r="BO357" s="14">
        <f t="shared" ref="BO357:BO420" si="14">BN357*70%</f>
        <v>53846.520000000004</v>
      </c>
    </row>
    <row r="358" spans="1:67" x14ac:dyDescent="0.3">
      <c r="A358" s="5" t="s">
        <v>522</v>
      </c>
      <c r="B358" s="5" t="s">
        <v>92</v>
      </c>
      <c r="C358" s="5">
        <v>219203</v>
      </c>
      <c r="D358" s="6"/>
      <c r="E358" s="5" t="s">
        <v>32</v>
      </c>
      <c r="F358" s="5" t="s">
        <v>93</v>
      </c>
      <c r="G358" s="5" t="s">
        <v>11</v>
      </c>
      <c r="H358" s="7" t="s">
        <v>7</v>
      </c>
      <c r="I358" s="7" t="s">
        <v>94</v>
      </c>
      <c r="J358" s="7">
        <v>3</v>
      </c>
      <c r="K358" s="7">
        <v>5</v>
      </c>
      <c r="L358" s="7">
        <v>300</v>
      </c>
      <c r="M358" s="7">
        <v>0</v>
      </c>
      <c r="N358" s="7">
        <v>0</v>
      </c>
      <c r="O358" s="7">
        <v>0</v>
      </c>
      <c r="P358" s="7">
        <v>0</v>
      </c>
      <c r="Q358" s="7">
        <v>0</v>
      </c>
      <c r="R358" s="7">
        <v>0</v>
      </c>
      <c r="S358" s="7">
        <v>0</v>
      </c>
      <c r="T358" s="7">
        <v>0</v>
      </c>
      <c r="U358" s="7">
        <v>0</v>
      </c>
      <c r="V358" s="7">
        <v>0</v>
      </c>
      <c r="W358" s="7">
        <v>0</v>
      </c>
      <c r="X358" s="7">
        <v>0</v>
      </c>
      <c r="Y358" s="7">
        <v>0</v>
      </c>
      <c r="Z358" s="7">
        <v>0</v>
      </c>
      <c r="AA358" s="7">
        <v>0</v>
      </c>
      <c r="AB358" s="7">
        <v>0</v>
      </c>
      <c r="AC358" s="7">
        <v>0</v>
      </c>
      <c r="AD358" s="7">
        <v>0</v>
      </c>
      <c r="AE358" s="7">
        <v>11</v>
      </c>
      <c r="AF358" s="8">
        <v>3300</v>
      </c>
      <c r="AG358" s="7">
        <v>0</v>
      </c>
      <c r="AH358" s="7">
        <v>333</v>
      </c>
      <c r="AI358" s="8">
        <v>36458</v>
      </c>
      <c r="AJ358" s="8">
        <v>2800</v>
      </c>
      <c r="AK358" s="7">
        <v>0</v>
      </c>
      <c r="AL358" s="7">
        <v>0</v>
      </c>
      <c r="AM358" s="7">
        <v>0</v>
      </c>
      <c r="AN358" s="7">
        <v>1</v>
      </c>
      <c r="AO358" s="7">
        <v>100</v>
      </c>
      <c r="AP358" s="7">
        <v>0</v>
      </c>
      <c r="AQ358" s="7">
        <v>109</v>
      </c>
      <c r="AR358" s="8">
        <v>30500</v>
      </c>
      <c r="AS358" s="8">
        <v>2200</v>
      </c>
      <c r="AT358" s="7">
        <v>0</v>
      </c>
      <c r="AU358" s="7">
        <v>0</v>
      </c>
      <c r="AV358" s="7">
        <v>0</v>
      </c>
      <c r="AW358" s="7">
        <v>0</v>
      </c>
      <c r="AX358" s="7">
        <v>0</v>
      </c>
      <c r="AY358" s="7">
        <v>0</v>
      </c>
      <c r="AZ358" s="7">
        <v>0</v>
      </c>
      <c r="BA358" s="7">
        <v>0</v>
      </c>
      <c r="BB358" s="7">
        <v>0</v>
      </c>
      <c r="BC358" s="7">
        <v>0</v>
      </c>
      <c r="BD358" s="7">
        <v>0</v>
      </c>
      <c r="BE358" s="7">
        <v>0</v>
      </c>
      <c r="BF358" s="7">
        <v>0</v>
      </c>
      <c r="BG358" s="7">
        <v>0</v>
      </c>
      <c r="BH358" s="7">
        <v>0</v>
      </c>
      <c r="BI358" s="7">
        <v>0</v>
      </c>
      <c r="BJ358" s="7">
        <v>0</v>
      </c>
      <c r="BK358" s="7">
        <v>0</v>
      </c>
      <c r="BL358" s="9">
        <v>10937.4</v>
      </c>
      <c r="BM358" s="10">
        <v>75658</v>
      </c>
      <c r="BN358" s="16">
        <f t="shared" si="13"/>
        <v>64720.6</v>
      </c>
      <c r="BO358" s="14">
        <f t="shared" si="14"/>
        <v>45304.42</v>
      </c>
    </row>
    <row r="359" spans="1:67" x14ac:dyDescent="0.3">
      <c r="A359" s="5" t="s">
        <v>522</v>
      </c>
      <c r="B359" s="5" t="s">
        <v>86</v>
      </c>
      <c r="C359" s="5">
        <v>387417</v>
      </c>
      <c r="D359" s="6"/>
      <c r="E359" s="5" t="s">
        <v>32</v>
      </c>
      <c r="F359" s="5" t="s">
        <v>87</v>
      </c>
      <c r="G359" s="5" t="s">
        <v>11</v>
      </c>
      <c r="H359" s="7" t="s">
        <v>7</v>
      </c>
      <c r="I359" s="7" t="s">
        <v>88</v>
      </c>
      <c r="J359" s="7">
        <v>0</v>
      </c>
      <c r="K359" s="7">
        <v>16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7">
        <v>19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295</v>
      </c>
      <c r="AF359" s="8">
        <v>28800</v>
      </c>
      <c r="AG359" s="7">
        <v>700</v>
      </c>
      <c r="AH359" s="7">
        <v>0</v>
      </c>
      <c r="AI359" s="7">
        <v>0</v>
      </c>
      <c r="AJ359" s="7">
        <v>0</v>
      </c>
      <c r="AK359" s="7">
        <v>203</v>
      </c>
      <c r="AL359" s="8">
        <v>22675</v>
      </c>
      <c r="AM359" s="8">
        <v>1800</v>
      </c>
      <c r="AN359" s="7">
        <v>0</v>
      </c>
      <c r="AO359" s="7">
        <v>0</v>
      </c>
      <c r="AP359" s="7">
        <v>0</v>
      </c>
      <c r="AQ359" s="7">
        <v>73</v>
      </c>
      <c r="AR359" s="8">
        <v>6900</v>
      </c>
      <c r="AS359" s="7">
        <v>400</v>
      </c>
      <c r="AT359" s="7">
        <v>0</v>
      </c>
      <c r="AU359" s="7">
        <v>0</v>
      </c>
      <c r="AV359" s="7">
        <v>0</v>
      </c>
      <c r="AW359" s="7">
        <v>0</v>
      </c>
      <c r="AX359" s="7">
        <v>0</v>
      </c>
      <c r="AY359" s="7">
        <v>0</v>
      </c>
      <c r="AZ359" s="7">
        <v>0</v>
      </c>
      <c r="BA359" s="7">
        <v>0</v>
      </c>
      <c r="BB359" s="7">
        <v>0</v>
      </c>
      <c r="BC359" s="7">
        <v>0</v>
      </c>
      <c r="BD359" s="7">
        <v>0</v>
      </c>
      <c r="BE359" s="7">
        <v>0</v>
      </c>
      <c r="BF359" s="7">
        <v>0</v>
      </c>
      <c r="BG359" s="7">
        <v>0</v>
      </c>
      <c r="BH359" s="7">
        <v>0</v>
      </c>
      <c r="BI359" s="7">
        <v>0</v>
      </c>
      <c r="BJ359" s="7">
        <v>0</v>
      </c>
      <c r="BK359" s="7">
        <v>0</v>
      </c>
      <c r="BL359" s="9">
        <v>6802.5</v>
      </c>
      <c r="BM359" s="10">
        <v>61275</v>
      </c>
      <c r="BN359" s="16">
        <f t="shared" si="13"/>
        <v>54472.5</v>
      </c>
      <c r="BO359" s="14">
        <f t="shared" si="14"/>
        <v>38130.75</v>
      </c>
    </row>
    <row r="360" spans="1:67" x14ac:dyDescent="0.3">
      <c r="A360" s="5" t="s">
        <v>522</v>
      </c>
      <c r="B360" s="5" t="s">
        <v>83</v>
      </c>
      <c r="C360" s="5">
        <v>386960</v>
      </c>
      <c r="D360" s="6"/>
      <c r="E360" s="5" t="s">
        <v>32</v>
      </c>
      <c r="F360" s="5" t="s">
        <v>84</v>
      </c>
      <c r="G360" s="5" t="s">
        <v>11</v>
      </c>
      <c r="H360" s="7" t="s">
        <v>7</v>
      </c>
      <c r="I360" s="7" t="s">
        <v>85</v>
      </c>
      <c r="J360" s="7">
        <v>0</v>
      </c>
      <c r="K360" s="7">
        <v>0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  <c r="Q360" s="7">
        <v>0</v>
      </c>
      <c r="R360" s="7">
        <v>0</v>
      </c>
      <c r="S360" s="7">
        <v>0</v>
      </c>
      <c r="T360" s="7">
        <v>31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Z360" s="7">
        <v>0</v>
      </c>
      <c r="AA360" s="7">
        <v>0</v>
      </c>
      <c r="AB360" s="7">
        <v>0</v>
      </c>
      <c r="AC360" s="7">
        <v>0</v>
      </c>
      <c r="AD360" s="7">
        <v>0</v>
      </c>
      <c r="AE360" s="7">
        <v>321</v>
      </c>
      <c r="AF360" s="8">
        <v>31100</v>
      </c>
      <c r="AG360" s="8">
        <v>1000</v>
      </c>
      <c r="AH360" s="7">
        <v>0</v>
      </c>
      <c r="AI360" s="7">
        <v>0</v>
      </c>
      <c r="AJ360" s="7">
        <v>0</v>
      </c>
      <c r="AK360" s="7">
        <v>4</v>
      </c>
      <c r="AL360" s="7">
        <v>0</v>
      </c>
      <c r="AM360" s="7">
        <v>400</v>
      </c>
      <c r="AN360" s="7">
        <v>0</v>
      </c>
      <c r="AO360" s="7">
        <v>0</v>
      </c>
      <c r="AP360" s="7">
        <v>0</v>
      </c>
      <c r="AQ360" s="7">
        <v>221</v>
      </c>
      <c r="AR360" s="8">
        <v>21700</v>
      </c>
      <c r="AS360" s="7">
        <v>400</v>
      </c>
      <c r="AT360" s="7">
        <v>0</v>
      </c>
      <c r="AU360" s="7">
        <v>0</v>
      </c>
      <c r="AV360" s="7">
        <v>0</v>
      </c>
      <c r="AW360" s="7">
        <v>0</v>
      </c>
      <c r="AX360" s="7">
        <v>0</v>
      </c>
      <c r="AY360" s="7">
        <v>0</v>
      </c>
      <c r="AZ360" s="7">
        <v>0</v>
      </c>
      <c r="BA360" s="7">
        <v>0</v>
      </c>
      <c r="BB360" s="7">
        <v>0</v>
      </c>
      <c r="BC360" s="7">
        <v>0</v>
      </c>
      <c r="BD360" s="7">
        <v>0</v>
      </c>
      <c r="BE360" s="7">
        <v>0</v>
      </c>
      <c r="BF360" s="7">
        <v>0</v>
      </c>
      <c r="BG360" s="7">
        <v>0</v>
      </c>
      <c r="BH360" s="7">
        <v>0</v>
      </c>
      <c r="BI360" s="7">
        <v>0</v>
      </c>
      <c r="BJ360" s="7">
        <v>0</v>
      </c>
      <c r="BK360" s="7">
        <v>0</v>
      </c>
      <c r="BL360" s="7">
        <v>0</v>
      </c>
      <c r="BM360" s="10">
        <v>54600</v>
      </c>
      <c r="BN360" s="16">
        <f t="shared" si="13"/>
        <v>54600</v>
      </c>
      <c r="BO360" s="14">
        <f t="shared" si="14"/>
        <v>38220</v>
      </c>
    </row>
    <row r="361" spans="1:67" x14ac:dyDescent="0.3">
      <c r="A361" s="5" t="s">
        <v>522</v>
      </c>
      <c r="B361" s="5" t="s">
        <v>109</v>
      </c>
      <c r="C361" s="5">
        <v>364724</v>
      </c>
      <c r="D361" s="6"/>
      <c r="E361" s="5" t="s">
        <v>32</v>
      </c>
      <c r="F361" s="5" t="s">
        <v>110</v>
      </c>
      <c r="G361" s="5" t="s">
        <v>11</v>
      </c>
      <c r="H361" s="7" t="s">
        <v>7</v>
      </c>
      <c r="I361" s="7" t="s">
        <v>111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7">
        <v>17</v>
      </c>
      <c r="U361" s="7">
        <v>0</v>
      </c>
      <c r="V361" s="7">
        <v>0</v>
      </c>
      <c r="W361" s="7">
        <v>0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61</v>
      </c>
      <c r="AF361" s="8">
        <v>6100</v>
      </c>
      <c r="AG361" s="7">
        <v>0</v>
      </c>
      <c r="AH361" s="7">
        <v>0</v>
      </c>
      <c r="AI361" s="7">
        <v>0</v>
      </c>
      <c r="AJ361" s="7">
        <v>0</v>
      </c>
      <c r="AK361" s="7">
        <v>284</v>
      </c>
      <c r="AL361" s="8">
        <v>33880</v>
      </c>
      <c r="AM361" s="7">
        <v>100</v>
      </c>
      <c r="AN361" s="7">
        <v>0</v>
      </c>
      <c r="AO361" s="7">
        <v>0</v>
      </c>
      <c r="AP361" s="7">
        <v>0</v>
      </c>
      <c r="AQ361" s="7">
        <v>140</v>
      </c>
      <c r="AR361" s="8">
        <v>12000</v>
      </c>
      <c r="AS361" s="8">
        <v>2000</v>
      </c>
      <c r="AT361" s="7">
        <v>0</v>
      </c>
      <c r="AU361" s="7">
        <v>0</v>
      </c>
      <c r="AV361" s="7">
        <v>0</v>
      </c>
      <c r="AW361" s="7">
        <v>0</v>
      </c>
      <c r="AX361" s="7">
        <v>0</v>
      </c>
      <c r="AY361" s="7">
        <v>0</v>
      </c>
      <c r="AZ361" s="7">
        <v>0</v>
      </c>
      <c r="BA361" s="7">
        <v>0</v>
      </c>
      <c r="BB361" s="7">
        <v>0</v>
      </c>
      <c r="BC361" s="7">
        <v>0</v>
      </c>
      <c r="BD361" s="7">
        <v>0</v>
      </c>
      <c r="BE361" s="7">
        <v>0</v>
      </c>
      <c r="BF361" s="7">
        <v>0</v>
      </c>
      <c r="BG361" s="7">
        <v>0</v>
      </c>
      <c r="BH361" s="7">
        <v>0</v>
      </c>
      <c r="BI361" s="7">
        <v>0</v>
      </c>
      <c r="BJ361" s="7">
        <v>0</v>
      </c>
      <c r="BK361" s="7">
        <v>0</v>
      </c>
      <c r="BL361" s="9">
        <v>10164</v>
      </c>
      <c r="BM361" s="10">
        <v>54080</v>
      </c>
      <c r="BN361" s="16">
        <f t="shared" si="13"/>
        <v>43916</v>
      </c>
      <c r="BO361" s="14">
        <f t="shared" si="14"/>
        <v>30741.199999999997</v>
      </c>
    </row>
    <row r="362" spans="1:67" x14ac:dyDescent="0.3">
      <c r="A362" s="5" t="s">
        <v>522</v>
      </c>
      <c r="B362" s="5" t="s">
        <v>95</v>
      </c>
      <c r="C362" s="5">
        <v>465250</v>
      </c>
      <c r="D362" s="6"/>
      <c r="E362" s="5" t="s">
        <v>32</v>
      </c>
      <c r="F362" s="5" t="s">
        <v>96</v>
      </c>
      <c r="G362" s="5" t="s">
        <v>34</v>
      </c>
      <c r="H362" s="7" t="s">
        <v>7</v>
      </c>
      <c r="I362" s="7" t="s">
        <v>97</v>
      </c>
      <c r="J362" s="7">
        <v>0</v>
      </c>
      <c r="K362" s="7">
        <v>18</v>
      </c>
      <c r="L362" s="7">
        <v>0</v>
      </c>
      <c r="M362" s="7">
        <v>0</v>
      </c>
      <c r="N362" s="7">
        <v>0</v>
      </c>
      <c r="O362" s="7">
        <v>0</v>
      </c>
      <c r="P362" s="7">
        <v>0</v>
      </c>
      <c r="Q362" s="7">
        <v>0</v>
      </c>
      <c r="R362" s="7">
        <v>0</v>
      </c>
      <c r="S362" s="7">
        <v>0</v>
      </c>
      <c r="T362" s="7">
        <v>0</v>
      </c>
      <c r="U362" s="7">
        <v>0</v>
      </c>
      <c r="V362" s="7">
        <v>0</v>
      </c>
      <c r="W362" s="7">
        <v>0</v>
      </c>
      <c r="X362" s="7">
        <v>0</v>
      </c>
      <c r="Y362" s="7">
        <v>0</v>
      </c>
      <c r="Z362" s="7">
        <v>0</v>
      </c>
      <c r="AA362" s="7">
        <v>0</v>
      </c>
      <c r="AB362" s="7">
        <v>0</v>
      </c>
      <c r="AC362" s="7">
        <v>0</v>
      </c>
      <c r="AD362" s="7">
        <v>0</v>
      </c>
      <c r="AE362" s="7">
        <v>475</v>
      </c>
      <c r="AF362" s="8">
        <v>47500</v>
      </c>
      <c r="AG362" s="7">
        <v>0</v>
      </c>
      <c r="AH362" s="7">
        <v>0</v>
      </c>
      <c r="AI362" s="7">
        <v>0</v>
      </c>
      <c r="AJ362" s="7">
        <v>0</v>
      </c>
      <c r="AK362" s="7">
        <v>20</v>
      </c>
      <c r="AL362" s="8">
        <v>2672</v>
      </c>
      <c r="AM362" s="7">
        <v>0</v>
      </c>
      <c r="AN362" s="7">
        <v>0</v>
      </c>
      <c r="AO362" s="7">
        <v>0</v>
      </c>
      <c r="AP362" s="7">
        <v>0</v>
      </c>
      <c r="AQ362" s="7">
        <v>0</v>
      </c>
      <c r="AR362" s="7">
        <v>0</v>
      </c>
      <c r="AS362" s="7">
        <v>0</v>
      </c>
      <c r="AT362" s="7">
        <v>0</v>
      </c>
      <c r="AU362" s="7">
        <v>0</v>
      </c>
      <c r="AV362" s="7">
        <v>0</v>
      </c>
      <c r="AW362" s="7">
        <v>0</v>
      </c>
      <c r="AX362" s="7">
        <v>0</v>
      </c>
      <c r="AY362" s="7">
        <v>0</v>
      </c>
      <c r="AZ362" s="7">
        <v>0</v>
      </c>
      <c r="BA362" s="7">
        <v>0</v>
      </c>
      <c r="BB362" s="7">
        <v>0</v>
      </c>
      <c r="BC362" s="7">
        <v>0</v>
      </c>
      <c r="BD362" s="7">
        <v>0</v>
      </c>
      <c r="BE362" s="7">
        <v>0</v>
      </c>
      <c r="BF362" s="7">
        <v>0</v>
      </c>
      <c r="BG362" s="7">
        <v>0</v>
      </c>
      <c r="BH362" s="7">
        <v>0</v>
      </c>
      <c r="BI362" s="7">
        <v>0</v>
      </c>
      <c r="BJ362" s="7">
        <v>0</v>
      </c>
      <c r="BK362" s="7">
        <v>0</v>
      </c>
      <c r="BL362" s="7">
        <v>801.6</v>
      </c>
      <c r="BM362" s="10">
        <v>50172</v>
      </c>
      <c r="BN362" s="16">
        <f t="shared" si="13"/>
        <v>49370.400000000001</v>
      </c>
      <c r="BO362" s="14">
        <f t="shared" si="14"/>
        <v>34559.279999999999</v>
      </c>
    </row>
    <row r="363" spans="1:67" x14ac:dyDescent="0.3">
      <c r="A363" s="5" t="s">
        <v>522</v>
      </c>
      <c r="B363" s="5" t="s">
        <v>98</v>
      </c>
      <c r="C363" s="5">
        <v>387942</v>
      </c>
      <c r="D363" s="6"/>
      <c r="E363" s="5" t="s">
        <v>32</v>
      </c>
      <c r="F363" s="5" t="s">
        <v>99</v>
      </c>
      <c r="G363" s="5" t="s">
        <v>11</v>
      </c>
      <c r="H363" s="7" t="s">
        <v>7</v>
      </c>
      <c r="I363" s="7" t="s">
        <v>100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7">
        <v>20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234</v>
      </c>
      <c r="AF363" s="8">
        <v>22700</v>
      </c>
      <c r="AG363" s="7">
        <v>700</v>
      </c>
      <c r="AH363" s="7">
        <v>0</v>
      </c>
      <c r="AI363" s="7">
        <v>0</v>
      </c>
      <c r="AJ363" s="7">
        <v>0</v>
      </c>
      <c r="AK363" s="7">
        <v>50</v>
      </c>
      <c r="AL363" s="8">
        <v>6000</v>
      </c>
      <c r="AM363" s="7">
        <v>0</v>
      </c>
      <c r="AN363" s="7">
        <v>0</v>
      </c>
      <c r="AO363" s="7">
        <v>0</v>
      </c>
      <c r="AP363" s="7">
        <v>0</v>
      </c>
      <c r="AQ363" s="7">
        <v>161</v>
      </c>
      <c r="AR363" s="8">
        <v>16100</v>
      </c>
      <c r="AS363" s="7">
        <v>0</v>
      </c>
      <c r="AT363" s="7">
        <v>0</v>
      </c>
      <c r="AU363" s="7">
        <v>0</v>
      </c>
      <c r="AV363" s="7">
        <v>0</v>
      </c>
      <c r="AW363" s="7">
        <v>0</v>
      </c>
      <c r="AX363" s="7">
        <v>0</v>
      </c>
      <c r="AY363" s="7">
        <v>0</v>
      </c>
      <c r="AZ363" s="7">
        <v>0</v>
      </c>
      <c r="BA363" s="7">
        <v>0</v>
      </c>
      <c r="BB363" s="7">
        <v>0</v>
      </c>
      <c r="BC363" s="7">
        <v>0</v>
      </c>
      <c r="BD363" s="7">
        <v>0</v>
      </c>
      <c r="BE363" s="7">
        <v>0</v>
      </c>
      <c r="BF363" s="7">
        <v>0</v>
      </c>
      <c r="BG363" s="7">
        <v>0</v>
      </c>
      <c r="BH363" s="7">
        <v>0</v>
      </c>
      <c r="BI363" s="7">
        <v>0</v>
      </c>
      <c r="BJ363" s="7">
        <v>0</v>
      </c>
      <c r="BK363" s="7">
        <v>0</v>
      </c>
      <c r="BL363" s="9">
        <v>1800</v>
      </c>
      <c r="BM363" s="10">
        <v>45500</v>
      </c>
      <c r="BN363" s="16">
        <f t="shared" si="13"/>
        <v>43700</v>
      </c>
      <c r="BO363" s="14">
        <f t="shared" si="14"/>
        <v>30589.999999999996</v>
      </c>
    </row>
    <row r="364" spans="1:67" x14ac:dyDescent="0.3">
      <c r="A364" s="5" t="s">
        <v>542</v>
      </c>
      <c r="B364" s="5" t="s">
        <v>101</v>
      </c>
      <c r="C364" s="5">
        <v>429621</v>
      </c>
      <c r="D364" s="6"/>
      <c r="E364" s="5" t="s">
        <v>32</v>
      </c>
      <c r="F364" s="5" t="s">
        <v>102</v>
      </c>
      <c r="G364" s="5" t="s">
        <v>11</v>
      </c>
      <c r="H364" s="7" t="s">
        <v>8</v>
      </c>
      <c r="I364" s="7" t="s">
        <v>103</v>
      </c>
      <c r="J364" s="7">
        <v>0</v>
      </c>
      <c r="K364" s="7">
        <v>0</v>
      </c>
      <c r="L364" s="7">
        <v>0</v>
      </c>
      <c r="M364" s="7">
        <v>0</v>
      </c>
      <c r="N364" s="7">
        <v>0</v>
      </c>
      <c r="O364" s="7">
        <v>0</v>
      </c>
      <c r="P364" s="7">
        <v>0</v>
      </c>
      <c r="Q364" s="7">
        <v>0</v>
      </c>
      <c r="R364" s="7">
        <v>0</v>
      </c>
      <c r="S364" s="7">
        <v>0</v>
      </c>
      <c r="T364" s="7">
        <v>14</v>
      </c>
      <c r="U364" s="7">
        <v>0</v>
      </c>
      <c r="V364" s="7">
        <v>0</v>
      </c>
      <c r="W364" s="7">
        <v>0</v>
      </c>
      <c r="X364" s="7">
        <v>0</v>
      </c>
      <c r="Y364" s="7">
        <v>0</v>
      </c>
      <c r="Z364" s="7">
        <v>0</v>
      </c>
      <c r="AA364" s="7">
        <v>0</v>
      </c>
      <c r="AB364" s="7">
        <v>0</v>
      </c>
      <c r="AC364" s="7">
        <v>0</v>
      </c>
      <c r="AD364" s="7">
        <v>0</v>
      </c>
      <c r="AE364" s="7">
        <v>217</v>
      </c>
      <c r="AF364" s="8">
        <v>21700</v>
      </c>
      <c r="AG364" s="7">
        <v>0</v>
      </c>
      <c r="AH364" s="7">
        <v>0</v>
      </c>
      <c r="AI364" s="7">
        <v>0</v>
      </c>
      <c r="AJ364" s="7">
        <v>0</v>
      </c>
      <c r="AK364" s="7">
        <v>102</v>
      </c>
      <c r="AL364" s="8">
        <v>12240</v>
      </c>
      <c r="AM364" s="7">
        <v>0</v>
      </c>
      <c r="AN364" s="7">
        <v>0</v>
      </c>
      <c r="AO364" s="7">
        <v>0</v>
      </c>
      <c r="AP364" s="7">
        <v>0</v>
      </c>
      <c r="AQ364" s="7">
        <v>38</v>
      </c>
      <c r="AR364" s="8">
        <v>3800</v>
      </c>
      <c r="AS364" s="7">
        <v>0</v>
      </c>
      <c r="AT364" s="7">
        <v>0</v>
      </c>
      <c r="AU364" s="7">
        <v>0</v>
      </c>
      <c r="AV364" s="7">
        <v>0</v>
      </c>
      <c r="AW364" s="7">
        <v>0</v>
      </c>
      <c r="AX364" s="7">
        <v>0</v>
      </c>
      <c r="AY364" s="7">
        <v>0</v>
      </c>
      <c r="AZ364" s="7">
        <v>0</v>
      </c>
      <c r="BA364" s="7">
        <v>0</v>
      </c>
      <c r="BB364" s="7">
        <v>0</v>
      </c>
      <c r="BC364" s="7">
        <v>0</v>
      </c>
      <c r="BD364" s="7">
        <v>0</v>
      </c>
      <c r="BE364" s="7">
        <v>0</v>
      </c>
      <c r="BF364" s="7">
        <v>0</v>
      </c>
      <c r="BG364" s="7">
        <v>0</v>
      </c>
      <c r="BH364" s="7">
        <v>0</v>
      </c>
      <c r="BI364" s="7">
        <v>0</v>
      </c>
      <c r="BJ364" s="7">
        <v>0</v>
      </c>
      <c r="BK364" s="7">
        <v>0</v>
      </c>
      <c r="BL364" s="9">
        <v>3672</v>
      </c>
      <c r="BM364" s="10">
        <v>37740</v>
      </c>
      <c r="BN364" s="16">
        <f t="shared" si="13"/>
        <v>34068</v>
      </c>
      <c r="BO364" s="14">
        <f t="shared" si="14"/>
        <v>23847.599999999999</v>
      </c>
    </row>
    <row r="365" spans="1:67" x14ac:dyDescent="0.3">
      <c r="A365" s="5" t="s">
        <v>543</v>
      </c>
      <c r="B365" s="5" t="s">
        <v>75</v>
      </c>
      <c r="C365" s="5">
        <v>463946</v>
      </c>
      <c r="D365" s="6"/>
      <c r="E365" s="5" t="s">
        <v>32</v>
      </c>
      <c r="F365" s="5" t="s">
        <v>76</v>
      </c>
      <c r="G365" s="5" t="s">
        <v>11</v>
      </c>
      <c r="H365" s="7" t="s">
        <v>7</v>
      </c>
      <c r="I365" s="7" t="s">
        <v>77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7">
        <v>14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325</v>
      </c>
      <c r="AF365" s="8">
        <v>32500</v>
      </c>
      <c r="AG365" s="7">
        <v>0</v>
      </c>
      <c r="AH365" s="7">
        <v>0</v>
      </c>
      <c r="AI365" s="7">
        <v>0</v>
      </c>
      <c r="AJ365" s="7">
        <v>0</v>
      </c>
      <c r="AK365" s="7">
        <v>8</v>
      </c>
      <c r="AL365" s="7">
        <v>720</v>
      </c>
      <c r="AM365" s="7">
        <v>200</v>
      </c>
      <c r="AN365" s="7">
        <v>0</v>
      </c>
      <c r="AO365" s="7">
        <v>0</v>
      </c>
      <c r="AP365" s="7">
        <v>0</v>
      </c>
      <c r="AQ365" s="7">
        <v>30</v>
      </c>
      <c r="AR365" s="8">
        <v>3000</v>
      </c>
      <c r="AS365" s="7">
        <v>0</v>
      </c>
      <c r="AT365" s="7">
        <v>0</v>
      </c>
      <c r="AU365" s="7">
        <v>0</v>
      </c>
      <c r="AV365" s="7">
        <v>0</v>
      </c>
      <c r="AW365" s="7">
        <v>0</v>
      </c>
      <c r="AX365" s="7">
        <v>0</v>
      </c>
      <c r="AY365" s="7">
        <v>0</v>
      </c>
      <c r="AZ365" s="7">
        <v>0</v>
      </c>
      <c r="BA365" s="7">
        <v>0</v>
      </c>
      <c r="BB365" s="7">
        <v>0</v>
      </c>
      <c r="BC365" s="7">
        <v>0</v>
      </c>
      <c r="BD365" s="7">
        <v>0</v>
      </c>
      <c r="BE365" s="7">
        <v>0</v>
      </c>
      <c r="BF365" s="7">
        <v>0</v>
      </c>
      <c r="BG365" s="7">
        <v>0</v>
      </c>
      <c r="BH365" s="7">
        <v>0</v>
      </c>
      <c r="BI365" s="7">
        <v>0</v>
      </c>
      <c r="BJ365" s="7">
        <v>0</v>
      </c>
      <c r="BK365" s="7">
        <v>0</v>
      </c>
      <c r="BL365" s="7">
        <v>216</v>
      </c>
      <c r="BM365" s="10">
        <v>36420</v>
      </c>
      <c r="BN365" s="16">
        <f t="shared" si="13"/>
        <v>36204</v>
      </c>
      <c r="BO365" s="14">
        <f t="shared" si="14"/>
        <v>25342.799999999999</v>
      </c>
    </row>
    <row r="366" spans="1:67" x14ac:dyDescent="0.3">
      <c r="A366" s="5" t="s">
        <v>522</v>
      </c>
      <c r="B366" s="5" t="s">
        <v>106</v>
      </c>
      <c r="C366" s="5">
        <v>422032</v>
      </c>
      <c r="D366" s="6"/>
      <c r="E366" s="5" t="s">
        <v>32</v>
      </c>
      <c r="F366" s="5" t="s">
        <v>107</v>
      </c>
      <c r="G366" s="5" t="s">
        <v>11</v>
      </c>
      <c r="H366" s="7" t="s">
        <v>10</v>
      </c>
      <c r="I366" s="7" t="s">
        <v>108</v>
      </c>
      <c r="J366" s="7">
        <v>0</v>
      </c>
      <c r="K366" s="7">
        <v>0</v>
      </c>
      <c r="L366" s="7">
        <v>0</v>
      </c>
      <c r="M366" s="7">
        <v>0</v>
      </c>
      <c r="N366" s="7">
        <v>0</v>
      </c>
      <c r="O366" s="7">
        <v>0</v>
      </c>
      <c r="P366" s="7">
        <v>0</v>
      </c>
      <c r="Q366" s="7">
        <v>0</v>
      </c>
      <c r="R366" s="7">
        <v>0</v>
      </c>
      <c r="S366" s="7">
        <v>0</v>
      </c>
      <c r="T366" s="7">
        <v>18</v>
      </c>
      <c r="U366" s="7">
        <v>0</v>
      </c>
      <c r="V366" s="7">
        <v>0</v>
      </c>
      <c r="W366" s="7">
        <v>0</v>
      </c>
      <c r="X366" s="7">
        <v>0</v>
      </c>
      <c r="Y366" s="7">
        <v>0</v>
      </c>
      <c r="Z366" s="7">
        <v>0</v>
      </c>
      <c r="AA366" s="7">
        <v>0</v>
      </c>
      <c r="AB366" s="7">
        <v>0</v>
      </c>
      <c r="AC366" s="7">
        <v>0</v>
      </c>
      <c r="AD366" s="7">
        <v>0</v>
      </c>
      <c r="AE366" s="7">
        <v>94</v>
      </c>
      <c r="AF366" s="8">
        <v>9400</v>
      </c>
      <c r="AG366" s="7">
        <v>0</v>
      </c>
      <c r="AH366" s="7">
        <v>0</v>
      </c>
      <c r="AI366" s="7">
        <v>0</v>
      </c>
      <c r="AJ366" s="7">
        <v>0</v>
      </c>
      <c r="AK366" s="7">
        <v>214</v>
      </c>
      <c r="AL366" s="8">
        <v>25680</v>
      </c>
      <c r="AM366" s="7">
        <v>0</v>
      </c>
      <c r="AN366" s="7">
        <v>0</v>
      </c>
      <c r="AO366" s="7">
        <v>0</v>
      </c>
      <c r="AP366" s="7">
        <v>0</v>
      </c>
      <c r="AQ366" s="7">
        <v>0</v>
      </c>
      <c r="AR366" s="7">
        <v>0</v>
      </c>
      <c r="AS366" s="7">
        <v>0</v>
      </c>
      <c r="AT366" s="7">
        <v>0</v>
      </c>
      <c r="AU366" s="7">
        <v>0</v>
      </c>
      <c r="AV366" s="7">
        <v>0</v>
      </c>
      <c r="AW366" s="7">
        <v>0</v>
      </c>
      <c r="AX366" s="7">
        <v>0</v>
      </c>
      <c r="AY366" s="7">
        <v>0</v>
      </c>
      <c r="AZ366" s="7">
        <v>0</v>
      </c>
      <c r="BA366" s="7">
        <v>0</v>
      </c>
      <c r="BB366" s="7">
        <v>0</v>
      </c>
      <c r="BC366" s="7">
        <v>0</v>
      </c>
      <c r="BD366" s="7">
        <v>0</v>
      </c>
      <c r="BE366" s="7">
        <v>0</v>
      </c>
      <c r="BF366" s="7">
        <v>0</v>
      </c>
      <c r="BG366" s="7">
        <v>0</v>
      </c>
      <c r="BH366" s="7">
        <v>0</v>
      </c>
      <c r="BI366" s="7">
        <v>0</v>
      </c>
      <c r="BJ366" s="7">
        <v>0</v>
      </c>
      <c r="BK366" s="7">
        <v>0</v>
      </c>
      <c r="BL366" s="9">
        <v>7704</v>
      </c>
      <c r="BM366" s="10">
        <v>35080</v>
      </c>
      <c r="BN366" s="16">
        <f t="shared" si="13"/>
        <v>27376</v>
      </c>
      <c r="BO366" s="14">
        <f t="shared" si="14"/>
        <v>19163.199999999997</v>
      </c>
    </row>
    <row r="367" spans="1:67" x14ac:dyDescent="0.3">
      <c r="A367" s="5" t="s">
        <v>522</v>
      </c>
      <c r="B367" s="5" t="s">
        <v>286</v>
      </c>
      <c r="C367" s="5">
        <v>297776</v>
      </c>
      <c r="D367" s="6"/>
      <c r="E367" s="5" t="s">
        <v>32</v>
      </c>
      <c r="F367" s="5" t="s">
        <v>287</v>
      </c>
      <c r="G367" s="5" t="s">
        <v>11</v>
      </c>
      <c r="H367" s="7" t="s">
        <v>10</v>
      </c>
      <c r="I367" s="7" t="s">
        <v>288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7">
        <v>14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7">
        <v>0</v>
      </c>
      <c r="AK367" s="7">
        <v>176</v>
      </c>
      <c r="AL367" s="8">
        <v>18840</v>
      </c>
      <c r="AM367" s="8">
        <v>1900</v>
      </c>
      <c r="AN367" s="7">
        <v>0</v>
      </c>
      <c r="AO367" s="7">
        <v>0</v>
      </c>
      <c r="AP367" s="7">
        <v>0</v>
      </c>
      <c r="AQ367" s="7">
        <v>143</v>
      </c>
      <c r="AR367" s="8">
        <v>14300</v>
      </c>
      <c r="AS367" s="7">
        <v>0</v>
      </c>
      <c r="AT367" s="7">
        <v>0</v>
      </c>
      <c r="AU367" s="7">
        <v>0</v>
      </c>
      <c r="AV367" s="7">
        <v>0</v>
      </c>
      <c r="AW367" s="7">
        <v>0</v>
      </c>
      <c r="AX367" s="7">
        <v>0</v>
      </c>
      <c r="AY367" s="7">
        <v>0</v>
      </c>
      <c r="AZ367" s="7">
        <v>0</v>
      </c>
      <c r="BA367" s="7">
        <v>0</v>
      </c>
      <c r="BB367" s="7">
        <v>0</v>
      </c>
      <c r="BC367" s="7">
        <v>0</v>
      </c>
      <c r="BD367" s="7">
        <v>0</v>
      </c>
      <c r="BE367" s="7">
        <v>0</v>
      </c>
      <c r="BF367" s="7">
        <v>0</v>
      </c>
      <c r="BG367" s="7">
        <v>0</v>
      </c>
      <c r="BH367" s="7">
        <v>0</v>
      </c>
      <c r="BI367" s="7">
        <v>0</v>
      </c>
      <c r="BJ367" s="7">
        <v>0</v>
      </c>
      <c r="BK367" s="7">
        <v>0</v>
      </c>
      <c r="BL367" s="9">
        <v>5652</v>
      </c>
      <c r="BM367" s="10">
        <v>35040</v>
      </c>
      <c r="BN367" s="16">
        <f t="shared" si="13"/>
        <v>29388</v>
      </c>
      <c r="BO367" s="14">
        <f t="shared" si="14"/>
        <v>20571.599999999999</v>
      </c>
    </row>
    <row r="368" spans="1:67" x14ac:dyDescent="0.3">
      <c r="A368" s="5" t="s">
        <v>522</v>
      </c>
      <c r="B368" s="5" t="s">
        <v>128</v>
      </c>
      <c r="C368" s="5">
        <v>428379</v>
      </c>
      <c r="D368" s="6"/>
      <c r="E368" s="5" t="s">
        <v>32</v>
      </c>
      <c r="F368" s="5" t="s">
        <v>129</v>
      </c>
      <c r="G368" s="5" t="s">
        <v>11</v>
      </c>
      <c r="H368" s="7" t="s">
        <v>8</v>
      </c>
      <c r="I368" s="7" t="s">
        <v>130</v>
      </c>
      <c r="J368" s="7">
        <v>0</v>
      </c>
      <c r="K368" s="7">
        <v>0</v>
      </c>
      <c r="L368" s="7">
        <v>0</v>
      </c>
      <c r="M368" s="7">
        <v>0</v>
      </c>
      <c r="N368" s="7">
        <v>0</v>
      </c>
      <c r="O368" s="7">
        <v>0</v>
      </c>
      <c r="P368" s="7">
        <v>0</v>
      </c>
      <c r="Q368" s="7">
        <v>0</v>
      </c>
      <c r="R368" s="7">
        <v>0</v>
      </c>
      <c r="S368" s="7">
        <v>0</v>
      </c>
      <c r="T368" s="7">
        <v>1</v>
      </c>
      <c r="U368" s="7">
        <v>0</v>
      </c>
      <c r="V368" s="7">
        <v>0</v>
      </c>
      <c r="W368" s="7">
        <v>0</v>
      </c>
      <c r="X368" s="7">
        <v>0</v>
      </c>
      <c r="Y368" s="7">
        <v>0</v>
      </c>
      <c r="Z368" s="7">
        <v>0</v>
      </c>
      <c r="AA368" s="7">
        <v>0</v>
      </c>
      <c r="AB368" s="7">
        <v>0</v>
      </c>
      <c r="AC368" s="7">
        <v>0</v>
      </c>
      <c r="AD368" s="7">
        <v>0</v>
      </c>
      <c r="AE368" s="7">
        <v>110</v>
      </c>
      <c r="AF368" s="8">
        <v>9700</v>
      </c>
      <c r="AG368" s="8">
        <v>1300</v>
      </c>
      <c r="AH368" s="7">
        <v>0</v>
      </c>
      <c r="AI368" s="7">
        <v>0</v>
      </c>
      <c r="AJ368" s="7">
        <v>0</v>
      </c>
      <c r="AK368" s="7">
        <v>180</v>
      </c>
      <c r="AL368" s="8">
        <v>13680</v>
      </c>
      <c r="AM368" s="8">
        <v>6600</v>
      </c>
      <c r="AN368" s="7">
        <v>0</v>
      </c>
      <c r="AO368" s="7">
        <v>0</v>
      </c>
      <c r="AP368" s="7">
        <v>0</v>
      </c>
      <c r="AQ368" s="7">
        <v>24</v>
      </c>
      <c r="AR368" s="8">
        <v>2400</v>
      </c>
      <c r="AS368" s="7">
        <v>0</v>
      </c>
      <c r="AT368" s="7">
        <v>0</v>
      </c>
      <c r="AU368" s="7">
        <v>0</v>
      </c>
      <c r="AV368" s="7">
        <v>0</v>
      </c>
      <c r="AW368" s="7">
        <v>0</v>
      </c>
      <c r="AX368" s="7">
        <v>0</v>
      </c>
      <c r="AY368" s="7">
        <v>0</v>
      </c>
      <c r="AZ368" s="7">
        <v>0</v>
      </c>
      <c r="BA368" s="7">
        <v>0</v>
      </c>
      <c r="BB368" s="7">
        <v>0</v>
      </c>
      <c r="BC368" s="7">
        <v>0</v>
      </c>
      <c r="BD368" s="7">
        <v>0</v>
      </c>
      <c r="BE368" s="7">
        <v>0</v>
      </c>
      <c r="BF368" s="7">
        <v>0</v>
      </c>
      <c r="BG368" s="7">
        <v>0</v>
      </c>
      <c r="BH368" s="7">
        <v>0</v>
      </c>
      <c r="BI368" s="7">
        <v>0</v>
      </c>
      <c r="BJ368" s="7">
        <v>0</v>
      </c>
      <c r="BK368" s="7">
        <v>0</v>
      </c>
      <c r="BL368" s="9">
        <v>4104</v>
      </c>
      <c r="BM368" s="10">
        <v>33680</v>
      </c>
      <c r="BN368" s="16">
        <f t="shared" si="13"/>
        <v>29576</v>
      </c>
      <c r="BO368" s="14">
        <f t="shared" si="14"/>
        <v>20703.199999999997</v>
      </c>
    </row>
    <row r="369" spans="1:67" x14ac:dyDescent="0.3">
      <c r="A369" s="5" t="s">
        <v>543</v>
      </c>
      <c r="B369" s="5" t="s">
        <v>138</v>
      </c>
      <c r="C369" s="5">
        <v>415710</v>
      </c>
      <c r="D369" s="6"/>
      <c r="E369" s="5" t="s">
        <v>32</v>
      </c>
      <c r="F369" s="5" t="s">
        <v>73</v>
      </c>
      <c r="G369" s="5" t="s">
        <v>52</v>
      </c>
      <c r="H369" s="7" t="s">
        <v>8</v>
      </c>
      <c r="I369" s="7" t="s">
        <v>139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7">
        <v>9</v>
      </c>
      <c r="U369" s="7">
        <v>0</v>
      </c>
      <c r="V369" s="7">
        <v>0</v>
      </c>
      <c r="W369" s="7">
        <v>0</v>
      </c>
      <c r="X369" s="7">
        <v>0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22</v>
      </c>
      <c r="AF369" s="8">
        <v>2200</v>
      </c>
      <c r="AG369" s="7">
        <v>0</v>
      </c>
      <c r="AH369" s="7">
        <v>0</v>
      </c>
      <c r="AI369" s="7">
        <v>0</v>
      </c>
      <c r="AJ369" s="7">
        <v>0</v>
      </c>
      <c r="AK369" s="7">
        <v>167</v>
      </c>
      <c r="AL369" s="8">
        <v>19215</v>
      </c>
      <c r="AM369" s="7">
        <v>700</v>
      </c>
      <c r="AN369" s="7">
        <v>0</v>
      </c>
      <c r="AO369" s="7">
        <v>0</v>
      </c>
      <c r="AP369" s="7">
        <v>0</v>
      </c>
      <c r="AQ369" s="7">
        <v>88</v>
      </c>
      <c r="AR369" s="8">
        <v>8800</v>
      </c>
      <c r="AS369" s="7">
        <v>0</v>
      </c>
      <c r="AT369" s="7">
        <v>0</v>
      </c>
      <c r="AU369" s="7">
        <v>0</v>
      </c>
      <c r="AV369" s="7">
        <v>0</v>
      </c>
      <c r="AW369" s="7">
        <v>0</v>
      </c>
      <c r="AX369" s="7">
        <v>0</v>
      </c>
      <c r="AY369" s="7">
        <v>0</v>
      </c>
      <c r="AZ369" s="7">
        <v>0</v>
      </c>
      <c r="BA369" s="7">
        <v>0</v>
      </c>
      <c r="BB369" s="7">
        <v>0</v>
      </c>
      <c r="BC369" s="7">
        <v>0</v>
      </c>
      <c r="BD369" s="7">
        <v>0</v>
      </c>
      <c r="BE369" s="7">
        <v>0</v>
      </c>
      <c r="BF369" s="7">
        <v>0</v>
      </c>
      <c r="BG369" s="7">
        <v>0</v>
      </c>
      <c r="BH369" s="7">
        <v>0</v>
      </c>
      <c r="BI369" s="7">
        <v>0</v>
      </c>
      <c r="BJ369" s="7">
        <v>0</v>
      </c>
      <c r="BK369" s="7">
        <v>0</v>
      </c>
      <c r="BL369" s="9">
        <v>5764.5</v>
      </c>
      <c r="BM369" s="10">
        <v>30915</v>
      </c>
      <c r="BN369" s="16">
        <f t="shared" si="13"/>
        <v>25150.5</v>
      </c>
      <c r="BO369" s="14">
        <f t="shared" si="14"/>
        <v>17605.349999999999</v>
      </c>
    </row>
    <row r="370" spans="1:67" x14ac:dyDescent="0.3">
      <c r="A370" s="5" t="s">
        <v>522</v>
      </c>
      <c r="B370" s="5" t="s">
        <v>165</v>
      </c>
      <c r="C370" s="5">
        <v>367994</v>
      </c>
      <c r="D370" s="6"/>
      <c r="E370" s="5" t="s">
        <v>32</v>
      </c>
      <c r="F370" s="5" t="s">
        <v>51</v>
      </c>
      <c r="G370" s="5" t="s">
        <v>52</v>
      </c>
      <c r="H370" s="7" t="s">
        <v>8</v>
      </c>
      <c r="I370" s="7" t="s">
        <v>166</v>
      </c>
      <c r="J370" s="7">
        <v>0</v>
      </c>
      <c r="K370" s="7">
        <v>0</v>
      </c>
      <c r="L370" s="7">
        <v>0</v>
      </c>
      <c r="M370" s="7">
        <v>0</v>
      </c>
      <c r="N370" s="7">
        <v>0</v>
      </c>
      <c r="O370" s="7">
        <v>0</v>
      </c>
      <c r="P370" s="7">
        <v>0</v>
      </c>
      <c r="Q370" s="7">
        <v>0</v>
      </c>
      <c r="R370" s="7">
        <v>0</v>
      </c>
      <c r="S370" s="7">
        <v>0</v>
      </c>
      <c r="T370" s="7">
        <v>18</v>
      </c>
      <c r="U370" s="7">
        <v>0</v>
      </c>
      <c r="V370" s="7">
        <v>0</v>
      </c>
      <c r="W370" s="7">
        <v>0</v>
      </c>
      <c r="X370" s="7">
        <v>0</v>
      </c>
      <c r="Y370" s="7">
        <v>0</v>
      </c>
      <c r="Z370" s="7">
        <v>0</v>
      </c>
      <c r="AA370" s="7">
        <v>0</v>
      </c>
      <c r="AB370" s="7">
        <v>0</v>
      </c>
      <c r="AC370" s="7">
        <v>0</v>
      </c>
      <c r="AD370" s="7">
        <v>0</v>
      </c>
      <c r="AE370" s="7">
        <v>134</v>
      </c>
      <c r="AF370" s="8">
        <v>13400</v>
      </c>
      <c r="AG370" s="7">
        <v>0</v>
      </c>
      <c r="AH370" s="7">
        <v>0</v>
      </c>
      <c r="AI370" s="7">
        <v>0</v>
      </c>
      <c r="AJ370" s="7">
        <v>0</v>
      </c>
      <c r="AK370" s="7">
        <v>60</v>
      </c>
      <c r="AL370" s="8">
        <v>6840</v>
      </c>
      <c r="AM370" s="7">
        <v>300</v>
      </c>
      <c r="AN370" s="7">
        <v>0</v>
      </c>
      <c r="AO370" s="7">
        <v>0</v>
      </c>
      <c r="AP370" s="7">
        <v>0</v>
      </c>
      <c r="AQ370" s="7">
        <v>103</v>
      </c>
      <c r="AR370" s="8">
        <v>10300</v>
      </c>
      <c r="AS370" s="7">
        <v>0</v>
      </c>
      <c r="AT370" s="7">
        <v>0</v>
      </c>
      <c r="AU370" s="7">
        <v>0</v>
      </c>
      <c r="AV370" s="7">
        <v>0</v>
      </c>
      <c r="AW370" s="7">
        <v>0</v>
      </c>
      <c r="AX370" s="7">
        <v>0</v>
      </c>
      <c r="AY370" s="7">
        <v>0</v>
      </c>
      <c r="AZ370" s="7">
        <v>0</v>
      </c>
      <c r="BA370" s="7">
        <v>0</v>
      </c>
      <c r="BB370" s="7">
        <v>0</v>
      </c>
      <c r="BC370" s="7">
        <v>0</v>
      </c>
      <c r="BD370" s="7">
        <v>0</v>
      </c>
      <c r="BE370" s="7">
        <v>0</v>
      </c>
      <c r="BF370" s="7">
        <v>0</v>
      </c>
      <c r="BG370" s="7">
        <v>0</v>
      </c>
      <c r="BH370" s="7">
        <v>0</v>
      </c>
      <c r="BI370" s="7">
        <v>0</v>
      </c>
      <c r="BJ370" s="7">
        <v>0</v>
      </c>
      <c r="BK370" s="7">
        <v>0</v>
      </c>
      <c r="BL370" s="9">
        <v>2052</v>
      </c>
      <c r="BM370" s="10">
        <v>30840</v>
      </c>
      <c r="BN370" s="16">
        <f t="shared" si="13"/>
        <v>28788</v>
      </c>
      <c r="BO370" s="14">
        <f t="shared" si="14"/>
        <v>20151.599999999999</v>
      </c>
    </row>
    <row r="371" spans="1:67" x14ac:dyDescent="0.3">
      <c r="A371" s="5" t="s">
        <v>522</v>
      </c>
      <c r="B371" s="5" t="s">
        <v>135</v>
      </c>
      <c r="C371" s="5">
        <v>422368</v>
      </c>
      <c r="D371" s="6"/>
      <c r="E371" s="5" t="s">
        <v>32</v>
      </c>
      <c r="F371" s="5" t="s">
        <v>136</v>
      </c>
      <c r="G371" s="5" t="s">
        <v>11</v>
      </c>
      <c r="H371" s="7" t="s">
        <v>7</v>
      </c>
      <c r="I371" s="7" t="s">
        <v>137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7">
        <v>0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7">
        <v>0</v>
      </c>
      <c r="AK371" s="7">
        <v>7</v>
      </c>
      <c r="AL371" s="8">
        <v>26880</v>
      </c>
      <c r="AM371" s="7">
        <v>0</v>
      </c>
      <c r="AN371" s="7">
        <v>0</v>
      </c>
      <c r="AO371" s="7">
        <v>0</v>
      </c>
      <c r="AP371" s="7">
        <v>0</v>
      </c>
      <c r="AQ371" s="7">
        <v>0</v>
      </c>
      <c r="AR371" s="7">
        <v>0</v>
      </c>
      <c r="AS371" s="7">
        <v>0</v>
      </c>
      <c r="AT371" s="7">
        <v>0</v>
      </c>
      <c r="AU371" s="7">
        <v>0</v>
      </c>
      <c r="AV371" s="7">
        <v>0</v>
      </c>
      <c r="AW371" s="7">
        <v>0</v>
      </c>
      <c r="AX371" s="7">
        <v>0</v>
      </c>
      <c r="AY371" s="7">
        <v>0</v>
      </c>
      <c r="AZ371" s="7">
        <v>0</v>
      </c>
      <c r="BA371" s="7">
        <v>0</v>
      </c>
      <c r="BB371" s="7">
        <v>0</v>
      </c>
      <c r="BC371" s="7">
        <v>0</v>
      </c>
      <c r="BD371" s="7">
        <v>0</v>
      </c>
      <c r="BE371" s="7">
        <v>0</v>
      </c>
      <c r="BF371" s="7">
        <v>0</v>
      </c>
      <c r="BG371" s="7">
        <v>0</v>
      </c>
      <c r="BH371" s="7">
        <v>0</v>
      </c>
      <c r="BI371" s="7">
        <v>0</v>
      </c>
      <c r="BJ371" s="7">
        <v>0</v>
      </c>
      <c r="BK371" s="7">
        <v>0</v>
      </c>
      <c r="BL371" s="9">
        <v>8064</v>
      </c>
      <c r="BM371" s="10">
        <v>26880</v>
      </c>
      <c r="BN371" s="16">
        <f t="shared" si="13"/>
        <v>18816</v>
      </c>
      <c r="BO371" s="14">
        <f t="shared" si="14"/>
        <v>13171.199999999999</v>
      </c>
    </row>
    <row r="372" spans="1:67" x14ac:dyDescent="0.3">
      <c r="A372" s="5" t="s">
        <v>522</v>
      </c>
      <c r="B372" s="5" t="s">
        <v>261</v>
      </c>
      <c r="C372" s="5">
        <v>429534</v>
      </c>
      <c r="D372" s="6"/>
      <c r="E372" s="5" t="s">
        <v>32</v>
      </c>
      <c r="F372" s="5" t="s">
        <v>196</v>
      </c>
      <c r="G372" s="5" t="s">
        <v>11</v>
      </c>
      <c r="H372" s="7" t="s">
        <v>7</v>
      </c>
      <c r="I372" s="7" t="s">
        <v>262</v>
      </c>
      <c r="J372" s="7">
        <v>0</v>
      </c>
      <c r="K372" s="7">
        <v>0</v>
      </c>
      <c r="L372" s="7">
        <v>0</v>
      </c>
      <c r="M372" s="7">
        <v>0</v>
      </c>
      <c r="N372" s="7">
        <v>0</v>
      </c>
      <c r="O372" s="7">
        <v>0</v>
      </c>
      <c r="P372" s="7">
        <v>0</v>
      </c>
      <c r="Q372" s="7">
        <v>0</v>
      </c>
      <c r="R372" s="7">
        <v>0</v>
      </c>
      <c r="S372" s="7">
        <v>0</v>
      </c>
      <c r="T372" s="7">
        <v>0</v>
      </c>
      <c r="U372" s="7">
        <v>0</v>
      </c>
      <c r="V372" s="7">
        <v>0</v>
      </c>
      <c r="W372" s="7">
        <v>0</v>
      </c>
      <c r="X372" s="7">
        <v>0</v>
      </c>
      <c r="Y372" s="7">
        <v>0</v>
      </c>
      <c r="Z372" s="7">
        <v>0</v>
      </c>
      <c r="AA372" s="7">
        <v>0</v>
      </c>
      <c r="AB372" s="7">
        <v>0</v>
      </c>
      <c r="AC372" s="7">
        <v>0</v>
      </c>
      <c r="AD372" s="7">
        <v>0</v>
      </c>
      <c r="AE372" s="7">
        <v>5</v>
      </c>
      <c r="AF372" s="8">
        <v>10900</v>
      </c>
      <c r="AG372" s="8">
        <v>2000</v>
      </c>
      <c r="AH372" s="7">
        <v>0</v>
      </c>
      <c r="AI372" s="7">
        <v>0</v>
      </c>
      <c r="AJ372" s="7">
        <v>0</v>
      </c>
      <c r="AK372" s="7">
        <v>5</v>
      </c>
      <c r="AL372" s="8">
        <v>10080</v>
      </c>
      <c r="AM372" s="8">
        <v>3900</v>
      </c>
      <c r="AN372" s="7">
        <v>0</v>
      </c>
      <c r="AO372" s="7">
        <v>0</v>
      </c>
      <c r="AP372" s="7">
        <v>0</v>
      </c>
      <c r="AQ372" s="7">
        <v>0</v>
      </c>
      <c r="AR372" s="7">
        <v>0</v>
      </c>
      <c r="AS372" s="7">
        <v>0</v>
      </c>
      <c r="AT372" s="7">
        <v>0</v>
      </c>
      <c r="AU372" s="7">
        <v>0</v>
      </c>
      <c r="AV372" s="7">
        <v>0</v>
      </c>
      <c r="AW372" s="7">
        <v>0</v>
      </c>
      <c r="AX372" s="7">
        <v>0</v>
      </c>
      <c r="AY372" s="7">
        <v>0</v>
      </c>
      <c r="AZ372" s="7">
        <v>0</v>
      </c>
      <c r="BA372" s="7">
        <v>0</v>
      </c>
      <c r="BB372" s="7">
        <v>0</v>
      </c>
      <c r="BC372" s="7">
        <v>0</v>
      </c>
      <c r="BD372" s="7">
        <v>0</v>
      </c>
      <c r="BE372" s="7">
        <v>0</v>
      </c>
      <c r="BF372" s="7">
        <v>0</v>
      </c>
      <c r="BG372" s="7">
        <v>0</v>
      </c>
      <c r="BH372" s="7">
        <v>0</v>
      </c>
      <c r="BI372" s="7">
        <v>0</v>
      </c>
      <c r="BJ372" s="7">
        <v>0</v>
      </c>
      <c r="BK372" s="7">
        <v>0</v>
      </c>
      <c r="BL372" s="9">
        <v>3024</v>
      </c>
      <c r="BM372" s="10">
        <v>26880</v>
      </c>
      <c r="BN372" s="16">
        <f t="shared" si="13"/>
        <v>23856</v>
      </c>
      <c r="BO372" s="14">
        <f t="shared" si="14"/>
        <v>16699.2</v>
      </c>
    </row>
    <row r="373" spans="1:67" x14ac:dyDescent="0.3">
      <c r="A373" s="5" t="s">
        <v>522</v>
      </c>
      <c r="B373" s="5" t="s">
        <v>152</v>
      </c>
      <c r="C373" s="5">
        <v>383229</v>
      </c>
      <c r="D373" s="6"/>
      <c r="E373" s="5" t="s">
        <v>32</v>
      </c>
      <c r="F373" s="5" t="s">
        <v>153</v>
      </c>
      <c r="G373" s="5" t="s">
        <v>52</v>
      </c>
      <c r="H373" s="7" t="s">
        <v>8</v>
      </c>
      <c r="I373" s="7" t="s">
        <v>154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7">
        <v>3</v>
      </c>
      <c r="U373" s="7">
        <v>0</v>
      </c>
      <c r="V373" s="7">
        <v>0</v>
      </c>
      <c r="W373" s="7">
        <v>0</v>
      </c>
      <c r="X373" s="7">
        <v>0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95</v>
      </c>
      <c r="AF373" s="8">
        <v>5100</v>
      </c>
      <c r="AG373" s="8">
        <v>4400</v>
      </c>
      <c r="AH373" s="7">
        <v>0</v>
      </c>
      <c r="AI373" s="7">
        <v>0</v>
      </c>
      <c r="AJ373" s="7">
        <v>0</v>
      </c>
      <c r="AK373" s="7">
        <v>167</v>
      </c>
      <c r="AL373" s="8">
        <v>3240</v>
      </c>
      <c r="AM373" s="8">
        <v>14000</v>
      </c>
      <c r="AN373" s="7">
        <v>0</v>
      </c>
      <c r="AO373" s="7">
        <v>0</v>
      </c>
      <c r="AP373" s="7">
        <v>0</v>
      </c>
      <c r="AQ373" s="7">
        <v>0</v>
      </c>
      <c r="AR373" s="7">
        <v>0</v>
      </c>
      <c r="AS373" s="7">
        <v>0</v>
      </c>
      <c r="AT373" s="7">
        <v>0</v>
      </c>
      <c r="AU373" s="7">
        <v>0</v>
      </c>
      <c r="AV373" s="7">
        <v>0</v>
      </c>
      <c r="AW373" s="7">
        <v>0</v>
      </c>
      <c r="AX373" s="7">
        <v>0</v>
      </c>
      <c r="AY373" s="7">
        <v>0</v>
      </c>
      <c r="AZ373" s="7">
        <v>0</v>
      </c>
      <c r="BA373" s="7">
        <v>0</v>
      </c>
      <c r="BB373" s="7">
        <v>0</v>
      </c>
      <c r="BC373" s="7">
        <v>0</v>
      </c>
      <c r="BD373" s="7">
        <v>0</v>
      </c>
      <c r="BE373" s="7">
        <v>0</v>
      </c>
      <c r="BF373" s="7">
        <v>0</v>
      </c>
      <c r="BG373" s="7">
        <v>0</v>
      </c>
      <c r="BH373" s="7">
        <v>0</v>
      </c>
      <c r="BI373" s="7">
        <v>0</v>
      </c>
      <c r="BJ373" s="7">
        <v>0</v>
      </c>
      <c r="BK373" s="7">
        <v>0</v>
      </c>
      <c r="BL373" s="7">
        <v>972</v>
      </c>
      <c r="BM373" s="10">
        <v>26740</v>
      </c>
      <c r="BN373" s="16">
        <f t="shared" si="13"/>
        <v>25768</v>
      </c>
      <c r="BO373" s="14">
        <f t="shared" si="14"/>
        <v>18037.599999999999</v>
      </c>
    </row>
    <row r="374" spans="1:67" x14ac:dyDescent="0.3">
      <c r="A374" s="5" t="s">
        <v>522</v>
      </c>
      <c r="B374" s="5" t="s">
        <v>89</v>
      </c>
      <c r="C374" s="5">
        <v>442274</v>
      </c>
      <c r="D374" s="6"/>
      <c r="E374" s="5" t="s">
        <v>32</v>
      </c>
      <c r="F374" s="5" t="s">
        <v>90</v>
      </c>
      <c r="G374" s="5" t="s">
        <v>11</v>
      </c>
      <c r="H374" s="7" t="s">
        <v>7</v>
      </c>
      <c r="I374" s="7" t="s">
        <v>91</v>
      </c>
      <c r="J374" s="7">
        <v>0</v>
      </c>
      <c r="K374" s="7">
        <v>564</v>
      </c>
      <c r="L374" s="7">
        <v>0</v>
      </c>
      <c r="M374" s="7">
        <v>0</v>
      </c>
      <c r="N374" s="7">
        <v>0</v>
      </c>
      <c r="O374" s="7">
        <v>0</v>
      </c>
      <c r="P374" s="7">
        <v>0</v>
      </c>
      <c r="Q374" s="7">
        <v>0</v>
      </c>
      <c r="R374" s="7">
        <v>0</v>
      </c>
      <c r="S374" s="7">
        <v>0</v>
      </c>
      <c r="T374" s="7">
        <v>0</v>
      </c>
      <c r="U374" s="7">
        <v>0</v>
      </c>
      <c r="V374" s="7">
        <v>0</v>
      </c>
      <c r="W374" s="7">
        <v>0</v>
      </c>
      <c r="X374" s="7">
        <v>0</v>
      </c>
      <c r="Y374" s="7">
        <v>0</v>
      </c>
      <c r="Z374" s="7">
        <v>0</v>
      </c>
      <c r="AA374" s="7">
        <v>0</v>
      </c>
      <c r="AB374" s="7">
        <v>0</v>
      </c>
      <c r="AC374" s="7">
        <v>0</v>
      </c>
      <c r="AD374" s="7">
        <v>0</v>
      </c>
      <c r="AE374" s="7">
        <v>133</v>
      </c>
      <c r="AF374" s="8">
        <v>13300</v>
      </c>
      <c r="AG374" s="7">
        <v>0</v>
      </c>
      <c r="AH374" s="7">
        <v>0</v>
      </c>
      <c r="AI374" s="7">
        <v>0</v>
      </c>
      <c r="AJ374" s="7">
        <v>0</v>
      </c>
      <c r="AK374" s="7">
        <v>64</v>
      </c>
      <c r="AL374" s="8">
        <v>6378</v>
      </c>
      <c r="AM374" s="8">
        <v>1100</v>
      </c>
      <c r="AN374" s="7">
        <v>0</v>
      </c>
      <c r="AO374" s="7">
        <v>0</v>
      </c>
      <c r="AP374" s="7">
        <v>0</v>
      </c>
      <c r="AQ374" s="7">
        <v>31</v>
      </c>
      <c r="AR374" s="8">
        <v>1000</v>
      </c>
      <c r="AS374" s="8">
        <v>2100</v>
      </c>
      <c r="AT374" s="7">
        <v>0</v>
      </c>
      <c r="AU374" s="7">
        <v>0</v>
      </c>
      <c r="AV374" s="7">
        <v>0</v>
      </c>
      <c r="AW374" s="7">
        <v>0</v>
      </c>
      <c r="AX374" s="7">
        <v>0</v>
      </c>
      <c r="AY374" s="7">
        <v>0</v>
      </c>
      <c r="AZ374" s="7">
        <v>0</v>
      </c>
      <c r="BA374" s="7">
        <v>0</v>
      </c>
      <c r="BB374" s="7">
        <v>0</v>
      </c>
      <c r="BC374" s="7">
        <v>0</v>
      </c>
      <c r="BD374" s="7">
        <v>0</v>
      </c>
      <c r="BE374" s="7">
        <v>0</v>
      </c>
      <c r="BF374" s="7">
        <v>0</v>
      </c>
      <c r="BG374" s="7">
        <v>0</v>
      </c>
      <c r="BH374" s="7">
        <v>0</v>
      </c>
      <c r="BI374" s="7">
        <v>0</v>
      </c>
      <c r="BJ374" s="7">
        <v>0</v>
      </c>
      <c r="BK374" s="7">
        <v>0</v>
      </c>
      <c r="BL374" s="9">
        <v>1913.4</v>
      </c>
      <c r="BM374" s="10">
        <v>23878</v>
      </c>
      <c r="BN374" s="16">
        <f t="shared" si="13"/>
        <v>21964.6</v>
      </c>
      <c r="BO374" s="14">
        <f t="shared" si="14"/>
        <v>15375.219999999998</v>
      </c>
    </row>
    <row r="375" spans="1:67" x14ac:dyDescent="0.3">
      <c r="A375" s="5" t="s">
        <v>522</v>
      </c>
      <c r="B375" s="5" t="s">
        <v>133</v>
      </c>
      <c r="C375" s="5">
        <v>469075</v>
      </c>
      <c r="D375" s="6"/>
      <c r="E375" s="5" t="s">
        <v>32</v>
      </c>
      <c r="F375" s="5" t="s">
        <v>79</v>
      </c>
      <c r="G375" s="5" t="s">
        <v>34</v>
      </c>
      <c r="H375" s="7" t="s">
        <v>10</v>
      </c>
      <c r="I375" s="7" t="s">
        <v>134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7">
        <v>0</v>
      </c>
      <c r="U375" s="7">
        <v>0</v>
      </c>
      <c r="V375" s="7">
        <v>0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4</v>
      </c>
      <c r="AF375" s="8">
        <v>10500</v>
      </c>
      <c r="AG375" s="8">
        <v>1400</v>
      </c>
      <c r="AH375" s="7">
        <v>0</v>
      </c>
      <c r="AI375" s="7">
        <v>0</v>
      </c>
      <c r="AJ375" s="7">
        <v>0</v>
      </c>
      <c r="AK375" s="7">
        <v>3</v>
      </c>
      <c r="AL375" s="8">
        <v>4920</v>
      </c>
      <c r="AM375" s="8">
        <v>4500</v>
      </c>
      <c r="AN375" s="7">
        <v>0</v>
      </c>
      <c r="AO375" s="7">
        <v>0</v>
      </c>
      <c r="AP375" s="7">
        <v>0</v>
      </c>
      <c r="AQ375" s="7">
        <v>0</v>
      </c>
      <c r="AR375" s="7">
        <v>0</v>
      </c>
      <c r="AS375" s="7">
        <v>0</v>
      </c>
      <c r="AT375" s="7">
        <v>0</v>
      </c>
      <c r="AU375" s="7">
        <v>0</v>
      </c>
      <c r="AV375" s="7">
        <v>0</v>
      </c>
      <c r="AW375" s="7">
        <v>0</v>
      </c>
      <c r="AX375" s="7">
        <v>0</v>
      </c>
      <c r="AY375" s="7">
        <v>0</v>
      </c>
      <c r="AZ375" s="7">
        <v>0</v>
      </c>
      <c r="BA375" s="7">
        <v>0</v>
      </c>
      <c r="BB375" s="7">
        <v>0</v>
      </c>
      <c r="BC375" s="7">
        <v>0</v>
      </c>
      <c r="BD375" s="7">
        <v>0</v>
      </c>
      <c r="BE375" s="7">
        <v>0</v>
      </c>
      <c r="BF375" s="7">
        <v>0</v>
      </c>
      <c r="BG375" s="7">
        <v>0</v>
      </c>
      <c r="BH375" s="7">
        <v>0</v>
      </c>
      <c r="BI375" s="7">
        <v>0</v>
      </c>
      <c r="BJ375" s="7">
        <v>0</v>
      </c>
      <c r="BK375" s="7">
        <v>0</v>
      </c>
      <c r="BL375" s="9">
        <v>1476</v>
      </c>
      <c r="BM375" s="10">
        <v>21320</v>
      </c>
      <c r="BN375" s="16">
        <f t="shared" si="13"/>
        <v>19844</v>
      </c>
      <c r="BO375" s="14">
        <f t="shared" si="14"/>
        <v>13890.8</v>
      </c>
    </row>
    <row r="376" spans="1:67" x14ac:dyDescent="0.3">
      <c r="A376" s="5" t="s">
        <v>522</v>
      </c>
      <c r="B376" s="5" t="s">
        <v>238</v>
      </c>
      <c r="C376" s="5">
        <v>407733</v>
      </c>
      <c r="D376" s="6"/>
      <c r="E376" s="5" t="s">
        <v>32</v>
      </c>
      <c r="F376" s="5" t="s">
        <v>48</v>
      </c>
      <c r="G376" s="5" t="s">
        <v>11</v>
      </c>
      <c r="H376" s="7" t="s">
        <v>7</v>
      </c>
      <c r="I376" s="7" t="s">
        <v>239</v>
      </c>
      <c r="J376" s="7">
        <v>0</v>
      </c>
      <c r="K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  <c r="Q376" s="7">
        <v>0</v>
      </c>
      <c r="R376" s="7">
        <v>0</v>
      </c>
      <c r="S376" s="7">
        <v>0</v>
      </c>
      <c r="T376" s="7">
        <v>18</v>
      </c>
      <c r="U376" s="7">
        <v>0</v>
      </c>
      <c r="V376" s="7">
        <v>0</v>
      </c>
      <c r="W376" s="7">
        <v>0</v>
      </c>
      <c r="X376" s="7">
        <v>0</v>
      </c>
      <c r="Y376" s="7">
        <v>0</v>
      </c>
      <c r="Z376" s="7">
        <v>0</v>
      </c>
      <c r="AA376" s="7">
        <v>0</v>
      </c>
      <c r="AB376" s="7">
        <v>0</v>
      </c>
      <c r="AC376" s="7">
        <v>0</v>
      </c>
      <c r="AD376" s="7">
        <v>0</v>
      </c>
      <c r="AE376" s="7">
        <v>89</v>
      </c>
      <c r="AF376" s="8">
        <v>8900</v>
      </c>
      <c r="AG376" s="7">
        <v>0</v>
      </c>
      <c r="AH376" s="7">
        <v>0</v>
      </c>
      <c r="AI376" s="7">
        <v>0</v>
      </c>
      <c r="AJ376" s="7">
        <v>0</v>
      </c>
      <c r="AK376" s="7">
        <v>89</v>
      </c>
      <c r="AL376" s="8">
        <v>12399</v>
      </c>
      <c r="AM376" s="7">
        <v>0</v>
      </c>
      <c r="AN376" s="7">
        <v>0</v>
      </c>
      <c r="AO376" s="7">
        <v>0</v>
      </c>
      <c r="AP376" s="7">
        <v>0</v>
      </c>
      <c r="AQ376" s="7">
        <v>0</v>
      </c>
      <c r="AR376" s="7">
        <v>0</v>
      </c>
      <c r="AS376" s="7">
        <v>0</v>
      </c>
      <c r="AT376" s="7">
        <v>0</v>
      </c>
      <c r="AU376" s="7">
        <v>0</v>
      </c>
      <c r="AV376" s="7">
        <v>0</v>
      </c>
      <c r="AW376" s="7">
        <v>0</v>
      </c>
      <c r="AX376" s="7">
        <v>0</v>
      </c>
      <c r="AY376" s="7">
        <v>0</v>
      </c>
      <c r="AZ376" s="7">
        <v>0</v>
      </c>
      <c r="BA376" s="7">
        <v>0</v>
      </c>
      <c r="BB376" s="7">
        <v>0</v>
      </c>
      <c r="BC376" s="7">
        <v>0</v>
      </c>
      <c r="BD376" s="7">
        <v>0</v>
      </c>
      <c r="BE376" s="7">
        <v>0</v>
      </c>
      <c r="BF376" s="7">
        <v>0</v>
      </c>
      <c r="BG376" s="7">
        <v>0</v>
      </c>
      <c r="BH376" s="7">
        <v>0</v>
      </c>
      <c r="BI376" s="7">
        <v>0</v>
      </c>
      <c r="BJ376" s="7">
        <v>0</v>
      </c>
      <c r="BK376" s="7">
        <v>0</v>
      </c>
      <c r="BL376" s="9">
        <v>3719.7</v>
      </c>
      <c r="BM376" s="10">
        <v>21299</v>
      </c>
      <c r="BN376" s="16">
        <f t="shared" si="13"/>
        <v>17579.3</v>
      </c>
      <c r="BO376" s="14">
        <f t="shared" si="14"/>
        <v>12305.509999999998</v>
      </c>
    </row>
    <row r="377" spans="1:67" x14ac:dyDescent="0.3">
      <c r="A377" s="5" t="s">
        <v>522</v>
      </c>
      <c r="B377" s="5" t="s">
        <v>114</v>
      </c>
      <c r="C377" s="5">
        <v>211158</v>
      </c>
      <c r="D377" s="6"/>
      <c r="E377" s="5" t="s">
        <v>32</v>
      </c>
      <c r="F377" s="5" t="s">
        <v>48</v>
      </c>
      <c r="G377" s="5" t="s">
        <v>11</v>
      </c>
      <c r="H377" s="7" t="s">
        <v>7</v>
      </c>
      <c r="I377" s="7" t="s">
        <v>115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7">
        <v>0</v>
      </c>
      <c r="U377" s="7">
        <v>0</v>
      </c>
      <c r="V377" s="7">
        <v>0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212</v>
      </c>
      <c r="AF377" s="8">
        <v>21200</v>
      </c>
      <c r="AG377" s="7">
        <v>0</v>
      </c>
      <c r="AH377" s="7">
        <v>0</v>
      </c>
      <c r="AI377" s="7">
        <v>0</v>
      </c>
      <c r="AJ377" s="7">
        <v>0</v>
      </c>
      <c r="AK377" s="7">
        <v>0</v>
      </c>
      <c r="AL377" s="7">
        <v>0</v>
      </c>
      <c r="AM377" s="7">
        <v>0</v>
      </c>
      <c r="AN377" s="7">
        <v>0</v>
      </c>
      <c r="AO377" s="7">
        <v>0</v>
      </c>
      <c r="AP377" s="7">
        <v>0</v>
      </c>
      <c r="AQ377" s="7">
        <v>0</v>
      </c>
      <c r="AR377" s="7">
        <v>0</v>
      </c>
      <c r="AS377" s="7">
        <v>0</v>
      </c>
      <c r="AT377" s="7">
        <v>0</v>
      </c>
      <c r="AU377" s="7">
        <v>0</v>
      </c>
      <c r="AV377" s="7">
        <v>0</v>
      </c>
      <c r="AW377" s="7">
        <v>0</v>
      </c>
      <c r="AX377" s="7">
        <v>0</v>
      </c>
      <c r="AY377" s="7">
        <v>0</v>
      </c>
      <c r="AZ377" s="7">
        <v>0</v>
      </c>
      <c r="BA377" s="7">
        <v>0</v>
      </c>
      <c r="BB377" s="7">
        <v>0</v>
      </c>
      <c r="BC377" s="7">
        <v>0</v>
      </c>
      <c r="BD377" s="7">
        <v>0</v>
      </c>
      <c r="BE377" s="7">
        <v>0</v>
      </c>
      <c r="BF377" s="7">
        <v>0</v>
      </c>
      <c r="BG377" s="7">
        <v>0</v>
      </c>
      <c r="BH377" s="7">
        <v>0</v>
      </c>
      <c r="BI377" s="7">
        <v>0</v>
      </c>
      <c r="BJ377" s="7">
        <v>0</v>
      </c>
      <c r="BK377" s="7">
        <v>0</v>
      </c>
      <c r="BL377" s="7">
        <v>0</v>
      </c>
      <c r="BM377" s="10">
        <v>21200</v>
      </c>
      <c r="BN377" s="16">
        <f t="shared" si="13"/>
        <v>21200</v>
      </c>
      <c r="BO377" s="14">
        <f t="shared" si="14"/>
        <v>14839.999999999998</v>
      </c>
    </row>
    <row r="378" spans="1:67" x14ac:dyDescent="0.3">
      <c r="A378" s="5" t="s">
        <v>542</v>
      </c>
      <c r="B378" s="5" t="s">
        <v>125</v>
      </c>
      <c r="C378" s="5">
        <v>359539</v>
      </c>
      <c r="D378" s="6"/>
      <c r="E378" s="5" t="s">
        <v>32</v>
      </c>
      <c r="F378" s="5" t="s">
        <v>126</v>
      </c>
      <c r="G378" s="5" t="s">
        <v>52</v>
      </c>
      <c r="H378" s="7" t="s">
        <v>8</v>
      </c>
      <c r="I378" s="7" t="s">
        <v>127</v>
      </c>
      <c r="J378" s="7">
        <v>0</v>
      </c>
      <c r="K378" s="7">
        <v>0</v>
      </c>
      <c r="L378" s="7">
        <v>0</v>
      </c>
      <c r="M378" s="7">
        <v>0</v>
      </c>
      <c r="N378" s="7">
        <v>0</v>
      </c>
      <c r="O378" s="7">
        <v>0</v>
      </c>
      <c r="P378" s="7">
        <v>0</v>
      </c>
      <c r="Q378" s="7">
        <v>0</v>
      </c>
      <c r="R378" s="7">
        <v>0</v>
      </c>
      <c r="S378" s="7">
        <v>0</v>
      </c>
      <c r="T378" s="7">
        <v>5</v>
      </c>
      <c r="U378" s="7">
        <v>0</v>
      </c>
      <c r="V378" s="7">
        <v>0</v>
      </c>
      <c r="W378" s="7">
        <v>0</v>
      </c>
      <c r="X378" s="7">
        <v>0</v>
      </c>
      <c r="Y378" s="7">
        <v>0</v>
      </c>
      <c r="Z378" s="7">
        <v>0</v>
      </c>
      <c r="AA378" s="7">
        <v>0</v>
      </c>
      <c r="AB378" s="7">
        <v>0</v>
      </c>
      <c r="AC378" s="7">
        <v>0</v>
      </c>
      <c r="AD378" s="7">
        <v>0</v>
      </c>
      <c r="AE378" s="7">
        <v>18</v>
      </c>
      <c r="AF378" s="8">
        <v>1800</v>
      </c>
      <c r="AG378" s="7">
        <v>0</v>
      </c>
      <c r="AH378" s="7">
        <v>0</v>
      </c>
      <c r="AI378" s="7">
        <v>0</v>
      </c>
      <c r="AJ378" s="7">
        <v>0</v>
      </c>
      <c r="AK378" s="7">
        <v>109</v>
      </c>
      <c r="AL378" s="8">
        <v>12600</v>
      </c>
      <c r="AM378" s="7">
        <v>400</v>
      </c>
      <c r="AN378" s="7">
        <v>0</v>
      </c>
      <c r="AO378" s="7">
        <v>0</v>
      </c>
      <c r="AP378" s="7">
        <v>0</v>
      </c>
      <c r="AQ378" s="7">
        <v>58</v>
      </c>
      <c r="AR378" s="8">
        <v>5800</v>
      </c>
      <c r="AS378" s="7">
        <v>0</v>
      </c>
      <c r="AT378" s="7">
        <v>0</v>
      </c>
      <c r="AU378" s="7">
        <v>0</v>
      </c>
      <c r="AV378" s="7">
        <v>0</v>
      </c>
      <c r="AW378" s="7">
        <v>0</v>
      </c>
      <c r="AX378" s="7">
        <v>0</v>
      </c>
      <c r="AY378" s="7">
        <v>0</v>
      </c>
      <c r="AZ378" s="7">
        <v>0</v>
      </c>
      <c r="BA378" s="7">
        <v>0</v>
      </c>
      <c r="BB378" s="7">
        <v>0</v>
      </c>
      <c r="BC378" s="7">
        <v>0</v>
      </c>
      <c r="BD378" s="7">
        <v>0</v>
      </c>
      <c r="BE378" s="7">
        <v>0</v>
      </c>
      <c r="BF378" s="7">
        <v>0</v>
      </c>
      <c r="BG378" s="7">
        <v>0</v>
      </c>
      <c r="BH378" s="7">
        <v>0</v>
      </c>
      <c r="BI378" s="7">
        <v>0</v>
      </c>
      <c r="BJ378" s="7">
        <v>0</v>
      </c>
      <c r="BK378" s="7">
        <v>0</v>
      </c>
      <c r="BL378" s="9">
        <v>3780</v>
      </c>
      <c r="BM378" s="10">
        <v>20600</v>
      </c>
      <c r="BN378" s="16">
        <f t="shared" si="13"/>
        <v>16820</v>
      </c>
      <c r="BO378" s="14">
        <f t="shared" si="14"/>
        <v>11774</v>
      </c>
    </row>
    <row r="379" spans="1:67" x14ac:dyDescent="0.3">
      <c r="A379" s="5" t="s">
        <v>522</v>
      </c>
      <c r="B379" s="5" t="s">
        <v>162</v>
      </c>
      <c r="C379" s="5">
        <v>399034</v>
      </c>
      <c r="D379" s="6"/>
      <c r="E379" s="5" t="s">
        <v>32</v>
      </c>
      <c r="F379" s="5" t="s">
        <v>163</v>
      </c>
      <c r="G379" s="5" t="s">
        <v>52</v>
      </c>
      <c r="H379" s="7" t="s">
        <v>8</v>
      </c>
      <c r="I379" s="7" t="s">
        <v>164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7">
        <v>6</v>
      </c>
      <c r="U379" s="7">
        <v>0</v>
      </c>
      <c r="V379" s="7">
        <v>0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109</v>
      </c>
      <c r="AF379" s="8">
        <v>10900</v>
      </c>
      <c r="AG379" s="7">
        <v>0</v>
      </c>
      <c r="AH379" s="7">
        <v>0</v>
      </c>
      <c r="AI379" s="7">
        <v>0</v>
      </c>
      <c r="AJ379" s="7">
        <v>0</v>
      </c>
      <c r="AK379" s="7">
        <v>81</v>
      </c>
      <c r="AL379" s="8">
        <v>7200</v>
      </c>
      <c r="AM379" s="8">
        <v>2100</v>
      </c>
      <c r="AN379" s="7">
        <v>0</v>
      </c>
      <c r="AO379" s="7">
        <v>0</v>
      </c>
      <c r="AP379" s="7">
        <v>0</v>
      </c>
      <c r="AQ379" s="7">
        <v>0</v>
      </c>
      <c r="AR379" s="7">
        <v>0</v>
      </c>
      <c r="AS379" s="7">
        <v>0</v>
      </c>
      <c r="AT379" s="7">
        <v>0</v>
      </c>
      <c r="AU379" s="7">
        <v>0</v>
      </c>
      <c r="AV379" s="7">
        <v>0</v>
      </c>
      <c r="AW379" s="7">
        <v>0</v>
      </c>
      <c r="AX379" s="7">
        <v>0</v>
      </c>
      <c r="AY379" s="7">
        <v>0</v>
      </c>
      <c r="AZ379" s="7">
        <v>0</v>
      </c>
      <c r="BA379" s="7">
        <v>0</v>
      </c>
      <c r="BB379" s="7">
        <v>0</v>
      </c>
      <c r="BC379" s="7">
        <v>0</v>
      </c>
      <c r="BD379" s="7">
        <v>0</v>
      </c>
      <c r="BE379" s="7">
        <v>0</v>
      </c>
      <c r="BF379" s="7">
        <v>0</v>
      </c>
      <c r="BG379" s="7">
        <v>0</v>
      </c>
      <c r="BH379" s="7">
        <v>0</v>
      </c>
      <c r="BI379" s="7">
        <v>0</v>
      </c>
      <c r="BJ379" s="7">
        <v>0</v>
      </c>
      <c r="BK379" s="7">
        <v>0</v>
      </c>
      <c r="BL379" s="9">
        <v>2160</v>
      </c>
      <c r="BM379" s="10">
        <v>20200</v>
      </c>
      <c r="BN379" s="16">
        <f t="shared" si="13"/>
        <v>18040</v>
      </c>
      <c r="BO379" s="14">
        <f t="shared" si="14"/>
        <v>12628</v>
      </c>
    </row>
    <row r="380" spans="1:67" x14ac:dyDescent="0.3">
      <c r="A380" s="5" t="s">
        <v>522</v>
      </c>
      <c r="B380" s="5" t="s">
        <v>242</v>
      </c>
      <c r="C380" s="5">
        <v>434877</v>
      </c>
      <c r="D380" s="6"/>
      <c r="E380" s="5" t="s">
        <v>32</v>
      </c>
      <c r="F380" s="5" t="s">
        <v>243</v>
      </c>
      <c r="G380" s="5" t="s">
        <v>11</v>
      </c>
      <c r="H380" s="7" t="s">
        <v>7</v>
      </c>
      <c r="I380" s="7" t="s">
        <v>244</v>
      </c>
      <c r="J380" s="7">
        <v>0</v>
      </c>
      <c r="K380" s="7">
        <v>0</v>
      </c>
      <c r="L380" s="7">
        <v>0</v>
      </c>
      <c r="M380" s="7">
        <v>0</v>
      </c>
      <c r="N380" s="7">
        <v>0</v>
      </c>
      <c r="O380" s="7">
        <v>0</v>
      </c>
      <c r="P380" s="7">
        <v>0</v>
      </c>
      <c r="Q380" s="7">
        <v>0</v>
      </c>
      <c r="R380" s="7">
        <v>0</v>
      </c>
      <c r="S380" s="7">
        <v>0</v>
      </c>
      <c r="T380" s="7">
        <v>8</v>
      </c>
      <c r="U380" s="7">
        <v>0</v>
      </c>
      <c r="V380" s="7">
        <v>0</v>
      </c>
      <c r="W380" s="7">
        <v>0</v>
      </c>
      <c r="X380" s="7">
        <v>0</v>
      </c>
      <c r="Y380" s="7">
        <v>0</v>
      </c>
      <c r="Z380" s="7">
        <v>0</v>
      </c>
      <c r="AA380" s="7">
        <v>0</v>
      </c>
      <c r="AB380" s="7">
        <v>0</v>
      </c>
      <c r="AC380" s="7">
        <v>0</v>
      </c>
      <c r="AD380" s="7">
        <v>0</v>
      </c>
      <c r="AE380" s="7">
        <v>93</v>
      </c>
      <c r="AF380" s="8">
        <v>9300</v>
      </c>
      <c r="AG380" s="7">
        <v>0</v>
      </c>
      <c r="AH380" s="7">
        <v>0</v>
      </c>
      <c r="AI380" s="7">
        <v>0</v>
      </c>
      <c r="AJ380" s="7">
        <v>0</v>
      </c>
      <c r="AK380" s="7">
        <v>86</v>
      </c>
      <c r="AL380" s="8">
        <v>10320</v>
      </c>
      <c r="AM380" s="7">
        <v>0</v>
      </c>
      <c r="AN380" s="7">
        <v>0</v>
      </c>
      <c r="AO380" s="7">
        <v>0</v>
      </c>
      <c r="AP380" s="7">
        <v>0</v>
      </c>
      <c r="AQ380" s="7">
        <v>0</v>
      </c>
      <c r="AR380" s="7">
        <v>0</v>
      </c>
      <c r="AS380" s="7">
        <v>0</v>
      </c>
      <c r="AT380" s="7">
        <v>0</v>
      </c>
      <c r="AU380" s="7">
        <v>0</v>
      </c>
      <c r="AV380" s="7">
        <v>0</v>
      </c>
      <c r="AW380" s="7">
        <v>0</v>
      </c>
      <c r="AX380" s="7">
        <v>0</v>
      </c>
      <c r="AY380" s="7">
        <v>0</v>
      </c>
      <c r="AZ380" s="7">
        <v>0</v>
      </c>
      <c r="BA380" s="7">
        <v>0</v>
      </c>
      <c r="BB380" s="7">
        <v>0</v>
      </c>
      <c r="BC380" s="7">
        <v>0</v>
      </c>
      <c r="BD380" s="7">
        <v>0</v>
      </c>
      <c r="BE380" s="7">
        <v>0</v>
      </c>
      <c r="BF380" s="7">
        <v>0</v>
      </c>
      <c r="BG380" s="7">
        <v>0</v>
      </c>
      <c r="BH380" s="7">
        <v>0</v>
      </c>
      <c r="BI380" s="7">
        <v>0</v>
      </c>
      <c r="BJ380" s="7">
        <v>0</v>
      </c>
      <c r="BK380" s="7">
        <v>0</v>
      </c>
      <c r="BL380" s="9">
        <v>3096</v>
      </c>
      <c r="BM380" s="10">
        <v>19620</v>
      </c>
      <c r="BN380" s="16">
        <f t="shared" si="13"/>
        <v>16524</v>
      </c>
      <c r="BO380" s="14">
        <f t="shared" si="14"/>
        <v>11566.8</v>
      </c>
    </row>
    <row r="381" spans="1:67" x14ac:dyDescent="0.3">
      <c r="A381" s="5" t="s">
        <v>522</v>
      </c>
      <c r="B381" s="5" t="s">
        <v>167</v>
      </c>
      <c r="C381" s="5">
        <v>328404</v>
      </c>
      <c r="D381" s="6"/>
      <c r="E381" s="5" t="s">
        <v>32</v>
      </c>
      <c r="F381" s="5" t="s">
        <v>51</v>
      </c>
      <c r="G381" s="5" t="s">
        <v>52</v>
      </c>
      <c r="H381" s="7" t="s">
        <v>8</v>
      </c>
      <c r="I381" s="7" t="s">
        <v>168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7">
        <v>14</v>
      </c>
      <c r="U381" s="7">
        <v>0</v>
      </c>
      <c r="V381" s="7">
        <v>0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182</v>
      </c>
      <c r="AF381" s="8">
        <v>18200</v>
      </c>
      <c r="AG381" s="7">
        <v>0</v>
      </c>
      <c r="AH381" s="7">
        <v>0</v>
      </c>
      <c r="AI381" s="7">
        <v>0</v>
      </c>
      <c r="AJ381" s="7">
        <v>0</v>
      </c>
      <c r="AK381" s="7">
        <v>11</v>
      </c>
      <c r="AL381" s="8">
        <v>1344</v>
      </c>
      <c r="AM381" s="7">
        <v>0</v>
      </c>
      <c r="AN381" s="7">
        <v>0</v>
      </c>
      <c r="AO381" s="7">
        <v>0</v>
      </c>
      <c r="AP381" s="7">
        <v>0</v>
      </c>
      <c r="AQ381" s="7">
        <v>0</v>
      </c>
      <c r="AR381" s="7">
        <v>0</v>
      </c>
      <c r="AS381" s="7">
        <v>0</v>
      </c>
      <c r="AT381" s="7">
        <v>0</v>
      </c>
      <c r="AU381" s="7">
        <v>0</v>
      </c>
      <c r="AV381" s="7">
        <v>0</v>
      </c>
      <c r="AW381" s="7">
        <v>0</v>
      </c>
      <c r="AX381" s="7">
        <v>0</v>
      </c>
      <c r="AY381" s="7">
        <v>0</v>
      </c>
      <c r="AZ381" s="7">
        <v>0</v>
      </c>
      <c r="BA381" s="7">
        <v>0</v>
      </c>
      <c r="BB381" s="7">
        <v>0</v>
      </c>
      <c r="BC381" s="7">
        <v>0</v>
      </c>
      <c r="BD381" s="7">
        <v>0</v>
      </c>
      <c r="BE381" s="7">
        <v>0</v>
      </c>
      <c r="BF381" s="7">
        <v>0</v>
      </c>
      <c r="BG381" s="7">
        <v>0</v>
      </c>
      <c r="BH381" s="7">
        <v>0</v>
      </c>
      <c r="BI381" s="7">
        <v>0</v>
      </c>
      <c r="BJ381" s="7">
        <v>0</v>
      </c>
      <c r="BK381" s="7">
        <v>0</v>
      </c>
      <c r="BL381" s="7">
        <v>403.2</v>
      </c>
      <c r="BM381" s="10">
        <v>19544</v>
      </c>
      <c r="BN381" s="16">
        <f t="shared" si="13"/>
        <v>19140.8</v>
      </c>
      <c r="BO381" s="14">
        <f t="shared" si="14"/>
        <v>13398.56</v>
      </c>
    </row>
    <row r="382" spans="1:67" x14ac:dyDescent="0.3">
      <c r="A382" s="5" t="s">
        <v>522</v>
      </c>
      <c r="B382" s="5" t="s">
        <v>379</v>
      </c>
      <c r="C382" s="5">
        <v>278898</v>
      </c>
      <c r="D382" s="6"/>
      <c r="E382" s="5" t="s">
        <v>32</v>
      </c>
      <c r="F382" s="5" t="s">
        <v>380</v>
      </c>
      <c r="G382" s="5" t="s">
        <v>11</v>
      </c>
      <c r="H382" s="7" t="s">
        <v>7</v>
      </c>
      <c r="I382" s="7" t="s">
        <v>381</v>
      </c>
      <c r="J382" s="7">
        <v>0</v>
      </c>
      <c r="K382" s="7">
        <v>0</v>
      </c>
      <c r="L382" s="7">
        <v>0</v>
      </c>
      <c r="M382" s="7">
        <v>0</v>
      </c>
      <c r="N382" s="7">
        <v>0</v>
      </c>
      <c r="O382" s="7">
        <v>0</v>
      </c>
      <c r="P382" s="7">
        <v>0</v>
      </c>
      <c r="Q382" s="7">
        <v>0</v>
      </c>
      <c r="R382" s="7">
        <v>0</v>
      </c>
      <c r="S382" s="7">
        <v>0</v>
      </c>
      <c r="T382" s="7">
        <v>12</v>
      </c>
      <c r="U382" s="7">
        <v>0</v>
      </c>
      <c r="V382" s="7">
        <v>0</v>
      </c>
      <c r="W382" s="7">
        <v>0</v>
      </c>
      <c r="X382" s="7">
        <v>0</v>
      </c>
      <c r="Y382" s="7">
        <v>0</v>
      </c>
      <c r="Z382" s="7">
        <v>0</v>
      </c>
      <c r="AA382" s="7">
        <v>0</v>
      </c>
      <c r="AB382" s="7">
        <v>0</v>
      </c>
      <c r="AC382" s="7">
        <v>0</v>
      </c>
      <c r="AD382" s="7">
        <v>0</v>
      </c>
      <c r="AE382" s="7">
        <v>150</v>
      </c>
      <c r="AF382" s="8">
        <v>15000</v>
      </c>
      <c r="AG382" s="7">
        <v>0</v>
      </c>
      <c r="AH382" s="7">
        <v>0</v>
      </c>
      <c r="AI382" s="7">
        <v>0</v>
      </c>
      <c r="AJ382" s="7">
        <v>0</v>
      </c>
      <c r="AK382" s="7">
        <v>0</v>
      </c>
      <c r="AL382" s="7">
        <v>0</v>
      </c>
      <c r="AM382" s="7">
        <v>0</v>
      </c>
      <c r="AN382" s="7">
        <v>0</v>
      </c>
      <c r="AO382" s="7">
        <v>0</v>
      </c>
      <c r="AP382" s="7">
        <v>0</v>
      </c>
      <c r="AQ382" s="7">
        <v>45</v>
      </c>
      <c r="AR382" s="8">
        <v>4500</v>
      </c>
      <c r="AS382" s="7">
        <v>0</v>
      </c>
      <c r="AT382" s="7">
        <v>0</v>
      </c>
      <c r="AU382" s="7">
        <v>0</v>
      </c>
      <c r="AV382" s="7">
        <v>0</v>
      </c>
      <c r="AW382" s="7">
        <v>0</v>
      </c>
      <c r="AX382" s="7">
        <v>0</v>
      </c>
      <c r="AY382" s="7">
        <v>0</v>
      </c>
      <c r="AZ382" s="7">
        <v>0</v>
      </c>
      <c r="BA382" s="7">
        <v>0</v>
      </c>
      <c r="BB382" s="7">
        <v>0</v>
      </c>
      <c r="BC382" s="7">
        <v>0</v>
      </c>
      <c r="BD382" s="7">
        <v>0</v>
      </c>
      <c r="BE382" s="7">
        <v>0</v>
      </c>
      <c r="BF382" s="7">
        <v>0</v>
      </c>
      <c r="BG382" s="7">
        <v>0</v>
      </c>
      <c r="BH382" s="7">
        <v>0</v>
      </c>
      <c r="BI382" s="7">
        <v>0</v>
      </c>
      <c r="BJ382" s="7">
        <v>0</v>
      </c>
      <c r="BK382" s="7">
        <v>0</v>
      </c>
      <c r="BL382" s="7">
        <v>0</v>
      </c>
      <c r="BM382" s="10">
        <v>19500</v>
      </c>
      <c r="BN382" s="16">
        <f t="shared" si="13"/>
        <v>19500</v>
      </c>
      <c r="BO382" s="14">
        <f t="shared" si="14"/>
        <v>13650</v>
      </c>
    </row>
    <row r="383" spans="1:67" x14ac:dyDescent="0.3">
      <c r="A383" s="5" t="s">
        <v>543</v>
      </c>
      <c r="B383" s="5" t="s">
        <v>169</v>
      </c>
      <c r="C383" s="5">
        <v>392777</v>
      </c>
      <c r="D383" s="6"/>
      <c r="E383" s="5" t="s">
        <v>32</v>
      </c>
      <c r="F383" s="5" t="s">
        <v>110</v>
      </c>
      <c r="G383" s="5" t="s">
        <v>11</v>
      </c>
      <c r="H383" s="7" t="s">
        <v>7</v>
      </c>
      <c r="I383" s="7" t="s">
        <v>170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7">
        <v>0</v>
      </c>
      <c r="U383" s="7">
        <v>0</v>
      </c>
      <c r="V383" s="7">
        <v>0</v>
      </c>
      <c r="W383" s="7">
        <v>0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7">
        <v>0</v>
      </c>
      <c r="AK383" s="7">
        <v>5</v>
      </c>
      <c r="AL383" s="8">
        <v>19200</v>
      </c>
      <c r="AM383" s="7">
        <v>0</v>
      </c>
      <c r="AN383" s="7">
        <v>0</v>
      </c>
      <c r="AO383" s="7">
        <v>0</v>
      </c>
      <c r="AP383" s="7">
        <v>0</v>
      </c>
      <c r="AQ383" s="7">
        <v>0</v>
      </c>
      <c r="AR383" s="7">
        <v>0</v>
      </c>
      <c r="AS383" s="7">
        <v>0</v>
      </c>
      <c r="AT383" s="7">
        <v>0</v>
      </c>
      <c r="AU383" s="7">
        <v>0</v>
      </c>
      <c r="AV383" s="7">
        <v>0</v>
      </c>
      <c r="AW383" s="7">
        <v>0</v>
      </c>
      <c r="AX383" s="7">
        <v>0</v>
      </c>
      <c r="AY383" s="7">
        <v>0</v>
      </c>
      <c r="AZ383" s="7">
        <v>0</v>
      </c>
      <c r="BA383" s="7">
        <v>0</v>
      </c>
      <c r="BB383" s="7">
        <v>0</v>
      </c>
      <c r="BC383" s="7">
        <v>0</v>
      </c>
      <c r="BD383" s="7">
        <v>0</v>
      </c>
      <c r="BE383" s="7">
        <v>0</v>
      </c>
      <c r="BF383" s="7">
        <v>0</v>
      </c>
      <c r="BG383" s="7">
        <v>0</v>
      </c>
      <c r="BH383" s="7">
        <v>0</v>
      </c>
      <c r="BI383" s="7">
        <v>0</v>
      </c>
      <c r="BJ383" s="7">
        <v>0</v>
      </c>
      <c r="BK383" s="7">
        <v>0</v>
      </c>
      <c r="BL383" s="9">
        <v>5760</v>
      </c>
      <c r="BM383" s="10">
        <v>19200</v>
      </c>
      <c r="BN383" s="16">
        <f t="shared" si="13"/>
        <v>13440</v>
      </c>
      <c r="BO383" s="14">
        <f t="shared" si="14"/>
        <v>9408</v>
      </c>
    </row>
    <row r="384" spans="1:67" x14ac:dyDescent="0.3">
      <c r="A384" s="5" t="s">
        <v>522</v>
      </c>
      <c r="B384" s="5" t="s">
        <v>195</v>
      </c>
      <c r="C384" s="5">
        <v>429496</v>
      </c>
      <c r="D384" s="6"/>
      <c r="E384" s="5" t="s">
        <v>32</v>
      </c>
      <c r="F384" s="5" t="s">
        <v>196</v>
      </c>
      <c r="G384" s="5" t="s">
        <v>11</v>
      </c>
      <c r="H384" s="7" t="s">
        <v>7</v>
      </c>
      <c r="I384" s="7" t="s">
        <v>197</v>
      </c>
      <c r="J384" s="7">
        <v>0</v>
      </c>
      <c r="K384" s="7">
        <v>0</v>
      </c>
      <c r="L384" s="7">
        <v>0</v>
      </c>
      <c r="M384" s="7">
        <v>0</v>
      </c>
      <c r="N384" s="7">
        <v>0</v>
      </c>
      <c r="O384" s="7">
        <v>0</v>
      </c>
      <c r="P384" s="7">
        <v>0</v>
      </c>
      <c r="Q384" s="7">
        <v>0</v>
      </c>
      <c r="R384" s="7">
        <v>0</v>
      </c>
      <c r="S384" s="7">
        <v>0</v>
      </c>
      <c r="T384" s="7">
        <v>4</v>
      </c>
      <c r="U384" s="7">
        <v>0</v>
      </c>
      <c r="V384" s="7">
        <v>0</v>
      </c>
      <c r="W384" s="7">
        <v>0</v>
      </c>
      <c r="X384" s="7">
        <v>0</v>
      </c>
      <c r="Y384" s="7">
        <v>0</v>
      </c>
      <c r="Z384" s="7">
        <v>0</v>
      </c>
      <c r="AA384" s="7">
        <v>0</v>
      </c>
      <c r="AB384" s="7">
        <v>0</v>
      </c>
      <c r="AC384" s="7">
        <v>0</v>
      </c>
      <c r="AD384" s="7">
        <v>0</v>
      </c>
      <c r="AE384" s="7">
        <v>178</v>
      </c>
      <c r="AF384" s="8">
        <v>17800</v>
      </c>
      <c r="AG384" s="7">
        <v>0</v>
      </c>
      <c r="AH384" s="7">
        <v>0</v>
      </c>
      <c r="AI384" s="7">
        <v>0</v>
      </c>
      <c r="AJ384" s="7">
        <v>0</v>
      </c>
      <c r="AK384" s="7">
        <v>6</v>
      </c>
      <c r="AL384" s="7">
        <v>0</v>
      </c>
      <c r="AM384" s="7">
        <v>600</v>
      </c>
      <c r="AN384" s="7">
        <v>0</v>
      </c>
      <c r="AO384" s="7">
        <v>0</v>
      </c>
      <c r="AP384" s="7">
        <v>0</v>
      </c>
      <c r="AQ384" s="7">
        <v>0</v>
      </c>
      <c r="AR384" s="7">
        <v>0</v>
      </c>
      <c r="AS384" s="7">
        <v>0</v>
      </c>
      <c r="AT384" s="7">
        <v>0</v>
      </c>
      <c r="AU384" s="7">
        <v>0</v>
      </c>
      <c r="AV384" s="7">
        <v>0</v>
      </c>
      <c r="AW384" s="7">
        <v>0</v>
      </c>
      <c r="AX384" s="7">
        <v>0</v>
      </c>
      <c r="AY384" s="7">
        <v>0</v>
      </c>
      <c r="AZ384" s="7">
        <v>0</v>
      </c>
      <c r="BA384" s="7">
        <v>0</v>
      </c>
      <c r="BB384" s="7">
        <v>0</v>
      </c>
      <c r="BC384" s="7">
        <v>0</v>
      </c>
      <c r="BD384" s="7">
        <v>0</v>
      </c>
      <c r="BE384" s="7">
        <v>0</v>
      </c>
      <c r="BF384" s="7">
        <v>0</v>
      </c>
      <c r="BG384" s="7">
        <v>0</v>
      </c>
      <c r="BH384" s="7">
        <v>0</v>
      </c>
      <c r="BI384" s="7">
        <v>0</v>
      </c>
      <c r="BJ384" s="7">
        <v>0</v>
      </c>
      <c r="BK384" s="7">
        <v>0</v>
      </c>
      <c r="BL384" s="7">
        <v>0</v>
      </c>
      <c r="BM384" s="10">
        <v>18400</v>
      </c>
      <c r="BN384" s="16">
        <f t="shared" si="13"/>
        <v>18400</v>
      </c>
      <c r="BO384" s="14">
        <f t="shared" si="14"/>
        <v>12880</v>
      </c>
    </row>
    <row r="385" spans="1:67" x14ac:dyDescent="0.3">
      <c r="A385" s="5" t="s">
        <v>522</v>
      </c>
      <c r="B385" s="5" t="s">
        <v>272</v>
      </c>
      <c r="C385" s="5">
        <v>458561</v>
      </c>
      <c r="D385" s="6"/>
      <c r="E385" s="5" t="s">
        <v>32</v>
      </c>
      <c r="F385" s="5" t="s">
        <v>48</v>
      </c>
      <c r="G385" s="5" t="s">
        <v>11</v>
      </c>
      <c r="H385" s="7" t="s">
        <v>7</v>
      </c>
      <c r="I385" s="7" t="s">
        <v>223</v>
      </c>
      <c r="J385" s="7">
        <v>1</v>
      </c>
      <c r="K385" s="7">
        <v>0</v>
      </c>
      <c r="L385" s="7">
        <v>100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7">
        <v>0</v>
      </c>
      <c r="U385" s="7">
        <v>0</v>
      </c>
      <c r="V385" s="7">
        <v>0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39</v>
      </c>
      <c r="AF385" s="8">
        <v>3900</v>
      </c>
      <c r="AG385" s="7">
        <v>0</v>
      </c>
      <c r="AH385" s="7">
        <v>0</v>
      </c>
      <c r="AI385" s="7">
        <v>0</v>
      </c>
      <c r="AJ385" s="7">
        <v>0</v>
      </c>
      <c r="AK385" s="7">
        <v>120</v>
      </c>
      <c r="AL385" s="8">
        <v>10200</v>
      </c>
      <c r="AM385" s="8">
        <v>3500</v>
      </c>
      <c r="AN385" s="7">
        <v>0</v>
      </c>
      <c r="AO385" s="7">
        <v>0</v>
      </c>
      <c r="AP385" s="7">
        <v>0</v>
      </c>
      <c r="AQ385" s="7">
        <v>0</v>
      </c>
      <c r="AR385" s="7">
        <v>0</v>
      </c>
      <c r="AS385" s="7">
        <v>0</v>
      </c>
      <c r="AT385" s="7">
        <v>0</v>
      </c>
      <c r="AU385" s="7">
        <v>0</v>
      </c>
      <c r="AV385" s="7">
        <v>0</v>
      </c>
      <c r="AW385" s="7">
        <v>0</v>
      </c>
      <c r="AX385" s="7">
        <v>0</v>
      </c>
      <c r="AY385" s="7">
        <v>0</v>
      </c>
      <c r="AZ385" s="7">
        <v>0</v>
      </c>
      <c r="BA385" s="7">
        <v>0</v>
      </c>
      <c r="BB385" s="7">
        <v>0</v>
      </c>
      <c r="BC385" s="7">
        <v>0</v>
      </c>
      <c r="BD385" s="7">
        <v>0</v>
      </c>
      <c r="BE385" s="7">
        <v>0</v>
      </c>
      <c r="BF385" s="7">
        <v>0</v>
      </c>
      <c r="BG385" s="7">
        <v>0</v>
      </c>
      <c r="BH385" s="7">
        <v>0</v>
      </c>
      <c r="BI385" s="7">
        <v>0</v>
      </c>
      <c r="BJ385" s="7">
        <v>0</v>
      </c>
      <c r="BK385" s="7">
        <v>0</v>
      </c>
      <c r="BL385" s="9">
        <v>3060</v>
      </c>
      <c r="BM385" s="10">
        <v>17700</v>
      </c>
      <c r="BN385" s="16">
        <f t="shared" si="13"/>
        <v>14640</v>
      </c>
      <c r="BO385" s="14">
        <f t="shared" si="14"/>
        <v>10248</v>
      </c>
    </row>
    <row r="386" spans="1:67" x14ac:dyDescent="0.3">
      <c r="A386" s="5" t="s">
        <v>522</v>
      </c>
      <c r="B386" s="5" t="s">
        <v>174</v>
      </c>
      <c r="C386" s="5">
        <v>350894</v>
      </c>
      <c r="D386" s="6"/>
      <c r="E386" s="5" t="s">
        <v>32</v>
      </c>
      <c r="F386" s="5" t="s">
        <v>175</v>
      </c>
      <c r="G386" s="5" t="s">
        <v>52</v>
      </c>
      <c r="H386" s="7" t="s">
        <v>8</v>
      </c>
      <c r="I386" s="7" t="s">
        <v>176</v>
      </c>
      <c r="J386" s="7">
        <v>0</v>
      </c>
      <c r="K386" s="7">
        <v>0</v>
      </c>
      <c r="L386" s="7">
        <v>0</v>
      </c>
      <c r="M386" s="7">
        <v>0</v>
      </c>
      <c r="N386" s="7">
        <v>0</v>
      </c>
      <c r="O386" s="7">
        <v>0</v>
      </c>
      <c r="P386" s="7">
        <v>0</v>
      </c>
      <c r="Q386" s="7">
        <v>0</v>
      </c>
      <c r="R386" s="7">
        <v>0</v>
      </c>
      <c r="S386" s="7">
        <v>0</v>
      </c>
      <c r="T386" s="7">
        <v>7</v>
      </c>
      <c r="U386" s="7">
        <v>0</v>
      </c>
      <c r="V386" s="7">
        <v>0</v>
      </c>
      <c r="W386" s="7">
        <v>0</v>
      </c>
      <c r="X386" s="7">
        <v>0</v>
      </c>
      <c r="Y386" s="7">
        <v>0</v>
      </c>
      <c r="Z386" s="7">
        <v>0</v>
      </c>
      <c r="AA386" s="7">
        <v>0</v>
      </c>
      <c r="AB386" s="7">
        <v>0</v>
      </c>
      <c r="AC386" s="7">
        <v>0</v>
      </c>
      <c r="AD386" s="7">
        <v>0</v>
      </c>
      <c r="AE386" s="7">
        <v>69</v>
      </c>
      <c r="AF386" s="8">
        <v>6900</v>
      </c>
      <c r="AG386" s="7">
        <v>0</v>
      </c>
      <c r="AH386" s="7">
        <v>0</v>
      </c>
      <c r="AI386" s="7">
        <v>0</v>
      </c>
      <c r="AJ386" s="7">
        <v>0</v>
      </c>
      <c r="AK386" s="7">
        <v>59</v>
      </c>
      <c r="AL386" s="8">
        <v>1680</v>
      </c>
      <c r="AM386" s="8">
        <v>4500</v>
      </c>
      <c r="AN386" s="7">
        <v>0</v>
      </c>
      <c r="AO386" s="7">
        <v>0</v>
      </c>
      <c r="AP386" s="7">
        <v>0</v>
      </c>
      <c r="AQ386" s="7">
        <v>46</v>
      </c>
      <c r="AR386" s="8">
        <v>4600</v>
      </c>
      <c r="AS386" s="7">
        <v>0</v>
      </c>
      <c r="AT386" s="7">
        <v>0</v>
      </c>
      <c r="AU386" s="7">
        <v>0</v>
      </c>
      <c r="AV386" s="7">
        <v>0</v>
      </c>
      <c r="AW386" s="7">
        <v>0</v>
      </c>
      <c r="AX386" s="7">
        <v>0</v>
      </c>
      <c r="AY386" s="7">
        <v>0</v>
      </c>
      <c r="AZ386" s="7">
        <v>0</v>
      </c>
      <c r="BA386" s="7">
        <v>0</v>
      </c>
      <c r="BB386" s="7">
        <v>0</v>
      </c>
      <c r="BC386" s="7">
        <v>0</v>
      </c>
      <c r="BD386" s="7">
        <v>0</v>
      </c>
      <c r="BE386" s="7">
        <v>0</v>
      </c>
      <c r="BF386" s="7">
        <v>0</v>
      </c>
      <c r="BG386" s="7">
        <v>0</v>
      </c>
      <c r="BH386" s="7">
        <v>0</v>
      </c>
      <c r="BI386" s="7">
        <v>0</v>
      </c>
      <c r="BJ386" s="7">
        <v>0</v>
      </c>
      <c r="BK386" s="7">
        <v>0</v>
      </c>
      <c r="BL386" s="7">
        <v>504</v>
      </c>
      <c r="BM386" s="10">
        <v>17680</v>
      </c>
      <c r="BN386" s="16">
        <f t="shared" si="13"/>
        <v>17176</v>
      </c>
      <c r="BO386" s="14">
        <f t="shared" si="14"/>
        <v>12023.199999999999</v>
      </c>
    </row>
    <row r="387" spans="1:67" x14ac:dyDescent="0.3">
      <c r="A387" s="5" t="s">
        <v>522</v>
      </c>
      <c r="B387" s="5" t="s">
        <v>150</v>
      </c>
      <c r="C387" s="5">
        <v>290890</v>
      </c>
      <c r="D387" s="6"/>
      <c r="E387" s="5" t="s">
        <v>32</v>
      </c>
      <c r="F387" s="5" t="s">
        <v>48</v>
      </c>
      <c r="G387" s="5" t="s">
        <v>11</v>
      </c>
      <c r="H387" s="7" t="s">
        <v>7</v>
      </c>
      <c r="I387" s="7" t="s">
        <v>151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7">
        <v>0</v>
      </c>
      <c r="U387" s="7">
        <v>0</v>
      </c>
      <c r="V387" s="7">
        <v>0</v>
      </c>
      <c r="W387" s="7">
        <v>0</v>
      </c>
      <c r="X387" s="7">
        <v>0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11</v>
      </c>
      <c r="AI387" s="8">
        <v>11880</v>
      </c>
      <c r="AJ387" s="7">
        <v>0</v>
      </c>
      <c r="AK387" s="7">
        <v>1</v>
      </c>
      <c r="AL387" s="8">
        <v>3840</v>
      </c>
      <c r="AM387" s="7">
        <v>0</v>
      </c>
      <c r="AN387" s="7">
        <v>2</v>
      </c>
      <c r="AO387" s="8">
        <v>1800</v>
      </c>
      <c r="AP387" s="7">
        <v>0</v>
      </c>
      <c r="AQ387" s="7">
        <v>0</v>
      </c>
      <c r="AR387" s="7">
        <v>0</v>
      </c>
      <c r="AS387" s="7">
        <v>0</v>
      </c>
      <c r="AT387" s="7">
        <v>0</v>
      </c>
      <c r="AU387" s="7">
        <v>0</v>
      </c>
      <c r="AV387" s="7">
        <v>0</v>
      </c>
      <c r="AW387" s="7">
        <v>0</v>
      </c>
      <c r="AX387" s="7">
        <v>0</v>
      </c>
      <c r="AY387" s="7">
        <v>0</v>
      </c>
      <c r="AZ387" s="7">
        <v>0</v>
      </c>
      <c r="BA387" s="7">
        <v>0</v>
      </c>
      <c r="BB387" s="7">
        <v>0</v>
      </c>
      <c r="BC387" s="7">
        <v>0</v>
      </c>
      <c r="BD387" s="7">
        <v>0</v>
      </c>
      <c r="BE387" s="7">
        <v>0</v>
      </c>
      <c r="BF387" s="7">
        <v>0</v>
      </c>
      <c r="BG387" s="7">
        <v>0</v>
      </c>
      <c r="BH387" s="7">
        <v>0</v>
      </c>
      <c r="BI387" s="7">
        <v>0</v>
      </c>
      <c r="BJ387" s="7">
        <v>0</v>
      </c>
      <c r="BK387" s="7">
        <v>0</v>
      </c>
      <c r="BL387" s="9">
        <v>4716</v>
      </c>
      <c r="BM387" s="10">
        <v>17520</v>
      </c>
      <c r="BN387" s="16">
        <f t="shared" si="13"/>
        <v>12804</v>
      </c>
      <c r="BO387" s="14">
        <f t="shared" si="14"/>
        <v>8962.7999999999993</v>
      </c>
    </row>
    <row r="388" spans="1:67" x14ac:dyDescent="0.3">
      <c r="A388" s="5" t="s">
        <v>522</v>
      </c>
      <c r="B388" s="5" t="s">
        <v>295</v>
      </c>
      <c r="C388" s="5">
        <v>395192</v>
      </c>
      <c r="D388" s="6"/>
      <c r="E388" s="5" t="s">
        <v>32</v>
      </c>
      <c r="F388" s="5" t="s">
        <v>153</v>
      </c>
      <c r="G388" s="5" t="s">
        <v>52</v>
      </c>
      <c r="H388" s="7" t="s">
        <v>8</v>
      </c>
      <c r="I388" s="7" t="s">
        <v>296</v>
      </c>
      <c r="J388" s="7">
        <v>0</v>
      </c>
      <c r="K388" s="7">
        <v>0</v>
      </c>
      <c r="L388" s="7">
        <v>0</v>
      </c>
      <c r="M388" s="7">
        <v>0</v>
      </c>
      <c r="N388" s="7">
        <v>0</v>
      </c>
      <c r="O388" s="7">
        <v>0</v>
      </c>
      <c r="P388" s="7">
        <v>0</v>
      </c>
      <c r="Q388" s="7">
        <v>0</v>
      </c>
      <c r="R388" s="7">
        <v>0</v>
      </c>
      <c r="S388" s="7">
        <v>0</v>
      </c>
      <c r="T388" s="7">
        <v>9</v>
      </c>
      <c r="U388" s="7">
        <v>0</v>
      </c>
      <c r="V388" s="7">
        <v>0</v>
      </c>
      <c r="W388" s="7">
        <v>0</v>
      </c>
      <c r="X388" s="7">
        <v>0</v>
      </c>
      <c r="Y388" s="7">
        <v>0</v>
      </c>
      <c r="Z388" s="7">
        <v>0</v>
      </c>
      <c r="AA388" s="7">
        <v>0</v>
      </c>
      <c r="AB388" s="7">
        <v>0</v>
      </c>
      <c r="AC388" s="7">
        <v>0</v>
      </c>
      <c r="AD388" s="7">
        <v>0</v>
      </c>
      <c r="AE388" s="7">
        <v>9</v>
      </c>
      <c r="AF388" s="7">
        <v>700</v>
      </c>
      <c r="AG388" s="7">
        <v>200</v>
      </c>
      <c r="AH388" s="7">
        <v>0</v>
      </c>
      <c r="AI388" s="7">
        <v>0</v>
      </c>
      <c r="AJ388" s="7">
        <v>0</v>
      </c>
      <c r="AK388" s="7">
        <v>143</v>
      </c>
      <c r="AL388" s="8">
        <v>4560</v>
      </c>
      <c r="AM388" s="8">
        <v>10500</v>
      </c>
      <c r="AN388" s="7">
        <v>0</v>
      </c>
      <c r="AO388" s="7">
        <v>0</v>
      </c>
      <c r="AP388" s="7">
        <v>0</v>
      </c>
      <c r="AQ388" s="7">
        <v>0</v>
      </c>
      <c r="AR388" s="7">
        <v>0</v>
      </c>
      <c r="AS388" s="7">
        <v>0</v>
      </c>
      <c r="AT388" s="7">
        <v>0</v>
      </c>
      <c r="AU388" s="7">
        <v>0</v>
      </c>
      <c r="AV388" s="7">
        <v>0</v>
      </c>
      <c r="AW388" s="7">
        <v>0</v>
      </c>
      <c r="AX388" s="7">
        <v>0</v>
      </c>
      <c r="AY388" s="7">
        <v>0</v>
      </c>
      <c r="AZ388" s="7">
        <v>0</v>
      </c>
      <c r="BA388" s="7">
        <v>0</v>
      </c>
      <c r="BB388" s="7">
        <v>0</v>
      </c>
      <c r="BC388" s="7">
        <v>0</v>
      </c>
      <c r="BD388" s="7">
        <v>0</v>
      </c>
      <c r="BE388" s="7">
        <v>0</v>
      </c>
      <c r="BF388" s="7">
        <v>0</v>
      </c>
      <c r="BG388" s="7">
        <v>0</v>
      </c>
      <c r="BH388" s="7">
        <v>0</v>
      </c>
      <c r="BI388" s="7">
        <v>0</v>
      </c>
      <c r="BJ388" s="7">
        <v>0</v>
      </c>
      <c r="BK388" s="7">
        <v>0</v>
      </c>
      <c r="BL388" s="9">
        <v>1368</v>
      </c>
      <c r="BM388" s="10">
        <v>15960</v>
      </c>
      <c r="BN388" s="16">
        <f t="shared" si="13"/>
        <v>14592</v>
      </c>
      <c r="BO388" s="14">
        <f t="shared" si="14"/>
        <v>10214.4</v>
      </c>
    </row>
    <row r="389" spans="1:67" ht="19.5" x14ac:dyDescent="0.3">
      <c r="A389" s="5" t="s">
        <v>522</v>
      </c>
      <c r="B389" s="5" t="s">
        <v>187</v>
      </c>
      <c r="C389" s="5">
        <v>467470</v>
      </c>
      <c r="D389" s="6"/>
      <c r="E389" s="5" t="s">
        <v>32</v>
      </c>
      <c r="F389" s="5" t="s">
        <v>188</v>
      </c>
      <c r="G389" s="5" t="s">
        <v>52</v>
      </c>
      <c r="H389" s="7" t="s">
        <v>8</v>
      </c>
      <c r="I389" s="7" t="s">
        <v>189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7">
        <v>0</v>
      </c>
      <c r="U389" s="7">
        <v>0</v>
      </c>
      <c r="V389" s="7">
        <v>0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3</v>
      </c>
      <c r="AF389" s="8">
        <v>8700</v>
      </c>
      <c r="AG389" s="7">
        <v>0</v>
      </c>
      <c r="AH389" s="7">
        <v>0</v>
      </c>
      <c r="AI389" s="7">
        <v>0</v>
      </c>
      <c r="AJ389" s="7">
        <v>0</v>
      </c>
      <c r="AK389" s="7">
        <v>2</v>
      </c>
      <c r="AL389" s="8">
        <v>3600</v>
      </c>
      <c r="AM389" s="7">
        <v>300</v>
      </c>
      <c r="AN389" s="7">
        <v>0</v>
      </c>
      <c r="AO389" s="7">
        <v>0</v>
      </c>
      <c r="AP389" s="7">
        <v>0</v>
      </c>
      <c r="AQ389" s="7">
        <v>1</v>
      </c>
      <c r="AR389" s="8">
        <v>3000</v>
      </c>
      <c r="AS389" s="7">
        <v>0</v>
      </c>
      <c r="AT389" s="7">
        <v>0</v>
      </c>
      <c r="AU389" s="7">
        <v>0</v>
      </c>
      <c r="AV389" s="7">
        <v>0</v>
      </c>
      <c r="AW389" s="7">
        <v>0</v>
      </c>
      <c r="AX389" s="7">
        <v>0</v>
      </c>
      <c r="AY389" s="7">
        <v>0</v>
      </c>
      <c r="AZ389" s="7">
        <v>0</v>
      </c>
      <c r="BA389" s="7">
        <v>0</v>
      </c>
      <c r="BB389" s="7">
        <v>0</v>
      </c>
      <c r="BC389" s="7">
        <v>0</v>
      </c>
      <c r="BD389" s="7">
        <v>0</v>
      </c>
      <c r="BE389" s="7">
        <v>0</v>
      </c>
      <c r="BF389" s="7">
        <v>0</v>
      </c>
      <c r="BG389" s="7">
        <v>0</v>
      </c>
      <c r="BH389" s="7">
        <v>0</v>
      </c>
      <c r="BI389" s="7">
        <v>0</v>
      </c>
      <c r="BJ389" s="7">
        <v>0</v>
      </c>
      <c r="BK389" s="7">
        <v>0</v>
      </c>
      <c r="BL389" s="9">
        <v>1080</v>
      </c>
      <c r="BM389" s="10">
        <v>15600</v>
      </c>
      <c r="BN389" s="16">
        <f t="shared" si="13"/>
        <v>14520</v>
      </c>
      <c r="BO389" s="14">
        <f t="shared" si="14"/>
        <v>10164</v>
      </c>
    </row>
    <row r="390" spans="1:67" x14ac:dyDescent="0.3">
      <c r="A390" s="5" t="s">
        <v>522</v>
      </c>
      <c r="B390" s="5" t="s">
        <v>207</v>
      </c>
      <c r="C390" s="5">
        <v>378409</v>
      </c>
      <c r="D390" s="6"/>
      <c r="E390" s="5" t="s">
        <v>32</v>
      </c>
      <c r="F390" s="5" t="s">
        <v>67</v>
      </c>
      <c r="G390" s="5" t="s">
        <v>52</v>
      </c>
      <c r="H390" s="7" t="s">
        <v>8</v>
      </c>
      <c r="I390" s="7" t="s">
        <v>208</v>
      </c>
      <c r="J390" s="7">
        <v>0</v>
      </c>
      <c r="K390" s="7">
        <v>0</v>
      </c>
      <c r="L390" s="7">
        <v>0</v>
      </c>
      <c r="M390" s="7">
        <v>0</v>
      </c>
      <c r="N390" s="7">
        <v>0</v>
      </c>
      <c r="O390" s="7">
        <v>0</v>
      </c>
      <c r="P390" s="7">
        <v>0</v>
      </c>
      <c r="Q390" s="7">
        <v>0</v>
      </c>
      <c r="R390" s="7">
        <v>0</v>
      </c>
      <c r="S390" s="7">
        <v>0</v>
      </c>
      <c r="T390" s="7">
        <v>5</v>
      </c>
      <c r="U390" s="7">
        <v>0</v>
      </c>
      <c r="V390" s="7">
        <v>0</v>
      </c>
      <c r="W390" s="7">
        <v>0</v>
      </c>
      <c r="X390" s="7">
        <v>0</v>
      </c>
      <c r="Y390" s="7">
        <v>0</v>
      </c>
      <c r="Z390" s="7">
        <v>0</v>
      </c>
      <c r="AA390" s="7">
        <v>0</v>
      </c>
      <c r="AB390" s="7">
        <v>0</v>
      </c>
      <c r="AC390" s="7">
        <v>0</v>
      </c>
      <c r="AD390" s="7">
        <v>0</v>
      </c>
      <c r="AE390" s="7">
        <v>0</v>
      </c>
      <c r="AF390" s="7">
        <v>0</v>
      </c>
      <c r="AG390" s="7">
        <v>0</v>
      </c>
      <c r="AH390" s="7">
        <v>0</v>
      </c>
      <c r="AI390" s="7">
        <v>0</v>
      </c>
      <c r="AJ390" s="7">
        <v>0</v>
      </c>
      <c r="AK390" s="7">
        <v>121</v>
      </c>
      <c r="AL390" s="8">
        <v>14520</v>
      </c>
      <c r="AM390" s="7">
        <v>0</v>
      </c>
      <c r="AN390" s="7">
        <v>0</v>
      </c>
      <c r="AO390" s="7">
        <v>0</v>
      </c>
      <c r="AP390" s="7">
        <v>0</v>
      </c>
      <c r="AQ390" s="7">
        <v>0</v>
      </c>
      <c r="AR390" s="7">
        <v>0</v>
      </c>
      <c r="AS390" s="7">
        <v>0</v>
      </c>
      <c r="AT390" s="7">
        <v>0</v>
      </c>
      <c r="AU390" s="7">
        <v>0</v>
      </c>
      <c r="AV390" s="7">
        <v>0</v>
      </c>
      <c r="AW390" s="7">
        <v>0</v>
      </c>
      <c r="AX390" s="7">
        <v>0</v>
      </c>
      <c r="AY390" s="7">
        <v>0</v>
      </c>
      <c r="AZ390" s="7">
        <v>0</v>
      </c>
      <c r="BA390" s="7">
        <v>0</v>
      </c>
      <c r="BB390" s="7">
        <v>0</v>
      </c>
      <c r="BC390" s="7">
        <v>0</v>
      </c>
      <c r="BD390" s="7">
        <v>0</v>
      </c>
      <c r="BE390" s="7">
        <v>0</v>
      </c>
      <c r="BF390" s="7">
        <v>0</v>
      </c>
      <c r="BG390" s="7">
        <v>0</v>
      </c>
      <c r="BH390" s="7">
        <v>0</v>
      </c>
      <c r="BI390" s="7">
        <v>0</v>
      </c>
      <c r="BJ390" s="7">
        <v>0</v>
      </c>
      <c r="BK390" s="7">
        <v>0</v>
      </c>
      <c r="BL390" s="9">
        <v>4356</v>
      </c>
      <c r="BM390" s="10">
        <v>14520</v>
      </c>
      <c r="BN390" s="16">
        <f t="shared" si="13"/>
        <v>10164</v>
      </c>
      <c r="BO390" s="14">
        <f t="shared" si="14"/>
        <v>7114.7999999999993</v>
      </c>
    </row>
    <row r="391" spans="1:67" ht="19.5" x14ac:dyDescent="0.3">
      <c r="A391" s="5" t="s">
        <v>543</v>
      </c>
      <c r="B391" s="5" t="s">
        <v>131</v>
      </c>
      <c r="C391" s="5">
        <v>425289</v>
      </c>
      <c r="D391" s="6"/>
      <c r="E391" s="5" t="s">
        <v>32</v>
      </c>
      <c r="F391" s="5" t="s">
        <v>117</v>
      </c>
      <c r="G391" s="5" t="s">
        <v>11</v>
      </c>
      <c r="H391" s="7" t="s">
        <v>7</v>
      </c>
      <c r="I391" s="7" t="s">
        <v>132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7">
        <v>10</v>
      </c>
      <c r="U391" s="7">
        <v>0</v>
      </c>
      <c r="V391" s="7">
        <v>0</v>
      </c>
      <c r="W391" s="7">
        <v>0</v>
      </c>
      <c r="X391" s="7">
        <v>0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121</v>
      </c>
      <c r="AF391" s="8">
        <v>12100</v>
      </c>
      <c r="AG391" s="7">
        <v>0</v>
      </c>
      <c r="AH391" s="7">
        <v>0</v>
      </c>
      <c r="AI391" s="7">
        <v>0</v>
      </c>
      <c r="AJ391" s="7">
        <v>0</v>
      </c>
      <c r="AK391" s="7">
        <v>0</v>
      </c>
      <c r="AL391" s="7">
        <v>0</v>
      </c>
      <c r="AM391" s="7">
        <v>0</v>
      </c>
      <c r="AN391" s="7">
        <v>0</v>
      </c>
      <c r="AO391" s="7">
        <v>0</v>
      </c>
      <c r="AP391" s="7">
        <v>0</v>
      </c>
      <c r="AQ391" s="7">
        <v>22</v>
      </c>
      <c r="AR391" s="8">
        <v>2200</v>
      </c>
      <c r="AS391" s="7">
        <v>0</v>
      </c>
      <c r="AT391" s="7">
        <v>0</v>
      </c>
      <c r="AU391" s="7">
        <v>0</v>
      </c>
      <c r="AV391" s="7">
        <v>0</v>
      </c>
      <c r="AW391" s="7">
        <v>0</v>
      </c>
      <c r="AX391" s="7">
        <v>0</v>
      </c>
      <c r="AY391" s="7">
        <v>0</v>
      </c>
      <c r="AZ391" s="7">
        <v>0</v>
      </c>
      <c r="BA391" s="7">
        <v>0</v>
      </c>
      <c r="BB391" s="7">
        <v>0</v>
      </c>
      <c r="BC391" s="7">
        <v>0</v>
      </c>
      <c r="BD391" s="7">
        <v>0</v>
      </c>
      <c r="BE391" s="7">
        <v>0</v>
      </c>
      <c r="BF391" s="7">
        <v>0</v>
      </c>
      <c r="BG391" s="7">
        <v>0</v>
      </c>
      <c r="BH391" s="7">
        <v>0</v>
      </c>
      <c r="BI391" s="7">
        <v>0</v>
      </c>
      <c r="BJ391" s="7">
        <v>0</v>
      </c>
      <c r="BK391" s="7">
        <v>0</v>
      </c>
      <c r="BL391" s="7">
        <v>0</v>
      </c>
      <c r="BM391" s="10">
        <v>14300</v>
      </c>
      <c r="BN391" s="16">
        <f t="shared" si="13"/>
        <v>14300</v>
      </c>
      <c r="BO391" s="14">
        <f t="shared" si="14"/>
        <v>10010</v>
      </c>
    </row>
    <row r="392" spans="1:67" x14ac:dyDescent="0.3">
      <c r="A392" s="5" t="s">
        <v>542</v>
      </c>
      <c r="B392" s="5" t="s">
        <v>203</v>
      </c>
      <c r="C392" s="5">
        <v>370192</v>
      </c>
      <c r="D392" s="6"/>
      <c r="E392" s="5" t="s">
        <v>32</v>
      </c>
      <c r="F392" s="5" t="s">
        <v>156</v>
      </c>
      <c r="G392" s="5" t="s">
        <v>52</v>
      </c>
      <c r="H392" s="7" t="s">
        <v>8</v>
      </c>
      <c r="I392" s="7" t="s">
        <v>204</v>
      </c>
      <c r="J392" s="7">
        <v>0</v>
      </c>
      <c r="K392" s="7">
        <v>0</v>
      </c>
      <c r="L392" s="7">
        <v>0</v>
      </c>
      <c r="M392" s="7">
        <v>0</v>
      </c>
      <c r="N392" s="7">
        <v>0</v>
      </c>
      <c r="O392" s="7">
        <v>0</v>
      </c>
      <c r="P392" s="7">
        <v>0</v>
      </c>
      <c r="Q392" s="7">
        <v>0</v>
      </c>
      <c r="R392" s="7">
        <v>0</v>
      </c>
      <c r="S392" s="7">
        <v>0</v>
      </c>
      <c r="T392" s="7">
        <v>7</v>
      </c>
      <c r="U392" s="7">
        <v>0</v>
      </c>
      <c r="V392" s="7">
        <v>0</v>
      </c>
      <c r="W392" s="7">
        <v>0</v>
      </c>
      <c r="X392" s="7">
        <v>0</v>
      </c>
      <c r="Y392" s="7">
        <v>0</v>
      </c>
      <c r="Z392" s="7">
        <v>0</v>
      </c>
      <c r="AA392" s="7">
        <v>0</v>
      </c>
      <c r="AB392" s="7">
        <v>0</v>
      </c>
      <c r="AC392" s="7">
        <v>0</v>
      </c>
      <c r="AD392" s="7">
        <v>0</v>
      </c>
      <c r="AE392" s="7">
        <v>12</v>
      </c>
      <c r="AF392" s="8">
        <v>1200</v>
      </c>
      <c r="AG392" s="7">
        <v>0</v>
      </c>
      <c r="AH392" s="7">
        <v>0</v>
      </c>
      <c r="AI392" s="7">
        <v>0</v>
      </c>
      <c r="AJ392" s="7">
        <v>0</v>
      </c>
      <c r="AK392" s="7">
        <v>104</v>
      </c>
      <c r="AL392" s="8">
        <v>12484</v>
      </c>
      <c r="AM392" s="7">
        <v>200</v>
      </c>
      <c r="AN392" s="7">
        <v>0</v>
      </c>
      <c r="AO392" s="7">
        <v>0</v>
      </c>
      <c r="AP392" s="7">
        <v>0</v>
      </c>
      <c r="AQ392" s="7">
        <v>0</v>
      </c>
      <c r="AR392" s="7">
        <v>0</v>
      </c>
      <c r="AS392" s="7">
        <v>0</v>
      </c>
      <c r="AT392" s="7">
        <v>0</v>
      </c>
      <c r="AU392" s="7">
        <v>0</v>
      </c>
      <c r="AV392" s="7">
        <v>0</v>
      </c>
      <c r="AW392" s="7">
        <v>0</v>
      </c>
      <c r="AX392" s="7">
        <v>0</v>
      </c>
      <c r="AY392" s="7">
        <v>0</v>
      </c>
      <c r="AZ392" s="7">
        <v>0</v>
      </c>
      <c r="BA392" s="7">
        <v>0</v>
      </c>
      <c r="BB392" s="7">
        <v>0</v>
      </c>
      <c r="BC392" s="7">
        <v>0</v>
      </c>
      <c r="BD392" s="7">
        <v>0</v>
      </c>
      <c r="BE392" s="7">
        <v>0</v>
      </c>
      <c r="BF392" s="7">
        <v>0</v>
      </c>
      <c r="BG392" s="7">
        <v>0</v>
      </c>
      <c r="BH392" s="7">
        <v>0</v>
      </c>
      <c r="BI392" s="7">
        <v>0</v>
      </c>
      <c r="BJ392" s="7">
        <v>0</v>
      </c>
      <c r="BK392" s="7">
        <v>0</v>
      </c>
      <c r="BL392" s="9">
        <v>3745.2</v>
      </c>
      <c r="BM392" s="10">
        <v>13884</v>
      </c>
      <c r="BN392" s="16">
        <f t="shared" si="13"/>
        <v>10138.799999999999</v>
      </c>
      <c r="BO392" s="14">
        <f t="shared" si="14"/>
        <v>7097.1599999999989</v>
      </c>
    </row>
    <row r="393" spans="1:67" x14ac:dyDescent="0.3">
      <c r="A393" s="5" t="s">
        <v>542</v>
      </c>
      <c r="B393" s="5" t="s">
        <v>112</v>
      </c>
      <c r="C393" s="5">
        <v>462353</v>
      </c>
      <c r="D393" s="6"/>
      <c r="E393" s="5" t="s">
        <v>32</v>
      </c>
      <c r="F393" s="5" t="s">
        <v>57</v>
      </c>
      <c r="G393" s="5" t="s">
        <v>11</v>
      </c>
      <c r="H393" s="7" t="s">
        <v>7</v>
      </c>
      <c r="I393" s="7" t="s">
        <v>113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7">
        <v>8</v>
      </c>
      <c r="U393" s="7">
        <v>0</v>
      </c>
      <c r="V393" s="7">
        <v>0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7">
        <v>0</v>
      </c>
      <c r="AK393" s="7">
        <v>1</v>
      </c>
      <c r="AL393" s="7">
        <v>120</v>
      </c>
      <c r="AM393" s="7">
        <v>0</v>
      </c>
      <c r="AN393" s="7">
        <v>0</v>
      </c>
      <c r="AO393" s="7">
        <v>0</v>
      </c>
      <c r="AP393" s="7">
        <v>0</v>
      </c>
      <c r="AQ393" s="7">
        <v>132</v>
      </c>
      <c r="AR393" s="8">
        <v>10500</v>
      </c>
      <c r="AS393" s="8">
        <v>2700</v>
      </c>
      <c r="AT393" s="7">
        <v>0</v>
      </c>
      <c r="AU393" s="7">
        <v>0</v>
      </c>
      <c r="AV393" s="7">
        <v>0</v>
      </c>
      <c r="AW393" s="7">
        <v>0</v>
      </c>
      <c r="AX393" s="7">
        <v>0</v>
      </c>
      <c r="AY393" s="7">
        <v>0</v>
      </c>
      <c r="AZ393" s="7">
        <v>0</v>
      </c>
      <c r="BA393" s="7">
        <v>0</v>
      </c>
      <c r="BB393" s="7">
        <v>0</v>
      </c>
      <c r="BC393" s="7">
        <v>0</v>
      </c>
      <c r="BD393" s="7">
        <v>0</v>
      </c>
      <c r="BE393" s="7">
        <v>0</v>
      </c>
      <c r="BF393" s="7">
        <v>0</v>
      </c>
      <c r="BG393" s="7">
        <v>0</v>
      </c>
      <c r="BH393" s="7">
        <v>0</v>
      </c>
      <c r="BI393" s="7">
        <v>0</v>
      </c>
      <c r="BJ393" s="7">
        <v>0</v>
      </c>
      <c r="BK393" s="7">
        <v>0</v>
      </c>
      <c r="BL393" s="7">
        <v>36</v>
      </c>
      <c r="BM393" s="10">
        <v>13320</v>
      </c>
      <c r="BN393" s="16">
        <f t="shared" si="13"/>
        <v>13284</v>
      </c>
      <c r="BO393" s="14">
        <f t="shared" si="14"/>
        <v>9298.7999999999993</v>
      </c>
    </row>
    <row r="394" spans="1:67" x14ac:dyDescent="0.3">
      <c r="A394" s="5" t="s">
        <v>543</v>
      </c>
      <c r="B394" s="5" t="s">
        <v>209</v>
      </c>
      <c r="C394" s="5">
        <v>423328</v>
      </c>
      <c r="D394" s="6"/>
      <c r="E394" s="5" t="s">
        <v>32</v>
      </c>
      <c r="F394" s="5" t="s">
        <v>48</v>
      </c>
      <c r="G394" s="5" t="s">
        <v>11</v>
      </c>
      <c r="H394" s="7" t="s">
        <v>7</v>
      </c>
      <c r="I394" s="7" t="s">
        <v>210</v>
      </c>
      <c r="J394" s="7">
        <v>0</v>
      </c>
      <c r="K394" s="7">
        <v>0</v>
      </c>
      <c r="L394" s="7">
        <v>0</v>
      </c>
      <c r="M394" s="7">
        <v>0</v>
      </c>
      <c r="N394" s="7">
        <v>0</v>
      </c>
      <c r="O394" s="7">
        <v>0</v>
      </c>
      <c r="P394" s="7">
        <v>0</v>
      </c>
      <c r="Q394" s="7">
        <v>0</v>
      </c>
      <c r="R394" s="7">
        <v>0</v>
      </c>
      <c r="S394" s="7">
        <v>0</v>
      </c>
      <c r="T394" s="7">
        <v>0</v>
      </c>
      <c r="U394" s="7">
        <v>0</v>
      </c>
      <c r="V394" s="7">
        <v>0</v>
      </c>
      <c r="W394" s="7">
        <v>0</v>
      </c>
      <c r="X394" s="7">
        <v>0</v>
      </c>
      <c r="Y394" s="7">
        <v>0</v>
      </c>
      <c r="Z394" s="7">
        <v>0</v>
      </c>
      <c r="AA394" s="7">
        <v>0</v>
      </c>
      <c r="AB394" s="7">
        <v>0</v>
      </c>
      <c r="AC394" s="7">
        <v>0</v>
      </c>
      <c r="AD394" s="7">
        <v>0</v>
      </c>
      <c r="AE394" s="7">
        <v>18</v>
      </c>
      <c r="AF394" s="8">
        <v>1800</v>
      </c>
      <c r="AG394" s="7">
        <v>0</v>
      </c>
      <c r="AH394" s="7">
        <v>0</v>
      </c>
      <c r="AI394" s="7">
        <v>0</v>
      </c>
      <c r="AJ394" s="7">
        <v>0</v>
      </c>
      <c r="AK394" s="7">
        <v>102</v>
      </c>
      <c r="AL394" s="8">
        <v>7200</v>
      </c>
      <c r="AM394" s="8">
        <v>4200</v>
      </c>
      <c r="AN394" s="7">
        <v>0</v>
      </c>
      <c r="AO394" s="7">
        <v>0</v>
      </c>
      <c r="AP394" s="7">
        <v>0</v>
      </c>
      <c r="AQ394" s="7">
        <v>0</v>
      </c>
      <c r="AR394" s="7">
        <v>0</v>
      </c>
      <c r="AS394" s="7">
        <v>0</v>
      </c>
      <c r="AT394" s="7">
        <v>0</v>
      </c>
      <c r="AU394" s="7">
        <v>0</v>
      </c>
      <c r="AV394" s="7">
        <v>0</v>
      </c>
      <c r="AW394" s="7">
        <v>0</v>
      </c>
      <c r="AX394" s="7">
        <v>0</v>
      </c>
      <c r="AY394" s="7">
        <v>0</v>
      </c>
      <c r="AZ394" s="7">
        <v>0</v>
      </c>
      <c r="BA394" s="7">
        <v>0</v>
      </c>
      <c r="BB394" s="7">
        <v>0</v>
      </c>
      <c r="BC394" s="7">
        <v>0</v>
      </c>
      <c r="BD394" s="7">
        <v>0</v>
      </c>
      <c r="BE394" s="7">
        <v>0</v>
      </c>
      <c r="BF394" s="7">
        <v>0</v>
      </c>
      <c r="BG394" s="7">
        <v>0</v>
      </c>
      <c r="BH394" s="7">
        <v>0</v>
      </c>
      <c r="BI394" s="7">
        <v>0</v>
      </c>
      <c r="BJ394" s="7">
        <v>0</v>
      </c>
      <c r="BK394" s="7">
        <v>0</v>
      </c>
      <c r="BL394" s="9">
        <v>2160</v>
      </c>
      <c r="BM394" s="10">
        <v>13200</v>
      </c>
      <c r="BN394" s="16">
        <f t="shared" si="13"/>
        <v>11040</v>
      </c>
      <c r="BO394" s="14">
        <f t="shared" si="14"/>
        <v>7727.9999999999991</v>
      </c>
    </row>
    <row r="395" spans="1:67" x14ac:dyDescent="0.3">
      <c r="A395" s="5" t="s">
        <v>542</v>
      </c>
      <c r="B395" s="5" t="s">
        <v>306</v>
      </c>
      <c r="C395" s="5">
        <v>417258</v>
      </c>
      <c r="D395" s="6"/>
      <c r="E395" s="5" t="s">
        <v>32</v>
      </c>
      <c r="F395" s="5" t="s">
        <v>307</v>
      </c>
      <c r="G395" s="5" t="s">
        <v>52</v>
      </c>
      <c r="H395" s="7" t="s">
        <v>8</v>
      </c>
      <c r="I395" s="7" t="s">
        <v>308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7">
        <v>2</v>
      </c>
      <c r="U395" s="7">
        <v>0</v>
      </c>
      <c r="V395" s="7">
        <v>0</v>
      </c>
      <c r="W395" s="7">
        <v>0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7">
        <v>0</v>
      </c>
      <c r="AK395" s="7">
        <v>116</v>
      </c>
      <c r="AL395" s="8">
        <v>8400</v>
      </c>
      <c r="AM395" s="8">
        <v>4600</v>
      </c>
      <c r="AN395" s="7">
        <v>0</v>
      </c>
      <c r="AO395" s="7">
        <v>0</v>
      </c>
      <c r="AP395" s="7">
        <v>0</v>
      </c>
      <c r="AQ395" s="7">
        <v>0</v>
      </c>
      <c r="AR395" s="7">
        <v>0</v>
      </c>
      <c r="AS395" s="7">
        <v>0</v>
      </c>
      <c r="AT395" s="7">
        <v>0</v>
      </c>
      <c r="AU395" s="7">
        <v>0</v>
      </c>
      <c r="AV395" s="7">
        <v>0</v>
      </c>
      <c r="AW395" s="7">
        <v>0</v>
      </c>
      <c r="AX395" s="7">
        <v>0</v>
      </c>
      <c r="AY395" s="7">
        <v>0</v>
      </c>
      <c r="AZ395" s="7">
        <v>0</v>
      </c>
      <c r="BA395" s="7">
        <v>0</v>
      </c>
      <c r="BB395" s="7">
        <v>0</v>
      </c>
      <c r="BC395" s="7">
        <v>0</v>
      </c>
      <c r="BD395" s="7">
        <v>0</v>
      </c>
      <c r="BE395" s="7">
        <v>0</v>
      </c>
      <c r="BF395" s="7">
        <v>0</v>
      </c>
      <c r="BG395" s="7">
        <v>0</v>
      </c>
      <c r="BH395" s="7">
        <v>0</v>
      </c>
      <c r="BI395" s="7">
        <v>0</v>
      </c>
      <c r="BJ395" s="7">
        <v>0</v>
      </c>
      <c r="BK395" s="7">
        <v>0</v>
      </c>
      <c r="BL395" s="9">
        <v>2520</v>
      </c>
      <c r="BM395" s="10">
        <v>13000</v>
      </c>
      <c r="BN395" s="16">
        <f t="shared" si="13"/>
        <v>10480</v>
      </c>
      <c r="BO395" s="14">
        <f t="shared" si="14"/>
        <v>7335.9999999999991</v>
      </c>
    </row>
    <row r="396" spans="1:67" x14ac:dyDescent="0.3">
      <c r="A396" s="5" t="s">
        <v>522</v>
      </c>
      <c r="B396" s="5" t="s">
        <v>104</v>
      </c>
      <c r="C396" s="5">
        <v>370935</v>
      </c>
      <c r="D396" s="6"/>
      <c r="E396" s="5" t="s">
        <v>32</v>
      </c>
      <c r="F396" s="5" t="s">
        <v>48</v>
      </c>
      <c r="G396" s="5" t="s">
        <v>11</v>
      </c>
      <c r="H396" s="7" t="s">
        <v>7</v>
      </c>
      <c r="I396" s="7" t="s">
        <v>105</v>
      </c>
      <c r="J396" s="7">
        <v>0</v>
      </c>
      <c r="K396" s="7">
        <v>0</v>
      </c>
      <c r="L396" s="7">
        <v>0</v>
      </c>
      <c r="M396" s="7">
        <v>0</v>
      </c>
      <c r="N396" s="7">
        <v>0</v>
      </c>
      <c r="O396" s="7">
        <v>0</v>
      </c>
      <c r="P396" s="7">
        <v>0</v>
      </c>
      <c r="Q396" s="7">
        <v>0</v>
      </c>
      <c r="R396" s="7">
        <v>0</v>
      </c>
      <c r="S396" s="7">
        <v>0</v>
      </c>
      <c r="T396" s="7">
        <v>0</v>
      </c>
      <c r="U396" s="7">
        <v>0</v>
      </c>
      <c r="V396" s="7">
        <v>0</v>
      </c>
      <c r="W396" s="7">
        <v>0</v>
      </c>
      <c r="X396" s="7">
        <v>0</v>
      </c>
      <c r="Y396" s="7">
        <v>0</v>
      </c>
      <c r="Z396" s="7">
        <v>0</v>
      </c>
      <c r="AA396" s="7">
        <v>0</v>
      </c>
      <c r="AB396" s="7">
        <v>0</v>
      </c>
      <c r="AC396" s="7">
        <v>0</v>
      </c>
      <c r="AD396" s="7">
        <v>0</v>
      </c>
      <c r="AE396" s="7">
        <v>4</v>
      </c>
      <c r="AF396" s="8">
        <v>8300</v>
      </c>
      <c r="AG396" s="7">
        <v>0</v>
      </c>
      <c r="AH396" s="7">
        <v>0</v>
      </c>
      <c r="AI396" s="7">
        <v>0</v>
      </c>
      <c r="AJ396" s="7">
        <v>0</v>
      </c>
      <c r="AK396" s="7">
        <v>1</v>
      </c>
      <c r="AL396" s="7">
        <v>0</v>
      </c>
      <c r="AM396" s="8">
        <v>2500</v>
      </c>
      <c r="AN396" s="7">
        <v>0</v>
      </c>
      <c r="AO396" s="7">
        <v>0</v>
      </c>
      <c r="AP396" s="7">
        <v>0</v>
      </c>
      <c r="AQ396" s="7">
        <v>1</v>
      </c>
      <c r="AR396" s="8">
        <v>2000</v>
      </c>
      <c r="AS396" s="7">
        <v>0</v>
      </c>
      <c r="AT396" s="7">
        <v>0</v>
      </c>
      <c r="AU396" s="7">
        <v>0</v>
      </c>
      <c r="AV396" s="7">
        <v>0</v>
      </c>
      <c r="AW396" s="7">
        <v>0</v>
      </c>
      <c r="AX396" s="7">
        <v>0</v>
      </c>
      <c r="AY396" s="7">
        <v>0</v>
      </c>
      <c r="AZ396" s="7">
        <v>0</v>
      </c>
      <c r="BA396" s="7">
        <v>0</v>
      </c>
      <c r="BB396" s="7">
        <v>0</v>
      </c>
      <c r="BC396" s="7">
        <v>0</v>
      </c>
      <c r="BD396" s="7">
        <v>0</v>
      </c>
      <c r="BE396" s="7">
        <v>0</v>
      </c>
      <c r="BF396" s="7">
        <v>0</v>
      </c>
      <c r="BG396" s="7">
        <v>0</v>
      </c>
      <c r="BH396" s="7">
        <v>0</v>
      </c>
      <c r="BI396" s="7">
        <v>0</v>
      </c>
      <c r="BJ396" s="7">
        <v>0</v>
      </c>
      <c r="BK396" s="7">
        <v>0</v>
      </c>
      <c r="BL396" s="7">
        <v>0</v>
      </c>
      <c r="BM396" s="10">
        <v>12800</v>
      </c>
      <c r="BN396" s="16">
        <f t="shared" si="13"/>
        <v>12800</v>
      </c>
      <c r="BO396" s="14">
        <f t="shared" si="14"/>
        <v>8960</v>
      </c>
    </row>
    <row r="397" spans="1:67" x14ac:dyDescent="0.3">
      <c r="A397" s="5" t="s">
        <v>522</v>
      </c>
      <c r="B397" s="5" t="s">
        <v>257</v>
      </c>
      <c r="C397" s="5">
        <v>382446</v>
      </c>
      <c r="D397" s="6"/>
      <c r="E397" s="5" t="s">
        <v>32</v>
      </c>
      <c r="F397" s="5" t="s">
        <v>73</v>
      </c>
      <c r="G397" s="5" t="s">
        <v>52</v>
      </c>
      <c r="H397" s="7" t="s">
        <v>8</v>
      </c>
      <c r="I397" s="7" t="s">
        <v>258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7">
        <v>0</v>
      </c>
      <c r="U397" s="7">
        <v>0</v>
      </c>
      <c r="V397" s="7">
        <v>0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19</v>
      </c>
      <c r="AF397" s="8">
        <v>1900</v>
      </c>
      <c r="AG397" s="7">
        <v>0</v>
      </c>
      <c r="AH397" s="7">
        <v>0</v>
      </c>
      <c r="AI397" s="7">
        <v>0</v>
      </c>
      <c r="AJ397" s="7">
        <v>0</v>
      </c>
      <c r="AK397" s="7">
        <v>80</v>
      </c>
      <c r="AL397" s="8">
        <v>9680</v>
      </c>
      <c r="AM397" s="7">
        <v>0</v>
      </c>
      <c r="AN397" s="7">
        <v>0</v>
      </c>
      <c r="AO397" s="7">
        <v>0</v>
      </c>
      <c r="AP397" s="7">
        <v>0</v>
      </c>
      <c r="AQ397" s="7">
        <v>0</v>
      </c>
      <c r="AR397" s="7">
        <v>0</v>
      </c>
      <c r="AS397" s="7">
        <v>0</v>
      </c>
      <c r="AT397" s="7">
        <v>0</v>
      </c>
      <c r="AU397" s="7">
        <v>0</v>
      </c>
      <c r="AV397" s="7">
        <v>0</v>
      </c>
      <c r="AW397" s="7">
        <v>0</v>
      </c>
      <c r="AX397" s="7">
        <v>0</v>
      </c>
      <c r="AY397" s="7">
        <v>0</v>
      </c>
      <c r="AZ397" s="7">
        <v>0</v>
      </c>
      <c r="BA397" s="7">
        <v>0</v>
      </c>
      <c r="BB397" s="7">
        <v>0</v>
      </c>
      <c r="BC397" s="7">
        <v>0</v>
      </c>
      <c r="BD397" s="7">
        <v>0</v>
      </c>
      <c r="BE397" s="7">
        <v>0</v>
      </c>
      <c r="BF397" s="7">
        <v>0</v>
      </c>
      <c r="BG397" s="7">
        <v>0</v>
      </c>
      <c r="BH397" s="7">
        <v>0</v>
      </c>
      <c r="BI397" s="7">
        <v>0</v>
      </c>
      <c r="BJ397" s="7">
        <v>0</v>
      </c>
      <c r="BK397" s="7">
        <v>0</v>
      </c>
      <c r="BL397" s="9">
        <v>2904</v>
      </c>
      <c r="BM397" s="10">
        <v>11580</v>
      </c>
      <c r="BN397" s="16">
        <f t="shared" si="13"/>
        <v>8676</v>
      </c>
      <c r="BO397" s="14">
        <f t="shared" si="14"/>
        <v>6073.2</v>
      </c>
    </row>
    <row r="398" spans="1:67" x14ac:dyDescent="0.3">
      <c r="A398" s="5" t="s">
        <v>522</v>
      </c>
      <c r="B398" s="5" t="s">
        <v>523</v>
      </c>
      <c r="C398" s="5">
        <v>441966</v>
      </c>
      <c r="D398" s="6"/>
      <c r="E398" s="5" t="s">
        <v>32</v>
      </c>
      <c r="F398" s="5" t="s">
        <v>129</v>
      </c>
      <c r="G398" s="5" t="s">
        <v>11</v>
      </c>
      <c r="H398" s="7" t="s">
        <v>8</v>
      </c>
      <c r="I398" s="7" t="s">
        <v>524</v>
      </c>
      <c r="J398" s="7">
        <v>0</v>
      </c>
      <c r="K398" s="7">
        <v>0</v>
      </c>
      <c r="L398" s="7">
        <v>0</v>
      </c>
      <c r="M398" s="7">
        <v>0</v>
      </c>
      <c r="N398" s="7">
        <v>0</v>
      </c>
      <c r="O398" s="7">
        <v>0</v>
      </c>
      <c r="P398" s="7">
        <v>0</v>
      </c>
      <c r="Q398" s="7">
        <v>0</v>
      </c>
      <c r="R398" s="7">
        <v>0</v>
      </c>
      <c r="S398" s="7">
        <v>0</v>
      </c>
      <c r="T398" s="7">
        <v>0</v>
      </c>
      <c r="U398" s="7">
        <v>0</v>
      </c>
      <c r="V398" s="7">
        <v>0</v>
      </c>
      <c r="W398" s="7">
        <v>0</v>
      </c>
      <c r="X398" s="7">
        <v>0</v>
      </c>
      <c r="Y398" s="7">
        <v>0</v>
      </c>
      <c r="Z398" s="7">
        <v>0</v>
      </c>
      <c r="AA398" s="7">
        <v>0</v>
      </c>
      <c r="AB398" s="7">
        <v>0</v>
      </c>
      <c r="AC398" s="7">
        <v>0</v>
      </c>
      <c r="AD398" s="7">
        <v>0</v>
      </c>
      <c r="AE398" s="7">
        <v>0</v>
      </c>
      <c r="AF398" s="7">
        <v>0</v>
      </c>
      <c r="AG398" s="7">
        <v>0</v>
      </c>
      <c r="AH398" s="7">
        <v>0</v>
      </c>
      <c r="AI398" s="7">
        <v>0</v>
      </c>
      <c r="AJ398" s="7">
        <v>0</v>
      </c>
      <c r="AK398" s="7">
        <v>4</v>
      </c>
      <c r="AL398" s="8">
        <v>11520</v>
      </c>
      <c r="AM398" s="7">
        <v>0</v>
      </c>
      <c r="AN398" s="7">
        <v>0</v>
      </c>
      <c r="AO398" s="7">
        <v>0</v>
      </c>
      <c r="AP398" s="7">
        <v>0</v>
      </c>
      <c r="AQ398" s="7">
        <v>0</v>
      </c>
      <c r="AR398" s="7">
        <v>0</v>
      </c>
      <c r="AS398" s="7">
        <v>0</v>
      </c>
      <c r="AT398" s="7">
        <v>0</v>
      </c>
      <c r="AU398" s="7">
        <v>0</v>
      </c>
      <c r="AV398" s="7">
        <v>0</v>
      </c>
      <c r="AW398" s="7">
        <v>0</v>
      </c>
      <c r="AX398" s="7">
        <v>0</v>
      </c>
      <c r="AY398" s="7">
        <v>0</v>
      </c>
      <c r="AZ398" s="7">
        <v>0</v>
      </c>
      <c r="BA398" s="7">
        <v>0</v>
      </c>
      <c r="BB398" s="7">
        <v>0</v>
      </c>
      <c r="BC398" s="7">
        <v>0</v>
      </c>
      <c r="BD398" s="7">
        <v>0</v>
      </c>
      <c r="BE398" s="7">
        <v>0</v>
      </c>
      <c r="BF398" s="7">
        <v>0</v>
      </c>
      <c r="BG398" s="7">
        <v>0</v>
      </c>
      <c r="BH398" s="7">
        <v>0</v>
      </c>
      <c r="BI398" s="7">
        <v>0</v>
      </c>
      <c r="BJ398" s="7">
        <v>0</v>
      </c>
      <c r="BK398" s="7">
        <v>0</v>
      </c>
      <c r="BL398" s="9">
        <v>3456</v>
      </c>
      <c r="BM398" s="10">
        <v>11520</v>
      </c>
      <c r="BN398" s="16">
        <f t="shared" si="13"/>
        <v>8064</v>
      </c>
      <c r="BO398" s="14">
        <f t="shared" si="14"/>
        <v>5644.7999999999993</v>
      </c>
    </row>
    <row r="399" spans="1:67" x14ac:dyDescent="0.3">
      <c r="A399" s="5" t="s">
        <v>522</v>
      </c>
      <c r="B399" s="5" t="s">
        <v>116</v>
      </c>
      <c r="C399" s="5">
        <v>395179</v>
      </c>
      <c r="D399" s="6"/>
      <c r="E399" s="5" t="s">
        <v>32</v>
      </c>
      <c r="F399" s="5" t="s">
        <v>117</v>
      </c>
      <c r="G399" s="5" t="s">
        <v>11</v>
      </c>
      <c r="H399" s="7" t="s">
        <v>7</v>
      </c>
      <c r="I399" s="7" t="s">
        <v>118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7">
        <v>0</v>
      </c>
      <c r="U399" s="7">
        <v>0</v>
      </c>
      <c r="V399" s="7">
        <v>0</v>
      </c>
      <c r="W399" s="7">
        <v>0</v>
      </c>
      <c r="X399" s="7">
        <v>0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7">
        <v>0</v>
      </c>
      <c r="AK399" s="7">
        <v>3</v>
      </c>
      <c r="AL399" s="8">
        <v>11520</v>
      </c>
      <c r="AM399" s="7">
        <v>0</v>
      </c>
      <c r="AN399" s="7">
        <v>0</v>
      </c>
      <c r="AO399" s="7">
        <v>0</v>
      </c>
      <c r="AP399" s="7">
        <v>0</v>
      </c>
      <c r="AQ399" s="7">
        <v>0</v>
      </c>
      <c r="AR399" s="7">
        <v>0</v>
      </c>
      <c r="AS399" s="7">
        <v>0</v>
      </c>
      <c r="AT399" s="7">
        <v>0</v>
      </c>
      <c r="AU399" s="7">
        <v>0</v>
      </c>
      <c r="AV399" s="7">
        <v>0</v>
      </c>
      <c r="AW399" s="7">
        <v>0</v>
      </c>
      <c r="AX399" s="7">
        <v>0</v>
      </c>
      <c r="AY399" s="7">
        <v>0</v>
      </c>
      <c r="AZ399" s="7">
        <v>0</v>
      </c>
      <c r="BA399" s="7">
        <v>0</v>
      </c>
      <c r="BB399" s="7">
        <v>0</v>
      </c>
      <c r="BC399" s="7">
        <v>0</v>
      </c>
      <c r="BD399" s="7">
        <v>0</v>
      </c>
      <c r="BE399" s="7">
        <v>0</v>
      </c>
      <c r="BF399" s="7">
        <v>0</v>
      </c>
      <c r="BG399" s="7">
        <v>0</v>
      </c>
      <c r="BH399" s="7">
        <v>0</v>
      </c>
      <c r="BI399" s="7">
        <v>0</v>
      </c>
      <c r="BJ399" s="7">
        <v>0</v>
      </c>
      <c r="BK399" s="7">
        <v>0</v>
      </c>
      <c r="BL399" s="9">
        <v>3456</v>
      </c>
      <c r="BM399" s="10">
        <v>11520</v>
      </c>
      <c r="BN399" s="16">
        <f t="shared" si="13"/>
        <v>8064</v>
      </c>
      <c r="BO399" s="14">
        <f t="shared" si="14"/>
        <v>5644.7999999999993</v>
      </c>
    </row>
    <row r="400" spans="1:67" x14ac:dyDescent="0.3">
      <c r="A400" s="5" t="s">
        <v>522</v>
      </c>
      <c r="B400" s="5" t="s">
        <v>142</v>
      </c>
      <c r="C400" s="5">
        <v>390809</v>
      </c>
      <c r="D400" s="6"/>
      <c r="E400" s="5" t="s">
        <v>32</v>
      </c>
      <c r="F400" s="5" t="s">
        <v>143</v>
      </c>
      <c r="G400" s="5" t="s">
        <v>52</v>
      </c>
      <c r="H400" s="7" t="s">
        <v>8</v>
      </c>
      <c r="I400" s="7" t="s">
        <v>53</v>
      </c>
      <c r="J400" s="7">
        <v>0</v>
      </c>
      <c r="K400" s="7">
        <v>0</v>
      </c>
      <c r="L400" s="7">
        <v>0</v>
      </c>
      <c r="M400" s="7">
        <v>0</v>
      </c>
      <c r="N400" s="7">
        <v>0</v>
      </c>
      <c r="O400" s="7">
        <v>0</v>
      </c>
      <c r="P400" s="7">
        <v>0</v>
      </c>
      <c r="Q400" s="7">
        <v>0</v>
      </c>
      <c r="R400" s="7">
        <v>0</v>
      </c>
      <c r="S400" s="7">
        <v>0</v>
      </c>
      <c r="T400" s="7">
        <v>6</v>
      </c>
      <c r="U400" s="7">
        <v>0</v>
      </c>
      <c r="V400" s="7">
        <v>0</v>
      </c>
      <c r="W400" s="7">
        <v>0</v>
      </c>
      <c r="X400" s="7">
        <v>0</v>
      </c>
      <c r="Y400" s="7">
        <v>0</v>
      </c>
      <c r="Z400" s="7">
        <v>0</v>
      </c>
      <c r="AA400" s="7">
        <v>0</v>
      </c>
      <c r="AB400" s="7">
        <v>0</v>
      </c>
      <c r="AC400" s="7">
        <v>0</v>
      </c>
      <c r="AD400" s="7">
        <v>0</v>
      </c>
      <c r="AE400" s="7">
        <v>5</v>
      </c>
      <c r="AF400" s="7">
        <v>500</v>
      </c>
      <c r="AG400" s="7">
        <v>0</v>
      </c>
      <c r="AH400" s="7">
        <v>0</v>
      </c>
      <c r="AI400" s="7">
        <v>0</v>
      </c>
      <c r="AJ400" s="7">
        <v>0</v>
      </c>
      <c r="AK400" s="7">
        <v>101</v>
      </c>
      <c r="AL400" s="7">
        <v>840</v>
      </c>
      <c r="AM400" s="8">
        <v>9400</v>
      </c>
      <c r="AN400" s="7">
        <v>0</v>
      </c>
      <c r="AO400" s="7">
        <v>0</v>
      </c>
      <c r="AP400" s="7">
        <v>0</v>
      </c>
      <c r="AQ400" s="7">
        <v>0</v>
      </c>
      <c r="AR400" s="7">
        <v>0</v>
      </c>
      <c r="AS400" s="7">
        <v>0</v>
      </c>
      <c r="AT400" s="7">
        <v>0</v>
      </c>
      <c r="AU400" s="7">
        <v>0</v>
      </c>
      <c r="AV400" s="7">
        <v>0</v>
      </c>
      <c r="AW400" s="7">
        <v>0</v>
      </c>
      <c r="AX400" s="7">
        <v>0</v>
      </c>
      <c r="AY400" s="7">
        <v>0</v>
      </c>
      <c r="AZ400" s="7">
        <v>0</v>
      </c>
      <c r="BA400" s="7">
        <v>0</v>
      </c>
      <c r="BB400" s="7">
        <v>0</v>
      </c>
      <c r="BC400" s="7">
        <v>0</v>
      </c>
      <c r="BD400" s="7">
        <v>0</v>
      </c>
      <c r="BE400" s="7">
        <v>0</v>
      </c>
      <c r="BF400" s="7">
        <v>0</v>
      </c>
      <c r="BG400" s="7">
        <v>0</v>
      </c>
      <c r="BH400" s="7">
        <v>0</v>
      </c>
      <c r="BI400" s="7">
        <v>0</v>
      </c>
      <c r="BJ400" s="7">
        <v>0</v>
      </c>
      <c r="BK400" s="7">
        <v>0</v>
      </c>
      <c r="BL400" s="7">
        <v>252</v>
      </c>
      <c r="BM400" s="10">
        <v>10740</v>
      </c>
      <c r="BN400" s="16">
        <f t="shared" si="13"/>
        <v>10488</v>
      </c>
      <c r="BO400" s="14">
        <f t="shared" si="14"/>
        <v>7341.5999999999995</v>
      </c>
    </row>
    <row r="401" spans="1:67" x14ac:dyDescent="0.3">
      <c r="A401" s="5" t="s">
        <v>522</v>
      </c>
      <c r="B401" s="5" t="s">
        <v>236</v>
      </c>
      <c r="C401" s="5">
        <v>415992</v>
      </c>
      <c r="D401" s="6"/>
      <c r="E401" s="5" t="s">
        <v>32</v>
      </c>
      <c r="F401" s="5" t="s">
        <v>60</v>
      </c>
      <c r="G401" s="5" t="s">
        <v>52</v>
      </c>
      <c r="H401" s="7" t="s">
        <v>8</v>
      </c>
      <c r="I401" s="7" t="s">
        <v>237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7">
        <v>5</v>
      </c>
      <c r="U401" s="7">
        <v>0</v>
      </c>
      <c r="V401" s="7">
        <v>0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47</v>
      </c>
      <c r="AF401" s="8">
        <v>4700</v>
      </c>
      <c r="AG401" s="7">
        <v>0</v>
      </c>
      <c r="AH401" s="7">
        <v>0</v>
      </c>
      <c r="AI401" s="7">
        <v>0</v>
      </c>
      <c r="AJ401" s="7">
        <v>0</v>
      </c>
      <c r="AK401" s="7">
        <v>50</v>
      </c>
      <c r="AL401" s="8">
        <v>6000</v>
      </c>
      <c r="AM401" s="7">
        <v>0</v>
      </c>
      <c r="AN401" s="7">
        <v>0</v>
      </c>
      <c r="AO401" s="7">
        <v>0</v>
      </c>
      <c r="AP401" s="7">
        <v>0</v>
      </c>
      <c r="AQ401" s="7">
        <v>0</v>
      </c>
      <c r="AR401" s="7">
        <v>0</v>
      </c>
      <c r="AS401" s="7">
        <v>0</v>
      </c>
      <c r="AT401" s="7">
        <v>0</v>
      </c>
      <c r="AU401" s="7">
        <v>0</v>
      </c>
      <c r="AV401" s="7">
        <v>0</v>
      </c>
      <c r="AW401" s="7">
        <v>0</v>
      </c>
      <c r="AX401" s="7">
        <v>0</v>
      </c>
      <c r="AY401" s="7">
        <v>0</v>
      </c>
      <c r="AZ401" s="7">
        <v>0</v>
      </c>
      <c r="BA401" s="7">
        <v>0</v>
      </c>
      <c r="BB401" s="7">
        <v>0</v>
      </c>
      <c r="BC401" s="7">
        <v>0</v>
      </c>
      <c r="BD401" s="7">
        <v>0</v>
      </c>
      <c r="BE401" s="7">
        <v>0</v>
      </c>
      <c r="BF401" s="7">
        <v>0</v>
      </c>
      <c r="BG401" s="7">
        <v>0</v>
      </c>
      <c r="BH401" s="7">
        <v>0</v>
      </c>
      <c r="BI401" s="7">
        <v>0</v>
      </c>
      <c r="BJ401" s="7">
        <v>0</v>
      </c>
      <c r="BK401" s="7">
        <v>0</v>
      </c>
      <c r="BL401" s="9">
        <v>1800</v>
      </c>
      <c r="BM401" s="10">
        <v>10700</v>
      </c>
      <c r="BN401" s="16">
        <f t="shared" si="13"/>
        <v>8900</v>
      </c>
      <c r="BO401" s="14">
        <f t="shared" si="14"/>
        <v>6230</v>
      </c>
    </row>
    <row r="402" spans="1:67" x14ac:dyDescent="0.3">
      <c r="A402" s="5" t="s">
        <v>522</v>
      </c>
      <c r="B402" s="5" t="s">
        <v>525</v>
      </c>
      <c r="C402" s="5">
        <v>413284</v>
      </c>
      <c r="D402" s="6"/>
      <c r="E402" s="5" t="s">
        <v>32</v>
      </c>
      <c r="F402" s="5" t="s">
        <v>287</v>
      </c>
      <c r="G402" s="5" t="s">
        <v>11</v>
      </c>
      <c r="H402" s="7" t="s">
        <v>7</v>
      </c>
      <c r="I402" s="7" t="s">
        <v>526</v>
      </c>
      <c r="J402" s="7">
        <v>0</v>
      </c>
      <c r="K402" s="7">
        <v>0</v>
      </c>
      <c r="L402" s="7">
        <v>0</v>
      </c>
      <c r="M402" s="7">
        <v>0</v>
      </c>
      <c r="N402" s="7">
        <v>0</v>
      </c>
      <c r="O402" s="7">
        <v>0</v>
      </c>
      <c r="P402" s="7">
        <v>0</v>
      </c>
      <c r="Q402" s="7">
        <v>0</v>
      </c>
      <c r="R402" s="7">
        <v>0</v>
      </c>
      <c r="S402" s="7">
        <v>0</v>
      </c>
      <c r="T402" s="7">
        <v>0</v>
      </c>
      <c r="U402" s="7">
        <v>0</v>
      </c>
      <c r="V402" s="7">
        <v>0</v>
      </c>
      <c r="W402" s="7">
        <v>0</v>
      </c>
      <c r="X402" s="7">
        <v>0</v>
      </c>
      <c r="Y402" s="7">
        <v>0</v>
      </c>
      <c r="Z402" s="7">
        <v>0</v>
      </c>
      <c r="AA402" s="7">
        <v>0</v>
      </c>
      <c r="AB402" s="7">
        <v>0</v>
      </c>
      <c r="AC402" s="7">
        <v>0</v>
      </c>
      <c r="AD402" s="7">
        <v>0</v>
      </c>
      <c r="AE402" s="7">
        <v>0</v>
      </c>
      <c r="AF402" s="7">
        <v>0</v>
      </c>
      <c r="AG402" s="7">
        <v>0</v>
      </c>
      <c r="AH402" s="7">
        <v>0</v>
      </c>
      <c r="AI402" s="7">
        <v>0</v>
      </c>
      <c r="AJ402" s="7">
        <v>0</v>
      </c>
      <c r="AK402" s="7">
        <v>2</v>
      </c>
      <c r="AL402" s="7">
        <v>0</v>
      </c>
      <c r="AM402" s="8">
        <v>7000</v>
      </c>
      <c r="AN402" s="7">
        <v>0</v>
      </c>
      <c r="AO402" s="7">
        <v>0</v>
      </c>
      <c r="AP402" s="7">
        <v>0</v>
      </c>
      <c r="AQ402" s="7">
        <v>1</v>
      </c>
      <c r="AR402" s="8">
        <v>3500</v>
      </c>
      <c r="AS402" s="7">
        <v>0</v>
      </c>
      <c r="AT402" s="7">
        <v>0</v>
      </c>
      <c r="AU402" s="7">
        <v>0</v>
      </c>
      <c r="AV402" s="7">
        <v>0</v>
      </c>
      <c r="AW402" s="7">
        <v>0</v>
      </c>
      <c r="AX402" s="7">
        <v>0</v>
      </c>
      <c r="AY402" s="7">
        <v>0</v>
      </c>
      <c r="AZ402" s="7">
        <v>0</v>
      </c>
      <c r="BA402" s="7">
        <v>0</v>
      </c>
      <c r="BB402" s="7">
        <v>0</v>
      </c>
      <c r="BC402" s="7">
        <v>0</v>
      </c>
      <c r="BD402" s="7">
        <v>0</v>
      </c>
      <c r="BE402" s="7">
        <v>0</v>
      </c>
      <c r="BF402" s="7">
        <v>0</v>
      </c>
      <c r="BG402" s="7">
        <v>0</v>
      </c>
      <c r="BH402" s="7">
        <v>0</v>
      </c>
      <c r="BI402" s="7">
        <v>0</v>
      </c>
      <c r="BJ402" s="7">
        <v>0</v>
      </c>
      <c r="BK402" s="7">
        <v>0</v>
      </c>
      <c r="BL402" s="7">
        <v>0</v>
      </c>
      <c r="BM402" s="10">
        <v>10500</v>
      </c>
      <c r="BN402" s="16">
        <f t="shared" si="13"/>
        <v>10500</v>
      </c>
      <c r="BO402" s="14">
        <f t="shared" si="14"/>
        <v>7349.9999999999991</v>
      </c>
    </row>
    <row r="403" spans="1:67" ht="19.5" x14ac:dyDescent="0.3">
      <c r="A403" s="5" t="s">
        <v>522</v>
      </c>
      <c r="B403" s="5" t="s">
        <v>214</v>
      </c>
      <c r="C403" s="5">
        <v>467503</v>
      </c>
      <c r="D403" s="6"/>
      <c r="E403" s="5" t="s">
        <v>32</v>
      </c>
      <c r="F403" s="5" t="s">
        <v>188</v>
      </c>
      <c r="G403" s="5" t="s">
        <v>52</v>
      </c>
      <c r="H403" s="7" t="s">
        <v>8</v>
      </c>
      <c r="I403" s="7" t="s">
        <v>44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7">
        <v>0</v>
      </c>
      <c r="U403" s="7">
        <v>0</v>
      </c>
      <c r="V403" s="7">
        <v>0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2</v>
      </c>
      <c r="AF403" s="8">
        <v>6400</v>
      </c>
      <c r="AG403" s="7">
        <v>0</v>
      </c>
      <c r="AH403" s="7">
        <v>0</v>
      </c>
      <c r="AI403" s="7">
        <v>0</v>
      </c>
      <c r="AJ403" s="7">
        <v>0</v>
      </c>
      <c r="AK403" s="7">
        <v>1</v>
      </c>
      <c r="AL403" s="8">
        <v>3840</v>
      </c>
      <c r="AM403" s="7">
        <v>0</v>
      </c>
      <c r="AN403" s="7">
        <v>0</v>
      </c>
      <c r="AO403" s="7">
        <v>0</v>
      </c>
      <c r="AP403" s="7">
        <v>0</v>
      </c>
      <c r="AQ403" s="7">
        <v>0</v>
      </c>
      <c r="AR403" s="7">
        <v>0</v>
      </c>
      <c r="AS403" s="7">
        <v>0</v>
      </c>
      <c r="AT403" s="7">
        <v>0</v>
      </c>
      <c r="AU403" s="7">
        <v>0</v>
      </c>
      <c r="AV403" s="7">
        <v>0</v>
      </c>
      <c r="AW403" s="7">
        <v>0</v>
      </c>
      <c r="AX403" s="7">
        <v>0</v>
      </c>
      <c r="AY403" s="7">
        <v>0</v>
      </c>
      <c r="AZ403" s="7">
        <v>0</v>
      </c>
      <c r="BA403" s="7">
        <v>0</v>
      </c>
      <c r="BB403" s="7">
        <v>0</v>
      </c>
      <c r="BC403" s="7">
        <v>0</v>
      </c>
      <c r="BD403" s="7">
        <v>0</v>
      </c>
      <c r="BE403" s="7">
        <v>0</v>
      </c>
      <c r="BF403" s="7">
        <v>0</v>
      </c>
      <c r="BG403" s="7">
        <v>0</v>
      </c>
      <c r="BH403" s="7">
        <v>0</v>
      </c>
      <c r="BI403" s="7">
        <v>0</v>
      </c>
      <c r="BJ403" s="7">
        <v>0</v>
      </c>
      <c r="BK403" s="7">
        <v>0</v>
      </c>
      <c r="BL403" s="9">
        <v>1152</v>
      </c>
      <c r="BM403" s="10">
        <v>10240</v>
      </c>
      <c r="BN403" s="16">
        <f t="shared" si="13"/>
        <v>9088</v>
      </c>
      <c r="BO403" s="14">
        <f t="shared" si="14"/>
        <v>6361.5999999999995</v>
      </c>
    </row>
    <row r="404" spans="1:67" x14ac:dyDescent="0.3">
      <c r="A404" s="5" t="s">
        <v>522</v>
      </c>
      <c r="B404" s="5" t="s">
        <v>217</v>
      </c>
      <c r="C404" s="5">
        <v>445861</v>
      </c>
      <c r="D404" s="6"/>
      <c r="E404" s="5" t="s">
        <v>32</v>
      </c>
      <c r="F404" s="5" t="s">
        <v>67</v>
      </c>
      <c r="G404" s="5" t="s">
        <v>52</v>
      </c>
      <c r="H404" s="7" t="s">
        <v>8</v>
      </c>
      <c r="I404" s="7" t="s">
        <v>218</v>
      </c>
      <c r="J404" s="7">
        <v>0</v>
      </c>
      <c r="K404" s="7">
        <v>0</v>
      </c>
      <c r="L404" s="7">
        <v>0</v>
      </c>
      <c r="M404" s="7">
        <v>0</v>
      </c>
      <c r="N404" s="7">
        <v>0</v>
      </c>
      <c r="O404" s="7">
        <v>0</v>
      </c>
      <c r="P404" s="7">
        <v>0</v>
      </c>
      <c r="Q404" s="7">
        <v>0</v>
      </c>
      <c r="R404" s="7">
        <v>0</v>
      </c>
      <c r="S404" s="7">
        <v>0</v>
      </c>
      <c r="T404" s="7">
        <v>0</v>
      </c>
      <c r="U404" s="7">
        <v>0</v>
      </c>
      <c r="V404" s="7">
        <v>0</v>
      </c>
      <c r="W404" s="7">
        <v>0</v>
      </c>
      <c r="X404" s="7">
        <v>0</v>
      </c>
      <c r="Y404" s="7">
        <v>0</v>
      </c>
      <c r="Z404" s="7">
        <v>0</v>
      </c>
      <c r="AA404" s="7">
        <v>0</v>
      </c>
      <c r="AB404" s="7">
        <v>0</v>
      </c>
      <c r="AC404" s="7">
        <v>0</v>
      </c>
      <c r="AD404" s="7">
        <v>0</v>
      </c>
      <c r="AE404" s="7">
        <v>0</v>
      </c>
      <c r="AF404" s="7">
        <v>0</v>
      </c>
      <c r="AG404" s="7">
        <v>0</v>
      </c>
      <c r="AH404" s="7">
        <v>0</v>
      </c>
      <c r="AI404" s="7">
        <v>0</v>
      </c>
      <c r="AJ404" s="7">
        <v>0</v>
      </c>
      <c r="AK404" s="7">
        <v>3</v>
      </c>
      <c r="AL404" s="8">
        <v>10080</v>
      </c>
      <c r="AM404" s="7">
        <v>0</v>
      </c>
      <c r="AN404" s="7">
        <v>0</v>
      </c>
      <c r="AO404" s="7">
        <v>0</v>
      </c>
      <c r="AP404" s="7">
        <v>0</v>
      </c>
      <c r="AQ404" s="7">
        <v>0</v>
      </c>
      <c r="AR404" s="7">
        <v>0</v>
      </c>
      <c r="AS404" s="7">
        <v>0</v>
      </c>
      <c r="AT404" s="7">
        <v>0</v>
      </c>
      <c r="AU404" s="7">
        <v>0</v>
      </c>
      <c r="AV404" s="7">
        <v>0</v>
      </c>
      <c r="AW404" s="7">
        <v>0</v>
      </c>
      <c r="AX404" s="7">
        <v>0</v>
      </c>
      <c r="AY404" s="7">
        <v>0</v>
      </c>
      <c r="AZ404" s="7">
        <v>0</v>
      </c>
      <c r="BA404" s="7">
        <v>0</v>
      </c>
      <c r="BB404" s="7">
        <v>0</v>
      </c>
      <c r="BC404" s="7">
        <v>0</v>
      </c>
      <c r="BD404" s="7">
        <v>0</v>
      </c>
      <c r="BE404" s="7">
        <v>0</v>
      </c>
      <c r="BF404" s="7">
        <v>0</v>
      </c>
      <c r="BG404" s="7">
        <v>0</v>
      </c>
      <c r="BH404" s="7">
        <v>0</v>
      </c>
      <c r="BI404" s="7">
        <v>0</v>
      </c>
      <c r="BJ404" s="7">
        <v>0</v>
      </c>
      <c r="BK404" s="7">
        <v>0</v>
      </c>
      <c r="BL404" s="9">
        <v>3024</v>
      </c>
      <c r="BM404" s="10">
        <v>10080</v>
      </c>
      <c r="BN404" s="16">
        <f t="shared" si="13"/>
        <v>7056</v>
      </c>
      <c r="BO404" s="14">
        <f t="shared" si="14"/>
        <v>4939.2</v>
      </c>
    </row>
    <row r="405" spans="1:67" x14ac:dyDescent="0.3">
      <c r="A405" s="5" t="s">
        <v>542</v>
      </c>
      <c r="B405" s="5" t="s">
        <v>245</v>
      </c>
      <c r="C405" s="5">
        <v>434558</v>
      </c>
      <c r="D405" s="6"/>
      <c r="E405" s="5" t="s">
        <v>32</v>
      </c>
      <c r="F405" s="5" t="s">
        <v>246</v>
      </c>
      <c r="G405" s="5" t="s">
        <v>11</v>
      </c>
      <c r="H405" s="7" t="s">
        <v>7</v>
      </c>
      <c r="I405" s="7" t="s">
        <v>247</v>
      </c>
      <c r="J405" s="7">
        <v>0</v>
      </c>
      <c r="K405" s="7">
        <v>7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7">
        <v>8</v>
      </c>
      <c r="U405" s="7">
        <v>0</v>
      </c>
      <c r="V405" s="7">
        <v>0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6</v>
      </c>
      <c r="AF405" s="7">
        <v>600</v>
      </c>
      <c r="AG405" s="7">
        <v>0</v>
      </c>
      <c r="AH405" s="7">
        <v>0</v>
      </c>
      <c r="AI405" s="7">
        <v>0</v>
      </c>
      <c r="AJ405" s="7">
        <v>0</v>
      </c>
      <c r="AK405" s="7">
        <v>0</v>
      </c>
      <c r="AL405" s="7">
        <v>0</v>
      </c>
      <c r="AM405" s="7">
        <v>0</v>
      </c>
      <c r="AN405" s="7">
        <v>0</v>
      </c>
      <c r="AO405" s="7">
        <v>0</v>
      </c>
      <c r="AP405" s="7">
        <v>0</v>
      </c>
      <c r="AQ405" s="7">
        <v>94</v>
      </c>
      <c r="AR405" s="8">
        <v>9400</v>
      </c>
      <c r="AS405" s="7">
        <v>0</v>
      </c>
      <c r="AT405" s="7">
        <v>0</v>
      </c>
      <c r="AU405" s="7">
        <v>0</v>
      </c>
      <c r="AV405" s="7">
        <v>0</v>
      </c>
      <c r="AW405" s="7">
        <v>0</v>
      </c>
      <c r="AX405" s="7">
        <v>0</v>
      </c>
      <c r="AY405" s="7">
        <v>0</v>
      </c>
      <c r="AZ405" s="7">
        <v>0</v>
      </c>
      <c r="BA405" s="7">
        <v>0</v>
      </c>
      <c r="BB405" s="7">
        <v>0</v>
      </c>
      <c r="BC405" s="7">
        <v>0</v>
      </c>
      <c r="BD405" s="7">
        <v>0</v>
      </c>
      <c r="BE405" s="7">
        <v>0</v>
      </c>
      <c r="BF405" s="7">
        <v>0</v>
      </c>
      <c r="BG405" s="7">
        <v>0</v>
      </c>
      <c r="BH405" s="7">
        <v>0</v>
      </c>
      <c r="BI405" s="7">
        <v>0</v>
      </c>
      <c r="BJ405" s="7">
        <v>0</v>
      </c>
      <c r="BK405" s="7">
        <v>0</v>
      </c>
      <c r="BL405" s="7">
        <v>0</v>
      </c>
      <c r="BM405" s="10">
        <v>10000</v>
      </c>
      <c r="BN405" s="16">
        <f t="shared" si="13"/>
        <v>10000</v>
      </c>
      <c r="BO405" s="14">
        <f t="shared" si="14"/>
        <v>7000</v>
      </c>
    </row>
    <row r="406" spans="1:67" x14ac:dyDescent="0.3">
      <c r="A406" s="5" t="s">
        <v>542</v>
      </c>
      <c r="B406" s="5" t="s">
        <v>323</v>
      </c>
      <c r="C406" s="5">
        <v>328894</v>
      </c>
      <c r="D406" s="6"/>
      <c r="E406" s="5" t="s">
        <v>32</v>
      </c>
      <c r="F406" s="5" t="s">
        <v>231</v>
      </c>
      <c r="G406" s="5" t="s">
        <v>52</v>
      </c>
      <c r="H406" s="7" t="s">
        <v>8</v>
      </c>
      <c r="I406" s="7" t="s">
        <v>324</v>
      </c>
      <c r="J406" s="7">
        <v>0</v>
      </c>
      <c r="K406" s="7">
        <v>0</v>
      </c>
      <c r="L406" s="7">
        <v>0</v>
      </c>
      <c r="M406" s="7">
        <v>0</v>
      </c>
      <c r="N406" s="7">
        <v>0</v>
      </c>
      <c r="O406" s="7">
        <v>0</v>
      </c>
      <c r="P406" s="7">
        <v>0</v>
      </c>
      <c r="Q406" s="7">
        <v>0</v>
      </c>
      <c r="R406" s="7">
        <v>0</v>
      </c>
      <c r="S406" s="7">
        <v>0</v>
      </c>
      <c r="T406" s="7">
        <v>6</v>
      </c>
      <c r="U406" s="7">
        <v>0</v>
      </c>
      <c r="V406" s="7">
        <v>0</v>
      </c>
      <c r="W406" s="7">
        <v>0</v>
      </c>
      <c r="X406" s="7">
        <v>0</v>
      </c>
      <c r="Y406" s="7">
        <v>0</v>
      </c>
      <c r="Z406" s="7">
        <v>0</v>
      </c>
      <c r="AA406" s="7">
        <v>0</v>
      </c>
      <c r="AB406" s="7">
        <v>0</v>
      </c>
      <c r="AC406" s="7">
        <v>0</v>
      </c>
      <c r="AD406" s="7">
        <v>0</v>
      </c>
      <c r="AE406" s="7">
        <v>61</v>
      </c>
      <c r="AF406" s="8">
        <v>4100</v>
      </c>
      <c r="AG406" s="8">
        <v>2000</v>
      </c>
      <c r="AH406" s="7">
        <v>0</v>
      </c>
      <c r="AI406" s="7">
        <v>0</v>
      </c>
      <c r="AJ406" s="7">
        <v>0</v>
      </c>
      <c r="AK406" s="7">
        <v>26</v>
      </c>
      <c r="AL406" s="8">
        <v>2880</v>
      </c>
      <c r="AM406" s="7">
        <v>200</v>
      </c>
      <c r="AN406" s="7">
        <v>0</v>
      </c>
      <c r="AO406" s="7">
        <v>0</v>
      </c>
      <c r="AP406" s="7">
        <v>0</v>
      </c>
      <c r="AQ406" s="7">
        <v>0</v>
      </c>
      <c r="AR406" s="7">
        <v>0</v>
      </c>
      <c r="AS406" s="7">
        <v>0</v>
      </c>
      <c r="AT406" s="7">
        <v>0</v>
      </c>
      <c r="AU406" s="7">
        <v>0</v>
      </c>
      <c r="AV406" s="7">
        <v>0</v>
      </c>
      <c r="AW406" s="7">
        <v>0</v>
      </c>
      <c r="AX406" s="7">
        <v>0</v>
      </c>
      <c r="AY406" s="7">
        <v>0</v>
      </c>
      <c r="AZ406" s="7">
        <v>0</v>
      </c>
      <c r="BA406" s="7">
        <v>0</v>
      </c>
      <c r="BB406" s="7">
        <v>0</v>
      </c>
      <c r="BC406" s="7">
        <v>0</v>
      </c>
      <c r="BD406" s="7">
        <v>0</v>
      </c>
      <c r="BE406" s="7">
        <v>0</v>
      </c>
      <c r="BF406" s="7">
        <v>0</v>
      </c>
      <c r="BG406" s="7">
        <v>0</v>
      </c>
      <c r="BH406" s="7">
        <v>0</v>
      </c>
      <c r="BI406" s="7">
        <v>0</v>
      </c>
      <c r="BJ406" s="7">
        <v>0</v>
      </c>
      <c r="BK406" s="7">
        <v>0</v>
      </c>
      <c r="BL406" s="7">
        <v>864</v>
      </c>
      <c r="BM406" s="10">
        <v>9180</v>
      </c>
      <c r="BN406" s="16">
        <f t="shared" si="13"/>
        <v>8316</v>
      </c>
      <c r="BO406" s="14">
        <f t="shared" si="14"/>
        <v>5821.2</v>
      </c>
    </row>
    <row r="407" spans="1:67" x14ac:dyDescent="0.3">
      <c r="A407" s="5" t="s">
        <v>522</v>
      </c>
      <c r="B407" s="5" t="s">
        <v>283</v>
      </c>
      <c r="C407" s="5">
        <v>434853</v>
      </c>
      <c r="D407" s="6"/>
      <c r="E407" s="5" t="s">
        <v>32</v>
      </c>
      <c r="F407" s="5" t="s">
        <v>284</v>
      </c>
      <c r="G407" s="5" t="s">
        <v>11</v>
      </c>
      <c r="H407" s="7" t="s">
        <v>7</v>
      </c>
      <c r="I407" s="7" t="s">
        <v>285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7">
        <v>1</v>
      </c>
      <c r="U407" s="7">
        <v>0</v>
      </c>
      <c r="V407" s="7">
        <v>0</v>
      </c>
      <c r="W407" s="7">
        <v>0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7">
        <v>0</v>
      </c>
      <c r="AK407" s="7">
        <v>55</v>
      </c>
      <c r="AL407" s="8">
        <v>6000</v>
      </c>
      <c r="AM407" s="7">
        <v>500</v>
      </c>
      <c r="AN407" s="7">
        <v>0</v>
      </c>
      <c r="AO407" s="7">
        <v>0</v>
      </c>
      <c r="AP407" s="7">
        <v>0</v>
      </c>
      <c r="AQ407" s="7">
        <v>26</v>
      </c>
      <c r="AR407" s="8">
        <v>2400</v>
      </c>
      <c r="AS407" s="7">
        <v>200</v>
      </c>
      <c r="AT407" s="7">
        <v>0</v>
      </c>
      <c r="AU407" s="7">
        <v>0</v>
      </c>
      <c r="AV407" s="7">
        <v>0</v>
      </c>
      <c r="AW407" s="7">
        <v>0</v>
      </c>
      <c r="AX407" s="7">
        <v>0</v>
      </c>
      <c r="AY407" s="7">
        <v>0</v>
      </c>
      <c r="AZ407" s="7">
        <v>0</v>
      </c>
      <c r="BA407" s="7">
        <v>0</v>
      </c>
      <c r="BB407" s="7">
        <v>0</v>
      </c>
      <c r="BC407" s="7">
        <v>0</v>
      </c>
      <c r="BD407" s="7">
        <v>0</v>
      </c>
      <c r="BE407" s="7">
        <v>0</v>
      </c>
      <c r="BF407" s="7">
        <v>0</v>
      </c>
      <c r="BG407" s="7">
        <v>0</v>
      </c>
      <c r="BH407" s="7">
        <v>0</v>
      </c>
      <c r="BI407" s="7">
        <v>0</v>
      </c>
      <c r="BJ407" s="7">
        <v>0</v>
      </c>
      <c r="BK407" s="7">
        <v>0</v>
      </c>
      <c r="BL407" s="9">
        <v>1800</v>
      </c>
      <c r="BM407" s="10">
        <v>9100</v>
      </c>
      <c r="BN407" s="16">
        <f t="shared" si="13"/>
        <v>7300</v>
      </c>
      <c r="BO407" s="14">
        <f t="shared" si="14"/>
        <v>5110</v>
      </c>
    </row>
    <row r="408" spans="1:67" x14ac:dyDescent="0.3">
      <c r="A408" s="5" t="s">
        <v>522</v>
      </c>
      <c r="B408" s="5" t="s">
        <v>215</v>
      </c>
      <c r="C408" s="5">
        <v>402649</v>
      </c>
      <c r="D408" s="6"/>
      <c r="E408" s="5" t="s">
        <v>32</v>
      </c>
      <c r="F408" s="5" t="s">
        <v>60</v>
      </c>
      <c r="G408" s="5" t="s">
        <v>52</v>
      </c>
      <c r="H408" s="7" t="s">
        <v>8</v>
      </c>
      <c r="I408" s="7" t="s">
        <v>216</v>
      </c>
      <c r="J408" s="7">
        <v>0</v>
      </c>
      <c r="K408" s="7">
        <v>0</v>
      </c>
      <c r="L408" s="7">
        <v>0</v>
      </c>
      <c r="M408" s="7">
        <v>0</v>
      </c>
      <c r="N408" s="7">
        <v>0</v>
      </c>
      <c r="O408" s="7">
        <v>0</v>
      </c>
      <c r="P408" s="7">
        <v>0</v>
      </c>
      <c r="Q408" s="7">
        <v>0</v>
      </c>
      <c r="R408" s="7">
        <v>0</v>
      </c>
      <c r="S408" s="7">
        <v>0</v>
      </c>
      <c r="T408" s="7">
        <v>0</v>
      </c>
      <c r="U408" s="7">
        <v>0</v>
      </c>
      <c r="V408" s="7">
        <v>0</v>
      </c>
      <c r="W408" s="7">
        <v>0</v>
      </c>
      <c r="X408" s="7">
        <v>0</v>
      </c>
      <c r="Y408" s="7">
        <v>0</v>
      </c>
      <c r="Z408" s="7">
        <v>0</v>
      </c>
      <c r="AA408" s="7">
        <v>0</v>
      </c>
      <c r="AB408" s="7">
        <v>0</v>
      </c>
      <c r="AC408" s="7">
        <v>0</v>
      </c>
      <c r="AD408" s="7">
        <v>0</v>
      </c>
      <c r="AE408" s="7">
        <v>0</v>
      </c>
      <c r="AF408" s="7">
        <v>0</v>
      </c>
      <c r="AG408" s="7">
        <v>0</v>
      </c>
      <c r="AH408" s="7">
        <v>0</v>
      </c>
      <c r="AI408" s="7">
        <v>0</v>
      </c>
      <c r="AJ408" s="7">
        <v>0</v>
      </c>
      <c r="AK408" s="7">
        <v>72</v>
      </c>
      <c r="AL408" s="8">
        <v>8640</v>
      </c>
      <c r="AM408" s="7">
        <v>0</v>
      </c>
      <c r="AN408" s="7">
        <v>0</v>
      </c>
      <c r="AO408" s="7">
        <v>0</v>
      </c>
      <c r="AP408" s="7">
        <v>0</v>
      </c>
      <c r="AQ408" s="7">
        <v>3</v>
      </c>
      <c r="AR408" s="7">
        <v>0</v>
      </c>
      <c r="AS408" s="7">
        <v>300</v>
      </c>
      <c r="AT408" s="7">
        <v>0</v>
      </c>
      <c r="AU408" s="7">
        <v>0</v>
      </c>
      <c r="AV408" s="7">
        <v>0</v>
      </c>
      <c r="AW408" s="7">
        <v>0</v>
      </c>
      <c r="AX408" s="7">
        <v>0</v>
      </c>
      <c r="AY408" s="7">
        <v>0</v>
      </c>
      <c r="AZ408" s="7">
        <v>0</v>
      </c>
      <c r="BA408" s="7">
        <v>0</v>
      </c>
      <c r="BB408" s="7">
        <v>0</v>
      </c>
      <c r="BC408" s="7">
        <v>0</v>
      </c>
      <c r="BD408" s="7">
        <v>0</v>
      </c>
      <c r="BE408" s="7">
        <v>0</v>
      </c>
      <c r="BF408" s="7">
        <v>0</v>
      </c>
      <c r="BG408" s="7">
        <v>0</v>
      </c>
      <c r="BH408" s="7">
        <v>0</v>
      </c>
      <c r="BI408" s="7">
        <v>0</v>
      </c>
      <c r="BJ408" s="7">
        <v>0</v>
      </c>
      <c r="BK408" s="7">
        <v>0</v>
      </c>
      <c r="BL408" s="9">
        <v>2592</v>
      </c>
      <c r="BM408" s="10">
        <v>8940</v>
      </c>
      <c r="BN408" s="16">
        <f t="shared" si="13"/>
        <v>6348</v>
      </c>
      <c r="BO408" s="14">
        <f t="shared" si="14"/>
        <v>4443.5999999999995</v>
      </c>
    </row>
    <row r="409" spans="1:67" x14ac:dyDescent="0.3">
      <c r="A409" s="5" t="s">
        <v>542</v>
      </c>
      <c r="B409" s="5" t="s">
        <v>315</v>
      </c>
      <c r="C409" s="5">
        <v>381070</v>
      </c>
      <c r="D409" s="6"/>
      <c r="E409" s="5" t="s">
        <v>32</v>
      </c>
      <c r="F409" s="5" t="s">
        <v>316</v>
      </c>
      <c r="G409" s="5" t="s">
        <v>52</v>
      </c>
      <c r="H409" s="7" t="s">
        <v>8</v>
      </c>
      <c r="I409" s="7" t="s">
        <v>317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7">
        <v>6</v>
      </c>
      <c r="U409" s="7">
        <v>0</v>
      </c>
      <c r="V409" s="7">
        <v>0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7">
        <v>0</v>
      </c>
      <c r="AK409" s="7">
        <v>70</v>
      </c>
      <c r="AL409" s="8">
        <v>7920</v>
      </c>
      <c r="AM409" s="7">
        <v>400</v>
      </c>
      <c r="AN409" s="7">
        <v>0</v>
      </c>
      <c r="AO409" s="7">
        <v>0</v>
      </c>
      <c r="AP409" s="7">
        <v>0</v>
      </c>
      <c r="AQ409" s="7">
        <v>1</v>
      </c>
      <c r="AR409" s="7">
        <v>100</v>
      </c>
      <c r="AS409" s="7">
        <v>0</v>
      </c>
      <c r="AT409" s="7">
        <v>0</v>
      </c>
      <c r="AU409" s="7">
        <v>0</v>
      </c>
      <c r="AV409" s="7">
        <v>0</v>
      </c>
      <c r="AW409" s="7">
        <v>0</v>
      </c>
      <c r="AX409" s="7">
        <v>0</v>
      </c>
      <c r="AY409" s="7">
        <v>0</v>
      </c>
      <c r="AZ409" s="7">
        <v>0</v>
      </c>
      <c r="BA409" s="7">
        <v>0</v>
      </c>
      <c r="BB409" s="7">
        <v>0</v>
      </c>
      <c r="BC409" s="7">
        <v>0</v>
      </c>
      <c r="BD409" s="7">
        <v>0</v>
      </c>
      <c r="BE409" s="7">
        <v>0</v>
      </c>
      <c r="BF409" s="7">
        <v>0</v>
      </c>
      <c r="BG409" s="7">
        <v>0</v>
      </c>
      <c r="BH409" s="7">
        <v>0</v>
      </c>
      <c r="BI409" s="7">
        <v>0</v>
      </c>
      <c r="BJ409" s="7">
        <v>0</v>
      </c>
      <c r="BK409" s="7">
        <v>0</v>
      </c>
      <c r="BL409" s="9">
        <v>2376</v>
      </c>
      <c r="BM409" s="10">
        <v>8420</v>
      </c>
      <c r="BN409" s="16">
        <f t="shared" si="13"/>
        <v>6044</v>
      </c>
      <c r="BO409" s="14">
        <f t="shared" si="14"/>
        <v>4230.8</v>
      </c>
    </row>
    <row r="410" spans="1:67" x14ac:dyDescent="0.3">
      <c r="A410" s="5" t="s">
        <v>522</v>
      </c>
      <c r="B410" s="5" t="s">
        <v>227</v>
      </c>
      <c r="C410" s="5">
        <v>332138</v>
      </c>
      <c r="D410" s="6"/>
      <c r="E410" s="5" t="s">
        <v>32</v>
      </c>
      <c r="F410" s="5" t="s">
        <v>228</v>
      </c>
      <c r="G410" s="5" t="s">
        <v>52</v>
      </c>
      <c r="H410" s="7" t="s">
        <v>10</v>
      </c>
      <c r="I410" s="7" t="s">
        <v>229</v>
      </c>
      <c r="J410" s="7">
        <v>8</v>
      </c>
      <c r="K410" s="7">
        <v>0</v>
      </c>
      <c r="L410" s="7">
        <v>800</v>
      </c>
      <c r="M410" s="7">
        <v>0</v>
      </c>
      <c r="N410" s="7">
        <v>0</v>
      </c>
      <c r="O410" s="7">
        <v>0</v>
      </c>
      <c r="P410" s="7">
        <v>0</v>
      </c>
      <c r="Q410" s="7">
        <v>0</v>
      </c>
      <c r="R410" s="7">
        <v>0</v>
      </c>
      <c r="S410" s="7">
        <v>0</v>
      </c>
      <c r="T410" s="7">
        <v>0</v>
      </c>
      <c r="U410" s="7">
        <v>0</v>
      </c>
      <c r="V410" s="7">
        <v>0</v>
      </c>
      <c r="W410" s="7">
        <v>0</v>
      </c>
      <c r="X410" s="7">
        <v>0</v>
      </c>
      <c r="Y410" s="7">
        <v>0</v>
      </c>
      <c r="Z410" s="7">
        <v>0</v>
      </c>
      <c r="AA410" s="7">
        <v>0</v>
      </c>
      <c r="AB410" s="7">
        <v>0</v>
      </c>
      <c r="AC410" s="7">
        <v>0</v>
      </c>
      <c r="AD410" s="7">
        <v>0</v>
      </c>
      <c r="AE410" s="7">
        <v>28</v>
      </c>
      <c r="AF410" s="8">
        <v>2800</v>
      </c>
      <c r="AG410" s="7">
        <v>0</v>
      </c>
      <c r="AH410" s="7">
        <v>0</v>
      </c>
      <c r="AI410" s="7">
        <v>0</v>
      </c>
      <c r="AJ410" s="7">
        <v>0</v>
      </c>
      <c r="AK410" s="7">
        <v>8</v>
      </c>
      <c r="AL410" s="7">
        <v>120</v>
      </c>
      <c r="AM410" s="7">
        <v>700</v>
      </c>
      <c r="AN410" s="7">
        <v>0</v>
      </c>
      <c r="AO410" s="7">
        <v>0</v>
      </c>
      <c r="AP410" s="7">
        <v>0</v>
      </c>
      <c r="AQ410" s="7">
        <v>37</v>
      </c>
      <c r="AR410" s="8">
        <v>3700</v>
      </c>
      <c r="AS410" s="7">
        <v>0</v>
      </c>
      <c r="AT410" s="7">
        <v>0</v>
      </c>
      <c r="AU410" s="7">
        <v>0</v>
      </c>
      <c r="AV410" s="7">
        <v>0</v>
      </c>
      <c r="AW410" s="7">
        <v>0</v>
      </c>
      <c r="AX410" s="7">
        <v>0</v>
      </c>
      <c r="AY410" s="7">
        <v>0</v>
      </c>
      <c r="AZ410" s="7">
        <v>0</v>
      </c>
      <c r="BA410" s="7">
        <v>0</v>
      </c>
      <c r="BB410" s="7">
        <v>0</v>
      </c>
      <c r="BC410" s="7">
        <v>0</v>
      </c>
      <c r="BD410" s="7">
        <v>0</v>
      </c>
      <c r="BE410" s="7">
        <v>0</v>
      </c>
      <c r="BF410" s="7">
        <v>0</v>
      </c>
      <c r="BG410" s="7">
        <v>0</v>
      </c>
      <c r="BH410" s="7">
        <v>0</v>
      </c>
      <c r="BI410" s="7">
        <v>0</v>
      </c>
      <c r="BJ410" s="7">
        <v>0</v>
      </c>
      <c r="BK410" s="7">
        <v>0</v>
      </c>
      <c r="BL410" s="7">
        <v>36</v>
      </c>
      <c r="BM410" s="10">
        <v>8120</v>
      </c>
      <c r="BN410" s="16">
        <f t="shared" si="13"/>
        <v>8084</v>
      </c>
      <c r="BO410" s="14">
        <f t="shared" si="14"/>
        <v>5658.7999999999993</v>
      </c>
    </row>
    <row r="411" spans="1:67" x14ac:dyDescent="0.3">
      <c r="A411" s="5" t="s">
        <v>542</v>
      </c>
      <c r="B411" s="5" t="s">
        <v>155</v>
      </c>
      <c r="C411" s="5">
        <v>359912</v>
      </c>
      <c r="D411" s="6"/>
      <c r="E411" s="5" t="s">
        <v>32</v>
      </c>
      <c r="F411" s="5" t="s">
        <v>156</v>
      </c>
      <c r="G411" s="5" t="s">
        <v>52</v>
      </c>
      <c r="H411" s="7" t="s">
        <v>8</v>
      </c>
      <c r="I411" s="7" t="s">
        <v>157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2</v>
      </c>
      <c r="T411" s="7">
        <v>0</v>
      </c>
      <c r="U411" s="7">
        <v>200</v>
      </c>
      <c r="V411" s="7">
        <v>0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64</v>
      </c>
      <c r="AF411" s="8">
        <v>6400</v>
      </c>
      <c r="AG411" s="7">
        <v>0</v>
      </c>
      <c r="AH411" s="7">
        <v>0</v>
      </c>
      <c r="AI411" s="7">
        <v>0</v>
      </c>
      <c r="AJ411" s="7">
        <v>0</v>
      </c>
      <c r="AK411" s="7">
        <v>11</v>
      </c>
      <c r="AL411" s="8">
        <v>1320</v>
      </c>
      <c r="AM411" s="7">
        <v>0</v>
      </c>
      <c r="AN411" s="7">
        <v>0</v>
      </c>
      <c r="AO411" s="7">
        <v>0</v>
      </c>
      <c r="AP411" s="7">
        <v>0</v>
      </c>
      <c r="AQ411" s="7">
        <v>0</v>
      </c>
      <c r="AR411" s="7">
        <v>0</v>
      </c>
      <c r="AS411" s="7">
        <v>0</v>
      </c>
      <c r="AT411" s="7">
        <v>0</v>
      </c>
      <c r="AU411" s="7">
        <v>0</v>
      </c>
      <c r="AV411" s="7">
        <v>0</v>
      </c>
      <c r="AW411" s="7">
        <v>0</v>
      </c>
      <c r="AX411" s="7">
        <v>0</v>
      </c>
      <c r="AY411" s="7">
        <v>0</v>
      </c>
      <c r="AZ411" s="7">
        <v>0</v>
      </c>
      <c r="BA411" s="7">
        <v>0</v>
      </c>
      <c r="BB411" s="7">
        <v>0</v>
      </c>
      <c r="BC411" s="7">
        <v>0</v>
      </c>
      <c r="BD411" s="7">
        <v>0</v>
      </c>
      <c r="BE411" s="7">
        <v>0</v>
      </c>
      <c r="BF411" s="7">
        <v>0</v>
      </c>
      <c r="BG411" s="7">
        <v>0</v>
      </c>
      <c r="BH411" s="7">
        <v>0</v>
      </c>
      <c r="BI411" s="7">
        <v>0</v>
      </c>
      <c r="BJ411" s="7">
        <v>0</v>
      </c>
      <c r="BK411" s="7">
        <v>0</v>
      </c>
      <c r="BL411" s="7">
        <v>396</v>
      </c>
      <c r="BM411" s="10">
        <v>7920</v>
      </c>
      <c r="BN411" s="16">
        <f t="shared" si="13"/>
        <v>7524</v>
      </c>
      <c r="BO411" s="14">
        <f t="shared" si="14"/>
        <v>5266.7999999999993</v>
      </c>
    </row>
    <row r="412" spans="1:67" x14ac:dyDescent="0.3">
      <c r="A412" s="5" t="s">
        <v>522</v>
      </c>
      <c r="B412" s="5" t="s">
        <v>254</v>
      </c>
      <c r="C412" s="5">
        <v>399878</v>
      </c>
      <c r="D412" s="6"/>
      <c r="E412" s="5" t="s">
        <v>32</v>
      </c>
      <c r="F412" s="5" t="s">
        <v>255</v>
      </c>
      <c r="G412" s="5" t="s">
        <v>52</v>
      </c>
      <c r="H412" s="7" t="s">
        <v>8</v>
      </c>
      <c r="I412" s="7" t="s">
        <v>256</v>
      </c>
      <c r="J412" s="7">
        <v>0</v>
      </c>
      <c r="K412" s="7">
        <v>0</v>
      </c>
      <c r="L412" s="7">
        <v>0</v>
      </c>
      <c r="M412" s="7">
        <v>0</v>
      </c>
      <c r="N412" s="7">
        <v>0</v>
      </c>
      <c r="O412" s="7">
        <v>0</v>
      </c>
      <c r="P412" s="7">
        <v>0</v>
      </c>
      <c r="Q412" s="7">
        <v>0</v>
      </c>
      <c r="R412" s="7">
        <v>0</v>
      </c>
      <c r="S412" s="7">
        <v>0</v>
      </c>
      <c r="T412" s="7">
        <v>3</v>
      </c>
      <c r="U412" s="7">
        <v>0</v>
      </c>
      <c r="V412" s="7">
        <v>0</v>
      </c>
      <c r="W412" s="7">
        <v>0</v>
      </c>
      <c r="X412" s="7">
        <v>0</v>
      </c>
      <c r="Y412" s="7">
        <v>0</v>
      </c>
      <c r="Z412" s="7">
        <v>0</v>
      </c>
      <c r="AA412" s="7">
        <v>0</v>
      </c>
      <c r="AB412" s="7">
        <v>0</v>
      </c>
      <c r="AC412" s="7">
        <v>0</v>
      </c>
      <c r="AD412" s="7">
        <v>0</v>
      </c>
      <c r="AE412" s="7">
        <v>40</v>
      </c>
      <c r="AF412" s="8">
        <v>4000</v>
      </c>
      <c r="AG412" s="7">
        <v>0</v>
      </c>
      <c r="AH412" s="7">
        <v>0</v>
      </c>
      <c r="AI412" s="7">
        <v>0</v>
      </c>
      <c r="AJ412" s="7">
        <v>0</v>
      </c>
      <c r="AK412" s="7">
        <v>32</v>
      </c>
      <c r="AL412" s="8">
        <v>3840</v>
      </c>
      <c r="AM412" s="7">
        <v>0</v>
      </c>
      <c r="AN412" s="7">
        <v>0</v>
      </c>
      <c r="AO412" s="7">
        <v>0</v>
      </c>
      <c r="AP412" s="7">
        <v>0</v>
      </c>
      <c r="AQ412" s="7">
        <v>0</v>
      </c>
      <c r="AR412" s="7">
        <v>0</v>
      </c>
      <c r="AS412" s="7">
        <v>0</v>
      </c>
      <c r="AT412" s="7">
        <v>0</v>
      </c>
      <c r="AU412" s="7">
        <v>0</v>
      </c>
      <c r="AV412" s="7">
        <v>0</v>
      </c>
      <c r="AW412" s="7">
        <v>0</v>
      </c>
      <c r="AX412" s="7">
        <v>0</v>
      </c>
      <c r="AY412" s="7">
        <v>0</v>
      </c>
      <c r="AZ412" s="7">
        <v>0</v>
      </c>
      <c r="BA412" s="7">
        <v>0</v>
      </c>
      <c r="BB412" s="7">
        <v>0</v>
      </c>
      <c r="BC412" s="7">
        <v>0</v>
      </c>
      <c r="BD412" s="7">
        <v>0</v>
      </c>
      <c r="BE412" s="7">
        <v>0</v>
      </c>
      <c r="BF412" s="7">
        <v>0</v>
      </c>
      <c r="BG412" s="7">
        <v>0</v>
      </c>
      <c r="BH412" s="7">
        <v>0</v>
      </c>
      <c r="BI412" s="7">
        <v>0</v>
      </c>
      <c r="BJ412" s="7">
        <v>0</v>
      </c>
      <c r="BK412" s="7">
        <v>0</v>
      </c>
      <c r="BL412" s="9">
        <v>1152</v>
      </c>
      <c r="BM412" s="10">
        <v>7840</v>
      </c>
      <c r="BN412" s="16">
        <f t="shared" si="13"/>
        <v>6688</v>
      </c>
      <c r="BO412" s="14">
        <f t="shared" si="14"/>
        <v>4681.5999999999995</v>
      </c>
    </row>
    <row r="413" spans="1:67" x14ac:dyDescent="0.3">
      <c r="A413" s="5" t="s">
        <v>542</v>
      </c>
      <c r="B413" s="5" t="s">
        <v>321</v>
      </c>
      <c r="C413" s="5">
        <v>392673</v>
      </c>
      <c r="D413" s="6"/>
      <c r="E413" s="5" t="s">
        <v>32</v>
      </c>
      <c r="F413" s="5" t="s">
        <v>126</v>
      </c>
      <c r="G413" s="5" t="s">
        <v>52</v>
      </c>
      <c r="H413" s="7" t="s">
        <v>8</v>
      </c>
      <c r="I413" s="7" t="s">
        <v>322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7">
        <v>0</v>
      </c>
      <c r="U413" s="7">
        <v>0</v>
      </c>
      <c r="V413" s="7">
        <v>0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7">
        <v>0</v>
      </c>
      <c r="AK413" s="7">
        <v>2</v>
      </c>
      <c r="AL413" s="8">
        <v>7680</v>
      </c>
      <c r="AM413" s="7">
        <v>0</v>
      </c>
      <c r="AN413" s="7">
        <v>0</v>
      </c>
      <c r="AO413" s="7">
        <v>0</v>
      </c>
      <c r="AP413" s="7">
        <v>0</v>
      </c>
      <c r="AQ413" s="7">
        <v>0</v>
      </c>
      <c r="AR413" s="7">
        <v>0</v>
      </c>
      <c r="AS413" s="7">
        <v>0</v>
      </c>
      <c r="AT413" s="7">
        <v>0</v>
      </c>
      <c r="AU413" s="7">
        <v>0</v>
      </c>
      <c r="AV413" s="7">
        <v>0</v>
      </c>
      <c r="AW413" s="7">
        <v>0</v>
      </c>
      <c r="AX413" s="7">
        <v>0</v>
      </c>
      <c r="AY413" s="7">
        <v>0</v>
      </c>
      <c r="AZ413" s="7">
        <v>0</v>
      </c>
      <c r="BA413" s="7">
        <v>0</v>
      </c>
      <c r="BB413" s="7">
        <v>0</v>
      </c>
      <c r="BC413" s="7">
        <v>0</v>
      </c>
      <c r="BD413" s="7">
        <v>0</v>
      </c>
      <c r="BE413" s="7">
        <v>0</v>
      </c>
      <c r="BF413" s="7">
        <v>0</v>
      </c>
      <c r="BG413" s="7">
        <v>0</v>
      </c>
      <c r="BH413" s="7">
        <v>0</v>
      </c>
      <c r="BI413" s="7">
        <v>0</v>
      </c>
      <c r="BJ413" s="7">
        <v>0</v>
      </c>
      <c r="BK413" s="7">
        <v>0</v>
      </c>
      <c r="BL413" s="9">
        <v>2304</v>
      </c>
      <c r="BM413" s="10">
        <v>7680</v>
      </c>
      <c r="BN413" s="16">
        <f t="shared" si="13"/>
        <v>5376</v>
      </c>
      <c r="BO413" s="14">
        <f t="shared" si="14"/>
        <v>3763.2</v>
      </c>
    </row>
    <row r="414" spans="1:67" x14ac:dyDescent="0.3">
      <c r="A414" s="5" t="s">
        <v>522</v>
      </c>
      <c r="B414" s="5" t="s">
        <v>339</v>
      </c>
      <c r="C414" s="5">
        <v>381684</v>
      </c>
      <c r="D414" s="6"/>
      <c r="E414" s="5" t="s">
        <v>32</v>
      </c>
      <c r="F414" s="5" t="s">
        <v>156</v>
      </c>
      <c r="G414" s="5" t="s">
        <v>52</v>
      </c>
      <c r="H414" s="7" t="s">
        <v>340</v>
      </c>
      <c r="I414" s="7" t="s">
        <v>157</v>
      </c>
      <c r="J414" s="7">
        <v>0</v>
      </c>
      <c r="K414" s="7">
        <v>0</v>
      </c>
      <c r="L414" s="7">
        <v>0</v>
      </c>
      <c r="M414" s="7">
        <v>0</v>
      </c>
      <c r="N414" s="7">
        <v>0</v>
      </c>
      <c r="O414" s="7">
        <v>0</v>
      </c>
      <c r="P414" s="7">
        <v>0</v>
      </c>
      <c r="Q414" s="7">
        <v>0</v>
      </c>
      <c r="R414" s="7">
        <v>0</v>
      </c>
      <c r="S414" s="7">
        <v>0</v>
      </c>
      <c r="T414" s="7">
        <v>0</v>
      </c>
      <c r="U414" s="7">
        <v>0</v>
      </c>
      <c r="V414" s="7">
        <v>0</v>
      </c>
      <c r="W414" s="7">
        <v>0</v>
      </c>
      <c r="X414" s="7">
        <v>0</v>
      </c>
      <c r="Y414" s="7">
        <v>0</v>
      </c>
      <c r="Z414" s="7">
        <v>0</v>
      </c>
      <c r="AA414" s="7">
        <v>0</v>
      </c>
      <c r="AB414" s="7">
        <v>0</v>
      </c>
      <c r="AC414" s="7">
        <v>0</v>
      </c>
      <c r="AD414" s="7">
        <v>0</v>
      </c>
      <c r="AE414" s="7">
        <v>1</v>
      </c>
      <c r="AF414" s="8">
        <v>3800</v>
      </c>
      <c r="AG414" s="7">
        <v>0</v>
      </c>
      <c r="AH414" s="7">
        <v>0</v>
      </c>
      <c r="AI414" s="7">
        <v>0</v>
      </c>
      <c r="AJ414" s="7">
        <v>0</v>
      </c>
      <c r="AK414" s="7">
        <v>0</v>
      </c>
      <c r="AL414" s="7">
        <v>0</v>
      </c>
      <c r="AM414" s="7">
        <v>0</v>
      </c>
      <c r="AN414" s="7">
        <v>0</v>
      </c>
      <c r="AO414" s="7">
        <v>0</v>
      </c>
      <c r="AP414" s="7">
        <v>0</v>
      </c>
      <c r="AQ414" s="7">
        <v>1</v>
      </c>
      <c r="AR414" s="8">
        <v>3800</v>
      </c>
      <c r="AS414" s="7">
        <v>0</v>
      </c>
      <c r="AT414" s="7">
        <v>0</v>
      </c>
      <c r="AU414" s="7">
        <v>0</v>
      </c>
      <c r="AV414" s="7">
        <v>0</v>
      </c>
      <c r="AW414" s="7">
        <v>0</v>
      </c>
      <c r="AX414" s="7">
        <v>0</v>
      </c>
      <c r="AY414" s="7">
        <v>0</v>
      </c>
      <c r="AZ414" s="7">
        <v>0</v>
      </c>
      <c r="BA414" s="7">
        <v>0</v>
      </c>
      <c r="BB414" s="7">
        <v>0</v>
      </c>
      <c r="BC414" s="7">
        <v>0</v>
      </c>
      <c r="BD414" s="7">
        <v>0</v>
      </c>
      <c r="BE414" s="7">
        <v>0</v>
      </c>
      <c r="BF414" s="7">
        <v>0</v>
      </c>
      <c r="BG414" s="7">
        <v>0</v>
      </c>
      <c r="BH414" s="7">
        <v>0</v>
      </c>
      <c r="BI414" s="7">
        <v>0</v>
      </c>
      <c r="BJ414" s="7">
        <v>0</v>
      </c>
      <c r="BK414" s="7">
        <v>0</v>
      </c>
      <c r="BL414" s="7">
        <v>0</v>
      </c>
      <c r="BM414" s="10">
        <v>7600</v>
      </c>
      <c r="BN414" s="16">
        <f t="shared" si="13"/>
        <v>7600</v>
      </c>
      <c r="BO414" s="14">
        <f t="shared" si="14"/>
        <v>5320</v>
      </c>
    </row>
    <row r="415" spans="1:67" x14ac:dyDescent="0.3">
      <c r="A415" s="5" t="s">
        <v>542</v>
      </c>
      <c r="B415" s="5" t="s">
        <v>527</v>
      </c>
      <c r="C415" s="5">
        <v>426274</v>
      </c>
      <c r="D415" s="6"/>
      <c r="E415" s="5" t="s">
        <v>32</v>
      </c>
      <c r="F415" s="5" t="s">
        <v>126</v>
      </c>
      <c r="G415" s="5" t="s">
        <v>52</v>
      </c>
      <c r="H415" s="7" t="s">
        <v>8</v>
      </c>
      <c r="I415" s="7" t="s">
        <v>332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7">
        <v>0</v>
      </c>
      <c r="U415" s="7">
        <v>0</v>
      </c>
      <c r="V415" s="7">
        <v>0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7">
        <v>0</v>
      </c>
      <c r="AK415" s="7">
        <v>2</v>
      </c>
      <c r="AL415" s="8">
        <v>7200</v>
      </c>
      <c r="AM415" s="7">
        <v>0</v>
      </c>
      <c r="AN415" s="7">
        <v>0</v>
      </c>
      <c r="AO415" s="7">
        <v>0</v>
      </c>
      <c r="AP415" s="7">
        <v>0</v>
      </c>
      <c r="AQ415" s="7">
        <v>0</v>
      </c>
      <c r="AR415" s="7">
        <v>0</v>
      </c>
      <c r="AS415" s="7">
        <v>0</v>
      </c>
      <c r="AT415" s="7">
        <v>0</v>
      </c>
      <c r="AU415" s="7">
        <v>0</v>
      </c>
      <c r="AV415" s="7">
        <v>0</v>
      </c>
      <c r="AW415" s="7">
        <v>0</v>
      </c>
      <c r="AX415" s="7">
        <v>0</v>
      </c>
      <c r="AY415" s="7">
        <v>0</v>
      </c>
      <c r="AZ415" s="7">
        <v>0</v>
      </c>
      <c r="BA415" s="7">
        <v>0</v>
      </c>
      <c r="BB415" s="7">
        <v>0</v>
      </c>
      <c r="BC415" s="7">
        <v>0</v>
      </c>
      <c r="BD415" s="7">
        <v>0</v>
      </c>
      <c r="BE415" s="7">
        <v>0</v>
      </c>
      <c r="BF415" s="7">
        <v>0</v>
      </c>
      <c r="BG415" s="7">
        <v>0</v>
      </c>
      <c r="BH415" s="7">
        <v>0</v>
      </c>
      <c r="BI415" s="7">
        <v>0</v>
      </c>
      <c r="BJ415" s="7">
        <v>0</v>
      </c>
      <c r="BK415" s="7">
        <v>0</v>
      </c>
      <c r="BL415" s="9">
        <v>2160</v>
      </c>
      <c r="BM415" s="10">
        <v>7200</v>
      </c>
      <c r="BN415" s="16">
        <f t="shared" si="13"/>
        <v>5040</v>
      </c>
      <c r="BO415" s="14">
        <f t="shared" si="14"/>
        <v>3528</v>
      </c>
    </row>
    <row r="416" spans="1:67" x14ac:dyDescent="0.3">
      <c r="A416" s="5" t="s">
        <v>543</v>
      </c>
      <c r="B416" s="5" t="s">
        <v>281</v>
      </c>
      <c r="C416" s="5">
        <v>400251</v>
      </c>
      <c r="D416" s="6"/>
      <c r="E416" s="5" t="s">
        <v>32</v>
      </c>
      <c r="F416" s="5" t="s">
        <v>60</v>
      </c>
      <c r="G416" s="5" t="s">
        <v>52</v>
      </c>
      <c r="H416" s="7" t="s">
        <v>8</v>
      </c>
      <c r="I416" s="7" t="s">
        <v>282</v>
      </c>
      <c r="J416" s="7">
        <v>0</v>
      </c>
      <c r="K416" s="7">
        <v>0</v>
      </c>
      <c r="L416" s="7">
        <v>0</v>
      </c>
      <c r="M416" s="7">
        <v>0</v>
      </c>
      <c r="N416" s="7">
        <v>0</v>
      </c>
      <c r="O416" s="7">
        <v>0</v>
      </c>
      <c r="P416" s="7">
        <v>0</v>
      </c>
      <c r="Q416" s="7">
        <v>0</v>
      </c>
      <c r="R416" s="7">
        <v>0</v>
      </c>
      <c r="S416" s="7">
        <v>0</v>
      </c>
      <c r="T416" s="7">
        <v>4</v>
      </c>
      <c r="U416" s="7">
        <v>0</v>
      </c>
      <c r="V416" s="7">
        <v>0</v>
      </c>
      <c r="W416" s="7">
        <v>0</v>
      </c>
      <c r="X416" s="7">
        <v>0</v>
      </c>
      <c r="Y416" s="7">
        <v>0</v>
      </c>
      <c r="Z416" s="7">
        <v>0</v>
      </c>
      <c r="AA416" s="7">
        <v>0</v>
      </c>
      <c r="AB416" s="7">
        <v>0</v>
      </c>
      <c r="AC416" s="7">
        <v>0</v>
      </c>
      <c r="AD416" s="7">
        <v>0</v>
      </c>
      <c r="AE416" s="7">
        <v>49</v>
      </c>
      <c r="AF416" s="8">
        <v>1000</v>
      </c>
      <c r="AG416" s="8">
        <v>3900</v>
      </c>
      <c r="AH416" s="7">
        <v>0</v>
      </c>
      <c r="AI416" s="7">
        <v>0</v>
      </c>
      <c r="AJ416" s="7">
        <v>0</v>
      </c>
      <c r="AK416" s="7">
        <v>21</v>
      </c>
      <c r="AL416" s="7">
        <v>708</v>
      </c>
      <c r="AM416" s="8">
        <v>1500</v>
      </c>
      <c r="AN416" s="7">
        <v>0</v>
      </c>
      <c r="AO416" s="7">
        <v>0</v>
      </c>
      <c r="AP416" s="7">
        <v>0</v>
      </c>
      <c r="AQ416" s="7">
        <v>0</v>
      </c>
      <c r="AR416" s="7">
        <v>0</v>
      </c>
      <c r="AS416" s="7">
        <v>0</v>
      </c>
      <c r="AT416" s="7">
        <v>0</v>
      </c>
      <c r="AU416" s="7">
        <v>0</v>
      </c>
      <c r="AV416" s="7">
        <v>0</v>
      </c>
      <c r="AW416" s="7">
        <v>0</v>
      </c>
      <c r="AX416" s="7">
        <v>0</v>
      </c>
      <c r="AY416" s="7">
        <v>0</v>
      </c>
      <c r="AZ416" s="7">
        <v>0</v>
      </c>
      <c r="BA416" s="7">
        <v>0</v>
      </c>
      <c r="BB416" s="7">
        <v>0</v>
      </c>
      <c r="BC416" s="7">
        <v>0</v>
      </c>
      <c r="BD416" s="7">
        <v>0</v>
      </c>
      <c r="BE416" s="7">
        <v>0</v>
      </c>
      <c r="BF416" s="7">
        <v>0</v>
      </c>
      <c r="BG416" s="7">
        <v>0</v>
      </c>
      <c r="BH416" s="7">
        <v>0</v>
      </c>
      <c r="BI416" s="7">
        <v>0</v>
      </c>
      <c r="BJ416" s="7">
        <v>0</v>
      </c>
      <c r="BK416" s="7">
        <v>0</v>
      </c>
      <c r="BL416" s="7">
        <v>212.4</v>
      </c>
      <c r="BM416" s="10">
        <v>7108</v>
      </c>
      <c r="BN416" s="16">
        <f t="shared" si="13"/>
        <v>6895.6</v>
      </c>
      <c r="BO416" s="14">
        <f t="shared" si="14"/>
        <v>4826.92</v>
      </c>
    </row>
    <row r="417" spans="1:67" x14ac:dyDescent="0.3">
      <c r="A417" s="5" t="s">
        <v>522</v>
      </c>
      <c r="B417" s="5" t="s">
        <v>273</v>
      </c>
      <c r="C417" s="5">
        <v>341374</v>
      </c>
      <c r="D417" s="6"/>
      <c r="E417" s="5" t="s">
        <v>32</v>
      </c>
      <c r="F417" s="5" t="s">
        <v>153</v>
      </c>
      <c r="G417" s="5" t="s">
        <v>52</v>
      </c>
      <c r="H417" s="7" t="s">
        <v>8</v>
      </c>
      <c r="I417" s="7" t="s">
        <v>274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7">
        <v>0</v>
      </c>
      <c r="U417" s="7">
        <v>0</v>
      </c>
      <c r="V417" s="7">
        <v>0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20</v>
      </c>
      <c r="AF417" s="7">
        <v>0</v>
      </c>
      <c r="AG417" s="8">
        <v>2000</v>
      </c>
      <c r="AH417" s="7">
        <v>0</v>
      </c>
      <c r="AI417" s="7">
        <v>0</v>
      </c>
      <c r="AJ417" s="7">
        <v>0</v>
      </c>
      <c r="AK417" s="7">
        <v>45</v>
      </c>
      <c r="AL417" s="7">
        <v>0</v>
      </c>
      <c r="AM417" s="8">
        <v>4500</v>
      </c>
      <c r="AN417" s="7">
        <v>0</v>
      </c>
      <c r="AO417" s="7">
        <v>0</v>
      </c>
      <c r="AP417" s="7">
        <v>0</v>
      </c>
      <c r="AQ417" s="7">
        <v>0</v>
      </c>
      <c r="AR417" s="7">
        <v>0</v>
      </c>
      <c r="AS417" s="7">
        <v>0</v>
      </c>
      <c r="AT417" s="7">
        <v>0</v>
      </c>
      <c r="AU417" s="7">
        <v>0</v>
      </c>
      <c r="AV417" s="7">
        <v>0</v>
      </c>
      <c r="AW417" s="7">
        <v>0</v>
      </c>
      <c r="AX417" s="7">
        <v>0</v>
      </c>
      <c r="AY417" s="7">
        <v>0</v>
      </c>
      <c r="AZ417" s="7">
        <v>0</v>
      </c>
      <c r="BA417" s="7">
        <v>0</v>
      </c>
      <c r="BB417" s="7">
        <v>0</v>
      </c>
      <c r="BC417" s="7">
        <v>0</v>
      </c>
      <c r="BD417" s="7">
        <v>0</v>
      </c>
      <c r="BE417" s="7">
        <v>0</v>
      </c>
      <c r="BF417" s="7">
        <v>0</v>
      </c>
      <c r="BG417" s="7">
        <v>0</v>
      </c>
      <c r="BH417" s="7">
        <v>0</v>
      </c>
      <c r="BI417" s="7">
        <v>0</v>
      </c>
      <c r="BJ417" s="7">
        <v>0</v>
      </c>
      <c r="BK417" s="7">
        <v>0</v>
      </c>
      <c r="BL417" s="7">
        <v>0</v>
      </c>
      <c r="BM417" s="10">
        <v>6500</v>
      </c>
      <c r="BN417" s="16">
        <f t="shared" si="13"/>
        <v>6500</v>
      </c>
      <c r="BO417" s="14">
        <f t="shared" si="14"/>
        <v>4550</v>
      </c>
    </row>
    <row r="418" spans="1:67" x14ac:dyDescent="0.3">
      <c r="A418" s="5" t="s">
        <v>522</v>
      </c>
      <c r="B418" s="5" t="s">
        <v>147</v>
      </c>
      <c r="C418" s="5">
        <v>386704</v>
      </c>
      <c r="D418" s="6"/>
      <c r="E418" s="5" t="s">
        <v>32</v>
      </c>
      <c r="F418" s="5" t="s">
        <v>148</v>
      </c>
      <c r="G418" s="5" t="s">
        <v>52</v>
      </c>
      <c r="H418" s="7" t="s">
        <v>8</v>
      </c>
      <c r="I418" s="7" t="s">
        <v>149</v>
      </c>
      <c r="J418" s="7">
        <v>0</v>
      </c>
      <c r="K418" s="7">
        <v>0</v>
      </c>
      <c r="L418" s="7">
        <v>0</v>
      </c>
      <c r="M418" s="7">
        <v>0</v>
      </c>
      <c r="N418" s="7">
        <v>0</v>
      </c>
      <c r="O418" s="7">
        <v>0</v>
      </c>
      <c r="P418" s="7">
        <v>0</v>
      </c>
      <c r="Q418" s="7">
        <v>0</v>
      </c>
      <c r="R418" s="7">
        <v>0</v>
      </c>
      <c r="S418" s="7">
        <v>0</v>
      </c>
      <c r="T418" s="7">
        <v>0</v>
      </c>
      <c r="U418" s="7">
        <v>0</v>
      </c>
      <c r="V418" s="7">
        <v>0</v>
      </c>
      <c r="W418" s="7">
        <v>0</v>
      </c>
      <c r="X418" s="7">
        <v>0</v>
      </c>
      <c r="Y418" s="7">
        <v>0</v>
      </c>
      <c r="Z418" s="7">
        <v>0</v>
      </c>
      <c r="AA418" s="7">
        <v>0</v>
      </c>
      <c r="AB418" s="7">
        <v>0</v>
      </c>
      <c r="AC418" s="7">
        <v>0</v>
      </c>
      <c r="AD418" s="7">
        <v>0</v>
      </c>
      <c r="AE418" s="7">
        <v>59</v>
      </c>
      <c r="AF418" s="8">
        <v>5900</v>
      </c>
      <c r="AG418" s="7">
        <v>0</v>
      </c>
      <c r="AH418" s="7">
        <v>0</v>
      </c>
      <c r="AI418" s="7">
        <v>0</v>
      </c>
      <c r="AJ418" s="7">
        <v>0</v>
      </c>
      <c r="AK418" s="7">
        <v>0</v>
      </c>
      <c r="AL418" s="7">
        <v>0</v>
      </c>
      <c r="AM418" s="7">
        <v>0</v>
      </c>
      <c r="AN418" s="7">
        <v>0</v>
      </c>
      <c r="AO418" s="7">
        <v>0</v>
      </c>
      <c r="AP418" s="7">
        <v>0</v>
      </c>
      <c r="AQ418" s="7">
        <v>0</v>
      </c>
      <c r="AR418" s="7">
        <v>0</v>
      </c>
      <c r="AS418" s="7">
        <v>0</v>
      </c>
      <c r="AT418" s="7">
        <v>0</v>
      </c>
      <c r="AU418" s="7">
        <v>0</v>
      </c>
      <c r="AV418" s="7">
        <v>0</v>
      </c>
      <c r="AW418" s="7">
        <v>0</v>
      </c>
      <c r="AX418" s="7">
        <v>0</v>
      </c>
      <c r="AY418" s="7">
        <v>0</v>
      </c>
      <c r="AZ418" s="7">
        <v>0</v>
      </c>
      <c r="BA418" s="7">
        <v>0</v>
      </c>
      <c r="BB418" s="7">
        <v>0</v>
      </c>
      <c r="BC418" s="7">
        <v>0</v>
      </c>
      <c r="BD418" s="7">
        <v>0</v>
      </c>
      <c r="BE418" s="7">
        <v>0</v>
      </c>
      <c r="BF418" s="7">
        <v>0</v>
      </c>
      <c r="BG418" s="7">
        <v>0</v>
      </c>
      <c r="BH418" s="7">
        <v>0</v>
      </c>
      <c r="BI418" s="7">
        <v>0</v>
      </c>
      <c r="BJ418" s="7">
        <v>0</v>
      </c>
      <c r="BK418" s="7">
        <v>0</v>
      </c>
      <c r="BL418" s="7">
        <v>0</v>
      </c>
      <c r="BM418" s="10">
        <v>5900</v>
      </c>
      <c r="BN418" s="16">
        <f t="shared" si="13"/>
        <v>5900</v>
      </c>
      <c r="BO418" s="14">
        <f t="shared" si="14"/>
        <v>4130</v>
      </c>
    </row>
    <row r="419" spans="1:67" x14ac:dyDescent="0.3">
      <c r="A419" s="5" t="s">
        <v>522</v>
      </c>
      <c r="B419" s="5" t="s">
        <v>407</v>
      </c>
      <c r="C419" s="5">
        <v>452403</v>
      </c>
      <c r="D419" s="6"/>
      <c r="E419" s="5" t="s">
        <v>32</v>
      </c>
      <c r="F419" s="5" t="s">
        <v>386</v>
      </c>
      <c r="G419" s="5" t="s">
        <v>52</v>
      </c>
      <c r="H419" s="7" t="s">
        <v>8</v>
      </c>
      <c r="I419" s="7" t="s">
        <v>408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7">
        <v>5</v>
      </c>
      <c r="U419" s="7">
        <v>0</v>
      </c>
      <c r="V419" s="7">
        <v>0</v>
      </c>
      <c r="W419" s="7">
        <v>0</v>
      </c>
      <c r="X419" s="7">
        <v>0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7">
        <v>0</v>
      </c>
      <c r="AK419" s="7">
        <v>53</v>
      </c>
      <c r="AL419" s="7">
        <v>0</v>
      </c>
      <c r="AM419" s="8">
        <v>5300</v>
      </c>
      <c r="AN419" s="7">
        <v>0</v>
      </c>
      <c r="AO419" s="7">
        <v>0</v>
      </c>
      <c r="AP419" s="7">
        <v>0</v>
      </c>
      <c r="AQ419" s="7">
        <v>0</v>
      </c>
      <c r="AR419" s="7">
        <v>0</v>
      </c>
      <c r="AS419" s="7">
        <v>0</v>
      </c>
      <c r="AT419" s="7">
        <v>0</v>
      </c>
      <c r="AU419" s="7">
        <v>0</v>
      </c>
      <c r="AV419" s="7">
        <v>0</v>
      </c>
      <c r="AW419" s="7">
        <v>0</v>
      </c>
      <c r="AX419" s="7">
        <v>0</v>
      </c>
      <c r="AY419" s="7">
        <v>0</v>
      </c>
      <c r="AZ419" s="7">
        <v>0</v>
      </c>
      <c r="BA419" s="7">
        <v>0</v>
      </c>
      <c r="BB419" s="7">
        <v>0</v>
      </c>
      <c r="BC419" s="7">
        <v>0</v>
      </c>
      <c r="BD419" s="7">
        <v>0</v>
      </c>
      <c r="BE419" s="7">
        <v>0</v>
      </c>
      <c r="BF419" s="7">
        <v>0</v>
      </c>
      <c r="BG419" s="7">
        <v>0</v>
      </c>
      <c r="BH419" s="7">
        <v>0</v>
      </c>
      <c r="BI419" s="7">
        <v>0</v>
      </c>
      <c r="BJ419" s="7">
        <v>0</v>
      </c>
      <c r="BK419" s="7">
        <v>0</v>
      </c>
      <c r="BL419" s="7">
        <v>0</v>
      </c>
      <c r="BM419" s="10">
        <v>5300</v>
      </c>
      <c r="BN419" s="16">
        <f t="shared" si="13"/>
        <v>5300</v>
      </c>
      <c r="BO419" s="14">
        <f t="shared" si="14"/>
        <v>3709.9999999999995</v>
      </c>
    </row>
    <row r="420" spans="1:67" x14ac:dyDescent="0.3">
      <c r="A420" s="5" t="s">
        <v>522</v>
      </c>
      <c r="B420" s="5" t="s">
        <v>300</v>
      </c>
      <c r="C420" s="5">
        <v>407159</v>
      </c>
      <c r="D420" s="6"/>
      <c r="E420" s="5" t="s">
        <v>32</v>
      </c>
      <c r="F420" s="5" t="s">
        <v>301</v>
      </c>
      <c r="G420" s="5" t="s">
        <v>52</v>
      </c>
      <c r="H420" s="7" t="s">
        <v>8</v>
      </c>
      <c r="I420" s="7" t="s">
        <v>302</v>
      </c>
      <c r="J420" s="7">
        <v>0</v>
      </c>
      <c r="K420" s="7">
        <v>0</v>
      </c>
      <c r="L420" s="7">
        <v>0</v>
      </c>
      <c r="M420" s="7">
        <v>0</v>
      </c>
      <c r="N420" s="7">
        <v>0</v>
      </c>
      <c r="O420" s="7">
        <v>0</v>
      </c>
      <c r="P420" s="7">
        <v>0</v>
      </c>
      <c r="Q420" s="7">
        <v>0</v>
      </c>
      <c r="R420" s="7">
        <v>0</v>
      </c>
      <c r="S420" s="7">
        <v>0</v>
      </c>
      <c r="T420" s="7">
        <v>0</v>
      </c>
      <c r="U420" s="7">
        <v>0</v>
      </c>
      <c r="V420" s="7">
        <v>0</v>
      </c>
      <c r="W420" s="7">
        <v>0</v>
      </c>
      <c r="X420" s="7">
        <v>0</v>
      </c>
      <c r="Y420" s="7">
        <v>0</v>
      </c>
      <c r="Z420" s="7">
        <v>0</v>
      </c>
      <c r="AA420" s="7">
        <v>0</v>
      </c>
      <c r="AB420" s="7">
        <v>0</v>
      </c>
      <c r="AC420" s="7">
        <v>0</v>
      </c>
      <c r="AD420" s="7">
        <v>0</v>
      </c>
      <c r="AE420" s="7">
        <v>0</v>
      </c>
      <c r="AF420" s="7">
        <v>0</v>
      </c>
      <c r="AG420" s="7">
        <v>0</v>
      </c>
      <c r="AH420" s="7">
        <v>0</v>
      </c>
      <c r="AI420" s="7">
        <v>0</v>
      </c>
      <c r="AJ420" s="7">
        <v>0</v>
      </c>
      <c r="AK420" s="7">
        <v>43</v>
      </c>
      <c r="AL420" s="8">
        <v>5160</v>
      </c>
      <c r="AM420" s="7">
        <v>0</v>
      </c>
      <c r="AN420" s="7">
        <v>0</v>
      </c>
      <c r="AO420" s="7">
        <v>0</v>
      </c>
      <c r="AP420" s="7">
        <v>0</v>
      </c>
      <c r="AQ420" s="7">
        <v>0</v>
      </c>
      <c r="AR420" s="7">
        <v>0</v>
      </c>
      <c r="AS420" s="7">
        <v>0</v>
      </c>
      <c r="AT420" s="7">
        <v>0</v>
      </c>
      <c r="AU420" s="7">
        <v>0</v>
      </c>
      <c r="AV420" s="7">
        <v>0</v>
      </c>
      <c r="AW420" s="7">
        <v>0</v>
      </c>
      <c r="AX420" s="7">
        <v>0</v>
      </c>
      <c r="AY420" s="7">
        <v>0</v>
      </c>
      <c r="AZ420" s="7">
        <v>0</v>
      </c>
      <c r="BA420" s="7">
        <v>0</v>
      </c>
      <c r="BB420" s="7">
        <v>0</v>
      </c>
      <c r="BC420" s="7">
        <v>0</v>
      </c>
      <c r="BD420" s="7">
        <v>0</v>
      </c>
      <c r="BE420" s="7">
        <v>0</v>
      </c>
      <c r="BF420" s="7">
        <v>0</v>
      </c>
      <c r="BG420" s="7">
        <v>0</v>
      </c>
      <c r="BH420" s="7">
        <v>0</v>
      </c>
      <c r="BI420" s="7">
        <v>0</v>
      </c>
      <c r="BJ420" s="7">
        <v>0</v>
      </c>
      <c r="BK420" s="7">
        <v>0</v>
      </c>
      <c r="BL420" s="9">
        <v>1548</v>
      </c>
      <c r="BM420" s="10">
        <v>5160</v>
      </c>
      <c r="BN420" s="16">
        <f t="shared" si="13"/>
        <v>3612</v>
      </c>
      <c r="BO420" s="14">
        <f t="shared" si="14"/>
        <v>2528.3999999999996</v>
      </c>
    </row>
    <row r="421" spans="1:67" x14ac:dyDescent="0.3">
      <c r="A421" s="5" t="s">
        <v>522</v>
      </c>
      <c r="B421" s="5" t="s">
        <v>497</v>
      </c>
      <c r="C421" s="5">
        <v>407003</v>
      </c>
      <c r="D421" s="6"/>
      <c r="E421" s="5" t="s">
        <v>32</v>
      </c>
      <c r="F421" s="5" t="s">
        <v>404</v>
      </c>
      <c r="G421" s="5" t="s">
        <v>52</v>
      </c>
      <c r="H421" s="7" t="s">
        <v>340</v>
      </c>
      <c r="I421" s="7" t="s">
        <v>498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7">
        <v>4</v>
      </c>
      <c r="U421" s="7">
        <v>0</v>
      </c>
      <c r="V421" s="7">
        <v>0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38</v>
      </c>
      <c r="AF421" s="8">
        <v>3800</v>
      </c>
      <c r="AG421" s="7">
        <v>0</v>
      </c>
      <c r="AH421" s="7">
        <v>0</v>
      </c>
      <c r="AI421" s="7">
        <v>0</v>
      </c>
      <c r="AJ421" s="7">
        <v>0</v>
      </c>
      <c r="AK421" s="7">
        <v>1</v>
      </c>
      <c r="AL421" s="7">
        <v>0</v>
      </c>
      <c r="AM421" s="7">
        <v>100</v>
      </c>
      <c r="AN421" s="7">
        <v>0</v>
      </c>
      <c r="AO421" s="7">
        <v>0</v>
      </c>
      <c r="AP421" s="7">
        <v>0</v>
      </c>
      <c r="AQ421" s="7">
        <v>10</v>
      </c>
      <c r="AR421" s="7">
        <v>800</v>
      </c>
      <c r="AS421" s="7">
        <v>200</v>
      </c>
      <c r="AT421" s="7">
        <v>0</v>
      </c>
      <c r="AU421" s="7">
        <v>0</v>
      </c>
      <c r="AV421" s="7">
        <v>0</v>
      </c>
      <c r="AW421" s="7">
        <v>0</v>
      </c>
      <c r="AX421" s="7">
        <v>0</v>
      </c>
      <c r="AY421" s="7">
        <v>0</v>
      </c>
      <c r="AZ421" s="7">
        <v>0</v>
      </c>
      <c r="BA421" s="7">
        <v>0</v>
      </c>
      <c r="BB421" s="7">
        <v>0</v>
      </c>
      <c r="BC421" s="7">
        <v>0</v>
      </c>
      <c r="BD421" s="7">
        <v>0</v>
      </c>
      <c r="BE421" s="7">
        <v>0</v>
      </c>
      <c r="BF421" s="7">
        <v>0</v>
      </c>
      <c r="BG421" s="7">
        <v>0</v>
      </c>
      <c r="BH421" s="7">
        <v>0</v>
      </c>
      <c r="BI421" s="7">
        <v>0</v>
      </c>
      <c r="BJ421" s="7">
        <v>0</v>
      </c>
      <c r="BK421" s="7">
        <v>0</v>
      </c>
      <c r="BL421" s="7">
        <v>0</v>
      </c>
      <c r="BM421" s="10">
        <v>4900</v>
      </c>
      <c r="BN421" s="16">
        <f t="shared" ref="BN421:BN470" si="15">BM421-BL421</f>
        <v>4900</v>
      </c>
      <c r="BO421" s="14">
        <f t="shared" ref="BO421:BO470" si="16">BN421*70%</f>
        <v>3430</v>
      </c>
    </row>
    <row r="422" spans="1:67" x14ac:dyDescent="0.3">
      <c r="A422" s="5" t="s">
        <v>542</v>
      </c>
      <c r="B422" s="5" t="s">
        <v>177</v>
      </c>
      <c r="C422" s="5">
        <v>394079</v>
      </c>
      <c r="D422" s="6"/>
      <c r="E422" s="5" t="s">
        <v>32</v>
      </c>
      <c r="F422" s="5" t="s">
        <v>73</v>
      </c>
      <c r="G422" s="5" t="s">
        <v>52</v>
      </c>
      <c r="H422" s="7" t="s">
        <v>8</v>
      </c>
      <c r="I422" s="7" t="s">
        <v>178</v>
      </c>
      <c r="J422" s="7">
        <v>0</v>
      </c>
      <c r="K422" s="7">
        <v>0</v>
      </c>
      <c r="L422" s="7">
        <v>0</v>
      </c>
      <c r="M422" s="7">
        <v>0</v>
      </c>
      <c r="N422" s="7">
        <v>0</v>
      </c>
      <c r="O422" s="7">
        <v>0</v>
      </c>
      <c r="P422" s="7">
        <v>0</v>
      </c>
      <c r="Q422" s="7">
        <v>0</v>
      </c>
      <c r="R422" s="7">
        <v>0</v>
      </c>
      <c r="S422" s="7">
        <v>0</v>
      </c>
      <c r="T422" s="7">
        <v>0</v>
      </c>
      <c r="U422" s="7">
        <v>0</v>
      </c>
      <c r="V422" s="7">
        <v>0</v>
      </c>
      <c r="W422" s="7">
        <v>0</v>
      </c>
      <c r="X422" s="7">
        <v>0</v>
      </c>
      <c r="Y422" s="7">
        <v>0</v>
      </c>
      <c r="Z422" s="7">
        <v>0</v>
      </c>
      <c r="AA422" s="7">
        <v>0</v>
      </c>
      <c r="AB422" s="7">
        <v>0</v>
      </c>
      <c r="AC422" s="7">
        <v>0</v>
      </c>
      <c r="AD422" s="7">
        <v>0</v>
      </c>
      <c r="AE422" s="7">
        <v>0</v>
      </c>
      <c r="AF422" s="7">
        <v>0</v>
      </c>
      <c r="AG422" s="7">
        <v>0</v>
      </c>
      <c r="AH422" s="7">
        <v>0</v>
      </c>
      <c r="AI422" s="7">
        <v>0</v>
      </c>
      <c r="AJ422" s="7">
        <v>0</v>
      </c>
      <c r="AK422" s="7">
        <v>34</v>
      </c>
      <c r="AL422" s="8">
        <v>2040</v>
      </c>
      <c r="AM422" s="8">
        <v>1700</v>
      </c>
      <c r="AN422" s="7">
        <v>0</v>
      </c>
      <c r="AO422" s="7">
        <v>0</v>
      </c>
      <c r="AP422" s="7">
        <v>0</v>
      </c>
      <c r="AQ422" s="7">
        <v>9</v>
      </c>
      <c r="AR422" s="7">
        <v>900</v>
      </c>
      <c r="AS422" s="7">
        <v>0</v>
      </c>
      <c r="AT422" s="7">
        <v>0</v>
      </c>
      <c r="AU422" s="7">
        <v>0</v>
      </c>
      <c r="AV422" s="7">
        <v>0</v>
      </c>
      <c r="AW422" s="7">
        <v>0</v>
      </c>
      <c r="AX422" s="7">
        <v>0</v>
      </c>
      <c r="AY422" s="7">
        <v>0</v>
      </c>
      <c r="AZ422" s="7">
        <v>0</v>
      </c>
      <c r="BA422" s="7">
        <v>0</v>
      </c>
      <c r="BB422" s="7">
        <v>0</v>
      </c>
      <c r="BC422" s="7">
        <v>0</v>
      </c>
      <c r="BD422" s="7">
        <v>0</v>
      </c>
      <c r="BE422" s="7">
        <v>0</v>
      </c>
      <c r="BF422" s="7">
        <v>0</v>
      </c>
      <c r="BG422" s="7">
        <v>0</v>
      </c>
      <c r="BH422" s="7">
        <v>0</v>
      </c>
      <c r="BI422" s="7">
        <v>0</v>
      </c>
      <c r="BJ422" s="7">
        <v>0</v>
      </c>
      <c r="BK422" s="7">
        <v>0</v>
      </c>
      <c r="BL422" s="7">
        <v>612</v>
      </c>
      <c r="BM422" s="10">
        <v>4640</v>
      </c>
      <c r="BN422" s="16">
        <f t="shared" si="15"/>
        <v>4028</v>
      </c>
      <c r="BO422" s="14">
        <f t="shared" si="16"/>
        <v>2819.6</v>
      </c>
    </row>
    <row r="423" spans="1:67" x14ac:dyDescent="0.3">
      <c r="A423" s="5" t="s">
        <v>522</v>
      </c>
      <c r="B423" s="5" t="s">
        <v>182</v>
      </c>
      <c r="C423" s="5">
        <v>376361</v>
      </c>
      <c r="D423" s="6"/>
      <c r="E423" s="5" t="s">
        <v>32</v>
      </c>
      <c r="F423" s="5" t="s">
        <v>67</v>
      </c>
      <c r="G423" s="5" t="s">
        <v>52</v>
      </c>
      <c r="H423" s="7" t="s">
        <v>8</v>
      </c>
      <c r="I423" s="7" t="s">
        <v>183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7">
        <v>0</v>
      </c>
      <c r="U423" s="7">
        <v>0</v>
      </c>
      <c r="V423" s="7">
        <v>0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7</v>
      </c>
      <c r="AF423" s="7">
        <v>700</v>
      </c>
      <c r="AG423" s="7">
        <v>0</v>
      </c>
      <c r="AH423" s="7">
        <v>0</v>
      </c>
      <c r="AI423" s="7">
        <v>0</v>
      </c>
      <c r="AJ423" s="7">
        <v>0</v>
      </c>
      <c r="AK423" s="7">
        <v>26</v>
      </c>
      <c r="AL423" s="8">
        <v>3120</v>
      </c>
      <c r="AM423" s="7">
        <v>0</v>
      </c>
      <c r="AN423" s="7">
        <v>0</v>
      </c>
      <c r="AO423" s="7">
        <v>0</v>
      </c>
      <c r="AP423" s="7">
        <v>0</v>
      </c>
      <c r="AQ423" s="7">
        <v>1</v>
      </c>
      <c r="AR423" s="7">
        <v>100</v>
      </c>
      <c r="AS423" s="7">
        <v>0</v>
      </c>
      <c r="AT423" s="7">
        <v>0</v>
      </c>
      <c r="AU423" s="7">
        <v>0</v>
      </c>
      <c r="AV423" s="7">
        <v>0</v>
      </c>
      <c r="AW423" s="7">
        <v>0</v>
      </c>
      <c r="AX423" s="7">
        <v>0</v>
      </c>
      <c r="AY423" s="7">
        <v>0</v>
      </c>
      <c r="AZ423" s="7">
        <v>0</v>
      </c>
      <c r="BA423" s="7">
        <v>0</v>
      </c>
      <c r="BB423" s="7">
        <v>0</v>
      </c>
      <c r="BC423" s="7">
        <v>0</v>
      </c>
      <c r="BD423" s="7">
        <v>0</v>
      </c>
      <c r="BE423" s="7">
        <v>0</v>
      </c>
      <c r="BF423" s="7">
        <v>0</v>
      </c>
      <c r="BG423" s="7">
        <v>0</v>
      </c>
      <c r="BH423" s="7">
        <v>0</v>
      </c>
      <c r="BI423" s="7">
        <v>0</v>
      </c>
      <c r="BJ423" s="7">
        <v>0</v>
      </c>
      <c r="BK423" s="7">
        <v>0</v>
      </c>
      <c r="BL423" s="7">
        <v>936</v>
      </c>
      <c r="BM423" s="10">
        <v>3920</v>
      </c>
      <c r="BN423" s="16">
        <f t="shared" si="15"/>
        <v>2984</v>
      </c>
      <c r="BO423" s="14">
        <f t="shared" si="16"/>
        <v>2088.7999999999997</v>
      </c>
    </row>
    <row r="424" spans="1:67" x14ac:dyDescent="0.3">
      <c r="A424" s="5" t="s">
        <v>522</v>
      </c>
      <c r="B424" s="5" t="s">
        <v>224</v>
      </c>
      <c r="C424" s="5">
        <v>458568</v>
      </c>
      <c r="D424" s="6"/>
      <c r="E424" s="5" t="s">
        <v>32</v>
      </c>
      <c r="F424" s="5" t="s">
        <v>48</v>
      </c>
      <c r="G424" s="5" t="s">
        <v>11</v>
      </c>
      <c r="H424" s="7" t="s">
        <v>7</v>
      </c>
      <c r="I424" s="7" t="s">
        <v>223</v>
      </c>
      <c r="J424" s="7">
        <v>0</v>
      </c>
      <c r="K424" s="7">
        <v>0</v>
      </c>
      <c r="L424" s="7">
        <v>0</v>
      </c>
      <c r="M424" s="7">
        <v>0</v>
      </c>
      <c r="N424" s="7">
        <v>0</v>
      </c>
      <c r="O424" s="7">
        <v>0</v>
      </c>
      <c r="P424" s="7">
        <v>0</v>
      </c>
      <c r="Q424" s="7">
        <v>0</v>
      </c>
      <c r="R424" s="7">
        <v>0</v>
      </c>
      <c r="S424" s="7">
        <v>0</v>
      </c>
      <c r="T424" s="7">
        <v>0</v>
      </c>
      <c r="U424" s="7">
        <v>0</v>
      </c>
      <c r="V424" s="7">
        <v>0</v>
      </c>
      <c r="W424" s="7">
        <v>0</v>
      </c>
      <c r="X424" s="7">
        <v>0</v>
      </c>
      <c r="Y424" s="7">
        <v>0</v>
      </c>
      <c r="Z424" s="7">
        <v>0</v>
      </c>
      <c r="AA424" s="7">
        <v>0</v>
      </c>
      <c r="AB424" s="7">
        <v>0</v>
      </c>
      <c r="AC424" s="7">
        <v>0</v>
      </c>
      <c r="AD424" s="7">
        <v>0</v>
      </c>
      <c r="AE424" s="7">
        <v>0</v>
      </c>
      <c r="AF424" s="7">
        <v>0</v>
      </c>
      <c r="AG424" s="7">
        <v>0</v>
      </c>
      <c r="AH424" s="7">
        <v>0</v>
      </c>
      <c r="AI424" s="7">
        <v>0</v>
      </c>
      <c r="AJ424" s="7">
        <v>0</v>
      </c>
      <c r="AK424" s="7">
        <v>1</v>
      </c>
      <c r="AL424" s="8">
        <v>3840</v>
      </c>
      <c r="AM424" s="7">
        <v>0</v>
      </c>
      <c r="AN424" s="7">
        <v>0</v>
      </c>
      <c r="AO424" s="7">
        <v>0</v>
      </c>
      <c r="AP424" s="7">
        <v>0</v>
      </c>
      <c r="AQ424" s="7">
        <v>0</v>
      </c>
      <c r="AR424" s="7">
        <v>0</v>
      </c>
      <c r="AS424" s="7">
        <v>0</v>
      </c>
      <c r="AT424" s="7">
        <v>0</v>
      </c>
      <c r="AU424" s="7">
        <v>0</v>
      </c>
      <c r="AV424" s="7">
        <v>0</v>
      </c>
      <c r="AW424" s="7">
        <v>0</v>
      </c>
      <c r="AX424" s="7">
        <v>0</v>
      </c>
      <c r="AY424" s="7">
        <v>0</v>
      </c>
      <c r="AZ424" s="7">
        <v>0</v>
      </c>
      <c r="BA424" s="7">
        <v>0</v>
      </c>
      <c r="BB424" s="7">
        <v>0</v>
      </c>
      <c r="BC424" s="7">
        <v>0</v>
      </c>
      <c r="BD424" s="7">
        <v>0</v>
      </c>
      <c r="BE424" s="7">
        <v>0</v>
      </c>
      <c r="BF424" s="7">
        <v>0</v>
      </c>
      <c r="BG424" s="7">
        <v>0</v>
      </c>
      <c r="BH424" s="7">
        <v>0</v>
      </c>
      <c r="BI424" s="7">
        <v>0</v>
      </c>
      <c r="BJ424" s="7">
        <v>0</v>
      </c>
      <c r="BK424" s="7">
        <v>0</v>
      </c>
      <c r="BL424" s="9">
        <v>1152</v>
      </c>
      <c r="BM424" s="10">
        <v>3840</v>
      </c>
      <c r="BN424" s="16">
        <f t="shared" si="15"/>
        <v>2688</v>
      </c>
      <c r="BO424" s="14">
        <f t="shared" si="16"/>
        <v>1881.6</v>
      </c>
    </row>
    <row r="425" spans="1:67" x14ac:dyDescent="0.3">
      <c r="A425" s="5" t="s">
        <v>522</v>
      </c>
      <c r="B425" s="5" t="s">
        <v>201</v>
      </c>
      <c r="C425" s="5">
        <v>316658</v>
      </c>
      <c r="D425" s="6"/>
      <c r="E425" s="5" t="s">
        <v>32</v>
      </c>
      <c r="F425" s="5" t="s">
        <v>87</v>
      </c>
      <c r="G425" s="5" t="s">
        <v>11</v>
      </c>
      <c r="H425" s="7" t="s">
        <v>7</v>
      </c>
      <c r="I425" s="7" t="s">
        <v>202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7">
        <v>0</v>
      </c>
      <c r="U425" s="7">
        <v>0</v>
      </c>
      <c r="V425" s="7">
        <v>0</v>
      </c>
      <c r="W425" s="7">
        <v>0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8</v>
      </c>
      <c r="AF425" s="7">
        <v>0</v>
      </c>
      <c r="AG425" s="7">
        <v>800</v>
      </c>
      <c r="AH425" s="7">
        <v>0</v>
      </c>
      <c r="AI425" s="7">
        <v>0</v>
      </c>
      <c r="AJ425" s="7">
        <v>0</v>
      </c>
      <c r="AK425" s="7">
        <v>0</v>
      </c>
      <c r="AL425" s="7">
        <v>0</v>
      </c>
      <c r="AM425" s="7">
        <v>0</v>
      </c>
      <c r="AN425" s="7">
        <v>0</v>
      </c>
      <c r="AO425" s="7">
        <v>0</v>
      </c>
      <c r="AP425" s="7">
        <v>0</v>
      </c>
      <c r="AQ425" s="7">
        <v>30</v>
      </c>
      <c r="AR425" s="8">
        <v>3000</v>
      </c>
      <c r="AS425" s="7">
        <v>0</v>
      </c>
      <c r="AT425" s="7">
        <v>0</v>
      </c>
      <c r="AU425" s="7">
        <v>0</v>
      </c>
      <c r="AV425" s="7">
        <v>0</v>
      </c>
      <c r="AW425" s="7">
        <v>0</v>
      </c>
      <c r="AX425" s="7">
        <v>0</v>
      </c>
      <c r="AY425" s="7">
        <v>0</v>
      </c>
      <c r="AZ425" s="7">
        <v>0</v>
      </c>
      <c r="BA425" s="7">
        <v>0</v>
      </c>
      <c r="BB425" s="7">
        <v>0</v>
      </c>
      <c r="BC425" s="7">
        <v>0</v>
      </c>
      <c r="BD425" s="7">
        <v>0</v>
      </c>
      <c r="BE425" s="7">
        <v>0</v>
      </c>
      <c r="BF425" s="7">
        <v>0</v>
      </c>
      <c r="BG425" s="7">
        <v>0</v>
      </c>
      <c r="BH425" s="7">
        <v>0</v>
      </c>
      <c r="BI425" s="7">
        <v>0</v>
      </c>
      <c r="BJ425" s="7">
        <v>0</v>
      </c>
      <c r="BK425" s="7">
        <v>0</v>
      </c>
      <c r="BL425" s="7">
        <v>0</v>
      </c>
      <c r="BM425" s="10">
        <v>3800</v>
      </c>
      <c r="BN425" s="16">
        <f t="shared" si="15"/>
        <v>3800</v>
      </c>
      <c r="BO425" s="14">
        <f t="shared" si="16"/>
        <v>2660</v>
      </c>
    </row>
    <row r="426" spans="1:67" x14ac:dyDescent="0.3">
      <c r="A426" s="5" t="s">
        <v>522</v>
      </c>
      <c r="B426" s="5" t="s">
        <v>528</v>
      </c>
      <c r="C426" s="5">
        <v>351129</v>
      </c>
      <c r="D426" s="6"/>
      <c r="E426" s="5" t="s">
        <v>32</v>
      </c>
      <c r="F426" s="5" t="s">
        <v>529</v>
      </c>
      <c r="G426" s="5" t="s">
        <v>52</v>
      </c>
      <c r="H426" s="7" t="s">
        <v>8</v>
      </c>
      <c r="I426" s="7" t="s">
        <v>530</v>
      </c>
      <c r="J426" s="7">
        <v>0</v>
      </c>
      <c r="K426" s="7">
        <v>0</v>
      </c>
      <c r="L426" s="7">
        <v>0</v>
      </c>
      <c r="M426" s="7">
        <v>0</v>
      </c>
      <c r="N426" s="7">
        <v>0</v>
      </c>
      <c r="O426" s="7">
        <v>0</v>
      </c>
      <c r="P426" s="7">
        <v>0</v>
      </c>
      <c r="Q426" s="7">
        <v>0</v>
      </c>
      <c r="R426" s="7">
        <v>0</v>
      </c>
      <c r="S426" s="7">
        <v>0</v>
      </c>
      <c r="T426" s="7">
        <v>0</v>
      </c>
      <c r="U426" s="7">
        <v>0</v>
      </c>
      <c r="V426" s="7">
        <v>0</v>
      </c>
      <c r="W426" s="7">
        <v>0</v>
      </c>
      <c r="X426" s="7">
        <v>0</v>
      </c>
      <c r="Y426" s="7">
        <v>0</v>
      </c>
      <c r="Z426" s="7">
        <v>0</v>
      </c>
      <c r="AA426" s="7">
        <v>0</v>
      </c>
      <c r="AB426" s="7">
        <v>0</v>
      </c>
      <c r="AC426" s="7">
        <v>0</v>
      </c>
      <c r="AD426" s="7">
        <v>0</v>
      </c>
      <c r="AE426" s="7">
        <v>36</v>
      </c>
      <c r="AF426" s="8">
        <v>3600</v>
      </c>
      <c r="AG426" s="7">
        <v>0</v>
      </c>
      <c r="AH426" s="7">
        <v>0</v>
      </c>
      <c r="AI426" s="7">
        <v>0</v>
      </c>
      <c r="AJ426" s="7">
        <v>0</v>
      </c>
      <c r="AK426" s="7">
        <v>0</v>
      </c>
      <c r="AL426" s="7">
        <v>0</v>
      </c>
      <c r="AM426" s="7">
        <v>0</v>
      </c>
      <c r="AN426" s="7">
        <v>0</v>
      </c>
      <c r="AO426" s="7">
        <v>0</v>
      </c>
      <c r="AP426" s="7">
        <v>0</v>
      </c>
      <c r="AQ426" s="7">
        <v>0</v>
      </c>
      <c r="AR426" s="7">
        <v>0</v>
      </c>
      <c r="AS426" s="7">
        <v>0</v>
      </c>
      <c r="AT426" s="7">
        <v>0</v>
      </c>
      <c r="AU426" s="7">
        <v>0</v>
      </c>
      <c r="AV426" s="7">
        <v>0</v>
      </c>
      <c r="AW426" s="7">
        <v>0</v>
      </c>
      <c r="AX426" s="7">
        <v>0</v>
      </c>
      <c r="AY426" s="7">
        <v>0</v>
      </c>
      <c r="AZ426" s="7">
        <v>0</v>
      </c>
      <c r="BA426" s="7">
        <v>0</v>
      </c>
      <c r="BB426" s="7">
        <v>0</v>
      </c>
      <c r="BC426" s="7">
        <v>0</v>
      </c>
      <c r="BD426" s="7">
        <v>0</v>
      </c>
      <c r="BE426" s="7">
        <v>0</v>
      </c>
      <c r="BF426" s="7">
        <v>0</v>
      </c>
      <c r="BG426" s="7">
        <v>0</v>
      </c>
      <c r="BH426" s="7">
        <v>0</v>
      </c>
      <c r="BI426" s="7">
        <v>0</v>
      </c>
      <c r="BJ426" s="7">
        <v>0</v>
      </c>
      <c r="BK426" s="7">
        <v>0</v>
      </c>
      <c r="BL426" s="7">
        <v>0</v>
      </c>
      <c r="BM426" s="10">
        <v>3600</v>
      </c>
      <c r="BN426" s="16">
        <f t="shared" si="15"/>
        <v>3600</v>
      </c>
      <c r="BO426" s="14">
        <f t="shared" si="16"/>
        <v>2520</v>
      </c>
    </row>
    <row r="427" spans="1:67" x14ac:dyDescent="0.3">
      <c r="A427" s="5" t="s">
        <v>522</v>
      </c>
      <c r="B427" s="5" t="s">
        <v>289</v>
      </c>
      <c r="C427" s="5">
        <v>353788</v>
      </c>
      <c r="D427" s="6"/>
      <c r="E427" s="5" t="s">
        <v>32</v>
      </c>
      <c r="F427" s="5" t="s">
        <v>231</v>
      </c>
      <c r="G427" s="5" t="s">
        <v>52</v>
      </c>
      <c r="H427" s="7" t="s">
        <v>8</v>
      </c>
      <c r="I427" s="7" t="s">
        <v>290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7">
        <v>2</v>
      </c>
      <c r="U427" s="7">
        <v>0</v>
      </c>
      <c r="V427" s="7">
        <v>0</v>
      </c>
      <c r="W427" s="7">
        <v>0</v>
      </c>
      <c r="X427" s="7">
        <v>0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7">
        <v>0</v>
      </c>
      <c r="AK427" s="7">
        <v>35</v>
      </c>
      <c r="AL427" s="7">
        <v>0</v>
      </c>
      <c r="AM427" s="8">
        <v>3500</v>
      </c>
      <c r="AN427" s="7">
        <v>0</v>
      </c>
      <c r="AO427" s="7">
        <v>0</v>
      </c>
      <c r="AP427" s="7">
        <v>0</v>
      </c>
      <c r="AQ427" s="7">
        <v>0</v>
      </c>
      <c r="AR427" s="7">
        <v>0</v>
      </c>
      <c r="AS427" s="7">
        <v>0</v>
      </c>
      <c r="AT427" s="7">
        <v>0</v>
      </c>
      <c r="AU427" s="7">
        <v>0</v>
      </c>
      <c r="AV427" s="7">
        <v>0</v>
      </c>
      <c r="AW427" s="7">
        <v>0</v>
      </c>
      <c r="AX427" s="7">
        <v>0</v>
      </c>
      <c r="AY427" s="7">
        <v>0</v>
      </c>
      <c r="AZ427" s="7">
        <v>0</v>
      </c>
      <c r="BA427" s="7">
        <v>0</v>
      </c>
      <c r="BB427" s="7">
        <v>0</v>
      </c>
      <c r="BC427" s="7">
        <v>0</v>
      </c>
      <c r="BD427" s="7">
        <v>0</v>
      </c>
      <c r="BE427" s="7">
        <v>0</v>
      </c>
      <c r="BF427" s="7">
        <v>0</v>
      </c>
      <c r="BG427" s="7">
        <v>0</v>
      </c>
      <c r="BH427" s="7">
        <v>0</v>
      </c>
      <c r="BI427" s="7">
        <v>0</v>
      </c>
      <c r="BJ427" s="7">
        <v>0</v>
      </c>
      <c r="BK427" s="7">
        <v>0</v>
      </c>
      <c r="BL427" s="7">
        <v>0</v>
      </c>
      <c r="BM427" s="10">
        <v>3500</v>
      </c>
      <c r="BN427" s="16">
        <f t="shared" si="15"/>
        <v>3500</v>
      </c>
      <c r="BO427" s="14">
        <f t="shared" si="16"/>
        <v>2450</v>
      </c>
    </row>
    <row r="428" spans="1:67" x14ac:dyDescent="0.3">
      <c r="A428" s="5" t="s">
        <v>542</v>
      </c>
      <c r="B428" s="5" t="s">
        <v>349</v>
      </c>
      <c r="C428" s="5">
        <v>418302</v>
      </c>
      <c r="D428" s="6"/>
      <c r="E428" s="5" t="s">
        <v>32</v>
      </c>
      <c r="F428" s="5" t="s">
        <v>51</v>
      </c>
      <c r="G428" s="5" t="s">
        <v>52</v>
      </c>
      <c r="H428" s="7" t="s">
        <v>340</v>
      </c>
      <c r="I428" s="7" t="s">
        <v>53</v>
      </c>
      <c r="J428" s="7">
        <v>0</v>
      </c>
      <c r="K428" s="7">
        <v>0</v>
      </c>
      <c r="L428" s="7">
        <v>0</v>
      </c>
      <c r="M428" s="7">
        <v>0</v>
      </c>
      <c r="N428" s="7">
        <v>0</v>
      </c>
      <c r="O428" s="7">
        <v>0</v>
      </c>
      <c r="P428" s="7">
        <v>0</v>
      </c>
      <c r="Q428" s="7">
        <v>0</v>
      </c>
      <c r="R428" s="7">
        <v>0</v>
      </c>
      <c r="S428" s="7">
        <v>0</v>
      </c>
      <c r="T428" s="7">
        <v>0</v>
      </c>
      <c r="U428" s="7">
        <v>0</v>
      </c>
      <c r="V428" s="7">
        <v>0</v>
      </c>
      <c r="W428" s="7">
        <v>0</v>
      </c>
      <c r="X428" s="7">
        <v>0</v>
      </c>
      <c r="Y428" s="7">
        <v>0</v>
      </c>
      <c r="Z428" s="7">
        <v>0</v>
      </c>
      <c r="AA428" s="7">
        <v>0</v>
      </c>
      <c r="AB428" s="7">
        <v>0</v>
      </c>
      <c r="AC428" s="7">
        <v>0</v>
      </c>
      <c r="AD428" s="7">
        <v>0</v>
      </c>
      <c r="AE428" s="7">
        <v>0</v>
      </c>
      <c r="AF428" s="7">
        <v>0</v>
      </c>
      <c r="AG428" s="7">
        <v>0</v>
      </c>
      <c r="AH428" s="7">
        <v>0</v>
      </c>
      <c r="AI428" s="7">
        <v>0</v>
      </c>
      <c r="AJ428" s="7">
        <v>0</v>
      </c>
      <c r="AK428" s="7">
        <v>0</v>
      </c>
      <c r="AL428" s="7">
        <v>0</v>
      </c>
      <c r="AM428" s="7">
        <v>0</v>
      </c>
      <c r="AN428" s="7">
        <v>0</v>
      </c>
      <c r="AO428" s="7">
        <v>0</v>
      </c>
      <c r="AP428" s="7">
        <v>0</v>
      </c>
      <c r="AQ428" s="7">
        <v>1</v>
      </c>
      <c r="AR428" s="8">
        <v>3300</v>
      </c>
      <c r="AS428" s="7">
        <v>200</v>
      </c>
      <c r="AT428" s="7">
        <v>0</v>
      </c>
      <c r="AU428" s="7">
        <v>0</v>
      </c>
      <c r="AV428" s="7">
        <v>0</v>
      </c>
      <c r="AW428" s="7">
        <v>0</v>
      </c>
      <c r="AX428" s="7">
        <v>0</v>
      </c>
      <c r="AY428" s="7">
        <v>0</v>
      </c>
      <c r="AZ428" s="7">
        <v>0</v>
      </c>
      <c r="BA428" s="7">
        <v>0</v>
      </c>
      <c r="BB428" s="7">
        <v>0</v>
      </c>
      <c r="BC428" s="7">
        <v>0</v>
      </c>
      <c r="BD428" s="7">
        <v>0</v>
      </c>
      <c r="BE428" s="7">
        <v>0</v>
      </c>
      <c r="BF428" s="7">
        <v>0</v>
      </c>
      <c r="BG428" s="7">
        <v>0</v>
      </c>
      <c r="BH428" s="7">
        <v>0</v>
      </c>
      <c r="BI428" s="7">
        <v>0</v>
      </c>
      <c r="BJ428" s="7">
        <v>0</v>
      </c>
      <c r="BK428" s="7">
        <v>0</v>
      </c>
      <c r="BL428" s="7">
        <v>0</v>
      </c>
      <c r="BM428" s="10">
        <v>3500</v>
      </c>
      <c r="BN428" s="16">
        <f t="shared" si="15"/>
        <v>3500</v>
      </c>
      <c r="BO428" s="14">
        <f t="shared" si="16"/>
        <v>2450</v>
      </c>
    </row>
    <row r="429" spans="1:67" x14ac:dyDescent="0.3">
      <c r="A429" s="5" t="s">
        <v>542</v>
      </c>
      <c r="B429" s="5" t="s">
        <v>341</v>
      </c>
      <c r="C429" s="5">
        <v>382325</v>
      </c>
      <c r="D429" s="6"/>
      <c r="E429" s="5" t="s">
        <v>32</v>
      </c>
      <c r="F429" s="5" t="s">
        <v>51</v>
      </c>
      <c r="G429" s="5" t="s">
        <v>52</v>
      </c>
      <c r="H429" s="7" t="s">
        <v>8</v>
      </c>
      <c r="I429" s="7" t="s">
        <v>342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7">
        <v>0</v>
      </c>
      <c r="U429" s="7">
        <v>0</v>
      </c>
      <c r="V429" s="7">
        <v>0</v>
      </c>
      <c r="W429" s="7">
        <v>0</v>
      </c>
      <c r="X429" s="7">
        <v>0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35</v>
      </c>
      <c r="AF429" s="8">
        <v>3500</v>
      </c>
      <c r="AG429" s="7">
        <v>0</v>
      </c>
      <c r="AH429" s="7">
        <v>0</v>
      </c>
      <c r="AI429" s="7">
        <v>0</v>
      </c>
      <c r="AJ429" s="7">
        <v>0</v>
      </c>
      <c r="AK429" s="7">
        <v>0</v>
      </c>
      <c r="AL429" s="7">
        <v>0</v>
      </c>
      <c r="AM429" s="7">
        <v>0</v>
      </c>
      <c r="AN429" s="7">
        <v>0</v>
      </c>
      <c r="AO429" s="7">
        <v>0</v>
      </c>
      <c r="AP429" s="7">
        <v>0</v>
      </c>
      <c r="AQ429" s="7">
        <v>0</v>
      </c>
      <c r="AR429" s="7">
        <v>0</v>
      </c>
      <c r="AS429" s="7">
        <v>0</v>
      </c>
      <c r="AT429" s="7">
        <v>0</v>
      </c>
      <c r="AU429" s="7">
        <v>0</v>
      </c>
      <c r="AV429" s="7">
        <v>0</v>
      </c>
      <c r="AW429" s="7">
        <v>0</v>
      </c>
      <c r="AX429" s="7">
        <v>0</v>
      </c>
      <c r="AY429" s="7">
        <v>0</v>
      </c>
      <c r="AZ429" s="7">
        <v>0</v>
      </c>
      <c r="BA429" s="7">
        <v>0</v>
      </c>
      <c r="BB429" s="7">
        <v>0</v>
      </c>
      <c r="BC429" s="7">
        <v>0</v>
      </c>
      <c r="BD429" s="7">
        <v>0</v>
      </c>
      <c r="BE429" s="7">
        <v>0</v>
      </c>
      <c r="BF429" s="7">
        <v>0</v>
      </c>
      <c r="BG429" s="7">
        <v>0</v>
      </c>
      <c r="BH429" s="7">
        <v>0</v>
      </c>
      <c r="BI429" s="7">
        <v>0</v>
      </c>
      <c r="BJ429" s="7">
        <v>0</v>
      </c>
      <c r="BK429" s="7">
        <v>0</v>
      </c>
      <c r="BL429" s="7">
        <v>0</v>
      </c>
      <c r="BM429" s="10">
        <v>3500</v>
      </c>
      <c r="BN429" s="16">
        <f t="shared" si="15"/>
        <v>3500</v>
      </c>
      <c r="BO429" s="14">
        <f t="shared" si="16"/>
        <v>2450</v>
      </c>
    </row>
    <row r="430" spans="1:67" x14ac:dyDescent="0.3">
      <c r="A430" s="5" t="s">
        <v>542</v>
      </c>
      <c r="B430" s="5" t="s">
        <v>466</v>
      </c>
      <c r="C430" s="5">
        <v>444215</v>
      </c>
      <c r="D430" s="6"/>
      <c r="E430" s="5" t="s">
        <v>32</v>
      </c>
      <c r="F430" s="5" t="s">
        <v>249</v>
      </c>
      <c r="G430" s="5" t="s">
        <v>52</v>
      </c>
      <c r="H430" s="7" t="s">
        <v>340</v>
      </c>
      <c r="I430" s="7" t="s">
        <v>467</v>
      </c>
      <c r="J430" s="7">
        <v>0</v>
      </c>
      <c r="K430" s="7">
        <v>0</v>
      </c>
      <c r="L430" s="7">
        <v>0</v>
      </c>
      <c r="M430" s="7">
        <v>0</v>
      </c>
      <c r="N430" s="7">
        <v>0</v>
      </c>
      <c r="O430" s="7">
        <v>0</v>
      </c>
      <c r="P430" s="7">
        <v>0</v>
      </c>
      <c r="Q430" s="7">
        <v>0</v>
      </c>
      <c r="R430" s="7">
        <v>0</v>
      </c>
      <c r="S430" s="7">
        <v>0</v>
      </c>
      <c r="T430" s="7">
        <v>0</v>
      </c>
      <c r="U430" s="7">
        <v>0</v>
      </c>
      <c r="V430" s="7">
        <v>0</v>
      </c>
      <c r="W430" s="7">
        <v>0</v>
      </c>
      <c r="X430" s="7">
        <v>0</v>
      </c>
      <c r="Y430" s="7">
        <v>0</v>
      </c>
      <c r="Z430" s="7">
        <v>0</v>
      </c>
      <c r="AA430" s="7">
        <v>0</v>
      </c>
      <c r="AB430" s="7">
        <v>0</v>
      </c>
      <c r="AC430" s="7">
        <v>0</v>
      </c>
      <c r="AD430" s="7">
        <v>0</v>
      </c>
      <c r="AE430" s="7">
        <v>1</v>
      </c>
      <c r="AF430" s="8">
        <v>3400</v>
      </c>
      <c r="AG430" s="7">
        <v>0</v>
      </c>
      <c r="AH430" s="7">
        <v>0</v>
      </c>
      <c r="AI430" s="7">
        <v>0</v>
      </c>
      <c r="AJ430" s="7">
        <v>0</v>
      </c>
      <c r="AK430" s="7">
        <v>0</v>
      </c>
      <c r="AL430" s="7">
        <v>0</v>
      </c>
      <c r="AM430" s="7">
        <v>0</v>
      </c>
      <c r="AN430" s="7">
        <v>0</v>
      </c>
      <c r="AO430" s="7">
        <v>0</v>
      </c>
      <c r="AP430" s="7">
        <v>0</v>
      </c>
      <c r="AQ430" s="7">
        <v>0</v>
      </c>
      <c r="AR430" s="7">
        <v>0</v>
      </c>
      <c r="AS430" s="7">
        <v>0</v>
      </c>
      <c r="AT430" s="7">
        <v>0</v>
      </c>
      <c r="AU430" s="7">
        <v>0</v>
      </c>
      <c r="AV430" s="7">
        <v>0</v>
      </c>
      <c r="AW430" s="7">
        <v>0</v>
      </c>
      <c r="AX430" s="7">
        <v>0</v>
      </c>
      <c r="AY430" s="7">
        <v>0</v>
      </c>
      <c r="AZ430" s="7">
        <v>0</v>
      </c>
      <c r="BA430" s="7">
        <v>0</v>
      </c>
      <c r="BB430" s="7">
        <v>0</v>
      </c>
      <c r="BC430" s="7">
        <v>0</v>
      </c>
      <c r="BD430" s="7">
        <v>0</v>
      </c>
      <c r="BE430" s="7">
        <v>0</v>
      </c>
      <c r="BF430" s="7">
        <v>0</v>
      </c>
      <c r="BG430" s="7">
        <v>0</v>
      </c>
      <c r="BH430" s="7">
        <v>0</v>
      </c>
      <c r="BI430" s="7">
        <v>0</v>
      </c>
      <c r="BJ430" s="7">
        <v>0</v>
      </c>
      <c r="BK430" s="7">
        <v>0</v>
      </c>
      <c r="BL430" s="7">
        <v>0</v>
      </c>
      <c r="BM430" s="10">
        <v>3400</v>
      </c>
      <c r="BN430" s="16">
        <f t="shared" si="15"/>
        <v>3400</v>
      </c>
      <c r="BO430" s="14">
        <f t="shared" si="16"/>
        <v>2380</v>
      </c>
    </row>
    <row r="431" spans="1:67" x14ac:dyDescent="0.3">
      <c r="A431" s="5" t="s">
        <v>522</v>
      </c>
      <c r="B431" s="5" t="s">
        <v>345</v>
      </c>
      <c r="C431" s="5">
        <v>363413</v>
      </c>
      <c r="D431" s="6"/>
      <c r="E431" s="5" t="s">
        <v>32</v>
      </c>
      <c r="F431" s="5" t="s">
        <v>126</v>
      </c>
      <c r="G431" s="5" t="s">
        <v>52</v>
      </c>
      <c r="H431" s="7" t="s">
        <v>8</v>
      </c>
      <c r="I431" s="7" t="s">
        <v>346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7">
        <v>0</v>
      </c>
      <c r="U431" s="7">
        <v>0</v>
      </c>
      <c r="V431" s="7">
        <v>0</v>
      </c>
      <c r="W431" s="7">
        <v>0</v>
      </c>
      <c r="X431" s="7">
        <v>0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27</v>
      </c>
      <c r="AF431" s="8">
        <v>2700</v>
      </c>
      <c r="AG431" s="7">
        <v>0</v>
      </c>
      <c r="AH431" s="7">
        <v>0</v>
      </c>
      <c r="AI431" s="7">
        <v>0</v>
      </c>
      <c r="AJ431" s="7">
        <v>0</v>
      </c>
      <c r="AK431" s="7">
        <v>6</v>
      </c>
      <c r="AL431" s="7">
        <v>480</v>
      </c>
      <c r="AM431" s="7">
        <v>200</v>
      </c>
      <c r="AN431" s="7">
        <v>0</v>
      </c>
      <c r="AO431" s="7">
        <v>0</v>
      </c>
      <c r="AP431" s="7">
        <v>0</v>
      </c>
      <c r="AQ431" s="7">
        <v>0</v>
      </c>
      <c r="AR431" s="7">
        <v>0</v>
      </c>
      <c r="AS431" s="7">
        <v>0</v>
      </c>
      <c r="AT431" s="7">
        <v>0</v>
      </c>
      <c r="AU431" s="7">
        <v>0</v>
      </c>
      <c r="AV431" s="7">
        <v>0</v>
      </c>
      <c r="AW431" s="7">
        <v>0</v>
      </c>
      <c r="AX431" s="7">
        <v>0</v>
      </c>
      <c r="AY431" s="7">
        <v>0</v>
      </c>
      <c r="AZ431" s="7">
        <v>0</v>
      </c>
      <c r="BA431" s="7">
        <v>0</v>
      </c>
      <c r="BB431" s="7">
        <v>0</v>
      </c>
      <c r="BC431" s="7">
        <v>0</v>
      </c>
      <c r="BD431" s="7">
        <v>0</v>
      </c>
      <c r="BE431" s="7">
        <v>0</v>
      </c>
      <c r="BF431" s="7">
        <v>0</v>
      </c>
      <c r="BG431" s="7">
        <v>0</v>
      </c>
      <c r="BH431" s="7">
        <v>0</v>
      </c>
      <c r="BI431" s="7">
        <v>0</v>
      </c>
      <c r="BJ431" s="7">
        <v>0</v>
      </c>
      <c r="BK431" s="7">
        <v>0</v>
      </c>
      <c r="BL431" s="7">
        <v>144</v>
      </c>
      <c r="BM431" s="10">
        <v>3380</v>
      </c>
      <c r="BN431" s="16">
        <f t="shared" si="15"/>
        <v>3236</v>
      </c>
      <c r="BO431" s="14">
        <f t="shared" si="16"/>
        <v>2265.1999999999998</v>
      </c>
    </row>
    <row r="432" spans="1:67" x14ac:dyDescent="0.3">
      <c r="A432" s="5" t="s">
        <v>542</v>
      </c>
      <c r="B432" s="5" t="s">
        <v>531</v>
      </c>
      <c r="C432" s="5">
        <v>387972</v>
      </c>
      <c r="D432" s="6"/>
      <c r="E432" s="5" t="s">
        <v>32</v>
      </c>
      <c r="F432" s="5" t="s">
        <v>51</v>
      </c>
      <c r="G432" s="5" t="s">
        <v>52</v>
      </c>
      <c r="H432" s="7" t="s">
        <v>340</v>
      </c>
      <c r="I432" s="7" t="s">
        <v>166</v>
      </c>
      <c r="J432" s="7">
        <v>0</v>
      </c>
      <c r="K432" s="7">
        <v>0</v>
      </c>
      <c r="L432" s="7">
        <v>0</v>
      </c>
      <c r="M432" s="7">
        <v>0</v>
      </c>
      <c r="N432" s="7">
        <v>0</v>
      </c>
      <c r="O432" s="7">
        <v>0</v>
      </c>
      <c r="P432" s="7">
        <v>0</v>
      </c>
      <c r="Q432" s="7">
        <v>0</v>
      </c>
      <c r="R432" s="7">
        <v>0</v>
      </c>
      <c r="S432" s="7">
        <v>0</v>
      </c>
      <c r="T432" s="7">
        <v>0</v>
      </c>
      <c r="U432" s="7">
        <v>0</v>
      </c>
      <c r="V432" s="7">
        <v>0</v>
      </c>
      <c r="W432" s="7">
        <v>0</v>
      </c>
      <c r="X432" s="7">
        <v>0</v>
      </c>
      <c r="Y432" s="7">
        <v>0</v>
      </c>
      <c r="Z432" s="7">
        <v>0</v>
      </c>
      <c r="AA432" s="7">
        <v>0</v>
      </c>
      <c r="AB432" s="7">
        <v>0</v>
      </c>
      <c r="AC432" s="7">
        <v>0</v>
      </c>
      <c r="AD432" s="7">
        <v>0</v>
      </c>
      <c r="AE432" s="7">
        <v>1</v>
      </c>
      <c r="AF432" s="8">
        <v>1800</v>
      </c>
      <c r="AG432" s="7">
        <v>500</v>
      </c>
      <c r="AH432" s="7">
        <v>0</v>
      </c>
      <c r="AI432" s="7">
        <v>0</v>
      </c>
      <c r="AJ432" s="7">
        <v>0</v>
      </c>
      <c r="AK432" s="7">
        <v>1</v>
      </c>
      <c r="AL432" s="7">
        <v>0</v>
      </c>
      <c r="AM432" s="7">
        <v>900</v>
      </c>
      <c r="AN432" s="7">
        <v>0</v>
      </c>
      <c r="AO432" s="7">
        <v>0</v>
      </c>
      <c r="AP432" s="7">
        <v>0</v>
      </c>
      <c r="AQ432" s="7">
        <v>0</v>
      </c>
      <c r="AR432" s="7">
        <v>0</v>
      </c>
      <c r="AS432" s="7">
        <v>0</v>
      </c>
      <c r="AT432" s="7">
        <v>0</v>
      </c>
      <c r="AU432" s="7">
        <v>0</v>
      </c>
      <c r="AV432" s="7">
        <v>0</v>
      </c>
      <c r="AW432" s="7">
        <v>0</v>
      </c>
      <c r="AX432" s="7">
        <v>0</v>
      </c>
      <c r="AY432" s="7">
        <v>0</v>
      </c>
      <c r="AZ432" s="7">
        <v>0</v>
      </c>
      <c r="BA432" s="7">
        <v>0</v>
      </c>
      <c r="BB432" s="7">
        <v>0</v>
      </c>
      <c r="BC432" s="7">
        <v>0</v>
      </c>
      <c r="BD432" s="7">
        <v>0</v>
      </c>
      <c r="BE432" s="7">
        <v>0</v>
      </c>
      <c r="BF432" s="7">
        <v>0</v>
      </c>
      <c r="BG432" s="7">
        <v>0</v>
      </c>
      <c r="BH432" s="7">
        <v>0</v>
      </c>
      <c r="BI432" s="7">
        <v>0</v>
      </c>
      <c r="BJ432" s="7">
        <v>0</v>
      </c>
      <c r="BK432" s="7">
        <v>0</v>
      </c>
      <c r="BL432" s="7">
        <v>0</v>
      </c>
      <c r="BM432" s="10">
        <v>3200</v>
      </c>
      <c r="BN432" s="16">
        <f t="shared" si="15"/>
        <v>3200</v>
      </c>
      <c r="BO432" s="14">
        <f t="shared" si="16"/>
        <v>2240</v>
      </c>
    </row>
    <row r="433" spans="1:67" x14ac:dyDescent="0.3">
      <c r="A433" s="5" t="s">
        <v>522</v>
      </c>
      <c r="B433" s="5" t="s">
        <v>240</v>
      </c>
      <c r="C433" s="5">
        <v>410076</v>
      </c>
      <c r="D433" s="6"/>
      <c r="E433" s="5" t="s">
        <v>32</v>
      </c>
      <c r="F433" s="5" t="s">
        <v>87</v>
      </c>
      <c r="G433" s="5" t="s">
        <v>11</v>
      </c>
      <c r="H433" s="7" t="s">
        <v>7</v>
      </c>
      <c r="I433" s="7" t="s">
        <v>241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7">
        <v>0</v>
      </c>
      <c r="U433" s="7">
        <v>0</v>
      </c>
      <c r="V433" s="7">
        <v>0</v>
      </c>
      <c r="W433" s="7">
        <v>0</v>
      </c>
      <c r="X433" s="7">
        <v>0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1</v>
      </c>
      <c r="AF433" s="7">
        <v>0</v>
      </c>
      <c r="AG433" s="8">
        <v>1800</v>
      </c>
      <c r="AH433" s="7">
        <v>0</v>
      </c>
      <c r="AI433" s="7">
        <v>0</v>
      </c>
      <c r="AJ433" s="7">
        <v>0</v>
      </c>
      <c r="AK433" s="7">
        <v>1</v>
      </c>
      <c r="AL433" s="7">
        <v>0</v>
      </c>
      <c r="AM433" s="8">
        <v>1200</v>
      </c>
      <c r="AN433" s="7">
        <v>0</v>
      </c>
      <c r="AO433" s="7">
        <v>0</v>
      </c>
      <c r="AP433" s="7">
        <v>0</v>
      </c>
      <c r="AQ433" s="7">
        <v>1</v>
      </c>
      <c r="AR433" s="7">
        <v>0</v>
      </c>
      <c r="AS433" s="7">
        <v>200</v>
      </c>
      <c r="AT433" s="7">
        <v>0</v>
      </c>
      <c r="AU433" s="7">
        <v>0</v>
      </c>
      <c r="AV433" s="7">
        <v>0</v>
      </c>
      <c r="AW433" s="7">
        <v>0</v>
      </c>
      <c r="AX433" s="7">
        <v>0</v>
      </c>
      <c r="AY433" s="7">
        <v>0</v>
      </c>
      <c r="AZ433" s="7">
        <v>0</v>
      </c>
      <c r="BA433" s="7">
        <v>0</v>
      </c>
      <c r="BB433" s="7">
        <v>0</v>
      </c>
      <c r="BC433" s="7">
        <v>0</v>
      </c>
      <c r="BD433" s="7">
        <v>0</v>
      </c>
      <c r="BE433" s="7">
        <v>0</v>
      </c>
      <c r="BF433" s="7">
        <v>0</v>
      </c>
      <c r="BG433" s="7">
        <v>0</v>
      </c>
      <c r="BH433" s="7">
        <v>0</v>
      </c>
      <c r="BI433" s="7">
        <v>0</v>
      </c>
      <c r="BJ433" s="7">
        <v>0</v>
      </c>
      <c r="BK433" s="7">
        <v>0</v>
      </c>
      <c r="BL433" s="7">
        <v>0</v>
      </c>
      <c r="BM433" s="10">
        <v>3200</v>
      </c>
      <c r="BN433" s="16">
        <f t="shared" si="15"/>
        <v>3200</v>
      </c>
      <c r="BO433" s="14">
        <f t="shared" si="16"/>
        <v>2240</v>
      </c>
    </row>
    <row r="434" spans="1:67" x14ac:dyDescent="0.3">
      <c r="A434" s="5" t="s">
        <v>542</v>
      </c>
      <c r="B434" s="5" t="s">
        <v>123</v>
      </c>
      <c r="C434" s="5">
        <v>394830</v>
      </c>
      <c r="D434" s="6"/>
      <c r="E434" s="5" t="s">
        <v>32</v>
      </c>
      <c r="F434" s="5" t="s">
        <v>60</v>
      </c>
      <c r="G434" s="5" t="s">
        <v>52</v>
      </c>
      <c r="H434" s="7" t="s">
        <v>8</v>
      </c>
      <c r="I434" s="7" t="s">
        <v>124</v>
      </c>
      <c r="J434" s="7">
        <v>0</v>
      </c>
      <c r="K434" s="7">
        <v>0</v>
      </c>
      <c r="L434" s="7">
        <v>0</v>
      </c>
      <c r="M434" s="7">
        <v>0</v>
      </c>
      <c r="N434" s="7">
        <v>0</v>
      </c>
      <c r="O434" s="7">
        <v>0</v>
      </c>
      <c r="P434" s="7">
        <v>0</v>
      </c>
      <c r="Q434" s="7">
        <v>0</v>
      </c>
      <c r="R434" s="7">
        <v>0</v>
      </c>
      <c r="S434" s="7">
        <v>0</v>
      </c>
      <c r="T434" s="7">
        <v>0</v>
      </c>
      <c r="U434" s="7">
        <v>0</v>
      </c>
      <c r="V434" s="7">
        <v>0</v>
      </c>
      <c r="W434" s="7">
        <v>0</v>
      </c>
      <c r="X434" s="7">
        <v>0</v>
      </c>
      <c r="Y434" s="7">
        <v>0</v>
      </c>
      <c r="Z434" s="7">
        <v>0</v>
      </c>
      <c r="AA434" s="7">
        <v>0</v>
      </c>
      <c r="AB434" s="7">
        <v>0</v>
      </c>
      <c r="AC434" s="7">
        <v>0</v>
      </c>
      <c r="AD434" s="7">
        <v>0</v>
      </c>
      <c r="AE434" s="7">
        <v>25</v>
      </c>
      <c r="AF434" s="8">
        <v>2500</v>
      </c>
      <c r="AG434" s="7">
        <v>0</v>
      </c>
      <c r="AH434" s="7">
        <v>0</v>
      </c>
      <c r="AI434" s="7">
        <v>0</v>
      </c>
      <c r="AJ434" s="7">
        <v>0</v>
      </c>
      <c r="AK434" s="7">
        <v>3</v>
      </c>
      <c r="AL434" s="7">
        <v>360</v>
      </c>
      <c r="AM434" s="7">
        <v>0</v>
      </c>
      <c r="AN434" s="7">
        <v>0</v>
      </c>
      <c r="AO434" s="7">
        <v>0</v>
      </c>
      <c r="AP434" s="7">
        <v>0</v>
      </c>
      <c r="AQ434" s="7">
        <v>0</v>
      </c>
      <c r="AR434" s="7">
        <v>0</v>
      </c>
      <c r="AS434" s="7">
        <v>0</v>
      </c>
      <c r="AT434" s="7">
        <v>0</v>
      </c>
      <c r="AU434" s="7">
        <v>0</v>
      </c>
      <c r="AV434" s="7">
        <v>0</v>
      </c>
      <c r="AW434" s="7">
        <v>0</v>
      </c>
      <c r="AX434" s="7">
        <v>0</v>
      </c>
      <c r="AY434" s="7">
        <v>0</v>
      </c>
      <c r="AZ434" s="7">
        <v>0</v>
      </c>
      <c r="BA434" s="7">
        <v>0</v>
      </c>
      <c r="BB434" s="7">
        <v>0</v>
      </c>
      <c r="BC434" s="7">
        <v>0</v>
      </c>
      <c r="BD434" s="7">
        <v>0</v>
      </c>
      <c r="BE434" s="7">
        <v>0</v>
      </c>
      <c r="BF434" s="7">
        <v>0</v>
      </c>
      <c r="BG434" s="7">
        <v>0</v>
      </c>
      <c r="BH434" s="7">
        <v>0</v>
      </c>
      <c r="BI434" s="7">
        <v>0</v>
      </c>
      <c r="BJ434" s="7">
        <v>0</v>
      </c>
      <c r="BK434" s="7">
        <v>0</v>
      </c>
      <c r="BL434" s="7">
        <v>108</v>
      </c>
      <c r="BM434" s="10">
        <v>2860</v>
      </c>
      <c r="BN434" s="16">
        <f t="shared" si="15"/>
        <v>2752</v>
      </c>
      <c r="BO434" s="14">
        <f t="shared" si="16"/>
        <v>1926.3999999999999</v>
      </c>
    </row>
    <row r="435" spans="1:67" x14ac:dyDescent="0.3">
      <c r="A435" s="5" t="s">
        <v>522</v>
      </c>
      <c r="B435" s="5" t="s">
        <v>269</v>
      </c>
      <c r="C435" s="5">
        <v>356295</v>
      </c>
      <c r="D435" s="6"/>
      <c r="E435" s="5" t="s">
        <v>32</v>
      </c>
      <c r="F435" s="5" t="s">
        <v>60</v>
      </c>
      <c r="G435" s="5" t="s">
        <v>52</v>
      </c>
      <c r="H435" s="7" t="s">
        <v>8</v>
      </c>
      <c r="I435" s="7" t="s">
        <v>229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7">
        <v>0</v>
      </c>
      <c r="U435" s="7">
        <v>0</v>
      </c>
      <c r="V435" s="7">
        <v>0</v>
      </c>
      <c r="W435" s="7">
        <v>0</v>
      </c>
      <c r="X435" s="7">
        <v>0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25</v>
      </c>
      <c r="AF435" s="8">
        <v>2500</v>
      </c>
      <c r="AG435" s="7">
        <v>0</v>
      </c>
      <c r="AH435" s="7">
        <v>0</v>
      </c>
      <c r="AI435" s="7">
        <v>0</v>
      </c>
      <c r="AJ435" s="7">
        <v>0</v>
      </c>
      <c r="AK435" s="7">
        <v>3</v>
      </c>
      <c r="AL435" s="7">
        <v>120</v>
      </c>
      <c r="AM435" s="7">
        <v>200</v>
      </c>
      <c r="AN435" s="7">
        <v>0</v>
      </c>
      <c r="AO435" s="7">
        <v>0</v>
      </c>
      <c r="AP435" s="7">
        <v>0</v>
      </c>
      <c r="AQ435" s="7">
        <v>0</v>
      </c>
      <c r="AR435" s="7">
        <v>0</v>
      </c>
      <c r="AS435" s="7">
        <v>0</v>
      </c>
      <c r="AT435" s="7">
        <v>0</v>
      </c>
      <c r="AU435" s="7">
        <v>0</v>
      </c>
      <c r="AV435" s="7">
        <v>0</v>
      </c>
      <c r="AW435" s="7">
        <v>0</v>
      </c>
      <c r="AX435" s="7">
        <v>0</v>
      </c>
      <c r="AY435" s="7">
        <v>0</v>
      </c>
      <c r="AZ435" s="7">
        <v>0</v>
      </c>
      <c r="BA435" s="7">
        <v>0</v>
      </c>
      <c r="BB435" s="7">
        <v>0</v>
      </c>
      <c r="BC435" s="7">
        <v>0</v>
      </c>
      <c r="BD435" s="7">
        <v>0</v>
      </c>
      <c r="BE435" s="7">
        <v>0</v>
      </c>
      <c r="BF435" s="7">
        <v>0</v>
      </c>
      <c r="BG435" s="7">
        <v>0</v>
      </c>
      <c r="BH435" s="7">
        <v>0</v>
      </c>
      <c r="BI435" s="7">
        <v>0</v>
      </c>
      <c r="BJ435" s="7">
        <v>0</v>
      </c>
      <c r="BK435" s="7">
        <v>0</v>
      </c>
      <c r="BL435" s="7">
        <v>36</v>
      </c>
      <c r="BM435" s="10">
        <v>2820</v>
      </c>
      <c r="BN435" s="16">
        <f t="shared" si="15"/>
        <v>2784</v>
      </c>
      <c r="BO435" s="14">
        <f t="shared" si="16"/>
        <v>1948.8</v>
      </c>
    </row>
    <row r="436" spans="1:67" x14ac:dyDescent="0.3">
      <c r="A436" s="5" t="s">
        <v>522</v>
      </c>
      <c r="B436" s="5" t="s">
        <v>532</v>
      </c>
      <c r="C436" s="5">
        <v>299970</v>
      </c>
      <c r="D436" s="6"/>
      <c r="E436" s="5" t="s">
        <v>32</v>
      </c>
      <c r="F436" s="5" t="s">
        <v>380</v>
      </c>
      <c r="G436" s="5" t="s">
        <v>11</v>
      </c>
      <c r="H436" s="7" t="s">
        <v>7</v>
      </c>
      <c r="I436" s="7" t="s">
        <v>533</v>
      </c>
      <c r="J436" s="7">
        <v>0</v>
      </c>
      <c r="K436" s="7">
        <v>0</v>
      </c>
      <c r="L436" s="7">
        <v>0</v>
      </c>
      <c r="M436" s="7">
        <v>0</v>
      </c>
      <c r="N436" s="7">
        <v>0</v>
      </c>
      <c r="O436" s="7">
        <v>0</v>
      </c>
      <c r="P436" s="7">
        <v>0</v>
      </c>
      <c r="Q436" s="7">
        <v>0</v>
      </c>
      <c r="R436" s="7">
        <v>0</v>
      </c>
      <c r="S436" s="7">
        <v>0</v>
      </c>
      <c r="T436" s="7">
        <v>0</v>
      </c>
      <c r="U436" s="7">
        <v>0</v>
      </c>
      <c r="V436" s="7">
        <v>0</v>
      </c>
      <c r="W436" s="7">
        <v>0</v>
      </c>
      <c r="X436" s="7">
        <v>0</v>
      </c>
      <c r="Y436" s="7">
        <v>0</v>
      </c>
      <c r="Z436" s="7">
        <v>0</v>
      </c>
      <c r="AA436" s="7">
        <v>0</v>
      </c>
      <c r="AB436" s="7">
        <v>0</v>
      </c>
      <c r="AC436" s="7">
        <v>0</v>
      </c>
      <c r="AD436" s="7">
        <v>0</v>
      </c>
      <c r="AE436" s="7">
        <v>0</v>
      </c>
      <c r="AF436" s="7">
        <v>0</v>
      </c>
      <c r="AG436" s="7">
        <v>0</v>
      </c>
      <c r="AH436" s="7">
        <v>3</v>
      </c>
      <c r="AI436" s="7">
        <v>0</v>
      </c>
      <c r="AJ436" s="8">
        <v>2700</v>
      </c>
      <c r="AK436" s="7">
        <v>0</v>
      </c>
      <c r="AL436" s="7">
        <v>0</v>
      </c>
      <c r="AM436" s="7">
        <v>0</v>
      </c>
      <c r="AN436" s="7">
        <v>0</v>
      </c>
      <c r="AO436" s="7">
        <v>0</v>
      </c>
      <c r="AP436" s="7">
        <v>0</v>
      </c>
      <c r="AQ436" s="7">
        <v>0</v>
      </c>
      <c r="AR436" s="7">
        <v>0</v>
      </c>
      <c r="AS436" s="7">
        <v>0</v>
      </c>
      <c r="AT436" s="7">
        <v>0</v>
      </c>
      <c r="AU436" s="7">
        <v>0</v>
      </c>
      <c r="AV436" s="7">
        <v>0</v>
      </c>
      <c r="AW436" s="7">
        <v>0</v>
      </c>
      <c r="AX436" s="7">
        <v>0</v>
      </c>
      <c r="AY436" s="7">
        <v>0</v>
      </c>
      <c r="AZ436" s="7">
        <v>0</v>
      </c>
      <c r="BA436" s="7">
        <v>0</v>
      </c>
      <c r="BB436" s="7">
        <v>0</v>
      </c>
      <c r="BC436" s="7">
        <v>0</v>
      </c>
      <c r="BD436" s="7">
        <v>0</v>
      </c>
      <c r="BE436" s="7">
        <v>0</v>
      </c>
      <c r="BF436" s="7">
        <v>0</v>
      </c>
      <c r="BG436" s="7">
        <v>0</v>
      </c>
      <c r="BH436" s="7">
        <v>0</v>
      </c>
      <c r="BI436" s="7">
        <v>0</v>
      </c>
      <c r="BJ436" s="7">
        <v>0</v>
      </c>
      <c r="BK436" s="7">
        <v>0</v>
      </c>
      <c r="BL436" s="7">
        <v>0</v>
      </c>
      <c r="BM436" s="10">
        <v>2700</v>
      </c>
      <c r="BN436" s="16">
        <f t="shared" si="15"/>
        <v>2700</v>
      </c>
      <c r="BO436" s="14">
        <f t="shared" si="16"/>
        <v>1889.9999999999998</v>
      </c>
    </row>
    <row r="437" spans="1:67" x14ac:dyDescent="0.3">
      <c r="A437" s="5" t="s">
        <v>522</v>
      </c>
      <c r="B437" s="5" t="s">
        <v>330</v>
      </c>
      <c r="C437" s="5">
        <v>445862</v>
      </c>
      <c r="D437" s="6"/>
      <c r="E437" s="5" t="s">
        <v>32</v>
      </c>
      <c r="F437" s="5" t="s">
        <v>67</v>
      </c>
      <c r="G437" s="5" t="s">
        <v>52</v>
      </c>
      <c r="H437" s="7" t="s">
        <v>8</v>
      </c>
      <c r="I437" s="7" t="s">
        <v>218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7">
        <v>0</v>
      </c>
      <c r="U437" s="7">
        <v>0</v>
      </c>
      <c r="V437" s="7">
        <v>0</v>
      </c>
      <c r="W437" s="7">
        <v>0</v>
      </c>
      <c r="X437" s="7">
        <v>0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7">
        <v>0</v>
      </c>
      <c r="AK437" s="7">
        <v>1</v>
      </c>
      <c r="AL437" s="8">
        <v>2640</v>
      </c>
      <c r="AM437" s="7">
        <v>0</v>
      </c>
      <c r="AN437" s="7">
        <v>0</v>
      </c>
      <c r="AO437" s="7">
        <v>0</v>
      </c>
      <c r="AP437" s="7">
        <v>0</v>
      </c>
      <c r="AQ437" s="7">
        <v>0</v>
      </c>
      <c r="AR437" s="7">
        <v>0</v>
      </c>
      <c r="AS437" s="7">
        <v>0</v>
      </c>
      <c r="AT437" s="7">
        <v>0</v>
      </c>
      <c r="AU437" s="7">
        <v>0</v>
      </c>
      <c r="AV437" s="7">
        <v>0</v>
      </c>
      <c r="AW437" s="7">
        <v>0</v>
      </c>
      <c r="AX437" s="7">
        <v>0</v>
      </c>
      <c r="AY437" s="7">
        <v>0</v>
      </c>
      <c r="AZ437" s="7">
        <v>0</v>
      </c>
      <c r="BA437" s="7">
        <v>0</v>
      </c>
      <c r="BB437" s="7">
        <v>0</v>
      </c>
      <c r="BC437" s="7">
        <v>0</v>
      </c>
      <c r="BD437" s="7">
        <v>0</v>
      </c>
      <c r="BE437" s="7">
        <v>0</v>
      </c>
      <c r="BF437" s="7">
        <v>0</v>
      </c>
      <c r="BG437" s="7">
        <v>0</v>
      </c>
      <c r="BH437" s="7">
        <v>0</v>
      </c>
      <c r="BI437" s="7">
        <v>0</v>
      </c>
      <c r="BJ437" s="7">
        <v>0</v>
      </c>
      <c r="BK437" s="7">
        <v>0</v>
      </c>
      <c r="BL437" s="7">
        <v>792</v>
      </c>
      <c r="BM437" s="10">
        <v>2640</v>
      </c>
      <c r="BN437" s="16">
        <f t="shared" si="15"/>
        <v>1848</v>
      </c>
      <c r="BO437" s="14">
        <f t="shared" si="16"/>
        <v>1293.5999999999999</v>
      </c>
    </row>
    <row r="438" spans="1:67" x14ac:dyDescent="0.3">
      <c r="A438" s="5" t="s">
        <v>522</v>
      </c>
      <c r="B438" s="5" t="s">
        <v>184</v>
      </c>
      <c r="C438" s="5">
        <v>423577</v>
      </c>
      <c r="D438" s="6"/>
      <c r="E438" s="5" t="s">
        <v>32</v>
      </c>
      <c r="F438" s="5" t="s">
        <v>185</v>
      </c>
      <c r="G438" s="5" t="s">
        <v>52</v>
      </c>
      <c r="H438" s="7" t="s">
        <v>8</v>
      </c>
      <c r="I438" s="7" t="s">
        <v>186</v>
      </c>
      <c r="J438" s="7">
        <v>0</v>
      </c>
      <c r="K438" s="7">
        <v>0</v>
      </c>
      <c r="L438" s="7">
        <v>0</v>
      </c>
      <c r="M438" s="7">
        <v>0</v>
      </c>
      <c r="N438" s="7">
        <v>0</v>
      </c>
      <c r="O438" s="7">
        <v>0</v>
      </c>
      <c r="P438" s="7">
        <v>0</v>
      </c>
      <c r="Q438" s="7">
        <v>0</v>
      </c>
      <c r="R438" s="7">
        <v>0</v>
      </c>
      <c r="S438" s="7">
        <v>0</v>
      </c>
      <c r="T438" s="7">
        <v>0</v>
      </c>
      <c r="U438" s="7">
        <v>0</v>
      </c>
      <c r="V438" s="7">
        <v>0</v>
      </c>
      <c r="W438" s="7">
        <v>0</v>
      </c>
      <c r="X438" s="7">
        <v>0</v>
      </c>
      <c r="Y438" s="7">
        <v>0</v>
      </c>
      <c r="Z438" s="7">
        <v>0</v>
      </c>
      <c r="AA438" s="7">
        <v>0</v>
      </c>
      <c r="AB438" s="7">
        <v>0</v>
      </c>
      <c r="AC438" s="7">
        <v>0</v>
      </c>
      <c r="AD438" s="7">
        <v>0</v>
      </c>
      <c r="AE438" s="7">
        <v>0</v>
      </c>
      <c r="AF438" s="7">
        <v>0</v>
      </c>
      <c r="AG438" s="7">
        <v>0</v>
      </c>
      <c r="AH438" s="7">
        <v>0</v>
      </c>
      <c r="AI438" s="7">
        <v>0</v>
      </c>
      <c r="AJ438" s="7">
        <v>0</v>
      </c>
      <c r="AK438" s="7">
        <v>24</v>
      </c>
      <c r="AL438" s="7">
        <v>600</v>
      </c>
      <c r="AM438" s="8">
        <v>1900</v>
      </c>
      <c r="AN438" s="7">
        <v>0</v>
      </c>
      <c r="AO438" s="7">
        <v>0</v>
      </c>
      <c r="AP438" s="7">
        <v>0</v>
      </c>
      <c r="AQ438" s="7">
        <v>0</v>
      </c>
      <c r="AR438" s="7">
        <v>0</v>
      </c>
      <c r="AS438" s="7">
        <v>0</v>
      </c>
      <c r="AT438" s="7">
        <v>0</v>
      </c>
      <c r="AU438" s="7">
        <v>0</v>
      </c>
      <c r="AV438" s="7">
        <v>0</v>
      </c>
      <c r="AW438" s="7">
        <v>0</v>
      </c>
      <c r="AX438" s="7">
        <v>0</v>
      </c>
      <c r="AY438" s="7">
        <v>0</v>
      </c>
      <c r="AZ438" s="7">
        <v>0</v>
      </c>
      <c r="BA438" s="7">
        <v>0</v>
      </c>
      <c r="BB438" s="7">
        <v>0</v>
      </c>
      <c r="BC438" s="7">
        <v>0</v>
      </c>
      <c r="BD438" s="7">
        <v>0</v>
      </c>
      <c r="BE438" s="7">
        <v>0</v>
      </c>
      <c r="BF438" s="7">
        <v>0</v>
      </c>
      <c r="BG438" s="7">
        <v>0</v>
      </c>
      <c r="BH438" s="7">
        <v>0</v>
      </c>
      <c r="BI438" s="7">
        <v>0</v>
      </c>
      <c r="BJ438" s="7">
        <v>0</v>
      </c>
      <c r="BK438" s="7">
        <v>0</v>
      </c>
      <c r="BL438" s="7">
        <v>180</v>
      </c>
      <c r="BM438" s="10">
        <v>2500</v>
      </c>
      <c r="BN438" s="16">
        <f t="shared" si="15"/>
        <v>2320</v>
      </c>
      <c r="BO438" s="14">
        <f t="shared" si="16"/>
        <v>1624</v>
      </c>
    </row>
    <row r="439" spans="1:67" x14ac:dyDescent="0.3">
      <c r="A439" s="5" t="s">
        <v>522</v>
      </c>
      <c r="B439" s="5" t="s">
        <v>160</v>
      </c>
      <c r="C439" s="5">
        <v>337887</v>
      </c>
      <c r="D439" s="6"/>
      <c r="E439" s="5" t="s">
        <v>32</v>
      </c>
      <c r="F439" s="5" t="s">
        <v>156</v>
      </c>
      <c r="G439" s="5" t="s">
        <v>52</v>
      </c>
      <c r="H439" s="7" t="s">
        <v>8</v>
      </c>
      <c r="I439" s="7" t="s">
        <v>161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7">
        <v>0</v>
      </c>
      <c r="U439" s="7">
        <v>0</v>
      </c>
      <c r="V439" s="7">
        <v>0</v>
      </c>
      <c r="W439" s="7">
        <v>0</v>
      </c>
      <c r="X439" s="7">
        <v>0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21</v>
      </c>
      <c r="AF439" s="8">
        <v>2000</v>
      </c>
      <c r="AG439" s="7">
        <v>100</v>
      </c>
      <c r="AH439" s="7">
        <v>0</v>
      </c>
      <c r="AI439" s="7">
        <v>0</v>
      </c>
      <c r="AJ439" s="7">
        <v>0</v>
      </c>
      <c r="AK439" s="7">
        <v>1</v>
      </c>
      <c r="AL439" s="7">
        <v>0</v>
      </c>
      <c r="AM439" s="7">
        <v>100</v>
      </c>
      <c r="AN439" s="7">
        <v>0</v>
      </c>
      <c r="AO439" s="7">
        <v>0</v>
      </c>
      <c r="AP439" s="7">
        <v>0</v>
      </c>
      <c r="AQ439" s="7">
        <v>0</v>
      </c>
      <c r="AR439" s="7">
        <v>0</v>
      </c>
      <c r="AS439" s="7">
        <v>0</v>
      </c>
      <c r="AT439" s="7">
        <v>0</v>
      </c>
      <c r="AU439" s="7">
        <v>0</v>
      </c>
      <c r="AV439" s="7">
        <v>0</v>
      </c>
      <c r="AW439" s="7">
        <v>0</v>
      </c>
      <c r="AX439" s="7">
        <v>0</v>
      </c>
      <c r="AY439" s="7">
        <v>0</v>
      </c>
      <c r="AZ439" s="7">
        <v>0</v>
      </c>
      <c r="BA439" s="7">
        <v>0</v>
      </c>
      <c r="BB439" s="7">
        <v>0</v>
      </c>
      <c r="BC439" s="7">
        <v>0</v>
      </c>
      <c r="BD439" s="7">
        <v>0</v>
      </c>
      <c r="BE439" s="7">
        <v>0</v>
      </c>
      <c r="BF439" s="7">
        <v>0</v>
      </c>
      <c r="BG439" s="7">
        <v>0</v>
      </c>
      <c r="BH439" s="7">
        <v>0</v>
      </c>
      <c r="BI439" s="7">
        <v>0</v>
      </c>
      <c r="BJ439" s="7">
        <v>0</v>
      </c>
      <c r="BK439" s="7">
        <v>0</v>
      </c>
      <c r="BL439" s="7">
        <v>0</v>
      </c>
      <c r="BM439" s="10">
        <v>2200</v>
      </c>
      <c r="BN439" s="16">
        <f t="shared" si="15"/>
        <v>2200</v>
      </c>
      <c r="BO439" s="14">
        <f t="shared" si="16"/>
        <v>1540</v>
      </c>
    </row>
    <row r="440" spans="1:67" ht="19.5" x14ac:dyDescent="0.3">
      <c r="A440" s="5" t="s">
        <v>522</v>
      </c>
      <c r="B440" s="5" t="s">
        <v>279</v>
      </c>
      <c r="C440" s="5">
        <v>469072</v>
      </c>
      <c r="D440" s="6"/>
      <c r="E440" s="5" t="s">
        <v>32</v>
      </c>
      <c r="F440" s="5" t="s">
        <v>188</v>
      </c>
      <c r="G440" s="5" t="s">
        <v>52</v>
      </c>
      <c r="H440" s="7" t="s">
        <v>8</v>
      </c>
      <c r="I440" s="7" t="s">
        <v>280</v>
      </c>
      <c r="J440" s="7">
        <v>0</v>
      </c>
      <c r="K440" s="7">
        <v>0</v>
      </c>
      <c r="L440" s="7">
        <v>0</v>
      </c>
      <c r="M440" s="7">
        <v>0</v>
      </c>
      <c r="N440" s="7">
        <v>0</v>
      </c>
      <c r="O440" s="7">
        <v>0</v>
      </c>
      <c r="P440" s="7">
        <v>0</v>
      </c>
      <c r="Q440" s="7">
        <v>0</v>
      </c>
      <c r="R440" s="7">
        <v>0</v>
      </c>
      <c r="S440" s="7">
        <v>0</v>
      </c>
      <c r="T440" s="7">
        <v>0</v>
      </c>
      <c r="U440" s="7">
        <v>0</v>
      </c>
      <c r="V440" s="7">
        <v>0</v>
      </c>
      <c r="W440" s="7">
        <v>0</v>
      </c>
      <c r="X440" s="7">
        <v>0</v>
      </c>
      <c r="Y440" s="7">
        <v>0</v>
      </c>
      <c r="Z440" s="7">
        <v>0</v>
      </c>
      <c r="AA440" s="7">
        <v>0</v>
      </c>
      <c r="AB440" s="7">
        <v>0</v>
      </c>
      <c r="AC440" s="7">
        <v>0</v>
      </c>
      <c r="AD440" s="7">
        <v>0</v>
      </c>
      <c r="AE440" s="7">
        <v>19</v>
      </c>
      <c r="AF440" s="8">
        <v>1900</v>
      </c>
      <c r="AG440" s="7">
        <v>0</v>
      </c>
      <c r="AH440" s="7">
        <v>0</v>
      </c>
      <c r="AI440" s="7">
        <v>0</v>
      </c>
      <c r="AJ440" s="7">
        <v>0</v>
      </c>
      <c r="AK440" s="7">
        <v>2</v>
      </c>
      <c r="AL440" s="7">
        <v>240</v>
      </c>
      <c r="AM440" s="7">
        <v>0</v>
      </c>
      <c r="AN440" s="7">
        <v>0</v>
      </c>
      <c r="AO440" s="7">
        <v>0</v>
      </c>
      <c r="AP440" s="7">
        <v>0</v>
      </c>
      <c r="AQ440" s="7">
        <v>0</v>
      </c>
      <c r="AR440" s="7">
        <v>0</v>
      </c>
      <c r="AS440" s="7">
        <v>0</v>
      </c>
      <c r="AT440" s="7">
        <v>0</v>
      </c>
      <c r="AU440" s="7">
        <v>0</v>
      </c>
      <c r="AV440" s="7">
        <v>0</v>
      </c>
      <c r="AW440" s="7">
        <v>0</v>
      </c>
      <c r="AX440" s="7">
        <v>0</v>
      </c>
      <c r="AY440" s="7">
        <v>0</v>
      </c>
      <c r="AZ440" s="7">
        <v>0</v>
      </c>
      <c r="BA440" s="7">
        <v>0</v>
      </c>
      <c r="BB440" s="7">
        <v>0</v>
      </c>
      <c r="BC440" s="7">
        <v>0</v>
      </c>
      <c r="BD440" s="7">
        <v>0</v>
      </c>
      <c r="BE440" s="7">
        <v>0</v>
      </c>
      <c r="BF440" s="7">
        <v>0</v>
      </c>
      <c r="BG440" s="7">
        <v>0</v>
      </c>
      <c r="BH440" s="7">
        <v>0</v>
      </c>
      <c r="BI440" s="7">
        <v>0</v>
      </c>
      <c r="BJ440" s="7">
        <v>0</v>
      </c>
      <c r="BK440" s="7">
        <v>0</v>
      </c>
      <c r="BL440" s="7">
        <v>72</v>
      </c>
      <c r="BM440" s="10">
        <v>2140</v>
      </c>
      <c r="BN440" s="16">
        <f t="shared" si="15"/>
        <v>2068</v>
      </c>
      <c r="BO440" s="14">
        <f t="shared" si="16"/>
        <v>1447.6</v>
      </c>
    </row>
    <row r="441" spans="1:67" x14ac:dyDescent="0.3">
      <c r="A441" s="5" t="s">
        <v>543</v>
      </c>
      <c r="B441" s="5" t="s">
        <v>335</v>
      </c>
      <c r="C441" s="5">
        <v>385169</v>
      </c>
      <c r="D441" s="6"/>
      <c r="E441" s="5" t="s">
        <v>32</v>
      </c>
      <c r="F441" s="5" t="s">
        <v>231</v>
      </c>
      <c r="G441" s="5" t="s">
        <v>52</v>
      </c>
      <c r="H441" s="7" t="s">
        <v>8</v>
      </c>
      <c r="I441" s="7" t="s">
        <v>329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7">
        <v>0</v>
      </c>
      <c r="U441" s="7">
        <v>0</v>
      </c>
      <c r="V441" s="7">
        <v>0</v>
      </c>
      <c r="W441" s="7">
        <v>0</v>
      </c>
      <c r="X441" s="7">
        <v>0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7">
        <v>0</v>
      </c>
      <c r="AK441" s="7">
        <v>17</v>
      </c>
      <c r="AL441" s="8">
        <v>2040</v>
      </c>
      <c r="AM441" s="7">
        <v>0</v>
      </c>
      <c r="AN441" s="7">
        <v>0</v>
      </c>
      <c r="AO441" s="7">
        <v>0</v>
      </c>
      <c r="AP441" s="7">
        <v>0</v>
      </c>
      <c r="AQ441" s="7">
        <v>0</v>
      </c>
      <c r="AR441" s="7">
        <v>0</v>
      </c>
      <c r="AS441" s="7">
        <v>0</v>
      </c>
      <c r="AT441" s="7">
        <v>0</v>
      </c>
      <c r="AU441" s="7">
        <v>0</v>
      </c>
      <c r="AV441" s="7">
        <v>0</v>
      </c>
      <c r="AW441" s="7">
        <v>0</v>
      </c>
      <c r="AX441" s="7">
        <v>0</v>
      </c>
      <c r="AY441" s="7">
        <v>0</v>
      </c>
      <c r="AZ441" s="7">
        <v>0</v>
      </c>
      <c r="BA441" s="7">
        <v>0</v>
      </c>
      <c r="BB441" s="7">
        <v>0</v>
      </c>
      <c r="BC441" s="7">
        <v>0</v>
      </c>
      <c r="BD441" s="7">
        <v>0</v>
      </c>
      <c r="BE441" s="7">
        <v>0</v>
      </c>
      <c r="BF441" s="7">
        <v>0</v>
      </c>
      <c r="BG441" s="7">
        <v>0</v>
      </c>
      <c r="BH441" s="7">
        <v>0</v>
      </c>
      <c r="BI441" s="7">
        <v>0</v>
      </c>
      <c r="BJ441" s="7">
        <v>0</v>
      </c>
      <c r="BK441" s="7">
        <v>0</v>
      </c>
      <c r="BL441" s="7">
        <v>612</v>
      </c>
      <c r="BM441" s="10">
        <v>2040</v>
      </c>
      <c r="BN441" s="16">
        <f t="shared" si="15"/>
        <v>1428</v>
      </c>
      <c r="BO441" s="14">
        <f t="shared" si="16"/>
        <v>999.59999999999991</v>
      </c>
    </row>
    <row r="442" spans="1:67" x14ac:dyDescent="0.3">
      <c r="A442" s="5" t="s">
        <v>543</v>
      </c>
      <c r="B442" s="5" t="s">
        <v>374</v>
      </c>
      <c r="C442" s="5">
        <v>406872</v>
      </c>
      <c r="D442" s="6"/>
      <c r="E442" s="5" t="s">
        <v>32</v>
      </c>
      <c r="F442" s="5" t="s">
        <v>375</v>
      </c>
      <c r="G442" s="5" t="s">
        <v>11</v>
      </c>
      <c r="H442" s="7" t="s">
        <v>10</v>
      </c>
      <c r="I442" s="7" t="s">
        <v>376</v>
      </c>
      <c r="J442" s="7">
        <v>0</v>
      </c>
      <c r="K442" s="7">
        <v>0</v>
      </c>
      <c r="L442" s="7">
        <v>0</v>
      </c>
      <c r="M442" s="7">
        <v>0</v>
      </c>
      <c r="N442" s="7">
        <v>0</v>
      </c>
      <c r="O442" s="7">
        <v>0</v>
      </c>
      <c r="P442" s="7">
        <v>0</v>
      </c>
      <c r="Q442" s="7">
        <v>0</v>
      </c>
      <c r="R442" s="7">
        <v>0</v>
      </c>
      <c r="S442" s="7">
        <v>0</v>
      </c>
      <c r="T442" s="7">
        <v>0</v>
      </c>
      <c r="U442" s="7">
        <v>0</v>
      </c>
      <c r="V442" s="7">
        <v>0</v>
      </c>
      <c r="W442" s="7">
        <v>0</v>
      </c>
      <c r="X442" s="7">
        <v>0</v>
      </c>
      <c r="Y442" s="7">
        <v>0</v>
      </c>
      <c r="Z442" s="7">
        <v>0</v>
      </c>
      <c r="AA442" s="7">
        <v>0</v>
      </c>
      <c r="AB442" s="7">
        <v>0</v>
      </c>
      <c r="AC442" s="7">
        <v>0</v>
      </c>
      <c r="AD442" s="7">
        <v>0</v>
      </c>
      <c r="AE442" s="7">
        <v>10</v>
      </c>
      <c r="AF442" s="8">
        <v>1000</v>
      </c>
      <c r="AG442" s="7">
        <v>0</v>
      </c>
      <c r="AH442" s="7">
        <v>0</v>
      </c>
      <c r="AI442" s="7">
        <v>0</v>
      </c>
      <c r="AJ442" s="7">
        <v>0</v>
      </c>
      <c r="AK442" s="7">
        <v>10</v>
      </c>
      <c r="AL442" s="7">
        <v>0</v>
      </c>
      <c r="AM442" s="8">
        <v>1000</v>
      </c>
      <c r="AN442" s="7">
        <v>0</v>
      </c>
      <c r="AO442" s="7">
        <v>0</v>
      </c>
      <c r="AP442" s="7">
        <v>0</v>
      </c>
      <c r="AQ442" s="7">
        <v>0</v>
      </c>
      <c r="AR442" s="7">
        <v>0</v>
      </c>
      <c r="AS442" s="7">
        <v>0</v>
      </c>
      <c r="AT442" s="7">
        <v>0</v>
      </c>
      <c r="AU442" s="7">
        <v>0</v>
      </c>
      <c r="AV442" s="7">
        <v>0</v>
      </c>
      <c r="AW442" s="7">
        <v>0</v>
      </c>
      <c r="AX442" s="7">
        <v>0</v>
      </c>
      <c r="AY442" s="7">
        <v>0</v>
      </c>
      <c r="AZ442" s="7">
        <v>0</v>
      </c>
      <c r="BA442" s="7">
        <v>0</v>
      </c>
      <c r="BB442" s="7">
        <v>0</v>
      </c>
      <c r="BC442" s="7">
        <v>0</v>
      </c>
      <c r="BD442" s="7">
        <v>0</v>
      </c>
      <c r="BE442" s="7">
        <v>0</v>
      </c>
      <c r="BF442" s="7">
        <v>0</v>
      </c>
      <c r="BG442" s="7">
        <v>0</v>
      </c>
      <c r="BH442" s="7">
        <v>0</v>
      </c>
      <c r="BI442" s="7">
        <v>0</v>
      </c>
      <c r="BJ442" s="7">
        <v>0</v>
      </c>
      <c r="BK442" s="7">
        <v>0</v>
      </c>
      <c r="BL442" s="7">
        <v>0</v>
      </c>
      <c r="BM442" s="10">
        <v>2000</v>
      </c>
      <c r="BN442" s="16">
        <f t="shared" si="15"/>
        <v>2000</v>
      </c>
      <c r="BO442" s="14">
        <f t="shared" si="16"/>
        <v>1400</v>
      </c>
    </row>
    <row r="443" spans="1:67" x14ac:dyDescent="0.3">
      <c r="A443" s="5" t="s">
        <v>542</v>
      </c>
      <c r="B443" s="5" t="s">
        <v>402</v>
      </c>
      <c r="C443" s="5">
        <v>429538</v>
      </c>
      <c r="D443" s="6"/>
      <c r="E443" s="5" t="s">
        <v>32</v>
      </c>
      <c r="F443" s="5" t="s">
        <v>196</v>
      </c>
      <c r="G443" s="5" t="s">
        <v>11</v>
      </c>
      <c r="H443" s="7" t="s">
        <v>7</v>
      </c>
      <c r="I443" s="7" t="s">
        <v>262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7">
        <v>0</v>
      </c>
      <c r="U443" s="7">
        <v>0</v>
      </c>
      <c r="V443" s="7">
        <v>0</v>
      </c>
      <c r="W443" s="7">
        <v>0</v>
      </c>
      <c r="X443" s="7">
        <v>0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1</v>
      </c>
      <c r="AF443" s="8">
        <v>1000</v>
      </c>
      <c r="AG443" s="7">
        <v>0</v>
      </c>
      <c r="AH443" s="7">
        <v>0</v>
      </c>
      <c r="AI443" s="7">
        <v>0</v>
      </c>
      <c r="AJ443" s="7">
        <v>0</v>
      </c>
      <c r="AK443" s="7">
        <v>1</v>
      </c>
      <c r="AL443" s="7">
        <v>0</v>
      </c>
      <c r="AM443" s="8">
        <v>1000</v>
      </c>
      <c r="AN443" s="7">
        <v>0</v>
      </c>
      <c r="AO443" s="7">
        <v>0</v>
      </c>
      <c r="AP443" s="7">
        <v>0</v>
      </c>
      <c r="AQ443" s="7">
        <v>0</v>
      </c>
      <c r="AR443" s="7">
        <v>0</v>
      </c>
      <c r="AS443" s="7">
        <v>0</v>
      </c>
      <c r="AT443" s="7">
        <v>0</v>
      </c>
      <c r="AU443" s="7">
        <v>0</v>
      </c>
      <c r="AV443" s="7">
        <v>0</v>
      </c>
      <c r="AW443" s="7">
        <v>0</v>
      </c>
      <c r="AX443" s="7">
        <v>0</v>
      </c>
      <c r="AY443" s="7">
        <v>0</v>
      </c>
      <c r="AZ443" s="7">
        <v>0</v>
      </c>
      <c r="BA443" s="7">
        <v>0</v>
      </c>
      <c r="BB443" s="7">
        <v>0</v>
      </c>
      <c r="BC443" s="7">
        <v>0</v>
      </c>
      <c r="BD443" s="7">
        <v>0</v>
      </c>
      <c r="BE443" s="7">
        <v>0</v>
      </c>
      <c r="BF443" s="7">
        <v>0</v>
      </c>
      <c r="BG443" s="7">
        <v>0</v>
      </c>
      <c r="BH443" s="7">
        <v>0</v>
      </c>
      <c r="BI443" s="7">
        <v>0</v>
      </c>
      <c r="BJ443" s="7">
        <v>0</v>
      </c>
      <c r="BK443" s="7">
        <v>0</v>
      </c>
      <c r="BL443" s="7">
        <v>0</v>
      </c>
      <c r="BM443" s="10">
        <v>2000</v>
      </c>
      <c r="BN443" s="16">
        <f t="shared" si="15"/>
        <v>2000</v>
      </c>
      <c r="BO443" s="14">
        <f t="shared" si="16"/>
        <v>1400</v>
      </c>
    </row>
    <row r="444" spans="1:67" x14ac:dyDescent="0.3">
      <c r="A444" s="5" t="s">
        <v>522</v>
      </c>
      <c r="B444" s="5" t="s">
        <v>275</v>
      </c>
      <c r="C444" s="5">
        <v>251205</v>
      </c>
      <c r="D444" s="6"/>
      <c r="E444" s="5" t="s">
        <v>32</v>
      </c>
      <c r="F444" s="5" t="s">
        <v>87</v>
      </c>
      <c r="G444" s="5" t="s">
        <v>11</v>
      </c>
      <c r="H444" s="7" t="s">
        <v>7</v>
      </c>
      <c r="I444" s="7" t="s">
        <v>276</v>
      </c>
      <c r="J444" s="7">
        <v>0</v>
      </c>
      <c r="K444" s="7">
        <v>0</v>
      </c>
      <c r="L444" s="7">
        <v>0</v>
      </c>
      <c r="M444" s="7">
        <v>0</v>
      </c>
      <c r="N444" s="7">
        <v>0</v>
      </c>
      <c r="O444" s="7">
        <v>0</v>
      </c>
      <c r="P444" s="7">
        <v>0</v>
      </c>
      <c r="Q444" s="7">
        <v>0</v>
      </c>
      <c r="R444" s="7">
        <v>0</v>
      </c>
      <c r="S444" s="7">
        <v>0</v>
      </c>
      <c r="T444" s="7">
        <v>0</v>
      </c>
      <c r="U444" s="7">
        <v>0</v>
      </c>
      <c r="V444" s="7">
        <v>0</v>
      </c>
      <c r="W444" s="7">
        <v>0</v>
      </c>
      <c r="X444" s="7">
        <v>0</v>
      </c>
      <c r="Y444" s="7">
        <v>0</v>
      </c>
      <c r="Z444" s="7">
        <v>0</v>
      </c>
      <c r="AA444" s="7">
        <v>0</v>
      </c>
      <c r="AB444" s="7">
        <v>0</v>
      </c>
      <c r="AC444" s="7">
        <v>0</v>
      </c>
      <c r="AD444" s="7">
        <v>0</v>
      </c>
      <c r="AE444" s="7">
        <v>19</v>
      </c>
      <c r="AF444" s="8">
        <v>1900</v>
      </c>
      <c r="AG444" s="7">
        <v>0</v>
      </c>
      <c r="AH444" s="7">
        <v>0</v>
      </c>
      <c r="AI444" s="7">
        <v>0</v>
      </c>
      <c r="AJ444" s="7">
        <v>0</v>
      </c>
      <c r="AK444" s="7">
        <v>1</v>
      </c>
      <c r="AL444" s="7">
        <v>0</v>
      </c>
      <c r="AM444" s="7">
        <v>100</v>
      </c>
      <c r="AN444" s="7">
        <v>0</v>
      </c>
      <c r="AO444" s="7">
        <v>0</v>
      </c>
      <c r="AP444" s="7">
        <v>0</v>
      </c>
      <c r="AQ444" s="7">
        <v>0</v>
      </c>
      <c r="AR444" s="7">
        <v>0</v>
      </c>
      <c r="AS444" s="7">
        <v>0</v>
      </c>
      <c r="AT444" s="7">
        <v>0</v>
      </c>
      <c r="AU444" s="7">
        <v>0</v>
      </c>
      <c r="AV444" s="7">
        <v>0</v>
      </c>
      <c r="AW444" s="7">
        <v>0</v>
      </c>
      <c r="AX444" s="7">
        <v>0</v>
      </c>
      <c r="AY444" s="7">
        <v>0</v>
      </c>
      <c r="AZ444" s="7">
        <v>0</v>
      </c>
      <c r="BA444" s="7">
        <v>0</v>
      </c>
      <c r="BB444" s="7">
        <v>0</v>
      </c>
      <c r="BC444" s="7">
        <v>0</v>
      </c>
      <c r="BD444" s="7">
        <v>0</v>
      </c>
      <c r="BE444" s="7">
        <v>0</v>
      </c>
      <c r="BF444" s="7">
        <v>0</v>
      </c>
      <c r="BG444" s="7">
        <v>0</v>
      </c>
      <c r="BH444" s="7">
        <v>0</v>
      </c>
      <c r="BI444" s="7">
        <v>0</v>
      </c>
      <c r="BJ444" s="7">
        <v>0</v>
      </c>
      <c r="BK444" s="7">
        <v>0</v>
      </c>
      <c r="BL444" s="7">
        <v>0</v>
      </c>
      <c r="BM444" s="10">
        <v>2000</v>
      </c>
      <c r="BN444" s="16">
        <f t="shared" si="15"/>
        <v>2000</v>
      </c>
      <c r="BO444" s="14">
        <f t="shared" si="16"/>
        <v>1400</v>
      </c>
    </row>
    <row r="445" spans="1:67" x14ac:dyDescent="0.3">
      <c r="A445" s="5" t="s">
        <v>522</v>
      </c>
      <c r="B445" s="5" t="s">
        <v>359</v>
      </c>
      <c r="C445" s="5">
        <v>389960</v>
      </c>
      <c r="D445" s="6"/>
      <c r="E445" s="5" t="s">
        <v>32</v>
      </c>
      <c r="F445" s="5" t="s">
        <v>129</v>
      </c>
      <c r="G445" s="5" t="s">
        <v>11</v>
      </c>
      <c r="H445" s="7" t="s">
        <v>10</v>
      </c>
      <c r="I445" s="7" t="s">
        <v>360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7">
        <v>0</v>
      </c>
      <c r="U445" s="7">
        <v>0</v>
      </c>
      <c r="V445" s="7">
        <v>0</v>
      </c>
      <c r="W445" s="7">
        <v>0</v>
      </c>
      <c r="X445" s="7">
        <v>0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19</v>
      </c>
      <c r="AF445" s="8">
        <v>1900</v>
      </c>
      <c r="AG445" s="7">
        <v>0</v>
      </c>
      <c r="AH445" s="7">
        <v>0</v>
      </c>
      <c r="AI445" s="7">
        <v>0</v>
      </c>
      <c r="AJ445" s="7">
        <v>0</v>
      </c>
      <c r="AK445" s="7">
        <v>0</v>
      </c>
      <c r="AL445" s="7">
        <v>0</v>
      </c>
      <c r="AM445" s="7">
        <v>0</v>
      </c>
      <c r="AN445" s="7">
        <v>0</v>
      </c>
      <c r="AO445" s="7">
        <v>0</v>
      </c>
      <c r="AP445" s="7">
        <v>0</v>
      </c>
      <c r="AQ445" s="7">
        <v>0</v>
      </c>
      <c r="AR445" s="7">
        <v>0</v>
      </c>
      <c r="AS445" s="7">
        <v>0</v>
      </c>
      <c r="AT445" s="7">
        <v>0</v>
      </c>
      <c r="AU445" s="7">
        <v>0</v>
      </c>
      <c r="AV445" s="7">
        <v>0</v>
      </c>
      <c r="AW445" s="7">
        <v>0</v>
      </c>
      <c r="AX445" s="7">
        <v>0</v>
      </c>
      <c r="AY445" s="7">
        <v>0</v>
      </c>
      <c r="AZ445" s="7">
        <v>0</v>
      </c>
      <c r="BA445" s="7">
        <v>0</v>
      </c>
      <c r="BB445" s="7">
        <v>0</v>
      </c>
      <c r="BC445" s="7">
        <v>0</v>
      </c>
      <c r="BD445" s="7">
        <v>0</v>
      </c>
      <c r="BE445" s="7">
        <v>0</v>
      </c>
      <c r="BF445" s="7">
        <v>0</v>
      </c>
      <c r="BG445" s="7">
        <v>0</v>
      </c>
      <c r="BH445" s="7">
        <v>0</v>
      </c>
      <c r="BI445" s="7">
        <v>0</v>
      </c>
      <c r="BJ445" s="7">
        <v>0</v>
      </c>
      <c r="BK445" s="7">
        <v>0</v>
      </c>
      <c r="BL445" s="7">
        <v>0</v>
      </c>
      <c r="BM445" s="10">
        <v>1900</v>
      </c>
      <c r="BN445" s="16">
        <f t="shared" si="15"/>
        <v>1900</v>
      </c>
      <c r="BO445" s="14">
        <f t="shared" si="16"/>
        <v>1330</v>
      </c>
    </row>
    <row r="446" spans="1:67" x14ac:dyDescent="0.3">
      <c r="A446" s="5" t="s">
        <v>543</v>
      </c>
      <c r="B446" s="5" t="s">
        <v>509</v>
      </c>
      <c r="C446" s="5">
        <v>392578</v>
      </c>
      <c r="D446" s="6"/>
      <c r="E446" s="5" t="s">
        <v>32</v>
      </c>
      <c r="F446" s="5" t="s">
        <v>301</v>
      </c>
      <c r="G446" s="5" t="s">
        <v>52</v>
      </c>
      <c r="H446" s="7" t="s">
        <v>340</v>
      </c>
      <c r="I446" s="7" t="s">
        <v>453</v>
      </c>
      <c r="J446" s="7">
        <v>0</v>
      </c>
      <c r="K446" s="7">
        <v>0</v>
      </c>
      <c r="L446" s="7">
        <v>0</v>
      </c>
      <c r="M446" s="7">
        <v>0</v>
      </c>
      <c r="N446" s="7">
        <v>0</v>
      </c>
      <c r="O446" s="7">
        <v>0</v>
      </c>
      <c r="P446" s="7">
        <v>0</v>
      </c>
      <c r="Q446" s="7">
        <v>0</v>
      </c>
      <c r="R446" s="7">
        <v>0</v>
      </c>
      <c r="S446" s="7">
        <v>0</v>
      </c>
      <c r="T446" s="7">
        <v>0</v>
      </c>
      <c r="U446" s="7">
        <v>0</v>
      </c>
      <c r="V446" s="7">
        <v>0</v>
      </c>
      <c r="W446" s="7">
        <v>0</v>
      </c>
      <c r="X446" s="7">
        <v>0</v>
      </c>
      <c r="Y446" s="7">
        <v>0</v>
      </c>
      <c r="Z446" s="7">
        <v>0</v>
      </c>
      <c r="AA446" s="7">
        <v>0</v>
      </c>
      <c r="AB446" s="7">
        <v>0</v>
      </c>
      <c r="AC446" s="7">
        <v>0</v>
      </c>
      <c r="AD446" s="7">
        <v>0</v>
      </c>
      <c r="AE446" s="7">
        <v>18</v>
      </c>
      <c r="AF446" s="8">
        <v>1800</v>
      </c>
      <c r="AG446" s="7">
        <v>0</v>
      </c>
      <c r="AH446" s="7">
        <v>0</v>
      </c>
      <c r="AI446" s="7">
        <v>0</v>
      </c>
      <c r="AJ446" s="7">
        <v>0</v>
      </c>
      <c r="AK446" s="7">
        <v>0</v>
      </c>
      <c r="AL446" s="7">
        <v>0</v>
      </c>
      <c r="AM446" s="7">
        <v>0</v>
      </c>
      <c r="AN446" s="7">
        <v>0</v>
      </c>
      <c r="AO446" s="7">
        <v>0</v>
      </c>
      <c r="AP446" s="7">
        <v>0</v>
      </c>
      <c r="AQ446" s="7">
        <v>0</v>
      </c>
      <c r="AR446" s="7">
        <v>0</v>
      </c>
      <c r="AS446" s="7">
        <v>0</v>
      </c>
      <c r="AT446" s="7">
        <v>0</v>
      </c>
      <c r="AU446" s="7">
        <v>0</v>
      </c>
      <c r="AV446" s="7">
        <v>0</v>
      </c>
      <c r="AW446" s="7">
        <v>0</v>
      </c>
      <c r="AX446" s="7">
        <v>0</v>
      </c>
      <c r="AY446" s="7">
        <v>0</v>
      </c>
      <c r="AZ446" s="7">
        <v>0</v>
      </c>
      <c r="BA446" s="7">
        <v>0</v>
      </c>
      <c r="BB446" s="7">
        <v>0</v>
      </c>
      <c r="BC446" s="7">
        <v>0</v>
      </c>
      <c r="BD446" s="7">
        <v>0</v>
      </c>
      <c r="BE446" s="7">
        <v>0</v>
      </c>
      <c r="BF446" s="7">
        <v>0</v>
      </c>
      <c r="BG446" s="7">
        <v>0</v>
      </c>
      <c r="BH446" s="7">
        <v>0</v>
      </c>
      <c r="BI446" s="7">
        <v>0</v>
      </c>
      <c r="BJ446" s="7">
        <v>0</v>
      </c>
      <c r="BK446" s="7">
        <v>0</v>
      </c>
      <c r="BL446" s="7">
        <v>0</v>
      </c>
      <c r="BM446" s="10">
        <v>1800</v>
      </c>
      <c r="BN446" s="16">
        <f t="shared" si="15"/>
        <v>1800</v>
      </c>
      <c r="BO446" s="14">
        <f t="shared" si="16"/>
        <v>1260</v>
      </c>
    </row>
    <row r="447" spans="1:67" x14ac:dyDescent="0.3">
      <c r="A447" s="5" t="s">
        <v>522</v>
      </c>
      <c r="B447" s="5" t="s">
        <v>499</v>
      </c>
      <c r="C447" s="5">
        <v>467498</v>
      </c>
      <c r="D447" s="6"/>
      <c r="E447" s="5" t="s">
        <v>32</v>
      </c>
      <c r="F447" s="5" t="s">
        <v>344</v>
      </c>
      <c r="G447" s="5" t="s">
        <v>52</v>
      </c>
      <c r="H447" s="7" t="s">
        <v>8</v>
      </c>
      <c r="I447" s="7" t="s">
        <v>38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7">
        <v>0</v>
      </c>
      <c r="U447" s="7">
        <v>0</v>
      </c>
      <c r="V447" s="7">
        <v>0</v>
      </c>
      <c r="W447" s="7">
        <v>0</v>
      </c>
      <c r="X447" s="7">
        <v>0</v>
      </c>
      <c r="Y447" s="7">
        <v>0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1</v>
      </c>
      <c r="AF447" s="8">
        <v>1800</v>
      </c>
      <c r="AG447" s="7">
        <v>0</v>
      </c>
      <c r="AH447" s="7">
        <v>0</v>
      </c>
      <c r="AI447" s="7">
        <v>0</v>
      </c>
      <c r="AJ447" s="7">
        <v>0</v>
      </c>
      <c r="AK447" s="7">
        <v>0</v>
      </c>
      <c r="AL447" s="7">
        <v>0</v>
      </c>
      <c r="AM447" s="7">
        <v>0</v>
      </c>
      <c r="AN447" s="7">
        <v>0</v>
      </c>
      <c r="AO447" s="7">
        <v>0</v>
      </c>
      <c r="AP447" s="7">
        <v>0</v>
      </c>
      <c r="AQ447" s="7">
        <v>0</v>
      </c>
      <c r="AR447" s="7">
        <v>0</v>
      </c>
      <c r="AS447" s="7">
        <v>0</v>
      </c>
      <c r="AT447" s="7">
        <v>0</v>
      </c>
      <c r="AU447" s="7">
        <v>0</v>
      </c>
      <c r="AV447" s="7">
        <v>0</v>
      </c>
      <c r="AW447" s="7">
        <v>0</v>
      </c>
      <c r="AX447" s="7">
        <v>0</v>
      </c>
      <c r="AY447" s="7">
        <v>0</v>
      </c>
      <c r="AZ447" s="7">
        <v>0</v>
      </c>
      <c r="BA447" s="7">
        <v>0</v>
      </c>
      <c r="BB447" s="7">
        <v>0</v>
      </c>
      <c r="BC447" s="7">
        <v>0</v>
      </c>
      <c r="BD447" s="7">
        <v>0</v>
      </c>
      <c r="BE447" s="7">
        <v>0</v>
      </c>
      <c r="BF447" s="7">
        <v>0</v>
      </c>
      <c r="BG447" s="7">
        <v>0</v>
      </c>
      <c r="BH447" s="7">
        <v>0</v>
      </c>
      <c r="BI447" s="7">
        <v>0</v>
      </c>
      <c r="BJ447" s="7">
        <v>0</v>
      </c>
      <c r="BK447" s="7">
        <v>0</v>
      </c>
      <c r="BL447" s="7">
        <v>0</v>
      </c>
      <c r="BM447" s="10">
        <v>1800</v>
      </c>
      <c r="BN447" s="16">
        <f t="shared" si="15"/>
        <v>1800</v>
      </c>
      <c r="BO447" s="14">
        <f t="shared" si="16"/>
        <v>1260</v>
      </c>
    </row>
    <row r="448" spans="1:67" x14ac:dyDescent="0.3">
      <c r="A448" s="5" t="s">
        <v>543</v>
      </c>
      <c r="B448" s="5" t="s">
        <v>318</v>
      </c>
      <c r="C448" s="5">
        <v>404148</v>
      </c>
      <c r="D448" s="6"/>
      <c r="E448" s="5" t="s">
        <v>32</v>
      </c>
      <c r="F448" s="5" t="s">
        <v>319</v>
      </c>
      <c r="G448" s="5" t="s">
        <v>52</v>
      </c>
      <c r="H448" s="7" t="s">
        <v>8</v>
      </c>
      <c r="I448" s="7" t="s">
        <v>320</v>
      </c>
      <c r="J448" s="7">
        <v>0</v>
      </c>
      <c r="K448" s="7">
        <v>0</v>
      </c>
      <c r="L448" s="7">
        <v>0</v>
      </c>
      <c r="M448" s="7">
        <v>0</v>
      </c>
      <c r="N448" s="7">
        <v>0</v>
      </c>
      <c r="O448" s="7">
        <v>0</v>
      </c>
      <c r="P448" s="7">
        <v>0</v>
      </c>
      <c r="Q448" s="7">
        <v>0</v>
      </c>
      <c r="R448" s="7">
        <v>0</v>
      </c>
      <c r="S448" s="7">
        <v>0</v>
      </c>
      <c r="T448" s="7">
        <v>0</v>
      </c>
      <c r="U448" s="7">
        <v>0</v>
      </c>
      <c r="V448" s="7">
        <v>0</v>
      </c>
      <c r="W448" s="7">
        <v>0</v>
      </c>
      <c r="X448" s="7">
        <v>0</v>
      </c>
      <c r="Y448" s="7">
        <v>0</v>
      </c>
      <c r="Z448" s="7">
        <v>0</v>
      </c>
      <c r="AA448" s="7">
        <v>0</v>
      </c>
      <c r="AB448" s="7">
        <v>0</v>
      </c>
      <c r="AC448" s="7">
        <v>0</v>
      </c>
      <c r="AD448" s="7">
        <v>0</v>
      </c>
      <c r="AE448" s="7">
        <v>16</v>
      </c>
      <c r="AF448" s="8">
        <v>1600</v>
      </c>
      <c r="AG448" s="7">
        <v>0</v>
      </c>
      <c r="AH448" s="7">
        <v>0</v>
      </c>
      <c r="AI448" s="7">
        <v>0</v>
      </c>
      <c r="AJ448" s="7">
        <v>0</v>
      </c>
      <c r="AK448" s="7">
        <v>0</v>
      </c>
      <c r="AL448" s="7">
        <v>0</v>
      </c>
      <c r="AM448" s="7">
        <v>0</v>
      </c>
      <c r="AN448" s="7">
        <v>0</v>
      </c>
      <c r="AO448" s="7">
        <v>0</v>
      </c>
      <c r="AP448" s="7">
        <v>0</v>
      </c>
      <c r="AQ448" s="7">
        <v>0</v>
      </c>
      <c r="AR448" s="7">
        <v>0</v>
      </c>
      <c r="AS448" s="7">
        <v>0</v>
      </c>
      <c r="AT448" s="7">
        <v>0</v>
      </c>
      <c r="AU448" s="7">
        <v>0</v>
      </c>
      <c r="AV448" s="7">
        <v>0</v>
      </c>
      <c r="AW448" s="7">
        <v>0</v>
      </c>
      <c r="AX448" s="7">
        <v>0</v>
      </c>
      <c r="AY448" s="7">
        <v>0</v>
      </c>
      <c r="AZ448" s="7">
        <v>0</v>
      </c>
      <c r="BA448" s="7">
        <v>0</v>
      </c>
      <c r="BB448" s="7">
        <v>0</v>
      </c>
      <c r="BC448" s="7">
        <v>0</v>
      </c>
      <c r="BD448" s="7">
        <v>0</v>
      </c>
      <c r="BE448" s="7">
        <v>0</v>
      </c>
      <c r="BF448" s="7">
        <v>0</v>
      </c>
      <c r="BG448" s="7">
        <v>0</v>
      </c>
      <c r="BH448" s="7">
        <v>0</v>
      </c>
      <c r="BI448" s="7">
        <v>0</v>
      </c>
      <c r="BJ448" s="7">
        <v>0</v>
      </c>
      <c r="BK448" s="7">
        <v>0</v>
      </c>
      <c r="BL448" s="7">
        <v>0</v>
      </c>
      <c r="BM448" s="10">
        <v>1600</v>
      </c>
      <c r="BN448" s="16">
        <f t="shared" si="15"/>
        <v>1600</v>
      </c>
      <c r="BO448" s="14">
        <f t="shared" si="16"/>
        <v>1120</v>
      </c>
    </row>
    <row r="449" spans="1:67" x14ac:dyDescent="0.3">
      <c r="A449" s="5" t="s">
        <v>542</v>
      </c>
      <c r="B449" s="5" t="s">
        <v>534</v>
      </c>
      <c r="C449" s="5">
        <v>355732</v>
      </c>
      <c r="D449" s="6"/>
      <c r="E449" s="5" t="s">
        <v>32</v>
      </c>
      <c r="F449" s="5" t="s">
        <v>529</v>
      </c>
      <c r="G449" s="5" t="s">
        <v>52</v>
      </c>
      <c r="H449" s="7" t="s">
        <v>8</v>
      </c>
      <c r="I449" s="7" t="s">
        <v>535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7">
        <v>0</v>
      </c>
      <c r="U449" s="7">
        <v>0</v>
      </c>
      <c r="V449" s="7">
        <v>0</v>
      </c>
      <c r="W449" s="7">
        <v>0</v>
      </c>
      <c r="X449" s="7">
        <v>0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15</v>
      </c>
      <c r="AF449" s="8">
        <v>1500</v>
      </c>
      <c r="AG449" s="7">
        <v>0</v>
      </c>
      <c r="AH449" s="7">
        <v>0</v>
      </c>
      <c r="AI449" s="7">
        <v>0</v>
      </c>
      <c r="AJ449" s="7">
        <v>0</v>
      </c>
      <c r="AK449" s="7">
        <v>0</v>
      </c>
      <c r="AL449" s="7">
        <v>0</v>
      </c>
      <c r="AM449" s="7">
        <v>0</v>
      </c>
      <c r="AN449" s="7">
        <v>0</v>
      </c>
      <c r="AO449" s="7">
        <v>0</v>
      </c>
      <c r="AP449" s="7">
        <v>0</v>
      </c>
      <c r="AQ449" s="7">
        <v>0</v>
      </c>
      <c r="AR449" s="7">
        <v>0</v>
      </c>
      <c r="AS449" s="7">
        <v>0</v>
      </c>
      <c r="AT449" s="7">
        <v>0</v>
      </c>
      <c r="AU449" s="7">
        <v>0</v>
      </c>
      <c r="AV449" s="7">
        <v>0</v>
      </c>
      <c r="AW449" s="7">
        <v>0</v>
      </c>
      <c r="AX449" s="7">
        <v>0</v>
      </c>
      <c r="AY449" s="7">
        <v>0</v>
      </c>
      <c r="AZ449" s="7">
        <v>0</v>
      </c>
      <c r="BA449" s="7">
        <v>0</v>
      </c>
      <c r="BB449" s="7">
        <v>0</v>
      </c>
      <c r="BC449" s="7">
        <v>0</v>
      </c>
      <c r="BD449" s="7">
        <v>0</v>
      </c>
      <c r="BE449" s="7">
        <v>0</v>
      </c>
      <c r="BF449" s="7">
        <v>0</v>
      </c>
      <c r="BG449" s="7">
        <v>0</v>
      </c>
      <c r="BH449" s="7">
        <v>0</v>
      </c>
      <c r="BI449" s="7">
        <v>0</v>
      </c>
      <c r="BJ449" s="7">
        <v>0</v>
      </c>
      <c r="BK449" s="7">
        <v>0</v>
      </c>
      <c r="BL449" s="7">
        <v>0</v>
      </c>
      <c r="BM449" s="10">
        <v>1500</v>
      </c>
      <c r="BN449" s="16">
        <f t="shared" si="15"/>
        <v>1500</v>
      </c>
      <c r="BO449" s="14">
        <f t="shared" si="16"/>
        <v>1050</v>
      </c>
    </row>
    <row r="450" spans="1:67" x14ac:dyDescent="0.3">
      <c r="A450" s="5" t="s">
        <v>522</v>
      </c>
      <c r="B450" s="5" t="s">
        <v>309</v>
      </c>
      <c r="C450" s="5">
        <v>358724</v>
      </c>
      <c r="D450" s="6"/>
      <c r="E450" s="5" t="s">
        <v>32</v>
      </c>
      <c r="F450" s="5" t="s">
        <v>310</v>
      </c>
      <c r="G450" s="5" t="s">
        <v>52</v>
      </c>
      <c r="H450" s="7" t="s">
        <v>8</v>
      </c>
      <c r="I450" s="7" t="s">
        <v>127</v>
      </c>
      <c r="J450" s="7">
        <v>12</v>
      </c>
      <c r="K450" s="7">
        <v>0</v>
      </c>
      <c r="L450" s="8">
        <v>1200</v>
      </c>
      <c r="M450" s="7">
        <v>0</v>
      </c>
      <c r="N450" s="7">
        <v>0</v>
      </c>
      <c r="O450" s="7">
        <v>0</v>
      </c>
      <c r="P450" s="7">
        <v>0</v>
      </c>
      <c r="Q450" s="7">
        <v>0</v>
      </c>
      <c r="R450" s="7">
        <v>0</v>
      </c>
      <c r="S450" s="7">
        <v>0</v>
      </c>
      <c r="T450" s="7">
        <v>0</v>
      </c>
      <c r="U450" s="7">
        <v>0</v>
      </c>
      <c r="V450" s="7">
        <v>0</v>
      </c>
      <c r="W450" s="7">
        <v>0</v>
      </c>
      <c r="X450" s="7">
        <v>0</v>
      </c>
      <c r="Y450" s="7">
        <v>0</v>
      </c>
      <c r="Z450" s="7">
        <v>0</v>
      </c>
      <c r="AA450" s="7">
        <v>0</v>
      </c>
      <c r="AB450" s="7">
        <v>0</v>
      </c>
      <c r="AC450" s="7">
        <v>0</v>
      </c>
      <c r="AD450" s="7">
        <v>0</v>
      </c>
      <c r="AE450" s="7">
        <v>3</v>
      </c>
      <c r="AF450" s="7">
        <v>300</v>
      </c>
      <c r="AG450" s="7">
        <v>0</v>
      </c>
      <c r="AH450" s="7">
        <v>0</v>
      </c>
      <c r="AI450" s="7">
        <v>0</v>
      </c>
      <c r="AJ450" s="7">
        <v>0</v>
      </c>
      <c r="AK450" s="7">
        <v>0</v>
      </c>
      <c r="AL450" s="7">
        <v>0</v>
      </c>
      <c r="AM450" s="7">
        <v>0</v>
      </c>
      <c r="AN450" s="7">
        <v>0</v>
      </c>
      <c r="AO450" s="7">
        <v>0</v>
      </c>
      <c r="AP450" s="7">
        <v>0</v>
      </c>
      <c r="AQ450" s="7">
        <v>0</v>
      </c>
      <c r="AR450" s="7">
        <v>0</v>
      </c>
      <c r="AS450" s="7">
        <v>0</v>
      </c>
      <c r="AT450" s="7">
        <v>0</v>
      </c>
      <c r="AU450" s="7">
        <v>0</v>
      </c>
      <c r="AV450" s="7">
        <v>0</v>
      </c>
      <c r="AW450" s="7">
        <v>0</v>
      </c>
      <c r="AX450" s="7">
        <v>0</v>
      </c>
      <c r="AY450" s="7">
        <v>0</v>
      </c>
      <c r="AZ450" s="7">
        <v>0</v>
      </c>
      <c r="BA450" s="7">
        <v>0</v>
      </c>
      <c r="BB450" s="7">
        <v>0</v>
      </c>
      <c r="BC450" s="7">
        <v>0</v>
      </c>
      <c r="BD450" s="7">
        <v>0</v>
      </c>
      <c r="BE450" s="7">
        <v>0</v>
      </c>
      <c r="BF450" s="7">
        <v>0</v>
      </c>
      <c r="BG450" s="7">
        <v>0</v>
      </c>
      <c r="BH450" s="7">
        <v>0</v>
      </c>
      <c r="BI450" s="7">
        <v>0</v>
      </c>
      <c r="BJ450" s="7">
        <v>0</v>
      </c>
      <c r="BK450" s="7">
        <v>0</v>
      </c>
      <c r="BL450" s="7">
        <v>0</v>
      </c>
      <c r="BM450" s="10">
        <v>1500</v>
      </c>
      <c r="BN450" s="16">
        <f t="shared" si="15"/>
        <v>1500</v>
      </c>
      <c r="BO450" s="14">
        <f t="shared" si="16"/>
        <v>1050</v>
      </c>
    </row>
    <row r="451" spans="1:67" x14ac:dyDescent="0.3">
      <c r="A451" s="5" t="s">
        <v>522</v>
      </c>
      <c r="B451" s="5" t="s">
        <v>140</v>
      </c>
      <c r="C451" s="5">
        <v>379813</v>
      </c>
      <c r="D451" s="6"/>
      <c r="E451" s="5" t="s">
        <v>32</v>
      </c>
      <c r="F451" s="5" t="s">
        <v>48</v>
      </c>
      <c r="G451" s="5" t="s">
        <v>11</v>
      </c>
      <c r="H451" s="7" t="s">
        <v>7</v>
      </c>
      <c r="I451" s="7" t="s">
        <v>141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7">
        <v>0</v>
      </c>
      <c r="U451" s="7">
        <v>0</v>
      </c>
      <c r="V451" s="7">
        <v>0</v>
      </c>
      <c r="W451" s="7">
        <v>0</v>
      </c>
      <c r="X451" s="7">
        <v>0</v>
      </c>
      <c r="Y451" s="7">
        <v>0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14</v>
      </c>
      <c r="AF451" s="8">
        <v>1400</v>
      </c>
      <c r="AG451" s="7">
        <v>0</v>
      </c>
      <c r="AH451" s="7">
        <v>0</v>
      </c>
      <c r="AI451" s="7">
        <v>0</v>
      </c>
      <c r="AJ451" s="7">
        <v>0</v>
      </c>
      <c r="AK451" s="7">
        <v>0</v>
      </c>
      <c r="AL451" s="7">
        <v>0</v>
      </c>
      <c r="AM451" s="7">
        <v>0</v>
      </c>
      <c r="AN451" s="7">
        <v>0</v>
      </c>
      <c r="AO451" s="7">
        <v>0</v>
      </c>
      <c r="AP451" s="7">
        <v>0</v>
      </c>
      <c r="AQ451" s="7">
        <v>0</v>
      </c>
      <c r="AR451" s="7">
        <v>0</v>
      </c>
      <c r="AS451" s="7">
        <v>0</v>
      </c>
      <c r="AT451" s="7">
        <v>0</v>
      </c>
      <c r="AU451" s="7">
        <v>0</v>
      </c>
      <c r="AV451" s="7">
        <v>0</v>
      </c>
      <c r="AW451" s="7">
        <v>0</v>
      </c>
      <c r="AX451" s="7">
        <v>0</v>
      </c>
      <c r="AY451" s="7">
        <v>0</v>
      </c>
      <c r="AZ451" s="7">
        <v>0</v>
      </c>
      <c r="BA451" s="7">
        <v>0</v>
      </c>
      <c r="BB451" s="7">
        <v>0</v>
      </c>
      <c r="BC451" s="7">
        <v>0</v>
      </c>
      <c r="BD451" s="7">
        <v>0</v>
      </c>
      <c r="BE451" s="7">
        <v>0</v>
      </c>
      <c r="BF451" s="7">
        <v>0</v>
      </c>
      <c r="BG451" s="7">
        <v>0</v>
      </c>
      <c r="BH451" s="7">
        <v>0</v>
      </c>
      <c r="BI451" s="7">
        <v>0</v>
      </c>
      <c r="BJ451" s="7">
        <v>0</v>
      </c>
      <c r="BK451" s="7">
        <v>0</v>
      </c>
      <c r="BL451" s="7">
        <v>0</v>
      </c>
      <c r="BM451" s="10">
        <v>1400</v>
      </c>
      <c r="BN451" s="16">
        <f t="shared" si="15"/>
        <v>1400</v>
      </c>
      <c r="BO451" s="14">
        <f t="shared" si="16"/>
        <v>979.99999999999989</v>
      </c>
    </row>
    <row r="452" spans="1:67" x14ac:dyDescent="0.3">
      <c r="A452" s="5" t="s">
        <v>542</v>
      </c>
      <c r="B452" s="5" t="s">
        <v>205</v>
      </c>
      <c r="C452" s="5">
        <v>359006</v>
      </c>
      <c r="D452" s="6"/>
      <c r="E452" s="5" t="s">
        <v>32</v>
      </c>
      <c r="F452" s="5" t="s">
        <v>153</v>
      </c>
      <c r="G452" s="5" t="s">
        <v>52</v>
      </c>
      <c r="H452" s="7" t="s">
        <v>8</v>
      </c>
      <c r="I452" s="7" t="s">
        <v>206</v>
      </c>
      <c r="J452" s="7">
        <v>0</v>
      </c>
      <c r="K452" s="7">
        <v>0</v>
      </c>
      <c r="L452" s="7">
        <v>0</v>
      </c>
      <c r="M452" s="7">
        <v>0</v>
      </c>
      <c r="N452" s="7">
        <v>0</v>
      </c>
      <c r="O452" s="7">
        <v>0</v>
      </c>
      <c r="P452" s="7">
        <v>0</v>
      </c>
      <c r="Q452" s="7">
        <v>0</v>
      </c>
      <c r="R452" s="7">
        <v>0</v>
      </c>
      <c r="S452" s="7">
        <v>0</v>
      </c>
      <c r="T452" s="7">
        <v>0</v>
      </c>
      <c r="U452" s="7">
        <v>0</v>
      </c>
      <c r="V452" s="7">
        <v>0</v>
      </c>
      <c r="W452" s="7">
        <v>0</v>
      </c>
      <c r="X452" s="7">
        <v>0</v>
      </c>
      <c r="Y452" s="7">
        <v>0</v>
      </c>
      <c r="Z452" s="7">
        <v>0</v>
      </c>
      <c r="AA452" s="7">
        <v>0</v>
      </c>
      <c r="AB452" s="7">
        <v>0</v>
      </c>
      <c r="AC452" s="7">
        <v>0</v>
      </c>
      <c r="AD452" s="7">
        <v>0</v>
      </c>
      <c r="AE452" s="7">
        <v>8</v>
      </c>
      <c r="AF452" s="7">
        <v>800</v>
      </c>
      <c r="AG452" s="7">
        <v>0</v>
      </c>
      <c r="AH452" s="7">
        <v>0</v>
      </c>
      <c r="AI452" s="7">
        <v>0</v>
      </c>
      <c r="AJ452" s="7">
        <v>0</v>
      </c>
      <c r="AK452" s="7">
        <v>6</v>
      </c>
      <c r="AL452" s="7">
        <v>0</v>
      </c>
      <c r="AM452" s="7">
        <v>600</v>
      </c>
      <c r="AN452" s="7">
        <v>0</v>
      </c>
      <c r="AO452" s="7">
        <v>0</v>
      </c>
      <c r="AP452" s="7">
        <v>0</v>
      </c>
      <c r="AQ452" s="7">
        <v>0</v>
      </c>
      <c r="AR452" s="7">
        <v>0</v>
      </c>
      <c r="AS452" s="7">
        <v>0</v>
      </c>
      <c r="AT452" s="7">
        <v>0</v>
      </c>
      <c r="AU452" s="7">
        <v>0</v>
      </c>
      <c r="AV452" s="7">
        <v>0</v>
      </c>
      <c r="AW452" s="7">
        <v>0</v>
      </c>
      <c r="AX452" s="7">
        <v>0</v>
      </c>
      <c r="AY452" s="7">
        <v>0</v>
      </c>
      <c r="AZ452" s="7">
        <v>0</v>
      </c>
      <c r="BA452" s="7">
        <v>0</v>
      </c>
      <c r="BB452" s="7">
        <v>0</v>
      </c>
      <c r="BC452" s="7">
        <v>0</v>
      </c>
      <c r="BD452" s="7">
        <v>0</v>
      </c>
      <c r="BE452" s="7">
        <v>0</v>
      </c>
      <c r="BF452" s="7">
        <v>0</v>
      </c>
      <c r="BG452" s="7">
        <v>0</v>
      </c>
      <c r="BH452" s="7">
        <v>0</v>
      </c>
      <c r="BI452" s="7">
        <v>0</v>
      </c>
      <c r="BJ452" s="7">
        <v>0</v>
      </c>
      <c r="BK452" s="7">
        <v>0</v>
      </c>
      <c r="BL452" s="7">
        <v>0</v>
      </c>
      <c r="BM452" s="10">
        <v>1400</v>
      </c>
      <c r="BN452" s="16">
        <f t="shared" si="15"/>
        <v>1400</v>
      </c>
      <c r="BO452" s="14">
        <f t="shared" si="16"/>
        <v>979.99999999999989</v>
      </c>
    </row>
    <row r="453" spans="1:67" x14ac:dyDescent="0.3">
      <c r="A453" s="5" t="s">
        <v>522</v>
      </c>
      <c r="B453" s="5" t="s">
        <v>230</v>
      </c>
      <c r="C453" s="5">
        <v>421661</v>
      </c>
      <c r="D453" s="6"/>
      <c r="E453" s="5" t="s">
        <v>32</v>
      </c>
      <c r="F453" s="5" t="s">
        <v>231</v>
      </c>
      <c r="G453" s="5" t="s">
        <v>52</v>
      </c>
      <c r="H453" s="7" t="s">
        <v>8</v>
      </c>
      <c r="I453" s="7" t="s">
        <v>232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7">
        <v>0</v>
      </c>
      <c r="U453" s="7">
        <v>0</v>
      </c>
      <c r="V453" s="7">
        <v>0</v>
      </c>
      <c r="W453" s="7">
        <v>0</v>
      </c>
      <c r="X453" s="7">
        <v>0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10</v>
      </c>
      <c r="AF453" s="8">
        <v>1000</v>
      </c>
      <c r="AG453" s="7">
        <v>0</v>
      </c>
      <c r="AH453" s="7">
        <v>0</v>
      </c>
      <c r="AI453" s="7">
        <v>0</v>
      </c>
      <c r="AJ453" s="7">
        <v>0</v>
      </c>
      <c r="AK453" s="7">
        <v>2</v>
      </c>
      <c r="AL453" s="7">
        <v>0</v>
      </c>
      <c r="AM453" s="7">
        <v>200</v>
      </c>
      <c r="AN453" s="7">
        <v>0</v>
      </c>
      <c r="AO453" s="7">
        <v>0</v>
      </c>
      <c r="AP453" s="7">
        <v>0</v>
      </c>
      <c r="AQ453" s="7">
        <v>0</v>
      </c>
      <c r="AR453" s="7">
        <v>0</v>
      </c>
      <c r="AS453" s="7">
        <v>0</v>
      </c>
      <c r="AT453" s="7">
        <v>0</v>
      </c>
      <c r="AU453" s="7">
        <v>0</v>
      </c>
      <c r="AV453" s="7">
        <v>0</v>
      </c>
      <c r="AW453" s="7">
        <v>0</v>
      </c>
      <c r="AX453" s="7">
        <v>0</v>
      </c>
      <c r="AY453" s="7">
        <v>0</v>
      </c>
      <c r="AZ453" s="7">
        <v>0</v>
      </c>
      <c r="BA453" s="7">
        <v>0</v>
      </c>
      <c r="BB453" s="7">
        <v>0</v>
      </c>
      <c r="BC453" s="7">
        <v>0</v>
      </c>
      <c r="BD453" s="7">
        <v>0</v>
      </c>
      <c r="BE453" s="7">
        <v>0</v>
      </c>
      <c r="BF453" s="7">
        <v>0</v>
      </c>
      <c r="BG453" s="7">
        <v>0</v>
      </c>
      <c r="BH453" s="7">
        <v>0</v>
      </c>
      <c r="BI453" s="7">
        <v>0</v>
      </c>
      <c r="BJ453" s="7">
        <v>0</v>
      </c>
      <c r="BK453" s="7">
        <v>0</v>
      </c>
      <c r="BL453" s="7">
        <v>0</v>
      </c>
      <c r="BM453" s="10">
        <v>1200</v>
      </c>
      <c r="BN453" s="16">
        <f t="shared" si="15"/>
        <v>1200</v>
      </c>
      <c r="BO453" s="14">
        <f t="shared" si="16"/>
        <v>840</v>
      </c>
    </row>
    <row r="454" spans="1:67" x14ac:dyDescent="0.3">
      <c r="A454" s="5" t="s">
        <v>522</v>
      </c>
      <c r="B454" s="5" t="s">
        <v>219</v>
      </c>
      <c r="C454" s="5">
        <v>371774</v>
      </c>
      <c r="D454" s="6"/>
      <c r="E454" s="5" t="s">
        <v>32</v>
      </c>
      <c r="F454" s="5" t="s">
        <v>220</v>
      </c>
      <c r="G454" s="5" t="s">
        <v>11</v>
      </c>
      <c r="H454" s="7" t="s">
        <v>7</v>
      </c>
      <c r="I454" s="7" t="s">
        <v>221</v>
      </c>
      <c r="J454" s="7">
        <v>0</v>
      </c>
      <c r="K454" s="7">
        <v>0</v>
      </c>
      <c r="L454" s="7">
        <v>0</v>
      </c>
      <c r="M454" s="7">
        <v>0</v>
      </c>
      <c r="N454" s="7">
        <v>0</v>
      </c>
      <c r="O454" s="7">
        <v>0</v>
      </c>
      <c r="P454" s="7">
        <v>0</v>
      </c>
      <c r="Q454" s="7">
        <v>0</v>
      </c>
      <c r="R454" s="7">
        <v>0</v>
      </c>
      <c r="S454" s="7">
        <v>0</v>
      </c>
      <c r="T454" s="7">
        <v>0</v>
      </c>
      <c r="U454" s="7">
        <v>0</v>
      </c>
      <c r="V454" s="7">
        <v>0</v>
      </c>
      <c r="W454" s="7">
        <v>0</v>
      </c>
      <c r="X454" s="7">
        <v>0</v>
      </c>
      <c r="Y454" s="7">
        <v>0</v>
      </c>
      <c r="Z454" s="7">
        <v>0</v>
      </c>
      <c r="AA454" s="7">
        <v>0</v>
      </c>
      <c r="AB454" s="7">
        <v>0</v>
      </c>
      <c r="AC454" s="7">
        <v>0</v>
      </c>
      <c r="AD454" s="7">
        <v>0</v>
      </c>
      <c r="AE454" s="7">
        <v>11</v>
      </c>
      <c r="AF454" s="8">
        <v>1100</v>
      </c>
      <c r="AG454" s="7">
        <v>0</v>
      </c>
      <c r="AH454" s="7">
        <v>0</v>
      </c>
      <c r="AI454" s="7">
        <v>0</v>
      </c>
      <c r="AJ454" s="7">
        <v>0</v>
      </c>
      <c r="AK454" s="7">
        <v>0</v>
      </c>
      <c r="AL454" s="7">
        <v>0</v>
      </c>
      <c r="AM454" s="7">
        <v>0</v>
      </c>
      <c r="AN454" s="7">
        <v>0</v>
      </c>
      <c r="AO454" s="7">
        <v>0</v>
      </c>
      <c r="AP454" s="7">
        <v>0</v>
      </c>
      <c r="AQ454" s="7">
        <v>0</v>
      </c>
      <c r="AR454" s="7">
        <v>0</v>
      </c>
      <c r="AS454" s="7">
        <v>0</v>
      </c>
      <c r="AT454" s="7">
        <v>0</v>
      </c>
      <c r="AU454" s="7">
        <v>0</v>
      </c>
      <c r="AV454" s="7">
        <v>0</v>
      </c>
      <c r="AW454" s="7">
        <v>0</v>
      </c>
      <c r="AX454" s="7">
        <v>0</v>
      </c>
      <c r="AY454" s="7">
        <v>0</v>
      </c>
      <c r="AZ454" s="7">
        <v>0</v>
      </c>
      <c r="BA454" s="7">
        <v>0</v>
      </c>
      <c r="BB454" s="7">
        <v>0</v>
      </c>
      <c r="BC454" s="7">
        <v>0</v>
      </c>
      <c r="BD454" s="7">
        <v>0</v>
      </c>
      <c r="BE454" s="7">
        <v>0</v>
      </c>
      <c r="BF454" s="7">
        <v>0</v>
      </c>
      <c r="BG454" s="7">
        <v>0</v>
      </c>
      <c r="BH454" s="7">
        <v>0</v>
      </c>
      <c r="BI454" s="7">
        <v>0</v>
      </c>
      <c r="BJ454" s="7">
        <v>0</v>
      </c>
      <c r="BK454" s="7">
        <v>0</v>
      </c>
      <c r="BL454" s="7">
        <v>0</v>
      </c>
      <c r="BM454" s="10">
        <v>1100</v>
      </c>
      <c r="BN454" s="16">
        <f t="shared" si="15"/>
        <v>1100</v>
      </c>
      <c r="BO454" s="14">
        <f t="shared" si="16"/>
        <v>770</v>
      </c>
    </row>
    <row r="455" spans="1:67" x14ac:dyDescent="0.3">
      <c r="A455" s="5" t="s">
        <v>522</v>
      </c>
      <c r="B455" s="5" t="s">
        <v>211</v>
      </c>
      <c r="C455" s="5">
        <v>325640</v>
      </c>
      <c r="D455" s="6"/>
      <c r="E455" s="5" t="s">
        <v>32</v>
      </c>
      <c r="F455" s="5" t="s">
        <v>212</v>
      </c>
      <c r="G455" s="5" t="s">
        <v>11</v>
      </c>
      <c r="H455" s="7" t="s">
        <v>7</v>
      </c>
      <c r="I455" s="7" t="s">
        <v>213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7">
        <v>0</v>
      </c>
      <c r="U455" s="7">
        <v>0</v>
      </c>
      <c r="V455" s="7">
        <v>0</v>
      </c>
      <c r="W455" s="7">
        <v>0</v>
      </c>
      <c r="X455" s="7">
        <v>0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7">
        <v>0</v>
      </c>
      <c r="AK455" s="7">
        <v>10</v>
      </c>
      <c r="AL455" s="7">
        <v>0</v>
      </c>
      <c r="AM455" s="8">
        <v>1000</v>
      </c>
      <c r="AN455" s="7">
        <v>0</v>
      </c>
      <c r="AO455" s="7">
        <v>0</v>
      </c>
      <c r="AP455" s="7">
        <v>0</v>
      </c>
      <c r="AQ455" s="7">
        <v>0</v>
      </c>
      <c r="AR455" s="7">
        <v>0</v>
      </c>
      <c r="AS455" s="7">
        <v>0</v>
      </c>
      <c r="AT455" s="7">
        <v>0</v>
      </c>
      <c r="AU455" s="7">
        <v>0</v>
      </c>
      <c r="AV455" s="7">
        <v>0</v>
      </c>
      <c r="AW455" s="7">
        <v>0</v>
      </c>
      <c r="AX455" s="7">
        <v>0</v>
      </c>
      <c r="AY455" s="7">
        <v>0</v>
      </c>
      <c r="AZ455" s="7">
        <v>0</v>
      </c>
      <c r="BA455" s="7">
        <v>0</v>
      </c>
      <c r="BB455" s="7">
        <v>0</v>
      </c>
      <c r="BC455" s="7">
        <v>0</v>
      </c>
      <c r="BD455" s="7">
        <v>0</v>
      </c>
      <c r="BE455" s="7">
        <v>0</v>
      </c>
      <c r="BF455" s="7">
        <v>0</v>
      </c>
      <c r="BG455" s="7">
        <v>0</v>
      </c>
      <c r="BH455" s="7">
        <v>0</v>
      </c>
      <c r="BI455" s="7">
        <v>0</v>
      </c>
      <c r="BJ455" s="7">
        <v>0</v>
      </c>
      <c r="BK455" s="7">
        <v>0</v>
      </c>
      <c r="BL455" s="7">
        <v>0</v>
      </c>
      <c r="BM455" s="10">
        <v>1000</v>
      </c>
      <c r="BN455" s="16">
        <f t="shared" si="15"/>
        <v>1000</v>
      </c>
      <c r="BO455" s="14">
        <f t="shared" si="16"/>
        <v>700</v>
      </c>
    </row>
    <row r="456" spans="1:67" x14ac:dyDescent="0.3">
      <c r="A456" s="5" t="s">
        <v>542</v>
      </c>
      <c r="B456" s="5" t="s">
        <v>193</v>
      </c>
      <c r="C456" s="5">
        <v>382640</v>
      </c>
      <c r="D456" s="6"/>
      <c r="E456" s="5" t="s">
        <v>32</v>
      </c>
      <c r="F456" s="5" t="s">
        <v>172</v>
      </c>
      <c r="G456" s="5" t="s">
        <v>11</v>
      </c>
      <c r="H456" s="7" t="s">
        <v>7</v>
      </c>
      <c r="I456" s="7" t="s">
        <v>194</v>
      </c>
      <c r="J456" s="7">
        <v>0</v>
      </c>
      <c r="K456" s="7">
        <v>0</v>
      </c>
      <c r="L456" s="7">
        <v>0</v>
      </c>
      <c r="M456" s="7">
        <v>0</v>
      </c>
      <c r="N456" s="7">
        <v>0</v>
      </c>
      <c r="O456" s="7">
        <v>0</v>
      </c>
      <c r="P456" s="7">
        <v>0</v>
      </c>
      <c r="Q456" s="7">
        <v>0</v>
      </c>
      <c r="R456" s="7">
        <v>0</v>
      </c>
      <c r="S456" s="7">
        <v>0</v>
      </c>
      <c r="T456" s="7">
        <v>0</v>
      </c>
      <c r="U456" s="7">
        <v>0</v>
      </c>
      <c r="V456" s="7">
        <v>0</v>
      </c>
      <c r="W456" s="7">
        <v>0</v>
      </c>
      <c r="X456" s="7">
        <v>0</v>
      </c>
      <c r="Y456" s="7">
        <v>0</v>
      </c>
      <c r="Z456" s="7">
        <v>0</v>
      </c>
      <c r="AA456" s="7">
        <v>0</v>
      </c>
      <c r="AB456" s="7">
        <v>0</v>
      </c>
      <c r="AC456" s="7">
        <v>0</v>
      </c>
      <c r="AD456" s="7">
        <v>0</v>
      </c>
      <c r="AE456" s="7">
        <v>9</v>
      </c>
      <c r="AF456" s="7">
        <v>900</v>
      </c>
      <c r="AG456" s="7">
        <v>0</v>
      </c>
      <c r="AH456" s="7">
        <v>0</v>
      </c>
      <c r="AI456" s="7">
        <v>0</v>
      </c>
      <c r="AJ456" s="7">
        <v>0</v>
      </c>
      <c r="AK456" s="7">
        <v>0</v>
      </c>
      <c r="AL456" s="7">
        <v>0</v>
      </c>
      <c r="AM456" s="7">
        <v>0</v>
      </c>
      <c r="AN456" s="7">
        <v>0</v>
      </c>
      <c r="AO456" s="7">
        <v>0</v>
      </c>
      <c r="AP456" s="7">
        <v>0</v>
      </c>
      <c r="AQ456" s="7">
        <v>0</v>
      </c>
      <c r="AR456" s="7">
        <v>0</v>
      </c>
      <c r="AS456" s="7">
        <v>0</v>
      </c>
      <c r="AT456" s="7">
        <v>0</v>
      </c>
      <c r="AU456" s="7">
        <v>0</v>
      </c>
      <c r="AV456" s="7">
        <v>0</v>
      </c>
      <c r="AW456" s="7">
        <v>0</v>
      </c>
      <c r="AX456" s="7">
        <v>0</v>
      </c>
      <c r="AY456" s="7">
        <v>0</v>
      </c>
      <c r="AZ456" s="7">
        <v>0</v>
      </c>
      <c r="BA456" s="7">
        <v>0</v>
      </c>
      <c r="BB456" s="7">
        <v>0</v>
      </c>
      <c r="BC456" s="7">
        <v>0</v>
      </c>
      <c r="BD456" s="7">
        <v>0</v>
      </c>
      <c r="BE456" s="7">
        <v>0</v>
      </c>
      <c r="BF456" s="7">
        <v>0</v>
      </c>
      <c r="BG456" s="7">
        <v>0</v>
      </c>
      <c r="BH456" s="7">
        <v>0</v>
      </c>
      <c r="BI456" s="7">
        <v>0</v>
      </c>
      <c r="BJ456" s="7">
        <v>0</v>
      </c>
      <c r="BK456" s="7">
        <v>0</v>
      </c>
      <c r="BL456" s="7">
        <v>0</v>
      </c>
      <c r="BM456" s="11">
        <v>900</v>
      </c>
      <c r="BN456" s="16">
        <f t="shared" si="15"/>
        <v>900</v>
      </c>
      <c r="BO456" s="14">
        <f t="shared" si="16"/>
        <v>630</v>
      </c>
    </row>
    <row r="457" spans="1:67" x14ac:dyDescent="0.3">
      <c r="A457" s="5" t="s">
        <v>522</v>
      </c>
      <c r="B457" s="5" t="s">
        <v>270</v>
      </c>
      <c r="C457" s="5">
        <v>305522</v>
      </c>
      <c r="D457" s="6"/>
      <c r="E457" s="5" t="s">
        <v>32</v>
      </c>
      <c r="F457" s="5" t="s">
        <v>60</v>
      </c>
      <c r="G457" s="5" t="s">
        <v>52</v>
      </c>
      <c r="H457" s="7" t="s">
        <v>8</v>
      </c>
      <c r="I457" s="7" t="s">
        <v>271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7">
        <v>0</v>
      </c>
      <c r="U457" s="7">
        <v>0</v>
      </c>
      <c r="V457" s="7">
        <v>0</v>
      </c>
      <c r="W457" s="7">
        <v>0</v>
      </c>
      <c r="X457" s="7">
        <v>0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1</v>
      </c>
      <c r="AF457" s="7">
        <v>100</v>
      </c>
      <c r="AG457" s="7">
        <v>0</v>
      </c>
      <c r="AH457" s="7">
        <v>0</v>
      </c>
      <c r="AI457" s="7">
        <v>0</v>
      </c>
      <c r="AJ457" s="7">
        <v>0</v>
      </c>
      <c r="AK457" s="7">
        <v>6</v>
      </c>
      <c r="AL457" s="7">
        <v>600</v>
      </c>
      <c r="AM457" s="7">
        <v>100</v>
      </c>
      <c r="AN457" s="7">
        <v>0</v>
      </c>
      <c r="AO457" s="7">
        <v>0</v>
      </c>
      <c r="AP457" s="7">
        <v>0</v>
      </c>
      <c r="AQ457" s="7">
        <v>0</v>
      </c>
      <c r="AR457" s="7">
        <v>0</v>
      </c>
      <c r="AS457" s="7">
        <v>0</v>
      </c>
      <c r="AT457" s="7">
        <v>0</v>
      </c>
      <c r="AU457" s="7">
        <v>0</v>
      </c>
      <c r="AV457" s="7">
        <v>0</v>
      </c>
      <c r="AW457" s="7">
        <v>0</v>
      </c>
      <c r="AX457" s="7">
        <v>0</v>
      </c>
      <c r="AY457" s="7">
        <v>0</v>
      </c>
      <c r="AZ457" s="7">
        <v>0</v>
      </c>
      <c r="BA457" s="7">
        <v>0</v>
      </c>
      <c r="BB457" s="7">
        <v>0</v>
      </c>
      <c r="BC457" s="7">
        <v>0</v>
      </c>
      <c r="BD457" s="7">
        <v>0</v>
      </c>
      <c r="BE457" s="7">
        <v>0</v>
      </c>
      <c r="BF457" s="7">
        <v>0</v>
      </c>
      <c r="BG457" s="7">
        <v>0</v>
      </c>
      <c r="BH457" s="7">
        <v>0</v>
      </c>
      <c r="BI457" s="7">
        <v>0</v>
      </c>
      <c r="BJ457" s="7">
        <v>0</v>
      </c>
      <c r="BK457" s="7">
        <v>0</v>
      </c>
      <c r="BL457" s="7">
        <v>180</v>
      </c>
      <c r="BM457" s="11">
        <v>800</v>
      </c>
      <c r="BN457" s="16">
        <f t="shared" si="15"/>
        <v>620</v>
      </c>
      <c r="BO457" s="14">
        <f t="shared" si="16"/>
        <v>434</v>
      </c>
    </row>
    <row r="458" spans="1:67" x14ac:dyDescent="0.3">
      <c r="A458" s="5" t="s">
        <v>522</v>
      </c>
      <c r="B458" s="5" t="s">
        <v>144</v>
      </c>
      <c r="C458" s="5">
        <v>425414</v>
      </c>
      <c r="D458" s="6"/>
      <c r="E458" s="5" t="s">
        <v>32</v>
      </c>
      <c r="F458" s="5" t="s">
        <v>145</v>
      </c>
      <c r="G458" s="5" t="s">
        <v>11</v>
      </c>
      <c r="H458" s="7" t="s">
        <v>7</v>
      </c>
      <c r="I458" s="7" t="s">
        <v>146</v>
      </c>
      <c r="J458" s="7">
        <v>0</v>
      </c>
      <c r="K458" s="7">
        <v>0</v>
      </c>
      <c r="L458" s="7">
        <v>0</v>
      </c>
      <c r="M458" s="7">
        <v>0</v>
      </c>
      <c r="N458" s="7">
        <v>0</v>
      </c>
      <c r="O458" s="7">
        <v>0</v>
      </c>
      <c r="P458" s="7">
        <v>0</v>
      </c>
      <c r="Q458" s="7">
        <v>0</v>
      </c>
      <c r="R458" s="7">
        <v>0</v>
      </c>
      <c r="S458" s="7">
        <v>0</v>
      </c>
      <c r="T458" s="7">
        <v>0</v>
      </c>
      <c r="U458" s="7">
        <v>0</v>
      </c>
      <c r="V458" s="7">
        <v>0</v>
      </c>
      <c r="W458" s="7">
        <v>0</v>
      </c>
      <c r="X458" s="7">
        <v>0</v>
      </c>
      <c r="Y458" s="7">
        <v>0</v>
      </c>
      <c r="Z458" s="7">
        <v>0</v>
      </c>
      <c r="AA458" s="7">
        <v>0</v>
      </c>
      <c r="AB458" s="7">
        <v>0</v>
      </c>
      <c r="AC458" s="7">
        <v>0</v>
      </c>
      <c r="AD458" s="7">
        <v>0</v>
      </c>
      <c r="AE458" s="7">
        <v>5</v>
      </c>
      <c r="AF458" s="7">
        <v>500</v>
      </c>
      <c r="AG458" s="7">
        <v>0</v>
      </c>
      <c r="AH458" s="7">
        <v>0</v>
      </c>
      <c r="AI458" s="7">
        <v>0</v>
      </c>
      <c r="AJ458" s="7">
        <v>0</v>
      </c>
      <c r="AK458" s="7">
        <v>0</v>
      </c>
      <c r="AL458" s="7">
        <v>0</v>
      </c>
      <c r="AM458" s="7">
        <v>0</v>
      </c>
      <c r="AN458" s="7">
        <v>0</v>
      </c>
      <c r="AO458" s="7">
        <v>0</v>
      </c>
      <c r="AP458" s="7">
        <v>0</v>
      </c>
      <c r="AQ458" s="7">
        <v>0</v>
      </c>
      <c r="AR458" s="7">
        <v>0</v>
      </c>
      <c r="AS458" s="7">
        <v>0</v>
      </c>
      <c r="AT458" s="7">
        <v>0</v>
      </c>
      <c r="AU458" s="7">
        <v>0</v>
      </c>
      <c r="AV458" s="7">
        <v>0</v>
      </c>
      <c r="AW458" s="7">
        <v>0</v>
      </c>
      <c r="AX458" s="7">
        <v>0</v>
      </c>
      <c r="AY458" s="7">
        <v>0</v>
      </c>
      <c r="AZ458" s="7">
        <v>0</v>
      </c>
      <c r="BA458" s="7">
        <v>0</v>
      </c>
      <c r="BB458" s="7">
        <v>0</v>
      </c>
      <c r="BC458" s="7">
        <v>0</v>
      </c>
      <c r="BD458" s="7">
        <v>0</v>
      </c>
      <c r="BE458" s="7">
        <v>0</v>
      </c>
      <c r="BF458" s="7">
        <v>0</v>
      </c>
      <c r="BG458" s="7">
        <v>0</v>
      </c>
      <c r="BH458" s="7">
        <v>0</v>
      </c>
      <c r="BI458" s="7">
        <v>0</v>
      </c>
      <c r="BJ458" s="7">
        <v>0</v>
      </c>
      <c r="BK458" s="7">
        <v>0</v>
      </c>
      <c r="BL458" s="7">
        <v>0</v>
      </c>
      <c r="BM458" s="11">
        <v>500</v>
      </c>
      <c r="BN458" s="16">
        <f t="shared" si="15"/>
        <v>500</v>
      </c>
      <c r="BO458" s="14">
        <f t="shared" si="16"/>
        <v>350</v>
      </c>
    </row>
    <row r="459" spans="1:67" x14ac:dyDescent="0.3">
      <c r="A459" s="5" t="s">
        <v>522</v>
      </c>
      <c r="B459" s="5" t="s">
        <v>536</v>
      </c>
      <c r="C459" s="5">
        <v>381822</v>
      </c>
      <c r="D459" s="6"/>
      <c r="E459" s="5" t="s">
        <v>32</v>
      </c>
      <c r="F459" s="5" t="s">
        <v>73</v>
      </c>
      <c r="G459" s="5" t="s">
        <v>52</v>
      </c>
      <c r="H459" s="7" t="s">
        <v>7</v>
      </c>
      <c r="I459" s="7" t="s">
        <v>342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7">
        <v>0</v>
      </c>
      <c r="U459" s="7">
        <v>0</v>
      </c>
      <c r="V459" s="7">
        <v>0</v>
      </c>
      <c r="W459" s="7">
        <v>0</v>
      </c>
      <c r="X459" s="7">
        <v>0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7">
        <v>0</v>
      </c>
      <c r="AK459" s="7">
        <v>1</v>
      </c>
      <c r="AL459" s="7">
        <v>480</v>
      </c>
      <c r="AM459" s="7">
        <v>0</v>
      </c>
      <c r="AN459" s="7">
        <v>0</v>
      </c>
      <c r="AO459" s="7">
        <v>0</v>
      </c>
      <c r="AP459" s="7">
        <v>0</v>
      </c>
      <c r="AQ459" s="7">
        <v>0</v>
      </c>
      <c r="AR459" s="7">
        <v>0</v>
      </c>
      <c r="AS459" s="7">
        <v>0</v>
      </c>
      <c r="AT459" s="7">
        <v>0</v>
      </c>
      <c r="AU459" s="7">
        <v>0</v>
      </c>
      <c r="AV459" s="7">
        <v>0</v>
      </c>
      <c r="AW459" s="7">
        <v>0</v>
      </c>
      <c r="AX459" s="7">
        <v>0</v>
      </c>
      <c r="AY459" s="7">
        <v>0</v>
      </c>
      <c r="AZ459" s="7">
        <v>0</v>
      </c>
      <c r="BA459" s="7">
        <v>0</v>
      </c>
      <c r="BB459" s="7">
        <v>0</v>
      </c>
      <c r="BC459" s="7">
        <v>0</v>
      </c>
      <c r="BD459" s="7">
        <v>0</v>
      </c>
      <c r="BE459" s="7">
        <v>0</v>
      </c>
      <c r="BF459" s="7">
        <v>0</v>
      </c>
      <c r="BG459" s="7">
        <v>0</v>
      </c>
      <c r="BH459" s="7">
        <v>0</v>
      </c>
      <c r="BI459" s="7">
        <v>0</v>
      </c>
      <c r="BJ459" s="7">
        <v>0</v>
      </c>
      <c r="BK459" s="7">
        <v>0</v>
      </c>
      <c r="BL459" s="7">
        <v>144</v>
      </c>
      <c r="BM459" s="11">
        <v>480</v>
      </c>
      <c r="BN459" s="16">
        <f t="shared" si="15"/>
        <v>336</v>
      </c>
      <c r="BO459" s="14">
        <f t="shared" si="16"/>
        <v>235.2</v>
      </c>
    </row>
    <row r="460" spans="1:67" x14ac:dyDescent="0.3">
      <c r="A460" s="5" t="s">
        <v>542</v>
      </c>
      <c r="B460" s="5" t="s">
        <v>537</v>
      </c>
      <c r="C460" s="5">
        <v>426275</v>
      </c>
      <c r="D460" s="6"/>
      <c r="E460" s="5" t="s">
        <v>32</v>
      </c>
      <c r="F460" s="5" t="s">
        <v>126</v>
      </c>
      <c r="G460" s="5" t="s">
        <v>52</v>
      </c>
      <c r="H460" s="7" t="s">
        <v>8</v>
      </c>
      <c r="I460" s="7" t="s">
        <v>332</v>
      </c>
      <c r="J460" s="7">
        <v>0</v>
      </c>
      <c r="K460" s="7">
        <v>0</v>
      </c>
      <c r="L460" s="7">
        <v>0</v>
      </c>
      <c r="M460" s="7">
        <v>0</v>
      </c>
      <c r="N460" s="7">
        <v>0</v>
      </c>
      <c r="O460" s="7">
        <v>0</v>
      </c>
      <c r="P460" s="7">
        <v>0</v>
      </c>
      <c r="Q460" s="7">
        <v>0</v>
      </c>
      <c r="R460" s="7">
        <v>0</v>
      </c>
      <c r="S460" s="7">
        <v>0</v>
      </c>
      <c r="T460" s="7">
        <v>0</v>
      </c>
      <c r="U460" s="7">
        <v>0</v>
      </c>
      <c r="V460" s="7">
        <v>0</v>
      </c>
      <c r="W460" s="7">
        <v>0</v>
      </c>
      <c r="X460" s="7">
        <v>0</v>
      </c>
      <c r="Y460" s="7">
        <v>0</v>
      </c>
      <c r="Z460" s="7">
        <v>0</v>
      </c>
      <c r="AA460" s="7">
        <v>0</v>
      </c>
      <c r="AB460" s="7">
        <v>0</v>
      </c>
      <c r="AC460" s="7">
        <v>0</v>
      </c>
      <c r="AD460" s="7">
        <v>0</v>
      </c>
      <c r="AE460" s="7">
        <v>0</v>
      </c>
      <c r="AF460" s="7">
        <v>0</v>
      </c>
      <c r="AG460" s="7">
        <v>0</v>
      </c>
      <c r="AH460" s="7">
        <v>0</v>
      </c>
      <c r="AI460" s="7">
        <v>0</v>
      </c>
      <c r="AJ460" s="7">
        <v>0</v>
      </c>
      <c r="AK460" s="7">
        <v>1</v>
      </c>
      <c r="AL460" s="7">
        <v>360</v>
      </c>
      <c r="AM460" s="7">
        <v>0</v>
      </c>
      <c r="AN460" s="7">
        <v>0</v>
      </c>
      <c r="AO460" s="7">
        <v>0</v>
      </c>
      <c r="AP460" s="7">
        <v>0</v>
      </c>
      <c r="AQ460" s="7">
        <v>0</v>
      </c>
      <c r="AR460" s="7">
        <v>0</v>
      </c>
      <c r="AS460" s="7">
        <v>0</v>
      </c>
      <c r="AT460" s="7">
        <v>0</v>
      </c>
      <c r="AU460" s="7">
        <v>0</v>
      </c>
      <c r="AV460" s="7">
        <v>0</v>
      </c>
      <c r="AW460" s="7">
        <v>0</v>
      </c>
      <c r="AX460" s="7">
        <v>0</v>
      </c>
      <c r="AY460" s="7">
        <v>0</v>
      </c>
      <c r="AZ460" s="7">
        <v>0</v>
      </c>
      <c r="BA460" s="7">
        <v>0</v>
      </c>
      <c r="BB460" s="7">
        <v>0</v>
      </c>
      <c r="BC460" s="7">
        <v>0</v>
      </c>
      <c r="BD460" s="7">
        <v>0</v>
      </c>
      <c r="BE460" s="7">
        <v>0</v>
      </c>
      <c r="BF460" s="7">
        <v>0</v>
      </c>
      <c r="BG460" s="7">
        <v>0</v>
      </c>
      <c r="BH460" s="7">
        <v>0</v>
      </c>
      <c r="BI460" s="7">
        <v>0</v>
      </c>
      <c r="BJ460" s="7">
        <v>0</v>
      </c>
      <c r="BK460" s="7">
        <v>0</v>
      </c>
      <c r="BL460" s="7">
        <v>108</v>
      </c>
      <c r="BM460" s="11">
        <v>360</v>
      </c>
      <c r="BN460" s="16">
        <f t="shared" si="15"/>
        <v>252</v>
      </c>
      <c r="BO460" s="14">
        <f t="shared" si="16"/>
        <v>176.39999999999998</v>
      </c>
    </row>
    <row r="461" spans="1:67" x14ac:dyDescent="0.3">
      <c r="A461" s="5" t="s">
        <v>522</v>
      </c>
      <c r="B461" s="5" t="s">
        <v>538</v>
      </c>
      <c r="C461" s="5">
        <v>401516</v>
      </c>
      <c r="D461" s="6"/>
      <c r="E461" s="5" t="s">
        <v>32</v>
      </c>
      <c r="F461" s="5" t="s">
        <v>301</v>
      </c>
      <c r="G461" s="5" t="s">
        <v>52</v>
      </c>
      <c r="H461" s="7" t="s">
        <v>340</v>
      </c>
      <c r="I461" s="7" t="s">
        <v>65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7">
        <v>0</v>
      </c>
      <c r="U461" s="7">
        <v>0</v>
      </c>
      <c r="V461" s="7">
        <v>0</v>
      </c>
      <c r="W461" s="7">
        <v>0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1</v>
      </c>
      <c r="AF461" s="7">
        <v>100</v>
      </c>
      <c r="AG461" s="7">
        <v>0</v>
      </c>
      <c r="AH461" s="7">
        <v>0</v>
      </c>
      <c r="AI461" s="7">
        <v>0</v>
      </c>
      <c r="AJ461" s="7">
        <v>0</v>
      </c>
      <c r="AK461" s="7">
        <v>2</v>
      </c>
      <c r="AL461" s="7">
        <v>0</v>
      </c>
      <c r="AM461" s="7">
        <v>200</v>
      </c>
      <c r="AN461" s="7">
        <v>0</v>
      </c>
      <c r="AO461" s="7">
        <v>0</v>
      </c>
      <c r="AP461" s="7">
        <v>0</v>
      </c>
      <c r="AQ461" s="7">
        <v>0</v>
      </c>
      <c r="AR461" s="7">
        <v>0</v>
      </c>
      <c r="AS461" s="7">
        <v>0</v>
      </c>
      <c r="AT461" s="7">
        <v>0</v>
      </c>
      <c r="AU461" s="7">
        <v>0</v>
      </c>
      <c r="AV461" s="7">
        <v>0</v>
      </c>
      <c r="AW461" s="7">
        <v>0</v>
      </c>
      <c r="AX461" s="7">
        <v>0</v>
      </c>
      <c r="AY461" s="7">
        <v>0</v>
      </c>
      <c r="AZ461" s="7">
        <v>0</v>
      </c>
      <c r="BA461" s="7">
        <v>0</v>
      </c>
      <c r="BB461" s="7">
        <v>0</v>
      </c>
      <c r="BC461" s="7">
        <v>0</v>
      </c>
      <c r="BD461" s="7">
        <v>0</v>
      </c>
      <c r="BE461" s="7">
        <v>0</v>
      </c>
      <c r="BF461" s="7">
        <v>0</v>
      </c>
      <c r="BG461" s="7">
        <v>0</v>
      </c>
      <c r="BH461" s="7">
        <v>0</v>
      </c>
      <c r="BI461" s="7">
        <v>0</v>
      </c>
      <c r="BJ461" s="7">
        <v>0</v>
      </c>
      <c r="BK461" s="7">
        <v>0</v>
      </c>
      <c r="BL461" s="7">
        <v>0</v>
      </c>
      <c r="BM461" s="11">
        <v>300</v>
      </c>
      <c r="BN461" s="16">
        <f t="shared" si="15"/>
        <v>300</v>
      </c>
      <c r="BO461" s="14">
        <f t="shared" si="16"/>
        <v>210</v>
      </c>
    </row>
    <row r="462" spans="1:67" x14ac:dyDescent="0.3">
      <c r="A462" s="5" t="s">
        <v>522</v>
      </c>
      <c r="B462" s="5" t="s">
        <v>398</v>
      </c>
      <c r="C462" s="5">
        <v>463949</v>
      </c>
      <c r="D462" s="6"/>
      <c r="E462" s="5" t="s">
        <v>32</v>
      </c>
      <c r="F462" s="5" t="s">
        <v>399</v>
      </c>
      <c r="G462" s="5" t="s">
        <v>11</v>
      </c>
      <c r="H462" s="7" t="s">
        <v>7</v>
      </c>
      <c r="I462" s="7" t="s">
        <v>77</v>
      </c>
      <c r="J462" s="7">
        <v>0</v>
      </c>
      <c r="K462" s="7">
        <v>0</v>
      </c>
      <c r="L462" s="7">
        <v>0</v>
      </c>
      <c r="M462" s="7">
        <v>0</v>
      </c>
      <c r="N462" s="7">
        <v>0</v>
      </c>
      <c r="O462" s="7">
        <v>0</v>
      </c>
      <c r="P462" s="7">
        <v>0</v>
      </c>
      <c r="Q462" s="7">
        <v>0</v>
      </c>
      <c r="R462" s="7">
        <v>0</v>
      </c>
      <c r="S462" s="7">
        <v>0</v>
      </c>
      <c r="T462" s="7">
        <v>0</v>
      </c>
      <c r="U462" s="7">
        <v>0</v>
      </c>
      <c r="V462" s="7">
        <v>0</v>
      </c>
      <c r="W462" s="7">
        <v>0</v>
      </c>
      <c r="X462" s="7">
        <v>0</v>
      </c>
      <c r="Y462" s="7">
        <v>0</v>
      </c>
      <c r="Z462" s="7">
        <v>0</v>
      </c>
      <c r="AA462" s="7">
        <v>0</v>
      </c>
      <c r="AB462" s="7">
        <v>0</v>
      </c>
      <c r="AC462" s="7">
        <v>0</v>
      </c>
      <c r="AD462" s="7">
        <v>0</v>
      </c>
      <c r="AE462" s="7">
        <v>3</v>
      </c>
      <c r="AF462" s="7">
        <v>300</v>
      </c>
      <c r="AG462" s="7">
        <v>0</v>
      </c>
      <c r="AH462" s="7">
        <v>0</v>
      </c>
      <c r="AI462" s="7">
        <v>0</v>
      </c>
      <c r="AJ462" s="7">
        <v>0</v>
      </c>
      <c r="AK462" s="7">
        <v>0</v>
      </c>
      <c r="AL462" s="7">
        <v>0</v>
      </c>
      <c r="AM462" s="7">
        <v>0</v>
      </c>
      <c r="AN462" s="7">
        <v>0</v>
      </c>
      <c r="AO462" s="7">
        <v>0</v>
      </c>
      <c r="AP462" s="7">
        <v>0</v>
      </c>
      <c r="AQ462" s="7">
        <v>0</v>
      </c>
      <c r="AR462" s="7">
        <v>0</v>
      </c>
      <c r="AS462" s="7">
        <v>0</v>
      </c>
      <c r="AT462" s="7">
        <v>0</v>
      </c>
      <c r="AU462" s="7">
        <v>0</v>
      </c>
      <c r="AV462" s="7">
        <v>0</v>
      </c>
      <c r="AW462" s="7">
        <v>0</v>
      </c>
      <c r="AX462" s="7">
        <v>0</v>
      </c>
      <c r="AY462" s="7">
        <v>0</v>
      </c>
      <c r="AZ462" s="7">
        <v>0</v>
      </c>
      <c r="BA462" s="7">
        <v>0</v>
      </c>
      <c r="BB462" s="7">
        <v>0</v>
      </c>
      <c r="BC462" s="7">
        <v>0</v>
      </c>
      <c r="BD462" s="7">
        <v>0</v>
      </c>
      <c r="BE462" s="7">
        <v>0</v>
      </c>
      <c r="BF462" s="7">
        <v>0</v>
      </c>
      <c r="BG462" s="7">
        <v>0</v>
      </c>
      <c r="BH462" s="7">
        <v>0</v>
      </c>
      <c r="BI462" s="7">
        <v>0</v>
      </c>
      <c r="BJ462" s="7">
        <v>0</v>
      </c>
      <c r="BK462" s="7">
        <v>0</v>
      </c>
      <c r="BL462" s="7">
        <v>0</v>
      </c>
      <c r="BM462" s="11">
        <v>300</v>
      </c>
      <c r="BN462" s="16">
        <f t="shared" si="15"/>
        <v>300</v>
      </c>
      <c r="BO462" s="14">
        <f t="shared" si="16"/>
        <v>210</v>
      </c>
    </row>
    <row r="463" spans="1:67" x14ac:dyDescent="0.3">
      <c r="A463" s="5" t="s">
        <v>543</v>
      </c>
      <c r="B463" s="5" t="s">
        <v>539</v>
      </c>
      <c r="C463" s="5">
        <v>393162</v>
      </c>
      <c r="D463" s="6"/>
      <c r="E463" s="5" t="s">
        <v>32</v>
      </c>
      <c r="F463" s="5" t="s">
        <v>148</v>
      </c>
      <c r="G463" s="5" t="s">
        <v>52</v>
      </c>
      <c r="H463" s="7" t="s">
        <v>340</v>
      </c>
      <c r="I463" s="7" t="s">
        <v>540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7">
        <v>0</v>
      </c>
      <c r="U463" s="7">
        <v>0</v>
      </c>
      <c r="V463" s="7">
        <v>0</v>
      </c>
      <c r="W463" s="7">
        <v>0</v>
      </c>
      <c r="X463" s="7">
        <v>0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3</v>
      </c>
      <c r="AF463" s="7">
        <v>300</v>
      </c>
      <c r="AG463" s="7">
        <v>0</v>
      </c>
      <c r="AH463" s="7">
        <v>0</v>
      </c>
      <c r="AI463" s="7">
        <v>0</v>
      </c>
      <c r="AJ463" s="7">
        <v>0</v>
      </c>
      <c r="AK463" s="7">
        <v>0</v>
      </c>
      <c r="AL463" s="7">
        <v>0</v>
      </c>
      <c r="AM463" s="7">
        <v>0</v>
      </c>
      <c r="AN463" s="7">
        <v>0</v>
      </c>
      <c r="AO463" s="7">
        <v>0</v>
      </c>
      <c r="AP463" s="7">
        <v>0</v>
      </c>
      <c r="AQ463" s="7">
        <v>0</v>
      </c>
      <c r="AR463" s="7">
        <v>0</v>
      </c>
      <c r="AS463" s="7">
        <v>0</v>
      </c>
      <c r="AT463" s="7">
        <v>0</v>
      </c>
      <c r="AU463" s="7">
        <v>0</v>
      </c>
      <c r="AV463" s="7">
        <v>0</v>
      </c>
      <c r="AW463" s="7">
        <v>0</v>
      </c>
      <c r="AX463" s="7">
        <v>0</v>
      </c>
      <c r="AY463" s="7">
        <v>0</v>
      </c>
      <c r="AZ463" s="7">
        <v>0</v>
      </c>
      <c r="BA463" s="7">
        <v>0</v>
      </c>
      <c r="BB463" s="7">
        <v>0</v>
      </c>
      <c r="BC463" s="7">
        <v>0</v>
      </c>
      <c r="BD463" s="7">
        <v>0</v>
      </c>
      <c r="BE463" s="7">
        <v>0</v>
      </c>
      <c r="BF463" s="7">
        <v>0</v>
      </c>
      <c r="BG463" s="7">
        <v>0</v>
      </c>
      <c r="BH463" s="7">
        <v>0</v>
      </c>
      <c r="BI463" s="7">
        <v>0</v>
      </c>
      <c r="BJ463" s="7">
        <v>0</v>
      </c>
      <c r="BK463" s="7">
        <v>0</v>
      </c>
      <c r="BL463" s="7">
        <v>0</v>
      </c>
      <c r="BM463" s="11">
        <v>300</v>
      </c>
      <c r="BN463" s="16">
        <f t="shared" si="15"/>
        <v>300</v>
      </c>
      <c r="BO463" s="14">
        <f t="shared" si="16"/>
        <v>210</v>
      </c>
    </row>
    <row r="464" spans="1:67" x14ac:dyDescent="0.3">
      <c r="A464" s="5" t="s">
        <v>543</v>
      </c>
      <c r="B464" s="5" t="s">
        <v>518</v>
      </c>
      <c r="C464" s="5">
        <v>467500</v>
      </c>
      <c r="D464" s="6"/>
      <c r="E464" s="5" t="s">
        <v>32</v>
      </c>
      <c r="F464" s="5" t="s">
        <v>344</v>
      </c>
      <c r="G464" s="5" t="s">
        <v>52</v>
      </c>
      <c r="H464" s="7" t="s">
        <v>8</v>
      </c>
      <c r="I464" s="7" t="s">
        <v>38</v>
      </c>
      <c r="J464" s="7">
        <v>0</v>
      </c>
      <c r="K464" s="7">
        <v>0</v>
      </c>
      <c r="L464" s="7">
        <v>0</v>
      </c>
      <c r="M464" s="7">
        <v>0</v>
      </c>
      <c r="N464" s="7">
        <v>0</v>
      </c>
      <c r="O464" s="7">
        <v>0</v>
      </c>
      <c r="P464" s="7">
        <v>0</v>
      </c>
      <c r="Q464" s="7">
        <v>0</v>
      </c>
      <c r="R464" s="7">
        <v>0</v>
      </c>
      <c r="S464" s="7">
        <v>0</v>
      </c>
      <c r="T464" s="7">
        <v>0</v>
      </c>
      <c r="U464" s="7">
        <v>0</v>
      </c>
      <c r="V464" s="7">
        <v>0</v>
      </c>
      <c r="W464" s="7">
        <v>0</v>
      </c>
      <c r="X464" s="7">
        <v>0</v>
      </c>
      <c r="Y464" s="7">
        <v>0</v>
      </c>
      <c r="Z464" s="7">
        <v>0</v>
      </c>
      <c r="AA464" s="7">
        <v>0</v>
      </c>
      <c r="AB464" s="7">
        <v>0</v>
      </c>
      <c r="AC464" s="7">
        <v>0</v>
      </c>
      <c r="AD464" s="7">
        <v>0</v>
      </c>
      <c r="AE464" s="7">
        <v>1</v>
      </c>
      <c r="AF464" s="7">
        <v>300</v>
      </c>
      <c r="AG464" s="7">
        <v>0</v>
      </c>
      <c r="AH464" s="7">
        <v>0</v>
      </c>
      <c r="AI464" s="7">
        <v>0</v>
      </c>
      <c r="AJ464" s="7">
        <v>0</v>
      </c>
      <c r="AK464" s="7">
        <v>0</v>
      </c>
      <c r="AL464" s="7">
        <v>0</v>
      </c>
      <c r="AM464" s="7">
        <v>0</v>
      </c>
      <c r="AN464" s="7">
        <v>0</v>
      </c>
      <c r="AO464" s="7">
        <v>0</v>
      </c>
      <c r="AP464" s="7">
        <v>0</v>
      </c>
      <c r="AQ464" s="7">
        <v>0</v>
      </c>
      <c r="AR464" s="7">
        <v>0</v>
      </c>
      <c r="AS464" s="7">
        <v>0</v>
      </c>
      <c r="AT464" s="7">
        <v>0</v>
      </c>
      <c r="AU464" s="7">
        <v>0</v>
      </c>
      <c r="AV464" s="7">
        <v>0</v>
      </c>
      <c r="AW464" s="7">
        <v>0</v>
      </c>
      <c r="AX464" s="7">
        <v>0</v>
      </c>
      <c r="AY464" s="7">
        <v>0</v>
      </c>
      <c r="AZ464" s="7">
        <v>0</v>
      </c>
      <c r="BA464" s="7">
        <v>0</v>
      </c>
      <c r="BB464" s="7">
        <v>0</v>
      </c>
      <c r="BC464" s="7">
        <v>0</v>
      </c>
      <c r="BD464" s="7">
        <v>0</v>
      </c>
      <c r="BE464" s="7">
        <v>0</v>
      </c>
      <c r="BF464" s="7">
        <v>0</v>
      </c>
      <c r="BG464" s="7">
        <v>0</v>
      </c>
      <c r="BH464" s="7">
        <v>0</v>
      </c>
      <c r="BI464" s="7">
        <v>0</v>
      </c>
      <c r="BJ464" s="7">
        <v>0</v>
      </c>
      <c r="BK464" s="7">
        <v>0</v>
      </c>
      <c r="BL464" s="7">
        <v>0</v>
      </c>
      <c r="BM464" s="11">
        <v>300</v>
      </c>
      <c r="BN464" s="16">
        <f t="shared" si="15"/>
        <v>300</v>
      </c>
      <c r="BO464" s="14">
        <f t="shared" si="16"/>
        <v>210</v>
      </c>
    </row>
    <row r="465" spans="1:67" x14ac:dyDescent="0.3">
      <c r="A465" s="5" t="s">
        <v>522</v>
      </c>
      <c r="B465" s="5" t="s">
        <v>233</v>
      </c>
      <c r="C465" s="5">
        <v>393598</v>
      </c>
      <c r="D465" s="6"/>
      <c r="E465" s="5" t="s">
        <v>32</v>
      </c>
      <c r="F465" s="5" t="s">
        <v>234</v>
      </c>
      <c r="G465" s="5" t="s">
        <v>52</v>
      </c>
      <c r="H465" s="7" t="s">
        <v>8</v>
      </c>
      <c r="I465" s="7" t="s">
        <v>235</v>
      </c>
      <c r="J465" s="7">
        <v>0</v>
      </c>
      <c r="K465" s="7">
        <v>16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7">
        <v>0</v>
      </c>
      <c r="U465" s="7">
        <v>0</v>
      </c>
      <c r="V465" s="7">
        <v>0</v>
      </c>
      <c r="W465" s="7">
        <v>0</v>
      </c>
      <c r="X465" s="7">
        <v>0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3</v>
      </c>
      <c r="AF465" s="7">
        <v>300</v>
      </c>
      <c r="AG465" s="7">
        <v>0</v>
      </c>
      <c r="AH465" s="7">
        <v>0</v>
      </c>
      <c r="AI465" s="7">
        <v>0</v>
      </c>
      <c r="AJ465" s="7">
        <v>0</v>
      </c>
      <c r="AK465" s="7">
        <v>0</v>
      </c>
      <c r="AL465" s="7">
        <v>0</v>
      </c>
      <c r="AM465" s="7">
        <v>0</v>
      </c>
      <c r="AN465" s="7">
        <v>0</v>
      </c>
      <c r="AO465" s="7">
        <v>0</v>
      </c>
      <c r="AP465" s="7">
        <v>0</v>
      </c>
      <c r="AQ465" s="7">
        <v>0</v>
      </c>
      <c r="AR465" s="7">
        <v>0</v>
      </c>
      <c r="AS465" s="7">
        <v>0</v>
      </c>
      <c r="AT465" s="7">
        <v>0</v>
      </c>
      <c r="AU465" s="7">
        <v>0</v>
      </c>
      <c r="AV465" s="7">
        <v>0</v>
      </c>
      <c r="AW465" s="7">
        <v>0</v>
      </c>
      <c r="AX465" s="7">
        <v>0</v>
      </c>
      <c r="AY465" s="7">
        <v>0</v>
      </c>
      <c r="AZ465" s="7">
        <v>0</v>
      </c>
      <c r="BA465" s="7">
        <v>0</v>
      </c>
      <c r="BB465" s="7">
        <v>0</v>
      </c>
      <c r="BC465" s="7">
        <v>0</v>
      </c>
      <c r="BD465" s="7">
        <v>0</v>
      </c>
      <c r="BE465" s="7">
        <v>0</v>
      </c>
      <c r="BF465" s="7">
        <v>0</v>
      </c>
      <c r="BG465" s="7">
        <v>0</v>
      </c>
      <c r="BH465" s="7">
        <v>0</v>
      </c>
      <c r="BI465" s="7">
        <v>0</v>
      </c>
      <c r="BJ465" s="7">
        <v>0</v>
      </c>
      <c r="BK465" s="7">
        <v>0</v>
      </c>
      <c r="BL465" s="7">
        <v>0</v>
      </c>
      <c r="BM465" s="11">
        <v>300</v>
      </c>
      <c r="BN465" s="16">
        <f t="shared" si="15"/>
        <v>300</v>
      </c>
      <c r="BO465" s="14">
        <f t="shared" si="16"/>
        <v>210</v>
      </c>
    </row>
    <row r="466" spans="1:67" x14ac:dyDescent="0.3">
      <c r="A466" s="5" t="s">
        <v>542</v>
      </c>
      <c r="B466" s="5" t="s">
        <v>311</v>
      </c>
      <c r="C466" s="5">
        <v>327548</v>
      </c>
      <c r="D466" s="6"/>
      <c r="E466" s="5" t="s">
        <v>32</v>
      </c>
      <c r="F466" s="5" t="s">
        <v>231</v>
      </c>
      <c r="G466" s="5" t="s">
        <v>52</v>
      </c>
      <c r="H466" s="7" t="s">
        <v>8</v>
      </c>
      <c r="I466" s="7" t="s">
        <v>312</v>
      </c>
      <c r="J466" s="7">
        <v>0</v>
      </c>
      <c r="K466" s="7">
        <v>0</v>
      </c>
      <c r="L466" s="7">
        <v>0</v>
      </c>
      <c r="M466" s="7">
        <v>0</v>
      </c>
      <c r="N466" s="7">
        <v>0</v>
      </c>
      <c r="O466" s="7">
        <v>0</v>
      </c>
      <c r="P466" s="7">
        <v>0</v>
      </c>
      <c r="Q466" s="7">
        <v>0</v>
      </c>
      <c r="R466" s="7">
        <v>0</v>
      </c>
      <c r="S466" s="7">
        <v>0</v>
      </c>
      <c r="T466" s="7">
        <v>0</v>
      </c>
      <c r="U466" s="7">
        <v>0</v>
      </c>
      <c r="V466" s="7">
        <v>0</v>
      </c>
      <c r="W466" s="7">
        <v>0</v>
      </c>
      <c r="X466" s="7">
        <v>0</v>
      </c>
      <c r="Y466" s="7">
        <v>0</v>
      </c>
      <c r="Z466" s="7">
        <v>0</v>
      </c>
      <c r="AA466" s="7">
        <v>0</v>
      </c>
      <c r="AB466" s="7">
        <v>0</v>
      </c>
      <c r="AC466" s="7">
        <v>0</v>
      </c>
      <c r="AD466" s="7">
        <v>0</v>
      </c>
      <c r="AE466" s="7">
        <v>0</v>
      </c>
      <c r="AF466" s="7">
        <v>0</v>
      </c>
      <c r="AG466" s="7">
        <v>0</v>
      </c>
      <c r="AH466" s="7">
        <v>0</v>
      </c>
      <c r="AI466" s="7">
        <v>0</v>
      </c>
      <c r="AJ466" s="7">
        <v>0</v>
      </c>
      <c r="AK466" s="7">
        <v>2</v>
      </c>
      <c r="AL466" s="7">
        <v>240</v>
      </c>
      <c r="AM466" s="7">
        <v>0</v>
      </c>
      <c r="AN466" s="7">
        <v>0</v>
      </c>
      <c r="AO466" s="7">
        <v>0</v>
      </c>
      <c r="AP466" s="7">
        <v>0</v>
      </c>
      <c r="AQ466" s="7">
        <v>0</v>
      </c>
      <c r="AR466" s="7">
        <v>0</v>
      </c>
      <c r="AS466" s="7">
        <v>0</v>
      </c>
      <c r="AT466" s="7">
        <v>0</v>
      </c>
      <c r="AU466" s="7">
        <v>0</v>
      </c>
      <c r="AV466" s="7">
        <v>0</v>
      </c>
      <c r="AW466" s="7">
        <v>0</v>
      </c>
      <c r="AX466" s="7">
        <v>0</v>
      </c>
      <c r="AY466" s="7">
        <v>0</v>
      </c>
      <c r="AZ466" s="7">
        <v>0</v>
      </c>
      <c r="BA466" s="7">
        <v>0</v>
      </c>
      <c r="BB466" s="7">
        <v>0</v>
      </c>
      <c r="BC466" s="7">
        <v>0</v>
      </c>
      <c r="BD466" s="7">
        <v>0</v>
      </c>
      <c r="BE466" s="7">
        <v>0</v>
      </c>
      <c r="BF466" s="7">
        <v>0</v>
      </c>
      <c r="BG466" s="7">
        <v>0</v>
      </c>
      <c r="BH466" s="7">
        <v>0</v>
      </c>
      <c r="BI466" s="7">
        <v>0</v>
      </c>
      <c r="BJ466" s="7">
        <v>0</v>
      </c>
      <c r="BK466" s="7">
        <v>0</v>
      </c>
      <c r="BL466" s="7">
        <v>72</v>
      </c>
      <c r="BM466" s="11">
        <v>240</v>
      </c>
      <c r="BN466" s="16">
        <f t="shared" si="15"/>
        <v>168</v>
      </c>
      <c r="BO466" s="14">
        <f t="shared" si="16"/>
        <v>117.6</v>
      </c>
    </row>
    <row r="467" spans="1:67" x14ac:dyDescent="0.3">
      <c r="A467" s="5" t="s">
        <v>522</v>
      </c>
      <c r="B467" s="5" t="s">
        <v>248</v>
      </c>
      <c r="C467" s="5">
        <v>353981</v>
      </c>
      <c r="D467" s="6"/>
      <c r="E467" s="5" t="s">
        <v>32</v>
      </c>
      <c r="F467" s="5" t="s">
        <v>249</v>
      </c>
      <c r="G467" s="5" t="s">
        <v>52</v>
      </c>
      <c r="H467" s="7" t="s">
        <v>8</v>
      </c>
      <c r="I467" s="7" t="s">
        <v>250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7">
        <v>0</v>
      </c>
      <c r="U467" s="7">
        <v>0</v>
      </c>
      <c r="V467" s="7">
        <v>0</v>
      </c>
      <c r="W467" s="7">
        <v>0</v>
      </c>
      <c r="X467" s="7">
        <v>0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7">
        <v>0</v>
      </c>
      <c r="AK467" s="7">
        <v>2</v>
      </c>
      <c r="AL467" s="7">
        <v>0</v>
      </c>
      <c r="AM467" s="7">
        <v>200</v>
      </c>
      <c r="AN467" s="7">
        <v>0</v>
      </c>
      <c r="AO467" s="7">
        <v>0</v>
      </c>
      <c r="AP467" s="7">
        <v>0</v>
      </c>
      <c r="AQ467" s="7">
        <v>0</v>
      </c>
      <c r="AR467" s="7">
        <v>0</v>
      </c>
      <c r="AS467" s="7">
        <v>0</v>
      </c>
      <c r="AT467" s="7">
        <v>0</v>
      </c>
      <c r="AU467" s="7">
        <v>0</v>
      </c>
      <c r="AV467" s="7">
        <v>0</v>
      </c>
      <c r="AW467" s="7">
        <v>0</v>
      </c>
      <c r="AX467" s="7">
        <v>0</v>
      </c>
      <c r="AY467" s="7">
        <v>0</v>
      </c>
      <c r="AZ467" s="7">
        <v>0</v>
      </c>
      <c r="BA467" s="7">
        <v>0</v>
      </c>
      <c r="BB467" s="7">
        <v>0</v>
      </c>
      <c r="BC467" s="7">
        <v>0</v>
      </c>
      <c r="BD467" s="7">
        <v>0</v>
      </c>
      <c r="BE467" s="7">
        <v>0</v>
      </c>
      <c r="BF467" s="7">
        <v>0</v>
      </c>
      <c r="BG467" s="7">
        <v>0</v>
      </c>
      <c r="BH467" s="7">
        <v>0</v>
      </c>
      <c r="BI467" s="7">
        <v>0</v>
      </c>
      <c r="BJ467" s="7">
        <v>0</v>
      </c>
      <c r="BK467" s="7">
        <v>0</v>
      </c>
      <c r="BL467" s="7">
        <v>0</v>
      </c>
      <c r="BM467" s="11">
        <v>200</v>
      </c>
      <c r="BN467" s="16">
        <f t="shared" si="15"/>
        <v>200</v>
      </c>
      <c r="BO467" s="14">
        <f t="shared" si="16"/>
        <v>140</v>
      </c>
    </row>
    <row r="468" spans="1:67" x14ac:dyDescent="0.3">
      <c r="A468" s="5" t="s">
        <v>522</v>
      </c>
      <c r="B468" s="5" t="s">
        <v>417</v>
      </c>
      <c r="C468" s="5">
        <v>385872</v>
      </c>
      <c r="D468" s="6"/>
      <c r="E468" s="5" t="s">
        <v>32</v>
      </c>
      <c r="F468" s="5" t="s">
        <v>418</v>
      </c>
      <c r="G468" s="5" t="s">
        <v>11</v>
      </c>
      <c r="H468" s="7" t="s">
        <v>7</v>
      </c>
      <c r="I468" s="7" t="s">
        <v>419</v>
      </c>
      <c r="J468" s="7">
        <v>0</v>
      </c>
      <c r="K468" s="7">
        <v>0</v>
      </c>
      <c r="L468" s="7">
        <v>0</v>
      </c>
      <c r="M468" s="7">
        <v>0</v>
      </c>
      <c r="N468" s="7">
        <v>0</v>
      </c>
      <c r="O468" s="7">
        <v>0</v>
      </c>
      <c r="P468" s="7">
        <v>0</v>
      </c>
      <c r="Q468" s="7">
        <v>0</v>
      </c>
      <c r="R468" s="7">
        <v>0</v>
      </c>
      <c r="S468" s="7">
        <v>0</v>
      </c>
      <c r="T468" s="7">
        <v>0</v>
      </c>
      <c r="U468" s="7">
        <v>0</v>
      </c>
      <c r="V468" s="7">
        <v>0</v>
      </c>
      <c r="W468" s="7">
        <v>0</v>
      </c>
      <c r="X468" s="7">
        <v>0</v>
      </c>
      <c r="Y468" s="7">
        <v>0</v>
      </c>
      <c r="Z468" s="7">
        <v>0</v>
      </c>
      <c r="AA468" s="7">
        <v>0</v>
      </c>
      <c r="AB468" s="7">
        <v>0</v>
      </c>
      <c r="AC468" s="7">
        <v>0</v>
      </c>
      <c r="AD468" s="7">
        <v>0</v>
      </c>
      <c r="AE468" s="7">
        <v>2</v>
      </c>
      <c r="AF468" s="7">
        <v>200</v>
      </c>
      <c r="AG468" s="7">
        <v>0</v>
      </c>
      <c r="AH468" s="7">
        <v>0</v>
      </c>
      <c r="AI468" s="7">
        <v>0</v>
      </c>
      <c r="AJ468" s="7">
        <v>0</v>
      </c>
      <c r="AK468" s="7">
        <v>0</v>
      </c>
      <c r="AL468" s="7">
        <v>0</v>
      </c>
      <c r="AM468" s="7">
        <v>0</v>
      </c>
      <c r="AN468" s="7">
        <v>0</v>
      </c>
      <c r="AO468" s="7">
        <v>0</v>
      </c>
      <c r="AP468" s="7">
        <v>0</v>
      </c>
      <c r="AQ468" s="7">
        <v>0</v>
      </c>
      <c r="AR468" s="7">
        <v>0</v>
      </c>
      <c r="AS468" s="7">
        <v>0</v>
      </c>
      <c r="AT468" s="7">
        <v>0</v>
      </c>
      <c r="AU468" s="7">
        <v>0</v>
      </c>
      <c r="AV468" s="7">
        <v>0</v>
      </c>
      <c r="AW468" s="7">
        <v>0</v>
      </c>
      <c r="AX468" s="7">
        <v>0</v>
      </c>
      <c r="AY468" s="7">
        <v>0</v>
      </c>
      <c r="AZ468" s="7">
        <v>0</v>
      </c>
      <c r="BA468" s="7">
        <v>0</v>
      </c>
      <c r="BB468" s="7">
        <v>0</v>
      </c>
      <c r="BC468" s="7">
        <v>0</v>
      </c>
      <c r="BD468" s="7">
        <v>0</v>
      </c>
      <c r="BE468" s="7">
        <v>0</v>
      </c>
      <c r="BF468" s="7">
        <v>0</v>
      </c>
      <c r="BG468" s="7">
        <v>0</v>
      </c>
      <c r="BH468" s="7">
        <v>0</v>
      </c>
      <c r="BI468" s="7">
        <v>0</v>
      </c>
      <c r="BJ468" s="7">
        <v>0</v>
      </c>
      <c r="BK468" s="7">
        <v>0</v>
      </c>
      <c r="BL468" s="7">
        <v>0</v>
      </c>
      <c r="BM468" s="11">
        <v>200</v>
      </c>
      <c r="BN468" s="16">
        <f t="shared" si="15"/>
        <v>200</v>
      </c>
      <c r="BO468" s="14">
        <f t="shared" si="16"/>
        <v>140</v>
      </c>
    </row>
    <row r="469" spans="1:67" x14ac:dyDescent="0.3">
      <c r="A469" s="5" t="s">
        <v>522</v>
      </c>
      <c r="B469" s="5" t="s">
        <v>119</v>
      </c>
      <c r="C469" s="5">
        <v>388999</v>
      </c>
      <c r="D469" s="6"/>
      <c r="E469" s="5" t="s">
        <v>32</v>
      </c>
      <c r="F469" s="5" t="s">
        <v>87</v>
      </c>
      <c r="G469" s="5" t="s">
        <v>11</v>
      </c>
      <c r="H469" s="7" t="s">
        <v>7</v>
      </c>
      <c r="I469" s="7" t="s">
        <v>120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7">
        <v>0</v>
      </c>
      <c r="U469" s="7">
        <v>0</v>
      </c>
      <c r="V469" s="7">
        <v>0</v>
      </c>
      <c r="W469" s="7">
        <v>0</v>
      </c>
      <c r="X469" s="7">
        <v>0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7">
        <v>0</v>
      </c>
      <c r="AK469" s="7">
        <v>1</v>
      </c>
      <c r="AL469" s="7">
        <v>0</v>
      </c>
      <c r="AM469" s="7">
        <v>100</v>
      </c>
      <c r="AN469" s="7">
        <v>0</v>
      </c>
      <c r="AO469" s="7">
        <v>0</v>
      </c>
      <c r="AP469" s="7">
        <v>0</v>
      </c>
      <c r="AQ469" s="7">
        <v>0</v>
      </c>
      <c r="AR469" s="7">
        <v>0</v>
      </c>
      <c r="AS469" s="7">
        <v>0</v>
      </c>
      <c r="AT469" s="7">
        <v>0</v>
      </c>
      <c r="AU469" s="7">
        <v>0</v>
      </c>
      <c r="AV469" s="7">
        <v>0</v>
      </c>
      <c r="AW469" s="7">
        <v>0</v>
      </c>
      <c r="AX469" s="7">
        <v>0</v>
      </c>
      <c r="AY469" s="7">
        <v>0</v>
      </c>
      <c r="AZ469" s="7">
        <v>0</v>
      </c>
      <c r="BA469" s="7">
        <v>0</v>
      </c>
      <c r="BB469" s="7">
        <v>0</v>
      </c>
      <c r="BC469" s="7">
        <v>0</v>
      </c>
      <c r="BD469" s="7">
        <v>0</v>
      </c>
      <c r="BE469" s="7">
        <v>0</v>
      </c>
      <c r="BF469" s="7">
        <v>0</v>
      </c>
      <c r="BG469" s="7">
        <v>0</v>
      </c>
      <c r="BH469" s="7">
        <v>0</v>
      </c>
      <c r="BI469" s="7">
        <v>0</v>
      </c>
      <c r="BJ469" s="7">
        <v>0</v>
      </c>
      <c r="BK469" s="7">
        <v>0</v>
      </c>
      <c r="BL469" s="7">
        <v>0</v>
      </c>
      <c r="BM469" s="11">
        <v>100</v>
      </c>
      <c r="BN469" s="16">
        <f t="shared" si="15"/>
        <v>100</v>
      </c>
      <c r="BO469" s="14">
        <f t="shared" si="16"/>
        <v>70</v>
      </c>
    </row>
    <row r="470" spans="1:67" x14ac:dyDescent="0.3">
      <c r="A470" s="5" t="s">
        <v>522</v>
      </c>
      <c r="B470" s="5" t="s">
        <v>352</v>
      </c>
      <c r="C470" s="5">
        <v>414120</v>
      </c>
      <c r="D470" s="6"/>
      <c r="E470" s="5" t="s">
        <v>32</v>
      </c>
      <c r="F470" s="5" t="s">
        <v>60</v>
      </c>
      <c r="G470" s="5" t="s">
        <v>52</v>
      </c>
      <c r="H470" s="7" t="s">
        <v>8</v>
      </c>
      <c r="I470" s="7" t="s">
        <v>226</v>
      </c>
      <c r="J470" s="7">
        <v>0</v>
      </c>
      <c r="K470" s="7">
        <v>0</v>
      </c>
      <c r="L470" s="7">
        <v>0</v>
      </c>
      <c r="M470" s="7">
        <v>0</v>
      </c>
      <c r="N470" s="7">
        <v>0</v>
      </c>
      <c r="O470" s="7">
        <v>0</v>
      </c>
      <c r="P470" s="7">
        <v>0</v>
      </c>
      <c r="Q470" s="7">
        <v>0</v>
      </c>
      <c r="R470" s="7">
        <v>0</v>
      </c>
      <c r="S470" s="7">
        <v>0</v>
      </c>
      <c r="T470" s="7">
        <v>0</v>
      </c>
      <c r="U470" s="7">
        <v>0</v>
      </c>
      <c r="V470" s="7">
        <v>0</v>
      </c>
      <c r="W470" s="7">
        <v>0</v>
      </c>
      <c r="X470" s="7">
        <v>0</v>
      </c>
      <c r="Y470" s="7">
        <v>0</v>
      </c>
      <c r="Z470" s="7">
        <v>0</v>
      </c>
      <c r="AA470" s="7">
        <v>0</v>
      </c>
      <c r="AB470" s="7">
        <v>0</v>
      </c>
      <c r="AC470" s="7">
        <v>0</v>
      </c>
      <c r="AD470" s="7">
        <v>0</v>
      </c>
      <c r="AE470" s="7">
        <v>0</v>
      </c>
      <c r="AF470" s="7">
        <v>0</v>
      </c>
      <c r="AG470" s="7">
        <v>0</v>
      </c>
      <c r="AH470" s="7">
        <v>0</v>
      </c>
      <c r="AI470" s="7">
        <v>0</v>
      </c>
      <c r="AJ470" s="7">
        <v>0</v>
      </c>
      <c r="AK470" s="7">
        <v>0</v>
      </c>
      <c r="AL470" s="7">
        <v>0</v>
      </c>
      <c r="AM470" s="7">
        <v>0</v>
      </c>
      <c r="AN470" s="7">
        <v>0</v>
      </c>
      <c r="AO470" s="7">
        <v>0</v>
      </c>
      <c r="AP470" s="7">
        <v>0</v>
      </c>
      <c r="AQ470" s="7">
        <v>1</v>
      </c>
      <c r="AR470" s="7">
        <v>100</v>
      </c>
      <c r="AS470" s="7">
        <v>0</v>
      </c>
      <c r="AT470" s="7">
        <v>0</v>
      </c>
      <c r="AU470" s="7">
        <v>0</v>
      </c>
      <c r="AV470" s="7">
        <v>0</v>
      </c>
      <c r="AW470" s="7">
        <v>0</v>
      </c>
      <c r="AX470" s="7">
        <v>0</v>
      </c>
      <c r="AY470" s="7">
        <v>0</v>
      </c>
      <c r="AZ470" s="7">
        <v>0</v>
      </c>
      <c r="BA470" s="7">
        <v>0</v>
      </c>
      <c r="BB470" s="7">
        <v>0</v>
      </c>
      <c r="BC470" s="7">
        <v>0</v>
      </c>
      <c r="BD470" s="7">
        <v>0</v>
      </c>
      <c r="BE470" s="7">
        <v>0</v>
      </c>
      <c r="BF470" s="7">
        <v>0</v>
      </c>
      <c r="BG470" s="7">
        <v>0</v>
      </c>
      <c r="BH470" s="7">
        <v>0</v>
      </c>
      <c r="BI470" s="7">
        <v>0</v>
      </c>
      <c r="BJ470" s="7">
        <v>0</v>
      </c>
      <c r="BK470" s="7">
        <v>0</v>
      </c>
      <c r="BL470" s="7">
        <v>0</v>
      </c>
      <c r="BM470" s="11">
        <v>100</v>
      </c>
      <c r="BN470" s="16">
        <f t="shared" si="15"/>
        <v>100</v>
      </c>
      <c r="BO470" s="14">
        <f t="shared" si="16"/>
        <v>70</v>
      </c>
    </row>
    <row r="471" spans="1:67" x14ac:dyDescent="0.3">
      <c r="BL471" s="17">
        <f>SUM(BL2:BL470)</f>
        <v>1366154.6999999997</v>
      </c>
      <c r="BM471" s="17">
        <f>SUM(BM2:BM470)</f>
        <v>60689149</v>
      </c>
      <c r="BN471" s="17">
        <f>SUM(BN2:BN470)</f>
        <v>59322994.300000004</v>
      </c>
      <c r="BO471" s="17">
        <f>SUM(BO2:BO470)</f>
        <v>41526096.010000013</v>
      </c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 (5)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user</cp:lastModifiedBy>
  <dcterms:created xsi:type="dcterms:W3CDTF">2019-02-07T01:40:45Z</dcterms:created>
  <dcterms:modified xsi:type="dcterms:W3CDTF">2022-06-09T02:33:58Z</dcterms:modified>
</cp:coreProperties>
</file>