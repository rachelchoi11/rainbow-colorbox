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네이버시리즈\"/>
    </mc:Choice>
  </mc:AlternateContent>
  <bookViews>
    <workbookView xWindow="0" yWindow="0" windowWidth="23040" windowHeight="8955" tabRatio="766"/>
  </bookViews>
  <sheets>
    <sheet name="합계 (5)" sheetId="412" r:id="rId1"/>
  </sheets>
  <definedNames>
    <definedName name="_xlnm._FilterDatabase" localSheetId="0" hidden="1">'합계 (5)'!$A$1:$AM$1</definedName>
    <definedName name="_xlnm.Extract" localSheetId="0">'합계 (5)'!#REF!</definedName>
  </definedNames>
  <calcPr calcId="152511"/>
</workbook>
</file>

<file path=xl/calcChain.xml><?xml version="1.0" encoding="utf-8"?>
<calcChain xmlns="http://schemas.openxmlformats.org/spreadsheetml/2006/main">
  <c r="BL25" i="412" l="1"/>
  <c r="BM25" i="412"/>
  <c r="BN3" i="412"/>
  <c r="BO3" i="412"/>
  <c r="BN4" i="412"/>
  <c r="BO4" i="412" s="1"/>
  <c r="BN5" i="412"/>
  <c r="BO5" i="412"/>
  <c r="BN6" i="412"/>
  <c r="BO6" i="412"/>
  <c r="BN7" i="412"/>
  <c r="BO7" i="412" s="1"/>
  <c r="BN8" i="412"/>
  <c r="BO8" i="412"/>
  <c r="BN9" i="412"/>
  <c r="BO9" i="412"/>
  <c r="BN10" i="412"/>
  <c r="BO10" i="412"/>
  <c r="BN11" i="412"/>
  <c r="BO11" i="412"/>
  <c r="BN12" i="412"/>
  <c r="BO12" i="412"/>
  <c r="BN13" i="412"/>
  <c r="BO13" i="412"/>
  <c r="BN14" i="412"/>
  <c r="BO14" i="412"/>
  <c r="BN15" i="412"/>
  <c r="BO15" i="412" s="1"/>
  <c r="BN16" i="412"/>
  <c r="BO16" i="412" s="1"/>
  <c r="BN17" i="412"/>
  <c r="BO17" i="412"/>
  <c r="BN18" i="412"/>
  <c r="BO18" i="412"/>
  <c r="BN19" i="412"/>
  <c r="BO19" i="412"/>
  <c r="BN20" i="412"/>
  <c r="BO20" i="412" s="1"/>
  <c r="BN21" i="412"/>
  <c r="BO21" i="412"/>
  <c r="BN22" i="412"/>
  <c r="BO22" i="412" s="1"/>
  <c r="BN23" i="412"/>
  <c r="BO23" i="412"/>
  <c r="BN24" i="412"/>
  <c r="BO24" i="412"/>
  <c r="BN2" i="412"/>
  <c r="BO2" i="412" l="1"/>
  <c r="BN25" i="412"/>
  <c r="BO25" i="412" s="1"/>
</calcChain>
</file>

<file path=xl/sharedStrings.xml><?xml version="1.0" encoding="utf-8"?>
<sst xmlns="http://schemas.openxmlformats.org/spreadsheetml/2006/main" count="228" uniqueCount="66">
  <si>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</si>
  <si>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</si>
  <si>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</si>
  <si>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</si>
  <si>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</si>
  <si>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</si>
  <si>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</si>
  <si>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</si>
  <si>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</si>
  <si>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</si>
  <si>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12세 이상 이용가능</t>
  </si>
  <si>
    <t>스토리위즈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</si>
  <si>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</si>
  <si>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</si>
  <si>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</si>
  <si>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</si>
  <si>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</si>
  <si>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</si>
  <si>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</si>
  <si>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</si>
  <si>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</si>
  <si>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</si>
  <si>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</si>
  <si>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합계</t>
  </si>
  <si>
    <t>순매출(합계-수수료)</t>
    <phoneticPr fontId="20" type="noConversion"/>
  </si>
  <si>
    <t>SW 매출</t>
    <phoneticPr fontId="20" type="noConversion"/>
  </si>
  <si>
    <t>앱마켓수수료</t>
  </si>
  <si>
    <t>나이제한</t>
    <phoneticPr fontId="20" type="noConversion"/>
  </si>
  <si>
    <t>2022.06.08</t>
  </si>
  <si>
    <t>2022.06.09</t>
  </si>
  <si>
    <t>2022.05.02</t>
  </si>
  <si>
    <t>별빛 아래 우리</t>
  </si>
  <si>
    <t>스토리위즈_만화</t>
  </si>
  <si>
    <t>건일</t>
  </si>
  <si>
    <t>가출천사 육성계약</t>
  </si>
  <si>
    <t>Bae.C, 조우</t>
  </si>
  <si>
    <t>폭군의 눈물</t>
  </si>
  <si>
    <t>Ice×FANFAN COMIC</t>
  </si>
  <si>
    <t>2022.03.16</t>
  </si>
  <si>
    <t>악역이지만, 남주는 꼬시지 않아요</t>
  </si>
  <si>
    <t>kuri</t>
  </si>
  <si>
    <t>2022.06.03</t>
  </si>
  <si>
    <t>최애에게 들켜버렸다</t>
  </si>
  <si>
    <t>Lv</t>
  </si>
  <si>
    <t>백스테이지 키스신</t>
  </si>
  <si>
    <t>수정과</t>
  </si>
  <si>
    <t>2019.12.07</t>
  </si>
  <si>
    <t>계약연애, 오늘부터 1일</t>
  </si>
  <si>
    <t>원기공장</t>
  </si>
  <si>
    <t>2019.03.11</t>
  </si>
  <si>
    <t>마스코마스코 [독점]</t>
  </si>
  <si>
    <t>남정훈</t>
  </si>
  <si>
    <t>2021.10.25</t>
  </si>
  <si>
    <t>개천고 세계편</t>
  </si>
  <si>
    <t>채준</t>
  </si>
  <si>
    <t>공주전쟁</t>
  </si>
  <si>
    <t>Luojie</t>
  </si>
  <si>
    <t>결혼전쟁</t>
  </si>
  <si>
    <t>성c네</t>
  </si>
  <si>
    <t>2018.09.30</t>
  </si>
  <si>
    <t>보스 오빠, 살살!</t>
  </si>
  <si>
    <t>웹티, 올코</t>
  </si>
  <si>
    <t>2021.12.04</t>
  </si>
  <si>
    <t>N스토어(PC)</t>
    <phoneticPr fontId="20" type="noConversion"/>
  </si>
  <si>
    <t>PC뷰어(PC)</t>
    <phoneticPr fontId="20" type="noConversion"/>
  </si>
  <si>
    <t>N스토어(MW)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</si>
</sst>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176" fontId="0" fillId="0" borderId="0" xfId="0" applyNumberFormat="1">
      <alignment vertical="center"/>
    </xf>
    <xf numFmtId="41" fontId="0" fillId="0" borderId="0" xfId="42" applyFont="1" applyFill="1">
      <alignment vertical="center"/>
    </xf>
    <xf numFmtId="0" fontId="18" fillId="33" borderId="0" xfId="0" applyFont="1" applyFill="1" applyAlignment="1">
      <alignment vertical="center" wrapText="1"/>
    </xf>
    <xf numFmtId="41" fontId="0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O464"/>
  <sheetViews>
    <sheetView tabSelected="1" zoomScaleNormal="100" workbookViewId="0">
      <pane xSplit="9" ySplit="1" topLeftCell="BI2" activePane="bottomRight" state="frozen"/>
      <selection pane="topRight" activeCell="J1" sqref="J1"/>
      <selection pane="bottomLeft" activeCell="A2" sqref="A2"/>
      <selection pane="bottomRight" activeCell="BO25" sqref="BL25:BO25"/>
    </sheetView>
  </sheetViews>
  <sheetFormatPr defaultRowHeight="16.5" x14ac:dyDescent="0.3"/>
  <cols>
    <col min="1" max="1" width="9.375" style="1" customWidth="1"/>
    <col min="2" max="2" width="20" bestFit="1" customWidth="1"/>
    <col min="3" max="3" width="6.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5" max="65" width="12.75" bestFit="1" customWidth="1"/>
    <col min="66" max="66" width="13.5" bestFit="1" customWidth="1"/>
    <col min="67" max="67" width="13.375" style="13" customWidth="1"/>
  </cols>
  <sheetData>
    <row r="1" spans="1:67" ht="39" x14ac:dyDescent="0.3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27</v>
      </c>
      <c r="I1" s="16" t="s">
        <v>6</v>
      </c>
      <c r="J1" s="12" t="s">
        <v>12</v>
      </c>
      <c r="K1" s="12" t="s">
        <v>13</v>
      </c>
      <c r="L1" s="12" t="s">
        <v>14</v>
      </c>
      <c r="M1" s="12" t="s">
        <v>15</v>
      </c>
      <c r="N1" s="12" t="s">
        <v>16</v>
      </c>
      <c r="O1" s="12" t="s">
        <v>17</v>
      </c>
      <c r="P1" s="12" t="s">
        <v>18</v>
      </c>
      <c r="Q1" s="12" t="s">
        <v>19</v>
      </c>
      <c r="R1" s="12" t="s">
        <v>20</v>
      </c>
      <c r="S1" s="12" t="s">
        <v>12</v>
      </c>
      <c r="T1" s="12" t="s">
        <v>13</v>
      </c>
      <c r="U1" s="12" t="s">
        <v>14</v>
      </c>
      <c r="V1" s="12" t="s">
        <v>15</v>
      </c>
      <c r="W1" s="12" t="s">
        <v>16</v>
      </c>
      <c r="X1" s="12" t="s">
        <v>17</v>
      </c>
      <c r="Y1" s="12" t="s">
        <v>18</v>
      </c>
      <c r="Z1" s="12" t="s">
        <v>19</v>
      </c>
      <c r="AA1" s="12" t="s">
        <v>20</v>
      </c>
      <c r="AB1" s="12" t="s">
        <v>12</v>
      </c>
      <c r="AC1" s="12" t="s">
        <v>21</v>
      </c>
      <c r="AD1" s="12" t="s">
        <v>22</v>
      </c>
      <c r="AE1" s="12" t="s">
        <v>12</v>
      </c>
      <c r="AF1" s="12" t="s">
        <v>21</v>
      </c>
      <c r="AG1" s="12" t="s">
        <v>22</v>
      </c>
      <c r="AH1" s="12" t="s">
        <v>12</v>
      </c>
      <c r="AI1" s="12" t="s">
        <v>21</v>
      </c>
      <c r="AJ1" s="12" t="s">
        <v>22</v>
      </c>
      <c r="AK1" s="12" t="s">
        <v>12</v>
      </c>
      <c r="AL1" s="12" t="s">
        <v>21</v>
      </c>
      <c r="AM1" s="12" t="s">
        <v>22</v>
      </c>
      <c r="AN1" s="12" t="s">
        <v>12</v>
      </c>
      <c r="AO1" s="12" t="s">
        <v>21</v>
      </c>
      <c r="AP1" s="12" t="s">
        <v>22</v>
      </c>
      <c r="AQ1" s="12" t="s">
        <v>12</v>
      </c>
      <c r="AR1" s="12" t="s">
        <v>21</v>
      </c>
      <c r="AS1" s="12" t="s">
        <v>22</v>
      </c>
      <c r="AT1" s="12" t="s">
        <v>12</v>
      </c>
      <c r="AU1" s="12" t="s">
        <v>21</v>
      </c>
      <c r="AV1" s="12" t="s">
        <v>22</v>
      </c>
      <c r="AW1" s="12" t="s">
        <v>12</v>
      </c>
      <c r="AX1" s="12" t="s">
        <v>21</v>
      </c>
      <c r="AY1" s="12" t="s">
        <v>22</v>
      </c>
      <c r="AZ1" s="12" t="s">
        <v>12</v>
      </c>
      <c r="BA1" s="12" t="s">
        <v>21</v>
      </c>
      <c r="BB1" s="12" t="s">
        <v>22</v>
      </c>
      <c r="BC1" s="12" t="s">
        <v>12</v>
      </c>
      <c r="BD1" s="12" t="s">
        <v>21</v>
      </c>
      <c r="BE1" s="12" t="s">
        <v>22</v>
      </c>
      <c r="BF1" s="12" t="s">
        <v>12</v>
      </c>
      <c r="BG1" s="12" t="s">
        <v>21</v>
      </c>
      <c r="BH1" s="12" t="s">
        <v>22</v>
      </c>
      <c r="BI1" s="12" t="s">
        <v>12</v>
      </c>
      <c r="BJ1" s="12" t="s">
        <v>21</v>
      </c>
      <c r="BK1" s="12" t="s">
        <v>22</v>
      </c>
      <c r="BL1" s="12" t="s">
        <v>26</v>
      </c>
      <c r="BM1" s="12" t="s">
        <v>23</v>
      </c>
      <c r="BN1" s="12" t="s">
        <v>24</v>
      </c>
      <c r="BO1" s="12" t="s">
        <v>25</v>
      </c>
    </row>
    <row r="2" spans="1:67" x14ac:dyDescent="0.3">
      <c r="A2" s="5" t="s">
        <v>63</v>
      </c>
      <c r="B2" s="5" t="s">
        <v>31</v>
      </c>
      <c r="C2" s="5">
        <v>435954</v>
      </c>
      <c r="D2" s="6"/>
      <c r="E2" s="5" t="s">
        <v>32</v>
      </c>
      <c r="F2" s="5" t="s">
        <v>33</v>
      </c>
      <c r="G2" s="5" t="s">
        <v>11</v>
      </c>
      <c r="H2" s="7" t="s">
        <v>7</v>
      </c>
      <c r="I2" s="7" t="s">
        <v>29</v>
      </c>
      <c r="J2" s="7">
        <v>0</v>
      </c>
      <c r="K2" s="7">
        <v>13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8</v>
      </c>
      <c r="AC2" s="8">
        <v>1600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10">
        <v>1600</v>
      </c>
      <c r="BN2" s="14">
        <f t="shared" ref="BN2" si="0">BM2-BL2</f>
        <v>1600</v>
      </c>
      <c r="BO2" s="15">
        <f t="shared" ref="BO2" si="1">BN2*70%</f>
        <v>1120</v>
      </c>
    </row>
    <row r="3" spans="1:67" x14ac:dyDescent="0.3">
      <c r="A3" s="5" t="s">
        <v>63</v>
      </c>
      <c r="B3" s="5" t="s">
        <v>34</v>
      </c>
      <c r="C3" s="5">
        <v>465463</v>
      </c>
      <c r="D3" s="6"/>
      <c r="E3" s="5" t="s">
        <v>32</v>
      </c>
      <c r="F3" s="5" t="s">
        <v>35</v>
      </c>
      <c r="G3" s="5" t="s">
        <v>11</v>
      </c>
      <c r="H3" s="7" t="s">
        <v>10</v>
      </c>
      <c r="I3" s="7" t="s">
        <v>28</v>
      </c>
      <c r="J3" s="7">
        <v>0</v>
      </c>
      <c r="K3" s="7">
        <v>8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5</v>
      </c>
      <c r="AC3" s="7">
        <v>800</v>
      </c>
      <c r="AD3" s="7">
        <v>200</v>
      </c>
      <c r="AE3" s="7">
        <v>1</v>
      </c>
      <c r="AF3" s="7">
        <v>400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10">
        <v>1400</v>
      </c>
      <c r="BN3" s="14">
        <f t="shared" ref="BN3:BN24" si="2">BM3-BL3</f>
        <v>1400</v>
      </c>
      <c r="BO3" s="15">
        <f t="shared" ref="BO3:BO24" si="3">BN3*70%</f>
        <v>979.99999999999989</v>
      </c>
    </row>
    <row r="4" spans="1:67" x14ac:dyDescent="0.3">
      <c r="A4" s="5" t="s">
        <v>63</v>
      </c>
      <c r="B4" s="5" t="s">
        <v>53</v>
      </c>
      <c r="C4" s="5">
        <v>467630</v>
      </c>
      <c r="D4" s="6"/>
      <c r="E4" s="5" t="s">
        <v>32</v>
      </c>
      <c r="F4" s="5" t="s">
        <v>54</v>
      </c>
      <c r="G4" s="5" t="s">
        <v>11</v>
      </c>
      <c r="H4" s="7" t="s">
        <v>8</v>
      </c>
      <c r="I4" s="7" t="s">
        <v>30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2</v>
      </c>
      <c r="AC4" s="7">
        <v>400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11">
        <v>400</v>
      </c>
      <c r="BN4" s="14">
        <f t="shared" si="2"/>
        <v>400</v>
      </c>
      <c r="BO4" s="15">
        <f t="shared" si="3"/>
        <v>280</v>
      </c>
    </row>
    <row r="5" spans="1:67" x14ac:dyDescent="0.3">
      <c r="A5" s="5" t="s">
        <v>63</v>
      </c>
      <c r="B5" s="5" t="s">
        <v>44</v>
      </c>
      <c r="C5" s="5">
        <v>383201</v>
      </c>
      <c r="D5" s="6"/>
      <c r="E5" s="5" t="s">
        <v>32</v>
      </c>
      <c r="F5" s="5" t="s">
        <v>45</v>
      </c>
      <c r="G5" s="5" t="s">
        <v>11</v>
      </c>
      <c r="H5" s="7" t="s">
        <v>7</v>
      </c>
      <c r="I5" s="7" t="s">
        <v>46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1</v>
      </c>
      <c r="AC5" s="7">
        <v>200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11">
        <v>200</v>
      </c>
      <c r="BN5" s="14">
        <f t="shared" si="2"/>
        <v>200</v>
      </c>
      <c r="BO5" s="15">
        <f t="shared" si="3"/>
        <v>140</v>
      </c>
    </row>
    <row r="6" spans="1:67" x14ac:dyDescent="0.3">
      <c r="A6" s="5" t="s">
        <v>63</v>
      </c>
      <c r="B6" s="5" t="s">
        <v>55</v>
      </c>
      <c r="C6" s="5">
        <v>423525</v>
      </c>
      <c r="D6" s="6"/>
      <c r="E6" s="5" t="s">
        <v>32</v>
      </c>
      <c r="F6" s="5" t="s">
        <v>56</v>
      </c>
      <c r="G6" s="5" t="s">
        <v>11</v>
      </c>
      <c r="H6" s="7" t="s">
        <v>7</v>
      </c>
      <c r="I6" s="7" t="s">
        <v>41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1</v>
      </c>
      <c r="AC6" s="7">
        <v>200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11">
        <v>200</v>
      </c>
      <c r="BN6" s="14">
        <f t="shared" si="2"/>
        <v>200</v>
      </c>
      <c r="BO6" s="15">
        <f t="shared" si="3"/>
        <v>140</v>
      </c>
    </row>
    <row r="7" spans="1:67" x14ac:dyDescent="0.3">
      <c r="A7" s="5" t="s">
        <v>63</v>
      </c>
      <c r="B7" s="5" t="s">
        <v>42</v>
      </c>
      <c r="C7" s="5">
        <v>432749</v>
      </c>
      <c r="D7" s="6"/>
      <c r="E7" s="5" t="s">
        <v>32</v>
      </c>
      <c r="F7" s="5" t="s">
        <v>43</v>
      </c>
      <c r="G7" s="5" t="s">
        <v>11</v>
      </c>
      <c r="H7" s="7" t="s">
        <v>7</v>
      </c>
      <c r="I7" s="7" t="s">
        <v>29</v>
      </c>
      <c r="J7" s="7">
        <v>0</v>
      </c>
      <c r="K7" s="7">
        <v>8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11">
        <v>0</v>
      </c>
      <c r="BN7" s="14">
        <f t="shared" si="2"/>
        <v>0</v>
      </c>
      <c r="BO7" s="15">
        <f t="shared" si="3"/>
        <v>0</v>
      </c>
    </row>
    <row r="8" spans="1:67" ht="19.5" x14ac:dyDescent="0.3">
      <c r="A8" s="5" t="s">
        <v>63</v>
      </c>
      <c r="B8" s="5" t="s">
        <v>36</v>
      </c>
      <c r="C8" s="5">
        <v>434897</v>
      </c>
      <c r="D8" s="6"/>
      <c r="E8" s="5" t="s">
        <v>32</v>
      </c>
      <c r="F8" s="5" t="s">
        <v>37</v>
      </c>
      <c r="G8" s="5" t="s">
        <v>11</v>
      </c>
      <c r="H8" s="7" t="s">
        <v>8</v>
      </c>
      <c r="I8" s="7" t="s">
        <v>38</v>
      </c>
      <c r="J8" s="7">
        <v>0</v>
      </c>
      <c r="K8" s="7">
        <v>5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11">
        <v>0</v>
      </c>
      <c r="BN8" s="14">
        <f t="shared" si="2"/>
        <v>0</v>
      </c>
      <c r="BO8" s="15">
        <f t="shared" si="3"/>
        <v>0</v>
      </c>
    </row>
    <row r="9" spans="1:67" x14ac:dyDescent="0.3">
      <c r="A9" s="5" t="s">
        <v>63</v>
      </c>
      <c r="B9" s="5" t="s">
        <v>60</v>
      </c>
      <c r="C9" s="5">
        <v>436040</v>
      </c>
      <c r="D9" s="6"/>
      <c r="E9" s="5" t="s">
        <v>32</v>
      </c>
      <c r="F9" s="5" t="s">
        <v>61</v>
      </c>
      <c r="G9" s="5" t="s">
        <v>11</v>
      </c>
      <c r="H9" s="7" t="s">
        <v>8</v>
      </c>
      <c r="I9" s="7" t="s">
        <v>62</v>
      </c>
      <c r="J9" s="7">
        <v>0</v>
      </c>
      <c r="K9" s="7">
        <v>2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11">
        <v>0</v>
      </c>
      <c r="BN9" s="14">
        <f t="shared" si="2"/>
        <v>0</v>
      </c>
      <c r="BO9" s="15">
        <f t="shared" si="3"/>
        <v>0</v>
      </c>
    </row>
    <row r="10" spans="1:67" x14ac:dyDescent="0.3">
      <c r="A10" s="5" t="s">
        <v>63</v>
      </c>
      <c r="B10" s="5" t="s">
        <v>50</v>
      </c>
      <c r="C10" s="5">
        <v>448747</v>
      </c>
      <c r="D10" s="6"/>
      <c r="E10" s="5" t="s">
        <v>32</v>
      </c>
      <c r="F10" s="5" t="s">
        <v>51</v>
      </c>
      <c r="G10" s="5" t="s">
        <v>11</v>
      </c>
      <c r="H10" s="7" t="s">
        <v>7</v>
      </c>
      <c r="I10" s="7" t="s">
        <v>52</v>
      </c>
      <c r="J10" s="7">
        <v>0</v>
      </c>
      <c r="K10" s="7">
        <v>1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11">
        <v>0</v>
      </c>
      <c r="BN10" s="14">
        <f t="shared" si="2"/>
        <v>0</v>
      </c>
      <c r="BO10" s="15">
        <f t="shared" si="3"/>
        <v>0</v>
      </c>
    </row>
    <row r="11" spans="1:67" x14ac:dyDescent="0.3">
      <c r="A11" s="5" t="s">
        <v>63</v>
      </c>
      <c r="B11" s="5" t="s">
        <v>39</v>
      </c>
      <c r="C11" s="5">
        <v>465461</v>
      </c>
      <c r="D11" s="6"/>
      <c r="E11" s="5" t="s">
        <v>32</v>
      </c>
      <c r="F11" s="5" t="s">
        <v>40</v>
      </c>
      <c r="G11" s="5" t="s">
        <v>11</v>
      </c>
      <c r="H11" s="7" t="s">
        <v>7</v>
      </c>
      <c r="I11" s="7" t="s">
        <v>41</v>
      </c>
      <c r="J11" s="7">
        <v>0</v>
      </c>
      <c r="K11" s="7">
        <v>5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11">
        <v>0</v>
      </c>
      <c r="BN11" s="14">
        <f t="shared" si="2"/>
        <v>0</v>
      </c>
      <c r="BO11" s="15">
        <f t="shared" si="3"/>
        <v>0</v>
      </c>
    </row>
    <row r="12" spans="1:67" x14ac:dyDescent="0.3">
      <c r="A12" s="5" t="s">
        <v>63</v>
      </c>
      <c r="B12" s="5" t="s">
        <v>57</v>
      </c>
      <c r="C12" s="5">
        <v>307024</v>
      </c>
      <c r="D12" s="6"/>
      <c r="E12" s="5" t="s">
        <v>32</v>
      </c>
      <c r="F12" s="5" t="s">
        <v>58</v>
      </c>
      <c r="G12" s="5" t="s">
        <v>11</v>
      </c>
      <c r="H12" s="7" t="s">
        <v>7</v>
      </c>
      <c r="I12" s="7" t="s">
        <v>59</v>
      </c>
      <c r="J12" s="7">
        <v>0</v>
      </c>
      <c r="K12" s="7">
        <v>1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11">
        <v>0</v>
      </c>
      <c r="BN12" s="14">
        <f t="shared" si="2"/>
        <v>0</v>
      </c>
      <c r="BO12" s="15">
        <f t="shared" si="3"/>
        <v>0</v>
      </c>
    </row>
    <row r="13" spans="1:67" x14ac:dyDescent="0.3">
      <c r="A13" s="5" t="s">
        <v>64</v>
      </c>
      <c r="B13" s="5" t="s">
        <v>34</v>
      </c>
      <c r="C13" s="5">
        <v>465463</v>
      </c>
      <c r="D13" s="6"/>
      <c r="E13" s="5" t="s">
        <v>32</v>
      </c>
      <c r="F13" s="5" t="s">
        <v>35</v>
      </c>
      <c r="G13" s="5" t="s">
        <v>11</v>
      </c>
      <c r="H13" s="7" t="s">
        <v>10</v>
      </c>
      <c r="I13" s="7" t="s">
        <v>28</v>
      </c>
      <c r="J13" s="7">
        <v>0</v>
      </c>
      <c r="K13" s="7">
        <v>2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30</v>
      </c>
      <c r="AC13" s="8">
        <v>6000</v>
      </c>
      <c r="AD13" s="7">
        <v>0</v>
      </c>
      <c r="AE13" s="7">
        <v>27</v>
      </c>
      <c r="AF13" s="8">
        <v>10800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10">
        <v>16800</v>
      </c>
      <c r="BN13" s="14">
        <f t="shared" si="2"/>
        <v>16800</v>
      </c>
      <c r="BO13" s="15">
        <f t="shared" si="3"/>
        <v>11760</v>
      </c>
    </row>
    <row r="14" spans="1:67" x14ac:dyDescent="0.3">
      <c r="A14" s="5" t="s">
        <v>64</v>
      </c>
      <c r="B14" s="5" t="s">
        <v>39</v>
      </c>
      <c r="C14" s="5">
        <v>465461</v>
      </c>
      <c r="D14" s="6"/>
      <c r="E14" s="5" t="s">
        <v>32</v>
      </c>
      <c r="F14" s="5" t="s">
        <v>40</v>
      </c>
      <c r="G14" s="5" t="s">
        <v>11</v>
      </c>
      <c r="H14" s="7" t="s">
        <v>7</v>
      </c>
      <c r="I14" s="7" t="s">
        <v>41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2</v>
      </c>
      <c r="AC14" s="7">
        <v>0</v>
      </c>
      <c r="AD14" s="7">
        <v>400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11">
        <v>400</v>
      </c>
      <c r="BN14" s="14">
        <f t="shared" si="2"/>
        <v>400</v>
      </c>
      <c r="BO14" s="15">
        <f t="shared" si="3"/>
        <v>280</v>
      </c>
    </row>
    <row r="15" spans="1:67" x14ac:dyDescent="0.3">
      <c r="A15" s="5" t="s">
        <v>64</v>
      </c>
      <c r="B15" s="5" t="s">
        <v>55</v>
      </c>
      <c r="C15" s="5">
        <v>423525</v>
      </c>
      <c r="D15" s="6"/>
      <c r="E15" s="5" t="s">
        <v>32</v>
      </c>
      <c r="F15" s="5" t="s">
        <v>56</v>
      </c>
      <c r="G15" s="5" t="s">
        <v>11</v>
      </c>
      <c r="H15" s="7" t="s">
        <v>7</v>
      </c>
      <c r="I15" s="7" t="s">
        <v>41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2</v>
      </c>
      <c r="AC15" s="7">
        <v>400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11">
        <v>400</v>
      </c>
      <c r="BN15" s="14">
        <f t="shared" si="2"/>
        <v>400</v>
      </c>
      <c r="BO15" s="15">
        <f t="shared" si="3"/>
        <v>280</v>
      </c>
    </row>
    <row r="16" spans="1:67" x14ac:dyDescent="0.3">
      <c r="A16" s="5" t="s">
        <v>64</v>
      </c>
      <c r="B16" s="5" t="s">
        <v>42</v>
      </c>
      <c r="C16" s="5">
        <v>432749</v>
      </c>
      <c r="D16" s="6"/>
      <c r="E16" s="5" t="s">
        <v>32</v>
      </c>
      <c r="F16" s="5" t="s">
        <v>43</v>
      </c>
      <c r="G16" s="5" t="s">
        <v>11</v>
      </c>
      <c r="H16" s="7" t="s">
        <v>7</v>
      </c>
      <c r="I16" s="7" t="s">
        <v>29</v>
      </c>
      <c r="J16" s="7">
        <v>0</v>
      </c>
      <c r="K16" s="7">
        <v>4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11">
        <v>0</v>
      </c>
      <c r="BN16" s="14">
        <f t="shared" si="2"/>
        <v>0</v>
      </c>
      <c r="BO16" s="15">
        <f t="shared" si="3"/>
        <v>0</v>
      </c>
    </row>
    <row r="17" spans="1:67" ht="19.5" x14ac:dyDescent="0.3">
      <c r="A17" s="5" t="s">
        <v>64</v>
      </c>
      <c r="B17" s="5" t="s">
        <v>36</v>
      </c>
      <c r="C17" s="5">
        <v>434897</v>
      </c>
      <c r="D17" s="6"/>
      <c r="E17" s="5" t="s">
        <v>32</v>
      </c>
      <c r="F17" s="5" t="s">
        <v>37</v>
      </c>
      <c r="G17" s="5" t="s">
        <v>11</v>
      </c>
      <c r="H17" s="7" t="s">
        <v>8</v>
      </c>
      <c r="I17" s="7" t="s">
        <v>38</v>
      </c>
      <c r="J17" s="7">
        <v>0</v>
      </c>
      <c r="K17" s="7">
        <v>1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11">
        <v>0</v>
      </c>
      <c r="BN17" s="14">
        <f t="shared" si="2"/>
        <v>0</v>
      </c>
      <c r="BO17" s="15">
        <f t="shared" si="3"/>
        <v>0</v>
      </c>
    </row>
    <row r="18" spans="1:67" x14ac:dyDescent="0.3">
      <c r="A18" s="5" t="s">
        <v>64</v>
      </c>
      <c r="B18" s="5" t="s">
        <v>31</v>
      </c>
      <c r="C18" s="5">
        <v>435954</v>
      </c>
      <c r="D18" s="6"/>
      <c r="E18" s="5" t="s">
        <v>32</v>
      </c>
      <c r="F18" s="5" t="s">
        <v>33</v>
      </c>
      <c r="G18" s="5" t="s">
        <v>11</v>
      </c>
      <c r="H18" s="7" t="s">
        <v>7</v>
      </c>
      <c r="I18" s="7" t="s">
        <v>29</v>
      </c>
      <c r="J18" s="7">
        <v>0</v>
      </c>
      <c r="K18" s="7">
        <v>3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11">
        <v>0</v>
      </c>
      <c r="BN18" s="14">
        <f t="shared" si="2"/>
        <v>0</v>
      </c>
      <c r="BO18" s="15">
        <f t="shared" si="3"/>
        <v>0</v>
      </c>
    </row>
    <row r="19" spans="1:67" x14ac:dyDescent="0.3">
      <c r="A19" s="5" t="s">
        <v>64</v>
      </c>
      <c r="B19" s="5" t="s">
        <v>60</v>
      </c>
      <c r="C19" s="5">
        <v>436040</v>
      </c>
      <c r="D19" s="6"/>
      <c r="E19" s="5" t="s">
        <v>32</v>
      </c>
      <c r="F19" s="5" t="s">
        <v>61</v>
      </c>
      <c r="G19" s="5" t="s">
        <v>11</v>
      </c>
      <c r="H19" s="7" t="s">
        <v>8</v>
      </c>
      <c r="I19" s="7" t="s">
        <v>62</v>
      </c>
      <c r="J19" s="7">
        <v>0</v>
      </c>
      <c r="K19" s="7">
        <v>1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11">
        <v>0</v>
      </c>
      <c r="BN19" s="14">
        <f t="shared" si="2"/>
        <v>0</v>
      </c>
      <c r="BO19" s="15">
        <f t="shared" si="3"/>
        <v>0</v>
      </c>
    </row>
    <row r="20" spans="1:67" x14ac:dyDescent="0.3">
      <c r="A20" s="5" t="s">
        <v>64</v>
      </c>
      <c r="B20" s="5" t="s">
        <v>53</v>
      </c>
      <c r="C20" s="5">
        <v>467630</v>
      </c>
      <c r="D20" s="6"/>
      <c r="E20" s="5" t="s">
        <v>32</v>
      </c>
      <c r="F20" s="5" t="s">
        <v>54</v>
      </c>
      <c r="G20" s="5" t="s">
        <v>11</v>
      </c>
      <c r="H20" s="7" t="s">
        <v>8</v>
      </c>
      <c r="I20" s="7" t="s">
        <v>30</v>
      </c>
      <c r="J20" s="7">
        <v>0</v>
      </c>
      <c r="K20" s="7">
        <v>3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11">
        <v>0</v>
      </c>
      <c r="BN20" s="14">
        <f t="shared" si="2"/>
        <v>0</v>
      </c>
      <c r="BO20" s="15">
        <f t="shared" si="3"/>
        <v>0</v>
      </c>
    </row>
    <row r="21" spans="1:67" x14ac:dyDescent="0.3">
      <c r="A21" s="5" t="s">
        <v>65</v>
      </c>
      <c r="B21" s="5" t="s">
        <v>39</v>
      </c>
      <c r="C21" s="5">
        <v>465461</v>
      </c>
      <c r="D21" s="6"/>
      <c r="E21" s="5" t="s">
        <v>32</v>
      </c>
      <c r="F21" s="5" t="s">
        <v>40</v>
      </c>
      <c r="G21" s="5" t="s">
        <v>11</v>
      </c>
      <c r="H21" s="7" t="s">
        <v>7</v>
      </c>
      <c r="I21" s="7" t="s">
        <v>41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3</v>
      </c>
      <c r="AC21" s="7">
        <v>400</v>
      </c>
      <c r="AD21" s="7">
        <v>200</v>
      </c>
      <c r="AE21" s="7">
        <v>0</v>
      </c>
      <c r="AF21" s="7">
        <v>0</v>
      </c>
      <c r="AG21" s="7">
        <v>0</v>
      </c>
      <c r="AH21" s="7">
        <v>2</v>
      </c>
      <c r="AI21" s="7">
        <v>480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144</v>
      </c>
      <c r="BM21" s="10">
        <v>1080</v>
      </c>
      <c r="BN21" s="14">
        <f t="shared" si="2"/>
        <v>936</v>
      </c>
      <c r="BO21" s="15">
        <f t="shared" si="3"/>
        <v>655.19999999999993</v>
      </c>
    </row>
    <row r="22" spans="1:67" x14ac:dyDescent="0.3">
      <c r="A22" s="5" t="s">
        <v>65</v>
      </c>
      <c r="B22" s="5" t="s">
        <v>53</v>
      </c>
      <c r="C22" s="5">
        <v>467630</v>
      </c>
      <c r="D22" s="6"/>
      <c r="E22" s="5" t="s">
        <v>32</v>
      </c>
      <c r="F22" s="5" t="s">
        <v>54</v>
      </c>
      <c r="G22" s="5" t="s">
        <v>11</v>
      </c>
      <c r="H22" s="7" t="s">
        <v>8</v>
      </c>
      <c r="I22" s="7" t="s">
        <v>30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1</v>
      </c>
      <c r="AC22" s="7">
        <v>200</v>
      </c>
      <c r="AD22" s="7">
        <v>0</v>
      </c>
      <c r="AE22" s="7">
        <v>1</v>
      </c>
      <c r="AF22" s="7">
        <v>400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11">
        <v>600</v>
      </c>
      <c r="BN22" s="14">
        <f t="shared" si="2"/>
        <v>600</v>
      </c>
      <c r="BO22" s="15">
        <f t="shared" si="3"/>
        <v>420</v>
      </c>
    </row>
    <row r="23" spans="1:67" x14ac:dyDescent="0.3">
      <c r="A23" s="5" t="s">
        <v>65</v>
      </c>
      <c r="B23" s="5" t="s">
        <v>31</v>
      </c>
      <c r="C23" s="5">
        <v>435954</v>
      </c>
      <c r="D23" s="6"/>
      <c r="E23" s="5" t="s">
        <v>32</v>
      </c>
      <c r="F23" s="5" t="s">
        <v>33</v>
      </c>
      <c r="G23" s="5" t="s">
        <v>11</v>
      </c>
      <c r="H23" s="7" t="s">
        <v>7</v>
      </c>
      <c r="I23" s="7" t="s">
        <v>29</v>
      </c>
      <c r="J23" s="7">
        <v>0</v>
      </c>
      <c r="K23" s="7">
        <v>1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2</v>
      </c>
      <c r="AC23" s="7">
        <v>400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11">
        <v>400</v>
      </c>
      <c r="BN23" s="14">
        <f t="shared" si="2"/>
        <v>400</v>
      </c>
      <c r="BO23" s="15">
        <f t="shared" si="3"/>
        <v>280</v>
      </c>
    </row>
    <row r="24" spans="1:67" x14ac:dyDescent="0.3">
      <c r="A24" s="5" t="s">
        <v>65</v>
      </c>
      <c r="B24" s="5" t="s">
        <v>47</v>
      </c>
      <c r="C24" s="5">
        <v>351846</v>
      </c>
      <c r="D24" s="6"/>
      <c r="E24" s="5" t="s">
        <v>32</v>
      </c>
      <c r="F24" s="5" t="s">
        <v>48</v>
      </c>
      <c r="G24" s="5" t="s">
        <v>11</v>
      </c>
      <c r="H24" s="7" t="s">
        <v>7</v>
      </c>
      <c r="I24" s="7" t="s">
        <v>49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1</v>
      </c>
      <c r="AI24" s="7">
        <v>0</v>
      </c>
      <c r="AJ24" s="7">
        <v>100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11">
        <v>100</v>
      </c>
      <c r="BN24" s="14">
        <f t="shared" si="2"/>
        <v>100</v>
      </c>
      <c r="BO24" s="15">
        <f t="shared" si="3"/>
        <v>70</v>
      </c>
    </row>
    <row r="25" spans="1:67" x14ac:dyDescent="0.3">
      <c r="A25" s="5"/>
      <c r="B25" s="5"/>
      <c r="C25" s="5"/>
      <c r="D25" s="6"/>
      <c r="E25" s="5"/>
      <c r="F25" s="5"/>
      <c r="G25" s="5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8"/>
      <c r="AD25" s="7"/>
      <c r="AE25" s="7"/>
      <c r="AF25" s="8"/>
      <c r="AG25" s="8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17">
        <f t="shared" ref="BL25:BM25" si="4">SUM(BL2:BL24)</f>
        <v>144</v>
      </c>
      <c r="BM25" s="17">
        <f t="shared" si="4"/>
        <v>23580</v>
      </c>
      <c r="BN25" s="17">
        <f>SUM(BN2:BN24)</f>
        <v>23436</v>
      </c>
      <c r="BO25" s="17">
        <f t="shared" ref="BO25" si="5">BN25*70%</f>
        <v>16405.2</v>
      </c>
    </row>
    <row r="26" spans="1:67" x14ac:dyDescent="0.3">
      <c r="A26" s="5"/>
      <c r="B26" s="5"/>
      <c r="C26" s="5"/>
      <c r="D26" s="6"/>
      <c r="E26" s="5"/>
      <c r="F26" s="5"/>
      <c r="G26" s="5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8"/>
      <c r="AD26" s="8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10"/>
    </row>
    <row r="27" spans="1:67" x14ac:dyDescent="0.3">
      <c r="A27" s="5"/>
      <c r="B27" s="5"/>
      <c r="C27" s="5"/>
      <c r="D27" s="6"/>
      <c r="E27" s="5"/>
      <c r="F27" s="5"/>
      <c r="G27" s="5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8"/>
      <c r="AD27" s="8"/>
      <c r="AE27" s="7"/>
      <c r="AF27" s="8"/>
      <c r="AG27" s="7"/>
      <c r="AH27" s="7"/>
      <c r="AI27" s="7"/>
      <c r="AJ27" s="7"/>
      <c r="AK27" s="7"/>
      <c r="AL27" s="7"/>
      <c r="AM27" s="7"/>
      <c r="AN27" s="7"/>
      <c r="AO27" s="8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10"/>
    </row>
    <row r="28" spans="1:67" x14ac:dyDescent="0.3">
      <c r="A28" s="5"/>
      <c r="B28" s="5"/>
      <c r="C28" s="5"/>
      <c r="D28" s="6"/>
      <c r="E28" s="5"/>
      <c r="F28" s="5"/>
      <c r="G28" s="5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8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10"/>
    </row>
    <row r="29" spans="1:67" x14ac:dyDescent="0.3">
      <c r="A29" s="5"/>
      <c r="B29" s="5"/>
      <c r="C29" s="5"/>
      <c r="D29" s="6"/>
      <c r="E29" s="5"/>
      <c r="F29" s="5"/>
      <c r="G29" s="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8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10"/>
    </row>
    <row r="30" spans="1:67" x14ac:dyDescent="0.3">
      <c r="A30" s="5"/>
      <c r="B30" s="5"/>
      <c r="C30" s="5"/>
      <c r="D30" s="6"/>
      <c r="E30" s="5"/>
      <c r="F30" s="5"/>
      <c r="G30" s="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8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10"/>
    </row>
    <row r="31" spans="1:67" x14ac:dyDescent="0.3">
      <c r="A31" s="5"/>
      <c r="B31" s="5"/>
      <c r="C31" s="5"/>
      <c r="D31" s="6"/>
      <c r="E31" s="5"/>
      <c r="F31" s="5"/>
      <c r="G31" s="5"/>
      <c r="H31" s="7"/>
      <c r="I31" s="7"/>
      <c r="J31" s="7"/>
      <c r="K31" s="8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8"/>
      <c r="AE31" s="7"/>
      <c r="AF31" s="8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10"/>
    </row>
    <row r="32" spans="1:67" x14ac:dyDescent="0.3">
      <c r="A32" s="5"/>
      <c r="B32" s="5"/>
      <c r="C32" s="5"/>
      <c r="D32" s="6"/>
      <c r="E32" s="5"/>
      <c r="F32" s="5"/>
      <c r="G32" s="5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8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10"/>
    </row>
    <row r="33" spans="1:65" x14ac:dyDescent="0.3">
      <c r="A33" s="5"/>
      <c r="B33" s="5"/>
      <c r="C33" s="5"/>
      <c r="D33" s="6"/>
      <c r="E33" s="5"/>
      <c r="F33" s="5"/>
      <c r="G33" s="5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8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10"/>
    </row>
    <row r="34" spans="1:65" x14ac:dyDescent="0.3">
      <c r="A34" s="5"/>
      <c r="B34" s="5"/>
      <c r="C34" s="5"/>
      <c r="D34" s="6"/>
      <c r="E34" s="5"/>
      <c r="F34" s="5"/>
      <c r="G34" s="5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10"/>
    </row>
    <row r="35" spans="1:65" x14ac:dyDescent="0.3">
      <c r="A35" s="5"/>
      <c r="B35" s="5"/>
      <c r="C35" s="5"/>
      <c r="D35" s="6"/>
      <c r="E35" s="5"/>
      <c r="F35" s="5"/>
      <c r="G35" s="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8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10"/>
    </row>
    <row r="36" spans="1:65" x14ac:dyDescent="0.3">
      <c r="A36" s="5"/>
      <c r="B36" s="5"/>
      <c r="C36" s="5"/>
      <c r="D36" s="6"/>
      <c r="E36" s="5"/>
      <c r="F36" s="5"/>
      <c r="G36" s="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11"/>
    </row>
    <row r="37" spans="1:65" x14ac:dyDescent="0.3">
      <c r="A37" s="5"/>
      <c r="B37" s="5"/>
      <c r="C37" s="5"/>
      <c r="D37" s="6"/>
      <c r="E37" s="5"/>
      <c r="F37" s="5"/>
      <c r="G37" s="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11"/>
    </row>
    <row r="38" spans="1:65" x14ac:dyDescent="0.3">
      <c r="A38" s="5"/>
      <c r="B38" s="5"/>
      <c r="C38" s="5"/>
      <c r="D38" s="6"/>
      <c r="E38" s="5"/>
      <c r="F38" s="5"/>
      <c r="G38" s="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11"/>
    </row>
    <row r="39" spans="1:65" x14ac:dyDescent="0.3">
      <c r="A39" s="5"/>
      <c r="B39" s="5"/>
      <c r="C39" s="5"/>
      <c r="D39" s="6"/>
      <c r="E39" s="5"/>
      <c r="F39" s="5"/>
      <c r="G39" s="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11"/>
    </row>
    <row r="40" spans="1:65" x14ac:dyDescent="0.3">
      <c r="A40" s="5"/>
      <c r="B40" s="5"/>
      <c r="C40" s="5"/>
      <c r="D40" s="6"/>
      <c r="E40" s="5"/>
      <c r="F40" s="5"/>
      <c r="G40" s="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11"/>
    </row>
    <row r="41" spans="1:65" x14ac:dyDescent="0.3">
      <c r="A41" s="5"/>
      <c r="B41" s="5"/>
      <c r="C41" s="5"/>
      <c r="D41" s="6"/>
      <c r="E41" s="5"/>
      <c r="F41" s="5"/>
      <c r="G41" s="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11"/>
    </row>
    <row r="42" spans="1:65" x14ac:dyDescent="0.3">
      <c r="A42" s="5"/>
      <c r="B42" s="5"/>
      <c r="C42" s="5"/>
      <c r="D42" s="6"/>
      <c r="E42" s="5"/>
      <c r="F42" s="5"/>
      <c r="G42" s="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11"/>
    </row>
    <row r="43" spans="1:65" x14ac:dyDescent="0.3">
      <c r="A43" s="5"/>
      <c r="B43" s="5"/>
      <c r="C43" s="5"/>
      <c r="D43" s="6"/>
      <c r="E43" s="5"/>
      <c r="F43" s="5"/>
      <c r="G43" s="5"/>
      <c r="H43" s="7"/>
      <c r="I43" s="7"/>
      <c r="J43" s="7"/>
      <c r="K43" s="8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8"/>
      <c r="AD43" s="8"/>
      <c r="AE43" s="7"/>
      <c r="AF43" s="8"/>
      <c r="AG43" s="8"/>
      <c r="AH43" s="7"/>
      <c r="AI43" s="8"/>
      <c r="AJ43" s="8"/>
      <c r="AK43" s="7"/>
      <c r="AL43" s="8"/>
      <c r="AM43" s="8"/>
      <c r="AN43" s="7"/>
      <c r="AO43" s="8"/>
      <c r="AP43" s="7"/>
      <c r="AQ43" s="7"/>
      <c r="AR43" s="8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9"/>
      <c r="BM43" s="10"/>
    </row>
    <row r="44" spans="1:65" x14ac:dyDescent="0.3">
      <c r="A44" s="5"/>
      <c r="B44" s="5"/>
      <c r="C44" s="5"/>
      <c r="D44" s="6"/>
      <c r="E44" s="5"/>
      <c r="F44" s="5"/>
      <c r="G44" s="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8"/>
      <c r="AD44" s="8"/>
      <c r="AE44" s="7"/>
      <c r="AF44" s="8"/>
      <c r="AG44" s="8"/>
      <c r="AH44" s="7"/>
      <c r="AI44" s="8"/>
      <c r="AJ44" s="8"/>
      <c r="AK44" s="7"/>
      <c r="AL44" s="8"/>
      <c r="AM44" s="7"/>
      <c r="AN44" s="7"/>
      <c r="AO44" s="8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9"/>
      <c r="BM44" s="10"/>
    </row>
    <row r="45" spans="1:65" x14ac:dyDescent="0.3">
      <c r="A45" s="5"/>
      <c r="B45" s="5"/>
      <c r="C45" s="5"/>
      <c r="D45" s="6"/>
      <c r="E45" s="5"/>
      <c r="F45" s="5"/>
      <c r="G45" s="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8"/>
      <c r="AD45" s="7"/>
      <c r="AE45" s="7"/>
      <c r="AF45" s="7"/>
      <c r="AG45" s="7"/>
      <c r="AH45" s="7"/>
      <c r="AI45" s="8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9"/>
      <c r="BM45" s="10"/>
    </row>
    <row r="46" spans="1:65" x14ac:dyDescent="0.3">
      <c r="A46" s="5"/>
      <c r="B46" s="5"/>
      <c r="C46" s="5"/>
      <c r="D46" s="6"/>
      <c r="E46" s="5"/>
      <c r="F46" s="5"/>
      <c r="G46" s="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8"/>
      <c r="AD46" s="8"/>
      <c r="AE46" s="7"/>
      <c r="AF46" s="7"/>
      <c r="AG46" s="7"/>
      <c r="AH46" s="7"/>
      <c r="AI46" s="8"/>
      <c r="AJ46" s="8"/>
      <c r="AK46" s="7"/>
      <c r="AL46" s="7"/>
      <c r="AM46" s="7"/>
      <c r="AN46" s="7"/>
      <c r="AO46" s="8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9"/>
      <c r="BM46" s="10"/>
    </row>
    <row r="47" spans="1:65" x14ac:dyDescent="0.3">
      <c r="A47" s="5"/>
      <c r="B47" s="5"/>
      <c r="C47" s="5"/>
      <c r="D47" s="6"/>
      <c r="E47" s="5"/>
      <c r="F47" s="5"/>
      <c r="G47" s="5"/>
      <c r="H47" s="7"/>
      <c r="I47" s="7"/>
      <c r="J47" s="7"/>
      <c r="K47" s="8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8"/>
      <c r="AD47" s="7"/>
      <c r="AE47" s="7"/>
      <c r="AF47" s="8"/>
      <c r="AG47" s="7"/>
      <c r="AH47" s="7"/>
      <c r="AI47" s="8"/>
      <c r="AJ47" s="8"/>
      <c r="AK47" s="7"/>
      <c r="AL47" s="7"/>
      <c r="AM47" s="7"/>
      <c r="AN47" s="7"/>
      <c r="AO47" s="8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9"/>
      <c r="BM47" s="10"/>
    </row>
    <row r="48" spans="1:65" x14ac:dyDescent="0.3">
      <c r="A48" s="5"/>
      <c r="B48" s="5"/>
      <c r="C48" s="5"/>
      <c r="D48" s="6"/>
      <c r="E48" s="5"/>
      <c r="F48" s="5"/>
      <c r="G48" s="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8"/>
      <c r="AD48" s="7"/>
      <c r="AE48" s="7"/>
      <c r="AF48" s="7"/>
      <c r="AG48" s="7"/>
      <c r="AH48" s="7"/>
      <c r="AI48" s="8"/>
      <c r="AJ48" s="8"/>
      <c r="AK48" s="7"/>
      <c r="AL48" s="7"/>
      <c r="AM48" s="7"/>
      <c r="AN48" s="7"/>
      <c r="AO48" s="8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9"/>
      <c r="BM48" s="10"/>
    </row>
    <row r="49" spans="1:65" x14ac:dyDescent="0.3">
      <c r="A49" s="5"/>
      <c r="B49" s="5"/>
      <c r="C49" s="5"/>
      <c r="D49" s="6"/>
      <c r="E49" s="5"/>
      <c r="F49" s="5"/>
      <c r="G49" s="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8"/>
      <c r="AD49" s="7"/>
      <c r="AE49" s="7"/>
      <c r="AF49" s="7"/>
      <c r="AG49" s="7"/>
      <c r="AH49" s="7"/>
      <c r="AI49" s="8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9"/>
      <c r="BM49" s="10"/>
    </row>
    <row r="50" spans="1:65" x14ac:dyDescent="0.3">
      <c r="A50" s="5"/>
      <c r="B50" s="5"/>
      <c r="C50" s="5"/>
      <c r="D50" s="6"/>
      <c r="E50" s="5"/>
      <c r="F50" s="5"/>
      <c r="G50" s="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8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10"/>
    </row>
    <row r="51" spans="1:65" x14ac:dyDescent="0.3">
      <c r="A51" s="5"/>
      <c r="B51" s="5"/>
      <c r="C51" s="5"/>
      <c r="D51" s="6"/>
      <c r="E51" s="5"/>
      <c r="F51" s="5"/>
      <c r="G51" s="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8"/>
      <c r="AD51" s="8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10"/>
    </row>
    <row r="52" spans="1:65" x14ac:dyDescent="0.3">
      <c r="A52" s="5"/>
      <c r="B52" s="5"/>
      <c r="C52" s="5"/>
      <c r="D52" s="6"/>
      <c r="E52" s="5"/>
      <c r="F52" s="5"/>
      <c r="G52" s="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8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9"/>
      <c r="BM52" s="10"/>
    </row>
    <row r="53" spans="1:65" x14ac:dyDescent="0.3">
      <c r="A53" s="5"/>
      <c r="B53" s="5"/>
      <c r="C53" s="5"/>
      <c r="D53" s="6"/>
      <c r="E53" s="5"/>
      <c r="F53" s="5"/>
      <c r="G53" s="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8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9"/>
      <c r="BM53" s="10"/>
    </row>
    <row r="54" spans="1:65" x14ac:dyDescent="0.3">
      <c r="A54" s="5"/>
      <c r="B54" s="5"/>
      <c r="C54" s="5"/>
      <c r="D54" s="6"/>
      <c r="E54" s="5"/>
      <c r="F54" s="5"/>
      <c r="G54" s="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8"/>
      <c r="AJ54" s="8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10"/>
    </row>
    <row r="55" spans="1:65" x14ac:dyDescent="0.3">
      <c r="A55" s="5"/>
      <c r="B55" s="5"/>
      <c r="C55" s="5"/>
      <c r="D55" s="6"/>
      <c r="E55" s="5"/>
      <c r="F55" s="5"/>
      <c r="G55" s="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10"/>
    </row>
    <row r="56" spans="1:65" x14ac:dyDescent="0.3">
      <c r="A56" s="5"/>
      <c r="B56" s="5"/>
      <c r="C56" s="5"/>
      <c r="D56" s="6"/>
      <c r="E56" s="5"/>
      <c r="F56" s="5"/>
      <c r="G56" s="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11"/>
    </row>
    <row r="57" spans="1:65" x14ac:dyDescent="0.3">
      <c r="A57" s="5"/>
      <c r="B57" s="5"/>
      <c r="C57" s="5"/>
      <c r="D57" s="6"/>
      <c r="E57" s="5"/>
      <c r="F57" s="5"/>
      <c r="G57" s="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11"/>
    </row>
    <row r="58" spans="1:65" x14ac:dyDescent="0.3">
      <c r="A58" s="5"/>
      <c r="B58" s="5"/>
      <c r="C58" s="5"/>
      <c r="D58" s="6"/>
      <c r="E58" s="5"/>
      <c r="F58" s="5"/>
      <c r="G58" s="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11"/>
    </row>
    <row r="59" spans="1:65" x14ac:dyDescent="0.3">
      <c r="A59" s="5"/>
      <c r="B59" s="5"/>
      <c r="C59" s="5"/>
      <c r="D59" s="6"/>
      <c r="E59" s="5"/>
      <c r="F59" s="5"/>
      <c r="G59" s="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11"/>
    </row>
    <row r="60" spans="1:65" x14ac:dyDescent="0.3">
      <c r="A60" s="5"/>
      <c r="B60" s="5"/>
      <c r="C60" s="5"/>
      <c r="D60" s="6"/>
      <c r="E60" s="5"/>
      <c r="F60" s="5"/>
      <c r="G60" s="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11"/>
    </row>
    <row r="61" spans="1:65" x14ac:dyDescent="0.3">
      <c r="A61" s="5"/>
      <c r="B61" s="5"/>
      <c r="C61" s="5"/>
      <c r="D61" s="6"/>
      <c r="E61" s="5"/>
      <c r="F61" s="5"/>
      <c r="G61" s="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11"/>
    </row>
    <row r="62" spans="1:65" x14ac:dyDescent="0.3">
      <c r="A62" s="5"/>
      <c r="B62" s="5"/>
      <c r="C62" s="5"/>
      <c r="D62" s="6"/>
      <c r="E62" s="5"/>
      <c r="F62" s="5"/>
      <c r="G62" s="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11"/>
    </row>
    <row r="63" spans="1:65" x14ac:dyDescent="0.3">
      <c r="A63" s="5"/>
      <c r="B63" s="5"/>
      <c r="C63" s="5"/>
      <c r="D63" s="6"/>
      <c r="E63" s="5"/>
      <c r="F63" s="5"/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11"/>
    </row>
    <row r="64" spans="1:65" x14ac:dyDescent="0.3">
      <c r="A64" s="5"/>
      <c r="B64" s="5"/>
      <c r="C64" s="5"/>
      <c r="D64" s="6"/>
      <c r="E64" s="5"/>
      <c r="F64" s="5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8"/>
      <c r="AG64" s="8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10"/>
    </row>
    <row r="65" spans="1:65" x14ac:dyDescent="0.3">
      <c r="A65" s="5"/>
      <c r="B65" s="5"/>
      <c r="C65" s="5"/>
      <c r="D65" s="6"/>
      <c r="E65" s="5"/>
      <c r="F65" s="5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8"/>
      <c r="AG65" s="8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10"/>
    </row>
    <row r="66" spans="1:65" x14ac:dyDescent="0.3">
      <c r="A66" s="5"/>
      <c r="B66" s="5"/>
      <c r="C66" s="5"/>
      <c r="D66" s="6"/>
      <c r="E66" s="5"/>
      <c r="F66" s="5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8"/>
      <c r="AG66" s="8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10"/>
    </row>
    <row r="67" spans="1:65" x14ac:dyDescent="0.3">
      <c r="A67" s="5"/>
      <c r="B67" s="5"/>
      <c r="C67" s="5"/>
      <c r="D67" s="6"/>
      <c r="E67" s="5"/>
      <c r="F67" s="5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  <c r="AG67" s="8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8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10"/>
    </row>
    <row r="68" spans="1:65" x14ac:dyDescent="0.3">
      <c r="A68" s="5"/>
      <c r="B68" s="5"/>
      <c r="C68" s="5"/>
      <c r="D68" s="6"/>
      <c r="E68" s="5"/>
      <c r="F68" s="5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8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8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10"/>
    </row>
    <row r="69" spans="1:65" x14ac:dyDescent="0.3">
      <c r="A69" s="5"/>
      <c r="B69" s="5"/>
      <c r="C69" s="5"/>
      <c r="D69" s="6"/>
      <c r="E69" s="5"/>
      <c r="F69" s="5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8"/>
      <c r="AG69" s="8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8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10"/>
    </row>
    <row r="70" spans="1:65" x14ac:dyDescent="0.3">
      <c r="A70" s="5"/>
      <c r="B70" s="5"/>
      <c r="C70" s="5"/>
      <c r="D70" s="6"/>
      <c r="E70" s="5"/>
      <c r="F70" s="5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8"/>
      <c r="AG70" s="8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10"/>
    </row>
    <row r="71" spans="1:65" x14ac:dyDescent="0.3">
      <c r="A71" s="5"/>
      <c r="B71" s="5"/>
      <c r="C71" s="5"/>
      <c r="D71" s="6"/>
      <c r="E71" s="5"/>
      <c r="F71" s="5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8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10"/>
    </row>
    <row r="72" spans="1:65" x14ac:dyDescent="0.3">
      <c r="A72" s="5"/>
      <c r="B72" s="5"/>
      <c r="C72" s="5"/>
      <c r="D72" s="6"/>
      <c r="E72" s="5"/>
      <c r="F72" s="5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8"/>
      <c r="AG72" s="8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8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10"/>
    </row>
    <row r="73" spans="1:65" x14ac:dyDescent="0.3">
      <c r="A73" s="5"/>
      <c r="B73" s="5"/>
      <c r="C73" s="5"/>
      <c r="D73" s="6"/>
      <c r="E73" s="5"/>
      <c r="F73" s="5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8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10"/>
    </row>
    <row r="74" spans="1:65" x14ac:dyDescent="0.3">
      <c r="A74" s="5"/>
      <c r="B74" s="5"/>
      <c r="C74" s="5"/>
      <c r="D74" s="6"/>
      <c r="E74" s="5"/>
      <c r="F74" s="5"/>
      <c r="G74" s="5"/>
      <c r="H74" s="7"/>
      <c r="I74" s="7"/>
      <c r="J74" s="7"/>
      <c r="K74" s="7"/>
      <c r="L74" s="8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8"/>
      <c r="AG74" s="8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10"/>
    </row>
    <row r="75" spans="1:65" x14ac:dyDescent="0.3">
      <c r="A75" s="5"/>
      <c r="B75" s="5"/>
      <c r="C75" s="5"/>
      <c r="D75" s="6"/>
      <c r="E75" s="5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8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8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10"/>
    </row>
    <row r="76" spans="1:65" x14ac:dyDescent="0.3">
      <c r="A76" s="5"/>
      <c r="B76" s="5"/>
      <c r="C76" s="5"/>
      <c r="D76" s="6"/>
      <c r="E76" s="5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8"/>
      <c r="AG76" s="8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8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10"/>
    </row>
    <row r="77" spans="1:65" x14ac:dyDescent="0.3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8"/>
      <c r="AG77" s="8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10"/>
    </row>
    <row r="78" spans="1:65" x14ac:dyDescent="0.3">
      <c r="A78" s="5"/>
      <c r="B78" s="5"/>
      <c r="C78" s="5"/>
      <c r="D78" s="6"/>
      <c r="E78" s="5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8"/>
      <c r="AG78" s="8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8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10"/>
    </row>
    <row r="79" spans="1:65" x14ac:dyDescent="0.3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8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10"/>
    </row>
    <row r="80" spans="1:65" x14ac:dyDescent="0.3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8"/>
      <c r="AG80" s="8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10"/>
    </row>
    <row r="81" spans="1:65" x14ac:dyDescent="0.3">
      <c r="A81" s="5"/>
      <c r="B81" s="5"/>
      <c r="C81" s="5"/>
      <c r="D81" s="6"/>
      <c r="E81" s="5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8"/>
      <c r="AG81" s="8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10"/>
    </row>
    <row r="82" spans="1:65" x14ac:dyDescent="0.3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8"/>
      <c r="AG82" s="8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10"/>
    </row>
    <row r="83" spans="1:65" x14ac:dyDescent="0.3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8"/>
      <c r="AG83" s="8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10"/>
    </row>
    <row r="84" spans="1:65" x14ac:dyDescent="0.3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8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10"/>
    </row>
    <row r="85" spans="1:65" x14ac:dyDescent="0.3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8"/>
      <c r="AG85" s="8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8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10"/>
    </row>
    <row r="86" spans="1:65" x14ac:dyDescent="0.3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8"/>
      <c r="AG86" s="8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8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10"/>
    </row>
    <row r="87" spans="1:65" x14ac:dyDescent="0.3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8"/>
      <c r="AG87" s="8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10"/>
    </row>
    <row r="88" spans="1:65" x14ac:dyDescent="0.3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8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8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0"/>
    </row>
    <row r="89" spans="1:65" x14ac:dyDescent="0.3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8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8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0"/>
    </row>
    <row r="90" spans="1:65" x14ac:dyDescent="0.3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8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0"/>
    </row>
    <row r="91" spans="1:65" x14ac:dyDescent="0.3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8"/>
      <c r="AG91" s="8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0"/>
    </row>
    <row r="92" spans="1:65" x14ac:dyDescent="0.3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8"/>
      <c r="AG92" s="8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8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5" x14ac:dyDescent="0.3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8"/>
      <c r="AG93" s="8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5" x14ac:dyDescent="0.3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8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8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5" x14ac:dyDescent="0.3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8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8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5" x14ac:dyDescent="0.3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8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8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3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8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8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3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8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3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8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3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8"/>
      <c r="AG100" s="8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3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8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3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8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3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8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3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8"/>
      <c r="AG104" s="8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3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8"/>
      <c r="AG105" s="8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</row>
    <row r="106" spans="1:65" x14ac:dyDescent="0.3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8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8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0"/>
    </row>
    <row r="107" spans="1:65" x14ac:dyDescent="0.3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8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0"/>
    </row>
    <row r="108" spans="1:65" x14ac:dyDescent="0.3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8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8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0"/>
    </row>
    <row r="109" spans="1:65" x14ac:dyDescent="0.3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8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8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0"/>
    </row>
    <row r="110" spans="1:65" x14ac:dyDescent="0.3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8"/>
      <c r="AG110" s="8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8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0"/>
    </row>
    <row r="111" spans="1:65" x14ac:dyDescent="0.3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8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0"/>
    </row>
    <row r="112" spans="1:65" x14ac:dyDescent="0.3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8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8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0"/>
    </row>
    <row r="113" spans="1:65" x14ac:dyDescent="0.3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8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0"/>
    </row>
    <row r="114" spans="1:65" x14ac:dyDescent="0.3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8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0"/>
    </row>
    <row r="115" spans="1:65" x14ac:dyDescent="0.3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8"/>
      <c r="AG115" s="8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8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0"/>
    </row>
    <row r="116" spans="1:65" x14ac:dyDescent="0.3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8"/>
      <c r="AG116" s="8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0"/>
    </row>
    <row r="117" spans="1:65" x14ac:dyDescent="0.3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8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0"/>
    </row>
    <row r="118" spans="1:65" x14ac:dyDescent="0.3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8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0"/>
    </row>
    <row r="119" spans="1:65" x14ac:dyDescent="0.3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8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8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0"/>
    </row>
    <row r="120" spans="1:65" x14ac:dyDescent="0.3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0"/>
    </row>
    <row r="121" spans="1:65" x14ac:dyDescent="0.3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8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0"/>
    </row>
    <row r="122" spans="1:65" x14ac:dyDescent="0.3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8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0"/>
    </row>
    <row r="123" spans="1:65" x14ac:dyDescent="0.3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0"/>
    </row>
    <row r="124" spans="1:65" x14ac:dyDescent="0.3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0"/>
    </row>
    <row r="125" spans="1:65" x14ac:dyDescent="0.3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0"/>
    </row>
    <row r="126" spans="1:65" x14ac:dyDescent="0.3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0"/>
    </row>
    <row r="127" spans="1:65" x14ac:dyDescent="0.3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0"/>
    </row>
    <row r="128" spans="1:65" x14ac:dyDescent="0.3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8"/>
      <c r="AD128" s="7"/>
      <c r="AE128" s="7"/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0"/>
    </row>
    <row r="129" spans="1:65" x14ac:dyDescent="0.3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8"/>
      <c r="AG129" s="8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0"/>
    </row>
    <row r="130" spans="1:65" x14ac:dyDescent="0.3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8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0"/>
    </row>
    <row r="131" spans="1:65" x14ac:dyDescent="0.3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8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0"/>
    </row>
    <row r="132" spans="1:65" x14ac:dyDescent="0.3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8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0"/>
    </row>
    <row r="133" spans="1:65" x14ac:dyDescent="0.3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8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0"/>
    </row>
    <row r="134" spans="1:65" x14ac:dyDescent="0.3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8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0"/>
    </row>
    <row r="135" spans="1:65" x14ac:dyDescent="0.3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8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8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0"/>
    </row>
    <row r="136" spans="1:65" x14ac:dyDescent="0.3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8"/>
      <c r="AG136" s="8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0"/>
    </row>
    <row r="137" spans="1:65" x14ac:dyDescent="0.3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8"/>
      <c r="AS137" s="8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10"/>
    </row>
    <row r="138" spans="1:65" x14ac:dyDescent="0.3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8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0"/>
    </row>
    <row r="139" spans="1:65" x14ac:dyDescent="0.3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8"/>
      <c r="AG139" s="8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0"/>
    </row>
    <row r="140" spans="1:65" x14ac:dyDescent="0.3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8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0"/>
    </row>
    <row r="141" spans="1:65" x14ac:dyDescent="0.3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8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0"/>
    </row>
    <row r="142" spans="1:65" x14ac:dyDescent="0.3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8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0"/>
    </row>
    <row r="143" spans="1:65" x14ac:dyDescent="0.3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8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0"/>
    </row>
    <row r="144" spans="1:65" x14ac:dyDescent="0.3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8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10"/>
    </row>
    <row r="145" spans="1:65" x14ac:dyDescent="0.3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8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0"/>
    </row>
    <row r="146" spans="1:65" x14ac:dyDescent="0.3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8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10"/>
    </row>
    <row r="147" spans="1:65" x14ac:dyDescent="0.3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8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10"/>
    </row>
    <row r="148" spans="1:65" x14ac:dyDescent="0.3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8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0"/>
    </row>
    <row r="149" spans="1:65" x14ac:dyDescent="0.3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8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0"/>
    </row>
    <row r="150" spans="1:65" x14ac:dyDescent="0.3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8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0"/>
    </row>
    <row r="151" spans="1:65" x14ac:dyDescent="0.3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0"/>
    </row>
    <row r="152" spans="1:65" x14ac:dyDescent="0.3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0"/>
    </row>
    <row r="153" spans="1:65" x14ac:dyDescent="0.3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8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0"/>
    </row>
    <row r="154" spans="1:65" x14ac:dyDescent="0.3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1"/>
    </row>
    <row r="155" spans="1:65" x14ac:dyDescent="0.3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1"/>
    </row>
    <row r="156" spans="1:65" x14ac:dyDescent="0.3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11"/>
    </row>
    <row r="157" spans="1:65" x14ac:dyDescent="0.3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1"/>
    </row>
    <row r="158" spans="1:65" x14ac:dyDescent="0.3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11"/>
    </row>
    <row r="159" spans="1:65" x14ac:dyDescent="0.3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1"/>
    </row>
    <row r="160" spans="1:65" x14ac:dyDescent="0.3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11"/>
    </row>
    <row r="161" spans="1:65" x14ac:dyDescent="0.3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11"/>
    </row>
    <row r="162" spans="1:65" x14ac:dyDescent="0.3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11"/>
    </row>
    <row r="163" spans="1:65" x14ac:dyDescent="0.3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1"/>
    </row>
    <row r="164" spans="1:65" x14ac:dyDescent="0.3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8"/>
      <c r="L164" s="8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8"/>
      <c r="AF164" s="8"/>
      <c r="AG164" s="8"/>
      <c r="AH164" s="7"/>
      <c r="AI164" s="7"/>
      <c r="AJ164" s="7"/>
      <c r="AK164" s="7"/>
      <c r="AL164" s="7"/>
      <c r="AM164" s="7"/>
      <c r="AN164" s="7"/>
      <c r="AO164" s="7"/>
      <c r="AP164" s="7"/>
      <c r="AQ164" s="8"/>
      <c r="AR164" s="8"/>
      <c r="AS164" s="8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10"/>
    </row>
    <row r="165" spans="1:65" x14ac:dyDescent="0.3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8"/>
      <c r="AG165" s="8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8"/>
      <c r="AS165" s="8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10"/>
    </row>
    <row r="166" spans="1:65" x14ac:dyDescent="0.3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8"/>
      <c r="AD166" s="8"/>
      <c r="AE166" s="7"/>
      <c r="AF166" s="8"/>
      <c r="AG166" s="8"/>
      <c r="AH166" s="7"/>
      <c r="AI166" s="7"/>
      <c r="AJ166" s="7"/>
      <c r="AK166" s="7"/>
      <c r="AL166" s="7"/>
      <c r="AM166" s="7"/>
      <c r="AN166" s="7"/>
      <c r="AO166" s="8"/>
      <c r="AP166" s="7"/>
      <c r="AQ166" s="7"/>
      <c r="AR166" s="8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10"/>
    </row>
    <row r="167" spans="1:65" x14ac:dyDescent="0.3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8"/>
      <c r="L167" s="8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8"/>
      <c r="AF167" s="8"/>
      <c r="AG167" s="8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8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10"/>
    </row>
    <row r="168" spans="1:65" x14ac:dyDescent="0.3">
      <c r="A168" s="5"/>
      <c r="B168" s="5"/>
      <c r="C168" s="5"/>
      <c r="D168" s="6"/>
      <c r="E168" s="5"/>
      <c r="F168" s="5"/>
      <c r="G168" s="5"/>
      <c r="H168" s="7"/>
      <c r="I168" s="7"/>
      <c r="J168" s="8"/>
      <c r="K168" s="8"/>
      <c r="L168" s="8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8"/>
      <c r="AG168" s="8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10"/>
    </row>
    <row r="169" spans="1:65" x14ac:dyDescent="0.3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8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8"/>
      <c r="AF169" s="8"/>
      <c r="AG169" s="8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8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10"/>
    </row>
    <row r="170" spans="1:65" x14ac:dyDescent="0.3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8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8"/>
      <c r="AF170" s="8"/>
      <c r="AG170" s="8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8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10"/>
    </row>
    <row r="171" spans="1:65" x14ac:dyDescent="0.3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8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8"/>
      <c r="AF171" s="8"/>
      <c r="AG171" s="8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8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10"/>
    </row>
    <row r="172" spans="1:65" x14ac:dyDescent="0.3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8"/>
      <c r="AD172" s="7"/>
      <c r="AE172" s="7"/>
      <c r="AF172" s="8"/>
      <c r="AG172" s="8"/>
      <c r="AH172" s="7"/>
      <c r="AI172" s="7"/>
      <c r="AJ172" s="7"/>
      <c r="AK172" s="7"/>
      <c r="AL172" s="7"/>
      <c r="AM172" s="7"/>
      <c r="AN172" s="7"/>
      <c r="AO172" s="8"/>
      <c r="AP172" s="7"/>
      <c r="AQ172" s="7"/>
      <c r="AR172" s="8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10"/>
    </row>
    <row r="173" spans="1:65" x14ac:dyDescent="0.3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8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8"/>
      <c r="AF173" s="8"/>
      <c r="AG173" s="8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8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10"/>
    </row>
    <row r="174" spans="1:65" x14ac:dyDescent="0.3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8"/>
      <c r="AF174" s="8"/>
      <c r="AG174" s="8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8"/>
      <c r="AS174" s="8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0"/>
    </row>
    <row r="175" spans="1:65" x14ac:dyDescent="0.3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8"/>
      <c r="AF175" s="8"/>
      <c r="AG175" s="8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8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10"/>
    </row>
    <row r="176" spans="1:65" x14ac:dyDescent="0.3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8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8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3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8"/>
      <c r="AF177" s="8"/>
      <c r="AG177" s="8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8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0"/>
    </row>
    <row r="178" spans="1:65" x14ac:dyDescent="0.3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8"/>
      <c r="AF178" s="8"/>
      <c r="AG178" s="8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8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0"/>
    </row>
    <row r="179" spans="1:65" x14ac:dyDescent="0.3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8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8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3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8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5" x14ac:dyDescent="0.3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8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5" x14ac:dyDescent="0.3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8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8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5" x14ac:dyDescent="0.3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8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8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5" x14ac:dyDescent="0.3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8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3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8"/>
      <c r="AD185" s="7"/>
      <c r="AE185" s="7"/>
      <c r="AF185" s="8"/>
      <c r="AG185" s="8"/>
      <c r="AH185" s="7"/>
      <c r="AI185" s="7"/>
      <c r="AJ185" s="7"/>
      <c r="AK185" s="7"/>
      <c r="AL185" s="7"/>
      <c r="AM185" s="7"/>
      <c r="AN185" s="7"/>
      <c r="AO185" s="8"/>
      <c r="AP185" s="8"/>
      <c r="AQ185" s="7"/>
      <c r="AR185" s="8"/>
      <c r="AS185" s="8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5" x14ac:dyDescent="0.3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8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8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5" x14ac:dyDescent="0.3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8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8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3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8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5" x14ac:dyDescent="0.3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8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8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5" x14ac:dyDescent="0.3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8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5" x14ac:dyDescent="0.3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8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5" x14ac:dyDescent="0.3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3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8"/>
      <c r="AD193" s="8"/>
      <c r="AE193" s="7"/>
      <c r="AF193" s="7"/>
      <c r="AG193" s="8"/>
      <c r="AH193" s="7"/>
      <c r="AI193" s="7"/>
      <c r="AJ193" s="7"/>
      <c r="AK193" s="7"/>
      <c r="AL193" s="7"/>
      <c r="AM193" s="7"/>
      <c r="AN193" s="7"/>
      <c r="AO193" s="8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3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8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8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3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8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3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8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3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3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8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3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8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8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3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8"/>
      <c r="AG200" s="8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3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8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3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8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8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3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8"/>
      <c r="AG203" s="8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8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3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8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8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3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8"/>
      <c r="AG205" s="8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3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8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3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8"/>
      <c r="AG207" s="8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8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3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8"/>
      <c r="AG208" s="8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3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8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8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0"/>
    </row>
    <row r="210" spans="1:65" x14ac:dyDescent="0.3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3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8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0"/>
    </row>
    <row r="212" spans="1:65" x14ac:dyDescent="0.3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8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0"/>
    </row>
    <row r="213" spans="1:65" x14ac:dyDescent="0.3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8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5" x14ac:dyDescent="0.3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8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0"/>
    </row>
    <row r="215" spans="1:65" x14ac:dyDescent="0.3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8"/>
      <c r="AD215" s="8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0"/>
    </row>
    <row r="216" spans="1:65" x14ac:dyDescent="0.3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8"/>
      <c r="AG216" s="8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0"/>
    </row>
    <row r="217" spans="1:65" x14ac:dyDescent="0.3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8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0"/>
    </row>
    <row r="218" spans="1:65" x14ac:dyDescent="0.3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8"/>
      <c r="AG218" s="8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8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0"/>
    </row>
    <row r="219" spans="1:65" x14ac:dyDescent="0.3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8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0"/>
    </row>
    <row r="220" spans="1:65" x14ac:dyDescent="0.3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8"/>
      <c r="AG220" s="8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0"/>
    </row>
    <row r="221" spans="1:65" x14ac:dyDescent="0.3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8"/>
      <c r="AG221" s="8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0"/>
    </row>
    <row r="222" spans="1:65" x14ac:dyDescent="0.3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8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8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0"/>
    </row>
    <row r="223" spans="1:65" x14ac:dyDescent="0.3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8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0"/>
    </row>
    <row r="224" spans="1:65" x14ac:dyDescent="0.3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8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0"/>
    </row>
    <row r="225" spans="1:65" x14ac:dyDescent="0.3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8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8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0"/>
    </row>
    <row r="226" spans="1:65" x14ac:dyDescent="0.3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8"/>
      <c r="AG226" s="8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0"/>
    </row>
    <row r="227" spans="1:65" x14ac:dyDescent="0.3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8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0"/>
    </row>
    <row r="228" spans="1:65" x14ac:dyDescent="0.3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8"/>
      <c r="AG228" s="8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0"/>
    </row>
    <row r="229" spans="1:65" x14ac:dyDescent="0.3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8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8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0"/>
    </row>
    <row r="230" spans="1:65" x14ac:dyDescent="0.3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8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0"/>
    </row>
    <row r="231" spans="1:65" x14ac:dyDescent="0.3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8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0"/>
    </row>
    <row r="232" spans="1:65" x14ac:dyDescent="0.3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8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0"/>
    </row>
    <row r="233" spans="1:65" x14ac:dyDescent="0.3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8"/>
      <c r="AG233" s="8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8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0"/>
    </row>
    <row r="234" spans="1:65" x14ac:dyDescent="0.3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8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8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0"/>
    </row>
    <row r="235" spans="1:65" x14ac:dyDescent="0.3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8"/>
      <c r="AG235" s="8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0"/>
    </row>
    <row r="236" spans="1:65" x14ac:dyDescent="0.3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8"/>
      <c r="AG236" s="8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0"/>
    </row>
    <row r="237" spans="1:65" x14ac:dyDescent="0.3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8"/>
      <c r="AG237" s="8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0"/>
    </row>
    <row r="238" spans="1:65" x14ac:dyDescent="0.3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8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0"/>
    </row>
    <row r="239" spans="1:65" x14ac:dyDescent="0.3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8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0"/>
    </row>
    <row r="240" spans="1:65" x14ac:dyDescent="0.3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8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0"/>
    </row>
    <row r="241" spans="1:65" x14ac:dyDescent="0.3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8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0"/>
    </row>
    <row r="242" spans="1:65" x14ac:dyDescent="0.3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8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0"/>
    </row>
    <row r="243" spans="1:65" x14ac:dyDescent="0.3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8"/>
      <c r="AG243" s="8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8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0"/>
    </row>
    <row r="244" spans="1:65" x14ac:dyDescent="0.3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8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0"/>
    </row>
    <row r="245" spans="1:65" x14ac:dyDescent="0.3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8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0"/>
    </row>
    <row r="246" spans="1:65" x14ac:dyDescent="0.3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8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10"/>
    </row>
    <row r="247" spans="1:65" x14ac:dyDescent="0.3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8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8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10"/>
    </row>
    <row r="248" spans="1:65" x14ac:dyDescent="0.3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8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10"/>
    </row>
    <row r="249" spans="1:65" x14ac:dyDescent="0.3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8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10"/>
    </row>
    <row r="250" spans="1:65" x14ac:dyDescent="0.3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8"/>
      <c r="AG250" s="8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8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10"/>
    </row>
    <row r="251" spans="1:65" x14ac:dyDescent="0.3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8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10"/>
    </row>
    <row r="252" spans="1:65" x14ac:dyDescent="0.3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8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10"/>
    </row>
    <row r="253" spans="1:65" x14ac:dyDescent="0.3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8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10"/>
    </row>
    <row r="254" spans="1:65" x14ac:dyDescent="0.3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8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10"/>
    </row>
    <row r="255" spans="1:65" x14ac:dyDescent="0.3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8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10"/>
    </row>
    <row r="256" spans="1:65" x14ac:dyDescent="0.3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8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10"/>
    </row>
    <row r="257" spans="1:65" x14ac:dyDescent="0.3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8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10"/>
    </row>
    <row r="258" spans="1:65" x14ac:dyDescent="0.3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8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10"/>
    </row>
    <row r="259" spans="1:65" x14ac:dyDescent="0.3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8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10"/>
    </row>
    <row r="260" spans="1:65" x14ac:dyDescent="0.3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8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10"/>
    </row>
    <row r="261" spans="1:65" x14ac:dyDescent="0.3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8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10"/>
    </row>
    <row r="262" spans="1:65" x14ac:dyDescent="0.3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8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10"/>
    </row>
    <row r="263" spans="1:65" x14ac:dyDescent="0.3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8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8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10"/>
    </row>
    <row r="264" spans="1:65" x14ac:dyDescent="0.3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8"/>
      <c r="AG264" s="8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10"/>
    </row>
    <row r="265" spans="1:65" x14ac:dyDescent="0.3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8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10"/>
    </row>
    <row r="266" spans="1:65" x14ac:dyDescent="0.3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8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10"/>
    </row>
    <row r="267" spans="1:65" x14ac:dyDescent="0.3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8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8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10"/>
    </row>
    <row r="268" spans="1:65" x14ac:dyDescent="0.3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8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10"/>
    </row>
    <row r="269" spans="1:65" x14ac:dyDescent="0.3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8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10"/>
    </row>
    <row r="270" spans="1:65" x14ac:dyDescent="0.3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8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10"/>
    </row>
    <row r="271" spans="1:65" x14ac:dyDescent="0.3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8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10"/>
    </row>
    <row r="272" spans="1:65" x14ac:dyDescent="0.3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8"/>
      <c r="AG272" s="8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10"/>
    </row>
    <row r="273" spans="1:65" x14ac:dyDescent="0.3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8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10"/>
    </row>
    <row r="274" spans="1:65" x14ac:dyDescent="0.3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8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10"/>
    </row>
    <row r="275" spans="1:65" x14ac:dyDescent="0.3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8"/>
      <c r="AG275" s="8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10"/>
    </row>
    <row r="276" spans="1:65" x14ac:dyDescent="0.3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8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10"/>
    </row>
    <row r="277" spans="1:65" x14ac:dyDescent="0.3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8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8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10"/>
    </row>
    <row r="278" spans="1:65" x14ac:dyDescent="0.3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8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10"/>
    </row>
    <row r="279" spans="1:65" x14ac:dyDescent="0.3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8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10"/>
    </row>
    <row r="280" spans="1:65" x14ac:dyDescent="0.3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8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10"/>
    </row>
    <row r="281" spans="1:65" x14ac:dyDescent="0.3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8"/>
      <c r="AG281" s="8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8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10"/>
    </row>
    <row r="282" spans="1:65" x14ac:dyDescent="0.3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8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10"/>
    </row>
    <row r="283" spans="1:65" x14ac:dyDescent="0.3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8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10"/>
    </row>
    <row r="284" spans="1:65" x14ac:dyDescent="0.3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8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10"/>
    </row>
    <row r="285" spans="1:65" x14ac:dyDescent="0.3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8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10"/>
    </row>
    <row r="286" spans="1:65" x14ac:dyDescent="0.3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8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10"/>
    </row>
    <row r="287" spans="1:65" x14ac:dyDescent="0.3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8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10"/>
    </row>
    <row r="288" spans="1:65" x14ac:dyDescent="0.3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8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10"/>
    </row>
    <row r="289" spans="1:65" x14ac:dyDescent="0.3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8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10"/>
    </row>
    <row r="290" spans="1:65" x14ac:dyDescent="0.3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8"/>
      <c r="AG290" s="8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10"/>
    </row>
    <row r="291" spans="1:65" x14ac:dyDescent="0.3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8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10"/>
    </row>
    <row r="292" spans="1:65" x14ac:dyDescent="0.3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8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10"/>
    </row>
    <row r="293" spans="1:65" x14ac:dyDescent="0.3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8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10"/>
    </row>
    <row r="294" spans="1:65" x14ac:dyDescent="0.3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8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8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10"/>
    </row>
    <row r="295" spans="1:65" x14ac:dyDescent="0.3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8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10"/>
    </row>
    <row r="296" spans="1:65" x14ac:dyDescent="0.3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8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10"/>
    </row>
    <row r="297" spans="1:65" x14ac:dyDescent="0.3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8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10"/>
    </row>
    <row r="298" spans="1:65" x14ac:dyDescent="0.3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10"/>
    </row>
    <row r="299" spans="1:65" x14ac:dyDescent="0.3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8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10"/>
    </row>
    <row r="300" spans="1:65" x14ac:dyDescent="0.3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8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10"/>
    </row>
    <row r="301" spans="1:65" x14ac:dyDescent="0.3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10"/>
    </row>
    <row r="302" spans="1:65" x14ac:dyDescent="0.3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8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10"/>
    </row>
    <row r="303" spans="1:65" x14ac:dyDescent="0.3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8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10"/>
    </row>
    <row r="304" spans="1:65" x14ac:dyDescent="0.3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8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10"/>
    </row>
    <row r="305" spans="1:65" x14ac:dyDescent="0.3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8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10"/>
    </row>
    <row r="306" spans="1:65" x14ac:dyDescent="0.3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8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10"/>
    </row>
    <row r="307" spans="1:65" x14ac:dyDescent="0.3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11"/>
    </row>
    <row r="308" spans="1:65" x14ac:dyDescent="0.3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11"/>
    </row>
    <row r="309" spans="1:65" x14ac:dyDescent="0.3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11"/>
    </row>
    <row r="310" spans="1:65" x14ac:dyDescent="0.3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11"/>
    </row>
    <row r="311" spans="1:65" x14ac:dyDescent="0.3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11"/>
    </row>
    <row r="312" spans="1:65" x14ac:dyDescent="0.3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11"/>
    </row>
    <row r="313" spans="1:65" x14ac:dyDescent="0.3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11"/>
    </row>
    <row r="314" spans="1:65" x14ac:dyDescent="0.3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11"/>
    </row>
    <row r="315" spans="1:65" x14ac:dyDescent="0.3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11"/>
    </row>
    <row r="316" spans="1:65" x14ac:dyDescent="0.3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11"/>
    </row>
    <row r="317" spans="1:65" x14ac:dyDescent="0.3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11"/>
    </row>
    <row r="318" spans="1:65" x14ac:dyDescent="0.3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11"/>
    </row>
    <row r="319" spans="1:65" x14ac:dyDescent="0.3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11"/>
    </row>
    <row r="320" spans="1:65" x14ac:dyDescent="0.3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11"/>
    </row>
    <row r="321" spans="1:65" x14ac:dyDescent="0.3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11"/>
    </row>
    <row r="322" spans="1:65" x14ac:dyDescent="0.3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11"/>
    </row>
    <row r="323" spans="1:65" x14ac:dyDescent="0.3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11"/>
    </row>
    <row r="324" spans="1:65" x14ac:dyDescent="0.3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11"/>
    </row>
    <row r="325" spans="1:65" x14ac:dyDescent="0.3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11"/>
    </row>
    <row r="326" spans="1:65" x14ac:dyDescent="0.3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11"/>
    </row>
    <row r="327" spans="1:65" x14ac:dyDescent="0.3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11"/>
    </row>
    <row r="328" spans="1:65" x14ac:dyDescent="0.3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11"/>
    </row>
    <row r="329" spans="1:65" x14ac:dyDescent="0.3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11"/>
    </row>
    <row r="330" spans="1:65" x14ac:dyDescent="0.3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11"/>
    </row>
    <row r="331" spans="1:65" x14ac:dyDescent="0.3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11"/>
    </row>
    <row r="332" spans="1:65" x14ac:dyDescent="0.3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11"/>
    </row>
    <row r="333" spans="1:65" x14ac:dyDescent="0.3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11"/>
    </row>
    <row r="334" spans="1:65" x14ac:dyDescent="0.3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11"/>
    </row>
    <row r="335" spans="1:65" x14ac:dyDescent="0.3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8"/>
      <c r="L335" s="8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8"/>
      <c r="AF335" s="8"/>
      <c r="AG335" s="8"/>
      <c r="AH335" s="7"/>
      <c r="AI335" s="7"/>
      <c r="AJ335" s="7"/>
      <c r="AK335" s="8"/>
      <c r="AL335" s="8"/>
      <c r="AM335" s="8"/>
      <c r="AN335" s="7"/>
      <c r="AO335" s="7"/>
      <c r="AP335" s="7"/>
      <c r="AQ335" s="8"/>
      <c r="AR335" s="8"/>
      <c r="AS335" s="8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9"/>
      <c r="BM335" s="10"/>
    </row>
    <row r="336" spans="1:65" x14ac:dyDescent="0.3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8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8"/>
      <c r="AF336" s="8"/>
      <c r="AG336" s="8"/>
      <c r="AH336" s="7"/>
      <c r="AI336" s="7"/>
      <c r="AJ336" s="7"/>
      <c r="AK336" s="8"/>
      <c r="AL336" s="8"/>
      <c r="AM336" s="8"/>
      <c r="AN336" s="7"/>
      <c r="AO336" s="7"/>
      <c r="AP336" s="7"/>
      <c r="AQ336" s="7"/>
      <c r="AR336" s="8"/>
      <c r="AS336" s="8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9"/>
      <c r="BM336" s="10"/>
    </row>
    <row r="337" spans="1:65" x14ac:dyDescent="0.3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8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8"/>
      <c r="AF337" s="8"/>
      <c r="AG337" s="8"/>
      <c r="AH337" s="7"/>
      <c r="AI337" s="7"/>
      <c r="AJ337" s="7"/>
      <c r="AK337" s="8"/>
      <c r="AL337" s="8"/>
      <c r="AM337" s="8"/>
      <c r="AN337" s="7"/>
      <c r="AO337" s="7"/>
      <c r="AP337" s="7"/>
      <c r="AQ337" s="8"/>
      <c r="AR337" s="8"/>
      <c r="AS337" s="8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9"/>
      <c r="BM337" s="10"/>
    </row>
    <row r="338" spans="1:65" x14ac:dyDescent="0.3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8"/>
      <c r="AF338" s="8"/>
      <c r="AG338" s="8"/>
      <c r="AH338" s="7"/>
      <c r="AI338" s="7"/>
      <c r="AJ338" s="7"/>
      <c r="AK338" s="8"/>
      <c r="AL338" s="8"/>
      <c r="AM338" s="8"/>
      <c r="AN338" s="7"/>
      <c r="AO338" s="7"/>
      <c r="AP338" s="7"/>
      <c r="AQ338" s="8"/>
      <c r="AR338" s="8"/>
      <c r="AS338" s="8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9"/>
      <c r="BM338" s="10"/>
    </row>
    <row r="339" spans="1:65" x14ac:dyDescent="0.3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8"/>
      <c r="AG339" s="8"/>
      <c r="AH339" s="7"/>
      <c r="AI339" s="7"/>
      <c r="AJ339" s="7"/>
      <c r="AK339" s="7"/>
      <c r="AL339" s="8"/>
      <c r="AM339" s="8"/>
      <c r="AN339" s="7"/>
      <c r="AO339" s="7"/>
      <c r="AP339" s="7"/>
      <c r="AQ339" s="7"/>
      <c r="AR339" s="8"/>
      <c r="AS339" s="8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9"/>
      <c r="BM339" s="10"/>
    </row>
    <row r="340" spans="1:65" x14ac:dyDescent="0.3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8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8"/>
      <c r="AF340" s="8"/>
      <c r="AG340" s="8"/>
      <c r="AH340" s="7"/>
      <c r="AI340" s="7"/>
      <c r="AJ340" s="7"/>
      <c r="AK340" s="8"/>
      <c r="AL340" s="8"/>
      <c r="AM340" s="8"/>
      <c r="AN340" s="7"/>
      <c r="AO340" s="7"/>
      <c r="AP340" s="7"/>
      <c r="AQ340" s="7"/>
      <c r="AR340" s="8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9"/>
      <c r="BM340" s="10"/>
    </row>
    <row r="341" spans="1:65" x14ac:dyDescent="0.3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8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8"/>
      <c r="AF341" s="8"/>
      <c r="AG341" s="8"/>
      <c r="AH341" s="7"/>
      <c r="AI341" s="7"/>
      <c r="AJ341" s="7"/>
      <c r="AK341" s="8"/>
      <c r="AL341" s="8"/>
      <c r="AM341" s="8"/>
      <c r="AN341" s="7"/>
      <c r="AO341" s="7"/>
      <c r="AP341" s="7"/>
      <c r="AQ341" s="7"/>
      <c r="AR341" s="8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9"/>
      <c r="BM341" s="10"/>
    </row>
    <row r="342" spans="1:65" x14ac:dyDescent="0.3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8"/>
      <c r="AF342" s="8"/>
      <c r="AG342" s="8"/>
      <c r="AH342" s="7"/>
      <c r="AI342" s="7"/>
      <c r="AJ342" s="7"/>
      <c r="AK342" s="8"/>
      <c r="AL342" s="8"/>
      <c r="AM342" s="8"/>
      <c r="AN342" s="7"/>
      <c r="AO342" s="7"/>
      <c r="AP342" s="7"/>
      <c r="AQ342" s="7"/>
      <c r="AR342" s="8"/>
      <c r="AS342" s="8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9"/>
      <c r="BM342" s="10"/>
    </row>
    <row r="343" spans="1:65" x14ac:dyDescent="0.3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8"/>
      <c r="L343" s="8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8"/>
      <c r="AF343" s="8"/>
      <c r="AG343" s="8"/>
      <c r="AH343" s="7"/>
      <c r="AI343" s="7"/>
      <c r="AJ343" s="7"/>
      <c r="AK343" s="8"/>
      <c r="AL343" s="8"/>
      <c r="AM343" s="8"/>
      <c r="AN343" s="7"/>
      <c r="AO343" s="7"/>
      <c r="AP343" s="7"/>
      <c r="AQ343" s="7"/>
      <c r="AR343" s="8"/>
      <c r="AS343" s="8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9"/>
      <c r="BM343" s="10"/>
    </row>
    <row r="344" spans="1:65" x14ac:dyDescent="0.3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8"/>
      <c r="AF344" s="8"/>
      <c r="AG344" s="8"/>
      <c r="AH344" s="7"/>
      <c r="AI344" s="7"/>
      <c r="AJ344" s="7"/>
      <c r="AK344" s="8"/>
      <c r="AL344" s="8"/>
      <c r="AM344" s="8"/>
      <c r="AN344" s="7"/>
      <c r="AO344" s="7"/>
      <c r="AP344" s="7"/>
      <c r="AQ344" s="7"/>
      <c r="AR344" s="8"/>
      <c r="AS344" s="8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9"/>
      <c r="BM344" s="10"/>
    </row>
    <row r="345" spans="1:65" x14ac:dyDescent="0.3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8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8"/>
      <c r="AF345" s="8"/>
      <c r="AG345" s="8"/>
      <c r="AH345" s="7"/>
      <c r="AI345" s="7"/>
      <c r="AJ345" s="7"/>
      <c r="AK345" s="8"/>
      <c r="AL345" s="8"/>
      <c r="AM345" s="8"/>
      <c r="AN345" s="7"/>
      <c r="AO345" s="7"/>
      <c r="AP345" s="7"/>
      <c r="AQ345" s="7"/>
      <c r="AR345" s="8"/>
      <c r="AS345" s="8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9"/>
      <c r="BM345" s="10"/>
    </row>
    <row r="346" spans="1:65" x14ac:dyDescent="0.3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8"/>
      <c r="AG346" s="8"/>
      <c r="AH346" s="7"/>
      <c r="AI346" s="7"/>
      <c r="AJ346" s="7"/>
      <c r="AK346" s="8"/>
      <c r="AL346" s="8"/>
      <c r="AM346" s="8"/>
      <c r="AN346" s="7"/>
      <c r="AO346" s="7"/>
      <c r="AP346" s="7"/>
      <c r="AQ346" s="7"/>
      <c r="AR346" s="8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9"/>
      <c r="BM346" s="10"/>
    </row>
    <row r="347" spans="1:65" x14ac:dyDescent="0.3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8"/>
      <c r="AG347" s="8"/>
      <c r="AH347" s="7"/>
      <c r="AI347" s="7"/>
      <c r="AJ347" s="7"/>
      <c r="AK347" s="7"/>
      <c r="AL347" s="8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9"/>
      <c r="BM347" s="10"/>
    </row>
    <row r="348" spans="1:65" x14ac:dyDescent="0.3">
      <c r="A348" s="5"/>
      <c r="B348" s="5"/>
      <c r="C348" s="5"/>
      <c r="D348" s="6"/>
      <c r="E348" s="5"/>
      <c r="F348" s="5"/>
      <c r="G348" s="5"/>
      <c r="H348" s="7"/>
      <c r="I348" s="7"/>
      <c r="J348" s="8"/>
      <c r="K348" s="7"/>
      <c r="L348" s="8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8"/>
      <c r="AG348" s="8"/>
      <c r="AH348" s="7"/>
      <c r="AI348" s="7"/>
      <c r="AJ348" s="7"/>
      <c r="AK348" s="7"/>
      <c r="AL348" s="8"/>
      <c r="AM348" s="8"/>
      <c r="AN348" s="7"/>
      <c r="AO348" s="7"/>
      <c r="AP348" s="7"/>
      <c r="AQ348" s="7"/>
      <c r="AR348" s="8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9"/>
      <c r="BM348" s="10"/>
    </row>
    <row r="349" spans="1:65" x14ac:dyDescent="0.3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8"/>
      <c r="AG349" s="7"/>
      <c r="AH349" s="7"/>
      <c r="AI349" s="7"/>
      <c r="AJ349" s="7"/>
      <c r="AK349" s="7"/>
      <c r="AL349" s="8"/>
      <c r="AM349" s="8"/>
      <c r="AN349" s="7"/>
      <c r="AO349" s="7"/>
      <c r="AP349" s="7"/>
      <c r="AQ349" s="7"/>
      <c r="AR349" s="8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9"/>
      <c r="BM349" s="10"/>
    </row>
    <row r="350" spans="1:65" x14ac:dyDescent="0.3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8"/>
      <c r="AG350" s="7"/>
      <c r="AH350" s="7"/>
      <c r="AI350" s="7"/>
      <c r="AJ350" s="7"/>
      <c r="AK350" s="7"/>
      <c r="AL350" s="8"/>
      <c r="AM350" s="8"/>
      <c r="AN350" s="7"/>
      <c r="AO350" s="7"/>
      <c r="AP350" s="7"/>
      <c r="AQ350" s="7"/>
      <c r="AR350" s="8"/>
      <c r="AS350" s="8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9"/>
      <c r="BM350" s="10"/>
    </row>
    <row r="351" spans="1:65" x14ac:dyDescent="0.3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8"/>
      <c r="AG351" s="8"/>
      <c r="AH351" s="7"/>
      <c r="AI351" s="7"/>
      <c r="AJ351" s="7"/>
      <c r="AK351" s="7"/>
      <c r="AL351" s="8"/>
      <c r="AM351" s="8"/>
      <c r="AN351" s="7"/>
      <c r="AO351" s="7"/>
      <c r="AP351" s="7"/>
      <c r="AQ351" s="7"/>
      <c r="AR351" s="8"/>
      <c r="AS351" s="8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9"/>
      <c r="BM351" s="10"/>
    </row>
    <row r="352" spans="1:65" x14ac:dyDescent="0.3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8"/>
      <c r="AG352" s="7"/>
      <c r="AH352" s="7"/>
      <c r="AI352" s="8"/>
      <c r="AJ352" s="8"/>
      <c r="AK352" s="7"/>
      <c r="AL352" s="7"/>
      <c r="AM352" s="7"/>
      <c r="AN352" s="7"/>
      <c r="AO352" s="7"/>
      <c r="AP352" s="7"/>
      <c r="AQ352" s="7"/>
      <c r="AR352" s="8"/>
      <c r="AS352" s="8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9"/>
      <c r="BM352" s="10"/>
    </row>
    <row r="353" spans="1:65" x14ac:dyDescent="0.3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8"/>
      <c r="AG353" s="7"/>
      <c r="AH353" s="7"/>
      <c r="AI353" s="7"/>
      <c r="AJ353" s="7"/>
      <c r="AK353" s="7"/>
      <c r="AL353" s="8"/>
      <c r="AM353" s="8"/>
      <c r="AN353" s="7"/>
      <c r="AO353" s="7"/>
      <c r="AP353" s="7"/>
      <c r="AQ353" s="7"/>
      <c r="AR353" s="8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9"/>
      <c r="BM353" s="10"/>
    </row>
    <row r="354" spans="1:65" x14ac:dyDescent="0.3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8"/>
      <c r="AG354" s="8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8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10"/>
    </row>
    <row r="355" spans="1:65" x14ac:dyDescent="0.3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8"/>
      <c r="AG355" s="7"/>
      <c r="AH355" s="7"/>
      <c r="AI355" s="7"/>
      <c r="AJ355" s="7"/>
      <c r="AK355" s="7"/>
      <c r="AL355" s="8"/>
      <c r="AM355" s="7"/>
      <c r="AN355" s="7"/>
      <c r="AO355" s="7"/>
      <c r="AP355" s="7"/>
      <c r="AQ355" s="7"/>
      <c r="AR355" s="8"/>
      <c r="AS355" s="8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9"/>
      <c r="BM355" s="10"/>
    </row>
    <row r="356" spans="1:65" x14ac:dyDescent="0.3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8"/>
      <c r="AG356" s="7"/>
      <c r="AH356" s="7"/>
      <c r="AI356" s="7"/>
      <c r="AJ356" s="7"/>
      <c r="AK356" s="7"/>
      <c r="AL356" s="8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10"/>
    </row>
    <row r="357" spans="1:65" x14ac:dyDescent="0.3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8"/>
      <c r="AG357" s="7"/>
      <c r="AH357" s="7"/>
      <c r="AI357" s="7"/>
      <c r="AJ357" s="7"/>
      <c r="AK357" s="7"/>
      <c r="AL357" s="8"/>
      <c r="AM357" s="7"/>
      <c r="AN357" s="7"/>
      <c r="AO357" s="7"/>
      <c r="AP357" s="7"/>
      <c r="AQ357" s="7"/>
      <c r="AR357" s="8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9"/>
      <c r="BM357" s="10"/>
    </row>
    <row r="358" spans="1:65" x14ac:dyDescent="0.3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8"/>
      <c r="AG358" s="7"/>
      <c r="AH358" s="7"/>
      <c r="AI358" s="7"/>
      <c r="AJ358" s="7"/>
      <c r="AK358" s="7"/>
      <c r="AL358" s="8"/>
      <c r="AM358" s="7"/>
      <c r="AN358" s="7"/>
      <c r="AO358" s="7"/>
      <c r="AP358" s="7"/>
      <c r="AQ358" s="7"/>
      <c r="AR358" s="8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9"/>
      <c r="BM358" s="10"/>
    </row>
    <row r="359" spans="1:65" x14ac:dyDescent="0.3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8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8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10"/>
    </row>
    <row r="360" spans="1:65" x14ac:dyDescent="0.3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8"/>
      <c r="AG360" s="7"/>
      <c r="AH360" s="7"/>
      <c r="AI360" s="7"/>
      <c r="AJ360" s="7"/>
      <c r="AK360" s="7"/>
      <c r="AL360" s="8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9"/>
      <c r="BM360" s="10"/>
    </row>
    <row r="361" spans="1:65" x14ac:dyDescent="0.3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8"/>
      <c r="AM361" s="8"/>
      <c r="AN361" s="7"/>
      <c r="AO361" s="7"/>
      <c r="AP361" s="7"/>
      <c r="AQ361" s="7"/>
      <c r="AR361" s="8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9"/>
      <c r="BM361" s="10"/>
    </row>
    <row r="362" spans="1:65" x14ac:dyDescent="0.3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8"/>
      <c r="AG362" s="8"/>
      <c r="AH362" s="7"/>
      <c r="AI362" s="7"/>
      <c r="AJ362" s="7"/>
      <c r="AK362" s="7"/>
      <c r="AL362" s="8"/>
      <c r="AM362" s="8"/>
      <c r="AN362" s="7"/>
      <c r="AO362" s="7"/>
      <c r="AP362" s="7"/>
      <c r="AQ362" s="7"/>
      <c r="AR362" s="8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9"/>
      <c r="BM362" s="10"/>
    </row>
    <row r="363" spans="1:65" x14ac:dyDescent="0.3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8"/>
      <c r="AG363" s="7"/>
      <c r="AH363" s="7"/>
      <c r="AI363" s="7"/>
      <c r="AJ363" s="7"/>
      <c r="AK363" s="7"/>
      <c r="AL363" s="8"/>
      <c r="AM363" s="7"/>
      <c r="AN363" s="7"/>
      <c r="AO363" s="7"/>
      <c r="AP363" s="7"/>
      <c r="AQ363" s="7"/>
      <c r="AR363" s="8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9"/>
      <c r="BM363" s="10"/>
    </row>
    <row r="364" spans="1:65" x14ac:dyDescent="0.3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8"/>
      <c r="AG364" s="7"/>
      <c r="AH364" s="7"/>
      <c r="AI364" s="7"/>
      <c r="AJ364" s="7"/>
      <c r="AK364" s="7"/>
      <c r="AL364" s="8"/>
      <c r="AM364" s="7"/>
      <c r="AN364" s="7"/>
      <c r="AO364" s="7"/>
      <c r="AP364" s="7"/>
      <c r="AQ364" s="7"/>
      <c r="AR364" s="8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9"/>
      <c r="BM364" s="10"/>
    </row>
    <row r="365" spans="1:65" x14ac:dyDescent="0.3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8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9"/>
      <c r="BM365" s="10"/>
    </row>
    <row r="366" spans="1:65" x14ac:dyDescent="0.3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8"/>
      <c r="AG366" s="8"/>
      <c r="AH366" s="7"/>
      <c r="AI366" s="7"/>
      <c r="AJ366" s="7"/>
      <c r="AK366" s="7"/>
      <c r="AL366" s="8"/>
      <c r="AM366" s="8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9"/>
      <c r="BM366" s="10"/>
    </row>
    <row r="367" spans="1:65" x14ac:dyDescent="0.3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8"/>
      <c r="AG367" s="8"/>
      <c r="AH367" s="7"/>
      <c r="AI367" s="7"/>
      <c r="AJ367" s="7"/>
      <c r="AK367" s="7"/>
      <c r="AL367" s="8"/>
      <c r="AM367" s="8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10"/>
    </row>
    <row r="368" spans="1:65" x14ac:dyDescent="0.3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8"/>
      <c r="AG368" s="7"/>
      <c r="AH368" s="7"/>
      <c r="AI368" s="7"/>
      <c r="AJ368" s="7"/>
      <c r="AK368" s="7"/>
      <c r="AL368" s="8"/>
      <c r="AM368" s="8"/>
      <c r="AN368" s="7"/>
      <c r="AO368" s="7"/>
      <c r="AP368" s="7"/>
      <c r="AQ368" s="7"/>
      <c r="AR368" s="8"/>
      <c r="AS368" s="8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9"/>
      <c r="BM368" s="10"/>
    </row>
    <row r="369" spans="1:65" x14ac:dyDescent="0.3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8"/>
      <c r="AG369" s="8"/>
      <c r="AH369" s="7"/>
      <c r="AI369" s="7"/>
      <c r="AJ369" s="7"/>
      <c r="AK369" s="7"/>
      <c r="AL369" s="8"/>
      <c r="AM369" s="8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9"/>
      <c r="BM369" s="10"/>
    </row>
    <row r="370" spans="1:65" x14ac:dyDescent="0.3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8"/>
      <c r="AG370" s="7"/>
      <c r="AH370" s="7"/>
      <c r="AI370" s="7"/>
      <c r="AJ370" s="7"/>
      <c r="AK370" s="7"/>
      <c r="AL370" s="8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9"/>
      <c r="BM370" s="10"/>
    </row>
    <row r="371" spans="1:65" x14ac:dyDescent="0.3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8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10"/>
    </row>
    <row r="372" spans="1:65" x14ac:dyDescent="0.3">
      <c r="A372" s="5"/>
      <c r="B372" s="5"/>
      <c r="C372" s="5"/>
      <c r="D372" s="6"/>
      <c r="E372" s="5"/>
      <c r="F372" s="5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8"/>
      <c r="AG372" s="7"/>
      <c r="AH372" s="7"/>
      <c r="AI372" s="7"/>
      <c r="AJ372" s="7"/>
      <c r="AK372" s="7"/>
      <c r="AL372" s="8"/>
      <c r="AM372" s="7"/>
      <c r="AN372" s="7"/>
      <c r="AO372" s="7"/>
      <c r="AP372" s="7"/>
      <c r="AQ372" s="7"/>
      <c r="AR372" s="8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9"/>
      <c r="BM372" s="10"/>
    </row>
    <row r="373" spans="1:65" x14ac:dyDescent="0.3">
      <c r="A373" s="5"/>
      <c r="B373" s="5"/>
      <c r="C373" s="5"/>
      <c r="D373" s="6"/>
      <c r="E373" s="5"/>
      <c r="F373" s="5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8"/>
      <c r="AG373" s="7"/>
      <c r="AH373" s="7"/>
      <c r="AI373" s="7"/>
      <c r="AJ373" s="7"/>
      <c r="AK373" s="7"/>
      <c r="AL373" s="8"/>
      <c r="AM373" s="8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9"/>
      <c r="BM373" s="10"/>
    </row>
    <row r="374" spans="1:65" x14ac:dyDescent="0.3">
      <c r="A374" s="5"/>
      <c r="B374" s="5"/>
      <c r="C374" s="5"/>
      <c r="D374" s="6"/>
      <c r="E374" s="5"/>
      <c r="F374" s="5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8"/>
      <c r="AG374" s="7"/>
      <c r="AH374" s="7"/>
      <c r="AI374" s="7"/>
      <c r="AJ374" s="7"/>
      <c r="AK374" s="7"/>
      <c r="AL374" s="8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9"/>
      <c r="BM374" s="10"/>
    </row>
    <row r="375" spans="1:65" x14ac:dyDescent="0.3">
      <c r="A375" s="5"/>
      <c r="B375" s="5"/>
      <c r="C375" s="5"/>
      <c r="D375" s="6"/>
      <c r="E375" s="5"/>
      <c r="F375" s="5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8"/>
      <c r="AG375" s="7"/>
      <c r="AH375" s="7"/>
      <c r="AI375" s="7"/>
      <c r="AJ375" s="7"/>
      <c r="AK375" s="7"/>
      <c r="AL375" s="8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10"/>
    </row>
    <row r="376" spans="1:65" x14ac:dyDescent="0.3">
      <c r="A376" s="5"/>
      <c r="B376" s="5"/>
      <c r="C376" s="5"/>
      <c r="D376" s="6"/>
      <c r="E376" s="5"/>
      <c r="F376" s="5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8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8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10"/>
    </row>
    <row r="377" spans="1:65" x14ac:dyDescent="0.3">
      <c r="A377" s="5"/>
      <c r="B377" s="5"/>
      <c r="C377" s="5"/>
      <c r="D377" s="6"/>
      <c r="E377" s="5"/>
      <c r="F377" s="5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8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9"/>
      <c r="BM377" s="10"/>
    </row>
    <row r="378" spans="1:65" x14ac:dyDescent="0.3">
      <c r="A378" s="5"/>
      <c r="B378" s="5"/>
      <c r="C378" s="5"/>
      <c r="D378" s="6"/>
      <c r="E378" s="5"/>
      <c r="F378" s="5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8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10"/>
    </row>
    <row r="379" spans="1:65" x14ac:dyDescent="0.3">
      <c r="A379" s="5"/>
      <c r="B379" s="5"/>
      <c r="C379" s="5"/>
      <c r="D379" s="6"/>
      <c r="E379" s="5"/>
      <c r="F379" s="5"/>
      <c r="G379" s="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8"/>
      <c r="AG379" s="7"/>
      <c r="AH379" s="7"/>
      <c r="AI379" s="7"/>
      <c r="AJ379" s="7"/>
      <c r="AK379" s="7"/>
      <c r="AL379" s="8"/>
      <c r="AM379" s="8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9"/>
      <c r="BM379" s="10"/>
    </row>
    <row r="380" spans="1:65" x14ac:dyDescent="0.3">
      <c r="A380" s="5"/>
      <c r="B380" s="5"/>
      <c r="C380" s="5"/>
      <c r="D380" s="6"/>
      <c r="E380" s="5"/>
      <c r="F380" s="5"/>
      <c r="G380" s="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8"/>
      <c r="AG380" s="7"/>
      <c r="AH380" s="7"/>
      <c r="AI380" s="7"/>
      <c r="AJ380" s="7"/>
      <c r="AK380" s="7"/>
      <c r="AL380" s="8"/>
      <c r="AM380" s="8"/>
      <c r="AN380" s="7"/>
      <c r="AO380" s="7"/>
      <c r="AP380" s="7"/>
      <c r="AQ380" s="7"/>
      <c r="AR380" s="8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10"/>
    </row>
    <row r="381" spans="1:65" x14ac:dyDescent="0.3">
      <c r="A381" s="5"/>
      <c r="B381" s="5"/>
      <c r="C381" s="5"/>
      <c r="D381" s="6"/>
      <c r="E381" s="5"/>
      <c r="F381" s="5"/>
      <c r="G381" s="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8"/>
      <c r="AJ381" s="7"/>
      <c r="AK381" s="7"/>
      <c r="AL381" s="8"/>
      <c r="AM381" s="7"/>
      <c r="AN381" s="7"/>
      <c r="AO381" s="8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9"/>
      <c r="BM381" s="10"/>
    </row>
    <row r="382" spans="1:65" x14ac:dyDescent="0.3">
      <c r="A382" s="5"/>
      <c r="B382" s="5"/>
      <c r="C382" s="5"/>
      <c r="D382" s="6"/>
      <c r="E382" s="5"/>
      <c r="F382" s="5"/>
      <c r="G382" s="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8"/>
      <c r="AM382" s="8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9"/>
      <c r="BM382" s="10"/>
    </row>
    <row r="383" spans="1:65" x14ac:dyDescent="0.3">
      <c r="A383" s="5"/>
      <c r="B383" s="5"/>
      <c r="C383" s="5"/>
      <c r="D383" s="6"/>
      <c r="E383" s="5"/>
      <c r="F383" s="5"/>
      <c r="G383" s="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8"/>
      <c r="AG383" s="7"/>
      <c r="AH383" s="7"/>
      <c r="AI383" s="7"/>
      <c r="AJ383" s="7"/>
      <c r="AK383" s="7"/>
      <c r="AL383" s="8"/>
      <c r="AM383" s="7"/>
      <c r="AN383" s="7"/>
      <c r="AO383" s="7"/>
      <c r="AP383" s="7"/>
      <c r="AQ383" s="7"/>
      <c r="AR383" s="8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9"/>
      <c r="BM383" s="10"/>
    </row>
    <row r="384" spans="1:65" x14ac:dyDescent="0.3">
      <c r="A384" s="5"/>
      <c r="B384" s="5"/>
      <c r="C384" s="5"/>
      <c r="D384" s="6"/>
      <c r="E384" s="5"/>
      <c r="F384" s="5"/>
      <c r="G384" s="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8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9"/>
      <c r="BM384" s="10"/>
    </row>
    <row r="385" spans="1:65" x14ac:dyDescent="0.3">
      <c r="A385" s="5"/>
      <c r="B385" s="5"/>
      <c r="C385" s="5"/>
      <c r="D385" s="6"/>
      <c r="E385" s="5"/>
      <c r="F385" s="5"/>
      <c r="G385" s="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8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8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10"/>
    </row>
    <row r="386" spans="1:65" x14ac:dyDescent="0.3">
      <c r="A386" s="5"/>
      <c r="B386" s="5"/>
      <c r="C386" s="5"/>
      <c r="D386" s="6"/>
      <c r="E386" s="5"/>
      <c r="F386" s="5"/>
      <c r="G386" s="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8"/>
      <c r="AG386" s="7"/>
      <c r="AH386" s="7"/>
      <c r="AI386" s="7"/>
      <c r="AJ386" s="7"/>
      <c r="AK386" s="7"/>
      <c r="AL386" s="8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9"/>
      <c r="BM386" s="10"/>
    </row>
    <row r="387" spans="1:65" x14ac:dyDescent="0.3">
      <c r="A387" s="5"/>
      <c r="B387" s="5"/>
      <c r="C387" s="5"/>
      <c r="D387" s="6"/>
      <c r="E387" s="5"/>
      <c r="F387" s="5"/>
      <c r="G387" s="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8"/>
      <c r="AS387" s="8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10"/>
    </row>
    <row r="388" spans="1:65" x14ac:dyDescent="0.3">
      <c r="A388" s="5"/>
      <c r="B388" s="5"/>
      <c r="C388" s="5"/>
      <c r="D388" s="6"/>
      <c r="E388" s="5"/>
      <c r="F388" s="5"/>
      <c r="G388" s="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8"/>
      <c r="AG388" s="7"/>
      <c r="AH388" s="7"/>
      <c r="AI388" s="7"/>
      <c r="AJ388" s="7"/>
      <c r="AK388" s="7"/>
      <c r="AL388" s="8"/>
      <c r="AM388" s="8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9"/>
      <c r="BM388" s="10"/>
    </row>
    <row r="389" spans="1:65" x14ac:dyDescent="0.3">
      <c r="A389" s="5"/>
      <c r="B389" s="5"/>
      <c r="C389" s="5"/>
      <c r="D389" s="6"/>
      <c r="E389" s="5"/>
      <c r="F389" s="5"/>
      <c r="G389" s="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8"/>
      <c r="AM389" s="8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9"/>
      <c r="BM389" s="10"/>
    </row>
    <row r="390" spans="1:65" x14ac:dyDescent="0.3">
      <c r="A390" s="5"/>
      <c r="B390" s="5"/>
      <c r="C390" s="5"/>
      <c r="D390" s="6"/>
      <c r="E390" s="5"/>
      <c r="F390" s="5"/>
      <c r="G390" s="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8"/>
      <c r="AG390" s="7"/>
      <c r="AH390" s="7"/>
      <c r="AI390" s="7"/>
      <c r="AJ390" s="7"/>
      <c r="AK390" s="7"/>
      <c r="AL390" s="7"/>
      <c r="AM390" s="8"/>
      <c r="AN390" s="7"/>
      <c r="AO390" s="7"/>
      <c r="AP390" s="7"/>
      <c r="AQ390" s="7"/>
      <c r="AR390" s="8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10"/>
    </row>
    <row r="391" spans="1:65" x14ac:dyDescent="0.3">
      <c r="A391" s="5"/>
      <c r="B391" s="5"/>
      <c r="C391" s="5"/>
      <c r="D391" s="6"/>
      <c r="E391" s="5"/>
      <c r="F391" s="5"/>
      <c r="G391" s="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8"/>
      <c r="AG391" s="7"/>
      <c r="AH391" s="7"/>
      <c r="AI391" s="7"/>
      <c r="AJ391" s="7"/>
      <c r="AK391" s="7"/>
      <c r="AL391" s="8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9"/>
      <c r="BM391" s="10"/>
    </row>
    <row r="392" spans="1:65" x14ac:dyDescent="0.3">
      <c r="A392" s="5"/>
      <c r="B392" s="5"/>
      <c r="C392" s="5"/>
      <c r="D392" s="6"/>
      <c r="E392" s="5"/>
      <c r="F392" s="5"/>
      <c r="G392" s="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8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9"/>
      <c r="BM392" s="10"/>
    </row>
    <row r="393" spans="1:65" x14ac:dyDescent="0.3">
      <c r="A393" s="5"/>
      <c r="B393" s="5"/>
      <c r="C393" s="5"/>
      <c r="D393" s="6"/>
      <c r="E393" s="5"/>
      <c r="F393" s="5"/>
      <c r="G393" s="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8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9"/>
      <c r="BM393" s="10"/>
    </row>
    <row r="394" spans="1:65" x14ac:dyDescent="0.3">
      <c r="A394" s="5"/>
      <c r="B394" s="5"/>
      <c r="C394" s="5"/>
      <c r="D394" s="6"/>
      <c r="E394" s="5"/>
      <c r="F394" s="5"/>
      <c r="G394" s="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8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10"/>
    </row>
    <row r="395" spans="1:65" x14ac:dyDescent="0.3">
      <c r="A395" s="5"/>
      <c r="B395" s="5"/>
      <c r="C395" s="5"/>
      <c r="D395" s="6"/>
      <c r="E395" s="5"/>
      <c r="F395" s="5"/>
      <c r="G395" s="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8"/>
      <c r="AG395" s="7"/>
      <c r="AH395" s="7"/>
      <c r="AI395" s="7"/>
      <c r="AJ395" s="7"/>
      <c r="AK395" s="7"/>
      <c r="AL395" s="8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9"/>
      <c r="BM395" s="10"/>
    </row>
    <row r="396" spans="1:65" x14ac:dyDescent="0.3">
      <c r="A396" s="5"/>
      <c r="B396" s="5"/>
      <c r="C396" s="5"/>
      <c r="D396" s="6"/>
      <c r="E396" s="5"/>
      <c r="F396" s="5"/>
      <c r="G396" s="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8"/>
      <c r="AN396" s="7"/>
      <c r="AO396" s="7"/>
      <c r="AP396" s="7"/>
      <c r="AQ396" s="7"/>
      <c r="AR396" s="8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10"/>
    </row>
    <row r="397" spans="1:65" x14ac:dyDescent="0.3">
      <c r="A397" s="5"/>
      <c r="B397" s="5"/>
      <c r="C397" s="5"/>
      <c r="D397" s="6"/>
      <c r="E397" s="5"/>
      <c r="F397" s="5"/>
      <c r="G397" s="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8"/>
      <c r="AG397" s="7"/>
      <c r="AH397" s="7"/>
      <c r="AI397" s="7"/>
      <c r="AJ397" s="7"/>
      <c r="AK397" s="7"/>
      <c r="AL397" s="8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9"/>
      <c r="BM397" s="10"/>
    </row>
    <row r="398" spans="1:65" x14ac:dyDescent="0.3">
      <c r="A398" s="5"/>
      <c r="B398" s="5"/>
      <c r="C398" s="5"/>
      <c r="D398" s="6"/>
      <c r="E398" s="5"/>
      <c r="F398" s="5"/>
      <c r="G398" s="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8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9"/>
      <c r="BM398" s="10"/>
    </row>
    <row r="399" spans="1:65" x14ac:dyDescent="0.3">
      <c r="A399" s="5"/>
      <c r="B399" s="5"/>
      <c r="C399" s="5"/>
      <c r="D399" s="6"/>
      <c r="E399" s="5"/>
      <c r="F399" s="5"/>
      <c r="G399" s="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8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10"/>
    </row>
    <row r="400" spans="1:65" x14ac:dyDescent="0.3">
      <c r="A400" s="5"/>
      <c r="B400" s="5"/>
      <c r="C400" s="5"/>
      <c r="D400" s="6"/>
      <c r="E400" s="5"/>
      <c r="F400" s="5"/>
      <c r="G400" s="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8"/>
      <c r="AG400" s="8"/>
      <c r="AH400" s="7"/>
      <c r="AI400" s="7"/>
      <c r="AJ400" s="7"/>
      <c r="AK400" s="7"/>
      <c r="AL400" s="8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10"/>
    </row>
    <row r="401" spans="1:65" x14ac:dyDescent="0.3">
      <c r="A401" s="5"/>
      <c r="B401" s="5"/>
      <c r="C401" s="5"/>
      <c r="D401" s="6"/>
      <c r="E401" s="5"/>
      <c r="F401" s="5"/>
      <c r="G401" s="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8"/>
      <c r="AM401" s="7"/>
      <c r="AN401" s="7"/>
      <c r="AO401" s="7"/>
      <c r="AP401" s="7"/>
      <c r="AQ401" s="7"/>
      <c r="AR401" s="8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9"/>
      <c r="BM401" s="10"/>
    </row>
    <row r="402" spans="1:65" x14ac:dyDescent="0.3">
      <c r="A402" s="5"/>
      <c r="B402" s="5"/>
      <c r="C402" s="5"/>
      <c r="D402" s="6"/>
      <c r="E402" s="5"/>
      <c r="F402" s="5"/>
      <c r="G402" s="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8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9"/>
      <c r="BM402" s="10"/>
    </row>
    <row r="403" spans="1:65" x14ac:dyDescent="0.3">
      <c r="A403" s="5"/>
      <c r="B403" s="5"/>
      <c r="C403" s="5"/>
      <c r="D403" s="6"/>
      <c r="E403" s="5"/>
      <c r="F403" s="5"/>
      <c r="G403" s="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8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9"/>
      <c r="BM403" s="10"/>
    </row>
    <row r="404" spans="1:65" x14ac:dyDescent="0.3">
      <c r="A404" s="5"/>
      <c r="B404" s="5"/>
      <c r="C404" s="5"/>
      <c r="D404" s="6"/>
      <c r="E404" s="5"/>
      <c r="F404" s="5"/>
      <c r="G404" s="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8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8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10"/>
    </row>
    <row r="405" spans="1:65" x14ac:dyDescent="0.3">
      <c r="A405" s="5"/>
      <c r="B405" s="5"/>
      <c r="C405" s="5"/>
      <c r="D405" s="6"/>
      <c r="E405" s="5"/>
      <c r="F405" s="5"/>
      <c r="G405" s="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8"/>
      <c r="AG405" s="7"/>
      <c r="AH405" s="7"/>
      <c r="AI405" s="7"/>
      <c r="AJ405" s="7"/>
      <c r="AK405" s="7"/>
      <c r="AL405" s="8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10"/>
    </row>
    <row r="406" spans="1:65" x14ac:dyDescent="0.3">
      <c r="A406" s="5"/>
      <c r="B406" s="5"/>
      <c r="C406" s="5"/>
      <c r="D406" s="6"/>
      <c r="E406" s="5"/>
      <c r="F406" s="5"/>
      <c r="G406" s="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8"/>
      <c r="AG406" s="7"/>
      <c r="AH406" s="7"/>
      <c r="AI406" s="7"/>
      <c r="AJ406" s="7"/>
      <c r="AK406" s="7"/>
      <c r="AL406" s="8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9"/>
      <c r="BM406" s="10"/>
    </row>
    <row r="407" spans="1:65" x14ac:dyDescent="0.3">
      <c r="A407" s="5"/>
      <c r="B407" s="5"/>
      <c r="C407" s="5"/>
      <c r="D407" s="6"/>
      <c r="E407" s="5"/>
      <c r="F407" s="5"/>
      <c r="G407" s="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8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9"/>
      <c r="BM407" s="10"/>
    </row>
    <row r="408" spans="1:65" x14ac:dyDescent="0.3">
      <c r="A408" s="5"/>
      <c r="B408" s="5"/>
      <c r="C408" s="5"/>
      <c r="D408" s="6"/>
      <c r="E408" s="5"/>
      <c r="F408" s="5"/>
      <c r="G408" s="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8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8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10"/>
    </row>
    <row r="409" spans="1:65" x14ac:dyDescent="0.3">
      <c r="A409" s="5"/>
      <c r="B409" s="5"/>
      <c r="C409" s="5"/>
      <c r="D409" s="6"/>
      <c r="E409" s="5"/>
      <c r="F409" s="5"/>
      <c r="G409" s="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8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9"/>
      <c r="BM409" s="10"/>
    </row>
    <row r="410" spans="1:65" x14ac:dyDescent="0.3">
      <c r="A410" s="5"/>
      <c r="B410" s="5"/>
      <c r="C410" s="5"/>
      <c r="D410" s="6"/>
      <c r="E410" s="5"/>
      <c r="F410" s="5"/>
      <c r="G410" s="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8"/>
      <c r="AG410" s="8"/>
      <c r="AH410" s="7"/>
      <c r="AI410" s="7"/>
      <c r="AJ410" s="7"/>
      <c r="AK410" s="7"/>
      <c r="AL410" s="7"/>
      <c r="AM410" s="8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10"/>
    </row>
    <row r="411" spans="1:65" x14ac:dyDescent="0.3">
      <c r="A411" s="5"/>
      <c r="B411" s="5"/>
      <c r="C411" s="5"/>
      <c r="D411" s="6"/>
      <c r="E411" s="5"/>
      <c r="F411" s="5"/>
      <c r="G411" s="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8"/>
      <c r="AH411" s="7"/>
      <c r="AI411" s="7"/>
      <c r="AJ411" s="7"/>
      <c r="AK411" s="7"/>
      <c r="AL411" s="7"/>
      <c r="AM411" s="8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10"/>
    </row>
    <row r="412" spans="1:65" x14ac:dyDescent="0.3">
      <c r="A412" s="5"/>
      <c r="B412" s="5"/>
      <c r="C412" s="5"/>
      <c r="D412" s="6"/>
      <c r="E412" s="5"/>
      <c r="F412" s="5"/>
      <c r="G412" s="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8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10"/>
    </row>
    <row r="413" spans="1:65" x14ac:dyDescent="0.3">
      <c r="A413" s="5"/>
      <c r="B413" s="5"/>
      <c r="C413" s="5"/>
      <c r="D413" s="6"/>
      <c r="E413" s="5"/>
      <c r="F413" s="5"/>
      <c r="G413" s="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8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10"/>
    </row>
    <row r="414" spans="1:65" x14ac:dyDescent="0.3">
      <c r="A414" s="5"/>
      <c r="B414" s="5"/>
      <c r="C414" s="5"/>
      <c r="D414" s="6"/>
      <c r="E414" s="5"/>
      <c r="F414" s="5"/>
      <c r="G414" s="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8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9"/>
      <c r="BM414" s="10"/>
    </row>
    <row r="415" spans="1:65" x14ac:dyDescent="0.3">
      <c r="A415" s="5"/>
      <c r="B415" s="5"/>
      <c r="C415" s="5"/>
      <c r="D415" s="6"/>
      <c r="E415" s="5"/>
      <c r="F415" s="5"/>
      <c r="G415" s="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8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10"/>
    </row>
    <row r="416" spans="1:65" x14ac:dyDescent="0.3">
      <c r="A416" s="5"/>
      <c r="B416" s="5"/>
      <c r="C416" s="5"/>
      <c r="D416" s="6"/>
      <c r="E416" s="5"/>
      <c r="F416" s="5"/>
      <c r="G416" s="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8"/>
      <c r="AM416" s="8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10"/>
    </row>
    <row r="417" spans="1:65" x14ac:dyDescent="0.3">
      <c r="A417" s="5"/>
      <c r="B417" s="5"/>
      <c r="C417" s="5"/>
      <c r="D417" s="6"/>
      <c r="E417" s="5"/>
      <c r="F417" s="5"/>
      <c r="G417" s="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8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10"/>
    </row>
    <row r="418" spans="1:65" x14ac:dyDescent="0.3">
      <c r="A418" s="5"/>
      <c r="B418" s="5"/>
      <c r="C418" s="5"/>
      <c r="D418" s="6"/>
      <c r="E418" s="5"/>
      <c r="F418" s="5"/>
      <c r="G418" s="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8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9"/>
      <c r="BM418" s="10"/>
    </row>
    <row r="419" spans="1:65" x14ac:dyDescent="0.3">
      <c r="A419" s="5"/>
      <c r="B419" s="5"/>
      <c r="C419" s="5"/>
      <c r="D419" s="6"/>
      <c r="E419" s="5"/>
      <c r="F419" s="5"/>
      <c r="G419" s="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8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10"/>
    </row>
    <row r="420" spans="1:65" x14ac:dyDescent="0.3">
      <c r="A420" s="5"/>
      <c r="B420" s="5"/>
      <c r="C420" s="5"/>
      <c r="D420" s="6"/>
      <c r="E420" s="5"/>
      <c r="F420" s="5"/>
      <c r="G420" s="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8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10"/>
    </row>
    <row r="421" spans="1:65" x14ac:dyDescent="0.3">
      <c r="A421" s="5"/>
      <c r="B421" s="5"/>
      <c r="C421" s="5"/>
      <c r="D421" s="6"/>
      <c r="E421" s="5"/>
      <c r="F421" s="5"/>
      <c r="G421" s="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8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10"/>
    </row>
    <row r="422" spans="1:65" x14ac:dyDescent="0.3">
      <c r="A422" s="5"/>
      <c r="B422" s="5"/>
      <c r="C422" s="5"/>
      <c r="D422" s="6"/>
      <c r="E422" s="5"/>
      <c r="F422" s="5"/>
      <c r="G422" s="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8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10"/>
    </row>
    <row r="423" spans="1:65" x14ac:dyDescent="0.3">
      <c r="A423" s="5"/>
      <c r="B423" s="5"/>
      <c r="C423" s="5"/>
      <c r="D423" s="6"/>
      <c r="E423" s="5"/>
      <c r="F423" s="5"/>
      <c r="G423" s="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8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10"/>
    </row>
    <row r="424" spans="1:65" x14ac:dyDescent="0.3">
      <c r="A424" s="5"/>
      <c r="B424" s="5"/>
      <c r="C424" s="5"/>
      <c r="D424" s="6"/>
      <c r="E424" s="5"/>
      <c r="F424" s="5"/>
      <c r="G424" s="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8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10"/>
    </row>
    <row r="425" spans="1:65" x14ac:dyDescent="0.3">
      <c r="A425" s="5"/>
      <c r="B425" s="5"/>
      <c r="C425" s="5"/>
      <c r="D425" s="6"/>
      <c r="E425" s="5"/>
      <c r="F425" s="5"/>
      <c r="G425" s="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8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10"/>
    </row>
    <row r="426" spans="1:65" x14ac:dyDescent="0.3">
      <c r="A426" s="5"/>
      <c r="B426" s="5"/>
      <c r="C426" s="5"/>
      <c r="D426" s="6"/>
      <c r="E426" s="5"/>
      <c r="F426" s="5"/>
      <c r="G426" s="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8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10"/>
    </row>
    <row r="427" spans="1:65" x14ac:dyDescent="0.3">
      <c r="A427" s="5"/>
      <c r="B427" s="5"/>
      <c r="C427" s="5"/>
      <c r="D427" s="6"/>
      <c r="E427" s="5"/>
      <c r="F427" s="5"/>
      <c r="G427" s="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8"/>
      <c r="AH427" s="7"/>
      <c r="AI427" s="7"/>
      <c r="AJ427" s="7"/>
      <c r="AK427" s="7"/>
      <c r="AL427" s="7"/>
      <c r="AM427" s="8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10"/>
    </row>
    <row r="428" spans="1:65" x14ac:dyDescent="0.3">
      <c r="A428" s="5"/>
      <c r="B428" s="5"/>
      <c r="C428" s="5"/>
      <c r="D428" s="6"/>
      <c r="E428" s="5"/>
      <c r="F428" s="5"/>
      <c r="G428" s="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8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10"/>
    </row>
    <row r="429" spans="1:65" x14ac:dyDescent="0.3">
      <c r="A429" s="5"/>
      <c r="B429" s="5"/>
      <c r="C429" s="5"/>
      <c r="D429" s="6"/>
      <c r="E429" s="5"/>
      <c r="F429" s="5"/>
      <c r="G429" s="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8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10"/>
    </row>
    <row r="430" spans="1:65" x14ac:dyDescent="0.3">
      <c r="A430" s="5"/>
      <c r="B430" s="5"/>
      <c r="C430" s="5"/>
      <c r="D430" s="6"/>
      <c r="E430" s="5"/>
      <c r="F430" s="5"/>
      <c r="G430" s="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8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10"/>
    </row>
    <row r="431" spans="1:65" x14ac:dyDescent="0.3">
      <c r="A431" s="5"/>
      <c r="B431" s="5"/>
      <c r="C431" s="5"/>
      <c r="D431" s="6"/>
      <c r="E431" s="5"/>
      <c r="F431" s="5"/>
      <c r="G431" s="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8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10"/>
    </row>
    <row r="432" spans="1:65" x14ac:dyDescent="0.3">
      <c r="A432" s="5"/>
      <c r="B432" s="5"/>
      <c r="C432" s="5"/>
      <c r="D432" s="6"/>
      <c r="E432" s="5"/>
      <c r="F432" s="5"/>
      <c r="G432" s="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8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10"/>
    </row>
    <row r="433" spans="1:65" x14ac:dyDescent="0.3">
      <c r="A433" s="5"/>
      <c r="B433" s="5"/>
      <c r="C433" s="5"/>
      <c r="D433" s="6"/>
      <c r="E433" s="5"/>
      <c r="F433" s="5"/>
      <c r="G433" s="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8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10"/>
    </row>
    <row r="434" spans="1:65" x14ac:dyDescent="0.3">
      <c r="A434" s="5"/>
      <c r="B434" s="5"/>
      <c r="C434" s="5"/>
      <c r="D434" s="6"/>
      <c r="E434" s="5"/>
      <c r="F434" s="5"/>
      <c r="G434" s="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8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10"/>
    </row>
    <row r="435" spans="1:65" x14ac:dyDescent="0.3">
      <c r="A435" s="5"/>
      <c r="B435" s="5"/>
      <c r="C435" s="5"/>
      <c r="D435" s="6"/>
      <c r="E435" s="5"/>
      <c r="F435" s="5"/>
      <c r="G435" s="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8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10"/>
    </row>
    <row r="436" spans="1:65" x14ac:dyDescent="0.3">
      <c r="A436" s="5"/>
      <c r="B436" s="5"/>
      <c r="C436" s="5"/>
      <c r="D436" s="6"/>
      <c r="E436" s="5"/>
      <c r="F436" s="5"/>
      <c r="G436" s="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8"/>
      <c r="AG436" s="7"/>
      <c r="AH436" s="7"/>
      <c r="AI436" s="7"/>
      <c r="AJ436" s="7"/>
      <c r="AK436" s="7"/>
      <c r="AL436" s="7"/>
      <c r="AM436" s="8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10"/>
    </row>
    <row r="437" spans="1:65" x14ac:dyDescent="0.3">
      <c r="A437" s="5"/>
      <c r="B437" s="5"/>
      <c r="C437" s="5"/>
      <c r="D437" s="6"/>
      <c r="E437" s="5"/>
      <c r="F437" s="5"/>
      <c r="G437" s="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8"/>
      <c r="AG437" s="7"/>
      <c r="AH437" s="7"/>
      <c r="AI437" s="7"/>
      <c r="AJ437" s="7"/>
      <c r="AK437" s="7"/>
      <c r="AL437" s="7"/>
      <c r="AM437" s="8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10"/>
    </row>
    <row r="438" spans="1:65" x14ac:dyDescent="0.3">
      <c r="A438" s="5"/>
      <c r="B438" s="5"/>
      <c r="C438" s="5"/>
      <c r="D438" s="6"/>
      <c r="E438" s="5"/>
      <c r="F438" s="5"/>
      <c r="G438" s="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8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10"/>
    </row>
    <row r="439" spans="1:65" x14ac:dyDescent="0.3">
      <c r="A439" s="5"/>
      <c r="B439" s="5"/>
      <c r="C439" s="5"/>
      <c r="D439" s="6"/>
      <c r="E439" s="5"/>
      <c r="F439" s="5"/>
      <c r="G439" s="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8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10"/>
    </row>
    <row r="440" spans="1:65" x14ac:dyDescent="0.3">
      <c r="A440" s="5"/>
      <c r="B440" s="5"/>
      <c r="C440" s="5"/>
      <c r="D440" s="6"/>
      <c r="E440" s="5"/>
      <c r="F440" s="5"/>
      <c r="G440" s="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8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10"/>
    </row>
    <row r="441" spans="1:65" x14ac:dyDescent="0.3">
      <c r="A441" s="5"/>
      <c r="B441" s="5"/>
      <c r="C441" s="5"/>
      <c r="D441" s="6"/>
      <c r="E441" s="5"/>
      <c r="F441" s="5"/>
      <c r="G441" s="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8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10"/>
    </row>
    <row r="442" spans="1:65" x14ac:dyDescent="0.3">
      <c r="A442" s="5"/>
      <c r="B442" s="5"/>
      <c r="C442" s="5"/>
      <c r="D442" s="6"/>
      <c r="E442" s="5"/>
      <c r="F442" s="5"/>
      <c r="G442" s="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8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10"/>
    </row>
    <row r="443" spans="1:65" x14ac:dyDescent="0.3">
      <c r="A443" s="5"/>
      <c r="B443" s="5"/>
      <c r="C443" s="5"/>
      <c r="D443" s="6"/>
      <c r="E443" s="5"/>
      <c r="F443" s="5"/>
      <c r="G443" s="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8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10"/>
    </row>
    <row r="444" spans="1:65" x14ac:dyDescent="0.3">
      <c r="A444" s="5"/>
      <c r="B444" s="5"/>
      <c r="C444" s="5"/>
      <c r="D444" s="6"/>
      <c r="E444" s="5"/>
      <c r="F444" s="5"/>
      <c r="G444" s="5"/>
      <c r="H444" s="7"/>
      <c r="I444" s="7"/>
      <c r="J444" s="7"/>
      <c r="K444" s="7"/>
      <c r="L444" s="8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10"/>
    </row>
    <row r="445" spans="1:65" x14ac:dyDescent="0.3">
      <c r="A445" s="5"/>
      <c r="B445" s="5"/>
      <c r="C445" s="5"/>
      <c r="D445" s="6"/>
      <c r="E445" s="5"/>
      <c r="F445" s="5"/>
      <c r="G445" s="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8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10"/>
    </row>
    <row r="446" spans="1:65" x14ac:dyDescent="0.3">
      <c r="A446" s="5"/>
      <c r="B446" s="5"/>
      <c r="C446" s="5"/>
      <c r="D446" s="6"/>
      <c r="E446" s="5"/>
      <c r="F446" s="5"/>
      <c r="G446" s="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10"/>
    </row>
    <row r="447" spans="1:65" x14ac:dyDescent="0.3">
      <c r="A447" s="5"/>
      <c r="B447" s="5"/>
      <c r="C447" s="5"/>
      <c r="D447" s="6"/>
      <c r="E447" s="5"/>
      <c r="F447" s="5"/>
      <c r="G447" s="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8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10"/>
    </row>
    <row r="448" spans="1:65" x14ac:dyDescent="0.3">
      <c r="A448" s="5"/>
      <c r="B448" s="5"/>
      <c r="C448" s="5"/>
      <c r="D448" s="6"/>
      <c r="E448" s="5"/>
      <c r="F448" s="5"/>
      <c r="G448" s="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8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10"/>
    </row>
    <row r="449" spans="1:65" x14ac:dyDescent="0.3">
      <c r="A449" s="5"/>
      <c r="B449" s="5"/>
      <c r="C449" s="5"/>
      <c r="D449" s="6"/>
      <c r="E449" s="5"/>
      <c r="F449" s="5"/>
      <c r="G449" s="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8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10"/>
    </row>
    <row r="450" spans="1:65" x14ac:dyDescent="0.3">
      <c r="A450" s="5"/>
      <c r="B450" s="5"/>
      <c r="C450" s="5"/>
      <c r="D450" s="6"/>
      <c r="E450" s="5"/>
      <c r="F450" s="5"/>
      <c r="G450" s="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11"/>
    </row>
    <row r="451" spans="1:65" x14ac:dyDescent="0.3">
      <c r="A451" s="5"/>
      <c r="B451" s="5"/>
      <c r="C451" s="5"/>
      <c r="D451" s="6"/>
      <c r="E451" s="5"/>
      <c r="F451" s="5"/>
      <c r="G451" s="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11"/>
    </row>
    <row r="452" spans="1:65" x14ac:dyDescent="0.3">
      <c r="A452" s="5"/>
      <c r="B452" s="5"/>
      <c r="C452" s="5"/>
      <c r="D452" s="6"/>
      <c r="E452" s="5"/>
      <c r="F452" s="5"/>
      <c r="G452" s="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11"/>
    </row>
    <row r="453" spans="1:65" x14ac:dyDescent="0.3">
      <c r="A453" s="5"/>
      <c r="B453" s="5"/>
      <c r="C453" s="5"/>
      <c r="D453" s="6"/>
      <c r="E453" s="5"/>
      <c r="F453" s="5"/>
      <c r="G453" s="5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11"/>
    </row>
    <row r="454" spans="1:65" x14ac:dyDescent="0.3">
      <c r="A454" s="5"/>
      <c r="B454" s="5"/>
      <c r="C454" s="5"/>
      <c r="D454" s="6"/>
      <c r="E454" s="5"/>
      <c r="F454" s="5"/>
      <c r="G454" s="5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11"/>
    </row>
    <row r="455" spans="1:65" x14ac:dyDescent="0.3">
      <c r="A455" s="5"/>
      <c r="B455" s="5"/>
      <c r="C455" s="5"/>
      <c r="D455" s="6"/>
      <c r="E455" s="5"/>
      <c r="F455" s="5"/>
      <c r="G455" s="5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11"/>
    </row>
    <row r="456" spans="1:65" x14ac:dyDescent="0.3">
      <c r="A456" s="5"/>
      <c r="B456" s="5"/>
      <c r="C456" s="5"/>
      <c r="D456" s="6"/>
      <c r="E456" s="5"/>
      <c r="F456" s="5"/>
      <c r="G456" s="5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11"/>
    </row>
    <row r="457" spans="1:65" x14ac:dyDescent="0.3">
      <c r="A457" s="5"/>
      <c r="B457" s="5"/>
      <c r="C457" s="5"/>
      <c r="D457" s="6"/>
      <c r="E457" s="5"/>
      <c r="F457" s="5"/>
      <c r="G457" s="5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11"/>
    </row>
    <row r="458" spans="1:65" x14ac:dyDescent="0.3">
      <c r="A458" s="5"/>
      <c r="B458" s="5"/>
      <c r="C458" s="5"/>
      <c r="D458" s="6"/>
      <c r="E458" s="5"/>
      <c r="F458" s="5"/>
      <c r="G458" s="5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11"/>
    </row>
    <row r="459" spans="1:65" x14ac:dyDescent="0.3">
      <c r="A459" s="5"/>
      <c r="B459" s="5"/>
      <c r="C459" s="5"/>
      <c r="D459" s="6"/>
      <c r="E459" s="5"/>
      <c r="F459" s="5"/>
      <c r="G459" s="5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11"/>
    </row>
    <row r="460" spans="1:65" x14ac:dyDescent="0.3">
      <c r="A460" s="5"/>
      <c r="B460" s="5"/>
      <c r="C460" s="5"/>
      <c r="D460" s="6"/>
      <c r="E460" s="5"/>
      <c r="F460" s="5"/>
      <c r="G460" s="5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11"/>
    </row>
    <row r="461" spans="1:65" x14ac:dyDescent="0.3">
      <c r="A461" s="5"/>
      <c r="B461" s="5"/>
      <c r="C461" s="5"/>
      <c r="D461" s="6"/>
      <c r="E461" s="5"/>
      <c r="F461" s="5"/>
      <c r="G461" s="5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11"/>
    </row>
    <row r="462" spans="1:65" x14ac:dyDescent="0.3">
      <c r="A462" s="5"/>
      <c r="B462" s="5"/>
      <c r="C462" s="5"/>
      <c r="D462" s="6"/>
      <c r="E462" s="5"/>
      <c r="F462" s="5"/>
      <c r="G462" s="5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11"/>
    </row>
    <row r="463" spans="1:65" x14ac:dyDescent="0.3">
      <c r="A463" s="5"/>
      <c r="B463" s="5"/>
      <c r="C463" s="5"/>
      <c r="D463" s="6"/>
      <c r="E463" s="5"/>
      <c r="F463" s="5"/>
      <c r="G463" s="5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11"/>
    </row>
    <row r="464" spans="1:65" x14ac:dyDescent="0.3">
      <c r="A464" s="5"/>
      <c r="B464" s="5"/>
      <c r="C464" s="5"/>
      <c r="D464" s="6"/>
      <c r="E464" s="5"/>
      <c r="F464" s="5"/>
      <c r="G464" s="5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user</cp:lastModifiedBy>
  <dcterms:created xsi:type="dcterms:W3CDTF">2019-02-07T01:40:45Z</dcterms:created>
  <dcterms:modified xsi:type="dcterms:W3CDTF">2022-06-09T02:38:35Z</dcterms:modified>
</cp:coreProperties>
</file>