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300" tabRatio="899"/>
  </bookViews>
  <sheets>
    <sheet name="합계(5)" sheetId="54" r:id="rId1"/>
    <sheet name="무장" sheetId="55" r:id="rId2"/>
    <sheet name="독고진" sheetId="56" r:id="rId3"/>
    <sheet name="이린비" sheetId="57" r:id="rId4"/>
    <sheet name="에필로그" sheetId="58" r:id="rId5"/>
    <sheet name="부엉이콩" sheetId="59" r:id="rId6"/>
    <sheet name="글면증" sheetId="60" r:id="rId7"/>
    <sheet name="윈델" sheetId="61" r:id="rId8"/>
    <sheet name="한례" sheetId="62" r:id="rId9"/>
    <sheet name="불고기자리" sheetId="63" r:id="rId10"/>
    <sheet name="세상" sheetId="64" r:id="rId11"/>
    <sheet name="더컴퍼니" sheetId="65" r:id="rId12"/>
    <sheet name="무성매직" sheetId="66" r:id="rId13"/>
    <sheet name="구공" sheetId="67" r:id="rId14"/>
    <sheet name="김광수" sheetId="68" r:id="rId15"/>
    <sheet name="이한애비" sheetId="69" r:id="rId16"/>
    <sheet name="온서" sheetId="70" r:id="rId17"/>
    <sheet name="권용찬" sheetId="71" r:id="rId18"/>
    <sheet name="갓띵작" sheetId="72" r:id="rId19"/>
    <sheet name="만렙도끼" sheetId="73" r:id="rId20"/>
    <sheet name="아크스튜디오" sheetId="74" r:id="rId21"/>
    <sheet name="비고" sheetId="75" r:id="rId22"/>
    <sheet name="루이세" sheetId="76" r:id="rId23"/>
  </sheets>
  <externalReferences>
    <externalReference r:id="rId24"/>
  </externalReferences>
  <definedNames>
    <definedName name="_xlnm._FilterDatabase" localSheetId="0" hidden="1">'합계(5)'!$A$1:$Q$172</definedName>
    <definedName name="_xlnm.Extract" localSheetId="18">갓띵작!$A$1:$Q$1</definedName>
    <definedName name="_xlnm.Extract" localSheetId="13">구공!$A$1:$Q$1</definedName>
    <definedName name="_xlnm.Extract" localSheetId="17">권용찬!$A$1:$Q$1</definedName>
    <definedName name="_xlnm.Extract" localSheetId="6">글면증!$A$1:$Q$1</definedName>
    <definedName name="_xlnm.Extract" localSheetId="14">김광수!$A$1:$Q$1</definedName>
    <definedName name="_xlnm.Extract" localSheetId="11">더컴퍼니!$A$1:$Q$1</definedName>
    <definedName name="_xlnm.Extract" localSheetId="2">독고진!$A$1:$Q$1</definedName>
    <definedName name="_xlnm.Extract" localSheetId="22">루이세!$A$1:$Q$1</definedName>
    <definedName name="_xlnm.Extract" localSheetId="19">만렙도끼!$A$1:$Q$1</definedName>
    <definedName name="_xlnm.Extract" localSheetId="12">무성매직!$A$1:$Q$1</definedName>
    <definedName name="_xlnm.Extract" localSheetId="1">무장!$A$1:$Q$1</definedName>
    <definedName name="_xlnm.Extract" localSheetId="5">부엉이콩!$A$1:$Q$1</definedName>
    <definedName name="_xlnm.Extract" localSheetId="9">불고기자리!$A$1:$Q$1</definedName>
    <definedName name="_xlnm.Extract" localSheetId="21">비고!$A$1:$Q$1</definedName>
    <definedName name="_xlnm.Extract" localSheetId="10">세상!$A$1:$Q$1</definedName>
    <definedName name="_xlnm.Extract" localSheetId="20">아크스튜디오!$A$1:$Q$1</definedName>
    <definedName name="_xlnm.Extract" localSheetId="4">에필로그!$A$1:$Q$1</definedName>
    <definedName name="_xlnm.Extract" localSheetId="16">온서!$A$1:$Q$1</definedName>
    <definedName name="_xlnm.Extract" localSheetId="7">윈델!$A$1:$Q$1</definedName>
    <definedName name="_xlnm.Extract" localSheetId="3">이린비!$A$1:$Q$1</definedName>
    <definedName name="_xlnm.Extract" localSheetId="15">이한애비!$A$1:$Q$1</definedName>
    <definedName name="_xlnm.Extract" localSheetId="8">한례!$A$1:$Q$1</definedName>
    <definedName name="_xlnm.Extract" localSheetId="0">'합계(5)'!#REF!</definedName>
  </definedNames>
  <calcPr calcId="152511" calcMode="manual"/>
</workbook>
</file>

<file path=xl/calcChain.xml><?xml version="1.0" encoding="utf-8"?>
<calcChain xmlns="http://schemas.openxmlformats.org/spreadsheetml/2006/main">
  <c r="P3" i="54" l="1"/>
  <c r="Q3" i="54" s="1"/>
  <c r="P4" i="54"/>
  <c r="Q4" i="54" s="1"/>
  <c r="P5" i="54"/>
  <c r="Q5" i="54" s="1"/>
  <c r="P6" i="54"/>
  <c r="Q6" i="54" s="1"/>
  <c r="P7" i="54"/>
  <c r="Q7" i="54" s="1"/>
  <c r="P8" i="54"/>
  <c r="Q8" i="54"/>
  <c r="P9" i="54"/>
  <c r="Q9" i="54" s="1"/>
  <c r="P10" i="54"/>
  <c r="Q10" i="54"/>
  <c r="P11" i="54"/>
  <c r="Q11" i="54" s="1"/>
  <c r="P12" i="54"/>
  <c r="Q12" i="54" s="1"/>
  <c r="P13" i="54"/>
  <c r="Q13" i="54" s="1"/>
  <c r="P14" i="54"/>
  <c r="Q14" i="54" s="1"/>
  <c r="P15" i="54"/>
  <c r="Q15" i="54" s="1"/>
  <c r="P16" i="54"/>
  <c r="Q16" i="54" s="1"/>
  <c r="P17" i="54"/>
  <c r="Q17" i="54" s="1"/>
  <c r="P18" i="54"/>
  <c r="Q18" i="54"/>
  <c r="P19" i="54"/>
  <c r="Q19" i="54" s="1"/>
  <c r="P20" i="54"/>
  <c r="Q20" i="54" s="1"/>
  <c r="P21" i="54"/>
  <c r="Q21" i="54" s="1"/>
  <c r="P22" i="54"/>
  <c r="Q22" i="54" s="1"/>
  <c r="P23" i="54"/>
  <c r="Q23" i="54" s="1"/>
  <c r="P24" i="54"/>
  <c r="Q24" i="54" s="1"/>
  <c r="P25" i="54"/>
  <c r="Q25" i="54" s="1"/>
  <c r="P26" i="54"/>
  <c r="Q26" i="54"/>
  <c r="P27" i="54"/>
  <c r="Q27" i="54" s="1"/>
  <c r="P28" i="54"/>
  <c r="Q28" i="54" s="1"/>
  <c r="P29" i="54"/>
  <c r="Q29" i="54" s="1"/>
  <c r="P30" i="54"/>
  <c r="Q30" i="54"/>
  <c r="P31" i="54"/>
  <c r="Q31" i="54" s="1"/>
  <c r="P32" i="54"/>
  <c r="Q32" i="54" s="1"/>
  <c r="P33" i="54"/>
  <c r="Q33" i="54" s="1"/>
  <c r="P34" i="54"/>
  <c r="Q34" i="54" s="1"/>
  <c r="P35" i="54"/>
  <c r="Q35" i="54" s="1"/>
  <c r="P36" i="54"/>
  <c r="Q36" i="54" s="1"/>
  <c r="P37" i="54"/>
  <c r="Q37" i="54" s="1"/>
  <c r="P38" i="54"/>
  <c r="Q38" i="54" s="1"/>
  <c r="P39" i="54"/>
  <c r="Q39" i="54" s="1"/>
  <c r="P40" i="54"/>
  <c r="Q40" i="54" s="1"/>
  <c r="P41" i="54"/>
  <c r="Q41" i="54" s="1"/>
  <c r="P42" i="54"/>
  <c r="Q42" i="54" s="1"/>
  <c r="P43" i="54"/>
  <c r="Q43" i="54" s="1"/>
  <c r="P44" i="54"/>
  <c r="Q44" i="54" s="1"/>
  <c r="P45" i="54"/>
  <c r="Q45" i="54" s="1"/>
  <c r="P46" i="54"/>
  <c r="Q46" i="54"/>
  <c r="P47" i="54"/>
  <c r="Q47" i="54" s="1"/>
  <c r="P48" i="54"/>
  <c r="Q48" i="54" s="1"/>
  <c r="P49" i="54"/>
  <c r="Q49" i="54" s="1"/>
  <c r="P50" i="54"/>
  <c r="Q50" i="54"/>
  <c r="P51" i="54"/>
  <c r="Q51" i="54" s="1"/>
  <c r="P52" i="54"/>
  <c r="Q52" i="54" s="1"/>
  <c r="P53" i="54"/>
  <c r="Q53" i="54" s="1"/>
  <c r="P54" i="54"/>
  <c r="Q54" i="54" s="1"/>
  <c r="P55" i="54"/>
  <c r="Q55" i="54" s="1"/>
  <c r="P56" i="54"/>
  <c r="Q56" i="54" s="1"/>
  <c r="P57" i="54"/>
  <c r="Q57" i="54" s="1"/>
  <c r="P58" i="54"/>
  <c r="Q58" i="54"/>
  <c r="P59" i="54"/>
  <c r="Q59" i="54" s="1"/>
  <c r="P60" i="54"/>
  <c r="Q60" i="54" s="1"/>
  <c r="P61" i="54"/>
  <c r="Q61" i="54" s="1"/>
  <c r="P62" i="54"/>
  <c r="Q62" i="54" s="1"/>
  <c r="P63" i="54"/>
  <c r="Q63" i="54" s="1"/>
  <c r="P64" i="54"/>
  <c r="Q64" i="54" s="1"/>
  <c r="P65" i="54"/>
  <c r="Q65" i="54" s="1"/>
  <c r="P66" i="54"/>
  <c r="Q66" i="54"/>
  <c r="P67" i="54"/>
  <c r="Q67" i="54" s="1"/>
  <c r="P68" i="54"/>
  <c r="Q68" i="54" s="1"/>
  <c r="P69" i="54"/>
  <c r="Q69" i="54" s="1"/>
  <c r="P70" i="54"/>
  <c r="Q70" i="54" s="1"/>
  <c r="P71" i="54"/>
  <c r="Q71" i="54" s="1"/>
  <c r="P72" i="54"/>
  <c r="Q72" i="54" s="1"/>
  <c r="P73" i="54"/>
  <c r="Q73" i="54" s="1"/>
  <c r="P74" i="54"/>
  <c r="Q74" i="54" s="1"/>
  <c r="P75" i="54"/>
  <c r="Q75" i="54" s="1"/>
  <c r="P76" i="54"/>
  <c r="Q76" i="54" s="1"/>
  <c r="P77" i="54"/>
  <c r="Q77" i="54" s="1"/>
  <c r="P78" i="54"/>
  <c r="Q78" i="54" s="1"/>
  <c r="P79" i="54"/>
  <c r="Q79" i="54" s="1"/>
  <c r="P80" i="54"/>
  <c r="Q80" i="54" s="1"/>
  <c r="P81" i="54"/>
  <c r="Q81" i="54" s="1"/>
  <c r="P82" i="54"/>
  <c r="Q82" i="54"/>
  <c r="P83" i="54"/>
  <c r="Q83" i="54" s="1"/>
  <c r="P84" i="54"/>
  <c r="Q84" i="54" s="1"/>
  <c r="P85" i="54"/>
  <c r="Q85" i="54" s="1"/>
  <c r="P86" i="54"/>
  <c r="Q86" i="54"/>
  <c r="P87" i="54"/>
  <c r="Q87" i="54" s="1"/>
  <c r="P88" i="54"/>
  <c r="Q88" i="54" s="1"/>
  <c r="P89" i="54"/>
  <c r="Q89" i="54" s="1"/>
  <c r="P90" i="54"/>
  <c r="Q90" i="54"/>
  <c r="P91" i="54"/>
  <c r="Q91" i="54" s="1"/>
  <c r="P92" i="54"/>
  <c r="Q92" i="54" s="1"/>
  <c r="P93" i="54"/>
  <c r="Q93" i="54" s="1"/>
  <c r="P94" i="54"/>
  <c r="Q94" i="54" s="1"/>
  <c r="P95" i="54"/>
  <c r="Q95" i="54" s="1"/>
  <c r="P96" i="54"/>
  <c r="Q96" i="54" s="1"/>
  <c r="P97" i="54"/>
  <c r="Q97" i="54" s="1"/>
  <c r="P98" i="54"/>
  <c r="Q98" i="54" s="1"/>
  <c r="P99" i="54"/>
  <c r="Q99" i="54" s="1"/>
  <c r="P100" i="54"/>
  <c r="Q100" i="54" s="1"/>
  <c r="P101" i="54"/>
  <c r="Q101" i="54" s="1"/>
  <c r="P102" i="54"/>
  <c r="Q102" i="54" s="1"/>
  <c r="P103" i="54"/>
  <c r="Q103" i="54" s="1"/>
  <c r="P104" i="54"/>
  <c r="Q104" i="54" s="1"/>
  <c r="P105" i="54"/>
  <c r="Q105" i="54" s="1"/>
  <c r="P106" i="54"/>
  <c r="Q106" i="54" s="1"/>
  <c r="P107" i="54"/>
  <c r="Q107" i="54" s="1"/>
  <c r="P108" i="54"/>
  <c r="Q108" i="54" s="1"/>
  <c r="P109" i="54"/>
  <c r="Q109" i="54" s="1"/>
  <c r="P110" i="54"/>
  <c r="Q110" i="54" s="1"/>
  <c r="P111" i="54"/>
  <c r="Q111" i="54" s="1"/>
  <c r="P112" i="54"/>
  <c r="Q112" i="54" s="1"/>
  <c r="P113" i="54"/>
  <c r="Q113" i="54" s="1"/>
  <c r="P114" i="54"/>
  <c r="Q114" i="54"/>
  <c r="P115" i="54"/>
  <c r="Q115" i="54" s="1"/>
  <c r="P116" i="54"/>
  <c r="Q116" i="54" s="1"/>
  <c r="P117" i="54"/>
  <c r="Q117" i="54" s="1"/>
  <c r="P118" i="54"/>
  <c r="Q118" i="54" s="1"/>
  <c r="P119" i="54"/>
  <c r="Q119" i="54" s="1"/>
  <c r="P120" i="54"/>
  <c r="Q120" i="54" s="1"/>
  <c r="P121" i="54"/>
  <c r="Q121" i="54" s="1"/>
  <c r="P122" i="54"/>
  <c r="Q122" i="54"/>
  <c r="P123" i="54"/>
  <c r="Q123" i="54" s="1"/>
  <c r="P124" i="54"/>
  <c r="Q124" i="54" s="1"/>
  <c r="P125" i="54"/>
  <c r="Q125" i="54" s="1"/>
  <c r="P126" i="54"/>
  <c r="Q126" i="54" s="1"/>
  <c r="P127" i="54"/>
  <c r="Q127" i="54" s="1"/>
  <c r="P128" i="54"/>
  <c r="Q128" i="54" s="1"/>
  <c r="P129" i="54"/>
  <c r="Q129" i="54" s="1"/>
  <c r="P130" i="54"/>
  <c r="Q130" i="54" s="1"/>
  <c r="P131" i="54"/>
  <c r="Q131" i="54" s="1"/>
  <c r="P132" i="54"/>
  <c r="Q132" i="54" s="1"/>
  <c r="P133" i="54"/>
  <c r="Q133" i="54" s="1"/>
  <c r="P134" i="54"/>
  <c r="Q134" i="54" s="1"/>
  <c r="P135" i="54"/>
  <c r="Q135" i="54" s="1"/>
  <c r="P136" i="54"/>
  <c r="Q136" i="54" s="1"/>
  <c r="P137" i="54"/>
  <c r="Q137" i="54" s="1"/>
  <c r="P138" i="54"/>
  <c r="Q138" i="54" s="1"/>
  <c r="P139" i="54"/>
  <c r="Q139" i="54" s="1"/>
  <c r="P140" i="54"/>
  <c r="Q140" i="54" s="1"/>
  <c r="P141" i="54"/>
  <c r="Q141" i="54" s="1"/>
  <c r="P142" i="54"/>
  <c r="Q142" i="54" s="1"/>
  <c r="P143" i="54"/>
  <c r="Q143" i="54" s="1"/>
  <c r="P144" i="54"/>
  <c r="Q144" i="54" s="1"/>
  <c r="P145" i="54"/>
  <c r="Q145" i="54" s="1"/>
  <c r="P146" i="54"/>
  <c r="Q146" i="54" s="1"/>
  <c r="P147" i="54"/>
  <c r="Q147" i="54" s="1"/>
  <c r="P148" i="54"/>
  <c r="Q148" i="54" s="1"/>
  <c r="P149" i="54"/>
  <c r="Q149" i="54" s="1"/>
  <c r="P150" i="54"/>
  <c r="Q150" i="54" s="1"/>
  <c r="P151" i="54"/>
  <c r="Q151" i="54" s="1"/>
  <c r="P152" i="54"/>
  <c r="Q152" i="54" s="1"/>
  <c r="P153" i="54"/>
  <c r="Q153" i="54" s="1"/>
  <c r="P154" i="54"/>
  <c r="Q154" i="54"/>
  <c r="P155" i="54"/>
  <c r="Q155" i="54" s="1"/>
  <c r="P156" i="54"/>
  <c r="Q156" i="54" s="1"/>
  <c r="P157" i="54"/>
  <c r="Q157" i="54" s="1"/>
  <c r="P158" i="54"/>
  <c r="Q158" i="54" s="1"/>
  <c r="P159" i="54"/>
  <c r="Q159" i="54" s="1"/>
  <c r="P160" i="54"/>
  <c r="Q160" i="54" s="1"/>
  <c r="P161" i="54"/>
  <c r="Q161" i="54" s="1"/>
  <c r="P162" i="54"/>
  <c r="Q162" i="54"/>
  <c r="P163" i="54"/>
  <c r="Q163" i="54" s="1"/>
  <c r="P164" i="54"/>
  <c r="Q164" i="54" s="1"/>
  <c r="P165" i="54"/>
  <c r="Q165" i="54" s="1"/>
  <c r="P166" i="54"/>
  <c r="Q166" i="54" s="1"/>
  <c r="P167" i="54"/>
  <c r="Q167" i="54" s="1"/>
  <c r="P168" i="54"/>
  <c r="Q168" i="54" s="1"/>
  <c r="P169" i="54"/>
  <c r="Q169" i="54" s="1"/>
  <c r="P170" i="54"/>
  <c r="Q170" i="54" s="1"/>
  <c r="P171" i="54"/>
  <c r="Q171" i="54" s="1"/>
  <c r="P2" i="54"/>
  <c r="Q2" i="54" s="1"/>
  <c r="O172" i="54" l="1"/>
</calcChain>
</file>

<file path=xl/sharedStrings.xml><?xml version="1.0" encoding="utf-8"?>
<sst xmlns="http://schemas.openxmlformats.org/spreadsheetml/2006/main" count="3111" uniqueCount="141">
  <si>
    <t>판타지</t>
  </si>
  <si>
    <t>간신이 나라를 살림</t>
  </si>
  <si>
    <t>레이디 스칼렛</t>
  </si>
  <si>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</si>
  <si>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</si>
  <si>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</si>
  <si>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</si>
  <si>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</si>
  <si>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</si>
  <si>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</si>
  <si>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</si>
  <si>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</si>
  <si>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</si>
  <si>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</si>
  <si>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</si>
  <si>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</si>
  <si>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신무협</t>
  </si>
  <si>
    <t>로맨스판타지</t>
  </si>
  <si>
    <t>연애</t>
  </si>
  <si>
    <t>공작가의 남루한 신부</t>
  </si>
  <si>
    <t>마신부활</t>
  </si>
  <si>
    <t>출판사</t>
  </si>
  <si>
    <t>원가율</t>
  </si>
  <si>
    <t>선인세</t>
  </si>
  <si>
    <t>유료판매건수</t>
  </si>
  <si>
    <t>BL</t>
  </si>
  <si>
    <t>컬러 러쉬</t>
  </si>
  <si>
    <t>게이트 헌터</t>
  </si>
  <si>
    <t>정통무협</t>
  </si>
  <si>
    <t>원코인 게이머 아포칼립스</t>
  </si>
  <si>
    <t>고검환정록</t>
  </si>
  <si>
    <t>강호, 미치다</t>
  </si>
  <si>
    <t>유성하소월</t>
  </si>
  <si>
    <t>강호유정</t>
  </si>
  <si>
    <t>은천검제 (화산검제 포함)</t>
  </si>
  <si>
    <t>선유문주</t>
  </si>
  <si>
    <t>도폐풍운록</t>
  </si>
  <si>
    <t>엠프티(Empty)</t>
  </si>
  <si>
    <t>법보다 주먹</t>
  </si>
  <si>
    <t>더 캡틴</t>
  </si>
  <si>
    <t>에필로그</t>
  </si>
  <si>
    <t>신들의 알바나라</t>
  </si>
  <si>
    <t>군주, 다시 귀환하다</t>
  </si>
  <si>
    <t>소울 슈터</t>
  </si>
  <si>
    <t>스토리아크</t>
  </si>
  <si>
    <t>얼굴 천재 교주가 되었다</t>
  </si>
  <si>
    <t>블러쉬</t>
  </si>
  <si>
    <t>20220531</t>
  </si>
  <si>
    <t>형사의 게임</t>
  </si>
  <si>
    <t>신을 죽이러 갑니다</t>
  </si>
  <si>
    <t>여왕 아델</t>
  </si>
  <si>
    <t>자모검</t>
  </si>
  <si>
    <t>호랑이 신을 길들여 버렸다</t>
  </si>
  <si>
    <t>콘크리트 펀치</t>
  </si>
  <si>
    <t>동대륙의 낭인무사</t>
  </si>
  <si>
    <t>올마스터가 된 비전서고</t>
  </si>
  <si>
    <t>돌아온 막내 영애님을 조심하세요</t>
  </si>
  <si>
    <t>20220530</t>
  </si>
  <si>
    <t>순백의 아가씨</t>
  </si>
  <si>
    <t>너드 공략집</t>
  </si>
  <si>
    <t>20220529</t>
  </si>
  <si>
    <t>20220528</t>
  </si>
  <si>
    <t>20220527</t>
  </si>
  <si>
    <t>전장의 금기</t>
  </si>
  <si>
    <t>20220526</t>
  </si>
  <si>
    <t>회귀자의 슬기로운 복수생활</t>
  </si>
  <si>
    <t>20220525</t>
  </si>
  <si>
    <t>20220524</t>
  </si>
  <si>
    <t>20220523</t>
  </si>
  <si>
    <t>[개정판]영웅</t>
  </si>
  <si>
    <t>20220522</t>
  </si>
  <si>
    <t>20220521</t>
  </si>
  <si>
    <t>20220520</t>
  </si>
  <si>
    <t>20220519</t>
  </si>
  <si>
    <t>20220518</t>
  </si>
  <si>
    <t>20220517</t>
  </si>
  <si>
    <t>20220516</t>
  </si>
  <si>
    <t>20220515</t>
  </si>
  <si>
    <t>20220514</t>
  </si>
  <si>
    <t>20220513</t>
  </si>
  <si>
    <t>임신부터 할까요?</t>
  </si>
  <si>
    <t>20220512</t>
  </si>
  <si>
    <t>신마협도</t>
  </si>
  <si>
    <t>위사무적</t>
  </si>
  <si>
    <t>20220511</t>
  </si>
  <si>
    <t>진짜 사나이</t>
  </si>
  <si>
    <t>20220510</t>
  </si>
  <si>
    <t>20220509</t>
  </si>
  <si>
    <t>무적살수</t>
  </si>
  <si>
    <t>20220508</t>
  </si>
  <si>
    <t>20220507</t>
  </si>
  <si>
    <t>20220506</t>
  </si>
  <si>
    <t>20220505</t>
  </si>
  <si>
    <t>20220504</t>
  </si>
  <si>
    <t>20220503</t>
  </si>
  <si>
    <t>20220502</t>
  </si>
  <si>
    <t>20220501</t>
  </si>
  <si>
    <t>백범(白帆)</t>
  </si>
  <si>
    <t>백범(白帆)</t>
    <phoneticPr fontId="1" type="noConversion"/>
  </si>
  <si>
    <t>라이큐</t>
  </si>
  <si>
    <t>라이큐</t>
    <phoneticPr fontId="1" type="noConversion"/>
  </si>
  <si>
    <t>비고</t>
  </si>
  <si>
    <t>비고</t>
    <phoneticPr fontId="1" type="noConversion"/>
  </si>
  <si>
    <t>갓띵작</t>
  </si>
  <si>
    <t>갓띵작</t>
    <phoneticPr fontId="1" type="noConversion"/>
  </si>
  <si>
    <t>권용찬</t>
  </si>
  <si>
    <t>권용찬</t>
    <phoneticPr fontId="1" type="noConversion"/>
  </si>
  <si>
    <t>만렙도끼</t>
  </si>
  <si>
    <t>만렙도끼</t>
    <phoneticPr fontId="1" type="noConversion"/>
  </si>
  <si>
    <t>직하인</t>
  </si>
  <si>
    <t>직하인</t>
    <phoneticPr fontId="1" type="noConversion"/>
  </si>
  <si>
    <t>무장</t>
  </si>
  <si>
    <t>무장</t>
    <phoneticPr fontId="1" type="noConversion"/>
  </si>
  <si>
    <t>루이세</t>
    <phoneticPr fontId="1" type="noConversion"/>
  </si>
  <si>
    <t>무장</t>
    <phoneticPr fontId="1" type="noConversion"/>
  </si>
  <si>
    <t>만렙도끼</t>
    <phoneticPr fontId="1" type="noConversion"/>
  </si>
  <si>
    <t>세상</t>
  </si>
  <si>
    <t>세상</t>
    <phoneticPr fontId="1" type="noConversion"/>
  </si>
  <si>
    <t>이한애비</t>
  </si>
  <si>
    <t>이한애비</t>
    <phoneticPr fontId="1" type="noConversion"/>
  </si>
  <si>
    <t>최재봉</t>
  </si>
  <si>
    <t>최재봉</t>
    <phoneticPr fontId="1" type="noConversion"/>
  </si>
  <si>
    <t>출판사</t>
    <phoneticPr fontId="5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</si>
  <si>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5" type="noConversion"/>
  </si>
  <si>
    <t>독고진</t>
  </si>
  <si>
    <t>이린비</t>
  </si>
  <si>
    <t>부엉이콩</t>
  </si>
  <si>
    <t>협행마</t>
  </si>
  <si>
    <t>글면증</t>
  </si>
  <si>
    <t>윈델</t>
  </si>
  <si>
    <t>한례</t>
  </si>
  <si>
    <t>불고기자리</t>
  </si>
  <si>
    <t>이다겸</t>
  </si>
  <si>
    <t>무성매직</t>
  </si>
  <si>
    <t>구공</t>
  </si>
  <si>
    <t>김광수</t>
  </si>
  <si>
    <t>온서</t>
  </si>
  <si>
    <t>라돌체</t>
  </si>
  <si>
    <t>더컴퍼니</t>
  </si>
  <si>
    <t>아크스튜디오</t>
  </si>
  <si>
    <t>루이세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</si>
</sst>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3" fillId="3" borderId="0" xfId="1" applyFont="1" applyFill="1">
      <alignment vertical="center"/>
    </xf>
    <xf numFmtId="0" fontId="4" fillId="4" borderId="1" xfId="0" applyFont="1" applyFill="1" applyBorder="1" applyAlignment="1"/>
    <xf numFmtId="0" fontId="0" fillId="4" borderId="2" xfId="0" applyFill="1" applyBorder="1" applyAlignment="1"/>
    <xf numFmtId="0" fontId="0" fillId="0" borderId="0" xfId="0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羽宸?(Uchenhu), 林?瑜(Lin Peiyu)</v>
          </cell>
          <cell r="B39" t="str">
            <v>제외</v>
          </cell>
          <cell r="R39" t="str">
            <v>SISSI</v>
          </cell>
          <cell r="S39" t="str">
            <v>더컴퍼니</v>
          </cell>
        </row>
        <row r="40">
          <cell r="A40" t="str">
            <v>vvk</v>
          </cell>
          <cell r="B40" t="str">
            <v>vvk</v>
          </cell>
          <cell r="R40" t="str">
            <v>SISSI</v>
          </cell>
          <cell r="S40" t="str">
            <v>더컴퍼니</v>
          </cell>
        </row>
        <row r="41">
          <cell r="A41" t="str">
            <v>Yangxuetu, Zhupi</v>
          </cell>
          <cell r="B41" t="str">
            <v>제외</v>
          </cell>
          <cell r="R41" t="str">
            <v>SISSI</v>
          </cell>
          <cell r="S41" t="str">
            <v>더컴퍼니</v>
          </cell>
        </row>
        <row r="42">
          <cell r="A42" t="str">
            <v>Yulia</v>
          </cell>
          <cell r="B42" t="str">
            <v>Yulia</v>
          </cell>
          <cell r="R42" t="str">
            <v>SISSI</v>
          </cell>
          <cell r="S42" t="str">
            <v>더컴퍼니</v>
          </cell>
        </row>
        <row r="43">
          <cell r="A43" t="str">
            <v>ZHUPI&amp;YANGXUETU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ZHUPI,YANGXUETU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ZHUPI.YANGXUETU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Zhupi, Yangxuetu</v>
          </cell>
          <cell r="B46" t="str">
            <v>제외</v>
          </cell>
          <cell r="R46" t="str">
            <v>SISSI</v>
          </cell>
          <cell r="S46" t="str">
            <v>더컴퍼니</v>
          </cell>
        </row>
        <row r="47">
          <cell r="A47" t="str">
            <v>가람검</v>
          </cell>
          <cell r="B47" t="str">
            <v>독고진</v>
          </cell>
          <cell r="R47" t="str">
            <v>SISSI</v>
          </cell>
          <cell r="S47" t="str">
            <v>더컴퍼니</v>
          </cell>
        </row>
        <row r="48">
          <cell r="A48" t="str">
            <v>갓띵작</v>
          </cell>
          <cell r="B48" t="str">
            <v>갓띵작</v>
          </cell>
          <cell r="R48" t="str">
            <v>SISSI</v>
          </cell>
          <cell r="S48" t="str">
            <v>더컴퍼니</v>
          </cell>
        </row>
        <row r="49">
          <cell r="A49" t="str">
            <v>강준현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건일</v>
          </cell>
          <cell r="B50" t="str">
            <v>제외</v>
          </cell>
          <cell r="R50" t="str">
            <v>SISSI</v>
          </cell>
          <cell r="S50" t="str">
            <v>더컴퍼니</v>
          </cell>
        </row>
        <row r="51">
          <cell r="A51" t="str">
            <v>공든탑</v>
          </cell>
          <cell r="B51" t="str">
            <v>공든탑</v>
          </cell>
          <cell r="R51" t="str">
            <v>SISSI</v>
          </cell>
          <cell r="S51" t="str">
            <v>더컴퍼니</v>
          </cell>
        </row>
        <row r="52">
          <cell r="A52" t="str">
            <v>곽도우</v>
          </cell>
          <cell r="B52" t="str">
            <v>스토리아크</v>
          </cell>
          <cell r="R52" t="str">
            <v>SISSI</v>
          </cell>
          <cell r="S52" t="str">
            <v>더컴퍼니</v>
          </cell>
        </row>
        <row r="53">
          <cell r="A53" t="str">
            <v>구공</v>
          </cell>
          <cell r="B53" t="str">
            <v>구공</v>
          </cell>
          <cell r="R53" t="str">
            <v>SISSI</v>
          </cell>
          <cell r="S53" t="str">
            <v>더컴퍼니</v>
          </cell>
        </row>
        <row r="54">
          <cell r="A54" t="str">
            <v>구디스튜디오</v>
          </cell>
          <cell r="B54" t="str">
            <v>구디</v>
          </cell>
          <cell r="R54" t="str">
            <v>SISSI</v>
          </cell>
          <cell r="S54" t="str">
            <v>더컴퍼니</v>
          </cell>
        </row>
        <row r="55">
          <cell r="A55" t="str">
            <v>구땡</v>
          </cell>
          <cell r="B55" t="str">
            <v>구땡</v>
          </cell>
          <cell r="R55" t="str">
            <v>SISSI</v>
          </cell>
          <cell r="S55" t="str">
            <v>더컴퍼니</v>
          </cell>
        </row>
        <row r="56">
          <cell r="A56" t="str">
            <v>구유</v>
          </cell>
          <cell r="B56" t="str">
            <v>구유</v>
          </cell>
          <cell r="R56" t="str">
            <v>SISSI</v>
          </cell>
          <cell r="S56" t="str">
            <v>더컴퍼니</v>
          </cell>
        </row>
        <row r="57">
          <cell r="A57" t="str">
            <v>구이</v>
          </cell>
          <cell r="B57" t="str">
            <v>구이</v>
          </cell>
          <cell r="R57" t="str">
            <v>SISSI</v>
          </cell>
          <cell r="S57" t="str">
            <v>더컴퍼니</v>
          </cell>
        </row>
        <row r="58">
          <cell r="A58" t="str">
            <v>군주</v>
          </cell>
          <cell r="B58" t="str">
            <v>군주</v>
          </cell>
          <cell r="R58" t="str">
            <v>SISSI</v>
          </cell>
          <cell r="S58" t="str">
            <v>더컴퍼니</v>
          </cell>
        </row>
        <row r="59">
          <cell r="A59" t="str">
            <v>권용찬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권용찬 (2)</v>
          </cell>
          <cell r="B60" t="str">
            <v>권용찬</v>
          </cell>
          <cell r="R60" t="str">
            <v>SISSI</v>
          </cell>
          <cell r="S60" t="str">
            <v>더컴퍼니</v>
          </cell>
        </row>
        <row r="61">
          <cell r="A61" t="str">
            <v>글면증</v>
          </cell>
          <cell r="B61" t="str">
            <v>글면증</v>
          </cell>
          <cell r="R61" t="str">
            <v>SISSI</v>
          </cell>
          <cell r="S61" t="str">
            <v>더컴퍼니</v>
          </cell>
        </row>
        <row r="62">
          <cell r="A62" t="str">
            <v>금시조</v>
          </cell>
          <cell r="B62" t="str">
            <v>금시조</v>
          </cell>
          <cell r="R62" t="str">
            <v>SISSI</v>
          </cell>
          <cell r="S62" t="str">
            <v>더컴퍼니</v>
          </cell>
        </row>
        <row r="63">
          <cell r="A63" t="str">
            <v>김광수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김광수 (2)</v>
          </cell>
          <cell r="B64" t="str">
            <v>김광수</v>
          </cell>
          <cell r="R64" t="str">
            <v>SISSI</v>
          </cell>
          <cell r="S64" t="str">
            <v>더컴퍼니</v>
          </cell>
        </row>
        <row r="65">
          <cell r="A65" t="str">
            <v>김너울</v>
          </cell>
          <cell r="B65" t="str">
            <v>김너울</v>
          </cell>
          <cell r="R65" t="str">
            <v>SISSI</v>
          </cell>
          <cell r="S65" t="str">
            <v>더컴퍼니</v>
          </cell>
        </row>
        <row r="66">
          <cell r="A66" t="str">
            <v>김사라</v>
          </cell>
          <cell r="B66" t="str">
            <v>김사라</v>
          </cell>
          <cell r="R66" t="str">
            <v>SISSI</v>
          </cell>
          <cell r="S66" t="str">
            <v>더컴퍼니</v>
          </cell>
        </row>
        <row r="67">
          <cell r="A67" t="str">
            <v>김수연</v>
          </cell>
          <cell r="B67" t="str">
            <v>김수연</v>
          </cell>
          <cell r="R67" t="str">
            <v>SISSI</v>
          </cell>
          <cell r="S67" t="str">
            <v>더컴퍼니</v>
          </cell>
        </row>
        <row r="68">
          <cell r="A68" t="str">
            <v>김온별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 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김온별(러브마인)</v>
          </cell>
          <cell r="B70" t="str">
            <v>김온별</v>
          </cell>
          <cell r="R70" t="str">
            <v>SISSI</v>
          </cell>
          <cell r="S70" t="str">
            <v>더컴퍼니</v>
          </cell>
        </row>
        <row r="71">
          <cell r="A71" t="str">
            <v>김온별러브마인</v>
          </cell>
          <cell r="B71" t="str">
            <v>김온별러브마인</v>
          </cell>
          <cell r="R71" t="str">
            <v>SISSI</v>
          </cell>
          <cell r="S71" t="str">
            <v>더컴퍼니</v>
          </cell>
        </row>
        <row r="72">
          <cell r="A72" t="str">
            <v>김운담</v>
          </cell>
          <cell r="B72" t="str">
            <v>김운담</v>
          </cell>
          <cell r="R72" t="str">
            <v>SISSI</v>
          </cell>
          <cell r="S72" t="str">
            <v>더컴퍼니</v>
          </cell>
        </row>
        <row r="73">
          <cell r="A73" t="str">
            <v>김정률</v>
          </cell>
          <cell r="B73" t="str">
            <v>김정률</v>
          </cell>
          <cell r="R73" t="str">
            <v>SISSI</v>
          </cell>
          <cell r="S73" t="str">
            <v>더컴퍼니</v>
          </cell>
        </row>
        <row r="74">
          <cell r="A74" t="str">
            <v>김정연</v>
          </cell>
          <cell r="B74" t="str">
            <v>김정연</v>
          </cell>
          <cell r="R74" t="str">
            <v>SISSI</v>
          </cell>
          <cell r="S74" t="str">
            <v>더컴퍼니</v>
          </cell>
        </row>
        <row r="75">
          <cell r="A75" t="str">
            <v>깡펀치</v>
          </cell>
          <cell r="B75" t="str">
            <v>깡펀치</v>
          </cell>
          <cell r="R75" t="str">
            <v>SISSI</v>
          </cell>
          <cell r="S75" t="str">
            <v>더컴퍼니</v>
          </cell>
        </row>
        <row r="76">
          <cell r="A76" t="str">
            <v>꽃잠</v>
          </cell>
          <cell r="B76" t="str">
            <v>꽃잠</v>
          </cell>
          <cell r="R76" t="str">
            <v>SISSI</v>
          </cell>
          <cell r="S76" t="str">
            <v>더컴퍼니</v>
          </cell>
        </row>
        <row r="77">
          <cell r="A77" t="str">
            <v>남정훈</v>
          </cell>
          <cell r="B77" t="str">
            <v>컨텐츠헤라</v>
          </cell>
          <cell r="R77" t="str">
            <v>SISSI</v>
          </cell>
          <cell r="S77" t="str">
            <v>더컴퍼니</v>
          </cell>
        </row>
        <row r="78">
          <cell r="A78" t="str">
            <v>녹야천학&amp;유지교자</v>
          </cell>
          <cell r="B78" t="str">
            <v>제외</v>
          </cell>
          <cell r="R78" t="str">
            <v>SISSI</v>
          </cell>
          <cell r="S78" t="str">
            <v>더컴퍼니</v>
          </cell>
        </row>
        <row r="79">
          <cell r="A79" t="str">
            <v>다물</v>
          </cell>
          <cell r="B79" t="str">
            <v>컨텐츠헤라</v>
          </cell>
          <cell r="R79" t="str">
            <v>SISSI</v>
          </cell>
          <cell r="S79" t="str">
            <v>더컴퍼니</v>
          </cell>
        </row>
        <row r="80">
          <cell r="A80" t="str">
            <v>단연필</v>
          </cell>
          <cell r="B80" t="str">
            <v>단연필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단팥크림빵7</v>
          </cell>
          <cell r="B82" t="str">
            <v>단팥크림빵7</v>
          </cell>
          <cell r="R82" t="str">
            <v>SISSI</v>
          </cell>
          <cell r="S82" t="str">
            <v>더컴퍼니</v>
          </cell>
        </row>
        <row r="83">
          <cell r="A83" t="str">
            <v>담화공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담화공.</v>
          </cell>
          <cell r="B84" t="str">
            <v>담화공</v>
          </cell>
          <cell r="R84" t="str">
            <v>SISSI</v>
          </cell>
          <cell r="S84" t="str">
            <v>더컴퍼니</v>
          </cell>
        </row>
        <row r="85">
          <cell r="A85" t="str">
            <v>닽팥크림빵7</v>
          </cell>
          <cell r="B85" t="str">
            <v>단팥크림빵7</v>
          </cell>
          <cell r="R85" t="str">
            <v>SISSI</v>
          </cell>
          <cell r="S85" t="str">
            <v>더컴퍼니</v>
          </cell>
        </row>
        <row r="86">
          <cell r="A86" t="str">
            <v>더컴퍼니</v>
          </cell>
          <cell r="B86" t="str">
            <v>더컴퍼니</v>
          </cell>
          <cell r="R86" t="str">
            <v>SISSI</v>
          </cell>
          <cell r="S86" t="str">
            <v>더컴퍼니</v>
          </cell>
        </row>
        <row r="87">
          <cell r="A87" t="str">
            <v>덕킹</v>
          </cell>
          <cell r="B87" t="str">
            <v>덕킹</v>
          </cell>
          <cell r="R87" t="str">
            <v>SISSI</v>
          </cell>
          <cell r="S87" t="str">
            <v>더컴퍼니</v>
          </cell>
        </row>
        <row r="88">
          <cell r="A88" t="str">
            <v>도얀</v>
          </cell>
          <cell r="B88" t="str">
            <v>도얀</v>
          </cell>
          <cell r="R88" t="str">
            <v>SISSI</v>
          </cell>
          <cell r="S88" t="str">
            <v>더컴퍼니</v>
          </cell>
        </row>
        <row r="89">
          <cell r="A89" t="str">
            <v>독고진</v>
          </cell>
          <cell r="B89" t="str">
            <v>독고진</v>
          </cell>
          <cell r="R89" t="str">
            <v>SISSI</v>
          </cell>
          <cell r="S89" t="str">
            <v>더컴퍼니</v>
          </cell>
        </row>
        <row r="90">
          <cell r="A90" t="str">
            <v>돈문어</v>
          </cell>
          <cell r="B90" t="str">
            <v>돈문어</v>
          </cell>
          <cell r="R90" t="str">
            <v>SISSI</v>
          </cell>
          <cell r="S90" t="str">
            <v>더컴퍼니</v>
          </cell>
        </row>
        <row r="91">
          <cell r="A91" t="str">
            <v>두경</v>
          </cell>
          <cell r="B91" t="str">
            <v>컨텐츠헤라</v>
          </cell>
          <cell r="R91" t="str">
            <v>SISSI</v>
          </cell>
          <cell r="S91" t="str">
            <v>더컴퍼니</v>
          </cell>
        </row>
        <row r="92">
          <cell r="A92" t="str">
            <v>두나래</v>
          </cell>
          <cell r="B92" t="str">
            <v>두나래</v>
          </cell>
          <cell r="R92" t="str">
            <v>SISSI</v>
          </cell>
          <cell r="S92" t="str">
            <v>더컴퍼니</v>
          </cell>
        </row>
        <row r="93">
          <cell r="A93" t="str">
            <v>두럭</v>
          </cell>
          <cell r="B93" t="str">
            <v>더컴퍼니</v>
          </cell>
          <cell r="R93" t="str">
            <v>SISSI</v>
          </cell>
          <cell r="S93" t="str">
            <v>더컴퍼니</v>
          </cell>
        </row>
        <row r="94">
          <cell r="A94" t="str">
            <v>디버스 대도서관</v>
          </cell>
          <cell r="B94" t="str">
            <v>디버스 대도서관</v>
          </cell>
          <cell r="R94" t="str">
            <v>SISSI</v>
          </cell>
          <cell r="S94" t="str">
            <v>더컴퍼니</v>
          </cell>
        </row>
        <row r="95">
          <cell r="A95" t="str">
            <v>라비니안느</v>
          </cell>
          <cell r="B95" t="str">
            <v>라비니안느</v>
          </cell>
          <cell r="R95" t="str">
            <v>SISSI</v>
          </cell>
          <cell r="S95" t="str">
            <v>더컴퍼니</v>
          </cell>
        </row>
        <row r="96">
          <cell r="A96" t="str">
            <v>란토파즈</v>
          </cell>
          <cell r="B96" t="str">
            <v>란토파즈</v>
          </cell>
          <cell r="R96" t="str">
            <v>SISSI</v>
          </cell>
          <cell r="S96" t="str">
            <v>더컴퍼니</v>
          </cell>
        </row>
        <row r="97">
          <cell r="A97" t="str">
            <v>랑새</v>
          </cell>
          <cell r="B97" t="str">
            <v>랑새</v>
          </cell>
          <cell r="R97" t="str">
            <v>sJessi</v>
          </cell>
          <cell r="S97" t="str">
            <v>더컴퍼니</v>
          </cell>
        </row>
        <row r="98">
          <cell r="A98" t="str">
            <v>레드트러블</v>
          </cell>
          <cell r="B98" t="str">
            <v>레드트러블</v>
          </cell>
          <cell r="R98" t="str">
            <v>sJessi</v>
          </cell>
          <cell r="S98" t="str">
            <v>더컴퍼니</v>
          </cell>
        </row>
        <row r="99">
          <cell r="A99" t="str">
            <v>레미세라</v>
          </cell>
          <cell r="B99" t="str">
            <v>리세마라</v>
          </cell>
          <cell r="R99" t="str">
            <v>sJessi</v>
          </cell>
          <cell r="S99" t="str">
            <v>더컴퍼니</v>
          </cell>
        </row>
        <row r="100">
          <cell r="A100" t="str">
            <v>루이세</v>
          </cell>
          <cell r="B100" t="str">
            <v>루이세</v>
          </cell>
          <cell r="R100" t="str">
            <v>sJessi</v>
          </cell>
          <cell r="S100" t="str">
            <v>더컴퍼니</v>
          </cell>
        </row>
        <row r="101">
          <cell r="A101" t="str">
            <v>리세마라</v>
          </cell>
          <cell r="B101" t="str">
            <v>리세마라</v>
          </cell>
          <cell r="R101" t="str">
            <v>sJessi</v>
          </cell>
          <cell r="S101" t="str">
            <v>더컴퍼니</v>
          </cell>
        </row>
        <row r="102">
          <cell r="A102" t="str">
            <v>마뇽</v>
          </cell>
          <cell r="B102" t="str">
            <v>마뇽</v>
          </cell>
          <cell r="R102" t="str">
            <v>sJessi</v>
          </cell>
          <cell r="S102" t="str">
            <v>더컴퍼니</v>
          </cell>
        </row>
        <row r="103">
          <cell r="A103" t="str">
            <v>마북명</v>
          </cell>
          <cell r="B103" t="str">
            <v>제외</v>
          </cell>
          <cell r="R103" t="str">
            <v>sJessi</v>
          </cell>
          <cell r="S103" t="str">
            <v>더컴퍼니</v>
          </cell>
        </row>
        <row r="104">
          <cell r="A104" t="str">
            <v>마용출</v>
          </cell>
          <cell r="B104" t="str">
            <v>마용출</v>
          </cell>
          <cell r="R104" t="str">
            <v>sJessi</v>
          </cell>
          <cell r="S104" t="str">
            <v>더컴퍼니</v>
          </cell>
        </row>
        <row r="105">
          <cell r="A105" t="str">
            <v>마지막 도전</v>
          </cell>
          <cell r="B105" t="str">
            <v>프레인</v>
          </cell>
          <cell r="R105" t="str">
            <v>sJessi</v>
          </cell>
          <cell r="S105" t="str">
            <v>더컴퍼니</v>
          </cell>
        </row>
        <row r="106">
          <cell r="A106" t="str">
            <v>만렙도끼</v>
          </cell>
          <cell r="B106" t="str">
            <v>만렙도끼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맑은물로</v>
          </cell>
          <cell r="B108" t="str">
            <v>맑은물로</v>
          </cell>
          <cell r="R108" t="str">
            <v>sJessi</v>
          </cell>
          <cell r="S108" t="str">
            <v>더컴퍼니</v>
          </cell>
        </row>
        <row r="109">
          <cell r="A109" t="str">
            <v>망나니개</v>
          </cell>
          <cell r="B109" t="str">
            <v>망나니개</v>
          </cell>
          <cell r="R109" t="str">
            <v>sJessi</v>
          </cell>
          <cell r="S109" t="str">
            <v>더컴퍼니</v>
          </cell>
        </row>
        <row r="110">
          <cell r="A110" t="str">
            <v>망북</v>
          </cell>
          <cell r="B110" t="str">
            <v>제외</v>
          </cell>
          <cell r="R110" t="str">
            <v>sJessi</v>
          </cell>
          <cell r="S110" t="str">
            <v>더컴퍼니</v>
          </cell>
        </row>
        <row r="111">
          <cell r="A111" t="str">
            <v>먼나무</v>
          </cell>
          <cell r="B111" t="str">
            <v>먼나무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</v>
          </cell>
          <cell r="B112" t="str">
            <v>모리미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모리미J</v>
          </cell>
          <cell r="B113" t="str">
            <v>모리미J</v>
          </cell>
          <cell r="R113" t="str">
            <v>강산</v>
          </cell>
          <cell r="S113" t="str">
            <v>에필로그</v>
          </cell>
        </row>
        <row r="114">
          <cell r="A114" t="str">
            <v>모험왕선우</v>
          </cell>
          <cell r="B114" t="str">
            <v>모험왕선우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목화커피</v>
          </cell>
          <cell r="B116" t="str">
            <v>목화커피</v>
          </cell>
          <cell r="R116" t="str">
            <v>강산</v>
          </cell>
          <cell r="S116" t="str">
            <v>에필로그</v>
          </cell>
        </row>
        <row r="117">
          <cell r="A117" t="str">
            <v>몸서리</v>
          </cell>
          <cell r="B117" t="str">
            <v>몸서리</v>
          </cell>
          <cell r="R117" t="str">
            <v>강산</v>
          </cell>
          <cell r="S117" t="str">
            <v>에필로그</v>
          </cell>
        </row>
        <row r="118">
          <cell r="A118" t="str">
            <v>무성매직</v>
          </cell>
          <cell r="B118" t="str">
            <v>무성매직</v>
          </cell>
          <cell r="R118" t="str">
            <v>강산</v>
          </cell>
          <cell r="S118" t="str">
            <v>에필로그</v>
          </cell>
        </row>
        <row r="119">
          <cell r="A119" t="str">
            <v>무장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무장 (2)</v>
          </cell>
          <cell r="B120" t="str">
            <v>무장</v>
          </cell>
          <cell r="R120" t="str">
            <v>강산</v>
          </cell>
          <cell r="S120" t="str">
            <v>에필로그</v>
          </cell>
        </row>
        <row r="121">
          <cell r="A121" t="str">
            <v>문스톤</v>
          </cell>
          <cell r="B121" t="str">
            <v>문스톤</v>
          </cell>
          <cell r="R121" t="str">
            <v>강산</v>
          </cell>
          <cell r="S121" t="str">
            <v>에필로그</v>
          </cell>
        </row>
        <row r="122">
          <cell r="A122" t="str">
            <v>미나세 치호</v>
          </cell>
          <cell r="B122" t="str">
            <v>제외</v>
          </cell>
          <cell r="R122" t="str">
            <v>강산</v>
          </cell>
          <cell r="S122" t="str">
            <v>에필로그</v>
          </cell>
        </row>
        <row r="123">
          <cell r="A123" t="str">
            <v>밀리오리지널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 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밀리의서재</v>
          </cell>
          <cell r="B125" t="str">
            <v>밀리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밈스</v>
          </cell>
          <cell r="B126" t="str">
            <v>밈스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바나바다</v>
          </cell>
          <cell r="B127" t="str">
            <v>바나바다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박도아</v>
          </cell>
          <cell r="B129" t="str">
            <v>박도아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발상</v>
          </cell>
          <cell r="B130" t="str">
            <v>발상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방울마마</v>
          </cell>
          <cell r="B131" t="str">
            <v>방울마마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배운만덕</v>
          </cell>
          <cell r="B132" t="str">
            <v>배운만덕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백열음</v>
          </cell>
          <cell r="B133" t="str">
            <v>백열음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백일하</v>
          </cell>
          <cell r="B134" t="str">
            <v>백일하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벗우</v>
          </cell>
          <cell r="B135" t="str">
            <v>벗우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봄별해</v>
          </cell>
          <cell r="B136" t="str">
            <v>봄별해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부엉이콩</v>
          </cell>
          <cell r="B137" t="str">
            <v>부엉이콩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불고기자리</v>
          </cell>
          <cell r="B138" t="str">
            <v>불고기자리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붕어빵</v>
          </cell>
          <cell r="B139" t="str">
            <v>붕어빵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 루 스 카 이</v>
          </cell>
          <cell r="B140" t="str">
            <v>블 루 스 카 이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블라이스</v>
          </cell>
          <cell r="B141" t="str">
            <v>블라이스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블랙커피</v>
          </cell>
          <cell r="B142" t="str">
            <v>블랙커피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블루스카이</v>
          </cell>
          <cell r="B143" t="str">
            <v>블 루 스 카 이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비고</v>
          </cell>
          <cell r="B144" t="str">
            <v>비고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빡선생</v>
          </cell>
          <cell r="B145" t="str">
            <v>빡선생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빨강뽀뽀</v>
          </cell>
          <cell r="B146" t="str">
            <v>빨강뽀뽀</v>
          </cell>
          <cell r="R146" t="str">
            <v>강산(江山)</v>
          </cell>
          <cell r="S146" t="str">
            <v>에필로그</v>
          </cell>
        </row>
        <row r="147">
          <cell r="A147" t="str">
            <v>빵양이</v>
          </cell>
          <cell r="B147" t="str">
            <v>빵양이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사지현</v>
          </cell>
          <cell r="B148" t="str">
            <v>사지현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사틴</v>
          </cell>
          <cell r="B149" t="str">
            <v>더컴퍼니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새우깡조아</v>
          </cell>
          <cell r="B150" t="str">
            <v>새우깡조아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서강후</v>
          </cell>
          <cell r="B151" t="str">
            <v>서강후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서도연</v>
          </cell>
          <cell r="B152" t="str">
            <v>서도연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 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설화객잔-무장</v>
          </cell>
          <cell r="B154" t="str">
            <v>무장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세상1</v>
          </cell>
          <cell r="B156" t="str">
            <v>세상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세어</v>
          </cell>
          <cell r="B157" t="str">
            <v>세어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세움</v>
          </cell>
          <cell r="B158" t="str">
            <v>세움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세히</v>
          </cell>
          <cell r="B159" t="str">
            <v>세히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셔틀</v>
          </cell>
          <cell r="B160" t="str">
            <v>셔틀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손영목</v>
          </cell>
          <cell r="B161" t="str">
            <v>손영목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솜목화</v>
          </cell>
          <cell r="B162" t="str">
            <v>솜목화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쇠렌센</v>
          </cell>
          <cell r="B163" t="str">
            <v>쇠렌센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수레국화꽃말</v>
          </cell>
          <cell r="B164" t="str">
            <v>수레국화꽃말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수정과</v>
          </cell>
          <cell r="B165" t="str">
            <v>컨텐츠헤라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쉬즈노블</v>
          </cell>
          <cell r="B166" t="str">
            <v>더컴퍼니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스내치</v>
          </cell>
          <cell r="B167" t="str">
            <v>스내치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스토리숲</v>
          </cell>
          <cell r="B168" t="str">
            <v>스토리숲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스토리아크</v>
          </cell>
          <cell r="B169" t="str">
            <v>스토리아크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스토리위드</v>
          </cell>
          <cell r="B170" t="str">
            <v>스토리위드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스토리위즈</v>
          </cell>
          <cell r="B171" t="str">
            <v>스토리위즈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시계태엽오란씨</v>
          </cell>
          <cell r="B172" t="str">
            <v>시계태엽오란씨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시무(蒔舞)</v>
          </cell>
          <cell r="B174" t="str">
            <v>제외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쏘삭쏘삭</v>
          </cell>
          <cell r="B175" t="str">
            <v>쏘삭쏘삭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아라시야마</v>
          </cell>
          <cell r="B176" t="str">
            <v>제외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아슈크림</v>
          </cell>
          <cell r="B177" t="str">
            <v>아슈크림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아이리스</v>
          </cell>
          <cell r="B178" t="str">
            <v>아이리스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아크스튜디오</v>
          </cell>
          <cell r="B179" t="str">
            <v>스토리아크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아타락시아</v>
          </cell>
          <cell r="B180" t="str">
            <v>아타락시아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알랙스</v>
          </cell>
          <cell r="B181" t="str">
            <v>알랙스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양이율</v>
          </cell>
          <cell r="B182" t="str">
            <v>양이율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에피</v>
          </cell>
          <cell r="B183" t="str">
            <v>에피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에필로그</v>
          </cell>
          <cell r="B184" t="str">
            <v>에필로그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엘리신</v>
          </cell>
          <cell r="B185" t="str">
            <v>엘리신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예로나</v>
          </cell>
          <cell r="B186" t="str">
            <v>예로나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온서1</v>
          </cell>
          <cell r="B188" t="str">
            <v>온서</v>
          </cell>
          <cell r="R188" t="str">
            <v>강산(江山)</v>
          </cell>
          <cell r="S188" t="str">
            <v>에필로그</v>
          </cell>
        </row>
        <row r="189">
          <cell r="A189" t="str">
            <v>왕십리글쟁이</v>
          </cell>
          <cell r="B189" t="str">
            <v>왕십리글쟁이</v>
          </cell>
          <cell r="R189" t="str">
            <v>강산(江山)</v>
          </cell>
          <cell r="S189" t="str">
            <v>에필로그</v>
          </cell>
        </row>
        <row r="190">
          <cell r="A190" t="str">
            <v>羽宸寰(Uchenhu),林珮瑜(Lin Peiyu)</v>
          </cell>
          <cell r="B190" t="str">
            <v>제외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울트라미디어</v>
          </cell>
          <cell r="B191" t="str">
            <v>울트라미디어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원기공장</v>
          </cell>
          <cell r="B192" t="str">
            <v>제외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윈델</v>
          </cell>
          <cell r="B193" t="str">
            <v>윈델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유하영</v>
          </cell>
          <cell r="B194" t="str">
            <v>유하영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윤비밀</v>
          </cell>
          <cell r="B195" t="str">
            <v>윤비밀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은목서</v>
          </cell>
          <cell r="B196" t="str">
            <v>꽃잠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은지유</v>
          </cell>
          <cell r="B197" t="str">
            <v>은지유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이다겸</v>
          </cell>
          <cell r="B198" t="str">
            <v>더컴퍼니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이동열</v>
          </cell>
          <cell r="B199" t="str">
            <v>이동열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이로세</v>
          </cell>
          <cell r="B200" t="str">
            <v>이로세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이리안</v>
          </cell>
          <cell r="B201" t="str">
            <v>이리안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이린비</v>
          </cell>
          <cell r="B202" t="str">
            <v>이린비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이삼세&amp;자견</v>
          </cell>
          <cell r="B203" t="str">
            <v>제외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이상윤</v>
          </cell>
          <cell r="B204" t="str">
            <v>이상윤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이준영</v>
          </cell>
          <cell r="B205" t="str">
            <v>이준영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이한애비</v>
          </cell>
          <cell r="B206" t="str">
            <v>이한애비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일본IB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임영기</v>
          </cell>
          <cell r="B208" t="str">
            <v>제외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자이오</v>
          </cell>
          <cell r="B209" t="str">
            <v>스토리아크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장유진</v>
          </cell>
          <cell r="B210" t="str">
            <v>청빙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전여린</v>
          </cell>
          <cell r="B211" t="str">
            <v>전여린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전혁1</v>
          </cell>
          <cell r="B213" t="str">
            <v>전혁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주이서</v>
          </cell>
          <cell r="B214" t="str">
            <v>주이서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중국IB</v>
          </cell>
          <cell r="B215" t="str">
            <v>제외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지미신</v>
          </cell>
          <cell r="B216" t="str">
            <v>지미신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지아진</v>
          </cell>
          <cell r="B217" t="str">
            <v>지아진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진문</v>
          </cell>
          <cell r="B218" t="str">
            <v>진문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진새벽</v>
          </cell>
          <cell r="B219" t="str">
            <v>진새벽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진숙</v>
          </cell>
          <cell r="B220" t="str">
            <v>진숙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진엔터</v>
          </cell>
          <cell r="B221" t="str">
            <v>진엔터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징구빙구</v>
          </cell>
          <cell r="B222" t="str">
            <v>징구빙구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차홍주</v>
          </cell>
          <cell r="B223" t="str">
            <v>차홍주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찬동</v>
          </cell>
          <cell r="B224" t="str">
            <v>찬동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채주아</v>
          </cell>
          <cell r="B225" t="str">
            <v>채주아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청빙</v>
          </cell>
          <cell r="B226" t="str">
            <v>청빙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 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최도비,수정과</v>
          </cell>
          <cell r="B229" t="str">
            <v>컨텐츠헤라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최영진(청빙)</v>
          </cell>
          <cell r="B230" t="str">
            <v>청빙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칸테츠,미나세 치호</v>
          </cell>
          <cell r="B231" t="str">
            <v>제외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캐로티</v>
          </cell>
          <cell r="B232" t="str">
            <v>캐로티</v>
          </cell>
          <cell r="R232" t="str">
            <v>강산(江山)</v>
          </cell>
          <cell r="S232" t="str">
            <v>에필로그</v>
          </cell>
        </row>
        <row r="233">
          <cell r="A233" t="str">
            <v>컨헤라</v>
          </cell>
          <cell r="B233" t="str">
            <v>컨텐츠헤라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키시모토 카즈하,아라시야마,시마하라</v>
          </cell>
          <cell r="B234" t="str">
            <v>제외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탁윤</v>
          </cell>
          <cell r="B235" t="str">
            <v>탁윤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태랑</v>
          </cell>
          <cell r="B236" t="str">
            <v>태랑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태룡(泰龍)</v>
          </cell>
          <cell r="B237" t="str">
            <v>더컴퍼니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테레자</v>
          </cell>
          <cell r="B238" t="str">
            <v>테레자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투니드엔터테인먼트</v>
          </cell>
          <cell r="B239" t="str">
            <v>투니드엔터테인먼트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틴타</v>
          </cell>
          <cell r="B240" t="str">
            <v>틴타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파란영</v>
          </cell>
          <cell r="B241" t="str">
            <v>파란영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파란코끼리</v>
          </cell>
          <cell r="B244" t="str">
            <v>파란코끼리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</v>
          </cell>
          <cell r="B245" t="str">
            <v>파인트리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파인트리 &amp; 페일핑크 &amp; 랑새 &amp; 지미신 &amp; 채주아</v>
          </cell>
          <cell r="B246" t="str">
            <v>파인트리 &amp; 페일핑크 &amp; 랑새 &amp; 지미신 &amp; 채주아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판무림3(로드오브머니)</v>
          </cell>
          <cell r="B247" t="str">
            <v>무장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퍼리딩딩</v>
          </cell>
          <cell r="B248" t="str">
            <v>퍼리딩딩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퍼플캐롯</v>
          </cell>
          <cell r="B249" t="str">
            <v>퍼플캐롯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펌킨몬</v>
          </cell>
          <cell r="B250" t="str">
            <v>펌킨몬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페일핑크</v>
          </cell>
          <cell r="B251" t="str">
            <v>페일핑크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폴딩</v>
          </cell>
          <cell r="B252" t="str">
            <v>폴딩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프레인</v>
          </cell>
          <cell r="B253" t="str">
            <v>프레인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피모</v>
          </cell>
          <cell r="B254" t="str">
            <v>더컴퍼니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하이후</v>
          </cell>
          <cell r="B255" t="str">
            <v>하이후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한례</v>
          </cell>
          <cell r="B256" t="str">
            <v>한례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한보연</v>
          </cell>
          <cell r="B257" t="str">
            <v>한보연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한서나</v>
          </cell>
          <cell r="B258" t="str">
            <v>한서나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한서아</v>
          </cell>
          <cell r="B259" t="str">
            <v>한서아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해달화영</v>
          </cell>
          <cell r="B260" t="str">
            <v>해달화영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해은빛</v>
          </cell>
          <cell r="B261" t="str">
            <v>해은빛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허니레몬</v>
          </cell>
          <cell r="B262" t="str">
            <v>아이리스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헬로미니</v>
          </cell>
          <cell r="B263" t="str">
            <v>헬로미니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혜원</v>
          </cell>
          <cell r="B264" t="str">
            <v>컨텐츠헤라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홍연유</v>
          </cell>
          <cell r="B265" t="str">
            <v>홍연유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화방,망북</v>
          </cell>
          <cell r="B266" t="str">
            <v>제외</v>
          </cell>
          <cell r="R266" t="str">
            <v>강산(江山)</v>
          </cell>
          <cell r="S266" t="str">
            <v>에필로그</v>
          </cell>
        </row>
        <row r="267">
          <cell r="A267" t="str">
            <v>히즈노블</v>
          </cell>
          <cell r="B267" t="str">
            <v>더컴퍼니</v>
          </cell>
          <cell r="R267" t="str">
            <v>강산(江山)</v>
          </cell>
          <cell r="S267" t="str">
            <v>에필로그</v>
          </cell>
        </row>
        <row r="268">
          <cell r="A268" t="str">
            <v>웹티, 올코</v>
          </cell>
          <cell r="B268" t="str">
            <v>올콘텐츠앤브이알</v>
          </cell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  <row r="1173">
          <cell r="R1173" t="str">
            <v>이새인</v>
          </cell>
          <cell r="S1173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72"/>
  <sheetViews>
    <sheetView tabSelected="1" workbookViewId="0">
      <pane ySplit="1" topLeftCell="A2" activePane="bottomLeft" state="frozen"/>
      <selection pane="bottomLeft"/>
    </sheetView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4.69921875" style="1" customWidth="1"/>
    <col min="4" max="4" width="8.69921875" style="1"/>
    <col min="5" max="5" width="9.19921875" style="1" bestFit="1" customWidth="1"/>
    <col min="6" max="6" width="9.3984375" style="1" bestFit="1" customWidth="1"/>
    <col min="7" max="7" width="23.69921875" style="1" customWidth="1"/>
    <col min="8" max="8" width="11.09765625" style="1" customWidth="1"/>
    <col min="9" max="9" width="9.3984375" style="1" bestFit="1" customWidth="1"/>
    <col min="10" max="10" width="10.69921875" style="1" bestFit="1" customWidth="1"/>
    <col min="11" max="11" width="8.69921875" style="1"/>
    <col min="12" max="12" width="9.19921875" style="1" bestFit="1" customWidth="1"/>
    <col min="13" max="14" width="8.69921875" style="1"/>
    <col min="15" max="15" width="10.5" style="1" bestFit="1" customWidth="1"/>
    <col min="16" max="16384" width="8.69921875" style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25946</v>
      </c>
      <c r="D2" s="1" t="s">
        <v>15</v>
      </c>
      <c r="E2" s="1" t="s">
        <v>0</v>
      </c>
      <c r="F2" s="1" t="s">
        <v>111</v>
      </c>
      <c r="G2" s="1" t="s">
        <v>48</v>
      </c>
      <c r="H2" s="1" t="s">
        <v>14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  <c r="P2" s="6" t="str">
        <f>IF(ISERROR(VLOOKUP(F2,[1]작가별정산률!$R:$S,2,0)),"스토리위즈",VLOOKUP(F2,[1]작가별정산률!$R:$S,2,0))</f>
        <v>스토리위즈</v>
      </c>
      <c r="Q2" s="6" t="str">
        <f>IF(P2="스토리위즈",VLOOKUP(F2,[1]작가별정산률!$A:$B,2,0),P2)</f>
        <v>무장</v>
      </c>
    </row>
    <row r="3" spans="1:17" x14ac:dyDescent="0.4">
      <c r="A3" s="1" t="s">
        <v>47</v>
      </c>
      <c r="B3" s="1" t="s">
        <v>14</v>
      </c>
      <c r="C3" s="1">
        <v>151282</v>
      </c>
      <c r="D3" s="1" t="s">
        <v>15</v>
      </c>
      <c r="E3" s="1" t="s">
        <v>0</v>
      </c>
      <c r="F3" s="1" t="s">
        <v>124</v>
      </c>
      <c r="G3" s="1" t="s">
        <v>49</v>
      </c>
      <c r="H3" s="1" t="s">
        <v>14</v>
      </c>
      <c r="I3" s="1">
        <v>70</v>
      </c>
      <c r="J3" s="1">
        <v>0</v>
      </c>
      <c r="K3" s="1">
        <v>4</v>
      </c>
      <c r="L3" s="1">
        <v>400</v>
      </c>
      <c r="M3" s="1">
        <v>0</v>
      </c>
      <c r="N3" s="1">
        <v>0</v>
      </c>
      <c r="O3" s="1">
        <v>280</v>
      </c>
      <c r="P3" s="6" t="str">
        <f>IF(ISERROR(VLOOKUP(F3,[1]작가별정산률!$R:$S,2,0)),"스토리위즈",VLOOKUP(F3,[1]작가별정산률!$R:$S,2,0))</f>
        <v>스토리위즈</v>
      </c>
      <c r="Q3" s="6" t="str">
        <f>IF(P3="스토리위즈",VLOOKUP(F3,[1]작가별정산률!$A:$B,2,0),P3)</f>
        <v>독고진</v>
      </c>
    </row>
    <row r="4" spans="1:17" x14ac:dyDescent="0.4">
      <c r="A4" s="1" t="s">
        <v>47</v>
      </c>
      <c r="B4" s="1" t="s">
        <v>14</v>
      </c>
      <c r="C4" s="1">
        <v>152151</v>
      </c>
      <c r="D4" s="1" t="s">
        <v>15</v>
      </c>
      <c r="E4" s="1" t="s">
        <v>17</v>
      </c>
      <c r="F4" s="1" t="s">
        <v>125</v>
      </c>
      <c r="G4" s="1" t="s">
        <v>50</v>
      </c>
      <c r="H4" s="1" t="s">
        <v>14</v>
      </c>
      <c r="I4" s="1">
        <v>70</v>
      </c>
      <c r="J4" s="1">
        <v>0</v>
      </c>
      <c r="K4" s="1">
        <v>2</v>
      </c>
      <c r="L4" s="1">
        <v>200</v>
      </c>
      <c r="M4" s="1">
        <v>0</v>
      </c>
      <c r="N4" s="1">
        <v>0</v>
      </c>
      <c r="O4" s="1">
        <v>140</v>
      </c>
      <c r="P4" s="6" t="str">
        <f>IF(ISERROR(VLOOKUP(F4,[1]작가별정산률!$R:$S,2,0)),"스토리위즈",VLOOKUP(F4,[1]작가별정산률!$R:$S,2,0))</f>
        <v>스토리위즈</v>
      </c>
      <c r="Q4" s="6" t="str">
        <f>IF(P4="스토리위즈",VLOOKUP(F4,[1]작가별정산률!$A:$B,2,0),P4)</f>
        <v>이린비</v>
      </c>
    </row>
    <row r="5" spans="1:17" x14ac:dyDescent="0.4">
      <c r="A5" s="1" t="s">
        <v>47</v>
      </c>
      <c r="B5" s="1" t="s">
        <v>14</v>
      </c>
      <c r="C5" s="1">
        <v>155364</v>
      </c>
      <c r="D5" s="1" t="s">
        <v>15</v>
      </c>
      <c r="E5" s="1" t="s">
        <v>28</v>
      </c>
      <c r="F5" s="1" t="s">
        <v>109</v>
      </c>
      <c r="G5" s="1" t="s">
        <v>30</v>
      </c>
      <c r="H5" s="1" t="s">
        <v>40</v>
      </c>
      <c r="I5" s="1">
        <v>70</v>
      </c>
      <c r="J5" s="1">
        <v>0</v>
      </c>
      <c r="K5" s="1">
        <v>1</v>
      </c>
      <c r="L5" s="1">
        <v>100</v>
      </c>
      <c r="M5" s="1">
        <v>0</v>
      </c>
      <c r="N5" s="1">
        <v>0</v>
      </c>
      <c r="O5" s="1">
        <v>70</v>
      </c>
      <c r="P5" s="6" t="str">
        <f>IF(ISERROR(VLOOKUP(F5,[1]작가별정산률!$R:$S,2,0)),"스토리위즈",VLOOKUP(F5,[1]작가별정산률!$R:$S,2,0))</f>
        <v>에필로그</v>
      </c>
      <c r="Q5" s="6" t="str">
        <f>IF(P5="스토리위즈",VLOOKUP(F5,[1]작가별정산률!$A:$B,2,0),P5)</f>
        <v>에필로그</v>
      </c>
    </row>
    <row r="6" spans="1:17" x14ac:dyDescent="0.4">
      <c r="A6" s="1" t="s">
        <v>47</v>
      </c>
      <c r="B6" s="1" t="s">
        <v>14</v>
      </c>
      <c r="C6" s="1">
        <v>155366</v>
      </c>
      <c r="D6" s="1" t="s">
        <v>15</v>
      </c>
      <c r="E6" s="1" t="s">
        <v>28</v>
      </c>
      <c r="F6" s="1" t="s">
        <v>109</v>
      </c>
      <c r="G6" s="1" t="s">
        <v>51</v>
      </c>
      <c r="H6" s="1" t="s">
        <v>40</v>
      </c>
      <c r="I6" s="1">
        <v>70</v>
      </c>
      <c r="J6" s="1">
        <v>0</v>
      </c>
      <c r="K6" s="1">
        <v>21</v>
      </c>
      <c r="L6" s="1">
        <v>2100</v>
      </c>
      <c r="M6" s="1">
        <v>0</v>
      </c>
      <c r="N6" s="1">
        <v>0</v>
      </c>
      <c r="O6" s="1">
        <v>1470</v>
      </c>
      <c r="P6" s="6" t="str">
        <f>IF(ISERROR(VLOOKUP(F6,[1]작가별정산률!$R:$S,2,0)),"스토리위즈",VLOOKUP(F6,[1]작가별정산률!$R:$S,2,0))</f>
        <v>에필로그</v>
      </c>
      <c r="Q6" s="6" t="str">
        <f>IF(P6="스토리위즈",VLOOKUP(F6,[1]작가별정산률!$A:$B,2,0),P6)</f>
        <v>에필로그</v>
      </c>
    </row>
    <row r="7" spans="1:17" x14ac:dyDescent="0.4">
      <c r="A7" s="1" t="s">
        <v>47</v>
      </c>
      <c r="B7" s="1" t="s">
        <v>14</v>
      </c>
      <c r="C7" s="1">
        <v>155393</v>
      </c>
      <c r="D7" s="1" t="s">
        <v>15</v>
      </c>
      <c r="E7" s="1" t="s">
        <v>17</v>
      </c>
      <c r="F7" s="1" t="s">
        <v>126</v>
      </c>
      <c r="G7" s="1" t="s">
        <v>52</v>
      </c>
      <c r="H7" s="1" t="s">
        <v>14</v>
      </c>
      <c r="I7" s="1">
        <v>70</v>
      </c>
      <c r="J7" s="1">
        <v>0</v>
      </c>
      <c r="K7" s="1">
        <v>2</v>
      </c>
      <c r="L7" s="1">
        <v>200</v>
      </c>
      <c r="M7" s="1">
        <v>0</v>
      </c>
      <c r="N7" s="1">
        <v>0</v>
      </c>
      <c r="O7" s="1">
        <v>140</v>
      </c>
      <c r="P7" s="6" t="str">
        <f>IF(ISERROR(VLOOKUP(F7,[1]작가별정산률!$R:$S,2,0)),"스토리위즈",VLOOKUP(F7,[1]작가별정산률!$R:$S,2,0))</f>
        <v>스토리위즈</v>
      </c>
      <c r="Q7" s="6" t="str">
        <f>IF(P7="스토리위즈",VLOOKUP(F7,[1]작가별정산률!$A:$B,2,0),P7)</f>
        <v>부엉이콩</v>
      </c>
    </row>
    <row r="8" spans="1:17" x14ac:dyDescent="0.4">
      <c r="A8" s="1" t="s">
        <v>47</v>
      </c>
      <c r="B8" s="1" t="s">
        <v>14</v>
      </c>
      <c r="C8" s="1">
        <v>155803</v>
      </c>
      <c r="D8" s="1" t="s">
        <v>15</v>
      </c>
      <c r="E8" s="1" t="s">
        <v>16</v>
      </c>
      <c r="F8" s="1" t="s">
        <v>111</v>
      </c>
      <c r="G8" s="1" t="s">
        <v>36</v>
      </c>
      <c r="H8" s="1" t="s">
        <v>14</v>
      </c>
      <c r="I8" s="1">
        <v>70</v>
      </c>
      <c r="J8" s="1">
        <v>0</v>
      </c>
      <c r="K8" s="1">
        <v>30</v>
      </c>
      <c r="L8" s="1">
        <v>3000</v>
      </c>
      <c r="M8" s="1">
        <v>0</v>
      </c>
      <c r="N8" s="1">
        <v>0</v>
      </c>
      <c r="O8" s="1">
        <v>2100</v>
      </c>
      <c r="P8" s="6" t="str">
        <f>IF(ISERROR(VLOOKUP(F8,[1]작가별정산률!$R:$S,2,0)),"스토리위즈",VLOOKUP(F8,[1]작가별정산률!$R:$S,2,0))</f>
        <v>스토리위즈</v>
      </c>
      <c r="Q8" s="6" t="str">
        <f>IF(P8="스토리위즈",VLOOKUP(F8,[1]작가별정산률!$A:$B,2,0),P8)</f>
        <v>무장</v>
      </c>
    </row>
    <row r="9" spans="1:17" x14ac:dyDescent="0.4">
      <c r="A9" s="1" t="s">
        <v>47</v>
      </c>
      <c r="B9" s="1" t="s">
        <v>14</v>
      </c>
      <c r="C9" s="1">
        <v>156318</v>
      </c>
      <c r="D9" s="1" t="s">
        <v>15</v>
      </c>
      <c r="E9" s="1" t="s">
        <v>0</v>
      </c>
      <c r="F9" s="1" t="s">
        <v>127</v>
      </c>
      <c r="G9" s="1" t="s">
        <v>53</v>
      </c>
      <c r="H9" s="1" t="s">
        <v>40</v>
      </c>
      <c r="I9" s="1">
        <v>70</v>
      </c>
      <c r="J9" s="1">
        <v>0</v>
      </c>
      <c r="K9" s="1">
        <v>3</v>
      </c>
      <c r="L9" s="1">
        <v>300</v>
      </c>
      <c r="M9" s="1">
        <v>0</v>
      </c>
      <c r="N9" s="1">
        <v>0</v>
      </c>
      <c r="O9" s="1">
        <v>210</v>
      </c>
      <c r="P9" s="6" t="str">
        <f>IF(ISERROR(VLOOKUP(F9,[1]작가별정산률!$R:$S,2,0)),"스토리위즈",VLOOKUP(F9,[1]작가별정산률!$R:$S,2,0))</f>
        <v>에필로그</v>
      </c>
      <c r="Q9" s="6" t="str">
        <f>IF(P9="스토리위즈",VLOOKUP(F9,[1]작가별정산률!$A:$B,2,0),P9)</f>
        <v>에필로그</v>
      </c>
    </row>
    <row r="10" spans="1:17" x14ac:dyDescent="0.4">
      <c r="A10" s="1" t="s">
        <v>47</v>
      </c>
      <c r="B10" s="1" t="s">
        <v>14</v>
      </c>
      <c r="C10" s="1">
        <v>156319</v>
      </c>
      <c r="D10" s="1" t="s">
        <v>15</v>
      </c>
      <c r="E10" s="1" t="s">
        <v>0</v>
      </c>
      <c r="F10" s="1" t="s">
        <v>127</v>
      </c>
      <c r="G10" s="1" t="s">
        <v>54</v>
      </c>
      <c r="H10" s="1" t="s">
        <v>40</v>
      </c>
      <c r="I10" s="1">
        <v>70</v>
      </c>
      <c r="J10" s="1">
        <v>0</v>
      </c>
      <c r="K10" s="1">
        <v>3</v>
      </c>
      <c r="L10" s="1">
        <v>300</v>
      </c>
      <c r="M10" s="1">
        <v>0</v>
      </c>
      <c r="N10" s="1">
        <v>0</v>
      </c>
      <c r="O10" s="1">
        <v>210</v>
      </c>
      <c r="P10" s="6" t="str">
        <f>IF(ISERROR(VLOOKUP(F10,[1]작가별정산률!$R:$S,2,0)),"스토리위즈",VLOOKUP(F10,[1]작가별정산률!$R:$S,2,0))</f>
        <v>에필로그</v>
      </c>
      <c r="Q10" s="6" t="str">
        <f>IF(P10="스토리위즈",VLOOKUP(F10,[1]작가별정산률!$A:$B,2,0),P10)</f>
        <v>에필로그</v>
      </c>
    </row>
    <row r="11" spans="1:17" x14ac:dyDescent="0.4">
      <c r="A11" s="1" t="s">
        <v>47</v>
      </c>
      <c r="B11" s="1" t="s">
        <v>14</v>
      </c>
      <c r="C11" s="1">
        <v>156350</v>
      </c>
      <c r="D11" s="1" t="s">
        <v>15</v>
      </c>
      <c r="E11" s="1" t="s">
        <v>0</v>
      </c>
      <c r="F11" s="1" t="s">
        <v>128</v>
      </c>
      <c r="G11" s="1" t="s">
        <v>55</v>
      </c>
      <c r="H11" s="1" t="s">
        <v>14</v>
      </c>
      <c r="I11" s="1">
        <v>70</v>
      </c>
      <c r="J11" s="1">
        <v>0</v>
      </c>
      <c r="K11" s="1">
        <v>3</v>
      </c>
      <c r="L11" s="1">
        <v>300</v>
      </c>
      <c r="M11" s="1">
        <v>0</v>
      </c>
      <c r="N11" s="1">
        <v>0</v>
      </c>
      <c r="O11" s="1">
        <v>210</v>
      </c>
      <c r="P11" s="6" t="str">
        <f>IF(ISERROR(VLOOKUP(F11,[1]작가별정산률!$R:$S,2,0)),"스토리위즈",VLOOKUP(F11,[1]작가별정산률!$R:$S,2,0))</f>
        <v>스토리위즈</v>
      </c>
      <c r="Q11" s="6" t="str">
        <f>IF(P11="스토리위즈",VLOOKUP(F11,[1]작가별정산률!$A:$B,2,0),P11)</f>
        <v>글면증</v>
      </c>
    </row>
    <row r="12" spans="1:17" x14ac:dyDescent="0.4">
      <c r="A12" s="1" t="s">
        <v>47</v>
      </c>
      <c r="B12" s="1" t="s">
        <v>14</v>
      </c>
      <c r="C12" s="1">
        <v>156531</v>
      </c>
      <c r="D12" s="1" t="s">
        <v>15</v>
      </c>
      <c r="E12" s="1" t="s">
        <v>17</v>
      </c>
      <c r="F12" s="1" t="s">
        <v>129</v>
      </c>
      <c r="G12" s="1" t="s">
        <v>56</v>
      </c>
      <c r="H12" s="1" t="s">
        <v>14</v>
      </c>
      <c r="I12" s="1">
        <v>70</v>
      </c>
      <c r="J12" s="1">
        <v>0</v>
      </c>
      <c r="K12" s="1">
        <v>125</v>
      </c>
      <c r="L12" s="1">
        <v>12500</v>
      </c>
      <c r="M12" s="1">
        <v>0</v>
      </c>
      <c r="N12" s="1">
        <v>0</v>
      </c>
      <c r="O12" s="1">
        <v>8750</v>
      </c>
      <c r="P12" s="6" t="str">
        <f>IF(ISERROR(VLOOKUP(F12,[1]작가별정산률!$R:$S,2,0)),"스토리위즈",VLOOKUP(F12,[1]작가별정산률!$R:$S,2,0))</f>
        <v>스토리위즈</v>
      </c>
      <c r="Q12" s="6" t="str">
        <f>IF(P12="스토리위즈",VLOOKUP(F12,[1]작가별정산률!$A:$B,2,0),P12)</f>
        <v>윈델</v>
      </c>
    </row>
    <row r="13" spans="1:17" x14ac:dyDescent="0.4">
      <c r="A13" s="1" t="s">
        <v>57</v>
      </c>
      <c r="B13" s="1" t="s">
        <v>14</v>
      </c>
      <c r="C13" s="1">
        <v>151282</v>
      </c>
      <c r="D13" s="1" t="s">
        <v>15</v>
      </c>
      <c r="E13" s="1" t="s">
        <v>0</v>
      </c>
      <c r="F13" s="1" t="s">
        <v>124</v>
      </c>
      <c r="G13" s="1" t="s">
        <v>49</v>
      </c>
      <c r="H13" s="1" t="s">
        <v>14</v>
      </c>
      <c r="I13" s="1">
        <v>70</v>
      </c>
      <c r="J13" s="1">
        <v>0</v>
      </c>
      <c r="K13" s="1">
        <v>14</v>
      </c>
      <c r="L13" s="1">
        <v>1400</v>
      </c>
      <c r="M13" s="1">
        <v>0</v>
      </c>
      <c r="N13" s="1">
        <v>0</v>
      </c>
      <c r="O13" s="1">
        <v>980</v>
      </c>
      <c r="P13" s="6" t="str">
        <f>IF(ISERROR(VLOOKUP(F13,[1]작가별정산률!$R:$S,2,0)),"스토리위즈",VLOOKUP(F13,[1]작가별정산률!$R:$S,2,0))</f>
        <v>스토리위즈</v>
      </c>
      <c r="Q13" s="6" t="str">
        <f>IF(P13="스토리위즈",VLOOKUP(F13,[1]작가별정산률!$A:$B,2,0),P13)</f>
        <v>독고진</v>
      </c>
    </row>
    <row r="14" spans="1:17" x14ac:dyDescent="0.4">
      <c r="A14" s="1" t="s">
        <v>57</v>
      </c>
      <c r="B14" s="1" t="s">
        <v>14</v>
      </c>
      <c r="C14" s="1">
        <v>152149</v>
      </c>
      <c r="D14" s="1" t="s">
        <v>15</v>
      </c>
      <c r="E14" s="1" t="s">
        <v>17</v>
      </c>
      <c r="F14" s="1" t="s">
        <v>130</v>
      </c>
      <c r="G14" s="1" t="s">
        <v>58</v>
      </c>
      <c r="H14" s="1" t="s">
        <v>14</v>
      </c>
      <c r="I14" s="1">
        <v>70</v>
      </c>
      <c r="J14" s="1">
        <v>0</v>
      </c>
      <c r="K14" s="1">
        <v>1</v>
      </c>
      <c r="L14" s="1">
        <v>100</v>
      </c>
      <c r="M14" s="1">
        <v>0</v>
      </c>
      <c r="N14" s="1">
        <v>0</v>
      </c>
      <c r="O14" s="1">
        <v>70</v>
      </c>
      <c r="P14" s="6" t="str">
        <f>IF(ISERROR(VLOOKUP(F14,[1]작가별정산률!$R:$S,2,0)),"스토리위즈",VLOOKUP(F14,[1]작가별정산률!$R:$S,2,0))</f>
        <v>스토리위즈</v>
      </c>
      <c r="Q14" s="6" t="str">
        <f>IF(P14="스토리위즈",VLOOKUP(F14,[1]작가별정산률!$A:$B,2,0),P14)</f>
        <v>한례</v>
      </c>
    </row>
    <row r="15" spans="1:17" x14ac:dyDescent="0.4">
      <c r="A15" s="1" t="s">
        <v>57</v>
      </c>
      <c r="B15" s="1" t="s">
        <v>14</v>
      </c>
      <c r="C15" s="1">
        <v>152150</v>
      </c>
      <c r="D15" s="1" t="s">
        <v>15</v>
      </c>
      <c r="E15" s="1" t="s">
        <v>17</v>
      </c>
      <c r="F15" s="1" t="s">
        <v>131</v>
      </c>
      <c r="G15" s="1" t="s">
        <v>2</v>
      </c>
      <c r="H15" s="1" t="s">
        <v>14</v>
      </c>
      <c r="I15" s="1">
        <v>70</v>
      </c>
      <c r="J15" s="1">
        <v>0</v>
      </c>
      <c r="K15" s="1">
        <v>4</v>
      </c>
      <c r="L15" s="1">
        <v>400</v>
      </c>
      <c r="M15" s="1">
        <v>0</v>
      </c>
      <c r="N15" s="1">
        <v>0</v>
      </c>
      <c r="O15" s="1">
        <v>280</v>
      </c>
      <c r="P15" s="6" t="str">
        <f>IF(ISERROR(VLOOKUP(F15,[1]작가별정산률!$R:$S,2,0)),"스토리위즈",VLOOKUP(F15,[1]작가별정산률!$R:$S,2,0))</f>
        <v>스토리위즈</v>
      </c>
      <c r="Q15" s="6" t="str">
        <f>IF(P15="스토리위즈",VLOOKUP(F15,[1]작가별정산률!$A:$B,2,0),P15)</f>
        <v>불고기자리</v>
      </c>
    </row>
    <row r="16" spans="1:17" x14ac:dyDescent="0.4">
      <c r="A16" s="1" t="s">
        <v>57</v>
      </c>
      <c r="B16" s="1" t="s">
        <v>14</v>
      </c>
      <c r="C16" s="1">
        <v>154677</v>
      </c>
      <c r="D16" s="1" t="s">
        <v>15</v>
      </c>
      <c r="E16" s="1" t="s">
        <v>25</v>
      </c>
      <c r="F16" s="1" t="s">
        <v>116</v>
      </c>
      <c r="G16" s="1" t="s">
        <v>26</v>
      </c>
      <c r="H16" s="1" t="s">
        <v>14</v>
      </c>
      <c r="I16" s="1">
        <v>70</v>
      </c>
      <c r="J16" s="1">
        <v>0</v>
      </c>
      <c r="K16" s="1">
        <v>10</v>
      </c>
      <c r="L16" s="1">
        <v>1000</v>
      </c>
      <c r="M16" s="1">
        <v>0</v>
      </c>
      <c r="N16" s="1">
        <v>0</v>
      </c>
      <c r="O16" s="1">
        <v>700</v>
      </c>
      <c r="P16" s="6" t="str">
        <f>IF(ISERROR(VLOOKUP(F16,[1]작가별정산률!$R:$S,2,0)),"스토리위즈",VLOOKUP(F16,[1]작가별정산률!$R:$S,2,0))</f>
        <v>스토리위즈</v>
      </c>
      <c r="Q16" s="6" t="str">
        <f>IF(P16="스토리위즈",VLOOKUP(F16,[1]작가별정산률!$A:$B,2,0),P16)</f>
        <v>세상</v>
      </c>
    </row>
    <row r="17" spans="1:17" x14ac:dyDescent="0.4">
      <c r="A17" s="1" t="s">
        <v>57</v>
      </c>
      <c r="B17" s="1" t="s">
        <v>14</v>
      </c>
      <c r="C17" s="1">
        <v>155366</v>
      </c>
      <c r="D17" s="1" t="s">
        <v>15</v>
      </c>
      <c r="E17" s="1" t="s">
        <v>28</v>
      </c>
      <c r="F17" s="1" t="s">
        <v>109</v>
      </c>
      <c r="G17" s="1" t="s">
        <v>51</v>
      </c>
      <c r="H17" s="1" t="s">
        <v>40</v>
      </c>
      <c r="I17" s="1">
        <v>70</v>
      </c>
      <c r="J17" s="1">
        <v>0</v>
      </c>
      <c r="K17" s="1">
        <v>19</v>
      </c>
      <c r="L17" s="1">
        <v>1900</v>
      </c>
      <c r="M17" s="1">
        <v>0</v>
      </c>
      <c r="N17" s="1">
        <v>0</v>
      </c>
      <c r="O17" s="1">
        <v>1330</v>
      </c>
      <c r="P17" s="6" t="str">
        <f>IF(ISERROR(VLOOKUP(F17,[1]작가별정산률!$R:$S,2,0)),"스토리위즈",VLOOKUP(F17,[1]작가별정산률!$R:$S,2,0))</f>
        <v>에필로그</v>
      </c>
      <c r="Q17" s="6" t="str">
        <f>IF(P17="스토리위즈",VLOOKUP(F17,[1]작가별정산률!$A:$B,2,0),P17)</f>
        <v>에필로그</v>
      </c>
    </row>
    <row r="18" spans="1:17" x14ac:dyDescent="0.4">
      <c r="A18" s="1" t="s">
        <v>57</v>
      </c>
      <c r="B18" s="1" t="s">
        <v>14</v>
      </c>
      <c r="C18" s="1">
        <v>155905</v>
      </c>
      <c r="D18" s="1" t="s">
        <v>15</v>
      </c>
      <c r="E18" s="1" t="s">
        <v>25</v>
      </c>
      <c r="F18" s="1" t="s">
        <v>132</v>
      </c>
      <c r="G18" s="1" t="s">
        <v>59</v>
      </c>
      <c r="H18" s="1" t="s">
        <v>46</v>
      </c>
      <c r="I18" s="1">
        <v>70</v>
      </c>
      <c r="J18" s="1">
        <v>0</v>
      </c>
      <c r="K18" s="1">
        <v>6</v>
      </c>
      <c r="L18" s="1">
        <v>600</v>
      </c>
      <c r="M18" s="1">
        <v>0</v>
      </c>
      <c r="N18" s="1">
        <v>0</v>
      </c>
      <c r="O18" s="1">
        <v>420</v>
      </c>
      <c r="P18" s="6" t="str">
        <f>IF(ISERROR(VLOOKUP(F18,[1]작가별정산률!$R:$S,2,0)),"스토리위즈",VLOOKUP(F18,[1]작가별정산률!$R:$S,2,0))</f>
        <v>더컴퍼니</v>
      </c>
      <c r="Q18" s="6" t="str">
        <f>IF(P18="스토리위즈",VLOOKUP(F18,[1]작가별정산률!$A:$B,2,0),P18)</f>
        <v>더컴퍼니</v>
      </c>
    </row>
    <row r="19" spans="1:17" x14ac:dyDescent="0.4">
      <c r="A19" s="1" t="s">
        <v>57</v>
      </c>
      <c r="B19" s="1" t="s">
        <v>14</v>
      </c>
      <c r="C19" s="1">
        <v>156318</v>
      </c>
      <c r="D19" s="1" t="s">
        <v>15</v>
      </c>
      <c r="E19" s="1" t="s">
        <v>0</v>
      </c>
      <c r="F19" s="1" t="s">
        <v>127</v>
      </c>
      <c r="G19" s="1" t="s">
        <v>53</v>
      </c>
      <c r="H19" s="1" t="s">
        <v>40</v>
      </c>
      <c r="I19" s="1">
        <v>70</v>
      </c>
      <c r="J19" s="1">
        <v>0</v>
      </c>
      <c r="K19" s="1">
        <v>10</v>
      </c>
      <c r="L19" s="1">
        <v>1000</v>
      </c>
      <c r="M19" s="1">
        <v>0</v>
      </c>
      <c r="N19" s="1">
        <v>0</v>
      </c>
      <c r="O19" s="1">
        <v>700</v>
      </c>
      <c r="P19" s="6" t="str">
        <f>IF(ISERROR(VLOOKUP(F19,[1]작가별정산률!$R:$S,2,0)),"스토리위즈",VLOOKUP(F19,[1]작가별정산률!$R:$S,2,0))</f>
        <v>에필로그</v>
      </c>
      <c r="Q19" s="6" t="str">
        <f>IF(P19="스토리위즈",VLOOKUP(F19,[1]작가별정산률!$A:$B,2,0),P19)</f>
        <v>에필로그</v>
      </c>
    </row>
    <row r="20" spans="1:17" x14ac:dyDescent="0.4">
      <c r="A20" s="1" t="s">
        <v>57</v>
      </c>
      <c r="B20" s="1" t="s">
        <v>14</v>
      </c>
      <c r="C20" s="1">
        <v>156350</v>
      </c>
      <c r="D20" s="1" t="s">
        <v>15</v>
      </c>
      <c r="E20" s="1" t="s">
        <v>0</v>
      </c>
      <c r="F20" s="1" t="s">
        <v>128</v>
      </c>
      <c r="G20" s="1" t="s">
        <v>55</v>
      </c>
      <c r="H20" s="1" t="s">
        <v>14</v>
      </c>
      <c r="I20" s="1">
        <v>70</v>
      </c>
      <c r="J20" s="1">
        <v>0</v>
      </c>
      <c r="K20" s="1">
        <v>2</v>
      </c>
      <c r="L20" s="1">
        <v>200</v>
      </c>
      <c r="M20" s="1">
        <v>0</v>
      </c>
      <c r="N20" s="1">
        <v>0</v>
      </c>
      <c r="O20" s="1">
        <v>140</v>
      </c>
      <c r="P20" s="6" t="str">
        <f>IF(ISERROR(VLOOKUP(F20,[1]작가별정산률!$R:$S,2,0)),"스토리위즈",VLOOKUP(F20,[1]작가별정산률!$R:$S,2,0))</f>
        <v>스토리위즈</v>
      </c>
      <c r="Q20" s="6" t="str">
        <f>IF(P20="스토리위즈",VLOOKUP(F20,[1]작가별정산률!$A:$B,2,0),P20)</f>
        <v>글면증</v>
      </c>
    </row>
    <row r="21" spans="1:17" x14ac:dyDescent="0.4">
      <c r="A21" s="1" t="s">
        <v>57</v>
      </c>
      <c r="B21" s="1" t="s">
        <v>14</v>
      </c>
      <c r="C21" s="1">
        <v>156531</v>
      </c>
      <c r="D21" s="1" t="s">
        <v>15</v>
      </c>
      <c r="E21" s="1" t="s">
        <v>17</v>
      </c>
      <c r="F21" s="1" t="s">
        <v>129</v>
      </c>
      <c r="G21" s="1" t="s">
        <v>56</v>
      </c>
      <c r="H21" s="1" t="s">
        <v>14</v>
      </c>
      <c r="I21" s="1">
        <v>70</v>
      </c>
      <c r="J21" s="1">
        <v>0</v>
      </c>
      <c r="K21" s="1">
        <v>134</v>
      </c>
      <c r="L21" s="1">
        <v>13400</v>
      </c>
      <c r="M21" s="1">
        <v>0</v>
      </c>
      <c r="N21" s="1">
        <v>0</v>
      </c>
      <c r="O21" s="1">
        <v>9380</v>
      </c>
      <c r="P21" s="6" t="str">
        <f>IF(ISERROR(VLOOKUP(F21,[1]작가별정산률!$R:$S,2,0)),"스토리위즈",VLOOKUP(F21,[1]작가별정산률!$R:$S,2,0))</f>
        <v>스토리위즈</v>
      </c>
      <c r="Q21" s="6" t="str">
        <f>IF(P21="스토리위즈",VLOOKUP(F21,[1]작가별정산률!$A:$B,2,0),P21)</f>
        <v>윈델</v>
      </c>
    </row>
    <row r="22" spans="1:17" x14ac:dyDescent="0.4">
      <c r="A22" s="1" t="s">
        <v>60</v>
      </c>
      <c r="B22" s="1" t="s">
        <v>14</v>
      </c>
      <c r="C22" s="1">
        <v>151282</v>
      </c>
      <c r="D22" s="1" t="s">
        <v>15</v>
      </c>
      <c r="E22" s="1" t="s">
        <v>0</v>
      </c>
      <c r="F22" s="1" t="s">
        <v>124</v>
      </c>
      <c r="G22" s="1" t="s">
        <v>49</v>
      </c>
      <c r="H22" s="1" t="s">
        <v>14</v>
      </c>
      <c r="I22" s="1">
        <v>70</v>
      </c>
      <c r="J22" s="1">
        <v>0</v>
      </c>
      <c r="K22" s="1">
        <v>18</v>
      </c>
      <c r="L22" s="1">
        <v>1800</v>
      </c>
      <c r="M22" s="1">
        <v>0</v>
      </c>
      <c r="N22" s="1">
        <v>0</v>
      </c>
      <c r="O22" s="1">
        <v>1260</v>
      </c>
      <c r="P22" s="6" t="str">
        <f>IF(ISERROR(VLOOKUP(F22,[1]작가별정산률!$R:$S,2,0)),"스토리위즈",VLOOKUP(F22,[1]작가별정산률!$R:$S,2,0))</f>
        <v>스토리위즈</v>
      </c>
      <c r="Q22" s="6" t="str">
        <f>IF(P22="스토리위즈",VLOOKUP(F22,[1]작가별정산률!$A:$B,2,0),P22)</f>
        <v>독고진</v>
      </c>
    </row>
    <row r="23" spans="1:17" x14ac:dyDescent="0.4">
      <c r="A23" s="1" t="s">
        <v>60</v>
      </c>
      <c r="B23" s="1" t="s">
        <v>14</v>
      </c>
      <c r="C23" s="1">
        <v>152149</v>
      </c>
      <c r="D23" s="1" t="s">
        <v>15</v>
      </c>
      <c r="E23" s="1" t="s">
        <v>17</v>
      </c>
      <c r="F23" s="1" t="s">
        <v>130</v>
      </c>
      <c r="G23" s="1" t="s">
        <v>58</v>
      </c>
      <c r="H23" s="1" t="s">
        <v>14</v>
      </c>
      <c r="I23" s="1">
        <v>70</v>
      </c>
      <c r="J23" s="1">
        <v>0</v>
      </c>
      <c r="K23" s="1">
        <v>10</v>
      </c>
      <c r="L23" s="1">
        <v>1000</v>
      </c>
      <c r="M23" s="1">
        <v>0</v>
      </c>
      <c r="N23" s="1">
        <v>0</v>
      </c>
      <c r="O23" s="1">
        <v>700</v>
      </c>
      <c r="P23" s="6" t="str">
        <f>IF(ISERROR(VLOOKUP(F23,[1]작가별정산률!$R:$S,2,0)),"스토리위즈",VLOOKUP(F23,[1]작가별정산률!$R:$S,2,0))</f>
        <v>스토리위즈</v>
      </c>
      <c r="Q23" s="6" t="str">
        <f>IF(P23="스토리위즈",VLOOKUP(F23,[1]작가별정산률!$A:$B,2,0),P23)</f>
        <v>한례</v>
      </c>
    </row>
    <row r="24" spans="1:17" x14ac:dyDescent="0.4">
      <c r="A24" s="1" t="s">
        <v>60</v>
      </c>
      <c r="B24" s="1" t="s">
        <v>14</v>
      </c>
      <c r="C24" s="1">
        <v>152151</v>
      </c>
      <c r="D24" s="1" t="s">
        <v>15</v>
      </c>
      <c r="E24" s="1" t="s">
        <v>17</v>
      </c>
      <c r="F24" s="1" t="s">
        <v>125</v>
      </c>
      <c r="G24" s="1" t="s">
        <v>50</v>
      </c>
      <c r="H24" s="1" t="s">
        <v>14</v>
      </c>
      <c r="I24" s="1">
        <v>70</v>
      </c>
      <c r="J24" s="1">
        <v>0</v>
      </c>
      <c r="K24" s="1">
        <v>3</v>
      </c>
      <c r="L24" s="1">
        <v>300</v>
      </c>
      <c r="M24" s="1">
        <v>0</v>
      </c>
      <c r="N24" s="1">
        <v>0</v>
      </c>
      <c r="O24" s="1">
        <v>210</v>
      </c>
      <c r="P24" s="6" t="str">
        <f>IF(ISERROR(VLOOKUP(F24,[1]작가별정산률!$R:$S,2,0)),"스토리위즈",VLOOKUP(F24,[1]작가별정산률!$R:$S,2,0))</f>
        <v>스토리위즈</v>
      </c>
      <c r="Q24" s="6" t="str">
        <f>IF(P24="스토리위즈",VLOOKUP(F24,[1]작가별정산률!$A:$B,2,0),P24)</f>
        <v>이린비</v>
      </c>
    </row>
    <row r="25" spans="1:17" x14ac:dyDescent="0.4">
      <c r="A25" s="1" t="s">
        <v>60</v>
      </c>
      <c r="B25" s="1" t="s">
        <v>14</v>
      </c>
      <c r="C25" s="1">
        <v>152164</v>
      </c>
      <c r="D25" s="1" t="s">
        <v>15</v>
      </c>
      <c r="E25" s="1" t="s">
        <v>17</v>
      </c>
      <c r="F25" s="1" t="s">
        <v>133</v>
      </c>
      <c r="G25" s="1" t="s">
        <v>19</v>
      </c>
      <c r="H25" s="1" t="s">
        <v>14</v>
      </c>
      <c r="I25" s="1">
        <v>70</v>
      </c>
      <c r="J25" s="1">
        <v>0</v>
      </c>
      <c r="K25" s="1">
        <v>11</v>
      </c>
      <c r="L25" s="1">
        <v>1100</v>
      </c>
      <c r="M25" s="1">
        <v>0</v>
      </c>
      <c r="N25" s="1">
        <v>0</v>
      </c>
      <c r="O25" s="1">
        <v>770</v>
      </c>
      <c r="P25" s="6" t="str">
        <f>IF(ISERROR(VLOOKUP(F25,[1]작가별정산률!$R:$S,2,0)),"스토리위즈",VLOOKUP(F25,[1]작가별정산률!$R:$S,2,0))</f>
        <v>스토리위즈</v>
      </c>
      <c r="Q25" s="6" t="str">
        <f>IF(P25="스토리위즈",VLOOKUP(F25,[1]작가별정산률!$A:$B,2,0),P25)</f>
        <v>무성매직</v>
      </c>
    </row>
    <row r="26" spans="1:17" x14ac:dyDescent="0.4">
      <c r="A26" s="1" t="s">
        <v>60</v>
      </c>
      <c r="B26" s="1" t="s">
        <v>14</v>
      </c>
      <c r="C26" s="1">
        <v>155366</v>
      </c>
      <c r="D26" s="1" t="s">
        <v>15</v>
      </c>
      <c r="E26" s="1" t="s">
        <v>28</v>
      </c>
      <c r="F26" s="1" t="s">
        <v>109</v>
      </c>
      <c r="G26" s="1" t="s">
        <v>51</v>
      </c>
      <c r="H26" s="1" t="s">
        <v>40</v>
      </c>
      <c r="I26" s="1">
        <v>70</v>
      </c>
      <c r="J26" s="1">
        <v>0</v>
      </c>
      <c r="K26" s="1">
        <v>21</v>
      </c>
      <c r="L26" s="1">
        <v>2100</v>
      </c>
      <c r="M26" s="1">
        <v>0</v>
      </c>
      <c r="N26" s="1">
        <v>0</v>
      </c>
      <c r="O26" s="1">
        <v>1470</v>
      </c>
      <c r="P26" s="6" t="str">
        <f>IF(ISERROR(VLOOKUP(F26,[1]작가별정산률!$R:$S,2,0)),"스토리위즈",VLOOKUP(F26,[1]작가별정산률!$R:$S,2,0))</f>
        <v>에필로그</v>
      </c>
      <c r="Q26" s="6" t="str">
        <f>IF(P26="스토리위즈",VLOOKUP(F26,[1]작가별정산률!$A:$B,2,0),P26)</f>
        <v>에필로그</v>
      </c>
    </row>
    <row r="27" spans="1:17" x14ac:dyDescent="0.4">
      <c r="A27" s="1" t="s">
        <v>60</v>
      </c>
      <c r="B27" s="1" t="s">
        <v>14</v>
      </c>
      <c r="C27" s="1">
        <v>156531</v>
      </c>
      <c r="D27" s="1" t="s">
        <v>15</v>
      </c>
      <c r="E27" s="1" t="s">
        <v>17</v>
      </c>
      <c r="F27" s="1" t="s">
        <v>129</v>
      </c>
      <c r="G27" s="1" t="s">
        <v>56</v>
      </c>
      <c r="H27" s="1" t="s">
        <v>14</v>
      </c>
      <c r="I27" s="1">
        <v>70</v>
      </c>
      <c r="J27" s="1">
        <v>0</v>
      </c>
      <c r="K27" s="1">
        <v>75</v>
      </c>
      <c r="L27" s="1">
        <v>7500</v>
      </c>
      <c r="M27" s="1">
        <v>0</v>
      </c>
      <c r="N27" s="1">
        <v>0</v>
      </c>
      <c r="O27" s="1">
        <v>5250</v>
      </c>
      <c r="P27" s="6" t="str">
        <f>IF(ISERROR(VLOOKUP(F27,[1]작가별정산률!$R:$S,2,0)),"스토리위즈",VLOOKUP(F27,[1]작가별정산률!$R:$S,2,0))</f>
        <v>스토리위즈</v>
      </c>
      <c r="Q27" s="6" t="str">
        <f>IF(P27="스토리위즈",VLOOKUP(F27,[1]작가별정산률!$A:$B,2,0),P27)</f>
        <v>윈델</v>
      </c>
    </row>
    <row r="28" spans="1:17" x14ac:dyDescent="0.4">
      <c r="A28" s="1" t="s">
        <v>61</v>
      </c>
      <c r="B28" s="1" t="s">
        <v>14</v>
      </c>
      <c r="C28" s="1">
        <v>151282</v>
      </c>
      <c r="D28" s="1" t="s">
        <v>15</v>
      </c>
      <c r="E28" s="1" t="s">
        <v>0</v>
      </c>
      <c r="F28" s="1" t="s">
        <v>124</v>
      </c>
      <c r="G28" s="1" t="s">
        <v>49</v>
      </c>
      <c r="H28" s="1" t="s">
        <v>14</v>
      </c>
      <c r="I28" s="1">
        <v>70</v>
      </c>
      <c r="J28" s="1">
        <v>0</v>
      </c>
      <c r="K28" s="1">
        <v>15</v>
      </c>
      <c r="L28" s="1">
        <v>1500</v>
      </c>
      <c r="M28" s="1">
        <v>0</v>
      </c>
      <c r="N28" s="1">
        <v>0</v>
      </c>
      <c r="O28" s="1">
        <v>1050</v>
      </c>
      <c r="P28" s="6" t="str">
        <f>IF(ISERROR(VLOOKUP(F28,[1]작가별정산률!$R:$S,2,0)),"스토리위즈",VLOOKUP(F28,[1]작가별정산률!$R:$S,2,0))</f>
        <v>스토리위즈</v>
      </c>
      <c r="Q28" s="6" t="str">
        <f>IF(P28="스토리위즈",VLOOKUP(F28,[1]작가별정산률!$A:$B,2,0),P28)</f>
        <v>독고진</v>
      </c>
    </row>
    <row r="29" spans="1:17" x14ac:dyDescent="0.4">
      <c r="A29" s="1" t="s">
        <v>61</v>
      </c>
      <c r="B29" s="1" t="s">
        <v>14</v>
      </c>
      <c r="C29" s="1">
        <v>152149</v>
      </c>
      <c r="D29" s="1" t="s">
        <v>15</v>
      </c>
      <c r="E29" s="1" t="s">
        <v>17</v>
      </c>
      <c r="F29" s="1" t="s">
        <v>130</v>
      </c>
      <c r="G29" s="1" t="s">
        <v>58</v>
      </c>
      <c r="H29" s="1" t="s">
        <v>14</v>
      </c>
      <c r="I29" s="1">
        <v>70</v>
      </c>
      <c r="J29" s="1">
        <v>0</v>
      </c>
      <c r="K29" s="1">
        <v>1</v>
      </c>
      <c r="L29" s="1">
        <v>100</v>
      </c>
      <c r="M29" s="1">
        <v>0</v>
      </c>
      <c r="N29" s="1">
        <v>0</v>
      </c>
      <c r="O29" s="1">
        <v>70</v>
      </c>
      <c r="P29" s="6" t="str">
        <f>IF(ISERROR(VLOOKUP(F29,[1]작가별정산률!$R:$S,2,0)),"스토리위즈",VLOOKUP(F29,[1]작가별정산률!$R:$S,2,0))</f>
        <v>스토리위즈</v>
      </c>
      <c r="Q29" s="6" t="str">
        <f>IF(P29="스토리위즈",VLOOKUP(F29,[1]작가별정산률!$A:$B,2,0),P29)</f>
        <v>한례</v>
      </c>
    </row>
    <row r="30" spans="1:17" x14ac:dyDescent="0.4">
      <c r="A30" s="1" t="s">
        <v>61</v>
      </c>
      <c r="B30" s="1" t="s">
        <v>14</v>
      </c>
      <c r="C30" s="1">
        <v>152151</v>
      </c>
      <c r="D30" s="1" t="s">
        <v>15</v>
      </c>
      <c r="E30" s="1" t="s">
        <v>17</v>
      </c>
      <c r="F30" s="1" t="s">
        <v>125</v>
      </c>
      <c r="G30" s="1" t="s">
        <v>50</v>
      </c>
      <c r="H30" s="1" t="s">
        <v>14</v>
      </c>
      <c r="I30" s="1">
        <v>70</v>
      </c>
      <c r="J30" s="1">
        <v>0</v>
      </c>
      <c r="K30" s="1">
        <v>7</v>
      </c>
      <c r="L30" s="1">
        <v>700</v>
      </c>
      <c r="M30" s="1">
        <v>0</v>
      </c>
      <c r="N30" s="1">
        <v>0</v>
      </c>
      <c r="O30" s="1">
        <v>490</v>
      </c>
      <c r="P30" s="6" t="str">
        <f>IF(ISERROR(VLOOKUP(F30,[1]작가별정산률!$R:$S,2,0)),"스토리위즈",VLOOKUP(F30,[1]작가별정산률!$R:$S,2,0))</f>
        <v>스토리위즈</v>
      </c>
      <c r="Q30" s="6" t="str">
        <f>IF(P30="스토리위즈",VLOOKUP(F30,[1]작가별정산률!$A:$B,2,0),P30)</f>
        <v>이린비</v>
      </c>
    </row>
    <row r="31" spans="1:17" x14ac:dyDescent="0.4">
      <c r="A31" s="1" t="s">
        <v>61</v>
      </c>
      <c r="B31" s="1" t="s">
        <v>14</v>
      </c>
      <c r="C31" s="1">
        <v>155366</v>
      </c>
      <c r="D31" s="1" t="s">
        <v>15</v>
      </c>
      <c r="E31" s="1" t="s">
        <v>28</v>
      </c>
      <c r="F31" s="1" t="s">
        <v>109</v>
      </c>
      <c r="G31" s="1" t="s">
        <v>51</v>
      </c>
      <c r="H31" s="1" t="s">
        <v>40</v>
      </c>
      <c r="I31" s="1">
        <v>70</v>
      </c>
      <c r="J31" s="1">
        <v>0</v>
      </c>
      <c r="K31" s="1">
        <v>21</v>
      </c>
      <c r="L31" s="1">
        <v>2100</v>
      </c>
      <c r="M31" s="1">
        <v>0</v>
      </c>
      <c r="N31" s="1">
        <v>0</v>
      </c>
      <c r="O31" s="1">
        <v>1470</v>
      </c>
      <c r="P31" s="6" t="str">
        <f>IF(ISERROR(VLOOKUP(F31,[1]작가별정산률!$R:$S,2,0)),"스토리위즈",VLOOKUP(F31,[1]작가별정산률!$R:$S,2,0))</f>
        <v>에필로그</v>
      </c>
      <c r="Q31" s="6" t="str">
        <f>IF(P31="스토리위즈",VLOOKUP(F31,[1]작가별정산률!$A:$B,2,0),P31)</f>
        <v>에필로그</v>
      </c>
    </row>
    <row r="32" spans="1:17" x14ac:dyDescent="0.4">
      <c r="A32" s="1" t="s">
        <v>61</v>
      </c>
      <c r="B32" s="1" t="s">
        <v>14</v>
      </c>
      <c r="C32" s="1">
        <v>156036</v>
      </c>
      <c r="D32" s="1" t="s">
        <v>15</v>
      </c>
      <c r="E32" s="1" t="s">
        <v>0</v>
      </c>
      <c r="F32" s="1" t="s">
        <v>97</v>
      </c>
      <c r="G32" s="1" t="s">
        <v>38</v>
      </c>
      <c r="H32" s="1" t="s">
        <v>40</v>
      </c>
      <c r="I32" s="1">
        <v>70</v>
      </c>
      <c r="J32" s="1">
        <v>0</v>
      </c>
      <c r="K32" s="1">
        <v>19</v>
      </c>
      <c r="L32" s="1">
        <v>1900</v>
      </c>
      <c r="M32" s="1">
        <v>0</v>
      </c>
      <c r="N32" s="1">
        <v>0</v>
      </c>
      <c r="O32" s="1">
        <v>1330</v>
      </c>
      <c r="P32" s="6" t="str">
        <f>IF(ISERROR(VLOOKUP(F32,[1]작가별정산률!$R:$S,2,0)),"스토리위즈",VLOOKUP(F32,[1]작가별정산률!$R:$S,2,0))</f>
        <v>에필로그</v>
      </c>
      <c r="Q32" s="6" t="str">
        <f>IF(P32="스토리위즈",VLOOKUP(F32,[1]작가별정산률!$A:$B,2,0),P32)</f>
        <v>에필로그</v>
      </c>
    </row>
    <row r="33" spans="1:17" x14ac:dyDescent="0.4">
      <c r="A33" s="1" t="s">
        <v>61</v>
      </c>
      <c r="B33" s="1" t="s">
        <v>14</v>
      </c>
      <c r="C33" s="1">
        <v>156319</v>
      </c>
      <c r="D33" s="1" t="s">
        <v>15</v>
      </c>
      <c r="E33" s="1" t="s">
        <v>0</v>
      </c>
      <c r="F33" s="1" t="s">
        <v>127</v>
      </c>
      <c r="G33" s="1" t="s">
        <v>54</v>
      </c>
      <c r="H33" s="1" t="s">
        <v>40</v>
      </c>
      <c r="I33" s="1">
        <v>70</v>
      </c>
      <c r="J33" s="1">
        <v>0</v>
      </c>
      <c r="K33" s="1">
        <v>1</v>
      </c>
      <c r="L33" s="1">
        <v>100</v>
      </c>
      <c r="M33" s="1">
        <v>0</v>
      </c>
      <c r="N33" s="1">
        <v>0</v>
      </c>
      <c r="O33" s="1">
        <v>70</v>
      </c>
      <c r="P33" s="6" t="str">
        <f>IF(ISERROR(VLOOKUP(F33,[1]작가별정산률!$R:$S,2,0)),"스토리위즈",VLOOKUP(F33,[1]작가별정산률!$R:$S,2,0))</f>
        <v>에필로그</v>
      </c>
      <c r="Q33" s="6" t="str">
        <f>IF(P33="스토리위즈",VLOOKUP(F33,[1]작가별정산률!$A:$B,2,0),P33)</f>
        <v>에필로그</v>
      </c>
    </row>
    <row r="34" spans="1:17" x14ac:dyDescent="0.4">
      <c r="A34" s="1" t="s">
        <v>61</v>
      </c>
      <c r="B34" s="1" t="s">
        <v>14</v>
      </c>
      <c r="C34" s="1">
        <v>156531</v>
      </c>
      <c r="D34" s="1" t="s">
        <v>15</v>
      </c>
      <c r="E34" s="1" t="s">
        <v>17</v>
      </c>
      <c r="F34" s="1" t="s">
        <v>129</v>
      </c>
      <c r="G34" s="1" t="s">
        <v>56</v>
      </c>
      <c r="H34" s="1" t="s">
        <v>14</v>
      </c>
      <c r="I34" s="1">
        <v>70</v>
      </c>
      <c r="J34" s="1">
        <v>0</v>
      </c>
      <c r="K34" s="1">
        <v>160</v>
      </c>
      <c r="L34" s="1">
        <v>16000</v>
      </c>
      <c r="M34" s="1">
        <v>0</v>
      </c>
      <c r="N34" s="1">
        <v>0</v>
      </c>
      <c r="O34" s="1">
        <v>11200</v>
      </c>
      <c r="P34" s="6" t="str">
        <f>IF(ISERROR(VLOOKUP(F34,[1]작가별정산률!$R:$S,2,0)),"스토리위즈",VLOOKUP(F34,[1]작가별정산률!$R:$S,2,0))</f>
        <v>스토리위즈</v>
      </c>
      <c r="Q34" s="6" t="str">
        <f>IF(P34="스토리위즈",VLOOKUP(F34,[1]작가별정산률!$A:$B,2,0),P34)</f>
        <v>윈델</v>
      </c>
    </row>
    <row r="35" spans="1:17" x14ac:dyDescent="0.4">
      <c r="A35" s="1" t="s">
        <v>62</v>
      </c>
      <c r="B35" s="1" t="s">
        <v>14</v>
      </c>
      <c r="C35" s="1">
        <v>151282</v>
      </c>
      <c r="D35" s="1" t="s">
        <v>15</v>
      </c>
      <c r="E35" s="1" t="s">
        <v>0</v>
      </c>
      <c r="F35" s="1" t="s">
        <v>124</v>
      </c>
      <c r="G35" s="1" t="s">
        <v>49</v>
      </c>
      <c r="H35" s="1" t="s">
        <v>14</v>
      </c>
      <c r="I35" s="1">
        <v>70</v>
      </c>
      <c r="J35" s="1">
        <v>0</v>
      </c>
      <c r="K35" s="1">
        <v>44</v>
      </c>
      <c r="L35" s="1">
        <v>4400</v>
      </c>
      <c r="M35" s="1">
        <v>0</v>
      </c>
      <c r="N35" s="1">
        <v>0</v>
      </c>
      <c r="O35" s="1">
        <v>3080</v>
      </c>
      <c r="P35" s="6" t="str">
        <f>IF(ISERROR(VLOOKUP(F35,[1]작가별정산률!$R:$S,2,0)),"스토리위즈",VLOOKUP(F35,[1]작가별정산률!$R:$S,2,0))</f>
        <v>스토리위즈</v>
      </c>
      <c r="Q35" s="6" t="str">
        <f>IF(P35="스토리위즈",VLOOKUP(F35,[1]작가별정산률!$A:$B,2,0),P35)</f>
        <v>독고진</v>
      </c>
    </row>
    <row r="36" spans="1:17" x14ac:dyDescent="0.4">
      <c r="A36" s="1" t="s">
        <v>62</v>
      </c>
      <c r="B36" s="1" t="s">
        <v>14</v>
      </c>
      <c r="C36" s="1">
        <v>152151</v>
      </c>
      <c r="D36" s="1" t="s">
        <v>15</v>
      </c>
      <c r="E36" s="1" t="s">
        <v>17</v>
      </c>
      <c r="F36" s="1" t="s">
        <v>125</v>
      </c>
      <c r="G36" s="1" t="s">
        <v>50</v>
      </c>
      <c r="H36" s="1" t="s">
        <v>14</v>
      </c>
      <c r="I36" s="1">
        <v>70</v>
      </c>
      <c r="J36" s="1">
        <v>0</v>
      </c>
      <c r="K36" s="1">
        <v>2</v>
      </c>
      <c r="L36" s="1">
        <v>200</v>
      </c>
      <c r="M36" s="1">
        <v>0</v>
      </c>
      <c r="N36" s="1">
        <v>0</v>
      </c>
      <c r="O36" s="1">
        <v>140</v>
      </c>
      <c r="P36" s="6" t="str">
        <f>IF(ISERROR(VLOOKUP(F36,[1]작가별정산률!$R:$S,2,0)),"스토리위즈",VLOOKUP(F36,[1]작가별정산률!$R:$S,2,0))</f>
        <v>스토리위즈</v>
      </c>
      <c r="Q36" s="6" t="str">
        <f>IF(P36="스토리위즈",VLOOKUP(F36,[1]작가별정산률!$A:$B,2,0),P36)</f>
        <v>이린비</v>
      </c>
    </row>
    <row r="37" spans="1:17" x14ac:dyDescent="0.4">
      <c r="A37" s="1" t="s">
        <v>62</v>
      </c>
      <c r="B37" s="1" t="s">
        <v>14</v>
      </c>
      <c r="C37" s="1">
        <v>152164</v>
      </c>
      <c r="D37" s="1" t="s">
        <v>15</v>
      </c>
      <c r="E37" s="1" t="s">
        <v>17</v>
      </c>
      <c r="F37" s="1" t="s">
        <v>133</v>
      </c>
      <c r="G37" s="1" t="s">
        <v>19</v>
      </c>
      <c r="H37" s="1" t="s">
        <v>14</v>
      </c>
      <c r="I37" s="1">
        <v>70</v>
      </c>
      <c r="J37" s="1">
        <v>0</v>
      </c>
      <c r="K37" s="1">
        <v>9</v>
      </c>
      <c r="L37" s="1">
        <v>900</v>
      </c>
      <c r="M37" s="1">
        <v>0</v>
      </c>
      <c r="N37" s="1">
        <v>0</v>
      </c>
      <c r="O37" s="1">
        <v>630</v>
      </c>
      <c r="P37" s="6" t="str">
        <f>IF(ISERROR(VLOOKUP(F37,[1]작가별정산률!$R:$S,2,0)),"스토리위즈",VLOOKUP(F37,[1]작가별정산률!$R:$S,2,0))</f>
        <v>스토리위즈</v>
      </c>
      <c r="Q37" s="6" t="str">
        <f>IF(P37="스토리위즈",VLOOKUP(F37,[1]작가별정산률!$A:$B,2,0),P37)</f>
        <v>무성매직</v>
      </c>
    </row>
    <row r="38" spans="1:17" x14ac:dyDescent="0.4">
      <c r="A38" s="1" t="s">
        <v>62</v>
      </c>
      <c r="B38" s="1" t="s">
        <v>14</v>
      </c>
      <c r="C38" s="1">
        <v>155366</v>
      </c>
      <c r="D38" s="1" t="s">
        <v>15</v>
      </c>
      <c r="E38" s="1" t="s">
        <v>28</v>
      </c>
      <c r="F38" s="1" t="s">
        <v>109</v>
      </c>
      <c r="G38" s="1" t="s">
        <v>51</v>
      </c>
      <c r="H38" s="1" t="s">
        <v>40</v>
      </c>
      <c r="I38" s="1">
        <v>70</v>
      </c>
      <c r="J38" s="1">
        <v>0</v>
      </c>
      <c r="K38" s="1">
        <v>3</v>
      </c>
      <c r="L38" s="1">
        <v>300</v>
      </c>
      <c r="M38" s="1">
        <v>0</v>
      </c>
      <c r="N38" s="1">
        <v>0</v>
      </c>
      <c r="O38" s="1">
        <v>210</v>
      </c>
      <c r="P38" s="6" t="str">
        <f>IF(ISERROR(VLOOKUP(F38,[1]작가별정산률!$R:$S,2,0)),"스토리위즈",VLOOKUP(F38,[1]작가별정산률!$R:$S,2,0))</f>
        <v>에필로그</v>
      </c>
      <c r="Q38" s="6" t="str">
        <f>IF(P38="스토리위즈",VLOOKUP(F38,[1]작가별정산률!$A:$B,2,0),P38)</f>
        <v>에필로그</v>
      </c>
    </row>
    <row r="39" spans="1:17" x14ac:dyDescent="0.4">
      <c r="A39" s="1" t="s">
        <v>62</v>
      </c>
      <c r="B39" s="1" t="s">
        <v>14</v>
      </c>
      <c r="C39" s="1">
        <v>156317</v>
      </c>
      <c r="D39" s="1" t="s">
        <v>15</v>
      </c>
      <c r="E39" s="1" t="s">
        <v>0</v>
      </c>
      <c r="F39" s="1" t="s">
        <v>127</v>
      </c>
      <c r="G39" s="1" t="s">
        <v>63</v>
      </c>
      <c r="H39" s="1" t="s">
        <v>40</v>
      </c>
      <c r="I39" s="1">
        <v>70</v>
      </c>
      <c r="J39" s="1">
        <v>0</v>
      </c>
      <c r="K39" s="1">
        <v>1</v>
      </c>
      <c r="L39" s="1">
        <v>100</v>
      </c>
      <c r="M39" s="1">
        <v>0</v>
      </c>
      <c r="N39" s="1">
        <v>0</v>
      </c>
      <c r="O39" s="1">
        <v>70</v>
      </c>
      <c r="P39" s="6" t="str">
        <f>IF(ISERROR(VLOOKUP(F39,[1]작가별정산률!$R:$S,2,0)),"스토리위즈",VLOOKUP(F39,[1]작가별정산률!$R:$S,2,0))</f>
        <v>에필로그</v>
      </c>
      <c r="Q39" s="6" t="str">
        <f>IF(P39="스토리위즈",VLOOKUP(F39,[1]작가별정산률!$A:$B,2,0),P39)</f>
        <v>에필로그</v>
      </c>
    </row>
    <row r="40" spans="1:17" x14ac:dyDescent="0.4">
      <c r="A40" s="1" t="s">
        <v>62</v>
      </c>
      <c r="B40" s="1" t="s">
        <v>14</v>
      </c>
      <c r="C40" s="1">
        <v>156319</v>
      </c>
      <c r="D40" s="1" t="s">
        <v>15</v>
      </c>
      <c r="E40" s="1" t="s">
        <v>0</v>
      </c>
      <c r="F40" s="1" t="s">
        <v>127</v>
      </c>
      <c r="G40" s="1" t="s">
        <v>54</v>
      </c>
      <c r="H40" s="1" t="s">
        <v>40</v>
      </c>
      <c r="I40" s="1">
        <v>70</v>
      </c>
      <c r="J40" s="1">
        <v>0</v>
      </c>
      <c r="K40" s="1">
        <v>5</v>
      </c>
      <c r="L40" s="1">
        <v>500</v>
      </c>
      <c r="M40" s="1">
        <v>0</v>
      </c>
      <c r="N40" s="1">
        <v>0</v>
      </c>
      <c r="O40" s="1">
        <v>350</v>
      </c>
      <c r="P40" s="6" t="str">
        <f>IF(ISERROR(VLOOKUP(F40,[1]작가별정산률!$R:$S,2,0)),"스토리위즈",VLOOKUP(F40,[1]작가별정산률!$R:$S,2,0))</f>
        <v>에필로그</v>
      </c>
      <c r="Q40" s="6" t="str">
        <f>IF(P40="스토리위즈",VLOOKUP(F40,[1]작가별정산률!$A:$B,2,0),P40)</f>
        <v>에필로그</v>
      </c>
    </row>
    <row r="41" spans="1:17" x14ac:dyDescent="0.4">
      <c r="A41" s="1" t="s">
        <v>62</v>
      </c>
      <c r="B41" s="1" t="s">
        <v>14</v>
      </c>
      <c r="C41" s="1">
        <v>156531</v>
      </c>
      <c r="D41" s="1" t="s">
        <v>15</v>
      </c>
      <c r="E41" s="1" t="s">
        <v>17</v>
      </c>
      <c r="F41" s="1" t="s">
        <v>129</v>
      </c>
      <c r="G41" s="1" t="s">
        <v>56</v>
      </c>
      <c r="H41" s="1" t="s">
        <v>14</v>
      </c>
      <c r="I41" s="1">
        <v>70</v>
      </c>
      <c r="J41" s="1">
        <v>0</v>
      </c>
      <c r="K41" s="1">
        <v>83</v>
      </c>
      <c r="L41" s="1">
        <v>8300</v>
      </c>
      <c r="M41" s="1">
        <v>0</v>
      </c>
      <c r="N41" s="1">
        <v>0</v>
      </c>
      <c r="O41" s="1">
        <v>5810</v>
      </c>
      <c r="P41" s="6" t="str">
        <f>IF(ISERROR(VLOOKUP(F41,[1]작가별정산률!$R:$S,2,0)),"스토리위즈",VLOOKUP(F41,[1]작가별정산률!$R:$S,2,0))</f>
        <v>스토리위즈</v>
      </c>
      <c r="Q41" s="6" t="str">
        <f>IF(P41="스토리위즈",VLOOKUP(F41,[1]작가별정산률!$A:$B,2,0),P41)</f>
        <v>윈델</v>
      </c>
    </row>
    <row r="42" spans="1:17" x14ac:dyDescent="0.4">
      <c r="A42" s="1" t="s">
        <v>64</v>
      </c>
      <c r="B42" s="1" t="s">
        <v>14</v>
      </c>
      <c r="C42" s="1">
        <v>152149</v>
      </c>
      <c r="D42" s="1" t="s">
        <v>15</v>
      </c>
      <c r="E42" s="1" t="s">
        <v>17</v>
      </c>
      <c r="F42" s="1" t="s">
        <v>130</v>
      </c>
      <c r="G42" s="1" t="s">
        <v>58</v>
      </c>
      <c r="H42" s="1" t="s">
        <v>14</v>
      </c>
      <c r="I42" s="1">
        <v>70</v>
      </c>
      <c r="J42" s="1">
        <v>0</v>
      </c>
      <c r="K42" s="1">
        <v>2</v>
      </c>
      <c r="L42" s="1">
        <v>200</v>
      </c>
      <c r="M42" s="1">
        <v>0</v>
      </c>
      <c r="N42" s="1">
        <v>0</v>
      </c>
      <c r="O42" s="1">
        <v>140</v>
      </c>
      <c r="P42" s="6" t="str">
        <f>IF(ISERROR(VLOOKUP(F42,[1]작가별정산률!$R:$S,2,0)),"스토리위즈",VLOOKUP(F42,[1]작가별정산률!$R:$S,2,0))</f>
        <v>스토리위즈</v>
      </c>
      <c r="Q42" s="6" t="str">
        <f>IF(P42="스토리위즈",VLOOKUP(F42,[1]작가별정산률!$A:$B,2,0),P42)</f>
        <v>한례</v>
      </c>
    </row>
    <row r="43" spans="1:17" x14ac:dyDescent="0.4">
      <c r="A43" s="1" t="s">
        <v>64</v>
      </c>
      <c r="B43" s="1" t="s">
        <v>14</v>
      </c>
      <c r="C43" s="1">
        <v>152150</v>
      </c>
      <c r="D43" s="1" t="s">
        <v>15</v>
      </c>
      <c r="E43" s="1" t="s">
        <v>17</v>
      </c>
      <c r="F43" s="1" t="s">
        <v>131</v>
      </c>
      <c r="G43" s="1" t="s">
        <v>2</v>
      </c>
      <c r="H43" s="1" t="s">
        <v>14</v>
      </c>
      <c r="I43" s="1">
        <v>70</v>
      </c>
      <c r="J43" s="1">
        <v>0</v>
      </c>
      <c r="K43" s="1">
        <v>91</v>
      </c>
      <c r="L43" s="1">
        <v>9100</v>
      </c>
      <c r="M43" s="1">
        <v>0</v>
      </c>
      <c r="N43" s="1">
        <v>0</v>
      </c>
      <c r="O43" s="1">
        <v>6370</v>
      </c>
      <c r="P43" s="6" t="str">
        <f>IF(ISERROR(VLOOKUP(F43,[1]작가별정산률!$R:$S,2,0)),"스토리위즈",VLOOKUP(F43,[1]작가별정산률!$R:$S,2,0))</f>
        <v>스토리위즈</v>
      </c>
      <c r="Q43" s="6" t="str">
        <f>IF(P43="스토리위즈",VLOOKUP(F43,[1]작가별정산률!$A:$B,2,0),P43)</f>
        <v>불고기자리</v>
      </c>
    </row>
    <row r="44" spans="1:17" x14ac:dyDescent="0.4">
      <c r="A44" s="1" t="s">
        <v>64</v>
      </c>
      <c r="B44" s="1" t="s">
        <v>14</v>
      </c>
      <c r="C44" s="1">
        <v>152164</v>
      </c>
      <c r="D44" s="1" t="s">
        <v>15</v>
      </c>
      <c r="E44" s="1" t="s">
        <v>17</v>
      </c>
      <c r="F44" s="1" t="s">
        <v>133</v>
      </c>
      <c r="G44" s="1" t="s">
        <v>19</v>
      </c>
      <c r="H44" s="1" t="s">
        <v>14</v>
      </c>
      <c r="I44" s="1">
        <v>70</v>
      </c>
      <c r="J44" s="1">
        <v>0</v>
      </c>
      <c r="K44" s="1">
        <v>73</v>
      </c>
      <c r="L44" s="1">
        <v>7300</v>
      </c>
      <c r="M44" s="1">
        <v>0</v>
      </c>
      <c r="N44" s="1">
        <v>0</v>
      </c>
      <c r="O44" s="1">
        <v>5110</v>
      </c>
      <c r="P44" s="6" t="str">
        <f>IF(ISERROR(VLOOKUP(F44,[1]작가별정산률!$R:$S,2,0)),"스토리위즈",VLOOKUP(F44,[1]작가별정산률!$R:$S,2,0))</f>
        <v>스토리위즈</v>
      </c>
      <c r="Q44" s="6" t="str">
        <f>IF(P44="스토리위즈",VLOOKUP(F44,[1]작가별정산률!$A:$B,2,0),P44)</f>
        <v>무성매직</v>
      </c>
    </row>
    <row r="45" spans="1:17" x14ac:dyDescent="0.4">
      <c r="A45" s="1" t="s">
        <v>64</v>
      </c>
      <c r="B45" s="1" t="s">
        <v>14</v>
      </c>
      <c r="C45" s="1">
        <v>155366</v>
      </c>
      <c r="D45" s="1" t="s">
        <v>15</v>
      </c>
      <c r="E45" s="1" t="s">
        <v>28</v>
      </c>
      <c r="F45" s="1" t="s">
        <v>109</v>
      </c>
      <c r="G45" s="1" t="s">
        <v>51</v>
      </c>
      <c r="H45" s="1" t="s">
        <v>40</v>
      </c>
      <c r="I45" s="1">
        <v>70</v>
      </c>
      <c r="J45" s="1">
        <v>0</v>
      </c>
      <c r="K45" s="1">
        <v>8</v>
      </c>
      <c r="L45" s="1">
        <v>800</v>
      </c>
      <c r="M45" s="1">
        <v>0</v>
      </c>
      <c r="N45" s="1">
        <v>0</v>
      </c>
      <c r="O45" s="1">
        <v>560</v>
      </c>
      <c r="P45" s="6" t="str">
        <f>IF(ISERROR(VLOOKUP(F45,[1]작가별정산률!$R:$S,2,0)),"스토리위즈",VLOOKUP(F45,[1]작가별정산률!$R:$S,2,0))</f>
        <v>에필로그</v>
      </c>
      <c r="Q45" s="6" t="str">
        <f>IF(P45="스토리위즈",VLOOKUP(F45,[1]작가별정산률!$A:$B,2,0),P45)</f>
        <v>에필로그</v>
      </c>
    </row>
    <row r="46" spans="1:17" x14ac:dyDescent="0.4">
      <c r="A46" s="1" t="s">
        <v>64</v>
      </c>
      <c r="B46" s="1" t="s">
        <v>14</v>
      </c>
      <c r="C46" s="1">
        <v>156349</v>
      </c>
      <c r="D46" s="1" t="s">
        <v>15</v>
      </c>
      <c r="E46" s="1" t="s">
        <v>0</v>
      </c>
      <c r="F46" s="1" t="s">
        <v>134</v>
      </c>
      <c r="G46" s="1" t="s">
        <v>65</v>
      </c>
      <c r="H46" s="1" t="s">
        <v>14</v>
      </c>
      <c r="I46" s="1">
        <v>70</v>
      </c>
      <c r="J46" s="1">
        <v>0</v>
      </c>
      <c r="K46" s="1">
        <v>21</v>
      </c>
      <c r="L46" s="1">
        <v>2100</v>
      </c>
      <c r="M46" s="1">
        <v>0</v>
      </c>
      <c r="N46" s="1">
        <v>0</v>
      </c>
      <c r="O46" s="1">
        <v>1470</v>
      </c>
      <c r="P46" s="6" t="str">
        <f>IF(ISERROR(VLOOKUP(F46,[1]작가별정산률!$R:$S,2,0)),"스토리위즈",VLOOKUP(F46,[1]작가별정산률!$R:$S,2,0))</f>
        <v>스토리위즈</v>
      </c>
      <c r="Q46" s="6" t="str">
        <f>IF(P46="스토리위즈",VLOOKUP(F46,[1]작가별정산률!$A:$B,2,0),P46)</f>
        <v>구공</v>
      </c>
    </row>
    <row r="47" spans="1:17" x14ac:dyDescent="0.4">
      <c r="A47" s="1" t="s">
        <v>64</v>
      </c>
      <c r="B47" s="1" t="s">
        <v>14</v>
      </c>
      <c r="C47" s="1">
        <v>156531</v>
      </c>
      <c r="D47" s="1" t="s">
        <v>15</v>
      </c>
      <c r="E47" s="1" t="s">
        <v>17</v>
      </c>
      <c r="F47" s="1" t="s">
        <v>129</v>
      </c>
      <c r="G47" s="1" t="s">
        <v>56</v>
      </c>
      <c r="H47" s="1" t="s">
        <v>14</v>
      </c>
      <c r="I47" s="1">
        <v>70</v>
      </c>
      <c r="J47" s="1">
        <v>0</v>
      </c>
      <c r="K47" s="1">
        <v>92</v>
      </c>
      <c r="L47" s="1">
        <v>9200</v>
      </c>
      <c r="M47" s="1">
        <v>0</v>
      </c>
      <c r="N47" s="1">
        <v>0</v>
      </c>
      <c r="O47" s="1">
        <v>6440</v>
      </c>
      <c r="P47" s="6" t="str">
        <f>IF(ISERROR(VLOOKUP(F47,[1]작가별정산률!$R:$S,2,0)),"스토리위즈",VLOOKUP(F47,[1]작가별정산률!$R:$S,2,0))</f>
        <v>스토리위즈</v>
      </c>
      <c r="Q47" s="6" t="str">
        <f>IF(P47="스토리위즈",VLOOKUP(F47,[1]작가별정산률!$A:$B,2,0),P47)</f>
        <v>윈델</v>
      </c>
    </row>
    <row r="48" spans="1:17" x14ac:dyDescent="0.4">
      <c r="A48" s="1" t="s">
        <v>66</v>
      </c>
      <c r="B48" s="1" t="s">
        <v>14</v>
      </c>
      <c r="C48" s="1">
        <v>152150</v>
      </c>
      <c r="D48" s="1" t="s">
        <v>15</v>
      </c>
      <c r="E48" s="1" t="s">
        <v>17</v>
      </c>
      <c r="F48" s="1" t="s">
        <v>131</v>
      </c>
      <c r="G48" s="1" t="s">
        <v>2</v>
      </c>
      <c r="H48" s="1" t="s">
        <v>14</v>
      </c>
      <c r="I48" s="1">
        <v>70</v>
      </c>
      <c r="J48" s="1">
        <v>0</v>
      </c>
      <c r="K48" s="1">
        <v>84</v>
      </c>
      <c r="L48" s="1">
        <v>8400</v>
      </c>
      <c r="M48" s="1">
        <v>0</v>
      </c>
      <c r="N48" s="1">
        <v>0</v>
      </c>
      <c r="O48" s="1">
        <v>5880</v>
      </c>
      <c r="P48" s="6" t="str">
        <f>IF(ISERROR(VLOOKUP(F48,[1]작가별정산률!$R:$S,2,0)),"스토리위즈",VLOOKUP(F48,[1]작가별정산률!$R:$S,2,0))</f>
        <v>스토리위즈</v>
      </c>
      <c r="Q48" s="6" t="str">
        <f>IF(P48="스토리위즈",VLOOKUP(F48,[1]작가별정산률!$A:$B,2,0),P48)</f>
        <v>불고기자리</v>
      </c>
    </row>
    <row r="49" spans="1:17" x14ac:dyDescent="0.4">
      <c r="A49" s="1" t="s">
        <v>66</v>
      </c>
      <c r="B49" s="1" t="s">
        <v>14</v>
      </c>
      <c r="C49" s="1">
        <v>152151</v>
      </c>
      <c r="D49" s="1" t="s">
        <v>15</v>
      </c>
      <c r="E49" s="1" t="s">
        <v>17</v>
      </c>
      <c r="F49" s="1" t="s">
        <v>125</v>
      </c>
      <c r="G49" s="1" t="s">
        <v>50</v>
      </c>
      <c r="H49" s="1" t="s">
        <v>14</v>
      </c>
      <c r="I49" s="1">
        <v>70</v>
      </c>
      <c r="J49" s="1">
        <v>0</v>
      </c>
      <c r="K49" s="1">
        <v>1</v>
      </c>
      <c r="L49" s="1">
        <v>100</v>
      </c>
      <c r="M49" s="1">
        <v>0</v>
      </c>
      <c r="N49" s="1">
        <v>0</v>
      </c>
      <c r="O49" s="1">
        <v>70</v>
      </c>
      <c r="P49" s="6" t="str">
        <f>IF(ISERROR(VLOOKUP(F49,[1]작가별정산률!$R:$S,2,0)),"스토리위즈",VLOOKUP(F49,[1]작가별정산률!$R:$S,2,0))</f>
        <v>스토리위즈</v>
      </c>
      <c r="Q49" s="6" t="str">
        <f>IF(P49="스토리위즈",VLOOKUP(F49,[1]작가별정산률!$A:$B,2,0),P49)</f>
        <v>이린비</v>
      </c>
    </row>
    <row r="50" spans="1:17" x14ac:dyDescent="0.4">
      <c r="A50" s="1" t="s">
        <v>66</v>
      </c>
      <c r="B50" s="1" t="s">
        <v>14</v>
      </c>
      <c r="C50" s="1">
        <v>152164</v>
      </c>
      <c r="D50" s="1" t="s">
        <v>15</v>
      </c>
      <c r="E50" s="1" t="s">
        <v>17</v>
      </c>
      <c r="F50" s="1" t="s">
        <v>133</v>
      </c>
      <c r="G50" s="1" t="s">
        <v>19</v>
      </c>
      <c r="H50" s="1" t="s">
        <v>14</v>
      </c>
      <c r="I50" s="1">
        <v>70</v>
      </c>
      <c r="J50" s="1">
        <v>0</v>
      </c>
      <c r="K50" s="1">
        <v>43</v>
      </c>
      <c r="L50" s="1">
        <v>4300</v>
      </c>
      <c r="M50" s="1">
        <v>0</v>
      </c>
      <c r="N50" s="1">
        <v>0</v>
      </c>
      <c r="O50" s="1">
        <v>3010</v>
      </c>
      <c r="P50" s="6" t="str">
        <f>IF(ISERROR(VLOOKUP(F50,[1]작가별정산률!$R:$S,2,0)),"스토리위즈",VLOOKUP(F50,[1]작가별정산률!$R:$S,2,0))</f>
        <v>스토리위즈</v>
      </c>
      <c r="Q50" s="6" t="str">
        <f>IF(P50="스토리위즈",VLOOKUP(F50,[1]작가별정산률!$A:$B,2,0),P50)</f>
        <v>무성매직</v>
      </c>
    </row>
    <row r="51" spans="1:17" x14ac:dyDescent="0.4">
      <c r="A51" s="1" t="s">
        <v>66</v>
      </c>
      <c r="B51" s="1" t="s">
        <v>14</v>
      </c>
      <c r="C51" s="1">
        <v>155366</v>
      </c>
      <c r="D51" s="1" t="s">
        <v>15</v>
      </c>
      <c r="E51" s="1" t="s">
        <v>28</v>
      </c>
      <c r="F51" s="1" t="s">
        <v>109</v>
      </c>
      <c r="G51" s="1" t="s">
        <v>51</v>
      </c>
      <c r="H51" s="1" t="s">
        <v>40</v>
      </c>
      <c r="I51" s="1">
        <v>70</v>
      </c>
      <c r="J51" s="1">
        <v>0</v>
      </c>
      <c r="K51" s="1">
        <v>9</v>
      </c>
      <c r="L51" s="1">
        <v>900</v>
      </c>
      <c r="M51" s="1">
        <v>0</v>
      </c>
      <c r="N51" s="1">
        <v>0</v>
      </c>
      <c r="O51" s="1">
        <v>630</v>
      </c>
      <c r="P51" s="6" t="str">
        <f>IF(ISERROR(VLOOKUP(F51,[1]작가별정산률!$R:$S,2,0)),"스토리위즈",VLOOKUP(F51,[1]작가별정산률!$R:$S,2,0))</f>
        <v>에필로그</v>
      </c>
      <c r="Q51" s="6" t="str">
        <f>IF(P51="스토리위즈",VLOOKUP(F51,[1]작가별정산률!$A:$B,2,0),P51)</f>
        <v>에필로그</v>
      </c>
    </row>
    <row r="52" spans="1:17" x14ac:dyDescent="0.4">
      <c r="A52" s="1" t="s">
        <v>66</v>
      </c>
      <c r="B52" s="1" t="s">
        <v>14</v>
      </c>
      <c r="C52" s="1">
        <v>155800</v>
      </c>
      <c r="D52" s="1" t="s">
        <v>15</v>
      </c>
      <c r="E52" s="1" t="s">
        <v>16</v>
      </c>
      <c r="F52" s="1" t="s">
        <v>111</v>
      </c>
      <c r="G52" s="1" t="s">
        <v>35</v>
      </c>
      <c r="H52" s="1" t="s">
        <v>14</v>
      </c>
      <c r="I52" s="1">
        <v>70</v>
      </c>
      <c r="J52" s="1">
        <v>0</v>
      </c>
      <c r="K52" s="1">
        <v>2</v>
      </c>
      <c r="L52" s="1">
        <v>200</v>
      </c>
      <c r="M52" s="1">
        <v>0</v>
      </c>
      <c r="N52" s="1">
        <v>0</v>
      </c>
      <c r="O52" s="1">
        <v>140</v>
      </c>
      <c r="P52" s="6" t="str">
        <f>IF(ISERROR(VLOOKUP(F52,[1]작가별정산률!$R:$S,2,0)),"스토리위즈",VLOOKUP(F52,[1]작가별정산률!$R:$S,2,0))</f>
        <v>스토리위즈</v>
      </c>
      <c r="Q52" s="6" t="str">
        <f>IF(P52="스토리위즈",VLOOKUP(F52,[1]작가별정산률!$A:$B,2,0),P52)</f>
        <v>무장</v>
      </c>
    </row>
    <row r="53" spans="1:17" x14ac:dyDescent="0.4">
      <c r="A53" s="1" t="s">
        <v>66</v>
      </c>
      <c r="B53" s="1" t="s">
        <v>14</v>
      </c>
      <c r="C53" s="1">
        <v>155803</v>
      </c>
      <c r="D53" s="1" t="s">
        <v>15</v>
      </c>
      <c r="E53" s="1" t="s">
        <v>16</v>
      </c>
      <c r="F53" s="1" t="s">
        <v>111</v>
      </c>
      <c r="G53" s="1" t="s">
        <v>36</v>
      </c>
      <c r="H53" s="1" t="s">
        <v>14</v>
      </c>
      <c r="I53" s="1">
        <v>70</v>
      </c>
      <c r="J53" s="1">
        <v>0</v>
      </c>
      <c r="K53" s="1">
        <v>60</v>
      </c>
      <c r="L53" s="1">
        <v>6000</v>
      </c>
      <c r="M53" s="1">
        <v>0</v>
      </c>
      <c r="N53" s="1">
        <v>0</v>
      </c>
      <c r="O53" s="1">
        <v>4200</v>
      </c>
      <c r="P53" s="6" t="str">
        <f>IF(ISERROR(VLOOKUP(F53,[1]작가별정산률!$R:$S,2,0)),"스토리위즈",VLOOKUP(F53,[1]작가별정산률!$R:$S,2,0))</f>
        <v>스토리위즈</v>
      </c>
      <c r="Q53" s="6" t="str">
        <f>IF(P53="스토리위즈",VLOOKUP(F53,[1]작가별정산률!$A:$B,2,0),P53)</f>
        <v>무장</v>
      </c>
    </row>
    <row r="54" spans="1:17" x14ac:dyDescent="0.4">
      <c r="A54" s="1" t="s">
        <v>66</v>
      </c>
      <c r="B54" s="1" t="s">
        <v>14</v>
      </c>
      <c r="C54" s="1">
        <v>156349</v>
      </c>
      <c r="D54" s="1" t="s">
        <v>15</v>
      </c>
      <c r="E54" s="1" t="s">
        <v>0</v>
      </c>
      <c r="F54" s="1" t="s">
        <v>134</v>
      </c>
      <c r="G54" s="1" t="s">
        <v>65</v>
      </c>
      <c r="H54" s="1" t="s">
        <v>14</v>
      </c>
      <c r="I54" s="1">
        <v>70</v>
      </c>
      <c r="J54" s="1">
        <v>0</v>
      </c>
      <c r="K54" s="1">
        <v>18</v>
      </c>
      <c r="L54" s="1">
        <v>1800</v>
      </c>
      <c r="M54" s="1">
        <v>0</v>
      </c>
      <c r="N54" s="1">
        <v>0</v>
      </c>
      <c r="O54" s="1">
        <v>1260</v>
      </c>
      <c r="P54" s="6" t="str">
        <f>IF(ISERROR(VLOOKUP(F54,[1]작가별정산률!$R:$S,2,0)),"스토리위즈",VLOOKUP(F54,[1]작가별정산률!$R:$S,2,0))</f>
        <v>스토리위즈</v>
      </c>
      <c r="Q54" s="6" t="str">
        <f>IF(P54="스토리위즈",VLOOKUP(F54,[1]작가별정산률!$A:$B,2,0),P54)</f>
        <v>구공</v>
      </c>
    </row>
    <row r="55" spans="1:17" x14ac:dyDescent="0.4">
      <c r="A55" s="1" t="s">
        <v>66</v>
      </c>
      <c r="B55" s="1" t="s">
        <v>14</v>
      </c>
      <c r="C55" s="1">
        <v>156531</v>
      </c>
      <c r="D55" s="1" t="s">
        <v>15</v>
      </c>
      <c r="E55" s="1" t="s">
        <v>17</v>
      </c>
      <c r="F55" s="1" t="s">
        <v>129</v>
      </c>
      <c r="G55" s="1" t="s">
        <v>56</v>
      </c>
      <c r="H55" s="1" t="s">
        <v>14</v>
      </c>
      <c r="I55" s="1">
        <v>70</v>
      </c>
      <c r="J55" s="1">
        <v>0</v>
      </c>
      <c r="K55" s="1">
        <v>169</v>
      </c>
      <c r="L55" s="1">
        <v>16900</v>
      </c>
      <c r="M55" s="1">
        <v>0</v>
      </c>
      <c r="N55" s="1">
        <v>0</v>
      </c>
      <c r="O55" s="1">
        <v>11830</v>
      </c>
      <c r="P55" s="6" t="str">
        <f>IF(ISERROR(VLOOKUP(F55,[1]작가별정산률!$R:$S,2,0)),"스토리위즈",VLOOKUP(F55,[1]작가별정산률!$R:$S,2,0))</f>
        <v>스토리위즈</v>
      </c>
      <c r="Q55" s="6" t="str">
        <f>IF(P55="스토리위즈",VLOOKUP(F55,[1]작가별정산률!$A:$B,2,0),P55)</f>
        <v>윈델</v>
      </c>
    </row>
    <row r="56" spans="1:17" x14ac:dyDescent="0.4">
      <c r="A56" s="1" t="s">
        <v>67</v>
      </c>
      <c r="B56" s="1" t="s">
        <v>14</v>
      </c>
      <c r="C56" s="1">
        <v>152149</v>
      </c>
      <c r="D56" s="1" t="s">
        <v>15</v>
      </c>
      <c r="E56" s="1" t="s">
        <v>17</v>
      </c>
      <c r="F56" s="1" t="s">
        <v>130</v>
      </c>
      <c r="G56" s="1" t="s">
        <v>58</v>
      </c>
      <c r="H56" s="1" t="s">
        <v>14</v>
      </c>
      <c r="I56" s="1">
        <v>70</v>
      </c>
      <c r="J56" s="1">
        <v>0</v>
      </c>
      <c r="K56" s="1">
        <v>15</v>
      </c>
      <c r="L56" s="1">
        <v>1500</v>
      </c>
      <c r="M56" s="1">
        <v>0</v>
      </c>
      <c r="N56" s="1">
        <v>0</v>
      </c>
      <c r="O56" s="1">
        <v>1050</v>
      </c>
      <c r="P56" s="6" t="str">
        <f>IF(ISERROR(VLOOKUP(F56,[1]작가별정산률!$R:$S,2,0)),"스토리위즈",VLOOKUP(F56,[1]작가별정산률!$R:$S,2,0))</f>
        <v>스토리위즈</v>
      </c>
      <c r="Q56" s="6" t="str">
        <f>IF(P56="스토리위즈",VLOOKUP(F56,[1]작가별정산률!$A:$B,2,0),P56)</f>
        <v>한례</v>
      </c>
    </row>
    <row r="57" spans="1:17" x14ac:dyDescent="0.4">
      <c r="A57" s="1" t="s">
        <v>67</v>
      </c>
      <c r="B57" s="1" t="s">
        <v>14</v>
      </c>
      <c r="C57" s="1">
        <v>152150</v>
      </c>
      <c r="D57" s="1" t="s">
        <v>15</v>
      </c>
      <c r="E57" s="1" t="s">
        <v>17</v>
      </c>
      <c r="F57" s="1" t="s">
        <v>131</v>
      </c>
      <c r="G57" s="1" t="s">
        <v>2</v>
      </c>
      <c r="H57" s="1" t="s">
        <v>14</v>
      </c>
      <c r="I57" s="1">
        <v>70</v>
      </c>
      <c r="J57" s="1">
        <v>0</v>
      </c>
      <c r="K57" s="1">
        <v>50</v>
      </c>
      <c r="L57" s="1">
        <v>5000</v>
      </c>
      <c r="M57" s="1">
        <v>0</v>
      </c>
      <c r="N57" s="1">
        <v>0</v>
      </c>
      <c r="O57" s="1">
        <v>3500</v>
      </c>
      <c r="P57" s="6" t="str">
        <f>IF(ISERROR(VLOOKUP(F57,[1]작가별정산률!$R:$S,2,0)),"스토리위즈",VLOOKUP(F57,[1]작가별정산률!$R:$S,2,0))</f>
        <v>스토리위즈</v>
      </c>
      <c r="Q57" s="6" t="str">
        <f>IF(P57="스토리위즈",VLOOKUP(F57,[1]작가별정산률!$A:$B,2,0),P57)</f>
        <v>불고기자리</v>
      </c>
    </row>
    <row r="58" spans="1:17" x14ac:dyDescent="0.4">
      <c r="A58" s="1" t="s">
        <v>67</v>
      </c>
      <c r="B58" s="1" t="s">
        <v>14</v>
      </c>
      <c r="C58" s="1">
        <v>152164</v>
      </c>
      <c r="D58" s="1" t="s">
        <v>15</v>
      </c>
      <c r="E58" s="1" t="s">
        <v>17</v>
      </c>
      <c r="F58" s="1" t="s">
        <v>133</v>
      </c>
      <c r="G58" s="1" t="s">
        <v>19</v>
      </c>
      <c r="H58" s="1" t="s">
        <v>14</v>
      </c>
      <c r="I58" s="1">
        <v>70</v>
      </c>
      <c r="J58" s="1">
        <v>0</v>
      </c>
      <c r="K58" s="1">
        <v>21</v>
      </c>
      <c r="L58" s="1">
        <v>2100</v>
      </c>
      <c r="M58" s="1">
        <v>0</v>
      </c>
      <c r="N58" s="1">
        <v>0</v>
      </c>
      <c r="O58" s="1">
        <v>1470</v>
      </c>
      <c r="P58" s="6" t="str">
        <f>IF(ISERROR(VLOOKUP(F58,[1]작가별정산률!$R:$S,2,0)),"스토리위즈",VLOOKUP(F58,[1]작가별정산률!$R:$S,2,0))</f>
        <v>스토리위즈</v>
      </c>
      <c r="Q58" s="6" t="str">
        <f>IF(P58="스토리위즈",VLOOKUP(F58,[1]작가별정산률!$A:$B,2,0),P58)</f>
        <v>무성매직</v>
      </c>
    </row>
    <row r="59" spans="1:17" x14ac:dyDescent="0.4">
      <c r="A59" s="1" t="s">
        <v>67</v>
      </c>
      <c r="B59" s="1" t="s">
        <v>14</v>
      </c>
      <c r="C59" s="1">
        <v>154677</v>
      </c>
      <c r="D59" s="1" t="s">
        <v>15</v>
      </c>
      <c r="E59" s="1" t="s">
        <v>25</v>
      </c>
      <c r="F59" s="1" t="s">
        <v>116</v>
      </c>
      <c r="G59" s="1" t="s">
        <v>26</v>
      </c>
      <c r="H59" s="1" t="s">
        <v>14</v>
      </c>
      <c r="I59" s="1">
        <v>70</v>
      </c>
      <c r="J59" s="1">
        <v>0</v>
      </c>
      <c r="K59" s="1">
        <v>10</v>
      </c>
      <c r="L59" s="1">
        <v>1000</v>
      </c>
      <c r="M59" s="1">
        <v>0</v>
      </c>
      <c r="N59" s="1">
        <v>0</v>
      </c>
      <c r="O59" s="1">
        <v>700</v>
      </c>
      <c r="P59" s="6" t="str">
        <f>IF(ISERROR(VLOOKUP(F59,[1]작가별정산률!$R:$S,2,0)),"스토리위즈",VLOOKUP(F59,[1]작가별정산률!$R:$S,2,0))</f>
        <v>스토리위즈</v>
      </c>
      <c r="Q59" s="6" t="str">
        <f>IF(P59="스토리위즈",VLOOKUP(F59,[1]작가별정산률!$A:$B,2,0),P59)</f>
        <v>세상</v>
      </c>
    </row>
    <row r="60" spans="1:17" x14ac:dyDescent="0.4">
      <c r="A60" s="1" t="s">
        <v>67</v>
      </c>
      <c r="B60" s="1" t="s">
        <v>14</v>
      </c>
      <c r="C60" s="1">
        <v>155366</v>
      </c>
      <c r="D60" s="1" t="s">
        <v>15</v>
      </c>
      <c r="E60" s="1" t="s">
        <v>28</v>
      </c>
      <c r="F60" s="1" t="s">
        <v>109</v>
      </c>
      <c r="G60" s="1" t="s">
        <v>51</v>
      </c>
      <c r="H60" s="1" t="s">
        <v>40</v>
      </c>
      <c r="I60" s="1">
        <v>70</v>
      </c>
      <c r="J60" s="1">
        <v>0</v>
      </c>
      <c r="K60" s="1">
        <v>28</v>
      </c>
      <c r="L60" s="1">
        <v>2800</v>
      </c>
      <c r="M60" s="1">
        <v>0</v>
      </c>
      <c r="N60" s="1">
        <v>0</v>
      </c>
      <c r="O60" s="1">
        <v>1960</v>
      </c>
      <c r="P60" s="6" t="str">
        <f>IF(ISERROR(VLOOKUP(F60,[1]작가별정산률!$R:$S,2,0)),"스토리위즈",VLOOKUP(F60,[1]작가별정산률!$R:$S,2,0))</f>
        <v>에필로그</v>
      </c>
      <c r="Q60" s="6" t="str">
        <f>IF(P60="스토리위즈",VLOOKUP(F60,[1]작가별정산률!$A:$B,2,0),P60)</f>
        <v>에필로그</v>
      </c>
    </row>
    <row r="61" spans="1:17" x14ac:dyDescent="0.4">
      <c r="A61" s="1" t="s">
        <v>67</v>
      </c>
      <c r="B61" s="1" t="s">
        <v>14</v>
      </c>
      <c r="C61" s="1">
        <v>156349</v>
      </c>
      <c r="D61" s="1" t="s">
        <v>15</v>
      </c>
      <c r="E61" s="1" t="s">
        <v>0</v>
      </c>
      <c r="F61" s="1" t="s">
        <v>134</v>
      </c>
      <c r="G61" s="1" t="s">
        <v>65</v>
      </c>
      <c r="H61" s="1" t="s">
        <v>14</v>
      </c>
      <c r="I61" s="1">
        <v>70</v>
      </c>
      <c r="J61" s="1">
        <v>0</v>
      </c>
      <c r="K61" s="1">
        <v>18</v>
      </c>
      <c r="L61" s="1">
        <v>1800</v>
      </c>
      <c r="M61" s="1">
        <v>0</v>
      </c>
      <c r="N61" s="1">
        <v>0</v>
      </c>
      <c r="O61" s="1">
        <v>1260</v>
      </c>
      <c r="P61" s="6" t="str">
        <f>IF(ISERROR(VLOOKUP(F61,[1]작가별정산률!$R:$S,2,0)),"스토리위즈",VLOOKUP(F61,[1]작가별정산률!$R:$S,2,0))</f>
        <v>스토리위즈</v>
      </c>
      <c r="Q61" s="6" t="str">
        <f>IF(P61="스토리위즈",VLOOKUP(F61,[1]작가별정산률!$A:$B,2,0),P61)</f>
        <v>구공</v>
      </c>
    </row>
    <row r="62" spans="1:17" x14ac:dyDescent="0.4">
      <c r="A62" s="1" t="s">
        <v>67</v>
      </c>
      <c r="B62" s="1" t="s">
        <v>14</v>
      </c>
      <c r="C62" s="1">
        <v>156531</v>
      </c>
      <c r="D62" s="1" t="s">
        <v>15</v>
      </c>
      <c r="E62" s="1" t="s">
        <v>17</v>
      </c>
      <c r="F62" s="1" t="s">
        <v>129</v>
      </c>
      <c r="G62" s="1" t="s">
        <v>56</v>
      </c>
      <c r="H62" s="1" t="s">
        <v>14</v>
      </c>
      <c r="I62" s="1">
        <v>70</v>
      </c>
      <c r="J62" s="1">
        <v>0</v>
      </c>
      <c r="K62" s="1">
        <v>187</v>
      </c>
      <c r="L62" s="1">
        <v>18700</v>
      </c>
      <c r="M62" s="1">
        <v>0</v>
      </c>
      <c r="N62" s="1">
        <v>0</v>
      </c>
      <c r="O62" s="1">
        <v>13090</v>
      </c>
      <c r="P62" s="6" t="str">
        <f>IF(ISERROR(VLOOKUP(F62,[1]작가별정산률!$R:$S,2,0)),"스토리위즈",VLOOKUP(F62,[1]작가별정산률!$R:$S,2,0))</f>
        <v>스토리위즈</v>
      </c>
      <c r="Q62" s="6" t="str">
        <f>IF(P62="스토리위즈",VLOOKUP(F62,[1]작가별정산률!$A:$B,2,0),P62)</f>
        <v>윈델</v>
      </c>
    </row>
    <row r="63" spans="1:17" x14ac:dyDescent="0.4">
      <c r="A63" s="1" t="s">
        <v>68</v>
      </c>
      <c r="B63" s="1" t="s">
        <v>14</v>
      </c>
      <c r="C63" s="1">
        <v>150559</v>
      </c>
      <c r="D63" s="1" t="s">
        <v>15</v>
      </c>
      <c r="E63" s="1" t="s">
        <v>16</v>
      </c>
      <c r="F63" s="1" t="s">
        <v>135</v>
      </c>
      <c r="G63" s="1" t="s">
        <v>69</v>
      </c>
      <c r="H63" s="1" t="s">
        <v>14</v>
      </c>
      <c r="I63" s="1">
        <v>70</v>
      </c>
      <c r="J63" s="1">
        <v>0</v>
      </c>
      <c r="K63" s="1">
        <v>1</v>
      </c>
      <c r="L63" s="1">
        <v>100</v>
      </c>
      <c r="M63" s="1">
        <v>0</v>
      </c>
      <c r="N63" s="1">
        <v>0</v>
      </c>
      <c r="O63" s="1">
        <v>70</v>
      </c>
      <c r="P63" s="6" t="str">
        <f>IF(ISERROR(VLOOKUP(F63,[1]작가별정산률!$R:$S,2,0)),"스토리위즈",VLOOKUP(F63,[1]작가별정산률!$R:$S,2,0))</f>
        <v>스토리위즈</v>
      </c>
      <c r="Q63" s="6" t="str">
        <f>IF(P63="스토리위즈",VLOOKUP(F63,[1]작가별정산률!$A:$B,2,0),P63)</f>
        <v>김광수</v>
      </c>
    </row>
    <row r="64" spans="1:17" x14ac:dyDescent="0.4">
      <c r="A64" s="1" t="s">
        <v>68</v>
      </c>
      <c r="B64" s="1" t="s">
        <v>14</v>
      </c>
      <c r="C64" s="1">
        <v>152151</v>
      </c>
      <c r="D64" s="1" t="s">
        <v>15</v>
      </c>
      <c r="E64" s="1" t="s">
        <v>17</v>
      </c>
      <c r="F64" s="1" t="s">
        <v>125</v>
      </c>
      <c r="G64" s="1" t="s">
        <v>50</v>
      </c>
      <c r="H64" s="1" t="s">
        <v>14</v>
      </c>
      <c r="I64" s="1">
        <v>70</v>
      </c>
      <c r="J64" s="1">
        <v>0</v>
      </c>
      <c r="K64" s="1">
        <v>3</v>
      </c>
      <c r="L64" s="1">
        <v>300</v>
      </c>
      <c r="M64" s="1">
        <v>0</v>
      </c>
      <c r="N64" s="1">
        <v>0</v>
      </c>
      <c r="O64" s="1">
        <v>210</v>
      </c>
      <c r="P64" s="6" t="str">
        <f>IF(ISERROR(VLOOKUP(F64,[1]작가별정산률!$R:$S,2,0)),"스토리위즈",VLOOKUP(F64,[1]작가별정산률!$R:$S,2,0))</f>
        <v>스토리위즈</v>
      </c>
      <c r="Q64" s="6" t="str">
        <f>IF(P64="스토리위즈",VLOOKUP(F64,[1]작가별정산률!$A:$B,2,0),P64)</f>
        <v>이린비</v>
      </c>
    </row>
    <row r="65" spans="1:17" x14ac:dyDescent="0.4">
      <c r="A65" s="1" t="s">
        <v>68</v>
      </c>
      <c r="B65" s="1" t="s">
        <v>14</v>
      </c>
      <c r="C65" s="1">
        <v>152164</v>
      </c>
      <c r="D65" s="1" t="s">
        <v>15</v>
      </c>
      <c r="E65" s="1" t="s">
        <v>17</v>
      </c>
      <c r="F65" s="1" t="s">
        <v>133</v>
      </c>
      <c r="G65" s="1" t="s">
        <v>19</v>
      </c>
      <c r="H65" s="1" t="s">
        <v>14</v>
      </c>
      <c r="I65" s="1">
        <v>70</v>
      </c>
      <c r="J65" s="1">
        <v>0</v>
      </c>
      <c r="K65" s="1">
        <v>4</v>
      </c>
      <c r="L65" s="1">
        <v>400</v>
      </c>
      <c r="M65" s="1">
        <v>0</v>
      </c>
      <c r="N65" s="1">
        <v>0</v>
      </c>
      <c r="O65" s="1">
        <v>280</v>
      </c>
      <c r="P65" s="6" t="str">
        <f>IF(ISERROR(VLOOKUP(F65,[1]작가별정산률!$R:$S,2,0)),"스토리위즈",VLOOKUP(F65,[1]작가별정산률!$R:$S,2,0))</f>
        <v>스토리위즈</v>
      </c>
      <c r="Q65" s="6" t="str">
        <f>IF(P65="스토리위즈",VLOOKUP(F65,[1]작가별정산률!$A:$B,2,0),P65)</f>
        <v>무성매직</v>
      </c>
    </row>
    <row r="66" spans="1:17" x14ac:dyDescent="0.4">
      <c r="A66" s="1" t="s">
        <v>68</v>
      </c>
      <c r="B66" s="1" t="s">
        <v>14</v>
      </c>
      <c r="C66" s="1">
        <v>155366</v>
      </c>
      <c r="D66" s="1" t="s">
        <v>15</v>
      </c>
      <c r="E66" s="1" t="s">
        <v>28</v>
      </c>
      <c r="F66" s="1" t="s">
        <v>109</v>
      </c>
      <c r="G66" s="1" t="s">
        <v>51</v>
      </c>
      <c r="H66" s="1" t="s">
        <v>40</v>
      </c>
      <c r="I66" s="1">
        <v>70</v>
      </c>
      <c r="J66" s="1">
        <v>0</v>
      </c>
      <c r="K66" s="1">
        <v>21</v>
      </c>
      <c r="L66" s="1">
        <v>2100</v>
      </c>
      <c r="M66" s="1">
        <v>0</v>
      </c>
      <c r="N66" s="1">
        <v>0</v>
      </c>
      <c r="O66" s="1">
        <v>1470</v>
      </c>
      <c r="P66" s="6" t="str">
        <f>IF(ISERROR(VLOOKUP(F66,[1]작가별정산률!$R:$S,2,0)),"스토리위즈",VLOOKUP(F66,[1]작가별정산률!$R:$S,2,0))</f>
        <v>에필로그</v>
      </c>
      <c r="Q66" s="6" t="str">
        <f>IF(P66="스토리위즈",VLOOKUP(F66,[1]작가별정산률!$A:$B,2,0),P66)</f>
        <v>에필로그</v>
      </c>
    </row>
    <row r="67" spans="1:17" x14ac:dyDescent="0.4">
      <c r="A67" s="1" t="s">
        <v>68</v>
      </c>
      <c r="B67" s="1" t="s">
        <v>14</v>
      </c>
      <c r="C67" s="1">
        <v>155393</v>
      </c>
      <c r="D67" s="1" t="s">
        <v>15</v>
      </c>
      <c r="E67" s="1" t="s">
        <v>17</v>
      </c>
      <c r="F67" s="1" t="s">
        <v>126</v>
      </c>
      <c r="G67" s="1" t="s">
        <v>52</v>
      </c>
      <c r="H67" s="1" t="s">
        <v>14</v>
      </c>
      <c r="I67" s="1">
        <v>70</v>
      </c>
      <c r="J67" s="1">
        <v>0</v>
      </c>
      <c r="K67" s="1">
        <v>3</v>
      </c>
      <c r="L67" s="1">
        <v>300</v>
      </c>
      <c r="M67" s="1">
        <v>0</v>
      </c>
      <c r="N67" s="1">
        <v>0</v>
      </c>
      <c r="O67" s="1">
        <v>210</v>
      </c>
      <c r="P67" s="6" t="str">
        <f>IF(ISERROR(VLOOKUP(F67,[1]작가별정산률!$R:$S,2,0)),"스토리위즈",VLOOKUP(F67,[1]작가별정산률!$R:$S,2,0))</f>
        <v>스토리위즈</v>
      </c>
      <c r="Q67" s="6" t="str">
        <f>IF(P67="스토리위즈",VLOOKUP(F67,[1]작가별정산률!$A:$B,2,0),P67)</f>
        <v>부엉이콩</v>
      </c>
    </row>
    <row r="68" spans="1:17" x14ac:dyDescent="0.4">
      <c r="A68" s="1" t="s">
        <v>68</v>
      </c>
      <c r="B68" s="1" t="s">
        <v>14</v>
      </c>
      <c r="C68" s="1">
        <v>156349</v>
      </c>
      <c r="D68" s="1" t="s">
        <v>15</v>
      </c>
      <c r="E68" s="1" t="s">
        <v>0</v>
      </c>
      <c r="F68" s="1" t="s">
        <v>134</v>
      </c>
      <c r="G68" s="1" t="s">
        <v>65</v>
      </c>
      <c r="H68" s="1" t="s">
        <v>14</v>
      </c>
      <c r="I68" s="1">
        <v>70</v>
      </c>
      <c r="J68" s="1">
        <v>0</v>
      </c>
      <c r="K68" s="1">
        <v>26</v>
      </c>
      <c r="L68" s="1">
        <v>2600</v>
      </c>
      <c r="M68" s="1">
        <v>0</v>
      </c>
      <c r="N68" s="1">
        <v>0</v>
      </c>
      <c r="O68" s="1">
        <v>1820</v>
      </c>
      <c r="P68" s="6" t="str">
        <f>IF(ISERROR(VLOOKUP(F68,[1]작가별정산률!$R:$S,2,0)),"스토리위즈",VLOOKUP(F68,[1]작가별정산률!$R:$S,2,0))</f>
        <v>스토리위즈</v>
      </c>
      <c r="Q68" s="6" t="str">
        <f>IF(P68="스토리위즈",VLOOKUP(F68,[1]작가별정산률!$A:$B,2,0),P68)</f>
        <v>구공</v>
      </c>
    </row>
    <row r="69" spans="1:17" x14ac:dyDescent="0.4">
      <c r="A69" s="1" t="s">
        <v>68</v>
      </c>
      <c r="B69" s="1" t="s">
        <v>14</v>
      </c>
      <c r="C69" s="1">
        <v>156531</v>
      </c>
      <c r="D69" s="1" t="s">
        <v>15</v>
      </c>
      <c r="E69" s="1" t="s">
        <v>17</v>
      </c>
      <c r="F69" s="1" t="s">
        <v>129</v>
      </c>
      <c r="G69" s="1" t="s">
        <v>56</v>
      </c>
      <c r="H69" s="1" t="s">
        <v>14</v>
      </c>
      <c r="I69" s="1">
        <v>70</v>
      </c>
      <c r="J69" s="1">
        <v>0</v>
      </c>
      <c r="K69" s="1">
        <v>148</v>
      </c>
      <c r="L69" s="1">
        <v>14800</v>
      </c>
      <c r="M69" s="1">
        <v>0</v>
      </c>
      <c r="N69" s="1">
        <v>0</v>
      </c>
      <c r="O69" s="1">
        <v>10360</v>
      </c>
      <c r="P69" s="6" t="str">
        <f>IF(ISERROR(VLOOKUP(F69,[1]작가별정산률!$R:$S,2,0)),"스토리위즈",VLOOKUP(F69,[1]작가별정산률!$R:$S,2,0))</f>
        <v>스토리위즈</v>
      </c>
      <c r="Q69" s="6" t="str">
        <f>IF(P69="스토리위즈",VLOOKUP(F69,[1]작가별정산률!$A:$B,2,0),P69)</f>
        <v>윈델</v>
      </c>
    </row>
    <row r="70" spans="1:17" x14ac:dyDescent="0.4">
      <c r="A70" s="1" t="s">
        <v>70</v>
      </c>
      <c r="B70" s="1" t="s">
        <v>14</v>
      </c>
      <c r="C70" s="1">
        <v>156349</v>
      </c>
      <c r="D70" s="1" t="s">
        <v>15</v>
      </c>
      <c r="E70" s="1" t="s">
        <v>0</v>
      </c>
      <c r="F70" s="1" t="s">
        <v>134</v>
      </c>
      <c r="G70" s="1" t="s">
        <v>65</v>
      </c>
      <c r="H70" s="1" t="s">
        <v>14</v>
      </c>
      <c r="I70" s="1">
        <v>70</v>
      </c>
      <c r="J70" s="1">
        <v>0</v>
      </c>
      <c r="K70" s="1">
        <v>27</v>
      </c>
      <c r="L70" s="1">
        <v>2700</v>
      </c>
      <c r="M70" s="1">
        <v>0</v>
      </c>
      <c r="N70" s="1">
        <v>0</v>
      </c>
      <c r="O70" s="1">
        <v>1890</v>
      </c>
      <c r="P70" s="6" t="str">
        <f>IF(ISERROR(VLOOKUP(F70,[1]작가별정산률!$R:$S,2,0)),"스토리위즈",VLOOKUP(F70,[1]작가별정산률!$R:$S,2,0))</f>
        <v>스토리위즈</v>
      </c>
      <c r="Q70" s="6" t="str">
        <f>IF(P70="스토리위즈",VLOOKUP(F70,[1]작가별정산률!$A:$B,2,0),P70)</f>
        <v>구공</v>
      </c>
    </row>
    <row r="71" spans="1:17" x14ac:dyDescent="0.4">
      <c r="A71" s="1" t="s">
        <v>71</v>
      </c>
      <c r="B71" s="1" t="s">
        <v>14</v>
      </c>
      <c r="C71" s="1">
        <v>155364</v>
      </c>
      <c r="D71" s="1" t="s">
        <v>15</v>
      </c>
      <c r="E71" s="1" t="s">
        <v>28</v>
      </c>
      <c r="F71" s="1" t="s">
        <v>109</v>
      </c>
      <c r="G71" s="1" t="s">
        <v>30</v>
      </c>
      <c r="H71" s="1" t="s">
        <v>40</v>
      </c>
      <c r="I71" s="1">
        <v>70</v>
      </c>
      <c r="J71" s="1">
        <v>0</v>
      </c>
      <c r="K71" s="1">
        <v>1</v>
      </c>
      <c r="L71" s="1">
        <v>100</v>
      </c>
      <c r="M71" s="1">
        <v>0</v>
      </c>
      <c r="N71" s="1">
        <v>0</v>
      </c>
      <c r="O71" s="1">
        <v>70</v>
      </c>
      <c r="P71" s="6" t="str">
        <f>IF(ISERROR(VLOOKUP(F71,[1]작가별정산률!$R:$S,2,0)),"스토리위즈",VLOOKUP(F71,[1]작가별정산률!$R:$S,2,0))</f>
        <v>에필로그</v>
      </c>
      <c r="Q71" s="6" t="str">
        <f>IF(P71="스토리위즈",VLOOKUP(F71,[1]작가별정산률!$A:$B,2,0),P71)</f>
        <v>에필로그</v>
      </c>
    </row>
    <row r="72" spans="1:17" x14ac:dyDescent="0.4">
      <c r="A72" s="1" t="s">
        <v>71</v>
      </c>
      <c r="B72" s="1" t="s">
        <v>14</v>
      </c>
      <c r="C72" s="1">
        <v>155639</v>
      </c>
      <c r="D72" s="1" t="s">
        <v>15</v>
      </c>
      <c r="E72" s="1" t="s">
        <v>16</v>
      </c>
      <c r="F72" s="1" t="s">
        <v>120</v>
      </c>
      <c r="G72" s="1" t="s">
        <v>31</v>
      </c>
      <c r="H72" s="1" t="s">
        <v>40</v>
      </c>
      <c r="I72" s="1">
        <v>70</v>
      </c>
      <c r="J72" s="1">
        <v>0</v>
      </c>
      <c r="K72" s="1">
        <v>19</v>
      </c>
      <c r="L72" s="1">
        <v>1900</v>
      </c>
      <c r="M72" s="1">
        <v>0</v>
      </c>
      <c r="N72" s="1">
        <v>0</v>
      </c>
      <c r="O72" s="1">
        <v>1330</v>
      </c>
      <c r="P72" s="6" t="str">
        <f>IF(ISERROR(VLOOKUP(F72,[1]작가별정산률!$R:$S,2,0)),"스토리위즈",VLOOKUP(F72,[1]작가별정산률!$R:$S,2,0))</f>
        <v>에필로그</v>
      </c>
      <c r="Q72" s="6" t="str">
        <f>IF(P72="스토리위즈",VLOOKUP(F72,[1]작가별정산률!$A:$B,2,0),P72)</f>
        <v>에필로그</v>
      </c>
    </row>
    <row r="73" spans="1:17" x14ac:dyDescent="0.4">
      <c r="A73" s="1" t="s">
        <v>71</v>
      </c>
      <c r="B73" s="1" t="s">
        <v>14</v>
      </c>
      <c r="C73" s="1">
        <v>156319</v>
      </c>
      <c r="D73" s="1" t="s">
        <v>15</v>
      </c>
      <c r="E73" s="1" t="s">
        <v>0</v>
      </c>
      <c r="F73" s="1" t="s">
        <v>127</v>
      </c>
      <c r="G73" s="1" t="s">
        <v>54</v>
      </c>
      <c r="H73" s="1" t="s">
        <v>40</v>
      </c>
      <c r="I73" s="1">
        <v>70</v>
      </c>
      <c r="J73" s="1">
        <v>0</v>
      </c>
      <c r="K73" s="1">
        <v>5</v>
      </c>
      <c r="L73" s="1">
        <v>500</v>
      </c>
      <c r="M73" s="1">
        <v>0</v>
      </c>
      <c r="N73" s="1">
        <v>0</v>
      </c>
      <c r="O73" s="1">
        <v>350</v>
      </c>
      <c r="P73" s="6" t="str">
        <f>IF(ISERROR(VLOOKUP(F73,[1]작가별정산률!$R:$S,2,0)),"스토리위즈",VLOOKUP(F73,[1]작가별정산률!$R:$S,2,0))</f>
        <v>에필로그</v>
      </c>
      <c r="Q73" s="6" t="str">
        <f>IF(P73="스토리위즈",VLOOKUP(F73,[1]작가별정산률!$A:$B,2,0),P73)</f>
        <v>에필로그</v>
      </c>
    </row>
    <row r="74" spans="1:17" x14ac:dyDescent="0.4">
      <c r="A74" s="1" t="s">
        <v>71</v>
      </c>
      <c r="B74" s="1" t="s">
        <v>14</v>
      </c>
      <c r="C74" s="1">
        <v>156349</v>
      </c>
      <c r="D74" s="1" t="s">
        <v>15</v>
      </c>
      <c r="E74" s="1" t="s">
        <v>0</v>
      </c>
      <c r="F74" s="1" t="s">
        <v>134</v>
      </c>
      <c r="G74" s="1" t="s">
        <v>65</v>
      </c>
      <c r="H74" s="1" t="s">
        <v>14</v>
      </c>
      <c r="I74" s="1">
        <v>70</v>
      </c>
      <c r="J74" s="1">
        <v>0</v>
      </c>
      <c r="K74" s="1">
        <v>15</v>
      </c>
      <c r="L74" s="1">
        <v>1500</v>
      </c>
      <c r="M74" s="1">
        <v>0</v>
      </c>
      <c r="N74" s="1">
        <v>0</v>
      </c>
      <c r="O74" s="1">
        <v>1050</v>
      </c>
      <c r="P74" s="6" t="str">
        <f>IF(ISERROR(VLOOKUP(F74,[1]작가별정산률!$R:$S,2,0)),"스토리위즈",VLOOKUP(F74,[1]작가별정산률!$R:$S,2,0))</f>
        <v>스토리위즈</v>
      </c>
      <c r="Q74" s="6" t="str">
        <f>IF(P74="스토리위즈",VLOOKUP(F74,[1]작가별정산률!$A:$B,2,0),P74)</f>
        <v>구공</v>
      </c>
    </row>
    <row r="75" spans="1:17" x14ac:dyDescent="0.4">
      <c r="A75" s="1" t="s">
        <v>72</v>
      </c>
      <c r="B75" s="1" t="s">
        <v>14</v>
      </c>
      <c r="C75" s="1">
        <v>155364</v>
      </c>
      <c r="D75" s="1" t="s">
        <v>15</v>
      </c>
      <c r="E75" s="1" t="s">
        <v>28</v>
      </c>
      <c r="F75" s="1" t="s">
        <v>109</v>
      </c>
      <c r="G75" s="1" t="s">
        <v>30</v>
      </c>
      <c r="H75" s="1" t="s">
        <v>40</v>
      </c>
      <c r="I75" s="1">
        <v>70</v>
      </c>
      <c r="J75" s="1">
        <v>0</v>
      </c>
      <c r="K75" s="1">
        <v>201</v>
      </c>
      <c r="L75" s="1">
        <v>20100</v>
      </c>
      <c r="M75" s="1">
        <v>0</v>
      </c>
      <c r="N75" s="1">
        <v>0</v>
      </c>
      <c r="O75" s="1">
        <v>14070</v>
      </c>
      <c r="P75" s="6" t="str">
        <f>IF(ISERROR(VLOOKUP(F75,[1]작가별정산률!$R:$S,2,0)),"스토리위즈",VLOOKUP(F75,[1]작가별정산률!$R:$S,2,0))</f>
        <v>에필로그</v>
      </c>
      <c r="Q75" s="6" t="str">
        <f>IF(P75="스토리위즈",VLOOKUP(F75,[1]작가별정산률!$A:$B,2,0),P75)</f>
        <v>에필로그</v>
      </c>
    </row>
    <row r="76" spans="1:17" x14ac:dyDescent="0.4">
      <c r="A76" s="1" t="s">
        <v>72</v>
      </c>
      <c r="B76" s="1" t="s">
        <v>14</v>
      </c>
      <c r="C76" s="1">
        <v>155639</v>
      </c>
      <c r="D76" s="1" t="s">
        <v>15</v>
      </c>
      <c r="E76" s="1" t="s">
        <v>16</v>
      </c>
      <c r="F76" s="1" t="s">
        <v>120</v>
      </c>
      <c r="G76" s="1" t="s">
        <v>31</v>
      </c>
      <c r="H76" s="1" t="s">
        <v>40</v>
      </c>
      <c r="I76" s="1">
        <v>70</v>
      </c>
      <c r="J76" s="1">
        <v>0</v>
      </c>
      <c r="K76" s="1">
        <v>42</v>
      </c>
      <c r="L76" s="1">
        <v>4200</v>
      </c>
      <c r="M76" s="1">
        <v>0</v>
      </c>
      <c r="N76" s="1">
        <v>0</v>
      </c>
      <c r="O76" s="1">
        <v>2940</v>
      </c>
      <c r="P76" s="6" t="str">
        <f>IF(ISERROR(VLOOKUP(F76,[1]작가별정산률!$R:$S,2,0)),"스토리위즈",VLOOKUP(F76,[1]작가별정산률!$R:$S,2,0))</f>
        <v>에필로그</v>
      </c>
      <c r="Q76" s="6" t="str">
        <f>IF(P76="스토리위즈",VLOOKUP(F76,[1]작가별정산률!$A:$B,2,0),P76)</f>
        <v>에필로그</v>
      </c>
    </row>
    <row r="77" spans="1:17" x14ac:dyDescent="0.4">
      <c r="A77" s="1" t="s">
        <v>72</v>
      </c>
      <c r="B77" s="1" t="s">
        <v>14</v>
      </c>
      <c r="C77" s="1">
        <v>156319</v>
      </c>
      <c r="D77" s="1" t="s">
        <v>15</v>
      </c>
      <c r="E77" s="1" t="s">
        <v>0</v>
      </c>
      <c r="F77" s="1" t="s">
        <v>127</v>
      </c>
      <c r="G77" s="1" t="s">
        <v>54</v>
      </c>
      <c r="H77" s="1" t="s">
        <v>40</v>
      </c>
      <c r="I77" s="1">
        <v>70</v>
      </c>
      <c r="J77" s="1">
        <v>0</v>
      </c>
      <c r="K77" s="1">
        <v>6</v>
      </c>
      <c r="L77" s="1">
        <v>600</v>
      </c>
      <c r="M77" s="1">
        <v>0</v>
      </c>
      <c r="N77" s="1">
        <v>0</v>
      </c>
      <c r="O77" s="1">
        <v>420</v>
      </c>
      <c r="P77" s="6" t="str">
        <f>IF(ISERROR(VLOOKUP(F77,[1]작가별정산률!$R:$S,2,0)),"스토리위즈",VLOOKUP(F77,[1]작가별정산률!$R:$S,2,0))</f>
        <v>에필로그</v>
      </c>
      <c r="Q77" s="6" t="str">
        <f>IF(P77="스토리위즈",VLOOKUP(F77,[1]작가별정산률!$A:$B,2,0),P77)</f>
        <v>에필로그</v>
      </c>
    </row>
    <row r="78" spans="1:17" x14ac:dyDescent="0.4">
      <c r="A78" s="1" t="s">
        <v>72</v>
      </c>
      <c r="B78" s="1" t="s">
        <v>14</v>
      </c>
      <c r="C78" s="1">
        <v>156349</v>
      </c>
      <c r="D78" s="1" t="s">
        <v>15</v>
      </c>
      <c r="E78" s="1" t="s">
        <v>0</v>
      </c>
      <c r="F78" s="1" t="s">
        <v>134</v>
      </c>
      <c r="G78" s="1" t="s">
        <v>65</v>
      </c>
      <c r="H78" s="1" t="s">
        <v>14</v>
      </c>
      <c r="I78" s="1">
        <v>70</v>
      </c>
      <c r="J78" s="1">
        <v>0</v>
      </c>
      <c r="K78" s="1">
        <v>25</v>
      </c>
      <c r="L78" s="1">
        <v>2500</v>
      </c>
      <c r="M78" s="1">
        <v>0</v>
      </c>
      <c r="N78" s="1">
        <v>0</v>
      </c>
      <c r="O78" s="1">
        <v>1750</v>
      </c>
      <c r="P78" s="6" t="str">
        <f>IF(ISERROR(VLOOKUP(F78,[1]작가별정산률!$R:$S,2,0)),"스토리위즈",VLOOKUP(F78,[1]작가별정산률!$R:$S,2,0))</f>
        <v>스토리위즈</v>
      </c>
      <c r="Q78" s="6" t="str">
        <f>IF(P78="스토리위즈",VLOOKUP(F78,[1]작가별정산률!$A:$B,2,0),P78)</f>
        <v>구공</v>
      </c>
    </row>
    <row r="79" spans="1:17" x14ac:dyDescent="0.4">
      <c r="A79" s="1" t="s">
        <v>73</v>
      </c>
      <c r="B79" s="1" t="s">
        <v>14</v>
      </c>
      <c r="C79" s="1">
        <v>155639</v>
      </c>
      <c r="D79" s="1" t="s">
        <v>15</v>
      </c>
      <c r="E79" s="1" t="s">
        <v>16</v>
      </c>
      <c r="F79" s="1" t="s">
        <v>120</v>
      </c>
      <c r="G79" s="1" t="s">
        <v>31</v>
      </c>
      <c r="H79" s="1" t="s">
        <v>40</v>
      </c>
      <c r="I79" s="1">
        <v>70</v>
      </c>
      <c r="J79" s="1">
        <v>0</v>
      </c>
      <c r="K79" s="1">
        <v>48</v>
      </c>
      <c r="L79" s="1">
        <v>4800</v>
      </c>
      <c r="M79" s="1">
        <v>0</v>
      </c>
      <c r="N79" s="1">
        <v>0</v>
      </c>
      <c r="O79" s="1">
        <v>3360</v>
      </c>
      <c r="P79" s="6" t="str">
        <f>IF(ISERROR(VLOOKUP(F79,[1]작가별정산률!$R:$S,2,0)),"스토리위즈",VLOOKUP(F79,[1]작가별정산률!$R:$S,2,0))</f>
        <v>에필로그</v>
      </c>
      <c r="Q79" s="6" t="str">
        <f>IF(P79="스토리위즈",VLOOKUP(F79,[1]작가별정산률!$A:$B,2,0),P79)</f>
        <v>에필로그</v>
      </c>
    </row>
    <row r="80" spans="1:17" x14ac:dyDescent="0.4">
      <c r="A80" s="1" t="s">
        <v>73</v>
      </c>
      <c r="B80" s="1" t="s">
        <v>14</v>
      </c>
      <c r="C80" s="1">
        <v>156319</v>
      </c>
      <c r="D80" s="1" t="s">
        <v>15</v>
      </c>
      <c r="E80" s="1" t="s">
        <v>0</v>
      </c>
      <c r="F80" s="1" t="s">
        <v>127</v>
      </c>
      <c r="G80" s="1" t="s">
        <v>54</v>
      </c>
      <c r="H80" s="1" t="s">
        <v>40</v>
      </c>
      <c r="I80" s="1">
        <v>70</v>
      </c>
      <c r="J80" s="1">
        <v>0</v>
      </c>
      <c r="K80" s="1">
        <v>4</v>
      </c>
      <c r="L80" s="1">
        <v>400</v>
      </c>
      <c r="M80" s="1">
        <v>0</v>
      </c>
      <c r="N80" s="1">
        <v>0</v>
      </c>
      <c r="O80" s="1">
        <v>280</v>
      </c>
      <c r="P80" s="6" t="str">
        <f>IF(ISERROR(VLOOKUP(F80,[1]작가별정산률!$R:$S,2,0)),"스토리위즈",VLOOKUP(F80,[1]작가별정산률!$R:$S,2,0))</f>
        <v>에필로그</v>
      </c>
      <c r="Q80" s="6" t="str">
        <f>IF(P80="스토리위즈",VLOOKUP(F80,[1]작가별정산률!$A:$B,2,0),P80)</f>
        <v>에필로그</v>
      </c>
    </row>
    <row r="81" spans="1:17" x14ac:dyDescent="0.4">
      <c r="A81" s="1" t="s">
        <v>73</v>
      </c>
      <c r="B81" s="1" t="s">
        <v>14</v>
      </c>
      <c r="C81" s="1">
        <v>156349</v>
      </c>
      <c r="D81" s="1" t="s">
        <v>15</v>
      </c>
      <c r="E81" s="1" t="s">
        <v>0</v>
      </c>
      <c r="F81" s="1" t="s">
        <v>134</v>
      </c>
      <c r="G81" s="1" t="s">
        <v>65</v>
      </c>
      <c r="H81" s="1" t="s">
        <v>14</v>
      </c>
      <c r="I81" s="1">
        <v>70</v>
      </c>
      <c r="J81" s="1">
        <v>0</v>
      </c>
      <c r="K81" s="1">
        <v>2</v>
      </c>
      <c r="L81" s="1">
        <v>200</v>
      </c>
      <c r="M81" s="1">
        <v>0</v>
      </c>
      <c r="N81" s="1">
        <v>0</v>
      </c>
      <c r="O81" s="1">
        <v>140</v>
      </c>
      <c r="P81" s="6" t="str">
        <f>IF(ISERROR(VLOOKUP(F81,[1]작가별정산률!$R:$S,2,0)),"스토리위즈",VLOOKUP(F81,[1]작가별정산률!$R:$S,2,0))</f>
        <v>스토리위즈</v>
      </c>
      <c r="Q81" s="6" t="str">
        <f>IF(P81="스토리위즈",VLOOKUP(F81,[1]작가별정산률!$A:$B,2,0),P81)</f>
        <v>구공</v>
      </c>
    </row>
    <row r="82" spans="1:17" x14ac:dyDescent="0.4">
      <c r="A82" s="1" t="s">
        <v>74</v>
      </c>
      <c r="B82" s="1" t="s">
        <v>14</v>
      </c>
      <c r="C82" s="1">
        <v>155639</v>
      </c>
      <c r="D82" s="1" t="s">
        <v>15</v>
      </c>
      <c r="E82" s="1" t="s">
        <v>16</v>
      </c>
      <c r="F82" s="1" t="s">
        <v>120</v>
      </c>
      <c r="G82" s="1" t="s">
        <v>31</v>
      </c>
      <c r="H82" s="1" t="s">
        <v>40</v>
      </c>
      <c r="I82" s="1">
        <v>70</v>
      </c>
      <c r="J82" s="1">
        <v>0</v>
      </c>
      <c r="K82" s="1">
        <v>31</v>
      </c>
      <c r="L82" s="1">
        <v>3100</v>
      </c>
      <c r="M82" s="1">
        <v>0</v>
      </c>
      <c r="N82" s="1">
        <v>0</v>
      </c>
      <c r="O82" s="1">
        <v>2170</v>
      </c>
      <c r="P82" s="6" t="str">
        <f>IF(ISERROR(VLOOKUP(F82,[1]작가별정산률!$R:$S,2,0)),"스토리위즈",VLOOKUP(F82,[1]작가별정산률!$R:$S,2,0))</f>
        <v>에필로그</v>
      </c>
      <c r="Q82" s="6" t="str">
        <f>IF(P82="스토리위즈",VLOOKUP(F82,[1]작가별정산률!$A:$B,2,0),P82)</f>
        <v>에필로그</v>
      </c>
    </row>
    <row r="83" spans="1:17" x14ac:dyDescent="0.4">
      <c r="A83" s="1" t="s">
        <v>74</v>
      </c>
      <c r="B83" s="1" t="s">
        <v>14</v>
      </c>
      <c r="C83" s="1">
        <v>156349</v>
      </c>
      <c r="D83" s="1" t="s">
        <v>15</v>
      </c>
      <c r="E83" s="1" t="s">
        <v>0</v>
      </c>
      <c r="F83" s="1" t="s">
        <v>134</v>
      </c>
      <c r="G83" s="1" t="s">
        <v>65</v>
      </c>
      <c r="H83" s="1" t="s">
        <v>14</v>
      </c>
      <c r="I83" s="1">
        <v>70</v>
      </c>
      <c r="J83" s="1">
        <v>0</v>
      </c>
      <c r="K83" s="1">
        <v>15</v>
      </c>
      <c r="L83" s="1">
        <v>1500</v>
      </c>
      <c r="M83" s="1">
        <v>0</v>
      </c>
      <c r="N83" s="1">
        <v>0</v>
      </c>
      <c r="O83" s="1">
        <v>1050</v>
      </c>
      <c r="P83" s="6" t="str">
        <f>IF(ISERROR(VLOOKUP(F83,[1]작가별정산률!$R:$S,2,0)),"스토리위즈",VLOOKUP(F83,[1]작가별정산률!$R:$S,2,0))</f>
        <v>스토리위즈</v>
      </c>
      <c r="Q83" s="6" t="str">
        <f>IF(P83="스토리위즈",VLOOKUP(F83,[1]작가별정산률!$A:$B,2,0),P83)</f>
        <v>구공</v>
      </c>
    </row>
    <row r="84" spans="1:17" x14ac:dyDescent="0.4">
      <c r="A84" s="1" t="s">
        <v>75</v>
      </c>
      <c r="B84" s="1" t="s">
        <v>14</v>
      </c>
      <c r="C84" s="1">
        <v>152150</v>
      </c>
      <c r="D84" s="1" t="s">
        <v>15</v>
      </c>
      <c r="E84" s="1" t="s">
        <v>17</v>
      </c>
      <c r="F84" s="1" t="s">
        <v>131</v>
      </c>
      <c r="G84" s="1" t="s">
        <v>2</v>
      </c>
      <c r="H84" s="1" t="s">
        <v>14</v>
      </c>
      <c r="I84" s="1">
        <v>70</v>
      </c>
      <c r="J84" s="1">
        <v>0</v>
      </c>
      <c r="K84" s="1">
        <v>10</v>
      </c>
      <c r="L84" s="1">
        <v>1000</v>
      </c>
      <c r="M84" s="1">
        <v>0</v>
      </c>
      <c r="N84" s="1">
        <v>0</v>
      </c>
      <c r="O84" s="1">
        <v>700</v>
      </c>
      <c r="P84" s="6" t="str">
        <f>IF(ISERROR(VLOOKUP(F84,[1]작가별정산률!$R:$S,2,0)),"스토리위즈",VLOOKUP(F84,[1]작가별정산률!$R:$S,2,0))</f>
        <v>스토리위즈</v>
      </c>
      <c r="Q84" s="6" t="str">
        <f>IF(P84="스토리위즈",VLOOKUP(F84,[1]작가별정산률!$A:$B,2,0),P84)</f>
        <v>불고기자리</v>
      </c>
    </row>
    <row r="85" spans="1:17" x14ac:dyDescent="0.4">
      <c r="A85" s="1" t="s">
        <v>75</v>
      </c>
      <c r="B85" s="1" t="s">
        <v>14</v>
      </c>
      <c r="C85" s="1">
        <v>155639</v>
      </c>
      <c r="D85" s="1" t="s">
        <v>15</v>
      </c>
      <c r="E85" s="1" t="s">
        <v>16</v>
      </c>
      <c r="F85" s="1" t="s">
        <v>120</v>
      </c>
      <c r="G85" s="1" t="s">
        <v>31</v>
      </c>
      <c r="H85" s="1" t="s">
        <v>40</v>
      </c>
      <c r="I85" s="1">
        <v>70</v>
      </c>
      <c r="J85" s="1">
        <v>0</v>
      </c>
      <c r="K85" s="1">
        <v>57</v>
      </c>
      <c r="L85" s="1">
        <v>5700</v>
      </c>
      <c r="M85" s="1">
        <v>0</v>
      </c>
      <c r="N85" s="1">
        <v>0</v>
      </c>
      <c r="O85" s="1">
        <v>3990</v>
      </c>
      <c r="P85" s="6" t="str">
        <f>IF(ISERROR(VLOOKUP(F85,[1]작가별정산률!$R:$S,2,0)),"스토리위즈",VLOOKUP(F85,[1]작가별정산률!$R:$S,2,0))</f>
        <v>에필로그</v>
      </c>
      <c r="Q85" s="6" t="str">
        <f>IF(P85="스토리위즈",VLOOKUP(F85,[1]작가별정산률!$A:$B,2,0),P85)</f>
        <v>에필로그</v>
      </c>
    </row>
    <row r="86" spans="1:17" x14ac:dyDescent="0.4">
      <c r="A86" s="1" t="s">
        <v>76</v>
      </c>
      <c r="B86" s="1" t="s">
        <v>14</v>
      </c>
      <c r="C86" s="1">
        <v>155364</v>
      </c>
      <c r="D86" s="1" t="s">
        <v>15</v>
      </c>
      <c r="E86" s="1" t="s">
        <v>28</v>
      </c>
      <c r="F86" s="1" t="s">
        <v>109</v>
      </c>
      <c r="G86" s="1" t="s">
        <v>30</v>
      </c>
      <c r="H86" s="1" t="s">
        <v>40</v>
      </c>
      <c r="I86" s="1">
        <v>70</v>
      </c>
      <c r="J86" s="1">
        <v>0</v>
      </c>
      <c r="K86" s="1">
        <v>100</v>
      </c>
      <c r="L86" s="1">
        <v>10000</v>
      </c>
      <c r="M86" s="1">
        <v>0</v>
      </c>
      <c r="N86" s="1">
        <v>0</v>
      </c>
      <c r="O86" s="1">
        <v>7000</v>
      </c>
      <c r="P86" s="6" t="str">
        <f>IF(ISERROR(VLOOKUP(F86,[1]작가별정산률!$R:$S,2,0)),"스토리위즈",VLOOKUP(F86,[1]작가별정산률!$R:$S,2,0))</f>
        <v>에필로그</v>
      </c>
      <c r="Q86" s="6" t="str">
        <f>IF(P86="스토리위즈",VLOOKUP(F86,[1]작가별정산률!$A:$B,2,0),P86)</f>
        <v>에필로그</v>
      </c>
    </row>
    <row r="87" spans="1:17" x14ac:dyDescent="0.4">
      <c r="A87" s="1" t="s">
        <v>76</v>
      </c>
      <c r="B87" s="1" t="s">
        <v>14</v>
      </c>
      <c r="C87" s="1">
        <v>155639</v>
      </c>
      <c r="D87" s="1" t="s">
        <v>15</v>
      </c>
      <c r="E87" s="1" t="s">
        <v>16</v>
      </c>
      <c r="F87" s="1" t="s">
        <v>120</v>
      </c>
      <c r="G87" s="1" t="s">
        <v>31</v>
      </c>
      <c r="H87" s="1" t="s">
        <v>40</v>
      </c>
      <c r="I87" s="1">
        <v>70</v>
      </c>
      <c r="J87" s="1">
        <v>0</v>
      </c>
      <c r="K87" s="1">
        <v>20</v>
      </c>
      <c r="L87" s="1">
        <v>2000</v>
      </c>
      <c r="M87" s="1">
        <v>0</v>
      </c>
      <c r="N87" s="1">
        <v>0</v>
      </c>
      <c r="O87" s="1">
        <v>1400</v>
      </c>
      <c r="P87" s="6" t="str">
        <f>IF(ISERROR(VLOOKUP(F87,[1]작가별정산률!$R:$S,2,0)),"스토리위즈",VLOOKUP(F87,[1]작가별정산률!$R:$S,2,0))</f>
        <v>에필로그</v>
      </c>
      <c r="Q87" s="6" t="str">
        <f>IF(P87="스토리위즈",VLOOKUP(F87,[1]작가별정산률!$A:$B,2,0),P87)</f>
        <v>에필로그</v>
      </c>
    </row>
    <row r="88" spans="1:17" x14ac:dyDescent="0.4">
      <c r="A88" s="1" t="s">
        <v>77</v>
      </c>
      <c r="B88" s="1" t="s">
        <v>14</v>
      </c>
      <c r="C88" s="1">
        <v>151282</v>
      </c>
      <c r="D88" s="1" t="s">
        <v>15</v>
      </c>
      <c r="E88" s="1" t="s">
        <v>0</v>
      </c>
      <c r="F88" s="1" t="s">
        <v>124</v>
      </c>
      <c r="G88" s="1" t="s">
        <v>49</v>
      </c>
      <c r="H88" s="1" t="s">
        <v>14</v>
      </c>
      <c r="I88" s="1">
        <v>70</v>
      </c>
      <c r="J88" s="1">
        <v>0</v>
      </c>
      <c r="K88" s="1">
        <v>5</v>
      </c>
      <c r="L88" s="1">
        <v>500</v>
      </c>
      <c r="M88" s="1">
        <v>0</v>
      </c>
      <c r="N88" s="1">
        <v>0</v>
      </c>
      <c r="O88" s="1">
        <v>350</v>
      </c>
      <c r="P88" s="6" t="str">
        <f>IF(ISERROR(VLOOKUP(F88,[1]작가별정산률!$R:$S,2,0)),"스토리위즈",VLOOKUP(F88,[1]작가별정산률!$R:$S,2,0))</f>
        <v>스토리위즈</v>
      </c>
      <c r="Q88" s="6" t="str">
        <f>IF(P88="스토리위즈",VLOOKUP(F88,[1]작가별정산률!$A:$B,2,0),P88)</f>
        <v>독고진</v>
      </c>
    </row>
    <row r="89" spans="1:17" x14ac:dyDescent="0.4">
      <c r="A89" s="1" t="s">
        <v>77</v>
      </c>
      <c r="B89" s="1" t="s">
        <v>14</v>
      </c>
      <c r="C89" s="1">
        <v>155639</v>
      </c>
      <c r="D89" s="1" t="s">
        <v>15</v>
      </c>
      <c r="E89" s="1" t="s">
        <v>16</v>
      </c>
      <c r="F89" s="1" t="s">
        <v>120</v>
      </c>
      <c r="G89" s="1" t="s">
        <v>31</v>
      </c>
      <c r="H89" s="1" t="s">
        <v>40</v>
      </c>
      <c r="I89" s="1">
        <v>70</v>
      </c>
      <c r="J89" s="1">
        <v>0</v>
      </c>
      <c r="K89" s="1">
        <v>16</v>
      </c>
      <c r="L89" s="1">
        <v>1600</v>
      </c>
      <c r="M89" s="1">
        <v>0</v>
      </c>
      <c r="N89" s="1">
        <v>0</v>
      </c>
      <c r="O89" s="1">
        <v>1120</v>
      </c>
      <c r="P89" s="6" t="str">
        <f>IF(ISERROR(VLOOKUP(F89,[1]작가별정산률!$R:$S,2,0)),"스토리위즈",VLOOKUP(F89,[1]작가별정산률!$R:$S,2,0))</f>
        <v>에필로그</v>
      </c>
      <c r="Q89" s="6" t="str">
        <f>IF(P89="스토리위즈",VLOOKUP(F89,[1]작가별정산률!$A:$B,2,0),P89)</f>
        <v>에필로그</v>
      </c>
    </row>
    <row r="90" spans="1:17" x14ac:dyDescent="0.4">
      <c r="A90" s="1" t="s">
        <v>77</v>
      </c>
      <c r="B90" s="1" t="s">
        <v>14</v>
      </c>
      <c r="C90" s="1">
        <v>155653</v>
      </c>
      <c r="D90" s="1" t="s">
        <v>15</v>
      </c>
      <c r="E90" s="1" t="s">
        <v>16</v>
      </c>
      <c r="F90" s="1" t="s">
        <v>111</v>
      </c>
      <c r="G90" s="1" t="s">
        <v>32</v>
      </c>
      <c r="H90" s="1" t="s">
        <v>14</v>
      </c>
      <c r="I90" s="1">
        <v>70</v>
      </c>
      <c r="J90" s="1">
        <v>0</v>
      </c>
      <c r="K90" s="1">
        <v>4</v>
      </c>
      <c r="L90" s="1">
        <v>400</v>
      </c>
      <c r="M90" s="1">
        <v>0</v>
      </c>
      <c r="N90" s="1">
        <v>0</v>
      </c>
      <c r="O90" s="1">
        <v>280</v>
      </c>
      <c r="P90" s="6" t="str">
        <f>IF(ISERROR(VLOOKUP(F90,[1]작가별정산률!$R:$S,2,0)),"스토리위즈",VLOOKUP(F90,[1]작가별정산률!$R:$S,2,0))</f>
        <v>스토리위즈</v>
      </c>
      <c r="Q90" s="6" t="str">
        <f>IF(P90="스토리위즈",VLOOKUP(F90,[1]작가별정산률!$A:$B,2,0),P90)</f>
        <v>무장</v>
      </c>
    </row>
    <row r="91" spans="1:17" x14ac:dyDescent="0.4">
      <c r="A91" s="1" t="s">
        <v>77</v>
      </c>
      <c r="B91" s="1" t="s">
        <v>14</v>
      </c>
      <c r="C91" s="1">
        <v>155803</v>
      </c>
      <c r="D91" s="1" t="s">
        <v>15</v>
      </c>
      <c r="E91" s="1" t="s">
        <v>16</v>
      </c>
      <c r="F91" s="1" t="s">
        <v>111</v>
      </c>
      <c r="G91" s="1" t="s">
        <v>36</v>
      </c>
      <c r="H91" s="1" t="s">
        <v>14</v>
      </c>
      <c r="I91" s="1">
        <v>70</v>
      </c>
      <c r="J91" s="1">
        <v>0</v>
      </c>
      <c r="K91" s="1">
        <v>4</v>
      </c>
      <c r="L91" s="1">
        <v>400</v>
      </c>
      <c r="M91" s="1">
        <v>0</v>
      </c>
      <c r="N91" s="1">
        <v>0</v>
      </c>
      <c r="O91" s="1">
        <v>280</v>
      </c>
      <c r="P91" s="6" t="str">
        <f>IF(ISERROR(VLOOKUP(F91,[1]작가별정산률!$R:$S,2,0)),"스토리위즈",VLOOKUP(F91,[1]작가별정산률!$R:$S,2,0))</f>
        <v>스토리위즈</v>
      </c>
      <c r="Q91" s="6" t="str">
        <f>IF(P91="스토리위즈",VLOOKUP(F91,[1]작가별정산률!$A:$B,2,0),P91)</f>
        <v>무장</v>
      </c>
    </row>
    <row r="92" spans="1:17" x14ac:dyDescent="0.4">
      <c r="A92" s="1" t="s">
        <v>78</v>
      </c>
      <c r="B92" s="1" t="s">
        <v>14</v>
      </c>
      <c r="C92" s="1">
        <v>151282</v>
      </c>
      <c r="D92" s="1" t="s">
        <v>15</v>
      </c>
      <c r="E92" s="1" t="s">
        <v>0</v>
      </c>
      <c r="F92" s="1" t="s">
        <v>124</v>
      </c>
      <c r="G92" s="1" t="s">
        <v>49</v>
      </c>
      <c r="H92" s="1" t="s">
        <v>14</v>
      </c>
      <c r="I92" s="1">
        <v>70</v>
      </c>
      <c r="J92" s="1">
        <v>0</v>
      </c>
      <c r="K92" s="1">
        <v>6</v>
      </c>
      <c r="L92" s="1">
        <v>600</v>
      </c>
      <c r="M92" s="1">
        <v>0</v>
      </c>
      <c r="N92" s="1">
        <v>0</v>
      </c>
      <c r="O92" s="1">
        <v>420</v>
      </c>
      <c r="P92" s="6" t="str">
        <f>IF(ISERROR(VLOOKUP(F92,[1]작가별정산률!$R:$S,2,0)),"스토리위즈",VLOOKUP(F92,[1]작가별정산률!$R:$S,2,0))</f>
        <v>스토리위즈</v>
      </c>
      <c r="Q92" s="6" t="str">
        <f>IF(P92="스토리위즈",VLOOKUP(F92,[1]작가별정산률!$A:$B,2,0),P92)</f>
        <v>독고진</v>
      </c>
    </row>
    <row r="93" spans="1:17" x14ac:dyDescent="0.4">
      <c r="A93" s="1" t="s">
        <v>78</v>
      </c>
      <c r="B93" s="1" t="s">
        <v>14</v>
      </c>
      <c r="C93" s="1">
        <v>155364</v>
      </c>
      <c r="D93" s="1" t="s">
        <v>15</v>
      </c>
      <c r="E93" s="1" t="s">
        <v>28</v>
      </c>
      <c r="F93" s="1" t="s">
        <v>109</v>
      </c>
      <c r="G93" s="1" t="s">
        <v>30</v>
      </c>
      <c r="H93" s="1" t="s">
        <v>40</v>
      </c>
      <c r="I93" s="1">
        <v>70</v>
      </c>
      <c r="J93" s="1">
        <v>0</v>
      </c>
      <c r="K93" s="1">
        <v>2</v>
      </c>
      <c r="L93" s="1">
        <v>200</v>
      </c>
      <c r="M93" s="1">
        <v>0</v>
      </c>
      <c r="N93" s="1">
        <v>0</v>
      </c>
      <c r="O93" s="1">
        <v>140</v>
      </c>
      <c r="P93" s="6" t="str">
        <f>IF(ISERROR(VLOOKUP(F93,[1]작가별정산률!$R:$S,2,0)),"스토리위즈",VLOOKUP(F93,[1]작가별정산률!$R:$S,2,0))</f>
        <v>에필로그</v>
      </c>
      <c r="Q93" s="6" t="str">
        <f>IF(P93="스토리위즈",VLOOKUP(F93,[1]작가별정산률!$A:$B,2,0),P93)</f>
        <v>에필로그</v>
      </c>
    </row>
    <row r="94" spans="1:17" x14ac:dyDescent="0.4">
      <c r="A94" s="1" t="s">
        <v>78</v>
      </c>
      <c r="B94" s="1" t="s">
        <v>14</v>
      </c>
      <c r="C94" s="1">
        <v>155494</v>
      </c>
      <c r="D94" s="1" t="s">
        <v>15</v>
      </c>
      <c r="E94" s="1" t="s">
        <v>0</v>
      </c>
      <c r="F94" s="1" t="s">
        <v>118</v>
      </c>
      <c r="G94" s="1" t="s">
        <v>29</v>
      </c>
      <c r="H94" s="1" t="s">
        <v>14</v>
      </c>
      <c r="I94" s="1">
        <v>70</v>
      </c>
      <c r="J94" s="1">
        <v>0</v>
      </c>
      <c r="K94" s="1">
        <v>1</v>
      </c>
      <c r="L94" s="1">
        <v>100</v>
      </c>
      <c r="M94" s="1">
        <v>0</v>
      </c>
      <c r="N94" s="1">
        <v>0</v>
      </c>
      <c r="O94" s="1">
        <v>70</v>
      </c>
      <c r="P94" s="6" t="str">
        <f>IF(ISERROR(VLOOKUP(F94,[1]작가별정산률!$R:$S,2,0)),"스토리위즈",VLOOKUP(F94,[1]작가별정산률!$R:$S,2,0))</f>
        <v>스토리위즈</v>
      </c>
      <c r="Q94" s="6" t="str">
        <f>IF(P94="스토리위즈",VLOOKUP(F94,[1]작가별정산률!$A:$B,2,0),P94)</f>
        <v>이한애비</v>
      </c>
    </row>
    <row r="95" spans="1:17" x14ac:dyDescent="0.4">
      <c r="A95" s="1" t="s">
        <v>78</v>
      </c>
      <c r="B95" s="1" t="s">
        <v>14</v>
      </c>
      <c r="C95" s="1">
        <v>155639</v>
      </c>
      <c r="D95" s="1" t="s">
        <v>15</v>
      </c>
      <c r="E95" s="1" t="s">
        <v>16</v>
      </c>
      <c r="F95" s="1" t="s">
        <v>120</v>
      </c>
      <c r="G95" s="1" t="s">
        <v>31</v>
      </c>
      <c r="H95" s="1" t="s">
        <v>40</v>
      </c>
      <c r="I95" s="1">
        <v>70</v>
      </c>
      <c r="J95" s="1">
        <v>0</v>
      </c>
      <c r="K95" s="1">
        <v>48</v>
      </c>
      <c r="L95" s="1">
        <v>4800</v>
      </c>
      <c r="M95" s="1">
        <v>0</v>
      </c>
      <c r="N95" s="1">
        <v>0</v>
      </c>
      <c r="O95" s="1">
        <v>3360</v>
      </c>
      <c r="P95" s="6" t="str">
        <f>IF(ISERROR(VLOOKUP(F95,[1]작가별정산률!$R:$S,2,0)),"스토리위즈",VLOOKUP(F95,[1]작가별정산률!$R:$S,2,0))</f>
        <v>에필로그</v>
      </c>
      <c r="Q95" s="6" t="str">
        <f>IF(P95="스토리위즈",VLOOKUP(F95,[1]작가별정산률!$A:$B,2,0),P95)</f>
        <v>에필로그</v>
      </c>
    </row>
    <row r="96" spans="1:17" x14ac:dyDescent="0.4">
      <c r="A96" s="1" t="s">
        <v>79</v>
      </c>
      <c r="B96" s="1" t="s">
        <v>14</v>
      </c>
      <c r="C96" s="1">
        <v>151282</v>
      </c>
      <c r="D96" s="1" t="s">
        <v>15</v>
      </c>
      <c r="E96" s="1" t="s">
        <v>0</v>
      </c>
      <c r="F96" s="1" t="s">
        <v>124</v>
      </c>
      <c r="G96" s="1" t="s">
        <v>49</v>
      </c>
      <c r="H96" s="1" t="s">
        <v>14</v>
      </c>
      <c r="I96" s="1">
        <v>70</v>
      </c>
      <c r="J96" s="1">
        <v>0</v>
      </c>
      <c r="K96" s="1">
        <v>6</v>
      </c>
      <c r="L96" s="1">
        <v>600</v>
      </c>
      <c r="M96" s="1">
        <v>0</v>
      </c>
      <c r="N96" s="1">
        <v>0</v>
      </c>
      <c r="O96" s="1">
        <v>420</v>
      </c>
      <c r="P96" s="6" t="str">
        <f>IF(ISERROR(VLOOKUP(F96,[1]작가별정산률!$R:$S,2,0)),"스토리위즈",VLOOKUP(F96,[1]작가별정산률!$R:$S,2,0))</f>
        <v>스토리위즈</v>
      </c>
      <c r="Q96" s="6" t="str">
        <f>IF(P96="스토리위즈",VLOOKUP(F96,[1]작가별정산률!$A:$B,2,0),P96)</f>
        <v>독고진</v>
      </c>
    </row>
    <row r="97" spans="1:17" x14ac:dyDescent="0.4">
      <c r="A97" s="1" t="s">
        <v>79</v>
      </c>
      <c r="B97" s="1" t="s">
        <v>14</v>
      </c>
      <c r="C97" s="1">
        <v>155154</v>
      </c>
      <c r="D97" s="1" t="s">
        <v>15</v>
      </c>
      <c r="E97" s="1" t="s">
        <v>18</v>
      </c>
      <c r="F97" s="1" t="s">
        <v>136</v>
      </c>
      <c r="G97" s="1" t="s">
        <v>80</v>
      </c>
      <c r="H97" s="1" t="s">
        <v>14</v>
      </c>
      <c r="I97" s="1">
        <v>70</v>
      </c>
      <c r="J97" s="1">
        <v>0</v>
      </c>
      <c r="K97" s="1">
        <v>1</v>
      </c>
      <c r="L97" s="1">
        <v>100</v>
      </c>
      <c r="M97" s="1">
        <v>0</v>
      </c>
      <c r="N97" s="1">
        <v>0</v>
      </c>
      <c r="O97" s="1">
        <v>70</v>
      </c>
      <c r="P97" s="6" t="str">
        <f>IF(ISERROR(VLOOKUP(F97,[1]작가별정산률!$R:$S,2,0)),"스토리위즈",VLOOKUP(F97,[1]작가별정산률!$R:$S,2,0))</f>
        <v>스토리위즈</v>
      </c>
      <c r="Q97" s="6" t="str">
        <f>IF(P97="스토리위즈",VLOOKUP(F97,[1]작가별정산률!$A:$B,2,0),P97)</f>
        <v>온서</v>
      </c>
    </row>
    <row r="98" spans="1:17" x14ac:dyDescent="0.4">
      <c r="A98" s="1" t="s">
        <v>79</v>
      </c>
      <c r="B98" s="1" t="s">
        <v>14</v>
      </c>
      <c r="C98" s="1">
        <v>155494</v>
      </c>
      <c r="D98" s="1" t="s">
        <v>15</v>
      </c>
      <c r="E98" s="1" t="s">
        <v>0</v>
      </c>
      <c r="F98" s="1" t="s">
        <v>118</v>
      </c>
      <c r="G98" s="1" t="s">
        <v>29</v>
      </c>
      <c r="H98" s="1" t="s">
        <v>14</v>
      </c>
      <c r="I98" s="1">
        <v>70</v>
      </c>
      <c r="J98" s="1">
        <v>0</v>
      </c>
      <c r="K98" s="1">
        <v>2</v>
      </c>
      <c r="L98" s="1">
        <v>200</v>
      </c>
      <c r="M98" s="1">
        <v>0</v>
      </c>
      <c r="N98" s="1">
        <v>0</v>
      </c>
      <c r="O98" s="1">
        <v>140</v>
      </c>
      <c r="P98" s="6" t="str">
        <f>IF(ISERROR(VLOOKUP(F98,[1]작가별정산률!$R:$S,2,0)),"스토리위즈",VLOOKUP(F98,[1]작가별정산률!$R:$S,2,0))</f>
        <v>스토리위즈</v>
      </c>
      <c r="Q98" s="6" t="str">
        <f>IF(P98="스토리위즈",VLOOKUP(F98,[1]작가별정산률!$A:$B,2,0),P98)</f>
        <v>이한애비</v>
      </c>
    </row>
    <row r="99" spans="1:17" x14ac:dyDescent="0.4">
      <c r="A99" s="1" t="s">
        <v>79</v>
      </c>
      <c r="B99" s="1" t="s">
        <v>14</v>
      </c>
      <c r="C99" s="1">
        <v>155639</v>
      </c>
      <c r="D99" s="1" t="s">
        <v>15</v>
      </c>
      <c r="E99" s="1" t="s">
        <v>16</v>
      </c>
      <c r="F99" s="1" t="s">
        <v>120</v>
      </c>
      <c r="G99" s="1" t="s">
        <v>31</v>
      </c>
      <c r="H99" s="1" t="s">
        <v>40</v>
      </c>
      <c r="I99" s="1">
        <v>70</v>
      </c>
      <c r="J99" s="1">
        <v>0</v>
      </c>
      <c r="K99" s="1">
        <v>15</v>
      </c>
      <c r="L99" s="1">
        <v>1500</v>
      </c>
      <c r="M99" s="1">
        <v>0</v>
      </c>
      <c r="N99" s="1">
        <v>0</v>
      </c>
      <c r="O99" s="1">
        <v>1050</v>
      </c>
      <c r="P99" s="6" t="str">
        <f>IF(ISERROR(VLOOKUP(F99,[1]작가별정산률!$R:$S,2,0)),"스토리위즈",VLOOKUP(F99,[1]작가별정산률!$R:$S,2,0))</f>
        <v>에필로그</v>
      </c>
      <c r="Q99" s="6" t="str">
        <f>IF(P99="스토리위즈",VLOOKUP(F99,[1]작가별정산률!$A:$B,2,0),P99)</f>
        <v>에필로그</v>
      </c>
    </row>
    <row r="100" spans="1:17" x14ac:dyDescent="0.4">
      <c r="A100" s="1" t="s">
        <v>79</v>
      </c>
      <c r="B100" s="1" t="s">
        <v>14</v>
      </c>
      <c r="C100" s="1">
        <v>156318</v>
      </c>
      <c r="D100" s="1" t="s">
        <v>15</v>
      </c>
      <c r="E100" s="1" t="s">
        <v>0</v>
      </c>
      <c r="F100" s="1" t="s">
        <v>127</v>
      </c>
      <c r="G100" s="1" t="s">
        <v>53</v>
      </c>
      <c r="H100" s="1" t="s">
        <v>40</v>
      </c>
      <c r="I100" s="1">
        <v>70</v>
      </c>
      <c r="J100" s="1">
        <v>0</v>
      </c>
      <c r="K100" s="1">
        <v>6</v>
      </c>
      <c r="L100" s="1">
        <v>600</v>
      </c>
      <c r="M100" s="1">
        <v>0</v>
      </c>
      <c r="N100" s="1">
        <v>0</v>
      </c>
      <c r="O100" s="1">
        <v>420</v>
      </c>
      <c r="P100" s="6" t="str">
        <f>IF(ISERROR(VLOOKUP(F100,[1]작가별정산률!$R:$S,2,0)),"스토리위즈",VLOOKUP(F100,[1]작가별정산률!$R:$S,2,0))</f>
        <v>에필로그</v>
      </c>
      <c r="Q100" s="6" t="str">
        <f>IF(P100="스토리위즈",VLOOKUP(F100,[1]작가별정산률!$A:$B,2,0),P100)</f>
        <v>에필로그</v>
      </c>
    </row>
    <row r="101" spans="1:17" x14ac:dyDescent="0.4">
      <c r="A101" s="1" t="s">
        <v>79</v>
      </c>
      <c r="B101" s="1" t="s">
        <v>14</v>
      </c>
      <c r="C101" s="1">
        <v>156349</v>
      </c>
      <c r="D101" s="1" t="s">
        <v>15</v>
      </c>
      <c r="E101" s="1" t="s">
        <v>0</v>
      </c>
      <c r="F101" s="1" t="s">
        <v>134</v>
      </c>
      <c r="G101" s="1" t="s">
        <v>65</v>
      </c>
      <c r="H101" s="1" t="s">
        <v>14</v>
      </c>
      <c r="I101" s="1">
        <v>70</v>
      </c>
      <c r="J101" s="1">
        <v>0</v>
      </c>
      <c r="K101" s="1">
        <v>1</v>
      </c>
      <c r="L101" s="1">
        <v>100</v>
      </c>
      <c r="M101" s="1">
        <v>0</v>
      </c>
      <c r="N101" s="1">
        <v>0</v>
      </c>
      <c r="O101" s="1">
        <v>70</v>
      </c>
      <c r="P101" s="6" t="str">
        <f>IF(ISERROR(VLOOKUP(F101,[1]작가별정산률!$R:$S,2,0)),"스토리위즈",VLOOKUP(F101,[1]작가별정산률!$R:$S,2,0))</f>
        <v>스토리위즈</v>
      </c>
      <c r="Q101" s="6" t="str">
        <f>IF(P101="스토리위즈",VLOOKUP(F101,[1]작가별정산률!$A:$B,2,0),P101)</f>
        <v>구공</v>
      </c>
    </row>
    <row r="102" spans="1:17" x14ac:dyDescent="0.4">
      <c r="A102" s="1" t="s">
        <v>79</v>
      </c>
      <c r="B102" s="1" t="s">
        <v>14</v>
      </c>
      <c r="C102" s="1">
        <v>156350</v>
      </c>
      <c r="D102" s="1" t="s">
        <v>15</v>
      </c>
      <c r="E102" s="1" t="s">
        <v>0</v>
      </c>
      <c r="F102" s="1" t="s">
        <v>128</v>
      </c>
      <c r="G102" s="1" t="s">
        <v>55</v>
      </c>
      <c r="H102" s="1" t="s">
        <v>14</v>
      </c>
      <c r="I102" s="1">
        <v>70</v>
      </c>
      <c r="J102" s="1">
        <v>0</v>
      </c>
      <c r="K102" s="1">
        <v>5</v>
      </c>
      <c r="L102" s="1">
        <v>500</v>
      </c>
      <c r="M102" s="1">
        <v>0</v>
      </c>
      <c r="N102" s="1">
        <v>0</v>
      </c>
      <c r="O102" s="1">
        <v>350</v>
      </c>
      <c r="P102" s="6" t="str">
        <f>IF(ISERROR(VLOOKUP(F102,[1]작가별정산률!$R:$S,2,0)),"스토리위즈",VLOOKUP(F102,[1]작가별정산률!$R:$S,2,0))</f>
        <v>스토리위즈</v>
      </c>
      <c r="Q102" s="6" t="str">
        <f>IF(P102="스토리위즈",VLOOKUP(F102,[1]작가별정산률!$A:$B,2,0),P102)</f>
        <v>글면증</v>
      </c>
    </row>
    <row r="103" spans="1:17" x14ac:dyDescent="0.4">
      <c r="A103" s="1" t="s">
        <v>81</v>
      </c>
      <c r="B103" s="1" t="s">
        <v>14</v>
      </c>
      <c r="C103" s="1">
        <v>151869</v>
      </c>
      <c r="D103" s="1" t="s">
        <v>15</v>
      </c>
      <c r="E103" s="1" t="s">
        <v>16</v>
      </c>
      <c r="F103" s="1" t="s">
        <v>105</v>
      </c>
      <c r="G103" s="1" t="s">
        <v>82</v>
      </c>
      <c r="H103" s="1" t="s">
        <v>14</v>
      </c>
      <c r="I103" s="1">
        <v>70</v>
      </c>
      <c r="J103" s="1">
        <v>0</v>
      </c>
      <c r="K103" s="1">
        <v>1</v>
      </c>
      <c r="L103" s="1">
        <v>100</v>
      </c>
      <c r="M103" s="1">
        <v>0</v>
      </c>
      <c r="N103" s="1">
        <v>0</v>
      </c>
      <c r="O103" s="1">
        <v>70</v>
      </c>
      <c r="P103" s="6" t="str">
        <f>IF(ISERROR(VLOOKUP(F103,[1]작가별정산률!$R:$S,2,0)),"스토리위즈",VLOOKUP(F103,[1]작가별정산률!$R:$S,2,0))</f>
        <v>스토리위즈</v>
      </c>
      <c r="Q103" s="6" t="str">
        <f>IF(P103="스토리위즈",VLOOKUP(F103,[1]작가별정산률!$A:$B,2,0),P103)</f>
        <v>권용찬</v>
      </c>
    </row>
    <row r="104" spans="1:17" x14ac:dyDescent="0.4">
      <c r="A104" s="1" t="s">
        <v>81</v>
      </c>
      <c r="B104" s="1" t="s">
        <v>14</v>
      </c>
      <c r="C104" s="1">
        <v>154320</v>
      </c>
      <c r="D104" s="1" t="s">
        <v>15</v>
      </c>
      <c r="E104" s="1" t="s">
        <v>16</v>
      </c>
      <c r="F104" s="1" t="s">
        <v>127</v>
      </c>
      <c r="G104" s="1" t="s">
        <v>83</v>
      </c>
      <c r="H104" s="1" t="s">
        <v>40</v>
      </c>
      <c r="I104" s="1">
        <v>70</v>
      </c>
      <c r="J104" s="1">
        <v>0</v>
      </c>
      <c r="K104" s="1">
        <v>4</v>
      </c>
      <c r="L104" s="1">
        <v>400</v>
      </c>
      <c r="M104" s="1">
        <v>0</v>
      </c>
      <c r="N104" s="1">
        <v>0</v>
      </c>
      <c r="O104" s="1">
        <v>280</v>
      </c>
      <c r="P104" s="6" t="str">
        <f>IF(ISERROR(VLOOKUP(F104,[1]작가별정산률!$R:$S,2,0)),"스토리위즈",VLOOKUP(F104,[1]작가별정산률!$R:$S,2,0))</f>
        <v>에필로그</v>
      </c>
      <c r="Q104" s="6" t="str">
        <f>IF(P104="스토리위즈",VLOOKUP(F104,[1]작가별정산률!$A:$B,2,0),P104)</f>
        <v>에필로그</v>
      </c>
    </row>
    <row r="105" spans="1:17" x14ac:dyDescent="0.4">
      <c r="A105" s="1" t="s">
        <v>81</v>
      </c>
      <c r="B105" s="1" t="s">
        <v>14</v>
      </c>
      <c r="C105" s="1">
        <v>155393</v>
      </c>
      <c r="D105" s="1" t="s">
        <v>15</v>
      </c>
      <c r="E105" s="1" t="s">
        <v>17</v>
      </c>
      <c r="F105" s="1" t="s">
        <v>126</v>
      </c>
      <c r="G105" s="1" t="s">
        <v>52</v>
      </c>
      <c r="H105" s="1" t="s">
        <v>14</v>
      </c>
      <c r="I105" s="1">
        <v>70</v>
      </c>
      <c r="J105" s="1">
        <v>0</v>
      </c>
      <c r="K105" s="1">
        <v>3</v>
      </c>
      <c r="L105" s="1">
        <v>300</v>
      </c>
      <c r="M105" s="1">
        <v>0</v>
      </c>
      <c r="N105" s="1">
        <v>0</v>
      </c>
      <c r="O105" s="1">
        <v>210</v>
      </c>
      <c r="P105" s="6" t="str">
        <f>IF(ISERROR(VLOOKUP(F105,[1]작가별정산률!$R:$S,2,0)),"스토리위즈",VLOOKUP(F105,[1]작가별정산률!$R:$S,2,0))</f>
        <v>스토리위즈</v>
      </c>
      <c r="Q105" s="6" t="str">
        <f>IF(P105="스토리위즈",VLOOKUP(F105,[1]작가별정산률!$A:$B,2,0),P105)</f>
        <v>부엉이콩</v>
      </c>
    </row>
    <row r="106" spans="1:17" x14ac:dyDescent="0.4">
      <c r="A106" s="1" t="s">
        <v>81</v>
      </c>
      <c r="B106" s="1" t="s">
        <v>14</v>
      </c>
      <c r="C106" s="1">
        <v>155494</v>
      </c>
      <c r="D106" s="1" t="s">
        <v>15</v>
      </c>
      <c r="E106" s="1" t="s">
        <v>0</v>
      </c>
      <c r="F106" s="1" t="s">
        <v>118</v>
      </c>
      <c r="G106" s="1" t="s">
        <v>29</v>
      </c>
      <c r="H106" s="1" t="s">
        <v>14</v>
      </c>
      <c r="I106" s="1">
        <v>70</v>
      </c>
      <c r="J106" s="1">
        <v>0</v>
      </c>
      <c r="K106" s="1">
        <v>2</v>
      </c>
      <c r="L106" s="1">
        <v>200</v>
      </c>
      <c r="M106" s="1">
        <v>0</v>
      </c>
      <c r="N106" s="1">
        <v>0</v>
      </c>
      <c r="O106" s="1">
        <v>140</v>
      </c>
      <c r="P106" s="6" t="str">
        <f>IF(ISERROR(VLOOKUP(F106,[1]작가별정산률!$R:$S,2,0)),"스토리위즈",VLOOKUP(F106,[1]작가별정산률!$R:$S,2,0))</f>
        <v>스토리위즈</v>
      </c>
      <c r="Q106" s="6" t="str">
        <f>IF(P106="스토리위즈",VLOOKUP(F106,[1]작가별정산률!$A:$B,2,0),P106)</f>
        <v>이한애비</v>
      </c>
    </row>
    <row r="107" spans="1:17" x14ac:dyDescent="0.4">
      <c r="A107" s="1" t="s">
        <v>81</v>
      </c>
      <c r="B107" s="1" t="s">
        <v>14</v>
      </c>
      <c r="C107" s="1">
        <v>155639</v>
      </c>
      <c r="D107" s="1" t="s">
        <v>15</v>
      </c>
      <c r="E107" s="1" t="s">
        <v>16</v>
      </c>
      <c r="F107" s="1" t="s">
        <v>120</v>
      </c>
      <c r="G107" s="1" t="s">
        <v>31</v>
      </c>
      <c r="H107" s="1" t="s">
        <v>40</v>
      </c>
      <c r="I107" s="1">
        <v>70</v>
      </c>
      <c r="J107" s="1">
        <v>0</v>
      </c>
      <c r="K107" s="1">
        <v>52</v>
      </c>
      <c r="L107" s="1">
        <v>5200</v>
      </c>
      <c r="M107" s="1">
        <v>0</v>
      </c>
      <c r="N107" s="1">
        <v>0</v>
      </c>
      <c r="O107" s="1">
        <v>3640</v>
      </c>
      <c r="P107" s="6" t="str">
        <f>IF(ISERROR(VLOOKUP(F107,[1]작가별정산률!$R:$S,2,0)),"스토리위즈",VLOOKUP(F107,[1]작가별정산률!$R:$S,2,0))</f>
        <v>에필로그</v>
      </c>
      <c r="Q107" s="6" t="str">
        <f>IF(P107="스토리위즈",VLOOKUP(F107,[1]작가별정산률!$A:$B,2,0),P107)</f>
        <v>에필로그</v>
      </c>
    </row>
    <row r="108" spans="1:17" x14ac:dyDescent="0.4">
      <c r="A108" s="1" t="s">
        <v>84</v>
      </c>
      <c r="B108" s="1" t="s">
        <v>14</v>
      </c>
      <c r="C108" s="1">
        <v>155154</v>
      </c>
      <c r="D108" s="1" t="s">
        <v>15</v>
      </c>
      <c r="E108" s="1" t="s">
        <v>18</v>
      </c>
      <c r="F108" s="1" t="s">
        <v>136</v>
      </c>
      <c r="G108" s="1" t="s">
        <v>80</v>
      </c>
      <c r="H108" s="1" t="s">
        <v>14</v>
      </c>
      <c r="I108" s="1">
        <v>70</v>
      </c>
      <c r="J108" s="1">
        <v>0</v>
      </c>
      <c r="K108" s="1">
        <v>34</v>
      </c>
      <c r="L108" s="1">
        <v>3400</v>
      </c>
      <c r="M108" s="1">
        <v>0</v>
      </c>
      <c r="N108" s="1">
        <v>0</v>
      </c>
      <c r="O108" s="1">
        <v>2380</v>
      </c>
      <c r="P108" s="6" t="str">
        <f>IF(ISERROR(VLOOKUP(F108,[1]작가별정산률!$R:$S,2,0)),"스토리위즈",VLOOKUP(F108,[1]작가별정산률!$R:$S,2,0))</f>
        <v>스토리위즈</v>
      </c>
      <c r="Q108" s="6" t="str">
        <f>IF(P108="스토리위즈",VLOOKUP(F108,[1]작가별정산률!$A:$B,2,0),P108)</f>
        <v>온서</v>
      </c>
    </row>
    <row r="109" spans="1:17" x14ac:dyDescent="0.4">
      <c r="A109" s="1" t="s">
        <v>84</v>
      </c>
      <c r="B109" s="1" t="s">
        <v>14</v>
      </c>
      <c r="C109" s="1">
        <v>155364</v>
      </c>
      <c r="D109" s="1" t="s">
        <v>15</v>
      </c>
      <c r="E109" s="1" t="s">
        <v>28</v>
      </c>
      <c r="F109" s="1" t="s">
        <v>109</v>
      </c>
      <c r="G109" s="1" t="s">
        <v>30</v>
      </c>
      <c r="H109" s="1" t="s">
        <v>40</v>
      </c>
      <c r="I109" s="1">
        <v>70</v>
      </c>
      <c r="J109" s="1">
        <v>0</v>
      </c>
      <c r="K109" s="1">
        <v>94</v>
      </c>
      <c r="L109" s="1">
        <v>9400</v>
      </c>
      <c r="M109" s="1">
        <v>0</v>
      </c>
      <c r="N109" s="1">
        <v>0</v>
      </c>
      <c r="O109" s="1">
        <v>6580</v>
      </c>
      <c r="P109" s="6" t="str">
        <f>IF(ISERROR(VLOOKUP(F109,[1]작가별정산률!$R:$S,2,0)),"스토리위즈",VLOOKUP(F109,[1]작가별정산률!$R:$S,2,0))</f>
        <v>에필로그</v>
      </c>
      <c r="Q109" s="6" t="str">
        <f>IF(P109="스토리위즈",VLOOKUP(F109,[1]작가별정산률!$A:$B,2,0),P109)</f>
        <v>에필로그</v>
      </c>
    </row>
    <row r="110" spans="1:17" x14ac:dyDescent="0.4">
      <c r="A110" s="1" t="s">
        <v>84</v>
      </c>
      <c r="B110" s="1" t="s">
        <v>14</v>
      </c>
      <c r="C110" s="1">
        <v>155494</v>
      </c>
      <c r="D110" s="1" t="s">
        <v>15</v>
      </c>
      <c r="E110" s="1" t="s">
        <v>0</v>
      </c>
      <c r="F110" s="1" t="s">
        <v>118</v>
      </c>
      <c r="G110" s="1" t="s">
        <v>29</v>
      </c>
      <c r="H110" s="1" t="s">
        <v>14</v>
      </c>
      <c r="I110" s="1">
        <v>70</v>
      </c>
      <c r="J110" s="1">
        <v>0</v>
      </c>
      <c r="K110" s="1">
        <v>2</v>
      </c>
      <c r="L110" s="1">
        <v>200</v>
      </c>
      <c r="M110" s="1">
        <v>0</v>
      </c>
      <c r="N110" s="1">
        <v>0</v>
      </c>
      <c r="O110" s="1">
        <v>140</v>
      </c>
      <c r="P110" s="6" t="str">
        <f>IF(ISERROR(VLOOKUP(F110,[1]작가별정산률!$R:$S,2,0)),"스토리위즈",VLOOKUP(F110,[1]작가별정산률!$R:$S,2,0))</f>
        <v>스토리위즈</v>
      </c>
      <c r="Q110" s="6" t="str">
        <f>IF(P110="스토리위즈",VLOOKUP(F110,[1]작가별정산률!$A:$B,2,0),P110)</f>
        <v>이한애비</v>
      </c>
    </row>
    <row r="111" spans="1:17" x14ac:dyDescent="0.4">
      <c r="A111" s="1" t="s">
        <v>84</v>
      </c>
      <c r="B111" s="1" t="s">
        <v>14</v>
      </c>
      <c r="C111" s="1">
        <v>155637</v>
      </c>
      <c r="D111" s="1" t="s">
        <v>15</v>
      </c>
      <c r="E111" s="1" t="s">
        <v>0</v>
      </c>
      <c r="F111" s="1" t="s">
        <v>97</v>
      </c>
      <c r="G111" s="1" t="s">
        <v>85</v>
      </c>
      <c r="H111" s="1" t="s">
        <v>40</v>
      </c>
      <c r="I111" s="1">
        <v>70</v>
      </c>
      <c r="J111" s="1">
        <v>0</v>
      </c>
      <c r="K111" s="1">
        <v>2</v>
      </c>
      <c r="L111" s="1">
        <v>200</v>
      </c>
      <c r="M111" s="1">
        <v>0</v>
      </c>
      <c r="N111" s="1">
        <v>0</v>
      </c>
      <c r="O111" s="1">
        <v>140</v>
      </c>
      <c r="P111" s="6" t="str">
        <f>IF(ISERROR(VLOOKUP(F111,[1]작가별정산률!$R:$S,2,0)),"스토리위즈",VLOOKUP(F111,[1]작가별정산률!$R:$S,2,0))</f>
        <v>에필로그</v>
      </c>
      <c r="Q111" s="6" t="str">
        <f>IF(P111="스토리위즈",VLOOKUP(F111,[1]작가별정산률!$A:$B,2,0),P111)</f>
        <v>에필로그</v>
      </c>
    </row>
    <row r="112" spans="1:17" x14ac:dyDescent="0.4">
      <c r="A112" s="1" t="s">
        <v>84</v>
      </c>
      <c r="B112" s="1" t="s">
        <v>14</v>
      </c>
      <c r="C112" s="1">
        <v>155639</v>
      </c>
      <c r="D112" s="1" t="s">
        <v>15</v>
      </c>
      <c r="E112" s="1" t="s">
        <v>16</v>
      </c>
      <c r="F112" s="1" t="s">
        <v>120</v>
      </c>
      <c r="G112" s="1" t="s">
        <v>31</v>
      </c>
      <c r="H112" s="1" t="s">
        <v>40</v>
      </c>
      <c r="I112" s="1">
        <v>70</v>
      </c>
      <c r="J112" s="1">
        <v>0</v>
      </c>
      <c r="K112" s="1">
        <v>27</v>
      </c>
      <c r="L112" s="1">
        <v>2700</v>
      </c>
      <c r="M112" s="1">
        <v>0</v>
      </c>
      <c r="N112" s="1">
        <v>0</v>
      </c>
      <c r="O112" s="1">
        <v>1890</v>
      </c>
      <c r="P112" s="6" t="str">
        <f>IF(ISERROR(VLOOKUP(F112,[1]작가별정산률!$R:$S,2,0)),"스토리위즈",VLOOKUP(F112,[1]작가별정산률!$R:$S,2,0))</f>
        <v>에필로그</v>
      </c>
      <c r="Q112" s="6" t="str">
        <f>IF(P112="스토리위즈",VLOOKUP(F112,[1]작가별정산률!$A:$B,2,0),P112)</f>
        <v>에필로그</v>
      </c>
    </row>
    <row r="113" spans="1:17" x14ac:dyDescent="0.4">
      <c r="A113" s="1" t="s">
        <v>84</v>
      </c>
      <c r="B113" s="1" t="s">
        <v>14</v>
      </c>
      <c r="C113" s="1">
        <v>156208</v>
      </c>
      <c r="D113" s="1" t="s">
        <v>15</v>
      </c>
      <c r="E113" s="1" t="s">
        <v>0</v>
      </c>
      <c r="F113" s="1" t="s">
        <v>103</v>
      </c>
      <c r="G113" s="1" t="s">
        <v>41</v>
      </c>
      <c r="H113" s="1" t="s">
        <v>14</v>
      </c>
      <c r="I113" s="1">
        <v>70</v>
      </c>
      <c r="J113" s="1">
        <v>0</v>
      </c>
      <c r="K113" s="1">
        <v>2</v>
      </c>
      <c r="L113" s="1">
        <v>200</v>
      </c>
      <c r="M113" s="1">
        <v>0</v>
      </c>
      <c r="N113" s="1">
        <v>0</v>
      </c>
      <c r="O113" s="1">
        <v>140</v>
      </c>
      <c r="P113" s="6" t="str">
        <f>IF(ISERROR(VLOOKUP(F113,[1]작가별정산률!$R:$S,2,0)),"스토리위즈",VLOOKUP(F113,[1]작가별정산률!$R:$S,2,0))</f>
        <v>스토리위즈</v>
      </c>
      <c r="Q113" s="6" t="str">
        <f>IF(P113="스토리위즈",VLOOKUP(F113,[1]작가별정산률!$A:$B,2,0),P113)</f>
        <v>갓띵작</v>
      </c>
    </row>
    <row r="114" spans="1:17" x14ac:dyDescent="0.4">
      <c r="A114" s="1" t="s">
        <v>86</v>
      </c>
      <c r="B114" s="1" t="s">
        <v>14</v>
      </c>
      <c r="C114" s="1">
        <v>155154</v>
      </c>
      <c r="D114" s="1" t="s">
        <v>15</v>
      </c>
      <c r="E114" s="1" t="s">
        <v>18</v>
      </c>
      <c r="F114" s="1" t="s">
        <v>136</v>
      </c>
      <c r="G114" s="1" t="s">
        <v>80</v>
      </c>
      <c r="H114" s="1" t="s">
        <v>14</v>
      </c>
      <c r="I114" s="1">
        <v>70</v>
      </c>
      <c r="J114" s="1">
        <v>0</v>
      </c>
      <c r="K114" s="1">
        <v>6</v>
      </c>
      <c r="L114" s="1">
        <v>600</v>
      </c>
      <c r="M114" s="1">
        <v>0</v>
      </c>
      <c r="N114" s="1">
        <v>0</v>
      </c>
      <c r="O114" s="1">
        <v>420</v>
      </c>
      <c r="P114" s="6" t="str">
        <f>IF(ISERROR(VLOOKUP(F114,[1]작가별정산률!$R:$S,2,0)),"스토리위즈",VLOOKUP(F114,[1]작가별정산률!$R:$S,2,0))</f>
        <v>스토리위즈</v>
      </c>
      <c r="Q114" s="6" t="str">
        <f>IF(P114="스토리위즈",VLOOKUP(F114,[1]작가별정산률!$A:$B,2,0),P114)</f>
        <v>온서</v>
      </c>
    </row>
    <row r="115" spans="1:17" x14ac:dyDescent="0.4">
      <c r="A115" s="1" t="s">
        <v>86</v>
      </c>
      <c r="B115" s="1" t="s">
        <v>14</v>
      </c>
      <c r="C115" s="1">
        <v>155364</v>
      </c>
      <c r="D115" s="1" t="s">
        <v>15</v>
      </c>
      <c r="E115" s="1" t="s">
        <v>28</v>
      </c>
      <c r="F115" s="1" t="s">
        <v>109</v>
      </c>
      <c r="G115" s="1" t="s">
        <v>30</v>
      </c>
      <c r="H115" s="1" t="s">
        <v>40</v>
      </c>
      <c r="I115" s="1">
        <v>70</v>
      </c>
      <c r="J115" s="1">
        <v>0</v>
      </c>
      <c r="K115" s="1">
        <v>9</v>
      </c>
      <c r="L115" s="1">
        <v>900</v>
      </c>
      <c r="M115" s="1">
        <v>0</v>
      </c>
      <c r="N115" s="1">
        <v>0</v>
      </c>
      <c r="O115" s="1">
        <v>630</v>
      </c>
      <c r="P115" s="6" t="str">
        <f>IF(ISERROR(VLOOKUP(F115,[1]작가별정산률!$R:$S,2,0)),"스토리위즈",VLOOKUP(F115,[1]작가별정산률!$R:$S,2,0))</f>
        <v>에필로그</v>
      </c>
      <c r="Q115" s="6" t="str">
        <f>IF(P115="스토리위즈",VLOOKUP(F115,[1]작가별정산률!$A:$B,2,0),P115)</f>
        <v>에필로그</v>
      </c>
    </row>
    <row r="116" spans="1:17" x14ac:dyDescent="0.4">
      <c r="A116" s="1" t="s">
        <v>86</v>
      </c>
      <c r="B116" s="1" t="s">
        <v>14</v>
      </c>
      <c r="C116" s="1">
        <v>155494</v>
      </c>
      <c r="D116" s="1" t="s">
        <v>15</v>
      </c>
      <c r="E116" s="1" t="s">
        <v>0</v>
      </c>
      <c r="F116" s="1" t="s">
        <v>118</v>
      </c>
      <c r="G116" s="1" t="s">
        <v>29</v>
      </c>
      <c r="H116" s="1" t="s">
        <v>14</v>
      </c>
      <c r="I116" s="1">
        <v>70</v>
      </c>
      <c r="J116" s="1">
        <v>0</v>
      </c>
      <c r="K116" s="1">
        <v>3</v>
      </c>
      <c r="L116" s="1">
        <v>300</v>
      </c>
      <c r="M116" s="1">
        <v>0</v>
      </c>
      <c r="N116" s="1">
        <v>0</v>
      </c>
      <c r="O116" s="1">
        <v>210</v>
      </c>
      <c r="P116" s="6" t="str">
        <f>IF(ISERROR(VLOOKUP(F116,[1]작가별정산률!$R:$S,2,0)),"스토리위즈",VLOOKUP(F116,[1]작가별정산률!$R:$S,2,0))</f>
        <v>스토리위즈</v>
      </c>
      <c r="Q116" s="6" t="str">
        <f>IF(P116="스토리위즈",VLOOKUP(F116,[1]작가별정산률!$A:$B,2,0),P116)</f>
        <v>이한애비</v>
      </c>
    </row>
    <row r="117" spans="1:17" x14ac:dyDescent="0.4">
      <c r="A117" s="1" t="s">
        <v>86</v>
      </c>
      <c r="B117" s="1" t="s">
        <v>14</v>
      </c>
      <c r="C117" s="1">
        <v>155639</v>
      </c>
      <c r="D117" s="1" t="s">
        <v>15</v>
      </c>
      <c r="E117" s="1" t="s">
        <v>16</v>
      </c>
      <c r="F117" s="1" t="s">
        <v>120</v>
      </c>
      <c r="G117" s="1" t="s">
        <v>31</v>
      </c>
      <c r="H117" s="1" t="s">
        <v>40</v>
      </c>
      <c r="I117" s="1">
        <v>70</v>
      </c>
      <c r="J117" s="1">
        <v>0</v>
      </c>
      <c r="K117" s="1">
        <v>19</v>
      </c>
      <c r="L117" s="1">
        <v>1900</v>
      </c>
      <c r="M117" s="1">
        <v>0</v>
      </c>
      <c r="N117" s="1">
        <v>0</v>
      </c>
      <c r="O117" s="1">
        <v>1330</v>
      </c>
      <c r="P117" s="6" t="str">
        <f>IF(ISERROR(VLOOKUP(F117,[1]작가별정산률!$R:$S,2,0)),"스토리위즈",VLOOKUP(F117,[1]작가별정산률!$R:$S,2,0))</f>
        <v>에필로그</v>
      </c>
      <c r="Q117" s="6" t="str">
        <f>IF(P117="스토리위즈",VLOOKUP(F117,[1]작가별정산률!$A:$B,2,0),P117)</f>
        <v>에필로그</v>
      </c>
    </row>
    <row r="118" spans="1:17" x14ac:dyDescent="0.4">
      <c r="A118" s="1" t="s">
        <v>87</v>
      </c>
      <c r="B118" s="1" t="s">
        <v>14</v>
      </c>
      <c r="C118" s="1">
        <v>153993</v>
      </c>
      <c r="D118" s="1" t="s">
        <v>15</v>
      </c>
      <c r="E118" s="1" t="s">
        <v>16</v>
      </c>
      <c r="F118" s="1" t="s">
        <v>127</v>
      </c>
      <c r="G118" s="1" t="s">
        <v>88</v>
      </c>
      <c r="H118" s="1" t="s">
        <v>40</v>
      </c>
      <c r="I118" s="1">
        <v>70</v>
      </c>
      <c r="J118" s="1">
        <v>0</v>
      </c>
      <c r="K118" s="1">
        <v>13</v>
      </c>
      <c r="L118" s="1">
        <v>1300</v>
      </c>
      <c r="M118" s="1">
        <v>0</v>
      </c>
      <c r="N118" s="1">
        <v>0</v>
      </c>
      <c r="O118" s="1">
        <v>910</v>
      </c>
      <c r="P118" s="6" t="str">
        <f>IF(ISERROR(VLOOKUP(F118,[1]작가별정산률!$R:$S,2,0)),"스토리위즈",VLOOKUP(F118,[1]작가별정산률!$R:$S,2,0))</f>
        <v>에필로그</v>
      </c>
      <c r="Q118" s="6" t="str">
        <f>IF(P118="스토리위즈",VLOOKUP(F118,[1]작가별정산률!$A:$B,2,0),P118)</f>
        <v>에필로그</v>
      </c>
    </row>
    <row r="119" spans="1:17" x14ac:dyDescent="0.4">
      <c r="A119" s="1" t="s">
        <v>87</v>
      </c>
      <c r="B119" s="1" t="s">
        <v>14</v>
      </c>
      <c r="C119" s="1">
        <v>155639</v>
      </c>
      <c r="D119" s="1" t="s">
        <v>15</v>
      </c>
      <c r="E119" s="1" t="s">
        <v>16</v>
      </c>
      <c r="F119" s="1" t="s">
        <v>120</v>
      </c>
      <c r="G119" s="1" t="s">
        <v>31</v>
      </c>
      <c r="H119" s="1" t="s">
        <v>40</v>
      </c>
      <c r="I119" s="1">
        <v>70</v>
      </c>
      <c r="J119" s="1">
        <v>0</v>
      </c>
      <c r="K119" s="1">
        <v>16</v>
      </c>
      <c r="L119" s="1">
        <v>1600</v>
      </c>
      <c r="M119" s="1">
        <v>0</v>
      </c>
      <c r="N119" s="1">
        <v>0</v>
      </c>
      <c r="O119" s="1">
        <v>1120</v>
      </c>
      <c r="P119" s="6" t="str">
        <f>IF(ISERROR(VLOOKUP(F119,[1]작가별정산률!$R:$S,2,0)),"스토리위즈",VLOOKUP(F119,[1]작가별정산률!$R:$S,2,0))</f>
        <v>에필로그</v>
      </c>
      <c r="Q119" s="6" t="str">
        <f>IF(P119="스토리위즈",VLOOKUP(F119,[1]작가별정산률!$A:$B,2,0),P119)</f>
        <v>에필로그</v>
      </c>
    </row>
    <row r="120" spans="1:17" x14ac:dyDescent="0.4">
      <c r="A120" s="1" t="s">
        <v>89</v>
      </c>
      <c r="B120" s="1" t="s">
        <v>14</v>
      </c>
      <c r="C120" s="1">
        <v>155639</v>
      </c>
      <c r="D120" s="1" t="s">
        <v>15</v>
      </c>
      <c r="E120" s="1" t="s">
        <v>16</v>
      </c>
      <c r="F120" s="1" t="s">
        <v>120</v>
      </c>
      <c r="G120" s="1" t="s">
        <v>31</v>
      </c>
      <c r="H120" s="1" t="s">
        <v>40</v>
      </c>
      <c r="I120" s="1">
        <v>70</v>
      </c>
      <c r="J120" s="1">
        <v>0</v>
      </c>
      <c r="K120" s="1">
        <v>17</v>
      </c>
      <c r="L120" s="1">
        <v>1700</v>
      </c>
      <c r="M120" s="1">
        <v>0</v>
      </c>
      <c r="N120" s="1">
        <v>0</v>
      </c>
      <c r="O120" s="1">
        <v>1190</v>
      </c>
      <c r="P120" s="6" t="str">
        <f>IF(ISERROR(VLOOKUP(F120,[1]작가별정산률!$R:$S,2,0)),"스토리위즈",VLOOKUP(F120,[1]작가별정산률!$R:$S,2,0))</f>
        <v>에필로그</v>
      </c>
      <c r="Q120" s="6" t="str">
        <f>IF(P120="스토리위즈",VLOOKUP(F120,[1]작가별정산률!$A:$B,2,0),P120)</f>
        <v>에필로그</v>
      </c>
    </row>
    <row r="121" spans="1:17" x14ac:dyDescent="0.4">
      <c r="A121" s="1" t="s">
        <v>89</v>
      </c>
      <c r="B121" s="1" t="s">
        <v>14</v>
      </c>
      <c r="C121" s="1">
        <v>155915</v>
      </c>
      <c r="D121" s="1" t="s">
        <v>15</v>
      </c>
      <c r="E121" s="1" t="s">
        <v>25</v>
      </c>
      <c r="F121" s="1" t="s">
        <v>137</v>
      </c>
      <c r="G121" s="1" t="s">
        <v>37</v>
      </c>
      <c r="H121" s="1" t="s">
        <v>46</v>
      </c>
      <c r="I121" s="1">
        <v>70</v>
      </c>
      <c r="J121" s="1">
        <v>0</v>
      </c>
      <c r="K121" s="1">
        <v>2</v>
      </c>
      <c r="L121" s="1">
        <v>200</v>
      </c>
      <c r="M121" s="1">
        <v>0</v>
      </c>
      <c r="N121" s="1">
        <v>0</v>
      </c>
      <c r="O121" s="1">
        <v>140</v>
      </c>
      <c r="P121" s="6" t="str">
        <f>IF(ISERROR(VLOOKUP(F121,[1]작가별정산률!$R:$S,2,0)),"스토리위즈",VLOOKUP(F121,[1]작가별정산률!$R:$S,2,0))</f>
        <v>더컴퍼니</v>
      </c>
      <c r="Q121" s="6" t="str">
        <f>IF(P121="스토리위즈",VLOOKUP(F121,[1]작가별정산률!$A:$B,2,0),P121)</f>
        <v>더컴퍼니</v>
      </c>
    </row>
    <row r="122" spans="1:17" x14ac:dyDescent="0.4">
      <c r="A122" s="1" t="s">
        <v>90</v>
      </c>
      <c r="B122" s="1" t="s">
        <v>14</v>
      </c>
      <c r="C122" s="1">
        <v>152374</v>
      </c>
      <c r="D122" s="1" t="s">
        <v>15</v>
      </c>
      <c r="E122" s="1" t="s">
        <v>16</v>
      </c>
      <c r="F122" s="1" t="s">
        <v>107</v>
      </c>
      <c r="G122" s="1" t="s">
        <v>20</v>
      </c>
      <c r="H122" s="1" t="s">
        <v>14</v>
      </c>
      <c r="I122" s="1">
        <v>70</v>
      </c>
      <c r="J122" s="1">
        <v>0</v>
      </c>
      <c r="K122" s="1">
        <v>2</v>
      </c>
      <c r="L122" s="1">
        <v>200</v>
      </c>
      <c r="M122" s="1">
        <v>0</v>
      </c>
      <c r="N122" s="1">
        <v>0</v>
      </c>
      <c r="O122" s="1">
        <v>140</v>
      </c>
      <c r="P122" s="6" t="str">
        <f>IF(ISERROR(VLOOKUP(F122,[1]작가별정산률!$R:$S,2,0)),"스토리위즈",VLOOKUP(F122,[1]작가별정산률!$R:$S,2,0))</f>
        <v>스토리위즈</v>
      </c>
      <c r="Q122" s="6" t="str">
        <f>IF(P122="스토리위즈",VLOOKUP(F122,[1]작가별정산률!$A:$B,2,0),P122)</f>
        <v>만렙도끼</v>
      </c>
    </row>
    <row r="123" spans="1:17" x14ac:dyDescent="0.4">
      <c r="A123" s="1" t="s">
        <v>90</v>
      </c>
      <c r="B123" s="1" t="s">
        <v>14</v>
      </c>
      <c r="C123" s="1">
        <v>156208</v>
      </c>
      <c r="D123" s="1" t="s">
        <v>15</v>
      </c>
      <c r="E123" s="1" t="s">
        <v>0</v>
      </c>
      <c r="F123" s="1" t="s">
        <v>103</v>
      </c>
      <c r="G123" s="1" t="s">
        <v>41</v>
      </c>
      <c r="H123" s="1" t="s">
        <v>14</v>
      </c>
      <c r="I123" s="1">
        <v>70</v>
      </c>
      <c r="J123" s="1">
        <v>0</v>
      </c>
      <c r="K123" s="1">
        <v>1</v>
      </c>
      <c r="L123" s="1">
        <v>100</v>
      </c>
      <c r="M123" s="1">
        <v>0</v>
      </c>
      <c r="N123" s="1">
        <v>0</v>
      </c>
      <c r="O123" s="1">
        <v>70</v>
      </c>
      <c r="P123" s="6" t="str">
        <f>IF(ISERROR(VLOOKUP(F123,[1]작가별정산률!$R:$S,2,0)),"스토리위즈",VLOOKUP(F123,[1]작가별정산률!$R:$S,2,0))</f>
        <v>스토리위즈</v>
      </c>
      <c r="Q123" s="6" t="str">
        <f>IF(P123="스토리위즈",VLOOKUP(F123,[1]작가별정산률!$A:$B,2,0),P123)</f>
        <v>갓띵작</v>
      </c>
    </row>
    <row r="124" spans="1:17" x14ac:dyDescent="0.4">
      <c r="A124" s="1" t="s">
        <v>91</v>
      </c>
      <c r="B124" s="1" t="s">
        <v>14</v>
      </c>
      <c r="C124" s="1">
        <v>152374</v>
      </c>
      <c r="D124" s="1" t="s">
        <v>15</v>
      </c>
      <c r="E124" s="1" t="s">
        <v>16</v>
      </c>
      <c r="F124" s="1" t="s">
        <v>107</v>
      </c>
      <c r="G124" s="1" t="s">
        <v>20</v>
      </c>
      <c r="H124" s="1" t="s">
        <v>14</v>
      </c>
      <c r="I124" s="1">
        <v>70</v>
      </c>
      <c r="J124" s="1">
        <v>0</v>
      </c>
      <c r="K124" s="1">
        <v>2</v>
      </c>
      <c r="L124" s="1">
        <v>200</v>
      </c>
      <c r="M124" s="1">
        <v>0</v>
      </c>
      <c r="N124" s="1">
        <v>0</v>
      </c>
      <c r="O124" s="1">
        <v>140</v>
      </c>
      <c r="P124" s="6" t="str">
        <f>IF(ISERROR(VLOOKUP(F124,[1]작가별정산률!$R:$S,2,0)),"스토리위즈",VLOOKUP(F124,[1]작가별정산률!$R:$S,2,0))</f>
        <v>스토리위즈</v>
      </c>
      <c r="Q124" s="6" t="str">
        <f>IF(P124="스토리위즈",VLOOKUP(F124,[1]작가별정산률!$A:$B,2,0),P124)</f>
        <v>만렙도끼</v>
      </c>
    </row>
    <row r="125" spans="1:17" x14ac:dyDescent="0.4">
      <c r="A125" s="1" t="s">
        <v>91</v>
      </c>
      <c r="B125" s="1" t="s">
        <v>14</v>
      </c>
      <c r="C125" s="1">
        <v>155651</v>
      </c>
      <c r="D125" s="1" t="s">
        <v>15</v>
      </c>
      <c r="E125" s="1" t="s">
        <v>16</v>
      </c>
      <c r="F125" s="1" t="s">
        <v>111</v>
      </c>
      <c r="G125" s="1" t="s">
        <v>33</v>
      </c>
      <c r="H125" s="1" t="s">
        <v>14</v>
      </c>
      <c r="I125" s="1">
        <v>70</v>
      </c>
      <c r="J125" s="1">
        <v>0</v>
      </c>
      <c r="K125" s="1">
        <v>33</v>
      </c>
      <c r="L125" s="1">
        <v>3300</v>
      </c>
      <c r="M125" s="1">
        <v>0</v>
      </c>
      <c r="N125" s="1">
        <v>0</v>
      </c>
      <c r="O125" s="1">
        <v>2310</v>
      </c>
      <c r="P125" s="6" t="str">
        <f>IF(ISERROR(VLOOKUP(F125,[1]작가별정산률!$R:$S,2,0)),"스토리위즈",VLOOKUP(F125,[1]작가별정산률!$R:$S,2,0))</f>
        <v>스토리위즈</v>
      </c>
      <c r="Q125" s="6" t="str">
        <f>IF(P125="스토리위즈",VLOOKUP(F125,[1]작가별정산률!$A:$B,2,0),P125)</f>
        <v>무장</v>
      </c>
    </row>
    <row r="126" spans="1:17" x14ac:dyDescent="0.4">
      <c r="A126" s="1" t="s">
        <v>91</v>
      </c>
      <c r="B126" s="1" t="s">
        <v>14</v>
      </c>
      <c r="C126" s="1">
        <v>155653</v>
      </c>
      <c r="D126" s="1" t="s">
        <v>15</v>
      </c>
      <c r="E126" s="1" t="s">
        <v>16</v>
      </c>
      <c r="F126" s="1" t="s">
        <v>111</v>
      </c>
      <c r="G126" s="1" t="s">
        <v>32</v>
      </c>
      <c r="H126" s="1" t="s">
        <v>14</v>
      </c>
      <c r="I126" s="1">
        <v>70</v>
      </c>
      <c r="J126" s="1">
        <v>0</v>
      </c>
      <c r="K126" s="1">
        <v>3</v>
      </c>
      <c r="L126" s="1">
        <v>300</v>
      </c>
      <c r="M126" s="1">
        <v>0</v>
      </c>
      <c r="N126" s="1">
        <v>0</v>
      </c>
      <c r="O126" s="1">
        <v>210</v>
      </c>
      <c r="P126" s="6" t="str">
        <f>IF(ISERROR(VLOOKUP(F126,[1]작가별정산률!$R:$S,2,0)),"스토리위즈",VLOOKUP(F126,[1]작가별정산률!$R:$S,2,0))</f>
        <v>스토리위즈</v>
      </c>
      <c r="Q126" s="6" t="str">
        <f>IF(P126="스토리위즈",VLOOKUP(F126,[1]작가별정산률!$A:$B,2,0),P126)</f>
        <v>무장</v>
      </c>
    </row>
    <row r="127" spans="1:17" x14ac:dyDescent="0.4">
      <c r="A127" s="1" t="s">
        <v>91</v>
      </c>
      <c r="B127" s="1" t="s">
        <v>14</v>
      </c>
      <c r="C127" s="1">
        <v>155915</v>
      </c>
      <c r="D127" s="1" t="s">
        <v>15</v>
      </c>
      <c r="E127" s="1" t="s">
        <v>25</v>
      </c>
      <c r="F127" s="1" t="s">
        <v>137</v>
      </c>
      <c r="G127" s="1" t="s">
        <v>37</v>
      </c>
      <c r="H127" s="1" t="s">
        <v>46</v>
      </c>
      <c r="I127" s="1">
        <v>70</v>
      </c>
      <c r="J127" s="1">
        <v>0</v>
      </c>
      <c r="K127" s="1">
        <v>1</v>
      </c>
      <c r="L127" s="1">
        <v>100</v>
      </c>
      <c r="M127" s="1">
        <v>0</v>
      </c>
      <c r="N127" s="1">
        <v>0</v>
      </c>
      <c r="O127" s="1">
        <v>70</v>
      </c>
      <c r="P127" s="6" t="str">
        <f>IF(ISERROR(VLOOKUP(F127,[1]작가별정산률!$R:$S,2,0)),"스토리위즈",VLOOKUP(F127,[1]작가별정산률!$R:$S,2,0))</f>
        <v>더컴퍼니</v>
      </c>
      <c r="Q127" s="6" t="str">
        <f>IF(P127="스토리위즈",VLOOKUP(F127,[1]작가별정산률!$A:$B,2,0),P127)</f>
        <v>더컴퍼니</v>
      </c>
    </row>
    <row r="128" spans="1:17" x14ac:dyDescent="0.4">
      <c r="A128" s="1" t="s">
        <v>91</v>
      </c>
      <c r="B128" s="1" t="s">
        <v>14</v>
      </c>
      <c r="C128" s="1">
        <v>155971</v>
      </c>
      <c r="D128" s="1" t="s">
        <v>15</v>
      </c>
      <c r="E128" s="1" t="s">
        <v>0</v>
      </c>
      <c r="F128" s="1" t="s">
        <v>99</v>
      </c>
      <c r="G128" s="1" t="s">
        <v>43</v>
      </c>
      <c r="H128" s="1" t="s">
        <v>44</v>
      </c>
      <c r="I128" s="1">
        <v>70</v>
      </c>
      <c r="J128" s="1">
        <v>0</v>
      </c>
      <c r="K128" s="1">
        <v>2</v>
      </c>
      <c r="L128" s="1">
        <v>200</v>
      </c>
      <c r="M128" s="1">
        <v>0</v>
      </c>
      <c r="N128" s="1">
        <v>0</v>
      </c>
      <c r="O128" s="1">
        <v>140</v>
      </c>
      <c r="P128" s="6" t="str">
        <f>IF(ISERROR(VLOOKUP(F128,[1]작가별정산률!$R:$S,2,0)),"스토리위즈",VLOOKUP(F128,[1]작가별정산률!$R:$S,2,0))</f>
        <v>아크스튜디오</v>
      </c>
      <c r="Q128" s="6" t="str">
        <f>IF(P128="스토리위즈",VLOOKUP(F128,[1]작가별정산률!$A:$B,2,0),P128)</f>
        <v>아크스튜디오</v>
      </c>
    </row>
    <row r="129" spans="1:17" x14ac:dyDescent="0.4">
      <c r="A129" s="1" t="s">
        <v>91</v>
      </c>
      <c r="B129" s="1" t="s">
        <v>14</v>
      </c>
      <c r="C129" s="1">
        <v>155976</v>
      </c>
      <c r="D129" s="1" t="s">
        <v>15</v>
      </c>
      <c r="E129" s="1" t="s">
        <v>0</v>
      </c>
      <c r="F129" s="1" t="s">
        <v>101</v>
      </c>
      <c r="G129" s="1" t="s">
        <v>45</v>
      </c>
      <c r="H129" s="1" t="s">
        <v>14</v>
      </c>
      <c r="I129" s="1">
        <v>70</v>
      </c>
      <c r="J129" s="1">
        <v>0</v>
      </c>
      <c r="K129" s="1">
        <v>2</v>
      </c>
      <c r="L129" s="1">
        <v>200</v>
      </c>
      <c r="M129" s="1">
        <v>0</v>
      </c>
      <c r="N129" s="1">
        <v>0</v>
      </c>
      <c r="O129" s="1">
        <v>140</v>
      </c>
      <c r="P129" s="6" t="str">
        <f>IF(ISERROR(VLOOKUP(F129,[1]작가별정산률!$R:$S,2,0)),"스토리위즈",VLOOKUP(F129,[1]작가별정산률!$R:$S,2,0))</f>
        <v>스토리위즈</v>
      </c>
      <c r="Q129" s="6" t="str">
        <f>IF(P129="스토리위즈",VLOOKUP(F129,[1]작가별정산률!$A:$B,2,0),P129)</f>
        <v>비고</v>
      </c>
    </row>
    <row r="130" spans="1:17" x14ac:dyDescent="0.4">
      <c r="A130" s="1" t="s">
        <v>92</v>
      </c>
      <c r="B130" s="1" t="s">
        <v>14</v>
      </c>
      <c r="C130" s="1">
        <v>151856</v>
      </c>
      <c r="D130" s="1" t="s">
        <v>15</v>
      </c>
      <c r="E130" s="1" t="s">
        <v>0</v>
      </c>
      <c r="F130" s="1" t="s">
        <v>105</v>
      </c>
      <c r="G130" s="1" t="s">
        <v>27</v>
      </c>
      <c r="H130" s="1" t="s">
        <v>14</v>
      </c>
      <c r="I130" s="1">
        <v>70</v>
      </c>
      <c r="J130" s="1">
        <v>0</v>
      </c>
      <c r="K130" s="1">
        <v>1</v>
      </c>
      <c r="L130" s="1">
        <v>100</v>
      </c>
      <c r="M130" s="1">
        <v>0</v>
      </c>
      <c r="N130" s="1">
        <v>0</v>
      </c>
      <c r="O130" s="1">
        <v>70</v>
      </c>
      <c r="P130" s="6" t="str">
        <f>IF(ISERROR(VLOOKUP(F130,[1]작가별정산률!$R:$S,2,0)),"스토리위즈",VLOOKUP(F130,[1]작가별정산률!$R:$S,2,0))</f>
        <v>스토리위즈</v>
      </c>
      <c r="Q130" s="6" t="str">
        <f>IF(P130="스토리위즈",VLOOKUP(F130,[1]작가별정산률!$A:$B,2,0),P130)</f>
        <v>권용찬</v>
      </c>
    </row>
    <row r="131" spans="1:17" x14ac:dyDescent="0.4">
      <c r="A131" s="1" t="s">
        <v>92</v>
      </c>
      <c r="B131" s="1" t="s">
        <v>14</v>
      </c>
      <c r="C131" s="1">
        <v>152374</v>
      </c>
      <c r="D131" s="1" t="s">
        <v>15</v>
      </c>
      <c r="E131" s="1" t="s">
        <v>16</v>
      </c>
      <c r="F131" s="1" t="s">
        <v>107</v>
      </c>
      <c r="G131" s="1" t="s">
        <v>20</v>
      </c>
      <c r="H131" s="1" t="s">
        <v>14</v>
      </c>
      <c r="I131" s="1">
        <v>70</v>
      </c>
      <c r="J131" s="1">
        <v>0</v>
      </c>
      <c r="K131" s="1">
        <v>6</v>
      </c>
      <c r="L131" s="1">
        <v>600</v>
      </c>
      <c r="M131" s="1">
        <v>0</v>
      </c>
      <c r="N131" s="1">
        <v>0</v>
      </c>
      <c r="O131" s="1">
        <v>420</v>
      </c>
      <c r="P131" s="6" t="str">
        <f>IF(ISERROR(VLOOKUP(F131,[1]작가별정산률!$R:$S,2,0)),"스토리위즈",VLOOKUP(F131,[1]작가별정산률!$R:$S,2,0))</f>
        <v>스토리위즈</v>
      </c>
      <c r="Q131" s="6" t="str">
        <f>IF(P131="스토리위즈",VLOOKUP(F131,[1]작가별정산률!$A:$B,2,0),P131)</f>
        <v>만렙도끼</v>
      </c>
    </row>
    <row r="132" spans="1:17" x14ac:dyDescent="0.4">
      <c r="A132" s="1" t="s">
        <v>92</v>
      </c>
      <c r="B132" s="1" t="s">
        <v>14</v>
      </c>
      <c r="C132" s="1">
        <v>155364</v>
      </c>
      <c r="D132" s="1" t="s">
        <v>15</v>
      </c>
      <c r="E132" s="1" t="s">
        <v>28</v>
      </c>
      <c r="F132" s="1" t="s">
        <v>109</v>
      </c>
      <c r="G132" s="1" t="s">
        <v>30</v>
      </c>
      <c r="H132" s="1" t="s">
        <v>40</v>
      </c>
      <c r="I132" s="1">
        <v>70</v>
      </c>
      <c r="J132" s="1">
        <v>0</v>
      </c>
      <c r="K132" s="1">
        <v>1</v>
      </c>
      <c r="L132" s="1">
        <v>100</v>
      </c>
      <c r="M132" s="1">
        <v>0</v>
      </c>
      <c r="N132" s="1">
        <v>0</v>
      </c>
      <c r="O132" s="1">
        <v>70</v>
      </c>
      <c r="P132" s="6" t="str">
        <f>IF(ISERROR(VLOOKUP(F132,[1]작가별정산률!$R:$S,2,0)),"스토리위즈",VLOOKUP(F132,[1]작가별정산률!$R:$S,2,0))</f>
        <v>에필로그</v>
      </c>
      <c r="Q132" s="6" t="str">
        <f>IF(P132="스토리위즈",VLOOKUP(F132,[1]작가별정산률!$A:$B,2,0),P132)</f>
        <v>에필로그</v>
      </c>
    </row>
    <row r="133" spans="1:17" x14ac:dyDescent="0.4">
      <c r="A133" s="1" t="s">
        <v>92</v>
      </c>
      <c r="B133" s="1" t="s">
        <v>14</v>
      </c>
      <c r="C133" s="1">
        <v>155651</v>
      </c>
      <c r="D133" s="1" t="s">
        <v>15</v>
      </c>
      <c r="E133" s="1" t="s">
        <v>16</v>
      </c>
      <c r="F133" s="1" t="s">
        <v>111</v>
      </c>
      <c r="G133" s="1" t="s">
        <v>33</v>
      </c>
      <c r="H133" s="1" t="s">
        <v>14</v>
      </c>
      <c r="I133" s="1">
        <v>70</v>
      </c>
      <c r="J133" s="1">
        <v>0</v>
      </c>
      <c r="K133" s="1">
        <v>31</v>
      </c>
      <c r="L133" s="1">
        <v>3100</v>
      </c>
      <c r="M133" s="1">
        <v>0</v>
      </c>
      <c r="N133" s="1">
        <v>0</v>
      </c>
      <c r="O133" s="1">
        <v>2170</v>
      </c>
      <c r="P133" s="6" t="str">
        <f>IF(ISERROR(VLOOKUP(F133,[1]작가별정산률!$R:$S,2,0)),"스토리위즈",VLOOKUP(F133,[1]작가별정산률!$R:$S,2,0))</f>
        <v>스토리위즈</v>
      </c>
      <c r="Q133" s="6" t="str">
        <f>IF(P133="스토리위즈",VLOOKUP(F133,[1]작가별정산률!$A:$B,2,0),P133)</f>
        <v>무장</v>
      </c>
    </row>
    <row r="134" spans="1:17" x14ac:dyDescent="0.4">
      <c r="A134" s="1" t="s">
        <v>92</v>
      </c>
      <c r="B134" s="1" t="s">
        <v>14</v>
      </c>
      <c r="C134" s="1">
        <v>155829</v>
      </c>
      <c r="D134" s="1" t="s">
        <v>15</v>
      </c>
      <c r="E134" s="1" t="s">
        <v>0</v>
      </c>
      <c r="F134" s="1" t="s">
        <v>97</v>
      </c>
      <c r="G134" s="1" t="s">
        <v>39</v>
      </c>
      <c r="H134" s="1" t="s">
        <v>40</v>
      </c>
      <c r="I134" s="1">
        <v>70</v>
      </c>
      <c r="J134" s="1">
        <v>0</v>
      </c>
      <c r="K134" s="1">
        <v>1</v>
      </c>
      <c r="L134" s="1">
        <v>100</v>
      </c>
      <c r="M134" s="1">
        <v>0</v>
      </c>
      <c r="N134" s="1">
        <v>0</v>
      </c>
      <c r="O134" s="1">
        <v>70</v>
      </c>
      <c r="P134" s="6" t="str">
        <f>IF(ISERROR(VLOOKUP(F134,[1]작가별정산률!$R:$S,2,0)),"스토리위즈",VLOOKUP(F134,[1]작가별정산률!$R:$S,2,0))</f>
        <v>에필로그</v>
      </c>
      <c r="Q134" s="6" t="str">
        <f>IF(P134="스토리위즈",VLOOKUP(F134,[1]작가별정산률!$A:$B,2,0),P134)</f>
        <v>에필로그</v>
      </c>
    </row>
    <row r="135" spans="1:17" x14ac:dyDescent="0.4">
      <c r="A135" s="1" t="s">
        <v>92</v>
      </c>
      <c r="B135" s="1" t="s">
        <v>14</v>
      </c>
      <c r="C135" s="1">
        <v>155915</v>
      </c>
      <c r="D135" s="1" t="s">
        <v>15</v>
      </c>
      <c r="E135" s="1" t="s">
        <v>25</v>
      </c>
      <c r="F135" s="1" t="s">
        <v>137</v>
      </c>
      <c r="G135" s="1" t="s">
        <v>37</v>
      </c>
      <c r="H135" s="1" t="s">
        <v>46</v>
      </c>
      <c r="I135" s="1">
        <v>70</v>
      </c>
      <c r="J135" s="1">
        <v>0</v>
      </c>
      <c r="K135" s="1">
        <v>3</v>
      </c>
      <c r="L135" s="1">
        <v>300</v>
      </c>
      <c r="M135" s="1">
        <v>0</v>
      </c>
      <c r="N135" s="1">
        <v>0</v>
      </c>
      <c r="O135" s="1">
        <v>210</v>
      </c>
      <c r="P135" s="6" t="str">
        <f>IF(ISERROR(VLOOKUP(F135,[1]작가별정산률!$R:$S,2,0)),"스토리위즈",VLOOKUP(F135,[1]작가별정산률!$R:$S,2,0))</f>
        <v>더컴퍼니</v>
      </c>
      <c r="Q135" s="6" t="str">
        <f>IF(P135="스토리위즈",VLOOKUP(F135,[1]작가별정산률!$A:$B,2,0),P135)</f>
        <v>더컴퍼니</v>
      </c>
    </row>
    <row r="136" spans="1:17" x14ac:dyDescent="0.4">
      <c r="A136" s="1" t="s">
        <v>92</v>
      </c>
      <c r="B136" s="1" t="s">
        <v>14</v>
      </c>
      <c r="C136" s="1">
        <v>155971</v>
      </c>
      <c r="D136" s="1" t="s">
        <v>15</v>
      </c>
      <c r="E136" s="1" t="s">
        <v>0</v>
      </c>
      <c r="F136" s="1" t="s">
        <v>99</v>
      </c>
      <c r="G136" s="1" t="s">
        <v>43</v>
      </c>
      <c r="H136" s="1" t="s">
        <v>44</v>
      </c>
      <c r="I136" s="1">
        <v>70</v>
      </c>
      <c r="J136" s="1">
        <v>0</v>
      </c>
      <c r="K136" s="1">
        <v>5</v>
      </c>
      <c r="L136" s="1">
        <v>500</v>
      </c>
      <c r="M136" s="1">
        <v>0</v>
      </c>
      <c r="N136" s="1">
        <v>0</v>
      </c>
      <c r="O136" s="1">
        <v>350</v>
      </c>
      <c r="P136" s="6" t="str">
        <f>IF(ISERROR(VLOOKUP(F136,[1]작가별정산률!$R:$S,2,0)),"스토리위즈",VLOOKUP(F136,[1]작가별정산률!$R:$S,2,0))</f>
        <v>아크스튜디오</v>
      </c>
      <c r="Q136" s="6" t="str">
        <f>IF(P136="스토리위즈",VLOOKUP(F136,[1]작가별정산률!$A:$B,2,0),P136)</f>
        <v>아크스튜디오</v>
      </c>
    </row>
    <row r="137" spans="1:17" x14ac:dyDescent="0.4">
      <c r="A137" s="1" t="s">
        <v>92</v>
      </c>
      <c r="B137" s="1" t="s">
        <v>14</v>
      </c>
      <c r="C137" s="1">
        <v>155976</v>
      </c>
      <c r="D137" s="1" t="s">
        <v>15</v>
      </c>
      <c r="E137" s="1" t="s">
        <v>0</v>
      </c>
      <c r="F137" s="1" t="s">
        <v>101</v>
      </c>
      <c r="G137" s="1" t="s">
        <v>45</v>
      </c>
      <c r="H137" s="1" t="s">
        <v>14</v>
      </c>
      <c r="I137" s="1">
        <v>70</v>
      </c>
      <c r="J137" s="1">
        <v>0</v>
      </c>
      <c r="K137" s="1">
        <v>3</v>
      </c>
      <c r="L137" s="1">
        <v>300</v>
      </c>
      <c r="M137" s="1">
        <v>0</v>
      </c>
      <c r="N137" s="1">
        <v>0</v>
      </c>
      <c r="O137" s="1">
        <v>210</v>
      </c>
      <c r="P137" s="6" t="str">
        <f>IF(ISERROR(VLOOKUP(F137,[1]작가별정산률!$R:$S,2,0)),"스토리위즈",VLOOKUP(F137,[1]작가별정산률!$R:$S,2,0))</f>
        <v>스토리위즈</v>
      </c>
      <c r="Q137" s="6" t="str">
        <f>IF(P137="스토리위즈",VLOOKUP(F137,[1]작가별정산률!$A:$B,2,0),P137)</f>
        <v>비고</v>
      </c>
    </row>
    <row r="138" spans="1:17" x14ac:dyDescent="0.4">
      <c r="A138" s="1" t="s">
        <v>92</v>
      </c>
      <c r="B138" s="1" t="s">
        <v>14</v>
      </c>
      <c r="C138" s="1">
        <v>156208</v>
      </c>
      <c r="D138" s="1" t="s">
        <v>15</v>
      </c>
      <c r="E138" s="1" t="s">
        <v>0</v>
      </c>
      <c r="F138" s="1" t="s">
        <v>103</v>
      </c>
      <c r="G138" s="1" t="s">
        <v>41</v>
      </c>
      <c r="H138" s="1" t="s">
        <v>14</v>
      </c>
      <c r="I138" s="1">
        <v>70</v>
      </c>
      <c r="J138" s="1">
        <v>0</v>
      </c>
      <c r="K138" s="1">
        <v>3</v>
      </c>
      <c r="L138" s="1">
        <v>300</v>
      </c>
      <c r="M138" s="1">
        <v>0</v>
      </c>
      <c r="N138" s="1">
        <v>0</v>
      </c>
      <c r="O138" s="1">
        <v>210</v>
      </c>
      <c r="P138" s="6" t="str">
        <f>IF(ISERROR(VLOOKUP(F138,[1]작가별정산률!$R:$S,2,0)),"스토리위즈",VLOOKUP(F138,[1]작가별정산률!$R:$S,2,0))</f>
        <v>스토리위즈</v>
      </c>
      <c r="Q138" s="6" t="str">
        <f>IF(P138="스토리위즈",VLOOKUP(F138,[1]작가별정산률!$A:$B,2,0),P138)</f>
        <v>갓띵작</v>
      </c>
    </row>
    <row r="139" spans="1:17" x14ac:dyDescent="0.4">
      <c r="A139" s="1" t="s">
        <v>93</v>
      </c>
      <c r="B139" s="1" t="s">
        <v>14</v>
      </c>
      <c r="C139" s="1">
        <v>151856</v>
      </c>
      <c r="D139" s="1" t="s">
        <v>15</v>
      </c>
      <c r="E139" s="1" t="s">
        <v>0</v>
      </c>
      <c r="F139" s="1" t="s">
        <v>105</v>
      </c>
      <c r="G139" s="1" t="s">
        <v>27</v>
      </c>
      <c r="H139" s="1" t="s">
        <v>14</v>
      </c>
      <c r="I139" s="1">
        <v>70</v>
      </c>
      <c r="J139" s="1">
        <v>0</v>
      </c>
      <c r="K139" s="1">
        <v>3</v>
      </c>
      <c r="L139" s="1">
        <v>300</v>
      </c>
      <c r="M139" s="1">
        <v>0</v>
      </c>
      <c r="N139" s="1">
        <v>0</v>
      </c>
      <c r="O139" s="1">
        <v>210</v>
      </c>
      <c r="P139" s="6" t="str">
        <f>IF(ISERROR(VLOOKUP(F139,[1]작가별정산률!$R:$S,2,0)),"스토리위즈",VLOOKUP(F139,[1]작가별정산률!$R:$S,2,0))</f>
        <v>스토리위즈</v>
      </c>
      <c r="Q139" s="6" t="str">
        <f>IF(P139="스토리위즈",VLOOKUP(F139,[1]작가별정산률!$A:$B,2,0),P139)</f>
        <v>권용찬</v>
      </c>
    </row>
    <row r="140" spans="1:17" x14ac:dyDescent="0.4">
      <c r="A140" s="1" t="s">
        <v>93</v>
      </c>
      <c r="B140" s="1" t="s">
        <v>14</v>
      </c>
      <c r="C140" s="1">
        <v>152374</v>
      </c>
      <c r="D140" s="1" t="s">
        <v>15</v>
      </c>
      <c r="E140" s="1" t="s">
        <v>16</v>
      </c>
      <c r="F140" s="1" t="s">
        <v>107</v>
      </c>
      <c r="G140" s="1" t="s">
        <v>20</v>
      </c>
      <c r="H140" s="1" t="s">
        <v>14</v>
      </c>
      <c r="I140" s="1">
        <v>70</v>
      </c>
      <c r="J140" s="1">
        <v>0</v>
      </c>
      <c r="K140" s="1">
        <v>5</v>
      </c>
      <c r="L140" s="1">
        <v>500</v>
      </c>
      <c r="M140" s="1">
        <v>0</v>
      </c>
      <c r="N140" s="1">
        <v>0</v>
      </c>
      <c r="O140" s="1">
        <v>350</v>
      </c>
      <c r="P140" s="6" t="str">
        <f>IF(ISERROR(VLOOKUP(F140,[1]작가별정산률!$R:$S,2,0)),"스토리위즈",VLOOKUP(F140,[1]작가별정산률!$R:$S,2,0))</f>
        <v>스토리위즈</v>
      </c>
      <c r="Q140" s="6" t="str">
        <f>IF(P140="스토리위즈",VLOOKUP(F140,[1]작가별정산률!$A:$B,2,0),P140)</f>
        <v>만렙도끼</v>
      </c>
    </row>
    <row r="141" spans="1:17" x14ac:dyDescent="0.4">
      <c r="A141" s="1" t="s">
        <v>93</v>
      </c>
      <c r="B141" s="1" t="s">
        <v>14</v>
      </c>
      <c r="C141" s="1">
        <v>155364</v>
      </c>
      <c r="D141" s="1" t="s">
        <v>15</v>
      </c>
      <c r="E141" s="1" t="s">
        <v>28</v>
      </c>
      <c r="F141" s="1" t="s">
        <v>109</v>
      </c>
      <c r="G141" s="1" t="s">
        <v>30</v>
      </c>
      <c r="H141" s="1" t="s">
        <v>40</v>
      </c>
      <c r="I141" s="1">
        <v>70</v>
      </c>
      <c r="J141" s="1">
        <v>0</v>
      </c>
      <c r="K141" s="1">
        <v>3</v>
      </c>
      <c r="L141" s="1">
        <v>300</v>
      </c>
      <c r="M141" s="1">
        <v>0</v>
      </c>
      <c r="N141" s="1">
        <v>0</v>
      </c>
      <c r="O141" s="1">
        <v>210</v>
      </c>
      <c r="P141" s="6" t="str">
        <f>IF(ISERROR(VLOOKUP(F141,[1]작가별정산률!$R:$S,2,0)),"스토리위즈",VLOOKUP(F141,[1]작가별정산률!$R:$S,2,0))</f>
        <v>에필로그</v>
      </c>
      <c r="Q141" s="6" t="str">
        <f>IF(P141="스토리위즈",VLOOKUP(F141,[1]작가별정산률!$A:$B,2,0),P141)</f>
        <v>에필로그</v>
      </c>
    </row>
    <row r="142" spans="1:17" x14ac:dyDescent="0.4">
      <c r="A142" s="1" t="s">
        <v>93</v>
      </c>
      <c r="B142" s="1" t="s">
        <v>14</v>
      </c>
      <c r="C142" s="1">
        <v>155651</v>
      </c>
      <c r="D142" s="1" t="s">
        <v>15</v>
      </c>
      <c r="E142" s="1" t="s">
        <v>16</v>
      </c>
      <c r="F142" s="1" t="s">
        <v>111</v>
      </c>
      <c r="G142" s="1" t="s">
        <v>33</v>
      </c>
      <c r="H142" s="1" t="s">
        <v>14</v>
      </c>
      <c r="I142" s="1">
        <v>70</v>
      </c>
      <c r="J142" s="1">
        <v>0</v>
      </c>
      <c r="K142" s="1">
        <v>27</v>
      </c>
      <c r="L142" s="1">
        <v>2700</v>
      </c>
      <c r="M142" s="1">
        <v>0</v>
      </c>
      <c r="N142" s="1">
        <v>0</v>
      </c>
      <c r="O142" s="1">
        <v>1890</v>
      </c>
      <c r="P142" s="6" t="str">
        <f>IF(ISERROR(VLOOKUP(F142,[1]작가별정산률!$R:$S,2,0)),"스토리위즈",VLOOKUP(F142,[1]작가별정산률!$R:$S,2,0))</f>
        <v>스토리위즈</v>
      </c>
      <c r="Q142" s="6" t="str">
        <f>IF(P142="스토리위즈",VLOOKUP(F142,[1]작가별정산률!$A:$B,2,0),P142)</f>
        <v>무장</v>
      </c>
    </row>
    <row r="143" spans="1:17" x14ac:dyDescent="0.4">
      <c r="A143" s="1" t="s">
        <v>93</v>
      </c>
      <c r="B143" s="1" t="s">
        <v>14</v>
      </c>
      <c r="C143" s="1">
        <v>155803</v>
      </c>
      <c r="D143" s="1" t="s">
        <v>15</v>
      </c>
      <c r="E143" s="1" t="s">
        <v>16</v>
      </c>
      <c r="F143" s="1" t="s">
        <v>111</v>
      </c>
      <c r="G143" s="1" t="s">
        <v>36</v>
      </c>
      <c r="H143" s="1" t="s">
        <v>14</v>
      </c>
      <c r="I143" s="1">
        <v>70</v>
      </c>
      <c r="J143" s="1">
        <v>0</v>
      </c>
      <c r="K143" s="1">
        <v>3</v>
      </c>
      <c r="L143" s="1">
        <v>300</v>
      </c>
      <c r="M143" s="1">
        <v>0</v>
      </c>
      <c r="N143" s="1">
        <v>0</v>
      </c>
      <c r="O143" s="1">
        <v>210</v>
      </c>
      <c r="P143" s="6" t="str">
        <f>IF(ISERROR(VLOOKUP(F143,[1]작가별정산률!$R:$S,2,0)),"스토리위즈",VLOOKUP(F143,[1]작가별정산률!$R:$S,2,0))</f>
        <v>스토리위즈</v>
      </c>
      <c r="Q143" s="6" t="str">
        <f>IF(P143="스토리위즈",VLOOKUP(F143,[1]작가별정산률!$A:$B,2,0),P143)</f>
        <v>무장</v>
      </c>
    </row>
    <row r="144" spans="1:17" x14ac:dyDescent="0.4">
      <c r="A144" s="1" t="s">
        <v>93</v>
      </c>
      <c r="B144" s="1" t="s">
        <v>14</v>
      </c>
      <c r="C144" s="1">
        <v>155829</v>
      </c>
      <c r="D144" s="1" t="s">
        <v>15</v>
      </c>
      <c r="E144" s="1" t="s">
        <v>0</v>
      </c>
      <c r="F144" s="1" t="s">
        <v>97</v>
      </c>
      <c r="G144" s="1" t="s">
        <v>39</v>
      </c>
      <c r="H144" s="1" t="s">
        <v>40</v>
      </c>
      <c r="I144" s="1">
        <v>70</v>
      </c>
      <c r="J144" s="1">
        <v>0</v>
      </c>
      <c r="K144" s="1">
        <v>3</v>
      </c>
      <c r="L144" s="1">
        <v>300</v>
      </c>
      <c r="M144" s="1">
        <v>0</v>
      </c>
      <c r="N144" s="1">
        <v>0</v>
      </c>
      <c r="O144" s="1">
        <v>210</v>
      </c>
      <c r="P144" s="6" t="str">
        <f>IF(ISERROR(VLOOKUP(F144,[1]작가별정산률!$R:$S,2,0)),"스토리위즈",VLOOKUP(F144,[1]작가별정산률!$R:$S,2,0))</f>
        <v>에필로그</v>
      </c>
      <c r="Q144" s="6" t="str">
        <f>IF(P144="스토리위즈",VLOOKUP(F144,[1]작가별정산률!$A:$B,2,0),P144)</f>
        <v>에필로그</v>
      </c>
    </row>
    <row r="145" spans="1:17" x14ac:dyDescent="0.4">
      <c r="A145" s="1" t="s">
        <v>93</v>
      </c>
      <c r="B145" s="1" t="s">
        <v>14</v>
      </c>
      <c r="C145" s="1">
        <v>155971</v>
      </c>
      <c r="D145" s="1" t="s">
        <v>15</v>
      </c>
      <c r="E145" s="1" t="s">
        <v>0</v>
      </c>
      <c r="F145" s="1" t="s">
        <v>99</v>
      </c>
      <c r="G145" s="1" t="s">
        <v>43</v>
      </c>
      <c r="H145" s="1" t="s">
        <v>44</v>
      </c>
      <c r="I145" s="1">
        <v>70</v>
      </c>
      <c r="J145" s="1">
        <v>0</v>
      </c>
      <c r="K145" s="1">
        <v>3</v>
      </c>
      <c r="L145" s="1">
        <v>300</v>
      </c>
      <c r="M145" s="1">
        <v>0</v>
      </c>
      <c r="N145" s="1">
        <v>0</v>
      </c>
      <c r="O145" s="1">
        <v>210</v>
      </c>
      <c r="P145" s="6" t="str">
        <f>IF(ISERROR(VLOOKUP(F145,[1]작가별정산률!$R:$S,2,0)),"스토리위즈",VLOOKUP(F145,[1]작가별정산률!$R:$S,2,0))</f>
        <v>아크스튜디오</v>
      </c>
      <c r="Q145" s="6" t="str">
        <f>IF(P145="스토리위즈",VLOOKUP(F145,[1]작가별정산률!$A:$B,2,0),P145)</f>
        <v>아크스튜디오</v>
      </c>
    </row>
    <row r="146" spans="1:17" x14ac:dyDescent="0.4">
      <c r="A146" s="1" t="s">
        <v>93</v>
      </c>
      <c r="B146" s="1" t="s">
        <v>14</v>
      </c>
      <c r="C146" s="1">
        <v>155976</v>
      </c>
      <c r="D146" s="1" t="s">
        <v>15</v>
      </c>
      <c r="E146" s="1" t="s">
        <v>0</v>
      </c>
      <c r="F146" s="1" t="s">
        <v>101</v>
      </c>
      <c r="G146" s="1" t="s">
        <v>45</v>
      </c>
      <c r="H146" s="1" t="s">
        <v>14</v>
      </c>
      <c r="I146" s="1">
        <v>70</v>
      </c>
      <c r="J146" s="1">
        <v>0</v>
      </c>
      <c r="K146" s="1">
        <v>3</v>
      </c>
      <c r="L146" s="1">
        <v>300</v>
      </c>
      <c r="M146" s="1">
        <v>0</v>
      </c>
      <c r="N146" s="1">
        <v>0</v>
      </c>
      <c r="O146" s="1">
        <v>210</v>
      </c>
      <c r="P146" s="6" t="str">
        <f>IF(ISERROR(VLOOKUP(F146,[1]작가별정산률!$R:$S,2,0)),"스토리위즈",VLOOKUP(F146,[1]작가별정산률!$R:$S,2,0))</f>
        <v>스토리위즈</v>
      </c>
      <c r="Q146" s="6" t="str">
        <f>IF(P146="스토리위즈",VLOOKUP(F146,[1]작가별정산률!$A:$B,2,0),P146)</f>
        <v>비고</v>
      </c>
    </row>
    <row r="147" spans="1:17" x14ac:dyDescent="0.4">
      <c r="A147" s="1" t="s">
        <v>93</v>
      </c>
      <c r="B147" s="1" t="s">
        <v>14</v>
      </c>
      <c r="C147" s="1">
        <v>156208</v>
      </c>
      <c r="D147" s="1" t="s">
        <v>15</v>
      </c>
      <c r="E147" s="1" t="s">
        <v>0</v>
      </c>
      <c r="F147" s="1" t="s">
        <v>103</v>
      </c>
      <c r="G147" s="1" t="s">
        <v>41</v>
      </c>
      <c r="H147" s="1" t="s">
        <v>14</v>
      </c>
      <c r="I147" s="1">
        <v>70</v>
      </c>
      <c r="J147" s="1">
        <v>0</v>
      </c>
      <c r="K147" s="1">
        <v>3</v>
      </c>
      <c r="L147" s="1">
        <v>300</v>
      </c>
      <c r="M147" s="1">
        <v>0</v>
      </c>
      <c r="N147" s="1">
        <v>0</v>
      </c>
      <c r="O147" s="1">
        <v>210</v>
      </c>
      <c r="P147" s="6" t="str">
        <f>IF(ISERROR(VLOOKUP(F147,[1]작가별정산률!$R:$S,2,0)),"스토리위즈",VLOOKUP(F147,[1]작가별정산률!$R:$S,2,0))</f>
        <v>스토리위즈</v>
      </c>
      <c r="Q147" s="6" t="str">
        <f>IF(P147="스토리위즈",VLOOKUP(F147,[1]작가별정산률!$A:$B,2,0),P147)</f>
        <v>갓띵작</v>
      </c>
    </row>
    <row r="148" spans="1:17" x14ac:dyDescent="0.4">
      <c r="A148" s="1" t="s">
        <v>94</v>
      </c>
      <c r="B148" s="1" t="s">
        <v>14</v>
      </c>
      <c r="C148" s="1">
        <v>151856</v>
      </c>
      <c r="D148" s="1" t="s">
        <v>15</v>
      </c>
      <c r="E148" s="1" t="s">
        <v>0</v>
      </c>
      <c r="F148" s="1" t="s">
        <v>105</v>
      </c>
      <c r="G148" s="1" t="s">
        <v>27</v>
      </c>
      <c r="H148" s="1" t="s">
        <v>14</v>
      </c>
      <c r="I148" s="1">
        <v>70</v>
      </c>
      <c r="J148" s="1">
        <v>0</v>
      </c>
      <c r="K148" s="1">
        <v>3</v>
      </c>
      <c r="L148" s="1">
        <v>300</v>
      </c>
      <c r="M148" s="1">
        <v>0</v>
      </c>
      <c r="N148" s="1">
        <v>0</v>
      </c>
      <c r="O148" s="1">
        <v>210</v>
      </c>
      <c r="P148" s="6" t="str">
        <f>IF(ISERROR(VLOOKUP(F148,[1]작가별정산률!$R:$S,2,0)),"스토리위즈",VLOOKUP(F148,[1]작가별정산률!$R:$S,2,0))</f>
        <v>스토리위즈</v>
      </c>
      <c r="Q148" s="6" t="str">
        <f>IF(P148="스토리위즈",VLOOKUP(F148,[1]작가별정산률!$A:$B,2,0),P148)</f>
        <v>권용찬</v>
      </c>
    </row>
    <row r="149" spans="1:17" x14ac:dyDescent="0.4">
      <c r="A149" s="1" t="s">
        <v>94</v>
      </c>
      <c r="B149" s="1" t="s">
        <v>14</v>
      </c>
      <c r="C149" s="1">
        <v>152164</v>
      </c>
      <c r="D149" s="1" t="s">
        <v>15</v>
      </c>
      <c r="E149" s="1" t="s">
        <v>17</v>
      </c>
      <c r="F149" s="1" t="s">
        <v>133</v>
      </c>
      <c r="G149" s="1" t="s">
        <v>19</v>
      </c>
      <c r="H149" s="1" t="s">
        <v>14</v>
      </c>
      <c r="I149" s="1">
        <v>70</v>
      </c>
      <c r="J149" s="1">
        <v>0</v>
      </c>
      <c r="K149" s="1">
        <v>10</v>
      </c>
      <c r="L149" s="1">
        <v>1000</v>
      </c>
      <c r="M149" s="1">
        <v>0</v>
      </c>
      <c r="N149" s="1">
        <v>0</v>
      </c>
      <c r="O149" s="1">
        <v>700</v>
      </c>
      <c r="P149" s="6" t="str">
        <f>IF(ISERROR(VLOOKUP(F149,[1]작가별정산률!$R:$S,2,0)),"스토리위즈",VLOOKUP(F149,[1]작가별정산률!$R:$S,2,0))</f>
        <v>스토리위즈</v>
      </c>
      <c r="Q149" s="6" t="str">
        <f>IF(P149="스토리위즈",VLOOKUP(F149,[1]작가별정산률!$A:$B,2,0),P149)</f>
        <v>무성매직</v>
      </c>
    </row>
    <row r="150" spans="1:17" x14ac:dyDescent="0.4">
      <c r="A150" s="1" t="s">
        <v>94</v>
      </c>
      <c r="B150" s="1" t="s">
        <v>14</v>
      </c>
      <c r="C150" s="1">
        <v>152374</v>
      </c>
      <c r="D150" s="1" t="s">
        <v>15</v>
      </c>
      <c r="E150" s="1" t="s">
        <v>16</v>
      </c>
      <c r="F150" s="1" t="s">
        <v>107</v>
      </c>
      <c r="G150" s="1" t="s">
        <v>20</v>
      </c>
      <c r="H150" s="1" t="s">
        <v>14</v>
      </c>
      <c r="I150" s="1">
        <v>70</v>
      </c>
      <c r="J150" s="1">
        <v>0</v>
      </c>
      <c r="K150" s="1">
        <v>8</v>
      </c>
      <c r="L150" s="1">
        <v>800</v>
      </c>
      <c r="M150" s="1">
        <v>0</v>
      </c>
      <c r="N150" s="1">
        <v>0</v>
      </c>
      <c r="O150" s="1">
        <v>560</v>
      </c>
      <c r="P150" s="6" t="str">
        <f>IF(ISERROR(VLOOKUP(F150,[1]작가별정산률!$R:$S,2,0)),"스토리위즈",VLOOKUP(F150,[1]작가별정산률!$R:$S,2,0))</f>
        <v>스토리위즈</v>
      </c>
      <c r="Q150" s="6" t="str">
        <f>IF(P150="스토리위즈",VLOOKUP(F150,[1]작가별정산률!$A:$B,2,0),P150)</f>
        <v>만렙도끼</v>
      </c>
    </row>
    <row r="151" spans="1:17" x14ac:dyDescent="0.4">
      <c r="A151" s="1" t="s">
        <v>94</v>
      </c>
      <c r="B151" s="1" t="s">
        <v>14</v>
      </c>
      <c r="C151" s="1">
        <v>154677</v>
      </c>
      <c r="D151" s="1" t="s">
        <v>15</v>
      </c>
      <c r="E151" s="1" t="s">
        <v>25</v>
      </c>
      <c r="F151" s="1" t="s">
        <v>116</v>
      </c>
      <c r="G151" s="1" t="s">
        <v>26</v>
      </c>
      <c r="H151" s="1" t="s">
        <v>14</v>
      </c>
      <c r="I151" s="1">
        <v>70</v>
      </c>
      <c r="J151" s="1">
        <v>0</v>
      </c>
      <c r="K151" s="1">
        <v>10</v>
      </c>
      <c r="L151" s="1">
        <v>1000</v>
      </c>
      <c r="M151" s="1">
        <v>0</v>
      </c>
      <c r="N151" s="1">
        <v>0</v>
      </c>
      <c r="O151" s="1">
        <v>700</v>
      </c>
      <c r="P151" s="6" t="str">
        <f>IF(ISERROR(VLOOKUP(F151,[1]작가별정산률!$R:$S,2,0)),"스토리위즈",VLOOKUP(F151,[1]작가별정산률!$R:$S,2,0))</f>
        <v>스토리위즈</v>
      </c>
      <c r="Q151" s="6" t="str">
        <f>IF(P151="스토리위즈",VLOOKUP(F151,[1]작가별정산률!$A:$B,2,0),P151)</f>
        <v>세상</v>
      </c>
    </row>
    <row r="152" spans="1:17" x14ac:dyDescent="0.4">
      <c r="A152" s="1" t="s">
        <v>94</v>
      </c>
      <c r="B152" s="1" t="s">
        <v>14</v>
      </c>
      <c r="C152" s="1">
        <v>155364</v>
      </c>
      <c r="D152" s="1" t="s">
        <v>15</v>
      </c>
      <c r="E152" s="1" t="s">
        <v>28</v>
      </c>
      <c r="F152" s="1" t="s">
        <v>109</v>
      </c>
      <c r="G152" s="1" t="s">
        <v>30</v>
      </c>
      <c r="H152" s="1" t="s">
        <v>40</v>
      </c>
      <c r="I152" s="1">
        <v>70</v>
      </c>
      <c r="J152" s="1">
        <v>0</v>
      </c>
      <c r="K152" s="1">
        <v>2</v>
      </c>
      <c r="L152" s="1">
        <v>200</v>
      </c>
      <c r="M152" s="1">
        <v>0</v>
      </c>
      <c r="N152" s="1">
        <v>0</v>
      </c>
      <c r="O152" s="1">
        <v>140</v>
      </c>
      <c r="P152" s="6" t="str">
        <f>IF(ISERROR(VLOOKUP(F152,[1]작가별정산률!$R:$S,2,0)),"스토리위즈",VLOOKUP(F152,[1]작가별정산률!$R:$S,2,0))</f>
        <v>에필로그</v>
      </c>
      <c r="Q152" s="6" t="str">
        <f>IF(P152="스토리위즈",VLOOKUP(F152,[1]작가별정산률!$A:$B,2,0),P152)</f>
        <v>에필로그</v>
      </c>
    </row>
    <row r="153" spans="1:17" x14ac:dyDescent="0.4">
      <c r="A153" s="1" t="s">
        <v>94</v>
      </c>
      <c r="B153" s="1" t="s">
        <v>14</v>
      </c>
      <c r="C153" s="1">
        <v>155651</v>
      </c>
      <c r="D153" s="1" t="s">
        <v>15</v>
      </c>
      <c r="E153" s="1" t="s">
        <v>16</v>
      </c>
      <c r="F153" s="1" t="s">
        <v>111</v>
      </c>
      <c r="G153" s="1" t="s">
        <v>33</v>
      </c>
      <c r="H153" s="1" t="s">
        <v>14</v>
      </c>
      <c r="I153" s="1">
        <v>70</v>
      </c>
      <c r="J153" s="1">
        <v>0</v>
      </c>
      <c r="K153" s="1">
        <v>8</v>
      </c>
      <c r="L153" s="1">
        <v>800</v>
      </c>
      <c r="M153" s="1">
        <v>0</v>
      </c>
      <c r="N153" s="1">
        <v>0</v>
      </c>
      <c r="O153" s="1">
        <v>560</v>
      </c>
      <c r="P153" s="6" t="str">
        <f>IF(ISERROR(VLOOKUP(F153,[1]작가별정산률!$R:$S,2,0)),"스토리위즈",VLOOKUP(F153,[1]작가별정산률!$R:$S,2,0))</f>
        <v>스토리위즈</v>
      </c>
      <c r="Q153" s="6" t="str">
        <f>IF(P153="스토리위즈",VLOOKUP(F153,[1]작가별정산률!$A:$B,2,0),P153)</f>
        <v>무장</v>
      </c>
    </row>
    <row r="154" spans="1:17" x14ac:dyDescent="0.4">
      <c r="A154" s="1" t="s">
        <v>94</v>
      </c>
      <c r="B154" s="1" t="s">
        <v>14</v>
      </c>
      <c r="C154" s="1">
        <v>155825</v>
      </c>
      <c r="D154" s="1" t="s">
        <v>15</v>
      </c>
      <c r="E154" s="1" t="s">
        <v>0</v>
      </c>
      <c r="F154" s="1" t="s">
        <v>97</v>
      </c>
      <c r="G154" s="1" t="s">
        <v>42</v>
      </c>
      <c r="H154" s="1" t="s">
        <v>40</v>
      </c>
      <c r="I154" s="1">
        <v>70</v>
      </c>
      <c r="J154" s="1">
        <v>0</v>
      </c>
      <c r="K154" s="1">
        <v>1</v>
      </c>
      <c r="L154" s="1">
        <v>100</v>
      </c>
      <c r="M154" s="1">
        <v>0</v>
      </c>
      <c r="N154" s="1">
        <v>0</v>
      </c>
      <c r="O154" s="1">
        <v>70</v>
      </c>
      <c r="P154" s="6" t="str">
        <f>IF(ISERROR(VLOOKUP(F154,[1]작가별정산률!$R:$S,2,0)),"스토리위즈",VLOOKUP(F154,[1]작가별정산률!$R:$S,2,0))</f>
        <v>에필로그</v>
      </c>
      <c r="Q154" s="6" t="str">
        <f>IF(P154="스토리위즈",VLOOKUP(F154,[1]작가별정산률!$A:$B,2,0),P154)</f>
        <v>에필로그</v>
      </c>
    </row>
    <row r="155" spans="1:17" x14ac:dyDescent="0.4">
      <c r="A155" s="1" t="s">
        <v>94</v>
      </c>
      <c r="B155" s="1" t="s">
        <v>14</v>
      </c>
      <c r="C155" s="1">
        <v>155829</v>
      </c>
      <c r="D155" s="1" t="s">
        <v>15</v>
      </c>
      <c r="E155" s="1" t="s">
        <v>0</v>
      </c>
      <c r="F155" s="1" t="s">
        <v>98</v>
      </c>
      <c r="G155" s="1" t="s">
        <v>39</v>
      </c>
      <c r="H155" s="1" t="s">
        <v>40</v>
      </c>
      <c r="I155" s="1">
        <v>70</v>
      </c>
      <c r="J155" s="1">
        <v>0</v>
      </c>
      <c r="K155" s="1">
        <v>3</v>
      </c>
      <c r="L155" s="1">
        <v>300</v>
      </c>
      <c r="M155" s="1">
        <v>0</v>
      </c>
      <c r="N155" s="1">
        <v>0</v>
      </c>
      <c r="O155" s="1">
        <v>210</v>
      </c>
      <c r="P155" s="6" t="str">
        <f>IF(ISERROR(VLOOKUP(F155,[1]작가별정산률!$R:$S,2,0)),"스토리위즈",VLOOKUP(F155,[1]작가별정산률!$R:$S,2,0))</f>
        <v>에필로그</v>
      </c>
      <c r="Q155" s="6" t="str">
        <f>IF(P155="스토리위즈",VLOOKUP(F155,[1]작가별정산률!$A:$B,2,0),P155)</f>
        <v>에필로그</v>
      </c>
    </row>
    <row r="156" spans="1:17" x14ac:dyDescent="0.4">
      <c r="A156" s="1" t="s">
        <v>94</v>
      </c>
      <c r="B156" s="1" t="s">
        <v>14</v>
      </c>
      <c r="C156" s="1">
        <v>155971</v>
      </c>
      <c r="D156" s="1" t="s">
        <v>15</v>
      </c>
      <c r="E156" s="1" t="s">
        <v>0</v>
      </c>
      <c r="F156" s="1" t="s">
        <v>100</v>
      </c>
      <c r="G156" s="1" t="s">
        <v>43</v>
      </c>
      <c r="H156" s="1" t="s">
        <v>44</v>
      </c>
      <c r="I156" s="1">
        <v>70</v>
      </c>
      <c r="J156" s="1">
        <v>0</v>
      </c>
      <c r="K156" s="1">
        <v>2</v>
      </c>
      <c r="L156" s="1">
        <v>200</v>
      </c>
      <c r="M156" s="1">
        <v>0</v>
      </c>
      <c r="N156" s="1">
        <v>0</v>
      </c>
      <c r="O156" s="1">
        <v>140</v>
      </c>
      <c r="P156" s="6" t="str">
        <f>IF(ISERROR(VLOOKUP(F156,[1]작가별정산률!$R:$S,2,0)),"스토리위즈",VLOOKUP(F156,[1]작가별정산률!$R:$S,2,0))</f>
        <v>아크스튜디오</v>
      </c>
      <c r="Q156" s="6" t="str">
        <f>IF(P156="스토리위즈",VLOOKUP(F156,[1]작가별정산률!$A:$B,2,0),P156)</f>
        <v>아크스튜디오</v>
      </c>
    </row>
    <row r="157" spans="1:17" x14ac:dyDescent="0.4">
      <c r="A157" s="1" t="s">
        <v>94</v>
      </c>
      <c r="B157" s="1" t="s">
        <v>14</v>
      </c>
      <c r="C157" s="1">
        <v>155976</v>
      </c>
      <c r="D157" s="1" t="s">
        <v>15</v>
      </c>
      <c r="E157" s="1" t="s">
        <v>0</v>
      </c>
      <c r="F157" s="1" t="s">
        <v>102</v>
      </c>
      <c r="G157" s="1" t="s">
        <v>45</v>
      </c>
      <c r="H157" s="1" t="s">
        <v>14</v>
      </c>
      <c r="I157" s="1">
        <v>70</v>
      </c>
      <c r="J157" s="1">
        <v>0</v>
      </c>
      <c r="K157" s="1">
        <v>4</v>
      </c>
      <c r="L157" s="1">
        <v>400</v>
      </c>
      <c r="M157" s="1">
        <v>0</v>
      </c>
      <c r="N157" s="1">
        <v>0</v>
      </c>
      <c r="O157" s="1">
        <v>280</v>
      </c>
      <c r="P157" s="6" t="str">
        <f>IF(ISERROR(VLOOKUP(F157,[1]작가별정산률!$R:$S,2,0)),"스토리위즈",VLOOKUP(F157,[1]작가별정산률!$R:$S,2,0))</f>
        <v>스토리위즈</v>
      </c>
      <c r="Q157" s="6" t="str">
        <f>IF(P157="스토리위즈",VLOOKUP(F157,[1]작가별정산률!$A:$B,2,0),P157)</f>
        <v>비고</v>
      </c>
    </row>
    <row r="158" spans="1:17" x14ac:dyDescent="0.4">
      <c r="A158" s="1" t="s">
        <v>94</v>
      </c>
      <c r="B158" s="1" t="s">
        <v>14</v>
      </c>
      <c r="C158" s="1">
        <v>156208</v>
      </c>
      <c r="D158" s="1" t="s">
        <v>15</v>
      </c>
      <c r="E158" s="1" t="s">
        <v>0</v>
      </c>
      <c r="F158" s="1" t="s">
        <v>104</v>
      </c>
      <c r="G158" s="1" t="s">
        <v>41</v>
      </c>
      <c r="H158" s="1" t="s">
        <v>14</v>
      </c>
      <c r="I158" s="1">
        <v>70</v>
      </c>
      <c r="J158" s="1">
        <v>0</v>
      </c>
      <c r="K158" s="1">
        <v>22</v>
      </c>
      <c r="L158" s="1">
        <v>2200</v>
      </c>
      <c r="M158" s="1">
        <v>0</v>
      </c>
      <c r="N158" s="1">
        <v>0</v>
      </c>
      <c r="O158" s="1">
        <v>1540</v>
      </c>
      <c r="P158" s="6" t="str">
        <f>IF(ISERROR(VLOOKUP(F158,[1]작가별정산률!$R:$S,2,0)),"스토리위즈",VLOOKUP(F158,[1]작가별정산률!$R:$S,2,0))</f>
        <v>스토리위즈</v>
      </c>
      <c r="Q158" s="6" t="str">
        <f>IF(P158="스토리위즈",VLOOKUP(F158,[1]작가별정산률!$A:$B,2,0),P158)</f>
        <v>갓띵작</v>
      </c>
    </row>
    <row r="159" spans="1:17" x14ac:dyDescent="0.4">
      <c r="A159" s="1" t="s">
        <v>95</v>
      </c>
      <c r="B159" s="1" t="s">
        <v>14</v>
      </c>
      <c r="C159" s="1">
        <v>151856</v>
      </c>
      <c r="D159" s="1" t="s">
        <v>15</v>
      </c>
      <c r="E159" s="1" t="s">
        <v>0</v>
      </c>
      <c r="F159" s="1" t="s">
        <v>106</v>
      </c>
      <c r="G159" s="1" t="s">
        <v>27</v>
      </c>
      <c r="H159" s="1" t="s">
        <v>14</v>
      </c>
      <c r="I159" s="1">
        <v>70</v>
      </c>
      <c r="J159" s="1">
        <v>0</v>
      </c>
      <c r="K159" s="1">
        <v>3</v>
      </c>
      <c r="L159" s="1">
        <v>300</v>
      </c>
      <c r="M159" s="1">
        <v>0</v>
      </c>
      <c r="N159" s="1">
        <v>0</v>
      </c>
      <c r="O159" s="1">
        <v>210</v>
      </c>
      <c r="P159" s="6" t="str">
        <f>IF(ISERROR(VLOOKUP(F159,[1]작가별정산률!$R:$S,2,0)),"스토리위즈",VLOOKUP(F159,[1]작가별정산률!$R:$S,2,0))</f>
        <v>스토리위즈</v>
      </c>
      <c r="Q159" s="6" t="str">
        <f>IF(P159="스토리위즈",VLOOKUP(F159,[1]작가별정산률!$A:$B,2,0),P159)</f>
        <v>권용찬</v>
      </c>
    </row>
    <row r="160" spans="1:17" x14ac:dyDescent="0.4">
      <c r="A160" s="1" t="s">
        <v>95</v>
      </c>
      <c r="B160" s="1" t="s">
        <v>14</v>
      </c>
      <c r="C160" s="1">
        <v>152374</v>
      </c>
      <c r="D160" s="1" t="s">
        <v>15</v>
      </c>
      <c r="E160" s="1" t="s">
        <v>16</v>
      </c>
      <c r="F160" s="1" t="s">
        <v>108</v>
      </c>
      <c r="G160" s="1" t="s">
        <v>20</v>
      </c>
      <c r="H160" s="1" t="s">
        <v>14</v>
      </c>
      <c r="I160" s="1">
        <v>70</v>
      </c>
      <c r="J160" s="1">
        <v>0</v>
      </c>
      <c r="K160" s="1">
        <v>11</v>
      </c>
      <c r="L160" s="1">
        <v>1100</v>
      </c>
      <c r="M160" s="1">
        <v>0</v>
      </c>
      <c r="N160" s="1">
        <v>0</v>
      </c>
      <c r="O160" s="1">
        <v>770</v>
      </c>
      <c r="P160" s="6" t="str">
        <f>IF(ISERROR(VLOOKUP(F160,[1]작가별정산률!$R:$S,2,0)),"스토리위즈",VLOOKUP(F160,[1]작가별정산률!$R:$S,2,0))</f>
        <v>스토리위즈</v>
      </c>
      <c r="Q160" s="6" t="str">
        <f>IF(P160="스토리위즈",VLOOKUP(F160,[1]작가별정산률!$A:$B,2,0),P160)</f>
        <v>만렙도끼</v>
      </c>
    </row>
    <row r="161" spans="1:17" x14ac:dyDescent="0.4">
      <c r="A161" s="1" t="s">
        <v>95</v>
      </c>
      <c r="B161" s="1" t="s">
        <v>14</v>
      </c>
      <c r="C161" s="1">
        <v>155364</v>
      </c>
      <c r="D161" s="1" t="s">
        <v>15</v>
      </c>
      <c r="E161" s="1" t="s">
        <v>28</v>
      </c>
      <c r="F161" s="1" t="s">
        <v>110</v>
      </c>
      <c r="G161" s="1" t="s">
        <v>30</v>
      </c>
      <c r="H161" s="1" t="s">
        <v>40</v>
      </c>
      <c r="I161" s="1">
        <v>70</v>
      </c>
      <c r="J161" s="1">
        <v>0</v>
      </c>
      <c r="K161" s="1">
        <v>4</v>
      </c>
      <c r="L161" s="1">
        <v>400</v>
      </c>
      <c r="M161" s="1">
        <v>0</v>
      </c>
      <c r="N161" s="1">
        <v>0</v>
      </c>
      <c r="O161" s="1">
        <v>280</v>
      </c>
      <c r="P161" s="6" t="str">
        <f>IF(ISERROR(VLOOKUP(F161,[1]작가별정산률!$R:$S,2,0)),"스토리위즈",VLOOKUP(F161,[1]작가별정산률!$R:$S,2,0))</f>
        <v>에필로그</v>
      </c>
      <c r="Q161" s="6" t="str">
        <f>IF(P161="스토리위즈",VLOOKUP(F161,[1]작가별정산률!$A:$B,2,0),P161)</f>
        <v>에필로그</v>
      </c>
    </row>
    <row r="162" spans="1:17" x14ac:dyDescent="0.4">
      <c r="A162" s="1" t="s">
        <v>95</v>
      </c>
      <c r="B162" s="1" t="s">
        <v>14</v>
      </c>
      <c r="C162" s="1">
        <v>155829</v>
      </c>
      <c r="D162" s="1" t="s">
        <v>15</v>
      </c>
      <c r="E162" s="1" t="s">
        <v>0</v>
      </c>
      <c r="F162" s="1" t="s">
        <v>98</v>
      </c>
      <c r="G162" s="1" t="s">
        <v>39</v>
      </c>
      <c r="H162" s="1" t="s">
        <v>40</v>
      </c>
      <c r="I162" s="1">
        <v>70</v>
      </c>
      <c r="J162" s="1">
        <v>0</v>
      </c>
      <c r="K162" s="1">
        <v>3</v>
      </c>
      <c r="L162" s="1">
        <v>300</v>
      </c>
      <c r="M162" s="1">
        <v>0</v>
      </c>
      <c r="N162" s="1">
        <v>0</v>
      </c>
      <c r="O162" s="1">
        <v>210</v>
      </c>
      <c r="P162" s="6" t="str">
        <f>IF(ISERROR(VLOOKUP(F162,[1]작가별정산률!$R:$S,2,0)),"스토리위즈",VLOOKUP(F162,[1]작가별정산률!$R:$S,2,0))</f>
        <v>에필로그</v>
      </c>
      <c r="Q162" s="6" t="str">
        <f>IF(P162="스토리위즈",VLOOKUP(F162,[1]작가별정산률!$A:$B,2,0),P162)</f>
        <v>에필로그</v>
      </c>
    </row>
    <row r="163" spans="1:17" x14ac:dyDescent="0.4">
      <c r="A163" s="1" t="s">
        <v>95</v>
      </c>
      <c r="B163" s="1" t="s">
        <v>14</v>
      </c>
      <c r="C163" s="1">
        <v>156208</v>
      </c>
      <c r="D163" s="1" t="s">
        <v>15</v>
      </c>
      <c r="E163" s="1" t="s">
        <v>0</v>
      </c>
      <c r="F163" s="1" t="s">
        <v>104</v>
      </c>
      <c r="G163" s="1" t="s">
        <v>41</v>
      </c>
      <c r="H163" s="1" t="s">
        <v>14</v>
      </c>
      <c r="I163" s="1">
        <v>70</v>
      </c>
      <c r="J163" s="1">
        <v>0</v>
      </c>
      <c r="K163" s="1">
        <v>1</v>
      </c>
      <c r="L163" s="1">
        <v>100</v>
      </c>
      <c r="M163" s="1">
        <v>0</v>
      </c>
      <c r="N163" s="1">
        <v>0</v>
      </c>
      <c r="O163" s="1">
        <v>70</v>
      </c>
      <c r="P163" s="6" t="str">
        <f>IF(ISERROR(VLOOKUP(F163,[1]작가별정산률!$R:$S,2,0)),"스토리위즈",VLOOKUP(F163,[1]작가별정산률!$R:$S,2,0))</f>
        <v>스토리위즈</v>
      </c>
      <c r="Q163" s="6" t="str">
        <f>IF(P163="스토리위즈",VLOOKUP(F163,[1]작가별정산률!$A:$B,2,0),P163)</f>
        <v>갓띵작</v>
      </c>
    </row>
    <row r="164" spans="1:17" x14ac:dyDescent="0.4">
      <c r="A164" s="1" t="s">
        <v>96</v>
      </c>
      <c r="B164" s="1" t="s">
        <v>14</v>
      </c>
      <c r="C164" s="1">
        <v>25946</v>
      </c>
      <c r="D164" s="1" t="s">
        <v>15</v>
      </c>
      <c r="E164" s="1" t="s">
        <v>0</v>
      </c>
      <c r="F164" s="1" t="s">
        <v>112</v>
      </c>
      <c r="G164" s="1" t="s">
        <v>48</v>
      </c>
      <c r="H164" s="1" t="s">
        <v>14</v>
      </c>
      <c r="I164" s="1">
        <v>70</v>
      </c>
      <c r="J164" s="1">
        <v>0</v>
      </c>
      <c r="K164" s="1">
        <v>10</v>
      </c>
      <c r="L164" s="1">
        <v>1000</v>
      </c>
      <c r="M164" s="1">
        <v>0</v>
      </c>
      <c r="N164" s="1">
        <v>0</v>
      </c>
      <c r="O164" s="1">
        <v>700</v>
      </c>
      <c r="P164" s="6" t="str">
        <f>IF(ISERROR(VLOOKUP(F164,[1]작가별정산률!$R:$S,2,0)),"스토리위즈",VLOOKUP(F164,[1]작가별정산률!$R:$S,2,0))</f>
        <v>스토리위즈</v>
      </c>
      <c r="Q164" s="6" t="str">
        <f>IF(P164="스토리위즈",VLOOKUP(F164,[1]작가별정산률!$A:$B,2,0),P164)</f>
        <v>무장</v>
      </c>
    </row>
    <row r="165" spans="1:17" x14ac:dyDescent="0.4">
      <c r="A165" s="1" t="s">
        <v>96</v>
      </c>
      <c r="B165" s="1" t="s">
        <v>14</v>
      </c>
      <c r="C165" s="1">
        <v>25955</v>
      </c>
      <c r="D165" s="1" t="s">
        <v>15</v>
      </c>
      <c r="E165" s="1" t="s">
        <v>0</v>
      </c>
      <c r="F165" s="1" t="s">
        <v>113</v>
      </c>
      <c r="G165" s="1" t="s">
        <v>1</v>
      </c>
      <c r="H165" s="1" t="s">
        <v>14</v>
      </c>
      <c r="I165" s="1">
        <v>70</v>
      </c>
      <c r="J165" s="1">
        <v>0</v>
      </c>
      <c r="K165" s="1">
        <v>6</v>
      </c>
      <c r="L165" s="1">
        <v>600</v>
      </c>
      <c r="M165" s="1">
        <v>0</v>
      </c>
      <c r="N165" s="1">
        <v>0</v>
      </c>
      <c r="O165" s="1">
        <v>420</v>
      </c>
      <c r="P165" s="6" t="str">
        <f>IF(ISERROR(VLOOKUP(F165,[1]작가별정산률!$R:$S,2,0)),"스토리위즈",VLOOKUP(F165,[1]작가별정산률!$R:$S,2,0))</f>
        <v>스토리위즈</v>
      </c>
      <c r="Q165" s="6" t="str">
        <f>IF(P165="스토리위즈",VLOOKUP(F165,[1]작가별정산률!$A:$B,2,0),P165)</f>
        <v>루이세</v>
      </c>
    </row>
    <row r="166" spans="1:17" x14ac:dyDescent="0.4">
      <c r="A166" s="1" t="s">
        <v>96</v>
      </c>
      <c r="B166" s="1" t="s">
        <v>14</v>
      </c>
      <c r="C166" s="1">
        <v>25956</v>
      </c>
      <c r="D166" s="1" t="s">
        <v>15</v>
      </c>
      <c r="E166" s="1" t="s">
        <v>16</v>
      </c>
      <c r="F166" s="1" t="s">
        <v>114</v>
      </c>
      <c r="G166" s="1" t="s">
        <v>34</v>
      </c>
      <c r="H166" s="1" t="s">
        <v>14</v>
      </c>
      <c r="I166" s="1">
        <v>70</v>
      </c>
      <c r="J166" s="1">
        <v>0</v>
      </c>
      <c r="K166" s="1">
        <v>10</v>
      </c>
      <c r="L166" s="1">
        <v>1000</v>
      </c>
      <c r="M166" s="1">
        <v>0</v>
      </c>
      <c r="N166" s="1">
        <v>0</v>
      </c>
      <c r="O166" s="1">
        <v>700</v>
      </c>
      <c r="P166" s="6" t="str">
        <f>IF(ISERROR(VLOOKUP(F166,[1]작가별정산률!$R:$S,2,0)),"스토리위즈",VLOOKUP(F166,[1]작가별정산률!$R:$S,2,0))</f>
        <v>스토리위즈</v>
      </c>
      <c r="Q166" s="6" t="str">
        <f>IF(P166="스토리위즈",VLOOKUP(F166,[1]작가별정산률!$A:$B,2,0),P166)</f>
        <v>무장</v>
      </c>
    </row>
    <row r="167" spans="1:17" x14ac:dyDescent="0.4">
      <c r="A167" s="1" t="s">
        <v>96</v>
      </c>
      <c r="B167" s="1" t="s">
        <v>14</v>
      </c>
      <c r="C167" s="1">
        <v>152374</v>
      </c>
      <c r="D167" s="1" t="s">
        <v>15</v>
      </c>
      <c r="E167" s="1" t="s">
        <v>16</v>
      </c>
      <c r="F167" s="1" t="s">
        <v>115</v>
      </c>
      <c r="G167" s="1" t="s">
        <v>20</v>
      </c>
      <c r="H167" s="1" t="s">
        <v>14</v>
      </c>
      <c r="I167" s="1">
        <v>70</v>
      </c>
      <c r="J167" s="1">
        <v>0</v>
      </c>
      <c r="K167" s="1">
        <v>4</v>
      </c>
      <c r="L167" s="1">
        <v>400</v>
      </c>
      <c r="M167" s="1">
        <v>0</v>
      </c>
      <c r="N167" s="1">
        <v>0</v>
      </c>
      <c r="O167" s="1">
        <v>280</v>
      </c>
      <c r="P167" s="6" t="str">
        <f>IF(ISERROR(VLOOKUP(F167,[1]작가별정산률!$R:$S,2,0)),"스토리위즈",VLOOKUP(F167,[1]작가별정산률!$R:$S,2,0))</f>
        <v>스토리위즈</v>
      </c>
      <c r="Q167" s="6" t="str">
        <f>IF(P167="스토리위즈",VLOOKUP(F167,[1]작가별정산률!$A:$B,2,0),P167)</f>
        <v>만렙도끼</v>
      </c>
    </row>
    <row r="168" spans="1:17" x14ac:dyDescent="0.4">
      <c r="A168" s="1" t="s">
        <v>96</v>
      </c>
      <c r="B168" s="1" t="s">
        <v>14</v>
      </c>
      <c r="C168" s="1">
        <v>154677</v>
      </c>
      <c r="D168" s="1" t="s">
        <v>15</v>
      </c>
      <c r="E168" s="1" t="s">
        <v>25</v>
      </c>
      <c r="F168" s="1" t="s">
        <v>117</v>
      </c>
      <c r="G168" s="1" t="s">
        <v>26</v>
      </c>
      <c r="H168" s="1" t="s">
        <v>14</v>
      </c>
      <c r="I168" s="1">
        <v>70</v>
      </c>
      <c r="J168" s="1">
        <v>0</v>
      </c>
      <c r="K168" s="1">
        <v>9</v>
      </c>
      <c r="L168" s="1">
        <v>900</v>
      </c>
      <c r="M168" s="1">
        <v>0</v>
      </c>
      <c r="N168" s="1">
        <v>0</v>
      </c>
      <c r="O168" s="1">
        <v>630</v>
      </c>
      <c r="P168" s="6" t="str">
        <f>IF(ISERROR(VLOOKUP(F168,[1]작가별정산률!$R:$S,2,0)),"스토리위즈",VLOOKUP(F168,[1]작가별정산률!$R:$S,2,0))</f>
        <v>스토리위즈</v>
      </c>
      <c r="Q168" s="6" t="str">
        <f>IF(P168="스토리위즈",VLOOKUP(F168,[1]작가별정산률!$A:$B,2,0),P168)</f>
        <v>세상</v>
      </c>
    </row>
    <row r="169" spans="1:17" x14ac:dyDescent="0.4">
      <c r="A169" s="1" t="s">
        <v>96</v>
      </c>
      <c r="B169" s="1" t="s">
        <v>14</v>
      </c>
      <c r="C169" s="1">
        <v>155494</v>
      </c>
      <c r="D169" s="1" t="s">
        <v>15</v>
      </c>
      <c r="E169" s="1" t="s">
        <v>0</v>
      </c>
      <c r="F169" s="1" t="s">
        <v>119</v>
      </c>
      <c r="G169" s="1" t="s">
        <v>29</v>
      </c>
      <c r="H169" s="1" t="s">
        <v>14</v>
      </c>
      <c r="I169" s="1">
        <v>70</v>
      </c>
      <c r="J169" s="1">
        <v>0</v>
      </c>
      <c r="K169" s="1">
        <v>10</v>
      </c>
      <c r="L169" s="1">
        <v>1000</v>
      </c>
      <c r="M169" s="1">
        <v>0</v>
      </c>
      <c r="N169" s="1">
        <v>0</v>
      </c>
      <c r="O169" s="1">
        <v>700</v>
      </c>
      <c r="P169" s="6" t="str">
        <f>IF(ISERROR(VLOOKUP(F169,[1]작가별정산률!$R:$S,2,0)),"스토리위즈",VLOOKUP(F169,[1]작가별정산률!$R:$S,2,0))</f>
        <v>스토리위즈</v>
      </c>
      <c r="Q169" s="6" t="str">
        <f>IF(P169="스토리위즈",VLOOKUP(F169,[1]작가별정산률!$A:$B,2,0),P169)</f>
        <v>이한애비</v>
      </c>
    </row>
    <row r="170" spans="1:17" x14ac:dyDescent="0.4">
      <c r="A170" s="1" t="s">
        <v>96</v>
      </c>
      <c r="B170" s="1" t="s">
        <v>14</v>
      </c>
      <c r="C170" s="1">
        <v>155639</v>
      </c>
      <c r="D170" s="1" t="s">
        <v>15</v>
      </c>
      <c r="E170" s="1" t="s">
        <v>16</v>
      </c>
      <c r="F170" s="1" t="s">
        <v>121</v>
      </c>
      <c r="G170" s="1" t="s">
        <v>31</v>
      </c>
      <c r="H170" s="1" t="s">
        <v>40</v>
      </c>
      <c r="I170" s="1">
        <v>70</v>
      </c>
      <c r="J170" s="1">
        <v>0</v>
      </c>
      <c r="K170" s="1">
        <v>4</v>
      </c>
      <c r="L170" s="1">
        <v>400</v>
      </c>
      <c r="M170" s="1">
        <v>0</v>
      </c>
      <c r="N170" s="1">
        <v>0</v>
      </c>
      <c r="O170" s="1">
        <v>280</v>
      </c>
      <c r="P170" s="6" t="str">
        <f>IF(ISERROR(VLOOKUP(F170,[1]작가별정산률!$R:$S,2,0)),"스토리위즈",VLOOKUP(F170,[1]작가별정산률!$R:$S,2,0))</f>
        <v>에필로그</v>
      </c>
      <c r="Q170" s="6" t="str">
        <f>IF(P170="스토리위즈",VLOOKUP(F170,[1]작가별정산률!$A:$B,2,0),P170)</f>
        <v>에필로그</v>
      </c>
    </row>
    <row r="171" spans="1:17" x14ac:dyDescent="0.4">
      <c r="A171" s="1" t="s">
        <v>96</v>
      </c>
      <c r="B171" s="1" t="s">
        <v>14</v>
      </c>
      <c r="C171" s="1">
        <v>155653</v>
      </c>
      <c r="D171" s="1" t="s">
        <v>15</v>
      </c>
      <c r="E171" s="1" t="s">
        <v>16</v>
      </c>
      <c r="F171" s="1" t="s">
        <v>114</v>
      </c>
      <c r="G171" s="1" t="s">
        <v>32</v>
      </c>
      <c r="H171" s="1" t="s">
        <v>14</v>
      </c>
      <c r="I171" s="1">
        <v>70</v>
      </c>
      <c r="J171" s="1">
        <v>0</v>
      </c>
      <c r="K171" s="1">
        <v>16</v>
      </c>
      <c r="L171" s="1">
        <v>1600</v>
      </c>
      <c r="M171" s="1">
        <v>0</v>
      </c>
      <c r="N171" s="1">
        <v>0</v>
      </c>
      <c r="O171" s="1">
        <v>1120</v>
      </c>
      <c r="P171" s="6" t="str">
        <f>IF(ISERROR(VLOOKUP(F171,[1]작가별정산률!$R:$S,2,0)),"스토리위즈",VLOOKUP(F171,[1]작가별정산률!$R:$S,2,0))</f>
        <v>스토리위즈</v>
      </c>
      <c r="Q171" s="6" t="str">
        <f>IF(P171="스토리위즈",VLOOKUP(F171,[1]작가별정산률!$A:$B,2,0),P171)</f>
        <v>무장</v>
      </c>
    </row>
    <row r="172" spans="1:17" x14ac:dyDescent="0.4">
      <c r="O172" s="3">
        <f>SUM(O2:O171)</f>
        <v>244720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6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22.5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25946</v>
      </c>
      <c r="D2" s="1" t="s">
        <v>15</v>
      </c>
      <c r="E2" s="1" t="s">
        <v>0</v>
      </c>
      <c r="F2" s="1" t="s">
        <v>111</v>
      </c>
      <c r="G2" s="1" t="s">
        <v>48</v>
      </c>
      <c r="H2" s="1" t="s">
        <v>14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  <c r="P2" s="1" t="s">
        <v>14</v>
      </c>
      <c r="Q2" s="6" t="s">
        <v>111</v>
      </c>
    </row>
    <row r="3" spans="1:17" x14ac:dyDescent="0.4">
      <c r="A3" s="1" t="s">
        <v>47</v>
      </c>
      <c r="B3" s="1" t="s">
        <v>14</v>
      </c>
      <c r="C3" s="1">
        <v>155803</v>
      </c>
      <c r="D3" s="1" t="s">
        <v>15</v>
      </c>
      <c r="E3" s="1" t="s">
        <v>16</v>
      </c>
      <c r="F3" s="1" t="s">
        <v>111</v>
      </c>
      <c r="G3" s="1" t="s">
        <v>36</v>
      </c>
      <c r="H3" s="1" t="s">
        <v>14</v>
      </c>
      <c r="I3" s="1">
        <v>70</v>
      </c>
      <c r="J3" s="1">
        <v>0</v>
      </c>
      <c r="K3" s="1">
        <v>30</v>
      </c>
      <c r="L3" s="1">
        <v>3000</v>
      </c>
      <c r="M3" s="1">
        <v>0</v>
      </c>
      <c r="N3" s="1">
        <v>0</v>
      </c>
      <c r="O3" s="1">
        <v>2100</v>
      </c>
      <c r="P3" s="1" t="s">
        <v>14</v>
      </c>
      <c r="Q3" s="6" t="s">
        <v>111</v>
      </c>
    </row>
    <row r="4" spans="1:17" x14ac:dyDescent="0.4">
      <c r="A4" s="1" t="s">
        <v>66</v>
      </c>
      <c r="B4" s="1" t="s">
        <v>14</v>
      </c>
      <c r="C4" s="1">
        <v>155800</v>
      </c>
      <c r="D4" s="1" t="s">
        <v>15</v>
      </c>
      <c r="E4" s="1" t="s">
        <v>16</v>
      </c>
      <c r="F4" s="1" t="s">
        <v>111</v>
      </c>
      <c r="G4" s="1" t="s">
        <v>35</v>
      </c>
      <c r="H4" s="1" t="s">
        <v>14</v>
      </c>
      <c r="I4" s="1">
        <v>70</v>
      </c>
      <c r="J4" s="1">
        <v>0</v>
      </c>
      <c r="K4" s="1">
        <v>2</v>
      </c>
      <c r="L4" s="1">
        <v>200</v>
      </c>
      <c r="M4" s="1">
        <v>0</v>
      </c>
      <c r="N4" s="1">
        <v>0</v>
      </c>
      <c r="O4" s="1">
        <v>140</v>
      </c>
      <c r="P4" s="1" t="s">
        <v>14</v>
      </c>
      <c r="Q4" s="6" t="s">
        <v>111</v>
      </c>
    </row>
    <row r="5" spans="1:17" x14ac:dyDescent="0.4">
      <c r="A5" s="1" t="s">
        <v>66</v>
      </c>
      <c r="B5" s="1" t="s">
        <v>14</v>
      </c>
      <c r="C5" s="1">
        <v>155803</v>
      </c>
      <c r="D5" s="1" t="s">
        <v>15</v>
      </c>
      <c r="E5" s="1" t="s">
        <v>16</v>
      </c>
      <c r="F5" s="1" t="s">
        <v>111</v>
      </c>
      <c r="G5" s="1" t="s">
        <v>36</v>
      </c>
      <c r="H5" s="1" t="s">
        <v>14</v>
      </c>
      <c r="I5" s="1">
        <v>70</v>
      </c>
      <c r="J5" s="1">
        <v>0</v>
      </c>
      <c r="K5" s="1">
        <v>60</v>
      </c>
      <c r="L5" s="1">
        <v>6000</v>
      </c>
      <c r="M5" s="1">
        <v>0</v>
      </c>
      <c r="N5" s="1">
        <v>0</v>
      </c>
      <c r="O5" s="1">
        <v>4200</v>
      </c>
      <c r="P5" s="1" t="s">
        <v>14</v>
      </c>
      <c r="Q5" s="6" t="s">
        <v>111</v>
      </c>
    </row>
    <row r="6" spans="1:17" x14ac:dyDescent="0.4">
      <c r="A6" s="1" t="s">
        <v>77</v>
      </c>
      <c r="B6" s="1" t="s">
        <v>14</v>
      </c>
      <c r="C6" s="1">
        <v>155653</v>
      </c>
      <c r="D6" s="1" t="s">
        <v>15</v>
      </c>
      <c r="E6" s="1" t="s">
        <v>16</v>
      </c>
      <c r="F6" s="1" t="s">
        <v>111</v>
      </c>
      <c r="G6" s="1" t="s">
        <v>32</v>
      </c>
      <c r="H6" s="1" t="s">
        <v>14</v>
      </c>
      <c r="I6" s="1">
        <v>70</v>
      </c>
      <c r="J6" s="1">
        <v>0</v>
      </c>
      <c r="K6" s="1">
        <v>4</v>
      </c>
      <c r="L6" s="1">
        <v>400</v>
      </c>
      <c r="M6" s="1">
        <v>0</v>
      </c>
      <c r="N6" s="1">
        <v>0</v>
      </c>
      <c r="O6" s="1">
        <v>280</v>
      </c>
      <c r="P6" s="1" t="s">
        <v>14</v>
      </c>
      <c r="Q6" s="6" t="s">
        <v>111</v>
      </c>
    </row>
    <row r="7" spans="1:17" x14ac:dyDescent="0.4">
      <c r="A7" s="1" t="s">
        <v>77</v>
      </c>
      <c r="B7" s="1" t="s">
        <v>14</v>
      </c>
      <c r="C7" s="1">
        <v>155803</v>
      </c>
      <c r="D7" s="1" t="s">
        <v>15</v>
      </c>
      <c r="E7" s="1" t="s">
        <v>16</v>
      </c>
      <c r="F7" s="1" t="s">
        <v>111</v>
      </c>
      <c r="G7" s="1" t="s">
        <v>36</v>
      </c>
      <c r="H7" s="1" t="s">
        <v>14</v>
      </c>
      <c r="I7" s="1">
        <v>70</v>
      </c>
      <c r="J7" s="1">
        <v>0</v>
      </c>
      <c r="K7" s="1">
        <v>4</v>
      </c>
      <c r="L7" s="1">
        <v>400</v>
      </c>
      <c r="M7" s="1">
        <v>0</v>
      </c>
      <c r="N7" s="1">
        <v>0</v>
      </c>
      <c r="O7" s="1">
        <v>280</v>
      </c>
      <c r="P7" s="1" t="s">
        <v>14</v>
      </c>
      <c r="Q7" s="6" t="s">
        <v>111</v>
      </c>
    </row>
    <row r="8" spans="1:17" x14ac:dyDescent="0.4">
      <c r="A8" s="1" t="s">
        <v>91</v>
      </c>
      <c r="B8" s="1" t="s">
        <v>14</v>
      </c>
      <c r="C8" s="1">
        <v>155651</v>
      </c>
      <c r="D8" s="1" t="s">
        <v>15</v>
      </c>
      <c r="E8" s="1" t="s">
        <v>16</v>
      </c>
      <c r="F8" s="1" t="s">
        <v>111</v>
      </c>
      <c r="G8" s="1" t="s">
        <v>33</v>
      </c>
      <c r="H8" s="1" t="s">
        <v>14</v>
      </c>
      <c r="I8" s="1">
        <v>70</v>
      </c>
      <c r="J8" s="1">
        <v>0</v>
      </c>
      <c r="K8" s="1">
        <v>33</v>
      </c>
      <c r="L8" s="1">
        <v>3300</v>
      </c>
      <c r="M8" s="1">
        <v>0</v>
      </c>
      <c r="N8" s="1">
        <v>0</v>
      </c>
      <c r="O8" s="1">
        <v>2310</v>
      </c>
      <c r="P8" s="1" t="s">
        <v>14</v>
      </c>
      <c r="Q8" s="6" t="s">
        <v>111</v>
      </c>
    </row>
    <row r="9" spans="1:17" x14ac:dyDescent="0.4">
      <c r="A9" s="1" t="s">
        <v>91</v>
      </c>
      <c r="B9" s="1" t="s">
        <v>14</v>
      </c>
      <c r="C9" s="1">
        <v>155653</v>
      </c>
      <c r="D9" s="1" t="s">
        <v>15</v>
      </c>
      <c r="E9" s="1" t="s">
        <v>16</v>
      </c>
      <c r="F9" s="1" t="s">
        <v>111</v>
      </c>
      <c r="G9" s="1" t="s">
        <v>32</v>
      </c>
      <c r="H9" s="1" t="s">
        <v>14</v>
      </c>
      <c r="I9" s="1">
        <v>70</v>
      </c>
      <c r="J9" s="1">
        <v>0</v>
      </c>
      <c r="K9" s="1">
        <v>3</v>
      </c>
      <c r="L9" s="1">
        <v>300</v>
      </c>
      <c r="M9" s="1">
        <v>0</v>
      </c>
      <c r="N9" s="1">
        <v>0</v>
      </c>
      <c r="O9" s="1">
        <v>210</v>
      </c>
      <c r="P9" s="1" t="s">
        <v>14</v>
      </c>
      <c r="Q9" s="6" t="s">
        <v>111</v>
      </c>
    </row>
    <row r="10" spans="1:17" x14ac:dyDescent="0.4">
      <c r="A10" s="1" t="s">
        <v>92</v>
      </c>
      <c r="B10" s="1" t="s">
        <v>14</v>
      </c>
      <c r="C10" s="1">
        <v>155651</v>
      </c>
      <c r="D10" s="1" t="s">
        <v>15</v>
      </c>
      <c r="E10" s="1" t="s">
        <v>16</v>
      </c>
      <c r="F10" s="1" t="s">
        <v>111</v>
      </c>
      <c r="G10" s="1" t="s">
        <v>33</v>
      </c>
      <c r="H10" s="1" t="s">
        <v>14</v>
      </c>
      <c r="I10" s="1">
        <v>70</v>
      </c>
      <c r="J10" s="1">
        <v>0</v>
      </c>
      <c r="K10" s="1">
        <v>31</v>
      </c>
      <c r="L10" s="1">
        <v>3100</v>
      </c>
      <c r="M10" s="1">
        <v>0</v>
      </c>
      <c r="N10" s="1">
        <v>0</v>
      </c>
      <c r="O10" s="1">
        <v>2170</v>
      </c>
      <c r="P10" s="1" t="s">
        <v>14</v>
      </c>
      <c r="Q10" s="6" t="s">
        <v>111</v>
      </c>
    </row>
    <row r="11" spans="1:17" x14ac:dyDescent="0.4">
      <c r="A11" s="1" t="s">
        <v>93</v>
      </c>
      <c r="B11" s="1" t="s">
        <v>14</v>
      </c>
      <c r="C11" s="1">
        <v>155651</v>
      </c>
      <c r="D11" s="1" t="s">
        <v>15</v>
      </c>
      <c r="E11" s="1" t="s">
        <v>16</v>
      </c>
      <c r="F11" s="1" t="s">
        <v>111</v>
      </c>
      <c r="G11" s="1" t="s">
        <v>33</v>
      </c>
      <c r="H11" s="1" t="s">
        <v>14</v>
      </c>
      <c r="I11" s="1">
        <v>70</v>
      </c>
      <c r="J11" s="1">
        <v>0</v>
      </c>
      <c r="K11" s="1">
        <v>27</v>
      </c>
      <c r="L11" s="1">
        <v>2700</v>
      </c>
      <c r="M11" s="1">
        <v>0</v>
      </c>
      <c r="N11" s="1">
        <v>0</v>
      </c>
      <c r="O11" s="1">
        <v>1890</v>
      </c>
      <c r="P11" s="1" t="s">
        <v>14</v>
      </c>
      <c r="Q11" s="6" t="s">
        <v>111</v>
      </c>
    </row>
    <row r="12" spans="1:17" x14ac:dyDescent="0.4">
      <c r="A12" s="1" t="s">
        <v>93</v>
      </c>
      <c r="B12" s="1" t="s">
        <v>14</v>
      </c>
      <c r="C12" s="1">
        <v>155803</v>
      </c>
      <c r="D12" s="1" t="s">
        <v>15</v>
      </c>
      <c r="E12" s="1" t="s">
        <v>16</v>
      </c>
      <c r="F12" s="1" t="s">
        <v>111</v>
      </c>
      <c r="G12" s="1" t="s">
        <v>36</v>
      </c>
      <c r="H12" s="1" t="s">
        <v>14</v>
      </c>
      <c r="I12" s="1">
        <v>70</v>
      </c>
      <c r="J12" s="1">
        <v>0</v>
      </c>
      <c r="K12" s="1">
        <v>3</v>
      </c>
      <c r="L12" s="1">
        <v>300</v>
      </c>
      <c r="M12" s="1">
        <v>0</v>
      </c>
      <c r="N12" s="1">
        <v>0</v>
      </c>
      <c r="O12" s="1">
        <v>210</v>
      </c>
      <c r="P12" s="1" t="s">
        <v>14</v>
      </c>
      <c r="Q12" s="6" t="s">
        <v>111</v>
      </c>
    </row>
    <row r="13" spans="1:17" x14ac:dyDescent="0.4">
      <c r="A13" s="1" t="s">
        <v>94</v>
      </c>
      <c r="B13" s="1" t="s">
        <v>14</v>
      </c>
      <c r="C13" s="1">
        <v>155651</v>
      </c>
      <c r="D13" s="1" t="s">
        <v>15</v>
      </c>
      <c r="E13" s="1" t="s">
        <v>16</v>
      </c>
      <c r="F13" s="1" t="s">
        <v>111</v>
      </c>
      <c r="G13" s="1" t="s">
        <v>33</v>
      </c>
      <c r="H13" s="1" t="s">
        <v>14</v>
      </c>
      <c r="I13" s="1">
        <v>70</v>
      </c>
      <c r="J13" s="1">
        <v>0</v>
      </c>
      <c r="K13" s="1">
        <v>8</v>
      </c>
      <c r="L13" s="1">
        <v>800</v>
      </c>
      <c r="M13" s="1">
        <v>0</v>
      </c>
      <c r="N13" s="1">
        <v>0</v>
      </c>
      <c r="O13" s="1">
        <v>560</v>
      </c>
      <c r="P13" s="1" t="s">
        <v>14</v>
      </c>
      <c r="Q13" s="6" t="s">
        <v>111</v>
      </c>
    </row>
    <row r="14" spans="1:17" x14ac:dyDescent="0.4">
      <c r="A14" s="1" t="s">
        <v>96</v>
      </c>
      <c r="B14" s="1" t="s">
        <v>14</v>
      </c>
      <c r="C14" s="1">
        <v>25946</v>
      </c>
      <c r="D14" s="1" t="s">
        <v>15</v>
      </c>
      <c r="E14" s="1" t="s">
        <v>0</v>
      </c>
      <c r="F14" s="1" t="s">
        <v>112</v>
      </c>
      <c r="G14" s="1" t="s">
        <v>48</v>
      </c>
      <c r="H14" s="1" t="s">
        <v>14</v>
      </c>
      <c r="I14" s="1">
        <v>70</v>
      </c>
      <c r="J14" s="1">
        <v>0</v>
      </c>
      <c r="K14" s="1">
        <v>10</v>
      </c>
      <c r="L14" s="1">
        <v>1000</v>
      </c>
      <c r="M14" s="1">
        <v>0</v>
      </c>
      <c r="N14" s="1">
        <v>0</v>
      </c>
      <c r="O14" s="1">
        <v>700</v>
      </c>
      <c r="P14" s="1" t="s">
        <v>14</v>
      </c>
      <c r="Q14" s="6" t="s">
        <v>111</v>
      </c>
    </row>
    <row r="15" spans="1:17" x14ac:dyDescent="0.4">
      <c r="A15" s="1" t="s">
        <v>96</v>
      </c>
      <c r="B15" s="1" t="s">
        <v>14</v>
      </c>
      <c r="C15" s="1">
        <v>25956</v>
      </c>
      <c r="D15" s="1" t="s">
        <v>15</v>
      </c>
      <c r="E15" s="1" t="s">
        <v>16</v>
      </c>
      <c r="F15" s="1" t="s">
        <v>112</v>
      </c>
      <c r="G15" s="1" t="s">
        <v>34</v>
      </c>
      <c r="H15" s="1" t="s">
        <v>14</v>
      </c>
      <c r="I15" s="1">
        <v>70</v>
      </c>
      <c r="J15" s="1">
        <v>0</v>
      </c>
      <c r="K15" s="1">
        <v>10</v>
      </c>
      <c r="L15" s="1">
        <v>1000</v>
      </c>
      <c r="M15" s="1">
        <v>0</v>
      </c>
      <c r="N15" s="1">
        <v>0</v>
      </c>
      <c r="O15" s="1">
        <v>700</v>
      </c>
      <c r="P15" s="1" t="s">
        <v>14</v>
      </c>
      <c r="Q15" s="6" t="s">
        <v>111</v>
      </c>
    </row>
    <row r="16" spans="1:17" x14ac:dyDescent="0.4">
      <c r="A16" s="1" t="s">
        <v>96</v>
      </c>
      <c r="B16" s="1" t="s">
        <v>14</v>
      </c>
      <c r="C16" s="1">
        <v>155653</v>
      </c>
      <c r="D16" s="1" t="s">
        <v>15</v>
      </c>
      <c r="E16" s="1" t="s">
        <v>16</v>
      </c>
      <c r="F16" s="1" t="s">
        <v>112</v>
      </c>
      <c r="G16" s="1" t="s">
        <v>32</v>
      </c>
      <c r="H16" s="1" t="s">
        <v>14</v>
      </c>
      <c r="I16" s="1">
        <v>70</v>
      </c>
      <c r="J16" s="1">
        <v>0</v>
      </c>
      <c r="K16" s="1">
        <v>16</v>
      </c>
      <c r="L16" s="1">
        <v>1600</v>
      </c>
      <c r="M16" s="1">
        <v>0</v>
      </c>
      <c r="N16" s="1">
        <v>0</v>
      </c>
      <c r="O16" s="1">
        <v>1120</v>
      </c>
      <c r="P16" s="1" t="s">
        <v>14</v>
      </c>
      <c r="Q16" s="6" t="s">
        <v>111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9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7.5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151282</v>
      </c>
      <c r="D2" s="1" t="s">
        <v>15</v>
      </c>
      <c r="E2" s="1" t="s">
        <v>0</v>
      </c>
      <c r="F2" s="1" t="s">
        <v>124</v>
      </c>
      <c r="G2" s="1" t="s">
        <v>49</v>
      </c>
      <c r="H2" s="1" t="s">
        <v>14</v>
      </c>
      <c r="I2" s="1">
        <v>70</v>
      </c>
      <c r="J2" s="1">
        <v>0</v>
      </c>
      <c r="K2" s="1">
        <v>4</v>
      </c>
      <c r="L2" s="1">
        <v>400</v>
      </c>
      <c r="M2" s="1">
        <v>0</v>
      </c>
      <c r="N2" s="1">
        <v>0</v>
      </c>
      <c r="O2" s="1">
        <v>280</v>
      </c>
      <c r="P2" s="1" t="s">
        <v>14</v>
      </c>
      <c r="Q2" s="6" t="s">
        <v>124</v>
      </c>
    </row>
    <row r="3" spans="1:17" x14ac:dyDescent="0.4">
      <c r="A3" s="1" t="s">
        <v>57</v>
      </c>
      <c r="B3" s="1" t="s">
        <v>14</v>
      </c>
      <c r="C3" s="1">
        <v>151282</v>
      </c>
      <c r="D3" s="1" t="s">
        <v>15</v>
      </c>
      <c r="E3" s="1" t="s">
        <v>0</v>
      </c>
      <c r="F3" s="1" t="s">
        <v>124</v>
      </c>
      <c r="G3" s="1" t="s">
        <v>49</v>
      </c>
      <c r="H3" s="1" t="s">
        <v>14</v>
      </c>
      <c r="I3" s="1">
        <v>70</v>
      </c>
      <c r="J3" s="1">
        <v>0</v>
      </c>
      <c r="K3" s="1">
        <v>14</v>
      </c>
      <c r="L3" s="1">
        <v>1400</v>
      </c>
      <c r="M3" s="1">
        <v>0</v>
      </c>
      <c r="N3" s="1">
        <v>0</v>
      </c>
      <c r="O3" s="1">
        <v>980</v>
      </c>
      <c r="P3" s="1" t="s">
        <v>14</v>
      </c>
      <c r="Q3" s="6" t="s">
        <v>124</v>
      </c>
    </row>
    <row r="4" spans="1:17" x14ac:dyDescent="0.4">
      <c r="A4" s="1" t="s">
        <v>60</v>
      </c>
      <c r="B4" s="1" t="s">
        <v>14</v>
      </c>
      <c r="C4" s="1">
        <v>151282</v>
      </c>
      <c r="D4" s="1" t="s">
        <v>15</v>
      </c>
      <c r="E4" s="1" t="s">
        <v>0</v>
      </c>
      <c r="F4" s="1" t="s">
        <v>124</v>
      </c>
      <c r="G4" s="1" t="s">
        <v>49</v>
      </c>
      <c r="H4" s="1" t="s">
        <v>14</v>
      </c>
      <c r="I4" s="1">
        <v>70</v>
      </c>
      <c r="J4" s="1">
        <v>0</v>
      </c>
      <c r="K4" s="1">
        <v>18</v>
      </c>
      <c r="L4" s="1">
        <v>1800</v>
      </c>
      <c r="M4" s="1">
        <v>0</v>
      </c>
      <c r="N4" s="1">
        <v>0</v>
      </c>
      <c r="O4" s="1">
        <v>1260</v>
      </c>
      <c r="P4" s="1" t="s">
        <v>14</v>
      </c>
      <c r="Q4" s="6" t="s">
        <v>124</v>
      </c>
    </row>
    <row r="5" spans="1:17" x14ac:dyDescent="0.4">
      <c r="A5" s="1" t="s">
        <v>61</v>
      </c>
      <c r="B5" s="1" t="s">
        <v>14</v>
      </c>
      <c r="C5" s="1">
        <v>151282</v>
      </c>
      <c r="D5" s="1" t="s">
        <v>15</v>
      </c>
      <c r="E5" s="1" t="s">
        <v>0</v>
      </c>
      <c r="F5" s="1" t="s">
        <v>124</v>
      </c>
      <c r="G5" s="1" t="s">
        <v>49</v>
      </c>
      <c r="H5" s="1" t="s">
        <v>14</v>
      </c>
      <c r="I5" s="1">
        <v>70</v>
      </c>
      <c r="J5" s="1">
        <v>0</v>
      </c>
      <c r="K5" s="1">
        <v>15</v>
      </c>
      <c r="L5" s="1">
        <v>1500</v>
      </c>
      <c r="M5" s="1">
        <v>0</v>
      </c>
      <c r="N5" s="1">
        <v>0</v>
      </c>
      <c r="O5" s="1">
        <v>1050</v>
      </c>
      <c r="P5" s="1" t="s">
        <v>14</v>
      </c>
      <c r="Q5" s="6" t="s">
        <v>124</v>
      </c>
    </row>
    <row r="6" spans="1:17" x14ac:dyDescent="0.4">
      <c r="A6" s="1" t="s">
        <v>62</v>
      </c>
      <c r="B6" s="1" t="s">
        <v>14</v>
      </c>
      <c r="C6" s="1">
        <v>151282</v>
      </c>
      <c r="D6" s="1" t="s">
        <v>15</v>
      </c>
      <c r="E6" s="1" t="s">
        <v>0</v>
      </c>
      <c r="F6" s="1" t="s">
        <v>124</v>
      </c>
      <c r="G6" s="1" t="s">
        <v>49</v>
      </c>
      <c r="H6" s="1" t="s">
        <v>14</v>
      </c>
      <c r="I6" s="1">
        <v>70</v>
      </c>
      <c r="J6" s="1">
        <v>0</v>
      </c>
      <c r="K6" s="1">
        <v>44</v>
      </c>
      <c r="L6" s="1">
        <v>4400</v>
      </c>
      <c r="M6" s="1">
        <v>0</v>
      </c>
      <c r="N6" s="1">
        <v>0</v>
      </c>
      <c r="O6" s="1">
        <v>3080</v>
      </c>
      <c r="P6" s="1" t="s">
        <v>14</v>
      </c>
      <c r="Q6" s="6" t="s">
        <v>124</v>
      </c>
    </row>
    <row r="7" spans="1:17" x14ac:dyDescent="0.4">
      <c r="A7" s="1" t="s">
        <v>77</v>
      </c>
      <c r="B7" s="1" t="s">
        <v>14</v>
      </c>
      <c r="C7" s="1">
        <v>151282</v>
      </c>
      <c r="D7" s="1" t="s">
        <v>15</v>
      </c>
      <c r="E7" s="1" t="s">
        <v>0</v>
      </c>
      <c r="F7" s="1" t="s">
        <v>124</v>
      </c>
      <c r="G7" s="1" t="s">
        <v>49</v>
      </c>
      <c r="H7" s="1" t="s">
        <v>14</v>
      </c>
      <c r="I7" s="1">
        <v>70</v>
      </c>
      <c r="J7" s="1">
        <v>0</v>
      </c>
      <c r="K7" s="1">
        <v>5</v>
      </c>
      <c r="L7" s="1">
        <v>500</v>
      </c>
      <c r="M7" s="1">
        <v>0</v>
      </c>
      <c r="N7" s="1">
        <v>0</v>
      </c>
      <c r="O7" s="1">
        <v>350</v>
      </c>
      <c r="P7" s="1" t="s">
        <v>14</v>
      </c>
      <c r="Q7" s="6" t="s">
        <v>124</v>
      </c>
    </row>
    <row r="8" spans="1:17" x14ac:dyDescent="0.4">
      <c r="A8" s="1" t="s">
        <v>78</v>
      </c>
      <c r="B8" s="1" t="s">
        <v>14</v>
      </c>
      <c r="C8" s="1">
        <v>151282</v>
      </c>
      <c r="D8" s="1" t="s">
        <v>15</v>
      </c>
      <c r="E8" s="1" t="s">
        <v>0</v>
      </c>
      <c r="F8" s="1" t="s">
        <v>124</v>
      </c>
      <c r="G8" s="1" t="s">
        <v>49</v>
      </c>
      <c r="H8" s="1" t="s">
        <v>14</v>
      </c>
      <c r="I8" s="1">
        <v>70</v>
      </c>
      <c r="J8" s="1">
        <v>0</v>
      </c>
      <c r="K8" s="1">
        <v>6</v>
      </c>
      <c r="L8" s="1">
        <v>600</v>
      </c>
      <c r="M8" s="1">
        <v>0</v>
      </c>
      <c r="N8" s="1">
        <v>0</v>
      </c>
      <c r="O8" s="1">
        <v>420</v>
      </c>
      <c r="P8" s="1" t="s">
        <v>14</v>
      </c>
      <c r="Q8" s="6" t="s">
        <v>124</v>
      </c>
    </row>
    <row r="9" spans="1:17" x14ac:dyDescent="0.4">
      <c r="A9" s="1" t="s">
        <v>79</v>
      </c>
      <c r="B9" s="1" t="s">
        <v>14</v>
      </c>
      <c r="C9" s="1">
        <v>151282</v>
      </c>
      <c r="D9" s="1" t="s">
        <v>15</v>
      </c>
      <c r="E9" s="1" t="s">
        <v>0</v>
      </c>
      <c r="F9" s="1" t="s">
        <v>124</v>
      </c>
      <c r="G9" s="1" t="s">
        <v>49</v>
      </c>
      <c r="H9" s="1" t="s">
        <v>14</v>
      </c>
      <c r="I9" s="1">
        <v>70</v>
      </c>
      <c r="J9" s="1">
        <v>0</v>
      </c>
      <c r="K9" s="1">
        <v>6</v>
      </c>
      <c r="L9" s="1">
        <v>600</v>
      </c>
      <c r="M9" s="1">
        <v>0</v>
      </c>
      <c r="N9" s="1">
        <v>0</v>
      </c>
      <c r="O9" s="1">
        <v>420</v>
      </c>
      <c r="P9" s="1" t="s">
        <v>14</v>
      </c>
      <c r="Q9" s="6" t="s">
        <v>124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7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6.796875" bestFit="1" customWidth="1"/>
    <col min="7" max="7" width="9.199218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152151</v>
      </c>
      <c r="D2" s="1" t="s">
        <v>15</v>
      </c>
      <c r="E2" s="1" t="s">
        <v>17</v>
      </c>
      <c r="F2" s="1" t="s">
        <v>125</v>
      </c>
      <c r="G2" s="1" t="s">
        <v>50</v>
      </c>
      <c r="H2" s="1" t="s">
        <v>14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14</v>
      </c>
      <c r="Q2" s="6" t="s">
        <v>125</v>
      </c>
    </row>
    <row r="3" spans="1:17" x14ac:dyDescent="0.4">
      <c r="A3" s="1" t="s">
        <v>60</v>
      </c>
      <c r="B3" s="1" t="s">
        <v>14</v>
      </c>
      <c r="C3" s="1">
        <v>152151</v>
      </c>
      <c r="D3" s="1" t="s">
        <v>15</v>
      </c>
      <c r="E3" s="1" t="s">
        <v>17</v>
      </c>
      <c r="F3" s="1" t="s">
        <v>125</v>
      </c>
      <c r="G3" s="1" t="s">
        <v>50</v>
      </c>
      <c r="H3" s="1" t="s">
        <v>14</v>
      </c>
      <c r="I3" s="1">
        <v>70</v>
      </c>
      <c r="J3" s="1">
        <v>0</v>
      </c>
      <c r="K3" s="1">
        <v>3</v>
      </c>
      <c r="L3" s="1">
        <v>300</v>
      </c>
      <c r="M3" s="1">
        <v>0</v>
      </c>
      <c r="N3" s="1">
        <v>0</v>
      </c>
      <c r="O3" s="1">
        <v>210</v>
      </c>
      <c r="P3" s="1" t="s">
        <v>14</v>
      </c>
      <c r="Q3" s="6" t="s">
        <v>125</v>
      </c>
    </row>
    <row r="4" spans="1:17" x14ac:dyDescent="0.4">
      <c r="A4" s="1" t="s">
        <v>61</v>
      </c>
      <c r="B4" s="1" t="s">
        <v>14</v>
      </c>
      <c r="C4" s="1">
        <v>152151</v>
      </c>
      <c r="D4" s="1" t="s">
        <v>15</v>
      </c>
      <c r="E4" s="1" t="s">
        <v>17</v>
      </c>
      <c r="F4" s="1" t="s">
        <v>125</v>
      </c>
      <c r="G4" s="1" t="s">
        <v>50</v>
      </c>
      <c r="H4" s="1" t="s">
        <v>14</v>
      </c>
      <c r="I4" s="1">
        <v>70</v>
      </c>
      <c r="J4" s="1">
        <v>0</v>
      </c>
      <c r="K4" s="1">
        <v>7</v>
      </c>
      <c r="L4" s="1">
        <v>700</v>
      </c>
      <c r="M4" s="1">
        <v>0</v>
      </c>
      <c r="N4" s="1">
        <v>0</v>
      </c>
      <c r="O4" s="1">
        <v>490</v>
      </c>
      <c r="P4" s="1" t="s">
        <v>14</v>
      </c>
      <c r="Q4" s="6" t="s">
        <v>125</v>
      </c>
    </row>
    <row r="5" spans="1:17" x14ac:dyDescent="0.4">
      <c r="A5" s="1" t="s">
        <v>62</v>
      </c>
      <c r="B5" s="1" t="s">
        <v>14</v>
      </c>
      <c r="C5" s="1">
        <v>152151</v>
      </c>
      <c r="D5" s="1" t="s">
        <v>15</v>
      </c>
      <c r="E5" s="1" t="s">
        <v>17</v>
      </c>
      <c r="F5" s="1" t="s">
        <v>125</v>
      </c>
      <c r="G5" s="1" t="s">
        <v>50</v>
      </c>
      <c r="H5" s="1" t="s">
        <v>14</v>
      </c>
      <c r="I5" s="1">
        <v>70</v>
      </c>
      <c r="J5" s="1">
        <v>0</v>
      </c>
      <c r="K5" s="1">
        <v>2</v>
      </c>
      <c r="L5" s="1">
        <v>200</v>
      </c>
      <c r="M5" s="1">
        <v>0</v>
      </c>
      <c r="N5" s="1">
        <v>0</v>
      </c>
      <c r="O5" s="1">
        <v>140</v>
      </c>
      <c r="P5" s="1" t="s">
        <v>14</v>
      </c>
      <c r="Q5" s="6" t="s">
        <v>125</v>
      </c>
    </row>
    <row r="6" spans="1:17" x14ac:dyDescent="0.4">
      <c r="A6" s="1" t="s">
        <v>66</v>
      </c>
      <c r="B6" s="1" t="s">
        <v>14</v>
      </c>
      <c r="C6" s="1">
        <v>152151</v>
      </c>
      <c r="D6" s="1" t="s">
        <v>15</v>
      </c>
      <c r="E6" s="1" t="s">
        <v>17</v>
      </c>
      <c r="F6" s="1" t="s">
        <v>125</v>
      </c>
      <c r="G6" s="1" t="s">
        <v>50</v>
      </c>
      <c r="H6" s="1" t="s">
        <v>14</v>
      </c>
      <c r="I6" s="1">
        <v>70</v>
      </c>
      <c r="J6" s="1">
        <v>0</v>
      </c>
      <c r="K6" s="1">
        <v>1</v>
      </c>
      <c r="L6" s="1">
        <v>100</v>
      </c>
      <c r="M6" s="1">
        <v>0</v>
      </c>
      <c r="N6" s="1">
        <v>0</v>
      </c>
      <c r="O6" s="1">
        <v>70</v>
      </c>
      <c r="P6" s="1" t="s">
        <v>14</v>
      </c>
      <c r="Q6" s="6" t="s">
        <v>125</v>
      </c>
    </row>
    <row r="7" spans="1:17" x14ac:dyDescent="0.4">
      <c r="A7" s="1" t="s">
        <v>68</v>
      </c>
      <c r="B7" s="1" t="s">
        <v>14</v>
      </c>
      <c r="C7" s="1">
        <v>152151</v>
      </c>
      <c r="D7" s="1" t="s">
        <v>15</v>
      </c>
      <c r="E7" s="1" t="s">
        <v>17</v>
      </c>
      <c r="F7" s="1" t="s">
        <v>125</v>
      </c>
      <c r="G7" s="1" t="s">
        <v>50</v>
      </c>
      <c r="H7" s="1" t="s">
        <v>14</v>
      </c>
      <c r="I7" s="1">
        <v>70</v>
      </c>
      <c r="J7" s="1">
        <v>0</v>
      </c>
      <c r="K7" s="1">
        <v>3</v>
      </c>
      <c r="L7" s="1">
        <v>300</v>
      </c>
      <c r="M7" s="1">
        <v>0</v>
      </c>
      <c r="N7" s="1">
        <v>0</v>
      </c>
      <c r="O7" s="1">
        <v>210</v>
      </c>
      <c r="P7" s="1" t="s">
        <v>14</v>
      </c>
      <c r="Q7" s="6" t="s">
        <v>125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55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9.59765625" bestFit="1" customWidth="1"/>
    <col min="7" max="7" width="18.09765625" bestFit="1" customWidth="1"/>
    <col min="8" max="8" width="8.59765625" bestFit="1" customWidth="1"/>
    <col min="9" max="10" width="6.796875" bestFit="1" customWidth="1"/>
    <col min="11" max="11" width="12.3984375" bestFit="1" customWidth="1"/>
    <col min="12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155364</v>
      </c>
      <c r="D2" s="1" t="s">
        <v>15</v>
      </c>
      <c r="E2" s="1" t="s">
        <v>28</v>
      </c>
      <c r="F2" s="1" t="s">
        <v>109</v>
      </c>
      <c r="G2" s="1" t="s">
        <v>30</v>
      </c>
      <c r="H2" s="1" t="s">
        <v>40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40</v>
      </c>
      <c r="Q2" s="6" t="s">
        <v>40</v>
      </c>
    </row>
    <row r="3" spans="1:17" x14ac:dyDescent="0.4">
      <c r="A3" s="1" t="s">
        <v>47</v>
      </c>
      <c r="B3" s="1" t="s">
        <v>14</v>
      </c>
      <c r="C3" s="1">
        <v>155366</v>
      </c>
      <c r="D3" s="1" t="s">
        <v>15</v>
      </c>
      <c r="E3" s="1" t="s">
        <v>28</v>
      </c>
      <c r="F3" s="1" t="s">
        <v>109</v>
      </c>
      <c r="G3" s="1" t="s">
        <v>51</v>
      </c>
      <c r="H3" s="1" t="s">
        <v>40</v>
      </c>
      <c r="I3" s="1">
        <v>70</v>
      </c>
      <c r="J3" s="1">
        <v>0</v>
      </c>
      <c r="K3" s="1">
        <v>21</v>
      </c>
      <c r="L3" s="1">
        <v>2100</v>
      </c>
      <c r="M3" s="1">
        <v>0</v>
      </c>
      <c r="N3" s="1">
        <v>0</v>
      </c>
      <c r="O3" s="1">
        <v>1470</v>
      </c>
      <c r="P3" s="1" t="s">
        <v>40</v>
      </c>
      <c r="Q3" s="6" t="s">
        <v>40</v>
      </c>
    </row>
    <row r="4" spans="1:17" x14ac:dyDescent="0.4">
      <c r="A4" s="1" t="s">
        <v>47</v>
      </c>
      <c r="B4" s="1" t="s">
        <v>14</v>
      </c>
      <c r="C4" s="1">
        <v>156318</v>
      </c>
      <c r="D4" s="1" t="s">
        <v>15</v>
      </c>
      <c r="E4" s="1" t="s">
        <v>0</v>
      </c>
      <c r="F4" s="1" t="s">
        <v>127</v>
      </c>
      <c r="G4" s="1" t="s">
        <v>53</v>
      </c>
      <c r="H4" s="1" t="s">
        <v>40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40</v>
      </c>
      <c r="Q4" s="6" t="s">
        <v>40</v>
      </c>
    </row>
    <row r="5" spans="1:17" x14ac:dyDescent="0.4">
      <c r="A5" s="1" t="s">
        <v>47</v>
      </c>
      <c r="B5" s="1" t="s">
        <v>14</v>
      </c>
      <c r="C5" s="1">
        <v>156319</v>
      </c>
      <c r="D5" s="1" t="s">
        <v>15</v>
      </c>
      <c r="E5" s="1" t="s">
        <v>0</v>
      </c>
      <c r="F5" s="1" t="s">
        <v>127</v>
      </c>
      <c r="G5" s="1" t="s">
        <v>54</v>
      </c>
      <c r="H5" s="1" t="s">
        <v>40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  <c r="P5" s="1" t="s">
        <v>40</v>
      </c>
      <c r="Q5" s="6" t="s">
        <v>40</v>
      </c>
    </row>
    <row r="6" spans="1:17" x14ac:dyDescent="0.4">
      <c r="A6" s="1" t="s">
        <v>57</v>
      </c>
      <c r="B6" s="1" t="s">
        <v>14</v>
      </c>
      <c r="C6" s="1">
        <v>155366</v>
      </c>
      <c r="D6" s="1" t="s">
        <v>15</v>
      </c>
      <c r="E6" s="1" t="s">
        <v>28</v>
      </c>
      <c r="F6" s="1" t="s">
        <v>109</v>
      </c>
      <c r="G6" s="1" t="s">
        <v>51</v>
      </c>
      <c r="H6" s="1" t="s">
        <v>40</v>
      </c>
      <c r="I6" s="1">
        <v>70</v>
      </c>
      <c r="J6" s="1">
        <v>0</v>
      </c>
      <c r="K6" s="1">
        <v>19</v>
      </c>
      <c r="L6" s="1">
        <v>1900</v>
      </c>
      <c r="M6" s="1">
        <v>0</v>
      </c>
      <c r="N6" s="1">
        <v>0</v>
      </c>
      <c r="O6" s="1">
        <v>1330</v>
      </c>
      <c r="P6" s="1" t="s">
        <v>40</v>
      </c>
      <c r="Q6" s="6" t="s">
        <v>40</v>
      </c>
    </row>
    <row r="7" spans="1:17" x14ac:dyDescent="0.4">
      <c r="A7" s="1" t="s">
        <v>57</v>
      </c>
      <c r="B7" s="1" t="s">
        <v>14</v>
      </c>
      <c r="C7" s="1">
        <v>156318</v>
      </c>
      <c r="D7" s="1" t="s">
        <v>15</v>
      </c>
      <c r="E7" s="1" t="s">
        <v>0</v>
      </c>
      <c r="F7" s="1" t="s">
        <v>127</v>
      </c>
      <c r="G7" s="1" t="s">
        <v>53</v>
      </c>
      <c r="H7" s="1" t="s">
        <v>40</v>
      </c>
      <c r="I7" s="1">
        <v>70</v>
      </c>
      <c r="J7" s="1">
        <v>0</v>
      </c>
      <c r="K7" s="1">
        <v>10</v>
      </c>
      <c r="L7" s="1">
        <v>1000</v>
      </c>
      <c r="M7" s="1">
        <v>0</v>
      </c>
      <c r="N7" s="1">
        <v>0</v>
      </c>
      <c r="O7" s="1">
        <v>700</v>
      </c>
      <c r="P7" s="1" t="s">
        <v>40</v>
      </c>
      <c r="Q7" s="6" t="s">
        <v>40</v>
      </c>
    </row>
    <row r="8" spans="1:17" x14ac:dyDescent="0.4">
      <c r="A8" s="1" t="s">
        <v>60</v>
      </c>
      <c r="B8" s="1" t="s">
        <v>14</v>
      </c>
      <c r="C8" s="1">
        <v>155366</v>
      </c>
      <c r="D8" s="1" t="s">
        <v>15</v>
      </c>
      <c r="E8" s="1" t="s">
        <v>28</v>
      </c>
      <c r="F8" s="1" t="s">
        <v>109</v>
      </c>
      <c r="G8" s="1" t="s">
        <v>51</v>
      </c>
      <c r="H8" s="1" t="s">
        <v>40</v>
      </c>
      <c r="I8" s="1">
        <v>70</v>
      </c>
      <c r="J8" s="1">
        <v>0</v>
      </c>
      <c r="K8" s="1">
        <v>21</v>
      </c>
      <c r="L8" s="1">
        <v>2100</v>
      </c>
      <c r="M8" s="1">
        <v>0</v>
      </c>
      <c r="N8" s="1">
        <v>0</v>
      </c>
      <c r="O8" s="1">
        <v>1470</v>
      </c>
      <c r="P8" s="1" t="s">
        <v>40</v>
      </c>
      <c r="Q8" s="6" t="s">
        <v>40</v>
      </c>
    </row>
    <row r="9" spans="1:17" x14ac:dyDescent="0.4">
      <c r="A9" s="1" t="s">
        <v>61</v>
      </c>
      <c r="B9" s="1" t="s">
        <v>14</v>
      </c>
      <c r="C9" s="1">
        <v>155366</v>
      </c>
      <c r="D9" s="1" t="s">
        <v>15</v>
      </c>
      <c r="E9" s="1" t="s">
        <v>28</v>
      </c>
      <c r="F9" s="1" t="s">
        <v>109</v>
      </c>
      <c r="G9" s="1" t="s">
        <v>51</v>
      </c>
      <c r="H9" s="1" t="s">
        <v>40</v>
      </c>
      <c r="I9" s="1">
        <v>70</v>
      </c>
      <c r="J9" s="1">
        <v>0</v>
      </c>
      <c r="K9" s="1">
        <v>21</v>
      </c>
      <c r="L9" s="1">
        <v>2100</v>
      </c>
      <c r="M9" s="1">
        <v>0</v>
      </c>
      <c r="N9" s="1">
        <v>0</v>
      </c>
      <c r="O9" s="1">
        <v>1470</v>
      </c>
      <c r="P9" s="1" t="s">
        <v>40</v>
      </c>
      <c r="Q9" s="6" t="s">
        <v>40</v>
      </c>
    </row>
    <row r="10" spans="1:17" x14ac:dyDescent="0.4">
      <c r="A10" s="1" t="s">
        <v>61</v>
      </c>
      <c r="B10" s="1" t="s">
        <v>14</v>
      </c>
      <c r="C10" s="1">
        <v>156036</v>
      </c>
      <c r="D10" s="1" t="s">
        <v>15</v>
      </c>
      <c r="E10" s="1" t="s">
        <v>0</v>
      </c>
      <c r="F10" s="1" t="s">
        <v>97</v>
      </c>
      <c r="G10" s="1" t="s">
        <v>38</v>
      </c>
      <c r="H10" s="1" t="s">
        <v>40</v>
      </c>
      <c r="I10" s="1">
        <v>70</v>
      </c>
      <c r="J10" s="1">
        <v>0</v>
      </c>
      <c r="K10" s="1">
        <v>19</v>
      </c>
      <c r="L10" s="1">
        <v>1900</v>
      </c>
      <c r="M10" s="1">
        <v>0</v>
      </c>
      <c r="N10" s="1">
        <v>0</v>
      </c>
      <c r="O10" s="1">
        <v>1330</v>
      </c>
      <c r="P10" s="1" t="s">
        <v>40</v>
      </c>
      <c r="Q10" s="6" t="s">
        <v>40</v>
      </c>
    </row>
    <row r="11" spans="1:17" x14ac:dyDescent="0.4">
      <c r="A11" s="1" t="s">
        <v>61</v>
      </c>
      <c r="B11" s="1" t="s">
        <v>14</v>
      </c>
      <c r="C11" s="1">
        <v>156319</v>
      </c>
      <c r="D11" s="1" t="s">
        <v>15</v>
      </c>
      <c r="E11" s="1" t="s">
        <v>0</v>
      </c>
      <c r="F11" s="1" t="s">
        <v>127</v>
      </c>
      <c r="G11" s="1" t="s">
        <v>54</v>
      </c>
      <c r="H11" s="1" t="s">
        <v>40</v>
      </c>
      <c r="I11" s="1">
        <v>70</v>
      </c>
      <c r="J11" s="1">
        <v>0</v>
      </c>
      <c r="K11" s="1">
        <v>1</v>
      </c>
      <c r="L11" s="1">
        <v>100</v>
      </c>
      <c r="M11" s="1">
        <v>0</v>
      </c>
      <c r="N11" s="1">
        <v>0</v>
      </c>
      <c r="O11" s="1">
        <v>70</v>
      </c>
      <c r="P11" s="1" t="s">
        <v>40</v>
      </c>
      <c r="Q11" s="6" t="s">
        <v>40</v>
      </c>
    </row>
    <row r="12" spans="1:17" x14ac:dyDescent="0.4">
      <c r="A12" s="1" t="s">
        <v>62</v>
      </c>
      <c r="B12" s="1" t="s">
        <v>14</v>
      </c>
      <c r="C12" s="1">
        <v>155366</v>
      </c>
      <c r="D12" s="1" t="s">
        <v>15</v>
      </c>
      <c r="E12" s="1" t="s">
        <v>28</v>
      </c>
      <c r="F12" s="1" t="s">
        <v>109</v>
      </c>
      <c r="G12" s="1" t="s">
        <v>51</v>
      </c>
      <c r="H12" s="1" t="s">
        <v>40</v>
      </c>
      <c r="I12" s="1">
        <v>70</v>
      </c>
      <c r="J12" s="1">
        <v>0</v>
      </c>
      <c r="K12" s="1">
        <v>3</v>
      </c>
      <c r="L12" s="1">
        <v>300</v>
      </c>
      <c r="M12" s="1">
        <v>0</v>
      </c>
      <c r="N12" s="1">
        <v>0</v>
      </c>
      <c r="O12" s="1">
        <v>210</v>
      </c>
      <c r="P12" s="1" t="s">
        <v>40</v>
      </c>
      <c r="Q12" s="6" t="s">
        <v>40</v>
      </c>
    </row>
    <row r="13" spans="1:17" x14ac:dyDescent="0.4">
      <c r="A13" s="1" t="s">
        <v>62</v>
      </c>
      <c r="B13" s="1" t="s">
        <v>14</v>
      </c>
      <c r="C13" s="1">
        <v>156317</v>
      </c>
      <c r="D13" s="1" t="s">
        <v>15</v>
      </c>
      <c r="E13" s="1" t="s">
        <v>0</v>
      </c>
      <c r="F13" s="1" t="s">
        <v>127</v>
      </c>
      <c r="G13" s="1" t="s">
        <v>63</v>
      </c>
      <c r="H13" s="1" t="s">
        <v>40</v>
      </c>
      <c r="I13" s="1">
        <v>70</v>
      </c>
      <c r="J13" s="1">
        <v>0</v>
      </c>
      <c r="K13" s="1">
        <v>1</v>
      </c>
      <c r="L13" s="1">
        <v>100</v>
      </c>
      <c r="M13" s="1">
        <v>0</v>
      </c>
      <c r="N13" s="1">
        <v>0</v>
      </c>
      <c r="O13" s="1">
        <v>70</v>
      </c>
      <c r="P13" s="1" t="s">
        <v>40</v>
      </c>
      <c r="Q13" s="6" t="s">
        <v>40</v>
      </c>
    </row>
    <row r="14" spans="1:17" x14ac:dyDescent="0.4">
      <c r="A14" s="1" t="s">
        <v>62</v>
      </c>
      <c r="B14" s="1" t="s">
        <v>14</v>
      </c>
      <c r="C14" s="1">
        <v>156319</v>
      </c>
      <c r="D14" s="1" t="s">
        <v>15</v>
      </c>
      <c r="E14" s="1" t="s">
        <v>0</v>
      </c>
      <c r="F14" s="1" t="s">
        <v>127</v>
      </c>
      <c r="G14" s="1" t="s">
        <v>54</v>
      </c>
      <c r="H14" s="1" t="s">
        <v>40</v>
      </c>
      <c r="I14" s="1">
        <v>70</v>
      </c>
      <c r="J14" s="1">
        <v>0</v>
      </c>
      <c r="K14" s="1">
        <v>5</v>
      </c>
      <c r="L14" s="1">
        <v>500</v>
      </c>
      <c r="M14" s="1">
        <v>0</v>
      </c>
      <c r="N14" s="1">
        <v>0</v>
      </c>
      <c r="O14" s="1">
        <v>350</v>
      </c>
      <c r="P14" s="1" t="s">
        <v>40</v>
      </c>
      <c r="Q14" s="6" t="s">
        <v>40</v>
      </c>
    </row>
    <row r="15" spans="1:17" x14ac:dyDescent="0.4">
      <c r="A15" s="1" t="s">
        <v>64</v>
      </c>
      <c r="B15" s="1" t="s">
        <v>14</v>
      </c>
      <c r="C15" s="1">
        <v>155366</v>
      </c>
      <c r="D15" s="1" t="s">
        <v>15</v>
      </c>
      <c r="E15" s="1" t="s">
        <v>28</v>
      </c>
      <c r="F15" s="1" t="s">
        <v>109</v>
      </c>
      <c r="G15" s="1" t="s">
        <v>51</v>
      </c>
      <c r="H15" s="1" t="s">
        <v>40</v>
      </c>
      <c r="I15" s="1">
        <v>70</v>
      </c>
      <c r="J15" s="1">
        <v>0</v>
      </c>
      <c r="K15" s="1">
        <v>8</v>
      </c>
      <c r="L15" s="1">
        <v>800</v>
      </c>
      <c r="M15" s="1">
        <v>0</v>
      </c>
      <c r="N15" s="1">
        <v>0</v>
      </c>
      <c r="O15" s="1">
        <v>560</v>
      </c>
      <c r="P15" s="1" t="s">
        <v>40</v>
      </c>
      <c r="Q15" s="6" t="s">
        <v>40</v>
      </c>
    </row>
    <row r="16" spans="1:17" x14ac:dyDescent="0.4">
      <c r="A16" s="1" t="s">
        <v>66</v>
      </c>
      <c r="B16" s="1" t="s">
        <v>14</v>
      </c>
      <c r="C16" s="1">
        <v>155366</v>
      </c>
      <c r="D16" s="1" t="s">
        <v>15</v>
      </c>
      <c r="E16" s="1" t="s">
        <v>28</v>
      </c>
      <c r="F16" s="1" t="s">
        <v>109</v>
      </c>
      <c r="G16" s="1" t="s">
        <v>51</v>
      </c>
      <c r="H16" s="1" t="s">
        <v>40</v>
      </c>
      <c r="I16" s="1">
        <v>70</v>
      </c>
      <c r="J16" s="1">
        <v>0</v>
      </c>
      <c r="K16" s="1">
        <v>9</v>
      </c>
      <c r="L16" s="1">
        <v>900</v>
      </c>
      <c r="M16" s="1">
        <v>0</v>
      </c>
      <c r="N16" s="1">
        <v>0</v>
      </c>
      <c r="O16" s="1">
        <v>630</v>
      </c>
      <c r="P16" s="1" t="s">
        <v>40</v>
      </c>
      <c r="Q16" s="6" t="s">
        <v>40</v>
      </c>
    </row>
    <row r="17" spans="1:17" x14ac:dyDescent="0.4">
      <c r="A17" s="1" t="s">
        <v>67</v>
      </c>
      <c r="B17" s="1" t="s">
        <v>14</v>
      </c>
      <c r="C17" s="1">
        <v>155366</v>
      </c>
      <c r="D17" s="1" t="s">
        <v>15</v>
      </c>
      <c r="E17" s="1" t="s">
        <v>28</v>
      </c>
      <c r="F17" s="1" t="s">
        <v>109</v>
      </c>
      <c r="G17" s="1" t="s">
        <v>51</v>
      </c>
      <c r="H17" s="1" t="s">
        <v>40</v>
      </c>
      <c r="I17" s="1">
        <v>70</v>
      </c>
      <c r="J17" s="1">
        <v>0</v>
      </c>
      <c r="K17" s="1">
        <v>28</v>
      </c>
      <c r="L17" s="1">
        <v>2800</v>
      </c>
      <c r="M17" s="1">
        <v>0</v>
      </c>
      <c r="N17" s="1">
        <v>0</v>
      </c>
      <c r="O17" s="1">
        <v>1960</v>
      </c>
      <c r="P17" s="1" t="s">
        <v>40</v>
      </c>
      <c r="Q17" s="6" t="s">
        <v>40</v>
      </c>
    </row>
    <row r="18" spans="1:17" x14ac:dyDescent="0.4">
      <c r="A18" s="1" t="s">
        <v>68</v>
      </c>
      <c r="B18" s="1" t="s">
        <v>14</v>
      </c>
      <c r="C18" s="1">
        <v>155366</v>
      </c>
      <c r="D18" s="1" t="s">
        <v>15</v>
      </c>
      <c r="E18" s="1" t="s">
        <v>28</v>
      </c>
      <c r="F18" s="1" t="s">
        <v>109</v>
      </c>
      <c r="G18" s="1" t="s">
        <v>51</v>
      </c>
      <c r="H18" s="1" t="s">
        <v>40</v>
      </c>
      <c r="I18" s="1">
        <v>70</v>
      </c>
      <c r="J18" s="1">
        <v>0</v>
      </c>
      <c r="K18" s="1">
        <v>21</v>
      </c>
      <c r="L18" s="1">
        <v>2100</v>
      </c>
      <c r="M18" s="1">
        <v>0</v>
      </c>
      <c r="N18" s="1">
        <v>0</v>
      </c>
      <c r="O18" s="1">
        <v>1470</v>
      </c>
      <c r="P18" s="1" t="s">
        <v>40</v>
      </c>
      <c r="Q18" s="6" t="s">
        <v>40</v>
      </c>
    </row>
    <row r="19" spans="1:17" x14ac:dyDescent="0.4">
      <c r="A19" s="1" t="s">
        <v>71</v>
      </c>
      <c r="B19" s="1" t="s">
        <v>14</v>
      </c>
      <c r="C19" s="1">
        <v>155364</v>
      </c>
      <c r="D19" s="1" t="s">
        <v>15</v>
      </c>
      <c r="E19" s="1" t="s">
        <v>28</v>
      </c>
      <c r="F19" s="1" t="s">
        <v>109</v>
      </c>
      <c r="G19" s="1" t="s">
        <v>30</v>
      </c>
      <c r="H19" s="1" t="s">
        <v>40</v>
      </c>
      <c r="I19" s="1">
        <v>70</v>
      </c>
      <c r="J19" s="1">
        <v>0</v>
      </c>
      <c r="K19" s="1">
        <v>1</v>
      </c>
      <c r="L19" s="1">
        <v>100</v>
      </c>
      <c r="M19" s="1">
        <v>0</v>
      </c>
      <c r="N19" s="1">
        <v>0</v>
      </c>
      <c r="O19" s="1">
        <v>70</v>
      </c>
      <c r="P19" s="1" t="s">
        <v>40</v>
      </c>
      <c r="Q19" s="6" t="s">
        <v>40</v>
      </c>
    </row>
    <row r="20" spans="1:17" x14ac:dyDescent="0.4">
      <c r="A20" s="1" t="s">
        <v>71</v>
      </c>
      <c r="B20" s="1" t="s">
        <v>14</v>
      </c>
      <c r="C20" s="1">
        <v>155639</v>
      </c>
      <c r="D20" s="1" t="s">
        <v>15</v>
      </c>
      <c r="E20" s="1" t="s">
        <v>16</v>
      </c>
      <c r="F20" s="1" t="s">
        <v>120</v>
      </c>
      <c r="G20" s="1" t="s">
        <v>31</v>
      </c>
      <c r="H20" s="1" t="s">
        <v>40</v>
      </c>
      <c r="I20" s="1">
        <v>70</v>
      </c>
      <c r="J20" s="1">
        <v>0</v>
      </c>
      <c r="K20" s="1">
        <v>19</v>
      </c>
      <c r="L20" s="1">
        <v>1900</v>
      </c>
      <c r="M20" s="1">
        <v>0</v>
      </c>
      <c r="N20" s="1">
        <v>0</v>
      </c>
      <c r="O20" s="1">
        <v>1330</v>
      </c>
      <c r="P20" s="1" t="s">
        <v>40</v>
      </c>
      <c r="Q20" s="6" t="s">
        <v>40</v>
      </c>
    </row>
    <row r="21" spans="1:17" x14ac:dyDescent="0.4">
      <c r="A21" s="1" t="s">
        <v>71</v>
      </c>
      <c r="B21" s="1" t="s">
        <v>14</v>
      </c>
      <c r="C21" s="1">
        <v>156319</v>
      </c>
      <c r="D21" s="1" t="s">
        <v>15</v>
      </c>
      <c r="E21" s="1" t="s">
        <v>0</v>
      </c>
      <c r="F21" s="1" t="s">
        <v>127</v>
      </c>
      <c r="G21" s="1" t="s">
        <v>54</v>
      </c>
      <c r="H21" s="1" t="s">
        <v>40</v>
      </c>
      <c r="I21" s="1">
        <v>70</v>
      </c>
      <c r="J21" s="1">
        <v>0</v>
      </c>
      <c r="K21" s="1">
        <v>5</v>
      </c>
      <c r="L21" s="1">
        <v>500</v>
      </c>
      <c r="M21" s="1">
        <v>0</v>
      </c>
      <c r="N21" s="1">
        <v>0</v>
      </c>
      <c r="O21" s="1">
        <v>350</v>
      </c>
      <c r="P21" s="1" t="s">
        <v>40</v>
      </c>
      <c r="Q21" s="6" t="s">
        <v>40</v>
      </c>
    </row>
    <row r="22" spans="1:17" x14ac:dyDescent="0.4">
      <c r="A22" s="1" t="s">
        <v>72</v>
      </c>
      <c r="B22" s="1" t="s">
        <v>14</v>
      </c>
      <c r="C22" s="1">
        <v>155364</v>
      </c>
      <c r="D22" s="1" t="s">
        <v>15</v>
      </c>
      <c r="E22" s="1" t="s">
        <v>28</v>
      </c>
      <c r="F22" s="1" t="s">
        <v>109</v>
      </c>
      <c r="G22" s="1" t="s">
        <v>30</v>
      </c>
      <c r="H22" s="1" t="s">
        <v>40</v>
      </c>
      <c r="I22" s="1">
        <v>70</v>
      </c>
      <c r="J22" s="1">
        <v>0</v>
      </c>
      <c r="K22" s="1">
        <v>201</v>
      </c>
      <c r="L22" s="1">
        <v>20100</v>
      </c>
      <c r="M22" s="1">
        <v>0</v>
      </c>
      <c r="N22" s="1">
        <v>0</v>
      </c>
      <c r="O22" s="1">
        <v>14070</v>
      </c>
      <c r="P22" s="1" t="s">
        <v>40</v>
      </c>
      <c r="Q22" s="6" t="s">
        <v>40</v>
      </c>
    </row>
    <row r="23" spans="1:17" x14ac:dyDescent="0.4">
      <c r="A23" s="1" t="s">
        <v>72</v>
      </c>
      <c r="B23" s="1" t="s">
        <v>14</v>
      </c>
      <c r="C23" s="1">
        <v>155639</v>
      </c>
      <c r="D23" s="1" t="s">
        <v>15</v>
      </c>
      <c r="E23" s="1" t="s">
        <v>16</v>
      </c>
      <c r="F23" s="1" t="s">
        <v>120</v>
      </c>
      <c r="G23" s="1" t="s">
        <v>31</v>
      </c>
      <c r="H23" s="1" t="s">
        <v>40</v>
      </c>
      <c r="I23" s="1">
        <v>70</v>
      </c>
      <c r="J23" s="1">
        <v>0</v>
      </c>
      <c r="K23" s="1">
        <v>42</v>
      </c>
      <c r="L23" s="1">
        <v>4200</v>
      </c>
      <c r="M23" s="1">
        <v>0</v>
      </c>
      <c r="N23" s="1">
        <v>0</v>
      </c>
      <c r="O23" s="1">
        <v>2940</v>
      </c>
      <c r="P23" s="1" t="s">
        <v>40</v>
      </c>
      <c r="Q23" s="6" t="s">
        <v>40</v>
      </c>
    </row>
    <row r="24" spans="1:17" x14ac:dyDescent="0.4">
      <c r="A24" s="1" t="s">
        <v>72</v>
      </c>
      <c r="B24" s="1" t="s">
        <v>14</v>
      </c>
      <c r="C24" s="1">
        <v>156319</v>
      </c>
      <c r="D24" s="1" t="s">
        <v>15</v>
      </c>
      <c r="E24" s="1" t="s">
        <v>0</v>
      </c>
      <c r="F24" s="1" t="s">
        <v>127</v>
      </c>
      <c r="G24" s="1" t="s">
        <v>54</v>
      </c>
      <c r="H24" s="1" t="s">
        <v>40</v>
      </c>
      <c r="I24" s="1">
        <v>70</v>
      </c>
      <c r="J24" s="1">
        <v>0</v>
      </c>
      <c r="K24" s="1">
        <v>6</v>
      </c>
      <c r="L24" s="1">
        <v>600</v>
      </c>
      <c r="M24" s="1">
        <v>0</v>
      </c>
      <c r="N24" s="1">
        <v>0</v>
      </c>
      <c r="O24" s="1">
        <v>420</v>
      </c>
      <c r="P24" s="1" t="s">
        <v>40</v>
      </c>
      <c r="Q24" s="6" t="s">
        <v>40</v>
      </c>
    </row>
    <row r="25" spans="1:17" x14ac:dyDescent="0.4">
      <c r="A25" s="1" t="s">
        <v>73</v>
      </c>
      <c r="B25" s="1" t="s">
        <v>14</v>
      </c>
      <c r="C25" s="1">
        <v>155639</v>
      </c>
      <c r="D25" s="1" t="s">
        <v>15</v>
      </c>
      <c r="E25" s="1" t="s">
        <v>16</v>
      </c>
      <c r="F25" s="1" t="s">
        <v>120</v>
      </c>
      <c r="G25" s="1" t="s">
        <v>31</v>
      </c>
      <c r="H25" s="1" t="s">
        <v>40</v>
      </c>
      <c r="I25" s="1">
        <v>70</v>
      </c>
      <c r="J25" s="1">
        <v>0</v>
      </c>
      <c r="K25" s="1">
        <v>48</v>
      </c>
      <c r="L25" s="1">
        <v>4800</v>
      </c>
      <c r="M25" s="1">
        <v>0</v>
      </c>
      <c r="N25" s="1">
        <v>0</v>
      </c>
      <c r="O25" s="1">
        <v>3360</v>
      </c>
      <c r="P25" s="1" t="s">
        <v>40</v>
      </c>
      <c r="Q25" s="6" t="s">
        <v>40</v>
      </c>
    </row>
    <row r="26" spans="1:17" x14ac:dyDescent="0.4">
      <c r="A26" s="1" t="s">
        <v>73</v>
      </c>
      <c r="B26" s="1" t="s">
        <v>14</v>
      </c>
      <c r="C26" s="1">
        <v>156319</v>
      </c>
      <c r="D26" s="1" t="s">
        <v>15</v>
      </c>
      <c r="E26" s="1" t="s">
        <v>0</v>
      </c>
      <c r="F26" s="1" t="s">
        <v>127</v>
      </c>
      <c r="G26" s="1" t="s">
        <v>54</v>
      </c>
      <c r="H26" s="1" t="s">
        <v>40</v>
      </c>
      <c r="I26" s="1">
        <v>70</v>
      </c>
      <c r="J26" s="1">
        <v>0</v>
      </c>
      <c r="K26" s="1">
        <v>4</v>
      </c>
      <c r="L26" s="1">
        <v>400</v>
      </c>
      <c r="M26" s="1">
        <v>0</v>
      </c>
      <c r="N26" s="1">
        <v>0</v>
      </c>
      <c r="O26" s="1">
        <v>280</v>
      </c>
      <c r="P26" s="1" t="s">
        <v>40</v>
      </c>
      <c r="Q26" s="6" t="s">
        <v>40</v>
      </c>
    </row>
    <row r="27" spans="1:17" x14ac:dyDescent="0.4">
      <c r="A27" s="1" t="s">
        <v>74</v>
      </c>
      <c r="B27" s="1" t="s">
        <v>14</v>
      </c>
      <c r="C27" s="1">
        <v>155639</v>
      </c>
      <c r="D27" s="1" t="s">
        <v>15</v>
      </c>
      <c r="E27" s="1" t="s">
        <v>16</v>
      </c>
      <c r="F27" s="1" t="s">
        <v>120</v>
      </c>
      <c r="G27" s="1" t="s">
        <v>31</v>
      </c>
      <c r="H27" s="1" t="s">
        <v>40</v>
      </c>
      <c r="I27" s="1">
        <v>70</v>
      </c>
      <c r="J27" s="1">
        <v>0</v>
      </c>
      <c r="K27" s="1">
        <v>31</v>
      </c>
      <c r="L27" s="1">
        <v>3100</v>
      </c>
      <c r="M27" s="1">
        <v>0</v>
      </c>
      <c r="N27" s="1">
        <v>0</v>
      </c>
      <c r="O27" s="1">
        <v>2170</v>
      </c>
      <c r="P27" s="1" t="s">
        <v>40</v>
      </c>
      <c r="Q27" s="6" t="s">
        <v>40</v>
      </c>
    </row>
    <row r="28" spans="1:17" x14ac:dyDescent="0.4">
      <c r="A28" s="1" t="s">
        <v>75</v>
      </c>
      <c r="B28" s="1" t="s">
        <v>14</v>
      </c>
      <c r="C28" s="1">
        <v>155639</v>
      </c>
      <c r="D28" s="1" t="s">
        <v>15</v>
      </c>
      <c r="E28" s="1" t="s">
        <v>16</v>
      </c>
      <c r="F28" s="1" t="s">
        <v>120</v>
      </c>
      <c r="G28" s="1" t="s">
        <v>31</v>
      </c>
      <c r="H28" s="1" t="s">
        <v>40</v>
      </c>
      <c r="I28" s="1">
        <v>70</v>
      </c>
      <c r="J28" s="1">
        <v>0</v>
      </c>
      <c r="K28" s="1">
        <v>57</v>
      </c>
      <c r="L28" s="1">
        <v>5700</v>
      </c>
      <c r="M28" s="1">
        <v>0</v>
      </c>
      <c r="N28" s="1">
        <v>0</v>
      </c>
      <c r="O28" s="1">
        <v>3990</v>
      </c>
      <c r="P28" s="1" t="s">
        <v>40</v>
      </c>
      <c r="Q28" s="6" t="s">
        <v>40</v>
      </c>
    </row>
    <row r="29" spans="1:17" x14ac:dyDescent="0.4">
      <c r="A29" s="1" t="s">
        <v>76</v>
      </c>
      <c r="B29" s="1" t="s">
        <v>14</v>
      </c>
      <c r="C29" s="1">
        <v>155364</v>
      </c>
      <c r="D29" s="1" t="s">
        <v>15</v>
      </c>
      <c r="E29" s="1" t="s">
        <v>28</v>
      </c>
      <c r="F29" s="1" t="s">
        <v>109</v>
      </c>
      <c r="G29" s="1" t="s">
        <v>30</v>
      </c>
      <c r="H29" s="1" t="s">
        <v>40</v>
      </c>
      <c r="I29" s="1">
        <v>70</v>
      </c>
      <c r="J29" s="1">
        <v>0</v>
      </c>
      <c r="K29" s="1">
        <v>100</v>
      </c>
      <c r="L29" s="1">
        <v>10000</v>
      </c>
      <c r="M29" s="1">
        <v>0</v>
      </c>
      <c r="N29" s="1">
        <v>0</v>
      </c>
      <c r="O29" s="1">
        <v>7000</v>
      </c>
      <c r="P29" s="1" t="s">
        <v>40</v>
      </c>
      <c r="Q29" s="6" t="s">
        <v>40</v>
      </c>
    </row>
    <row r="30" spans="1:17" x14ac:dyDescent="0.4">
      <c r="A30" s="1" t="s">
        <v>76</v>
      </c>
      <c r="B30" s="1" t="s">
        <v>14</v>
      </c>
      <c r="C30" s="1">
        <v>155639</v>
      </c>
      <c r="D30" s="1" t="s">
        <v>15</v>
      </c>
      <c r="E30" s="1" t="s">
        <v>16</v>
      </c>
      <c r="F30" s="1" t="s">
        <v>120</v>
      </c>
      <c r="G30" s="1" t="s">
        <v>31</v>
      </c>
      <c r="H30" s="1" t="s">
        <v>40</v>
      </c>
      <c r="I30" s="1">
        <v>70</v>
      </c>
      <c r="J30" s="1">
        <v>0</v>
      </c>
      <c r="K30" s="1">
        <v>20</v>
      </c>
      <c r="L30" s="1">
        <v>2000</v>
      </c>
      <c r="M30" s="1">
        <v>0</v>
      </c>
      <c r="N30" s="1">
        <v>0</v>
      </c>
      <c r="O30" s="1">
        <v>1400</v>
      </c>
      <c r="P30" s="1" t="s">
        <v>40</v>
      </c>
      <c r="Q30" s="6" t="s">
        <v>40</v>
      </c>
    </row>
    <row r="31" spans="1:17" x14ac:dyDescent="0.4">
      <c r="A31" s="1" t="s">
        <v>77</v>
      </c>
      <c r="B31" s="1" t="s">
        <v>14</v>
      </c>
      <c r="C31" s="1">
        <v>155639</v>
      </c>
      <c r="D31" s="1" t="s">
        <v>15</v>
      </c>
      <c r="E31" s="1" t="s">
        <v>16</v>
      </c>
      <c r="F31" s="1" t="s">
        <v>120</v>
      </c>
      <c r="G31" s="1" t="s">
        <v>31</v>
      </c>
      <c r="H31" s="1" t="s">
        <v>40</v>
      </c>
      <c r="I31" s="1">
        <v>70</v>
      </c>
      <c r="J31" s="1">
        <v>0</v>
      </c>
      <c r="K31" s="1">
        <v>16</v>
      </c>
      <c r="L31" s="1">
        <v>1600</v>
      </c>
      <c r="M31" s="1">
        <v>0</v>
      </c>
      <c r="N31" s="1">
        <v>0</v>
      </c>
      <c r="O31" s="1">
        <v>1120</v>
      </c>
      <c r="P31" s="1" t="s">
        <v>40</v>
      </c>
      <c r="Q31" s="6" t="s">
        <v>40</v>
      </c>
    </row>
    <row r="32" spans="1:17" x14ac:dyDescent="0.4">
      <c r="A32" s="1" t="s">
        <v>78</v>
      </c>
      <c r="B32" s="1" t="s">
        <v>14</v>
      </c>
      <c r="C32" s="1">
        <v>155364</v>
      </c>
      <c r="D32" s="1" t="s">
        <v>15</v>
      </c>
      <c r="E32" s="1" t="s">
        <v>28</v>
      </c>
      <c r="F32" s="1" t="s">
        <v>109</v>
      </c>
      <c r="G32" s="1" t="s">
        <v>30</v>
      </c>
      <c r="H32" s="1" t="s">
        <v>40</v>
      </c>
      <c r="I32" s="1">
        <v>70</v>
      </c>
      <c r="J32" s="1">
        <v>0</v>
      </c>
      <c r="K32" s="1">
        <v>2</v>
      </c>
      <c r="L32" s="1">
        <v>200</v>
      </c>
      <c r="M32" s="1">
        <v>0</v>
      </c>
      <c r="N32" s="1">
        <v>0</v>
      </c>
      <c r="O32" s="1">
        <v>140</v>
      </c>
      <c r="P32" s="1" t="s">
        <v>40</v>
      </c>
      <c r="Q32" s="6" t="s">
        <v>40</v>
      </c>
    </row>
    <row r="33" spans="1:17" x14ac:dyDescent="0.4">
      <c r="A33" s="1" t="s">
        <v>78</v>
      </c>
      <c r="B33" s="1" t="s">
        <v>14</v>
      </c>
      <c r="C33" s="1">
        <v>155639</v>
      </c>
      <c r="D33" s="1" t="s">
        <v>15</v>
      </c>
      <c r="E33" s="1" t="s">
        <v>16</v>
      </c>
      <c r="F33" s="1" t="s">
        <v>120</v>
      </c>
      <c r="G33" s="1" t="s">
        <v>31</v>
      </c>
      <c r="H33" s="1" t="s">
        <v>40</v>
      </c>
      <c r="I33" s="1">
        <v>70</v>
      </c>
      <c r="J33" s="1">
        <v>0</v>
      </c>
      <c r="K33" s="1">
        <v>48</v>
      </c>
      <c r="L33" s="1">
        <v>4800</v>
      </c>
      <c r="M33" s="1">
        <v>0</v>
      </c>
      <c r="N33" s="1">
        <v>0</v>
      </c>
      <c r="O33" s="1">
        <v>3360</v>
      </c>
      <c r="P33" s="1" t="s">
        <v>40</v>
      </c>
      <c r="Q33" s="6" t="s">
        <v>40</v>
      </c>
    </row>
    <row r="34" spans="1:17" x14ac:dyDescent="0.4">
      <c r="A34" s="1" t="s">
        <v>79</v>
      </c>
      <c r="B34" s="1" t="s">
        <v>14</v>
      </c>
      <c r="C34" s="1">
        <v>155639</v>
      </c>
      <c r="D34" s="1" t="s">
        <v>15</v>
      </c>
      <c r="E34" s="1" t="s">
        <v>16</v>
      </c>
      <c r="F34" s="1" t="s">
        <v>120</v>
      </c>
      <c r="G34" s="1" t="s">
        <v>31</v>
      </c>
      <c r="H34" s="1" t="s">
        <v>40</v>
      </c>
      <c r="I34" s="1">
        <v>70</v>
      </c>
      <c r="J34" s="1">
        <v>0</v>
      </c>
      <c r="K34" s="1">
        <v>15</v>
      </c>
      <c r="L34" s="1">
        <v>1500</v>
      </c>
      <c r="M34" s="1">
        <v>0</v>
      </c>
      <c r="N34" s="1">
        <v>0</v>
      </c>
      <c r="O34" s="1">
        <v>1050</v>
      </c>
      <c r="P34" s="1" t="s">
        <v>40</v>
      </c>
      <c r="Q34" s="6" t="s">
        <v>40</v>
      </c>
    </row>
    <row r="35" spans="1:17" x14ac:dyDescent="0.4">
      <c r="A35" s="1" t="s">
        <v>79</v>
      </c>
      <c r="B35" s="1" t="s">
        <v>14</v>
      </c>
      <c r="C35" s="1">
        <v>156318</v>
      </c>
      <c r="D35" s="1" t="s">
        <v>15</v>
      </c>
      <c r="E35" s="1" t="s">
        <v>0</v>
      </c>
      <c r="F35" s="1" t="s">
        <v>127</v>
      </c>
      <c r="G35" s="1" t="s">
        <v>53</v>
      </c>
      <c r="H35" s="1" t="s">
        <v>40</v>
      </c>
      <c r="I35" s="1">
        <v>70</v>
      </c>
      <c r="J35" s="1">
        <v>0</v>
      </c>
      <c r="K35" s="1">
        <v>6</v>
      </c>
      <c r="L35" s="1">
        <v>600</v>
      </c>
      <c r="M35" s="1">
        <v>0</v>
      </c>
      <c r="N35" s="1">
        <v>0</v>
      </c>
      <c r="O35" s="1">
        <v>420</v>
      </c>
      <c r="P35" s="1" t="s">
        <v>40</v>
      </c>
      <c r="Q35" s="6" t="s">
        <v>40</v>
      </c>
    </row>
    <row r="36" spans="1:17" x14ac:dyDescent="0.4">
      <c r="A36" s="1" t="s">
        <v>81</v>
      </c>
      <c r="B36" s="1" t="s">
        <v>14</v>
      </c>
      <c r="C36" s="1">
        <v>154320</v>
      </c>
      <c r="D36" s="1" t="s">
        <v>15</v>
      </c>
      <c r="E36" s="1" t="s">
        <v>16</v>
      </c>
      <c r="F36" s="1" t="s">
        <v>127</v>
      </c>
      <c r="G36" s="1" t="s">
        <v>83</v>
      </c>
      <c r="H36" s="1" t="s">
        <v>40</v>
      </c>
      <c r="I36" s="1">
        <v>70</v>
      </c>
      <c r="J36" s="1">
        <v>0</v>
      </c>
      <c r="K36" s="1">
        <v>4</v>
      </c>
      <c r="L36" s="1">
        <v>400</v>
      </c>
      <c r="M36" s="1">
        <v>0</v>
      </c>
      <c r="N36" s="1">
        <v>0</v>
      </c>
      <c r="O36" s="1">
        <v>280</v>
      </c>
      <c r="P36" s="1" t="s">
        <v>40</v>
      </c>
      <c r="Q36" s="6" t="s">
        <v>40</v>
      </c>
    </row>
    <row r="37" spans="1:17" x14ac:dyDescent="0.4">
      <c r="A37" s="1" t="s">
        <v>81</v>
      </c>
      <c r="B37" s="1" t="s">
        <v>14</v>
      </c>
      <c r="C37" s="1">
        <v>155639</v>
      </c>
      <c r="D37" s="1" t="s">
        <v>15</v>
      </c>
      <c r="E37" s="1" t="s">
        <v>16</v>
      </c>
      <c r="F37" s="1" t="s">
        <v>120</v>
      </c>
      <c r="G37" s="1" t="s">
        <v>31</v>
      </c>
      <c r="H37" s="1" t="s">
        <v>40</v>
      </c>
      <c r="I37" s="1">
        <v>70</v>
      </c>
      <c r="J37" s="1">
        <v>0</v>
      </c>
      <c r="K37" s="1">
        <v>52</v>
      </c>
      <c r="L37" s="1">
        <v>5200</v>
      </c>
      <c r="M37" s="1">
        <v>0</v>
      </c>
      <c r="N37" s="1">
        <v>0</v>
      </c>
      <c r="O37" s="1">
        <v>3640</v>
      </c>
      <c r="P37" s="1" t="s">
        <v>40</v>
      </c>
      <c r="Q37" s="6" t="s">
        <v>40</v>
      </c>
    </row>
    <row r="38" spans="1:17" x14ac:dyDescent="0.4">
      <c r="A38" s="1" t="s">
        <v>84</v>
      </c>
      <c r="B38" s="1" t="s">
        <v>14</v>
      </c>
      <c r="C38" s="1">
        <v>155364</v>
      </c>
      <c r="D38" s="1" t="s">
        <v>15</v>
      </c>
      <c r="E38" s="1" t="s">
        <v>28</v>
      </c>
      <c r="F38" s="1" t="s">
        <v>109</v>
      </c>
      <c r="G38" s="1" t="s">
        <v>30</v>
      </c>
      <c r="H38" s="1" t="s">
        <v>40</v>
      </c>
      <c r="I38" s="1">
        <v>70</v>
      </c>
      <c r="J38" s="1">
        <v>0</v>
      </c>
      <c r="K38" s="1">
        <v>94</v>
      </c>
      <c r="L38" s="1">
        <v>9400</v>
      </c>
      <c r="M38" s="1">
        <v>0</v>
      </c>
      <c r="N38" s="1">
        <v>0</v>
      </c>
      <c r="O38" s="1">
        <v>6580</v>
      </c>
      <c r="P38" s="1" t="s">
        <v>40</v>
      </c>
      <c r="Q38" s="6" t="s">
        <v>40</v>
      </c>
    </row>
    <row r="39" spans="1:17" x14ac:dyDescent="0.4">
      <c r="A39" s="1" t="s">
        <v>84</v>
      </c>
      <c r="B39" s="1" t="s">
        <v>14</v>
      </c>
      <c r="C39" s="1">
        <v>155637</v>
      </c>
      <c r="D39" s="1" t="s">
        <v>15</v>
      </c>
      <c r="E39" s="1" t="s">
        <v>0</v>
      </c>
      <c r="F39" s="1" t="s">
        <v>97</v>
      </c>
      <c r="G39" s="1" t="s">
        <v>85</v>
      </c>
      <c r="H39" s="1" t="s">
        <v>40</v>
      </c>
      <c r="I39" s="1">
        <v>70</v>
      </c>
      <c r="J39" s="1">
        <v>0</v>
      </c>
      <c r="K39" s="1">
        <v>2</v>
      </c>
      <c r="L39" s="1">
        <v>200</v>
      </c>
      <c r="M39" s="1">
        <v>0</v>
      </c>
      <c r="N39" s="1">
        <v>0</v>
      </c>
      <c r="O39" s="1">
        <v>140</v>
      </c>
      <c r="P39" s="1" t="s">
        <v>40</v>
      </c>
      <c r="Q39" s="6" t="s">
        <v>40</v>
      </c>
    </row>
    <row r="40" spans="1:17" x14ac:dyDescent="0.4">
      <c r="A40" s="1" t="s">
        <v>84</v>
      </c>
      <c r="B40" s="1" t="s">
        <v>14</v>
      </c>
      <c r="C40" s="1">
        <v>155639</v>
      </c>
      <c r="D40" s="1" t="s">
        <v>15</v>
      </c>
      <c r="E40" s="1" t="s">
        <v>16</v>
      </c>
      <c r="F40" s="1" t="s">
        <v>120</v>
      </c>
      <c r="G40" s="1" t="s">
        <v>31</v>
      </c>
      <c r="H40" s="1" t="s">
        <v>40</v>
      </c>
      <c r="I40" s="1">
        <v>70</v>
      </c>
      <c r="J40" s="1">
        <v>0</v>
      </c>
      <c r="K40" s="1">
        <v>27</v>
      </c>
      <c r="L40" s="1">
        <v>2700</v>
      </c>
      <c r="M40" s="1">
        <v>0</v>
      </c>
      <c r="N40" s="1">
        <v>0</v>
      </c>
      <c r="O40" s="1">
        <v>1890</v>
      </c>
      <c r="P40" s="1" t="s">
        <v>40</v>
      </c>
      <c r="Q40" s="6" t="s">
        <v>40</v>
      </c>
    </row>
    <row r="41" spans="1:17" x14ac:dyDescent="0.4">
      <c r="A41" s="1" t="s">
        <v>86</v>
      </c>
      <c r="B41" s="1" t="s">
        <v>14</v>
      </c>
      <c r="C41" s="1">
        <v>155364</v>
      </c>
      <c r="D41" s="1" t="s">
        <v>15</v>
      </c>
      <c r="E41" s="1" t="s">
        <v>28</v>
      </c>
      <c r="F41" s="1" t="s">
        <v>109</v>
      </c>
      <c r="G41" s="1" t="s">
        <v>30</v>
      </c>
      <c r="H41" s="1" t="s">
        <v>40</v>
      </c>
      <c r="I41" s="1">
        <v>70</v>
      </c>
      <c r="J41" s="1">
        <v>0</v>
      </c>
      <c r="K41" s="1">
        <v>9</v>
      </c>
      <c r="L41" s="1">
        <v>900</v>
      </c>
      <c r="M41" s="1">
        <v>0</v>
      </c>
      <c r="N41" s="1">
        <v>0</v>
      </c>
      <c r="O41" s="1">
        <v>630</v>
      </c>
      <c r="P41" s="1" t="s">
        <v>40</v>
      </c>
      <c r="Q41" s="6" t="s">
        <v>40</v>
      </c>
    </row>
    <row r="42" spans="1:17" x14ac:dyDescent="0.4">
      <c r="A42" s="1" t="s">
        <v>86</v>
      </c>
      <c r="B42" s="1" t="s">
        <v>14</v>
      </c>
      <c r="C42" s="1">
        <v>155639</v>
      </c>
      <c r="D42" s="1" t="s">
        <v>15</v>
      </c>
      <c r="E42" s="1" t="s">
        <v>16</v>
      </c>
      <c r="F42" s="1" t="s">
        <v>120</v>
      </c>
      <c r="G42" s="1" t="s">
        <v>31</v>
      </c>
      <c r="H42" s="1" t="s">
        <v>40</v>
      </c>
      <c r="I42" s="1">
        <v>70</v>
      </c>
      <c r="J42" s="1">
        <v>0</v>
      </c>
      <c r="K42" s="1">
        <v>19</v>
      </c>
      <c r="L42" s="1">
        <v>1900</v>
      </c>
      <c r="M42" s="1">
        <v>0</v>
      </c>
      <c r="N42" s="1">
        <v>0</v>
      </c>
      <c r="O42" s="1">
        <v>1330</v>
      </c>
      <c r="P42" s="1" t="s">
        <v>40</v>
      </c>
      <c r="Q42" s="6" t="s">
        <v>40</v>
      </c>
    </row>
    <row r="43" spans="1:17" x14ac:dyDescent="0.4">
      <c r="A43" s="1" t="s">
        <v>87</v>
      </c>
      <c r="B43" s="1" t="s">
        <v>14</v>
      </c>
      <c r="C43" s="1">
        <v>153993</v>
      </c>
      <c r="D43" s="1" t="s">
        <v>15</v>
      </c>
      <c r="E43" s="1" t="s">
        <v>16</v>
      </c>
      <c r="F43" s="1" t="s">
        <v>127</v>
      </c>
      <c r="G43" s="1" t="s">
        <v>88</v>
      </c>
      <c r="H43" s="1" t="s">
        <v>40</v>
      </c>
      <c r="I43" s="1">
        <v>70</v>
      </c>
      <c r="J43" s="1">
        <v>0</v>
      </c>
      <c r="K43" s="1">
        <v>13</v>
      </c>
      <c r="L43" s="1">
        <v>1300</v>
      </c>
      <c r="M43" s="1">
        <v>0</v>
      </c>
      <c r="N43" s="1">
        <v>0</v>
      </c>
      <c r="O43" s="1">
        <v>910</v>
      </c>
      <c r="P43" s="1" t="s">
        <v>40</v>
      </c>
      <c r="Q43" s="6" t="s">
        <v>40</v>
      </c>
    </row>
    <row r="44" spans="1:17" x14ac:dyDescent="0.4">
      <c r="A44" s="1" t="s">
        <v>87</v>
      </c>
      <c r="B44" s="1" t="s">
        <v>14</v>
      </c>
      <c r="C44" s="1">
        <v>155639</v>
      </c>
      <c r="D44" s="1" t="s">
        <v>15</v>
      </c>
      <c r="E44" s="1" t="s">
        <v>16</v>
      </c>
      <c r="F44" s="1" t="s">
        <v>120</v>
      </c>
      <c r="G44" s="1" t="s">
        <v>31</v>
      </c>
      <c r="H44" s="1" t="s">
        <v>40</v>
      </c>
      <c r="I44" s="1">
        <v>70</v>
      </c>
      <c r="J44" s="1">
        <v>0</v>
      </c>
      <c r="K44" s="1">
        <v>16</v>
      </c>
      <c r="L44" s="1">
        <v>1600</v>
      </c>
      <c r="M44" s="1">
        <v>0</v>
      </c>
      <c r="N44" s="1">
        <v>0</v>
      </c>
      <c r="O44" s="1">
        <v>1120</v>
      </c>
      <c r="P44" s="1" t="s">
        <v>40</v>
      </c>
      <c r="Q44" s="6" t="s">
        <v>40</v>
      </c>
    </row>
    <row r="45" spans="1:17" x14ac:dyDescent="0.4">
      <c r="A45" s="1" t="s">
        <v>89</v>
      </c>
      <c r="B45" s="1" t="s">
        <v>14</v>
      </c>
      <c r="C45" s="1">
        <v>155639</v>
      </c>
      <c r="D45" s="1" t="s">
        <v>15</v>
      </c>
      <c r="E45" s="1" t="s">
        <v>16</v>
      </c>
      <c r="F45" s="1" t="s">
        <v>120</v>
      </c>
      <c r="G45" s="1" t="s">
        <v>31</v>
      </c>
      <c r="H45" s="1" t="s">
        <v>40</v>
      </c>
      <c r="I45" s="1">
        <v>70</v>
      </c>
      <c r="J45" s="1">
        <v>0</v>
      </c>
      <c r="K45" s="1">
        <v>17</v>
      </c>
      <c r="L45" s="1">
        <v>1700</v>
      </c>
      <c r="M45" s="1">
        <v>0</v>
      </c>
      <c r="N45" s="1">
        <v>0</v>
      </c>
      <c r="O45" s="1">
        <v>1190</v>
      </c>
      <c r="P45" s="1" t="s">
        <v>40</v>
      </c>
      <c r="Q45" s="6" t="s">
        <v>40</v>
      </c>
    </row>
    <row r="46" spans="1:17" x14ac:dyDescent="0.4">
      <c r="A46" s="1" t="s">
        <v>92</v>
      </c>
      <c r="B46" s="1" t="s">
        <v>14</v>
      </c>
      <c r="C46" s="1">
        <v>155364</v>
      </c>
      <c r="D46" s="1" t="s">
        <v>15</v>
      </c>
      <c r="E46" s="1" t="s">
        <v>28</v>
      </c>
      <c r="F46" s="1" t="s">
        <v>109</v>
      </c>
      <c r="G46" s="1" t="s">
        <v>30</v>
      </c>
      <c r="H46" s="1" t="s">
        <v>40</v>
      </c>
      <c r="I46" s="1">
        <v>70</v>
      </c>
      <c r="J46" s="1">
        <v>0</v>
      </c>
      <c r="K46" s="1">
        <v>1</v>
      </c>
      <c r="L46" s="1">
        <v>100</v>
      </c>
      <c r="M46" s="1">
        <v>0</v>
      </c>
      <c r="N46" s="1">
        <v>0</v>
      </c>
      <c r="O46" s="1">
        <v>70</v>
      </c>
      <c r="P46" s="1" t="s">
        <v>40</v>
      </c>
      <c r="Q46" s="6" t="s">
        <v>40</v>
      </c>
    </row>
    <row r="47" spans="1:17" x14ac:dyDescent="0.4">
      <c r="A47" s="1" t="s">
        <v>92</v>
      </c>
      <c r="B47" s="1" t="s">
        <v>14</v>
      </c>
      <c r="C47" s="1">
        <v>155829</v>
      </c>
      <c r="D47" s="1" t="s">
        <v>15</v>
      </c>
      <c r="E47" s="1" t="s">
        <v>0</v>
      </c>
      <c r="F47" s="1" t="s">
        <v>97</v>
      </c>
      <c r="G47" s="1" t="s">
        <v>39</v>
      </c>
      <c r="H47" s="1" t="s">
        <v>40</v>
      </c>
      <c r="I47" s="1">
        <v>70</v>
      </c>
      <c r="J47" s="1">
        <v>0</v>
      </c>
      <c r="K47" s="1">
        <v>1</v>
      </c>
      <c r="L47" s="1">
        <v>100</v>
      </c>
      <c r="M47" s="1">
        <v>0</v>
      </c>
      <c r="N47" s="1">
        <v>0</v>
      </c>
      <c r="O47" s="1">
        <v>70</v>
      </c>
      <c r="P47" s="1" t="s">
        <v>40</v>
      </c>
      <c r="Q47" s="6" t="s">
        <v>40</v>
      </c>
    </row>
    <row r="48" spans="1:17" x14ac:dyDescent="0.4">
      <c r="A48" s="1" t="s">
        <v>93</v>
      </c>
      <c r="B48" s="1" t="s">
        <v>14</v>
      </c>
      <c r="C48" s="1">
        <v>155364</v>
      </c>
      <c r="D48" s="1" t="s">
        <v>15</v>
      </c>
      <c r="E48" s="1" t="s">
        <v>28</v>
      </c>
      <c r="F48" s="1" t="s">
        <v>109</v>
      </c>
      <c r="G48" s="1" t="s">
        <v>30</v>
      </c>
      <c r="H48" s="1" t="s">
        <v>40</v>
      </c>
      <c r="I48" s="1">
        <v>70</v>
      </c>
      <c r="J48" s="1">
        <v>0</v>
      </c>
      <c r="K48" s="1">
        <v>3</v>
      </c>
      <c r="L48" s="1">
        <v>300</v>
      </c>
      <c r="M48" s="1">
        <v>0</v>
      </c>
      <c r="N48" s="1">
        <v>0</v>
      </c>
      <c r="O48" s="1">
        <v>210</v>
      </c>
      <c r="P48" s="1" t="s">
        <v>40</v>
      </c>
      <c r="Q48" s="6" t="s">
        <v>40</v>
      </c>
    </row>
    <row r="49" spans="1:17" x14ac:dyDescent="0.4">
      <c r="A49" s="1" t="s">
        <v>93</v>
      </c>
      <c r="B49" s="1" t="s">
        <v>14</v>
      </c>
      <c r="C49" s="1">
        <v>155829</v>
      </c>
      <c r="D49" s="1" t="s">
        <v>15</v>
      </c>
      <c r="E49" s="1" t="s">
        <v>0</v>
      </c>
      <c r="F49" s="1" t="s">
        <v>97</v>
      </c>
      <c r="G49" s="1" t="s">
        <v>39</v>
      </c>
      <c r="H49" s="1" t="s">
        <v>40</v>
      </c>
      <c r="I49" s="1">
        <v>70</v>
      </c>
      <c r="J49" s="1">
        <v>0</v>
      </c>
      <c r="K49" s="1">
        <v>3</v>
      </c>
      <c r="L49" s="1">
        <v>300</v>
      </c>
      <c r="M49" s="1">
        <v>0</v>
      </c>
      <c r="N49" s="1">
        <v>0</v>
      </c>
      <c r="O49" s="1">
        <v>210</v>
      </c>
      <c r="P49" s="1" t="s">
        <v>40</v>
      </c>
      <c r="Q49" s="6" t="s">
        <v>40</v>
      </c>
    </row>
    <row r="50" spans="1:17" x14ac:dyDescent="0.4">
      <c r="A50" s="1" t="s">
        <v>94</v>
      </c>
      <c r="B50" s="1" t="s">
        <v>14</v>
      </c>
      <c r="C50" s="1">
        <v>155364</v>
      </c>
      <c r="D50" s="1" t="s">
        <v>15</v>
      </c>
      <c r="E50" s="1" t="s">
        <v>28</v>
      </c>
      <c r="F50" s="1" t="s">
        <v>109</v>
      </c>
      <c r="G50" s="1" t="s">
        <v>30</v>
      </c>
      <c r="H50" s="1" t="s">
        <v>40</v>
      </c>
      <c r="I50" s="1">
        <v>70</v>
      </c>
      <c r="J50" s="1">
        <v>0</v>
      </c>
      <c r="K50" s="1">
        <v>2</v>
      </c>
      <c r="L50" s="1">
        <v>200</v>
      </c>
      <c r="M50" s="1">
        <v>0</v>
      </c>
      <c r="N50" s="1">
        <v>0</v>
      </c>
      <c r="O50" s="1">
        <v>140</v>
      </c>
      <c r="P50" s="1" t="s">
        <v>40</v>
      </c>
      <c r="Q50" s="6" t="s">
        <v>40</v>
      </c>
    </row>
    <row r="51" spans="1:17" x14ac:dyDescent="0.4">
      <c r="A51" s="1" t="s">
        <v>94</v>
      </c>
      <c r="B51" s="1" t="s">
        <v>14</v>
      </c>
      <c r="C51" s="1">
        <v>155825</v>
      </c>
      <c r="D51" s="1" t="s">
        <v>15</v>
      </c>
      <c r="E51" s="1" t="s">
        <v>0</v>
      </c>
      <c r="F51" s="1" t="s">
        <v>97</v>
      </c>
      <c r="G51" s="1" t="s">
        <v>42</v>
      </c>
      <c r="H51" s="1" t="s">
        <v>40</v>
      </c>
      <c r="I51" s="1">
        <v>70</v>
      </c>
      <c r="J51" s="1">
        <v>0</v>
      </c>
      <c r="K51" s="1">
        <v>1</v>
      </c>
      <c r="L51" s="1">
        <v>100</v>
      </c>
      <c r="M51" s="1">
        <v>0</v>
      </c>
      <c r="N51" s="1">
        <v>0</v>
      </c>
      <c r="O51" s="1">
        <v>70</v>
      </c>
      <c r="P51" s="1" t="s">
        <v>40</v>
      </c>
      <c r="Q51" s="6" t="s">
        <v>40</v>
      </c>
    </row>
    <row r="52" spans="1:17" x14ac:dyDescent="0.4">
      <c r="A52" s="1" t="s">
        <v>94</v>
      </c>
      <c r="B52" s="1" t="s">
        <v>14</v>
      </c>
      <c r="C52" s="1">
        <v>155829</v>
      </c>
      <c r="D52" s="1" t="s">
        <v>15</v>
      </c>
      <c r="E52" s="1" t="s">
        <v>0</v>
      </c>
      <c r="F52" s="1" t="s">
        <v>98</v>
      </c>
      <c r="G52" s="1" t="s">
        <v>39</v>
      </c>
      <c r="H52" s="1" t="s">
        <v>40</v>
      </c>
      <c r="I52" s="1">
        <v>70</v>
      </c>
      <c r="J52" s="1">
        <v>0</v>
      </c>
      <c r="K52" s="1">
        <v>3</v>
      </c>
      <c r="L52" s="1">
        <v>300</v>
      </c>
      <c r="M52" s="1">
        <v>0</v>
      </c>
      <c r="N52" s="1">
        <v>0</v>
      </c>
      <c r="O52" s="1">
        <v>210</v>
      </c>
      <c r="P52" s="1" t="s">
        <v>40</v>
      </c>
      <c r="Q52" s="6" t="s">
        <v>40</v>
      </c>
    </row>
    <row r="53" spans="1:17" x14ac:dyDescent="0.4">
      <c r="A53" s="1" t="s">
        <v>95</v>
      </c>
      <c r="B53" s="1" t="s">
        <v>14</v>
      </c>
      <c r="C53" s="1">
        <v>155364</v>
      </c>
      <c r="D53" s="1" t="s">
        <v>15</v>
      </c>
      <c r="E53" s="1" t="s">
        <v>28</v>
      </c>
      <c r="F53" s="1" t="s">
        <v>110</v>
      </c>
      <c r="G53" s="1" t="s">
        <v>30</v>
      </c>
      <c r="H53" s="1" t="s">
        <v>40</v>
      </c>
      <c r="I53" s="1">
        <v>70</v>
      </c>
      <c r="J53" s="1">
        <v>0</v>
      </c>
      <c r="K53" s="1">
        <v>4</v>
      </c>
      <c r="L53" s="1">
        <v>400</v>
      </c>
      <c r="M53" s="1">
        <v>0</v>
      </c>
      <c r="N53" s="1">
        <v>0</v>
      </c>
      <c r="O53" s="1">
        <v>280</v>
      </c>
      <c r="P53" s="1" t="s">
        <v>40</v>
      </c>
      <c r="Q53" s="6" t="s">
        <v>40</v>
      </c>
    </row>
    <row r="54" spans="1:17" x14ac:dyDescent="0.4">
      <c r="A54" s="1" t="s">
        <v>95</v>
      </c>
      <c r="B54" s="1" t="s">
        <v>14</v>
      </c>
      <c r="C54" s="1">
        <v>155829</v>
      </c>
      <c r="D54" s="1" t="s">
        <v>15</v>
      </c>
      <c r="E54" s="1" t="s">
        <v>0</v>
      </c>
      <c r="F54" s="1" t="s">
        <v>98</v>
      </c>
      <c r="G54" s="1" t="s">
        <v>39</v>
      </c>
      <c r="H54" s="1" t="s">
        <v>40</v>
      </c>
      <c r="I54" s="1">
        <v>70</v>
      </c>
      <c r="J54" s="1">
        <v>0</v>
      </c>
      <c r="K54" s="1">
        <v>3</v>
      </c>
      <c r="L54" s="1">
        <v>300</v>
      </c>
      <c r="M54" s="1">
        <v>0</v>
      </c>
      <c r="N54" s="1">
        <v>0</v>
      </c>
      <c r="O54" s="1">
        <v>210</v>
      </c>
      <c r="P54" s="1" t="s">
        <v>40</v>
      </c>
      <c r="Q54" s="6" t="s">
        <v>40</v>
      </c>
    </row>
    <row r="55" spans="1:17" x14ac:dyDescent="0.4">
      <c r="A55" s="1" t="s">
        <v>96</v>
      </c>
      <c r="B55" s="1" t="s">
        <v>14</v>
      </c>
      <c r="C55" s="1">
        <v>155639</v>
      </c>
      <c r="D55" s="1" t="s">
        <v>15</v>
      </c>
      <c r="E55" s="1" t="s">
        <v>16</v>
      </c>
      <c r="F55" s="1" t="s">
        <v>121</v>
      </c>
      <c r="G55" s="1" t="s">
        <v>31</v>
      </c>
      <c r="H55" s="1" t="s">
        <v>40</v>
      </c>
      <c r="I55" s="1">
        <v>70</v>
      </c>
      <c r="J55" s="1">
        <v>0</v>
      </c>
      <c r="K55" s="1">
        <v>4</v>
      </c>
      <c r="L55" s="1">
        <v>400</v>
      </c>
      <c r="M55" s="1">
        <v>0</v>
      </c>
      <c r="N55" s="1">
        <v>0</v>
      </c>
      <c r="O55" s="1">
        <v>280</v>
      </c>
      <c r="P55" s="1" t="s">
        <v>40</v>
      </c>
      <c r="Q55" s="6" t="s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4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8.59765625" bestFit="1" customWidth="1"/>
    <col min="7" max="7" width="24.0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155393</v>
      </c>
      <c r="D2" s="1" t="s">
        <v>15</v>
      </c>
      <c r="E2" s="1" t="s">
        <v>17</v>
      </c>
      <c r="F2" s="1" t="s">
        <v>126</v>
      </c>
      <c r="G2" s="1" t="s">
        <v>52</v>
      </c>
      <c r="H2" s="1" t="s">
        <v>14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14</v>
      </c>
      <c r="Q2" s="6" t="s">
        <v>126</v>
      </c>
    </row>
    <row r="3" spans="1:17" x14ac:dyDescent="0.4">
      <c r="A3" s="1" t="s">
        <v>68</v>
      </c>
      <c r="B3" s="1" t="s">
        <v>14</v>
      </c>
      <c r="C3" s="1">
        <v>155393</v>
      </c>
      <c r="D3" s="1" t="s">
        <v>15</v>
      </c>
      <c r="E3" s="1" t="s">
        <v>17</v>
      </c>
      <c r="F3" s="1" t="s">
        <v>126</v>
      </c>
      <c r="G3" s="1" t="s">
        <v>52</v>
      </c>
      <c r="H3" s="1" t="s">
        <v>14</v>
      </c>
      <c r="I3" s="1">
        <v>70</v>
      </c>
      <c r="J3" s="1">
        <v>0</v>
      </c>
      <c r="K3" s="1">
        <v>3</v>
      </c>
      <c r="L3" s="1">
        <v>300</v>
      </c>
      <c r="M3" s="1">
        <v>0</v>
      </c>
      <c r="N3" s="1">
        <v>0</v>
      </c>
      <c r="O3" s="1">
        <v>210</v>
      </c>
      <c r="P3" s="1" t="s">
        <v>14</v>
      </c>
      <c r="Q3" s="6" t="s">
        <v>126</v>
      </c>
    </row>
    <row r="4" spans="1:17" x14ac:dyDescent="0.4">
      <c r="A4" s="1" t="s">
        <v>81</v>
      </c>
      <c r="B4" s="1" t="s">
        <v>14</v>
      </c>
      <c r="C4" s="1">
        <v>155393</v>
      </c>
      <c r="D4" s="1" t="s">
        <v>15</v>
      </c>
      <c r="E4" s="1" t="s">
        <v>17</v>
      </c>
      <c r="F4" s="1" t="s">
        <v>126</v>
      </c>
      <c r="G4" s="1" t="s">
        <v>52</v>
      </c>
      <c r="H4" s="1" t="s">
        <v>14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14</v>
      </c>
      <c r="Q4" s="6" t="s">
        <v>126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4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21.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156350</v>
      </c>
      <c r="D2" s="1" t="s">
        <v>15</v>
      </c>
      <c r="E2" s="1" t="s">
        <v>0</v>
      </c>
      <c r="F2" s="1" t="s">
        <v>128</v>
      </c>
      <c r="G2" s="1" t="s">
        <v>55</v>
      </c>
      <c r="H2" s="1" t="s">
        <v>14</v>
      </c>
      <c r="I2" s="1">
        <v>70</v>
      </c>
      <c r="J2" s="1">
        <v>0</v>
      </c>
      <c r="K2" s="1">
        <v>3</v>
      </c>
      <c r="L2" s="1">
        <v>300</v>
      </c>
      <c r="M2" s="1">
        <v>0</v>
      </c>
      <c r="N2" s="1">
        <v>0</v>
      </c>
      <c r="O2" s="1">
        <v>210</v>
      </c>
      <c r="P2" s="1" t="s">
        <v>14</v>
      </c>
      <c r="Q2" s="6" t="s">
        <v>128</v>
      </c>
    </row>
    <row r="3" spans="1:17" x14ac:dyDescent="0.4">
      <c r="A3" s="1" t="s">
        <v>57</v>
      </c>
      <c r="B3" s="1" t="s">
        <v>14</v>
      </c>
      <c r="C3" s="1">
        <v>156350</v>
      </c>
      <c r="D3" s="1" t="s">
        <v>15</v>
      </c>
      <c r="E3" s="1" t="s">
        <v>0</v>
      </c>
      <c r="F3" s="1" t="s">
        <v>128</v>
      </c>
      <c r="G3" s="1" t="s">
        <v>55</v>
      </c>
      <c r="H3" s="1" t="s">
        <v>14</v>
      </c>
      <c r="I3" s="1">
        <v>70</v>
      </c>
      <c r="J3" s="1">
        <v>0</v>
      </c>
      <c r="K3" s="1">
        <v>2</v>
      </c>
      <c r="L3" s="1">
        <v>200</v>
      </c>
      <c r="M3" s="1">
        <v>0</v>
      </c>
      <c r="N3" s="1">
        <v>0</v>
      </c>
      <c r="O3" s="1">
        <v>140</v>
      </c>
      <c r="P3" s="1" t="s">
        <v>14</v>
      </c>
      <c r="Q3" s="6" t="s">
        <v>128</v>
      </c>
    </row>
    <row r="4" spans="1:17" x14ac:dyDescent="0.4">
      <c r="A4" s="1" t="s">
        <v>79</v>
      </c>
      <c r="B4" s="1" t="s">
        <v>14</v>
      </c>
      <c r="C4" s="1">
        <v>156350</v>
      </c>
      <c r="D4" s="1" t="s">
        <v>15</v>
      </c>
      <c r="E4" s="1" t="s">
        <v>0</v>
      </c>
      <c r="F4" s="1" t="s">
        <v>128</v>
      </c>
      <c r="G4" s="1" t="s">
        <v>55</v>
      </c>
      <c r="H4" s="1" t="s">
        <v>14</v>
      </c>
      <c r="I4" s="1">
        <v>70</v>
      </c>
      <c r="J4" s="1">
        <v>0</v>
      </c>
      <c r="K4" s="1">
        <v>5</v>
      </c>
      <c r="L4" s="1">
        <v>500</v>
      </c>
      <c r="M4" s="1">
        <v>0</v>
      </c>
      <c r="N4" s="1">
        <v>0</v>
      </c>
      <c r="O4" s="1">
        <v>350</v>
      </c>
      <c r="P4" s="1" t="s">
        <v>14</v>
      </c>
      <c r="Q4" s="6" t="s">
        <v>128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0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6.796875" bestFit="1" customWidth="1"/>
    <col min="7" max="7" width="30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47</v>
      </c>
      <c r="B2" s="1" t="s">
        <v>14</v>
      </c>
      <c r="C2" s="1">
        <v>156531</v>
      </c>
      <c r="D2" s="1" t="s">
        <v>15</v>
      </c>
      <c r="E2" s="1" t="s">
        <v>17</v>
      </c>
      <c r="F2" s="1" t="s">
        <v>129</v>
      </c>
      <c r="G2" s="1" t="s">
        <v>56</v>
      </c>
      <c r="H2" s="1" t="s">
        <v>14</v>
      </c>
      <c r="I2" s="1">
        <v>70</v>
      </c>
      <c r="J2" s="1">
        <v>0</v>
      </c>
      <c r="K2" s="1">
        <v>125</v>
      </c>
      <c r="L2" s="1">
        <v>12500</v>
      </c>
      <c r="M2" s="1">
        <v>0</v>
      </c>
      <c r="N2" s="1">
        <v>0</v>
      </c>
      <c r="O2" s="1">
        <v>8750</v>
      </c>
      <c r="P2" s="1" t="s">
        <v>14</v>
      </c>
      <c r="Q2" s="6" t="s">
        <v>129</v>
      </c>
    </row>
    <row r="3" spans="1:17" x14ac:dyDescent="0.4">
      <c r="A3" s="1" t="s">
        <v>57</v>
      </c>
      <c r="B3" s="1" t="s">
        <v>14</v>
      </c>
      <c r="C3" s="1">
        <v>156531</v>
      </c>
      <c r="D3" s="1" t="s">
        <v>15</v>
      </c>
      <c r="E3" s="1" t="s">
        <v>17</v>
      </c>
      <c r="F3" s="1" t="s">
        <v>129</v>
      </c>
      <c r="G3" s="1" t="s">
        <v>56</v>
      </c>
      <c r="H3" s="1" t="s">
        <v>14</v>
      </c>
      <c r="I3" s="1">
        <v>70</v>
      </c>
      <c r="J3" s="1">
        <v>0</v>
      </c>
      <c r="K3" s="1">
        <v>134</v>
      </c>
      <c r="L3" s="1">
        <v>13400</v>
      </c>
      <c r="M3" s="1">
        <v>0</v>
      </c>
      <c r="N3" s="1">
        <v>0</v>
      </c>
      <c r="O3" s="1">
        <v>9380</v>
      </c>
      <c r="P3" s="1" t="s">
        <v>14</v>
      </c>
      <c r="Q3" s="6" t="s">
        <v>129</v>
      </c>
    </row>
    <row r="4" spans="1:17" x14ac:dyDescent="0.4">
      <c r="A4" s="1" t="s">
        <v>60</v>
      </c>
      <c r="B4" s="1" t="s">
        <v>14</v>
      </c>
      <c r="C4" s="1">
        <v>156531</v>
      </c>
      <c r="D4" s="1" t="s">
        <v>15</v>
      </c>
      <c r="E4" s="1" t="s">
        <v>17</v>
      </c>
      <c r="F4" s="1" t="s">
        <v>129</v>
      </c>
      <c r="G4" s="1" t="s">
        <v>56</v>
      </c>
      <c r="H4" s="1" t="s">
        <v>14</v>
      </c>
      <c r="I4" s="1">
        <v>70</v>
      </c>
      <c r="J4" s="1">
        <v>0</v>
      </c>
      <c r="K4" s="1">
        <v>75</v>
      </c>
      <c r="L4" s="1">
        <v>7500</v>
      </c>
      <c r="M4" s="1">
        <v>0</v>
      </c>
      <c r="N4" s="1">
        <v>0</v>
      </c>
      <c r="O4" s="1">
        <v>5250</v>
      </c>
      <c r="P4" s="1" t="s">
        <v>14</v>
      </c>
      <c r="Q4" s="6" t="s">
        <v>129</v>
      </c>
    </row>
    <row r="5" spans="1:17" x14ac:dyDescent="0.4">
      <c r="A5" s="1" t="s">
        <v>61</v>
      </c>
      <c r="B5" s="1" t="s">
        <v>14</v>
      </c>
      <c r="C5" s="1">
        <v>156531</v>
      </c>
      <c r="D5" s="1" t="s">
        <v>15</v>
      </c>
      <c r="E5" s="1" t="s">
        <v>17</v>
      </c>
      <c r="F5" s="1" t="s">
        <v>129</v>
      </c>
      <c r="G5" s="1" t="s">
        <v>56</v>
      </c>
      <c r="H5" s="1" t="s">
        <v>14</v>
      </c>
      <c r="I5" s="1">
        <v>70</v>
      </c>
      <c r="J5" s="1">
        <v>0</v>
      </c>
      <c r="K5" s="1">
        <v>160</v>
      </c>
      <c r="L5" s="1">
        <v>16000</v>
      </c>
      <c r="M5" s="1">
        <v>0</v>
      </c>
      <c r="N5" s="1">
        <v>0</v>
      </c>
      <c r="O5" s="1">
        <v>11200</v>
      </c>
      <c r="P5" s="1" t="s">
        <v>14</v>
      </c>
      <c r="Q5" s="6" t="s">
        <v>129</v>
      </c>
    </row>
    <row r="6" spans="1:17" x14ac:dyDescent="0.4">
      <c r="A6" s="1" t="s">
        <v>62</v>
      </c>
      <c r="B6" s="1" t="s">
        <v>14</v>
      </c>
      <c r="C6" s="1">
        <v>156531</v>
      </c>
      <c r="D6" s="1" t="s">
        <v>15</v>
      </c>
      <c r="E6" s="1" t="s">
        <v>17</v>
      </c>
      <c r="F6" s="1" t="s">
        <v>129</v>
      </c>
      <c r="G6" s="1" t="s">
        <v>56</v>
      </c>
      <c r="H6" s="1" t="s">
        <v>14</v>
      </c>
      <c r="I6" s="1">
        <v>70</v>
      </c>
      <c r="J6" s="1">
        <v>0</v>
      </c>
      <c r="K6" s="1">
        <v>83</v>
      </c>
      <c r="L6" s="1">
        <v>8300</v>
      </c>
      <c r="M6" s="1">
        <v>0</v>
      </c>
      <c r="N6" s="1">
        <v>0</v>
      </c>
      <c r="O6" s="1">
        <v>5810</v>
      </c>
      <c r="P6" s="1" t="s">
        <v>14</v>
      </c>
      <c r="Q6" s="6" t="s">
        <v>129</v>
      </c>
    </row>
    <row r="7" spans="1:17" x14ac:dyDescent="0.4">
      <c r="A7" s="1" t="s">
        <v>64</v>
      </c>
      <c r="B7" s="1" t="s">
        <v>14</v>
      </c>
      <c r="C7" s="1">
        <v>156531</v>
      </c>
      <c r="D7" s="1" t="s">
        <v>15</v>
      </c>
      <c r="E7" s="1" t="s">
        <v>17</v>
      </c>
      <c r="F7" s="1" t="s">
        <v>129</v>
      </c>
      <c r="G7" s="1" t="s">
        <v>56</v>
      </c>
      <c r="H7" s="1" t="s">
        <v>14</v>
      </c>
      <c r="I7" s="1">
        <v>70</v>
      </c>
      <c r="J7" s="1">
        <v>0</v>
      </c>
      <c r="K7" s="1">
        <v>92</v>
      </c>
      <c r="L7" s="1">
        <v>9200</v>
      </c>
      <c r="M7" s="1">
        <v>0</v>
      </c>
      <c r="N7" s="1">
        <v>0</v>
      </c>
      <c r="O7" s="1">
        <v>6440</v>
      </c>
      <c r="P7" s="1" t="s">
        <v>14</v>
      </c>
      <c r="Q7" s="6" t="s">
        <v>129</v>
      </c>
    </row>
    <row r="8" spans="1:17" x14ac:dyDescent="0.4">
      <c r="A8" s="1" t="s">
        <v>66</v>
      </c>
      <c r="B8" s="1" t="s">
        <v>14</v>
      </c>
      <c r="C8" s="1">
        <v>156531</v>
      </c>
      <c r="D8" s="1" t="s">
        <v>15</v>
      </c>
      <c r="E8" s="1" t="s">
        <v>17</v>
      </c>
      <c r="F8" s="1" t="s">
        <v>129</v>
      </c>
      <c r="G8" s="1" t="s">
        <v>56</v>
      </c>
      <c r="H8" s="1" t="s">
        <v>14</v>
      </c>
      <c r="I8" s="1">
        <v>70</v>
      </c>
      <c r="J8" s="1">
        <v>0</v>
      </c>
      <c r="K8" s="1">
        <v>169</v>
      </c>
      <c r="L8" s="1">
        <v>16900</v>
      </c>
      <c r="M8" s="1">
        <v>0</v>
      </c>
      <c r="N8" s="1">
        <v>0</v>
      </c>
      <c r="O8" s="1">
        <v>11830</v>
      </c>
      <c r="P8" s="1" t="s">
        <v>14</v>
      </c>
      <c r="Q8" s="6" t="s">
        <v>129</v>
      </c>
    </row>
    <row r="9" spans="1:17" x14ac:dyDescent="0.4">
      <c r="A9" s="1" t="s">
        <v>67</v>
      </c>
      <c r="B9" s="1" t="s">
        <v>14</v>
      </c>
      <c r="C9" s="1">
        <v>156531</v>
      </c>
      <c r="D9" s="1" t="s">
        <v>15</v>
      </c>
      <c r="E9" s="1" t="s">
        <v>17</v>
      </c>
      <c r="F9" s="1" t="s">
        <v>129</v>
      </c>
      <c r="G9" s="1" t="s">
        <v>56</v>
      </c>
      <c r="H9" s="1" t="s">
        <v>14</v>
      </c>
      <c r="I9" s="1">
        <v>70</v>
      </c>
      <c r="J9" s="1">
        <v>0</v>
      </c>
      <c r="K9" s="1">
        <v>187</v>
      </c>
      <c r="L9" s="1">
        <v>18700</v>
      </c>
      <c r="M9" s="1">
        <v>0</v>
      </c>
      <c r="N9" s="1">
        <v>0</v>
      </c>
      <c r="O9" s="1">
        <v>13090</v>
      </c>
      <c r="P9" s="1" t="s">
        <v>14</v>
      </c>
      <c r="Q9" s="6" t="s">
        <v>129</v>
      </c>
    </row>
    <row r="10" spans="1:17" x14ac:dyDescent="0.4">
      <c r="A10" s="1" t="s">
        <v>68</v>
      </c>
      <c r="B10" s="1" t="s">
        <v>14</v>
      </c>
      <c r="C10" s="1">
        <v>156531</v>
      </c>
      <c r="D10" s="1" t="s">
        <v>15</v>
      </c>
      <c r="E10" s="1" t="s">
        <v>17</v>
      </c>
      <c r="F10" s="1" t="s">
        <v>129</v>
      </c>
      <c r="G10" s="1" t="s">
        <v>56</v>
      </c>
      <c r="H10" s="1" t="s">
        <v>14</v>
      </c>
      <c r="I10" s="1">
        <v>70</v>
      </c>
      <c r="J10" s="1">
        <v>0</v>
      </c>
      <c r="K10" s="1">
        <v>148</v>
      </c>
      <c r="L10" s="1">
        <v>14800</v>
      </c>
      <c r="M10" s="1">
        <v>0</v>
      </c>
      <c r="N10" s="1">
        <v>0</v>
      </c>
      <c r="O10" s="1">
        <v>10360</v>
      </c>
      <c r="P10" s="1" t="s">
        <v>14</v>
      </c>
      <c r="Q10" s="6" t="s">
        <v>129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6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6.796875" bestFit="1" customWidth="1"/>
    <col min="7" max="7" width="13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57</v>
      </c>
      <c r="B2" s="1" t="s">
        <v>14</v>
      </c>
      <c r="C2" s="1">
        <v>152149</v>
      </c>
      <c r="D2" s="1" t="s">
        <v>15</v>
      </c>
      <c r="E2" s="1" t="s">
        <v>17</v>
      </c>
      <c r="F2" s="1" t="s">
        <v>130</v>
      </c>
      <c r="G2" s="1" t="s">
        <v>58</v>
      </c>
      <c r="H2" s="1" t="s">
        <v>14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14</v>
      </c>
      <c r="Q2" s="6" t="s">
        <v>130</v>
      </c>
    </row>
    <row r="3" spans="1:17" x14ac:dyDescent="0.4">
      <c r="A3" s="1" t="s">
        <v>60</v>
      </c>
      <c r="B3" s="1" t="s">
        <v>14</v>
      </c>
      <c r="C3" s="1">
        <v>152149</v>
      </c>
      <c r="D3" s="1" t="s">
        <v>15</v>
      </c>
      <c r="E3" s="1" t="s">
        <v>17</v>
      </c>
      <c r="F3" s="1" t="s">
        <v>130</v>
      </c>
      <c r="G3" s="1" t="s">
        <v>58</v>
      </c>
      <c r="H3" s="1" t="s">
        <v>14</v>
      </c>
      <c r="I3" s="1">
        <v>70</v>
      </c>
      <c r="J3" s="1">
        <v>0</v>
      </c>
      <c r="K3" s="1">
        <v>10</v>
      </c>
      <c r="L3" s="1">
        <v>1000</v>
      </c>
      <c r="M3" s="1">
        <v>0</v>
      </c>
      <c r="N3" s="1">
        <v>0</v>
      </c>
      <c r="O3" s="1">
        <v>700</v>
      </c>
      <c r="P3" s="1" t="s">
        <v>14</v>
      </c>
      <c r="Q3" s="6" t="s">
        <v>130</v>
      </c>
    </row>
    <row r="4" spans="1:17" x14ac:dyDescent="0.4">
      <c r="A4" s="1" t="s">
        <v>61</v>
      </c>
      <c r="B4" s="1" t="s">
        <v>14</v>
      </c>
      <c r="C4" s="1">
        <v>152149</v>
      </c>
      <c r="D4" s="1" t="s">
        <v>15</v>
      </c>
      <c r="E4" s="1" t="s">
        <v>17</v>
      </c>
      <c r="F4" s="1" t="s">
        <v>130</v>
      </c>
      <c r="G4" s="1" t="s">
        <v>58</v>
      </c>
      <c r="H4" s="1" t="s">
        <v>14</v>
      </c>
      <c r="I4" s="1">
        <v>70</v>
      </c>
      <c r="J4" s="1">
        <v>0</v>
      </c>
      <c r="K4" s="1">
        <v>1</v>
      </c>
      <c r="L4" s="1">
        <v>100</v>
      </c>
      <c r="M4" s="1">
        <v>0</v>
      </c>
      <c r="N4" s="1">
        <v>0</v>
      </c>
      <c r="O4" s="1">
        <v>70</v>
      </c>
      <c r="P4" s="1" t="s">
        <v>14</v>
      </c>
      <c r="Q4" s="6" t="s">
        <v>130</v>
      </c>
    </row>
    <row r="5" spans="1:17" x14ac:dyDescent="0.4">
      <c r="A5" s="1" t="s">
        <v>64</v>
      </c>
      <c r="B5" s="1" t="s">
        <v>14</v>
      </c>
      <c r="C5" s="1">
        <v>152149</v>
      </c>
      <c r="D5" s="1" t="s">
        <v>15</v>
      </c>
      <c r="E5" s="1" t="s">
        <v>17</v>
      </c>
      <c r="F5" s="1" t="s">
        <v>130</v>
      </c>
      <c r="G5" s="1" t="s">
        <v>58</v>
      </c>
      <c r="H5" s="1" t="s">
        <v>14</v>
      </c>
      <c r="I5" s="1">
        <v>70</v>
      </c>
      <c r="J5" s="1">
        <v>0</v>
      </c>
      <c r="K5" s="1">
        <v>2</v>
      </c>
      <c r="L5" s="1">
        <v>200</v>
      </c>
      <c r="M5" s="1">
        <v>0</v>
      </c>
      <c r="N5" s="1">
        <v>0</v>
      </c>
      <c r="O5" s="1">
        <v>140</v>
      </c>
      <c r="P5" s="1" t="s">
        <v>14</v>
      </c>
      <c r="Q5" s="6" t="s">
        <v>130</v>
      </c>
    </row>
    <row r="6" spans="1:17" x14ac:dyDescent="0.4">
      <c r="A6" s="1" t="s">
        <v>67</v>
      </c>
      <c r="B6" s="1" t="s">
        <v>14</v>
      </c>
      <c r="C6" s="1">
        <v>152149</v>
      </c>
      <c r="D6" s="1" t="s">
        <v>15</v>
      </c>
      <c r="E6" s="1" t="s">
        <v>17</v>
      </c>
      <c r="F6" s="1" t="s">
        <v>130</v>
      </c>
      <c r="G6" s="1" t="s">
        <v>58</v>
      </c>
      <c r="H6" s="1" t="s">
        <v>14</v>
      </c>
      <c r="I6" s="1">
        <v>70</v>
      </c>
      <c r="J6" s="1">
        <v>0</v>
      </c>
      <c r="K6" s="1">
        <v>15</v>
      </c>
      <c r="L6" s="1">
        <v>1500</v>
      </c>
      <c r="M6" s="1">
        <v>0</v>
      </c>
      <c r="N6" s="1">
        <v>0</v>
      </c>
      <c r="O6" s="1">
        <v>1050</v>
      </c>
      <c r="P6" s="1" t="s">
        <v>14</v>
      </c>
      <c r="Q6" s="6" t="s">
        <v>130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6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10.3984375" bestFit="1" customWidth="1"/>
    <col min="7" max="7" width="13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7" width="10.398437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57</v>
      </c>
      <c r="B2" s="1" t="s">
        <v>14</v>
      </c>
      <c r="C2" s="1">
        <v>152150</v>
      </c>
      <c r="D2" s="1" t="s">
        <v>15</v>
      </c>
      <c r="E2" s="1" t="s">
        <v>17</v>
      </c>
      <c r="F2" s="1" t="s">
        <v>131</v>
      </c>
      <c r="G2" s="1" t="s">
        <v>2</v>
      </c>
      <c r="H2" s="1" t="s">
        <v>14</v>
      </c>
      <c r="I2" s="1">
        <v>70</v>
      </c>
      <c r="J2" s="1">
        <v>0</v>
      </c>
      <c r="K2" s="1">
        <v>4</v>
      </c>
      <c r="L2" s="1">
        <v>400</v>
      </c>
      <c r="M2" s="1">
        <v>0</v>
      </c>
      <c r="N2" s="1">
        <v>0</v>
      </c>
      <c r="O2" s="1">
        <v>280</v>
      </c>
      <c r="P2" s="1" t="s">
        <v>14</v>
      </c>
      <c r="Q2" s="6" t="s">
        <v>131</v>
      </c>
    </row>
    <row r="3" spans="1:17" x14ac:dyDescent="0.4">
      <c r="A3" s="1" t="s">
        <v>64</v>
      </c>
      <c r="B3" s="1" t="s">
        <v>14</v>
      </c>
      <c r="C3" s="1">
        <v>152150</v>
      </c>
      <c r="D3" s="1" t="s">
        <v>15</v>
      </c>
      <c r="E3" s="1" t="s">
        <v>17</v>
      </c>
      <c r="F3" s="1" t="s">
        <v>131</v>
      </c>
      <c r="G3" s="1" t="s">
        <v>2</v>
      </c>
      <c r="H3" s="1" t="s">
        <v>14</v>
      </c>
      <c r="I3" s="1">
        <v>70</v>
      </c>
      <c r="J3" s="1">
        <v>0</v>
      </c>
      <c r="K3" s="1">
        <v>91</v>
      </c>
      <c r="L3" s="1">
        <v>9100</v>
      </c>
      <c r="M3" s="1">
        <v>0</v>
      </c>
      <c r="N3" s="1">
        <v>0</v>
      </c>
      <c r="O3" s="1">
        <v>6370</v>
      </c>
      <c r="P3" s="1" t="s">
        <v>14</v>
      </c>
      <c r="Q3" s="6" t="s">
        <v>131</v>
      </c>
    </row>
    <row r="4" spans="1:17" x14ac:dyDescent="0.4">
      <c r="A4" s="1" t="s">
        <v>66</v>
      </c>
      <c r="B4" s="1" t="s">
        <v>14</v>
      </c>
      <c r="C4" s="1">
        <v>152150</v>
      </c>
      <c r="D4" s="1" t="s">
        <v>15</v>
      </c>
      <c r="E4" s="1" t="s">
        <v>17</v>
      </c>
      <c r="F4" s="1" t="s">
        <v>131</v>
      </c>
      <c r="G4" s="1" t="s">
        <v>2</v>
      </c>
      <c r="H4" s="1" t="s">
        <v>14</v>
      </c>
      <c r="I4" s="1">
        <v>70</v>
      </c>
      <c r="J4" s="1">
        <v>0</v>
      </c>
      <c r="K4" s="1">
        <v>84</v>
      </c>
      <c r="L4" s="1">
        <v>8400</v>
      </c>
      <c r="M4" s="1">
        <v>0</v>
      </c>
      <c r="N4" s="1">
        <v>0</v>
      </c>
      <c r="O4" s="1">
        <v>5880</v>
      </c>
      <c r="P4" s="1" t="s">
        <v>14</v>
      </c>
      <c r="Q4" s="6" t="s">
        <v>131</v>
      </c>
    </row>
    <row r="5" spans="1:17" x14ac:dyDescent="0.4">
      <c r="A5" s="1" t="s">
        <v>67</v>
      </c>
      <c r="B5" s="1" t="s">
        <v>14</v>
      </c>
      <c r="C5" s="1">
        <v>152150</v>
      </c>
      <c r="D5" s="1" t="s">
        <v>15</v>
      </c>
      <c r="E5" s="1" t="s">
        <v>17</v>
      </c>
      <c r="F5" s="1" t="s">
        <v>131</v>
      </c>
      <c r="G5" s="1" t="s">
        <v>2</v>
      </c>
      <c r="H5" s="1" t="s">
        <v>14</v>
      </c>
      <c r="I5" s="1">
        <v>70</v>
      </c>
      <c r="J5" s="1">
        <v>0</v>
      </c>
      <c r="K5" s="1">
        <v>50</v>
      </c>
      <c r="L5" s="1">
        <v>5000</v>
      </c>
      <c r="M5" s="1">
        <v>0</v>
      </c>
      <c r="N5" s="1">
        <v>0</v>
      </c>
      <c r="O5" s="1">
        <v>3500</v>
      </c>
      <c r="P5" s="1" t="s">
        <v>14</v>
      </c>
      <c r="Q5" s="6" t="s">
        <v>131</v>
      </c>
    </row>
    <row r="6" spans="1:17" x14ac:dyDescent="0.4">
      <c r="A6" s="1" t="s">
        <v>75</v>
      </c>
      <c r="B6" s="1" t="s">
        <v>14</v>
      </c>
      <c r="C6" s="1">
        <v>152150</v>
      </c>
      <c r="D6" s="1" t="s">
        <v>15</v>
      </c>
      <c r="E6" s="1" t="s">
        <v>17</v>
      </c>
      <c r="F6" s="1" t="s">
        <v>131</v>
      </c>
      <c r="G6" s="1" t="s">
        <v>2</v>
      </c>
      <c r="H6" s="1" t="s">
        <v>14</v>
      </c>
      <c r="I6" s="1">
        <v>70</v>
      </c>
      <c r="J6" s="1">
        <v>0</v>
      </c>
      <c r="K6" s="1">
        <v>10</v>
      </c>
      <c r="L6" s="1">
        <v>1000</v>
      </c>
      <c r="M6" s="1">
        <v>0</v>
      </c>
      <c r="N6" s="1">
        <v>0</v>
      </c>
      <c r="O6" s="1">
        <v>700</v>
      </c>
      <c r="P6" s="1" t="s">
        <v>14</v>
      </c>
      <c r="Q6" s="6" t="s">
        <v>131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5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9.199218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57</v>
      </c>
      <c r="B2" s="1" t="s">
        <v>14</v>
      </c>
      <c r="C2" s="1">
        <v>154677</v>
      </c>
      <c r="D2" s="1" t="s">
        <v>15</v>
      </c>
      <c r="E2" s="1" t="s">
        <v>25</v>
      </c>
      <c r="F2" s="1" t="s">
        <v>116</v>
      </c>
      <c r="G2" s="1" t="s">
        <v>26</v>
      </c>
      <c r="H2" s="1" t="s">
        <v>14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  <c r="P2" s="1" t="s">
        <v>14</v>
      </c>
      <c r="Q2" s="6" t="s">
        <v>116</v>
      </c>
    </row>
    <row r="3" spans="1:17" x14ac:dyDescent="0.4">
      <c r="A3" s="1" t="s">
        <v>67</v>
      </c>
      <c r="B3" s="1" t="s">
        <v>14</v>
      </c>
      <c r="C3" s="1">
        <v>154677</v>
      </c>
      <c r="D3" s="1" t="s">
        <v>15</v>
      </c>
      <c r="E3" s="1" t="s">
        <v>25</v>
      </c>
      <c r="F3" s="1" t="s">
        <v>116</v>
      </c>
      <c r="G3" s="1" t="s">
        <v>26</v>
      </c>
      <c r="H3" s="1" t="s">
        <v>14</v>
      </c>
      <c r="I3" s="1">
        <v>70</v>
      </c>
      <c r="J3" s="1">
        <v>0</v>
      </c>
      <c r="K3" s="1">
        <v>10</v>
      </c>
      <c r="L3" s="1">
        <v>1000</v>
      </c>
      <c r="M3" s="1">
        <v>0</v>
      </c>
      <c r="N3" s="1">
        <v>0</v>
      </c>
      <c r="O3" s="1">
        <v>700</v>
      </c>
      <c r="P3" s="1" t="s">
        <v>14</v>
      </c>
      <c r="Q3" s="6" t="s">
        <v>116</v>
      </c>
    </row>
    <row r="4" spans="1:17" x14ac:dyDescent="0.4">
      <c r="A4" s="1" t="s">
        <v>94</v>
      </c>
      <c r="B4" s="1" t="s">
        <v>14</v>
      </c>
      <c r="C4" s="1">
        <v>154677</v>
      </c>
      <c r="D4" s="1" t="s">
        <v>15</v>
      </c>
      <c r="E4" s="1" t="s">
        <v>25</v>
      </c>
      <c r="F4" s="1" t="s">
        <v>116</v>
      </c>
      <c r="G4" s="1" t="s">
        <v>26</v>
      </c>
      <c r="H4" s="1" t="s">
        <v>14</v>
      </c>
      <c r="I4" s="1">
        <v>70</v>
      </c>
      <c r="J4" s="1">
        <v>0</v>
      </c>
      <c r="K4" s="1">
        <v>10</v>
      </c>
      <c r="L4" s="1">
        <v>1000</v>
      </c>
      <c r="M4" s="1">
        <v>0</v>
      </c>
      <c r="N4" s="1">
        <v>0</v>
      </c>
      <c r="O4" s="1">
        <v>700</v>
      </c>
      <c r="P4" s="1" t="s">
        <v>14</v>
      </c>
      <c r="Q4" s="6" t="s">
        <v>116</v>
      </c>
    </row>
    <row r="5" spans="1:17" x14ac:dyDescent="0.4">
      <c r="A5" s="1" t="s">
        <v>96</v>
      </c>
      <c r="B5" s="1" t="s">
        <v>14</v>
      </c>
      <c r="C5" s="1">
        <v>154677</v>
      </c>
      <c r="D5" s="1" t="s">
        <v>15</v>
      </c>
      <c r="E5" s="1" t="s">
        <v>25</v>
      </c>
      <c r="F5" s="1" t="s">
        <v>117</v>
      </c>
      <c r="G5" s="1" t="s">
        <v>26</v>
      </c>
      <c r="H5" s="1" t="s">
        <v>14</v>
      </c>
      <c r="I5" s="1">
        <v>70</v>
      </c>
      <c r="J5" s="1">
        <v>0</v>
      </c>
      <c r="K5" s="1">
        <v>9</v>
      </c>
      <c r="L5" s="1">
        <v>900</v>
      </c>
      <c r="M5" s="1">
        <v>0</v>
      </c>
      <c r="N5" s="1">
        <v>0</v>
      </c>
      <c r="O5" s="1">
        <v>630</v>
      </c>
      <c r="P5" s="1" t="s">
        <v>14</v>
      </c>
      <c r="Q5" s="6" t="s">
        <v>116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5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3.19921875" bestFit="1" customWidth="1"/>
    <col min="8" max="10" width="6.796875" bestFit="1" customWidth="1"/>
    <col min="11" max="11" width="12.3984375" bestFit="1" customWidth="1"/>
    <col min="12" max="15" width="8.59765625" bestFit="1" customWidth="1"/>
    <col min="16" max="16" width="6.796875" bestFit="1" customWidth="1"/>
    <col min="17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57</v>
      </c>
      <c r="B2" s="1" t="s">
        <v>14</v>
      </c>
      <c r="C2" s="1">
        <v>155905</v>
      </c>
      <c r="D2" s="1" t="s">
        <v>15</v>
      </c>
      <c r="E2" s="1" t="s">
        <v>25</v>
      </c>
      <c r="F2" s="1" t="s">
        <v>132</v>
      </c>
      <c r="G2" s="1" t="s">
        <v>59</v>
      </c>
      <c r="H2" s="1" t="s">
        <v>46</v>
      </c>
      <c r="I2" s="1">
        <v>70</v>
      </c>
      <c r="J2" s="1">
        <v>0</v>
      </c>
      <c r="K2" s="1">
        <v>6</v>
      </c>
      <c r="L2" s="1">
        <v>600</v>
      </c>
      <c r="M2" s="1">
        <v>0</v>
      </c>
      <c r="N2" s="1">
        <v>0</v>
      </c>
      <c r="O2" s="1">
        <v>420</v>
      </c>
      <c r="P2" s="1" t="s">
        <v>46</v>
      </c>
      <c r="Q2" s="6" t="s">
        <v>138</v>
      </c>
    </row>
    <row r="3" spans="1:17" x14ac:dyDescent="0.4">
      <c r="A3" s="1" t="s">
        <v>89</v>
      </c>
      <c r="B3" s="1" t="s">
        <v>14</v>
      </c>
      <c r="C3" s="1">
        <v>155915</v>
      </c>
      <c r="D3" s="1" t="s">
        <v>15</v>
      </c>
      <c r="E3" s="1" t="s">
        <v>25</v>
      </c>
      <c r="F3" s="1" t="s">
        <v>137</v>
      </c>
      <c r="G3" s="1" t="s">
        <v>37</v>
      </c>
      <c r="H3" s="1" t="s">
        <v>46</v>
      </c>
      <c r="I3" s="1">
        <v>70</v>
      </c>
      <c r="J3" s="1">
        <v>0</v>
      </c>
      <c r="K3" s="1">
        <v>2</v>
      </c>
      <c r="L3" s="1">
        <v>200</v>
      </c>
      <c r="M3" s="1">
        <v>0</v>
      </c>
      <c r="N3" s="1">
        <v>0</v>
      </c>
      <c r="O3" s="1">
        <v>140</v>
      </c>
      <c r="P3" s="1" t="s">
        <v>46</v>
      </c>
      <c r="Q3" s="6" t="s">
        <v>138</v>
      </c>
    </row>
    <row r="4" spans="1:17" x14ac:dyDescent="0.4">
      <c r="A4" s="1" t="s">
        <v>91</v>
      </c>
      <c r="B4" s="1" t="s">
        <v>14</v>
      </c>
      <c r="C4" s="1">
        <v>155915</v>
      </c>
      <c r="D4" s="1" t="s">
        <v>15</v>
      </c>
      <c r="E4" s="1" t="s">
        <v>25</v>
      </c>
      <c r="F4" s="1" t="s">
        <v>137</v>
      </c>
      <c r="G4" s="1" t="s">
        <v>37</v>
      </c>
      <c r="H4" s="1" t="s">
        <v>46</v>
      </c>
      <c r="I4" s="1">
        <v>70</v>
      </c>
      <c r="J4" s="1">
        <v>0</v>
      </c>
      <c r="K4" s="1">
        <v>1</v>
      </c>
      <c r="L4" s="1">
        <v>100</v>
      </c>
      <c r="M4" s="1">
        <v>0</v>
      </c>
      <c r="N4" s="1">
        <v>0</v>
      </c>
      <c r="O4" s="1">
        <v>70</v>
      </c>
      <c r="P4" s="1" t="s">
        <v>46</v>
      </c>
      <c r="Q4" s="6" t="s">
        <v>138</v>
      </c>
    </row>
    <row r="5" spans="1:17" x14ac:dyDescent="0.4">
      <c r="A5" s="1" t="s">
        <v>92</v>
      </c>
      <c r="B5" s="1" t="s">
        <v>14</v>
      </c>
      <c r="C5" s="1">
        <v>155915</v>
      </c>
      <c r="D5" s="1" t="s">
        <v>15</v>
      </c>
      <c r="E5" s="1" t="s">
        <v>25</v>
      </c>
      <c r="F5" s="1" t="s">
        <v>137</v>
      </c>
      <c r="G5" s="1" t="s">
        <v>37</v>
      </c>
      <c r="H5" s="1" t="s">
        <v>46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  <c r="P5" s="1" t="s">
        <v>46</v>
      </c>
      <c r="Q5" s="6" t="s">
        <v>138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8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8.59765625" bestFit="1" customWidth="1"/>
    <col min="7" max="7" width="19.5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60</v>
      </c>
      <c r="B2" s="1" t="s">
        <v>14</v>
      </c>
      <c r="C2" s="1">
        <v>152164</v>
      </c>
      <c r="D2" s="1" t="s">
        <v>15</v>
      </c>
      <c r="E2" s="1" t="s">
        <v>17</v>
      </c>
      <c r="F2" s="1" t="s">
        <v>133</v>
      </c>
      <c r="G2" s="1" t="s">
        <v>19</v>
      </c>
      <c r="H2" s="1" t="s">
        <v>14</v>
      </c>
      <c r="I2" s="1">
        <v>70</v>
      </c>
      <c r="J2" s="1">
        <v>0</v>
      </c>
      <c r="K2" s="1">
        <v>11</v>
      </c>
      <c r="L2" s="1">
        <v>1100</v>
      </c>
      <c r="M2" s="1">
        <v>0</v>
      </c>
      <c r="N2" s="1">
        <v>0</v>
      </c>
      <c r="O2" s="1">
        <v>770</v>
      </c>
      <c r="P2" s="1" t="s">
        <v>14</v>
      </c>
      <c r="Q2" s="6" t="s">
        <v>133</v>
      </c>
    </row>
    <row r="3" spans="1:17" x14ac:dyDescent="0.4">
      <c r="A3" s="1" t="s">
        <v>62</v>
      </c>
      <c r="B3" s="1" t="s">
        <v>14</v>
      </c>
      <c r="C3" s="1">
        <v>152164</v>
      </c>
      <c r="D3" s="1" t="s">
        <v>15</v>
      </c>
      <c r="E3" s="1" t="s">
        <v>17</v>
      </c>
      <c r="F3" s="1" t="s">
        <v>133</v>
      </c>
      <c r="G3" s="1" t="s">
        <v>19</v>
      </c>
      <c r="H3" s="1" t="s">
        <v>14</v>
      </c>
      <c r="I3" s="1">
        <v>70</v>
      </c>
      <c r="J3" s="1">
        <v>0</v>
      </c>
      <c r="K3" s="1">
        <v>9</v>
      </c>
      <c r="L3" s="1">
        <v>900</v>
      </c>
      <c r="M3" s="1">
        <v>0</v>
      </c>
      <c r="N3" s="1">
        <v>0</v>
      </c>
      <c r="O3" s="1">
        <v>630</v>
      </c>
      <c r="P3" s="1" t="s">
        <v>14</v>
      </c>
      <c r="Q3" s="6" t="s">
        <v>133</v>
      </c>
    </row>
    <row r="4" spans="1:17" x14ac:dyDescent="0.4">
      <c r="A4" s="1" t="s">
        <v>64</v>
      </c>
      <c r="B4" s="1" t="s">
        <v>14</v>
      </c>
      <c r="C4" s="1">
        <v>152164</v>
      </c>
      <c r="D4" s="1" t="s">
        <v>15</v>
      </c>
      <c r="E4" s="1" t="s">
        <v>17</v>
      </c>
      <c r="F4" s="1" t="s">
        <v>133</v>
      </c>
      <c r="G4" s="1" t="s">
        <v>19</v>
      </c>
      <c r="H4" s="1" t="s">
        <v>14</v>
      </c>
      <c r="I4" s="1">
        <v>70</v>
      </c>
      <c r="J4" s="1">
        <v>0</v>
      </c>
      <c r="K4" s="1">
        <v>73</v>
      </c>
      <c r="L4" s="1">
        <v>7300</v>
      </c>
      <c r="M4" s="1">
        <v>0</v>
      </c>
      <c r="N4" s="1">
        <v>0</v>
      </c>
      <c r="O4" s="1">
        <v>5110</v>
      </c>
      <c r="P4" s="1" t="s">
        <v>14</v>
      </c>
      <c r="Q4" s="6" t="s">
        <v>133</v>
      </c>
    </row>
    <row r="5" spans="1:17" x14ac:dyDescent="0.4">
      <c r="A5" s="1" t="s">
        <v>66</v>
      </c>
      <c r="B5" s="1" t="s">
        <v>14</v>
      </c>
      <c r="C5" s="1">
        <v>152164</v>
      </c>
      <c r="D5" s="1" t="s">
        <v>15</v>
      </c>
      <c r="E5" s="1" t="s">
        <v>17</v>
      </c>
      <c r="F5" s="1" t="s">
        <v>133</v>
      </c>
      <c r="G5" s="1" t="s">
        <v>19</v>
      </c>
      <c r="H5" s="1" t="s">
        <v>14</v>
      </c>
      <c r="I5" s="1">
        <v>70</v>
      </c>
      <c r="J5" s="1">
        <v>0</v>
      </c>
      <c r="K5" s="1">
        <v>43</v>
      </c>
      <c r="L5" s="1">
        <v>4300</v>
      </c>
      <c r="M5" s="1">
        <v>0</v>
      </c>
      <c r="N5" s="1">
        <v>0</v>
      </c>
      <c r="O5" s="1">
        <v>3010</v>
      </c>
      <c r="P5" s="1" t="s">
        <v>14</v>
      </c>
      <c r="Q5" s="6" t="s">
        <v>133</v>
      </c>
    </row>
    <row r="6" spans="1:17" x14ac:dyDescent="0.4">
      <c r="A6" s="1" t="s">
        <v>67</v>
      </c>
      <c r="B6" s="1" t="s">
        <v>14</v>
      </c>
      <c r="C6" s="1">
        <v>152164</v>
      </c>
      <c r="D6" s="1" t="s">
        <v>15</v>
      </c>
      <c r="E6" s="1" t="s">
        <v>17</v>
      </c>
      <c r="F6" s="1" t="s">
        <v>133</v>
      </c>
      <c r="G6" s="1" t="s">
        <v>19</v>
      </c>
      <c r="H6" s="1" t="s">
        <v>14</v>
      </c>
      <c r="I6" s="1">
        <v>70</v>
      </c>
      <c r="J6" s="1">
        <v>0</v>
      </c>
      <c r="K6" s="1">
        <v>21</v>
      </c>
      <c r="L6" s="1">
        <v>2100</v>
      </c>
      <c r="M6" s="1">
        <v>0</v>
      </c>
      <c r="N6" s="1">
        <v>0</v>
      </c>
      <c r="O6" s="1">
        <v>1470</v>
      </c>
      <c r="P6" s="1" t="s">
        <v>14</v>
      </c>
      <c r="Q6" s="6" t="s">
        <v>133</v>
      </c>
    </row>
    <row r="7" spans="1:17" x14ac:dyDescent="0.4">
      <c r="A7" s="1" t="s">
        <v>68</v>
      </c>
      <c r="B7" s="1" t="s">
        <v>14</v>
      </c>
      <c r="C7" s="1">
        <v>152164</v>
      </c>
      <c r="D7" s="1" t="s">
        <v>15</v>
      </c>
      <c r="E7" s="1" t="s">
        <v>17</v>
      </c>
      <c r="F7" s="1" t="s">
        <v>133</v>
      </c>
      <c r="G7" s="1" t="s">
        <v>19</v>
      </c>
      <c r="H7" s="1" t="s">
        <v>14</v>
      </c>
      <c r="I7" s="1">
        <v>70</v>
      </c>
      <c r="J7" s="1">
        <v>0</v>
      </c>
      <c r="K7" s="1">
        <v>4</v>
      </c>
      <c r="L7" s="1">
        <v>400</v>
      </c>
      <c r="M7" s="1">
        <v>0</v>
      </c>
      <c r="N7" s="1">
        <v>0</v>
      </c>
      <c r="O7" s="1">
        <v>280</v>
      </c>
      <c r="P7" s="1" t="s">
        <v>14</v>
      </c>
      <c r="Q7" s="6" t="s">
        <v>133</v>
      </c>
    </row>
    <row r="8" spans="1:17" x14ac:dyDescent="0.4">
      <c r="A8" s="1" t="s">
        <v>94</v>
      </c>
      <c r="B8" s="1" t="s">
        <v>14</v>
      </c>
      <c r="C8" s="1">
        <v>152164</v>
      </c>
      <c r="D8" s="1" t="s">
        <v>15</v>
      </c>
      <c r="E8" s="1" t="s">
        <v>17</v>
      </c>
      <c r="F8" s="1" t="s">
        <v>133</v>
      </c>
      <c r="G8" s="1" t="s">
        <v>19</v>
      </c>
      <c r="H8" s="1" t="s">
        <v>14</v>
      </c>
      <c r="I8" s="1">
        <v>70</v>
      </c>
      <c r="J8" s="1">
        <v>0</v>
      </c>
      <c r="K8" s="1">
        <v>10</v>
      </c>
      <c r="L8" s="1">
        <v>1000</v>
      </c>
      <c r="M8" s="1">
        <v>0</v>
      </c>
      <c r="N8" s="1">
        <v>0</v>
      </c>
      <c r="O8" s="1">
        <v>700</v>
      </c>
      <c r="P8" s="1" t="s">
        <v>14</v>
      </c>
      <c r="Q8" s="6" t="s">
        <v>133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11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25.39843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64</v>
      </c>
      <c r="B2" s="1" t="s">
        <v>14</v>
      </c>
      <c r="C2" s="1">
        <v>156349</v>
      </c>
      <c r="D2" s="1" t="s">
        <v>15</v>
      </c>
      <c r="E2" s="1" t="s">
        <v>0</v>
      </c>
      <c r="F2" s="1" t="s">
        <v>134</v>
      </c>
      <c r="G2" s="1" t="s">
        <v>65</v>
      </c>
      <c r="H2" s="1" t="s">
        <v>14</v>
      </c>
      <c r="I2" s="1">
        <v>70</v>
      </c>
      <c r="J2" s="1">
        <v>0</v>
      </c>
      <c r="K2" s="1">
        <v>21</v>
      </c>
      <c r="L2" s="1">
        <v>2100</v>
      </c>
      <c r="M2" s="1">
        <v>0</v>
      </c>
      <c r="N2" s="1">
        <v>0</v>
      </c>
      <c r="O2" s="1">
        <v>1470</v>
      </c>
      <c r="P2" s="1" t="s">
        <v>14</v>
      </c>
      <c r="Q2" s="6" t="s">
        <v>134</v>
      </c>
    </row>
    <row r="3" spans="1:17" x14ac:dyDescent="0.4">
      <c r="A3" s="1" t="s">
        <v>66</v>
      </c>
      <c r="B3" s="1" t="s">
        <v>14</v>
      </c>
      <c r="C3" s="1">
        <v>156349</v>
      </c>
      <c r="D3" s="1" t="s">
        <v>15</v>
      </c>
      <c r="E3" s="1" t="s">
        <v>0</v>
      </c>
      <c r="F3" s="1" t="s">
        <v>134</v>
      </c>
      <c r="G3" s="1" t="s">
        <v>65</v>
      </c>
      <c r="H3" s="1" t="s">
        <v>14</v>
      </c>
      <c r="I3" s="1">
        <v>70</v>
      </c>
      <c r="J3" s="1">
        <v>0</v>
      </c>
      <c r="K3" s="1">
        <v>18</v>
      </c>
      <c r="L3" s="1">
        <v>1800</v>
      </c>
      <c r="M3" s="1">
        <v>0</v>
      </c>
      <c r="N3" s="1">
        <v>0</v>
      </c>
      <c r="O3" s="1">
        <v>1260</v>
      </c>
      <c r="P3" s="1" t="s">
        <v>14</v>
      </c>
      <c r="Q3" s="6" t="s">
        <v>134</v>
      </c>
    </row>
    <row r="4" spans="1:17" x14ac:dyDescent="0.4">
      <c r="A4" s="1" t="s">
        <v>67</v>
      </c>
      <c r="B4" s="1" t="s">
        <v>14</v>
      </c>
      <c r="C4" s="1">
        <v>156349</v>
      </c>
      <c r="D4" s="1" t="s">
        <v>15</v>
      </c>
      <c r="E4" s="1" t="s">
        <v>0</v>
      </c>
      <c r="F4" s="1" t="s">
        <v>134</v>
      </c>
      <c r="G4" s="1" t="s">
        <v>65</v>
      </c>
      <c r="H4" s="1" t="s">
        <v>14</v>
      </c>
      <c r="I4" s="1">
        <v>70</v>
      </c>
      <c r="J4" s="1">
        <v>0</v>
      </c>
      <c r="K4" s="1">
        <v>18</v>
      </c>
      <c r="L4" s="1">
        <v>1800</v>
      </c>
      <c r="M4" s="1">
        <v>0</v>
      </c>
      <c r="N4" s="1">
        <v>0</v>
      </c>
      <c r="O4" s="1">
        <v>1260</v>
      </c>
      <c r="P4" s="1" t="s">
        <v>14</v>
      </c>
      <c r="Q4" s="6" t="s">
        <v>134</v>
      </c>
    </row>
    <row r="5" spans="1:17" x14ac:dyDescent="0.4">
      <c r="A5" s="1" t="s">
        <v>68</v>
      </c>
      <c r="B5" s="1" t="s">
        <v>14</v>
      </c>
      <c r="C5" s="1">
        <v>156349</v>
      </c>
      <c r="D5" s="1" t="s">
        <v>15</v>
      </c>
      <c r="E5" s="1" t="s">
        <v>0</v>
      </c>
      <c r="F5" s="1" t="s">
        <v>134</v>
      </c>
      <c r="G5" s="1" t="s">
        <v>65</v>
      </c>
      <c r="H5" s="1" t="s">
        <v>14</v>
      </c>
      <c r="I5" s="1">
        <v>70</v>
      </c>
      <c r="J5" s="1">
        <v>0</v>
      </c>
      <c r="K5" s="1">
        <v>26</v>
      </c>
      <c r="L5" s="1">
        <v>2600</v>
      </c>
      <c r="M5" s="1">
        <v>0</v>
      </c>
      <c r="N5" s="1">
        <v>0</v>
      </c>
      <c r="O5" s="1">
        <v>1820</v>
      </c>
      <c r="P5" s="1" t="s">
        <v>14</v>
      </c>
      <c r="Q5" s="6" t="s">
        <v>134</v>
      </c>
    </row>
    <row r="6" spans="1:17" x14ac:dyDescent="0.4">
      <c r="A6" s="1" t="s">
        <v>70</v>
      </c>
      <c r="B6" s="1" t="s">
        <v>14</v>
      </c>
      <c r="C6" s="1">
        <v>156349</v>
      </c>
      <c r="D6" s="1" t="s">
        <v>15</v>
      </c>
      <c r="E6" s="1" t="s">
        <v>0</v>
      </c>
      <c r="F6" s="1" t="s">
        <v>134</v>
      </c>
      <c r="G6" s="1" t="s">
        <v>65</v>
      </c>
      <c r="H6" s="1" t="s">
        <v>14</v>
      </c>
      <c r="I6" s="1">
        <v>70</v>
      </c>
      <c r="J6" s="1">
        <v>0</v>
      </c>
      <c r="K6" s="1">
        <v>27</v>
      </c>
      <c r="L6" s="1">
        <v>2700</v>
      </c>
      <c r="M6" s="1">
        <v>0</v>
      </c>
      <c r="N6" s="1">
        <v>0</v>
      </c>
      <c r="O6" s="1">
        <v>1890</v>
      </c>
      <c r="P6" s="1" t="s">
        <v>14</v>
      </c>
      <c r="Q6" s="6" t="s">
        <v>134</v>
      </c>
    </row>
    <row r="7" spans="1:17" x14ac:dyDescent="0.4">
      <c r="A7" s="1" t="s">
        <v>71</v>
      </c>
      <c r="B7" s="1" t="s">
        <v>14</v>
      </c>
      <c r="C7" s="1">
        <v>156349</v>
      </c>
      <c r="D7" s="1" t="s">
        <v>15</v>
      </c>
      <c r="E7" s="1" t="s">
        <v>0</v>
      </c>
      <c r="F7" s="1" t="s">
        <v>134</v>
      </c>
      <c r="G7" s="1" t="s">
        <v>65</v>
      </c>
      <c r="H7" s="1" t="s">
        <v>14</v>
      </c>
      <c r="I7" s="1">
        <v>70</v>
      </c>
      <c r="J7" s="1">
        <v>0</v>
      </c>
      <c r="K7" s="1">
        <v>15</v>
      </c>
      <c r="L7" s="1">
        <v>1500</v>
      </c>
      <c r="M7" s="1">
        <v>0</v>
      </c>
      <c r="N7" s="1">
        <v>0</v>
      </c>
      <c r="O7" s="1">
        <v>1050</v>
      </c>
      <c r="P7" s="1" t="s">
        <v>14</v>
      </c>
      <c r="Q7" s="6" t="s">
        <v>134</v>
      </c>
    </row>
    <row r="8" spans="1:17" x14ac:dyDescent="0.4">
      <c r="A8" s="1" t="s">
        <v>72</v>
      </c>
      <c r="B8" s="1" t="s">
        <v>14</v>
      </c>
      <c r="C8" s="1">
        <v>156349</v>
      </c>
      <c r="D8" s="1" t="s">
        <v>15</v>
      </c>
      <c r="E8" s="1" t="s">
        <v>0</v>
      </c>
      <c r="F8" s="1" t="s">
        <v>134</v>
      </c>
      <c r="G8" s="1" t="s">
        <v>65</v>
      </c>
      <c r="H8" s="1" t="s">
        <v>14</v>
      </c>
      <c r="I8" s="1">
        <v>70</v>
      </c>
      <c r="J8" s="1">
        <v>0</v>
      </c>
      <c r="K8" s="1">
        <v>25</v>
      </c>
      <c r="L8" s="1">
        <v>2500</v>
      </c>
      <c r="M8" s="1">
        <v>0</v>
      </c>
      <c r="N8" s="1">
        <v>0</v>
      </c>
      <c r="O8" s="1">
        <v>1750</v>
      </c>
      <c r="P8" s="1" t="s">
        <v>14</v>
      </c>
      <c r="Q8" s="6" t="s">
        <v>134</v>
      </c>
    </row>
    <row r="9" spans="1:17" x14ac:dyDescent="0.4">
      <c r="A9" s="1" t="s">
        <v>73</v>
      </c>
      <c r="B9" s="1" t="s">
        <v>14</v>
      </c>
      <c r="C9" s="1">
        <v>156349</v>
      </c>
      <c r="D9" s="1" t="s">
        <v>15</v>
      </c>
      <c r="E9" s="1" t="s">
        <v>0</v>
      </c>
      <c r="F9" s="1" t="s">
        <v>134</v>
      </c>
      <c r="G9" s="1" t="s">
        <v>65</v>
      </c>
      <c r="H9" s="1" t="s">
        <v>14</v>
      </c>
      <c r="I9" s="1">
        <v>70</v>
      </c>
      <c r="J9" s="1">
        <v>0</v>
      </c>
      <c r="K9" s="1">
        <v>2</v>
      </c>
      <c r="L9" s="1">
        <v>200</v>
      </c>
      <c r="M9" s="1">
        <v>0</v>
      </c>
      <c r="N9" s="1">
        <v>0</v>
      </c>
      <c r="O9" s="1">
        <v>140</v>
      </c>
      <c r="P9" s="1" t="s">
        <v>14</v>
      </c>
      <c r="Q9" s="6" t="s">
        <v>134</v>
      </c>
    </row>
    <row r="10" spans="1:17" x14ac:dyDescent="0.4">
      <c r="A10" s="1" t="s">
        <v>74</v>
      </c>
      <c r="B10" s="1" t="s">
        <v>14</v>
      </c>
      <c r="C10" s="1">
        <v>156349</v>
      </c>
      <c r="D10" s="1" t="s">
        <v>15</v>
      </c>
      <c r="E10" s="1" t="s">
        <v>0</v>
      </c>
      <c r="F10" s="1" t="s">
        <v>134</v>
      </c>
      <c r="G10" s="1" t="s">
        <v>65</v>
      </c>
      <c r="H10" s="1" t="s">
        <v>14</v>
      </c>
      <c r="I10" s="1">
        <v>70</v>
      </c>
      <c r="J10" s="1">
        <v>0</v>
      </c>
      <c r="K10" s="1">
        <v>15</v>
      </c>
      <c r="L10" s="1">
        <v>1500</v>
      </c>
      <c r="M10" s="1">
        <v>0</v>
      </c>
      <c r="N10" s="1">
        <v>0</v>
      </c>
      <c r="O10" s="1">
        <v>1050</v>
      </c>
      <c r="P10" s="1" t="s">
        <v>14</v>
      </c>
      <c r="Q10" s="6" t="s">
        <v>134</v>
      </c>
    </row>
    <row r="11" spans="1:17" x14ac:dyDescent="0.4">
      <c r="A11" s="1" t="s">
        <v>79</v>
      </c>
      <c r="B11" s="1" t="s">
        <v>14</v>
      </c>
      <c r="C11" s="1">
        <v>156349</v>
      </c>
      <c r="D11" s="1" t="s">
        <v>15</v>
      </c>
      <c r="E11" s="1" t="s">
        <v>0</v>
      </c>
      <c r="F11" s="1" t="s">
        <v>134</v>
      </c>
      <c r="G11" s="1" t="s">
        <v>65</v>
      </c>
      <c r="H11" s="1" t="s">
        <v>14</v>
      </c>
      <c r="I11" s="1">
        <v>70</v>
      </c>
      <c r="J11" s="1">
        <v>0</v>
      </c>
      <c r="K11" s="1">
        <v>1</v>
      </c>
      <c r="L11" s="1">
        <v>100</v>
      </c>
      <c r="M11" s="1">
        <v>0</v>
      </c>
      <c r="N11" s="1">
        <v>0</v>
      </c>
      <c r="O11" s="1">
        <v>70</v>
      </c>
      <c r="P11" s="1" t="s">
        <v>14</v>
      </c>
      <c r="Q11" s="6" t="s">
        <v>134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2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1.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68</v>
      </c>
      <c r="B2" s="1" t="s">
        <v>14</v>
      </c>
      <c r="C2" s="1">
        <v>150559</v>
      </c>
      <c r="D2" s="1" t="s">
        <v>15</v>
      </c>
      <c r="E2" s="1" t="s">
        <v>16</v>
      </c>
      <c r="F2" s="1" t="s">
        <v>135</v>
      </c>
      <c r="G2" s="1" t="s">
        <v>69</v>
      </c>
      <c r="H2" s="1" t="s">
        <v>14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14</v>
      </c>
      <c r="Q2" s="6" t="s">
        <v>135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7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6" width="8.59765625" bestFit="1" customWidth="1"/>
    <col min="7" max="7" width="23.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78</v>
      </c>
      <c r="B2" s="1" t="s">
        <v>14</v>
      </c>
      <c r="C2" s="1">
        <v>155494</v>
      </c>
      <c r="D2" s="1" t="s">
        <v>15</v>
      </c>
      <c r="E2" s="1" t="s">
        <v>0</v>
      </c>
      <c r="F2" s="1" t="s">
        <v>118</v>
      </c>
      <c r="G2" s="1" t="s">
        <v>29</v>
      </c>
      <c r="H2" s="1" t="s">
        <v>14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14</v>
      </c>
      <c r="Q2" s="6" t="s">
        <v>118</v>
      </c>
    </row>
    <row r="3" spans="1:17" x14ac:dyDescent="0.4">
      <c r="A3" s="1" t="s">
        <v>79</v>
      </c>
      <c r="B3" s="1" t="s">
        <v>14</v>
      </c>
      <c r="C3" s="1">
        <v>155494</v>
      </c>
      <c r="D3" s="1" t="s">
        <v>15</v>
      </c>
      <c r="E3" s="1" t="s">
        <v>0</v>
      </c>
      <c r="F3" s="1" t="s">
        <v>118</v>
      </c>
      <c r="G3" s="1" t="s">
        <v>29</v>
      </c>
      <c r="H3" s="1" t="s">
        <v>14</v>
      </c>
      <c r="I3" s="1">
        <v>70</v>
      </c>
      <c r="J3" s="1">
        <v>0</v>
      </c>
      <c r="K3" s="1">
        <v>2</v>
      </c>
      <c r="L3" s="1">
        <v>200</v>
      </c>
      <c r="M3" s="1">
        <v>0</v>
      </c>
      <c r="N3" s="1">
        <v>0</v>
      </c>
      <c r="O3" s="1">
        <v>140</v>
      </c>
      <c r="P3" s="1" t="s">
        <v>14</v>
      </c>
      <c r="Q3" s="6" t="s">
        <v>118</v>
      </c>
    </row>
    <row r="4" spans="1:17" x14ac:dyDescent="0.4">
      <c r="A4" s="1" t="s">
        <v>81</v>
      </c>
      <c r="B4" s="1" t="s">
        <v>14</v>
      </c>
      <c r="C4" s="1">
        <v>155494</v>
      </c>
      <c r="D4" s="1" t="s">
        <v>15</v>
      </c>
      <c r="E4" s="1" t="s">
        <v>0</v>
      </c>
      <c r="F4" s="1" t="s">
        <v>118</v>
      </c>
      <c r="G4" s="1" t="s">
        <v>29</v>
      </c>
      <c r="H4" s="1" t="s">
        <v>14</v>
      </c>
      <c r="I4" s="1">
        <v>70</v>
      </c>
      <c r="J4" s="1">
        <v>0</v>
      </c>
      <c r="K4" s="1">
        <v>2</v>
      </c>
      <c r="L4" s="1">
        <v>200</v>
      </c>
      <c r="M4" s="1">
        <v>0</v>
      </c>
      <c r="N4" s="1">
        <v>0</v>
      </c>
      <c r="O4" s="1">
        <v>140</v>
      </c>
      <c r="P4" s="1" t="s">
        <v>14</v>
      </c>
      <c r="Q4" s="6" t="s">
        <v>118</v>
      </c>
    </row>
    <row r="5" spans="1:17" x14ac:dyDescent="0.4">
      <c r="A5" s="1" t="s">
        <v>84</v>
      </c>
      <c r="B5" s="1" t="s">
        <v>14</v>
      </c>
      <c r="C5" s="1">
        <v>155494</v>
      </c>
      <c r="D5" s="1" t="s">
        <v>15</v>
      </c>
      <c r="E5" s="1" t="s">
        <v>0</v>
      </c>
      <c r="F5" s="1" t="s">
        <v>118</v>
      </c>
      <c r="G5" s="1" t="s">
        <v>29</v>
      </c>
      <c r="H5" s="1" t="s">
        <v>14</v>
      </c>
      <c r="I5" s="1">
        <v>70</v>
      </c>
      <c r="J5" s="1">
        <v>0</v>
      </c>
      <c r="K5" s="1">
        <v>2</v>
      </c>
      <c r="L5" s="1">
        <v>200</v>
      </c>
      <c r="M5" s="1">
        <v>0</v>
      </c>
      <c r="N5" s="1">
        <v>0</v>
      </c>
      <c r="O5" s="1">
        <v>140</v>
      </c>
      <c r="P5" s="1" t="s">
        <v>14</v>
      </c>
      <c r="Q5" s="6" t="s">
        <v>118</v>
      </c>
    </row>
    <row r="6" spans="1:17" x14ac:dyDescent="0.4">
      <c r="A6" s="1" t="s">
        <v>86</v>
      </c>
      <c r="B6" s="1" t="s">
        <v>14</v>
      </c>
      <c r="C6" s="1">
        <v>155494</v>
      </c>
      <c r="D6" s="1" t="s">
        <v>15</v>
      </c>
      <c r="E6" s="1" t="s">
        <v>0</v>
      </c>
      <c r="F6" s="1" t="s">
        <v>118</v>
      </c>
      <c r="G6" s="1" t="s">
        <v>29</v>
      </c>
      <c r="H6" s="1" t="s">
        <v>14</v>
      </c>
      <c r="I6" s="1">
        <v>70</v>
      </c>
      <c r="J6" s="1">
        <v>0</v>
      </c>
      <c r="K6" s="1">
        <v>3</v>
      </c>
      <c r="L6" s="1">
        <v>300</v>
      </c>
      <c r="M6" s="1">
        <v>0</v>
      </c>
      <c r="N6" s="1">
        <v>0</v>
      </c>
      <c r="O6" s="1">
        <v>210</v>
      </c>
      <c r="P6" s="1" t="s">
        <v>14</v>
      </c>
      <c r="Q6" s="6" t="s">
        <v>118</v>
      </c>
    </row>
    <row r="7" spans="1:17" x14ac:dyDescent="0.4">
      <c r="A7" s="1" t="s">
        <v>96</v>
      </c>
      <c r="B7" s="1" t="s">
        <v>14</v>
      </c>
      <c r="C7" s="1">
        <v>155494</v>
      </c>
      <c r="D7" s="1" t="s">
        <v>15</v>
      </c>
      <c r="E7" s="1" t="s">
        <v>0</v>
      </c>
      <c r="F7" s="1" t="s">
        <v>119</v>
      </c>
      <c r="G7" s="1" t="s">
        <v>29</v>
      </c>
      <c r="H7" s="1" t="s">
        <v>14</v>
      </c>
      <c r="I7" s="1">
        <v>70</v>
      </c>
      <c r="J7" s="1">
        <v>0</v>
      </c>
      <c r="K7" s="1">
        <v>10</v>
      </c>
      <c r="L7" s="1">
        <v>1000</v>
      </c>
      <c r="M7" s="1">
        <v>0</v>
      </c>
      <c r="N7" s="1">
        <v>0</v>
      </c>
      <c r="O7" s="1">
        <v>700</v>
      </c>
      <c r="P7" s="1" t="s">
        <v>14</v>
      </c>
      <c r="Q7" s="6" t="s">
        <v>118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4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5.89843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79</v>
      </c>
      <c r="B2" s="1" t="s">
        <v>14</v>
      </c>
      <c r="C2" s="1">
        <v>155154</v>
      </c>
      <c r="D2" s="1" t="s">
        <v>15</v>
      </c>
      <c r="E2" s="1" t="s">
        <v>18</v>
      </c>
      <c r="F2" s="1" t="s">
        <v>136</v>
      </c>
      <c r="G2" s="1" t="s">
        <v>80</v>
      </c>
      <c r="H2" s="1" t="s">
        <v>14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14</v>
      </c>
      <c r="Q2" s="6" t="s">
        <v>136</v>
      </c>
    </row>
    <row r="3" spans="1:17" x14ac:dyDescent="0.4">
      <c r="A3" s="1" t="s">
        <v>84</v>
      </c>
      <c r="B3" s="1" t="s">
        <v>14</v>
      </c>
      <c r="C3" s="1">
        <v>155154</v>
      </c>
      <c r="D3" s="1" t="s">
        <v>15</v>
      </c>
      <c r="E3" s="1" t="s">
        <v>18</v>
      </c>
      <c r="F3" s="1" t="s">
        <v>136</v>
      </c>
      <c r="G3" s="1" t="s">
        <v>80</v>
      </c>
      <c r="H3" s="1" t="s">
        <v>14</v>
      </c>
      <c r="I3" s="1">
        <v>70</v>
      </c>
      <c r="J3" s="1">
        <v>0</v>
      </c>
      <c r="K3" s="1">
        <v>34</v>
      </c>
      <c r="L3" s="1">
        <v>3400</v>
      </c>
      <c r="M3" s="1">
        <v>0</v>
      </c>
      <c r="N3" s="1">
        <v>0</v>
      </c>
      <c r="O3" s="1">
        <v>2380</v>
      </c>
      <c r="P3" s="1" t="s">
        <v>14</v>
      </c>
      <c r="Q3" s="6" t="s">
        <v>136</v>
      </c>
    </row>
    <row r="4" spans="1:17" x14ac:dyDescent="0.4">
      <c r="A4" s="1" t="s">
        <v>86</v>
      </c>
      <c r="B4" s="1" t="s">
        <v>14</v>
      </c>
      <c r="C4" s="1">
        <v>155154</v>
      </c>
      <c r="D4" s="1" t="s">
        <v>15</v>
      </c>
      <c r="E4" s="1" t="s">
        <v>18</v>
      </c>
      <c r="F4" s="1" t="s">
        <v>136</v>
      </c>
      <c r="G4" s="1" t="s">
        <v>80</v>
      </c>
      <c r="H4" s="1" t="s">
        <v>14</v>
      </c>
      <c r="I4" s="1">
        <v>70</v>
      </c>
      <c r="J4" s="1">
        <v>0</v>
      </c>
      <c r="K4" s="1">
        <v>6</v>
      </c>
      <c r="L4" s="1">
        <v>600</v>
      </c>
      <c r="M4" s="1">
        <v>0</v>
      </c>
      <c r="N4" s="1">
        <v>0</v>
      </c>
      <c r="O4" s="1">
        <v>420</v>
      </c>
      <c r="P4" s="1" t="s">
        <v>14</v>
      </c>
      <c r="Q4" s="6" t="s">
        <v>136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6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1.0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81</v>
      </c>
      <c r="B2" s="1" t="s">
        <v>14</v>
      </c>
      <c r="C2" s="1">
        <v>151869</v>
      </c>
      <c r="D2" s="1" t="s">
        <v>15</v>
      </c>
      <c r="E2" s="1" t="s">
        <v>16</v>
      </c>
      <c r="F2" s="1" t="s">
        <v>105</v>
      </c>
      <c r="G2" s="1" t="s">
        <v>82</v>
      </c>
      <c r="H2" s="1" t="s">
        <v>14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  <c r="P2" s="1" t="s">
        <v>14</v>
      </c>
      <c r="Q2" s="6" t="s">
        <v>105</v>
      </c>
    </row>
    <row r="3" spans="1:17" x14ac:dyDescent="0.4">
      <c r="A3" s="1" t="s">
        <v>92</v>
      </c>
      <c r="B3" s="1" t="s">
        <v>14</v>
      </c>
      <c r="C3" s="1">
        <v>151856</v>
      </c>
      <c r="D3" s="1" t="s">
        <v>15</v>
      </c>
      <c r="E3" s="1" t="s">
        <v>0</v>
      </c>
      <c r="F3" s="1" t="s">
        <v>105</v>
      </c>
      <c r="G3" s="1" t="s">
        <v>27</v>
      </c>
      <c r="H3" s="1" t="s">
        <v>14</v>
      </c>
      <c r="I3" s="1">
        <v>70</v>
      </c>
      <c r="J3" s="1">
        <v>0</v>
      </c>
      <c r="K3" s="1">
        <v>1</v>
      </c>
      <c r="L3" s="1">
        <v>100</v>
      </c>
      <c r="M3" s="1">
        <v>0</v>
      </c>
      <c r="N3" s="1">
        <v>0</v>
      </c>
      <c r="O3" s="1">
        <v>70</v>
      </c>
      <c r="P3" s="1" t="s">
        <v>14</v>
      </c>
      <c r="Q3" s="6" t="s">
        <v>105</v>
      </c>
    </row>
    <row r="4" spans="1:17" x14ac:dyDescent="0.4">
      <c r="A4" s="1" t="s">
        <v>93</v>
      </c>
      <c r="B4" s="1" t="s">
        <v>14</v>
      </c>
      <c r="C4" s="1">
        <v>151856</v>
      </c>
      <c r="D4" s="1" t="s">
        <v>15</v>
      </c>
      <c r="E4" s="1" t="s">
        <v>0</v>
      </c>
      <c r="F4" s="1" t="s">
        <v>105</v>
      </c>
      <c r="G4" s="1" t="s">
        <v>27</v>
      </c>
      <c r="H4" s="1" t="s">
        <v>14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14</v>
      </c>
      <c r="Q4" s="6" t="s">
        <v>105</v>
      </c>
    </row>
    <row r="5" spans="1:17" x14ac:dyDescent="0.4">
      <c r="A5" s="1" t="s">
        <v>94</v>
      </c>
      <c r="B5" s="1" t="s">
        <v>14</v>
      </c>
      <c r="C5" s="1">
        <v>151856</v>
      </c>
      <c r="D5" s="1" t="s">
        <v>15</v>
      </c>
      <c r="E5" s="1" t="s">
        <v>0</v>
      </c>
      <c r="F5" s="1" t="s">
        <v>105</v>
      </c>
      <c r="G5" s="1" t="s">
        <v>27</v>
      </c>
      <c r="H5" s="1" t="s">
        <v>14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  <c r="P5" s="1" t="s">
        <v>14</v>
      </c>
      <c r="Q5" s="6" t="s">
        <v>105</v>
      </c>
    </row>
    <row r="6" spans="1:17" x14ac:dyDescent="0.4">
      <c r="A6" s="1" t="s">
        <v>95</v>
      </c>
      <c r="B6" s="1" t="s">
        <v>14</v>
      </c>
      <c r="C6" s="1">
        <v>151856</v>
      </c>
      <c r="D6" s="1" t="s">
        <v>15</v>
      </c>
      <c r="E6" s="1" t="s">
        <v>0</v>
      </c>
      <c r="F6" s="1" t="s">
        <v>106</v>
      </c>
      <c r="G6" s="1" t="s">
        <v>27</v>
      </c>
      <c r="H6" s="1" t="s">
        <v>14</v>
      </c>
      <c r="I6" s="1">
        <v>70</v>
      </c>
      <c r="J6" s="1">
        <v>0</v>
      </c>
      <c r="K6" s="1">
        <v>3</v>
      </c>
      <c r="L6" s="1">
        <v>300</v>
      </c>
      <c r="M6" s="1">
        <v>0</v>
      </c>
      <c r="N6" s="1">
        <v>0</v>
      </c>
      <c r="O6" s="1">
        <v>210</v>
      </c>
      <c r="P6" s="1" t="s">
        <v>14</v>
      </c>
      <c r="Q6" s="6" t="s">
        <v>105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7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84</v>
      </c>
      <c r="B2" s="1" t="s">
        <v>14</v>
      </c>
      <c r="C2" s="1">
        <v>156208</v>
      </c>
      <c r="D2" s="1" t="s">
        <v>15</v>
      </c>
      <c r="E2" s="1" t="s">
        <v>0</v>
      </c>
      <c r="F2" s="1" t="s">
        <v>103</v>
      </c>
      <c r="G2" s="1" t="s">
        <v>41</v>
      </c>
      <c r="H2" s="1" t="s">
        <v>14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14</v>
      </c>
      <c r="Q2" s="6" t="s">
        <v>103</v>
      </c>
    </row>
    <row r="3" spans="1:17" x14ac:dyDescent="0.4">
      <c r="A3" s="1" t="s">
        <v>90</v>
      </c>
      <c r="B3" s="1" t="s">
        <v>14</v>
      </c>
      <c r="C3" s="1">
        <v>156208</v>
      </c>
      <c r="D3" s="1" t="s">
        <v>15</v>
      </c>
      <c r="E3" s="1" t="s">
        <v>0</v>
      </c>
      <c r="F3" s="1" t="s">
        <v>103</v>
      </c>
      <c r="G3" s="1" t="s">
        <v>41</v>
      </c>
      <c r="H3" s="1" t="s">
        <v>14</v>
      </c>
      <c r="I3" s="1">
        <v>70</v>
      </c>
      <c r="J3" s="1">
        <v>0</v>
      </c>
      <c r="K3" s="1">
        <v>1</v>
      </c>
      <c r="L3" s="1">
        <v>100</v>
      </c>
      <c r="M3" s="1">
        <v>0</v>
      </c>
      <c r="N3" s="1">
        <v>0</v>
      </c>
      <c r="O3" s="1">
        <v>70</v>
      </c>
      <c r="P3" s="1" t="s">
        <v>14</v>
      </c>
      <c r="Q3" s="6" t="s">
        <v>103</v>
      </c>
    </row>
    <row r="4" spans="1:17" x14ac:dyDescent="0.4">
      <c r="A4" s="1" t="s">
        <v>92</v>
      </c>
      <c r="B4" s="1" t="s">
        <v>14</v>
      </c>
      <c r="C4" s="1">
        <v>156208</v>
      </c>
      <c r="D4" s="1" t="s">
        <v>15</v>
      </c>
      <c r="E4" s="1" t="s">
        <v>0</v>
      </c>
      <c r="F4" s="1" t="s">
        <v>103</v>
      </c>
      <c r="G4" s="1" t="s">
        <v>41</v>
      </c>
      <c r="H4" s="1" t="s">
        <v>14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14</v>
      </c>
      <c r="Q4" s="6" t="s">
        <v>103</v>
      </c>
    </row>
    <row r="5" spans="1:17" x14ac:dyDescent="0.4">
      <c r="A5" s="1" t="s">
        <v>93</v>
      </c>
      <c r="B5" s="1" t="s">
        <v>14</v>
      </c>
      <c r="C5" s="1">
        <v>156208</v>
      </c>
      <c r="D5" s="1" t="s">
        <v>15</v>
      </c>
      <c r="E5" s="1" t="s">
        <v>0</v>
      </c>
      <c r="F5" s="1" t="s">
        <v>103</v>
      </c>
      <c r="G5" s="1" t="s">
        <v>41</v>
      </c>
      <c r="H5" s="1" t="s">
        <v>14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  <c r="P5" s="1" t="s">
        <v>14</v>
      </c>
      <c r="Q5" s="6" t="s">
        <v>103</v>
      </c>
    </row>
    <row r="6" spans="1:17" x14ac:dyDescent="0.4">
      <c r="A6" s="1" t="s">
        <v>94</v>
      </c>
      <c r="B6" s="1" t="s">
        <v>14</v>
      </c>
      <c r="C6" s="1">
        <v>156208</v>
      </c>
      <c r="D6" s="1" t="s">
        <v>15</v>
      </c>
      <c r="E6" s="1" t="s">
        <v>0</v>
      </c>
      <c r="F6" s="1" t="s">
        <v>104</v>
      </c>
      <c r="G6" s="1" t="s">
        <v>41</v>
      </c>
      <c r="H6" s="1" t="s">
        <v>14</v>
      </c>
      <c r="I6" s="1">
        <v>70</v>
      </c>
      <c r="J6" s="1">
        <v>0</v>
      </c>
      <c r="K6" s="1">
        <v>22</v>
      </c>
      <c r="L6" s="1">
        <v>2200</v>
      </c>
      <c r="M6" s="1">
        <v>0</v>
      </c>
      <c r="N6" s="1">
        <v>0</v>
      </c>
      <c r="O6" s="1">
        <v>1540</v>
      </c>
      <c r="P6" s="1" t="s">
        <v>14</v>
      </c>
      <c r="Q6" s="6" t="s">
        <v>103</v>
      </c>
    </row>
    <row r="7" spans="1:17" x14ac:dyDescent="0.4">
      <c r="A7" s="1" t="s">
        <v>95</v>
      </c>
      <c r="B7" s="1" t="s">
        <v>14</v>
      </c>
      <c r="C7" s="1">
        <v>156208</v>
      </c>
      <c r="D7" s="1" t="s">
        <v>15</v>
      </c>
      <c r="E7" s="1" t="s">
        <v>0</v>
      </c>
      <c r="F7" s="1" t="s">
        <v>104</v>
      </c>
      <c r="G7" s="1" t="s">
        <v>41</v>
      </c>
      <c r="H7" s="1" t="s">
        <v>14</v>
      </c>
      <c r="I7" s="1">
        <v>70</v>
      </c>
      <c r="J7" s="1">
        <v>0</v>
      </c>
      <c r="K7" s="1">
        <v>1</v>
      </c>
      <c r="L7" s="1">
        <v>100</v>
      </c>
      <c r="M7" s="1">
        <v>0</v>
      </c>
      <c r="N7" s="1">
        <v>0</v>
      </c>
      <c r="O7" s="1">
        <v>70</v>
      </c>
      <c r="P7" s="1" t="s">
        <v>14</v>
      </c>
      <c r="Q7" s="6" t="s">
        <v>103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Q8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7" width="8.5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8.5976562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90</v>
      </c>
      <c r="B2" s="1" t="s">
        <v>14</v>
      </c>
      <c r="C2" s="1">
        <v>152374</v>
      </c>
      <c r="D2" s="1" t="s">
        <v>15</v>
      </c>
      <c r="E2" s="1" t="s">
        <v>16</v>
      </c>
      <c r="F2" s="1" t="s">
        <v>107</v>
      </c>
      <c r="G2" s="1" t="s">
        <v>20</v>
      </c>
      <c r="H2" s="1" t="s">
        <v>14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14</v>
      </c>
      <c r="Q2" s="6" t="s">
        <v>107</v>
      </c>
    </row>
    <row r="3" spans="1:17" x14ac:dyDescent="0.4">
      <c r="A3" s="1" t="s">
        <v>91</v>
      </c>
      <c r="B3" s="1" t="s">
        <v>14</v>
      </c>
      <c r="C3" s="1">
        <v>152374</v>
      </c>
      <c r="D3" s="1" t="s">
        <v>15</v>
      </c>
      <c r="E3" s="1" t="s">
        <v>16</v>
      </c>
      <c r="F3" s="1" t="s">
        <v>107</v>
      </c>
      <c r="G3" s="1" t="s">
        <v>20</v>
      </c>
      <c r="H3" s="1" t="s">
        <v>14</v>
      </c>
      <c r="I3" s="1">
        <v>70</v>
      </c>
      <c r="J3" s="1">
        <v>0</v>
      </c>
      <c r="K3" s="1">
        <v>2</v>
      </c>
      <c r="L3" s="1">
        <v>200</v>
      </c>
      <c r="M3" s="1">
        <v>0</v>
      </c>
      <c r="N3" s="1">
        <v>0</v>
      </c>
      <c r="O3" s="1">
        <v>140</v>
      </c>
      <c r="P3" s="1" t="s">
        <v>14</v>
      </c>
      <c r="Q3" s="6" t="s">
        <v>107</v>
      </c>
    </row>
    <row r="4" spans="1:17" x14ac:dyDescent="0.4">
      <c r="A4" s="1" t="s">
        <v>92</v>
      </c>
      <c r="B4" s="1" t="s">
        <v>14</v>
      </c>
      <c r="C4" s="1">
        <v>152374</v>
      </c>
      <c r="D4" s="1" t="s">
        <v>15</v>
      </c>
      <c r="E4" s="1" t="s">
        <v>16</v>
      </c>
      <c r="F4" s="1" t="s">
        <v>107</v>
      </c>
      <c r="G4" s="1" t="s">
        <v>20</v>
      </c>
      <c r="H4" s="1" t="s">
        <v>14</v>
      </c>
      <c r="I4" s="1">
        <v>70</v>
      </c>
      <c r="J4" s="1">
        <v>0</v>
      </c>
      <c r="K4" s="1">
        <v>6</v>
      </c>
      <c r="L4" s="1">
        <v>600</v>
      </c>
      <c r="M4" s="1">
        <v>0</v>
      </c>
      <c r="N4" s="1">
        <v>0</v>
      </c>
      <c r="O4" s="1">
        <v>420</v>
      </c>
      <c r="P4" s="1" t="s">
        <v>14</v>
      </c>
      <c r="Q4" s="6" t="s">
        <v>107</v>
      </c>
    </row>
    <row r="5" spans="1:17" x14ac:dyDescent="0.4">
      <c r="A5" s="1" t="s">
        <v>93</v>
      </c>
      <c r="B5" s="1" t="s">
        <v>14</v>
      </c>
      <c r="C5" s="1">
        <v>152374</v>
      </c>
      <c r="D5" s="1" t="s">
        <v>15</v>
      </c>
      <c r="E5" s="1" t="s">
        <v>16</v>
      </c>
      <c r="F5" s="1" t="s">
        <v>107</v>
      </c>
      <c r="G5" s="1" t="s">
        <v>20</v>
      </c>
      <c r="H5" s="1" t="s">
        <v>14</v>
      </c>
      <c r="I5" s="1">
        <v>70</v>
      </c>
      <c r="J5" s="1">
        <v>0</v>
      </c>
      <c r="K5" s="1">
        <v>5</v>
      </c>
      <c r="L5" s="1">
        <v>500</v>
      </c>
      <c r="M5" s="1">
        <v>0</v>
      </c>
      <c r="N5" s="1">
        <v>0</v>
      </c>
      <c r="O5" s="1">
        <v>350</v>
      </c>
      <c r="P5" s="1" t="s">
        <v>14</v>
      </c>
      <c r="Q5" s="6" t="s">
        <v>107</v>
      </c>
    </row>
    <row r="6" spans="1:17" x14ac:dyDescent="0.4">
      <c r="A6" s="1" t="s">
        <v>94</v>
      </c>
      <c r="B6" s="1" t="s">
        <v>14</v>
      </c>
      <c r="C6" s="1">
        <v>152374</v>
      </c>
      <c r="D6" s="1" t="s">
        <v>15</v>
      </c>
      <c r="E6" s="1" t="s">
        <v>16</v>
      </c>
      <c r="F6" s="1" t="s">
        <v>107</v>
      </c>
      <c r="G6" s="1" t="s">
        <v>20</v>
      </c>
      <c r="H6" s="1" t="s">
        <v>14</v>
      </c>
      <c r="I6" s="1">
        <v>70</v>
      </c>
      <c r="J6" s="1">
        <v>0</v>
      </c>
      <c r="K6" s="1">
        <v>8</v>
      </c>
      <c r="L6" s="1">
        <v>800</v>
      </c>
      <c r="M6" s="1">
        <v>0</v>
      </c>
      <c r="N6" s="1">
        <v>0</v>
      </c>
      <c r="O6" s="1">
        <v>560</v>
      </c>
      <c r="P6" s="1" t="s">
        <v>14</v>
      </c>
      <c r="Q6" s="6" t="s">
        <v>107</v>
      </c>
    </row>
    <row r="7" spans="1:17" x14ac:dyDescent="0.4">
      <c r="A7" s="1" t="s">
        <v>95</v>
      </c>
      <c r="B7" s="1" t="s">
        <v>14</v>
      </c>
      <c r="C7" s="1">
        <v>152374</v>
      </c>
      <c r="D7" s="1" t="s">
        <v>15</v>
      </c>
      <c r="E7" s="1" t="s">
        <v>16</v>
      </c>
      <c r="F7" s="1" t="s">
        <v>108</v>
      </c>
      <c r="G7" s="1" t="s">
        <v>20</v>
      </c>
      <c r="H7" s="1" t="s">
        <v>14</v>
      </c>
      <c r="I7" s="1">
        <v>70</v>
      </c>
      <c r="J7" s="1">
        <v>0</v>
      </c>
      <c r="K7" s="1">
        <v>11</v>
      </c>
      <c r="L7" s="1">
        <v>1100</v>
      </c>
      <c r="M7" s="1">
        <v>0</v>
      </c>
      <c r="N7" s="1">
        <v>0</v>
      </c>
      <c r="O7" s="1">
        <v>770</v>
      </c>
      <c r="P7" s="1" t="s">
        <v>14</v>
      </c>
      <c r="Q7" s="6" t="s">
        <v>107</v>
      </c>
    </row>
    <row r="8" spans="1:17" x14ac:dyDescent="0.4">
      <c r="A8" s="1" t="s">
        <v>96</v>
      </c>
      <c r="B8" s="1" t="s">
        <v>14</v>
      </c>
      <c r="C8" s="1">
        <v>152374</v>
      </c>
      <c r="D8" s="1" t="s">
        <v>15</v>
      </c>
      <c r="E8" s="1" t="s">
        <v>16</v>
      </c>
      <c r="F8" s="1" t="s">
        <v>108</v>
      </c>
      <c r="G8" s="1" t="s">
        <v>20</v>
      </c>
      <c r="H8" s="1" t="s">
        <v>14</v>
      </c>
      <c r="I8" s="1">
        <v>70</v>
      </c>
      <c r="J8" s="1">
        <v>0</v>
      </c>
      <c r="K8" s="1">
        <v>4</v>
      </c>
      <c r="L8" s="1">
        <v>400</v>
      </c>
      <c r="M8" s="1">
        <v>0</v>
      </c>
      <c r="N8" s="1">
        <v>0</v>
      </c>
      <c r="O8" s="1">
        <v>280</v>
      </c>
      <c r="P8" s="1" t="s">
        <v>14</v>
      </c>
      <c r="Q8" s="6" t="s">
        <v>107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5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9.199218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12.398437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91</v>
      </c>
      <c r="B2" s="1" t="s">
        <v>14</v>
      </c>
      <c r="C2" s="1">
        <v>155971</v>
      </c>
      <c r="D2" s="1" t="s">
        <v>15</v>
      </c>
      <c r="E2" s="1" t="s">
        <v>0</v>
      </c>
      <c r="F2" s="1" t="s">
        <v>99</v>
      </c>
      <c r="G2" s="1" t="s">
        <v>43</v>
      </c>
      <c r="H2" s="1" t="s">
        <v>44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44</v>
      </c>
      <c r="Q2" s="6" t="s">
        <v>139</v>
      </c>
    </row>
    <row r="3" spans="1:17" x14ac:dyDescent="0.4">
      <c r="A3" s="1" t="s">
        <v>92</v>
      </c>
      <c r="B3" s="1" t="s">
        <v>14</v>
      </c>
      <c r="C3" s="1">
        <v>155971</v>
      </c>
      <c r="D3" s="1" t="s">
        <v>15</v>
      </c>
      <c r="E3" s="1" t="s">
        <v>0</v>
      </c>
      <c r="F3" s="1" t="s">
        <v>99</v>
      </c>
      <c r="G3" s="1" t="s">
        <v>43</v>
      </c>
      <c r="H3" s="1" t="s">
        <v>44</v>
      </c>
      <c r="I3" s="1">
        <v>70</v>
      </c>
      <c r="J3" s="1">
        <v>0</v>
      </c>
      <c r="K3" s="1">
        <v>5</v>
      </c>
      <c r="L3" s="1">
        <v>500</v>
      </c>
      <c r="M3" s="1">
        <v>0</v>
      </c>
      <c r="N3" s="1">
        <v>0</v>
      </c>
      <c r="O3" s="1">
        <v>350</v>
      </c>
      <c r="P3" s="1" t="s">
        <v>44</v>
      </c>
      <c r="Q3" s="6" t="s">
        <v>139</v>
      </c>
    </row>
    <row r="4" spans="1:17" x14ac:dyDescent="0.4">
      <c r="A4" s="1" t="s">
        <v>93</v>
      </c>
      <c r="B4" s="1" t="s">
        <v>14</v>
      </c>
      <c r="C4" s="1">
        <v>155971</v>
      </c>
      <c r="D4" s="1" t="s">
        <v>15</v>
      </c>
      <c r="E4" s="1" t="s">
        <v>0</v>
      </c>
      <c r="F4" s="1" t="s">
        <v>99</v>
      </c>
      <c r="G4" s="1" t="s">
        <v>43</v>
      </c>
      <c r="H4" s="1" t="s">
        <v>44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44</v>
      </c>
      <c r="Q4" s="6" t="s">
        <v>139</v>
      </c>
    </row>
    <row r="5" spans="1:17" x14ac:dyDescent="0.4">
      <c r="A5" s="1" t="s">
        <v>94</v>
      </c>
      <c r="B5" s="1" t="s">
        <v>14</v>
      </c>
      <c r="C5" s="1">
        <v>155971</v>
      </c>
      <c r="D5" s="1" t="s">
        <v>15</v>
      </c>
      <c r="E5" s="1" t="s">
        <v>0</v>
      </c>
      <c r="F5" s="1" t="s">
        <v>100</v>
      </c>
      <c r="G5" s="1" t="s">
        <v>43</v>
      </c>
      <c r="H5" s="1" t="s">
        <v>44</v>
      </c>
      <c r="I5" s="1">
        <v>70</v>
      </c>
      <c r="J5" s="1">
        <v>0</v>
      </c>
      <c r="K5" s="1">
        <v>2</v>
      </c>
      <c r="L5" s="1">
        <v>200</v>
      </c>
      <c r="M5" s="1">
        <v>0</v>
      </c>
      <c r="N5" s="1">
        <v>0</v>
      </c>
      <c r="O5" s="1">
        <v>140</v>
      </c>
      <c r="P5" s="1" t="s">
        <v>44</v>
      </c>
      <c r="Q5" s="6" t="s">
        <v>139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Q5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22.199218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91</v>
      </c>
      <c r="B2" s="1" t="s">
        <v>14</v>
      </c>
      <c r="C2" s="1">
        <v>155976</v>
      </c>
      <c r="D2" s="1" t="s">
        <v>15</v>
      </c>
      <c r="E2" s="1" t="s">
        <v>0</v>
      </c>
      <c r="F2" s="1" t="s">
        <v>101</v>
      </c>
      <c r="G2" s="1" t="s">
        <v>45</v>
      </c>
      <c r="H2" s="1" t="s">
        <v>14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  <c r="P2" s="1" t="s">
        <v>14</v>
      </c>
      <c r="Q2" s="6" t="s">
        <v>101</v>
      </c>
    </row>
    <row r="3" spans="1:17" x14ac:dyDescent="0.4">
      <c r="A3" s="1" t="s">
        <v>92</v>
      </c>
      <c r="B3" s="1" t="s">
        <v>14</v>
      </c>
      <c r="C3" s="1">
        <v>155976</v>
      </c>
      <c r="D3" s="1" t="s">
        <v>15</v>
      </c>
      <c r="E3" s="1" t="s">
        <v>0</v>
      </c>
      <c r="F3" s="1" t="s">
        <v>101</v>
      </c>
      <c r="G3" s="1" t="s">
        <v>45</v>
      </c>
      <c r="H3" s="1" t="s">
        <v>14</v>
      </c>
      <c r="I3" s="1">
        <v>70</v>
      </c>
      <c r="J3" s="1">
        <v>0</v>
      </c>
      <c r="K3" s="1">
        <v>3</v>
      </c>
      <c r="L3" s="1">
        <v>300</v>
      </c>
      <c r="M3" s="1">
        <v>0</v>
      </c>
      <c r="N3" s="1">
        <v>0</v>
      </c>
      <c r="O3" s="1">
        <v>210</v>
      </c>
      <c r="P3" s="1" t="s">
        <v>14</v>
      </c>
      <c r="Q3" s="6" t="s">
        <v>101</v>
      </c>
    </row>
    <row r="4" spans="1:17" x14ac:dyDescent="0.4">
      <c r="A4" s="1" t="s">
        <v>93</v>
      </c>
      <c r="B4" s="1" t="s">
        <v>14</v>
      </c>
      <c r="C4" s="1">
        <v>155976</v>
      </c>
      <c r="D4" s="1" t="s">
        <v>15</v>
      </c>
      <c r="E4" s="1" t="s">
        <v>0</v>
      </c>
      <c r="F4" s="1" t="s">
        <v>101</v>
      </c>
      <c r="G4" s="1" t="s">
        <v>45</v>
      </c>
      <c r="H4" s="1" t="s">
        <v>14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  <c r="P4" s="1" t="s">
        <v>14</v>
      </c>
      <c r="Q4" s="6" t="s">
        <v>101</v>
      </c>
    </row>
    <row r="5" spans="1:17" x14ac:dyDescent="0.4">
      <c r="A5" s="1" t="s">
        <v>94</v>
      </c>
      <c r="B5" s="1" t="s">
        <v>14</v>
      </c>
      <c r="C5" s="1">
        <v>155976</v>
      </c>
      <c r="D5" s="1" t="s">
        <v>15</v>
      </c>
      <c r="E5" s="1" t="s">
        <v>0</v>
      </c>
      <c r="F5" s="1" t="s">
        <v>102</v>
      </c>
      <c r="G5" s="1" t="s">
        <v>45</v>
      </c>
      <c r="H5" s="1" t="s">
        <v>14</v>
      </c>
      <c r="I5" s="1">
        <v>70</v>
      </c>
      <c r="J5" s="1">
        <v>0</v>
      </c>
      <c r="K5" s="1">
        <v>4</v>
      </c>
      <c r="L5" s="1">
        <v>400</v>
      </c>
      <c r="M5" s="1">
        <v>0</v>
      </c>
      <c r="N5" s="1">
        <v>0</v>
      </c>
      <c r="O5" s="1">
        <v>280</v>
      </c>
      <c r="P5" s="1" t="s">
        <v>14</v>
      </c>
      <c r="Q5" s="6" t="s">
        <v>101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2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7.5976562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  <col min="16" max="16" width="10.3984375" bestFit="1" customWidth="1"/>
    <col min="17" max="17" width="7.5" bestFit="1" customWidth="1"/>
  </cols>
  <sheetData>
    <row r="1" spans="1:17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  <c r="P1" s="4" t="s">
        <v>122</v>
      </c>
      <c r="Q1" s="5" t="s">
        <v>123</v>
      </c>
    </row>
    <row r="2" spans="1:17" x14ac:dyDescent="0.4">
      <c r="A2" s="1" t="s">
        <v>96</v>
      </c>
      <c r="B2" s="1" t="s">
        <v>14</v>
      </c>
      <c r="C2" s="1">
        <v>25955</v>
      </c>
      <c r="D2" s="1" t="s">
        <v>15</v>
      </c>
      <c r="E2" s="1" t="s">
        <v>0</v>
      </c>
      <c r="F2" s="1" t="s">
        <v>113</v>
      </c>
      <c r="G2" s="1" t="s">
        <v>1</v>
      </c>
      <c r="H2" s="1" t="s">
        <v>14</v>
      </c>
      <c r="I2" s="1">
        <v>70</v>
      </c>
      <c r="J2" s="1">
        <v>0</v>
      </c>
      <c r="K2" s="1">
        <v>6</v>
      </c>
      <c r="L2" s="1">
        <v>600</v>
      </c>
      <c r="M2" s="1">
        <v>0</v>
      </c>
      <c r="N2" s="1">
        <v>0</v>
      </c>
      <c r="O2" s="1">
        <v>420</v>
      </c>
      <c r="P2" s="1" t="s">
        <v>14</v>
      </c>
      <c r="Q2" s="6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합계(5)</vt:lpstr>
      <vt:lpstr>무장</vt:lpstr>
      <vt:lpstr>독고진</vt:lpstr>
      <vt:lpstr>이린비</vt:lpstr>
      <vt:lpstr>에필로그</vt:lpstr>
      <vt:lpstr>부엉이콩</vt:lpstr>
      <vt:lpstr>글면증</vt:lpstr>
      <vt:lpstr>윈델</vt:lpstr>
      <vt:lpstr>한례</vt:lpstr>
      <vt:lpstr>불고기자리</vt:lpstr>
      <vt:lpstr>세상</vt:lpstr>
      <vt:lpstr>더컴퍼니</vt:lpstr>
      <vt:lpstr>무성매직</vt:lpstr>
      <vt:lpstr>구공</vt:lpstr>
      <vt:lpstr>김광수</vt:lpstr>
      <vt:lpstr>이한애비</vt:lpstr>
      <vt:lpstr>온서</vt:lpstr>
      <vt:lpstr>권용찬</vt:lpstr>
      <vt:lpstr>갓띵작</vt:lpstr>
      <vt:lpstr>만렙도끼</vt:lpstr>
      <vt:lpstr>아크스튜디오</vt:lpstr>
      <vt:lpstr>비고</vt:lpstr>
      <vt:lpstr>루이세</vt:lpstr>
      <vt:lpstr>갓띵작!Extract</vt:lpstr>
      <vt:lpstr>구공!Extract</vt:lpstr>
      <vt:lpstr>권용찬!Extract</vt:lpstr>
      <vt:lpstr>글면증!Extract</vt:lpstr>
      <vt:lpstr>김광수!Extract</vt:lpstr>
      <vt:lpstr>더컴퍼니!Extract</vt:lpstr>
      <vt:lpstr>독고진!Extract</vt:lpstr>
      <vt:lpstr>루이세!Extract</vt:lpstr>
      <vt:lpstr>만렙도끼!Extract</vt:lpstr>
      <vt:lpstr>무성매직!Extract</vt:lpstr>
      <vt:lpstr>무장!Extract</vt:lpstr>
      <vt:lpstr>부엉이콩!Extract</vt:lpstr>
      <vt:lpstr>불고기자리!Extract</vt:lpstr>
      <vt:lpstr>비고!Extract</vt:lpstr>
      <vt:lpstr>세상!Extract</vt:lpstr>
      <vt:lpstr>아크스튜디오!Extract</vt:lpstr>
      <vt:lpstr>에필로그!Extract</vt:lpstr>
      <vt:lpstr>온서!Extract</vt:lpstr>
      <vt:lpstr>윈델!Extract</vt:lpstr>
      <vt:lpstr>이린비!Extract</vt:lpstr>
      <vt:lpstr>이한애비!Extract</vt:lpstr>
      <vt:lpstr>한례!Extract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2022-06-08T15:27:32Z</dcterms:modified>
</cp:coreProperties>
</file>