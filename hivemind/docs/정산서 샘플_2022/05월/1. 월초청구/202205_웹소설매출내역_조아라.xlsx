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930"/>
  </bookViews>
  <sheets>
    <sheet name="합계 (5)" sheetId="563" r:id="rId1"/>
  </sheets>
  <definedNames>
    <definedName name="_xlnm._FilterDatabase" localSheetId="0" hidden="1">'합계 (5)'!$A$1:$I$55</definedName>
    <definedName name="_xlnm.Extract" localSheetId="0">'합계 (5)'!#REF!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9" i="563" l="1"/>
  <c r="E51" i="563" l="1"/>
  <c r="E53" i="563"/>
  <c r="E54" i="563" s="1"/>
  <c r="E55" i="563" l="1"/>
</calcChain>
</file>

<file path=xl/sharedStrings.xml><?xml version="1.0" encoding="utf-8"?>
<sst xmlns="http://schemas.openxmlformats.org/spreadsheetml/2006/main" count="110" uniqueCount="95">
  <si>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</si>
  <si>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</si>
  <si>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</si>
  <si>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</si>
  <si>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</si>
  <si>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</si>
  <si>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김광수</t>
  </si>
  <si>
    <t>후원쿠폰정산금액</t>
    <phoneticPr fontId="2" type="noConversion"/>
  </si>
  <si>
    <t>작가명</t>
  </si>
  <si>
    <t>단가</t>
  </si>
  <si>
    <t>작품명</t>
  </si>
  <si>
    <t>비율</t>
  </si>
  <si>
    <t>공작가의 남루한 신부</t>
  </si>
  <si>
    <t>임신부터 할까요?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</si>
  <si>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</si>
  <si>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</si>
  <si>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</si>
  <si>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</si>
  <si>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</si>
  <si>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</si>
  <si>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</si>
  <si>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형사의 게임</t>
  </si>
  <si>
    <t>쿠폰(VAT포함)</t>
    <phoneticPr fontId="2" type="noConversion"/>
  </si>
  <si>
    <t>출판사명</t>
    <phoneticPr fontId="2" type="noConversion"/>
  </si>
  <si>
    <t>간신이 나라를 살림</t>
  </si>
  <si>
    <t>영웅전기 대고구려</t>
  </si>
  <si>
    <t>호접몽전</t>
  </si>
  <si>
    <t>그라운드의 지배자</t>
  </si>
  <si>
    <t>나 혼자만 일일 보상</t>
  </si>
  <si>
    <t>이한애비</t>
  </si>
  <si>
    <t>블레이드 헌터</t>
  </si>
  <si>
    <t>원코인 게이머 아포칼립스</t>
  </si>
  <si>
    <t>레이드 만물상점</t>
  </si>
  <si>
    <t>스포트라이트</t>
  </si>
  <si>
    <t>리얼 머니</t>
  </si>
  <si>
    <t>소드 엠페러</t>
  </si>
  <si>
    <t>짝사랑 이별곡</t>
  </si>
  <si>
    <t>드래곤은 나 혼자 잡는다</t>
  </si>
  <si>
    <t>기사가문 망나니는 10클래스</t>
  </si>
  <si>
    <t>야쿠자가 사랑을 한다면 (개정판)</t>
  </si>
  <si>
    <t>문답무용 - 삼국지 유비의 모사가 되었다</t>
  </si>
  <si>
    <t>컬러 러쉬</t>
  </si>
  <si>
    <t>사라족의 간택</t>
  </si>
  <si>
    <t>((아슈크림))</t>
  </si>
  <si>
    <t>어쩌다 계약 아내</t>
  </si>
  <si>
    <t>아래층에 전남편이 산다</t>
  </si>
  <si>
    <t>신들의 알바나라</t>
  </si>
  <si>
    <t>갓띵작</t>
  </si>
  <si>
    <t>투신 제로</t>
  </si>
  <si>
    <t>바빌로니아의 검은 책</t>
  </si>
  <si>
    <t>그땐 미처</t>
  </si>
  <si>
    <t>보좌관</t>
  </si>
  <si>
    <t>게임 속 유닛</t>
  </si>
  <si>
    <t>찬동</t>
  </si>
  <si>
    <t>꽂히다</t>
  </si>
  <si>
    <t>궁성</t>
  </si>
  <si>
    <t>사랑한다 윤혜영 (개정증보판)</t>
  </si>
  <si>
    <t>헌터인데 내공이 좀 많네요</t>
  </si>
  <si>
    <t>돈문어</t>
  </si>
  <si>
    <t>칵테일로 레벨업</t>
  </si>
  <si>
    <t>서강후</t>
  </si>
  <si>
    <t>도폐풍운록</t>
  </si>
  <si>
    <t>내 안에 흑염룡이 산다!</t>
  </si>
  <si>
    <t>얼굴 천재 교주가 되었다</t>
  </si>
  <si>
    <t>회귀자의 슬기로운 복수생활</t>
  </si>
  <si>
    <t>퇴마사(巫者)</t>
  </si>
  <si>
    <t>매혹적인 상사</t>
  </si>
  <si>
    <t>우리야  이리온</t>
  </si>
  <si>
    <t>김온별(러브마인)</t>
  </si>
  <si>
    <t>돌아온 막내 영애님을 조심하세요</t>
  </si>
  <si>
    <t>갓 오브 블랙필드 2부 공개</t>
  </si>
  <si>
    <t>무장</t>
  </si>
  <si>
    <t>전혁1</t>
  </si>
  <si>
    <t>독고진</t>
  </si>
  <si>
    <t>다물</t>
  </si>
  <si>
    <t>천살</t>
  </si>
  <si>
    <t>펌킨몬</t>
  </si>
  <si>
    <t>셔틀</t>
  </si>
  <si>
    <t>스내치</t>
  </si>
  <si>
    <t>김정률</t>
  </si>
  <si>
    <t>모리미</t>
  </si>
  <si>
    <t>진문</t>
  </si>
  <si>
    <t>이동열</t>
  </si>
  <si>
    <t>예로나</t>
  </si>
  <si>
    <t>청빙</t>
  </si>
  <si>
    <t>루이세</t>
  </si>
  <si>
    <t>세상1</t>
  </si>
  <si>
    <t>온서1</t>
  </si>
  <si>
    <t>무성매직</t>
  </si>
  <si>
    <t>블랙커피</t>
  </si>
  <si>
    <t>리세마라</t>
  </si>
  <si>
    <t>비고</t>
  </si>
  <si>
    <t>구공</t>
  </si>
  <si>
    <t>시무</t>
  </si>
  <si>
    <t>윈델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</si>
</sst>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9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</cellXfs>
  <cellStyles count="4">
    <cellStyle name="쉼표 [0]" xfId="1" builtinId="6"/>
    <cellStyle name="표준" xfId="0" builtinId="0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5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17" customWidth="1"/>
    <col min="8" max="8" width="9" style="2"/>
    <col min="9" max="9" width="9.5" style="2" bestFit="1" customWidth="1"/>
    <col min="10" max="16384" width="9" style="2"/>
  </cols>
  <sheetData>
    <row r="1" spans="1:8" ht="25.2" customHeight="1" x14ac:dyDescent="0.4">
      <c r="A1" s="9" t="s">
        <v>10</v>
      </c>
      <c r="B1" s="9" t="s">
        <v>16</v>
      </c>
      <c r="C1" s="9" t="s">
        <v>8</v>
      </c>
      <c r="D1" s="9" t="s">
        <v>9</v>
      </c>
      <c r="E1" s="9" t="s">
        <v>15</v>
      </c>
      <c r="F1" s="9" t="s">
        <v>11</v>
      </c>
      <c r="G1" s="16" t="s">
        <v>17</v>
      </c>
      <c r="H1" s="2" t="s">
        <v>23</v>
      </c>
    </row>
    <row r="2" spans="1:8" x14ac:dyDescent="0.4">
      <c r="A2" t="s">
        <v>70</v>
      </c>
      <c r="B2">
        <v>912105</v>
      </c>
      <c r="C2" t="s">
        <v>71</v>
      </c>
      <c r="D2">
        <v>100</v>
      </c>
      <c r="E2">
        <v>528</v>
      </c>
      <c r="F2" s="18">
        <v>0.6</v>
      </c>
      <c r="G2">
        <v>31680</v>
      </c>
      <c r="H2"/>
    </row>
    <row r="3" spans="1:8" x14ac:dyDescent="0.4">
      <c r="A3" t="s">
        <v>27</v>
      </c>
      <c r="B3">
        <v>964887</v>
      </c>
      <c r="C3" t="s">
        <v>71</v>
      </c>
      <c r="D3">
        <v>100</v>
      </c>
      <c r="E3">
        <v>609</v>
      </c>
      <c r="F3" s="18">
        <v>0.6</v>
      </c>
      <c r="G3">
        <v>36540</v>
      </c>
      <c r="H3"/>
    </row>
    <row r="4" spans="1:8" ht="19.2" customHeight="1" x14ac:dyDescent="0.4">
      <c r="A4" t="s">
        <v>32</v>
      </c>
      <c r="B4">
        <v>1047533</v>
      </c>
      <c r="C4" t="s">
        <v>72</v>
      </c>
      <c r="D4">
        <v>100</v>
      </c>
      <c r="E4">
        <v>117</v>
      </c>
      <c r="F4" s="18">
        <v>0.6</v>
      </c>
      <c r="G4">
        <v>7020</v>
      </c>
      <c r="H4"/>
    </row>
    <row r="5" spans="1:8" x14ac:dyDescent="0.4">
      <c r="A5" t="s">
        <v>18</v>
      </c>
      <c r="B5">
        <v>1065178</v>
      </c>
      <c r="C5" t="s">
        <v>73</v>
      </c>
      <c r="D5">
        <v>100</v>
      </c>
      <c r="E5">
        <v>455</v>
      </c>
      <c r="F5" s="18">
        <v>0.6</v>
      </c>
      <c r="G5">
        <v>27300</v>
      </c>
      <c r="H5"/>
    </row>
    <row r="6" spans="1:8" x14ac:dyDescent="0.4">
      <c r="A6" t="s">
        <v>20</v>
      </c>
      <c r="B6">
        <v>1246252</v>
      </c>
      <c r="C6" t="s">
        <v>74</v>
      </c>
      <c r="D6">
        <v>100</v>
      </c>
      <c r="E6">
        <v>156</v>
      </c>
      <c r="F6" s="18">
        <v>0.6</v>
      </c>
      <c r="G6">
        <v>9360</v>
      </c>
      <c r="H6"/>
    </row>
    <row r="7" spans="1:8" x14ac:dyDescent="0.4">
      <c r="A7" t="s">
        <v>25</v>
      </c>
      <c r="B7">
        <v>1247545</v>
      </c>
      <c r="C7" t="s">
        <v>74</v>
      </c>
      <c r="D7">
        <v>100</v>
      </c>
      <c r="E7">
        <v>478</v>
      </c>
      <c r="F7" s="18">
        <v>0.6</v>
      </c>
      <c r="G7">
        <v>28680</v>
      </c>
      <c r="H7"/>
    </row>
    <row r="8" spans="1:8" x14ac:dyDescent="0.4">
      <c r="A8" t="s">
        <v>21</v>
      </c>
      <c r="B8">
        <v>1248032</v>
      </c>
      <c r="C8" t="s">
        <v>71</v>
      </c>
      <c r="D8">
        <v>100</v>
      </c>
      <c r="E8">
        <v>244</v>
      </c>
      <c r="F8" s="18">
        <v>0.6</v>
      </c>
      <c r="G8">
        <v>14640</v>
      </c>
      <c r="H8"/>
    </row>
    <row r="9" spans="1:8" x14ac:dyDescent="0.4">
      <c r="A9" t="s">
        <v>48</v>
      </c>
      <c r="B9">
        <v>1248237</v>
      </c>
      <c r="C9" t="s">
        <v>75</v>
      </c>
      <c r="D9">
        <v>100</v>
      </c>
      <c r="E9">
        <v>375</v>
      </c>
      <c r="F9" s="18">
        <v>0.6</v>
      </c>
      <c r="G9">
        <v>22500</v>
      </c>
      <c r="H9"/>
    </row>
    <row r="10" spans="1:8" x14ac:dyDescent="0.4">
      <c r="A10" t="s">
        <v>33</v>
      </c>
      <c r="B10">
        <v>1248497</v>
      </c>
      <c r="C10" t="s">
        <v>72</v>
      </c>
      <c r="D10">
        <v>100</v>
      </c>
      <c r="E10">
        <v>192</v>
      </c>
      <c r="F10" s="18">
        <v>0.6</v>
      </c>
      <c r="G10">
        <v>11520</v>
      </c>
      <c r="H10"/>
    </row>
    <row r="11" spans="1:8" x14ac:dyDescent="0.4">
      <c r="A11" t="s">
        <v>49</v>
      </c>
      <c r="B11">
        <v>1282688</v>
      </c>
      <c r="C11" t="s">
        <v>76</v>
      </c>
      <c r="D11">
        <v>100</v>
      </c>
      <c r="E11">
        <v>3</v>
      </c>
      <c r="F11" s="18">
        <v>0.6</v>
      </c>
      <c r="G11">
        <v>180</v>
      </c>
      <c r="H11"/>
    </row>
    <row r="12" spans="1:8" x14ac:dyDescent="0.4">
      <c r="A12" t="s">
        <v>50</v>
      </c>
      <c r="B12">
        <v>1371873</v>
      </c>
      <c r="C12" t="s">
        <v>77</v>
      </c>
      <c r="D12">
        <v>100</v>
      </c>
      <c r="E12">
        <v>20</v>
      </c>
      <c r="F12" s="18">
        <v>0.6</v>
      </c>
      <c r="G12">
        <v>1200</v>
      </c>
      <c r="H12"/>
    </row>
    <row r="13" spans="1:8" x14ac:dyDescent="0.4">
      <c r="A13" t="s">
        <v>51</v>
      </c>
      <c r="B13">
        <v>1371895</v>
      </c>
      <c r="C13" t="s">
        <v>78</v>
      </c>
      <c r="D13">
        <v>100</v>
      </c>
      <c r="E13">
        <v>45</v>
      </c>
      <c r="F13" s="18">
        <v>0.6</v>
      </c>
      <c r="G13">
        <v>2700</v>
      </c>
      <c r="H13"/>
    </row>
    <row r="14" spans="1:8" x14ac:dyDescent="0.4">
      <c r="A14" t="s">
        <v>35</v>
      </c>
      <c r="B14">
        <v>1402089</v>
      </c>
      <c r="C14" t="s">
        <v>79</v>
      </c>
      <c r="D14">
        <v>100</v>
      </c>
      <c r="E14">
        <v>146</v>
      </c>
      <c r="F14" s="18">
        <v>0.6</v>
      </c>
      <c r="G14">
        <v>8760</v>
      </c>
      <c r="H14"/>
    </row>
    <row r="15" spans="1:8" x14ac:dyDescent="0.4">
      <c r="A15" t="s">
        <v>36</v>
      </c>
      <c r="B15">
        <v>1430515</v>
      </c>
      <c r="C15" t="s">
        <v>80</v>
      </c>
      <c r="D15">
        <v>100</v>
      </c>
      <c r="E15">
        <v>82</v>
      </c>
      <c r="F15" s="18">
        <v>0.6</v>
      </c>
      <c r="G15">
        <v>4920</v>
      </c>
      <c r="H15"/>
    </row>
    <row r="16" spans="1:8" x14ac:dyDescent="0.4">
      <c r="A16" t="s">
        <v>37</v>
      </c>
      <c r="B16">
        <v>1430789</v>
      </c>
      <c r="C16" t="s">
        <v>81</v>
      </c>
      <c r="D16">
        <v>100</v>
      </c>
      <c r="E16">
        <v>10</v>
      </c>
      <c r="F16" s="18">
        <v>0.6</v>
      </c>
      <c r="G16">
        <v>600</v>
      </c>
      <c r="H16"/>
    </row>
    <row r="17" spans="1:8" x14ac:dyDescent="0.4">
      <c r="A17" t="s">
        <v>28</v>
      </c>
      <c r="B17">
        <v>1430791</v>
      </c>
      <c r="C17" t="s">
        <v>82</v>
      </c>
      <c r="D17">
        <v>100</v>
      </c>
      <c r="E17">
        <v>17</v>
      </c>
      <c r="F17" s="18">
        <v>0.6</v>
      </c>
      <c r="G17">
        <v>1020</v>
      </c>
      <c r="H17"/>
    </row>
    <row r="18" spans="1:8" x14ac:dyDescent="0.4">
      <c r="A18" t="s">
        <v>38</v>
      </c>
      <c r="B18">
        <v>1435306</v>
      </c>
      <c r="C18" t="s">
        <v>83</v>
      </c>
      <c r="D18">
        <v>100</v>
      </c>
      <c r="E18">
        <v>25</v>
      </c>
      <c r="F18" s="18">
        <v>0.6</v>
      </c>
      <c r="G18">
        <v>1500</v>
      </c>
      <c r="H18"/>
    </row>
    <row r="19" spans="1:8" x14ac:dyDescent="0.4">
      <c r="A19" t="s">
        <v>26</v>
      </c>
      <c r="B19">
        <v>1438404</v>
      </c>
      <c r="C19" t="s">
        <v>84</v>
      </c>
      <c r="D19">
        <v>100</v>
      </c>
      <c r="E19">
        <v>36</v>
      </c>
      <c r="F19" s="18">
        <v>0.6</v>
      </c>
      <c r="G19">
        <v>2160</v>
      </c>
      <c r="H19"/>
    </row>
    <row r="20" spans="1:8" x14ac:dyDescent="0.4">
      <c r="A20" t="s">
        <v>24</v>
      </c>
      <c r="B20">
        <v>1438625</v>
      </c>
      <c r="C20" t="s">
        <v>85</v>
      </c>
      <c r="D20">
        <v>100</v>
      </c>
      <c r="E20">
        <v>357</v>
      </c>
      <c r="F20" s="18">
        <v>0.6</v>
      </c>
      <c r="G20">
        <v>21420</v>
      </c>
      <c r="H20"/>
    </row>
    <row r="21" spans="1:8" x14ac:dyDescent="0.4">
      <c r="A21" t="s">
        <v>19</v>
      </c>
      <c r="B21">
        <v>1456873</v>
      </c>
      <c r="C21" t="s">
        <v>6</v>
      </c>
      <c r="D21">
        <v>100</v>
      </c>
      <c r="E21">
        <v>4586</v>
      </c>
      <c r="F21" s="18">
        <v>0.6</v>
      </c>
      <c r="G21">
        <v>275160</v>
      </c>
      <c r="H21"/>
    </row>
    <row r="22" spans="1:8" x14ac:dyDescent="0.4">
      <c r="A22" t="s">
        <v>52</v>
      </c>
      <c r="B22">
        <v>1477447</v>
      </c>
      <c r="C22" t="s">
        <v>53</v>
      </c>
      <c r="D22">
        <v>100</v>
      </c>
      <c r="E22">
        <v>3</v>
      </c>
      <c r="F22" s="18">
        <v>0.6</v>
      </c>
      <c r="G22">
        <v>180</v>
      </c>
      <c r="H22"/>
    </row>
    <row r="23" spans="1:8" x14ac:dyDescent="0.4">
      <c r="A23" t="s">
        <v>34</v>
      </c>
      <c r="B23">
        <v>1485938</v>
      </c>
      <c r="C23" t="s">
        <v>81</v>
      </c>
      <c r="D23">
        <v>100</v>
      </c>
      <c r="E23">
        <v>99</v>
      </c>
      <c r="F23" s="18">
        <v>0.6</v>
      </c>
      <c r="G23">
        <v>5940</v>
      </c>
      <c r="H23"/>
    </row>
    <row r="24" spans="1:8" x14ac:dyDescent="0.4">
      <c r="A24" t="s">
        <v>30</v>
      </c>
      <c r="B24">
        <v>1487971</v>
      </c>
      <c r="C24" t="s">
        <v>79</v>
      </c>
      <c r="D24">
        <v>100</v>
      </c>
      <c r="E24">
        <v>164</v>
      </c>
      <c r="F24" s="18">
        <v>0.6</v>
      </c>
      <c r="G24">
        <v>9840</v>
      </c>
      <c r="H24"/>
    </row>
    <row r="25" spans="1:8" x14ac:dyDescent="0.4">
      <c r="A25" t="s">
        <v>39</v>
      </c>
      <c r="B25">
        <v>1524626</v>
      </c>
      <c r="C25" t="s">
        <v>80</v>
      </c>
      <c r="D25">
        <v>100</v>
      </c>
      <c r="E25">
        <v>6</v>
      </c>
      <c r="F25" s="18">
        <v>0.6</v>
      </c>
      <c r="G25">
        <v>360</v>
      </c>
      <c r="H25"/>
    </row>
    <row r="26" spans="1:8" x14ac:dyDescent="0.4">
      <c r="A26" t="s">
        <v>40</v>
      </c>
      <c r="B26">
        <v>1533756</v>
      </c>
      <c r="C26" t="s">
        <v>84</v>
      </c>
      <c r="D26">
        <v>100</v>
      </c>
      <c r="E26">
        <v>12</v>
      </c>
      <c r="F26" s="18">
        <v>0.6</v>
      </c>
      <c r="G26">
        <v>720</v>
      </c>
      <c r="H26"/>
    </row>
    <row r="27" spans="1:8" x14ac:dyDescent="0.4">
      <c r="A27" t="s">
        <v>54</v>
      </c>
      <c r="B27">
        <v>1536977</v>
      </c>
      <c r="C27" t="s">
        <v>78</v>
      </c>
      <c r="D27">
        <v>100</v>
      </c>
      <c r="E27">
        <v>57</v>
      </c>
      <c r="F27" s="18">
        <v>0.6</v>
      </c>
      <c r="G27">
        <v>3420</v>
      </c>
      <c r="H27"/>
    </row>
    <row r="28" spans="1:8" x14ac:dyDescent="0.4">
      <c r="A28" t="s">
        <v>41</v>
      </c>
      <c r="B28">
        <v>1537572</v>
      </c>
      <c r="C28" t="s">
        <v>86</v>
      </c>
      <c r="D28">
        <v>100</v>
      </c>
      <c r="E28">
        <v>37</v>
      </c>
      <c r="F28" s="18">
        <v>0.6</v>
      </c>
      <c r="G28">
        <v>2220</v>
      </c>
      <c r="H28"/>
    </row>
    <row r="29" spans="1:8" x14ac:dyDescent="0.4">
      <c r="A29" t="s">
        <v>14</v>
      </c>
      <c r="B29">
        <v>1537574</v>
      </c>
      <c r="C29" t="s">
        <v>71</v>
      </c>
      <c r="D29">
        <v>100</v>
      </c>
      <c r="E29">
        <v>437</v>
      </c>
      <c r="F29" s="18">
        <v>0.6</v>
      </c>
      <c r="G29">
        <v>26220</v>
      </c>
      <c r="H29"/>
    </row>
    <row r="30" spans="1:8" x14ac:dyDescent="0.4">
      <c r="A30" t="s">
        <v>42</v>
      </c>
      <c r="B30">
        <v>1540558</v>
      </c>
      <c r="C30" t="s">
        <v>80</v>
      </c>
      <c r="D30">
        <v>100</v>
      </c>
      <c r="E30">
        <v>2</v>
      </c>
      <c r="F30" s="18">
        <v>0.6</v>
      </c>
      <c r="G30">
        <v>120</v>
      </c>
      <c r="H30"/>
    </row>
    <row r="31" spans="1:8" x14ac:dyDescent="0.4">
      <c r="A31" t="s">
        <v>13</v>
      </c>
      <c r="B31">
        <v>1544379</v>
      </c>
      <c r="C31" t="s">
        <v>87</v>
      </c>
      <c r="D31">
        <v>100</v>
      </c>
      <c r="E31">
        <v>18</v>
      </c>
      <c r="F31" s="18">
        <v>0.6</v>
      </c>
      <c r="G31">
        <v>1080</v>
      </c>
      <c r="H31"/>
    </row>
    <row r="32" spans="1:8" x14ac:dyDescent="0.4">
      <c r="A32" t="s">
        <v>12</v>
      </c>
      <c r="B32">
        <v>1552028</v>
      </c>
      <c r="C32" t="s">
        <v>88</v>
      </c>
      <c r="D32">
        <v>100</v>
      </c>
      <c r="E32">
        <v>249</v>
      </c>
      <c r="F32" s="18">
        <v>0.6</v>
      </c>
      <c r="G32">
        <v>14940</v>
      </c>
      <c r="H32"/>
    </row>
    <row r="33" spans="1:8" x14ac:dyDescent="0.4">
      <c r="A33" t="s">
        <v>55</v>
      </c>
      <c r="B33">
        <v>1570691</v>
      </c>
      <c r="C33" t="s">
        <v>78</v>
      </c>
      <c r="D33">
        <v>100</v>
      </c>
      <c r="E33">
        <v>7</v>
      </c>
      <c r="F33" s="18">
        <v>0.6</v>
      </c>
      <c r="G33">
        <v>420</v>
      </c>
      <c r="H33"/>
    </row>
    <row r="34" spans="1:8" x14ac:dyDescent="0.4">
      <c r="A34" t="s">
        <v>56</v>
      </c>
      <c r="B34">
        <v>1583140</v>
      </c>
      <c r="C34" t="s">
        <v>89</v>
      </c>
      <c r="D34">
        <v>100</v>
      </c>
      <c r="E34">
        <v>27</v>
      </c>
      <c r="F34" s="18">
        <v>0.6</v>
      </c>
      <c r="G34">
        <v>1620</v>
      </c>
      <c r="H34"/>
    </row>
    <row r="35" spans="1:8" x14ac:dyDescent="0.4">
      <c r="A35" t="s">
        <v>44</v>
      </c>
      <c r="B35">
        <v>1583147</v>
      </c>
      <c r="C35" t="s">
        <v>43</v>
      </c>
      <c r="D35">
        <v>100</v>
      </c>
      <c r="E35">
        <v>104</v>
      </c>
      <c r="F35" s="18">
        <v>0.6</v>
      </c>
      <c r="G35">
        <v>6240</v>
      </c>
      <c r="H35"/>
    </row>
    <row r="36" spans="1:8" x14ac:dyDescent="0.4">
      <c r="A36" t="s">
        <v>45</v>
      </c>
      <c r="B36">
        <v>1583151</v>
      </c>
      <c r="C36" t="s">
        <v>78</v>
      </c>
      <c r="D36">
        <v>100</v>
      </c>
      <c r="E36">
        <v>80</v>
      </c>
      <c r="F36" s="18">
        <v>0.6</v>
      </c>
      <c r="G36">
        <v>4800</v>
      </c>
      <c r="H36"/>
    </row>
    <row r="37" spans="1:8" x14ac:dyDescent="0.4">
      <c r="A37" t="s">
        <v>57</v>
      </c>
      <c r="B37">
        <v>1585930</v>
      </c>
      <c r="C37" t="s">
        <v>58</v>
      </c>
      <c r="D37">
        <v>100</v>
      </c>
      <c r="E37">
        <v>1</v>
      </c>
      <c r="F37" s="18">
        <v>0.6</v>
      </c>
      <c r="G37">
        <v>60</v>
      </c>
      <c r="H37"/>
    </row>
    <row r="38" spans="1:8" x14ac:dyDescent="0.4">
      <c r="A38" t="s">
        <v>31</v>
      </c>
      <c r="B38">
        <v>1593968</v>
      </c>
      <c r="C38" t="s">
        <v>29</v>
      </c>
      <c r="D38">
        <v>100</v>
      </c>
      <c r="E38">
        <v>21</v>
      </c>
      <c r="F38" s="18">
        <v>0.6</v>
      </c>
      <c r="G38">
        <v>1260</v>
      </c>
      <c r="H38"/>
    </row>
    <row r="39" spans="1:8" x14ac:dyDescent="0.4">
      <c r="A39" t="s">
        <v>59</v>
      </c>
      <c r="B39">
        <v>1593969</v>
      </c>
      <c r="C39" t="s">
        <v>60</v>
      </c>
      <c r="D39">
        <v>100</v>
      </c>
      <c r="E39">
        <v>348</v>
      </c>
      <c r="F39" s="18">
        <v>0.6</v>
      </c>
      <c r="G39">
        <v>20880</v>
      </c>
      <c r="H39"/>
    </row>
    <row r="40" spans="1:8" x14ac:dyDescent="0.4">
      <c r="A40" t="s">
        <v>61</v>
      </c>
      <c r="B40">
        <v>1604182</v>
      </c>
      <c r="C40" t="s">
        <v>71</v>
      </c>
      <c r="D40">
        <v>100</v>
      </c>
      <c r="E40">
        <v>22</v>
      </c>
      <c r="F40" s="18">
        <v>0.6</v>
      </c>
      <c r="G40">
        <v>1320</v>
      </c>
      <c r="H40"/>
    </row>
    <row r="41" spans="1:8" x14ac:dyDescent="0.4">
      <c r="A41" t="s">
        <v>46</v>
      </c>
      <c r="B41">
        <v>1613647</v>
      </c>
      <c r="C41" t="s">
        <v>47</v>
      </c>
      <c r="D41">
        <v>100</v>
      </c>
      <c r="E41">
        <v>2178</v>
      </c>
      <c r="F41" s="18">
        <v>0.6</v>
      </c>
      <c r="G41">
        <v>130680</v>
      </c>
      <c r="H41"/>
    </row>
    <row r="42" spans="1:8" x14ac:dyDescent="0.4">
      <c r="A42" t="s">
        <v>62</v>
      </c>
      <c r="B42">
        <v>1620321</v>
      </c>
      <c r="C42" t="s">
        <v>90</v>
      </c>
      <c r="D42">
        <v>100</v>
      </c>
      <c r="E42">
        <v>364</v>
      </c>
      <c r="F42" s="18">
        <v>0.6</v>
      </c>
      <c r="G42">
        <v>21840</v>
      </c>
      <c r="H42"/>
    </row>
    <row r="43" spans="1:8" x14ac:dyDescent="0.4">
      <c r="A43" t="s">
        <v>63</v>
      </c>
      <c r="B43">
        <v>1620331</v>
      </c>
      <c r="C43" t="s">
        <v>91</v>
      </c>
      <c r="D43">
        <v>100</v>
      </c>
      <c r="E43">
        <v>26</v>
      </c>
      <c r="F43" s="18">
        <v>0.6</v>
      </c>
      <c r="G43">
        <v>1560</v>
      </c>
      <c r="H43"/>
    </row>
    <row r="44" spans="1:8" x14ac:dyDescent="0.4">
      <c r="A44" t="s">
        <v>64</v>
      </c>
      <c r="B44">
        <v>1620333</v>
      </c>
      <c r="C44" t="s">
        <v>92</v>
      </c>
      <c r="D44">
        <v>100</v>
      </c>
      <c r="E44">
        <v>9712</v>
      </c>
      <c r="F44" s="18">
        <v>0.6</v>
      </c>
      <c r="G44">
        <v>582720</v>
      </c>
      <c r="H44"/>
    </row>
    <row r="45" spans="1:8" x14ac:dyDescent="0.4">
      <c r="A45" t="s">
        <v>65</v>
      </c>
      <c r="B45">
        <v>1623645</v>
      </c>
      <c r="C45" t="s">
        <v>93</v>
      </c>
      <c r="D45">
        <v>100</v>
      </c>
      <c r="E45">
        <v>282</v>
      </c>
      <c r="F45" s="18">
        <v>0.6</v>
      </c>
      <c r="G45">
        <v>16920</v>
      </c>
      <c r="H45"/>
    </row>
    <row r="46" spans="1:8" x14ac:dyDescent="0.4">
      <c r="A46" t="s">
        <v>66</v>
      </c>
      <c r="B46">
        <v>1623647</v>
      </c>
      <c r="C46" t="s">
        <v>78</v>
      </c>
      <c r="D46">
        <v>100</v>
      </c>
      <c r="E46">
        <v>105</v>
      </c>
      <c r="F46" s="18">
        <v>0.6</v>
      </c>
      <c r="G46">
        <v>6300</v>
      </c>
      <c r="H46"/>
    </row>
    <row r="47" spans="1:8" x14ac:dyDescent="0.4">
      <c r="A47" t="s">
        <v>67</v>
      </c>
      <c r="B47">
        <v>1624677</v>
      </c>
      <c r="C47" t="s">
        <v>68</v>
      </c>
      <c r="D47">
        <v>100</v>
      </c>
      <c r="E47">
        <v>50</v>
      </c>
      <c r="F47" s="18">
        <v>0.6</v>
      </c>
      <c r="G47">
        <v>3000</v>
      </c>
      <c r="H47"/>
    </row>
    <row r="48" spans="1:8" x14ac:dyDescent="0.4">
      <c r="A48" t="s">
        <v>69</v>
      </c>
      <c r="B48">
        <v>1625636</v>
      </c>
      <c r="C48" t="s">
        <v>94</v>
      </c>
      <c r="D48">
        <v>100</v>
      </c>
      <c r="E48">
        <v>1707</v>
      </c>
      <c r="F48" s="18">
        <v>0.6</v>
      </c>
      <c r="G48">
        <v>102420</v>
      </c>
      <c r="H48"/>
    </row>
    <row r="49" spans="1:9" x14ac:dyDescent="0.4">
      <c r="A49" s="13"/>
      <c r="B49" s="14"/>
      <c r="C49" s="11"/>
      <c r="D49" s="11"/>
      <c r="E49" s="11"/>
      <c r="F49" s="12"/>
      <c r="G49" s="15">
        <f>SUM(G2:G48)</f>
        <v>1475940</v>
      </c>
    </row>
    <row r="50" spans="1:9" x14ac:dyDescent="0.4">
      <c r="I50" s="10"/>
    </row>
    <row r="51" spans="1:9" s="3" customFormat="1" x14ac:dyDescent="0.4">
      <c r="B51" s="2"/>
      <c r="C51" s="2"/>
      <c r="D51" s="7" t="s">
        <v>0</v>
      </c>
      <c r="E51" s="1">
        <f>G49</f>
        <v>1475940</v>
      </c>
      <c r="F51" s="5"/>
      <c r="G51" s="6"/>
    </row>
    <row r="52" spans="1:9" s="3" customFormat="1" x14ac:dyDescent="0.4">
      <c r="D52" s="7" t="s">
        <v>22</v>
      </c>
      <c r="E52" s="1">
        <v>0</v>
      </c>
      <c r="F52" s="3" t="s">
        <v>7</v>
      </c>
      <c r="G52" s="6" t="s">
        <v>4</v>
      </c>
    </row>
    <row r="53" spans="1:9" s="3" customFormat="1" x14ac:dyDescent="0.4">
      <c r="B53" s="2"/>
      <c r="C53" s="5"/>
      <c r="D53" s="7" t="s">
        <v>1</v>
      </c>
      <c r="E53" s="1">
        <f>E52/1.1</f>
        <v>0</v>
      </c>
      <c r="F53" s="2"/>
      <c r="G53" s="6" t="s">
        <v>5</v>
      </c>
    </row>
    <row r="54" spans="1:9" s="3" customFormat="1" x14ac:dyDescent="0.4">
      <c r="B54" s="2"/>
      <c r="C54" s="2"/>
      <c r="D54" s="7" t="s">
        <v>2</v>
      </c>
      <c r="E54" s="1">
        <f>E52-E53</f>
        <v>0</v>
      </c>
      <c r="G54" s="6"/>
    </row>
    <row r="55" spans="1:9" s="3" customFormat="1" x14ac:dyDescent="0.4">
      <c r="B55" s="2"/>
      <c r="C55" s="2"/>
      <c r="D55" s="8" t="s">
        <v>3</v>
      </c>
      <c r="E55" s="4">
        <f>E51+E53+E54</f>
        <v>1475940</v>
      </c>
      <c r="G55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2022-06-08T11:59:57Z</dcterms:modified>
</cp:coreProperties>
</file>