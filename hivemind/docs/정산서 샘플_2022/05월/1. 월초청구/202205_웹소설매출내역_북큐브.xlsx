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 tabRatio="842"/>
  </bookViews>
  <sheets>
    <sheet name="합계 (5)" sheetId="173" r:id="rId1"/>
    <sheet name="김광수" sheetId="174" r:id="rId2"/>
    <sheet name="무장" sheetId="175" r:id="rId3"/>
    <sheet name="권용찬" sheetId="176" r:id="rId4"/>
    <sheet name="예로나" sheetId="177" r:id="rId5"/>
    <sheet name="단팥크림빵7" sheetId="178" r:id="rId6"/>
    <sheet name="김정률" sheetId="179" r:id="rId7"/>
    <sheet name="전혁" sheetId="180" r:id="rId8"/>
    <sheet name="덕킹" sheetId="181" r:id="rId9"/>
    <sheet name="독고진" sheetId="182" r:id="rId10"/>
    <sheet name="왕십리글쟁이" sheetId="183" r:id="rId11"/>
    <sheet name="갓띵작" sheetId="184" r:id="rId12"/>
    <sheet name="바나바다" sheetId="185" r:id="rId13"/>
    <sheet name="서강후" sheetId="186" r:id="rId14"/>
    <sheet name="구공" sheetId="187" r:id="rId15"/>
    <sheet name="구유" sheetId="188" r:id="rId16"/>
    <sheet name="제외" sheetId="189" r:id="rId17"/>
    <sheet name="모리미" sheetId="190" r:id="rId18"/>
    <sheet name="주이서" sheetId="191" r:id="rId19"/>
    <sheet name="차홍주" sheetId="192" r:id="rId20"/>
    <sheet name="진숙" sheetId="193" r:id="rId21"/>
    <sheet name="밈스" sheetId="194" r:id="rId22"/>
    <sheet name="윈델" sheetId="195" r:id="rId23"/>
    <sheet name="스내치" sheetId="196" r:id="rId24"/>
    <sheet name="블랙커피" sheetId="197" r:id="rId25"/>
    <sheet name="아슈크림" sheetId="198" r:id="rId26"/>
    <sheet name="꽃잠" sheetId="199" r:id="rId27"/>
    <sheet name="문스톤" sheetId="200" r:id="rId28"/>
    <sheet name="세상" sheetId="201" r:id="rId29"/>
    <sheet name="더컴퍼니" sheetId="202" r:id="rId30"/>
    <sheet name="밀리의 서재" sheetId="203" r:id="rId31"/>
  </sheets>
  <externalReferences>
    <externalReference r:id="rId32"/>
  </externalReferences>
  <definedNames>
    <definedName name="_xlnm._FilterDatabase" localSheetId="0" hidden="1">'합계 (5)'!$A$1:$N$744</definedName>
    <definedName name="_xlnm.Extract" localSheetId="11">갓띵작!$A$1:$N$1</definedName>
    <definedName name="_xlnm.Extract" localSheetId="14">구공!$A$1:$N$1</definedName>
    <definedName name="_xlnm.Extract" localSheetId="15">구유!$A$1:$N$1</definedName>
    <definedName name="_xlnm.Extract" localSheetId="3">권용찬!$A$1:$N$1</definedName>
    <definedName name="_xlnm.Extract" localSheetId="1">김광수!$A$1:$N$1</definedName>
    <definedName name="_xlnm.Extract" localSheetId="6">김정률!$A$1:$N$1</definedName>
    <definedName name="_xlnm.Extract" localSheetId="26">꽃잠!$A$1:$N$1</definedName>
    <definedName name="_xlnm.Extract" localSheetId="5">단팥크림빵7!$A$1:$N$1</definedName>
    <definedName name="_xlnm.Extract" localSheetId="29">더컴퍼니!$A$1:$N$1</definedName>
    <definedName name="_xlnm.Extract" localSheetId="8">덕킹!$A$1:$N$1</definedName>
    <definedName name="_xlnm.Extract" localSheetId="9">독고진!$A$1:$N$1</definedName>
    <definedName name="_xlnm.Extract" localSheetId="17">모리미!$A$1:$N$1</definedName>
    <definedName name="_xlnm.Extract" localSheetId="2">무장!$A$1:$N$1</definedName>
    <definedName name="_xlnm.Extract" localSheetId="27">문스톤!$A$1:$N$1</definedName>
    <definedName name="_xlnm.Extract" localSheetId="30">'밀리의 서재'!$A$1:$N$1</definedName>
    <definedName name="_xlnm.Extract" localSheetId="21">밈스!$A$1:$N$1</definedName>
    <definedName name="_xlnm.Extract" localSheetId="12">바나바다!$A$1:$N$1</definedName>
    <definedName name="_xlnm.Extract" localSheetId="24">블랙커피!$A$1:$N$1</definedName>
    <definedName name="_xlnm.Extract" localSheetId="13">서강후!$A$1:$N$1</definedName>
    <definedName name="_xlnm.Extract" localSheetId="28">세상!$A$1:$N$1</definedName>
    <definedName name="_xlnm.Extract" localSheetId="23">스내치!$A$1:$N$1</definedName>
    <definedName name="_xlnm.Extract" localSheetId="25">아슈크림!$A$1:$N$1</definedName>
    <definedName name="_xlnm.Extract" localSheetId="4">예로나!$A$1:$N$1</definedName>
    <definedName name="_xlnm.Extract" localSheetId="10">왕십리글쟁이!$A$1:$N$1</definedName>
    <definedName name="_xlnm.Extract" localSheetId="22">윈델!$A$1:$N$1</definedName>
    <definedName name="_xlnm.Extract" localSheetId="7">전혁!$A$1:$N$1</definedName>
    <definedName name="_xlnm.Extract" localSheetId="16">제외!$A$1:$N$1</definedName>
    <definedName name="_xlnm.Extract" localSheetId="18">주이서!$A$1:$N$1</definedName>
    <definedName name="_xlnm.Extract" localSheetId="20">진숙!$A$1:$N$1</definedName>
    <definedName name="_xlnm.Extract" localSheetId="19">차홍주!$A$1:$N$1</definedName>
    <definedName name="_xlnm.Extract" localSheetId="0">'합계 (5)'!#REF!</definedName>
  </definedNames>
  <calcPr calcId="152511" calcMode="manual"/>
</workbook>
</file>

<file path=xl/calcChain.xml><?xml version="1.0" encoding="utf-8"?>
<calcChain xmlns="http://schemas.openxmlformats.org/spreadsheetml/2006/main">
  <c r="M3" i="173" l="1"/>
  <c r="M4" i="173"/>
  <c r="M5" i="173"/>
  <c r="M6" i="173"/>
  <c r="M7" i="173"/>
  <c r="M8" i="173"/>
  <c r="M9" i="173"/>
  <c r="M10" i="173"/>
  <c r="M11" i="173"/>
  <c r="M12" i="173"/>
  <c r="M13" i="173"/>
  <c r="M14" i="173"/>
  <c r="M15" i="173"/>
  <c r="M16" i="173"/>
  <c r="M17" i="173"/>
  <c r="M18" i="173"/>
  <c r="M19" i="173"/>
  <c r="M20" i="173"/>
  <c r="M21" i="173"/>
  <c r="M22" i="173"/>
  <c r="M23" i="173"/>
  <c r="M24" i="173"/>
  <c r="M25" i="173"/>
  <c r="M26" i="173"/>
  <c r="M27" i="173"/>
  <c r="M28" i="173"/>
  <c r="M29" i="173"/>
  <c r="M30" i="173"/>
  <c r="M31" i="173"/>
  <c r="M32" i="173"/>
  <c r="M33" i="173"/>
  <c r="M34" i="173"/>
  <c r="M35" i="173"/>
  <c r="M36" i="173"/>
  <c r="M37" i="173"/>
  <c r="M38" i="173"/>
  <c r="M39" i="173"/>
  <c r="M40" i="173"/>
  <c r="M41" i="173"/>
  <c r="M42" i="173"/>
  <c r="M43" i="173"/>
  <c r="M44" i="173"/>
  <c r="M45" i="173"/>
  <c r="M46" i="173"/>
  <c r="M47" i="173"/>
  <c r="M48" i="173"/>
  <c r="M49" i="173"/>
  <c r="M50" i="173"/>
  <c r="M51" i="173"/>
  <c r="M52" i="173"/>
  <c r="M53" i="173"/>
  <c r="M54" i="173"/>
  <c r="M55" i="173"/>
  <c r="M56" i="173"/>
  <c r="M57" i="173"/>
  <c r="M58" i="173"/>
  <c r="M59" i="173"/>
  <c r="M60" i="173"/>
  <c r="M61" i="173"/>
  <c r="M62" i="173"/>
  <c r="M63" i="173"/>
  <c r="M64" i="173"/>
  <c r="M65" i="173"/>
  <c r="M66" i="173"/>
  <c r="M67" i="173"/>
  <c r="M68" i="173"/>
  <c r="M69" i="173"/>
  <c r="M70" i="173"/>
  <c r="M71" i="173"/>
  <c r="M72" i="173"/>
  <c r="M73" i="173"/>
  <c r="M74" i="173"/>
  <c r="M75" i="173"/>
  <c r="M76" i="173"/>
  <c r="M77" i="173"/>
  <c r="M78" i="173"/>
  <c r="M79" i="173"/>
  <c r="M80" i="173"/>
  <c r="M81" i="173"/>
  <c r="M82" i="173"/>
  <c r="M83" i="173"/>
  <c r="M84" i="173"/>
  <c r="M85" i="173"/>
  <c r="M86" i="173"/>
  <c r="M87" i="173"/>
  <c r="M88" i="173"/>
  <c r="M89" i="173"/>
  <c r="M90" i="173"/>
  <c r="M91" i="173"/>
  <c r="M92" i="173"/>
  <c r="M93" i="173"/>
  <c r="M94" i="173"/>
  <c r="M95" i="173"/>
  <c r="M96" i="173"/>
  <c r="M97" i="173"/>
  <c r="M98" i="173"/>
  <c r="M99" i="173"/>
  <c r="M100" i="173"/>
  <c r="M101" i="173"/>
  <c r="M102" i="173"/>
  <c r="M103" i="173"/>
  <c r="M104" i="173"/>
  <c r="M105" i="173"/>
  <c r="M106" i="173"/>
  <c r="M107" i="173"/>
  <c r="M108" i="173"/>
  <c r="M109" i="173"/>
  <c r="N109" i="173" s="1"/>
  <c r="M110" i="173"/>
  <c r="N110" i="173" s="1"/>
  <c r="M111" i="173"/>
  <c r="N111" i="173" s="1"/>
  <c r="M112" i="173"/>
  <c r="N112" i="173" s="1"/>
  <c r="M113" i="173"/>
  <c r="N113" i="173" s="1"/>
  <c r="M114" i="173"/>
  <c r="N114" i="173" s="1"/>
  <c r="M115" i="173"/>
  <c r="N115" i="173" s="1"/>
  <c r="M116" i="173"/>
  <c r="N116" i="173" s="1"/>
  <c r="M117" i="173"/>
  <c r="N117" i="173" s="1"/>
  <c r="M118" i="173"/>
  <c r="N118" i="173" s="1"/>
  <c r="M119" i="173"/>
  <c r="N119" i="173" s="1"/>
  <c r="M120" i="173"/>
  <c r="N120" i="173" s="1"/>
  <c r="M121" i="173"/>
  <c r="N121" i="173" s="1"/>
  <c r="M122" i="173"/>
  <c r="N122" i="173" s="1"/>
  <c r="M123" i="173"/>
  <c r="N123" i="173" s="1"/>
  <c r="M124" i="173"/>
  <c r="N124" i="173" s="1"/>
  <c r="M125" i="173"/>
  <c r="N125" i="173" s="1"/>
  <c r="M126" i="173"/>
  <c r="N126" i="173" s="1"/>
  <c r="M127" i="173"/>
  <c r="M128" i="173"/>
  <c r="M129" i="173"/>
  <c r="M130" i="173"/>
  <c r="M131" i="173"/>
  <c r="M132" i="173"/>
  <c r="M133" i="173"/>
  <c r="M134" i="173"/>
  <c r="M135" i="173"/>
  <c r="M136" i="173"/>
  <c r="M137" i="173"/>
  <c r="M138" i="173"/>
  <c r="M139" i="173"/>
  <c r="M140" i="173"/>
  <c r="M141" i="173"/>
  <c r="M142" i="173"/>
  <c r="M143" i="173"/>
  <c r="M144" i="173"/>
  <c r="M145" i="173"/>
  <c r="M146" i="173"/>
  <c r="M147" i="173"/>
  <c r="M148" i="173"/>
  <c r="M149" i="173"/>
  <c r="M150" i="173"/>
  <c r="M151" i="173"/>
  <c r="M152" i="173"/>
  <c r="M153" i="173"/>
  <c r="M154" i="173"/>
  <c r="M155" i="173"/>
  <c r="M156" i="173"/>
  <c r="M157" i="173"/>
  <c r="M158" i="173"/>
  <c r="M159" i="173"/>
  <c r="M160" i="173"/>
  <c r="M161" i="173"/>
  <c r="M162" i="173"/>
  <c r="M163" i="173"/>
  <c r="M164" i="173"/>
  <c r="M165" i="173"/>
  <c r="M166" i="173"/>
  <c r="M167" i="173"/>
  <c r="M168" i="173"/>
  <c r="M169" i="173"/>
  <c r="M170" i="173"/>
  <c r="M171" i="173"/>
  <c r="M172" i="173"/>
  <c r="M173" i="173"/>
  <c r="M174" i="173"/>
  <c r="M175" i="173"/>
  <c r="M176" i="173"/>
  <c r="M177" i="173"/>
  <c r="M178" i="173"/>
  <c r="M179" i="173"/>
  <c r="M180" i="173"/>
  <c r="M181" i="173"/>
  <c r="M182" i="173"/>
  <c r="M183" i="173"/>
  <c r="M184" i="173"/>
  <c r="M185" i="173"/>
  <c r="M186" i="173"/>
  <c r="M187" i="173"/>
  <c r="M188" i="173"/>
  <c r="M189" i="173"/>
  <c r="M190" i="173"/>
  <c r="M191" i="173"/>
  <c r="M192" i="173"/>
  <c r="M193" i="173"/>
  <c r="M194" i="173"/>
  <c r="M195" i="173"/>
  <c r="M196" i="173"/>
  <c r="M197" i="173"/>
  <c r="M198" i="173"/>
  <c r="M199" i="173"/>
  <c r="M200" i="173"/>
  <c r="M201" i="173"/>
  <c r="M202" i="173"/>
  <c r="M203" i="173"/>
  <c r="M204" i="173"/>
  <c r="M205" i="173"/>
  <c r="M206" i="173"/>
  <c r="M207" i="173"/>
  <c r="M208" i="173"/>
  <c r="M209" i="173"/>
  <c r="M210" i="173"/>
  <c r="M211" i="173"/>
  <c r="M212" i="173"/>
  <c r="M213" i="173"/>
  <c r="M214" i="173"/>
  <c r="M215" i="173"/>
  <c r="M216" i="173"/>
  <c r="M217" i="173"/>
  <c r="M218" i="173"/>
  <c r="M219" i="173"/>
  <c r="M220" i="173"/>
  <c r="M221" i="173"/>
  <c r="M222" i="173"/>
  <c r="M223" i="173"/>
  <c r="M224" i="173"/>
  <c r="M225" i="173"/>
  <c r="M226" i="173"/>
  <c r="M227" i="173"/>
  <c r="M228" i="173"/>
  <c r="M229" i="173"/>
  <c r="M230" i="173"/>
  <c r="M231" i="173"/>
  <c r="M232" i="173"/>
  <c r="M233" i="173"/>
  <c r="M234" i="173"/>
  <c r="M235" i="173"/>
  <c r="M236" i="173"/>
  <c r="M237" i="173"/>
  <c r="M238" i="173"/>
  <c r="M239" i="173"/>
  <c r="M240" i="173"/>
  <c r="M241" i="173"/>
  <c r="M242" i="173"/>
  <c r="M243" i="173"/>
  <c r="M244" i="173"/>
  <c r="M245" i="173"/>
  <c r="M246" i="173"/>
  <c r="M247" i="173"/>
  <c r="M248" i="173"/>
  <c r="M249" i="173"/>
  <c r="M250" i="173"/>
  <c r="M251" i="173"/>
  <c r="M252" i="173"/>
  <c r="M253" i="173"/>
  <c r="M254" i="173"/>
  <c r="M255" i="173"/>
  <c r="M256" i="173"/>
  <c r="M257" i="173"/>
  <c r="M258" i="173"/>
  <c r="M259" i="173"/>
  <c r="M260" i="173"/>
  <c r="M261" i="173"/>
  <c r="M262" i="173"/>
  <c r="M263" i="173"/>
  <c r="M264" i="173"/>
  <c r="M265" i="173"/>
  <c r="M266" i="173"/>
  <c r="M267" i="173"/>
  <c r="M268" i="173"/>
  <c r="M269" i="173"/>
  <c r="M270" i="173"/>
  <c r="M271" i="173"/>
  <c r="M272" i="173"/>
  <c r="M273" i="173"/>
  <c r="M274" i="173"/>
  <c r="M275" i="173"/>
  <c r="M276" i="173"/>
  <c r="M277" i="173"/>
  <c r="M278" i="173"/>
  <c r="M279" i="173"/>
  <c r="M280" i="173"/>
  <c r="M281" i="173"/>
  <c r="M282" i="173"/>
  <c r="M283" i="173"/>
  <c r="M284" i="173"/>
  <c r="M285" i="173"/>
  <c r="M286" i="173"/>
  <c r="M287" i="173"/>
  <c r="M288" i="173"/>
  <c r="M289" i="173"/>
  <c r="M290" i="173"/>
  <c r="M291" i="173"/>
  <c r="M292" i="173"/>
  <c r="M293" i="173"/>
  <c r="M294" i="173"/>
  <c r="M295" i="173"/>
  <c r="M296" i="173"/>
  <c r="M297" i="173"/>
  <c r="N297" i="173" s="1"/>
  <c r="M298" i="173"/>
  <c r="M299" i="173"/>
  <c r="M300" i="173"/>
  <c r="M301" i="173"/>
  <c r="M302" i="173"/>
  <c r="M303" i="173"/>
  <c r="M304" i="173"/>
  <c r="M305" i="173"/>
  <c r="M306" i="173"/>
  <c r="M307" i="173"/>
  <c r="M308" i="173"/>
  <c r="M309" i="173"/>
  <c r="M310" i="173"/>
  <c r="M311" i="173"/>
  <c r="M312" i="173"/>
  <c r="M313" i="173"/>
  <c r="M314" i="173"/>
  <c r="M315" i="173"/>
  <c r="M316" i="173"/>
  <c r="M317" i="173"/>
  <c r="M318" i="173"/>
  <c r="M319" i="173"/>
  <c r="M320" i="173"/>
  <c r="M321" i="173"/>
  <c r="M322" i="173"/>
  <c r="M323" i="173"/>
  <c r="M324" i="173"/>
  <c r="M325" i="173"/>
  <c r="M326" i="173"/>
  <c r="M327" i="173"/>
  <c r="M328" i="173"/>
  <c r="M329" i="173"/>
  <c r="M330" i="173"/>
  <c r="M331" i="173"/>
  <c r="M332" i="173"/>
  <c r="M333" i="173"/>
  <c r="M334" i="173"/>
  <c r="M335" i="173"/>
  <c r="M336" i="173"/>
  <c r="M337" i="173"/>
  <c r="M338" i="173"/>
  <c r="M339" i="173"/>
  <c r="M340" i="173"/>
  <c r="M341" i="173"/>
  <c r="M342" i="173"/>
  <c r="M343" i="173"/>
  <c r="M344" i="173"/>
  <c r="M345" i="173"/>
  <c r="M346" i="173"/>
  <c r="M347" i="173"/>
  <c r="M348" i="173"/>
  <c r="M349" i="173"/>
  <c r="M350" i="173"/>
  <c r="M351" i="173"/>
  <c r="M352" i="173"/>
  <c r="M353" i="173"/>
  <c r="M354" i="173"/>
  <c r="M355" i="173"/>
  <c r="M356" i="173"/>
  <c r="M357" i="173"/>
  <c r="M358" i="173"/>
  <c r="M359" i="173"/>
  <c r="M360" i="173"/>
  <c r="M361" i="173"/>
  <c r="M362" i="173"/>
  <c r="M363" i="173"/>
  <c r="N363" i="173" s="1"/>
  <c r="M364" i="173"/>
  <c r="M365" i="173"/>
  <c r="M366" i="173"/>
  <c r="M367" i="173"/>
  <c r="M368" i="173"/>
  <c r="M369" i="173"/>
  <c r="M370" i="173"/>
  <c r="M371" i="173"/>
  <c r="M372" i="173"/>
  <c r="M373" i="173"/>
  <c r="M374" i="173"/>
  <c r="N374" i="173" s="1"/>
  <c r="M375" i="173"/>
  <c r="N375" i="173" s="1"/>
  <c r="M376" i="173"/>
  <c r="N376" i="173" s="1"/>
  <c r="M377" i="173"/>
  <c r="N377" i="173" s="1"/>
  <c r="M378" i="173"/>
  <c r="N378" i="173" s="1"/>
  <c r="M379" i="173"/>
  <c r="N379" i="173" s="1"/>
  <c r="M380" i="173"/>
  <c r="N380" i="173" s="1"/>
  <c r="M381" i="173"/>
  <c r="N381" i="173" s="1"/>
  <c r="M382" i="173"/>
  <c r="N382" i="173" s="1"/>
  <c r="M383" i="173"/>
  <c r="N383" i="173" s="1"/>
  <c r="M384" i="173"/>
  <c r="N384" i="173" s="1"/>
  <c r="M385" i="173"/>
  <c r="N385" i="173" s="1"/>
  <c r="M386" i="173"/>
  <c r="N386" i="173" s="1"/>
  <c r="M387" i="173"/>
  <c r="N387" i="173" s="1"/>
  <c r="M388" i="173"/>
  <c r="N388" i="173" s="1"/>
  <c r="M389" i="173"/>
  <c r="N389" i="173" s="1"/>
  <c r="M390" i="173"/>
  <c r="N390" i="173" s="1"/>
  <c r="M391" i="173"/>
  <c r="N391" i="173" s="1"/>
  <c r="M392" i="173"/>
  <c r="N392" i="173" s="1"/>
  <c r="M393" i="173"/>
  <c r="N393" i="173" s="1"/>
  <c r="M394" i="173"/>
  <c r="N394" i="173" s="1"/>
  <c r="M395" i="173"/>
  <c r="N395" i="173" s="1"/>
  <c r="M396" i="173"/>
  <c r="N396" i="173" s="1"/>
  <c r="M397" i="173"/>
  <c r="N397" i="173" s="1"/>
  <c r="M398" i="173"/>
  <c r="N398" i="173" s="1"/>
  <c r="M399" i="173"/>
  <c r="N399" i="173" s="1"/>
  <c r="M400" i="173"/>
  <c r="N400" i="173" s="1"/>
  <c r="M401" i="173"/>
  <c r="N401" i="173" s="1"/>
  <c r="M402" i="173"/>
  <c r="N402" i="173" s="1"/>
  <c r="M403" i="173"/>
  <c r="N403" i="173" s="1"/>
  <c r="M404" i="173"/>
  <c r="N404" i="173" s="1"/>
  <c r="M405" i="173"/>
  <c r="N405" i="173" s="1"/>
  <c r="M406" i="173"/>
  <c r="N406" i="173" s="1"/>
  <c r="M407" i="173"/>
  <c r="N407" i="173" s="1"/>
  <c r="M408" i="173"/>
  <c r="N408" i="173" s="1"/>
  <c r="M409" i="173"/>
  <c r="N409" i="173" s="1"/>
  <c r="M410" i="173"/>
  <c r="N410" i="173" s="1"/>
  <c r="M411" i="173"/>
  <c r="N411" i="173" s="1"/>
  <c r="M412" i="173"/>
  <c r="N412" i="173" s="1"/>
  <c r="M413" i="173"/>
  <c r="N413" i="173" s="1"/>
  <c r="M414" i="173"/>
  <c r="N414" i="173" s="1"/>
  <c r="M415" i="173"/>
  <c r="N415" i="173" s="1"/>
  <c r="M416" i="173"/>
  <c r="N416" i="173" s="1"/>
  <c r="M417" i="173"/>
  <c r="N417" i="173" s="1"/>
  <c r="M418" i="173"/>
  <c r="N418" i="173" s="1"/>
  <c r="M419" i="173"/>
  <c r="N419" i="173" s="1"/>
  <c r="M420" i="173"/>
  <c r="N420" i="173" s="1"/>
  <c r="M421" i="173"/>
  <c r="N421" i="173" s="1"/>
  <c r="M422" i="173"/>
  <c r="N422" i="173" s="1"/>
  <c r="M423" i="173"/>
  <c r="N423" i="173" s="1"/>
  <c r="M424" i="173"/>
  <c r="N424" i="173" s="1"/>
  <c r="M425" i="173"/>
  <c r="N425" i="173" s="1"/>
  <c r="M426" i="173"/>
  <c r="N426" i="173" s="1"/>
  <c r="M427" i="173"/>
  <c r="N427" i="173" s="1"/>
  <c r="M428" i="173"/>
  <c r="N428" i="173" s="1"/>
  <c r="M429" i="173"/>
  <c r="N429" i="173" s="1"/>
  <c r="M430" i="173"/>
  <c r="N430" i="173" s="1"/>
  <c r="M431" i="173"/>
  <c r="N431" i="173" s="1"/>
  <c r="M432" i="173"/>
  <c r="N432" i="173" s="1"/>
  <c r="M433" i="173"/>
  <c r="N433" i="173" s="1"/>
  <c r="M434" i="173"/>
  <c r="N434" i="173" s="1"/>
  <c r="M435" i="173"/>
  <c r="N435" i="173" s="1"/>
  <c r="M436" i="173"/>
  <c r="N436" i="173" s="1"/>
  <c r="M437" i="173"/>
  <c r="N437" i="173" s="1"/>
  <c r="M438" i="173"/>
  <c r="N438" i="173" s="1"/>
  <c r="M439" i="173"/>
  <c r="N439" i="173" s="1"/>
  <c r="M440" i="173"/>
  <c r="N440" i="173" s="1"/>
  <c r="M441" i="173"/>
  <c r="N441" i="173" s="1"/>
  <c r="M442" i="173"/>
  <c r="N442" i="173" s="1"/>
  <c r="M443" i="173"/>
  <c r="N443" i="173" s="1"/>
  <c r="M444" i="173"/>
  <c r="N444" i="173" s="1"/>
  <c r="M445" i="173"/>
  <c r="N445" i="173" s="1"/>
  <c r="M446" i="173"/>
  <c r="N446" i="173" s="1"/>
  <c r="M447" i="173"/>
  <c r="N447" i="173" s="1"/>
  <c r="M448" i="173"/>
  <c r="N448" i="173" s="1"/>
  <c r="M449" i="173"/>
  <c r="N449" i="173" s="1"/>
  <c r="M450" i="173"/>
  <c r="N450" i="173" s="1"/>
  <c r="M451" i="173"/>
  <c r="N451" i="173" s="1"/>
  <c r="M452" i="173"/>
  <c r="N452" i="173" s="1"/>
  <c r="M2" i="173"/>
  <c r="L685" i="173" l="1"/>
  <c r="L744" i="173" l="1"/>
  <c r="N307" i="173" l="1"/>
  <c r="N367" i="173"/>
  <c r="N191" i="173"/>
  <c r="N365" i="173"/>
  <c r="N132" i="173"/>
  <c r="N296" i="173"/>
  <c r="N295" i="173"/>
  <c r="N141" i="173"/>
  <c r="N76" i="173" l="1"/>
  <c r="N173" i="173"/>
  <c r="N156" i="173"/>
  <c r="N70" i="173"/>
  <c r="N155" i="173"/>
  <c r="N162" i="173"/>
  <c r="N45" i="173"/>
  <c r="N73" i="173"/>
  <c r="N239" i="173"/>
  <c r="N175" i="173"/>
  <c r="N165" i="173"/>
  <c r="N77" i="173"/>
  <c r="N154" i="173"/>
  <c r="N75" i="173"/>
  <c r="N105" i="173"/>
  <c r="N167" i="173"/>
  <c r="N102" i="173"/>
  <c r="N158" i="173"/>
  <c r="N71" i="173"/>
  <c r="N157" i="173"/>
  <c r="N140" i="173"/>
  <c r="N139" i="173"/>
  <c r="N241" i="173"/>
  <c r="N177" i="173"/>
  <c r="N97" i="173"/>
  <c r="N136" i="173"/>
  <c r="N159" i="173"/>
  <c r="N79" i="173"/>
  <c r="N246" i="173"/>
  <c r="N94" i="173"/>
  <c r="N174" i="173"/>
  <c r="N138" i="173"/>
  <c r="N169" i="173"/>
  <c r="N89" i="173"/>
  <c r="N72" i="173"/>
  <c r="N108" i="173"/>
  <c r="N107" i="173"/>
  <c r="N161" i="173"/>
  <c r="N104" i="173"/>
  <c r="N166" i="173"/>
  <c r="N78" i="173"/>
  <c r="N133" i="173"/>
  <c r="N244" i="173"/>
  <c r="N180" i="173"/>
  <c r="N100" i="173"/>
  <c r="N243" i="173"/>
  <c r="N179" i="173"/>
  <c r="N99" i="173"/>
  <c r="N106" i="173"/>
  <c r="N153" i="173"/>
  <c r="N74" i="173"/>
  <c r="N240" i="173"/>
  <c r="N176" i="173"/>
  <c r="N96" i="173"/>
  <c r="N135" i="173"/>
  <c r="N101" i="173"/>
  <c r="N172" i="173"/>
  <c r="N92" i="173"/>
  <c r="N171" i="173"/>
  <c r="N91" i="173"/>
  <c r="N242" i="173"/>
  <c r="N178" i="173"/>
  <c r="N98" i="173"/>
  <c r="N168" i="173"/>
  <c r="N245" i="173"/>
  <c r="N93" i="173"/>
  <c r="N164" i="173"/>
  <c r="N163" i="173"/>
  <c r="N170" i="173"/>
  <c r="N90" i="173"/>
  <c r="N137" i="173"/>
  <c r="N160" i="173"/>
  <c r="N80" i="173"/>
  <c r="N103" i="173"/>
  <c r="N95" i="173"/>
  <c r="N134" i="173"/>
  <c r="N317" i="173"/>
  <c r="N321" i="173"/>
  <c r="N318" i="173"/>
  <c r="N325" i="173"/>
  <c r="N323" i="173"/>
  <c r="N320" i="173"/>
  <c r="N315" i="173"/>
  <c r="N324" i="173"/>
  <c r="N322" i="173"/>
  <c r="N316" i="173"/>
  <c r="N314" i="173"/>
  <c r="N327" i="173"/>
  <c r="N319" i="173"/>
  <c r="N326" i="173"/>
  <c r="N237" i="173"/>
  <c r="N236" i="173"/>
  <c r="N238" i="173"/>
  <c r="N347" i="173"/>
  <c r="N354" i="173"/>
  <c r="N341" i="173"/>
  <c r="N339" i="173"/>
  <c r="N346" i="173"/>
  <c r="N349" i="173"/>
  <c r="N301" i="173"/>
  <c r="N351" i="173"/>
  <c r="N348" i="173"/>
  <c r="N340" i="173"/>
  <c r="N300" i="173"/>
  <c r="N353" i="173"/>
  <c r="N350" i="173"/>
  <c r="N299" i="173"/>
  <c r="N298" i="173"/>
  <c r="N352" i="173"/>
  <c r="N344" i="173"/>
  <c r="N331" i="173"/>
  <c r="N333" i="173"/>
  <c r="N369" i="173"/>
  <c r="N343" i="173"/>
  <c r="N335" i="173"/>
  <c r="N332" i="173"/>
  <c r="N368" i="173"/>
  <c r="N370" i="173"/>
  <c r="N345" i="173"/>
  <c r="N342" i="173"/>
  <c r="N334" i="173"/>
  <c r="N34" i="173"/>
  <c r="N85" i="173"/>
  <c r="N82" i="173"/>
  <c r="N87" i="173"/>
  <c r="N86" i="173"/>
  <c r="N81" i="173"/>
  <c r="N88" i="173"/>
  <c r="N84" i="173"/>
  <c r="N83" i="173"/>
  <c r="N336" i="173"/>
  <c r="N338" i="173"/>
  <c r="N305" i="173"/>
  <c r="N366" i="173"/>
  <c r="N304" i="173"/>
  <c r="N306" i="173"/>
  <c r="N337" i="173"/>
  <c r="N2" i="173"/>
  <c r="N12" i="173"/>
  <c r="N13" i="173"/>
  <c r="N284" i="173"/>
  <c r="N283" i="173"/>
  <c r="N69" i="173"/>
  <c r="N290" i="173"/>
  <c r="N11" i="173"/>
  <c r="N280" i="173"/>
  <c r="N14" i="173"/>
  <c r="N276" i="173"/>
  <c r="N275" i="173"/>
  <c r="N282" i="173"/>
  <c r="N249" i="173"/>
  <c r="N272" i="173"/>
  <c r="N15" i="173"/>
  <c r="N254" i="173"/>
  <c r="N293" i="173"/>
  <c r="N285" i="173"/>
  <c r="N274" i="173"/>
  <c r="N287" i="173"/>
  <c r="N8" i="173"/>
  <c r="N7" i="173"/>
  <c r="N277" i="173"/>
  <c r="N17" i="173"/>
  <c r="N279" i="173"/>
  <c r="N252" i="173"/>
  <c r="N251" i="173"/>
  <c r="N289" i="173"/>
  <c r="N10" i="173"/>
  <c r="N248" i="173"/>
  <c r="N294" i="173"/>
  <c r="N286" i="173"/>
  <c r="N250" i="173"/>
  <c r="N281" i="173"/>
  <c r="N4" i="173"/>
  <c r="N253" i="173"/>
  <c r="N273" i="173"/>
  <c r="N16" i="173"/>
  <c r="N278" i="173"/>
  <c r="N3" i="173"/>
  <c r="N292" i="173"/>
  <c r="N6" i="173"/>
  <c r="N291" i="173"/>
  <c r="N5" i="173"/>
  <c r="N18" i="173"/>
  <c r="N288" i="173"/>
  <c r="N9" i="173"/>
  <c r="N247" i="173"/>
  <c r="N44" i="173"/>
  <c r="N36" i="173"/>
  <c r="N41" i="173"/>
  <c r="N40" i="173"/>
  <c r="N39" i="173"/>
  <c r="N38" i="173"/>
  <c r="N42" i="173"/>
  <c r="N35" i="173"/>
  <c r="N37" i="173"/>
  <c r="N43" i="173"/>
  <c r="N55" i="173"/>
  <c r="N60" i="173"/>
  <c r="N28" i="173"/>
  <c r="N220" i="173"/>
  <c r="N219" i="173"/>
  <c r="N226" i="173"/>
  <c r="N257" i="173"/>
  <c r="N193" i="173"/>
  <c r="N29" i="173"/>
  <c r="N262" i="173"/>
  <c r="N198" i="173"/>
  <c r="N22" i="173"/>
  <c r="N229" i="173"/>
  <c r="N62" i="173"/>
  <c r="N61" i="173"/>
  <c r="N218" i="173"/>
  <c r="N31" i="173"/>
  <c r="N66" i="173"/>
  <c r="N231" i="173"/>
  <c r="N221" i="173"/>
  <c r="N63" i="173"/>
  <c r="N268" i="173"/>
  <c r="N48" i="173"/>
  <c r="N267" i="173"/>
  <c r="N47" i="173"/>
  <c r="N68" i="173"/>
  <c r="N24" i="173"/>
  <c r="N264" i="173"/>
  <c r="N200" i="173"/>
  <c r="N59" i="173"/>
  <c r="N223" i="173"/>
  <c r="N222" i="173"/>
  <c r="N56" i="173"/>
  <c r="N260" i="173"/>
  <c r="N196" i="173"/>
  <c r="N259" i="173"/>
  <c r="N195" i="173"/>
  <c r="N266" i="173"/>
  <c r="N54" i="173"/>
  <c r="N233" i="173"/>
  <c r="N256" i="173"/>
  <c r="N192" i="173"/>
  <c r="N52" i="173"/>
  <c r="N269" i="173"/>
  <c r="N33" i="173"/>
  <c r="N258" i="173"/>
  <c r="N194" i="173"/>
  <c r="N46" i="173"/>
  <c r="N225" i="173"/>
  <c r="N271" i="173"/>
  <c r="N65" i="173"/>
  <c r="N230" i="173"/>
  <c r="N23" i="173"/>
  <c r="N261" i="173"/>
  <c r="N197" i="173"/>
  <c r="N27" i="173"/>
  <c r="N26" i="173"/>
  <c r="N30" i="173"/>
  <c r="N263" i="173"/>
  <c r="N199" i="173"/>
  <c r="N58" i="173"/>
  <c r="N64" i="173"/>
  <c r="N20" i="173"/>
  <c r="N235" i="173"/>
  <c r="N19" i="173"/>
  <c r="N25" i="173"/>
  <c r="N67" i="173"/>
  <c r="N232" i="173"/>
  <c r="N255" i="173"/>
  <c r="N51" i="173"/>
  <c r="N57" i="173"/>
  <c r="N21" i="173"/>
  <c r="N228" i="173"/>
  <c r="N227" i="173"/>
  <c r="N234" i="173"/>
  <c r="N265" i="173"/>
  <c r="N201" i="173"/>
  <c r="N53" i="173"/>
  <c r="N224" i="173"/>
  <c r="N270" i="173"/>
  <c r="N50" i="173"/>
  <c r="N357" i="173"/>
  <c r="N359" i="173"/>
  <c r="N356" i="173"/>
  <c r="N361" i="173"/>
  <c r="N358" i="173"/>
  <c r="N360" i="173"/>
  <c r="N355" i="173"/>
  <c r="N362" i="173"/>
  <c r="N129" i="173"/>
  <c r="N131" i="173"/>
  <c r="N128" i="173"/>
  <c r="N130" i="173"/>
  <c r="N127" i="173"/>
  <c r="N216" i="173"/>
  <c r="N212" i="173"/>
  <c r="N211" i="173"/>
  <c r="N208" i="173"/>
  <c r="N204" i="173"/>
  <c r="N203" i="173"/>
  <c r="N210" i="173"/>
  <c r="N213" i="173"/>
  <c r="N202" i="173"/>
  <c r="N215" i="173"/>
  <c r="N205" i="173"/>
  <c r="N49" i="173"/>
  <c r="N207" i="173"/>
  <c r="N217" i="173"/>
  <c r="N209" i="173"/>
  <c r="N214" i="173"/>
  <c r="N206" i="173"/>
  <c r="N152" i="173"/>
  <c r="N148" i="173"/>
  <c r="N147" i="173"/>
  <c r="N185" i="173"/>
  <c r="N144" i="173"/>
  <c r="N190" i="173"/>
  <c r="N146" i="173"/>
  <c r="N182" i="173"/>
  <c r="N149" i="173"/>
  <c r="N151" i="173"/>
  <c r="N188" i="173"/>
  <c r="N187" i="173"/>
  <c r="N184" i="173"/>
  <c r="N143" i="173"/>
  <c r="N186" i="173"/>
  <c r="N32" i="173"/>
  <c r="N189" i="173"/>
  <c r="N145" i="173"/>
  <c r="N150" i="173"/>
  <c r="N181" i="173"/>
  <c r="N183" i="173"/>
  <c r="N142" i="173"/>
  <c r="N373" i="173"/>
  <c r="N372" i="173"/>
  <c r="N364" i="173"/>
  <c r="N371" i="173"/>
  <c r="N309" i="173"/>
  <c r="N313" i="173"/>
  <c r="N310" i="173"/>
  <c r="N312" i="173"/>
  <c r="N308" i="173"/>
  <c r="N311" i="173"/>
  <c r="N303" i="173"/>
  <c r="N302" i="173"/>
  <c r="N329" i="173"/>
  <c r="N328" i="173"/>
  <c r="N330" i="173"/>
</calcChain>
</file>

<file path=xl/sharedStrings.xml><?xml version="1.0" encoding="utf-8"?>
<sst xmlns="http://schemas.openxmlformats.org/spreadsheetml/2006/main" count="5846" uniqueCount="542">
  <si>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</si>
  <si>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</si>
  <si>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</si>
  <si>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</si>
  <si>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</si>
  <si>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</si>
  <si>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</si>
  <si>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</si>
  <si>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</si>
  <si>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</si>
  <si>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</si>
  <si>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</si>
  <si>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</si>
  <si>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</si>
  <si>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</si>
  <si>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</si>
  <si>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</si>
  <si>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</si>
  <si>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</si>
  <si>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</si>
  <si>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</si>
  <si>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</si>
  <si>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최종 보스 : 빛을 향해 달리는 그림자</t>
  </si>
  <si>
    <t>회귀의 전설</t>
  </si>
  <si>
    <t>로드 오브 머니 5</t>
  </si>
  <si>
    <t>형사의 게임 12 (완결)</t>
  </si>
  <si>
    <t>형사의 게임 11</t>
  </si>
  <si>
    <t>형사의 게임 10</t>
  </si>
  <si>
    <t>형사의 게임 3</t>
  </si>
  <si>
    <t>형사의 게임 2</t>
  </si>
  <si>
    <t>형사의 게임 6</t>
  </si>
  <si>
    <t>형사의 게임 4</t>
  </si>
  <si>
    <t>형사의 게임 5</t>
  </si>
  <si>
    <t>형사의 게임 8</t>
  </si>
  <si>
    <t>형사의 게임 9</t>
  </si>
  <si>
    <t>형사의 게임 7</t>
  </si>
  <si>
    <t>최종 보스 : 빛을 향해 달리는 그림자 1부 17 (완결)</t>
  </si>
  <si>
    <t>최종 보스 : 빛을 향해 달리는 그림자 1부 11</t>
  </si>
  <si>
    <t>최종 보스 : 빛을 향해 달리는 그림자 1부 12</t>
  </si>
  <si>
    <t>최종 보스 : 빛을 향해 달리는 그림자 1부 10</t>
  </si>
  <si>
    <t>최종 보스 : 빛을 향해 달리는 그림자 1부 13</t>
  </si>
  <si>
    <t>최종 보스 : 빛을 향해 달리는 그림자 1부 15</t>
  </si>
  <si>
    <t>최종 보스 : 빛을 향해 달리는 그림자 1부 16</t>
  </si>
  <si>
    <t>최종 보스 : 빛을 향해 달리는 그림자 1부 14</t>
  </si>
  <si>
    <t>최종 보스 : 빛을 향해 달리는 그림자 1부 2</t>
  </si>
  <si>
    <t>갓 오브 블랙필드 2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</si>
  <si>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</si>
  <si>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</si>
  <si>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</si>
  <si>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</si>
  <si>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</si>
  <si>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검산도해 2</t>
  </si>
  <si>
    <t>가람검</t>
  </si>
  <si>
    <t>회귀의 전설 2부 24</t>
  </si>
  <si>
    <t>회귀의 전설 2부 25</t>
  </si>
  <si>
    <t>회귀의 전설 2부 23</t>
  </si>
  <si>
    <t>회귀의 전설 2부 22</t>
  </si>
  <si>
    <t>회귀의 전설 2부 43 (2부 완결)</t>
  </si>
  <si>
    <t>회귀의 전설 2부 26</t>
  </si>
  <si>
    <t>회귀의 전설 2부 31</t>
  </si>
  <si>
    <t>회귀의 전설 2부 29</t>
  </si>
  <si>
    <t>회귀의 전설 2부 28</t>
  </si>
  <si>
    <t>회귀의 전설 2부 27</t>
  </si>
  <si>
    <t>회귀의 전설 2부 32</t>
  </si>
  <si>
    <t>회귀의 전설 2부 33</t>
  </si>
  <si>
    <t>회귀의 전설 2부 30</t>
  </si>
  <si>
    <t>회귀의 전설 2부 38</t>
  </si>
  <si>
    <t>회귀의 전설 2부 39</t>
  </si>
  <si>
    <t>회귀의 전설 2부 35</t>
  </si>
  <si>
    <t>회귀의 전설 2부 34</t>
  </si>
  <si>
    <t>회귀의 전설 2부 36</t>
  </si>
  <si>
    <t>회귀의 전설 2부 37</t>
  </si>
  <si>
    <t>회귀의 전설 2부 42</t>
  </si>
  <si>
    <t>회귀의 전설 2부 41</t>
  </si>
  <si>
    <t>회귀의 전설 2부 40</t>
  </si>
  <si>
    <t>21세기 대마법사  2</t>
  </si>
  <si>
    <t>21세기 대마법사  3</t>
  </si>
  <si>
    <t>21세기 대마법사  4</t>
  </si>
  <si>
    <t>21세기 대마법사  5</t>
  </si>
  <si>
    <t>21세기 대마법사  6</t>
  </si>
  <si>
    <t>21세기 대마법사  7</t>
  </si>
  <si>
    <t>21세기 대마법사  8</t>
  </si>
  <si>
    <t>21세기 대마법사  9</t>
  </si>
  <si>
    <t>21세기 대마법사 10</t>
  </si>
  <si>
    <t>21세기 대마법사 11</t>
  </si>
  <si>
    <t>21세기 대마법사 12</t>
  </si>
  <si>
    <t>21세기 대마법사 13</t>
  </si>
  <si>
    <t>21세기 대마법사 14</t>
  </si>
  <si>
    <t>21세기 대마법사 15</t>
  </si>
  <si>
    <t>21세기 대마법사 16</t>
  </si>
  <si>
    <t>21세기 대마법사 17</t>
  </si>
  <si>
    <t>21세기 대마법사 18 (완결)</t>
  </si>
  <si>
    <t>B2B</t>
  </si>
  <si>
    <t>갓 오브 블랙필드 14</t>
  </si>
  <si>
    <t>로드 오브 머니 2</t>
  </si>
  <si>
    <t>로드 오브 머니 3</t>
  </si>
  <si>
    <t>로드 오브 머니 4</t>
  </si>
  <si>
    <t>망작 리메이커 2</t>
  </si>
  <si>
    <t>덕킹</t>
  </si>
  <si>
    <t>망작 리메이커 3</t>
  </si>
  <si>
    <t>망작 리메이커 4</t>
  </si>
  <si>
    <t>망작 리메이커 5</t>
  </si>
  <si>
    <t>망작 리메이커 6</t>
  </si>
  <si>
    <t>망작 리메이커 7</t>
  </si>
  <si>
    <t>망작 리메이커 8</t>
  </si>
  <si>
    <t>용무쌍 2</t>
  </si>
  <si>
    <t>용무쌍 3</t>
  </si>
  <si>
    <t>용중신권 2</t>
  </si>
  <si>
    <t>용중신권 3</t>
  </si>
  <si>
    <t>용중신권 4</t>
  </si>
  <si>
    <t>용중신권 5</t>
  </si>
  <si>
    <t>용중신권 6</t>
  </si>
  <si>
    <t>용중신권 7 (완결)</t>
  </si>
  <si>
    <t>유성하소월 2</t>
  </si>
  <si>
    <t>트루베니아 연대기  2</t>
  </si>
  <si>
    <t>트루베니아 연대기  3</t>
  </si>
  <si>
    <t>트루베니아 연대기  4</t>
  </si>
  <si>
    <t>트루베니아 연대기  5</t>
  </si>
  <si>
    <t>트루베니아 연대기  6</t>
  </si>
  <si>
    <t>트루베니아 연대기  7</t>
  </si>
  <si>
    <t>트루베니아 연대기  8</t>
  </si>
  <si>
    <t>트루베니아 연대기  9</t>
  </si>
  <si>
    <t>화산검제 (2부) 1</t>
  </si>
  <si>
    <t>화산검제 (2부) 2</t>
  </si>
  <si>
    <t>화산검제 (2부) 3</t>
  </si>
  <si>
    <t>화산검제 (2부) 4</t>
  </si>
  <si>
    <t>화산검제 (2부) 5 (완결)</t>
  </si>
  <si>
    <t>갓 오브 블랙필드 20</t>
  </si>
  <si>
    <t>갓 오브 블랙필드 21</t>
  </si>
  <si>
    <t>갓 오브 블랙필드 22</t>
  </si>
  <si>
    <t>갓 오브 블랙필드 23</t>
  </si>
  <si>
    <t>갓 오브 블랙필드 24</t>
  </si>
  <si>
    <t>갓 오브 블랙필드 외전 1</t>
  </si>
  <si>
    <t>다크메이지 3부 - 마왕 데이몬</t>
  </si>
  <si>
    <t>[시리즈]도폐풍운록 2</t>
  </si>
  <si>
    <t>[시리즈]도폐풍운록 3</t>
  </si>
  <si>
    <t>[시리즈]도폐풍운록 4 (완결)</t>
  </si>
  <si>
    <t>로드 오브 머니</t>
  </si>
  <si>
    <t>[시리즈]로드 오브 머니 10</t>
  </si>
  <si>
    <t>[시리즈]로드 오브 머니 11</t>
  </si>
  <si>
    <t>[시리즈]로드 오브 머니 12</t>
  </si>
  <si>
    <t>[시리즈]로드 오브 머니 13</t>
  </si>
  <si>
    <t>[시리즈]로드 오브 머니 14</t>
  </si>
  <si>
    <t>[시리즈]로드 오브 머니 15 (완결)</t>
  </si>
  <si>
    <t>[시리즈]로드 오브 머니 2</t>
  </si>
  <si>
    <t>[시리즈]로드 오브 머니 3</t>
  </si>
  <si>
    <t>[시리즈]로드 오브 머니 4</t>
  </si>
  <si>
    <t>[시리즈]로드 오브 머니 5</t>
  </si>
  <si>
    <t>[시리즈]로드 오브 머니 6</t>
  </si>
  <si>
    <t>[시리즈]로드 오브 머니 7</t>
  </si>
  <si>
    <t>[시리즈]로드 오브 머니 8</t>
  </si>
  <si>
    <t>[시리즈]로드 오브 머니 9</t>
  </si>
  <si>
    <t>스트라이커</t>
  </si>
  <si>
    <t>독고진</t>
  </si>
  <si>
    <t>신들의 알바나라</t>
  </si>
  <si>
    <t>갓띵작</t>
  </si>
  <si>
    <t>[시리즈]아나크레온 10</t>
  </si>
  <si>
    <t>아나크레온 10</t>
  </si>
  <si>
    <t>아나크레온 11</t>
  </si>
  <si>
    <t>[시리즈]아나크레온 11</t>
  </si>
  <si>
    <t>[시리즈]아나크레온 12</t>
  </si>
  <si>
    <t>아나크레온 12</t>
  </si>
  <si>
    <t>아나크레온 13</t>
  </si>
  <si>
    <t>[시리즈]아나크레온 13</t>
  </si>
  <si>
    <t>[시리즈]아나크레온 14</t>
  </si>
  <si>
    <t>[시리즈]아나크레온 15</t>
  </si>
  <si>
    <t>[시리즈]아나크레온 16 (완결)</t>
  </si>
  <si>
    <t>[시리즈]아나크레온 2</t>
  </si>
  <si>
    <t>[시리즈]아나크레온 3</t>
  </si>
  <si>
    <t>[시리즈]아나크레온 4</t>
  </si>
  <si>
    <t>아나크레온 4</t>
  </si>
  <si>
    <t>아나크레온 5</t>
  </si>
  <si>
    <t>[시리즈]아나크레온 5</t>
  </si>
  <si>
    <t>[시리즈]아나크레온 6</t>
  </si>
  <si>
    <t>아나크레온 6</t>
  </si>
  <si>
    <t>아나크레온 7</t>
  </si>
  <si>
    <t>[시리즈]아나크레온 7</t>
  </si>
  <si>
    <t>[시리즈]아나크레온 8</t>
  </si>
  <si>
    <t>아나크레온 8</t>
  </si>
  <si>
    <t>아나크레온 9</t>
  </si>
  <si>
    <t>[시리즈]아나크레온 9</t>
  </si>
  <si>
    <t>용무쌍 4</t>
  </si>
  <si>
    <t>용무쌍 5</t>
  </si>
  <si>
    <t>은천검제 (1부) 10 (완결)</t>
  </si>
  <si>
    <t>은천검제 (1부) 2</t>
  </si>
  <si>
    <t>은천검제 (1부) 3</t>
  </si>
  <si>
    <t>은천검제 (1부) 4</t>
  </si>
  <si>
    <t>은천검제 (1부) 5</t>
  </si>
  <si>
    <t>은천검제 (1부) 6</t>
  </si>
  <si>
    <t>은천검제 (1부) 7</t>
  </si>
  <si>
    <t>은천검제 (1부) 8</t>
  </si>
  <si>
    <t>은천검제 (1부) 9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</si>
  <si>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</si>
  <si>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</si>
  <si>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</si>
  <si>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</si>
  <si>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</si>
  <si>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</si>
  <si>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</si>
  <si>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 (완결)</t>
  </si>
  <si>
    <t>형사의 게임</t>
  </si>
  <si>
    <t>SSS급 마왕의 귀환 2</t>
  </si>
  <si>
    <t>구유</t>
  </si>
  <si>
    <t>그라운드의 지배자</t>
  </si>
  <si>
    <t>기사가문 망나니는 10클래스</t>
  </si>
  <si>
    <t>예로나</t>
  </si>
  <si>
    <t>낚싯대 하나로 세계최강 2</t>
  </si>
  <si>
    <t>단팥크림빵7</t>
  </si>
  <si>
    <t>마산대학교</t>
  </si>
  <si>
    <t>경남정보대학교</t>
  </si>
  <si>
    <t>낚싯대 하나로 세계최강 3</t>
  </si>
  <si>
    <t>낚싯대 하나로 세계최강 4</t>
  </si>
  <si>
    <t>낚싯대 하나로 세계최강 5</t>
  </si>
  <si>
    <t>낚싯대 하나로 세계최강 6 (완결)</t>
  </si>
  <si>
    <t>레이드 만물상점</t>
  </si>
  <si>
    <t>마스터 K  2</t>
  </si>
  <si>
    <t>[시리즈]마왕 데이몬  2</t>
  </si>
  <si>
    <t>[시리즈]마왕 데이몬  3</t>
  </si>
  <si>
    <t>[시리즈]마왕 데이몬  4</t>
  </si>
  <si>
    <t>[시리즈]마왕 데이몬  5</t>
  </si>
  <si>
    <t>[시리즈]마왕 데이몬  6</t>
  </si>
  <si>
    <t>[시리즈]마왕 데이몬  7</t>
  </si>
  <si>
    <t>[시리즈]마왕 데이몬  8</t>
  </si>
  <si>
    <t>[시리즈]마왕 데이몬  9</t>
  </si>
  <si>
    <t>[시리즈]마왕 데이몬 10</t>
  </si>
  <si>
    <t>[시리즈]마왕 데이몬 11</t>
  </si>
  <si>
    <t>[시리즈]마왕 데이몬 12 (완결)</t>
  </si>
  <si>
    <t>백석대학교</t>
  </si>
  <si>
    <t>망작 리메이커 9 (완결)</t>
  </si>
  <si>
    <t>소드 엠페러  2</t>
  </si>
  <si>
    <t>[시리즈]소드 엠페러  2</t>
  </si>
  <si>
    <t>소드 엠페러  3</t>
  </si>
  <si>
    <t>[시리즈]소드 엠페러  3</t>
  </si>
  <si>
    <t>[시리즈]소드 엠페러  4</t>
  </si>
  <si>
    <t>[시리즈]소드 엠페러  5</t>
  </si>
  <si>
    <t>[시리즈]소드 엠페러  6</t>
  </si>
  <si>
    <t>[시리즈]소드 엠페러  7</t>
  </si>
  <si>
    <t>[시리즈]소드 엠페러  8</t>
  </si>
  <si>
    <t>[시리즈]소드 엠페러  9</t>
  </si>
  <si>
    <t>[시리즈]소드 엠페러 10</t>
  </si>
  <si>
    <t>[시리즈]소드 엠페러 11</t>
  </si>
  <si>
    <t>[시리즈]소드 엠페러 12</t>
  </si>
  <si>
    <t>[시리즈]소드 엠페러 13</t>
  </si>
  <si>
    <t>소드 엠페러 14</t>
  </si>
  <si>
    <t>[시리즈]소드 엠페러 14</t>
  </si>
  <si>
    <t>[시리즈]소드 엠페러 15</t>
  </si>
  <si>
    <t>[시리즈]소드 엠페러 16</t>
  </si>
  <si>
    <t>[시리즈]소드 엠페러 17 (완결)</t>
  </si>
  <si>
    <t>소천무쌍 10</t>
  </si>
  <si>
    <t>소천무쌍 11</t>
  </si>
  <si>
    <t>소천무쌍 12 (완결)</t>
  </si>
  <si>
    <t>소천무쌍 2</t>
  </si>
  <si>
    <t>소천무쌍 3</t>
  </si>
  <si>
    <t>소천무쌍 4</t>
  </si>
  <si>
    <t>소천무쌍 5</t>
  </si>
  <si>
    <t>소천무쌍 6</t>
  </si>
  <si>
    <t>소천무쌍 7</t>
  </si>
  <si>
    <t>소천무쌍 8</t>
  </si>
  <si>
    <t>소천무쌍 9</t>
  </si>
  <si>
    <t>슈퍼스타의 비밀어플 2</t>
  </si>
  <si>
    <t>왕십리글쟁이</t>
  </si>
  <si>
    <t>슈퍼스타의 비밀어플 3</t>
  </si>
  <si>
    <t>슈퍼스타의 비밀어플 4</t>
  </si>
  <si>
    <t>슈퍼스타의 비밀어플 5</t>
  </si>
  <si>
    <t>슈퍼스타의 비밀어플 6 (완결)</t>
  </si>
  <si>
    <t>스피릿 소드 (완전판) 2</t>
  </si>
  <si>
    <t>스피릿 소드 (완전판) 3</t>
  </si>
  <si>
    <t>스피릿 소드 (완전판) 4</t>
  </si>
  <si>
    <t>스피릿 소드 (완전판) 5</t>
  </si>
  <si>
    <t>스피릿 소드 (완전판) 6</t>
  </si>
  <si>
    <t>스피릿 소드 (완전판) 7</t>
  </si>
  <si>
    <t>스피릿 소드 (완전판) 8 (완결)</t>
  </si>
  <si>
    <t>스피릿소드</t>
  </si>
  <si>
    <t>신마협도 10</t>
  </si>
  <si>
    <t>신마협도 11</t>
  </si>
  <si>
    <t>신마협도 12 (완결)</t>
  </si>
  <si>
    <t>신마협도 2</t>
  </si>
  <si>
    <t>신마협도 3</t>
  </si>
  <si>
    <t>신마협도 4</t>
  </si>
  <si>
    <t>신마협도 5</t>
  </si>
  <si>
    <t>신마협도 6</t>
  </si>
  <si>
    <t>신마협도 7</t>
  </si>
  <si>
    <t>신마협도 8</t>
  </si>
  <si>
    <t>신마협도 9</t>
  </si>
  <si>
    <t>아나크레온 14</t>
  </si>
  <si>
    <t>아나크레온 15</t>
  </si>
  <si>
    <t>아나크레온 16 (완결)</t>
  </si>
  <si>
    <t>위대한 가문의 망나니가 되다</t>
  </si>
  <si>
    <t>바나바다</t>
  </si>
  <si>
    <t>[시리즈]절대비만 2</t>
  </si>
  <si>
    <t>[시리즈]절대비만 3</t>
  </si>
  <si>
    <t>[시리즈]절대비만 4</t>
  </si>
  <si>
    <t>[시리즈]절대비만 5</t>
  </si>
  <si>
    <t>[시리즈]절대비만 6</t>
  </si>
  <si>
    <t>[시리즈]절대비만 7</t>
  </si>
  <si>
    <t>[시리즈]절대비만 8 (완결)</t>
  </si>
  <si>
    <t>절륜공자 10 (완결)</t>
  </si>
  <si>
    <t>절륜공자 2</t>
  </si>
  <si>
    <t>절륜공자 3</t>
  </si>
  <si>
    <t>절륜공자 4</t>
  </si>
  <si>
    <t>절륜공자 5</t>
  </si>
  <si>
    <t>절륜공자 6</t>
  </si>
  <si>
    <t>절륜공자 7</t>
  </si>
  <si>
    <t>절륜공자 8</t>
  </si>
  <si>
    <t>절륜공자 9</t>
  </si>
  <si>
    <t>칵테일로 레벨업 2</t>
  </si>
  <si>
    <t>서강후</t>
  </si>
  <si>
    <t>칵테일로 레벨업 3</t>
  </si>
  <si>
    <t>칵테일로 레벨업 4</t>
  </si>
  <si>
    <t>[시리즈]프리나이트 2</t>
  </si>
  <si>
    <t>[시리즈]프리나이트 3</t>
  </si>
  <si>
    <t>[시리즈]프리나이트 4</t>
  </si>
  <si>
    <t>[시리즈]프리나이트 5</t>
  </si>
  <si>
    <t>[시리즈]프리나이트 6</t>
  </si>
  <si>
    <t>[시리즈]프리나이트 7</t>
  </si>
  <si>
    <t>[시리즈]프리나이트 8</t>
  </si>
  <si>
    <t>[시리즈]프리나이트 9 (완결)</t>
  </si>
  <si>
    <t>제천시립도서관</t>
  </si>
  <si>
    <t>회귀자의 슬기로운 복수생활</t>
  </si>
  <si>
    <t>구공</t>
  </si>
  <si>
    <t>[시리즈]2위의 역습</t>
  </si>
  <si>
    <t>羽宸?(Uchenhu), 林?瑜(Lin Peiyu)</t>
  </si>
  <si>
    <t>도서출판 태랑</t>
  </si>
  <si>
    <t>[시리즈]골 때리는 사랑 (외전증보판) (외전)</t>
  </si>
  <si>
    <t>모리미</t>
  </si>
  <si>
    <t>골 때리는 사랑 (외전증보판) 1</t>
  </si>
  <si>
    <t>[시리즈]골 때리는 사랑 (외전증보판) 1</t>
  </si>
  <si>
    <t>[시리즈]골 때리는 사랑 (외전증보판) 2 (완결)</t>
  </si>
  <si>
    <t>그 알파 내 오메가 만들기</t>
  </si>
  <si>
    <t>주이서</t>
  </si>
  <si>
    <t>그 알파 내 오메가 만들기 (외전)</t>
  </si>
  <si>
    <t>[시리즈]기어이 사랑 (외전)</t>
  </si>
  <si>
    <t>차홍주</t>
  </si>
  <si>
    <t>[시리즈]기어이 사랑 1</t>
  </si>
  <si>
    <t>[시리즈]기어이 사랑 2 (완결)</t>
  </si>
  <si>
    <t>나쁜 이혼 (외전)</t>
  </si>
  <si>
    <t>진숙</t>
  </si>
  <si>
    <t>내 남자 길들이기 (외전)</t>
  </si>
  <si>
    <t>밈스</t>
  </si>
  <si>
    <t>[시리즈]내 남자 길들이기 (외전)</t>
  </si>
  <si>
    <t>내 남자 길들이기 1</t>
  </si>
  <si>
    <t>[시리즈]내 남자 길들이기 1</t>
  </si>
  <si>
    <t>내 남자 길들이기 2 (완결)</t>
  </si>
  <si>
    <t>[시리즈]내 남자 길들이기 2 (완결)</t>
  </si>
  <si>
    <t>돌아온 막내 영애님을 조심하세요 (외전)</t>
  </si>
  <si>
    <t>윈델</t>
  </si>
  <si>
    <t>[시리즈]돌아온 막내 영애님을 조심하세요 (외전)</t>
  </si>
  <si>
    <t>돌아온 막내 영애님을 조심하세요 1</t>
  </si>
  <si>
    <t>[시리즈]돌아온 막내 영애님을 조심하세요 1</t>
  </si>
  <si>
    <t>돌아온 막내 영애님을 조심하세요 2</t>
  </si>
  <si>
    <t>[시리즈]돌아온 막내 영애님을 조심하세요 2</t>
  </si>
  <si>
    <t>돌아온 막내 영애님을 조심하세요 3</t>
  </si>
  <si>
    <t>[시리즈]돌아온 막내 영애님을 조심하세요 3</t>
  </si>
  <si>
    <t>돌아온 막내 영애님을 조심하세요 4</t>
  </si>
  <si>
    <t>[시리즈]돌아온 막내 영애님을 조심하세요 4</t>
  </si>
  <si>
    <t>돌아온 막내 영애님을 조심하세요 5</t>
  </si>
  <si>
    <t>[시리즈]돌아온 막내 영애님을 조심하세요 5</t>
  </si>
  <si>
    <t>돌아온 막내 영애님을 조심하세요 6 (완결)</t>
  </si>
  <si>
    <t>[시리즈]돌아온 막내 영애님을 조심하세요 6 (완결)</t>
  </si>
  <si>
    <t>[시리즈]매혹적인 상사 (외전)</t>
  </si>
  <si>
    <t>스내치</t>
  </si>
  <si>
    <t>[시리즈]매혹적인 상사 1</t>
  </si>
  <si>
    <t>[시리즈]매혹적인 상사 2 (완결)</t>
  </si>
  <si>
    <t>[시리즈]사냥 꿈 (개정판)</t>
  </si>
  <si>
    <t>블랙커피</t>
  </si>
  <si>
    <t>[시리즈]사랑, 흘러간다 (외전)</t>
  </si>
  <si>
    <t>[시리즈]사랑, 흘러간다 1</t>
  </si>
  <si>
    <t>사랑, 흘러간다 2 (완결)</t>
  </si>
  <si>
    <t>[시리즈]사랑, 흘러간다 2 (완결)</t>
  </si>
  <si>
    <t>사랑도 없이 결혼 (외전)</t>
  </si>
  <si>
    <t>사랑도 없이 결혼 1</t>
  </si>
  <si>
    <t>사랑도 없이 결혼 2 (완결)</t>
  </si>
  <si>
    <t>[시리즈]선택된 남자 (외전)</t>
  </si>
  <si>
    <t>[시리즈]선택된 남자 1</t>
  </si>
  <si>
    <t>[시리즈]선택된 남자 2 (완결)</t>
  </si>
  <si>
    <t>스타의 연애 (외전증보 개정판) 1</t>
  </si>
  <si>
    <t>[시리즈]스타의 연애 (외전증보 개정판) 1</t>
  </si>
  <si>
    <t>스타의 연애 (외전증보 개정판) 2 (완결)</t>
  </si>
  <si>
    <t>[시리즈]스타의 연애 (외전증보 개정판) 2 (완결)</t>
  </si>
  <si>
    <t>야쿠자가 사랑을 한다면 (개정판) (외전)</t>
  </si>
  <si>
    <t>[시리즈]야쿠자가 사랑을 한다면 (개정판) (외전)</t>
  </si>
  <si>
    <t>[시리즈]야쿠자가 사랑을 한다면 (개정판) 1</t>
  </si>
  <si>
    <t>야쿠자가 사랑을 한다면 (개정판) 2 (완결)</t>
  </si>
  <si>
    <t>[시리즈]야쿠자가 사랑을 한다면 (개정판) 2 (완결)</t>
  </si>
  <si>
    <t>야쿠자가 사랑을 한다면 2 (개정판) 1</t>
  </si>
  <si>
    <t>[시리즈]야쿠자가 사랑을 한다면 2 (개정판) 1</t>
  </si>
  <si>
    <t>야쿠자가 사랑을 한다면 2 (개정판) 2 (완결)</t>
  </si>
  <si>
    <t>[시리즈]야쿠자가 사랑을 한다면 2 (개정판) 2 (완결)</t>
  </si>
  <si>
    <t>어쩌다 계약 아내 (외전)</t>
  </si>
  <si>
    <t>아슈크림</t>
  </si>
  <si>
    <t>[시리즈]어쩌다 계약 아내 (외전)</t>
  </si>
  <si>
    <t>어쩌다 계약 아내 1</t>
  </si>
  <si>
    <t>[시리즈]어쩌다 계약 아내 1</t>
  </si>
  <si>
    <t>어쩌다 계약 아내 2</t>
  </si>
  <si>
    <t>[시리즈]어쩌다 계약 아내 2</t>
  </si>
  <si>
    <t>어쩌다 계약 아내 3 (완결)</t>
  </si>
  <si>
    <t>[시리즈]어쩌다 계약 아내 3 (완결)</t>
  </si>
  <si>
    <t>[시리즈]영원한 1위</t>
  </si>
  <si>
    <t>[시리즈]완벽한 타인과 (외전증보판)</t>
  </si>
  <si>
    <t>꽃잠</t>
  </si>
  <si>
    <t>[시리즈]중독 (외전증보판)</t>
  </si>
  <si>
    <t>문스톤</t>
  </si>
  <si>
    <t>[시리즈]충동적인 결혼 (외전증보판)</t>
  </si>
  <si>
    <t>컬러 러쉬 (외전증보판) 1</t>
  </si>
  <si>
    <t>세상</t>
  </si>
  <si>
    <t>[시리즈]트리거</t>
  </si>
  <si>
    <t>트리거 (외전)</t>
  </si>
  <si>
    <t>[시리즈]트리거 (외전)</t>
  </si>
  <si>
    <t>[시리즈]흔적 (외전)</t>
  </si>
  <si>
    <t>[시리즈]흔적 1</t>
  </si>
  <si>
    <t>[시리즈]흔적 2 (완결)</t>
  </si>
  <si>
    <t>그 순간, 별이 빛났다 (외전)</t>
  </si>
  <si>
    <t>성실</t>
  </si>
  <si>
    <t>블러쉬</t>
  </si>
  <si>
    <t>그 순간, 별이 빛났다 1</t>
  </si>
  <si>
    <t>그 순간, 별이 빛났다 2</t>
  </si>
  <si>
    <t>그 순간, 별이 빛났다 3 (완결)</t>
  </si>
  <si>
    <t>[시리즈]그을린 신기루</t>
  </si>
  <si>
    <t>녹치</t>
  </si>
  <si>
    <t>그저, 닿지 않을 너에게 3 (완결)</t>
  </si>
  <si>
    <t>뚜여사</t>
  </si>
  <si>
    <t>금의 해, 새의 눈</t>
  </si>
  <si>
    <t>등나무밑소공자</t>
  </si>
  <si>
    <t>[시리즈]깊은 밤 너의 고백이</t>
  </si>
  <si>
    <t>이새인</t>
  </si>
  <si>
    <t>밀리오리지널</t>
  </si>
  <si>
    <t>[시리즈]납치범과 도련님</t>
  </si>
  <si>
    <t>이락</t>
  </si>
  <si>
    <t>[시리즈]낯선 밤에 마주친</t>
  </si>
  <si>
    <t>춈춈</t>
  </si>
  <si>
    <t>[시리즈]너는 싱그러운 여름처럼</t>
  </si>
  <si>
    <t>박지영</t>
  </si>
  <si>
    <t>너드 공략집</t>
  </si>
  <si>
    <t>이다겸</t>
  </si>
  <si>
    <t>[시리즈]너드 공략집 1</t>
  </si>
  <si>
    <t>[시리즈]너드 공략집 2</t>
  </si>
  <si>
    <t>[시리즈]너드 공략집 3 (완결)</t>
  </si>
  <si>
    <t>[시리즈]너만 보면 두근두근</t>
  </si>
  <si>
    <t>정경하</t>
  </si>
  <si>
    <t>[시리즈]너와 나의 절정</t>
  </si>
  <si>
    <t>공호</t>
  </si>
  <si>
    <t>더블 파울 (Double Foul)</t>
  </si>
  <si>
    <t>나나코</t>
  </si>
  <si>
    <t>더티독 1</t>
  </si>
  <si>
    <t>용가리맛쿠키</t>
  </si>
  <si>
    <t>[시리즈]미드나잇 썸머 (Midnight Summer)</t>
  </si>
  <si>
    <t>적랑</t>
  </si>
  <si>
    <t>[시리즈]미쳐 버린 밤</t>
  </si>
  <si>
    <t>백화(百花)</t>
  </si>
  <si>
    <t>[시리즈]봄, 어리 이야기</t>
  </si>
  <si>
    <t>신윤희(에드가)</t>
  </si>
  <si>
    <t>[시리즈]불꽃</t>
  </si>
  <si>
    <t>김혜연</t>
  </si>
  <si>
    <t>[시리즈]붉은 정자 : 살라댕</t>
  </si>
  <si>
    <t>라벤더블루</t>
  </si>
  <si>
    <t>[시리즈]브레이크 어웨이 (Break Away)</t>
  </si>
  <si>
    <t>서정윤</t>
  </si>
  <si>
    <t>[시리즈]사내 연애의 끝</t>
  </si>
  <si>
    <t>[시리즈]사랑 그리고 그 후</t>
  </si>
  <si>
    <t>최현자</t>
  </si>
  <si>
    <t>선량한 야만인 (Salvaje) 1</t>
  </si>
  <si>
    <t>무슈슈</t>
  </si>
  <si>
    <t>[시리즈]선량한 야만인 (Salvaje) 1</t>
  </si>
  <si>
    <t>[시리즈]선량한 야만인 (Salvaje) 2</t>
  </si>
  <si>
    <t>선량한 야만인 (Salvaje) 3 (완결)</t>
  </si>
  <si>
    <t>[시리즈]선량한 야만인 (Salvaje) 3 (완결)</t>
  </si>
  <si>
    <t>[시리즈]설국연가</t>
  </si>
  <si>
    <t>마뇽</t>
  </si>
  <si>
    <t>[시리즈]수리 낭군</t>
  </si>
  <si>
    <t>하루가</t>
  </si>
  <si>
    <t>[시리즈]수면제</t>
  </si>
  <si>
    <t>명우</t>
  </si>
  <si>
    <t>[시리즈]술탄 (외전)</t>
  </si>
  <si>
    <t>jooki</t>
  </si>
  <si>
    <t>[시리즈]술탄 1</t>
  </si>
  <si>
    <t>[시리즈]술탄 2</t>
  </si>
  <si>
    <t>[시리즈]술탄 3</t>
  </si>
  <si>
    <t>[시리즈]술탄 4 (완결)</t>
  </si>
  <si>
    <t>[시리즈]슈크림</t>
  </si>
  <si>
    <t>송민선</t>
  </si>
  <si>
    <t>[시리즈]시선… 그리고 떨림</t>
  </si>
  <si>
    <t>이승희</t>
  </si>
  <si>
    <t>신들의 성소 1</t>
  </si>
  <si>
    <t>중년바나나</t>
  </si>
  <si>
    <t>신들의 성소 2 (완결)</t>
  </si>
  <si>
    <t>[시리즈]신사동 그 사람 (외전)</t>
  </si>
  <si>
    <t>SISSI</t>
  </si>
  <si>
    <t>[시리즈]신사동 그 사람 1</t>
  </si>
  <si>
    <t>[시리즈]신사동 그 사람 2 (완결)</t>
  </si>
  <si>
    <t>[시리즈]아는 손, 아는 혀</t>
  </si>
  <si>
    <t>김지언</t>
  </si>
  <si>
    <t>쉬라즈</t>
  </si>
  <si>
    <t>[시리즈]어게인 (Again)</t>
  </si>
  <si>
    <t>최준서</t>
  </si>
  <si>
    <t>[시리즈]여름, 밤의 사정</t>
  </si>
  <si>
    <t>[시리즈]연애의 시작</t>
  </si>
  <si>
    <t>차크</t>
  </si>
  <si>
    <t>[시리즈]오후 4시의 남자</t>
  </si>
  <si>
    <t>차연유</t>
  </si>
  <si>
    <t>월하연인</t>
  </si>
  <si>
    <t>위험한 선배</t>
  </si>
  <si>
    <t>sJessi</t>
  </si>
  <si>
    <t>[시리즈]유일한 취미</t>
  </si>
  <si>
    <t>서혜은</t>
  </si>
  <si>
    <t>[시리즈]이번 생은 망한 줄 알았는데</t>
  </si>
  <si>
    <t>이윤미</t>
  </si>
  <si>
    <t>[시리즈]이별 그리고 그 후</t>
  </si>
  <si>
    <t>[시리즈]이차적 일탈</t>
  </si>
  <si>
    <t>[시리즈]인턴사원</t>
  </si>
  <si>
    <t>트리플베리</t>
  </si>
  <si>
    <t>[시리즈]일교차</t>
  </si>
  <si>
    <t>해화</t>
  </si>
  <si>
    <t>[시리즈]집착 상사</t>
  </si>
  <si>
    <t>장현미</t>
  </si>
  <si>
    <t>집착의 맛 (외전)</t>
  </si>
  <si>
    <t>[시리즈]집착의 맛 (외전)</t>
  </si>
  <si>
    <t>[시리즈]집착의 맛 1</t>
  </si>
  <si>
    <t>[시리즈]집착의 맛 2 (완결)</t>
  </si>
  <si>
    <t>[시리즈]첫사랑을 종료하시겠습니까</t>
  </si>
  <si>
    <t>이파람</t>
  </si>
  <si>
    <t>[시리즈]페이버릿 나이트메어 (Favorite Nightmare) (외전)</t>
  </si>
  <si>
    <t>하지</t>
  </si>
  <si>
    <t>[시리즈]페이버릿 나이트메어 (Favorite Nightmare) 1</t>
  </si>
  <si>
    <t>[시리즈]페이버릿 나이트메어 (Favorite Nightmare) 2</t>
  </si>
  <si>
    <t>[시리즈]페이버릿 나이트메어 (Favorite Nightmare) 3 (완결)</t>
  </si>
  <si>
    <t>하루하루</t>
  </si>
  <si>
    <t>사틴</t>
  </si>
  <si>
    <t>[시리즈]향기로운 뿔</t>
  </si>
  <si>
    <t>이진희</t>
  </si>
  <si>
    <t>[시리즈]홍염의 덫 1</t>
  </si>
  <si>
    <t>[시리즈]홍염의 덫 2</t>
  </si>
  <si>
    <t>[시리즈]홍염의 덫 3</t>
  </si>
  <si>
    <t>[시리즈]홍염의 덫 4</t>
  </si>
  <si>
    <t>[시리즈]홍염의 덫 5</t>
  </si>
  <si>
    <t>[시리즈]홍염의 덫 6 (완결)</t>
  </si>
  <si>
    <t>[시리즈]황궁의 밤</t>
  </si>
  <si>
    <t>현진서</t>
  </si>
  <si>
    <t>출판사</t>
    <phoneticPr fontId="22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</si>
  <si>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2" type="noConversion"/>
  </si>
  <si>
    <t>제외</t>
  </si>
  <si>
    <t>더컴퍼니</t>
  </si>
  <si>
    <t>밀리의 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</si>
</sst>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19" fillId="34" borderId="0" xfId="1" applyFont="1" applyFill="1">
      <alignment vertical="center"/>
    </xf>
    <xf numFmtId="41" fontId="0" fillId="34" borderId="0" xfId="1" applyFont="1" applyFill="1">
      <alignment vertical="center"/>
    </xf>
    <xf numFmtId="0" fontId="21" fillId="35" borderId="11" xfId="0" applyFont="1" applyFill="1" applyBorder="1" applyAlignment="1"/>
    <xf numFmtId="0" fontId="0" fillId="35" borderId="12" xfId="0" applyFill="1" applyBorder="1" applyAlignment="1"/>
    <xf numFmtId="0" fontId="0" fillId="0" borderId="0" xfId="0" applyAlignment="1"/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 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2103/Desktop/zjsxpscmwjdtks/&#52968;&#53584;&#52768;&#51221;&#49328;_&#51652;&#516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플랫폼별_작가"/>
      <sheetName val="작가별_플랫폼내_쉬트번호"/>
      <sheetName val="작가별정산률"/>
      <sheetName val="정산필드위치"/>
      <sheetName val="sample"/>
    </sheetNames>
    <sheetDataSet>
      <sheetData sheetId="0"/>
      <sheetData sheetId="1"/>
      <sheetData sheetId="2">
        <row r="1">
          <cell r="A1" t="str">
            <v xml:space="preserve">플랫폼 작가명 </v>
          </cell>
          <cell r="B1" t="str">
            <v xml:space="preserve">통합작가명 </v>
          </cell>
          <cell r="R1" t="str">
            <v>저자</v>
          </cell>
          <cell r="S1" t="str">
            <v>출판사(정산)</v>
          </cell>
        </row>
        <row r="2">
          <cell r="A2" t="str">
            <v>AliceW</v>
          </cell>
          <cell r="B2" t="str">
            <v>AliceW</v>
          </cell>
          <cell r="R2" t="str">
            <v>Ashes</v>
          </cell>
          <cell r="S2" t="str">
            <v>더컴퍼니</v>
          </cell>
        </row>
        <row r="3">
          <cell r="A3" t="str">
            <v>Arashiyama</v>
          </cell>
          <cell r="B3" t="str">
            <v>제외</v>
          </cell>
          <cell r="R3" t="str">
            <v>Ashes</v>
          </cell>
          <cell r="S3" t="str">
            <v>더컴퍼니</v>
          </cell>
        </row>
        <row r="4">
          <cell r="A4" t="str">
            <v>Bae.C, 조우</v>
          </cell>
          <cell r="B4" t="str">
            <v>구디</v>
          </cell>
          <cell r="R4" t="str">
            <v>Ashes</v>
          </cell>
          <cell r="S4" t="str">
            <v>더컴퍼니</v>
          </cell>
        </row>
        <row r="5">
          <cell r="A5" t="str">
            <v>글 Bae.C, IIAKI 그림 Bae.C, 조우, 원작 박제후</v>
          </cell>
          <cell r="B5" t="str">
            <v>구디</v>
          </cell>
          <cell r="R5" t="str">
            <v>Ashes</v>
          </cell>
          <cell r="S5" t="str">
            <v>더컴퍼니</v>
          </cell>
        </row>
        <row r="6">
          <cell r="A6" t="str">
            <v>BitterSweet</v>
          </cell>
          <cell r="B6" t="str">
            <v>제외</v>
          </cell>
          <cell r="R6" t="str">
            <v>cainLu</v>
          </cell>
          <cell r="S6" t="str">
            <v>더컴퍼니</v>
          </cell>
        </row>
        <row r="7">
          <cell r="A7" t="str">
            <v>Bless_cangshukou</v>
          </cell>
          <cell r="B7" t="str">
            <v>제외</v>
          </cell>
          <cell r="R7" t="str">
            <v>jooki</v>
          </cell>
          <cell r="S7" t="str">
            <v>더컴퍼니</v>
          </cell>
        </row>
        <row r="8">
          <cell r="A8" t="str">
            <v>DION(디온)</v>
          </cell>
          <cell r="B8" t="str">
            <v>DION(디온)</v>
          </cell>
          <cell r="R8" t="str">
            <v>jooki</v>
          </cell>
          <cell r="S8" t="str">
            <v>더컴퍼니</v>
          </cell>
        </row>
        <row r="9">
          <cell r="A9" t="str">
            <v>DION</v>
          </cell>
          <cell r="B9" t="str">
            <v>DION(디온)</v>
          </cell>
          <cell r="R9" t="str">
            <v>jooki</v>
          </cell>
          <cell r="S9" t="str">
            <v>더컴퍼니</v>
          </cell>
        </row>
        <row r="10">
          <cell r="A10" t="str">
            <v>HOON</v>
          </cell>
          <cell r="B10" t="str">
            <v>컨텐츠헤라</v>
          </cell>
          <cell r="R10" t="str">
            <v>jooki</v>
          </cell>
          <cell r="S10" t="str">
            <v>더컴퍼니</v>
          </cell>
        </row>
        <row r="11">
          <cell r="A11" t="str">
            <v>Hujing</v>
          </cell>
          <cell r="B11" t="str">
            <v>제외</v>
          </cell>
          <cell r="R11" t="str">
            <v>jooki</v>
          </cell>
          <cell r="S11" t="str">
            <v>더컴퍼니</v>
          </cell>
        </row>
        <row r="12">
          <cell r="A12" t="str">
            <v>Hujing&amp;Luojie</v>
          </cell>
          <cell r="B12" t="str">
            <v>제외</v>
          </cell>
          <cell r="R12" t="str">
            <v>jooki</v>
          </cell>
          <cell r="S12" t="str">
            <v>더컴퍼니</v>
          </cell>
        </row>
        <row r="13">
          <cell r="A13" t="str">
            <v>Hujing,Luojie</v>
          </cell>
          <cell r="B13" t="str">
            <v>제외</v>
          </cell>
          <cell r="R13" t="str">
            <v>jooki</v>
          </cell>
          <cell r="S13" t="str">
            <v>더컴퍼니</v>
          </cell>
        </row>
        <row r="14">
          <cell r="A14" t="str">
            <v>Hujing×Luojie</v>
          </cell>
          <cell r="B14" t="str">
            <v>제외</v>
          </cell>
          <cell r="R14" t="str">
            <v>jooki</v>
          </cell>
          <cell r="S14" t="str">
            <v>더컴퍼니</v>
          </cell>
        </row>
        <row r="15">
          <cell r="A15" t="str">
            <v>Hujing, Luojie</v>
          </cell>
          <cell r="B15" t="str">
            <v>제외</v>
          </cell>
          <cell r="R15" t="str">
            <v>jooki</v>
          </cell>
          <cell r="S15" t="str">
            <v>더컴퍼니</v>
          </cell>
        </row>
        <row r="16">
          <cell r="A16" t="str">
            <v>Ice×FANFAN COMIC</v>
          </cell>
          <cell r="B16" t="str">
            <v>제외</v>
          </cell>
          <cell r="R16" t="str">
            <v>jooki</v>
          </cell>
          <cell r="S16" t="str">
            <v>더컴퍼니</v>
          </cell>
        </row>
        <row r="17">
          <cell r="A17" t="str">
            <v>Ivyeqianhe, Youzhijiaozi</v>
          </cell>
          <cell r="B17" t="str">
            <v>제외</v>
          </cell>
          <cell r="R17" t="str">
            <v>jooki</v>
          </cell>
          <cell r="S17" t="str">
            <v>더컴퍼니</v>
          </cell>
        </row>
        <row r="18">
          <cell r="A18" t="str">
            <v>IvyeqianheXyouzhijiaozi</v>
          </cell>
          <cell r="B18" t="str">
            <v>제외</v>
          </cell>
          <cell r="R18" t="str">
            <v>jooki</v>
          </cell>
          <cell r="S18" t="str">
            <v>더컴퍼니</v>
          </cell>
        </row>
        <row r="19">
          <cell r="A19" t="str">
            <v>Kantetsu</v>
          </cell>
          <cell r="B19" t="str">
            <v>제외</v>
          </cell>
          <cell r="R19" t="str">
            <v>jooki</v>
          </cell>
          <cell r="S19" t="str">
            <v>더컴퍼니</v>
          </cell>
        </row>
        <row r="20">
          <cell r="A20" t="str">
            <v>Kantetsu&amp;Minase chiho</v>
          </cell>
          <cell r="B20" t="str">
            <v>제외</v>
          </cell>
          <cell r="R20" t="str">
            <v>jooki</v>
          </cell>
          <cell r="S20" t="str">
            <v>더컴퍼니</v>
          </cell>
        </row>
        <row r="21">
          <cell r="A21" t="str">
            <v>KEY</v>
          </cell>
          <cell r="B21" t="str">
            <v>KEY</v>
          </cell>
          <cell r="R21" t="str">
            <v>jooki</v>
          </cell>
          <cell r="S21" t="str">
            <v>더컴퍼니</v>
          </cell>
        </row>
        <row r="22">
          <cell r="A22" t="str">
            <v>kuri</v>
          </cell>
          <cell r="B22" t="str">
            <v>제외</v>
          </cell>
          <cell r="R22" t="str">
            <v>jooki</v>
          </cell>
          <cell r="S22" t="str">
            <v>더컴퍼니</v>
          </cell>
        </row>
        <row r="23">
          <cell r="A23" t="str">
            <v>kuri, 마북명</v>
          </cell>
          <cell r="B23" t="str">
            <v>제외</v>
          </cell>
          <cell r="R23" t="str">
            <v>jooki</v>
          </cell>
          <cell r="S23" t="str">
            <v>더컴퍼니</v>
          </cell>
        </row>
        <row r="24">
          <cell r="A24" t="str">
            <v>Linksrue</v>
          </cell>
          <cell r="B24" t="str">
            <v>제외</v>
          </cell>
          <cell r="R24" t="str">
            <v>jooki</v>
          </cell>
          <cell r="S24" t="str">
            <v>더컴퍼니</v>
          </cell>
        </row>
        <row r="25">
          <cell r="A25" t="str">
            <v>Linksure</v>
          </cell>
          <cell r="B25" t="str">
            <v>제외</v>
          </cell>
          <cell r="R25" t="str">
            <v>jooki</v>
          </cell>
          <cell r="S25" t="str">
            <v>더컴퍼니</v>
          </cell>
        </row>
        <row r="26">
          <cell r="A26" t="str">
            <v>Livingston</v>
          </cell>
          <cell r="B26" t="str">
            <v>Livingston</v>
          </cell>
          <cell r="R26" t="str">
            <v>jooki</v>
          </cell>
          <cell r="S26" t="str">
            <v>더컴퍼니</v>
          </cell>
        </row>
        <row r="27">
          <cell r="A27" t="str">
            <v>Luojie</v>
          </cell>
          <cell r="B27" t="str">
            <v>제외</v>
          </cell>
          <cell r="R27" t="str">
            <v>jooki</v>
          </cell>
          <cell r="S27" t="str">
            <v>더컴퍼니</v>
          </cell>
        </row>
        <row r="28">
          <cell r="A28" t="str">
            <v>Lv</v>
          </cell>
          <cell r="B28" t="str">
            <v>제외</v>
          </cell>
          <cell r="R28" t="str">
            <v>jooki</v>
          </cell>
          <cell r="S28" t="str">
            <v>더컴퍼니</v>
          </cell>
        </row>
        <row r="29">
          <cell r="A29" t="str">
            <v>lvyeqianhe x youzhijiaozi</v>
          </cell>
          <cell r="B29" t="str">
            <v>제외</v>
          </cell>
          <cell r="R29" t="str">
            <v>jooki</v>
          </cell>
          <cell r="S29" t="str">
            <v>더컴퍼니</v>
          </cell>
        </row>
        <row r="30">
          <cell r="A30" t="str">
            <v>mollen</v>
          </cell>
          <cell r="B30" t="str">
            <v>mollen</v>
          </cell>
          <cell r="R30" t="str">
            <v>jooki</v>
          </cell>
          <cell r="S30" t="str">
            <v>더컴퍼니</v>
          </cell>
        </row>
        <row r="31">
          <cell r="A31" t="str">
            <v>muscleup</v>
          </cell>
          <cell r="B31" t="str">
            <v>muscleup</v>
          </cell>
          <cell r="R31" t="str">
            <v>jooki</v>
          </cell>
          <cell r="S31" t="str">
            <v>더컴퍼니</v>
          </cell>
        </row>
        <row r="32">
          <cell r="A32" t="str">
            <v>Nisansui</v>
          </cell>
          <cell r="B32" t="str">
            <v>제외</v>
          </cell>
          <cell r="R32" t="str">
            <v>jooki</v>
          </cell>
          <cell r="S32" t="str">
            <v>더컴퍼니</v>
          </cell>
        </row>
        <row r="33">
          <cell r="A33" t="str">
            <v>NISANSUI,ZIQUAN</v>
          </cell>
          <cell r="B33" t="str">
            <v>제외</v>
          </cell>
          <cell r="R33" t="str">
            <v>SISSI(시씨)</v>
          </cell>
          <cell r="S33" t="str">
            <v>더컴퍼니</v>
          </cell>
        </row>
        <row r="34">
          <cell r="A34" t="str">
            <v>Nisansui, Ziquan</v>
          </cell>
          <cell r="B34" t="str">
            <v>제외</v>
          </cell>
          <cell r="R34" t="str">
            <v>SISSI(시씨)</v>
          </cell>
          <cell r="S34" t="str">
            <v>더컴퍼니</v>
          </cell>
        </row>
        <row r="35">
          <cell r="A35" t="str">
            <v>SISSI</v>
          </cell>
          <cell r="B35" t="str">
            <v>더컴퍼니</v>
          </cell>
          <cell r="R35" t="str">
            <v>SISSI</v>
          </cell>
          <cell r="S35" t="str">
            <v>더컴퍼니</v>
          </cell>
        </row>
        <row r="36">
          <cell r="A36" t="str">
            <v xml:space="preserve">Tencent </v>
          </cell>
          <cell r="B36" t="str">
            <v>제외</v>
          </cell>
          <cell r="R36" t="str">
            <v>SISSI</v>
          </cell>
          <cell r="S36" t="str">
            <v>더컴퍼니</v>
          </cell>
        </row>
        <row r="37">
          <cell r="A37" t="str">
            <v>Uchenhu, Lin Peiyu</v>
          </cell>
          <cell r="B37" t="str">
            <v>제외</v>
          </cell>
          <cell r="R37" t="str">
            <v>SISSI</v>
          </cell>
          <cell r="S37" t="str">
            <v>더컴퍼니</v>
          </cell>
        </row>
        <row r="38">
          <cell r="A38" t="str">
            <v>Uchenhu,Lin Peiyu</v>
          </cell>
          <cell r="B38" t="str">
            <v>제외</v>
          </cell>
          <cell r="R38" t="str">
            <v>SISSI</v>
          </cell>
          <cell r="S38" t="str">
            <v>더컴퍼니</v>
          </cell>
        </row>
        <row r="39">
          <cell r="A39" t="str">
            <v>羽宸?(Uchenhu), 林?瑜(Lin Peiyu)</v>
          </cell>
          <cell r="B39" t="str">
            <v>제외</v>
          </cell>
          <cell r="R39" t="str">
            <v>SISSI</v>
          </cell>
          <cell r="S39" t="str">
            <v>더컴퍼니</v>
          </cell>
        </row>
        <row r="40">
          <cell r="A40" t="str">
            <v>vvk</v>
          </cell>
          <cell r="B40" t="str">
            <v>vvk</v>
          </cell>
          <cell r="R40" t="str">
            <v>SISSI</v>
          </cell>
          <cell r="S40" t="str">
            <v>더컴퍼니</v>
          </cell>
        </row>
        <row r="41">
          <cell r="A41" t="str">
            <v>Yangxuetu, Zhupi</v>
          </cell>
          <cell r="B41" t="str">
            <v>제외</v>
          </cell>
          <cell r="R41" t="str">
            <v>SISSI</v>
          </cell>
          <cell r="S41" t="str">
            <v>더컴퍼니</v>
          </cell>
        </row>
        <row r="42">
          <cell r="A42" t="str">
            <v>Yulia</v>
          </cell>
          <cell r="B42" t="str">
            <v>Yulia</v>
          </cell>
          <cell r="R42" t="str">
            <v>SISSI</v>
          </cell>
          <cell r="S42" t="str">
            <v>더컴퍼니</v>
          </cell>
        </row>
        <row r="43">
          <cell r="A43" t="str">
            <v>ZHUPI&amp;YANGXUETU</v>
          </cell>
          <cell r="B43" t="str">
            <v>제외</v>
          </cell>
          <cell r="R43" t="str">
            <v>SISSI</v>
          </cell>
          <cell r="S43" t="str">
            <v>더컴퍼니</v>
          </cell>
        </row>
        <row r="44">
          <cell r="A44" t="str">
            <v>ZHUPI,YANGXUETU</v>
          </cell>
          <cell r="B44" t="str">
            <v>제외</v>
          </cell>
          <cell r="R44" t="str">
            <v>SISSI</v>
          </cell>
          <cell r="S44" t="str">
            <v>더컴퍼니</v>
          </cell>
        </row>
        <row r="45">
          <cell r="A45" t="str">
            <v>ZHUPI.YANGXUETU</v>
          </cell>
          <cell r="B45" t="str">
            <v>제외</v>
          </cell>
          <cell r="R45" t="str">
            <v>SISSI</v>
          </cell>
          <cell r="S45" t="str">
            <v>더컴퍼니</v>
          </cell>
        </row>
        <row r="46">
          <cell r="A46" t="str">
            <v>Zhupi, Yangxuetu</v>
          </cell>
          <cell r="B46" t="str">
            <v>제외</v>
          </cell>
          <cell r="R46" t="str">
            <v>SISSI</v>
          </cell>
          <cell r="S46" t="str">
            <v>더컴퍼니</v>
          </cell>
        </row>
        <row r="47">
          <cell r="A47" t="str">
            <v>가람검</v>
          </cell>
          <cell r="B47" t="str">
            <v>독고진</v>
          </cell>
          <cell r="R47" t="str">
            <v>SISSI</v>
          </cell>
          <cell r="S47" t="str">
            <v>더컴퍼니</v>
          </cell>
        </row>
        <row r="48">
          <cell r="A48" t="str">
            <v>갓띵작</v>
          </cell>
          <cell r="B48" t="str">
            <v>갓띵작</v>
          </cell>
          <cell r="R48" t="str">
            <v>SISSI</v>
          </cell>
          <cell r="S48" t="str">
            <v>더컴퍼니</v>
          </cell>
        </row>
        <row r="49">
          <cell r="A49" t="str">
            <v>강준현</v>
          </cell>
          <cell r="B49" t="str">
            <v>제외</v>
          </cell>
          <cell r="R49" t="str">
            <v>SISSI</v>
          </cell>
          <cell r="S49" t="str">
            <v>더컴퍼니</v>
          </cell>
        </row>
        <row r="50">
          <cell r="A50" t="str">
            <v>건일</v>
          </cell>
          <cell r="B50" t="str">
            <v>제외</v>
          </cell>
          <cell r="R50" t="str">
            <v>SISSI</v>
          </cell>
          <cell r="S50" t="str">
            <v>더컴퍼니</v>
          </cell>
        </row>
        <row r="51">
          <cell r="A51" t="str">
            <v>공든탑</v>
          </cell>
          <cell r="B51" t="str">
            <v>공든탑</v>
          </cell>
          <cell r="R51" t="str">
            <v>SISSI</v>
          </cell>
          <cell r="S51" t="str">
            <v>더컴퍼니</v>
          </cell>
        </row>
        <row r="52">
          <cell r="A52" t="str">
            <v>곽도우</v>
          </cell>
          <cell r="B52" t="str">
            <v>스토리아크</v>
          </cell>
          <cell r="R52" t="str">
            <v>SISSI</v>
          </cell>
          <cell r="S52" t="str">
            <v>더컴퍼니</v>
          </cell>
        </row>
        <row r="53">
          <cell r="A53" t="str">
            <v>구공</v>
          </cell>
          <cell r="B53" t="str">
            <v>구공</v>
          </cell>
          <cell r="R53" t="str">
            <v>SISSI</v>
          </cell>
          <cell r="S53" t="str">
            <v>더컴퍼니</v>
          </cell>
        </row>
        <row r="54">
          <cell r="A54" t="str">
            <v>구디스튜디오</v>
          </cell>
          <cell r="B54" t="str">
            <v>구디</v>
          </cell>
          <cell r="R54" t="str">
            <v>SISSI</v>
          </cell>
          <cell r="S54" t="str">
            <v>더컴퍼니</v>
          </cell>
        </row>
        <row r="55">
          <cell r="A55" t="str">
            <v>구땡</v>
          </cell>
          <cell r="B55" t="str">
            <v>구땡</v>
          </cell>
          <cell r="R55" t="str">
            <v>SISSI</v>
          </cell>
          <cell r="S55" t="str">
            <v>더컴퍼니</v>
          </cell>
        </row>
        <row r="56">
          <cell r="A56" t="str">
            <v>구유</v>
          </cell>
          <cell r="B56" t="str">
            <v>구유</v>
          </cell>
          <cell r="R56" t="str">
            <v>SISSI</v>
          </cell>
          <cell r="S56" t="str">
            <v>더컴퍼니</v>
          </cell>
        </row>
        <row r="57">
          <cell r="A57" t="str">
            <v>구이</v>
          </cell>
          <cell r="B57" t="str">
            <v>구이</v>
          </cell>
          <cell r="R57" t="str">
            <v>SISSI</v>
          </cell>
          <cell r="S57" t="str">
            <v>더컴퍼니</v>
          </cell>
        </row>
        <row r="58">
          <cell r="A58" t="str">
            <v>군주</v>
          </cell>
          <cell r="B58" t="str">
            <v>군주</v>
          </cell>
          <cell r="R58" t="str">
            <v>SISSI</v>
          </cell>
          <cell r="S58" t="str">
            <v>더컴퍼니</v>
          </cell>
        </row>
        <row r="59">
          <cell r="A59" t="str">
            <v>권용찬</v>
          </cell>
          <cell r="B59" t="str">
            <v>권용찬</v>
          </cell>
          <cell r="R59" t="str">
            <v>SISSI</v>
          </cell>
          <cell r="S59" t="str">
            <v>더컴퍼니</v>
          </cell>
        </row>
        <row r="60">
          <cell r="A60" t="str">
            <v>권용찬 (2)</v>
          </cell>
          <cell r="B60" t="str">
            <v>권용찬</v>
          </cell>
          <cell r="R60" t="str">
            <v>SISSI</v>
          </cell>
          <cell r="S60" t="str">
            <v>더컴퍼니</v>
          </cell>
        </row>
        <row r="61">
          <cell r="A61" t="str">
            <v>글면증</v>
          </cell>
          <cell r="B61" t="str">
            <v>글면증</v>
          </cell>
          <cell r="R61" t="str">
            <v>SISSI</v>
          </cell>
          <cell r="S61" t="str">
            <v>더컴퍼니</v>
          </cell>
        </row>
        <row r="62">
          <cell r="A62" t="str">
            <v>금시조</v>
          </cell>
          <cell r="B62" t="str">
            <v>금시조</v>
          </cell>
          <cell r="R62" t="str">
            <v>SISSI</v>
          </cell>
          <cell r="S62" t="str">
            <v>더컴퍼니</v>
          </cell>
        </row>
        <row r="63">
          <cell r="A63" t="str">
            <v>김광수</v>
          </cell>
          <cell r="B63" t="str">
            <v>김광수</v>
          </cell>
          <cell r="R63" t="str">
            <v>SISSI</v>
          </cell>
          <cell r="S63" t="str">
            <v>더컴퍼니</v>
          </cell>
        </row>
        <row r="64">
          <cell r="A64" t="str">
            <v>김광수 (2)</v>
          </cell>
          <cell r="B64" t="str">
            <v>김광수</v>
          </cell>
          <cell r="R64" t="str">
            <v>SISSI</v>
          </cell>
          <cell r="S64" t="str">
            <v>더컴퍼니</v>
          </cell>
        </row>
        <row r="65">
          <cell r="A65" t="str">
            <v>김너울</v>
          </cell>
          <cell r="B65" t="str">
            <v>김너울</v>
          </cell>
          <cell r="R65" t="str">
            <v>SISSI</v>
          </cell>
          <cell r="S65" t="str">
            <v>더컴퍼니</v>
          </cell>
        </row>
        <row r="66">
          <cell r="A66" t="str">
            <v>김사라</v>
          </cell>
          <cell r="B66" t="str">
            <v>김사라</v>
          </cell>
          <cell r="R66" t="str">
            <v>SISSI</v>
          </cell>
          <cell r="S66" t="str">
            <v>더컴퍼니</v>
          </cell>
        </row>
        <row r="67">
          <cell r="A67" t="str">
            <v>김수연</v>
          </cell>
          <cell r="B67" t="str">
            <v>김수연</v>
          </cell>
          <cell r="R67" t="str">
            <v>SISSI</v>
          </cell>
          <cell r="S67" t="str">
            <v>더컴퍼니</v>
          </cell>
        </row>
        <row r="68">
          <cell r="A68" t="str">
            <v>김온별</v>
          </cell>
          <cell r="B68" t="str">
            <v>김온별</v>
          </cell>
          <cell r="R68" t="str">
            <v>SISSI</v>
          </cell>
          <cell r="S68" t="str">
            <v>더컴퍼니</v>
          </cell>
        </row>
        <row r="69">
          <cell r="A69" t="str">
            <v>김온별(러브 마인)</v>
          </cell>
          <cell r="B69" t="str">
            <v>김온별</v>
          </cell>
          <cell r="R69" t="str">
            <v>SISSI</v>
          </cell>
          <cell r="S69" t="str">
            <v>더컴퍼니</v>
          </cell>
        </row>
        <row r="70">
          <cell r="A70" t="str">
            <v>김온별(러브마인)</v>
          </cell>
          <cell r="B70" t="str">
            <v>김온별</v>
          </cell>
          <cell r="R70" t="str">
            <v>SISSI</v>
          </cell>
          <cell r="S70" t="str">
            <v>더컴퍼니</v>
          </cell>
        </row>
        <row r="71">
          <cell r="A71" t="str">
            <v>김온별러브마인</v>
          </cell>
          <cell r="B71" t="str">
            <v>김온별러브마인</v>
          </cell>
          <cell r="R71" t="str">
            <v>SISSI</v>
          </cell>
          <cell r="S71" t="str">
            <v>더컴퍼니</v>
          </cell>
        </row>
        <row r="72">
          <cell r="A72" t="str">
            <v>김운담</v>
          </cell>
          <cell r="B72" t="str">
            <v>김운담</v>
          </cell>
          <cell r="R72" t="str">
            <v>SISSI</v>
          </cell>
          <cell r="S72" t="str">
            <v>더컴퍼니</v>
          </cell>
        </row>
        <row r="73">
          <cell r="A73" t="str">
            <v>김정률</v>
          </cell>
          <cell r="B73" t="str">
            <v>김정률</v>
          </cell>
          <cell r="R73" t="str">
            <v>SISSI</v>
          </cell>
          <cell r="S73" t="str">
            <v>더컴퍼니</v>
          </cell>
        </row>
        <row r="74">
          <cell r="A74" t="str">
            <v>김정연</v>
          </cell>
          <cell r="B74" t="str">
            <v>김정연</v>
          </cell>
          <cell r="R74" t="str">
            <v>SISSI</v>
          </cell>
          <cell r="S74" t="str">
            <v>더컴퍼니</v>
          </cell>
        </row>
        <row r="75">
          <cell r="A75" t="str">
            <v>깡펀치</v>
          </cell>
          <cell r="B75" t="str">
            <v>깡펀치</v>
          </cell>
          <cell r="R75" t="str">
            <v>SISSI</v>
          </cell>
          <cell r="S75" t="str">
            <v>더컴퍼니</v>
          </cell>
        </row>
        <row r="76">
          <cell r="A76" t="str">
            <v>꽃잠</v>
          </cell>
          <cell r="B76" t="str">
            <v>꽃잠</v>
          </cell>
          <cell r="R76" t="str">
            <v>SISSI</v>
          </cell>
          <cell r="S76" t="str">
            <v>더컴퍼니</v>
          </cell>
        </row>
        <row r="77">
          <cell r="A77" t="str">
            <v>남정훈</v>
          </cell>
          <cell r="B77" t="str">
            <v>컨텐츠헤라</v>
          </cell>
          <cell r="R77" t="str">
            <v>SISSI</v>
          </cell>
          <cell r="S77" t="str">
            <v>더컴퍼니</v>
          </cell>
        </row>
        <row r="78">
          <cell r="A78" t="str">
            <v>녹야천학&amp;유지교자</v>
          </cell>
          <cell r="B78" t="str">
            <v>제외</v>
          </cell>
          <cell r="R78" t="str">
            <v>SISSI</v>
          </cell>
          <cell r="S78" t="str">
            <v>더컴퍼니</v>
          </cell>
        </row>
        <row r="79">
          <cell r="A79" t="str">
            <v>다물</v>
          </cell>
          <cell r="B79" t="str">
            <v>컨텐츠헤라</v>
          </cell>
          <cell r="R79" t="str">
            <v>SISSI</v>
          </cell>
          <cell r="S79" t="str">
            <v>더컴퍼니</v>
          </cell>
        </row>
        <row r="80">
          <cell r="A80" t="str">
            <v>단연필</v>
          </cell>
          <cell r="B80" t="str">
            <v>단연필</v>
          </cell>
          <cell r="R80" t="str">
            <v>SISSI</v>
          </cell>
          <cell r="S80" t="str">
            <v>더컴퍼니</v>
          </cell>
        </row>
        <row r="81">
          <cell r="A81" t="str">
            <v>단팥크림빵</v>
          </cell>
          <cell r="B81" t="str">
            <v>단팥크림빵7</v>
          </cell>
          <cell r="R81" t="str">
            <v>SISSI</v>
          </cell>
          <cell r="S81" t="str">
            <v>더컴퍼니</v>
          </cell>
        </row>
        <row r="82">
          <cell r="A82" t="str">
            <v>단팥크림빵7</v>
          </cell>
          <cell r="B82" t="str">
            <v>단팥크림빵7</v>
          </cell>
          <cell r="R82" t="str">
            <v>SISSI</v>
          </cell>
          <cell r="S82" t="str">
            <v>더컴퍼니</v>
          </cell>
        </row>
        <row r="83">
          <cell r="A83" t="str">
            <v>담화공</v>
          </cell>
          <cell r="B83" t="str">
            <v>담화공</v>
          </cell>
          <cell r="R83" t="str">
            <v>SISSI</v>
          </cell>
          <cell r="S83" t="str">
            <v>더컴퍼니</v>
          </cell>
        </row>
        <row r="84">
          <cell r="A84" t="str">
            <v>담화공.</v>
          </cell>
          <cell r="B84" t="str">
            <v>담화공</v>
          </cell>
          <cell r="R84" t="str">
            <v>SISSI</v>
          </cell>
          <cell r="S84" t="str">
            <v>더컴퍼니</v>
          </cell>
        </row>
        <row r="85">
          <cell r="A85" t="str">
            <v>닽팥크림빵7</v>
          </cell>
          <cell r="B85" t="str">
            <v>단팥크림빵7</v>
          </cell>
          <cell r="R85" t="str">
            <v>SISSI</v>
          </cell>
          <cell r="S85" t="str">
            <v>더컴퍼니</v>
          </cell>
        </row>
        <row r="86">
          <cell r="A86" t="str">
            <v>더컴퍼니</v>
          </cell>
          <cell r="B86" t="str">
            <v>더컴퍼니</v>
          </cell>
          <cell r="R86" t="str">
            <v>SISSI</v>
          </cell>
          <cell r="S86" t="str">
            <v>더컴퍼니</v>
          </cell>
        </row>
        <row r="87">
          <cell r="A87" t="str">
            <v>덕킹</v>
          </cell>
          <cell r="B87" t="str">
            <v>덕킹</v>
          </cell>
          <cell r="R87" t="str">
            <v>SISSI</v>
          </cell>
          <cell r="S87" t="str">
            <v>더컴퍼니</v>
          </cell>
        </row>
        <row r="88">
          <cell r="A88" t="str">
            <v>도얀</v>
          </cell>
          <cell r="B88" t="str">
            <v>도얀</v>
          </cell>
          <cell r="R88" t="str">
            <v>SISSI</v>
          </cell>
          <cell r="S88" t="str">
            <v>더컴퍼니</v>
          </cell>
        </row>
        <row r="89">
          <cell r="A89" t="str">
            <v>독고진</v>
          </cell>
          <cell r="B89" t="str">
            <v>독고진</v>
          </cell>
          <cell r="R89" t="str">
            <v>SISSI</v>
          </cell>
          <cell r="S89" t="str">
            <v>더컴퍼니</v>
          </cell>
        </row>
        <row r="90">
          <cell r="A90" t="str">
            <v>돈문어</v>
          </cell>
          <cell r="B90" t="str">
            <v>돈문어</v>
          </cell>
          <cell r="R90" t="str">
            <v>SISSI</v>
          </cell>
          <cell r="S90" t="str">
            <v>더컴퍼니</v>
          </cell>
        </row>
        <row r="91">
          <cell r="A91" t="str">
            <v>두경</v>
          </cell>
          <cell r="B91" t="str">
            <v>컨텐츠헤라</v>
          </cell>
          <cell r="R91" t="str">
            <v>SISSI</v>
          </cell>
          <cell r="S91" t="str">
            <v>더컴퍼니</v>
          </cell>
        </row>
        <row r="92">
          <cell r="A92" t="str">
            <v>두나래</v>
          </cell>
          <cell r="B92" t="str">
            <v>두나래</v>
          </cell>
          <cell r="R92" t="str">
            <v>SISSI</v>
          </cell>
          <cell r="S92" t="str">
            <v>더컴퍼니</v>
          </cell>
        </row>
        <row r="93">
          <cell r="A93" t="str">
            <v>두럭</v>
          </cell>
          <cell r="B93" t="str">
            <v>더컴퍼니</v>
          </cell>
          <cell r="R93" t="str">
            <v>SISSI</v>
          </cell>
          <cell r="S93" t="str">
            <v>더컴퍼니</v>
          </cell>
        </row>
        <row r="94">
          <cell r="A94" t="str">
            <v>디버스 대도서관</v>
          </cell>
          <cell r="B94" t="str">
            <v>디버스 대도서관</v>
          </cell>
          <cell r="R94" t="str">
            <v>SISSI</v>
          </cell>
          <cell r="S94" t="str">
            <v>더컴퍼니</v>
          </cell>
        </row>
        <row r="95">
          <cell r="A95" t="str">
            <v>라비니안느</v>
          </cell>
          <cell r="B95" t="str">
            <v>라비니안느</v>
          </cell>
          <cell r="R95" t="str">
            <v>SISSI</v>
          </cell>
          <cell r="S95" t="str">
            <v>더컴퍼니</v>
          </cell>
        </row>
        <row r="96">
          <cell r="A96" t="str">
            <v>란토파즈</v>
          </cell>
          <cell r="B96" t="str">
            <v>란토파즈</v>
          </cell>
          <cell r="R96" t="str">
            <v>SISSI</v>
          </cell>
          <cell r="S96" t="str">
            <v>더컴퍼니</v>
          </cell>
        </row>
        <row r="97">
          <cell r="A97" t="str">
            <v>랑새</v>
          </cell>
          <cell r="B97" t="str">
            <v>랑새</v>
          </cell>
          <cell r="R97" t="str">
            <v>sJessi</v>
          </cell>
          <cell r="S97" t="str">
            <v>더컴퍼니</v>
          </cell>
        </row>
        <row r="98">
          <cell r="A98" t="str">
            <v>레드트러블</v>
          </cell>
          <cell r="B98" t="str">
            <v>레드트러블</v>
          </cell>
          <cell r="R98" t="str">
            <v>sJessi</v>
          </cell>
          <cell r="S98" t="str">
            <v>더컴퍼니</v>
          </cell>
        </row>
        <row r="99">
          <cell r="A99" t="str">
            <v>레미세라</v>
          </cell>
          <cell r="B99" t="str">
            <v>리세마라</v>
          </cell>
          <cell r="R99" t="str">
            <v>sJessi</v>
          </cell>
          <cell r="S99" t="str">
            <v>더컴퍼니</v>
          </cell>
        </row>
        <row r="100">
          <cell r="A100" t="str">
            <v>루이세</v>
          </cell>
          <cell r="B100" t="str">
            <v>루이세</v>
          </cell>
          <cell r="R100" t="str">
            <v>sJessi</v>
          </cell>
          <cell r="S100" t="str">
            <v>더컴퍼니</v>
          </cell>
        </row>
        <row r="101">
          <cell r="A101" t="str">
            <v>리세마라</v>
          </cell>
          <cell r="B101" t="str">
            <v>리세마라</v>
          </cell>
          <cell r="R101" t="str">
            <v>sJessi</v>
          </cell>
          <cell r="S101" t="str">
            <v>더컴퍼니</v>
          </cell>
        </row>
        <row r="102">
          <cell r="A102" t="str">
            <v>마뇽</v>
          </cell>
          <cell r="B102" t="str">
            <v>마뇽</v>
          </cell>
          <cell r="R102" t="str">
            <v>sJessi</v>
          </cell>
          <cell r="S102" t="str">
            <v>더컴퍼니</v>
          </cell>
        </row>
        <row r="103">
          <cell r="A103" t="str">
            <v>마북명</v>
          </cell>
          <cell r="B103" t="str">
            <v>제외</v>
          </cell>
          <cell r="R103" t="str">
            <v>sJessi</v>
          </cell>
          <cell r="S103" t="str">
            <v>더컴퍼니</v>
          </cell>
        </row>
        <row r="104">
          <cell r="A104" t="str">
            <v>마용출</v>
          </cell>
          <cell r="B104" t="str">
            <v>마용출</v>
          </cell>
          <cell r="R104" t="str">
            <v>sJessi</v>
          </cell>
          <cell r="S104" t="str">
            <v>더컴퍼니</v>
          </cell>
        </row>
        <row r="105">
          <cell r="A105" t="str">
            <v>마지막 도전</v>
          </cell>
          <cell r="B105" t="str">
            <v>프레인</v>
          </cell>
          <cell r="R105" t="str">
            <v>sJessi</v>
          </cell>
          <cell r="S105" t="str">
            <v>더컴퍼니</v>
          </cell>
        </row>
        <row r="106">
          <cell r="A106" t="str">
            <v>만렙도끼</v>
          </cell>
          <cell r="B106" t="str">
            <v>만렙도끼</v>
          </cell>
          <cell r="R106" t="str">
            <v>sJessi</v>
          </cell>
          <cell r="S106" t="str">
            <v>더컴퍼니</v>
          </cell>
        </row>
        <row r="107">
          <cell r="A107" t="str">
            <v>맑은물</v>
          </cell>
          <cell r="B107" t="str">
            <v>맑은물로</v>
          </cell>
          <cell r="R107" t="str">
            <v>sJessi</v>
          </cell>
          <cell r="S107" t="str">
            <v>더컴퍼니</v>
          </cell>
        </row>
        <row r="108">
          <cell r="A108" t="str">
            <v>맑은물로</v>
          </cell>
          <cell r="B108" t="str">
            <v>맑은물로</v>
          </cell>
          <cell r="R108" t="str">
            <v>sJessi</v>
          </cell>
          <cell r="S108" t="str">
            <v>더컴퍼니</v>
          </cell>
        </row>
        <row r="109">
          <cell r="A109" t="str">
            <v>망나니개</v>
          </cell>
          <cell r="B109" t="str">
            <v>망나니개</v>
          </cell>
          <cell r="R109" t="str">
            <v>sJessi</v>
          </cell>
          <cell r="S109" t="str">
            <v>더컴퍼니</v>
          </cell>
        </row>
        <row r="110">
          <cell r="A110" t="str">
            <v>망북</v>
          </cell>
          <cell r="B110" t="str">
            <v>제외</v>
          </cell>
          <cell r="R110" t="str">
            <v>sJessi</v>
          </cell>
          <cell r="S110" t="str">
            <v>더컴퍼니</v>
          </cell>
        </row>
        <row r="111">
          <cell r="A111" t="str">
            <v>먼나무</v>
          </cell>
          <cell r="B111" t="str">
            <v>먼나무</v>
          </cell>
          <cell r="R111" t="str">
            <v>강명운</v>
          </cell>
          <cell r="S111" t="str">
            <v>아크스튜디오</v>
          </cell>
        </row>
        <row r="112">
          <cell r="A112" t="str">
            <v>모리미</v>
          </cell>
          <cell r="B112" t="str">
            <v>모리미</v>
          </cell>
          <cell r="R112" t="str">
            <v>강명운</v>
          </cell>
          <cell r="S112" t="str">
            <v>아크스튜디오</v>
          </cell>
        </row>
        <row r="113">
          <cell r="A113" t="str">
            <v>모리미J</v>
          </cell>
          <cell r="B113" t="str">
            <v>모리미J</v>
          </cell>
          <cell r="R113" t="str">
            <v>강산</v>
          </cell>
          <cell r="S113" t="str">
            <v>에필로그</v>
          </cell>
        </row>
        <row r="114">
          <cell r="A114" t="str">
            <v>모험왕선우</v>
          </cell>
          <cell r="B114" t="str">
            <v>모험왕선우</v>
          </cell>
          <cell r="R114" t="str">
            <v>강산</v>
          </cell>
          <cell r="S114" t="str">
            <v>에필로그</v>
          </cell>
        </row>
        <row r="115">
          <cell r="A115" t="str">
            <v>목화커피</v>
          </cell>
          <cell r="B115" t="str">
            <v>목화커피</v>
          </cell>
          <cell r="R115" t="str">
            <v>강산</v>
          </cell>
          <cell r="S115" t="str">
            <v>에필로그</v>
          </cell>
        </row>
        <row r="116">
          <cell r="A116" t="str">
            <v>목화커피</v>
          </cell>
          <cell r="B116" t="str">
            <v>목화커피</v>
          </cell>
          <cell r="R116" t="str">
            <v>강산</v>
          </cell>
          <cell r="S116" t="str">
            <v>에필로그</v>
          </cell>
        </row>
        <row r="117">
          <cell r="A117" t="str">
            <v>몸서리</v>
          </cell>
          <cell r="B117" t="str">
            <v>몸서리</v>
          </cell>
          <cell r="R117" t="str">
            <v>강산</v>
          </cell>
          <cell r="S117" t="str">
            <v>에필로그</v>
          </cell>
        </row>
        <row r="118">
          <cell r="A118" t="str">
            <v>무성매직</v>
          </cell>
          <cell r="B118" t="str">
            <v>무성매직</v>
          </cell>
          <cell r="R118" t="str">
            <v>강산</v>
          </cell>
          <cell r="S118" t="str">
            <v>에필로그</v>
          </cell>
        </row>
        <row r="119">
          <cell r="A119" t="str">
            <v>무장</v>
          </cell>
          <cell r="B119" t="str">
            <v>무장</v>
          </cell>
          <cell r="R119" t="str">
            <v>강산</v>
          </cell>
          <cell r="S119" t="str">
            <v>에필로그</v>
          </cell>
        </row>
        <row r="120">
          <cell r="A120" t="str">
            <v>무장 (2)</v>
          </cell>
          <cell r="B120" t="str">
            <v>무장</v>
          </cell>
          <cell r="R120" t="str">
            <v>강산</v>
          </cell>
          <cell r="S120" t="str">
            <v>에필로그</v>
          </cell>
        </row>
        <row r="121">
          <cell r="A121" t="str">
            <v>문스톤</v>
          </cell>
          <cell r="B121" t="str">
            <v>문스톤</v>
          </cell>
          <cell r="R121" t="str">
            <v>강산</v>
          </cell>
          <cell r="S121" t="str">
            <v>에필로그</v>
          </cell>
        </row>
        <row r="122">
          <cell r="A122" t="str">
            <v>미나세 치호</v>
          </cell>
          <cell r="B122" t="str">
            <v>제외</v>
          </cell>
          <cell r="R122" t="str">
            <v>강산</v>
          </cell>
          <cell r="S122" t="str">
            <v>에필로그</v>
          </cell>
        </row>
        <row r="123">
          <cell r="A123" t="str">
            <v>밀리오리지널</v>
          </cell>
          <cell r="B123" t="str">
            <v>밀리</v>
          </cell>
          <cell r="R123" t="str">
            <v>강산(江山)</v>
          </cell>
          <cell r="S123" t="str">
            <v>에필로그</v>
          </cell>
        </row>
        <row r="124">
          <cell r="A124" t="str">
            <v>밀리의 서재</v>
          </cell>
          <cell r="B124" t="str">
            <v>밀리</v>
          </cell>
          <cell r="R124" t="str">
            <v>강산(江山)</v>
          </cell>
          <cell r="S124" t="str">
            <v>에필로그</v>
          </cell>
        </row>
        <row r="125">
          <cell r="A125" t="str">
            <v>밀리의서재</v>
          </cell>
          <cell r="B125" t="str">
            <v>밀리</v>
          </cell>
          <cell r="R125" t="str">
            <v>강산(江山)</v>
          </cell>
          <cell r="S125" t="str">
            <v>에필로그</v>
          </cell>
        </row>
        <row r="126">
          <cell r="A126" t="str">
            <v>밈스</v>
          </cell>
          <cell r="B126" t="str">
            <v>밈스</v>
          </cell>
          <cell r="R126" t="str">
            <v>강산(江山)</v>
          </cell>
          <cell r="S126" t="str">
            <v>에필로그</v>
          </cell>
        </row>
        <row r="127">
          <cell r="A127" t="str">
            <v>바나바다</v>
          </cell>
          <cell r="B127" t="str">
            <v>바나바다</v>
          </cell>
          <cell r="R127" t="str">
            <v>백범</v>
          </cell>
          <cell r="S127" t="str">
            <v>에필로그</v>
          </cell>
        </row>
        <row r="128">
          <cell r="A128" t="str">
            <v>박도아</v>
          </cell>
          <cell r="B128" t="str">
            <v>박도아</v>
          </cell>
          <cell r="R128" t="str">
            <v>강산(江山)</v>
          </cell>
          <cell r="S128" t="str">
            <v>에필로그</v>
          </cell>
        </row>
        <row r="129">
          <cell r="A129" t="str">
            <v>박도아</v>
          </cell>
          <cell r="B129" t="str">
            <v>박도아</v>
          </cell>
          <cell r="R129" t="str">
            <v>강산(江山)</v>
          </cell>
          <cell r="S129" t="str">
            <v>에필로그</v>
          </cell>
        </row>
        <row r="130">
          <cell r="A130" t="str">
            <v>발상</v>
          </cell>
          <cell r="B130" t="str">
            <v>발상</v>
          </cell>
          <cell r="R130" t="str">
            <v>강산(江山)</v>
          </cell>
          <cell r="S130" t="str">
            <v>에필로그</v>
          </cell>
        </row>
        <row r="131">
          <cell r="A131" t="str">
            <v>방울마마</v>
          </cell>
          <cell r="B131" t="str">
            <v>방울마마</v>
          </cell>
          <cell r="R131" t="str">
            <v>강산(江山)</v>
          </cell>
          <cell r="S131" t="str">
            <v>에필로그</v>
          </cell>
        </row>
        <row r="132">
          <cell r="A132" t="str">
            <v>배운만덕</v>
          </cell>
          <cell r="B132" t="str">
            <v>배운만덕</v>
          </cell>
          <cell r="R132" t="str">
            <v>강산(江山)</v>
          </cell>
          <cell r="S132" t="str">
            <v>에필로그</v>
          </cell>
        </row>
        <row r="133">
          <cell r="A133" t="str">
            <v>백열음</v>
          </cell>
          <cell r="B133" t="str">
            <v>백열음</v>
          </cell>
          <cell r="R133" t="str">
            <v>강산(江山)</v>
          </cell>
          <cell r="S133" t="str">
            <v>에필로그</v>
          </cell>
        </row>
        <row r="134">
          <cell r="A134" t="str">
            <v>백일하</v>
          </cell>
          <cell r="B134" t="str">
            <v>백일하</v>
          </cell>
          <cell r="R134" t="str">
            <v>강산(江山)</v>
          </cell>
          <cell r="S134" t="str">
            <v>에필로그</v>
          </cell>
        </row>
        <row r="135">
          <cell r="A135" t="str">
            <v>벗우</v>
          </cell>
          <cell r="B135" t="str">
            <v>벗우</v>
          </cell>
          <cell r="R135" t="str">
            <v>백범(白帆)</v>
          </cell>
          <cell r="S135" t="str">
            <v>에필로그</v>
          </cell>
        </row>
        <row r="136">
          <cell r="A136" t="str">
            <v>봄별해</v>
          </cell>
          <cell r="B136" t="str">
            <v>봄별해</v>
          </cell>
          <cell r="R136" t="str">
            <v>강산(江山)</v>
          </cell>
          <cell r="S136" t="str">
            <v>에필로그</v>
          </cell>
        </row>
        <row r="137">
          <cell r="A137" t="str">
            <v>부엉이콩</v>
          </cell>
          <cell r="B137" t="str">
            <v>부엉이콩</v>
          </cell>
          <cell r="R137" t="str">
            <v>강산(江山)</v>
          </cell>
          <cell r="S137" t="str">
            <v>에필로그</v>
          </cell>
        </row>
        <row r="138">
          <cell r="A138" t="str">
            <v>불고기자리</v>
          </cell>
          <cell r="B138" t="str">
            <v>불고기자리</v>
          </cell>
          <cell r="R138" t="str">
            <v>강산 (江山)</v>
          </cell>
          <cell r="S138" t="str">
            <v>에필로그</v>
          </cell>
        </row>
        <row r="139">
          <cell r="A139" t="str">
            <v>붕어빵</v>
          </cell>
          <cell r="B139" t="str">
            <v>붕어빵</v>
          </cell>
          <cell r="R139" t="str">
            <v>강산(江山)</v>
          </cell>
          <cell r="S139" t="str">
            <v>에필로그</v>
          </cell>
        </row>
        <row r="140">
          <cell r="A140" t="str">
            <v>블 루 스 카 이</v>
          </cell>
          <cell r="B140" t="str">
            <v>블 루 스 카 이</v>
          </cell>
          <cell r="R140" t="str">
            <v>강산(江山)</v>
          </cell>
          <cell r="S140" t="str">
            <v>에필로그</v>
          </cell>
        </row>
        <row r="141">
          <cell r="A141" t="str">
            <v>블라이스</v>
          </cell>
          <cell r="B141" t="str">
            <v>블라이스</v>
          </cell>
          <cell r="R141" t="str">
            <v>강산(江山)</v>
          </cell>
          <cell r="S141" t="str">
            <v>에필로그</v>
          </cell>
        </row>
        <row r="142">
          <cell r="A142" t="str">
            <v>블랙커피</v>
          </cell>
          <cell r="B142" t="str">
            <v>블랙커피</v>
          </cell>
          <cell r="R142" t="str">
            <v>강산(江山)</v>
          </cell>
          <cell r="S142" t="str">
            <v>에필로그</v>
          </cell>
        </row>
        <row r="143">
          <cell r="A143" t="str">
            <v>블루스카이</v>
          </cell>
          <cell r="B143" t="str">
            <v>블 루 스 카 이</v>
          </cell>
          <cell r="R143" t="str">
            <v>강산(江山)</v>
          </cell>
          <cell r="S143" t="str">
            <v>에필로그</v>
          </cell>
        </row>
        <row r="144">
          <cell r="A144" t="str">
            <v>비고</v>
          </cell>
          <cell r="B144" t="str">
            <v>비고</v>
          </cell>
          <cell r="R144" t="str">
            <v>강산(江山)</v>
          </cell>
          <cell r="S144" t="str">
            <v>에필로그</v>
          </cell>
        </row>
        <row r="145">
          <cell r="A145" t="str">
            <v>빡선생</v>
          </cell>
          <cell r="B145" t="str">
            <v>빡선생</v>
          </cell>
          <cell r="R145" t="str">
            <v>강산(江山)</v>
          </cell>
          <cell r="S145" t="str">
            <v>에필로그</v>
          </cell>
        </row>
        <row r="146">
          <cell r="A146" t="str">
            <v>빨강뽀뽀</v>
          </cell>
          <cell r="B146" t="str">
            <v>빨강뽀뽀</v>
          </cell>
          <cell r="R146" t="str">
            <v>강산(江山)</v>
          </cell>
          <cell r="S146" t="str">
            <v>에필로그</v>
          </cell>
        </row>
        <row r="147">
          <cell r="A147" t="str">
            <v>빵양이</v>
          </cell>
          <cell r="B147" t="str">
            <v>빵양이</v>
          </cell>
          <cell r="R147" t="str">
            <v>강산(江山)</v>
          </cell>
          <cell r="S147" t="str">
            <v>에필로그</v>
          </cell>
        </row>
        <row r="148">
          <cell r="A148" t="str">
            <v>사지현</v>
          </cell>
          <cell r="B148" t="str">
            <v>사지현</v>
          </cell>
          <cell r="R148" t="str">
            <v>강산(江山)</v>
          </cell>
          <cell r="S148" t="str">
            <v>에필로그</v>
          </cell>
        </row>
        <row r="149">
          <cell r="A149" t="str">
            <v>사틴</v>
          </cell>
          <cell r="B149" t="str">
            <v>더컴퍼니</v>
          </cell>
          <cell r="R149" t="str">
            <v>강산(江山)</v>
          </cell>
          <cell r="S149" t="str">
            <v>에필로그</v>
          </cell>
        </row>
        <row r="150">
          <cell r="A150" t="str">
            <v>새우깡조아</v>
          </cell>
          <cell r="B150" t="str">
            <v>새우깡조아</v>
          </cell>
          <cell r="R150" t="str">
            <v>강산(江山)</v>
          </cell>
          <cell r="S150" t="str">
            <v>에필로그</v>
          </cell>
        </row>
        <row r="151">
          <cell r="A151" t="str">
            <v>서강후</v>
          </cell>
          <cell r="B151" t="str">
            <v>서강후</v>
          </cell>
          <cell r="R151" t="str">
            <v>강산(江山)</v>
          </cell>
          <cell r="S151" t="str">
            <v>에필로그</v>
          </cell>
        </row>
        <row r="152">
          <cell r="A152" t="str">
            <v>서도연</v>
          </cell>
          <cell r="B152" t="str">
            <v>서도연</v>
          </cell>
          <cell r="R152" t="str">
            <v>강산(江山)</v>
          </cell>
          <cell r="S152" t="str">
            <v>에필로그</v>
          </cell>
        </row>
        <row r="153">
          <cell r="A153" t="str">
            <v>설화객잔 무장</v>
          </cell>
          <cell r="B153" t="str">
            <v>무장</v>
          </cell>
          <cell r="R153" t="str">
            <v>강산(江山)</v>
          </cell>
          <cell r="S153" t="str">
            <v>에필로그</v>
          </cell>
        </row>
        <row r="154">
          <cell r="A154" t="str">
            <v>설화객잔-무장</v>
          </cell>
          <cell r="B154" t="str">
            <v>무장</v>
          </cell>
          <cell r="R154" t="str">
            <v>강산(江山)</v>
          </cell>
          <cell r="S154" t="str">
            <v>에필로그</v>
          </cell>
        </row>
        <row r="155">
          <cell r="A155" t="str">
            <v>세상</v>
          </cell>
          <cell r="B155" t="str">
            <v>세상</v>
          </cell>
          <cell r="R155" t="str">
            <v>강산(江山)</v>
          </cell>
          <cell r="S155" t="str">
            <v>에필로그</v>
          </cell>
        </row>
        <row r="156">
          <cell r="A156" t="str">
            <v>세상1</v>
          </cell>
          <cell r="B156" t="str">
            <v>세상</v>
          </cell>
          <cell r="R156" t="str">
            <v>강산(江山)</v>
          </cell>
          <cell r="S156" t="str">
            <v>에필로그</v>
          </cell>
        </row>
        <row r="157">
          <cell r="A157" t="str">
            <v>세어</v>
          </cell>
          <cell r="B157" t="str">
            <v>세어</v>
          </cell>
          <cell r="R157" t="str">
            <v>강산(江山)</v>
          </cell>
          <cell r="S157" t="str">
            <v>에필로그</v>
          </cell>
        </row>
        <row r="158">
          <cell r="A158" t="str">
            <v>세움</v>
          </cell>
          <cell r="B158" t="str">
            <v>세움</v>
          </cell>
          <cell r="R158" t="str">
            <v>강산(江山)</v>
          </cell>
          <cell r="S158" t="str">
            <v>에필로그</v>
          </cell>
        </row>
        <row r="159">
          <cell r="A159" t="str">
            <v>세히</v>
          </cell>
          <cell r="B159" t="str">
            <v>세히</v>
          </cell>
          <cell r="R159" t="str">
            <v>강산(江山)</v>
          </cell>
          <cell r="S159" t="str">
            <v>에필로그</v>
          </cell>
        </row>
        <row r="160">
          <cell r="A160" t="str">
            <v>셔틀</v>
          </cell>
          <cell r="B160" t="str">
            <v>셔틀</v>
          </cell>
          <cell r="R160" t="str">
            <v>강산(江山)</v>
          </cell>
          <cell r="S160" t="str">
            <v>에필로그</v>
          </cell>
        </row>
        <row r="161">
          <cell r="A161" t="str">
            <v>손영목</v>
          </cell>
          <cell r="B161" t="str">
            <v>손영목</v>
          </cell>
          <cell r="R161" t="str">
            <v>강산(江山)</v>
          </cell>
          <cell r="S161" t="str">
            <v>에필로그</v>
          </cell>
        </row>
        <row r="162">
          <cell r="A162" t="str">
            <v>솜목화</v>
          </cell>
          <cell r="B162" t="str">
            <v>솜목화</v>
          </cell>
          <cell r="R162" t="str">
            <v>강산(江山)</v>
          </cell>
          <cell r="S162" t="str">
            <v>에필로그</v>
          </cell>
        </row>
        <row r="163">
          <cell r="A163" t="str">
            <v>쇠렌센</v>
          </cell>
          <cell r="B163" t="str">
            <v>쇠렌센</v>
          </cell>
          <cell r="R163" t="str">
            <v>강산(江山)</v>
          </cell>
          <cell r="S163" t="str">
            <v>에필로그</v>
          </cell>
        </row>
        <row r="164">
          <cell r="A164" t="str">
            <v>수레국화꽃말</v>
          </cell>
          <cell r="B164" t="str">
            <v>수레국화꽃말</v>
          </cell>
          <cell r="R164" t="str">
            <v>강산(江山)</v>
          </cell>
          <cell r="S164" t="str">
            <v>에필로그</v>
          </cell>
        </row>
        <row r="165">
          <cell r="A165" t="str">
            <v>수정과</v>
          </cell>
          <cell r="B165" t="str">
            <v>컨텐츠헤라</v>
          </cell>
          <cell r="R165" t="str">
            <v>강산(江山)</v>
          </cell>
          <cell r="S165" t="str">
            <v>에필로그</v>
          </cell>
        </row>
        <row r="166">
          <cell r="A166" t="str">
            <v>쉬즈노블</v>
          </cell>
          <cell r="B166" t="str">
            <v>더컴퍼니</v>
          </cell>
          <cell r="R166" t="str">
            <v>강산(江山)</v>
          </cell>
          <cell r="S166" t="str">
            <v>에필로그</v>
          </cell>
        </row>
        <row r="167">
          <cell r="A167" t="str">
            <v>스내치</v>
          </cell>
          <cell r="B167" t="str">
            <v>스내치</v>
          </cell>
          <cell r="R167" t="str">
            <v>강산(江山)</v>
          </cell>
          <cell r="S167" t="str">
            <v>에필로그</v>
          </cell>
        </row>
        <row r="168">
          <cell r="A168" t="str">
            <v>스토리숲</v>
          </cell>
          <cell r="B168" t="str">
            <v>스토리숲</v>
          </cell>
          <cell r="R168" t="str">
            <v>강산(江山)</v>
          </cell>
          <cell r="S168" t="str">
            <v>에필로그</v>
          </cell>
        </row>
        <row r="169">
          <cell r="A169" t="str">
            <v>스토리아크</v>
          </cell>
          <cell r="B169" t="str">
            <v>스토리아크</v>
          </cell>
          <cell r="R169" t="str">
            <v>강산(江山)</v>
          </cell>
          <cell r="S169" t="str">
            <v>에필로그</v>
          </cell>
        </row>
        <row r="170">
          <cell r="A170" t="str">
            <v>스토리위드</v>
          </cell>
          <cell r="B170" t="str">
            <v>스토리위드</v>
          </cell>
          <cell r="R170" t="str">
            <v>강산(江山)</v>
          </cell>
          <cell r="S170" t="str">
            <v>에필로그</v>
          </cell>
        </row>
        <row r="171">
          <cell r="A171" t="str">
            <v>스토리위즈</v>
          </cell>
          <cell r="B171" t="str">
            <v>스토리위즈</v>
          </cell>
          <cell r="R171" t="str">
            <v>강산(江山)</v>
          </cell>
          <cell r="S171" t="str">
            <v>에필로그</v>
          </cell>
        </row>
        <row r="172">
          <cell r="A172" t="str">
            <v>시계태엽오란씨</v>
          </cell>
          <cell r="B172" t="str">
            <v>시계태엽오란씨</v>
          </cell>
          <cell r="R172" t="str">
            <v>강산(江山)</v>
          </cell>
          <cell r="S172" t="str">
            <v>에필로그</v>
          </cell>
        </row>
        <row r="173">
          <cell r="A173" t="str">
            <v>시무</v>
          </cell>
          <cell r="B173" t="str">
            <v>제외</v>
          </cell>
          <cell r="R173" t="str">
            <v>강산(江山)</v>
          </cell>
          <cell r="S173" t="str">
            <v>에필로그</v>
          </cell>
        </row>
        <row r="174">
          <cell r="A174" t="str">
            <v>시무(蒔舞)</v>
          </cell>
          <cell r="B174" t="str">
            <v>제외</v>
          </cell>
          <cell r="R174" t="str">
            <v>강산(江山)</v>
          </cell>
          <cell r="S174" t="str">
            <v>에필로그</v>
          </cell>
        </row>
        <row r="175">
          <cell r="A175" t="str">
            <v>쏘삭쏘삭</v>
          </cell>
          <cell r="B175" t="str">
            <v>쏘삭쏘삭</v>
          </cell>
          <cell r="R175" t="str">
            <v>강산(江山)</v>
          </cell>
          <cell r="S175" t="str">
            <v>에필로그</v>
          </cell>
        </row>
        <row r="176">
          <cell r="A176" t="str">
            <v>아라시야마</v>
          </cell>
          <cell r="B176" t="str">
            <v>제외</v>
          </cell>
          <cell r="R176" t="str">
            <v>강산(江山)</v>
          </cell>
          <cell r="S176" t="str">
            <v>에필로그</v>
          </cell>
        </row>
        <row r="177">
          <cell r="A177" t="str">
            <v>아슈크림</v>
          </cell>
          <cell r="B177" t="str">
            <v>아슈크림</v>
          </cell>
          <cell r="R177" t="str">
            <v>강산(江山)</v>
          </cell>
          <cell r="S177" t="str">
            <v>에필로그</v>
          </cell>
        </row>
        <row r="178">
          <cell r="A178" t="str">
            <v>아이리스</v>
          </cell>
          <cell r="B178" t="str">
            <v>아이리스</v>
          </cell>
          <cell r="R178" t="str">
            <v>강산(江山)</v>
          </cell>
          <cell r="S178" t="str">
            <v>에필로그</v>
          </cell>
        </row>
        <row r="179">
          <cell r="A179" t="str">
            <v>아크스튜디오</v>
          </cell>
          <cell r="B179" t="str">
            <v>스토리아크</v>
          </cell>
          <cell r="R179" t="str">
            <v>강산(江山)</v>
          </cell>
          <cell r="S179" t="str">
            <v>에필로그</v>
          </cell>
        </row>
        <row r="180">
          <cell r="A180" t="str">
            <v>아타락시아</v>
          </cell>
          <cell r="B180" t="str">
            <v>아타락시아</v>
          </cell>
          <cell r="R180" t="str">
            <v>강산(江山)</v>
          </cell>
          <cell r="S180" t="str">
            <v>에필로그</v>
          </cell>
        </row>
        <row r="181">
          <cell r="A181" t="str">
            <v>알랙스</v>
          </cell>
          <cell r="B181" t="str">
            <v>알랙스</v>
          </cell>
          <cell r="R181" t="str">
            <v>강산(江山)</v>
          </cell>
          <cell r="S181" t="str">
            <v>에필로그</v>
          </cell>
        </row>
        <row r="182">
          <cell r="A182" t="str">
            <v>양이율</v>
          </cell>
          <cell r="B182" t="str">
            <v>양이율</v>
          </cell>
          <cell r="R182" t="str">
            <v>강산(江山)</v>
          </cell>
          <cell r="S182" t="str">
            <v>에필로그</v>
          </cell>
        </row>
        <row r="183">
          <cell r="A183" t="str">
            <v>에피</v>
          </cell>
          <cell r="B183" t="str">
            <v>에피</v>
          </cell>
          <cell r="R183" t="str">
            <v>강산(江山)</v>
          </cell>
          <cell r="S183" t="str">
            <v>에필로그</v>
          </cell>
        </row>
        <row r="184">
          <cell r="A184" t="str">
            <v>에필로그</v>
          </cell>
          <cell r="B184" t="str">
            <v>에필로그</v>
          </cell>
          <cell r="R184" t="str">
            <v>강산(江山)</v>
          </cell>
          <cell r="S184" t="str">
            <v>에필로그</v>
          </cell>
        </row>
        <row r="185">
          <cell r="A185" t="str">
            <v>엘리신</v>
          </cell>
          <cell r="B185" t="str">
            <v>엘리신</v>
          </cell>
          <cell r="R185" t="str">
            <v>강산(江山)</v>
          </cell>
          <cell r="S185" t="str">
            <v>에필로그</v>
          </cell>
        </row>
        <row r="186">
          <cell r="A186" t="str">
            <v>예로나</v>
          </cell>
          <cell r="B186" t="str">
            <v>예로나</v>
          </cell>
          <cell r="R186" t="str">
            <v>강산(江山)</v>
          </cell>
          <cell r="S186" t="str">
            <v>에필로그</v>
          </cell>
        </row>
        <row r="187">
          <cell r="A187" t="str">
            <v>온서</v>
          </cell>
          <cell r="B187" t="str">
            <v>온서</v>
          </cell>
          <cell r="R187" t="str">
            <v>강산(江山)</v>
          </cell>
          <cell r="S187" t="str">
            <v>에필로그</v>
          </cell>
        </row>
        <row r="188">
          <cell r="A188" t="str">
            <v>온서1</v>
          </cell>
          <cell r="B188" t="str">
            <v>온서</v>
          </cell>
          <cell r="R188" t="str">
            <v>강산(江山)</v>
          </cell>
          <cell r="S188" t="str">
            <v>에필로그</v>
          </cell>
        </row>
        <row r="189">
          <cell r="A189" t="str">
            <v>왕십리글쟁이</v>
          </cell>
          <cell r="B189" t="str">
            <v>왕십리글쟁이</v>
          </cell>
          <cell r="R189" t="str">
            <v>강산(江山)</v>
          </cell>
          <cell r="S189" t="str">
            <v>에필로그</v>
          </cell>
        </row>
        <row r="190">
          <cell r="A190" t="str">
            <v>羽宸寰(Uchenhu),林珮瑜(Lin Peiyu)</v>
          </cell>
          <cell r="B190" t="str">
            <v>제외</v>
          </cell>
          <cell r="R190" t="str">
            <v>강산(江山)</v>
          </cell>
          <cell r="S190" t="str">
            <v>에필로그</v>
          </cell>
        </row>
        <row r="191">
          <cell r="A191" t="str">
            <v>울트라미디어</v>
          </cell>
          <cell r="B191" t="str">
            <v>울트라미디어</v>
          </cell>
          <cell r="R191" t="str">
            <v>강산(江山)</v>
          </cell>
          <cell r="S191" t="str">
            <v>에필로그</v>
          </cell>
        </row>
        <row r="192">
          <cell r="A192" t="str">
            <v>원기공장</v>
          </cell>
          <cell r="B192" t="str">
            <v>제외</v>
          </cell>
          <cell r="R192" t="str">
            <v>강산(江山)</v>
          </cell>
          <cell r="S192" t="str">
            <v>에필로그</v>
          </cell>
        </row>
        <row r="193">
          <cell r="A193" t="str">
            <v>윈델</v>
          </cell>
          <cell r="B193" t="str">
            <v>윈델</v>
          </cell>
          <cell r="R193" t="str">
            <v>강산(江山)</v>
          </cell>
          <cell r="S193" t="str">
            <v>에필로그</v>
          </cell>
        </row>
        <row r="194">
          <cell r="A194" t="str">
            <v>유하영</v>
          </cell>
          <cell r="B194" t="str">
            <v>유하영</v>
          </cell>
          <cell r="R194" t="str">
            <v>강산(江山)</v>
          </cell>
          <cell r="S194" t="str">
            <v>에필로그</v>
          </cell>
        </row>
        <row r="195">
          <cell r="A195" t="str">
            <v>윤비밀</v>
          </cell>
          <cell r="B195" t="str">
            <v>윤비밀</v>
          </cell>
          <cell r="R195" t="str">
            <v>강산(江山)</v>
          </cell>
          <cell r="S195" t="str">
            <v>에필로그</v>
          </cell>
        </row>
        <row r="196">
          <cell r="A196" t="str">
            <v>은목서</v>
          </cell>
          <cell r="B196" t="str">
            <v>꽃잠</v>
          </cell>
          <cell r="R196" t="str">
            <v>강산(江山)</v>
          </cell>
          <cell r="S196" t="str">
            <v>에필로그</v>
          </cell>
        </row>
        <row r="197">
          <cell r="A197" t="str">
            <v>은지유</v>
          </cell>
          <cell r="B197" t="str">
            <v>은지유</v>
          </cell>
          <cell r="R197" t="str">
            <v>강산(江山)</v>
          </cell>
          <cell r="S197" t="str">
            <v>에필로그</v>
          </cell>
        </row>
        <row r="198">
          <cell r="A198" t="str">
            <v>이다겸</v>
          </cell>
          <cell r="B198" t="str">
            <v>더컴퍼니</v>
          </cell>
          <cell r="R198" t="str">
            <v>강산(江山)</v>
          </cell>
          <cell r="S198" t="str">
            <v>에필로그</v>
          </cell>
        </row>
        <row r="199">
          <cell r="A199" t="str">
            <v>이동열</v>
          </cell>
          <cell r="B199" t="str">
            <v>이동열</v>
          </cell>
          <cell r="R199" t="str">
            <v>강산(江山)</v>
          </cell>
          <cell r="S199" t="str">
            <v>에필로그</v>
          </cell>
        </row>
        <row r="200">
          <cell r="A200" t="str">
            <v>이로세</v>
          </cell>
          <cell r="B200" t="str">
            <v>이로세</v>
          </cell>
          <cell r="R200" t="str">
            <v>강산(江山)</v>
          </cell>
          <cell r="S200" t="str">
            <v>에필로그</v>
          </cell>
        </row>
        <row r="201">
          <cell r="A201" t="str">
            <v>이리안</v>
          </cell>
          <cell r="B201" t="str">
            <v>이리안</v>
          </cell>
          <cell r="R201" t="str">
            <v>강산(江山)</v>
          </cell>
          <cell r="S201" t="str">
            <v>에필로그</v>
          </cell>
        </row>
        <row r="202">
          <cell r="A202" t="str">
            <v>이린비</v>
          </cell>
          <cell r="B202" t="str">
            <v>이린비</v>
          </cell>
          <cell r="R202" t="str">
            <v>강산(江山)</v>
          </cell>
          <cell r="S202" t="str">
            <v>에필로그</v>
          </cell>
        </row>
        <row r="203">
          <cell r="A203" t="str">
            <v>이삼세&amp;자견</v>
          </cell>
          <cell r="B203" t="str">
            <v>제외</v>
          </cell>
          <cell r="R203" t="str">
            <v>강산(江山)</v>
          </cell>
          <cell r="S203" t="str">
            <v>에필로그</v>
          </cell>
        </row>
        <row r="204">
          <cell r="A204" t="str">
            <v>이상윤</v>
          </cell>
          <cell r="B204" t="str">
            <v>이상윤</v>
          </cell>
          <cell r="R204" t="str">
            <v>강산(江山)</v>
          </cell>
          <cell r="S204" t="str">
            <v>에필로그</v>
          </cell>
        </row>
        <row r="205">
          <cell r="A205" t="str">
            <v>이준영</v>
          </cell>
          <cell r="B205" t="str">
            <v>이준영</v>
          </cell>
          <cell r="R205" t="str">
            <v>강산(江山)</v>
          </cell>
          <cell r="S205" t="str">
            <v>에필로그</v>
          </cell>
        </row>
        <row r="206">
          <cell r="A206" t="str">
            <v>이한애비</v>
          </cell>
          <cell r="B206" t="str">
            <v>이한애비</v>
          </cell>
          <cell r="R206" t="str">
            <v>강산(江山)</v>
          </cell>
          <cell r="S206" t="str">
            <v>에필로그</v>
          </cell>
        </row>
        <row r="207">
          <cell r="A207" t="str">
            <v>일본IB</v>
          </cell>
          <cell r="B207" t="str">
            <v>제외</v>
          </cell>
          <cell r="R207" t="str">
            <v>강산(江山)</v>
          </cell>
          <cell r="S207" t="str">
            <v>에필로그</v>
          </cell>
        </row>
        <row r="208">
          <cell r="A208" t="str">
            <v>임영기</v>
          </cell>
          <cell r="B208" t="str">
            <v>제외</v>
          </cell>
          <cell r="R208" t="str">
            <v>강산(江山)</v>
          </cell>
          <cell r="S208" t="str">
            <v>에필로그</v>
          </cell>
        </row>
        <row r="209">
          <cell r="A209" t="str">
            <v>자이오</v>
          </cell>
          <cell r="B209" t="str">
            <v>스토리아크</v>
          </cell>
          <cell r="R209" t="str">
            <v>강산(江山)</v>
          </cell>
          <cell r="S209" t="str">
            <v>에필로그</v>
          </cell>
        </row>
        <row r="210">
          <cell r="A210" t="str">
            <v>장유진</v>
          </cell>
          <cell r="B210" t="str">
            <v>청빙</v>
          </cell>
          <cell r="R210" t="str">
            <v>강산(江山)</v>
          </cell>
          <cell r="S210" t="str">
            <v>에필로그</v>
          </cell>
        </row>
        <row r="211">
          <cell r="A211" t="str">
            <v>전여린</v>
          </cell>
          <cell r="B211" t="str">
            <v>전여린</v>
          </cell>
          <cell r="R211" t="str">
            <v>강산(江山)</v>
          </cell>
          <cell r="S211" t="str">
            <v>에필로그</v>
          </cell>
        </row>
        <row r="212">
          <cell r="A212" t="str">
            <v>전혁</v>
          </cell>
          <cell r="B212" t="str">
            <v>전혁</v>
          </cell>
          <cell r="R212" t="str">
            <v>강산(江山)</v>
          </cell>
          <cell r="S212" t="str">
            <v>에필로그</v>
          </cell>
        </row>
        <row r="213">
          <cell r="A213" t="str">
            <v>전혁1</v>
          </cell>
          <cell r="B213" t="str">
            <v>전혁</v>
          </cell>
          <cell r="R213" t="str">
            <v>강산(江山)</v>
          </cell>
          <cell r="S213" t="str">
            <v>에필로그</v>
          </cell>
        </row>
        <row r="214">
          <cell r="A214" t="str">
            <v>주이서</v>
          </cell>
          <cell r="B214" t="str">
            <v>주이서</v>
          </cell>
          <cell r="R214" t="str">
            <v>강산(江山)</v>
          </cell>
          <cell r="S214" t="str">
            <v>에필로그</v>
          </cell>
        </row>
        <row r="215">
          <cell r="A215" t="str">
            <v>중국IB</v>
          </cell>
          <cell r="B215" t="str">
            <v>제외</v>
          </cell>
          <cell r="R215" t="str">
            <v>강산(江山)</v>
          </cell>
          <cell r="S215" t="str">
            <v>에필로그</v>
          </cell>
        </row>
        <row r="216">
          <cell r="A216" t="str">
            <v>지미신</v>
          </cell>
          <cell r="B216" t="str">
            <v>지미신</v>
          </cell>
          <cell r="R216" t="str">
            <v>강산(江山)</v>
          </cell>
          <cell r="S216" t="str">
            <v>에필로그</v>
          </cell>
        </row>
        <row r="217">
          <cell r="A217" t="str">
            <v>지아진</v>
          </cell>
          <cell r="B217" t="str">
            <v>지아진</v>
          </cell>
          <cell r="R217" t="str">
            <v>강산(江山)</v>
          </cell>
          <cell r="S217" t="str">
            <v>에필로그</v>
          </cell>
        </row>
        <row r="218">
          <cell r="A218" t="str">
            <v>진문</v>
          </cell>
          <cell r="B218" t="str">
            <v>진문</v>
          </cell>
          <cell r="R218" t="str">
            <v>강산(江山)</v>
          </cell>
          <cell r="S218" t="str">
            <v>에필로그</v>
          </cell>
        </row>
        <row r="219">
          <cell r="A219" t="str">
            <v>진새벽</v>
          </cell>
          <cell r="B219" t="str">
            <v>진새벽</v>
          </cell>
          <cell r="R219" t="str">
            <v>강산(江山)</v>
          </cell>
          <cell r="S219" t="str">
            <v>에필로그</v>
          </cell>
        </row>
        <row r="220">
          <cell r="A220" t="str">
            <v>진숙</v>
          </cell>
          <cell r="B220" t="str">
            <v>진숙</v>
          </cell>
          <cell r="R220" t="str">
            <v>강산(江山)</v>
          </cell>
          <cell r="S220" t="str">
            <v>에필로그</v>
          </cell>
        </row>
        <row r="221">
          <cell r="A221" t="str">
            <v>진엔터</v>
          </cell>
          <cell r="B221" t="str">
            <v>진엔터</v>
          </cell>
          <cell r="R221" t="str">
            <v>강산(江山)</v>
          </cell>
          <cell r="S221" t="str">
            <v>에필로그</v>
          </cell>
        </row>
        <row r="222">
          <cell r="A222" t="str">
            <v>징구빙구</v>
          </cell>
          <cell r="B222" t="str">
            <v>징구빙구</v>
          </cell>
          <cell r="R222" t="str">
            <v>강산(江山)</v>
          </cell>
          <cell r="S222" t="str">
            <v>에필로그</v>
          </cell>
        </row>
        <row r="223">
          <cell r="A223" t="str">
            <v>차홍주</v>
          </cell>
          <cell r="B223" t="str">
            <v>차홍주</v>
          </cell>
          <cell r="R223" t="str">
            <v>강산(江山)</v>
          </cell>
          <cell r="S223" t="str">
            <v>에필로그</v>
          </cell>
        </row>
        <row r="224">
          <cell r="A224" t="str">
            <v>찬동</v>
          </cell>
          <cell r="B224" t="str">
            <v>찬동</v>
          </cell>
          <cell r="R224" t="str">
            <v>강산(江山)</v>
          </cell>
          <cell r="S224" t="str">
            <v>에필로그</v>
          </cell>
        </row>
        <row r="225">
          <cell r="A225" t="str">
            <v>채주아</v>
          </cell>
          <cell r="B225" t="str">
            <v>채주아</v>
          </cell>
          <cell r="R225" t="str">
            <v>강산(江山)</v>
          </cell>
          <cell r="S225" t="str">
            <v>에필로그</v>
          </cell>
        </row>
        <row r="226">
          <cell r="A226" t="str">
            <v>청빙</v>
          </cell>
          <cell r="B226" t="str">
            <v>청빙</v>
          </cell>
          <cell r="R226" t="str">
            <v>강산(江山)</v>
          </cell>
          <cell r="S226" t="str">
            <v>에필로그</v>
          </cell>
        </row>
        <row r="227">
          <cell r="A227" t="str">
            <v>최도비</v>
          </cell>
          <cell r="B227" t="str">
            <v>컨텐츠헤라</v>
          </cell>
          <cell r="R227" t="str">
            <v>강산(江山)</v>
          </cell>
          <cell r="S227" t="str">
            <v>에필로그</v>
          </cell>
        </row>
        <row r="228">
          <cell r="A228" t="str">
            <v>최도비 수정과</v>
          </cell>
          <cell r="B228" t="str">
            <v>컨텐츠헤라</v>
          </cell>
          <cell r="R228" t="str">
            <v>강산(江山)</v>
          </cell>
          <cell r="S228" t="str">
            <v>에필로그</v>
          </cell>
        </row>
        <row r="229">
          <cell r="A229" t="str">
            <v>최도비,수정과</v>
          </cell>
          <cell r="B229" t="str">
            <v>컨텐츠헤라</v>
          </cell>
          <cell r="R229" t="str">
            <v>강산(江山)</v>
          </cell>
          <cell r="S229" t="str">
            <v>에필로그</v>
          </cell>
        </row>
        <row r="230">
          <cell r="A230" t="str">
            <v>최영진(청빙)</v>
          </cell>
          <cell r="B230" t="str">
            <v>청빙</v>
          </cell>
          <cell r="R230" t="str">
            <v>강산(江山)</v>
          </cell>
          <cell r="S230" t="str">
            <v>에필로그</v>
          </cell>
        </row>
        <row r="231">
          <cell r="A231" t="str">
            <v>칸테츠,미나세 치호</v>
          </cell>
          <cell r="B231" t="str">
            <v>제외</v>
          </cell>
          <cell r="R231" t="str">
            <v>강산(江山)</v>
          </cell>
          <cell r="S231" t="str">
            <v>에필로그</v>
          </cell>
        </row>
        <row r="232">
          <cell r="A232" t="str">
            <v>캐로티</v>
          </cell>
          <cell r="B232" t="str">
            <v>캐로티</v>
          </cell>
          <cell r="R232" t="str">
            <v>강산(江山)</v>
          </cell>
          <cell r="S232" t="str">
            <v>에필로그</v>
          </cell>
        </row>
        <row r="233">
          <cell r="A233" t="str">
            <v>컨헤라</v>
          </cell>
          <cell r="B233" t="str">
            <v>컨텐츠헤라</v>
          </cell>
          <cell r="R233" t="str">
            <v>강산(江山)</v>
          </cell>
          <cell r="S233" t="str">
            <v>에필로그</v>
          </cell>
        </row>
        <row r="234">
          <cell r="A234" t="str">
            <v>키시모토 카즈하,아라시야마,시마하라</v>
          </cell>
          <cell r="B234" t="str">
            <v>제외</v>
          </cell>
          <cell r="R234" t="str">
            <v>강산(江山)</v>
          </cell>
          <cell r="S234" t="str">
            <v>에필로그</v>
          </cell>
        </row>
        <row r="235">
          <cell r="A235" t="str">
            <v>탁윤</v>
          </cell>
          <cell r="B235" t="str">
            <v>탁윤</v>
          </cell>
          <cell r="R235" t="str">
            <v>강산(江山)</v>
          </cell>
          <cell r="S235" t="str">
            <v>에필로그</v>
          </cell>
        </row>
        <row r="236">
          <cell r="A236" t="str">
            <v>태랑</v>
          </cell>
          <cell r="B236" t="str">
            <v>태랑</v>
          </cell>
          <cell r="R236" t="str">
            <v>강산(江山)</v>
          </cell>
          <cell r="S236" t="str">
            <v>에필로그</v>
          </cell>
        </row>
        <row r="237">
          <cell r="A237" t="str">
            <v>태룡(泰龍)</v>
          </cell>
          <cell r="B237" t="str">
            <v>더컴퍼니</v>
          </cell>
          <cell r="R237" t="str">
            <v>강산(江山)</v>
          </cell>
          <cell r="S237" t="str">
            <v>에필로그</v>
          </cell>
        </row>
        <row r="238">
          <cell r="A238" t="str">
            <v>테레자</v>
          </cell>
          <cell r="B238" t="str">
            <v>테레자</v>
          </cell>
          <cell r="R238" t="str">
            <v>강산(江山)</v>
          </cell>
          <cell r="S238" t="str">
            <v>에필로그</v>
          </cell>
        </row>
        <row r="239">
          <cell r="A239" t="str">
            <v>투니드엔터테인먼트</v>
          </cell>
          <cell r="B239" t="str">
            <v>투니드엔터테인먼트</v>
          </cell>
          <cell r="R239" t="str">
            <v>강산(江山)</v>
          </cell>
          <cell r="S239" t="str">
            <v>에필로그</v>
          </cell>
        </row>
        <row r="240">
          <cell r="A240" t="str">
            <v>틴타</v>
          </cell>
          <cell r="B240" t="str">
            <v>틴타</v>
          </cell>
          <cell r="R240" t="str">
            <v>강산(江山)</v>
          </cell>
          <cell r="S240" t="str">
            <v>에필로그</v>
          </cell>
        </row>
        <row r="241">
          <cell r="A241" t="str">
            <v>파란영</v>
          </cell>
          <cell r="B241" t="str">
            <v>파란영</v>
          </cell>
          <cell r="R241" t="str">
            <v>강산(江山)</v>
          </cell>
          <cell r="S241" t="str">
            <v>에필로그</v>
          </cell>
        </row>
        <row r="242">
          <cell r="A242" t="str">
            <v>파란코끼리</v>
          </cell>
          <cell r="B242" t="str">
            <v>파란코끼리</v>
          </cell>
          <cell r="R242" t="str">
            <v>강산(江山)</v>
          </cell>
          <cell r="S242" t="str">
            <v>에필로그</v>
          </cell>
        </row>
        <row r="243">
          <cell r="A243" t="str">
            <v>파란코끼리</v>
          </cell>
          <cell r="B243" t="str">
            <v>파란코끼리</v>
          </cell>
          <cell r="R243" t="str">
            <v>강산(江山)</v>
          </cell>
          <cell r="S243" t="str">
            <v>에필로그</v>
          </cell>
        </row>
        <row r="244">
          <cell r="A244" t="str">
            <v>파란코끼리</v>
          </cell>
          <cell r="B244" t="str">
            <v>파란코끼리</v>
          </cell>
          <cell r="R244" t="str">
            <v>강산(江山)</v>
          </cell>
          <cell r="S244" t="str">
            <v>에필로그</v>
          </cell>
        </row>
        <row r="245">
          <cell r="A245" t="str">
            <v>파인트리</v>
          </cell>
          <cell r="B245" t="str">
            <v>파인트리</v>
          </cell>
          <cell r="R245" t="str">
            <v>강산(江山)</v>
          </cell>
          <cell r="S245" t="str">
            <v>에필로그</v>
          </cell>
        </row>
        <row r="246">
          <cell r="A246" t="str">
            <v>파인트리 &amp; 페일핑크 &amp; 랑새 &amp; 지미신 &amp; 채주아</v>
          </cell>
          <cell r="B246" t="str">
            <v>파인트리 &amp; 페일핑크 &amp; 랑새 &amp; 지미신 &amp; 채주아</v>
          </cell>
          <cell r="R246" t="str">
            <v>강산(江山)</v>
          </cell>
          <cell r="S246" t="str">
            <v>에필로그</v>
          </cell>
        </row>
        <row r="247">
          <cell r="A247" t="str">
            <v>판무림3(로드오브머니)</v>
          </cell>
          <cell r="B247" t="str">
            <v>무장</v>
          </cell>
          <cell r="R247" t="str">
            <v>강산(江山)</v>
          </cell>
          <cell r="S247" t="str">
            <v>에필로그</v>
          </cell>
        </row>
        <row r="248">
          <cell r="A248" t="str">
            <v>퍼리딩딩</v>
          </cell>
          <cell r="B248" t="str">
            <v>퍼리딩딩</v>
          </cell>
          <cell r="R248" t="str">
            <v>강산(江山)</v>
          </cell>
          <cell r="S248" t="str">
            <v>에필로그</v>
          </cell>
        </row>
        <row r="249">
          <cell r="A249" t="str">
            <v>퍼플캐롯</v>
          </cell>
          <cell r="B249" t="str">
            <v>퍼플캐롯</v>
          </cell>
          <cell r="R249" t="str">
            <v>강산(江山)</v>
          </cell>
          <cell r="S249" t="str">
            <v>에필로그</v>
          </cell>
        </row>
        <row r="250">
          <cell r="A250" t="str">
            <v>펌킨몬</v>
          </cell>
          <cell r="B250" t="str">
            <v>펌킨몬</v>
          </cell>
          <cell r="R250" t="str">
            <v>강산(江山)</v>
          </cell>
          <cell r="S250" t="str">
            <v>에필로그</v>
          </cell>
        </row>
        <row r="251">
          <cell r="A251" t="str">
            <v>페일핑크</v>
          </cell>
          <cell r="B251" t="str">
            <v>페일핑크</v>
          </cell>
          <cell r="R251" t="str">
            <v>강산(江山)</v>
          </cell>
          <cell r="S251" t="str">
            <v>에필로그</v>
          </cell>
        </row>
        <row r="252">
          <cell r="A252" t="str">
            <v>폴딩</v>
          </cell>
          <cell r="B252" t="str">
            <v>폴딩</v>
          </cell>
          <cell r="R252" t="str">
            <v>강산(江山)</v>
          </cell>
          <cell r="S252" t="str">
            <v>에필로그</v>
          </cell>
        </row>
        <row r="253">
          <cell r="A253" t="str">
            <v>프레인</v>
          </cell>
          <cell r="B253" t="str">
            <v>프레인</v>
          </cell>
          <cell r="R253" t="str">
            <v>강산(江山)</v>
          </cell>
          <cell r="S253" t="str">
            <v>에필로그</v>
          </cell>
        </row>
        <row r="254">
          <cell r="A254" t="str">
            <v>피모</v>
          </cell>
          <cell r="B254" t="str">
            <v>더컴퍼니</v>
          </cell>
          <cell r="R254" t="str">
            <v>강산(江山)</v>
          </cell>
          <cell r="S254" t="str">
            <v>에필로그</v>
          </cell>
        </row>
        <row r="255">
          <cell r="A255" t="str">
            <v>하이후</v>
          </cell>
          <cell r="B255" t="str">
            <v>하이후</v>
          </cell>
          <cell r="R255" t="str">
            <v>강산(江山)</v>
          </cell>
          <cell r="S255" t="str">
            <v>에필로그</v>
          </cell>
        </row>
        <row r="256">
          <cell r="A256" t="str">
            <v>한례</v>
          </cell>
          <cell r="B256" t="str">
            <v>한례</v>
          </cell>
          <cell r="R256" t="str">
            <v>강산(江山)</v>
          </cell>
          <cell r="S256" t="str">
            <v>에필로그</v>
          </cell>
        </row>
        <row r="257">
          <cell r="A257" t="str">
            <v>한보연</v>
          </cell>
          <cell r="B257" t="str">
            <v>한보연</v>
          </cell>
          <cell r="R257" t="str">
            <v>강산(江山)</v>
          </cell>
          <cell r="S257" t="str">
            <v>에필로그</v>
          </cell>
        </row>
        <row r="258">
          <cell r="A258" t="str">
            <v>한서나</v>
          </cell>
          <cell r="B258" t="str">
            <v>한서나</v>
          </cell>
          <cell r="R258" t="str">
            <v>강산(江山)</v>
          </cell>
          <cell r="S258" t="str">
            <v>에필로그</v>
          </cell>
        </row>
        <row r="259">
          <cell r="A259" t="str">
            <v>한서아</v>
          </cell>
          <cell r="B259" t="str">
            <v>한서아</v>
          </cell>
          <cell r="R259" t="str">
            <v>강산(江山)</v>
          </cell>
          <cell r="S259" t="str">
            <v>에필로그</v>
          </cell>
        </row>
        <row r="260">
          <cell r="A260" t="str">
            <v>해달화영</v>
          </cell>
          <cell r="B260" t="str">
            <v>해달화영</v>
          </cell>
          <cell r="R260" t="str">
            <v>강산(江山)</v>
          </cell>
          <cell r="S260" t="str">
            <v>에필로그</v>
          </cell>
        </row>
        <row r="261">
          <cell r="A261" t="str">
            <v>해은빛</v>
          </cell>
          <cell r="B261" t="str">
            <v>해은빛</v>
          </cell>
          <cell r="R261" t="str">
            <v>강산(江山)</v>
          </cell>
          <cell r="S261" t="str">
            <v>에필로그</v>
          </cell>
        </row>
        <row r="262">
          <cell r="A262" t="str">
            <v>허니레몬</v>
          </cell>
          <cell r="B262" t="str">
            <v>아이리스</v>
          </cell>
          <cell r="R262" t="str">
            <v>강산(江山)</v>
          </cell>
          <cell r="S262" t="str">
            <v>에필로그</v>
          </cell>
        </row>
        <row r="263">
          <cell r="A263" t="str">
            <v>헬로미니</v>
          </cell>
          <cell r="B263" t="str">
            <v>헬로미니</v>
          </cell>
          <cell r="R263" t="str">
            <v>강산(江山)</v>
          </cell>
          <cell r="S263" t="str">
            <v>에필로그</v>
          </cell>
        </row>
        <row r="264">
          <cell r="A264" t="str">
            <v>혜원</v>
          </cell>
          <cell r="B264" t="str">
            <v>컨텐츠헤라</v>
          </cell>
          <cell r="R264" t="str">
            <v>강산(江山)</v>
          </cell>
          <cell r="S264" t="str">
            <v>에필로그</v>
          </cell>
        </row>
        <row r="265">
          <cell r="A265" t="str">
            <v>홍연유</v>
          </cell>
          <cell r="B265" t="str">
            <v>홍연유</v>
          </cell>
          <cell r="R265" t="str">
            <v>강산(江山)</v>
          </cell>
          <cell r="S265" t="str">
            <v>에필로그</v>
          </cell>
        </row>
        <row r="266">
          <cell r="A266" t="str">
            <v>화방,망북</v>
          </cell>
          <cell r="B266" t="str">
            <v>제외</v>
          </cell>
          <cell r="R266" t="str">
            <v>강산(江山)</v>
          </cell>
          <cell r="S266" t="str">
            <v>에필로그</v>
          </cell>
        </row>
        <row r="267">
          <cell r="A267" t="str">
            <v>히즈노블</v>
          </cell>
          <cell r="B267" t="str">
            <v>더컴퍼니</v>
          </cell>
          <cell r="R267" t="str">
            <v>강산(江山)</v>
          </cell>
          <cell r="S267" t="str">
            <v>에필로그</v>
          </cell>
        </row>
        <row r="268">
          <cell r="A268" t="str">
            <v>웹티, 올코</v>
          </cell>
          <cell r="B268" t="str">
            <v>올콘텐츠앤브이알</v>
          </cell>
          <cell r="R268" t="str">
            <v>강산(江山)</v>
          </cell>
          <cell r="S268" t="str">
            <v>에필로그</v>
          </cell>
        </row>
        <row r="269">
          <cell r="R269" t="str">
            <v>강산(江山)</v>
          </cell>
          <cell r="S269" t="str">
            <v>에필로그</v>
          </cell>
        </row>
        <row r="270">
          <cell r="R270" t="str">
            <v>강산(江山)</v>
          </cell>
          <cell r="S270" t="str">
            <v>에필로그</v>
          </cell>
        </row>
        <row r="271">
          <cell r="R271" t="str">
            <v>강산(江山)</v>
          </cell>
          <cell r="S271" t="str">
            <v>에필로그</v>
          </cell>
        </row>
        <row r="272">
          <cell r="R272" t="str">
            <v>강산(江山)</v>
          </cell>
          <cell r="S272" t="str">
            <v>에필로그</v>
          </cell>
        </row>
        <row r="273">
          <cell r="R273" t="str">
            <v>강산(江山)</v>
          </cell>
          <cell r="S273" t="str">
            <v>에필로그</v>
          </cell>
        </row>
        <row r="274">
          <cell r="R274" t="str">
            <v>강산(江山)</v>
          </cell>
          <cell r="S274" t="str">
            <v>에필로그</v>
          </cell>
        </row>
        <row r="275">
          <cell r="R275" t="str">
            <v>강소아</v>
          </cell>
          <cell r="S275" t="str">
            <v>더컴퍼니</v>
          </cell>
        </row>
        <row r="276">
          <cell r="R276" t="str">
            <v>강소아</v>
          </cell>
          <cell r="S276" t="str">
            <v>더컴퍼니</v>
          </cell>
        </row>
        <row r="277">
          <cell r="R277" t="str">
            <v>강소아</v>
          </cell>
          <cell r="S277" t="str">
            <v>더컴퍼니</v>
          </cell>
        </row>
        <row r="278">
          <cell r="R278" t="str">
            <v>강소아</v>
          </cell>
          <cell r="S278" t="str">
            <v>더컴퍼니</v>
          </cell>
        </row>
        <row r="279">
          <cell r="R279" t="str">
            <v>강소아</v>
          </cell>
          <cell r="S279" t="str">
            <v>더컴퍼니</v>
          </cell>
        </row>
        <row r="280">
          <cell r="R280" t="str">
            <v>검은밤</v>
          </cell>
          <cell r="S280" t="str">
            <v>더컴퍼니</v>
          </cell>
        </row>
        <row r="281">
          <cell r="R281" t="str">
            <v>검은밤</v>
          </cell>
          <cell r="S281" t="str">
            <v>더컴퍼니</v>
          </cell>
        </row>
        <row r="282">
          <cell r="R282" t="str">
            <v>검은밤</v>
          </cell>
          <cell r="S282" t="str">
            <v>더컴퍼니</v>
          </cell>
        </row>
        <row r="283">
          <cell r="R283" t="str">
            <v>검은밤</v>
          </cell>
          <cell r="S283" t="str">
            <v>더컴퍼니</v>
          </cell>
        </row>
        <row r="284">
          <cell r="R284" t="str">
            <v>검은밤</v>
          </cell>
          <cell r="S284" t="str">
            <v>더컴퍼니</v>
          </cell>
        </row>
        <row r="285">
          <cell r="R285" t="str">
            <v>검은밤</v>
          </cell>
          <cell r="S285" t="str">
            <v>더컴퍼니</v>
          </cell>
        </row>
        <row r="286">
          <cell r="R286" t="str">
            <v>검은밤</v>
          </cell>
          <cell r="S286" t="str">
            <v>더컴퍼니</v>
          </cell>
        </row>
        <row r="287">
          <cell r="R287" t="str">
            <v>구하늬</v>
          </cell>
          <cell r="S287" t="str">
            <v>더컴퍼니</v>
          </cell>
        </row>
        <row r="288">
          <cell r="R288" t="str">
            <v>구하늬</v>
          </cell>
          <cell r="S288" t="str">
            <v>더컴퍼니</v>
          </cell>
        </row>
        <row r="289">
          <cell r="R289" t="str">
            <v>구하늬</v>
          </cell>
          <cell r="S289" t="str">
            <v>더컴퍼니</v>
          </cell>
        </row>
        <row r="290">
          <cell r="R290" t="str">
            <v>구하늬</v>
          </cell>
          <cell r="S290" t="str">
            <v>더컴퍼니</v>
          </cell>
        </row>
        <row r="291">
          <cell r="R291" t="str">
            <v>구하늬</v>
          </cell>
          <cell r="S291" t="str">
            <v>더컴퍼니</v>
          </cell>
        </row>
        <row r="292">
          <cell r="R292" t="str">
            <v>김귤</v>
          </cell>
          <cell r="S292" t="str">
            <v>더컴퍼니</v>
          </cell>
        </row>
        <row r="293">
          <cell r="R293" t="str">
            <v>김귤</v>
          </cell>
          <cell r="S293" t="str">
            <v>더컴퍼니</v>
          </cell>
        </row>
        <row r="294">
          <cell r="R294" t="str">
            <v>김귤</v>
          </cell>
          <cell r="S294" t="str">
            <v>더컴퍼니</v>
          </cell>
        </row>
        <row r="295">
          <cell r="R295" t="str">
            <v>김귤</v>
          </cell>
          <cell r="S295" t="str">
            <v>더컴퍼니</v>
          </cell>
        </row>
        <row r="296">
          <cell r="R296" t="str">
            <v>김귤</v>
          </cell>
          <cell r="S296" t="str">
            <v>더컴퍼니</v>
          </cell>
        </row>
        <row r="297">
          <cell r="R297" t="str">
            <v>김귤</v>
          </cell>
          <cell r="S297" t="str">
            <v>더컴퍼니</v>
          </cell>
        </row>
        <row r="298">
          <cell r="R298" t="str">
            <v>김귤</v>
          </cell>
          <cell r="S298" t="str">
            <v>더컴퍼니</v>
          </cell>
        </row>
        <row r="299">
          <cell r="R299" t="str">
            <v>김귤</v>
          </cell>
          <cell r="S299" t="str">
            <v>더컴퍼니</v>
          </cell>
        </row>
        <row r="300">
          <cell r="R300" t="str">
            <v>김매콤</v>
          </cell>
          <cell r="S300" t="str">
            <v>더컴퍼니</v>
          </cell>
        </row>
        <row r="301">
          <cell r="R301" t="str">
            <v>김매콤</v>
          </cell>
          <cell r="S301" t="str">
            <v>더컴퍼니</v>
          </cell>
        </row>
        <row r="302">
          <cell r="R302" t="str">
            <v>김매콤</v>
          </cell>
          <cell r="S302" t="str">
            <v>더컴퍼니</v>
          </cell>
        </row>
        <row r="303">
          <cell r="R303" t="str">
            <v>김소희</v>
          </cell>
          <cell r="S303" t="str">
            <v>더컴퍼니</v>
          </cell>
        </row>
        <row r="304">
          <cell r="R304" t="str">
            <v>김지언</v>
          </cell>
          <cell r="S304" t="str">
            <v>더컴퍼니</v>
          </cell>
        </row>
        <row r="305">
          <cell r="R305" t="str">
            <v>김지언</v>
          </cell>
          <cell r="S305" t="str">
            <v>더컴퍼니</v>
          </cell>
        </row>
        <row r="306">
          <cell r="R306" t="str">
            <v>나나코</v>
          </cell>
          <cell r="S306" t="str">
            <v>더컴퍼니</v>
          </cell>
        </row>
        <row r="307">
          <cell r="R307" t="str">
            <v>나나코</v>
          </cell>
          <cell r="S307" t="str">
            <v>더컴퍼니</v>
          </cell>
        </row>
        <row r="308">
          <cell r="R308" t="str">
            <v>나나코</v>
          </cell>
          <cell r="S308" t="str">
            <v>더컴퍼니</v>
          </cell>
        </row>
        <row r="309">
          <cell r="R309" t="str">
            <v>나나코</v>
          </cell>
          <cell r="S309" t="str">
            <v>더컴퍼니</v>
          </cell>
        </row>
        <row r="310">
          <cell r="R310" t="str">
            <v>나나코</v>
          </cell>
          <cell r="S310" t="str">
            <v>더컴퍼니</v>
          </cell>
        </row>
        <row r="311">
          <cell r="R311" t="str">
            <v>나나코</v>
          </cell>
          <cell r="S311" t="str">
            <v>더컴퍼니</v>
          </cell>
        </row>
        <row r="312">
          <cell r="R312" t="str">
            <v>나나코</v>
          </cell>
          <cell r="S312" t="str">
            <v>더컴퍼니</v>
          </cell>
        </row>
        <row r="313">
          <cell r="R313" t="str">
            <v>나나코</v>
          </cell>
          <cell r="S313" t="str">
            <v>더컴퍼니</v>
          </cell>
        </row>
        <row r="314">
          <cell r="R314" t="str">
            <v>나나코</v>
          </cell>
          <cell r="S314" t="str">
            <v>더컴퍼니</v>
          </cell>
        </row>
        <row r="315">
          <cell r="R315" t="str">
            <v>나나코</v>
          </cell>
          <cell r="S315" t="str">
            <v>더컴퍼니</v>
          </cell>
        </row>
        <row r="316">
          <cell r="R316" t="str">
            <v>나나코</v>
          </cell>
          <cell r="S316" t="str">
            <v>더컴퍼니</v>
          </cell>
        </row>
        <row r="317">
          <cell r="R317" t="str">
            <v>나나코</v>
          </cell>
          <cell r="S317" t="str">
            <v>더컴퍼니</v>
          </cell>
        </row>
        <row r="318">
          <cell r="R318" t="str">
            <v>나나코</v>
          </cell>
          <cell r="S318" t="str">
            <v>더컴퍼니</v>
          </cell>
        </row>
        <row r="319">
          <cell r="R319" t="str">
            <v>나나코</v>
          </cell>
          <cell r="S319" t="str">
            <v>더컴퍼니</v>
          </cell>
        </row>
        <row r="320">
          <cell r="R320" t="str">
            <v>나나코</v>
          </cell>
          <cell r="S320" t="str">
            <v>더컴퍼니</v>
          </cell>
        </row>
        <row r="321">
          <cell r="R321" t="str">
            <v>나나코</v>
          </cell>
          <cell r="S321" t="str">
            <v>더컴퍼니</v>
          </cell>
        </row>
        <row r="322">
          <cell r="R322" t="str">
            <v>나나코</v>
          </cell>
          <cell r="S322" t="str">
            <v>더컴퍼니</v>
          </cell>
        </row>
        <row r="323">
          <cell r="R323" t="str">
            <v>나나코</v>
          </cell>
          <cell r="S323" t="str">
            <v>더컴퍼니</v>
          </cell>
        </row>
        <row r="324">
          <cell r="R324" t="str">
            <v>나나코</v>
          </cell>
          <cell r="S324" t="str">
            <v>더컴퍼니</v>
          </cell>
        </row>
        <row r="325">
          <cell r="R325" t="str">
            <v>나나코</v>
          </cell>
          <cell r="S325" t="str">
            <v>더컴퍼니</v>
          </cell>
        </row>
        <row r="326">
          <cell r="R326" t="str">
            <v>나나코</v>
          </cell>
          <cell r="S326" t="str">
            <v>더컴퍼니</v>
          </cell>
        </row>
        <row r="327">
          <cell r="R327" t="str">
            <v>나나코</v>
          </cell>
          <cell r="S327" t="str">
            <v>더컴퍼니</v>
          </cell>
        </row>
        <row r="328">
          <cell r="R328" t="str">
            <v>나나코</v>
          </cell>
          <cell r="S328" t="str">
            <v>더컴퍼니</v>
          </cell>
        </row>
        <row r="329">
          <cell r="R329" t="str">
            <v>나나코</v>
          </cell>
          <cell r="S329" t="str">
            <v>더컴퍼니</v>
          </cell>
        </row>
        <row r="330">
          <cell r="R330" t="str">
            <v>나나코</v>
          </cell>
          <cell r="S330" t="str">
            <v>더컴퍼니</v>
          </cell>
        </row>
        <row r="331">
          <cell r="R331" t="str">
            <v>나나코</v>
          </cell>
          <cell r="S331" t="str">
            <v>더컴퍼니</v>
          </cell>
        </row>
        <row r="332">
          <cell r="R332" t="str">
            <v>나나코</v>
          </cell>
          <cell r="S332" t="str">
            <v>더컴퍼니</v>
          </cell>
        </row>
        <row r="333">
          <cell r="R333" t="str">
            <v>나나코</v>
          </cell>
          <cell r="S333" t="str">
            <v>더컴퍼니</v>
          </cell>
        </row>
        <row r="334">
          <cell r="R334" t="str">
            <v>나나코</v>
          </cell>
          <cell r="S334" t="str">
            <v>더컴퍼니</v>
          </cell>
        </row>
        <row r="335">
          <cell r="R335" t="str">
            <v>나나코</v>
          </cell>
          <cell r="S335" t="str">
            <v>더컴퍼니</v>
          </cell>
        </row>
        <row r="336">
          <cell r="R336" t="str">
            <v>나나코</v>
          </cell>
          <cell r="S336" t="str">
            <v>더컴퍼니</v>
          </cell>
        </row>
        <row r="337">
          <cell r="R337" t="str">
            <v>나나코</v>
          </cell>
          <cell r="S337" t="str">
            <v>더컴퍼니</v>
          </cell>
        </row>
        <row r="338">
          <cell r="R338" t="str">
            <v>나나코</v>
          </cell>
          <cell r="S338" t="str">
            <v>더컴퍼니</v>
          </cell>
        </row>
        <row r="339">
          <cell r="R339" t="str">
            <v>나나코</v>
          </cell>
          <cell r="S339" t="str">
            <v>더컴퍼니</v>
          </cell>
        </row>
        <row r="340">
          <cell r="R340" t="str">
            <v>나나코</v>
          </cell>
          <cell r="S340" t="str">
            <v>더컴퍼니</v>
          </cell>
        </row>
        <row r="341">
          <cell r="R341" t="str">
            <v>나나코</v>
          </cell>
          <cell r="S341" t="str">
            <v>더컴퍼니</v>
          </cell>
        </row>
        <row r="342">
          <cell r="R342" t="str">
            <v>나나코</v>
          </cell>
          <cell r="S342" t="str">
            <v>더컴퍼니</v>
          </cell>
        </row>
        <row r="343">
          <cell r="R343" t="str">
            <v>나나코</v>
          </cell>
          <cell r="S343" t="str">
            <v>더컴퍼니</v>
          </cell>
        </row>
        <row r="344">
          <cell r="R344" t="str">
            <v>나나코</v>
          </cell>
          <cell r="S344" t="str">
            <v>더컴퍼니</v>
          </cell>
        </row>
        <row r="345">
          <cell r="R345" t="str">
            <v>나나코</v>
          </cell>
          <cell r="S345" t="str">
            <v>더컴퍼니</v>
          </cell>
        </row>
        <row r="346">
          <cell r="R346" t="str">
            <v>나나코</v>
          </cell>
          <cell r="S346" t="str">
            <v>더컴퍼니</v>
          </cell>
        </row>
        <row r="347">
          <cell r="R347" t="str">
            <v>나나코</v>
          </cell>
          <cell r="S347" t="str">
            <v>더컴퍼니</v>
          </cell>
        </row>
        <row r="348">
          <cell r="R348" t="str">
            <v>나나코</v>
          </cell>
          <cell r="S348" t="str">
            <v>더컴퍼니</v>
          </cell>
        </row>
        <row r="349">
          <cell r="R349" t="str">
            <v>나나코</v>
          </cell>
          <cell r="S349" t="str">
            <v>더컴퍼니</v>
          </cell>
        </row>
        <row r="350">
          <cell r="R350" t="str">
            <v>나나코</v>
          </cell>
          <cell r="S350" t="str">
            <v>더컴퍼니</v>
          </cell>
        </row>
        <row r="351">
          <cell r="R351" t="str">
            <v>나나코</v>
          </cell>
          <cell r="S351" t="str">
            <v>더컴퍼니</v>
          </cell>
        </row>
        <row r="352">
          <cell r="R352" t="str">
            <v>나나코</v>
          </cell>
          <cell r="S352" t="str">
            <v>더컴퍼니</v>
          </cell>
        </row>
        <row r="353">
          <cell r="R353" t="str">
            <v>나나코</v>
          </cell>
          <cell r="S353" t="str">
            <v>더컴퍼니</v>
          </cell>
        </row>
        <row r="354">
          <cell r="R354" t="str">
            <v>나나코</v>
          </cell>
          <cell r="S354" t="str">
            <v>더컴퍼니</v>
          </cell>
        </row>
        <row r="355">
          <cell r="R355" t="str">
            <v>나나코</v>
          </cell>
          <cell r="S355" t="str">
            <v>더컴퍼니</v>
          </cell>
        </row>
        <row r="356">
          <cell r="R356" t="str">
            <v>나나코</v>
          </cell>
          <cell r="S356" t="str">
            <v>더컴퍼니</v>
          </cell>
        </row>
        <row r="357">
          <cell r="R357" t="str">
            <v>나나코</v>
          </cell>
          <cell r="S357" t="str">
            <v>더컴퍼니</v>
          </cell>
        </row>
        <row r="358">
          <cell r="R358" t="str">
            <v>나나코</v>
          </cell>
          <cell r="S358" t="str">
            <v>더컴퍼니</v>
          </cell>
        </row>
        <row r="359">
          <cell r="R359" t="str">
            <v>나나코</v>
          </cell>
          <cell r="S359" t="str">
            <v>더컴퍼니</v>
          </cell>
        </row>
        <row r="360">
          <cell r="R360" t="str">
            <v>나나코</v>
          </cell>
          <cell r="S360" t="str">
            <v>더컴퍼니</v>
          </cell>
        </row>
        <row r="361">
          <cell r="R361" t="str">
            <v>나나코</v>
          </cell>
          <cell r="S361" t="str">
            <v>더컴퍼니</v>
          </cell>
        </row>
        <row r="362">
          <cell r="R362" t="str">
            <v>나나코</v>
          </cell>
          <cell r="S362" t="str">
            <v>더컴퍼니</v>
          </cell>
        </row>
        <row r="363">
          <cell r="R363" t="str">
            <v>나나코</v>
          </cell>
          <cell r="S363" t="str">
            <v>더컴퍼니</v>
          </cell>
        </row>
        <row r="364">
          <cell r="R364" t="str">
            <v>나나코</v>
          </cell>
          <cell r="S364" t="str">
            <v>더컴퍼니</v>
          </cell>
        </row>
        <row r="365">
          <cell r="R365" t="str">
            <v>나나코</v>
          </cell>
          <cell r="S365" t="str">
            <v>더컴퍼니</v>
          </cell>
        </row>
        <row r="366">
          <cell r="R366" t="str">
            <v>나나코</v>
          </cell>
          <cell r="S366" t="str">
            <v>더컴퍼니</v>
          </cell>
        </row>
        <row r="367">
          <cell r="R367" t="str">
            <v>나밍</v>
          </cell>
          <cell r="S367" t="str">
            <v>더컴퍼니</v>
          </cell>
        </row>
        <row r="368">
          <cell r="R368" t="str">
            <v>나밍</v>
          </cell>
          <cell r="S368" t="str">
            <v>더컴퍼니</v>
          </cell>
        </row>
        <row r="369">
          <cell r="R369" t="str">
            <v>나인, 투</v>
          </cell>
          <cell r="S369" t="str">
            <v>더컴퍼니</v>
          </cell>
        </row>
        <row r="370">
          <cell r="R370" t="str">
            <v>녹지</v>
          </cell>
          <cell r="S370" t="str">
            <v>더컴퍼니</v>
          </cell>
        </row>
        <row r="371">
          <cell r="R371" t="str">
            <v>녹치</v>
          </cell>
          <cell r="S371" t="str">
            <v>더컴퍼니</v>
          </cell>
        </row>
        <row r="372">
          <cell r="R372" t="str">
            <v>녹치</v>
          </cell>
          <cell r="S372" t="str">
            <v>더컴퍼니</v>
          </cell>
        </row>
        <row r="373">
          <cell r="R373" t="str">
            <v>녹치</v>
          </cell>
          <cell r="S373" t="str">
            <v>더컴퍼니</v>
          </cell>
        </row>
        <row r="374">
          <cell r="R374" t="str">
            <v>녹치</v>
          </cell>
          <cell r="S374" t="str">
            <v>더컴퍼니</v>
          </cell>
        </row>
        <row r="375">
          <cell r="R375" t="str">
            <v>녹치</v>
          </cell>
          <cell r="S375" t="str">
            <v>더컴퍼니</v>
          </cell>
        </row>
        <row r="376">
          <cell r="R376" t="str">
            <v>녹치</v>
          </cell>
          <cell r="S376" t="str">
            <v>더컴퍼니</v>
          </cell>
        </row>
        <row r="377">
          <cell r="R377" t="str">
            <v>녹치</v>
          </cell>
          <cell r="S377" t="str">
            <v>더컴퍼니</v>
          </cell>
        </row>
        <row r="378">
          <cell r="R378" t="str">
            <v>달과자</v>
          </cell>
          <cell r="S378" t="str">
            <v>더컴퍼니</v>
          </cell>
        </row>
        <row r="379">
          <cell r="R379" t="str">
            <v>달과자</v>
          </cell>
          <cell r="S379" t="str">
            <v>더컴퍼니</v>
          </cell>
        </row>
        <row r="380">
          <cell r="R380" t="str">
            <v>달과자</v>
          </cell>
          <cell r="S380" t="str">
            <v>더컴퍼니</v>
          </cell>
        </row>
        <row r="381">
          <cell r="R381" t="str">
            <v>달과자</v>
          </cell>
          <cell r="S381" t="str">
            <v>더컴퍼니</v>
          </cell>
        </row>
        <row r="382">
          <cell r="R382" t="str">
            <v>더블유</v>
          </cell>
          <cell r="S382" t="str">
            <v>더컴퍼니</v>
          </cell>
        </row>
        <row r="383">
          <cell r="R383" t="str">
            <v>더블유</v>
          </cell>
          <cell r="S383" t="str">
            <v>더컴퍼니</v>
          </cell>
        </row>
        <row r="384">
          <cell r="R384" t="str">
            <v>덕리</v>
          </cell>
          <cell r="S384" t="str">
            <v>더컴퍼니</v>
          </cell>
        </row>
        <row r="385">
          <cell r="R385" t="str">
            <v>덕리</v>
          </cell>
          <cell r="S385" t="str">
            <v>더컴퍼니</v>
          </cell>
        </row>
        <row r="386">
          <cell r="R386" t="str">
            <v>도로시</v>
          </cell>
          <cell r="S386" t="str">
            <v>더컴퍼니</v>
          </cell>
        </row>
        <row r="387">
          <cell r="R387" t="str">
            <v>도로시</v>
          </cell>
          <cell r="S387" t="str">
            <v>더컴퍼니</v>
          </cell>
        </row>
        <row r="388">
          <cell r="R388" t="str">
            <v>도로시</v>
          </cell>
          <cell r="S388" t="str">
            <v>더컴퍼니</v>
          </cell>
        </row>
        <row r="389">
          <cell r="R389" t="str">
            <v>도로시</v>
          </cell>
          <cell r="S389" t="str">
            <v>더컴퍼니</v>
          </cell>
        </row>
        <row r="390">
          <cell r="R390" t="str">
            <v>도로시</v>
          </cell>
          <cell r="S390" t="str">
            <v>더컴퍼니</v>
          </cell>
        </row>
        <row r="391">
          <cell r="R391" t="str">
            <v>도로시</v>
          </cell>
          <cell r="S391" t="str">
            <v>더컴퍼니</v>
          </cell>
        </row>
        <row r="392">
          <cell r="R392" t="str">
            <v>도로시</v>
          </cell>
          <cell r="S392" t="str">
            <v>더컴퍼니</v>
          </cell>
        </row>
        <row r="393">
          <cell r="R393" t="str">
            <v>도로시</v>
          </cell>
          <cell r="S393" t="str">
            <v>더컴퍼니</v>
          </cell>
        </row>
        <row r="394">
          <cell r="R394" t="str">
            <v>라돌체</v>
          </cell>
          <cell r="S394" t="str">
            <v>더컴퍼니</v>
          </cell>
        </row>
        <row r="395">
          <cell r="R395" t="str">
            <v>라돌체</v>
          </cell>
          <cell r="S395" t="str">
            <v>더컴퍼니</v>
          </cell>
        </row>
        <row r="396">
          <cell r="R396" t="str">
            <v>라돌체</v>
          </cell>
          <cell r="S396" t="str">
            <v>더컴퍼니</v>
          </cell>
        </row>
        <row r="397">
          <cell r="R397" t="str">
            <v>라돌체</v>
          </cell>
          <cell r="S397" t="str">
            <v>더컴퍼니</v>
          </cell>
        </row>
        <row r="398">
          <cell r="R398" t="str">
            <v>라돌체</v>
          </cell>
          <cell r="S398" t="str">
            <v>더컴퍼니</v>
          </cell>
        </row>
        <row r="399">
          <cell r="R399" t="str">
            <v>라돌체</v>
          </cell>
          <cell r="S399" t="str">
            <v>더컴퍼니</v>
          </cell>
        </row>
        <row r="400">
          <cell r="R400" t="str">
            <v>라돌체</v>
          </cell>
          <cell r="S400" t="str">
            <v>더컴퍼니</v>
          </cell>
        </row>
        <row r="401">
          <cell r="R401" t="str">
            <v>라돌체</v>
          </cell>
          <cell r="S401" t="str">
            <v>더컴퍼니</v>
          </cell>
        </row>
        <row r="402">
          <cell r="R402" t="str">
            <v>라돌체</v>
          </cell>
          <cell r="S402" t="str">
            <v>더컴퍼니</v>
          </cell>
        </row>
        <row r="403">
          <cell r="R403" t="str">
            <v>라돌체</v>
          </cell>
          <cell r="S403" t="str">
            <v>더컴퍼니</v>
          </cell>
        </row>
        <row r="404">
          <cell r="R404" t="str">
            <v>라돌체</v>
          </cell>
          <cell r="S404" t="str">
            <v>더컴퍼니</v>
          </cell>
        </row>
        <row r="405">
          <cell r="R405" t="str">
            <v>라돌체</v>
          </cell>
          <cell r="S405" t="str">
            <v>더컴퍼니</v>
          </cell>
        </row>
        <row r="406">
          <cell r="R406" t="str">
            <v>라에르</v>
          </cell>
          <cell r="S406" t="str">
            <v>더컴퍼니</v>
          </cell>
        </row>
        <row r="407">
          <cell r="R407" t="str">
            <v>라에르</v>
          </cell>
          <cell r="S407" t="str">
            <v>더컴퍼니</v>
          </cell>
        </row>
        <row r="408">
          <cell r="R408" t="str">
            <v>라에르</v>
          </cell>
          <cell r="S408" t="str">
            <v>더컴퍼니</v>
          </cell>
        </row>
        <row r="409">
          <cell r="R409" t="str">
            <v>라에르</v>
          </cell>
          <cell r="S409" t="str">
            <v>더컴퍼니</v>
          </cell>
        </row>
        <row r="410">
          <cell r="R410" t="str">
            <v>라에르</v>
          </cell>
          <cell r="S410" t="str">
            <v>더컴퍼니</v>
          </cell>
        </row>
        <row r="411">
          <cell r="R411" t="str">
            <v>라이큐</v>
          </cell>
          <cell r="S411" t="str">
            <v>아크스튜디오</v>
          </cell>
        </row>
        <row r="412">
          <cell r="R412" t="str">
            <v>라이큐</v>
          </cell>
          <cell r="S412" t="str">
            <v>아크스튜디오</v>
          </cell>
        </row>
        <row r="413">
          <cell r="R413" t="str">
            <v>라이큐</v>
          </cell>
          <cell r="S413" t="str">
            <v>아크스튜디오</v>
          </cell>
        </row>
        <row r="414">
          <cell r="R414" t="str">
            <v>라이큐</v>
          </cell>
          <cell r="S414" t="str">
            <v>아크스튜디오</v>
          </cell>
        </row>
        <row r="415">
          <cell r="R415" t="str">
            <v>라이큐</v>
          </cell>
          <cell r="S415" t="str">
            <v>아크스튜디오</v>
          </cell>
        </row>
        <row r="416">
          <cell r="R416" t="str">
            <v>라이큐</v>
          </cell>
          <cell r="S416" t="str">
            <v>아크스튜디오</v>
          </cell>
        </row>
        <row r="417">
          <cell r="R417" t="str">
            <v>라이큐</v>
          </cell>
          <cell r="S417" t="str">
            <v>아크스튜디오</v>
          </cell>
        </row>
        <row r="418">
          <cell r="R418" t="str">
            <v>이다겸</v>
          </cell>
          <cell r="S418" t="str">
            <v>더컴퍼니</v>
          </cell>
        </row>
        <row r="419">
          <cell r="R419" t="str">
            <v>감또개</v>
          </cell>
          <cell r="S419" t="str">
            <v>더컴퍼니</v>
          </cell>
        </row>
        <row r="420">
          <cell r="R420" t="str">
            <v>류마티</v>
          </cell>
          <cell r="S420" t="str">
            <v>더컴퍼니</v>
          </cell>
        </row>
        <row r="421">
          <cell r="R421" t="str">
            <v>류마티</v>
          </cell>
          <cell r="S421" t="str">
            <v>더컴퍼니</v>
          </cell>
        </row>
        <row r="422">
          <cell r="R422" t="str">
            <v>류마티</v>
          </cell>
          <cell r="S422" t="str">
            <v>더컴퍼니</v>
          </cell>
        </row>
        <row r="423">
          <cell r="R423" t="str">
            <v>류마티</v>
          </cell>
          <cell r="S423" t="str">
            <v>더컴퍼니</v>
          </cell>
        </row>
        <row r="424">
          <cell r="R424" t="str">
            <v>류마티</v>
          </cell>
          <cell r="S424" t="str">
            <v>더컴퍼니</v>
          </cell>
        </row>
        <row r="425">
          <cell r="R425" t="str">
            <v>류마티</v>
          </cell>
          <cell r="S425" t="str">
            <v>더컴퍼니</v>
          </cell>
        </row>
        <row r="426">
          <cell r="R426" t="str">
            <v>류마티</v>
          </cell>
          <cell r="S426" t="str">
            <v>더컴퍼니</v>
          </cell>
        </row>
        <row r="427">
          <cell r="R427" t="str">
            <v>리로디다디</v>
          </cell>
          <cell r="S427" t="str">
            <v>더컴퍼니</v>
          </cell>
        </row>
        <row r="428">
          <cell r="R428" t="str">
            <v>리로디다디</v>
          </cell>
          <cell r="S428" t="str">
            <v>더컴퍼니</v>
          </cell>
        </row>
        <row r="429">
          <cell r="R429" t="str">
            <v>마리봄</v>
          </cell>
          <cell r="S429" t="str">
            <v>더컴퍼니</v>
          </cell>
        </row>
        <row r="430">
          <cell r="R430" t="str">
            <v>마리봄</v>
          </cell>
          <cell r="S430" t="str">
            <v>더컴퍼니</v>
          </cell>
        </row>
        <row r="431">
          <cell r="R431" t="str">
            <v>마리봄</v>
          </cell>
          <cell r="S431" t="str">
            <v>더컴퍼니</v>
          </cell>
        </row>
        <row r="432">
          <cell r="R432" t="str">
            <v>마리봄</v>
          </cell>
          <cell r="S432" t="str">
            <v>더컴퍼니</v>
          </cell>
        </row>
        <row r="433">
          <cell r="R433" t="str">
            <v>마연</v>
          </cell>
          <cell r="S433" t="str">
            <v>더컴퍼니</v>
          </cell>
        </row>
        <row r="434">
          <cell r="R434" t="str">
            <v>마연</v>
          </cell>
          <cell r="S434" t="str">
            <v>더컴퍼니</v>
          </cell>
        </row>
        <row r="435">
          <cell r="R435" t="str">
            <v>마연</v>
          </cell>
          <cell r="S435" t="str">
            <v>더컴퍼니</v>
          </cell>
        </row>
        <row r="436">
          <cell r="R436" t="str">
            <v>마연</v>
          </cell>
          <cell r="S436" t="str">
            <v>더컴퍼니</v>
          </cell>
        </row>
        <row r="437">
          <cell r="R437" t="str">
            <v>마연</v>
          </cell>
          <cell r="S437" t="str">
            <v>더컴퍼니</v>
          </cell>
        </row>
        <row r="438">
          <cell r="R438" t="str">
            <v>마연</v>
          </cell>
          <cell r="S438" t="str">
            <v>더컴퍼니</v>
          </cell>
        </row>
        <row r="439">
          <cell r="R439" t="str">
            <v>마연</v>
          </cell>
          <cell r="S439" t="str">
            <v>더컴퍼니</v>
          </cell>
        </row>
        <row r="440">
          <cell r="R440" t="str">
            <v>마연</v>
          </cell>
          <cell r="S440" t="str">
            <v>더컴퍼니</v>
          </cell>
        </row>
        <row r="441">
          <cell r="R441" t="str">
            <v>마연</v>
          </cell>
          <cell r="S441" t="str">
            <v>더컴퍼니</v>
          </cell>
        </row>
        <row r="442">
          <cell r="R442" t="str">
            <v>마연</v>
          </cell>
          <cell r="S442" t="str">
            <v>더컴퍼니</v>
          </cell>
        </row>
        <row r="443">
          <cell r="R443" t="str">
            <v>마연</v>
          </cell>
          <cell r="S443" t="str">
            <v>더컴퍼니</v>
          </cell>
        </row>
        <row r="444">
          <cell r="R444" t="str">
            <v>마연</v>
          </cell>
          <cell r="S444" t="str">
            <v>더컴퍼니</v>
          </cell>
        </row>
        <row r="445">
          <cell r="R445" t="str">
            <v>마연</v>
          </cell>
          <cell r="S445" t="str">
            <v>더컴퍼니</v>
          </cell>
        </row>
        <row r="446">
          <cell r="R446" t="str">
            <v>마연</v>
          </cell>
          <cell r="S446" t="str">
            <v>더컴퍼니</v>
          </cell>
        </row>
        <row r="447">
          <cell r="R447" t="str">
            <v>마연(연필깎이)</v>
          </cell>
          <cell r="S447" t="str">
            <v>더컴퍼니</v>
          </cell>
        </row>
        <row r="448">
          <cell r="R448" t="str">
            <v>묜수</v>
          </cell>
          <cell r="S448" t="str">
            <v>더컴퍼니</v>
          </cell>
        </row>
        <row r="449">
          <cell r="R449" t="str">
            <v>묜수</v>
          </cell>
          <cell r="S449" t="str">
            <v>더컴퍼니</v>
          </cell>
        </row>
        <row r="450">
          <cell r="R450" t="str">
            <v>묜수</v>
          </cell>
          <cell r="S450" t="str">
            <v>더컴퍼니</v>
          </cell>
        </row>
        <row r="451">
          <cell r="R451" t="str">
            <v>묜수</v>
          </cell>
          <cell r="S451" t="str">
            <v>더컴퍼니</v>
          </cell>
        </row>
        <row r="452">
          <cell r="R452" t="str">
            <v>무슈슈</v>
          </cell>
          <cell r="S452" t="str">
            <v>더컴퍼니</v>
          </cell>
        </row>
        <row r="453">
          <cell r="R453" t="str">
            <v>무슈슈</v>
          </cell>
          <cell r="S453" t="str">
            <v>더컴퍼니</v>
          </cell>
        </row>
        <row r="454">
          <cell r="R454" t="str">
            <v>무슈슈</v>
          </cell>
          <cell r="S454" t="str">
            <v>더컴퍼니</v>
          </cell>
        </row>
        <row r="455">
          <cell r="R455" t="str">
            <v>무슈슈</v>
          </cell>
          <cell r="S455" t="str">
            <v>더컴퍼니</v>
          </cell>
        </row>
        <row r="456">
          <cell r="R456" t="str">
            <v>무슈슈</v>
          </cell>
          <cell r="S456" t="str">
            <v>더컴퍼니</v>
          </cell>
        </row>
        <row r="457">
          <cell r="R457" t="str">
            <v>무슈슈</v>
          </cell>
          <cell r="S457" t="str">
            <v>더컴퍼니</v>
          </cell>
        </row>
        <row r="458">
          <cell r="R458" t="str">
            <v>문시티</v>
          </cell>
          <cell r="S458" t="str">
            <v>더컴퍼니</v>
          </cell>
        </row>
        <row r="459">
          <cell r="R459" t="str">
            <v>문시티</v>
          </cell>
          <cell r="S459" t="str">
            <v>더컴퍼니</v>
          </cell>
        </row>
        <row r="460">
          <cell r="R460" t="str">
            <v>문시티</v>
          </cell>
          <cell r="S460" t="str">
            <v>더컴퍼니</v>
          </cell>
        </row>
        <row r="461">
          <cell r="R461" t="str">
            <v>문시티</v>
          </cell>
          <cell r="S461" t="str">
            <v>더컴퍼니</v>
          </cell>
        </row>
        <row r="462">
          <cell r="R462" t="str">
            <v>문시티</v>
          </cell>
          <cell r="S462" t="str">
            <v>더컴퍼니</v>
          </cell>
        </row>
        <row r="463">
          <cell r="R463" t="str">
            <v>문시티</v>
          </cell>
          <cell r="S463" t="str">
            <v>더컴퍼니</v>
          </cell>
        </row>
        <row r="464">
          <cell r="R464" t="str">
            <v>문시티</v>
          </cell>
          <cell r="S464" t="str">
            <v>더컴퍼니</v>
          </cell>
        </row>
        <row r="465">
          <cell r="R465" t="str">
            <v>문시티</v>
          </cell>
          <cell r="S465" t="str">
            <v>더컴퍼니</v>
          </cell>
        </row>
        <row r="466">
          <cell r="R466" t="str">
            <v>문시티</v>
          </cell>
          <cell r="S466" t="str">
            <v>더컴퍼니</v>
          </cell>
        </row>
        <row r="467">
          <cell r="R467" t="str">
            <v>문시티</v>
          </cell>
          <cell r="S467" t="str">
            <v>더컴퍼니</v>
          </cell>
        </row>
        <row r="468">
          <cell r="R468" t="str">
            <v>문시티</v>
          </cell>
          <cell r="S468" t="str">
            <v>더컴퍼니</v>
          </cell>
        </row>
        <row r="469">
          <cell r="R469" t="str">
            <v>민화</v>
          </cell>
          <cell r="S469" t="str">
            <v>더컴퍼니</v>
          </cell>
        </row>
        <row r="470">
          <cell r="R470" t="str">
            <v>민화</v>
          </cell>
          <cell r="S470" t="str">
            <v>더컴퍼니</v>
          </cell>
        </row>
        <row r="471">
          <cell r="R471" t="str">
            <v>민화</v>
          </cell>
          <cell r="S471" t="str">
            <v>더컴퍼니</v>
          </cell>
        </row>
        <row r="472">
          <cell r="R472" t="str">
            <v>박시앙</v>
          </cell>
          <cell r="S472" t="str">
            <v>더컴퍼니</v>
          </cell>
        </row>
        <row r="473">
          <cell r="R473" t="str">
            <v>배추적</v>
          </cell>
          <cell r="S473" t="str">
            <v>더컴퍼니</v>
          </cell>
        </row>
        <row r="474">
          <cell r="R474" t="str">
            <v>배추적</v>
          </cell>
          <cell r="S474" t="str">
            <v>더컴퍼니</v>
          </cell>
        </row>
        <row r="475">
          <cell r="R475" t="str">
            <v>배추적</v>
          </cell>
          <cell r="S475" t="str">
            <v>더컴퍼니</v>
          </cell>
        </row>
        <row r="476">
          <cell r="R476" t="str">
            <v>배추적</v>
          </cell>
          <cell r="S476" t="str">
            <v>더컴퍼니</v>
          </cell>
        </row>
        <row r="477">
          <cell r="R477" t="str">
            <v>배추적</v>
          </cell>
          <cell r="S477" t="str">
            <v>더컴퍼니</v>
          </cell>
        </row>
        <row r="478">
          <cell r="R478" t="str">
            <v>배추적</v>
          </cell>
          <cell r="S478" t="str">
            <v>더컴퍼니</v>
          </cell>
        </row>
        <row r="479">
          <cell r="R479" t="str">
            <v>배추적</v>
          </cell>
          <cell r="S479" t="str">
            <v>더컴퍼니</v>
          </cell>
        </row>
        <row r="480">
          <cell r="R480" t="str">
            <v>벨</v>
          </cell>
          <cell r="S480" t="str">
            <v>더컴퍼니</v>
          </cell>
        </row>
        <row r="481">
          <cell r="R481" t="str">
            <v>벨</v>
          </cell>
          <cell r="S481" t="str">
            <v>더컴퍼니</v>
          </cell>
        </row>
        <row r="482">
          <cell r="R482" t="str">
            <v>벨</v>
          </cell>
          <cell r="S482" t="str">
            <v>더컴퍼니</v>
          </cell>
        </row>
        <row r="483">
          <cell r="R483" t="str">
            <v>벨</v>
          </cell>
          <cell r="S483" t="str">
            <v>더컴퍼니</v>
          </cell>
        </row>
        <row r="484">
          <cell r="R484" t="str">
            <v>벨</v>
          </cell>
          <cell r="S484" t="str">
            <v>더컴퍼니</v>
          </cell>
        </row>
        <row r="485">
          <cell r="R485" t="str">
            <v>벨</v>
          </cell>
          <cell r="S485" t="str">
            <v>더컴퍼니</v>
          </cell>
        </row>
        <row r="486">
          <cell r="R486" t="str">
            <v>벨</v>
          </cell>
          <cell r="S486" t="str">
            <v>더컴퍼니</v>
          </cell>
        </row>
        <row r="487">
          <cell r="R487" t="str">
            <v>벨</v>
          </cell>
          <cell r="S487" t="str">
            <v>더컴퍼니</v>
          </cell>
        </row>
        <row r="488">
          <cell r="R488" t="str">
            <v>벨</v>
          </cell>
          <cell r="S488" t="str">
            <v>더컴퍼니</v>
          </cell>
        </row>
        <row r="489">
          <cell r="R489" t="str">
            <v>벨</v>
          </cell>
          <cell r="S489" t="str">
            <v>더컴퍼니</v>
          </cell>
        </row>
        <row r="490">
          <cell r="R490" t="str">
            <v>벨</v>
          </cell>
          <cell r="S490" t="str">
            <v>더컴퍼니</v>
          </cell>
        </row>
        <row r="491">
          <cell r="R491" t="str">
            <v>벨</v>
          </cell>
          <cell r="S491" t="str">
            <v>더컴퍼니</v>
          </cell>
        </row>
        <row r="492">
          <cell r="R492" t="str">
            <v>벨</v>
          </cell>
          <cell r="S492" t="str">
            <v>더컴퍼니</v>
          </cell>
        </row>
        <row r="493">
          <cell r="R493" t="str">
            <v>벨</v>
          </cell>
          <cell r="S493" t="str">
            <v>더컴퍼니</v>
          </cell>
        </row>
        <row r="494">
          <cell r="R494" t="str">
            <v>벨</v>
          </cell>
          <cell r="S494" t="str">
            <v>더컴퍼니</v>
          </cell>
        </row>
        <row r="495">
          <cell r="R495" t="str">
            <v>벨</v>
          </cell>
          <cell r="S495" t="str">
            <v>더컴퍼니</v>
          </cell>
        </row>
        <row r="496">
          <cell r="R496" t="str">
            <v>벨</v>
          </cell>
          <cell r="S496" t="str">
            <v>더컴퍼니</v>
          </cell>
        </row>
        <row r="497">
          <cell r="R497" t="str">
            <v>벨</v>
          </cell>
          <cell r="S497" t="str">
            <v>더컴퍼니</v>
          </cell>
        </row>
        <row r="498">
          <cell r="R498" t="str">
            <v>벨</v>
          </cell>
          <cell r="S498" t="str">
            <v>더컴퍼니</v>
          </cell>
        </row>
        <row r="499">
          <cell r="R499" t="str">
            <v>벨</v>
          </cell>
          <cell r="S499" t="str">
            <v>더컴퍼니</v>
          </cell>
        </row>
        <row r="500">
          <cell r="R500" t="str">
            <v>벨</v>
          </cell>
          <cell r="S500" t="str">
            <v>더컴퍼니</v>
          </cell>
        </row>
        <row r="501">
          <cell r="R501" t="str">
            <v>벨벳해머</v>
          </cell>
          <cell r="S501" t="str">
            <v>더컴퍼니</v>
          </cell>
        </row>
        <row r="502">
          <cell r="R502" t="str">
            <v>벨벳해머(AreYOUok)</v>
          </cell>
          <cell r="S502" t="str">
            <v>더컴퍼니</v>
          </cell>
        </row>
        <row r="503">
          <cell r="R503" t="str">
            <v>사공설류</v>
          </cell>
          <cell r="S503" t="str">
            <v>더컴퍼니</v>
          </cell>
        </row>
        <row r="504">
          <cell r="R504" t="str">
            <v>사공설류</v>
          </cell>
          <cell r="S504" t="str">
            <v>더컴퍼니</v>
          </cell>
        </row>
        <row r="505">
          <cell r="R505" t="str">
            <v>사공설류</v>
          </cell>
          <cell r="S505" t="str">
            <v>더컴퍼니</v>
          </cell>
        </row>
        <row r="506">
          <cell r="R506" t="str">
            <v>사공설류</v>
          </cell>
          <cell r="S506" t="str">
            <v>더컴퍼니</v>
          </cell>
        </row>
        <row r="507">
          <cell r="R507" t="str">
            <v>사공설류</v>
          </cell>
          <cell r="S507" t="str">
            <v>더컴퍼니</v>
          </cell>
        </row>
        <row r="508">
          <cell r="R508" t="str">
            <v>사공설류</v>
          </cell>
          <cell r="S508" t="str">
            <v>더컴퍼니</v>
          </cell>
        </row>
        <row r="509">
          <cell r="R509" t="str">
            <v>사나림</v>
          </cell>
          <cell r="S509" t="str">
            <v>더컴퍼니</v>
          </cell>
        </row>
        <row r="510">
          <cell r="R510" t="str">
            <v>사나림</v>
          </cell>
          <cell r="S510" t="str">
            <v>더컴퍼니</v>
          </cell>
        </row>
        <row r="511">
          <cell r="R511" t="str">
            <v>사보</v>
          </cell>
          <cell r="S511" t="str">
            <v>더컴퍼니</v>
          </cell>
        </row>
        <row r="512">
          <cell r="R512" t="str">
            <v>사보</v>
          </cell>
          <cell r="S512" t="str">
            <v>더컴퍼니</v>
          </cell>
        </row>
        <row r="513">
          <cell r="R513" t="str">
            <v>사틴</v>
          </cell>
          <cell r="S513" t="str">
            <v>더컴퍼니</v>
          </cell>
        </row>
        <row r="514">
          <cell r="R514" t="str">
            <v>사틴</v>
          </cell>
          <cell r="S514" t="str">
            <v>더컴퍼니</v>
          </cell>
        </row>
        <row r="515">
          <cell r="R515" t="str">
            <v>사틴</v>
          </cell>
          <cell r="S515" t="str">
            <v>더컴퍼니</v>
          </cell>
        </row>
        <row r="516">
          <cell r="R516" t="str">
            <v>사틴</v>
          </cell>
          <cell r="S516" t="str">
            <v>더컴퍼니</v>
          </cell>
        </row>
        <row r="517">
          <cell r="R517" t="str">
            <v>서향</v>
          </cell>
          <cell r="S517" t="str">
            <v>더컴퍼니</v>
          </cell>
        </row>
        <row r="518">
          <cell r="R518" t="str">
            <v>서향</v>
          </cell>
          <cell r="S518" t="str">
            <v>더컴퍼니</v>
          </cell>
        </row>
        <row r="519">
          <cell r="R519" t="str">
            <v>서향</v>
          </cell>
          <cell r="S519" t="str">
            <v>더컴퍼니</v>
          </cell>
        </row>
        <row r="520">
          <cell r="R520" t="str">
            <v>서향</v>
          </cell>
          <cell r="S520" t="str">
            <v>더컴퍼니</v>
          </cell>
        </row>
        <row r="521">
          <cell r="R521" t="str">
            <v>서향</v>
          </cell>
          <cell r="S521" t="str">
            <v>더컴퍼니</v>
          </cell>
        </row>
        <row r="522">
          <cell r="R522" t="str">
            <v>서향</v>
          </cell>
          <cell r="S522" t="str">
            <v>더컴퍼니</v>
          </cell>
        </row>
        <row r="523">
          <cell r="R523" t="str">
            <v>서향</v>
          </cell>
          <cell r="S523" t="str">
            <v>더컴퍼니</v>
          </cell>
        </row>
        <row r="524">
          <cell r="R524" t="str">
            <v>서향</v>
          </cell>
          <cell r="S524" t="str">
            <v>더컴퍼니</v>
          </cell>
        </row>
        <row r="525">
          <cell r="R525" t="str">
            <v>설연</v>
          </cell>
          <cell r="S525" t="str">
            <v>더컴퍼니</v>
          </cell>
        </row>
        <row r="526">
          <cell r="R526" t="str">
            <v>설연</v>
          </cell>
          <cell r="S526" t="str">
            <v>더컴퍼니</v>
          </cell>
        </row>
        <row r="527">
          <cell r="R527" t="str">
            <v>성실</v>
          </cell>
          <cell r="S527" t="str">
            <v>더컴퍼니</v>
          </cell>
        </row>
        <row r="528">
          <cell r="R528" t="str">
            <v>성실</v>
          </cell>
          <cell r="S528" t="str">
            <v>더컴퍼니</v>
          </cell>
        </row>
        <row r="529">
          <cell r="R529" t="str">
            <v>성실</v>
          </cell>
          <cell r="S529" t="str">
            <v>더컴퍼니</v>
          </cell>
        </row>
        <row r="530">
          <cell r="R530" t="str">
            <v>성실</v>
          </cell>
          <cell r="S530" t="str">
            <v>더컴퍼니</v>
          </cell>
        </row>
        <row r="531">
          <cell r="R531" t="str">
            <v>시아</v>
          </cell>
          <cell r="S531" t="str">
            <v>더컴퍼니</v>
          </cell>
        </row>
        <row r="532">
          <cell r="R532" t="str">
            <v>시아</v>
          </cell>
          <cell r="S532" t="str">
            <v>더컴퍼니</v>
          </cell>
        </row>
        <row r="533">
          <cell r="R533" t="str">
            <v>시아</v>
          </cell>
          <cell r="S533" t="str">
            <v>더컴퍼니</v>
          </cell>
        </row>
        <row r="534">
          <cell r="R534" t="str">
            <v>시아</v>
          </cell>
          <cell r="S534" t="str">
            <v>더컴퍼니</v>
          </cell>
        </row>
        <row r="535">
          <cell r="R535" t="str">
            <v>시아</v>
          </cell>
          <cell r="S535" t="str">
            <v>더컴퍼니</v>
          </cell>
        </row>
        <row r="536">
          <cell r="R536" t="str">
            <v>시아</v>
          </cell>
          <cell r="S536" t="str">
            <v>더컴퍼니</v>
          </cell>
        </row>
        <row r="537">
          <cell r="R537" t="str">
            <v>시아</v>
          </cell>
          <cell r="S537" t="str">
            <v>더컴퍼니</v>
          </cell>
        </row>
        <row r="538">
          <cell r="R538" t="str">
            <v>시아</v>
          </cell>
          <cell r="S538" t="str">
            <v>더컴퍼니</v>
          </cell>
        </row>
        <row r="539">
          <cell r="R539" t="str">
            <v>시아</v>
          </cell>
          <cell r="S539" t="str">
            <v>더컴퍼니</v>
          </cell>
        </row>
        <row r="540">
          <cell r="R540" t="str">
            <v>시아</v>
          </cell>
          <cell r="S540" t="str">
            <v>더컴퍼니</v>
          </cell>
        </row>
        <row r="541">
          <cell r="R541" t="str">
            <v>신또&amp;곰</v>
          </cell>
          <cell r="S541" t="str">
            <v>더컴퍼니</v>
          </cell>
        </row>
        <row r="542">
          <cell r="R542" t="str">
            <v>신또&amp;곰</v>
          </cell>
          <cell r="S542" t="str">
            <v>더컴퍼니</v>
          </cell>
        </row>
        <row r="543">
          <cell r="R543" t="str">
            <v>알트파인</v>
          </cell>
          <cell r="S543" t="str">
            <v>더컴퍼니</v>
          </cell>
        </row>
        <row r="544">
          <cell r="R544" t="str">
            <v>알트파인</v>
          </cell>
          <cell r="S544" t="str">
            <v>더컴퍼니</v>
          </cell>
        </row>
        <row r="545">
          <cell r="R545" t="str">
            <v>알트파인</v>
          </cell>
          <cell r="S545" t="str">
            <v>더컴퍼니</v>
          </cell>
        </row>
        <row r="546">
          <cell r="R546" t="str">
            <v>알트파인</v>
          </cell>
          <cell r="S546" t="str">
            <v>더컴퍼니</v>
          </cell>
        </row>
        <row r="547">
          <cell r="R547" t="str">
            <v>어색어색열매</v>
          </cell>
          <cell r="S547" t="str">
            <v>더컴퍼니</v>
          </cell>
        </row>
        <row r="548">
          <cell r="R548" t="str">
            <v>어색어색열매</v>
          </cell>
          <cell r="S548" t="str">
            <v>더컴퍼니</v>
          </cell>
        </row>
        <row r="549">
          <cell r="R549" t="str">
            <v>어색어색열매</v>
          </cell>
          <cell r="S549" t="str">
            <v>더컴퍼니</v>
          </cell>
        </row>
        <row r="550">
          <cell r="R550" t="str">
            <v>어색어색열매</v>
          </cell>
          <cell r="S550" t="str">
            <v>더컴퍼니</v>
          </cell>
        </row>
        <row r="551">
          <cell r="R551" t="str">
            <v>여러해살이풀</v>
          </cell>
          <cell r="S551" t="str">
            <v>더컴퍼니</v>
          </cell>
        </row>
        <row r="552">
          <cell r="R552" t="str">
            <v>여러해살이풀</v>
          </cell>
          <cell r="S552" t="str">
            <v>더컴퍼니</v>
          </cell>
        </row>
        <row r="553">
          <cell r="R553" t="str">
            <v>여러해살이풀</v>
          </cell>
          <cell r="S553" t="str">
            <v>더컴퍼니</v>
          </cell>
        </row>
        <row r="554">
          <cell r="R554" t="str">
            <v>여러해살이풀</v>
          </cell>
          <cell r="S554" t="str">
            <v>더컴퍼니</v>
          </cell>
        </row>
        <row r="555">
          <cell r="R555" t="str">
            <v>여러해살이풀</v>
          </cell>
          <cell r="S555" t="str">
            <v>더컴퍼니</v>
          </cell>
        </row>
        <row r="556">
          <cell r="R556" t="str">
            <v>여러해살이풀</v>
          </cell>
          <cell r="S556" t="str">
            <v>더컴퍼니</v>
          </cell>
        </row>
        <row r="557">
          <cell r="R557" t="str">
            <v>연유</v>
          </cell>
          <cell r="S557" t="str">
            <v>더컴퍼니</v>
          </cell>
        </row>
        <row r="558">
          <cell r="R558" t="str">
            <v>연유</v>
          </cell>
          <cell r="S558" t="str">
            <v>더컴퍼니</v>
          </cell>
        </row>
        <row r="559">
          <cell r="R559" t="str">
            <v>연유</v>
          </cell>
          <cell r="S559" t="str">
            <v>더컴퍼니</v>
          </cell>
        </row>
        <row r="560">
          <cell r="R560" t="str">
            <v>연유</v>
          </cell>
          <cell r="S560" t="str">
            <v>더컴퍼니</v>
          </cell>
        </row>
        <row r="561">
          <cell r="R561" t="str">
            <v>연유</v>
          </cell>
          <cell r="S561" t="str">
            <v>더컴퍼니</v>
          </cell>
        </row>
        <row r="562">
          <cell r="R562" t="str">
            <v>연유</v>
          </cell>
          <cell r="S562" t="str">
            <v>더컴퍼니</v>
          </cell>
        </row>
        <row r="563">
          <cell r="R563" t="str">
            <v>연유</v>
          </cell>
          <cell r="S563" t="str">
            <v>더컴퍼니</v>
          </cell>
        </row>
        <row r="564">
          <cell r="R564" t="str">
            <v>연유</v>
          </cell>
          <cell r="S564" t="str">
            <v>더컴퍼니</v>
          </cell>
        </row>
        <row r="565">
          <cell r="R565" t="str">
            <v>연유</v>
          </cell>
          <cell r="S565" t="str">
            <v>더컴퍼니</v>
          </cell>
        </row>
        <row r="566">
          <cell r="R566" t="str">
            <v>연유</v>
          </cell>
          <cell r="S566" t="str">
            <v>더컴퍼니</v>
          </cell>
        </row>
        <row r="567">
          <cell r="R567" t="str">
            <v>연유</v>
          </cell>
          <cell r="S567" t="str">
            <v>더컴퍼니</v>
          </cell>
        </row>
        <row r="568">
          <cell r="R568" t="str">
            <v>연유</v>
          </cell>
          <cell r="S568" t="str">
            <v>더컴퍼니</v>
          </cell>
        </row>
        <row r="569">
          <cell r="R569" t="str">
            <v>연유</v>
          </cell>
          <cell r="S569" t="str">
            <v>더컴퍼니</v>
          </cell>
        </row>
        <row r="570">
          <cell r="R570" t="str">
            <v>연유</v>
          </cell>
          <cell r="S570" t="str">
            <v>더컴퍼니</v>
          </cell>
        </row>
        <row r="571">
          <cell r="R571" t="str">
            <v>연유</v>
          </cell>
          <cell r="S571" t="str">
            <v>더컴퍼니</v>
          </cell>
        </row>
        <row r="572">
          <cell r="R572" t="str">
            <v>연유</v>
          </cell>
          <cell r="S572" t="str">
            <v>더컴퍼니</v>
          </cell>
        </row>
        <row r="573">
          <cell r="R573" t="str">
            <v>연유</v>
          </cell>
          <cell r="S573" t="str">
            <v>더컴퍼니</v>
          </cell>
        </row>
        <row r="574">
          <cell r="R574" t="str">
            <v>연유</v>
          </cell>
          <cell r="S574" t="str">
            <v>더컴퍼니</v>
          </cell>
        </row>
        <row r="575">
          <cell r="R575" t="str">
            <v>연유</v>
          </cell>
          <cell r="S575" t="str">
            <v>더컴퍼니</v>
          </cell>
        </row>
        <row r="576">
          <cell r="R576" t="str">
            <v>연유</v>
          </cell>
          <cell r="S576" t="str">
            <v>더컴퍼니</v>
          </cell>
        </row>
        <row r="577">
          <cell r="R577" t="str">
            <v>연유</v>
          </cell>
          <cell r="S577" t="str">
            <v>더컴퍼니</v>
          </cell>
        </row>
        <row r="578">
          <cell r="R578" t="str">
            <v>연유</v>
          </cell>
          <cell r="S578" t="str">
            <v>더컴퍼니</v>
          </cell>
        </row>
        <row r="579">
          <cell r="R579" t="str">
            <v>연유</v>
          </cell>
          <cell r="S579" t="str">
            <v>더컴퍼니</v>
          </cell>
        </row>
        <row r="580">
          <cell r="R580" t="str">
            <v>연유</v>
          </cell>
          <cell r="S580" t="str">
            <v>더컴퍼니</v>
          </cell>
        </row>
        <row r="581">
          <cell r="R581" t="str">
            <v>연진서</v>
          </cell>
          <cell r="S581" t="str">
            <v>더컴퍼니</v>
          </cell>
        </row>
        <row r="582">
          <cell r="R582" t="str">
            <v>예파란</v>
          </cell>
          <cell r="S582" t="str">
            <v>더컴퍼니</v>
          </cell>
        </row>
        <row r="583">
          <cell r="R583" t="str">
            <v>예파란</v>
          </cell>
          <cell r="S583" t="str">
            <v>더컴퍼니</v>
          </cell>
        </row>
        <row r="584">
          <cell r="R584" t="str">
            <v>오산타</v>
          </cell>
          <cell r="S584" t="str">
            <v>더컴퍼니</v>
          </cell>
        </row>
        <row r="585">
          <cell r="R585" t="str">
            <v>오산타</v>
          </cell>
          <cell r="S585" t="str">
            <v>더컴퍼니</v>
          </cell>
        </row>
        <row r="586">
          <cell r="R586" t="str">
            <v>오산타</v>
          </cell>
          <cell r="S586" t="str">
            <v>더컴퍼니</v>
          </cell>
        </row>
        <row r="587">
          <cell r="R587" t="str">
            <v>오산타</v>
          </cell>
          <cell r="S587" t="str">
            <v>더컴퍼니</v>
          </cell>
        </row>
        <row r="588">
          <cell r="R588" t="str">
            <v>오산타</v>
          </cell>
          <cell r="S588" t="str">
            <v>더컴퍼니</v>
          </cell>
        </row>
        <row r="589">
          <cell r="R589" t="str">
            <v>오산타</v>
          </cell>
          <cell r="S589" t="str">
            <v>더컴퍼니</v>
          </cell>
        </row>
        <row r="590">
          <cell r="R590" t="str">
            <v>오산타</v>
          </cell>
          <cell r="S590" t="str">
            <v>더컴퍼니</v>
          </cell>
        </row>
        <row r="591">
          <cell r="R591" t="str">
            <v>오산타</v>
          </cell>
          <cell r="S591" t="str">
            <v>더컴퍼니</v>
          </cell>
        </row>
        <row r="592">
          <cell r="R592" t="str">
            <v>오산타</v>
          </cell>
          <cell r="S592" t="str">
            <v>더컴퍼니</v>
          </cell>
        </row>
        <row r="593">
          <cell r="R593" t="str">
            <v>오산타</v>
          </cell>
          <cell r="S593" t="str">
            <v>더컴퍼니</v>
          </cell>
        </row>
        <row r="594">
          <cell r="R594" t="str">
            <v>오산타</v>
          </cell>
          <cell r="S594" t="str">
            <v>더컴퍼니</v>
          </cell>
        </row>
        <row r="595">
          <cell r="R595" t="str">
            <v>용가리맛쿠키</v>
          </cell>
          <cell r="S595" t="str">
            <v>더컴퍼니</v>
          </cell>
        </row>
        <row r="596">
          <cell r="R596" t="str">
            <v>용가리맛쿠키</v>
          </cell>
          <cell r="S596" t="str">
            <v>더컴퍼니</v>
          </cell>
        </row>
        <row r="597">
          <cell r="R597" t="str">
            <v>용가리맛쿠키</v>
          </cell>
          <cell r="S597" t="str">
            <v>더컴퍼니</v>
          </cell>
        </row>
        <row r="598">
          <cell r="R598" t="str">
            <v>용가리맛쿠키</v>
          </cell>
          <cell r="S598" t="str">
            <v>더컴퍼니</v>
          </cell>
        </row>
        <row r="599">
          <cell r="R599" t="str">
            <v>용가리맛쿠키</v>
          </cell>
          <cell r="S599" t="str">
            <v>더컴퍼니</v>
          </cell>
        </row>
        <row r="600">
          <cell r="R600" t="str">
            <v>용가리맛쿠키</v>
          </cell>
          <cell r="S600" t="str">
            <v>더컴퍼니</v>
          </cell>
        </row>
        <row r="601">
          <cell r="R601" t="str">
            <v>용가리맛쿠키</v>
          </cell>
          <cell r="S601" t="str">
            <v>더컴퍼니</v>
          </cell>
        </row>
        <row r="602">
          <cell r="R602" t="str">
            <v>용가리맛쿠키</v>
          </cell>
          <cell r="S602" t="str">
            <v>더컴퍼니</v>
          </cell>
        </row>
        <row r="603">
          <cell r="R603" t="str">
            <v>용가리맛쿠키</v>
          </cell>
          <cell r="S603" t="str">
            <v>더컴퍼니</v>
          </cell>
        </row>
        <row r="604">
          <cell r="R604" t="str">
            <v>용가리맛쿠키</v>
          </cell>
          <cell r="S604" t="str">
            <v>더컴퍼니</v>
          </cell>
        </row>
        <row r="605">
          <cell r="R605" t="str">
            <v>용가리맛쿠키</v>
          </cell>
          <cell r="S605" t="str">
            <v>더컴퍼니</v>
          </cell>
        </row>
        <row r="606">
          <cell r="R606" t="str">
            <v>용가리맛쿠키</v>
          </cell>
          <cell r="S606" t="str">
            <v>더컴퍼니</v>
          </cell>
        </row>
        <row r="607">
          <cell r="R607" t="str">
            <v>용가리맛쿠키</v>
          </cell>
          <cell r="S607" t="str">
            <v>더컴퍼니</v>
          </cell>
        </row>
        <row r="608">
          <cell r="R608" t="str">
            <v>용가리맛쿠키</v>
          </cell>
          <cell r="S608" t="str">
            <v>더컴퍼니</v>
          </cell>
        </row>
        <row r="609">
          <cell r="R609" t="str">
            <v>용가리맛쿠키</v>
          </cell>
          <cell r="S609" t="str">
            <v>더컴퍼니</v>
          </cell>
        </row>
        <row r="610">
          <cell r="R610" t="str">
            <v>용가리맛쿠키</v>
          </cell>
          <cell r="S610" t="str">
            <v>더컴퍼니</v>
          </cell>
        </row>
        <row r="611">
          <cell r="R611" t="str">
            <v>용가리맛쿠키</v>
          </cell>
          <cell r="S611" t="str">
            <v>더컴퍼니</v>
          </cell>
        </row>
        <row r="612">
          <cell r="R612" t="str">
            <v>용가리맛쿠키</v>
          </cell>
          <cell r="S612" t="str">
            <v>더컴퍼니</v>
          </cell>
        </row>
        <row r="613">
          <cell r="R613" t="str">
            <v>용가리맛쿠키</v>
          </cell>
          <cell r="S613" t="str">
            <v>더컴퍼니</v>
          </cell>
        </row>
        <row r="614">
          <cell r="R614" t="str">
            <v>용가리맛쿠키</v>
          </cell>
          <cell r="S614" t="str">
            <v>더컴퍼니</v>
          </cell>
        </row>
        <row r="615">
          <cell r="R615" t="str">
            <v>용가리맛쿠키</v>
          </cell>
          <cell r="S615" t="str">
            <v>더컴퍼니</v>
          </cell>
        </row>
        <row r="616">
          <cell r="R616" t="str">
            <v>용가리맛쿠키</v>
          </cell>
          <cell r="S616" t="str">
            <v>더컴퍼니</v>
          </cell>
        </row>
        <row r="617">
          <cell r="R617" t="str">
            <v>용가리맛쿠키</v>
          </cell>
          <cell r="S617" t="str">
            <v>더컴퍼니</v>
          </cell>
        </row>
        <row r="618">
          <cell r="R618" t="str">
            <v>용가리맛쿠키</v>
          </cell>
          <cell r="S618" t="str">
            <v>더컴퍼니</v>
          </cell>
        </row>
        <row r="619">
          <cell r="R619" t="str">
            <v>용가리맛쿠키</v>
          </cell>
          <cell r="S619" t="str">
            <v>더컴퍼니</v>
          </cell>
        </row>
        <row r="620">
          <cell r="R620" t="str">
            <v>용가리맛쿠키</v>
          </cell>
          <cell r="S620" t="str">
            <v>더컴퍼니</v>
          </cell>
        </row>
        <row r="621">
          <cell r="R621" t="str">
            <v>용가리맛쿠키</v>
          </cell>
          <cell r="S621" t="str">
            <v>더컴퍼니</v>
          </cell>
        </row>
        <row r="622">
          <cell r="R622" t="str">
            <v>용가리맛쿠키</v>
          </cell>
          <cell r="S622" t="str">
            <v>더컴퍼니</v>
          </cell>
        </row>
        <row r="623">
          <cell r="R623" t="str">
            <v>용가리맛쿠키</v>
          </cell>
          <cell r="S623" t="str">
            <v>더컴퍼니</v>
          </cell>
        </row>
        <row r="624">
          <cell r="R624" t="str">
            <v>용가리맛쿠키</v>
          </cell>
          <cell r="S624" t="str">
            <v>더컴퍼니</v>
          </cell>
        </row>
        <row r="625">
          <cell r="R625" t="str">
            <v>용가리맛쿠키</v>
          </cell>
          <cell r="S625" t="str">
            <v>더컴퍼니</v>
          </cell>
        </row>
        <row r="626">
          <cell r="R626" t="str">
            <v>웨인</v>
          </cell>
          <cell r="S626" t="str">
            <v>더컴퍼니</v>
          </cell>
        </row>
        <row r="627">
          <cell r="R627" t="str">
            <v>웨인</v>
          </cell>
          <cell r="S627" t="str">
            <v>더컴퍼니</v>
          </cell>
        </row>
        <row r="628">
          <cell r="R628" t="str">
            <v>웨인</v>
          </cell>
          <cell r="S628" t="str">
            <v>더컴퍼니</v>
          </cell>
        </row>
        <row r="629">
          <cell r="R629" t="str">
            <v>유능</v>
          </cell>
          <cell r="S629" t="str">
            <v>더컴퍼니</v>
          </cell>
        </row>
        <row r="630">
          <cell r="R630" t="str">
            <v>유능</v>
          </cell>
          <cell r="S630" t="str">
            <v>더컴퍼니</v>
          </cell>
        </row>
        <row r="631">
          <cell r="R631" t="str">
            <v>유능</v>
          </cell>
          <cell r="S631" t="str">
            <v>더컴퍼니</v>
          </cell>
        </row>
        <row r="632">
          <cell r="R632" t="str">
            <v>유능</v>
          </cell>
          <cell r="S632" t="str">
            <v>더컴퍼니</v>
          </cell>
        </row>
        <row r="633">
          <cell r="R633" t="str">
            <v>유능</v>
          </cell>
          <cell r="S633" t="str">
            <v>더컴퍼니</v>
          </cell>
        </row>
        <row r="634">
          <cell r="R634" t="str">
            <v>유능</v>
          </cell>
          <cell r="S634" t="str">
            <v>더컴퍼니</v>
          </cell>
        </row>
        <row r="635">
          <cell r="R635" t="str">
            <v>윤연주 영어샘</v>
          </cell>
          <cell r="S635" t="str">
            <v>더컴퍼니</v>
          </cell>
        </row>
        <row r="636">
          <cell r="R636" t="str">
            <v>윤연주 영어샘</v>
          </cell>
          <cell r="S636" t="str">
            <v>더컴퍼니</v>
          </cell>
        </row>
        <row r="637">
          <cell r="R637" t="str">
            <v>이도경</v>
          </cell>
          <cell r="S637" t="str">
            <v>아크스튜디오</v>
          </cell>
        </row>
        <row r="638">
          <cell r="R638" t="str">
            <v>이도경</v>
          </cell>
          <cell r="S638" t="str">
            <v>아크스튜디오</v>
          </cell>
        </row>
        <row r="639">
          <cell r="R639" t="str">
            <v>이락</v>
          </cell>
          <cell r="S639" t="str">
            <v>더컴퍼니</v>
          </cell>
        </row>
        <row r="640">
          <cell r="R640" t="str">
            <v>이락</v>
          </cell>
          <cell r="S640" t="str">
            <v>더컴퍼니</v>
          </cell>
        </row>
        <row r="641">
          <cell r="R641" t="str">
            <v>이락</v>
          </cell>
          <cell r="S641" t="str">
            <v>더컴퍼니</v>
          </cell>
        </row>
        <row r="642">
          <cell r="R642" t="str">
            <v>이서윤</v>
          </cell>
          <cell r="S642" t="str">
            <v>더컴퍼니</v>
          </cell>
        </row>
        <row r="643">
          <cell r="R643" t="str">
            <v>이서윤</v>
          </cell>
          <cell r="S643" t="str">
            <v>더컴퍼니</v>
          </cell>
        </row>
        <row r="644">
          <cell r="R644" t="str">
            <v>이서윤</v>
          </cell>
          <cell r="S644" t="str">
            <v>더컴퍼니</v>
          </cell>
        </row>
        <row r="645">
          <cell r="R645" t="str">
            <v>이염</v>
          </cell>
          <cell r="S645" t="str">
            <v>더컴퍼니</v>
          </cell>
        </row>
        <row r="646">
          <cell r="R646" t="str">
            <v>이염</v>
          </cell>
          <cell r="S646" t="str">
            <v>더컴퍼니</v>
          </cell>
        </row>
        <row r="647">
          <cell r="R647" t="str">
            <v>이염</v>
          </cell>
          <cell r="S647" t="str">
            <v>더컴퍼니</v>
          </cell>
        </row>
        <row r="648">
          <cell r="R648" t="str">
            <v>이염</v>
          </cell>
          <cell r="S648" t="str">
            <v>더컴퍼니</v>
          </cell>
        </row>
        <row r="649">
          <cell r="R649" t="str">
            <v>이염</v>
          </cell>
          <cell r="S649" t="str">
            <v>더컴퍼니</v>
          </cell>
        </row>
        <row r="650">
          <cell r="R650" t="str">
            <v>이염</v>
          </cell>
          <cell r="S650" t="str">
            <v>더컴퍼니</v>
          </cell>
        </row>
        <row r="651">
          <cell r="R651" t="str">
            <v>이염</v>
          </cell>
          <cell r="S651" t="str">
            <v>더컴퍼니</v>
          </cell>
        </row>
        <row r="652">
          <cell r="R652" t="str">
            <v>이예즈</v>
          </cell>
          <cell r="S652" t="str">
            <v>더컴퍼니</v>
          </cell>
        </row>
        <row r="653">
          <cell r="R653" t="str">
            <v>이예즈</v>
          </cell>
          <cell r="S653" t="str">
            <v>더컴퍼니</v>
          </cell>
        </row>
        <row r="654">
          <cell r="R654" t="str">
            <v>이예즈</v>
          </cell>
          <cell r="S654" t="str">
            <v>더컴퍼니</v>
          </cell>
        </row>
        <row r="655">
          <cell r="R655" t="str">
            <v>이예즈</v>
          </cell>
          <cell r="S655" t="str">
            <v>더컴퍼니</v>
          </cell>
        </row>
        <row r="656">
          <cell r="R656" t="str">
            <v>이예즈</v>
          </cell>
          <cell r="S656" t="str">
            <v>더컴퍼니</v>
          </cell>
        </row>
        <row r="657">
          <cell r="R657" t="str">
            <v>이예즈</v>
          </cell>
          <cell r="S657" t="str">
            <v>더컴퍼니</v>
          </cell>
        </row>
        <row r="658">
          <cell r="R658" t="str">
            <v>이예즈</v>
          </cell>
          <cell r="S658" t="str">
            <v>더컴퍼니</v>
          </cell>
        </row>
        <row r="659">
          <cell r="R659" t="str">
            <v>이예즈</v>
          </cell>
          <cell r="S659" t="str">
            <v>더컴퍼니</v>
          </cell>
        </row>
        <row r="660">
          <cell r="R660" t="str">
            <v>이예즈</v>
          </cell>
          <cell r="S660" t="str">
            <v>더컴퍼니</v>
          </cell>
        </row>
        <row r="661">
          <cell r="R661" t="str">
            <v>이예즈</v>
          </cell>
          <cell r="S661" t="str">
            <v>더컴퍼니</v>
          </cell>
        </row>
        <row r="662">
          <cell r="R662" t="str">
            <v>이예즈</v>
          </cell>
          <cell r="S662" t="str">
            <v>더컴퍼니</v>
          </cell>
        </row>
        <row r="663">
          <cell r="R663" t="str">
            <v>이예즈</v>
          </cell>
          <cell r="S663" t="str">
            <v>더컴퍼니</v>
          </cell>
        </row>
        <row r="664">
          <cell r="R664" t="str">
            <v>이예즈</v>
          </cell>
          <cell r="S664" t="str">
            <v>더컴퍼니</v>
          </cell>
        </row>
        <row r="665">
          <cell r="R665" t="str">
            <v>이예즈</v>
          </cell>
          <cell r="S665" t="str">
            <v>더컴퍼니</v>
          </cell>
        </row>
        <row r="666">
          <cell r="R666" t="str">
            <v>이일화</v>
          </cell>
          <cell r="S666" t="str">
            <v>더컴퍼니</v>
          </cell>
        </row>
        <row r="667">
          <cell r="R667" t="str">
            <v>이일화</v>
          </cell>
          <cell r="S667" t="str">
            <v>더컴퍼니</v>
          </cell>
        </row>
        <row r="668">
          <cell r="R668" t="str">
            <v>임경배</v>
          </cell>
          <cell r="S668" t="str">
            <v>아크스튜디오</v>
          </cell>
        </row>
        <row r="669">
          <cell r="R669" t="str">
            <v>정(情)</v>
          </cell>
          <cell r="S669" t="str">
            <v>더컴퍼니</v>
          </cell>
        </row>
        <row r="670">
          <cell r="R670" t="str">
            <v>정(情)</v>
          </cell>
          <cell r="S670" t="str">
            <v>더컴퍼니</v>
          </cell>
        </row>
        <row r="671">
          <cell r="R671" t="str">
            <v>정(情)</v>
          </cell>
          <cell r="S671" t="str">
            <v>더컴퍼니</v>
          </cell>
        </row>
        <row r="672">
          <cell r="R672" t="str">
            <v>정(情)</v>
          </cell>
          <cell r="S672" t="str">
            <v>더컴퍼니</v>
          </cell>
        </row>
        <row r="673">
          <cell r="R673" t="str">
            <v>정감</v>
          </cell>
          <cell r="S673" t="str">
            <v>더컴퍼니</v>
          </cell>
        </row>
        <row r="674">
          <cell r="R674" t="str">
            <v>정감</v>
          </cell>
          <cell r="S674" t="str">
            <v>더컴퍼니</v>
          </cell>
        </row>
        <row r="675">
          <cell r="R675" t="str">
            <v>정감</v>
          </cell>
          <cell r="S675" t="str">
            <v>더컴퍼니</v>
          </cell>
        </row>
        <row r="676">
          <cell r="R676" t="str">
            <v>정감</v>
          </cell>
          <cell r="S676" t="str">
            <v>더컴퍼니</v>
          </cell>
        </row>
        <row r="677">
          <cell r="R677" t="str">
            <v>정감</v>
          </cell>
          <cell r="S677" t="str">
            <v>더컴퍼니</v>
          </cell>
        </row>
        <row r="678">
          <cell r="R678" t="str">
            <v>정감</v>
          </cell>
          <cell r="S678" t="str">
            <v>더컴퍼니</v>
          </cell>
        </row>
        <row r="679">
          <cell r="R679" t="str">
            <v>정감</v>
          </cell>
          <cell r="S679" t="str">
            <v>더컴퍼니</v>
          </cell>
        </row>
        <row r="680">
          <cell r="R680" t="str">
            <v>정감</v>
          </cell>
          <cell r="S680" t="str">
            <v>더컴퍼니</v>
          </cell>
        </row>
        <row r="681">
          <cell r="R681" t="str">
            <v>정민이</v>
          </cell>
          <cell r="S681" t="str">
            <v>더컴퍼니</v>
          </cell>
        </row>
        <row r="682">
          <cell r="R682" t="str">
            <v>정민이</v>
          </cell>
          <cell r="S682" t="str">
            <v>더컴퍼니</v>
          </cell>
        </row>
        <row r="683">
          <cell r="R683" t="str">
            <v>정시온</v>
          </cell>
          <cell r="S683" t="str">
            <v>더컴퍼니</v>
          </cell>
        </row>
        <row r="684">
          <cell r="R684" t="str">
            <v>정연서</v>
          </cell>
          <cell r="S684" t="str">
            <v>더컴퍼니</v>
          </cell>
        </row>
        <row r="685">
          <cell r="R685" t="str">
            <v>정연서</v>
          </cell>
          <cell r="S685" t="str">
            <v>더컴퍼니</v>
          </cell>
        </row>
        <row r="686">
          <cell r="R686" t="str">
            <v>정연서</v>
          </cell>
          <cell r="S686" t="str">
            <v>더컴퍼니</v>
          </cell>
        </row>
        <row r="687">
          <cell r="R687" t="str">
            <v>정연서</v>
          </cell>
          <cell r="S687" t="str">
            <v>더컴퍼니</v>
          </cell>
        </row>
        <row r="688">
          <cell r="R688" t="str">
            <v>정연서</v>
          </cell>
          <cell r="S688" t="str">
            <v>더컴퍼니</v>
          </cell>
        </row>
        <row r="689">
          <cell r="R689" t="str">
            <v>주해나</v>
          </cell>
          <cell r="S689" t="str">
            <v>더컴퍼니</v>
          </cell>
        </row>
        <row r="690">
          <cell r="R690" t="str">
            <v>주해나</v>
          </cell>
          <cell r="S690" t="str">
            <v>더컴퍼니</v>
          </cell>
        </row>
        <row r="691">
          <cell r="R691" t="str">
            <v>주해나</v>
          </cell>
          <cell r="S691" t="str">
            <v>더컴퍼니</v>
          </cell>
        </row>
        <row r="692">
          <cell r="R692" t="str">
            <v>주해나</v>
          </cell>
          <cell r="S692" t="str">
            <v>더컴퍼니</v>
          </cell>
        </row>
        <row r="693">
          <cell r="R693" t="str">
            <v>주해나</v>
          </cell>
          <cell r="S693" t="str">
            <v>더컴퍼니</v>
          </cell>
        </row>
        <row r="694">
          <cell r="R694" t="str">
            <v>주해나</v>
          </cell>
          <cell r="S694" t="str">
            <v>더컴퍼니</v>
          </cell>
        </row>
        <row r="695">
          <cell r="R695" t="str">
            <v>주해나</v>
          </cell>
          <cell r="S695" t="str">
            <v>더컴퍼니</v>
          </cell>
        </row>
        <row r="696">
          <cell r="R696" t="str">
            <v>주해나</v>
          </cell>
          <cell r="S696" t="str">
            <v>더컴퍼니</v>
          </cell>
        </row>
        <row r="697">
          <cell r="R697" t="str">
            <v>주해나</v>
          </cell>
          <cell r="S697" t="str">
            <v>더컴퍼니</v>
          </cell>
        </row>
        <row r="698">
          <cell r="R698" t="str">
            <v>주해나</v>
          </cell>
          <cell r="S698" t="str">
            <v>더컴퍼니</v>
          </cell>
        </row>
        <row r="699">
          <cell r="R699" t="str">
            <v>주해나</v>
          </cell>
          <cell r="S699" t="str">
            <v>더컴퍼니</v>
          </cell>
        </row>
        <row r="700">
          <cell r="R700" t="str">
            <v>주해나</v>
          </cell>
          <cell r="S700" t="str">
            <v>더컴퍼니</v>
          </cell>
        </row>
        <row r="701">
          <cell r="R701" t="str">
            <v>주해나</v>
          </cell>
          <cell r="S701" t="str">
            <v>더컴퍼니</v>
          </cell>
        </row>
        <row r="702">
          <cell r="R702" t="str">
            <v>주해나</v>
          </cell>
          <cell r="S702" t="str">
            <v>더컴퍼니</v>
          </cell>
        </row>
        <row r="703">
          <cell r="R703" t="str">
            <v>주해나</v>
          </cell>
          <cell r="S703" t="str">
            <v>더컴퍼니</v>
          </cell>
        </row>
        <row r="704">
          <cell r="R704" t="str">
            <v>주해나</v>
          </cell>
          <cell r="S704" t="str">
            <v>더컴퍼니</v>
          </cell>
        </row>
        <row r="705">
          <cell r="R705" t="str">
            <v>주해나</v>
          </cell>
          <cell r="S705" t="str">
            <v>더컴퍼니</v>
          </cell>
        </row>
        <row r="706">
          <cell r="R706" t="str">
            <v>중년바나나</v>
          </cell>
          <cell r="S706" t="str">
            <v>더컴퍼니</v>
          </cell>
        </row>
        <row r="707">
          <cell r="R707" t="str">
            <v>중년바나나</v>
          </cell>
          <cell r="S707" t="str">
            <v>더컴퍼니</v>
          </cell>
        </row>
        <row r="708">
          <cell r="R708" t="str">
            <v>중년바나나</v>
          </cell>
          <cell r="S708" t="str">
            <v>더컴퍼니</v>
          </cell>
        </row>
        <row r="709">
          <cell r="R709" t="str">
            <v>중년바나나</v>
          </cell>
          <cell r="S709" t="str">
            <v>더컴퍼니</v>
          </cell>
        </row>
        <row r="710">
          <cell r="R710" t="str">
            <v>중년바나나</v>
          </cell>
          <cell r="S710" t="str">
            <v>더컴퍼니</v>
          </cell>
        </row>
        <row r="711">
          <cell r="R711" t="str">
            <v>중년바나나</v>
          </cell>
          <cell r="S711" t="str">
            <v>더컴퍼니</v>
          </cell>
        </row>
        <row r="712">
          <cell r="R712" t="str">
            <v>중년바나나</v>
          </cell>
          <cell r="S712" t="str">
            <v>더컴퍼니</v>
          </cell>
        </row>
        <row r="713">
          <cell r="R713" t="str">
            <v>지니</v>
          </cell>
          <cell r="S713" t="str">
            <v>더컴퍼니</v>
          </cell>
        </row>
        <row r="714">
          <cell r="R714" t="str">
            <v>지니</v>
          </cell>
          <cell r="S714" t="str">
            <v>더컴퍼니</v>
          </cell>
        </row>
        <row r="715">
          <cell r="R715" t="str">
            <v>지니</v>
          </cell>
          <cell r="S715" t="str">
            <v>더컴퍼니</v>
          </cell>
        </row>
        <row r="716">
          <cell r="R716" t="str">
            <v>지니</v>
          </cell>
          <cell r="S716" t="str">
            <v>더컴퍼니</v>
          </cell>
        </row>
        <row r="717">
          <cell r="R717" t="str">
            <v>지니</v>
          </cell>
          <cell r="S717" t="str">
            <v>더컴퍼니</v>
          </cell>
        </row>
        <row r="718">
          <cell r="R718" t="str">
            <v>지니</v>
          </cell>
          <cell r="S718" t="str">
            <v>더컴퍼니</v>
          </cell>
        </row>
        <row r="719">
          <cell r="R719" t="str">
            <v>지니</v>
          </cell>
          <cell r="S719" t="str">
            <v>더컴퍼니</v>
          </cell>
        </row>
        <row r="720">
          <cell r="R720" t="str">
            <v>지니</v>
          </cell>
          <cell r="S720" t="str">
            <v>더컴퍼니</v>
          </cell>
        </row>
        <row r="721">
          <cell r="R721" t="str">
            <v>지니</v>
          </cell>
          <cell r="S721" t="str">
            <v>더컴퍼니</v>
          </cell>
        </row>
        <row r="722">
          <cell r="R722" t="str">
            <v>지니</v>
          </cell>
          <cell r="S722" t="str">
            <v>더컴퍼니</v>
          </cell>
        </row>
        <row r="723">
          <cell r="R723" t="str">
            <v>지니</v>
          </cell>
          <cell r="S723" t="str">
            <v>더컴퍼니</v>
          </cell>
        </row>
        <row r="724">
          <cell r="R724" t="str">
            <v>지니</v>
          </cell>
          <cell r="S724" t="str">
            <v>더컴퍼니</v>
          </cell>
        </row>
        <row r="725">
          <cell r="R725" t="str">
            <v>지니</v>
          </cell>
          <cell r="S725" t="str">
            <v>더컴퍼니</v>
          </cell>
        </row>
        <row r="726">
          <cell r="R726" t="str">
            <v>지니</v>
          </cell>
          <cell r="S726" t="str">
            <v>더컴퍼니</v>
          </cell>
        </row>
        <row r="727">
          <cell r="R727" t="str">
            <v>지니</v>
          </cell>
          <cell r="S727" t="str">
            <v>더컴퍼니</v>
          </cell>
        </row>
        <row r="728">
          <cell r="R728" t="str">
            <v>지니</v>
          </cell>
          <cell r="S728" t="str">
            <v>더컴퍼니</v>
          </cell>
        </row>
        <row r="729">
          <cell r="R729" t="str">
            <v>지니</v>
          </cell>
          <cell r="S729" t="str">
            <v>더컴퍼니</v>
          </cell>
        </row>
        <row r="730">
          <cell r="R730" t="str">
            <v>지니</v>
          </cell>
          <cell r="S730" t="str">
            <v>더컴퍼니</v>
          </cell>
        </row>
        <row r="731">
          <cell r="R731" t="str">
            <v>지니</v>
          </cell>
          <cell r="S731" t="str">
            <v>더컴퍼니</v>
          </cell>
        </row>
        <row r="732">
          <cell r="R732" t="str">
            <v>지니</v>
          </cell>
          <cell r="S732" t="str">
            <v>더컴퍼니</v>
          </cell>
        </row>
        <row r="733">
          <cell r="R733" t="str">
            <v>지니</v>
          </cell>
          <cell r="S733" t="str">
            <v>더컴퍼니</v>
          </cell>
        </row>
        <row r="734">
          <cell r="R734" t="str">
            <v>지니</v>
          </cell>
          <cell r="S734" t="str">
            <v>더컴퍼니</v>
          </cell>
        </row>
        <row r="735">
          <cell r="R735" t="str">
            <v>지니</v>
          </cell>
          <cell r="S735" t="str">
            <v>더컴퍼니</v>
          </cell>
        </row>
        <row r="736">
          <cell r="R736" t="str">
            <v>지니</v>
          </cell>
          <cell r="S736" t="str">
            <v>더컴퍼니</v>
          </cell>
        </row>
        <row r="737">
          <cell r="R737" t="str">
            <v>지니</v>
          </cell>
          <cell r="S737" t="str">
            <v>더컴퍼니</v>
          </cell>
        </row>
        <row r="738">
          <cell r="R738" t="str">
            <v>지니</v>
          </cell>
          <cell r="S738" t="str">
            <v>더컴퍼니</v>
          </cell>
        </row>
        <row r="739">
          <cell r="R739" t="str">
            <v>진도넛</v>
          </cell>
          <cell r="S739" t="str">
            <v>더컴퍼니</v>
          </cell>
        </row>
        <row r="740">
          <cell r="R740" t="str">
            <v>진도넛</v>
          </cell>
          <cell r="S740" t="str">
            <v>더컴퍼니</v>
          </cell>
        </row>
        <row r="741">
          <cell r="R741" t="str">
            <v>진유이</v>
          </cell>
          <cell r="S741" t="str">
            <v>더컴퍼니</v>
          </cell>
        </row>
        <row r="742">
          <cell r="R742" t="str">
            <v>진유이</v>
          </cell>
          <cell r="S742" t="str">
            <v>더컴퍼니</v>
          </cell>
        </row>
        <row r="743">
          <cell r="R743" t="str">
            <v>진태이</v>
          </cell>
          <cell r="S743" t="str">
            <v>더컴퍼니</v>
          </cell>
        </row>
        <row r="744">
          <cell r="R744" t="str">
            <v>진태이</v>
          </cell>
          <cell r="S744" t="str">
            <v>더컴퍼니</v>
          </cell>
        </row>
        <row r="745">
          <cell r="R745" t="str">
            <v>진태이</v>
          </cell>
          <cell r="S745" t="str">
            <v>더컴퍼니</v>
          </cell>
        </row>
        <row r="746">
          <cell r="R746" t="str">
            <v>진태이</v>
          </cell>
          <cell r="S746" t="str">
            <v>더컴퍼니</v>
          </cell>
        </row>
        <row r="747">
          <cell r="R747" t="str">
            <v>진태이</v>
          </cell>
          <cell r="S747" t="str">
            <v>더컴퍼니</v>
          </cell>
        </row>
        <row r="748">
          <cell r="R748" t="str">
            <v>채플린</v>
          </cell>
          <cell r="S748" t="str">
            <v>더컴퍼니</v>
          </cell>
        </row>
        <row r="749">
          <cell r="R749" t="str">
            <v>채플린</v>
          </cell>
          <cell r="S749" t="str">
            <v>더컴퍼니</v>
          </cell>
        </row>
        <row r="750">
          <cell r="R750" t="str">
            <v>채플린</v>
          </cell>
          <cell r="S750" t="str">
            <v>더컴퍼니</v>
          </cell>
        </row>
        <row r="751">
          <cell r="R751" t="str">
            <v>채플린</v>
          </cell>
          <cell r="S751" t="str">
            <v>더컴퍼니</v>
          </cell>
        </row>
        <row r="752">
          <cell r="R752" t="str">
            <v>채플린</v>
          </cell>
          <cell r="S752" t="str">
            <v>더컴퍼니</v>
          </cell>
        </row>
        <row r="753">
          <cell r="R753" t="str">
            <v>채플린</v>
          </cell>
          <cell r="S753" t="str">
            <v>더컴퍼니</v>
          </cell>
        </row>
        <row r="754">
          <cell r="R754" t="str">
            <v>채플린</v>
          </cell>
          <cell r="S754" t="str">
            <v>더컴퍼니</v>
          </cell>
        </row>
        <row r="755">
          <cell r="R755" t="str">
            <v>채플린</v>
          </cell>
          <cell r="S755" t="str">
            <v>더컴퍼니</v>
          </cell>
        </row>
        <row r="756">
          <cell r="R756" t="str">
            <v>채플린</v>
          </cell>
          <cell r="S756" t="str">
            <v>더컴퍼니</v>
          </cell>
        </row>
        <row r="757">
          <cell r="R757" t="str">
            <v>채플린</v>
          </cell>
          <cell r="S757" t="str">
            <v>더컴퍼니</v>
          </cell>
        </row>
        <row r="758">
          <cell r="R758" t="str">
            <v>채플린</v>
          </cell>
          <cell r="S758" t="str">
            <v>더컴퍼니</v>
          </cell>
        </row>
        <row r="759">
          <cell r="R759" t="str">
            <v>채플린</v>
          </cell>
          <cell r="S759" t="str">
            <v>더컴퍼니</v>
          </cell>
        </row>
        <row r="760">
          <cell r="R760" t="str">
            <v>최강주</v>
          </cell>
          <cell r="S760" t="str">
            <v>더컴퍼니</v>
          </cell>
        </row>
        <row r="761">
          <cell r="R761" t="str">
            <v>최강주</v>
          </cell>
          <cell r="S761" t="str">
            <v>더컴퍼니</v>
          </cell>
        </row>
        <row r="762">
          <cell r="R762" t="str">
            <v>최강주</v>
          </cell>
          <cell r="S762" t="str">
            <v>더컴퍼니</v>
          </cell>
        </row>
        <row r="763">
          <cell r="R763" t="str">
            <v>최강주</v>
          </cell>
          <cell r="S763" t="str">
            <v>더컴퍼니</v>
          </cell>
        </row>
        <row r="764">
          <cell r="R764" t="str">
            <v>최소영</v>
          </cell>
          <cell r="S764" t="str">
            <v>더컴퍼니</v>
          </cell>
        </row>
        <row r="765">
          <cell r="R765" t="str">
            <v>최소영</v>
          </cell>
          <cell r="S765" t="str">
            <v>더컴퍼니</v>
          </cell>
        </row>
        <row r="766">
          <cell r="R766" t="str">
            <v>최재봉</v>
          </cell>
          <cell r="S766" t="str">
            <v>에필로그</v>
          </cell>
        </row>
        <row r="767">
          <cell r="R767" t="str">
            <v>최재봉</v>
          </cell>
          <cell r="S767" t="str">
            <v>에필로그</v>
          </cell>
        </row>
        <row r="768">
          <cell r="R768" t="str">
            <v>최재봉</v>
          </cell>
          <cell r="S768" t="str">
            <v>에필로그</v>
          </cell>
        </row>
        <row r="769">
          <cell r="R769" t="str">
            <v>최재봉</v>
          </cell>
          <cell r="S769" t="str">
            <v>에필로그</v>
          </cell>
        </row>
        <row r="770">
          <cell r="R770" t="str">
            <v>최재봉</v>
          </cell>
          <cell r="S770" t="str">
            <v>에필로그</v>
          </cell>
        </row>
        <row r="771">
          <cell r="R771" t="str">
            <v>최재봉</v>
          </cell>
          <cell r="S771" t="str">
            <v>에필로그</v>
          </cell>
        </row>
        <row r="772">
          <cell r="R772" t="str">
            <v>최재봉</v>
          </cell>
          <cell r="S772" t="str">
            <v>에필로그</v>
          </cell>
        </row>
        <row r="773">
          <cell r="R773" t="str">
            <v>최재봉</v>
          </cell>
          <cell r="S773" t="str">
            <v>에필로그</v>
          </cell>
        </row>
        <row r="774">
          <cell r="R774" t="str">
            <v>최재봉</v>
          </cell>
          <cell r="S774" t="str">
            <v>에필로그</v>
          </cell>
        </row>
        <row r="775">
          <cell r="R775" t="str">
            <v>최재봉</v>
          </cell>
          <cell r="S775" t="str">
            <v>에필로그</v>
          </cell>
        </row>
        <row r="776">
          <cell r="R776" t="str">
            <v>최재봉</v>
          </cell>
          <cell r="S776" t="str">
            <v>에필로그</v>
          </cell>
        </row>
        <row r="777">
          <cell r="R777" t="str">
            <v>최재봉</v>
          </cell>
          <cell r="S777" t="str">
            <v>에필로그</v>
          </cell>
        </row>
        <row r="778">
          <cell r="R778" t="str">
            <v>최재봉</v>
          </cell>
          <cell r="S778" t="str">
            <v>에필로그</v>
          </cell>
        </row>
        <row r="779">
          <cell r="R779" t="str">
            <v>최재봉</v>
          </cell>
          <cell r="S779" t="str">
            <v>에필로그</v>
          </cell>
        </row>
        <row r="780">
          <cell r="R780" t="str">
            <v>최재봉</v>
          </cell>
          <cell r="S780" t="str">
            <v>에필로그</v>
          </cell>
        </row>
        <row r="781">
          <cell r="R781" t="str">
            <v>최재봉</v>
          </cell>
          <cell r="S781" t="str">
            <v>에필로그</v>
          </cell>
        </row>
        <row r="782">
          <cell r="R782" t="str">
            <v>최재봉</v>
          </cell>
          <cell r="S782" t="str">
            <v>에필로그</v>
          </cell>
        </row>
        <row r="783">
          <cell r="R783" t="str">
            <v>최재봉</v>
          </cell>
          <cell r="S783" t="str">
            <v>에필로그</v>
          </cell>
        </row>
        <row r="784">
          <cell r="R784" t="str">
            <v>최재봉</v>
          </cell>
          <cell r="S784" t="str">
            <v>에필로그</v>
          </cell>
        </row>
        <row r="785">
          <cell r="R785" t="str">
            <v>최재봉</v>
          </cell>
          <cell r="S785" t="str">
            <v>에필로그</v>
          </cell>
        </row>
        <row r="786">
          <cell r="R786" t="str">
            <v>최재봉</v>
          </cell>
          <cell r="S786" t="str">
            <v>에필로그</v>
          </cell>
        </row>
        <row r="787">
          <cell r="R787" t="str">
            <v>최재봉</v>
          </cell>
          <cell r="S787" t="str">
            <v>에필로그</v>
          </cell>
        </row>
        <row r="788">
          <cell r="R788" t="str">
            <v>최재봉</v>
          </cell>
          <cell r="S788" t="str">
            <v>에필로그</v>
          </cell>
        </row>
        <row r="789">
          <cell r="R789" t="str">
            <v>최재봉</v>
          </cell>
          <cell r="S789" t="str">
            <v>에필로그</v>
          </cell>
        </row>
        <row r="790">
          <cell r="R790" t="str">
            <v>최재봉</v>
          </cell>
          <cell r="S790" t="str">
            <v>에필로그</v>
          </cell>
        </row>
        <row r="791">
          <cell r="R791" t="str">
            <v>최재봉</v>
          </cell>
          <cell r="S791" t="str">
            <v>에필로그</v>
          </cell>
        </row>
        <row r="792">
          <cell r="R792" t="str">
            <v>최재봉</v>
          </cell>
          <cell r="S792" t="str">
            <v>에필로그</v>
          </cell>
        </row>
        <row r="793">
          <cell r="R793" t="str">
            <v>최재봉</v>
          </cell>
          <cell r="S793" t="str">
            <v>에필로그</v>
          </cell>
        </row>
        <row r="794">
          <cell r="R794" t="str">
            <v>최재봉</v>
          </cell>
          <cell r="S794" t="str">
            <v>에필로그</v>
          </cell>
        </row>
        <row r="795">
          <cell r="R795" t="str">
            <v>최재봉</v>
          </cell>
          <cell r="S795" t="str">
            <v>에필로그</v>
          </cell>
        </row>
        <row r="796">
          <cell r="R796" t="str">
            <v>최재봉</v>
          </cell>
          <cell r="S796" t="str">
            <v>에필로그</v>
          </cell>
        </row>
        <row r="797">
          <cell r="R797" t="str">
            <v>최재봉</v>
          </cell>
          <cell r="S797" t="str">
            <v>에필로그</v>
          </cell>
        </row>
        <row r="798">
          <cell r="R798" t="str">
            <v>최재봉</v>
          </cell>
          <cell r="S798" t="str">
            <v>에필로그</v>
          </cell>
        </row>
        <row r="799">
          <cell r="R799" t="str">
            <v>최재봉</v>
          </cell>
          <cell r="S799" t="str">
            <v>에필로그</v>
          </cell>
        </row>
        <row r="800">
          <cell r="R800" t="str">
            <v>최재봉</v>
          </cell>
          <cell r="S800" t="str">
            <v>에필로그</v>
          </cell>
        </row>
        <row r="801">
          <cell r="R801" t="str">
            <v>최재봉</v>
          </cell>
          <cell r="S801" t="str">
            <v>에필로그</v>
          </cell>
        </row>
        <row r="802">
          <cell r="R802" t="str">
            <v>최재봉</v>
          </cell>
          <cell r="S802" t="str">
            <v>에필로그</v>
          </cell>
        </row>
        <row r="803">
          <cell r="R803" t="str">
            <v>최재봉</v>
          </cell>
          <cell r="S803" t="str">
            <v>에필로그</v>
          </cell>
        </row>
        <row r="804">
          <cell r="R804" t="str">
            <v>최재봉</v>
          </cell>
          <cell r="S804" t="str">
            <v>에필로그</v>
          </cell>
        </row>
        <row r="805">
          <cell r="R805" t="str">
            <v>최재봉</v>
          </cell>
          <cell r="S805" t="str">
            <v>에필로그</v>
          </cell>
        </row>
        <row r="806">
          <cell r="R806" t="str">
            <v>최재봉</v>
          </cell>
          <cell r="S806" t="str">
            <v>에필로그</v>
          </cell>
        </row>
        <row r="807">
          <cell r="R807" t="str">
            <v>최재봉</v>
          </cell>
          <cell r="S807" t="str">
            <v>에필로그</v>
          </cell>
        </row>
        <row r="808">
          <cell r="R808" t="str">
            <v>최재봉</v>
          </cell>
          <cell r="S808" t="str">
            <v>에필로그</v>
          </cell>
        </row>
        <row r="809">
          <cell r="R809" t="str">
            <v>최재봉</v>
          </cell>
          <cell r="S809" t="str">
            <v>에필로그</v>
          </cell>
        </row>
        <row r="810">
          <cell r="R810" t="str">
            <v>최재봉</v>
          </cell>
          <cell r="S810" t="str">
            <v>에필로그</v>
          </cell>
        </row>
        <row r="811">
          <cell r="R811" t="str">
            <v>최재봉</v>
          </cell>
          <cell r="S811" t="str">
            <v>에필로그</v>
          </cell>
        </row>
        <row r="812">
          <cell r="R812" t="str">
            <v>최재봉</v>
          </cell>
          <cell r="S812" t="str">
            <v>에필로그</v>
          </cell>
        </row>
        <row r="813">
          <cell r="R813" t="str">
            <v>최재봉</v>
          </cell>
          <cell r="S813" t="str">
            <v>에필로그</v>
          </cell>
        </row>
        <row r="814">
          <cell r="R814" t="str">
            <v>최재봉</v>
          </cell>
          <cell r="S814" t="str">
            <v>에필로그</v>
          </cell>
        </row>
        <row r="815">
          <cell r="R815" t="str">
            <v>최재봉</v>
          </cell>
          <cell r="S815" t="str">
            <v>에필로그</v>
          </cell>
        </row>
        <row r="816">
          <cell r="R816" t="str">
            <v>최재봉</v>
          </cell>
          <cell r="S816" t="str">
            <v>에필로그</v>
          </cell>
        </row>
        <row r="817">
          <cell r="R817" t="str">
            <v>최재봉</v>
          </cell>
          <cell r="S817" t="str">
            <v>에필로그</v>
          </cell>
        </row>
        <row r="818">
          <cell r="R818" t="str">
            <v>카나슈</v>
          </cell>
          <cell r="S818" t="str">
            <v>더컴퍼니</v>
          </cell>
        </row>
        <row r="819">
          <cell r="R819" t="str">
            <v>카나슈</v>
          </cell>
          <cell r="S819" t="str">
            <v>더컴퍼니</v>
          </cell>
        </row>
        <row r="820">
          <cell r="R820" t="str">
            <v>카나슈</v>
          </cell>
          <cell r="S820" t="str">
            <v>더컴퍼니</v>
          </cell>
        </row>
        <row r="821">
          <cell r="R821" t="str">
            <v>카나슈</v>
          </cell>
          <cell r="S821" t="str">
            <v>더컴퍼니</v>
          </cell>
        </row>
        <row r="822">
          <cell r="R822" t="str">
            <v>카에트</v>
          </cell>
          <cell r="S822" t="str">
            <v>더컴퍼니</v>
          </cell>
        </row>
        <row r="823">
          <cell r="R823" t="str">
            <v>카에트</v>
          </cell>
          <cell r="S823" t="str">
            <v>더컴퍼니</v>
          </cell>
        </row>
        <row r="824">
          <cell r="R824" t="str">
            <v>쿠노Kuno</v>
          </cell>
          <cell r="S824" t="str">
            <v>더컴퍼니</v>
          </cell>
        </row>
        <row r="825">
          <cell r="R825" t="str">
            <v>쿠노Kuno</v>
          </cell>
          <cell r="S825" t="str">
            <v>더컴퍼니</v>
          </cell>
        </row>
        <row r="826">
          <cell r="R826" t="str">
            <v>키도</v>
          </cell>
          <cell r="S826" t="str">
            <v>더컴퍼니</v>
          </cell>
        </row>
        <row r="827">
          <cell r="R827" t="str">
            <v>키도</v>
          </cell>
          <cell r="S827" t="str">
            <v>더컴퍼니</v>
          </cell>
        </row>
        <row r="828">
          <cell r="R828" t="str">
            <v>키도</v>
          </cell>
          <cell r="S828" t="str">
            <v>더컴퍼니</v>
          </cell>
        </row>
        <row r="829">
          <cell r="R829" t="str">
            <v>키도</v>
          </cell>
          <cell r="S829" t="str">
            <v>더컴퍼니</v>
          </cell>
        </row>
        <row r="830">
          <cell r="R830" t="str">
            <v>키도</v>
          </cell>
          <cell r="S830" t="str">
            <v>더컴퍼니</v>
          </cell>
        </row>
        <row r="831">
          <cell r="R831" t="str">
            <v>키도</v>
          </cell>
          <cell r="S831" t="str">
            <v>더컴퍼니</v>
          </cell>
        </row>
        <row r="832">
          <cell r="R832" t="str">
            <v>키도</v>
          </cell>
          <cell r="S832" t="str">
            <v>더컴퍼니</v>
          </cell>
        </row>
        <row r="833">
          <cell r="R833" t="str">
            <v>키도</v>
          </cell>
          <cell r="S833" t="str">
            <v>더컴퍼니</v>
          </cell>
        </row>
        <row r="834">
          <cell r="R834" t="str">
            <v>키도</v>
          </cell>
          <cell r="S834" t="str">
            <v>더컴퍼니</v>
          </cell>
        </row>
        <row r="835">
          <cell r="R835" t="str">
            <v>키도</v>
          </cell>
          <cell r="S835" t="str">
            <v>더컴퍼니</v>
          </cell>
        </row>
        <row r="836">
          <cell r="R836" t="str">
            <v>키도</v>
          </cell>
          <cell r="S836" t="str">
            <v>더컴퍼니</v>
          </cell>
        </row>
        <row r="837">
          <cell r="R837" t="str">
            <v>키도</v>
          </cell>
          <cell r="S837" t="str">
            <v>더컴퍼니</v>
          </cell>
        </row>
        <row r="838">
          <cell r="R838" t="str">
            <v>키도</v>
          </cell>
          <cell r="S838" t="str">
            <v>더컴퍼니</v>
          </cell>
        </row>
        <row r="839">
          <cell r="R839" t="str">
            <v>키도</v>
          </cell>
          <cell r="S839" t="str">
            <v>더컴퍼니</v>
          </cell>
        </row>
        <row r="840">
          <cell r="R840" t="str">
            <v>키도</v>
          </cell>
          <cell r="S840" t="str">
            <v>더컴퍼니</v>
          </cell>
        </row>
        <row r="841">
          <cell r="R841" t="str">
            <v>키도</v>
          </cell>
          <cell r="S841" t="str">
            <v>더컴퍼니</v>
          </cell>
        </row>
        <row r="842">
          <cell r="R842" t="str">
            <v>키도</v>
          </cell>
          <cell r="S842" t="str">
            <v>더컴퍼니</v>
          </cell>
        </row>
        <row r="843">
          <cell r="R843" t="str">
            <v>키도</v>
          </cell>
          <cell r="S843" t="str">
            <v>더컴퍼니</v>
          </cell>
        </row>
        <row r="844">
          <cell r="R844" t="str">
            <v>키도</v>
          </cell>
          <cell r="S844" t="str">
            <v>더컴퍼니</v>
          </cell>
        </row>
        <row r="845">
          <cell r="R845" t="str">
            <v>키도</v>
          </cell>
          <cell r="S845" t="str">
            <v>더컴퍼니</v>
          </cell>
        </row>
        <row r="846">
          <cell r="R846" t="str">
            <v>키도</v>
          </cell>
          <cell r="S846" t="str">
            <v>더컴퍼니</v>
          </cell>
        </row>
        <row r="847">
          <cell r="R847" t="str">
            <v>키도</v>
          </cell>
          <cell r="S847" t="str">
            <v>더컴퍼니</v>
          </cell>
        </row>
        <row r="848">
          <cell r="R848" t="str">
            <v>키도</v>
          </cell>
          <cell r="S848" t="str">
            <v>더컴퍼니</v>
          </cell>
        </row>
        <row r="849">
          <cell r="R849" t="str">
            <v>키도</v>
          </cell>
          <cell r="S849" t="str">
            <v>더컴퍼니</v>
          </cell>
        </row>
        <row r="850">
          <cell r="R850" t="str">
            <v>키도</v>
          </cell>
          <cell r="S850" t="str">
            <v>더컴퍼니</v>
          </cell>
        </row>
        <row r="851">
          <cell r="R851" t="str">
            <v>키도</v>
          </cell>
          <cell r="S851" t="str">
            <v>더컴퍼니</v>
          </cell>
        </row>
        <row r="852">
          <cell r="R852" t="str">
            <v>키도</v>
          </cell>
          <cell r="S852" t="str">
            <v>더컴퍼니</v>
          </cell>
        </row>
        <row r="853">
          <cell r="R853" t="str">
            <v>키도</v>
          </cell>
          <cell r="S853" t="str">
            <v>더컴퍼니</v>
          </cell>
        </row>
        <row r="854">
          <cell r="R854" t="str">
            <v>키도</v>
          </cell>
          <cell r="S854" t="str">
            <v>더컴퍼니</v>
          </cell>
        </row>
        <row r="855">
          <cell r="R855" t="str">
            <v>키도</v>
          </cell>
          <cell r="S855" t="str">
            <v>더컴퍼니</v>
          </cell>
        </row>
        <row r="856">
          <cell r="R856" t="str">
            <v>키도</v>
          </cell>
          <cell r="S856" t="str">
            <v>더컴퍼니</v>
          </cell>
        </row>
        <row r="857">
          <cell r="R857" t="str">
            <v>키도</v>
          </cell>
          <cell r="S857" t="str">
            <v>더컴퍼니</v>
          </cell>
        </row>
        <row r="858">
          <cell r="R858" t="str">
            <v>키도</v>
          </cell>
          <cell r="S858" t="str">
            <v>더컴퍼니</v>
          </cell>
        </row>
        <row r="859">
          <cell r="R859" t="str">
            <v>키도</v>
          </cell>
          <cell r="S859" t="str">
            <v>더컴퍼니</v>
          </cell>
        </row>
        <row r="860">
          <cell r="R860" t="str">
            <v>키도</v>
          </cell>
          <cell r="S860" t="str">
            <v>더컴퍼니</v>
          </cell>
        </row>
        <row r="861">
          <cell r="R861" t="str">
            <v>키도</v>
          </cell>
          <cell r="S861" t="str">
            <v>더컴퍼니</v>
          </cell>
        </row>
        <row r="862">
          <cell r="R862" t="str">
            <v>키도</v>
          </cell>
          <cell r="S862" t="str">
            <v>더컴퍼니</v>
          </cell>
        </row>
        <row r="863">
          <cell r="R863" t="str">
            <v>키도</v>
          </cell>
          <cell r="S863" t="str">
            <v>더컴퍼니</v>
          </cell>
        </row>
        <row r="864">
          <cell r="R864" t="str">
            <v>키도</v>
          </cell>
          <cell r="S864" t="str">
            <v>더컴퍼니</v>
          </cell>
        </row>
        <row r="865">
          <cell r="R865" t="str">
            <v>키도</v>
          </cell>
          <cell r="S865" t="str">
            <v>더컴퍼니</v>
          </cell>
        </row>
        <row r="866">
          <cell r="R866" t="str">
            <v>키도</v>
          </cell>
          <cell r="S866" t="str">
            <v>더컴퍼니</v>
          </cell>
        </row>
        <row r="867">
          <cell r="R867" t="str">
            <v>키도</v>
          </cell>
          <cell r="S867" t="str">
            <v>더컴퍼니</v>
          </cell>
        </row>
        <row r="868">
          <cell r="R868" t="str">
            <v>키도</v>
          </cell>
          <cell r="S868" t="str">
            <v>더컴퍼니</v>
          </cell>
        </row>
        <row r="869">
          <cell r="R869" t="str">
            <v>키도</v>
          </cell>
          <cell r="S869" t="str">
            <v>더컴퍼니</v>
          </cell>
        </row>
        <row r="870">
          <cell r="R870" t="str">
            <v>키도</v>
          </cell>
          <cell r="S870" t="str">
            <v>더컴퍼니</v>
          </cell>
        </row>
        <row r="871">
          <cell r="R871" t="str">
            <v>키도</v>
          </cell>
          <cell r="S871" t="str">
            <v>더컴퍼니</v>
          </cell>
        </row>
        <row r="872">
          <cell r="R872" t="str">
            <v>키도</v>
          </cell>
          <cell r="S872" t="str">
            <v>더컴퍼니</v>
          </cell>
        </row>
        <row r="873">
          <cell r="R873" t="str">
            <v>泰龍</v>
          </cell>
          <cell r="S873" t="str">
            <v>더컴퍼니</v>
          </cell>
        </row>
        <row r="874">
          <cell r="R874" t="str">
            <v>토돌</v>
          </cell>
          <cell r="S874" t="str">
            <v>아크스튜디오</v>
          </cell>
        </row>
        <row r="875">
          <cell r="R875" t="str">
            <v>토돌</v>
          </cell>
          <cell r="S875" t="str">
            <v>아크스튜디오</v>
          </cell>
        </row>
        <row r="876">
          <cell r="R876" t="str">
            <v>토돌</v>
          </cell>
          <cell r="S876" t="str">
            <v>아크스튜디오</v>
          </cell>
        </row>
        <row r="877">
          <cell r="R877" t="str">
            <v>투즈</v>
          </cell>
          <cell r="S877" t="str">
            <v>더컴퍼니</v>
          </cell>
        </row>
        <row r="878">
          <cell r="R878" t="str">
            <v>투즈</v>
          </cell>
          <cell r="S878" t="str">
            <v>더컴퍼니</v>
          </cell>
        </row>
        <row r="879">
          <cell r="R879" t="str">
            <v>투즈</v>
          </cell>
          <cell r="S879" t="str">
            <v>더컴퍼니</v>
          </cell>
        </row>
        <row r="880">
          <cell r="R880" t="str">
            <v>투즈</v>
          </cell>
          <cell r="S880" t="str">
            <v>더컴퍼니</v>
          </cell>
        </row>
        <row r="881">
          <cell r="R881" t="str">
            <v>파르소</v>
          </cell>
          <cell r="S881" t="str">
            <v>더컴퍼니</v>
          </cell>
        </row>
        <row r="882">
          <cell r="R882" t="str">
            <v>파르소</v>
          </cell>
          <cell r="S882" t="str">
            <v>더컴퍼니</v>
          </cell>
        </row>
        <row r="883">
          <cell r="R883" t="str">
            <v>파르소</v>
          </cell>
          <cell r="S883" t="str">
            <v>더컴퍼니</v>
          </cell>
        </row>
        <row r="884">
          <cell r="R884" t="str">
            <v>파르소</v>
          </cell>
          <cell r="S884" t="str">
            <v>더컴퍼니</v>
          </cell>
        </row>
        <row r="885">
          <cell r="R885" t="str">
            <v>파씨</v>
          </cell>
          <cell r="S885" t="str">
            <v>더컴퍼니</v>
          </cell>
        </row>
        <row r="886">
          <cell r="R886" t="str">
            <v>파씨</v>
          </cell>
          <cell r="S886" t="str">
            <v>더컴퍼니</v>
          </cell>
        </row>
        <row r="887">
          <cell r="R887" t="str">
            <v>파씨</v>
          </cell>
          <cell r="S887" t="str">
            <v>더컴퍼니</v>
          </cell>
        </row>
        <row r="888">
          <cell r="R888" t="str">
            <v>파씨</v>
          </cell>
          <cell r="S888" t="str">
            <v>더컴퍼니</v>
          </cell>
        </row>
        <row r="889">
          <cell r="R889" t="str">
            <v>파씨</v>
          </cell>
          <cell r="S889" t="str">
            <v>더컴퍼니</v>
          </cell>
        </row>
        <row r="890">
          <cell r="R890" t="str">
            <v>파씨</v>
          </cell>
          <cell r="S890" t="str">
            <v>더컴퍼니</v>
          </cell>
        </row>
        <row r="891">
          <cell r="R891" t="str">
            <v>플이</v>
          </cell>
          <cell r="S891" t="str">
            <v>더컴퍼니</v>
          </cell>
        </row>
        <row r="892">
          <cell r="R892" t="str">
            <v>플이</v>
          </cell>
          <cell r="S892" t="str">
            <v>더컴퍼니</v>
          </cell>
        </row>
        <row r="893">
          <cell r="R893" t="str">
            <v>피모</v>
          </cell>
          <cell r="S893" t="str">
            <v>더컴퍼니</v>
          </cell>
        </row>
        <row r="894">
          <cell r="R894" t="str">
            <v>피모</v>
          </cell>
          <cell r="S894" t="str">
            <v>더컴퍼니</v>
          </cell>
        </row>
        <row r="895">
          <cell r="R895" t="str">
            <v>피모</v>
          </cell>
          <cell r="S895" t="str">
            <v>더컴퍼니</v>
          </cell>
        </row>
        <row r="896">
          <cell r="R896" t="str">
            <v>피모</v>
          </cell>
          <cell r="S896" t="str">
            <v>더컴퍼니</v>
          </cell>
        </row>
        <row r="897">
          <cell r="R897" t="str">
            <v>피모</v>
          </cell>
          <cell r="S897" t="str">
            <v>더컴퍼니</v>
          </cell>
        </row>
        <row r="898">
          <cell r="R898" t="str">
            <v>피모</v>
          </cell>
          <cell r="S898" t="str">
            <v>더컴퍼니</v>
          </cell>
        </row>
        <row r="899">
          <cell r="R899" t="str">
            <v>피모</v>
          </cell>
          <cell r="S899" t="str">
            <v>더컴퍼니</v>
          </cell>
        </row>
        <row r="900">
          <cell r="R900" t="str">
            <v>피모</v>
          </cell>
          <cell r="S900" t="str">
            <v>더컴퍼니</v>
          </cell>
        </row>
        <row r="901">
          <cell r="R901" t="str">
            <v>피모</v>
          </cell>
          <cell r="S901" t="str">
            <v>더컴퍼니</v>
          </cell>
        </row>
        <row r="902">
          <cell r="R902" t="str">
            <v>피모</v>
          </cell>
          <cell r="S902" t="str">
            <v>더컴퍼니</v>
          </cell>
        </row>
        <row r="903">
          <cell r="R903" t="str">
            <v>피모</v>
          </cell>
          <cell r="S903" t="str">
            <v>더컴퍼니</v>
          </cell>
        </row>
        <row r="904">
          <cell r="R904" t="str">
            <v>피모</v>
          </cell>
          <cell r="S904" t="str">
            <v>더컴퍼니</v>
          </cell>
        </row>
        <row r="905">
          <cell r="R905" t="str">
            <v>피모</v>
          </cell>
          <cell r="S905" t="str">
            <v>더컴퍼니</v>
          </cell>
        </row>
        <row r="906">
          <cell r="R906" t="str">
            <v>피모</v>
          </cell>
          <cell r="S906" t="str">
            <v>더컴퍼니</v>
          </cell>
        </row>
        <row r="907">
          <cell r="R907" t="str">
            <v>피모</v>
          </cell>
          <cell r="S907" t="str">
            <v>더컴퍼니</v>
          </cell>
        </row>
        <row r="908">
          <cell r="R908" t="str">
            <v>피모</v>
          </cell>
          <cell r="S908" t="str">
            <v>더컴퍼니</v>
          </cell>
        </row>
        <row r="909">
          <cell r="R909" t="str">
            <v>피모</v>
          </cell>
          <cell r="S909" t="str">
            <v>더컴퍼니</v>
          </cell>
        </row>
        <row r="910">
          <cell r="R910" t="str">
            <v>피모</v>
          </cell>
          <cell r="S910" t="str">
            <v>더컴퍼니</v>
          </cell>
        </row>
        <row r="911">
          <cell r="R911" t="str">
            <v>피모</v>
          </cell>
          <cell r="S911" t="str">
            <v>더컴퍼니</v>
          </cell>
        </row>
        <row r="912">
          <cell r="R912" t="str">
            <v>피모</v>
          </cell>
          <cell r="S912" t="str">
            <v>더컴퍼니</v>
          </cell>
        </row>
        <row r="913">
          <cell r="R913" t="str">
            <v>하나린</v>
          </cell>
          <cell r="S913" t="str">
            <v>더컴퍼니</v>
          </cell>
        </row>
        <row r="914">
          <cell r="R914" t="str">
            <v>하나린</v>
          </cell>
          <cell r="S914" t="str">
            <v>더컴퍼니</v>
          </cell>
        </row>
        <row r="915">
          <cell r="R915" t="str">
            <v>하나린</v>
          </cell>
          <cell r="S915" t="str">
            <v>더컴퍼니</v>
          </cell>
        </row>
        <row r="916">
          <cell r="R916" t="str">
            <v>하나린</v>
          </cell>
          <cell r="S916" t="str">
            <v>더컴퍼니</v>
          </cell>
        </row>
        <row r="917">
          <cell r="R917" t="str">
            <v>하나린</v>
          </cell>
          <cell r="S917" t="str">
            <v>더컴퍼니</v>
          </cell>
        </row>
        <row r="918">
          <cell r="R918" t="str">
            <v>하바수</v>
          </cell>
          <cell r="S918" t="str">
            <v>더컴퍼니</v>
          </cell>
        </row>
        <row r="919">
          <cell r="R919" t="str">
            <v>하바수</v>
          </cell>
          <cell r="S919" t="str">
            <v>더컴퍼니</v>
          </cell>
        </row>
        <row r="920">
          <cell r="R920" t="str">
            <v>하바수</v>
          </cell>
          <cell r="S920" t="str">
            <v>더컴퍼니</v>
          </cell>
        </row>
        <row r="921">
          <cell r="R921" t="str">
            <v>하바수</v>
          </cell>
          <cell r="S921" t="str">
            <v>더컴퍼니</v>
          </cell>
        </row>
        <row r="922">
          <cell r="R922" t="str">
            <v>하바수</v>
          </cell>
          <cell r="S922" t="str">
            <v>더컴퍼니</v>
          </cell>
        </row>
        <row r="923">
          <cell r="R923" t="str">
            <v>하바수</v>
          </cell>
          <cell r="S923" t="str">
            <v>더컴퍼니</v>
          </cell>
        </row>
        <row r="924">
          <cell r="R924" t="str">
            <v>하지</v>
          </cell>
          <cell r="S924" t="str">
            <v>더컴퍼니</v>
          </cell>
        </row>
        <row r="925">
          <cell r="R925" t="str">
            <v>하지</v>
          </cell>
          <cell r="S925" t="str">
            <v>더컴퍼니</v>
          </cell>
        </row>
        <row r="926">
          <cell r="R926" t="str">
            <v>하지</v>
          </cell>
          <cell r="S926" t="str">
            <v>더컴퍼니</v>
          </cell>
        </row>
        <row r="927">
          <cell r="R927" t="str">
            <v>하지</v>
          </cell>
          <cell r="S927" t="str">
            <v>더컴퍼니</v>
          </cell>
        </row>
        <row r="928">
          <cell r="R928" t="str">
            <v>하지</v>
          </cell>
          <cell r="S928" t="str">
            <v>더컴퍼니</v>
          </cell>
        </row>
        <row r="929">
          <cell r="R929" t="str">
            <v>하지</v>
          </cell>
          <cell r="S929" t="str">
            <v>더컴퍼니</v>
          </cell>
        </row>
        <row r="930">
          <cell r="R930" t="str">
            <v>하지</v>
          </cell>
          <cell r="S930" t="str">
            <v>더컴퍼니</v>
          </cell>
        </row>
        <row r="931">
          <cell r="R931" t="str">
            <v>하지</v>
          </cell>
          <cell r="S931" t="str">
            <v>더컴퍼니</v>
          </cell>
        </row>
        <row r="932">
          <cell r="R932" t="str">
            <v>한슬</v>
          </cell>
          <cell r="S932" t="str">
            <v>더컴퍼니</v>
          </cell>
        </row>
        <row r="933">
          <cell r="R933" t="str">
            <v>한슬</v>
          </cell>
          <cell r="S933" t="str">
            <v>더컴퍼니</v>
          </cell>
        </row>
        <row r="934">
          <cell r="R934" t="str">
            <v>한슬</v>
          </cell>
          <cell r="S934" t="str">
            <v>더컴퍼니</v>
          </cell>
        </row>
        <row r="935">
          <cell r="R935" t="str">
            <v>한슬</v>
          </cell>
          <cell r="S935" t="str">
            <v>더컴퍼니</v>
          </cell>
        </row>
        <row r="936">
          <cell r="R936" t="str">
            <v>한슬</v>
          </cell>
          <cell r="S936" t="str">
            <v>더컴퍼니</v>
          </cell>
        </row>
        <row r="937">
          <cell r="R937" t="str">
            <v>한슬</v>
          </cell>
          <cell r="S937" t="str">
            <v>더컴퍼니</v>
          </cell>
        </row>
        <row r="938">
          <cell r="R938" t="str">
            <v>한슬</v>
          </cell>
          <cell r="S938" t="str">
            <v>더컴퍼니</v>
          </cell>
        </row>
        <row r="939">
          <cell r="R939" t="str">
            <v>한슬</v>
          </cell>
          <cell r="S939" t="str">
            <v>더컴퍼니</v>
          </cell>
        </row>
        <row r="940">
          <cell r="R940" t="str">
            <v>한슬</v>
          </cell>
          <cell r="S940" t="str">
            <v>더컴퍼니</v>
          </cell>
        </row>
        <row r="941">
          <cell r="R941" t="str">
            <v>한슬</v>
          </cell>
          <cell r="S941" t="str">
            <v>더컴퍼니</v>
          </cell>
        </row>
        <row r="942">
          <cell r="R942" t="str">
            <v>한슬</v>
          </cell>
          <cell r="S942" t="str">
            <v>더컴퍼니</v>
          </cell>
        </row>
        <row r="943">
          <cell r="R943" t="str">
            <v>한슬</v>
          </cell>
          <cell r="S943" t="str">
            <v>더컴퍼니</v>
          </cell>
        </row>
        <row r="944">
          <cell r="R944" t="str">
            <v>한슬</v>
          </cell>
          <cell r="S944" t="str">
            <v>더컴퍼니</v>
          </cell>
        </row>
        <row r="945">
          <cell r="R945" t="str">
            <v>한슬</v>
          </cell>
          <cell r="S945" t="str">
            <v>더컴퍼니</v>
          </cell>
        </row>
        <row r="946">
          <cell r="R946" t="str">
            <v>한슬</v>
          </cell>
          <cell r="S946" t="str">
            <v>더컴퍼니</v>
          </cell>
        </row>
        <row r="947">
          <cell r="R947" t="str">
            <v>한슬</v>
          </cell>
          <cell r="S947" t="str">
            <v>더컴퍼니</v>
          </cell>
        </row>
        <row r="948">
          <cell r="R948" t="str">
            <v>한슬</v>
          </cell>
          <cell r="S948" t="str">
            <v>더컴퍼니</v>
          </cell>
        </row>
        <row r="949">
          <cell r="R949" t="str">
            <v>한슬</v>
          </cell>
          <cell r="S949" t="str">
            <v>더컴퍼니</v>
          </cell>
        </row>
        <row r="950">
          <cell r="R950" t="str">
            <v>한슬</v>
          </cell>
          <cell r="S950" t="str">
            <v>더컴퍼니</v>
          </cell>
        </row>
        <row r="951">
          <cell r="R951" t="str">
            <v>한슬</v>
          </cell>
          <cell r="S951" t="str">
            <v>더컴퍼니</v>
          </cell>
        </row>
        <row r="952">
          <cell r="R952" t="str">
            <v>해양정원</v>
          </cell>
          <cell r="S952" t="str">
            <v>더컴퍼니</v>
          </cell>
        </row>
        <row r="953">
          <cell r="R953" t="str">
            <v>해양정원</v>
          </cell>
          <cell r="S953" t="str">
            <v>더컴퍼니</v>
          </cell>
        </row>
        <row r="954">
          <cell r="R954" t="str">
            <v>해양정원</v>
          </cell>
          <cell r="S954" t="str">
            <v>더컴퍼니</v>
          </cell>
        </row>
        <row r="955">
          <cell r="R955" t="str">
            <v>해양정원</v>
          </cell>
          <cell r="S955" t="str">
            <v>더컴퍼니</v>
          </cell>
        </row>
        <row r="956">
          <cell r="R956" t="str">
            <v>해양정원</v>
          </cell>
          <cell r="S956" t="str">
            <v>더컴퍼니</v>
          </cell>
        </row>
        <row r="957">
          <cell r="R957" t="str">
            <v>협행마</v>
          </cell>
          <cell r="S957" t="str">
            <v>에필로그</v>
          </cell>
        </row>
        <row r="958">
          <cell r="R958" t="str">
            <v>협행마</v>
          </cell>
          <cell r="S958" t="str">
            <v>에필로그</v>
          </cell>
        </row>
        <row r="959">
          <cell r="R959" t="str">
            <v>협행마</v>
          </cell>
          <cell r="S959" t="str">
            <v>에필로그</v>
          </cell>
        </row>
        <row r="960">
          <cell r="R960" t="str">
            <v>협행마</v>
          </cell>
          <cell r="S960" t="str">
            <v>에필로그</v>
          </cell>
        </row>
        <row r="961">
          <cell r="R961" t="str">
            <v>협행마</v>
          </cell>
          <cell r="S961" t="str">
            <v>에필로그</v>
          </cell>
        </row>
        <row r="962">
          <cell r="R962" t="str">
            <v>협행마</v>
          </cell>
          <cell r="S962" t="str">
            <v>에필로그</v>
          </cell>
        </row>
        <row r="963">
          <cell r="R963" t="str">
            <v>협행마</v>
          </cell>
          <cell r="S963" t="str">
            <v>에필로그</v>
          </cell>
        </row>
        <row r="964">
          <cell r="R964" t="str">
            <v>협행마</v>
          </cell>
          <cell r="S964" t="str">
            <v>에필로그</v>
          </cell>
        </row>
        <row r="965">
          <cell r="R965" t="str">
            <v>협행마</v>
          </cell>
          <cell r="S965" t="str">
            <v>에필로그</v>
          </cell>
        </row>
        <row r="966">
          <cell r="R966" t="str">
            <v>협행마</v>
          </cell>
          <cell r="S966" t="str">
            <v>에필로그</v>
          </cell>
        </row>
        <row r="967">
          <cell r="R967" t="str">
            <v>협행마</v>
          </cell>
          <cell r="S967" t="str">
            <v>에필로그</v>
          </cell>
        </row>
        <row r="968">
          <cell r="R968" t="str">
            <v>협행마</v>
          </cell>
          <cell r="S968" t="str">
            <v>에필로그</v>
          </cell>
        </row>
        <row r="969">
          <cell r="R969" t="str">
            <v>협행마</v>
          </cell>
          <cell r="S969" t="str">
            <v>에필로그</v>
          </cell>
        </row>
        <row r="970">
          <cell r="R970" t="str">
            <v>협행마</v>
          </cell>
          <cell r="S970" t="str">
            <v>에필로그</v>
          </cell>
        </row>
        <row r="971">
          <cell r="R971" t="str">
            <v>협행마</v>
          </cell>
          <cell r="S971" t="str">
            <v>에필로그</v>
          </cell>
        </row>
        <row r="972">
          <cell r="R972" t="str">
            <v>협행마</v>
          </cell>
          <cell r="S972" t="str">
            <v>에필로그</v>
          </cell>
        </row>
        <row r="973">
          <cell r="R973" t="str">
            <v>협행마</v>
          </cell>
          <cell r="S973" t="str">
            <v>에필로그</v>
          </cell>
        </row>
        <row r="974">
          <cell r="R974" t="str">
            <v>협행마</v>
          </cell>
          <cell r="S974" t="str">
            <v>에필로그</v>
          </cell>
        </row>
        <row r="975">
          <cell r="R975" t="str">
            <v>협행마</v>
          </cell>
          <cell r="S975" t="str">
            <v>에필로그</v>
          </cell>
        </row>
        <row r="976">
          <cell r="R976" t="str">
            <v>협행마</v>
          </cell>
          <cell r="S976" t="str">
            <v>에필로그</v>
          </cell>
        </row>
        <row r="977">
          <cell r="R977" t="str">
            <v>협행마</v>
          </cell>
          <cell r="S977" t="str">
            <v>에필로그</v>
          </cell>
        </row>
        <row r="978">
          <cell r="R978" t="str">
            <v>협행마</v>
          </cell>
          <cell r="S978" t="str">
            <v>에필로그</v>
          </cell>
        </row>
        <row r="979">
          <cell r="R979" t="str">
            <v>협행마</v>
          </cell>
          <cell r="S979" t="str">
            <v>에필로그</v>
          </cell>
        </row>
        <row r="980">
          <cell r="R980" t="str">
            <v>협행마</v>
          </cell>
          <cell r="S980" t="str">
            <v>에필로그</v>
          </cell>
        </row>
        <row r="981">
          <cell r="R981" t="str">
            <v>협행마</v>
          </cell>
          <cell r="S981" t="str">
            <v>에필로그</v>
          </cell>
        </row>
        <row r="982">
          <cell r="R982" t="str">
            <v>협행마</v>
          </cell>
          <cell r="S982" t="str">
            <v>에필로그</v>
          </cell>
        </row>
        <row r="983">
          <cell r="R983" t="str">
            <v>협행마</v>
          </cell>
          <cell r="S983" t="str">
            <v>에필로그</v>
          </cell>
        </row>
        <row r="984">
          <cell r="R984" t="str">
            <v>협행마</v>
          </cell>
          <cell r="S984" t="str">
            <v>에필로그</v>
          </cell>
        </row>
        <row r="985">
          <cell r="R985" t="str">
            <v>협행마</v>
          </cell>
          <cell r="S985" t="str">
            <v>에필로그</v>
          </cell>
        </row>
        <row r="986">
          <cell r="R986" t="str">
            <v>협행마</v>
          </cell>
          <cell r="S986" t="str">
            <v>에필로그</v>
          </cell>
        </row>
        <row r="987">
          <cell r="R987" t="str">
            <v>협행마</v>
          </cell>
          <cell r="S987" t="str">
            <v>에필로그</v>
          </cell>
        </row>
        <row r="988">
          <cell r="R988" t="str">
            <v>협행마</v>
          </cell>
          <cell r="S988" t="str">
            <v>에필로그</v>
          </cell>
        </row>
        <row r="989">
          <cell r="R989" t="str">
            <v>협행마</v>
          </cell>
          <cell r="S989" t="str">
            <v>에필로그</v>
          </cell>
        </row>
        <row r="990">
          <cell r="R990" t="str">
            <v>협행마</v>
          </cell>
          <cell r="S990" t="str">
            <v>에필로그</v>
          </cell>
        </row>
        <row r="991">
          <cell r="R991" t="str">
            <v>협행마</v>
          </cell>
          <cell r="S991" t="str">
            <v>에필로그</v>
          </cell>
        </row>
        <row r="992">
          <cell r="R992" t="str">
            <v>협행마</v>
          </cell>
          <cell r="S992" t="str">
            <v>에필로그</v>
          </cell>
        </row>
        <row r="993">
          <cell r="R993" t="str">
            <v>협행마</v>
          </cell>
          <cell r="S993" t="str">
            <v>에필로그</v>
          </cell>
        </row>
        <row r="994">
          <cell r="R994" t="str">
            <v>협행마</v>
          </cell>
          <cell r="S994" t="str">
            <v>에필로그</v>
          </cell>
        </row>
        <row r="995">
          <cell r="R995" t="str">
            <v>협행마</v>
          </cell>
          <cell r="S995" t="str">
            <v>에필로그</v>
          </cell>
        </row>
        <row r="996">
          <cell r="R996" t="str">
            <v>협행마</v>
          </cell>
          <cell r="S996" t="str">
            <v>에필로그</v>
          </cell>
        </row>
        <row r="997">
          <cell r="R997" t="str">
            <v>협행마</v>
          </cell>
          <cell r="S997" t="str">
            <v>에필로그</v>
          </cell>
        </row>
        <row r="998">
          <cell r="R998" t="str">
            <v>협행마</v>
          </cell>
          <cell r="S998" t="str">
            <v>에필로그</v>
          </cell>
        </row>
        <row r="999">
          <cell r="R999" t="str">
            <v>협행마</v>
          </cell>
          <cell r="S999" t="str">
            <v>에필로그</v>
          </cell>
        </row>
        <row r="1000">
          <cell r="R1000" t="str">
            <v>협행마</v>
          </cell>
          <cell r="S1000" t="str">
            <v>에필로그</v>
          </cell>
        </row>
        <row r="1001">
          <cell r="R1001" t="str">
            <v>협행마</v>
          </cell>
          <cell r="S1001" t="str">
            <v>에필로그</v>
          </cell>
        </row>
        <row r="1002">
          <cell r="R1002" t="str">
            <v>협행마</v>
          </cell>
          <cell r="S1002" t="str">
            <v>에필로그</v>
          </cell>
        </row>
        <row r="1003">
          <cell r="R1003" t="str">
            <v>협행마</v>
          </cell>
          <cell r="S1003" t="str">
            <v>에필로그</v>
          </cell>
        </row>
        <row r="1004">
          <cell r="R1004" t="str">
            <v>협행마</v>
          </cell>
          <cell r="S1004" t="str">
            <v>에필로그</v>
          </cell>
        </row>
        <row r="1005">
          <cell r="R1005" t="str">
            <v>협행마</v>
          </cell>
          <cell r="S1005" t="str">
            <v>에필로그</v>
          </cell>
        </row>
        <row r="1006">
          <cell r="R1006" t="str">
            <v>협행마</v>
          </cell>
          <cell r="S1006" t="str">
            <v>에필로그</v>
          </cell>
        </row>
        <row r="1007">
          <cell r="R1007" t="str">
            <v>협행마</v>
          </cell>
          <cell r="S1007" t="str">
            <v>에필로그</v>
          </cell>
        </row>
        <row r="1008">
          <cell r="R1008" t="str">
            <v>협행마</v>
          </cell>
          <cell r="S1008" t="str">
            <v>에필로그</v>
          </cell>
        </row>
        <row r="1009">
          <cell r="R1009" t="str">
            <v>협행마</v>
          </cell>
          <cell r="S1009" t="str">
            <v>에필로그</v>
          </cell>
        </row>
        <row r="1010">
          <cell r="R1010" t="str">
            <v>협행마</v>
          </cell>
          <cell r="S1010" t="str">
            <v>에필로그</v>
          </cell>
        </row>
        <row r="1011">
          <cell r="R1011" t="str">
            <v>협행마</v>
          </cell>
          <cell r="S1011" t="str">
            <v>에필로그</v>
          </cell>
        </row>
        <row r="1012">
          <cell r="R1012" t="str">
            <v>협행마</v>
          </cell>
          <cell r="S1012" t="str">
            <v>에필로그</v>
          </cell>
        </row>
        <row r="1013">
          <cell r="R1013" t="str">
            <v>협행마</v>
          </cell>
          <cell r="S1013" t="str">
            <v>에필로그</v>
          </cell>
        </row>
        <row r="1014">
          <cell r="R1014" t="str">
            <v>협행마</v>
          </cell>
          <cell r="S1014" t="str">
            <v>에필로그</v>
          </cell>
        </row>
        <row r="1015">
          <cell r="R1015" t="str">
            <v>협행마</v>
          </cell>
          <cell r="S1015" t="str">
            <v>에필로그</v>
          </cell>
        </row>
        <row r="1016">
          <cell r="R1016" t="str">
            <v>협행마</v>
          </cell>
          <cell r="S1016" t="str">
            <v>에필로그</v>
          </cell>
        </row>
        <row r="1017">
          <cell r="R1017" t="str">
            <v>협행마</v>
          </cell>
          <cell r="S1017" t="str">
            <v>에필로그</v>
          </cell>
        </row>
        <row r="1018">
          <cell r="R1018" t="str">
            <v>협행마</v>
          </cell>
          <cell r="S1018" t="str">
            <v>에필로그</v>
          </cell>
        </row>
        <row r="1019">
          <cell r="R1019" t="str">
            <v>협행마</v>
          </cell>
          <cell r="S1019" t="str">
            <v>에필로그</v>
          </cell>
        </row>
        <row r="1020">
          <cell r="R1020" t="str">
            <v>협행마</v>
          </cell>
          <cell r="S1020" t="str">
            <v>에필로그</v>
          </cell>
        </row>
        <row r="1021">
          <cell r="R1021" t="str">
            <v>협행마</v>
          </cell>
          <cell r="S1021" t="str">
            <v>에필로그</v>
          </cell>
        </row>
        <row r="1022">
          <cell r="R1022" t="str">
            <v>협행마</v>
          </cell>
          <cell r="S1022" t="str">
            <v>에필로그</v>
          </cell>
        </row>
        <row r="1023">
          <cell r="R1023" t="str">
            <v>협행마</v>
          </cell>
          <cell r="S1023" t="str">
            <v>에필로그</v>
          </cell>
        </row>
        <row r="1024">
          <cell r="R1024" t="str">
            <v>협행마</v>
          </cell>
          <cell r="S1024" t="str">
            <v>에필로그</v>
          </cell>
        </row>
        <row r="1025">
          <cell r="R1025" t="str">
            <v>협행마</v>
          </cell>
          <cell r="S1025" t="str">
            <v>에필로그</v>
          </cell>
        </row>
        <row r="1026">
          <cell r="R1026" t="str">
            <v>협행마</v>
          </cell>
          <cell r="S1026" t="str">
            <v>에필로그</v>
          </cell>
        </row>
        <row r="1027">
          <cell r="R1027" t="str">
            <v>협행마</v>
          </cell>
          <cell r="S1027" t="str">
            <v>에필로그</v>
          </cell>
        </row>
        <row r="1028">
          <cell r="R1028" t="str">
            <v>협행마</v>
          </cell>
          <cell r="S1028" t="str">
            <v>에필로그</v>
          </cell>
        </row>
        <row r="1029">
          <cell r="R1029" t="str">
            <v>협행마</v>
          </cell>
          <cell r="S1029" t="str">
            <v>에필로그</v>
          </cell>
        </row>
        <row r="1030">
          <cell r="R1030" t="str">
            <v>협행마</v>
          </cell>
          <cell r="S1030" t="str">
            <v>에필로그</v>
          </cell>
        </row>
        <row r="1031">
          <cell r="R1031" t="str">
            <v>협행마</v>
          </cell>
          <cell r="S1031" t="str">
            <v>에필로그</v>
          </cell>
        </row>
        <row r="1032">
          <cell r="R1032" t="str">
            <v>협행마</v>
          </cell>
          <cell r="S1032" t="str">
            <v>에필로그</v>
          </cell>
        </row>
        <row r="1033">
          <cell r="R1033" t="str">
            <v>협행마</v>
          </cell>
          <cell r="S1033" t="str">
            <v>에필로그</v>
          </cell>
        </row>
        <row r="1034">
          <cell r="R1034" t="str">
            <v>협행마</v>
          </cell>
          <cell r="S1034" t="str">
            <v>에필로그</v>
          </cell>
        </row>
        <row r="1035">
          <cell r="R1035" t="str">
            <v>협행마</v>
          </cell>
          <cell r="S1035" t="str">
            <v>에필로그</v>
          </cell>
        </row>
        <row r="1036">
          <cell r="R1036" t="str">
            <v>협행마</v>
          </cell>
          <cell r="S1036" t="str">
            <v>에필로그</v>
          </cell>
        </row>
        <row r="1037">
          <cell r="R1037" t="str">
            <v>협행마</v>
          </cell>
          <cell r="S1037" t="str">
            <v>에필로그</v>
          </cell>
        </row>
        <row r="1038">
          <cell r="R1038" t="str">
            <v>협행마</v>
          </cell>
          <cell r="S1038" t="str">
            <v>에필로그</v>
          </cell>
        </row>
        <row r="1039">
          <cell r="R1039" t="str">
            <v>협행마</v>
          </cell>
          <cell r="S1039" t="str">
            <v>에필로그</v>
          </cell>
        </row>
        <row r="1040">
          <cell r="R1040" t="str">
            <v>협행마</v>
          </cell>
          <cell r="S1040" t="str">
            <v>에필로그</v>
          </cell>
        </row>
        <row r="1041">
          <cell r="R1041" t="str">
            <v>협행마</v>
          </cell>
          <cell r="S1041" t="str">
            <v>에필로그</v>
          </cell>
        </row>
        <row r="1042">
          <cell r="R1042" t="str">
            <v>협행마</v>
          </cell>
          <cell r="S1042" t="str">
            <v>에필로그</v>
          </cell>
        </row>
        <row r="1043">
          <cell r="R1043" t="str">
            <v>협행마</v>
          </cell>
          <cell r="S1043" t="str">
            <v>에필로그</v>
          </cell>
        </row>
        <row r="1044">
          <cell r="R1044" t="str">
            <v>협행마</v>
          </cell>
          <cell r="S1044" t="str">
            <v>에필로그</v>
          </cell>
        </row>
        <row r="1045">
          <cell r="R1045" t="str">
            <v>협행마</v>
          </cell>
          <cell r="S1045" t="str">
            <v>에필로그</v>
          </cell>
        </row>
        <row r="1046">
          <cell r="R1046" t="str">
            <v>협행마</v>
          </cell>
          <cell r="S1046" t="str">
            <v>에필로그</v>
          </cell>
        </row>
        <row r="1047">
          <cell r="R1047" t="str">
            <v>협행마</v>
          </cell>
          <cell r="S1047" t="str">
            <v>에필로그</v>
          </cell>
        </row>
        <row r="1048">
          <cell r="R1048" t="str">
            <v>협행마</v>
          </cell>
          <cell r="S1048" t="str">
            <v>에필로그</v>
          </cell>
        </row>
        <row r="1049">
          <cell r="R1049" t="str">
            <v>협행마</v>
          </cell>
          <cell r="S1049" t="str">
            <v>에필로그</v>
          </cell>
        </row>
        <row r="1050">
          <cell r="R1050" t="str">
            <v>협행마</v>
          </cell>
          <cell r="S1050" t="str">
            <v>에필로그</v>
          </cell>
        </row>
        <row r="1051">
          <cell r="R1051" t="str">
            <v>협행마</v>
          </cell>
          <cell r="S1051" t="str">
            <v>에필로그</v>
          </cell>
        </row>
        <row r="1052">
          <cell r="R1052" t="str">
            <v>협행마</v>
          </cell>
          <cell r="S1052" t="str">
            <v>에필로그</v>
          </cell>
        </row>
        <row r="1053">
          <cell r="R1053" t="str">
            <v>협행마</v>
          </cell>
          <cell r="S1053" t="str">
            <v>에필로그</v>
          </cell>
        </row>
        <row r="1054">
          <cell r="R1054" t="str">
            <v>협행마</v>
          </cell>
          <cell r="S1054" t="str">
            <v>에필로그</v>
          </cell>
        </row>
        <row r="1055">
          <cell r="R1055" t="str">
            <v>협행마</v>
          </cell>
          <cell r="S1055" t="str">
            <v>에필로그</v>
          </cell>
        </row>
        <row r="1056">
          <cell r="R1056" t="str">
            <v>협행마</v>
          </cell>
          <cell r="S1056" t="str">
            <v>에필로그</v>
          </cell>
        </row>
        <row r="1057">
          <cell r="R1057" t="str">
            <v>협행마</v>
          </cell>
          <cell r="S1057" t="str">
            <v>에필로그</v>
          </cell>
        </row>
        <row r="1058">
          <cell r="R1058" t="str">
            <v>협행마</v>
          </cell>
          <cell r="S1058" t="str">
            <v>에필로그</v>
          </cell>
        </row>
        <row r="1059">
          <cell r="R1059" t="str">
            <v>협행마</v>
          </cell>
          <cell r="S1059" t="str">
            <v>에필로그</v>
          </cell>
        </row>
        <row r="1060">
          <cell r="R1060" t="str">
            <v>협행마</v>
          </cell>
          <cell r="S1060" t="str">
            <v>에필로그</v>
          </cell>
        </row>
        <row r="1061">
          <cell r="R1061" t="str">
            <v>협행마</v>
          </cell>
          <cell r="S1061" t="str">
            <v>에필로그</v>
          </cell>
        </row>
        <row r="1062">
          <cell r="R1062" t="str">
            <v>협행마</v>
          </cell>
          <cell r="S1062" t="str">
            <v>에필로그</v>
          </cell>
        </row>
        <row r="1063">
          <cell r="R1063" t="str">
            <v>협행마</v>
          </cell>
          <cell r="S1063" t="str">
            <v>에필로그</v>
          </cell>
        </row>
        <row r="1064">
          <cell r="R1064" t="str">
            <v>협행마</v>
          </cell>
          <cell r="S1064" t="str">
            <v>에필로그</v>
          </cell>
        </row>
        <row r="1065">
          <cell r="R1065" t="str">
            <v>협행마</v>
          </cell>
          <cell r="S1065" t="str">
            <v>에필로그</v>
          </cell>
        </row>
        <row r="1066">
          <cell r="R1066" t="str">
            <v>협행마</v>
          </cell>
          <cell r="S1066" t="str">
            <v>에필로그</v>
          </cell>
        </row>
        <row r="1067">
          <cell r="R1067" t="str">
            <v>협행마</v>
          </cell>
          <cell r="S1067" t="str">
            <v>에필로그</v>
          </cell>
        </row>
        <row r="1068">
          <cell r="R1068" t="str">
            <v>협행마</v>
          </cell>
          <cell r="S1068" t="str">
            <v>에필로그</v>
          </cell>
        </row>
        <row r="1069">
          <cell r="R1069" t="str">
            <v>협행마</v>
          </cell>
          <cell r="S1069" t="str">
            <v>에필로그</v>
          </cell>
        </row>
        <row r="1070">
          <cell r="R1070" t="str">
            <v>협행마</v>
          </cell>
          <cell r="S1070" t="str">
            <v>에필로그</v>
          </cell>
        </row>
        <row r="1071">
          <cell r="R1071" t="str">
            <v>협행마</v>
          </cell>
          <cell r="S1071" t="str">
            <v>에필로그</v>
          </cell>
        </row>
        <row r="1072">
          <cell r="R1072" t="str">
            <v>협행마</v>
          </cell>
          <cell r="S1072" t="str">
            <v>에필로그</v>
          </cell>
        </row>
        <row r="1073">
          <cell r="R1073" t="str">
            <v>협행마</v>
          </cell>
          <cell r="S1073" t="str">
            <v>에필로그</v>
          </cell>
        </row>
        <row r="1074">
          <cell r="R1074" t="str">
            <v>협행마</v>
          </cell>
          <cell r="S1074" t="str">
            <v>에필로그</v>
          </cell>
        </row>
        <row r="1075">
          <cell r="R1075" t="str">
            <v>협행마</v>
          </cell>
          <cell r="S1075" t="str">
            <v>에필로그</v>
          </cell>
        </row>
        <row r="1076">
          <cell r="R1076" t="str">
            <v>협행마</v>
          </cell>
          <cell r="S1076" t="str">
            <v>에필로그</v>
          </cell>
        </row>
        <row r="1077">
          <cell r="R1077" t="str">
            <v>협행마</v>
          </cell>
          <cell r="S1077" t="str">
            <v>에필로그</v>
          </cell>
        </row>
        <row r="1078">
          <cell r="R1078" t="str">
            <v>협행마</v>
          </cell>
          <cell r="S1078" t="str">
            <v>에필로그</v>
          </cell>
        </row>
        <row r="1079">
          <cell r="R1079" t="str">
            <v>협행마</v>
          </cell>
          <cell r="S1079" t="str">
            <v>에필로그</v>
          </cell>
        </row>
        <row r="1080">
          <cell r="R1080" t="str">
            <v>협행마</v>
          </cell>
          <cell r="S1080" t="str">
            <v>에필로그</v>
          </cell>
        </row>
        <row r="1081">
          <cell r="R1081" t="str">
            <v>협행마</v>
          </cell>
          <cell r="S1081" t="str">
            <v>에필로그</v>
          </cell>
        </row>
        <row r="1082">
          <cell r="R1082" t="str">
            <v>협행마</v>
          </cell>
          <cell r="S1082" t="str">
            <v>에필로그</v>
          </cell>
        </row>
        <row r="1083">
          <cell r="R1083" t="str">
            <v>홍영</v>
          </cell>
          <cell r="S1083" t="str">
            <v>더컴퍼니</v>
          </cell>
        </row>
        <row r="1084">
          <cell r="R1084" t="str">
            <v>정희웅</v>
          </cell>
          <cell r="S1084" t="str">
            <v>에필로그</v>
          </cell>
        </row>
        <row r="1085">
          <cell r="R1085" t="str">
            <v>직하인</v>
          </cell>
          <cell r="S1085" t="str">
            <v>에필로그</v>
          </cell>
        </row>
        <row r="1086">
          <cell r="R1086" t="str">
            <v>직하인</v>
          </cell>
          <cell r="S1086" t="str">
            <v>에필로그</v>
          </cell>
        </row>
        <row r="1087">
          <cell r="R1087" t="str">
            <v>라벤더블루</v>
          </cell>
          <cell r="S1087" t="str">
            <v>밀리의 서재</v>
          </cell>
        </row>
        <row r="1088">
          <cell r="R1088" t="str">
            <v>송여희</v>
          </cell>
          <cell r="S1088" t="str">
            <v>밀리의 서재</v>
          </cell>
        </row>
        <row r="1089">
          <cell r="R1089" t="str">
            <v>정경하</v>
          </cell>
          <cell r="S1089" t="str">
            <v>밀리의 서재</v>
          </cell>
        </row>
        <row r="1090">
          <cell r="R1090" t="str">
            <v>마뇽</v>
          </cell>
          <cell r="S1090" t="str">
            <v>밀리의 서재</v>
          </cell>
        </row>
        <row r="1091">
          <cell r="R1091" t="str">
            <v>여도흔</v>
          </cell>
          <cell r="S1091" t="str">
            <v>밀리의 서재</v>
          </cell>
        </row>
        <row r="1092">
          <cell r="R1092" t="str">
            <v>하이지</v>
          </cell>
          <cell r="S1092" t="str">
            <v>밀리의 서재</v>
          </cell>
        </row>
        <row r="1093">
          <cell r="R1093" t="str">
            <v>하이지</v>
          </cell>
          <cell r="S1093" t="str">
            <v>밀리의 서재</v>
          </cell>
        </row>
        <row r="1094">
          <cell r="R1094" t="str">
            <v>박지영</v>
          </cell>
          <cell r="S1094" t="str">
            <v>밀리의 서재</v>
          </cell>
        </row>
        <row r="1095">
          <cell r="R1095" t="str">
            <v>우유양</v>
          </cell>
          <cell r="S1095" t="str">
            <v>밀리의 서재</v>
          </cell>
        </row>
        <row r="1096">
          <cell r="R1096" t="str">
            <v>우유양</v>
          </cell>
          <cell r="S1096" t="str">
            <v>밀리의 서재</v>
          </cell>
        </row>
        <row r="1097">
          <cell r="R1097" t="str">
            <v>춈춈</v>
          </cell>
          <cell r="S1097" t="str">
            <v>밀리의 서재</v>
          </cell>
        </row>
        <row r="1098">
          <cell r="R1098" t="str">
            <v>다혜람</v>
          </cell>
          <cell r="S1098" t="str">
            <v>더컴퍼니</v>
          </cell>
        </row>
        <row r="1099">
          <cell r="R1099" t="str">
            <v>뚜여사</v>
          </cell>
          <cell r="S1099" t="str">
            <v>더컴퍼니</v>
          </cell>
        </row>
        <row r="1100">
          <cell r="R1100" t="str">
            <v>차크</v>
          </cell>
          <cell r="S1100" t="str">
            <v>밀리의 서재</v>
          </cell>
        </row>
        <row r="1101">
          <cell r="R1101" t="str">
            <v>김혜연</v>
          </cell>
          <cell r="S1101" t="str">
            <v>밀리의 서재</v>
          </cell>
        </row>
        <row r="1102">
          <cell r="R1102" t="str">
            <v>등나무밑소공자</v>
          </cell>
          <cell r="S1102" t="str">
            <v>더컴퍼니</v>
          </cell>
        </row>
        <row r="1103">
          <cell r="R1103" t="str">
            <v>서풍</v>
          </cell>
          <cell r="S1103" t="str">
            <v>밀리의 서재</v>
          </cell>
        </row>
        <row r="1104">
          <cell r="R1104" t="str">
            <v>박샛별</v>
          </cell>
          <cell r="S1104" t="str">
            <v>밀리의 서재</v>
          </cell>
        </row>
        <row r="1105">
          <cell r="R1105" t="str">
            <v>하루가</v>
          </cell>
          <cell r="S1105" t="str">
            <v>밀리의 서재</v>
          </cell>
        </row>
        <row r="1106">
          <cell r="R1106" t="str">
            <v>꿀레</v>
          </cell>
          <cell r="S1106" t="str">
            <v>더컴퍼니</v>
          </cell>
        </row>
        <row r="1107">
          <cell r="R1107" t="str">
            <v>이정숙</v>
          </cell>
          <cell r="S1107" t="str">
            <v>밀리의 서재</v>
          </cell>
        </row>
        <row r="1108">
          <cell r="R1108" t="str">
            <v>이진희</v>
          </cell>
          <cell r="S1108" t="str">
            <v>밀리의 서재</v>
          </cell>
        </row>
        <row r="1109">
          <cell r="R1109" t="str">
            <v>원성혜</v>
          </cell>
          <cell r="S1109" t="str">
            <v>밀리의 서재</v>
          </cell>
        </row>
        <row r="1110">
          <cell r="R1110" t="str">
            <v>전혜진</v>
          </cell>
          <cell r="S1110" t="str">
            <v>밀리의 서재</v>
          </cell>
        </row>
        <row r="1111">
          <cell r="R1111" t="str">
            <v>정은숙</v>
          </cell>
          <cell r="S1111" t="str">
            <v>밀리의 서재</v>
          </cell>
        </row>
        <row r="1112">
          <cell r="R1112" t="str">
            <v>도큐진</v>
          </cell>
          <cell r="S1112" t="str">
            <v>스토리위드</v>
          </cell>
        </row>
        <row r="1113">
          <cell r="R1113" t="str">
            <v>해화</v>
          </cell>
          <cell r="S1113" t="str">
            <v>밀리의 서재</v>
          </cell>
        </row>
        <row r="1114">
          <cell r="R1114" t="str">
            <v>김원경</v>
          </cell>
          <cell r="S1114" t="str">
            <v>밀리의 서재</v>
          </cell>
        </row>
        <row r="1115">
          <cell r="R1115" t="str">
            <v>반지영</v>
          </cell>
          <cell r="S1115" t="str">
            <v>밀리의 서재</v>
          </cell>
        </row>
        <row r="1116">
          <cell r="R1116" t="str">
            <v>공호</v>
          </cell>
          <cell r="S1116" t="str">
            <v>밀리의 서재</v>
          </cell>
        </row>
        <row r="1117">
          <cell r="R1117" t="str">
            <v>적랑</v>
          </cell>
          <cell r="S1117" t="str">
            <v>밀리의 서재</v>
          </cell>
        </row>
        <row r="1118">
          <cell r="R1118" t="str">
            <v>백화(百花)</v>
          </cell>
          <cell r="S1118" t="str">
            <v>밀리의 서재</v>
          </cell>
        </row>
        <row r="1119">
          <cell r="R1119" t="str">
            <v>달로</v>
          </cell>
          <cell r="S1119" t="str">
            <v>밀리의 서재</v>
          </cell>
        </row>
        <row r="1120">
          <cell r="R1120" t="str">
            <v>두럭</v>
          </cell>
          <cell r="S1120" t="str">
            <v>더컴퍼니</v>
          </cell>
        </row>
        <row r="1121">
          <cell r="R1121" t="str">
            <v>신윤희(에드가)</v>
          </cell>
          <cell r="S1121" t="str">
            <v>밀리의 서재</v>
          </cell>
        </row>
        <row r="1122">
          <cell r="R1122" t="str">
            <v>최현자</v>
          </cell>
          <cell r="S1122" t="str">
            <v>밀리의 서재</v>
          </cell>
        </row>
        <row r="1123">
          <cell r="R1123" t="str">
            <v>이승희</v>
          </cell>
          <cell r="S1123" t="str">
            <v>밀리의 서재</v>
          </cell>
        </row>
        <row r="1124">
          <cell r="R1124" t="str">
            <v>송민선</v>
          </cell>
          <cell r="S1124" t="str">
            <v>밀리의 서재</v>
          </cell>
        </row>
        <row r="1125">
          <cell r="R1125" t="str">
            <v>최준서</v>
          </cell>
          <cell r="S1125" t="str">
            <v>밀리의 서재</v>
          </cell>
        </row>
        <row r="1126">
          <cell r="R1126" t="str">
            <v>비향</v>
          </cell>
          <cell r="S1126" t="str">
            <v>밀리의 서재</v>
          </cell>
        </row>
        <row r="1127">
          <cell r="R1127" t="str">
            <v>서혜은</v>
          </cell>
          <cell r="S1127" t="str">
            <v>밀리의 서재</v>
          </cell>
        </row>
        <row r="1128">
          <cell r="R1128" t="str">
            <v>수련</v>
          </cell>
          <cell r="S1128" t="str">
            <v>밀리의 서재</v>
          </cell>
        </row>
        <row r="1129">
          <cell r="R1129" t="str">
            <v>장현미</v>
          </cell>
          <cell r="S1129" t="str">
            <v>밀리의 서재</v>
          </cell>
        </row>
        <row r="1130">
          <cell r="R1130" t="str">
            <v>현진서</v>
          </cell>
          <cell r="S1130" t="str">
            <v>밀리의 서재</v>
          </cell>
        </row>
        <row r="1131">
          <cell r="R1131" t="str">
            <v>Bae.C, 조우</v>
          </cell>
          <cell r="S1131" t="str">
            <v>구디</v>
          </cell>
        </row>
        <row r="1132">
          <cell r="R1132" t="str">
            <v>HOON</v>
          </cell>
          <cell r="S1132" t="str">
            <v>컨텐츠헤라</v>
          </cell>
        </row>
        <row r="1133">
          <cell r="R1133" t="str">
            <v>SISSI</v>
          </cell>
          <cell r="S1133" t="str">
            <v>더컴퍼니</v>
          </cell>
        </row>
        <row r="1134">
          <cell r="R1134" t="str">
            <v>곽도우</v>
          </cell>
          <cell r="S1134" t="str">
            <v>아크스튜디오</v>
          </cell>
        </row>
        <row r="1135">
          <cell r="R1135" t="str">
            <v>구디스튜디오</v>
          </cell>
          <cell r="S1135" t="str">
            <v>구디</v>
          </cell>
        </row>
        <row r="1136">
          <cell r="R1136" t="str">
            <v>남정훈</v>
          </cell>
          <cell r="S1136" t="str">
            <v>컨텐츠헤라</v>
          </cell>
        </row>
        <row r="1137">
          <cell r="R1137" t="str">
            <v>다물</v>
          </cell>
          <cell r="S1137" t="str">
            <v>컨텐츠헤라</v>
          </cell>
        </row>
        <row r="1138">
          <cell r="R1138" t="str">
            <v>더컴퍼니</v>
          </cell>
          <cell r="S1138" t="str">
            <v>더컴퍼니</v>
          </cell>
        </row>
        <row r="1139">
          <cell r="R1139" t="str">
            <v>두경</v>
          </cell>
          <cell r="S1139" t="str">
            <v>컨텐츠헤라</v>
          </cell>
        </row>
        <row r="1140">
          <cell r="R1140" t="str">
            <v>두럭</v>
          </cell>
          <cell r="S1140" t="str">
            <v>더컴퍼니</v>
          </cell>
        </row>
        <row r="1141">
          <cell r="R1141" t="str">
            <v>밀리오리지널</v>
          </cell>
          <cell r="S1141" t="str">
            <v>밀리의 서재</v>
          </cell>
        </row>
        <row r="1142">
          <cell r="R1142" t="str">
            <v>밀리의 서재</v>
          </cell>
          <cell r="S1142" t="str">
            <v>밀리의 서재</v>
          </cell>
        </row>
        <row r="1143">
          <cell r="R1143" t="str">
            <v>밀리의서재</v>
          </cell>
          <cell r="S1143" t="str">
            <v>밀리의 서재</v>
          </cell>
        </row>
        <row r="1144">
          <cell r="R1144" t="str">
            <v>블라이스</v>
          </cell>
          <cell r="S1144" t="str">
            <v>블라이스</v>
          </cell>
        </row>
        <row r="1145">
          <cell r="R1145" t="str">
            <v>사틴</v>
          </cell>
          <cell r="S1145" t="str">
            <v>더컴퍼니</v>
          </cell>
        </row>
        <row r="1146">
          <cell r="R1146" t="str">
            <v>수정과</v>
          </cell>
          <cell r="S1146" t="str">
            <v>컨텐츠헤라</v>
          </cell>
        </row>
        <row r="1147">
          <cell r="R1147" t="str">
            <v>쉬즈노블</v>
          </cell>
          <cell r="S1147" t="str">
            <v>더컴퍼니</v>
          </cell>
        </row>
        <row r="1148">
          <cell r="R1148" t="str">
            <v>스토리숲</v>
          </cell>
          <cell r="S1148" t="str">
            <v>스토리숲</v>
          </cell>
        </row>
        <row r="1149">
          <cell r="R1149" t="str">
            <v>스토리아크</v>
          </cell>
          <cell r="S1149" t="str">
            <v>스토리아크</v>
          </cell>
        </row>
        <row r="1150">
          <cell r="R1150" t="str">
            <v>스토리위드</v>
          </cell>
          <cell r="S1150" t="str">
            <v>스토리위드</v>
          </cell>
        </row>
        <row r="1151">
          <cell r="R1151" t="str">
            <v>스토리위즈</v>
          </cell>
          <cell r="S1151" t="str">
            <v>스토리위즈</v>
          </cell>
        </row>
        <row r="1152">
          <cell r="R1152" t="str">
            <v>아크스튜디오</v>
          </cell>
          <cell r="S1152" t="str">
            <v>아크스튜디오</v>
          </cell>
        </row>
        <row r="1153">
          <cell r="R1153" t="str">
            <v>에필로그</v>
          </cell>
          <cell r="S1153" t="str">
            <v>에필로그</v>
          </cell>
        </row>
        <row r="1154">
          <cell r="R1154" t="str">
            <v>울트라미디어</v>
          </cell>
          <cell r="S1154" t="str">
            <v>울트라미디어</v>
          </cell>
        </row>
        <row r="1155">
          <cell r="R1155" t="str">
            <v>이다겸</v>
          </cell>
          <cell r="S1155" t="str">
            <v>더컴퍼니</v>
          </cell>
        </row>
        <row r="1156">
          <cell r="R1156" t="str">
            <v>진엔터</v>
          </cell>
          <cell r="S1156" t="str">
            <v>진엔터</v>
          </cell>
        </row>
        <row r="1157">
          <cell r="R1157" t="str">
            <v>최도비</v>
          </cell>
          <cell r="S1157" t="str">
            <v>컨텐츠헤라</v>
          </cell>
        </row>
        <row r="1158">
          <cell r="R1158" t="str">
            <v>최도비 수정과</v>
          </cell>
          <cell r="S1158" t="str">
            <v>컨텐츠헤라</v>
          </cell>
        </row>
        <row r="1159">
          <cell r="R1159" t="str">
            <v>최도비,수정과</v>
          </cell>
          <cell r="S1159" t="str">
            <v>컨텐츠헤라</v>
          </cell>
        </row>
        <row r="1160">
          <cell r="R1160" t="str">
            <v>컨헤라</v>
          </cell>
          <cell r="S1160" t="str">
            <v>컨텐츠헤라</v>
          </cell>
        </row>
        <row r="1161">
          <cell r="R1161" t="str">
            <v>태랑</v>
          </cell>
          <cell r="S1161" t="str">
            <v>태랑</v>
          </cell>
        </row>
        <row r="1162">
          <cell r="R1162" t="str">
            <v>태룡(泰龍)</v>
          </cell>
          <cell r="S1162" t="str">
            <v>더컴퍼니</v>
          </cell>
        </row>
        <row r="1163">
          <cell r="R1163" t="str">
            <v>투니드엔터테인먼트</v>
          </cell>
          <cell r="S1163" t="str">
            <v>투니드엔터테인먼트</v>
          </cell>
        </row>
        <row r="1164">
          <cell r="R1164" t="str">
            <v>피모</v>
          </cell>
          <cell r="S1164" t="str">
            <v>더컴퍼니</v>
          </cell>
        </row>
        <row r="1165">
          <cell r="R1165" t="str">
            <v>혜원</v>
          </cell>
          <cell r="S1165" t="str">
            <v>컨텐츠헤라</v>
          </cell>
        </row>
        <row r="1166">
          <cell r="R1166" t="str">
            <v>히즈노블</v>
          </cell>
          <cell r="S1166" t="str">
            <v>더컴퍼니</v>
          </cell>
        </row>
        <row r="1167">
          <cell r="R1167" t="str">
            <v>이파람</v>
          </cell>
          <cell r="S1167" t="str">
            <v>밀리의 서재</v>
          </cell>
        </row>
        <row r="1168">
          <cell r="R1168" t="str">
            <v>명우</v>
          </cell>
          <cell r="S1168" t="str">
            <v>밀리의 서재</v>
          </cell>
        </row>
        <row r="1169">
          <cell r="R1169" t="str">
            <v>서정윤</v>
          </cell>
          <cell r="S1169" t="str">
            <v>밀리의 서재</v>
          </cell>
        </row>
        <row r="1170">
          <cell r="R1170" t="str">
            <v>트리플베리</v>
          </cell>
          <cell r="S1170" t="str">
            <v>밀리의 서재</v>
          </cell>
        </row>
        <row r="1171">
          <cell r="R1171" t="str">
            <v>차연유</v>
          </cell>
          <cell r="S1171" t="str">
            <v>밀리의 서재</v>
          </cell>
        </row>
        <row r="1172">
          <cell r="R1172" t="str">
            <v>이윤미</v>
          </cell>
          <cell r="S1172" t="str">
            <v>밀리의 서재</v>
          </cell>
        </row>
        <row r="1173">
          <cell r="R1173" t="str">
            <v>이새인</v>
          </cell>
          <cell r="S1173" t="str">
            <v>밀리의 서재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44"/>
  <sheetViews>
    <sheetView tabSelected="1" workbookViewId="0">
      <selection activeCell="O11" sqref="O11"/>
    </sheetView>
  </sheetViews>
  <sheetFormatPr defaultRowHeight="17.399999999999999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75</v>
      </c>
      <c r="B2" t="s">
        <v>12</v>
      </c>
      <c r="C2" t="s">
        <v>21</v>
      </c>
      <c r="D2" t="s">
        <v>13</v>
      </c>
      <c r="E2" t="s">
        <v>14</v>
      </c>
      <c r="F2"/>
      <c r="G2"/>
      <c r="H2">
        <v>900</v>
      </c>
      <c r="I2"/>
      <c r="J2">
        <v>0</v>
      </c>
      <c r="K2">
        <v>900</v>
      </c>
      <c r="L2">
        <v>630</v>
      </c>
      <c r="M2" s="9" t="str">
        <f>IF(ISERROR(VLOOKUP(B2,[1]작가별정산률!$R:$S,2,0)),"스토리위즈",VLOOKUP(B2,[1]작가별정산률!$R:$S,2,0))</f>
        <v>스토리위즈</v>
      </c>
      <c r="N2" s="9" t="str">
        <f>IF(M2="스토리위즈",VLOOKUP(B2,[1]작가별정산률!$A:$B,2,0),M2)</f>
        <v>김광수</v>
      </c>
    </row>
    <row r="3" spans="1:14">
      <c r="A3" t="s">
        <v>76</v>
      </c>
      <c r="B3" t="s">
        <v>12</v>
      </c>
      <c r="C3" t="s">
        <v>21</v>
      </c>
      <c r="D3" t="s">
        <v>13</v>
      </c>
      <c r="E3" t="s">
        <v>14</v>
      </c>
      <c r="F3"/>
      <c r="G3"/>
      <c r="H3">
        <v>900</v>
      </c>
      <c r="I3"/>
      <c r="J3">
        <v>0</v>
      </c>
      <c r="K3">
        <v>900</v>
      </c>
      <c r="L3">
        <v>630</v>
      </c>
      <c r="M3" s="9" t="str">
        <f>IF(ISERROR(VLOOKUP(B3,[1]작가별정산률!$R:$S,2,0)),"스토리위즈",VLOOKUP(B3,[1]작가별정산률!$R:$S,2,0))</f>
        <v>스토리위즈</v>
      </c>
      <c r="N3" s="9" t="str">
        <f>IF(M3="스토리위즈",VLOOKUP(B3,[1]작가별정산률!$A:$B,2,0),M3)</f>
        <v>김광수</v>
      </c>
    </row>
    <row r="4" spans="1:14">
      <c r="A4" t="s">
        <v>77</v>
      </c>
      <c r="B4" t="s">
        <v>12</v>
      </c>
      <c r="C4" t="s">
        <v>21</v>
      </c>
      <c r="D4" t="s">
        <v>13</v>
      </c>
      <c r="E4" t="s">
        <v>14</v>
      </c>
      <c r="F4"/>
      <c r="G4"/>
      <c r="H4">
        <v>900</v>
      </c>
      <c r="I4"/>
      <c r="J4">
        <v>0</v>
      </c>
      <c r="K4">
        <v>900</v>
      </c>
      <c r="L4">
        <v>630</v>
      </c>
      <c r="M4" s="9" t="str">
        <f>IF(ISERROR(VLOOKUP(B4,[1]작가별정산률!$R:$S,2,0)),"스토리위즈",VLOOKUP(B4,[1]작가별정산률!$R:$S,2,0))</f>
        <v>스토리위즈</v>
      </c>
      <c r="N4" s="9" t="str">
        <f>IF(M4="스토리위즈",VLOOKUP(B4,[1]작가별정산률!$A:$B,2,0),M4)</f>
        <v>김광수</v>
      </c>
    </row>
    <row r="5" spans="1:14">
      <c r="A5" t="s">
        <v>78</v>
      </c>
      <c r="B5" t="s">
        <v>12</v>
      </c>
      <c r="C5" t="s">
        <v>21</v>
      </c>
      <c r="D5" t="s">
        <v>13</v>
      </c>
      <c r="E5" t="s">
        <v>14</v>
      </c>
      <c r="F5"/>
      <c r="G5"/>
      <c r="H5">
        <v>900</v>
      </c>
      <c r="I5"/>
      <c r="J5">
        <v>0</v>
      </c>
      <c r="K5">
        <v>900</v>
      </c>
      <c r="L5">
        <v>630</v>
      </c>
      <c r="M5" s="9" t="str">
        <f>IF(ISERROR(VLOOKUP(B5,[1]작가별정산률!$R:$S,2,0)),"스토리위즈",VLOOKUP(B5,[1]작가별정산률!$R:$S,2,0))</f>
        <v>스토리위즈</v>
      </c>
      <c r="N5" s="9" t="str">
        <f>IF(M5="스토리위즈",VLOOKUP(B5,[1]작가별정산률!$A:$B,2,0),M5)</f>
        <v>김광수</v>
      </c>
    </row>
    <row r="6" spans="1:14">
      <c r="A6" t="s">
        <v>79</v>
      </c>
      <c r="B6" t="s">
        <v>12</v>
      </c>
      <c r="C6" t="s">
        <v>21</v>
      </c>
      <c r="D6" t="s">
        <v>13</v>
      </c>
      <c r="E6" t="s">
        <v>14</v>
      </c>
      <c r="F6"/>
      <c r="G6"/>
      <c r="H6">
        <v>900</v>
      </c>
      <c r="I6"/>
      <c r="J6">
        <v>0</v>
      </c>
      <c r="K6">
        <v>900</v>
      </c>
      <c r="L6">
        <v>630</v>
      </c>
      <c r="M6" s="9" t="str">
        <f>IF(ISERROR(VLOOKUP(B6,[1]작가별정산률!$R:$S,2,0)),"스토리위즈",VLOOKUP(B6,[1]작가별정산률!$R:$S,2,0))</f>
        <v>스토리위즈</v>
      </c>
      <c r="N6" s="9" t="str">
        <f>IF(M6="스토리위즈",VLOOKUP(B6,[1]작가별정산률!$A:$B,2,0),M6)</f>
        <v>김광수</v>
      </c>
    </row>
    <row r="7" spans="1:14">
      <c r="A7" t="s">
        <v>80</v>
      </c>
      <c r="B7" t="s">
        <v>12</v>
      </c>
      <c r="C7" t="s">
        <v>21</v>
      </c>
      <c r="D7" t="s">
        <v>13</v>
      </c>
      <c r="E7" t="s">
        <v>14</v>
      </c>
      <c r="F7"/>
      <c r="G7"/>
      <c r="H7">
        <v>900</v>
      </c>
      <c r="I7"/>
      <c r="J7">
        <v>0</v>
      </c>
      <c r="K7">
        <v>900</v>
      </c>
      <c r="L7">
        <v>630</v>
      </c>
      <c r="M7" s="9" t="str">
        <f>IF(ISERROR(VLOOKUP(B7,[1]작가별정산률!$R:$S,2,0)),"스토리위즈",VLOOKUP(B7,[1]작가별정산률!$R:$S,2,0))</f>
        <v>스토리위즈</v>
      </c>
      <c r="N7" s="9" t="str">
        <f>IF(M7="스토리위즈",VLOOKUP(B7,[1]작가별정산률!$A:$B,2,0),M7)</f>
        <v>김광수</v>
      </c>
    </row>
    <row r="8" spans="1:14">
      <c r="A8" t="s">
        <v>81</v>
      </c>
      <c r="B8" t="s">
        <v>12</v>
      </c>
      <c r="C8" t="s">
        <v>21</v>
      </c>
      <c r="D8" t="s">
        <v>13</v>
      </c>
      <c r="E8" t="s">
        <v>14</v>
      </c>
      <c r="F8"/>
      <c r="G8"/>
      <c r="H8">
        <v>900</v>
      </c>
      <c r="I8"/>
      <c r="J8">
        <v>0</v>
      </c>
      <c r="K8">
        <v>900</v>
      </c>
      <c r="L8">
        <v>630</v>
      </c>
      <c r="M8" s="9" t="str">
        <f>IF(ISERROR(VLOOKUP(B8,[1]작가별정산률!$R:$S,2,0)),"스토리위즈",VLOOKUP(B8,[1]작가별정산률!$R:$S,2,0))</f>
        <v>스토리위즈</v>
      </c>
      <c r="N8" s="9" t="str">
        <f>IF(M8="스토리위즈",VLOOKUP(B8,[1]작가별정산률!$A:$B,2,0),M8)</f>
        <v>김광수</v>
      </c>
    </row>
    <row r="9" spans="1:14">
      <c r="A9" t="s">
        <v>82</v>
      </c>
      <c r="B9" t="s">
        <v>12</v>
      </c>
      <c r="C9" t="s">
        <v>21</v>
      </c>
      <c r="D9" t="s">
        <v>13</v>
      </c>
      <c r="E9" t="s">
        <v>14</v>
      </c>
      <c r="F9"/>
      <c r="G9"/>
      <c r="H9">
        <v>900</v>
      </c>
      <c r="I9"/>
      <c r="J9">
        <v>0</v>
      </c>
      <c r="K9">
        <v>900</v>
      </c>
      <c r="L9">
        <v>630</v>
      </c>
      <c r="M9" s="9" t="str">
        <f>IF(ISERROR(VLOOKUP(B9,[1]작가별정산률!$R:$S,2,0)),"스토리위즈",VLOOKUP(B9,[1]작가별정산률!$R:$S,2,0))</f>
        <v>스토리위즈</v>
      </c>
      <c r="N9" s="9" t="str">
        <f>IF(M9="스토리위즈",VLOOKUP(B9,[1]작가별정산률!$A:$B,2,0),M9)</f>
        <v>김광수</v>
      </c>
    </row>
    <row r="10" spans="1:14">
      <c r="A10" t="s">
        <v>83</v>
      </c>
      <c r="B10" t="s">
        <v>12</v>
      </c>
      <c r="C10" t="s">
        <v>21</v>
      </c>
      <c r="D10" t="s">
        <v>13</v>
      </c>
      <c r="E10" t="s">
        <v>14</v>
      </c>
      <c r="F10"/>
      <c r="G10"/>
      <c r="H10">
        <v>900</v>
      </c>
      <c r="I10"/>
      <c r="J10">
        <v>0</v>
      </c>
      <c r="K10">
        <v>900</v>
      </c>
      <c r="L10">
        <v>630</v>
      </c>
      <c r="M10" s="9" t="str">
        <f>IF(ISERROR(VLOOKUP(B10,[1]작가별정산률!$R:$S,2,0)),"스토리위즈",VLOOKUP(B10,[1]작가별정산률!$R:$S,2,0))</f>
        <v>스토리위즈</v>
      </c>
      <c r="N10" s="9" t="str">
        <f>IF(M10="스토리위즈",VLOOKUP(B10,[1]작가별정산률!$A:$B,2,0),M10)</f>
        <v>김광수</v>
      </c>
    </row>
    <row r="11" spans="1:14">
      <c r="A11" t="s">
        <v>84</v>
      </c>
      <c r="B11" t="s">
        <v>12</v>
      </c>
      <c r="C11" t="s">
        <v>21</v>
      </c>
      <c r="D11" t="s">
        <v>13</v>
      </c>
      <c r="E11" t="s">
        <v>14</v>
      </c>
      <c r="F11"/>
      <c r="G11"/>
      <c r="H11">
        <v>900</v>
      </c>
      <c r="I11"/>
      <c r="J11">
        <v>0</v>
      </c>
      <c r="K11">
        <v>900</v>
      </c>
      <c r="L11">
        <v>630</v>
      </c>
      <c r="M11" s="9" t="str">
        <f>IF(ISERROR(VLOOKUP(B11,[1]작가별정산률!$R:$S,2,0)),"스토리위즈",VLOOKUP(B11,[1]작가별정산률!$R:$S,2,0))</f>
        <v>스토리위즈</v>
      </c>
      <c r="N11" s="9" t="str">
        <f>IF(M11="스토리위즈",VLOOKUP(B11,[1]작가별정산률!$A:$B,2,0),M11)</f>
        <v>김광수</v>
      </c>
    </row>
    <row r="12" spans="1:14">
      <c r="A12" t="s">
        <v>85</v>
      </c>
      <c r="B12" t="s">
        <v>12</v>
      </c>
      <c r="C12" t="s">
        <v>21</v>
      </c>
      <c r="D12" t="s">
        <v>13</v>
      </c>
      <c r="E12" t="s">
        <v>14</v>
      </c>
      <c r="F12"/>
      <c r="G12"/>
      <c r="H12">
        <v>900</v>
      </c>
      <c r="I12"/>
      <c r="J12">
        <v>0</v>
      </c>
      <c r="K12">
        <v>900</v>
      </c>
      <c r="L12">
        <v>630</v>
      </c>
      <c r="M12" s="9" t="str">
        <f>IF(ISERROR(VLOOKUP(B12,[1]작가별정산률!$R:$S,2,0)),"스토리위즈",VLOOKUP(B12,[1]작가별정산률!$R:$S,2,0))</f>
        <v>스토리위즈</v>
      </c>
      <c r="N12" s="9" t="str">
        <f>IF(M12="스토리위즈",VLOOKUP(B12,[1]작가별정산률!$A:$B,2,0),M12)</f>
        <v>김광수</v>
      </c>
    </row>
    <row r="13" spans="1:14">
      <c r="A13" t="s">
        <v>86</v>
      </c>
      <c r="B13" t="s">
        <v>12</v>
      </c>
      <c r="C13" t="s">
        <v>21</v>
      </c>
      <c r="D13" t="s">
        <v>13</v>
      </c>
      <c r="E13" t="s">
        <v>14</v>
      </c>
      <c r="F13"/>
      <c r="G13"/>
      <c r="H13">
        <v>900</v>
      </c>
      <c r="I13"/>
      <c r="J13">
        <v>0</v>
      </c>
      <c r="K13">
        <v>900</v>
      </c>
      <c r="L13">
        <v>630</v>
      </c>
      <c r="M13" s="9" t="str">
        <f>IF(ISERROR(VLOOKUP(B13,[1]작가별정산률!$R:$S,2,0)),"스토리위즈",VLOOKUP(B13,[1]작가별정산률!$R:$S,2,0))</f>
        <v>스토리위즈</v>
      </c>
      <c r="N13" s="9" t="str">
        <f>IF(M13="스토리위즈",VLOOKUP(B13,[1]작가별정산률!$A:$B,2,0),M13)</f>
        <v>김광수</v>
      </c>
    </row>
    <row r="14" spans="1:14">
      <c r="A14" t="s">
        <v>87</v>
      </c>
      <c r="B14" t="s">
        <v>12</v>
      </c>
      <c r="C14" t="s">
        <v>21</v>
      </c>
      <c r="D14" t="s">
        <v>13</v>
      </c>
      <c r="E14" t="s">
        <v>14</v>
      </c>
      <c r="F14"/>
      <c r="G14"/>
      <c r="H14">
        <v>900</v>
      </c>
      <c r="I14"/>
      <c r="J14">
        <v>0</v>
      </c>
      <c r="K14">
        <v>900</v>
      </c>
      <c r="L14">
        <v>630</v>
      </c>
      <c r="M14" s="9" t="str">
        <f>IF(ISERROR(VLOOKUP(B14,[1]작가별정산률!$R:$S,2,0)),"스토리위즈",VLOOKUP(B14,[1]작가별정산률!$R:$S,2,0))</f>
        <v>스토리위즈</v>
      </c>
      <c r="N14" s="9" t="str">
        <f>IF(M14="스토리위즈",VLOOKUP(B14,[1]작가별정산률!$A:$B,2,0),M14)</f>
        <v>김광수</v>
      </c>
    </row>
    <row r="15" spans="1:14">
      <c r="A15" t="s">
        <v>88</v>
      </c>
      <c r="B15" t="s">
        <v>12</v>
      </c>
      <c r="C15" t="s">
        <v>21</v>
      </c>
      <c r="D15" t="s">
        <v>13</v>
      </c>
      <c r="E15" t="s">
        <v>14</v>
      </c>
      <c r="F15"/>
      <c r="G15"/>
      <c r="H15">
        <v>900</v>
      </c>
      <c r="I15"/>
      <c r="J15">
        <v>0</v>
      </c>
      <c r="K15">
        <v>900</v>
      </c>
      <c r="L15">
        <v>630</v>
      </c>
      <c r="M15" s="9" t="str">
        <f>IF(ISERROR(VLOOKUP(B15,[1]작가별정산률!$R:$S,2,0)),"스토리위즈",VLOOKUP(B15,[1]작가별정산률!$R:$S,2,0))</f>
        <v>스토리위즈</v>
      </c>
      <c r="N15" s="9" t="str">
        <f>IF(M15="스토리위즈",VLOOKUP(B15,[1]작가별정산률!$A:$B,2,0),M15)</f>
        <v>김광수</v>
      </c>
    </row>
    <row r="16" spans="1:14">
      <c r="A16" t="s">
        <v>89</v>
      </c>
      <c r="B16" t="s">
        <v>12</v>
      </c>
      <c r="C16" t="s">
        <v>21</v>
      </c>
      <c r="D16" t="s">
        <v>13</v>
      </c>
      <c r="E16" t="s">
        <v>14</v>
      </c>
      <c r="F16"/>
      <c r="G16"/>
      <c r="H16">
        <v>900</v>
      </c>
      <c r="I16"/>
      <c r="J16">
        <v>0</v>
      </c>
      <c r="K16">
        <v>900</v>
      </c>
      <c r="L16">
        <v>630</v>
      </c>
      <c r="M16" s="9" t="str">
        <f>IF(ISERROR(VLOOKUP(B16,[1]작가별정산률!$R:$S,2,0)),"스토리위즈",VLOOKUP(B16,[1]작가별정산률!$R:$S,2,0))</f>
        <v>스토리위즈</v>
      </c>
      <c r="N16" s="9" t="str">
        <f>IF(M16="스토리위즈",VLOOKUP(B16,[1]작가별정산률!$A:$B,2,0),M16)</f>
        <v>김광수</v>
      </c>
    </row>
    <row r="17" spans="1:14">
      <c r="A17" t="s">
        <v>90</v>
      </c>
      <c r="B17" t="s">
        <v>12</v>
      </c>
      <c r="C17" t="s">
        <v>21</v>
      </c>
      <c r="D17" t="s">
        <v>13</v>
      </c>
      <c r="E17" t="s">
        <v>14</v>
      </c>
      <c r="F17"/>
      <c r="G17"/>
      <c r="H17">
        <v>900</v>
      </c>
      <c r="I17"/>
      <c r="J17">
        <v>0</v>
      </c>
      <c r="K17">
        <v>900</v>
      </c>
      <c r="L17">
        <v>630</v>
      </c>
      <c r="M17" s="9" t="str">
        <f>IF(ISERROR(VLOOKUP(B17,[1]작가별정산률!$R:$S,2,0)),"스토리위즈",VLOOKUP(B17,[1]작가별정산률!$R:$S,2,0))</f>
        <v>스토리위즈</v>
      </c>
      <c r="N17" s="9" t="str">
        <f>IF(M17="스토리위즈",VLOOKUP(B17,[1]작가별정산률!$A:$B,2,0),M17)</f>
        <v>김광수</v>
      </c>
    </row>
    <row r="18" spans="1:14">
      <c r="A18" t="s">
        <v>91</v>
      </c>
      <c r="B18" t="s">
        <v>12</v>
      </c>
      <c r="C18" t="s">
        <v>21</v>
      </c>
      <c r="D18" t="s">
        <v>13</v>
      </c>
      <c r="E18" t="s">
        <v>14</v>
      </c>
      <c r="F18"/>
      <c r="G18"/>
      <c r="H18">
        <v>900</v>
      </c>
      <c r="I18"/>
      <c r="J18">
        <v>0</v>
      </c>
      <c r="K18">
        <v>900</v>
      </c>
      <c r="L18">
        <v>630</v>
      </c>
      <c r="M18" s="9" t="str">
        <f>IF(ISERROR(VLOOKUP(B18,[1]작가별정산률!$R:$S,2,0)),"스토리위즈",VLOOKUP(B18,[1]작가별정산률!$R:$S,2,0))</f>
        <v>스토리위즈</v>
      </c>
      <c r="N18" s="9" t="str">
        <f>IF(M18="스토리위즈",VLOOKUP(B18,[1]작가별정산률!$A:$B,2,0),M18)</f>
        <v>김광수</v>
      </c>
    </row>
    <row r="19" spans="1:14">
      <c r="A19" t="s">
        <v>93</v>
      </c>
      <c r="B19" t="s">
        <v>20</v>
      </c>
      <c r="C19" t="s">
        <v>21</v>
      </c>
      <c r="D19" t="s">
        <v>13</v>
      </c>
      <c r="E19" t="s">
        <v>18</v>
      </c>
      <c r="F19">
        <v>1</v>
      </c>
      <c r="G19">
        <v>3200</v>
      </c>
      <c r="H19">
        <v>3200</v>
      </c>
      <c r="I19">
        <v>0</v>
      </c>
      <c r="J19">
        <v>0</v>
      </c>
      <c r="K19">
        <v>3200</v>
      </c>
      <c r="L19">
        <v>2240</v>
      </c>
      <c r="M19" s="9" t="str">
        <f>IF(ISERROR(VLOOKUP(B19,[1]작가별정산률!$R:$S,2,0)),"스토리위즈",VLOOKUP(B19,[1]작가별정산률!$R:$S,2,0))</f>
        <v>스토리위즈</v>
      </c>
      <c r="N19" s="9" t="str">
        <f>IF(M19="스토리위즈",VLOOKUP(B19,[1]작가별정산률!$A:$B,2,0),M19)</f>
        <v>무장</v>
      </c>
    </row>
    <row r="20" spans="1:14">
      <c r="A20" t="s">
        <v>45</v>
      </c>
      <c r="B20" t="s">
        <v>20</v>
      </c>
      <c r="C20" t="s">
        <v>21</v>
      </c>
      <c r="D20" t="s">
        <v>13</v>
      </c>
      <c r="E20" t="s">
        <v>18</v>
      </c>
      <c r="F20">
        <v>1</v>
      </c>
      <c r="G20">
        <v>3200</v>
      </c>
      <c r="H20">
        <v>3200</v>
      </c>
      <c r="I20">
        <v>0</v>
      </c>
      <c r="J20">
        <v>0</v>
      </c>
      <c r="K20">
        <v>3200</v>
      </c>
      <c r="L20">
        <v>2240</v>
      </c>
      <c r="M20" s="9" t="str">
        <f>IF(ISERROR(VLOOKUP(B20,[1]작가별정산률!$R:$S,2,0)),"스토리위즈",VLOOKUP(B20,[1]작가별정산률!$R:$S,2,0))</f>
        <v>스토리위즈</v>
      </c>
      <c r="N20" s="9" t="str">
        <f>IF(M20="스토리위즈",VLOOKUP(B20,[1]작가별정산률!$A:$B,2,0),M20)</f>
        <v>무장</v>
      </c>
    </row>
    <row r="21" spans="1:14">
      <c r="A21" t="s">
        <v>127</v>
      </c>
      <c r="B21" t="s">
        <v>20</v>
      </c>
      <c r="C21" t="s">
        <v>21</v>
      </c>
      <c r="D21" t="s">
        <v>13</v>
      </c>
      <c r="E21" t="s">
        <v>18</v>
      </c>
      <c r="F21">
        <v>1</v>
      </c>
      <c r="G21">
        <v>3200</v>
      </c>
      <c r="H21">
        <v>3200</v>
      </c>
      <c r="I21">
        <v>0</v>
      </c>
      <c r="J21">
        <v>0</v>
      </c>
      <c r="K21">
        <v>3200</v>
      </c>
      <c r="L21">
        <v>2240</v>
      </c>
      <c r="M21" s="9" t="str">
        <f>IF(ISERROR(VLOOKUP(B21,[1]작가별정산률!$R:$S,2,0)),"스토리위즈",VLOOKUP(B21,[1]작가별정산률!$R:$S,2,0))</f>
        <v>스토리위즈</v>
      </c>
      <c r="N21" s="9" t="str">
        <f>IF(M21="스토리위즈",VLOOKUP(B21,[1]작가별정산률!$A:$B,2,0),M21)</f>
        <v>무장</v>
      </c>
    </row>
    <row r="22" spans="1:14">
      <c r="A22" t="s">
        <v>128</v>
      </c>
      <c r="B22" t="s">
        <v>20</v>
      </c>
      <c r="C22" t="s">
        <v>21</v>
      </c>
      <c r="D22" t="s">
        <v>13</v>
      </c>
      <c r="E22" t="s">
        <v>18</v>
      </c>
      <c r="F22">
        <v>1</v>
      </c>
      <c r="G22">
        <v>3200</v>
      </c>
      <c r="H22">
        <v>3200</v>
      </c>
      <c r="I22">
        <v>0</v>
      </c>
      <c r="J22">
        <v>0</v>
      </c>
      <c r="K22">
        <v>3200</v>
      </c>
      <c r="L22">
        <v>2240</v>
      </c>
      <c r="M22" s="9" t="str">
        <f>IF(ISERROR(VLOOKUP(B22,[1]작가별정산률!$R:$S,2,0)),"스토리위즈",VLOOKUP(B22,[1]작가별정산률!$R:$S,2,0))</f>
        <v>스토리위즈</v>
      </c>
      <c r="N22" s="9" t="str">
        <f>IF(M22="스토리위즈",VLOOKUP(B22,[1]작가별정산률!$A:$B,2,0),M22)</f>
        <v>무장</v>
      </c>
    </row>
    <row r="23" spans="1:14">
      <c r="A23" t="s">
        <v>129</v>
      </c>
      <c r="B23" t="s">
        <v>20</v>
      </c>
      <c r="C23" t="s">
        <v>21</v>
      </c>
      <c r="D23" t="s">
        <v>13</v>
      </c>
      <c r="E23" t="s">
        <v>18</v>
      </c>
      <c r="F23">
        <v>1</v>
      </c>
      <c r="G23">
        <v>3200</v>
      </c>
      <c r="H23">
        <v>3200</v>
      </c>
      <c r="I23">
        <v>0</v>
      </c>
      <c r="J23">
        <v>0</v>
      </c>
      <c r="K23">
        <v>3200</v>
      </c>
      <c r="L23">
        <v>2240</v>
      </c>
      <c r="M23" s="9" t="str">
        <f>IF(ISERROR(VLOOKUP(B23,[1]작가별정산률!$R:$S,2,0)),"스토리위즈",VLOOKUP(B23,[1]작가별정산률!$R:$S,2,0))</f>
        <v>스토리위즈</v>
      </c>
      <c r="N23" s="9" t="str">
        <f>IF(M23="스토리위즈",VLOOKUP(B23,[1]작가별정산률!$A:$B,2,0),M23)</f>
        <v>무장</v>
      </c>
    </row>
    <row r="24" spans="1:14">
      <c r="A24" t="s">
        <v>130</v>
      </c>
      <c r="B24" t="s">
        <v>20</v>
      </c>
      <c r="C24" t="s">
        <v>21</v>
      </c>
      <c r="D24" t="s">
        <v>13</v>
      </c>
      <c r="E24" t="s">
        <v>18</v>
      </c>
      <c r="F24">
        <v>1</v>
      </c>
      <c r="G24">
        <v>3200</v>
      </c>
      <c r="H24">
        <v>3200</v>
      </c>
      <c r="I24">
        <v>0</v>
      </c>
      <c r="J24">
        <v>0</v>
      </c>
      <c r="K24">
        <v>3200</v>
      </c>
      <c r="L24">
        <v>2240</v>
      </c>
      <c r="M24" s="9" t="str">
        <f>IF(ISERROR(VLOOKUP(B24,[1]작가별정산률!$R:$S,2,0)),"스토리위즈",VLOOKUP(B24,[1]작가별정산률!$R:$S,2,0))</f>
        <v>스토리위즈</v>
      </c>
      <c r="N24" s="9" t="str">
        <f>IF(M24="스토리위즈",VLOOKUP(B24,[1]작가별정산률!$A:$B,2,0),M24)</f>
        <v>무장</v>
      </c>
    </row>
    <row r="25" spans="1:14">
      <c r="A25" t="s">
        <v>131</v>
      </c>
      <c r="B25" t="s">
        <v>20</v>
      </c>
      <c r="C25" t="s">
        <v>21</v>
      </c>
      <c r="D25" t="s">
        <v>13</v>
      </c>
      <c r="E25" t="s">
        <v>18</v>
      </c>
      <c r="F25">
        <v>1</v>
      </c>
      <c r="G25">
        <v>3200</v>
      </c>
      <c r="H25">
        <v>3200</v>
      </c>
      <c r="I25">
        <v>0</v>
      </c>
      <c r="J25">
        <v>0</v>
      </c>
      <c r="K25">
        <v>3200</v>
      </c>
      <c r="L25">
        <v>2240</v>
      </c>
      <c r="M25" s="9" t="str">
        <f>IF(ISERROR(VLOOKUP(B25,[1]작가별정산률!$R:$S,2,0)),"스토리위즈",VLOOKUP(B25,[1]작가별정산률!$R:$S,2,0))</f>
        <v>스토리위즈</v>
      </c>
      <c r="N25" s="9" t="str">
        <f>IF(M25="스토리위즈",VLOOKUP(B25,[1]작가별정산률!$A:$B,2,0),M25)</f>
        <v>무장</v>
      </c>
    </row>
    <row r="26" spans="1:14">
      <c r="A26" t="s">
        <v>46</v>
      </c>
      <c r="B26" t="s">
        <v>20</v>
      </c>
      <c r="C26" t="s">
        <v>21</v>
      </c>
      <c r="D26" t="s">
        <v>13</v>
      </c>
      <c r="E26" t="s">
        <v>18</v>
      </c>
      <c r="F26">
        <v>2</v>
      </c>
      <c r="G26">
        <v>3200</v>
      </c>
      <c r="H26">
        <v>6400</v>
      </c>
      <c r="I26">
        <v>0</v>
      </c>
      <c r="J26">
        <v>0</v>
      </c>
      <c r="K26">
        <v>6400</v>
      </c>
      <c r="L26">
        <v>4480</v>
      </c>
      <c r="M26" s="9" t="str">
        <f>IF(ISERROR(VLOOKUP(B26,[1]작가별정산률!$R:$S,2,0)),"스토리위즈",VLOOKUP(B26,[1]작가별정산률!$R:$S,2,0))</f>
        <v>스토리위즈</v>
      </c>
      <c r="N26" s="9" t="str">
        <f>IF(M26="스토리위즈",VLOOKUP(B26,[1]작가별정산률!$A:$B,2,0),M26)</f>
        <v>무장</v>
      </c>
    </row>
    <row r="27" spans="1:14">
      <c r="A27" t="s">
        <v>47</v>
      </c>
      <c r="B27" t="s">
        <v>20</v>
      </c>
      <c r="C27" t="s">
        <v>21</v>
      </c>
      <c r="D27" t="s">
        <v>13</v>
      </c>
      <c r="E27" t="s">
        <v>18</v>
      </c>
      <c r="F27">
        <v>2</v>
      </c>
      <c r="G27">
        <v>3200</v>
      </c>
      <c r="H27">
        <v>6400</v>
      </c>
      <c r="I27">
        <v>0</v>
      </c>
      <c r="J27">
        <v>0</v>
      </c>
      <c r="K27">
        <v>6400</v>
      </c>
      <c r="L27">
        <v>4480</v>
      </c>
      <c r="M27" s="9" t="str">
        <f>IF(ISERROR(VLOOKUP(B27,[1]작가별정산률!$R:$S,2,0)),"스토리위즈",VLOOKUP(B27,[1]작가별정산률!$R:$S,2,0))</f>
        <v>스토리위즈</v>
      </c>
      <c r="N27" s="9" t="str">
        <f>IF(M27="스토리위즈",VLOOKUP(B27,[1]작가별정산률!$A:$B,2,0),M27)</f>
        <v>무장</v>
      </c>
    </row>
    <row r="28" spans="1:14">
      <c r="A28" t="s">
        <v>48</v>
      </c>
      <c r="B28" t="s">
        <v>20</v>
      </c>
      <c r="C28" t="s">
        <v>21</v>
      </c>
      <c r="D28" t="s">
        <v>13</v>
      </c>
      <c r="E28" t="s">
        <v>18</v>
      </c>
      <c r="F28">
        <v>1</v>
      </c>
      <c r="G28">
        <v>3200</v>
      </c>
      <c r="H28">
        <v>3200</v>
      </c>
      <c r="I28">
        <v>0</v>
      </c>
      <c r="J28">
        <v>0</v>
      </c>
      <c r="K28">
        <v>3200</v>
      </c>
      <c r="L28">
        <v>2240</v>
      </c>
      <c r="M28" s="9" t="str">
        <f>IF(ISERROR(VLOOKUP(B28,[1]작가별정산률!$R:$S,2,0)),"스토리위즈",VLOOKUP(B28,[1]작가별정산률!$R:$S,2,0))</f>
        <v>스토리위즈</v>
      </c>
      <c r="N28" s="9" t="str">
        <f>IF(M28="스토리위즈",VLOOKUP(B28,[1]작가별정산률!$A:$B,2,0),M28)</f>
        <v>무장</v>
      </c>
    </row>
    <row r="29" spans="1:14">
      <c r="A29" t="s">
        <v>49</v>
      </c>
      <c r="B29" t="s">
        <v>20</v>
      </c>
      <c r="C29" t="s">
        <v>21</v>
      </c>
      <c r="D29" t="s">
        <v>13</v>
      </c>
      <c r="E29" t="s">
        <v>18</v>
      </c>
      <c r="F29">
        <v>1</v>
      </c>
      <c r="G29">
        <v>3200</v>
      </c>
      <c r="H29">
        <v>3200</v>
      </c>
      <c r="I29">
        <v>0</v>
      </c>
      <c r="J29">
        <v>0</v>
      </c>
      <c r="K29">
        <v>3200</v>
      </c>
      <c r="L29">
        <v>2240</v>
      </c>
      <c r="M29" s="9" t="str">
        <f>IF(ISERROR(VLOOKUP(B29,[1]작가별정산률!$R:$S,2,0)),"스토리위즈",VLOOKUP(B29,[1]작가별정산률!$R:$S,2,0))</f>
        <v>스토리위즈</v>
      </c>
      <c r="N29" s="9" t="str">
        <f>IF(M29="스토리위즈",VLOOKUP(B29,[1]작가별정산률!$A:$B,2,0),M29)</f>
        <v>무장</v>
      </c>
    </row>
    <row r="30" spans="1:14">
      <c r="A30" t="s">
        <v>50</v>
      </c>
      <c r="B30" t="s">
        <v>20</v>
      </c>
      <c r="C30" t="s">
        <v>21</v>
      </c>
      <c r="D30" t="s">
        <v>13</v>
      </c>
      <c r="E30" t="s">
        <v>18</v>
      </c>
      <c r="F30">
        <v>1</v>
      </c>
      <c r="G30">
        <v>3200</v>
      </c>
      <c r="H30">
        <v>3200</v>
      </c>
      <c r="I30">
        <v>0</v>
      </c>
      <c r="J30">
        <v>0</v>
      </c>
      <c r="K30">
        <v>3200</v>
      </c>
      <c r="L30">
        <v>2240</v>
      </c>
      <c r="M30" s="9" t="str">
        <f>IF(ISERROR(VLOOKUP(B30,[1]작가별정산률!$R:$S,2,0)),"스토리위즈",VLOOKUP(B30,[1]작가별정산률!$R:$S,2,0))</f>
        <v>스토리위즈</v>
      </c>
      <c r="N30" s="9" t="str">
        <f>IF(M30="스토리위즈",VLOOKUP(B30,[1]작가별정산률!$A:$B,2,0),M30)</f>
        <v>무장</v>
      </c>
    </row>
    <row r="31" spans="1:14">
      <c r="A31" t="s">
        <v>132</v>
      </c>
      <c r="B31" t="s">
        <v>20</v>
      </c>
      <c r="C31" t="s">
        <v>21</v>
      </c>
      <c r="D31" t="s">
        <v>13</v>
      </c>
      <c r="E31" t="s">
        <v>18</v>
      </c>
      <c r="F31">
        <v>1</v>
      </c>
      <c r="G31">
        <v>3200</v>
      </c>
      <c r="H31">
        <v>3200</v>
      </c>
      <c r="I31">
        <v>0</v>
      </c>
      <c r="J31">
        <v>0</v>
      </c>
      <c r="K31">
        <v>3200</v>
      </c>
      <c r="L31">
        <v>2240</v>
      </c>
      <c r="M31" s="9" t="str">
        <f>IF(ISERROR(VLOOKUP(B31,[1]작가별정산률!$R:$S,2,0)),"스토리위즈",VLOOKUP(B31,[1]작가별정산률!$R:$S,2,0))</f>
        <v>스토리위즈</v>
      </c>
      <c r="N31" s="9" t="str">
        <f>IF(M31="스토리위즈",VLOOKUP(B31,[1]작가별정산률!$A:$B,2,0),M31)</f>
        <v>무장</v>
      </c>
    </row>
    <row r="32" spans="1:14">
      <c r="A32" t="s">
        <v>51</v>
      </c>
      <c r="B32" t="s">
        <v>19</v>
      </c>
      <c r="C32" t="s">
        <v>21</v>
      </c>
      <c r="D32" t="s">
        <v>13</v>
      </c>
      <c r="E32" t="s">
        <v>18</v>
      </c>
      <c r="F32">
        <v>1</v>
      </c>
      <c r="G32">
        <v>3200</v>
      </c>
      <c r="H32">
        <v>3200</v>
      </c>
      <c r="I32">
        <v>0</v>
      </c>
      <c r="J32">
        <v>0</v>
      </c>
      <c r="K32">
        <v>3200</v>
      </c>
      <c r="L32">
        <v>2240</v>
      </c>
      <c r="M32" s="9" t="str">
        <f>IF(ISERROR(VLOOKUP(B32,[1]작가별정산률!$R:$S,2,0)),"스토리위즈",VLOOKUP(B32,[1]작가별정산률!$R:$S,2,0))</f>
        <v>스토리위즈</v>
      </c>
      <c r="N32" s="9" t="str">
        <f>IF(M32="스토리위즈",VLOOKUP(B32,[1]작가별정산률!$A:$B,2,0),M32)</f>
        <v>권용찬</v>
      </c>
    </row>
    <row r="33" spans="1:14">
      <c r="A33" t="s">
        <v>203</v>
      </c>
      <c r="B33" t="s">
        <v>20</v>
      </c>
      <c r="C33" t="s">
        <v>21</v>
      </c>
      <c r="D33" t="s">
        <v>13</v>
      </c>
      <c r="E33" t="s">
        <v>16</v>
      </c>
      <c r="F33">
        <v>81</v>
      </c>
      <c r="G33">
        <v>100</v>
      </c>
      <c r="H33">
        <v>8100</v>
      </c>
      <c r="I33">
        <v>0</v>
      </c>
      <c r="J33">
        <v>0</v>
      </c>
      <c r="K33">
        <v>8100</v>
      </c>
      <c r="L33">
        <v>5670</v>
      </c>
      <c r="M33" s="9" t="str">
        <f>IF(ISERROR(VLOOKUP(B33,[1]작가별정산률!$R:$S,2,0)),"스토리위즈",VLOOKUP(B33,[1]작가별정산률!$R:$S,2,0))</f>
        <v>스토리위즈</v>
      </c>
      <c r="N33" s="9" t="str">
        <f>IF(M33="스토리위즈",VLOOKUP(B33,[1]작가별정산률!$A:$B,2,0),M33)</f>
        <v>무장</v>
      </c>
    </row>
    <row r="34" spans="1:14">
      <c r="A34" t="s">
        <v>204</v>
      </c>
      <c r="B34" t="s">
        <v>205</v>
      </c>
      <c r="C34" t="s">
        <v>21</v>
      </c>
      <c r="D34" t="s">
        <v>13</v>
      </c>
      <c r="E34" t="s">
        <v>16</v>
      </c>
      <c r="F34">
        <v>7</v>
      </c>
      <c r="G34">
        <v>100</v>
      </c>
      <c r="H34">
        <v>700</v>
      </c>
      <c r="I34">
        <v>0</v>
      </c>
      <c r="J34">
        <v>0</v>
      </c>
      <c r="K34">
        <v>700</v>
      </c>
      <c r="L34">
        <v>490</v>
      </c>
      <c r="M34" s="9" t="str">
        <f>IF(ISERROR(VLOOKUP(B34,[1]작가별정산률!$R:$S,2,0)),"스토리위즈",VLOOKUP(B34,[1]작가별정산률!$R:$S,2,0))</f>
        <v>스토리위즈</v>
      </c>
      <c r="N34" s="9" t="str">
        <f>IF(M34="스토리위즈",VLOOKUP(B34,[1]작가별정산률!$A:$B,2,0),M34)</f>
        <v>예로나</v>
      </c>
    </row>
    <row r="35" spans="1:14">
      <c r="A35" t="s">
        <v>206</v>
      </c>
      <c r="B35" t="s">
        <v>207</v>
      </c>
      <c r="C35" t="s">
        <v>21</v>
      </c>
      <c r="D35" t="s">
        <v>92</v>
      </c>
      <c r="E35" t="s">
        <v>208</v>
      </c>
      <c r="F35">
        <v>1</v>
      </c>
      <c r="G35">
        <v>3200</v>
      </c>
      <c r="H35">
        <v>3200</v>
      </c>
      <c r="I35">
        <v>0</v>
      </c>
      <c r="J35">
        <v>0</v>
      </c>
      <c r="K35">
        <v>3200</v>
      </c>
      <c r="L35">
        <v>1600</v>
      </c>
      <c r="M35" s="9" t="str">
        <f>IF(ISERROR(VLOOKUP(B35,[1]작가별정산률!$R:$S,2,0)),"스토리위즈",VLOOKUP(B35,[1]작가별정산률!$R:$S,2,0))</f>
        <v>스토리위즈</v>
      </c>
      <c r="N35" s="9" t="str">
        <f>IF(M35="스토리위즈",VLOOKUP(B35,[1]작가별정산률!$A:$B,2,0),M35)</f>
        <v>단팥크림빵7</v>
      </c>
    </row>
    <row r="36" spans="1:14">
      <c r="A36" t="s">
        <v>206</v>
      </c>
      <c r="B36" t="s">
        <v>207</v>
      </c>
      <c r="C36" t="s">
        <v>21</v>
      </c>
      <c r="D36" t="s">
        <v>92</v>
      </c>
      <c r="E36" t="s">
        <v>209</v>
      </c>
      <c r="F36">
        <v>1</v>
      </c>
      <c r="G36">
        <v>3200</v>
      </c>
      <c r="H36">
        <v>3200</v>
      </c>
      <c r="I36">
        <v>0</v>
      </c>
      <c r="J36">
        <v>0</v>
      </c>
      <c r="K36">
        <v>3200</v>
      </c>
      <c r="L36">
        <v>1600</v>
      </c>
      <c r="M36" s="9" t="str">
        <f>IF(ISERROR(VLOOKUP(B36,[1]작가별정산률!$R:$S,2,0)),"스토리위즈",VLOOKUP(B36,[1]작가별정산률!$R:$S,2,0))</f>
        <v>스토리위즈</v>
      </c>
      <c r="N36" s="9" t="str">
        <f>IF(M36="스토리위즈",VLOOKUP(B36,[1]작가별정산률!$A:$B,2,0),M36)</f>
        <v>단팥크림빵7</v>
      </c>
    </row>
    <row r="37" spans="1:14">
      <c r="A37" t="s">
        <v>210</v>
      </c>
      <c r="B37" t="s">
        <v>207</v>
      </c>
      <c r="C37" t="s">
        <v>21</v>
      </c>
      <c r="D37" t="s">
        <v>92</v>
      </c>
      <c r="E37" t="s">
        <v>208</v>
      </c>
      <c r="F37">
        <v>1</v>
      </c>
      <c r="G37">
        <v>3200</v>
      </c>
      <c r="H37">
        <v>3200</v>
      </c>
      <c r="I37">
        <v>0</v>
      </c>
      <c r="J37">
        <v>0</v>
      </c>
      <c r="K37">
        <v>3200</v>
      </c>
      <c r="L37">
        <v>1600</v>
      </c>
      <c r="M37" s="9" t="str">
        <f>IF(ISERROR(VLOOKUP(B37,[1]작가별정산률!$R:$S,2,0)),"스토리위즈",VLOOKUP(B37,[1]작가별정산률!$R:$S,2,0))</f>
        <v>스토리위즈</v>
      </c>
      <c r="N37" s="9" t="str">
        <f>IF(M37="스토리위즈",VLOOKUP(B37,[1]작가별정산률!$A:$B,2,0),M37)</f>
        <v>단팥크림빵7</v>
      </c>
    </row>
    <row r="38" spans="1:14">
      <c r="A38" t="s">
        <v>210</v>
      </c>
      <c r="B38" t="s">
        <v>207</v>
      </c>
      <c r="C38" t="s">
        <v>21</v>
      </c>
      <c r="D38" t="s">
        <v>92</v>
      </c>
      <c r="E38" t="s">
        <v>209</v>
      </c>
      <c r="F38">
        <v>1</v>
      </c>
      <c r="G38">
        <v>3200</v>
      </c>
      <c r="H38">
        <v>3200</v>
      </c>
      <c r="I38">
        <v>0</v>
      </c>
      <c r="J38">
        <v>0</v>
      </c>
      <c r="K38">
        <v>3200</v>
      </c>
      <c r="L38">
        <v>1600</v>
      </c>
      <c r="M38" s="9" t="str">
        <f>IF(ISERROR(VLOOKUP(B38,[1]작가별정산률!$R:$S,2,0)),"스토리위즈",VLOOKUP(B38,[1]작가별정산률!$R:$S,2,0))</f>
        <v>스토리위즈</v>
      </c>
      <c r="N38" s="9" t="str">
        <f>IF(M38="스토리위즈",VLOOKUP(B38,[1]작가별정산률!$A:$B,2,0),M38)</f>
        <v>단팥크림빵7</v>
      </c>
    </row>
    <row r="39" spans="1:14">
      <c r="A39" t="s">
        <v>211</v>
      </c>
      <c r="B39" t="s">
        <v>207</v>
      </c>
      <c r="C39" t="s">
        <v>21</v>
      </c>
      <c r="D39" t="s">
        <v>92</v>
      </c>
      <c r="E39" t="s">
        <v>209</v>
      </c>
      <c r="F39">
        <v>1</v>
      </c>
      <c r="G39">
        <v>3200</v>
      </c>
      <c r="H39">
        <v>3200</v>
      </c>
      <c r="I39">
        <v>0</v>
      </c>
      <c r="J39">
        <v>0</v>
      </c>
      <c r="K39">
        <v>3200</v>
      </c>
      <c r="L39">
        <v>1600</v>
      </c>
      <c r="M39" s="9" t="str">
        <f>IF(ISERROR(VLOOKUP(B39,[1]작가별정산률!$R:$S,2,0)),"스토리위즈",VLOOKUP(B39,[1]작가별정산률!$R:$S,2,0))</f>
        <v>스토리위즈</v>
      </c>
      <c r="N39" s="9" t="str">
        <f>IF(M39="스토리위즈",VLOOKUP(B39,[1]작가별정산률!$A:$B,2,0),M39)</f>
        <v>단팥크림빵7</v>
      </c>
    </row>
    <row r="40" spans="1:14">
      <c r="A40" t="s">
        <v>211</v>
      </c>
      <c r="B40" t="s">
        <v>207</v>
      </c>
      <c r="C40" t="s">
        <v>21</v>
      </c>
      <c r="D40" t="s">
        <v>92</v>
      </c>
      <c r="E40" t="s">
        <v>208</v>
      </c>
      <c r="F40">
        <v>1</v>
      </c>
      <c r="G40">
        <v>3200</v>
      </c>
      <c r="H40">
        <v>3200</v>
      </c>
      <c r="I40">
        <v>0</v>
      </c>
      <c r="J40">
        <v>0</v>
      </c>
      <c r="K40">
        <v>3200</v>
      </c>
      <c r="L40">
        <v>1600</v>
      </c>
      <c r="M40" s="9" t="str">
        <f>IF(ISERROR(VLOOKUP(B40,[1]작가별정산률!$R:$S,2,0)),"스토리위즈",VLOOKUP(B40,[1]작가별정산률!$R:$S,2,0))</f>
        <v>스토리위즈</v>
      </c>
      <c r="N40" s="9" t="str">
        <f>IF(M40="스토리위즈",VLOOKUP(B40,[1]작가별정산률!$A:$B,2,0),M40)</f>
        <v>단팥크림빵7</v>
      </c>
    </row>
    <row r="41" spans="1:14">
      <c r="A41" t="s">
        <v>212</v>
      </c>
      <c r="B41" t="s">
        <v>207</v>
      </c>
      <c r="C41" t="s">
        <v>21</v>
      </c>
      <c r="D41" t="s">
        <v>92</v>
      </c>
      <c r="E41" t="s">
        <v>208</v>
      </c>
      <c r="F41">
        <v>1</v>
      </c>
      <c r="G41">
        <v>3200</v>
      </c>
      <c r="H41">
        <v>3200</v>
      </c>
      <c r="I41">
        <v>0</v>
      </c>
      <c r="J41">
        <v>0</v>
      </c>
      <c r="K41">
        <v>3200</v>
      </c>
      <c r="L41">
        <v>1600</v>
      </c>
      <c r="M41" s="9" t="str">
        <f>IF(ISERROR(VLOOKUP(B41,[1]작가별정산률!$R:$S,2,0)),"스토리위즈",VLOOKUP(B41,[1]작가별정산률!$R:$S,2,0))</f>
        <v>스토리위즈</v>
      </c>
      <c r="N41" s="9" t="str">
        <f>IF(M41="스토리위즈",VLOOKUP(B41,[1]작가별정산률!$A:$B,2,0),M41)</f>
        <v>단팥크림빵7</v>
      </c>
    </row>
    <row r="42" spans="1:14">
      <c r="A42" t="s">
        <v>212</v>
      </c>
      <c r="B42" t="s">
        <v>207</v>
      </c>
      <c r="C42" t="s">
        <v>21</v>
      </c>
      <c r="D42" t="s">
        <v>92</v>
      </c>
      <c r="E42" t="s">
        <v>209</v>
      </c>
      <c r="F42">
        <v>1</v>
      </c>
      <c r="G42">
        <v>3200</v>
      </c>
      <c r="H42">
        <v>3200</v>
      </c>
      <c r="I42">
        <v>0</v>
      </c>
      <c r="J42">
        <v>0</v>
      </c>
      <c r="K42">
        <v>3200</v>
      </c>
      <c r="L42">
        <v>1600</v>
      </c>
      <c r="M42" s="9" t="str">
        <f>IF(ISERROR(VLOOKUP(B42,[1]작가별정산률!$R:$S,2,0)),"스토리위즈",VLOOKUP(B42,[1]작가별정산률!$R:$S,2,0))</f>
        <v>스토리위즈</v>
      </c>
      <c r="N42" s="9" t="str">
        <f>IF(M42="스토리위즈",VLOOKUP(B42,[1]작가별정산률!$A:$B,2,0),M42)</f>
        <v>단팥크림빵7</v>
      </c>
    </row>
    <row r="43" spans="1:14">
      <c r="A43" t="s">
        <v>213</v>
      </c>
      <c r="B43" t="s">
        <v>207</v>
      </c>
      <c r="C43" t="s">
        <v>21</v>
      </c>
      <c r="D43" t="s">
        <v>92</v>
      </c>
      <c r="E43" t="s">
        <v>209</v>
      </c>
      <c r="F43">
        <v>1</v>
      </c>
      <c r="G43">
        <v>3200</v>
      </c>
      <c r="H43">
        <v>3200</v>
      </c>
      <c r="I43">
        <v>0</v>
      </c>
      <c r="J43">
        <v>0</v>
      </c>
      <c r="K43">
        <v>3200</v>
      </c>
      <c r="L43">
        <v>1600</v>
      </c>
      <c r="M43" s="9" t="str">
        <f>IF(ISERROR(VLOOKUP(B43,[1]작가별정산률!$R:$S,2,0)),"스토리위즈",VLOOKUP(B43,[1]작가별정산률!$R:$S,2,0))</f>
        <v>스토리위즈</v>
      </c>
      <c r="N43" s="9" t="str">
        <f>IF(M43="스토리위즈",VLOOKUP(B43,[1]작가별정산률!$A:$B,2,0),M43)</f>
        <v>단팥크림빵7</v>
      </c>
    </row>
    <row r="44" spans="1:14">
      <c r="A44" t="s">
        <v>213</v>
      </c>
      <c r="B44" t="s">
        <v>207</v>
      </c>
      <c r="C44" t="s">
        <v>21</v>
      </c>
      <c r="D44" t="s">
        <v>92</v>
      </c>
      <c r="E44" t="s">
        <v>208</v>
      </c>
      <c r="F44">
        <v>1</v>
      </c>
      <c r="G44">
        <v>3200</v>
      </c>
      <c r="H44">
        <v>3200</v>
      </c>
      <c r="I44">
        <v>0</v>
      </c>
      <c r="J44">
        <v>0</v>
      </c>
      <c r="K44">
        <v>3200</v>
      </c>
      <c r="L44">
        <v>1600</v>
      </c>
      <c r="M44" s="9" t="str">
        <f>IF(ISERROR(VLOOKUP(B44,[1]작가별정산률!$R:$S,2,0)),"스토리위즈",VLOOKUP(B44,[1]작가별정산률!$R:$S,2,0))</f>
        <v>스토리위즈</v>
      </c>
      <c r="N44" s="9" t="str">
        <f>IF(M44="스토리위즈",VLOOKUP(B44,[1]작가별정산률!$A:$B,2,0),M44)</f>
        <v>단팥크림빵7</v>
      </c>
    </row>
    <row r="45" spans="1:14">
      <c r="A45" t="s">
        <v>133</v>
      </c>
      <c r="B45" t="s">
        <v>15</v>
      </c>
      <c r="C45" t="s">
        <v>21</v>
      </c>
      <c r="D45" t="s">
        <v>13</v>
      </c>
      <c r="E45" t="s">
        <v>16</v>
      </c>
      <c r="F45">
        <v>14</v>
      </c>
      <c r="G45">
        <v>100</v>
      </c>
      <c r="H45">
        <v>1400</v>
      </c>
      <c r="I45">
        <v>0</v>
      </c>
      <c r="J45">
        <v>0</v>
      </c>
      <c r="K45">
        <v>1400</v>
      </c>
      <c r="L45">
        <v>980</v>
      </c>
      <c r="M45" s="9" t="str">
        <f>IF(ISERROR(VLOOKUP(B45,[1]작가별정산률!$R:$S,2,0)),"스토리위즈",VLOOKUP(B45,[1]작가별정산률!$R:$S,2,0))</f>
        <v>스토리위즈</v>
      </c>
      <c r="N45" s="9" t="str">
        <f>IF(M45="스토리위즈",VLOOKUP(B45,[1]작가별정산률!$A:$B,2,0),M45)</f>
        <v>김정률</v>
      </c>
    </row>
    <row r="46" spans="1:14">
      <c r="A46" t="s">
        <v>134</v>
      </c>
      <c r="B46" t="s">
        <v>20</v>
      </c>
      <c r="C46" t="s">
        <v>21</v>
      </c>
      <c r="D46" t="s">
        <v>13</v>
      </c>
      <c r="E46" t="s">
        <v>18</v>
      </c>
      <c r="F46">
        <v>1</v>
      </c>
      <c r="G46">
        <v>3200</v>
      </c>
      <c r="H46">
        <v>3200</v>
      </c>
      <c r="I46">
        <v>0</v>
      </c>
      <c r="J46">
        <v>0</v>
      </c>
      <c r="K46">
        <v>3200</v>
      </c>
      <c r="L46">
        <v>2240</v>
      </c>
      <c r="M46" s="9" t="str">
        <f>IF(ISERROR(VLOOKUP(B46,[1]작가별정산률!$R:$S,2,0)),"스토리위즈",VLOOKUP(B46,[1]작가별정산률!$R:$S,2,0))</f>
        <v>스토리위즈</v>
      </c>
      <c r="N46" s="9" t="str">
        <f>IF(M46="스토리위즈",VLOOKUP(B46,[1]작가별정산률!$A:$B,2,0),M46)</f>
        <v>무장</v>
      </c>
    </row>
    <row r="47" spans="1:14">
      <c r="A47" t="s">
        <v>135</v>
      </c>
      <c r="B47" t="s">
        <v>20</v>
      </c>
      <c r="C47" t="s">
        <v>21</v>
      </c>
      <c r="D47" t="s">
        <v>13</v>
      </c>
      <c r="E47" t="s">
        <v>18</v>
      </c>
      <c r="F47">
        <v>1</v>
      </c>
      <c r="G47">
        <v>3200</v>
      </c>
      <c r="H47">
        <v>3200</v>
      </c>
      <c r="I47">
        <v>0</v>
      </c>
      <c r="J47">
        <v>0</v>
      </c>
      <c r="K47">
        <v>3200</v>
      </c>
      <c r="L47">
        <v>2240</v>
      </c>
      <c r="M47" s="9" t="str">
        <f>IF(ISERROR(VLOOKUP(B47,[1]작가별정산률!$R:$S,2,0)),"스토리위즈",VLOOKUP(B47,[1]작가별정산률!$R:$S,2,0))</f>
        <v>스토리위즈</v>
      </c>
      <c r="N47" s="9" t="str">
        <f>IF(M47="스토리위즈",VLOOKUP(B47,[1]작가별정산률!$A:$B,2,0),M47)</f>
        <v>무장</v>
      </c>
    </row>
    <row r="48" spans="1:14">
      <c r="A48" t="s">
        <v>136</v>
      </c>
      <c r="B48" t="s">
        <v>20</v>
      </c>
      <c r="C48" t="s">
        <v>21</v>
      </c>
      <c r="D48" t="s">
        <v>13</v>
      </c>
      <c r="E48" t="s">
        <v>18</v>
      </c>
      <c r="F48">
        <v>1</v>
      </c>
      <c r="G48">
        <v>3200</v>
      </c>
      <c r="H48">
        <v>3200</v>
      </c>
      <c r="I48">
        <v>0</v>
      </c>
      <c r="J48">
        <v>0</v>
      </c>
      <c r="K48">
        <v>3200</v>
      </c>
      <c r="L48">
        <v>2240</v>
      </c>
      <c r="M48" s="9" t="str">
        <f>IF(ISERROR(VLOOKUP(B48,[1]작가별정산률!$R:$S,2,0)),"스토리위즈",VLOOKUP(B48,[1]작가별정산률!$R:$S,2,0))</f>
        <v>스토리위즈</v>
      </c>
      <c r="N48" s="9" t="str">
        <f>IF(M48="스토리위즈",VLOOKUP(B48,[1]작가별정산률!$A:$B,2,0),M48)</f>
        <v>무장</v>
      </c>
    </row>
    <row r="49" spans="1:14">
      <c r="A49" t="s">
        <v>214</v>
      </c>
      <c r="B49" t="s">
        <v>17</v>
      </c>
      <c r="C49" t="s">
        <v>21</v>
      </c>
      <c r="D49" t="s">
        <v>13</v>
      </c>
      <c r="E49" t="s">
        <v>16</v>
      </c>
      <c r="F49">
        <v>3</v>
      </c>
      <c r="G49">
        <v>100</v>
      </c>
      <c r="H49">
        <v>300</v>
      </c>
      <c r="I49">
        <v>0</v>
      </c>
      <c r="J49">
        <v>0</v>
      </c>
      <c r="K49">
        <v>300</v>
      </c>
      <c r="L49">
        <v>210</v>
      </c>
      <c r="M49" s="9" t="str">
        <f>IF(ISERROR(VLOOKUP(B49,[1]작가별정산률!$R:$S,2,0)),"스토리위즈",VLOOKUP(B49,[1]작가별정산률!$R:$S,2,0))</f>
        <v>스토리위즈</v>
      </c>
      <c r="N49" s="9" t="str">
        <f>IF(M49="스토리위즈",VLOOKUP(B49,[1]작가별정산률!$A:$B,2,0),M49)</f>
        <v>전혁</v>
      </c>
    </row>
    <row r="50" spans="1:14">
      <c r="A50" t="s">
        <v>137</v>
      </c>
      <c r="B50" t="s">
        <v>20</v>
      </c>
      <c r="C50" t="s">
        <v>21</v>
      </c>
      <c r="D50" t="s">
        <v>13</v>
      </c>
      <c r="E50" t="s">
        <v>16</v>
      </c>
      <c r="F50">
        <v>27</v>
      </c>
      <c r="G50">
        <v>100</v>
      </c>
      <c r="H50">
        <v>2700</v>
      </c>
      <c r="I50">
        <v>0</v>
      </c>
      <c r="J50">
        <v>0</v>
      </c>
      <c r="K50">
        <v>2700</v>
      </c>
      <c r="L50">
        <v>1890</v>
      </c>
      <c r="M50" s="9" t="str">
        <f>IF(ISERROR(VLOOKUP(B50,[1]작가별정산률!$R:$S,2,0)),"스토리위즈",VLOOKUP(B50,[1]작가별정산률!$R:$S,2,0))</f>
        <v>스토리위즈</v>
      </c>
      <c r="N50" s="9" t="str">
        <f>IF(M50="스토리위즈",VLOOKUP(B50,[1]작가별정산률!$A:$B,2,0),M50)</f>
        <v>무장</v>
      </c>
    </row>
    <row r="51" spans="1:14">
      <c r="A51" t="s">
        <v>138</v>
      </c>
      <c r="B51" t="s">
        <v>20</v>
      </c>
      <c r="C51" t="s">
        <v>21</v>
      </c>
      <c r="D51" t="s">
        <v>13</v>
      </c>
      <c r="E51" t="s">
        <v>18</v>
      </c>
      <c r="F51">
        <v>1</v>
      </c>
      <c r="G51">
        <v>3200</v>
      </c>
      <c r="H51">
        <v>3200</v>
      </c>
      <c r="I51">
        <v>0</v>
      </c>
      <c r="J51">
        <v>0</v>
      </c>
      <c r="K51">
        <v>3200</v>
      </c>
      <c r="L51">
        <v>2240</v>
      </c>
      <c r="M51" s="9" t="str">
        <f>IF(ISERROR(VLOOKUP(B51,[1]작가별정산률!$R:$S,2,0)),"스토리위즈",VLOOKUP(B51,[1]작가별정산률!$R:$S,2,0))</f>
        <v>스토리위즈</v>
      </c>
      <c r="N51" s="9" t="str">
        <f>IF(M51="스토리위즈",VLOOKUP(B51,[1]작가별정산률!$A:$B,2,0),M51)</f>
        <v>무장</v>
      </c>
    </row>
    <row r="52" spans="1:14">
      <c r="A52" t="s">
        <v>139</v>
      </c>
      <c r="B52" t="s">
        <v>20</v>
      </c>
      <c r="C52" t="s">
        <v>21</v>
      </c>
      <c r="D52" t="s">
        <v>13</v>
      </c>
      <c r="E52" t="s">
        <v>18</v>
      </c>
      <c r="F52">
        <v>1</v>
      </c>
      <c r="G52">
        <v>3200</v>
      </c>
      <c r="H52">
        <v>3200</v>
      </c>
      <c r="I52">
        <v>0</v>
      </c>
      <c r="J52">
        <v>0</v>
      </c>
      <c r="K52">
        <v>3200</v>
      </c>
      <c r="L52">
        <v>2240</v>
      </c>
      <c r="M52" s="9" t="str">
        <f>IF(ISERROR(VLOOKUP(B52,[1]작가별정산률!$R:$S,2,0)),"스토리위즈",VLOOKUP(B52,[1]작가별정산률!$R:$S,2,0))</f>
        <v>스토리위즈</v>
      </c>
      <c r="N52" s="9" t="str">
        <f>IF(M52="스토리위즈",VLOOKUP(B52,[1]작가별정산률!$A:$B,2,0),M52)</f>
        <v>무장</v>
      </c>
    </row>
    <row r="53" spans="1:14">
      <c r="A53" t="s">
        <v>140</v>
      </c>
      <c r="B53" t="s">
        <v>20</v>
      </c>
      <c r="C53" t="s">
        <v>21</v>
      </c>
      <c r="D53" t="s">
        <v>13</v>
      </c>
      <c r="E53" t="s">
        <v>18</v>
      </c>
      <c r="F53">
        <v>1</v>
      </c>
      <c r="G53">
        <v>3200</v>
      </c>
      <c r="H53">
        <v>3200</v>
      </c>
      <c r="I53">
        <v>0</v>
      </c>
      <c r="J53">
        <v>0</v>
      </c>
      <c r="K53">
        <v>3200</v>
      </c>
      <c r="L53">
        <v>2240</v>
      </c>
      <c r="M53" s="9" t="str">
        <f>IF(ISERROR(VLOOKUP(B53,[1]작가별정산률!$R:$S,2,0)),"스토리위즈",VLOOKUP(B53,[1]작가별정산률!$R:$S,2,0))</f>
        <v>스토리위즈</v>
      </c>
      <c r="N53" s="9" t="str">
        <f>IF(M53="스토리위즈",VLOOKUP(B53,[1]작가별정산률!$A:$B,2,0),M53)</f>
        <v>무장</v>
      </c>
    </row>
    <row r="54" spans="1:14">
      <c r="A54" t="s">
        <v>141</v>
      </c>
      <c r="B54" t="s">
        <v>20</v>
      </c>
      <c r="C54" t="s">
        <v>21</v>
      </c>
      <c r="D54" t="s">
        <v>13</v>
      </c>
      <c r="E54" t="s">
        <v>18</v>
      </c>
      <c r="F54">
        <v>1</v>
      </c>
      <c r="G54">
        <v>3200</v>
      </c>
      <c r="H54">
        <v>3200</v>
      </c>
      <c r="I54">
        <v>0</v>
      </c>
      <c r="J54">
        <v>0</v>
      </c>
      <c r="K54">
        <v>3200</v>
      </c>
      <c r="L54">
        <v>2240</v>
      </c>
      <c r="M54" s="9" t="str">
        <f>IF(ISERROR(VLOOKUP(B54,[1]작가별정산률!$R:$S,2,0)),"스토리위즈",VLOOKUP(B54,[1]작가별정산률!$R:$S,2,0))</f>
        <v>스토리위즈</v>
      </c>
      <c r="N54" s="9" t="str">
        <f>IF(M54="스토리위즈",VLOOKUP(B54,[1]작가별정산률!$A:$B,2,0),M54)</f>
        <v>무장</v>
      </c>
    </row>
    <row r="55" spans="1:14">
      <c r="A55" t="s">
        <v>142</v>
      </c>
      <c r="B55" t="s">
        <v>20</v>
      </c>
      <c r="C55" t="s">
        <v>21</v>
      </c>
      <c r="D55" t="s">
        <v>13</v>
      </c>
      <c r="E55" t="s">
        <v>18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  <c r="M55" s="9" t="str">
        <f>IF(ISERROR(VLOOKUP(B55,[1]작가별정산률!$R:$S,2,0)),"스토리위즈",VLOOKUP(B55,[1]작가별정산률!$R:$S,2,0))</f>
        <v>스토리위즈</v>
      </c>
      <c r="N55" s="9" t="str">
        <f>IF(M55="스토리위즈",VLOOKUP(B55,[1]작가별정산률!$A:$B,2,0),M55)</f>
        <v>무장</v>
      </c>
    </row>
    <row r="56" spans="1:14">
      <c r="A56" t="s">
        <v>143</v>
      </c>
      <c r="B56" t="s">
        <v>20</v>
      </c>
      <c r="C56" t="s">
        <v>21</v>
      </c>
      <c r="D56" t="s">
        <v>13</v>
      </c>
      <c r="E56" t="s">
        <v>18</v>
      </c>
      <c r="F56">
        <v>1</v>
      </c>
      <c r="G56">
        <v>3200</v>
      </c>
      <c r="H56">
        <v>3200</v>
      </c>
      <c r="I56">
        <v>0</v>
      </c>
      <c r="J56">
        <v>0</v>
      </c>
      <c r="K56">
        <v>3200</v>
      </c>
      <c r="L56">
        <v>2240</v>
      </c>
      <c r="M56" s="9" t="str">
        <f>IF(ISERROR(VLOOKUP(B56,[1]작가별정산률!$R:$S,2,0)),"스토리위즈",VLOOKUP(B56,[1]작가별정산률!$R:$S,2,0))</f>
        <v>스토리위즈</v>
      </c>
      <c r="N56" s="9" t="str">
        <f>IF(M56="스토리위즈",VLOOKUP(B56,[1]작가별정산률!$A:$B,2,0),M56)</f>
        <v>무장</v>
      </c>
    </row>
    <row r="57" spans="1:14">
      <c r="A57" t="s">
        <v>94</v>
      </c>
      <c r="B57" t="s">
        <v>20</v>
      </c>
      <c r="C57" t="s">
        <v>21</v>
      </c>
      <c r="D57" t="s">
        <v>13</v>
      </c>
      <c r="E57" t="s">
        <v>18</v>
      </c>
      <c r="F57">
        <v>1</v>
      </c>
      <c r="G57">
        <v>3200</v>
      </c>
      <c r="H57">
        <v>3200</v>
      </c>
      <c r="I57">
        <v>0</v>
      </c>
      <c r="J57">
        <v>0</v>
      </c>
      <c r="K57">
        <v>3200</v>
      </c>
      <c r="L57">
        <v>2240</v>
      </c>
      <c r="M57" s="9" t="str">
        <f>IF(ISERROR(VLOOKUP(B57,[1]작가별정산률!$R:$S,2,0)),"스토리위즈",VLOOKUP(B57,[1]작가별정산률!$R:$S,2,0))</f>
        <v>스토리위즈</v>
      </c>
      <c r="N57" s="9" t="str">
        <f>IF(M57="스토리위즈",VLOOKUP(B57,[1]작가별정산률!$A:$B,2,0),M57)</f>
        <v>무장</v>
      </c>
    </row>
    <row r="58" spans="1:14">
      <c r="A58" t="s">
        <v>144</v>
      </c>
      <c r="B58" t="s">
        <v>20</v>
      </c>
      <c r="C58" t="s">
        <v>21</v>
      </c>
      <c r="D58" t="s">
        <v>13</v>
      </c>
      <c r="E58" t="s">
        <v>18</v>
      </c>
      <c r="F58">
        <v>1</v>
      </c>
      <c r="G58">
        <v>3200</v>
      </c>
      <c r="H58">
        <v>3200</v>
      </c>
      <c r="I58">
        <v>0</v>
      </c>
      <c r="J58">
        <v>0</v>
      </c>
      <c r="K58">
        <v>3200</v>
      </c>
      <c r="L58">
        <v>2240</v>
      </c>
      <c r="M58" s="9" t="str">
        <f>IF(ISERROR(VLOOKUP(B58,[1]작가별정산률!$R:$S,2,0)),"스토리위즈",VLOOKUP(B58,[1]작가별정산률!$R:$S,2,0))</f>
        <v>스토리위즈</v>
      </c>
      <c r="N58" s="9" t="str">
        <f>IF(M58="스토리위즈",VLOOKUP(B58,[1]작가별정산률!$A:$B,2,0),M58)</f>
        <v>무장</v>
      </c>
    </row>
    <row r="59" spans="1:14">
      <c r="A59" t="s">
        <v>95</v>
      </c>
      <c r="B59" t="s">
        <v>20</v>
      </c>
      <c r="C59" t="s">
        <v>21</v>
      </c>
      <c r="D59" t="s">
        <v>13</v>
      </c>
      <c r="E59" t="s">
        <v>18</v>
      </c>
      <c r="F59">
        <v>1</v>
      </c>
      <c r="G59">
        <v>3200</v>
      </c>
      <c r="H59">
        <v>3200</v>
      </c>
      <c r="I59">
        <v>0</v>
      </c>
      <c r="J59">
        <v>0</v>
      </c>
      <c r="K59">
        <v>3200</v>
      </c>
      <c r="L59">
        <v>2240</v>
      </c>
      <c r="M59" s="9" t="str">
        <f>IF(ISERROR(VLOOKUP(B59,[1]작가별정산률!$R:$S,2,0)),"스토리위즈",VLOOKUP(B59,[1]작가별정산률!$R:$S,2,0))</f>
        <v>스토리위즈</v>
      </c>
      <c r="N59" s="9" t="str">
        <f>IF(M59="스토리위즈",VLOOKUP(B59,[1]작가별정산률!$A:$B,2,0),M59)</f>
        <v>무장</v>
      </c>
    </row>
    <row r="60" spans="1:14">
      <c r="A60" t="s">
        <v>145</v>
      </c>
      <c r="B60" t="s">
        <v>20</v>
      </c>
      <c r="C60" t="s">
        <v>21</v>
      </c>
      <c r="D60" t="s">
        <v>13</v>
      </c>
      <c r="E60" t="s">
        <v>18</v>
      </c>
      <c r="F60">
        <v>1</v>
      </c>
      <c r="G60">
        <v>3200</v>
      </c>
      <c r="H60">
        <v>3200</v>
      </c>
      <c r="I60">
        <v>0</v>
      </c>
      <c r="J60">
        <v>0</v>
      </c>
      <c r="K60">
        <v>3200</v>
      </c>
      <c r="L60">
        <v>2240</v>
      </c>
      <c r="M60" s="9" t="str">
        <f>IF(ISERROR(VLOOKUP(B60,[1]작가별정산률!$R:$S,2,0)),"스토리위즈",VLOOKUP(B60,[1]작가별정산률!$R:$S,2,0))</f>
        <v>스토리위즈</v>
      </c>
      <c r="N60" s="9" t="str">
        <f>IF(M60="스토리위즈",VLOOKUP(B60,[1]작가별정산률!$A:$B,2,0),M60)</f>
        <v>무장</v>
      </c>
    </row>
    <row r="61" spans="1:14">
      <c r="A61" t="s">
        <v>96</v>
      </c>
      <c r="B61" t="s">
        <v>20</v>
      </c>
      <c r="C61" t="s">
        <v>21</v>
      </c>
      <c r="D61" t="s">
        <v>13</v>
      </c>
      <c r="E61" t="s">
        <v>18</v>
      </c>
      <c r="F61">
        <v>1</v>
      </c>
      <c r="G61">
        <v>3200</v>
      </c>
      <c r="H61">
        <v>3200</v>
      </c>
      <c r="I61">
        <v>0</v>
      </c>
      <c r="J61">
        <v>0</v>
      </c>
      <c r="K61">
        <v>3200</v>
      </c>
      <c r="L61">
        <v>2240</v>
      </c>
      <c r="M61" s="9" t="str">
        <f>IF(ISERROR(VLOOKUP(B61,[1]작가별정산률!$R:$S,2,0)),"스토리위즈",VLOOKUP(B61,[1]작가별정산률!$R:$S,2,0))</f>
        <v>스토리위즈</v>
      </c>
      <c r="N61" s="9" t="str">
        <f>IF(M61="스토리위즈",VLOOKUP(B61,[1]작가별정산률!$A:$B,2,0),M61)</f>
        <v>무장</v>
      </c>
    </row>
    <row r="62" spans="1:14">
      <c r="A62" t="s">
        <v>146</v>
      </c>
      <c r="B62" t="s">
        <v>20</v>
      </c>
      <c r="C62" t="s">
        <v>21</v>
      </c>
      <c r="D62" t="s">
        <v>13</v>
      </c>
      <c r="E62" t="s">
        <v>18</v>
      </c>
      <c r="F62">
        <v>1</v>
      </c>
      <c r="G62">
        <v>3200</v>
      </c>
      <c r="H62">
        <v>3200</v>
      </c>
      <c r="I62">
        <v>0</v>
      </c>
      <c r="J62">
        <v>0</v>
      </c>
      <c r="K62">
        <v>3200</v>
      </c>
      <c r="L62">
        <v>2240</v>
      </c>
      <c r="M62" s="9" t="str">
        <f>IF(ISERROR(VLOOKUP(B62,[1]작가별정산률!$R:$S,2,0)),"스토리위즈",VLOOKUP(B62,[1]작가별정산률!$R:$S,2,0))</f>
        <v>스토리위즈</v>
      </c>
      <c r="N62" s="9" t="str">
        <f>IF(M62="스토리위즈",VLOOKUP(B62,[1]작가별정산률!$A:$B,2,0),M62)</f>
        <v>무장</v>
      </c>
    </row>
    <row r="63" spans="1:14">
      <c r="A63" t="s">
        <v>24</v>
      </c>
      <c r="B63" t="s">
        <v>20</v>
      </c>
      <c r="C63" t="s">
        <v>21</v>
      </c>
      <c r="D63" t="s">
        <v>13</v>
      </c>
      <c r="E63" t="s">
        <v>18</v>
      </c>
      <c r="F63">
        <v>1</v>
      </c>
      <c r="G63">
        <v>3200</v>
      </c>
      <c r="H63">
        <v>3200</v>
      </c>
      <c r="I63">
        <v>0</v>
      </c>
      <c r="J63">
        <v>0</v>
      </c>
      <c r="K63">
        <v>3200</v>
      </c>
      <c r="L63">
        <v>2240</v>
      </c>
      <c r="M63" s="9" t="str">
        <f>IF(ISERROR(VLOOKUP(B63,[1]작가별정산률!$R:$S,2,0)),"스토리위즈",VLOOKUP(B63,[1]작가별정산률!$R:$S,2,0))</f>
        <v>스토리위즈</v>
      </c>
      <c r="N63" s="9" t="str">
        <f>IF(M63="스토리위즈",VLOOKUP(B63,[1]작가별정산률!$A:$B,2,0),M63)</f>
        <v>무장</v>
      </c>
    </row>
    <row r="64" spans="1:14">
      <c r="A64" t="s">
        <v>147</v>
      </c>
      <c r="B64" t="s">
        <v>20</v>
      </c>
      <c r="C64" t="s">
        <v>21</v>
      </c>
      <c r="D64" t="s">
        <v>13</v>
      </c>
      <c r="E64" t="s">
        <v>18</v>
      </c>
      <c r="F64">
        <v>1</v>
      </c>
      <c r="G64">
        <v>3200</v>
      </c>
      <c r="H64">
        <v>3200</v>
      </c>
      <c r="I64">
        <v>0</v>
      </c>
      <c r="J64">
        <v>0</v>
      </c>
      <c r="K64">
        <v>3200</v>
      </c>
      <c r="L64">
        <v>2240</v>
      </c>
      <c r="M64" s="9" t="str">
        <f>IF(ISERROR(VLOOKUP(B64,[1]작가별정산률!$R:$S,2,0)),"스토리위즈",VLOOKUP(B64,[1]작가별정산률!$R:$S,2,0))</f>
        <v>스토리위즈</v>
      </c>
      <c r="N64" s="9" t="str">
        <f>IF(M64="스토리위즈",VLOOKUP(B64,[1]작가별정산률!$A:$B,2,0),M64)</f>
        <v>무장</v>
      </c>
    </row>
    <row r="65" spans="1:14">
      <c r="A65" t="s">
        <v>148</v>
      </c>
      <c r="B65" t="s">
        <v>20</v>
      </c>
      <c r="C65" t="s">
        <v>21</v>
      </c>
      <c r="D65" t="s">
        <v>13</v>
      </c>
      <c r="E65" t="s">
        <v>18</v>
      </c>
      <c r="F65">
        <v>1</v>
      </c>
      <c r="G65">
        <v>3200</v>
      </c>
      <c r="H65">
        <v>3200</v>
      </c>
      <c r="I65">
        <v>0</v>
      </c>
      <c r="J65">
        <v>0</v>
      </c>
      <c r="K65">
        <v>3200</v>
      </c>
      <c r="L65">
        <v>2240</v>
      </c>
      <c r="M65" s="9" t="str">
        <f>IF(ISERROR(VLOOKUP(B65,[1]작가별정산률!$R:$S,2,0)),"스토리위즈",VLOOKUP(B65,[1]작가별정산률!$R:$S,2,0))</f>
        <v>스토리위즈</v>
      </c>
      <c r="N65" s="9" t="str">
        <f>IF(M65="스토리위즈",VLOOKUP(B65,[1]작가별정산률!$A:$B,2,0),M65)</f>
        <v>무장</v>
      </c>
    </row>
    <row r="66" spans="1:14">
      <c r="A66" t="s">
        <v>149</v>
      </c>
      <c r="B66" t="s">
        <v>20</v>
      </c>
      <c r="C66" t="s">
        <v>21</v>
      </c>
      <c r="D66" t="s">
        <v>13</v>
      </c>
      <c r="E66" t="s">
        <v>18</v>
      </c>
      <c r="F66">
        <v>1</v>
      </c>
      <c r="G66">
        <v>3200</v>
      </c>
      <c r="H66">
        <v>3200</v>
      </c>
      <c r="I66">
        <v>0</v>
      </c>
      <c r="J66">
        <v>0</v>
      </c>
      <c r="K66">
        <v>3200</v>
      </c>
      <c r="L66">
        <v>2240</v>
      </c>
      <c r="M66" s="9" t="str">
        <f>IF(ISERROR(VLOOKUP(B66,[1]작가별정산률!$R:$S,2,0)),"스토리위즈",VLOOKUP(B66,[1]작가별정산률!$R:$S,2,0))</f>
        <v>스토리위즈</v>
      </c>
      <c r="N66" s="9" t="str">
        <f>IF(M66="스토리위즈",VLOOKUP(B66,[1]작가별정산률!$A:$B,2,0),M66)</f>
        <v>무장</v>
      </c>
    </row>
    <row r="67" spans="1:14">
      <c r="A67" t="s">
        <v>150</v>
      </c>
      <c r="B67" t="s">
        <v>20</v>
      </c>
      <c r="C67" t="s">
        <v>21</v>
      </c>
      <c r="D67" t="s">
        <v>13</v>
      </c>
      <c r="E67" t="s">
        <v>18</v>
      </c>
      <c r="F67">
        <v>1</v>
      </c>
      <c r="G67">
        <v>3200</v>
      </c>
      <c r="H67">
        <v>3200</v>
      </c>
      <c r="I67">
        <v>0</v>
      </c>
      <c r="J67">
        <v>0</v>
      </c>
      <c r="K67">
        <v>3200</v>
      </c>
      <c r="L67">
        <v>2240</v>
      </c>
      <c r="M67" s="9" t="str">
        <f>IF(ISERROR(VLOOKUP(B67,[1]작가별정산률!$R:$S,2,0)),"스토리위즈",VLOOKUP(B67,[1]작가별정산률!$R:$S,2,0))</f>
        <v>스토리위즈</v>
      </c>
      <c r="N67" s="9" t="str">
        <f>IF(M67="스토리위즈",VLOOKUP(B67,[1]작가별정산률!$A:$B,2,0),M67)</f>
        <v>무장</v>
      </c>
    </row>
    <row r="68" spans="1:14">
      <c r="A68" t="s">
        <v>151</v>
      </c>
      <c r="B68" t="s">
        <v>20</v>
      </c>
      <c r="C68" t="s">
        <v>21</v>
      </c>
      <c r="D68" t="s">
        <v>13</v>
      </c>
      <c r="E68" t="s">
        <v>18</v>
      </c>
      <c r="F68">
        <v>1</v>
      </c>
      <c r="G68">
        <v>3200</v>
      </c>
      <c r="H68">
        <v>3200</v>
      </c>
      <c r="I68">
        <v>0</v>
      </c>
      <c r="J68">
        <v>0</v>
      </c>
      <c r="K68">
        <v>3200</v>
      </c>
      <c r="L68">
        <v>2240</v>
      </c>
      <c r="M68" s="9" t="str">
        <f>IF(ISERROR(VLOOKUP(B68,[1]작가별정산률!$R:$S,2,0)),"스토리위즈",VLOOKUP(B68,[1]작가별정산률!$R:$S,2,0))</f>
        <v>스토리위즈</v>
      </c>
      <c r="N68" s="9" t="str">
        <f>IF(M68="스토리위즈",VLOOKUP(B68,[1]작가별정산률!$A:$B,2,0),M68)</f>
        <v>무장</v>
      </c>
    </row>
    <row r="69" spans="1:14">
      <c r="A69" t="s">
        <v>215</v>
      </c>
      <c r="B69" t="s">
        <v>12</v>
      </c>
      <c r="C69" t="s">
        <v>21</v>
      </c>
      <c r="D69" t="s">
        <v>13</v>
      </c>
      <c r="E69" t="s">
        <v>14</v>
      </c>
      <c r="F69"/>
      <c r="G69"/>
      <c r="H69">
        <v>900</v>
      </c>
      <c r="I69"/>
      <c r="J69">
        <v>0</v>
      </c>
      <c r="K69">
        <v>900</v>
      </c>
      <c r="L69">
        <v>630</v>
      </c>
      <c r="M69" s="9" t="str">
        <f>IF(ISERROR(VLOOKUP(B69,[1]작가별정산률!$R:$S,2,0)),"스토리위즈",VLOOKUP(B69,[1]작가별정산률!$R:$S,2,0))</f>
        <v>스토리위즈</v>
      </c>
      <c r="N69" s="9" t="str">
        <f>IF(M69="스토리위즈",VLOOKUP(B69,[1]작가별정산률!$A:$B,2,0),M69)</f>
        <v>김광수</v>
      </c>
    </row>
    <row r="70" spans="1:14">
      <c r="A70" t="s">
        <v>216</v>
      </c>
      <c r="B70" t="s">
        <v>15</v>
      </c>
      <c r="C70" t="s">
        <v>21</v>
      </c>
      <c r="D70" t="s">
        <v>13</v>
      </c>
      <c r="E70" t="s">
        <v>18</v>
      </c>
      <c r="F70">
        <v>1</v>
      </c>
      <c r="G70">
        <v>3200</v>
      </c>
      <c r="H70">
        <v>3200</v>
      </c>
      <c r="I70">
        <v>0</v>
      </c>
      <c r="J70">
        <v>0</v>
      </c>
      <c r="K70">
        <v>3200</v>
      </c>
      <c r="L70">
        <v>2240</v>
      </c>
      <c r="M70" s="9" t="str">
        <f>IF(ISERROR(VLOOKUP(B70,[1]작가별정산률!$R:$S,2,0)),"스토리위즈",VLOOKUP(B70,[1]작가별정산률!$R:$S,2,0))</f>
        <v>스토리위즈</v>
      </c>
      <c r="N70" s="9" t="str">
        <f>IF(M70="스토리위즈",VLOOKUP(B70,[1]작가별정산률!$A:$B,2,0),M70)</f>
        <v>김정률</v>
      </c>
    </row>
    <row r="71" spans="1:14">
      <c r="A71" t="s">
        <v>217</v>
      </c>
      <c r="B71" t="s">
        <v>15</v>
      </c>
      <c r="C71" t="s">
        <v>21</v>
      </c>
      <c r="D71" t="s">
        <v>13</v>
      </c>
      <c r="E71" t="s">
        <v>18</v>
      </c>
      <c r="F71">
        <v>1</v>
      </c>
      <c r="G71">
        <v>3200</v>
      </c>
      <c r="H71">
        <v>3200</v>
      </c>
      <c r="I71">
        <v>0</v>
      </c>
      <c r="J71">
        <v>0</v>
      </c>
      <c r="K71">
        <v>3200</v>
      </c>
      <c r="L71">
        <v>2240</v>
      </c>
      <c r="M71" s="9" t="str">
        <f>IF(ISERROR(VLOOKUP(B71,[1]작가별정산률!$R:$S,2,0)),"스토리위즈",VLOOKUP(B71,[1]작가별정산률!$R:$S,2,0))</f>
        <v>스토리위즈</v>
      </c>
      <c r="N71" s="9" t="str">
        <f>IF(M71="스토리위즈",VLOOKUP(B71,[1]작가별정산률!$A:$B,2,0),M71)</f>
        <v>김정률</v>
      </c>
    </row>
    <row r="72" spans="1:14">
      <c r="A72" t="s">
        <v>218</v>
      </c>
      <c r="B72" t="s">
        <v>15</v>
      </c>
      <c r="C72" t="s">
        <v>21</v>
      </c>
      <c r="D72" t="s">
        <v>13</v>
      </c>
      <c r="E72" t="s">
        <v>18</v>
      </c>
      <c r="F72">
        <v>1</v>
      </c>
      <c r="G72">
        <v>3200</v>
      </c>
      <c r="H72">
        <v>3200</v>
      </c>
      <c r="I72">
        <v>0</v>
      </c>
      <c r="J72">
        <v>0</v>
      </c>
      <c r="K72">
        <v>3200</v>
      </c>
      <c r="L72">
        <v>2240</v>
      </c>
      <c r="M72" s="9" t="str">
        <f>IF(ISERROR(VLOOKUP(B72,[1]작가별정산률!$R:$S,2,0)),"스토리위즈",VLOOKUP(B72,[1]작가별정산률!$R:$S,2,0))</f>
        <v>스토리위즈</v>
      </c>
      <c r="N72" s="9" t="str">
        <f>IF(M72="스토리위즈",VLOOKUP(B72,[1]작가별정산률!$A:$B,2,0),M72)</f>
        <v>김정률</v>
      </c>
    </row>
    <row r="73" spans="1:14">
      <c r="A73" t="s">
        <v>219</v>
      </c>
      <c r="B73" t="s">
        <v>15</v>
      </c>
      <c r="C73" t="s">
        <v>21</v>
      </c>
      <c r="D73" t="s">
        <v>13</v>
      </c>
      <c r="E73" t="s">
        <v>18</v>
      </c>
      <c r="F73">
        <v>1</v>
      </c>
      <c r="G73">
        <v>3200</v>
      </c>
      <c r="H73">
        <v>3200</v>
      </c>
      <c r="I73">
        <v>0</v>
      </c>
      <c r="J73">
        <v>0</v>
      </c>
      <c r="K73">
        <v>3200</v>
      </c>
      <c r="L73">
        <v>2240</v>
      </c>
      <c r="M73" s="9" t="str">
        <f>IF(ISERROR(VLOOKUP(B73,[1]작가별정산률!$R:$S,2,0)),"스토리위즈",VLOOKUP(B73,[1]작가별정산률!$R:$S,2,0))</f>
        <v>스토리위즈</v>
      </c>
      <c r="N73" s="9" t="str">
        <f>IF(M73="스토리위즈",VLOOKUP(B73,[1]작가별정산률!$A:$B,2,0),M73)</f>
        <v>김정률</v>
      </c>
    </row>
    <row r="74" spans="1:14">
      <c r="A74" t="s">
        <v>220</v>
      </c>
      <c r="B74" t="s">
        <v>15</v>
      </c>
      <c r="C74" t="s">
        <v>21</v>
      </c>
      <c r="D74" t="s">
        <v>13</v>
      </c>
      <c r="E74" t="s">
        <v>18</v>
      </c>
      <c r="F74">
        <v>1</v>
      </c>
      <c r="G74">
        <v>3200</v>
      </c>
      <c r="H74">
        <v>3200</v>
      </c>
      <c r="I74">
        <v>0</v>
      </c>
      <c r="J74">
        <v>0</v>
      </c>
      <c r="K74">
        <v>3200</v>
      </c>
      <c r="L74">
        <v>2240</v>
      </c>
      <c r="M74" s="9" t="str">
        <f>IF(ISERROR(VLOOKUP(B74,[1]작가별정산률!$R:$S,2,0)),"스토리위즈",VLOOKUP(B74,[1]작가별정산률!$R:$S,2,0))</f>
        <v>스토리위즈</v>
      </c>
      <c r="N74" s="9" t="str">
        <f>IF(M74="스토리위즈",VLOOKUP(B74,[1]작가별정산률!$A:$B,2,0),M74)</f>
        <v>김정률</v>
      </c>
    </row>
    <row r="75" spans="1:14">
      <c r="A75" t="s">
        <v>221</v>
      </c>
      <c r="B75" t="s">
        <v>15</v>
      </c>
      <c r="C75" t="s">
        <v>21</v>
      </c>
      <c r="D75" t="s">
        <v>13</v>
      </c>
      <c r="E75" t="s">
        <v>18</v>
      </c>
      <c r="F75">
        <v>1</v>
      </c>
      <c r="G75">
        <v>3200</v>
      </c>
      <c r="H75">
        <v>3200</v>
      </c>
      <c r="I75">
        <v>0</v>
      </c>
      <c r="J75">
        <v>0</v>
      </c>
      <c r="K75">
        <v>3200</v>
      </c>
      <c r="L75">
        <v>2240</v>
      </c>
      <c r="M75" s="9" t="str">
        <f>IF(ISERROR(VLOOKUP(B75,[1]작가별정산률!$R:$S,2,0)),"스토리위즈",VLOOKUP(B75,[1]작가별정산률!$R:$S,2,0))</f>
        <v>스토리위즈</v>
      </c>
      <c r="N75" s="9" t="str">
        <f>IF(M75="스토리위즈",VLOOKUP(B75,[1]작가별정산률!$A:$B,2,0),M75)</f>
        <v>김정률</v>
      </c>
    </row>
    <row r="76" spans="1:14">
      <c r="A76" t="s">
        <v>222</v>
      </c>
      <c r="B76" t="s">
        <v>15</v>
      </c>
      <c r="C76" t="s">
        <v>21</v>
      </c>
      <c r="D76" t="s">
        <v>13</v>
      </c>
      <c r="E76" t="s">
        <v>18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2240</v>
      </c>
      <c r="M76" s="9" t="str">
        <f>IF(ISERROR(VLOOKUP(B76,[1]작가별정산률!$R:$S,2,0)),"스토리위즈",VLOOKUP(B76,[1]작가별정산률!$R:$S,2,0))</f>
        <v>스토리위즈</v>
      </c>
      <c r="N76" s="9" t="str">
        <f>IF(M76="스토리위즈",VLOOKUP(B76,[1]작가별정산률!$A:$B,2,0),M76)</f>
        <v>김정률</v>
      </c>
    </row>
    <row r="77" spans="1:14">
      <c r="A77" t="s">
        <v>223</v>
      </c>
      <c r="B77" t="s">
        <v>15</v>
      </c>
      <c r="C77" t="s">
        <v>21</v>
      </c>
      <c r="D77" t="s">
        <v>13</v>
      </c>
      <c r="E77" t="s">
        <v>18</v>
      </c>
      <c r="F77">
        <v>1</v>
      </c>
      <c r="G77">
        <v>3200</v>
      </c>
      <c r="H77">
        <v>3200</v>
      </c>
      <c r="I77">
        <v>0</v>
      </c>
      <c r="J77">
        <v>0</v>
      </c>
      <c r="K77">
        <v>3200</v>
      </c>
      <c r="L77">
        <v>2240</v>
      </c>
      <c r="M77" s="9" t="str">
        <f>IF(ISERROR(VLOOKUP(B77,[1]작가별정산률!$R:$S,2,0)),"스토리위즈",VLOOKUP(B77,[1]작가별정산률!$R:$S,2,0))</f>
        <v>스토리위즈</v>
      </c>
      <c r="N77" s="9" t="str">
        <f>IF(M77="스토리위즈",VLOOKUP(B77,[1]작가별정산률!$A:$B,2,0),M77)</f>
        <v>김정률</v>
      </c>
    </row>
    <row r="78" spans="1:14">
      <c r="A78" t="s">
        <v>224</v>
      </c>
      <c r="B78" t="s">
        <v>15</v>
      </c>
      <c r="C78" t="s">
        <v>21</v>
      </c>
      <c r="D78" t="s">
        <v>13</v>
      </c>
      <c r="E78" t="s">
        <v>18</v>
      </c>
      <c r="F78">
        <v>1</v>
      </c>
      <c r="G78">
        <v>3200</v>
      </c>
      <c r="H78">
        <v>3200</v>
      </c>
      <c r="I78">
        <v>0</v>
      </c>
      <c r="J78">
        <v>0</v>
      </c>
      <c r="K78">
        <v>3200</v>
      </c>
      <c r="L78">
        <v>2240</v>
      </c>
      <c r="M78" s="9" t="str">
        <f>IF(ISERROR(VLOOKUP(B78,[1]작가별정산률!$R:$S,2,0)),"스토리위즈",VLOOKUP(B78,[1]작가별정산률!$R:$S,2,0))</f>
        <v>스토리위즈</v>
      </c>
      <c r="N78" s="9" t="str">
        <f>IF(M78="스토리위즈",VLOOKUP(B78,[1]작가별정산률!$A:$B,2,0),M78)</f>
        <v>김정률</v>
      </c>
    </row>
    <row r="79" spans="1:14">
      <c r="A79" t="s">
        <v>225</v>
      </c>
      <c r="B79" t="s">
        <v>15</v>
      </c>
      <c r="C79" t="s">
        <v>21</v>
      </c>
      <c r="D79" t="s">
        <v>13</v>
      </c>
      <c r="E79" t="s">
        <v>18</v>
      </c>
      <c r="F79">
        <v>1</v>
      </c>
      <c r="G79">
        <v>3200</v>
      </c>
      <c r="H79">
        <v>3200</v>
      </c>
      <c r="I79">
        <v>0</v>
      </c>
      <c r="J79">
        <v>0</v>
      </c>
      <c r="K79">
        <v>3200</v>
      </c>
      <c r="L79">
        <v>2240</v>
      </c>
      <c r="M79" s="9" t="str">
        <f>IF(ISERROR(VLOOKUP(B79,[1]작가별정산률!$R:$S,2,0)),"스토리위즈",VLOOKUP(B79,[1]작가별정산률!$R:$S,2,0))</f>
        <v>스토리위즈</v>
      </c>
      <c r="N79" s="9" t="str">
        <f>IF(M79="스토리위즈",VLOOKUP(B79,[1]작가별정산률!$A:$B,2,0),M79)</f>
        <v>김정률</v>
      </c>
    </row>
    <row r="80" spans="1:14">
      <c r="A80" t="s">
        <v>226</v>
      </c>
      <c r="B80" t="s">
        <v>15</v>
      </c>
      <c r="C80" t="s">
        <v>21</v>
      </c>
      <c r="D80" t="s">
        <v>13</v>
      </c>
      <c r="E80" t="s">
        <v>18</v>
      </c>
      <c r="F80">
        <v>1</v>
      </c>
      <c r="G80">
        <v>3200</v>
      </c>
      <c r="H80">
        <v>3200</v>
      </c>
      <c r="I80">
        <v>0</v>
      </c>
      <c r="J80">
        <v>0</v>
      </c>
      <c r="K80">
        <v>3200</v>
      </c>
      <c r="L80">
        <v>2240</v>
      </c>
      <c r="M80" s="9" t="str">
        <f>IF(ISERROR(VLOOKUP(B80,[1]작가별정산률!$R:$S,2,0)),"스토리위즈",VLOOKUP(B80,[1]작가별정산률!$R:$S,2,0))</f>
        <v>스토리위즈</v>
      </c>
      <c r="N80" s="9" t="str">
        <f>IF(M80="스토리위즈",VLOOKUP(B80,[1]작가별정산률!$A:$B,2,0),M80)</f>
        <v>김정률</v>
      </c>
    </row>
    <row r="81" spans="1:14">
      <c r="A81" t="s">
        <v>97</v>
      </c>
      <c r="B81" t="s">
        <v>98</v>
      </c>
      <c r="C81" t="s">
        <v>21</v>
      </c>
      <c r="D81" t="s">
        <v>92</v>
      </c>
      <c r="E81" t="s">
        <v>227</v>
      </c>
      <c r="F81">
        <v>1</v>
      </c>
      <c r="G81">
        <v>3200</v>
      </c>
      <c r="H81">
        <v>3200</v>
      </c>
      <c r="I81">
        <v>0</v>
      </c>
      <c r="J81">
        <v>0</v>
      </c>
      <c r="K81">
        <v>3200</v>
      </c>
      <c r="L81">
        <v>1600</v>
      </c>
      <c r="M81" s="9" t="str">
        <f>IF(ISERROR(VLOOKUP(B81,[1]작가별정산률!$R:$S,2,0)),"스토리위즈",VLOOKUP(B81,[1]작가별정산률!$R:$S,2,0))</f>
        <v>스토리위즈</v>
      </c>
      <c r="N81" s="9" t="str">
        <f>IF(M81="스토리위즈",VLOOKUP(B81,[1]작가별정산률!$A:$B,2,0),M81)</f>
        <v>덕킹</v>
      </c>
    </row>
    <row r="82" spans="1:14">
      <c r="A82" t="s">
        <v>99</v>
      </c>
      <c r="B82" t="s">
        <v>98</v>
      </c>
      <c r="C82" t="s">
        <v>21</v>
      </c>
      <c r="D82" t="s">
        <v>92</v>
      </c>
      <c r="E82" t="s">
        <v>227</v>
      </c>
      <c r="F82">
        <v>1</v>
      </c>
      <c r="G82">
        <v>3200</v>
      </c>
      <c r="H82">
        <v>3200</v>
      </c>
      <c r="I82">
        <v>0</v>
      </c>
      <c r="J82">
        <v>0</v>
      </c>
      <c r="K82">
        <v>3200</v>
      </c>
      <c r="L82">
        <v>1600</v>
      </c>
      <c r="M82" s="9" t="str">
        <f>IF(ISERROR(VLOOKUP(B82,[1]작가별정산률!$R:$S,2,0)),"스토리위즈",VLOOKUP(B82,[1]작가별정산률!$R:$S,2,0))</f>
        <v>스토리위즈</v>
      </c>
      <c r="N82" s="9" t="str">
        <f>IF(M82="스토리위즈",VLOOKUP(B82,[1]작가별정산률!$A:$B,2,0),M82)</f>
        <v>덕킹</v>
      </c>
    </row>
    <row r="83" spans="1:14">
      <c r="A83" t="s">
        <v>100</v>
      </c>
      <c r="B83" t="s">
        <v>98</v>
      </c>
      <c r="C83" t="s">
        <v>21</v>
      </c>
      <c r="D83" t="s">
        <v>92</v>
      </c>
      <c r="E83" t="s">
        <v>227</v>
      </c>
      <c r="F83">
        <v>1</v>
      </c>
      <c r="G83">
        <v>3200</v>
      </c>
      <c r="H83">
        <v>3200</v>
      </c>
      <c r="I83">
        <v>0</v>
      </c>
      <c r="J83">
        <v>0</v>
      </c>
      <c r="K83">
        <v>3200</v>
      </c>
      <c r="L83">
        <v>1600</v>
      </c>
      <c r="M83" s="9" t="str">
        <f>IF(ISERROR(VLOOKUP(B83,[1]작가별정산률!$R:$S,2,0)),"스토리위즈",VLOOKUP(B83,[1]작가별정산률!$R:$S,2,0))</f>
        <v>스토리위즈</v>
      </c>
      <c r="N83" s="9" t="str">
        <f>IF(M83="스토리위즈",VLOOKUP(B83,[1]작가별정산률!$A:$B,2,0),M83)</f>
        <v>덕킹</v>
      </c>
    </row>
    <row r="84" spans="1:14">
      <c r="A84" t="s">
        <v>101</v>
      </c>
      <c r="B84" t="s">
        <v>98</v>
      </c>
      <c r="C84" t="s">
        <v>21</v>
      </c>
      <c r="D84" t="s">
        <v>92</v>
      </c>
      <c r="E84" t="s">
        <v>227</v>
      </c>
      <c r="F84">
        <v>1</v>
      </c>
      <c r="G84">
        <v>3200</v>
      </c>
      <c r="H84">
        <v>3200</v>
      </c>
      <c r="I84">
        <v>0</v>
      </c>
      <c r="J84">
        <v>0</v>
      </c>
      <c r="K84">
        <v>3200</v>
      </c>
      <c r="L84">
        <v>1600</v>
      </c>
      <c r="M84" s="9" t="str">
        <f>IF(ISERROR(VLOOKUP(B84,[1]작가별정산률!$R:$S,2,0)),"스토리위즈",VLOOKUP(B84,[1]작가별정산률!$R:$S,2,0))</f>
        <v>스토리위즈</v>
      </c>
      <c r="N84" s="9" t="str">
        <f>IF(M84="스토리위즈",VLOOKUP(B84,[1]작가별정산률!$A:$B,2,0),M84)</f>
        <v>덕킹</v>
      </c>
    </row>
    <row r="85" spans="1:14">
      <c r="A85" t="s">
        <v>102</v>
      </c>
      <c r="B85" t="s">
        <v>98</v>
      </c>
      <c r="C85" t="s">
        <v>21</v>
      </c>
      <c r="D85" t="s">
        <v>92</v>
      </c>
      <c r="E85" t="s">
        <v>227</v>
      </c>
      <c r="F85">
        <v>1</v>
      </c>
      <c r="G85">
        <v>3200</v>
      </c>
      <c r="H85">
        <v>3200</v>
      </c>
      <c r="I85">
        <v>0</v>
      </c>
      <c r="J85">
        <v>0</v>
      </c>
      <c r="K85">
        <v>3200</v>
      </c>
      <c r="L85">
        <v>1600</v>
      </c>
      <c r="M85" s="9" t="str">
        <f>IF(ISERROR(VLOOKUP(B85,[1]작가별정산률!$R:$S,2,0)),"스토리위즈",VLOOKUP(B85,[1]작가별정산률!$R:$S,2,0))</f>
        <v>스토리위즈</v>
      </c>
      <c r="N85" s="9" t="str">
        <f>IF(M85="스토리위즈",VLOOKUP(B85,[1]작가별정산률!$A:$B,2,0),M85)</f>
        <v>덕킹</v>
      </c>
    </row>
    <row r="86" spans="1:14">
      <c r="A86" t="s">
        <v>103</v>
      </c>
      <c r="B86" t="s">
        <v>98</v>
      </c>
      <c r="C86" t="s">
        <v>21</v>
      </c>
      <c r="D86" t="s">
        <v>92</v>
      </c>
      <c r="E86" t="s">
        <v>227</v>
      </c>
      <c r="F86">
        <v>1</v>
      </c>
      <c r="G86">
        <v>3200</v>
      </c>
      <c r="H86">
        <v>3200</v>
      </c>
      <c r="I86">
        <v>0</v>
      </c>
      <c r="J86">
        <v>0</v>
      </c>
      <c r="K86">
        <v>3200</v>
      </c>
      <c r="L86">
        <v>1600</v>
      </c>
      <c r="M86" s="9" t="str">
        <f>IF(ISERROR(VLOOKUP(B86,[1]작가별정산률!$R:$S,2,0)),"스토리위즈",VLOOKUP(B86,[1]작가별정산률!$R:$S,2,0))</f>
        <v>스토리위즈</v>
      </c>
      <c r="N86" s="9" t="str">
        <f>IF(M86="스토리위즈",VLOOKUP(B86,[1]작가별정산률!$A:$B,2,0),M86)</f>
        <v>덕킹</v>
      </c>
    </row>
    <row r="87" spans="1:14">
      <c r="A87" t="s">
        <v>104</v>
      </c>
      <c r="B87" t="s">
        <v>98</v>
      </c>
      <c r="C87" t="s">
        <v>21</v>
      </c>
      <c r="D87" t="s">
        <v>92</v>
      </c>
      <c r="E87" t="s">
        <v>227</v>
      </c>
      <c r="F87">
        <v>1</v>
      </c>
      <c r="G87">
        <v>3200</v>
      </c>
      <c r="H87">
        <v>3200</v>
      </c>
      <c r="I87">
        <v>0</v>
      </c>
      <c r="J87">
        <v>0</v>
      </c>
      <c r="K87">
        <v>3200</v>
      </c>
      <c r="L87">
        <v>1600</v>
      </c>
      <c r="M87" s="9" t="str">
        <f>IF(ISERROR(VLOOKUP(B87,[1]작가별정산률!$R:$S,2,0)),"스토리위즈",VLOOKUP(B87,[1]작가별정산률!$R:$S,2,0))</f>
        <v>스토리위즈</v>
      </c>
      <c r="N87" s="9" t="str">
        <f>IF(M87="스토리위즈",VLOOKUP(B87,[1]작가별정산률!$A:$B,2,0),M87)</f>
        <v>덕킹</v>
      </c>
    </row>
    <row r="88" spans="1:14">
      <c r="A88" t="s">
        <v>228</v>
      </c>
      <c r="B88" t="s">
        <v>98</v>
      </c>
      <c r="C88" t="s">
        <v>21</v>
      </c>
      <c r="D88" t="s">
        <v>92</v>
      </c>
      <c r="E88" t="s">
        <v>227</v>
      </c>
      <c r="F88">
        <v>1</v>
      </c>
      <c r="G88">
        <v>3200</v>
      </c>
      <c r="H88">
        <v>3200</v>
      </c>
      <c r="I88">
        <v>0</v>
      </c>
      <c r="J88">
        <v>0</v>
      </c>
      <c r="K88">
        <v>3200</v>
      </c>
      <c r="L88">
        <v>1600</v>
      </c>
      <c r="M88" s="9" t="str">
        <f>IF(ISERROR(VLOOKUP(B88,[1]작가별정산률!$R:$S,2,0)),"스토리위즈",VLOOKUP(B88,[1]작가별정산률!$R:$S,2,0))</f>
        <v>스토리위즈</v>
      </c>
      <c r="N88" s="9" t="str">
        <f>IF(M88="스토리위즈",VLOOKUP(B88,[1]작가별정산률!$A:$B,2,0),M88)</f>
        <v>덕킹</v>
      </c>
    </row>
    <row r="89" spans="1:14">
      <c r="A89" t="s">
        <v>229</v>
      </c>
      <c r="B89" t="s">
        <v>15</v>
      </c>
      <c r="C89" t="s">
        <v>21</v>
      </c>
      <c r="D89" t="s">
        <v>13</v>
      </c>
      <c r="E89" t="s">
        <v>18</v>
      </c>
      <c r="F89">
        <v>1</v>
      </c>
      <c r="G89">
        <v>3200</v>
      </c>
      <c r="H89">
        <v>3200</v>
      </c>
      <c r="I89">
        <v>0</v>
      </c>
      <c r="J89">
        <v>0</v>
      </c>
      <c r="K89">
        <v>3200</v>
      </c>
      <c r="L89">
        <v>2240</v>
      </c>
      <c r="M89" s="9" t="str">
        <f>IF(ISERROR(VLOOKUP(B89,[1]작가별정산률!$R:$S,2,0)),"스토리위즈",VLOOKUP(B89,[1]작가별정산률!$R:$S,2,0))</f>
        <v>스토리위즈</v>
      </c>
      <c r="N89" s="9" t="str">
        <f>IF(M89="스토리위즈",VLOOKUP(B89,[1]작가별정산률!$A:$B,2,0),M89)</f>
        <v>김정률</v>
      </c>
    </row>
    <row r="90" spans="1:14">
      <c r="A90" t="s">
        <v>229</v>
      </c>
      <c r="B90" t="s">
        <v>15</v>
      </c>
      <c r="C90" t="s">
        <v>21</v>
      </c>
      <c r="D90" t="s">
        <v>13</v>
      </c>
      <c r="E90" t="s">
        <v>14</v>
      </c>
      <c r="F90"/>
      <c r="G90"/>
      <c r="H90">
        <v>3600</v>
      </c>
      <c r="I90"/>
      <c r="J90">
        <v>0</v>
      </c>
      <c r="K90">
        <v>3600</v>
      </c>
      <c r="L90">
        <v>2520</v>
      </c>
      <c r="M90" s="9" t="str">
        <f>IF(ISERROR(VLOOKUP(B90,[1]작가별정산률!$R:$S,2,0)),"스토리위즈",VLOOKUP(B90,[1]작가별정산률!$R:$S,2,0))</f>
        <v>스토리위즈</v>
      </c>
      <c r="N90" s="9" t="str">
        <f>IF(M90="스토리위즈",VLOOKUP(B90,[1]작가별정산률!$A:$B,2,0),M90)</f>
        <v>김정률</v>
      </c>
    </row>
    <row r="91" spans="1:14">
      <c r="A91" t="s">
        <v>230</v>
      </c>
      <c r="B91" t="s">
        <v>15</v>
      </c>
      <c r="C91" t="s">
        <v>21</v>
      </c>
      <c r="D91" t="s">
        <v>13</v>
      </c>
      <c r="E91" t="s">
        <v>14</v>
      </c>
      <c r="F91"/>
      <c r="G91"/>
      <c r="H91">
        <v>3690</v>
      </c>
      <c r="I91"/>
      <c r="J91">
        <v>0</v>
      </c>
      <c r="K91">
        <v>3690</v>
      </c>
      <c r="L91">
        <v>2583</v>
      </c>
      <c r="M91" s="9" t="str">
        <f>IF(ISERROR(VLOOKUP(B91,[1]작가별정산률!$R:$S,2,0)),"스토리위즈",VLOOKUP(B91,[1]작가별정산률!$R:$S,2,0))</f>
        <v>스토리위즈</v>
      </c>
      <c r="N91" s="9" t="str">
        <f>IF(M91="스토리위즈",VLOOKUP(B91,[1]작가별정산률!$A:$B,2,0),M91)</f>
        <v>김정률</v>
      </c>
    </row>
    <row r="92" spans="1:14">
      <c r="A92" t="s">
        <v>231</v>
      </c>
      <c r="B92" t="s">
        <v>15</v>
      </c>
      <c r="C92" t="s">
        <v>21</v>
      </c>
      <c r="D92" t="s">
        <v>13</v>
      </c>
      <c r="E92" t="s">
        <v>14</v>
      </c>
      <c r="F92"/>
      <c r="G92"/>
      <c r="H92">
        <v>1800</v>
      </c>
      <c r="I92"/>
      <c r="J92">
        <v>0</v>
      </c>
      <c r="K92">
        <v>1800</v>
      </c>
      <c r="L92">
        <v>1260</v>
      </c>
      <c r="M92" s="9" t="str">
        <f>IF(ISERROR(VLOOKUP(B92,[1]작가별정산률!$R:$S,2,0)),"스토리위즈",VLOOKUP(B92,[1]작가별정산률!$R:$S,2,0))</f>
        <v>스토리위즈</v>
      </c>
      <c r="N92" s="9" t="str">
        <f>IF(M92="스토리위즈",VLOOKUP(B92,[1]작가별정산률!$A:$B,2,0),M92)</f>
        <v>김정률</v>
      </c>
    </row>
    <row r="93" spans="1:14">
      <c r="A93" t="s">
        <v>232</v>
      </c>
      <c r="B93" t="s">
        <v>15</v>
      </c>
      <c r="C93" t="s">
        <v>21</v>
      </c>
      <c r="D93" t="s">
        <v>13</v>
      </c>
      <c r="E93" t="s">
        <v>14</v>
      </c>
      <c r="F93"/>
      <c r="G93"/>
      <c r="H93">
        <v>3690</v>
      </c>
      <c r="I93"/>
      <c r="J93">
        <v>0</v>
      </c>
      <c r="K93">
        <v>3690</v>
      </c>
      <c r="L93">
        <v>2583</v>
      </c>
      <c r="M93" s="9" t="str">
        <f>IF(ISERROR(VLOOKUP(B93,[1]작가별정산률!$R:$S,2,0)),"스토리위즈",VLOOKUP(B93,[1]작가별정산률!$R:$S,2,0))</f>
        <v>스토리위즈</v>
      </c>
      <c r="N93" s="9" t="str">
        <f>IF(M93="스토리위즈",VLOOKUP(B93,[1]작가별정산률!$A:$B,2,0),M93)</f>
        <v>김정률</v>
      </c>
    </row>
    <row r="94" spans="1:14">
      <c r="A94" t="s">
        <v>233</v>
      </c>
      <c r="B94" t="s">
        <v>15</v>
      </c>
      <c r="C94" t="s">
        <v>21</v>
      </c>
      <c r="D94" t="s">
        <v>13</v>
      </c>
      <c r="E94" t="s">
        <v>14</v>
      </c>
      <c r="F94"/>
      <c r="G94"/>
      <c r="H94">
        <v>3690</v>
      </c>
      <c r="I94"/>
      <c r="J94">
        <v>0</v>
      </c>
      <c r="K94">
        <v>3690</v>
      </c>
      <c r="L94">
        <v>2583</v>
      </c>
      <c r="M94" s="9" t="str">
        <f>IF(ISERROR(VLOOKUP(B94,[1]작가별정산률!$R:$S,2,0)),"스토리위즈",VLOOKUP(B94,[1]작가별정산률!$R:$S,2,0))</f>
        <v>스토리위즈</v>
      </c>
      <c r="N94" s="9" t="str">
        <f>IF(M94="스토리위즈",VLOOKUP(B94,[1]작가별정산률!$A:$B,2,0),M94)</f>
        <v>김정률</v>
      </c>
    </row>
    <row r="95" spans="1:14">
      <c r="A95" t="s">
        <v>234</v>
      </c>
      <c r="B95" t="s">
        <v>15</v>
      </c>
      <c r="C95" t="s">
        <v>21</v>
      </c>
      <c r="D95" t="s">
        <v>13</v>
      </c>
      <c r="E95" t="s">
        <v>14</v>
      </c>
      <c r="F95"/>
      <c r="G95"/>
      <c r="H95">
        <v>3690</v>
      </c>
      <c r="I95"/>
      <c r="J95">
        <v>0</v>
      </c>
      <c r="K95">
        <v>3690</v>
      </c>
      <c r="L95">
        <v>2583</v>
      </c>
      <c r="M95" s="9" t="str">
        <f>IF(ISERROR(VLOOKUP(B95,[1]작가별정산률!$R:$S,2,0)),"스토리위즈",VLOOKUP(B95,[1]작가별정산률!$R:$S,2,0))</f>
        <v>스토리위즈</v>
      </c>
      <c r="N95" s="9" t="str">
        <f>IF(M95="스토리위즈",VLOOKUP(B95,[1]작가별정산률!$A:$B,2,0),M95)</f>
        <v>김정률</v>
      </c>
    </row>
    <row r="96" spans="1:14">
      <c r="A96" t="s">
        <v>235</v>
      </c>
      <c r="B96" t="s">
        <v>15</v>
      </c>
      <c r="C96" t="s">
        <v>21</v>
      </c>
      <c r="D96" t="s">
        <v>13</v>
      </c>
      <c r="E96" t="s">
        <v>14</v>
      </c>
      <c r="F96"/>
      <c r="G96"/>
      <c r="H96">
        <v>3690</v>
      </c>
      <c r="I96"/>
      <c r="J96">
        <v>0</v>
      </c>
      <c r="K96">
        <v>3690</v>
      </c>
      <c r="L96">
        <v>2583</v>
      </c>
      <c r="M96" s="9" t="str">
        <f>IF(ISERROR(VLOOKUP(B96,[1]작가별정산률!$R:$S,2,0)),"스토리위즈",VLOOKUP(B96,[1]작가별정산률!$R:$S,2,0))</f>
        <v>스토리위즈</v>
      </c>
      <c r="N96" s="9" t="str">
        <f>IF(M96="스토리위즈",VLOOKUP(B96,[1]작가별정산률!$A:$B,2,0),M96)</f>
        <v>김정률</v>
      </c>
    </row>
    <row r="97" spans="1:14">
      <c r="A97" t="s">
        <v>236</v>
      </c>
      <c r="B97" t="s">
        <v>15</v>
      </c>
      <c r="C97" t="s">
        <v>21</v>
      </c>
      <c r="D97" t="s">
        <v>13</v>
      </c>
      <c r="E97" t="s">
        <v>14</v>
      </c>
      <c r="F97"/>
      <c r="G97"/>
      <c r="H97">
        <v>3690</v>
      </c>
      <c r="I97"/>
      <c r="J97">
        <v>0</v>
      </c>
      <c r="K97">
        <v>3690</v>
      </c>
      <c r="L97">
        <v>2583</v>
      </c>
      <c r="M97" s="9" t="str">
        <f>IF(ISERROR(VLOOKUP(B97,[1]작가별정산률!$R:$S,2,0)),"스토리위즈",VLOOKUP(B97,[1]작가별정산률!$R:$S,2,0))</f>
        <v>스토리위즈</v>
      </c>
      <c r="N97" s="9" t="str">
        <f>IF(M97="스토리위즈",VLOOKUP(B97,[1]작가별정산률!$A:$B,2,0),M97)</f>
        <v>김정률</v>
      </c>
    </row>
    <row r="98" spans="1:14">
      <c r="A98" t="s">
        <v>237</v>
      </c>
      <c r="B98" t="s">
        <v>15</v>
      </c>
      <c r="C98" t="s">
        <v>21</v>
      </c>
      <c r="D98" t="s">
        <v>13</v>
      </c>
      <c r="E98" t="s">
        <v>14</v>
      </c>
      <c r="F98"/>
      <c r="G98"/>
      <c r="H98">
        <v>3690</v>
      </c>
      <c r="I98"/>
      <c r="J98">
        <v>0</v>
      </c>
      <c r="K98">
        <v>3690</v>
      </c>
      <c r="L98">
        <v>2583</v>
      </c>
      <c r="M98" s="9" t="str">
        <f>IF(ISERROR(VLOOKUP(B98,[1]작가별정산률!$R:$S,2,0)),"스토리위즈",VLOOKUP(B98,[1]작가별정산률!$R:$S,2,0))</f>
        <v>스토리위즈</v>
      </c>
      <c r="N98" s="9" t="str">
        <f>IF(M98="스토리위즈",VLOOKUP(B98,[1]작가별정산률!$A:$B,2,0),M98)</f>
        <v>김정률</v>
      </c>
    </row>
    <row r="99" spans="1:14">
      <c r="A99" t="s">
        <v>238</v>
      </c>
      <c r="B99" t="s">
        <v>15</v>
      </c>
      <c r="C99" t="s">
        <v>21</v>
      </c>
      <c r="D99" t="s">
        <v>13</v>
      </c>
      <c r="E99" t="s">
        <v>14</v>
      </c>
      <c r="F99"/>
      <c r="G99"/>
      <c r="H99">
        <v>3690</v>
      </c>
      <c r="I99"/>
      <c r="J99">
        <v>0</v>
      </c>
      <c r="K99">
        <v>3690</v>
      </c>
      <c r="L99">
        <v>2583</v>
      </c>
      <c r="M99" s="9" t="str">
        <f>IF(ISERROR(VLOOKUP(B99,[1]작가별정산률!$R:$S,2,0)),"스토리위즈",VLOOKUP(B99,[1]작가별정산률!$R:$S,2,0))</f>
        <v>스토리위즈</v>
      </c>
      <c r="N99" s="9" t="str">
        <f>IF(M99="스토리위즈",VLOOKUP(B99,[1]작가별정산률!$A:$B,2,0),M99)</f>
        <v>김정률</v>
      </c>
    </row>
    <row r="100" spans="1:14">
      <c r="A100" t="s">
        <v>239</v>
      </c>
      <c r="B100" t="s">
        <v>15</v>
      </c>
      <c r="C100" t="s">
        <v>21</v>
      </c>
      <c r="D100" t="s">
        <v>13</v>
      </c>
      <c r="E100" t="s">
        <v>14</v>
      </c>
      <c r="F100"/>
      <c r="G100"/>
      <c r="H100">
        <v>3690</v>
      </c>
      <c r="I100"/>
      <c r="J100">
        <v>0</v>
      </c>
      <c r="K100">
        <v>3690</v>
      </c>
      <c r="L100">
        <v>2583</v>
      </c>
      <c r="M100" s="9" t="str">
        <f>IF(ISERROR(VLOOKUP(B100,[1]작가별정산률!$R:$S,2,0)),"스토리위즈",VLOOKUP(B100,[1]작가별정산률!$R:$S,2,0))</f>
        <v>스토리위즈</v>
      </c>
      <c r="N100" s="9" t="str">
        <f>IF(M100="스토리위즈",VLOOKUP(B100,[1]작가별정산률!$A:$B,2,0),M100)</f>
        <v>김정률</v>
      </c>
    </row>
    <row r="101" spans="1:14">
      <c r="A101" t="s">
        <v>240</v>
      </c>
      <c r="B101" t="s">
        <v>15</v>
      </c>
      <c r="C101" t="s">
        <v>21</v>
      </c>
      <c r="D101" t="s">
        <v>13</v>
      </c>
      <c r="E101" t="s">
        <v>14</v>
      </c>
      <c r="F101"/>
      <c r="G101"/>
      <c r="H101">
        <v>3690</v>
      </c>
      <c r="I101"/>
      <c r="J101">
        <v>0</v>
      </c>
      <c r="K101">
        <v>3690</v>
      </c>
      <c r="L101">
        <v>2583</v>
      </c>
      <c r="M101" s="9" t="str">
        <f>IF(ISERROR(VLOOKUP(B101,[1]작가별정산률!$R:$S,2,0)),"스토리위즈",VLOOKUP(B101,[1]작가별정산률!$R:$S,2,0))</f>
        <v>스토리위즈</v>
      </c>
      <c r="N101" s="9" t="str">
        <f>IF(M101="스토리위즈",VLOOKUP(B101,[1]작가별정산률!$A:$B,2,0),M101)</f>
        <v>김정률</v>
      </c>
    </row>
    <row r="102" spans="1:14">
      <c r="A102" t="s">
        <v>241</v>
      </c>
      <c r="B102" t="s">
        <v>15</v>
      </c>
      <c r="C102" t="s">
        <v>21</v>
      </c>
      <c r="D102" t="s">
        <v>13</v>
      </c>
      <c r="E102" t="s">
        <v>14</v>
      </c>
      <c r="F102"/>
      <c r="G102"/>
      <c r="H102">
        <v>3690</v>
      </c>
      <c r="I102"/>
      <c r="J102">
        <v>0</v>
      </c>
      <c r="K102">
        <v>3690</v>
      </c>
      <c r="L102">
        <v>2583</v>
      </c>
      <c r="M102" s="9" t="str">
        <f>IF(ISERROR(VLOOKUP(B102,[1]작가별정산률!$R:$S,2,0)),"스토리위즈",VLOOKUP(B102,[1]작가별정산률!$R:$S,2,0))</f>
        <v>스토리위즈</v>
      </c>
      <c r="N102" s="9" t="str">
        <f>IF(M102="스토리위즈",VLOOKUP(B102,[1]작가별정산률!$A:$B,2,0),M102)</f>
        <v>김정률</v>
      </c>
    </row>
    <row r="103" spans="1:14">
      <c r="A103" t="s">
        <v>242</v>
      </c>
      <c r="B103" t="s">
        <v>15</v>
      </c>
      <c r="C103" t="s">
        <v>21</v>
      </c>
      <c r="D103" t="s">
        <v>13</v>
      </c>
      <c r="E103" t="s">
        <v>14</v>
      </c>
      <c r="F103"/>
      <c r="G103"/>
      <c r="H103">
        <v>3690</v>
      </c>
      <c r="I103"/>
      <c r="J103">
        <v>0</v>
      </c>
      <c r="K103">
        <v>3690</v>
      </c>
      <c r="L103">
        <v>2583</v>
      </c>
      <c r="M103" s="9" t="str">
        <f>IF(ISERROR(VLOOKUP(B103,[1]작가별정산률!$R:$S,2,0)),"스토리위즈",VLOOKUP(B103,[1]작가별정산률!$R:$S,2,0))</f>
        <v>스토리위즈</v>
      </c>
      <c r="N103" s="9" t="str">
        <f>IF(M103="스토리위즈",VLOOKUP(B103,[1]작가별정산률!$A:$B,2,0),M103)</f>
        <v>김정률</v>
      </c>
    </row>
    <row r="104" spans="1:14">
      <c r="A104" t="s">
        <v>243</v>
      </c>
      <c r="B104" t="s">
        <v>15</v>
      </c>
      <c r="C104" t="s">
        <v>21</v>
      </c>
      <c r="D104" t="s">
        <v>13</v>
      </c>
      <c r="E104" t="s">
        <v>14</v>
      </c>
      <c r="F104"/>
      <c r="G104"/>
      <c r="H104">
        <v>900</v>
      </c>
      <c r="I104"/>
      <c r="J104">
        <v>0</v>
      </c>
      <c r="K104">
        <v>900</v>
      </c>
      <c r="L104">
        <v>630</v>
      </c>
      <c r="M104" s="9" t="str">
        <f>IF(ISERROR(VLOOKUP(B104,[1]작가별정산률!$R:$S,2,0)),"스토리위즈",VLOOKUP(B104,[1]작가별정산률!$R:$S,2,0))</f>
        <v>스토리위즈</v>
      </c>
      <c r="N104" s="9" t="str">
        <f>IF(M104="스토리위즈",VLOOKUP(B104,[1]작가별정산률!$A:$B,2,0),M104)</f>
        <v>김정률</v>
      </c>
    </row>
    <row r="105" spans="1:14">
      <c r="A105" t="s">
        <v>244</v>
      </c>
      <c r="B105" t="s">
        <v>15</v>
      </c>
      <c r="C105" t="s">
        <v>21</v>
      </c>
      <c r="D105" t="s">
        <v>13</v>
      </c>
      <c r="E105" t="s">
        <v>14</v>
      </c>
      <c r="F105"/>
      <c r="G105"/>
      <c r="H105">
        <v>3690</v>
      </c>
      <c r="I105"/>
      <c r="J105">
        <v>0</v>
      </c>
      <c r="K105">
        <v>3690</v>
      </c>
      <c r="L105">
        <v>2583</v>
      </c>
      <c r="M105" s="9" t="str">
        <f>IF(ISERROR(VLOOKUP(B105,[1]작가별정산률!$R:$S,2,0)),"스토리위즈",VLOOKUP(B105,[1]작가별정산률!$R:$S,2,0))</f>
        <v>스토리위즈</v>
      </c>
      <c r="N105" s="9" t="str">
        <f>IF(M105="스토리위즈",VLOOKUP(B105,[1]작가별정산률!$A:$B,2,0),M105)</f>
        <v>김정률</v>
      </c>
    </row>
    <row r="106" spans="1:14">
      <c r="A106" t="s">
        <v>245</v>
      </c>
      <c r="B106" t="s">
        <v>15</v>
      </c>
      <c r="C106" t="s">
        <v>21</v>
      </c>
      <c r="D106" t="s">
        <v>13</v>
      </c>
      <c r="E106" t="s">
        <v>14</v>
      </c>
      <c r="F106"/>
      <c r="G106"/>
      <c r="H106">
        <v>3690</v>
      </c>
      <c r="I106"/>
      <c r="J106">
        <v>0</v>
      </c>
      <c r="K106">
        <v>3690</v>
      </c>
      <c r="L106">
        <v>2583</v>
      </c>
      <c r="M106" s="9" t="str">
        <f>IF(ISERROR(VLOOKUP(B106,[1]작가별정산률!$R:$S,2,0)),"스토리위즈",VLOOKUP(B106,[1]작가별정산률!$R:$S,2,0))</f>
        <v>스토리위즈</v>
      </c>
      <c r="N106" s="9" t="str">
        <f>IF(M106="스토리위즈",VLOOKUP(B106,[1]작가별정산률!$A:$B,2,0),M106)</f>
        <v>김정률</v>
      </c>
    </row>
    <row r="107" spans="1:14">
      <c r="A107" t="s">
        <v>246</v>
      </c>
      <c r="B107" t="s">
        <v>15</v>
      </c>
      <c r="C107" t="s">
        <v>21</v>
      </c>
      <c r="D107" t="s">
        <v>13</v>
      </c>
      <c r="E107" t="s">
        <v>14</v>
      </c>
      <c r="F107"/>
      <c r="G107"/>
      <c r="H107">
        <v>3690</v>
      </c>
      <c r="I107"/>
      <c r="J107">
        <v>0</v>
      </c>
      <c r="K107">
        <v>3690</v>
      </c>
      <c r="L107">
        <v>2583</v>
      </c>
      <c r="M107" s="9" t="str">
        <f>IF(ISERROR(VLOOKUP(B107,[1]작가별정산률!$R:$S,2,0)),"스토리위즈",VLOOKUP(B107,[1]작가별정산률!$R:$S,2,0))</f>
        <v>스토리위즈</v>
      </c>
      <c r="N107" s="9" t="str">
        <f>IF(M107="스토리위즈",VLOOKUP(B107,[1]작가별정산률!$A:$B,2,0),M107)</f>
        <v>김정률</v>
      </c>
    </row>
    <row r="108" spans="1:14">
      <c r="A108" t="s">
        <v>247</v>
      </c>
      <c r="B108" t="s">
        <v>15</v>
      </c>
      <c r="C108" t="s">
        <v>21</v>
      </c>
      <c r="D108" t="s">
        <v>13</v>
      </c>
      <c r="E108" t="s">
        <v>14</v>
      </c>
      <c r="F108"/>
      <c r="G108"/>
      <c r="H108">
        <v>3690</v>
      </c>
      <c r="I108"/>
      <c r="J108">
        <v>0</v>
      </c>
      <c r="K108">
        <v>3690</v>
      </c>
      <c r="L108">
        <v>2583</v>
      </c>
      <c r="M108" s="9" t="str">
        <f>IF(ISERROR(VLOOKUP(B108,[1]작가별정산률!$R:$S,2,0)),"스토리위즈",VLOOKUP(B108,[1]작가별정산률!$R:$S,2,0))</f>
        <v>스토리위즈</v>
      </c>
      <c r="N108" s="9" t="str">
        <f>IF(M108="스토리위즈",VLOOKUP(B108,[1]작가별정산률!$A:$B,2,0),M108)</f>
        <v>김정률</v>
      </c>
    </row>
    <row r="109" spans="1:14">
      <c r="A109" t="s">
        <v>248</v>
      </c>
      <c r="B109" t="s">
        <v>52</v>
      </c>
      <c r="C109" t="s">
        <v>21</v>
      </c>
      <c r="D109" t="s">
        <v>13</v>
      </c>
      <c r="E109" t="s">
        <v>14</v>
      </c>
      <c r="F109"/>
      <c r="G109"/>
      <c r="H109">
        <v>1800</v>
      </c>
      <c r="I109"/>
      <c r="J109">
        <v>0</v>
      </c>
      <c r="K109">
        <v>1800</v>
      </c>
      <c r="L109">
        <v>1260</v>
      </c>
      <c r="M109" s="9" t="str">
        <f>IF(ISERROR(VLOOKUP(B109,[1]작가별정산률!$R:$S,2,0)),"스토리위즈",VLOOKUP(B109,[1]작가별정산률!$R:$S,2,0))</f>
        <v>스토리위즈</v>
      </c>
      <c r="N109" s="9" t="str">
        <f>IF(M109="스토리위즈",VLOOKUP(B109,[1]작가별정산률!$A:$B,2,0),M109)</f>
        <v>독고진</v>
      </c>
    </row>
    <row r="110" spans="1:14">
      <c r="A110" t="s">
        <v>249</v>
      </c>
      <c r="B110" t="s">
        <v>52</v>
      </c>
      <c r="C110" t="s">
        <v>21</v>
      </c>
      <c r="D110" t="s">
        <v>13</v>
      </c>
      <c r="E110" t="s">
        <v>14</v>
      </c>
      <c r="F110"/>
      <c r="G110"/>
      <c r="H110">
        <v>1800</v>
      </c>
      <c r="I110"/>
      <c r="J110">
        <v>0</v>
      </c>
      <c r="K110">
        <v>1800</v>
      </c>
      <c r="L110">
        <v>1260</v>
      </c>
      <c r="M110" s="9" t="str">
        <f>IF(ISERROR(VLOOKUP(B110,[1]작가별정산률!$R:$S,2,0)),"스토리위즈",VLOOKUP(B110,[1]작가별정산률!$R:$S,2,0))</f>
        <v>스토리위즈</v>
      </c>
      <c r="N110" s="9" t="str">
        <f>IF(M110="스토리위즈",VLOOKUP(B110,[1]작가별정산률!$A:$B,2,0),M110)</f>
        <v>독고진</v>
      </c>
    </row>
    <row r="111" spans="1:14">
      <c r="A111" t="s">
        <v>250</v>
      </c>
      <c r="B111" t="s">
        <v>52</v>
      </c>
      <c r="C111" t="s">
        <v>21</v>
      </c>
      <c r="D111" t="s">
        <v>13</v>
      </c>
      <c r="E111" t="s">
        <v>14</v>
      </c>
      <c r="F111"/>
      <c r="G111"/>
      <c r="H111">
        <v>1800</v>
      </c>
      <c r="I111"/>
      <c r="J111">
        <v>0</v>
      </c>
      <c r="K111">
        <v>1800</v>
      </c>
      <c r="L111">
        <v>1260</v>
      </c>
      <c r="M111" s="9" t="str">
        <f>IF(ISERROR(VLOOKUP(B111,[1]작가별정산률!$R:$S,2,0)),"스토리위즈",VLOOKUP(B111,[1]작가별정산률!$R:$S,2,0))</f>
        <v>스토리위즈</v>
      </c>
      <c r="N111" s="9" t="str">
        <f>IF(M111="스토리위즈",VLOOKUP(B111,[1]작가별정산률!$A:$B,2,0),M111)</f>
        <v>독고진</v>
      </c>
    </row>
    <row r="112" spans="1:14">
      <c r="A112" t="s">
        <v>251</v>
      </c>
      <c r="B112" t="s">
        <v>52</v>
      </c>
      <c r="C112" t="s">
        <v>21</v>
      </c>
      <c r="D112" t="s">
        <v>13</v>
      </c>
      <c r="E112" t="s">
        <v>14</v>
      </c>
      <c r="F112"/>
      <c r="G112"/>
      <c r="H112">
        <v>500</v>
      </c>
      <c r="I112"/>
      <c r="J112">
        <v>0</v>
      </c>
      <c r="K112">
        <v>500</v>
      </c>
      <c r="L112">
        <v>350</v>
      </c>
      <c r="M112" s="9" t="str">
        <f>IF(ISERROR(VLOOKUP(B112,[1]작가별정산률!$R:$S,2,0)),"스토리위즈",VLOOKUP(B112,[1]작가별정산률!$R:$S,2,0))</f>
        <v>스토리위즈</v>
      </c>
      <c r="N112" s="9" t="str">
        <f>IF(M112="스토리위즈",VLOOKUP(B112,[1]작가별정산률!$A:$B,2,0),M112)</f>
        <v>독고진</v>
      </c>
    </row>
    <row r="113" spans="1:14">
      <c r="A113" t="s">
        <v>251</v>
      </c>
      <c r="B113" t="s">
        <v>52</v>
      </c>
      <c r="C113" t="s">
        <v>21</v>
      </c>
      <c r="D113" t="s">
        <v>13</v>
      </c>
      <c r="E113" t="s">
        <v>14</v>
      </c>
      <c r="F113"/>
      <c r="G113"/>
      <c r="H113">
        <v>1800</v>
      </c>
      <c r="I113"/>
      <c r="J113">
        <v>0</v>
      </c>
      <c r="K113">
        <v>1800</v>
      </c>
      <c r="L113">
        <v>1260</v>
      </c>
      <c r="M113" s="9" t="str">
        <f>IF(ISERROR(VLOOKUP(B113,[1]작가별정산률!$R:$S,2,0)),"스토리위즈",VLOOKUP(B113,[1]작가별정산률!$R:$S,2,0))</f>
        <v>스토리위즈</v>
      </c>
      <c r="N113" s="9" t="str">
        <f>IF(M113="스토리위즈",VLOOKUP(B113,[1]작가별정산률!$A:$B,2,0),M113)</f>
        <v>독고진</v>
      </c>
    </row>
    <row r="114" spans="1:14">
      <c r="A114" t="s">
        <v>252</v>
      </c>
      <c r="B114" t="s">
        <v>52</v>
      </c>
      <c r="C114" t="s">
        <v>21</v>
      </c>
      <c r="D114" t="s">
        <v>13</v>
      </c>
      <c r="E114" t="s">
        <v>14</v>
      </c>
      <c r="F114"/>
      <c r="G114"/>
      <c r="H114">
        <v>500</v>
      </c>
      <c r="I114"/>
      <c r="J114">
        <v>0</v>
      </c>
      <c r="K114">
        <v>500</v>
      </c>
      <c r="L114">
        <v>350</v>
      </c>
      <c r="M114" s="9" t="str">
        <f>IF(ISERROR(VLOOKUP(B114,[1]작가별정산률!$R:$S,2,0)),"스토리위즈",VLOOKUP(B114,[1]작가별정산률!$R:$S,2,0))</f>
        <v>스토리위즈</v>
      </c>
      <c r="N114" s="9" t="str">
        <f>IF(M114="스토리위즈",VLOOKUP(B114,[1]작가별정산률!$A:$B,2,0),M114)</f>
        <v>독고진</v>
      </c>
    </row>
    <row r="115" spans="1:14">
      <c r="A115" t="s">
        <v>252</v>
      </c>
      <c r="B115" t="s">
        <v>52</v>
      </c>
      <c r="C115" t="s">
        <v>21</v>
      </c>
      <c r="D115" t="s">
        <v>13</v>
      </c>
      <c r="E115" t="s">
        <v>14</v>
      </c>
      <c r="F115"/>
      <c r="G115"/>
      <c r="H115">
        <v>1800</v>
      </c>
      <c r="I115"/>
      <c r="J115">
        <v>0</v>
      </c>
      <c r="K115">
        <v>1800</v>
      </c>
      <c r="L115">
        <v>1260</v>
      </c>
      <c r="M115" s="9" t="str">
        <f>IF(ISERROR(VLOOKUP(B115,[1]작가별정산률!$R:$S,2,0)),"스토리위즈",VLOOKUP(B115,[1]작가별정산률!$R:$S,2,0))</f>
        <v>스토리위즈</v>
      </c>
      <c r="N115" s="9" t="str">
        <f>IF(M115="스토리위즈",VLOOKUP(B115,[1]작가별정산률!$A:$B,2,0),M115)</f>
        <v>독고진</v>
      </c>
    </row>
    <row r="116" spans="1:14">
      <c r="A116" t="s">
        <v>253</v>
      </c>
      <c r="B116" t="s">
        <v>52</v>
      </c>
      <c r="C116" t="s">
        <v>21</v>
      </c>
      <c r="D116" t="s">
        <v>13</v>
      </c>
      <c r="E116" t="s">
        <v>14</v>
      </c>
      <c r="F116"/>
      <c r="G116"/>
      <c r="H116">
        <v>500</v>
      </c>
      <c r="I116"/>
      <c r="J116">
        <v>0</v>
      </c>
      <c r="K116">
        <v>500</v>
      </c>
      <c r="L116">
        <v>350</v>
      </c>
      <c r="M116" s="9" t="str">
        <f>IF(ISERROR(VLOOKUP(B116,[1]작가별정산률!$R:$S,2,0)),"스토리위즈",VLOOKUP(B116,[1]작가별정산률!$R:$S,2,0))</f>
        <v>스토리위즈</v>
      </c>
      <c r="N116" s="9" t="str">
        <f>IF(M116="스토리위즈",VLOOKUP(B116,[1]작가별정산률!$A:$B,2,0),M116)</f>
        <v>독고진</v>
      </c>
    </row>
    <row r="117" spans="1:14">
      <c r="A117" t="s">
        <v>253</v>
      </c>
      <c r="B117" t="s">
        <v>52</v>
      </c>
      <c r="C117" t="s">
        <v>21</v>
      </c>
      <c r="D117" t="s">
        <v>13</v>
      </c>
      <c r="E117" t="s">
        <v>14</v>
      </c>
      <c r="F117"/>
      <c r="G117"/>
      <c r="H117">
        <v>1800</v>
      </c>
      <c r="I117"/>
      <c r="J117">
        <v>0</v>
      </c>
      <c r="K117">
        <v>1800</v>
      </c>
      <c r="L117">
        <v>1260</v>
      </c>
      <c r="M117" s="9" t="str">
        <f>IF(ISERROR(VLOOKUP(B117,[1]작가별정산률!$R:$S,2,0)),"스토리위즈",VLOOKUP(B117,[1]작가별정산률!$R:$S,2,0))</f>
        <v>스토리위즈</v>
      </c>
      <c r="N117" s="9" t="str">
        <f>IF(M117="스토리위즈",VLOOKUP(B117,[1]작가별정산률!$A:$B,2,0),M117)</f>
        <v>독고진</v>
      </c>
    </row>
    <row r="118" spans="1:14">
      <c r="A118" t="s">
        <v>254</v>
      </c>
      <c r="B118" t="s">
        <v>52</v>
      </c>
      <c r="C118" t="s">
        <v>21</v>
      </c>
      <c r="D118" t="s">
        <v>13</v>
      </c>
      <c r="E118" t="s">
        <v>14</v>
      </c>
      <c r="F118"/>
      <c r="G118"/>
      <c r="H118">
        <v>500</v>
      </c>
      <c r="I118"/>
      <c r="J118">
        <v>0</v>
      </c>
      <c r="K118">
        <v>500</v>
      </c>
      <c r="L118">
        <v>350</v>
      </c>
      <c r="M118" s="9" t="str">
        <f>IF(ISERROR(VLOOKUP(B118,[1]작가별정산률!$R:$S,2,0)),"스토리위즈",VLOOKUP(B118,[1]작가별정산률!$R:$S,2,0))</f>
        <v>스토리위즈</v>
      </c>
      <c r="N118" s="9" t="str">
        <f>IF(M118="스토리위즈",VLOOKUP(B118,[1]작가별정산률!$A:$B,2,0),M118)</f>
        <v>독고진</v>
      </c>
    </row>
    <row r="119" spans="1:14">
      <c r="A119" t="s">
        <v>254</v>
      </c>
      <c r="B119" t="s">
        <v>52</v>
      </c>
      <c r="C119" t="s">
        <v>21</v>
      </c>
      <c r="D119" t="s">
        <v>13</v>
      </c>
      <c r="E119" t="s">
        <v>14</v>
      </c>
      <c r="F119"/>
      <c r="G119"/>
      <c r="H119">
        <v>900</v>
      </c>
      <c r="I119"/>
      <c r="J119">
        <v>0</v>
      </c>
      <c r="K119">
        <v>900</v>
      </c>
      <c r="L119">
        <v>630</v>
      </c>
      <c r="M119" s="9" t="str">
        <f>IF(ISERROR(VLOOKUP(B119,[1]작가별정산률!$R:$S,2,0)),"스토리위즈",VLOOKUP(B119,[1]작가별정산률!$R:$S,2,0))</f>
        <v>스토리위즈</v>
      </c>
      <c r="N119" s="9" t="str">
        <f>IF(M119="스토리위즈",VLOOKUP(B119,[1]작가별정산률!$A:$B,2,0),M119)</f>
        <v>독고진</v>
      </c>
    </row>
    <row r="120" spans="1:14">
      <c r="A120" t="s">
        <v>255</v>
      </c>
      <c r="B120" t="s">
        <v>52</v>
      </c>
      <c r="C120" t="s">
        <v>21</v>
      </c>
      <c r="D120" t="s">
        <v>13</v>
      </c>
      <c r="E120" t="s">
        <v>14</v>
      </c>
      <c r="F120"/>
      <c r="G120"/>
      <c r="H120">
        <v>500</v>
      </c>
      <c r="I120"/>
      <c r="J120">
        <v>0</v>
      </c>
      <c r="K120">
        <v>500</v>
      </c>
      <c r="L120">
        <v>350</v>
      </c>
      <c r="M120" s="9" t="str">
        <f>IF(ISERROR(VLOOKUP(B120,[1]작가별정산률!$R:$S,2,0)),"스토리위즈",VLOOKUP(B120,[1]작가별정산률!$R:$S,2,0))</f>
        <v>스토리위즈</v>
      </c>
      <c r="N120" s="9" t="str">
        <f>IF(M120="스토리위즈",VLOOKUP(B120,[1]작가별정산률!$A:$B,2,0),M120)</f>
        <v>독고진</v>
      </c>
    </row>
    <row r="121" spans="1:14">
      <c r="A121" t="s">
        <v>255</v>
      </c>
      <c r="B121" t="s">
        <v>52</v>
      </c>
      <c r="C121" t="s">
        <v>21</v>
      </c>
      <c r="D121" t="s">
        <v>13</v>
      </c>
      <c r="E121" t="s">
        <v>14</v>
      </c>
      <c r="F121"/>
      <c r="G121"/>
      <c r="H121">
        <v>900</v>
      </c>
      <c r="I121"/>
      <c r="J121">
        <v>0</v>
      </c>
      <c r="K121">
        <v>900</v>
      </c>
      <c r="L121">
        <v>630</v>
      </c>
      <c r="M121" s="9" t="str">
        <f>IF(ISERROR(VLOOKUP(B121,[1]작가별정산률!$R:$S,2,0)),"스토리위즈",VLOOKUP(B121,[1]작가별정산률!$R:$S,2,0))</f>
        <v>스토리위즈</v>
      </c>
      <c r="N121" s="9" t="str">
        <f>IF(M121="스토리위즈",VLOOKUP(B121,[1]작가별정산률!$A:$B,2,0),M121)</f>
        <v>독고진</v>
      </c>
    </row>
    <row r="122" spans="1:14">
      <c r="A122" t="s">
        <v>256</v>
      </c>
      <c r="B122" t="s">
        <v>52</v>
      </c>
      <c r="C122" t="s">
        <v>21</v>
      </c>
      <c r="D122" t="s">
        <v>13</v>
      </c>
      <c r="E122" t="s">
        <v>14</v>
      </c>
      <c r="F122"/>
      <c r="G122"/>
      <c r="H122">
        <v>500</v>
      </c>
      <c r="I122"/>
      <c r="J122">
        <v>0</v>
      </c>
      <c r="K122">
        <v>500</v>
      </c>
      <c r="L122">
        <v>350</v>
      </c>
      <c r="M122" s="9" t="str">
        <f>IF(ISERROR(VLOOKUP(B122,[1]작가별정산률!$R:$S,2,0)),"스토리위즈",VLOOKUP(B122,[1]작가별정산률!$R:$S,2,0))</f>
        <v>스토리위즈</v>
      </c>
      <c r="N122" s="9" t="str">
        <f>IF(M122="스토리위즈",VLOOKUP(B122,[1]작가별정산률!$A:$B,2,0),M122)</f>
        <v>독고진</v>
      </c>
    </row>
    <row r="123" spans="1:14">
      <c r="A123" t="s">
        <v>256</v>
      </c>
      <c r="B123" t="s">
        <v>52</v>
      </c>
      <c r="C123" t="s">
        <v>21</v>
      </c>
      <c r="D123" t="s">
        <v>13</v>
      </c>
      <c r="E123" t="s">
        <v>14</v>
      </c>
      <c r="F123"/>
      <c r="G123"/>
      <c r="H123">
        <v>900</v>
      </c>
      <c r="I123"/>
      <c r="J123">
        <v>0</v>
      </c>
      <c r="K123">
        <v>900</v>
      </c>
      <c r="L123">
        <v>630</v>
      </c>
      <c r="M123" s="9" t="str">
        <f>IF(ISERROR(VLOOKUP(B123,[1]작가별정산률!$R:$S,2,0)),"스토리위즈",VLOOKUP(B123,[1]작가별정산률!$R:$S,2,0))</f>
        <v>스토리위즈</v>
      </c>
      <c r="N123" s="9" t="str">
        <f>IF(M123="스토리위즈",VLOOKUP(B123,[1]작가별정산률!$A:$B,2,0),M123)</f>
        <v>독고진</v>
      </c>
    </row>
    <row r="124" spans="1:14">
      <c r="A124" t="s">
        <v>257</v>
      </c>
      <c r="B124" t="s">
        <v>52</v>
      </c>
      <c r="C124" t="s">
        <v>21</v>
      </c>
      <c r="D124" t="s">
        <v>13</v>
      </c>
      <c r="E124" t="s">
        <v>14</v>
      </c>
      <c r="F124"/>
      <c r="G124"/>
      <c r="H124">
        <v>500</v>
      </c>
      <c r="I124"/>
      <c r="J124">
        <v>0</v>
      </c>
      <c r="K124">
        <v>500</v>
      </c>
      <c r="L124">
        <v>350</v>
      </c>
      <c r="M124" s="9" t="str">
        <f>IF(ISERROR(VLOOKUP(B124,[1]작가별정산률!$R:$S,2,0)),"스토리위즈",VLOOKUP(B124,[1]작가별정산률!$R:$S,2,0))</f>
        <v>스토리위즈</v>
      </c>
      <c r="N124" s="9" t="str">
        <f>IF(M124="스토리위즈",VLOOKUP(B124,[1]작가별정산률!$A:$B,2,0),M124)</f>
        <v>독고진</v>
      </c>
    </row>
    <row r="125" spans="1:14">
      <c r="A125" t="s">
        <v>257</v>
      </c>
      <c r="B125" t="s">
        <v>52</v>
      </c>
      <c r="C125" t="s">
        <v>21</v>
      </c>
      <c r="D125" t="s">
        <v>13</v>
      </c>
      <c r="E125" t="s">
        <v>14</v>
      </c>
      <c r="F125"/>
      <c r="G125"/>
      <c r="H125">
        <v>900</v>
      </c>
      <c r="I125"/>
      <c r="J125">
        <v>0</v>
      </c>
      <c r="K125">
        <v>900</v>
      </c>
      <c r="L125">
        <v>630</v>
      </c>
      <c r="M125" s="9" t="str">
        <f>IF(ISERROR(VLOOKUP(B125,[1]작가별정산률!$R:$S,2,0)),"스토리위즈",VLOOKUP(B125,[1]작가별정산률!$R:$S,2,0))</f>
        <v>스토리위즈</v>
      </c>
      <c r="N125" s="9" t="str">
        <f>IF(M125="스토리위즈",VLOOKUP(B125,[1]작가별정산률!$A:$B,2,0),M125)</f>
        <v>독고진</v>
      </c>
    </row>
    <row r="126" spans="1:14">
      <c r="A126" t="s">
        <v>258</v>
      </c>
      <c r="B126" t="s">
        <v>52</v>
      </c>
      <c r="C126" t="s">
        <v>21</v>
      </c>
      <c r="D126" t="s">
        <v>13</v>
      </c>
      <c r="E126" t="s">
        <v>14</v>
      </c>
      <c r="F126"/>
      <c r="G126"/>
      <c r="H126">
        <v>1800</v>
      </c>
      <c r="I126"/>
      <c r="J126">
        <v>0</v>
      </c>
      <c r="K126">
        <v>1800</v>
      </c>
      <c r="L126">
        <v>1260</v>
      </c>
      <c r="M126" s="9" t="str">
        <f>IF(ISERROR(VLOOKUP(B126,[1]작가별정산률!$R:$S,2,0)),"스토리위즈",VLOOKUP(B126,[1]작가별정산률!$R:$S,2,0))</f>
        <v>스토리위즈</v>
      </c>
      <c r="N126" s="9" t="str">
        <f>IF(M126="스토리위즈",VLOOKUP(B126,[1]작가별정산률!$A:$B,2,0),M126)</f>
        <v>독고진</v>
      </c>
    </row>
    <row r="127" spans="1:14">
      <c r="A127" t="s">
        <v>259</v>
      </c>
      <c r="B127" t="s">
        <v>260</v>
      </c>
      <c r="C127" t="s">
        <v>21</v>
      </c>
      <c r="D127" t="s">
        <v>92</v>
      </c>
      <c r="E127" t="s">
        <v>209</v>
      </c>
      <c r="F127">
        <v>1</v>
      </c>
      <c r="G127">
        <v>3200</v>
      </c>
      <c r="H127">
        <v>3200</v>
      </c>
      <c r="I127">
        <v>0</v>
      </c>
      <c r="J127">
        <v>0</v>
      </c>
      <c r="K127">
        <v>3200</v>
      </c>
      <c r="L127">
        <v>1600</v>
      </c>
      <c r="M127" s="9" t="str">
        <f>IF(ISERROR(VLOOKUP(B127,[1]작가별정산률!$R:$S,2,0)),"스토리위즈",VLOOKUP(B127,[1]작가별정산률!$R:$S,2,0))</f>
        <v>스토리위즈</v>
      </c>
      <c r="N127" s="9" t="str">
        <f>IF(M127="스토리위즈",VLOOKUP(B127,[1]작가별정산률!$A:$B,2,0),M127)</f>
        <v>왕십리글쟁이</v>
      </c>
    </row>
    <row r="128" spans="1:14">
      <c r="A128" t="s">
        <v>261</v>
      </c>
      <c r="B128" t="s">
        <v>260</v>
      </c>
      <c r="C128" t="s">
        <v>21</v>
      </c>
      <c r="D128" t="s">
        <v>92</v>
      </c>
      <c r="E128" t="s">
        <v>209</v>
      </c>
      <c r="F128">
        <v>1</v>
      </c>
      <c r="G128">
        <v>3200</v>
      </c>
      <c r="H128">
        <v>3200</v>
      </c>
      <c r="I128">
        <v>0</v>
      </c>
      <c r="J128">
        <v>0</v>
      </c>
      <c r="K128">
        <v>3200</v>
      </c>
      <c r="L128">
        <v>1600</v>
      </c>
      <c r="M128" s="9" t="str">
        <f>IF(ISERROR(VLOOKUP(B128,[1]작가별정산률!$R:$S,2,0)),"스토리위즈",VLOOKUP(B128,[1]작가별정산률!$R:$S,2,0))</f>
        <v>스토리위즈</v>
      </c>
      <c r="N128" s="9" t="str">
        <f>IF(M128="스토리위즈",VLOOKUP(B128,[1]작가별정산률!$A:$B,2,0),M128)</f>
        <v>왕십리글쟁이</v>
      </c>
    </row>
    <row r="129" spans="1:14">
      <c r="A129" t="s">
        <v>262</v>
      </c>
      <c r="B129" t="s">
        <v>260</v>
      </c>
      <c r="C129" t="s">
        <v>21</v>
      </c>
      <c r="D129" t="s">
        <v>92</v>
      </c>
      <c r="E129" t="s">
        <v>209</v>
      </c>
      <c r="F129">
        <v>1</v>
      </c>
      <c r="G129">
        <v>3200</v>
      </c>
      <c r="H129">
        <v>3200</v>
      </c>
      <c r="I129">
        <v>0</v>
      </c>
      <c r="J129">
        <v>0</v>
      </c>
      <c r="K129">
        <v>3200</v>
      </c>
      <c r="L129">
        <v>1600</v>
      </c>
      <c r="M129" s="9" t="str">
        <f>IF(ISERROR(VLOOKUP(B129,[1]작가별정산률!$R:$S,2,0)),"스토리위즈",VLOOKUP(B129,[1]작가별정산률!$R:$S,2,0))</f>
        <v>스토리위즈</v>
      </c>
      <c r="N129" s="9" t="str">
        <f>IF(M129="스토리위즈",VLOOKUP(B129,[1]작가별정산률!$A:$B,2,0),M129)</f>
        <v>왕십리글쟁이</v>
      </c>
    </row>
    <row r="130" spans="1:14">
      <c r="A130" t="s">
        <v>263</v>
      </c>
      <c r="B130" t="s">
        <v>260</v>
      </c>
      <c r="C130" t="s">
        <v>21</v>
      </c>
      <c r="D130" t="s">
        <v>92</v>
      </c>
      <c r="E130" t="s">
        <v>209</v>
      </c>
      <c r="F130">
        <v>1</v>
      </c>
      <c r="G130">
        <v>3200</v>
      </c>
      <c r="H130">
        <v>3200</v>
      </c>
      <c r="I130">
        <v>0</v>
      </c>
      <c r="J130">
        <v>0</v>
      </c>
      <c r="K130">
        <v>3200</v>
      </c>
      <c r="L130">
        <v>1600</v>
      </c>
      <c r="M130" s="9" t="str">
        <f>IF(ISERROR(VLOOKUP(B130,[1]작가별정산률!$R:$S,2,0)),"스토리위즈",VLOOKUP(B130,[1]작가별정산률!$R:$S,2,0))</f>
        <v>스토리위즈</v>
      </c>
      <c r="N130" s="9" t="str">
        <f>IF(M130="스토리위즈",VLOOKUP(B130,[1]작가별정산률!$A:$B,2,0),M130)</f>
        <v>왕십리글쟁이</v>
      </c>
    </row>
    <row r="131" spans="1:14">
      <c r="A131" t="s">
        <v>264</v>
      </c>
      <c r="B131" t="s">
        <v>260</v>
      </c>
      <c r="C131" t="s">
        <v>21</v>
      </c>
      <c r="D131" t="s">
        <v>92</v>
      </c>
      <c r="E131" t="s">
        <v>209</v>
      </c>
      <c r="F131">
        <v>1</v>
      </c>
      <c r="G131">
        <v>3200</v>
      </c>
      <c r="H131">
        <v>3200</v>
      </c>
      <c r="I131">
        <v>0</v>
      </c>
      <c r="J131">
        <v>0</v>
      </c>
      <c r="K131">
        <v>3200</v>
      </c>
      <c r="L131">
        <v>1600</v>
      </c>
      <c r="M131" s="9" t="str">
        <f>IF(ISERROR(VLOOKUP(B131,[1]작가별정산률!$R:$S,2,0)),"스토리위즈",VLOOKUP(B131,[1]작가별정산률!$R:$S,2,0))</f>
        <v>스토리위즈</v>
      </c>
      <c r="N131" s="9" t="str">
        <f>IF(M131="스토리위즈",VLOOKUP(B131,[1]작가별정산률!$A:$B,2,0),M131)</f>
        <v>왕십리글쟁이</v>
      </c>
    </row>
    <row r="132" spans="1:14">
      <c r="A132" t="s">
        <v>152</v>
      </c>
      <c r="B132" t="s">
        <v>153</v>
      </c>
      <c r="C132" t="s">
        <v>21</v>
      </c>
      <c r="D132" t="s">
        <v>13</v>
      </c>
      <c r="E132" t="s">
        <v>16</v>
      </c>
      <c r="F132">
        <v>22</v>
      </c>
      <c r="G132">
        <v>100</v>
      </c>
      <c r="H132">
        <v>2200</v>
      </c>
      <c r="I132">
        <v>0</v>
      </c>
      <c r="J132">
        <v>0</v>
      </c>
      <c r="K132">
        <v>2200</v>
      </c>
      <c r="L132">
        <v>1540</v>
      </c>
      <c r="M132" s="9" t="str">
        <f>IF(ISERROR(VLOOKUP(B132,[1]작가별정산률!$R:$S,2,0)),"스토리위즈",VLOOKUP(B132,[1]작가별정산률!$R:$S,2,0))</f>
        <v>스토리위즈</v>
      </c>
      <c r="N132" s="9" t="str">
        <f>IF(M132="스토리위즈",VLOOKUP(B132,[1]작가별정산률!$A:$B,2,0),M132)</f>
        <v>독고진</v>
      </c>
    </row>
    <row r="133" spans="1:14">
      <c r="A133" t="s">
        <v>265</v>
      </c>
      <c r="B133" t="s">
        <v>15</v>
      </c>
      <c r="C133" t="s">
        <v>21</v>
      </c>
      <c r="D133" t="s">
        <v>13</v>
      </c>
      <c r="E133" t="s">
        <v>14</v>
      </c>
      <c r="F133"/>
      <c r="G133"/>
      <c r="H133">
        <v>1800</v>
      </c>
      <c r="I133"/>
      <c r="J133">
        <v>0</v>
      </c>
      <c r="K133">
        <v>1800</v>
      </c>
      <c r="L133">
        <v>1260</v>
      </c>
      <c r="M133" s="9" t="str">
        <f>IF(ISERROR(VLOOKUP(B133,[1]작가별정산률!$R:$S,2,0)),"스토리위즈",VLOOKUP(B133,[1]작가별정산률!$R:$S,2,0))</f>
        <v>스토리위즈</v>
      </c>
      <c r="N133" s="9" t="str">
        <f>IF(M133="스토리위즈",VLOOKUP(B133,[1]작가별정산률!$A:$B,2,0),M133)</f>
        <v>김정률</v>
      </c>
    </row>
    <row r="134" spans="1:14">
      <c r="A134" t="s">
        <v>266</v>
      </c>
      <c r="B134" t="s">
        <v>15</v>
      </c>
      <c r="C134" t="s">
        <v>21</v>
      </c>
      <c r="D134" t="s">
        <v>13</v>
      </c>
      <c r="E134" t="s">
        <v>14</v>
      </c>
      <c r="F134"/>
      <c r="G134"/>
      <c r="H134">
        <v>900</v>
      </c>
      <c r="I134"/>
      <c r="J134">
        <v>0</v>
      </c>
      <c r="K134">
        <v>900</v>
      </c>
      <c r="L134">
        <v>630</v>
      </c>
      <c r="M134" s="9" t="str">
        <f>IF(ISERROR(VLOOKUP(B134,[1]작가별정산률!$R:$S,2,0)),"스토리위즈",VLOOKUP(B134,[1]작가별정산률!$R:$S,2,0))</f>
        <v>스토리위즈</v>
      </c>
      <c r="N134" s="9" t="str">
        <f>IF(M134="스토리위즈",VLOOKUP(B134,[1]작가별정산률!$A:$B,2,0),M134)</f>
        <v>김정률</v>
      </c>
    </row>
    <row r="135" spans="1:14">
      <c r="A135" t="s">
        <v>267</v>
      </c>
      <c r="B135" t="s">
        <v>15</v>
      </c>
      <c r="C135" t="s">
        <v>21</v>
      </c>
      <c r="D135" t="s">
        <v>13</v>
      </c>
      <c r="E135" t="s">
        <v>14</v>
      </c>
      <c r="F135"/>
      <c r="G135"/>
      <c r="H135">
        <v>900</v>
      </c>
      <c r="I135"/>
      <c r="J135">
        <v>0</v>
      </c>
      <c r="K135">
        <v>900</v>
      </c>
      <c r="L135">
        <v>630</v>
      </c>
      <c r="M135" s="9" t="str">
        <f>IF(ISERROR(VLOOKUP(B135,[1]작가별정산률!$R:$S,2,0)),"스토리위즈",VLOOKUP(B135,[1]작가별정산률!$R:$S,2,0))</f>
        <v>스토리위즈</v>
      </c>
      <c r="N135" s="9" t="str">
        <f>IF(M135="스토리위즈",VLOOKUP(B135,[1]작가별정산률!$A:$B,2,0),M135)</f>
        <v>김정률</v>
      </c>
    </row>
    <row r="136" spans="1:14">
      <c r="A136" t="s">
        <v>268</v>
      </c>
      <c r="B136" t="s">
        <v>15</v>
      </c>
      <c r="C136" t="s">
        <v>21</v>
      </c>
      <c r="D136" t="s">
        <v>13</v>
      </c>
      <c r="E136" t="s">
        <v>14</v>
      </c>
      <c r="F136"/>
      <c r="G136"/>
      <c r="H136">
        <v>900</v>
      </c>
      <c r="I136"/>
      <c r="J136">
        <v>0</v>
      </c>
      <c r="K136">
        <v>900</v>
      </c>
      <c r="L136">
        <v>630</v>
      </c>
      <c r="M136" s="9" t="str">
        <f>IF(ISERROR(VLOOKUP(B136,[1]작가별정산률!$R:$S,2,0)),"스토리위즈",VLOOKUP(B136,[1]작가별정산률!$R:$S,2,0))</f>
        <v>스토리위즈</v>
      </c>
      <c r="N136" s="9" t="str">
        <f>IF(M136="스토리위즈",VLOOKUP(B136,[1]작가별정산률!$A:$B,2,0),M136)</f>
        <v>김정률</v>
      </c>
    </row>
    <row r="137" spans="1:14">
      <c r="A137" t="s">
        <v>269</v>
      </c>
      <c r="B137" t="s">
        <v>15</v>
      </c>
      <c r="C137" t="s">
        <v>21</v>
      </c>
      <c r="D137" t="s">
        <v>13</v>
      </c>
      <c r="E137" t="s">
        <v>14</v>
      </c>
      <c r="F137"/>
      <c r="G137"/>
      <c r="H137">
        <v>900</v>
      </c>
      <c r="I137"/>
      <c r="J137">
        <v>0</v>
      </c>
      <c r="K137">
        <v>900</v>
      </c>
      <c r="L137">
        <v>630</v>
      </c>
      <c r="M137" s="9" t="str">
        <f>IF(ISERROR(VLOOKUP(B137,[1]작가별정산률!$R:$S,2,0)),"스토리위즈",VLOOKUP(B137,[1]작가별정산률!$R:$S,2,0))</f>
        <v>스토리위즈</v>
      </c>
      <c r="N137" s="9" t="str">
        <f>IF(M137="스토리위즈",VLOOKUP(B137,[1]작가별정산률!$A:$B,2,0),M137)</f>
        <v>김정률</v>
      </c>
    </row>
    <row r="138" spans="1:14">
      <c r="A138" t="s">
        <v>270</v>
      </c>
      <c r="B138" t="s">
        <v>15</v>
      </c>
      <c r="C138" t="s">
        <v>21</v>
      </c>
      <c r="D138" t="s">
        <v>13</v>
      </c>
      <c r="E138" t="s">
        <v>14</v>
      </c>
      <c r="F138"/>
      <c r="G138"/>
      <c r="H138">
        <v>900</v>
      </c>
      <c r="I138"/>
      <c r="J138">
        <v>0</v>
      </c>
      <c r="K138">
        <v>900</v>
      </c>
      <c r="L138">
        <v>630</v>
      </c>
      <c r="M138" s="9" t="str">
        <f>IF(ISERROR(VLOOKUP(B138,[1]작가별정산률!$R:$S,2,0)),"스토리위즈",VLOOKUP(B138,[1]작가별정산률!$R:$S,2,0))</f>
        <v>스토리위즈</v>
      </c>
      <c r="N138" s="9" t="str">
        <f>IF(M138="스토리위즈",VLOOKUP(B138,[1]작가별정산률!$A:$B,2,0),M138)</f>
        <v>김정률</v>
      </c>
    </row>
    <row r="139" spans="1:14">
      <c r="A139" t="s">
        <v>271</v>
      </c>
      <c r="B139" t="s">
        <v>15</v>
      </c>
      <c r="C139" t="s">
        <v>21</v>
      </c>
      <c r="D139" t="s">
        <v>13</v>
      </c>
      <c r="E139" t="s">
        <v>14</v>
      </c>
      <c r="F139"/>
      <c r="G139"/>
      <c r="H139">
        <v>700</v>
      </c>
      <c r="I139"/>
      <c r="J139">
        <v>0</v>
      </c>
      <c r="K139">
        <v>700</v>
      </c>
      <c r="L139">
        <v>490</v>
      </c>
      <c r="M139" s="9" t="str">
        <f>IF(ISERROR(VLOOKUP(B139,[1]작가별정산률!$R:$S,2,0)),"스토리위즈",VLOOKUP(B139,[1]작가별정산률!$R:$S,2,0))</f>
        <v>스토리위즈</v>
      </c>
      <c r="N139" s="9" t="str">
        <f>IF(M139="스토리위즈",VLOOKUP(B139,[1]작가별정산률!$A:$B,2,0),M139)</f>
        <v>김정률</v>
      </c>
    </row>
    <row r="140" spans="1:14">
      <c r="A140" t="s">
        <v>272</v>
      </c>
      <c r="B140" t="s">
        <v>15</v>
      </c>
      <c r="C140" t="s">
        <v>21</v>
      </c>
      <c r="D140" t="s">
        <v>13</v>
      </c>
      <c r="E140" t="s">
        <v>16</v>
      </c>
      <c r="F140">
        <v>5</v>
      </c>
      <c r="G140">
        <v>100</v>
      </c>
      <c r="H140">
        <v>500</v>
      </c>
      <c r="I140">
        <v>0</v>
      </c>
      <c r="J140">
        <v>0</v>
      </c>
      <c r="K140">
        <v>500</v>
      </c>
      <c r="L140">
        <v>350</v>
      </c>
      <c r="M140" s="9" t="str">
        <f>IF(ISERROR(VLOOKUP(B140,[1]작가별정산률!$R:$S,2,0)),"스토리위즈",VLOOKUP(B140,[1]작가별정산률!$R:$S,2,0))</f>
        <v>스토리위즈</v>
      </c>
      <c r="N140" s="9" t="str">
        <f>IF(M140="스토리위즈",VLOOKUP(B140,[1]작가별정산률!$A:$B,2,0),M140)</f>
        <v>김정률</v>
      </c>
    </row>
    <row r="141" spans="1:14">
      <c r="A141" t="s">
        <v>154</v>
      </c>
      <c r="B141" t="s">
        <v>155</v>
      </c>
      <c r="C141" t="s">
        <v>21</v>
      </c>
      <c r="D141" t="s">
        <v>13</v>
      </c>
      <c r="E141" t="s">
        <v>16</v>
      </c>
      <c r="F141">
        <v>176</v>
      </c>
      <c r="G141">
        <v>100</v>
      </c>
      <c r="H141">
        <v>17600</v>
      </c>
      <c r="I141">
        <v>0</v>
      </c>
      <c r="J141">
        <v>0</v>
      </c>
      <c r="K141">
        <v>17600</v>
      </c>
      <c r="L141">
        <v>12320</v>
      </c>
      <c r="M141" s="9" t="str">
        <f>IF(ISERROR(VLOOKUP(B141,[1]작가별정산률!$R:$S,2,0)),"스토리위즈",VLOOKUP(B141,[1]작가별정산률!$R:$S,2,0))</f>
        <v>스토리위즈</v>
      </c>
      <c r="N141" s="9" t="str">
        <f>IF(M141="스토리위즈",VLOOKUP(B141,[1]작가별정산률!$A:$B,2,0),M141)</f>
        <v>갓띵작</v>
      </c>
    </row>
    <row r="142" spans="1:14">
      <c r="A142" t="s">
        <v>273</v>
      </c>
      <c r="B142" t="s">
        <v>19</v>
      </c>
      <c r="C142" t="s">
        <v>21</v>
      </c>
      <c r="D142" t="s">
        <v>13</v>
      </c>
      <c r="E142" t="s">
        <v>14</v>
      </c>
      <c r="F142"/>
      <c r="G142"/>
      <c r="H142">
        <v>900</v>
      </c>
      <c r="I142"/>
      <c r="J142">
        <v>0</v>
      </c>
      <c r="K142">
        <v>900</v>
      </c>
      <c r="L142">
        <v>630</v>
      </c>
      <c r="M142" s="9" t="str">
        <f>IF(ISERROR(VLOOKUP(B142,[1]작가별정산률!$R:$S,2,0)),"스토리위즈",VLOOKUP(B142,[1]작가별정산률!$R:$S,2,0))</f>
        <v>스토리위즈</v>
      </c>
      <c r="N142" s="9" t="str">
        <f>IF(M142="스토리위즈",VLOOKUP(B142,[1]작가별정산률!$A:$B,2,0),M142)</f>
        <v>권용찬</v>
      </c>
    </row>
    <row r="143" spans="1:14">
      <c r="A143" t="s">
        <v>274</v>
      </c>
      <c r="B143" t="s">
        <v>19</v>
      </c>
      <c r="C143" t="s">
        <v>21</v>
      </c>
      <c r="D143" t="s">
        <v>13</v>
      </c>
      <c r="E143" t="s">
        <v>14</v>
      </c>
      <c r="F143"/>
      <c r="G143"/>
      <c r="H143">
        <v>900</v>
      </c>
      <c r="I143"/>
      <c r="J143">
        <v>0</v>
      </c>
      <c r="K143">
        <v>900</v>
      </c>
      <c r="L143">
        <v>630</v>
      </c>
      <c r="M143" s="9" t="str">
        <f>IF(ISERROR(VLOOKUP(B143,[1]작가별정산률!$R:$S,2,0)),"스토리위즈",VLOOKUP(B143,[1]작가별정산률!$R:$S,2,0))</f>
        <v>스토리위즈</v>
      </c>
      <c r="N143" s="9" t="str">
        <f>IF(M143="스토리위즈",VLOOKUP(B143,[1]작가별정산률!$A:$B,2,0),M143)</f>
        <v>권용찬</v>
      </c>
    </row>
    <row r="144" spans="1:14">
      <c r="A144" t="s">
        <v>275</v>
      </c>
      <c r="B144" t="s">
        <v>19</v>
      </c>
      <c r="C144" t="s">
        <v>21</v>
      </c>
      <c r="D144" t="s">
        <v>13</v>
      </c>
      <c r="E144" t="s">
        <v>14</v>
      </c>
      <c r="F144"/>
      <c r="G144"/>
      <c r="H144">
        <v>900</v>
      </c>
      <c r="I144"/>
      <c r="J144">
        <v>0</v>
      </c>
      <c r="K144">
        <v>900</v>
      </c>
      <c r="L144">
        <v>630</v>
      </c>
      <c r="M144" s="9" t="str">
        <f>IF(ISERROR(VLOOKUP(B144,[1]작가별정산률!$R:$S,2,0)),"스토리위즈",VLOOKUP(B144,[1]작가별정산률!$R:$S,2,0))</f>
        <v>스토리위즈</v>
      </c>
      <c r="N144" s="9" t="str">
        <f>IF(M144="스토리위즈",VLOOKUP(B144,[1]작가별정산률!$A:$B,2,0),M144)</f>
        <v>권용찬</v>
      </c>
    </row>
    <row r="145" spans="1:14">
      <c r="A145" t="s">
        <v>276</v>
      </c>
      <c r="B145" t="s">
        <v>19</v>
      </c>
      <c r="C145" t="s">
        <v>21</v>
      </c>
      <c r="D145" t="s">
        <v>13</v>
      </c>
      <c r="E145" t="s">
        <v>14</v>
      </c>
      <c r="F145"/>
      <c r="G145"/>
      <c r="H145">
        <v>2700</v>
      </c>
      <c r="I145"/>
      <c r="J145">
        <v>0</v>
      </c>
      <c r="K145">
        <v>2700</v>
      </c>
      <c r="L145">
        <v>1890</v>
      </c>
      <c r="M145" s="9" t="str">
        <f>IF(ISERROR(VLOOKUP(B145,[1]작가별정산률!$R:$S,2,0)),"스토리위즈",VLOOKUP(B145,[1]작가별정산률!$R:$S,2,0))</f>
        <v>스토리위즈</v>
      </c>
      <c r="N145" s="9" t="str">
        <f>IF(M145="스토리위즈",VLOOKUP(B145,[1]작가별정산률!$A:$B,2,0),M145)</f>
        <v>권용찬</v>
      </c>
    </row>
    <row r="146" spans="1:14">
      <c r="A146" t="s">
        <v>277</v>
      </c>
      <c r="B146" t="s">
        <v>19</v>
      </c>
      <c r="C146" t="s">
        <v>21</v>
      </c>
      <c r="D146" t="s">
        <v>13</v>
      </c>
      <c r="E146" t="s">
        <v>14</v>
      </c>
      <c r="F146"/>
      <c r="G146"/>
      <c r="H146">
        <v>1800</v>
      </c>
      <c r="I146"/>
      <c r="J146">
        <v>0</v>
      </c>
      <c r="K146">
        <v>1800</v>
      </c>
      <c r="L146">
        <v>1260</v>
      </c>
      <c r="M146" s="9" t="str">
        <f>IF(ISERROR(VLOOKUP(B146,[1]작가별정산률!$R:$S,2,0)),"스토리위즈",VLOOKUP(B146,[1]작가별정산률!$R:$S,2,0))</f>
        <v>스토리위즈</v>
      </c>
      <c r="N146" s="9" t="str">
        <f>IF(M146="스토리위즈",VLOOKUP(B146,[1]작가별정산률!$A:$B,2,0),M146)</f>
        <v>권용찬</v>
      </c>
    </row>
    <row r="147" spans="1:14">
      <c r="A147" t="s">
        <v>278</v>
      </c>
      <c r="B147" t="s">
        <v>19</v>
      </c>
      <c r="C147" t="s">
        <v>21</v>
      </c>
      <c r="D147" t="s">
        <v>13</v>
      </c>
      <c r="E147" t="s">
        <v>14</v>
      </c>
      <c r="F147"/>
      <c r="G147"/>
      <c r="H147">
        <v>1800</v>
      </c>
      <c r="I147"/>
      <c r="J147">
        <v>0</v>
      </c>
      <c r="K147">
        <v>1800</v>
      </c>
      <c r="L147">
        <v>1260</v>
      </c>
      <c r="M147" s="9" t="str">
        <f>IF(ISERROR(VLOOKUP(B147,[1]작가별정산률!$R:$S,2,0)),"스토리위즈",VLOOKUP(B147,[1]작가별정산률!$R:$S,2,0))</f>
        <v>스토리위즈</v>
      </c>
      <c r="N147" s="9" t="str">
        <f>IF(M147="스토리위즈",VLOOKUP(B147,[1]작가별정산률!$A:$B,2,0),M147)</f>
        <v>권용찬</v>
      </c>
    </row>
    <row r="148" spans="1:14">
      <c r="A148" t="s">
        <v>279</v>
      </c>
      <c r="B148" t="s">
        <v>19</v>
      </c>
      <c r="C148" t="s">
        <v>21</v>
      </c>
      <c r="D148" t="s">
        <v>13</v>
      </c>
      <c r="E148" t="s">
        <v>14</v>
      </c>
      <c r="F148"/>
      <c r="G148"/>
      <c r="H148">
        <v>1800</v>
      </c>
      <c r="I148"/>
      <c r="J148">
        <v>0</v>
      </c>
      <c r="K148">
        <v>1800</v>
      </c>
      <c r="L148">
        <v>1260</v>
      </c>
      <c r="M148" s="9" t="str">
        <f>IF(ISERROR(VLOOKUP(B148,[1]작가별정산률!$R:$S,2,0)),"스토리위즈",VLOOKUP(B148,[1]작가별정산률!$R:$S,2,0))</f>
        <v>스토리위즈</v>
      </c>
      <c r="N148" s="9" t="str">
        <f>IF(M148="스토리위즈",VLOOKUP(B148,[1]작가별정산률!$A:$B,2,0),M148)</f>
        <v>권용찬</v>
      </c>
    </row>
    <row r="149" spans="1:14">
      <c r="A149" t="s">
        <v>280</v>
      </c>
      <c r="B149" t="s">
        <v>19</v>
      </c>
      <c r="C149" t="s">
        <v>21</v>
      </c>
      <c r="D149" t="s">
        <v>13</v>
      </c>
      <c r="E149" t="s">
        <v>14</v>
      </c>
      <c r="F149"/>
      <c r="G149"/>
      <c r="H149">
        <v>900</v>
      </c>
      <c r="I149"/>
      <c r="J149">
        <v>0</v>
      </c>
      <c r="K149">
        <v>900</v>
      </c>
      <c r="L149">
        <v>630</v>
      </c>
      <c r="M149" s="9" t="str">
        <f>IF(ISERROR(VLOOKUP(B149,[1]작가별정산률!$R:$S,2,0)),"스토리위즈",VLOOKUP(B149,[1]작가별정산률!$R:$S,2,0))</f>
        <v>스토리위즈</v>
      </c>
      <c r="N149" s="9" t="str">
        <f>IF(M149="스토리위즈",VLOOKUP(B149,[1]작가별정산률!$A:$B,2,0),M149)</f>
        <v>권용찬</v>
      </c>
    </row>
    <row r="150" spans="1:14">
      <c r="A150" t="s">
        <v>281</v>
      </c>
      <c r="B150" t="s">
        <v>19</v>
      </c>
      <c r="C150" t="s">
        <v>21</v>
      </c>
      <c r="D150" t="s">
        <v>13</v>
      </c>
      <c r="E150" t="s">
        <v>14</v>
      </c>
      <c r="F150"/>
      <c r="G150"/>
      <c r="H150">
        <v>900</v>
      </c>
      <c r="I150"/>
      <c r="J150">
        <v>0</v>
      </c>
      <c r="K150">
        <v>900</v>
      </c>
      <c r="L150">
        <v>630</v>
      </c>
      <c r="M150" s="9" t="str">
        <f>IF(ISERROR(VLOOKUP(B150,[1]작가별정산률!$R:$S,2,0)),"스토리위즈",VLOOKUP(B150,[1]작가별정산률!$R:$S,2,0))</f>
        <v>스토리위즈</v>
      </c>
      <c r="N150" s="9" t="str">
        <f>IF(M150="스토리위즈",VLOOKUP(B150,[1]작가별정산률!$A:$B,2,0),M150)</f>
        <v>권용찬</v>
      </c>
    </row>
    <row r="151" spans="1:14">
      <c r="A151" t="s">
        <v>282</v>
      </c>
      <c r="B151" t="s">
        <v>19</v>
      </c>
      <c r="C151" t="s">
        <v>21</v>
      </c>
      <c r="D151" t="s">
        <v>13</v>
      </c>
      <c r="E151" t="s">
        <v>14</v>
      </c>
      <c r="F151"/>
      <c r="G151"/>
      <c r="H151">
        <v>900</v>
      </c>
      <c r="I151"/>
      <c r="J151">
        <v>0</v>
      </c>
      <c r="K151">
        <v>900</v>
      </c>
      <c r="L151">
        <v>630</v>
      </c>
      <c r="M151" s="9" t="str">
        <f>IF(ISERROR(VLOOKUP(B151,[1]작가별정산률!$R:$S,2,0)),"스토리위즈",VLOOKUP(B151,[1]작가별정산률!$R:$S,2,0))</f>
        <v>스토리위즈</v>
      </c>
      <c r="N151" s="9" t="str">
        <f>IF(M151="스토리위즈",VLOOKUP(B151,[1]작가별정산률!$A:$B,2,0),M151)</f>
        <v>권용찬</v>
      </c>
    </row>
    <row r="152" spans="1:14">
      <c r="A152" t="s">
        <v>283</v>
      </c>
      <c r="B152" t="s">
        <v>19</v>
      </c>
      <c r="C152" t="s">
        <v>21</v>
      </c>
      <c r="D152" t="s">
        <v>13</v>
      </c>
      <c r="E152" t="s">
        <v>14</v>
      </c>
      <c r="F152"/>
      <c r="G152"/>
      <c r="H152">
        <v>900</v>
      </c>
      <c r="I152"/>
      <c r="J152">
        <v>0</v>
      </c>
      <c r="K152">
        <v>900</v>
      </c>
      <c r="L152">
        <v>630</v>
      </c>
      <c r="M152" s="9" t="str">
        <f>IF(ISERROR(VLOOKUP(B152,[1]작가별정산률!$R:$S,2,0)),"스토리위즈",VLOOKUP(B152,[1]작가별정산률!$R:$S,2,0))</f>
        <v>스토리위즈</v>
      </c>
      <c r="N152" s="9" t="str">
        <f>IF(M152="스토리위즈",VLOOKUP(B152,[1]작가별정산률!$A:$B,2,0),M152)</f>
        <v>권용찬</v>
      </c>
    </row>
    <row r="153" spans="1:14">
      <c r="A153" t="s">
        <v>157</v>
      </c>
      <c r="B153" t="s">
        <v>15</v>
      </c>
      <c r="C153" t="s">
        <v>21</v>
      </c>
      <c r="D153" t="s">
        <v>13</v>
      </c>
      <c r="E153" t="s">
        <v>14</v>
      </c>
      <c r="F153"/>
      <c r="G153"/>
      <c r="H153">
        <v>900</v>
      </c>
      <c r="I153"/>
      <c r="J153">
        <v>0</v>
      </c>
      <c r="K153">
        <v>900</v>
      </c>
      <c r="L153">
        <v>630</v>
      </c>
      <c r="M153" s="9" t="str">
        <f>IF(ISERROR(VLOOKUP(B153,[1]작가별정산률!$R:$S,2,0)),"스토리위즈",VLOOKUP(B153,[1]작가별정산률!$R:$S,2,0))</f>
        <v>스토리위즈</v>
      </c>
      <c r="N153" s="9" t="str">
        <f>IF(M153="스토리위즈",VLOOKUP(B153,[1]작가별정산률!$A:$B,2,0),M153)</f>
        <v>김정률</v>
      </c>
    </row>
    <row r="154" spans="1:14">
      <c r="A154" t="s">
        <v>156</v>
      </c>
      <c r="B154" t="s">
        <v>15</v>
      </c>
      <c r="C154" t="s">
        <v>21</v>
      </c>
      <c r="D154" t="s">
        <v>13</v>
      </c>
      <c r="E154" t="s">
        <v>14</v>
      </c>
      <c r="F154"/>
      <c r="G154"/>
      <c r="H154">
        <v>900</v>
      </c>
      <c r="I154"/>
      <c r="J154">
        <v>0</v>
      </c>
      <c r="K154">
        <v>900</v>
      </c>
      <c r="L154">
        <v>630</v>
      </c>
      <c r="M154" s="9" t="str">
        <f>IF(ISERROR(VLOOKUP(B154,[1]작가별정산률!$R:$S,2,0)),"스토리위즈",VLOOKUP(B154,[1]작가별정산률!$R:$S,2,0))</f>
        <v>스토리위즈</v>
      </c>
      <c r="N154" s="9" t="str">
        <f>IF(M154="스토리위즈",VLOOKUP(B154,[1]작가별정산률!$A:$B,2,0),M154)</f>
        <v>김정률</v>
      </c>
    </row>
    <row r="155" spans="1:14">
      <c r="A155" t="s">
        <v>158</v>
      </c>
      <c r="B155" t="s">
        <v>15</v>
      </c>
      <c r="C155" t="s">
        <v>21</v>
      </c>
      <c r="D155" t="s">
        <v>13</v>
      </c>
      <c r="E155" t="s">
        <v>14</v>
      </c>
      <c r="F155"/>
      <c r="G155"/>
      <c r="H155">
        <v>900</v>
      </c>
      <c r="I155"/>
      <c r="J155">
        <v>0</v>
      </c>
      <c r="K155">
        <v>900</v>
      </c>
      <c r="L155">
        <v>630</v>
      </c>
      <c r="M155" s="9" t="str">
        <f>IF(ISERROR(VLOOKUP(B155,[1]작가별정산률!$R:$S,2,0)),"스토리위즈",VLOOKUP(B155,[1]작가별정산률!$R:$S,2,0))</f>
        <v>스토리위즈</v>
      </c>
      <c r="N155" s="9" t="str">
        <f>IF(M155="스토리위즈",VLOOKUP(B155,[1]작가별정산률!$A:$B,2,0),M155)</f>
        <v>김정률</v>
      </c>
    </row>
    <row r="156" spans="1:14">
      <c r="A156" t="s">
        <v>159</v>
      </c>
      <c r="B156" t="s">
        <v>15</v>
      </c>
      <c r="C156" t="s">
        <v>21</v>
      </c>
      <c r="D156" t="s">
        <v>13</v>
      </c>
      <c r="E156" t="s">
        <v>14</v>
      </c>
      <c r="F156"/>
      <c r="G156"/>
      <c r="H156">
        <v>900</v>
      </c>
      <c r="I156"/>
      <c r="J156">
        <v>0</v>
      </c>
      <c r="K156">
        <v>900</v>
      </c>
      <c r="L156">
        <v>630</v>
      </c>
      <c r="M156" s="9" t="str">
        <f>IF(ISERROR(VLOOKUP(B156,[1]작가별정산률!$R:$S,2,0)),"스토리위즈",VLOOKUP(B156,[1]작가별정산률!$R:$S,2,0))</f>
        <v>스토리위즈</v>
      </c>
      <c r="N156" s="9" t="str">
        <f>IF(M156="스토리위즈",VLOOKUP(B156,[1]작가별정산률!$A:$B,2,0),M156)</f>
        <v>김정률</v>
      </c>
    </row>
    <row r="157" spans="1:14">
      <c r="A157" t="s">
        <v>161</v>
      </c>
      <c r="B157" t="s">
        <v>15</v>
      </c>
      <c r="C157" t="s">
        <v>21</v>
      </c>
      <c r="D157" t="s">
        <v>13</v>
      </c>
      <c r="E157" t="s">
        <v>14</v>
      </c>
      <c r="F157"/>
      <c r="G157"/>
      <c r="H157">
        <v>900</v>
      </c>
      <c r="I157"/>
      <c r="J157">
        <v>0</v>
      </c>
      <c r="K157">
        <v>900</v>
      </c>
      <c r="L157">
        <v>630</v>
      </c>
      <c r="M157" s="9" t="str">
        <f>IF(ISERROR(VLOOKUP(B157,[1]작가별정산률!$R:$S,2,0)),"스토리위즈",VLOOKUP(B157,[1]작가별정산률!$R:$S,2,0))</f>
        <v>스토리위즈</v>
      </c>
      <c r="N157" s="9" t="str">
        <f>IF(M157="스토리위즈",VLOOKUP(B157,[1]작가별정산률!$A:$B,2,0),M157)</f>
        <v>김정률</v>
      </c>
    </row>
    <row r="158" spans="1:14">
      <c r="A158" t="s">
        <v>160</v>
      </c>
      <c r="B158" t="s">
        <v>15</v>
      </c>
      <c r="C158" t="s">
        <v>21</v>
      </c>
      <c r="D158" t="s">
        <v>13</v>
      </c>
      <c r="E158" t="s">
        <v>14</v>
      </c>
      <c r="F158"/>
      <c r="G158"/>
      <c r="H158">
        <v>900</v>
      </c>
      <c r="I158"/>
      <c r="J158">
        <v>0</v>
      </c>
      <c r="K158">
        <v>900</v>
      </c>
      <c r="L158">
        <v>630</v>
      </c>
      <c r="M158" s="9" t="str">
        <f>IF(ISERROR(VLOOKUP(B158,[1]작가별정산률!$R:$S,2,0)),"스토리위즈",VLOOKUP(B158,[1]작가별정산률!$R:$S,2,0))</f>
        <v>스토리위즈</v>
      </c>
      <c r="N158" s="9" t="str">
        <f>IF(M158="스토리위즈",VLOOKUP(B158,[1]작가별정산률!$A:$B,2,0),M158)</f>
        <v>김정률</v>
      </c>
    </row>
    <row r="159" spans="1:14">
      <c r="A159" t="s">
        <v>162</v>
      </c>
      <c r="B159" t="s">
        <v>15</v>
      </c>
      <c r="C159" t="s">
        <v>21</v>
      </c>
      <c r="D159" t="s">
        <v>13</v>
      </c>
      <c r="E159" t="s">
        <v>14</v>
      </c>
      <c r="F159"/>
      <c r="G159"/>
      <c r="H159">
        <v>900</v>
      </c>
      <c r="I159"/>
      <c r="J159">
        <v>0</v>
      </c>
      <c r="K159">
        <v>900</v>
      </c>
      <c r="L159">
        <v>630</v>
      </c>
      <c r="M159" s="9" t="str">
        <f>IF(ISERROR(VLOOKUP(B159,[1]작가별정산률!$R:$S,2,0)),"스토리위즈",VLOOKUP(B159,[1]작가별정산률!$R:$S,2,0))</f>
        <v>스토리위즈</v>
      </c>
      <c r="N159" s="9" t="str">
        <f>IF(M159="스토리위즈",VLOOKUP(B159,[1]작가별정산률!$A:$B,2,0),M159)</f>
        <v>김정률</v>
      </c>
    </row>
    <row r="160" spans="1:14">
      <c r="A160" t="s">
        <v>163</v>
      </c>
      <c r="B160" t="s">
        <v>15</v>
      </c>
      <c r="C160" t="s">
        <v>21</v>
      </c>
      <c r="D160" t="s">
        <v>13</v>
      </c>
      <c r="E160" t="s">
        <v>14</v>
      </c>
      <c r="F160"/>
      <c r="G160"/>
      <c r="H160">
        <v>900</v>
      </c>
      <c r="I160"/>
      <c r="J160">
        <v>0</v>
      </c>
      <c r="K160">
        <v>900</v>
      </c>
      <c r="L160">
        <v>630</v>
      </c>
      <c r="M160" s="9" t="str">
        <f>IF(ISERROR(VLOOKUP(B160,[1]작가별정산률!$R:$S,2,0)),"스토리위즈",VLOOKUP(B160,[1]작가별정산률!$R:$S,2,0))</f>
        <v>스토리위즈</v>
      </c>
      <c r="N160" s="9" t="str">
        <f>IF(M160="스토리위즈",VLOOKUP(B160,[1]작가별정산률!$A:$B,2,0),M160)</f>
        <v>김정률</v>
      </c>
    </row>
    <row r="161" spans="1:14">
      <c r="A161" t="s">
        <v>284</v>
      </c>
      <c r="B161" t="s">
        <v>15</v>
      </c>
      <c r="C161" t="s">
        <v>21</v>
      </c>
      <c r="D161" t="s">
        <v>13</v>
      </c>
      <c r="E161" t="s">
        <v>14</v>
      </c>
      <c r="F161"/>
      <c r="G161"/>
      <c r="H161">
        <v>900</v>
      </c>
      <c r="I161"/>
      <c r="J161">
        <v>0</v>
      </c>
      <c r="K161">
        <v>900</v>
      </c>
      <c r="L161">
        <v>630</v>
      </c>
      <c r="M161" s="9" t="str">
        <f>IF(ISERROR(VLOOKUP(B161,[1]작가별정산률!$R:$S,2,0)),"스토리위즈",VLOOKUP(B161,[1]작가별정산률!$R:$S,2,0))</f>
        <v>스토리위즈</v>
      </c>
      <c r="N161" s="9" t="str">
        <f>IF(M161="스토리위즈",VLOOKUP(B161,[1]작가별정산률!$A:$B,2,0),M161)</f>
        <v>김정률</v>
      </c>
    </row>
    <row r="162" spans="1:14">
      <c r="A162" t="s">
        <v>164</v>
      </c>
      <c r="B162" t="s">
        <v>15</v>
      </c>
      <c r="C162" t="s">
        <v>21</v>
      </c>
      <c r="D162" t="s">
        <v>13</v>
      </c>
      <c r="E162" t="s">
        <v>14</v>
      </c>
      <c r="F162"/>
      <c r="G162"/>
      <c r="H162">
        <v>900</v>
      </c>
      <c r="I162"/>
      <c r="J162">
        <v>0</v>
      </c>
      <c r="K162">
        <v>900</v>
      </c>
      <c r="L162">
        <v>630</v>
      </c>
      <c r="M162" s="9" t="str">
        <f>IF(ISERROR(VLOOKUP(B162,[1]작가별정산률!$R:$S,2,0)),"스토리위즈",VLOOKUP(B162,[1]작가별정산률!$R:$S,2,0))</f>
        <v>스토리위즈</v>
      </c>
      <c r="N162" s="9" t="str">
        <f>IF(M162="스토리위즈",VLOOKUP(B162,[1]작가별정산률!$A:$B,2,0),M162)</f>
        <v>김정률</v>
      </c>
    </row>
    <row r="163" spans="1:14">
      <c r="A163" t="s">
        <v>285</v>
      </c>
      <c r="B163" t="s">
        <v>15</v>
      </c>
      <c r="C163" t="s">
        <v>21</v>
      </c>
      <c r="D163" t="s">
        <v>13</v>
      </c>
      <c r="E163" t="s">
        <v>14</v>
      </c>
      <c r="F163"/>
      <c r="G163"/>
      <c r="H163">
        <v>900</v>
      </c>
      <c r="I163"/>
      <c r="J163">
        <v>0</v>
      </c>
      <c r="K163">
        <v>900</v>
      </c>
      <c r="L163">
        <v>630</v>
      </c>
      <c r="M163" s="9" t="str">
        <f>IF(ISERROR(VLOOKUP(B163,[1]작가별정산률!$R:$S,2,0)),"스토리위즈",VLOOKUP(B163,[1]작가별정산률!$R:$S,2,0))</f>
        <v>스토리위즈</v>
      </c>
      <c r="N163" s="9" t="str">
        <f>IF(M163="스토리위즈",VLOOKUP(B163,[1]작가별정산률!$A:$B,2,0),M163)</f>
        <v>김정률</v>
      </c>
    </row>
    <row r="164" spans="1:14">
      <c r="A164" t="s">
        <v>165</v>
      </c>
      <c r="B164" t="s">
        <v>15</v>
      </c>
      <c r="C164" t="s">
        <v>21</v>
      </c>
      <c r="D164" t="s">
        <v>13</v>
      </c>
      <c r="E164" t="s">
        <v>14</v>
      </c>
      <c r="F164"/>
      <c r="G164"/>
      <c r="H164">
        <v>900</v>
      </c>
      <c r="I164"/>
      <c r="J164">
        <v>0</v>
      </c>
      <c r="K164">
        <v>900</v>
      </c>
      <c r="L164">
        <v>630</v>
      </c>
      <c r="M164" s="9" t="str">
        <f>IF(ISERROR(VLOOKUP(B164,[1]작가별정산률!$R:$S,2,0)),"스토리위즈",VLOOKUP(B164,[1]작가별정산률!$R:$S,2,0))</f>
        <v>스토리위즈</v>
      </c>
      <c r="N164" s="9" t="str">
        <f>IF(M164="스토리위즈",VLOOKUP(B164,[1]작가별정산률!$A:$B,2,0),M164)</f>
        <v>김정률</v>
      </c>
    </row>
    <row r="165" spans="1:14">
      <c r="A165" t="s">
        <v>286</v>
      </c>
      <c r="B165" t="s">
        <v>15</v>
      </c>
      <c r="C165" t="s">
        <v>21</v>
      </c>
      <c r="D165" t="s">
        <v>13</v>
      </c>
      <c r="E165" t="s">
        <v>14</v>
      </c>
      <c r="F165"/>
      <c r="G165"/>
      <c r="H165">
        <v>900</v>
      </c>
      <c r="I165"/>
      <c r="J165">
        <v>0</v>
      </c>
      <c r="K165">
        <v>900</v>
      </c>
      <c r="L165">
        <v>630</v>
      </c>
      <c r="M165" s="9" t="str">
        <f>IF(ISERROR(VLOOKUP(B165,[1]작가별정산률!$R:$S,2,0)),"스토리위즈",VLOOKUP(B165,[1]작가별정산률!$R:$S,2,0))</f>
        <v>스토리위즈</v>
      </c>
      <c r="N165" s="9" t="str">
        <f>IF(M165="스토리위즈",VLOOKUP(B165,[1]작가별정산률!$A:$B,2,0),M165)</f>
        <v>김정률</v>
      </c>
    </row>
    <row r="166" spans="1:14">
      <c r="A166" t="s">
        <v>166</v>
      </c>
      <c r="B166" t="s">
        <v>15</v>
      </c>
      <c r="C166" t="s">
        <v>21</v>
      </c>
      <c r="D166" t="s">
        <v>13</v>
      </c>
      <c r="E166" t="s">
        <v>14</v>
      </c>
      <c r="F166"/>
      <c r="G166"/>
      <c r="H166">
        <v>900</v>
      </c>
      <c r="I166"/>
      <c r="J166">
        <v>0</v>
      </c>
      <c r="K166">
        <v>900</v>
      </c>
      <c r="L166">
        <v>630</v>
      </c>
      <c r="M166" s="9" t="str">
        <f>IF(ISERROR(VLOOKUP(B166,[1]작가별정산률!$R:$S,2,0)),"스토리위즈",VLOOKUP(B166,[1]작가별정산률!$R:$S,2,0))</f>
        <v>스토리위즈</v>
      </c>
      <c r="N166" s="9" t="str">
        <f>IF(M166="스토리위즈",VLOOKUP(B166,[1]작가별정산률!$A:$B,2,0),M166)</f>
        <v>김정률</v>
      </c>
    </row>
    <row r="167" spans="1:14">
      <c r="A167" t="s">
        <v>167</v>
      </c>
      <c r="B167" t="s">
        <v>15</v>
      </c>
      <c r="C167" t="s">
        <v>21</v>
      </c>
      <c r="D167" t="s">
        <v>13</v>
      </c>
      <c r="E167" t="s">
        <v>14</v>
      </c>
      <c r="F167"/>
      <c r="G167"/>
      <c r="H167">
        <v>900</v>
      </c>
      <c r="I167"/>
      <c r="J167">
        <v>0</v>
      </c>
      <c r="K167">
        <v>900</v>
      </c>
      <c r="L167">
        <v>630</v>
      </c>
      <c r="M167" s="9" t="str">
        <f>IF(ISERROR(VLOOKUP(B167,[1]작가별정산률!$R:$S,2,0)),"스토리위즈",VLOOKUP(B167,[1]작가별정산률!$R:$S,2,0))</f>
        <v>스토리위즈</v>
      </c>
      <c r="N167" s="9" t="str">
        <f>IF(M167="스토리위즈",VLOOKUP(B167,[1]작가별정산률!$A:$B,2,0),M167)</f>
        <v>김정률</v>
      </c>
    </row>
    <row r="168" spans="1:14">
      <c r="A168" t="s">
        <v>168</v>
      </c>
      <c r="B168" t="s">
        <v>15</v>
      </c>
      <c r="C168" t="s">
        <v>21</v>
      </c>
      <c r="D168" t="s">
        <v>13</v>
      </c>
      <c r="E168" t="s">
        <v>14</v>
      </c>
      <c r="F168"/>
      <c r="G168"/>
      <c r="H168">
        <v>900</v>
      </c>
      <c r="I168"/>
      <c r="J168">
        <v>0</v>
      </c>
      <c r="K168">
        <v>900</v>
      </c>
      <c r="L168">
        <v>630</v>
      </c>
      <c r="M168" s="9" t="str">
        <f>IF(ISERROR(VLOOKUP(B168,[1]작가별정산률!$R:$S,2,0)),"스토리위즈",VLOOKUP(B168,[1]작가별정산률!$R:$S,2,0))</f>
        <v>스토리위즈</v>
      </c>
      <c r="N168" s="9" t="str">
        <f>IF(M168="스토리위즈",VLOOKUP(B168,[1]작가별정산률!$A:$B,2,0),M168)</f>
        <v>김정률</v>
      </c>
    </row>
    <row r="169" spans="1:14">
      <c r="A169" t="s">
        <v>170</v>
      </c>
      <c r="B169" t="s">
        <v>15</v>
      </c>
      <c r="C169" t="s">
        <v>21</v>
      </c>
      <c r="D169" t="s">
        <v>13</v>
      </c>
      <c r="E169" t="s">
        <v>14</v>
      </c>
      <c r="F169"/>
      <c r="G169"/>
      <c r="H169">
        <v>900</v>
      </c>
      <c r="I169"/>
      <c r="J169">
        <v>0</v>
      </c>
      <c r="K169">
        <v>900</v>
      </c>
      <c r="L169">
        <v>630</v>
      </c>
      <c r="M169" s="9" t="str">
        <f>IF(ISERROR(VLOOKUP(B169,[1]작가별정산률!$R:$S,2,0)),"스토리위즈",VLOOKUP(B169,[1]작가별정산률!$R:$S,2,0))</f>
        <v>스토리위즈</v>
      </c>
      <c r="N169" s="9" t="str">
        <f>IF(M169="스토리위즈",VLOOKUP(B169,[1]작가별정산률!$A:$B,2,0),M169)</f>
        <v>김정률</v>
      </c>
    </row>
    <row r="170" spans="1:14">
      <c r="A170" t="s">
        <v>169</v>
      </c>
      <c r="B170" t="s">
        <v>15</v>
      </c>
      <c r="C170" t="s">
        <v>21</v>
      </c>
      <c r="D170" t="s">
        <v>13</v>
      </c>
      <c r="E170" t="s">
        <v>14</v>
      </c>
      <c r="F170"/>
      <c r="G170"/>
      <c r="H170">
        <v>900</v>
      </c>
      <c r="I170"/>
      <c r="J170">
        <v>0</v>
      </c>
      <c r="K170">
        <v>900</v>
      </c>
      <c r="L170">
        <v>630</v>
      </c>
      <c r="M170" s="9" t="str">
        <f>IF(ISERROR(VLOOKUP(B170,[1]작가별정산률!$R:$S,2,0)),"스토리위즈",VLOOKUP(B170,[1]작가별정산률!$R:$S,2,0))</f>
        <v>스토리위즈</v>
      </c>
      <c r="N170" s="9" t="str">
        <f>IF(M170="스토리위즈",VLOOKUP(B170,[1]작가별정산률!$A:$B,2,0),M170)</f>
        <v>김정률</v>
      </c>
    </row>
    <row r="171" spans="1:14">
      <c r="A171" t="s">
        <v>171</v>
      </c>
      <c r="B171" t="s">
        <v>15</v>
      </c>
      <c r="C171" t="s">
        <v>21</v>
      </c>
      <c r="D171" t="s">
        <v>13</v>
      </c>
      <c r="E171" t="s">
        <v>14</v>
      </c>
      <c r="F171"/>
      <c r="G171"/>
      <c r="H171">
        <v>900</v>
      </c>
      <c r="I171"/>
      <c r="J171">
        <v>0</v>
      </c>
      <c r="K171">
        <v>900</v>
      </c>
      <c r="L171">
        <v>630</v>
      </c>
      <c r="M171" s="9" t="str">
        <f>IF(ISERROR(VLOOKUP(B171,[1]작가별정산률!$R:$S,2,0)),"스토리위즈",VLOOKUP(B171,[1]작가별정산률!$R:$S,2,0))</f>
        <v>스토리위즈</v>
      </c>
      <c r="N171" s="9" t="str">
        <f>IF(M171="스토리위즈",VLOOKUP(B171,[1]작가별정산률!$A:$B,2,0),M171)</f>
        <v>김정률</v>
      </c>
    </row>
    <row r="172" spans="1:14">
      <c r="A172" t="s">
        <v>172</v>
      </c>
      <c r="B172" t="s">
        <v>15</v>
      </c>
      <c r="C172" t="s">
        <v>21</v>
      </c>
      <c r="D172" t="s">
        <v>13</v>
      </c>
      <c r="E172" t="s">
        <v>14</v>
      </c>
      <c r="F172"/>
      <c r="G172"/>
      <c r="H172">
        <v>900</v>
      </c>
      <c r="I172"/>
      <c r="J172">
        <v>0</v>
      </c>
      <c r="K172">
        <v>900</v>
      </c>
      <c r="L172">
        <v>630</v>
      </c>
      <c r="M172" s="9" t="str">
        <f>IF(ISERROR(VLOOKUP(B172,[1]작가별정산률!$R:$S,2,0)),"스토리위즈",VLOOKUP(B172,[1]작가별정산률!$R:$S,2,0))</f>
        <v>스토리위즈</v>
      </c>
      <c r="N172" s="9" t="str">
        <f>IF(M172="스토리위즈",VLOOKUP(B172,[1]작가별정산률!$A:$B,2,0),M172)</f>
        <v>김정률</v>
      </c>
    </row>
    <row r="173" spans="1:14">
      <c r="A173" t="s">
        <v>174</v>
      </c>
      <c r="B173" t="s">
        <v>15</v>
      </c>
      <c r="C173" t="s">
        <v>21</v>
      </c>
      <c r="D173" t="s">
        <v>13</v>
      </c>
      <c r="E173" t="s">
        <v>14</v>
      </c>
      <c r="F173"/>
      <c r="G173"/>
      <c r="H173">
        <v>900</v>
      </c>
      <c r="I173"/>
      <c r="J173">
        <v>0</v>
      </c>
      <c r="K173">
        <v>900</v>
      </c>
      <c r="L173">
        <v>630</v>
      </c>
      <c r="M173" s="9" t="str">
        <f>IF(ISERROR(VLOOKUP(B173,[1]작가별정산률!$R:$S,2,0)),"스토리위즈",VLOOKUP(B173,[1]작가별정산률!$R:$S,2,0))</f>
        <v>스토리위즈</v>
      </c>
      <c r="N173" s="9" t="str">
        <f>IF(M173="스토리위즈",VLOOKUP(B173,[1]작가별정산률!$A:$B,2,0),M173)</f>
        <v>김정률</v>
      </c>
    </row>
    <row r="174" spans="1:14">
      <c r="A174" t="s">
        <v>173</v>
      </c>
      <c r="B174" t="s">
        <v>15</v>
      </c>
      <c r="C174" t="s">
        <v>21</v>
      </c>
      <c r="D174" t="s">
        <v>13</v>
      </c>
      <c r="E174" t="s">
        <v>14</v>
      </c>
      <c r="F174"/>
      <c r="G174"/>
      <c r="H174">
        <v>900</v>
      </c>
      <c r="I174"/>
      <c r="J174">
        <v>0</v>
      </c>
      <c r="K174">
        <v>900</v>
      </c>
      <c r="L174">
        <v>630</v>
      </c>
      <c r="M174" s="9" t="str">
        <f>IF(ISERROR(VLOOKUP(B174,[1]작가별정산률!$R:$S,2,0)),"스토리위즈",VLOOKUP(B174,[1]작가별정산률!$R:$S,2,0))</f>
        <v>스토리위즈</v>
      </c>
      <c r="N174" s="9" t="str">
        <f>IF(M174="스토리위즈",VLOOKUP(B174,[1]작가별정산률!$A:$B,2,0),M174)</f>
        <v>김정률</v>
      </c>
    </row>
    <row r="175" spans="1:14">
      <c r="A175" t="s">
        <v>175</v>
      </c>
      <c r="B175" t="s">
        <v>15</v>
      </c>
      <c r="C175" t="s">
        <v>21</v>
      </c>
      <c r="D175" t="s">
        <v>13</v>
      </c>
      <c r="E175" t="s">
        <v>14</v>
      </c>
      <c r="F175"/>
      <c r="G175"/>
      <c r="H175">
        <v>900</v>
      </c>
      <c r="I175"/>
      <c r="J175">
        <v>0</v>
      </c>
      <c r="K175">
        <v>900</v>
      </c>
      <c r="L175">
        <v>630</v>
      </c>
      <c r="M175" s="9" t="str">
        <f>IF(ISERROR(VLOOKUP(B175,[1]작가별정산률!$R:$S,2,0)),"스토리위즈",VLOOKUP(B175,[1]작가별정산률!$R:$S,2,0))</f>
        <v>스토리위즈</v>
      </c>
      <c r="N175" s="9" t="str">
        <f>IF(M175="스토리위즈",VLOOKUP(B175,[1]작가별정산률!$A:$B,2,0),M175)</f>
        <v>김정률</v>
      </c>
    </row>
    <row r="176" spans="1:14">
      <c r="A176" t="s">
        <v>176</v>
      </c>
      <c r="B176" t="s">
        <v>15</v>
      </c>
      <c r="C176" t="s">
        <v>21</v>
      </c>
      <c r="D176" t="s">
        <v>13</v>
      </c>
      <c r="E176" t="s">
        <v>14</v>
      </c>
      <c r="F176"/>
      <c r="G176"/>
      <c r="H176">
        <v>900</v>
      </c>
      <c r="I176"/>
      <c r="J176">
        <v>0</v>
      </c>
      <c r="K176">
        <v>900</v>
      </c>
      <c r="L176">
        <v>630</v>
      </c>
      <c r="M176" s="9" t="str">
        <f>IF(ISERROR(VLOOKUP(B176,[1]작가별정산률!$R:$S,2,0)),"스토리위즈",VLOOKUP(B176,[1]작가별정산률!$R:$S,2,0))</f>
        <v>스토리위즈</v>
      </c>
      <c r="N176" s="9" t="str">
        <f>IF(M176="스토리위즈",VLOOKUP(B176,[1]작가별정산률!$A:$B,2,0),M176)</f>
        <v>김정률</v>
      </c>
    </row>
    <row r="177" spans="1:14">
      <c r="A177" t="s">
        <v>178</v>
      </c>
      <c r="B177" t="s">
        <v>15</v>
      </c>
      <c r="C177" t="s">
        <v>21</v>
      </c>
      <c r="D177" t="s">
        <v>13</v>
      </c>
      <c r="E177" t="s">
        <v>14</v>
      </c>
      <c r="F177"/>
      <c r="G177"/>
      <c r="H177">
        <v>900</v>
      </c>
      <c r="I177"/>
      <c r="J177">
        <v>0</v>
      </c>
      <c r="K177">
        <v>900</v>
      </c>
      <c r="L177">
        <v>630</v>
      </c>
      <c r="M177" s="9" t="str">
        <f>IF(ISERROR(VLOOKUP(B177,[1]작가별정산률!$R:$S,2,0)),"스토리위즈",VLOOKUP(B177,[1]작가별정산률!$R:$S,2,0))</f>
        <v>스토리위즈</v>
      </c>
      <c r="N177" s="9" t="str">
        <f>IF(M177="스토리위즈",VLOOKUP(B177,[1]작가별정산률!$A:$B,2,0),M177)</f>
        <v>김정률</v>
      </c>
    </row>
    <row r="178" spans="1:14">
      <c r="A178" t="s">
        <v>177</v>
      </c>
      <c r="B178" t="s">
        <v>15</v>
      </c>
      <c r="C178" t="s">
        <v>21</v>
      </c>
      <c r="D178" t="s">
        <v>13</v>
      </c>
      <c r="E178" t="s">
        <v>14</v>
      </c>
      <c r="F178"/>
      <c r="G178"/>
      <c r="H178">
        <v>900</v>
      </c>
      <c r="I178"/>
      <c r="J178">
        <v>0</v>
      </c>
      <c r="K178">
        <v>900</v>
      </c>
      <c r="L178">
        <v>630</v>
      </c>
      <c r="M178" s="9" t="str">
        <f>IF(ISERROR(VLOOKUP(B178,[1]작가별정산률!$R:$S,2,0)),"스토리위즈",VLOOKUP(B178,[1]작가별정산률!$R:$S,2,0))</f>
        <v>스토리위즈</v>
      </c>
      <c r="N178" s="9" t="str">
        <f>IF(M178="스토리위즈",VLOOKUP(B178,[1]작가별정산률!$A:$B,2,0),M178)</f>
        <v>김정률</v>
      </c>
    </row>
    <row r="179" spans="1:14">
      <c r="A179" t="s">
        <v>179</v>
      </c>
      <c r="B179" t="s">
        <v>15</v>
      </c>
      <c r="C179" t="s">
        <v>21</v>
      </c>
      <c r="D179" t="s">
        <v>13</v>
      </c>
      <c r="E179" t="s">
        <v>14</v>
      </c>
      <c r="F179"/>
      <c r="G179"/>
      <c r="H179">
        <v>900</v>
      </c>
      <c r="I179"/>
      <c r="J179">
        <v>0</v>
      </c>
      <c r="K179">
        <v>900</v>
      </c>
      <c r="L179">
        <v>630</v>
      </c>
      <c r="M179" s="9" t="str">
        <f>IF(ISERROR(VLOOKUP(B179,[1]작가별정산률!$R:$S,2,0)),"스토리위즈",VLOOKUP(B179,[1]작가별정산률!$R:$S,2,0))</f>
        <v>스토리위즈</v>
      </c>
      <c r="N179" s="9" t="str">
        <f>IF(M179="스토리위즈",VLOOKUP(B179,[1]작가별정산률!$A:$B,2,0),M179)</f>
        <v>김정률</v>
      </c>
    </row>
    <row r="180" spans="1:14">
      <c r="A180" t="s">
        <v>180</v>
      </c>
      <c r="B180" t="s">
        <v>15</v>
      </c>
      <c r="C180" t="s">
        <v>21</v>
      </c>
      <c r="D180" t="s">
        <v>13</v>
      </c>
      <c r="E180" t="s">
        <v>14</v>
      </c>
      <c r="F180"/>
      <c r="G180"/>
      <c r="H180">
        <v>900</v>
      </c>
      <c r="I180"/>
      <c r="J180">
        <v>0</v>
      </c>
      <c r="K180">
        <v>900</v>
      </c>
      <c r="L180">
        <v>630</v>
      </c>
      <c r="M180" s="9" t="str">
        <f>IF(ISERROR(VLOOKUP(B180,[1]작가별정산률!$R:$S,2,0)),"스토리위즈",VLOOKUP(B180,[1]작가별정산률!$R:$S,2,0))</f>
        <v>스토리위즈</v>
      </c>
      <c r="N180" s="9" t="str">
        <f>IF(M180="스토리위즈",VLOOKUP(B180,[1]작가별정산률!$A:$B,2,0),M180)</f>
        <v>김정률</v>
      </c>
    </row>
    <row r="181" spans="1:14">
      <c r="A181" t="s">
        <v>105</v>
      </c>
      <c r="B181" t="s">
        <v>19</v>
      </c>
      <c r="C181" t="s">
        <v>21</v>
      </c>
      <c r="D181" t="s">
        <v>13</v>
      </c>
      <c r="E181" t="s">
        <v>14</v>
      </c>
      <c r="F181"/>
      <c r="G181"/>
      <c r="H181">
        <v>2700</v>
      </c>
      <c r="I181"/>
      <c r="J181">
        <v>0</v>
      </c>
      <c r="K181">
        <v>2700</v>
      </c>
      <c r="L181">
        <v>1890</v>
      </c>
      <c r="M181" s="9" t="str">
        <f>IF(ISERROR(VLOOKUP(B181,[1]작가별정산률!$R:$S,2,0)),"스토리위즈",VLOOKUP(B181,[1]작가별정산률!$R:$S,2,0))</f>
        <v>스토리위즈</v>
      </c>
      <c r="N181" s="9" t="str">
        <f>IF(M181="스토리위즈",VLOOKUP(B181,[1]작가별정산률!$A:$B,2,0),M181)</f>
        <v>권용찬</v>
      </c>
    </row>
    <row r="182" spans="1:14">
      <c r="A182" t="s">
        <v>106</v>
      </c>
      <c r="B182" t="s">
        <v>19</v>
      </c>
      <c r="C182" t="s">
        <v>21</v>
      </c>
      <c r="D182" t="s">
        <v>13</v>
      </c>
      <c r="E182" t="s">
        <v>14</v>
      </c>
      <c r="F182"/>
      <c r="G182"/>
      <c r="H182">
        <v>900</v>
      </c>
      <c r="I182"/>
      <c r="J182">
        <v>0</v>
      </c>
      <c r="K182">
        <v>900</v>
      </c>
      <c r="L182">
        <v>630</v>
      </c>
      <c r="M182" s="9" t="str">
        <f>IF(ISERROR(VLOOKUP(B182,[1]작가별정산률!$R:$S,2,0)),"스토리위즈",VLOOKUP(B182,[1]작가별정산률!$R:$S,2,0))</f>
        <v>스토리위즈</v>
      </c>
      <c r="N182" s="9" t="str">
        <f>IF(M182="스토리위즈",VLOOKUP(B182,[1]작가별정산률!$A:$B,2,0),M182)</f>
        <v>권용찬</v>
      </c>
    </row>
    <row r="183" spans="1:14">
      <c r="A183" t="s">
        <v>181</v>
      </c>
      <c r="B183" t="s">
        <v>19</v>
      </c>
      <c r="C183" t="s">
        <v>21</v>
      </c>
      <c r="D183" t="s">
        <v>13</v>
      </c>
      <c r="E183" t="s">
        <v>14</v>
      </c>
      <c r="F183"/>
      <c r="G183"/>
      <c r="H183">
        <v>900</v>
      </c>
      <c r="I183"/>
      <c r="J183">
        <v>0</v>
      </c>
      <c r="K183">
        <v>900</v>
      </c>
      <c r="L183">
        <v>630</v>
      </c>
      <c r="M183" s="9" t="str">
        <f>IF(ISERROR(VLOOKUP(B183,[1]작가별정산률!$R:$S,2,0)),"스토리위즈",VLOOKUP(B183,[1]작가별정산률!$R:$S,2,0))</f>
        <v>스토리위즈</v>
      </c>
      <c r="N183" s="9" t="str">
        <f>IF(M183="스토리위즈",VLOOKUP(B183,[1]작가별정산률!$A:$B,2,0),M183)</f>
        <v>권용찬</v>
      </c>
    </row>
    <row r="184" spans="1:14">
      <c r="A184" t="s">
        <v>182</v>
      </c>
      <c r="B184" t="s">
        <v>19</v>
      </c>
      <c r="C184" t="s">
        <v>21</v>
      </c>
      <c r="D184" t="s">
        <v>13</v>
      </c>
      <c r="E184" t="s">
        <v>14</v>
      </c>
      <c r="F184"/>
      <c r="G184"/>
      <c r="H184">
        <v>900</v>
      </c>
      <c r="I184"/>
      <c r="J184">
        <v>0</v>
      </c>
      <c r="K184">
        <v>900</v>
      </c>
      <c r="L184">
        <v>630</v>
      </c>
      <c r="M184" s="9" t="str">
        <f>IF(ISERROR(VLOOKUP(B184,[1]작가별정산률!$R:$S,2,0)),"스토리위즈",VLOOKUP(B184,[1]작가별정산률!$R:$S,2,0))</f>
        <v>스토리위즈</v>
      </c>
      <c r="N184" s="9" t="str">
        <f>IF(M184="스토리위즈",VLOOKUP(B184,[1]작가별정산률!$A:$B,2,0),M184)</f>
        <v>권용찬</v>
      </c>
    </row>
    <row r="185" spans="1:14">
      <c r="A185" t="s">
        <v>107</v>
      </c>
      <c r="B185" t="s">
        <v>19</v>
      </c>
      <c r="C185" t="s">
        <v>21</v>
      </c>
      <c r="D185" t="s">
        <v>13</v>
      </c>
      <c r="E185" t="s">
        <v>14</v>
      </c>
      <c r="F185"/>
      <c r="G185"/>
      <c r="H185">
        <v>1800</v>
      </c>
      <c r="I185"/>
      <c r="J185">
        <v>0</v>
      </c>
      <c r="K185">
        <v>1800</v>
      </c>
      <c r="L185">
        <v>1260</v>
      </c>
      <c r="M185" s="9" t="str">
        <f>IF(ISERROR(VLOOKUP(B185,[1]작가별정산률!$R:$S,2,0)),"스토리위즈",VLOOKUP(B185,[1]작가별정산률!$R:$S,2,0))</f>
        <v>스토리위즈</v>
      </c>
      <c r="N185" s="9" t="str">
        <f>IF(M185="스토리위즈",VLOOKUP(B185,[1]작가별정산률!$A:$B,2,0),M185)</f>
        <v>권용찬</v>
      </c>
    </row>
    <row r="186" spans="1:14">
      <c r="A186" t="s">
        <v>108</v>
      </c>
      <c r="B186" t="s">
        <v>19</v>
      </c>
      <c r="C186" t="s">
        <v>21</v>
      </c>
      <c r="D186" t="s">
        <v>13</v>
      </c>
      <c r="E186" t="s">
        <v>14</v>
      </c>
      <c r="F186"/>
      <c r="G186"/>
      <c r="H186">
        <v>2700</v>
      </c>
      <c r="I186"/>
      <c r="J186">
        <v>0</v>
      </c>
      <c r="K186">
        <v>2700</v>
      </c>
      <c r="L186">
        <v>1890</v>
      </c>
      <c r="M186" s="9" t="str">
        <f>IF(ISERROR(VLOOKUP(B186,[1]작가별정산률!$R:$S,2,0)),"스토리위즈",VLOOKUP(B186,[1]작가별정산률!$R:$S,2,0))</f>
        <v>스토리위즈</v>
      </c>
      <c r="N186" s="9" t="str">
        <f>IF(M186="스토리위즈",VLOOKUP(B186,[1]작가별정산률!$A:$B,2,0),M186)</f>
        <v>권용찬</v>
      </c>
    </row>
    <row r="187" spans="1:14">
      <c r="A187" t="s">
        <v>109</v>
      </c>
      <c r="B187" t="s">
        <v>19</v>
      </c>
      <c r="C187" t="s">
        <v>21</v>
      </c>
      <c r="D187" t="s">
        <v>13</v>
      </c>
      <c r="E187" t="s">
        <v>14</v>
      </c>
      <c r="F187"/>
      <c r="G187"/>
      <c r="H187">
        <v>900</v>
      </c>
      <c r="I187"/>
      <c r="J187">
        <v>0</v>
      </c>
      <c r="K187">
        <v>900</v>
      </c>
      <c r="L187">
        <v>630</v>
      </c>
      <c r="M187" s="9" t="str">
        <f>IF(ISERROR(VLOOKUP(B187,[1]작가별정산률!$R:$S,2,0)),"스토리위즈",VLOOKUP(B187,[1]작가별정산률!$R:$S,2,0))</f>
        <v>스토리위즈</v>
      </c>
      <c r="N187" s="9" t="str">
        <f>IF(M187="스토리위즈",VLOOKUP(B187,[1]작가별정산률!$A:$B,2,0),M187)</f>
        <v>권용찬</v>
      </c>
    </row>
    <row r="188" spans="1:14">
      <c r="A188" t="s">
        <v>110</v>
      </c>
      <c r="B188" t="s">
        <v>19</v>
      </c>
      <c r="C188" t="s">
        <v>21</v>
      </c>
      <c r="D188" t="s">
        <v>13</v>
      </c>
      <c r="E188" t="s">
        <v>14</v>
      </c>
      <c r="F188"/>
      <c r="G188"/>
      <c r="H188">
        <v>900</v>
      </c>
      <c r="I188"/>
      <c r="J188">
        <v>0</v>
      </c>
      <c r="K188">
        <v>900</v>
      </c>
      <c r="L188">
        <v>630</v>
      </c>
      <c r="M188" s="9" t="str">
        <f>IF(ISERROR(VLOOKUP(B188,[1]작가별정산률!$R:$S,2,0)),"스토리위즈",VLOOKUP(B188,[1]작가별정산률!$R:$S,2,0))</f>
        <v>스토리위즈</v>
      </c>
      <c r="N188" s="9" t="str">
        <f>IF(M188="스토리위즈",VLOOKUP(B188,[1]작가별정산률!$A:$B,2,0),M188)</f>
        <v>권용찬</v>
      </c>
    </row>
    <row r="189" spans="1:14">
      <c r="A189" t="s">
        <v>111</v>
      </c>
      <c r="B189" t="s">
        <v>19</v>
      </c>
      <c r="C189" t="s">
        <v>21</v>
      </c>
      <c r="D189" t="s">
        <v>13</v>
      </c>
      <c r="E189" t="s">
        <v>14</v>
      </c>
      <c r="F189"/>
      <c r="G189"/>
      <c r="H189">
        <v>900</v>
      </c>
      <c r="I189"/>
      <c r="J189">
        <v>0</v>
      </c>
      <c r="K189">
        <v>900</v>
      </c>
      <c r="L189">
        <v>630</v>
      </c>
      <c r="M189" s="9" t="str">
        <f>IF(ISERROR(VLOOKUP(B189,[1]작가별정산률!$R:$S,2,0)),"스토리위즈",VLOOKUP(B189,[1]작가별정산률!$R:$S,2,0))</f>
        <v>스토리위즈</v>
      </c>
      <c r="N189" s="9" t="str">
        <f>IF(M189="스토리위즈",VLOOKUP(B189,[1]작가별정산률!$A:$B,2,0),M189)</f>
        <v>권용찬</v>
      </c>
    </row>
    <row r="190" spans="1:14">
      <c r="A190" t="s">
        <v>112</v>
      </c>
      <c r="B190" t="s">
        <v>19</v>
      </c>
      <c r="C190" t="s">
        <v>21</v>
      </c>
      <c r="D190" t="s">
        <v>13</v>
      </c>
      <c r="E190" t="s">
        <v>14</v>
      </c>
      <c r="F190"/>
      <c r="G190"/>
      <c r="H190">
        <v>900</v>
      </c>
      <c r="I190"/>
      <c r="J190">
        <v>0</v>
      </c>
      <c r="K190">
        <v>900</v>
      </c>
      <c r="L190">
        <v>630</v>
      </c>
      <c r="M190" s="9" t="str">
        <f>IF(ISERROR(VLOOKUP(B190,[1]작가별정산률!$R:$S,2,0)),"스토리위즈",VLOOKUP(B190,[1]작가별정산률!$R:$S,2,0))</f>
        <v>스토리위즈</v>
      </c>
      <c r="N190" s="9" t="str">
        <f>IF(M190="스토리위즈",VLOOKUP(B190,[1]작가별정산률!$A:$B,2,0),M190)</f>
        <v>권용찬</v>
      </c>
    </row>
    <row r="191" spans="1:14">
      <c r="A191" t="s">
        <v>287</v>
      </c>
      <c r="B191" t="s">
        <v>288</v>
      </c>
      <c r="C191" t="s">
        <v>21</v>
      </c>
      <c r="D191" t="s">
        <v>13</v>
      </c>
      <c r="E191" t="s">
        <v>16</v>
      </c>
      <c r="F191">
        <v>267</v>
      </c>
      <c r="G191">
        <v>100</v>
      </c>
      <c r="H191">
        <v>26700</v>
      </c>
      <c r="I191">
        <v>0</v>
      </c>
      <c r="J191">
        <v>0</v>
      </c>
      <c r="K191">
        <v>26700</v>
      </c>
      <c r="L191">
        <v>18690</v>
      </c>
      <c r="M191" s="9" t="str">
        <f>IF(ISERROR(VLOOKUP(B191,[1]작가별정산률!$R:$S,2,0)),"스토리위즈",VLOOKUP(B191,[1]작가별정산률!$R:$S,2,0))</f>
        <v>스토리위즈</v>
      </c>
      <c r="N191" s="9" t="str">
        <f>IF(M191="스토리위즈",VLOOKUP(B191,[1]작가별정산률!$A:$B,2,0),M191)</f>
        <v>바나바다</v>
      </c>
    </row>
    <row r="192" spans="1:14">
      <c r="A192" t="s">
        <v>113</v>
      </c>
      <c r="B192" t="s">
        <v>20</v>
      </c>
      <c r="C192" t="s">
        <v>21</v>
      </c>
      <c r="D192" t="s">
        <v>13</v>
      </c>
      <c r="E192" t="s">
        <v>18</v>
      </c>
      <c r="F192">
        <v>1</v>
      </c>
      <c r="G192">
        <v>3200</v>
      </c>
      <c r="H192">
        <v>3200</v>
      </c>
      <c r="I192">
        <v>0</v>
      </c>
      <c r="J192">
        <v>0</v>
      </c>
      <c r="K192">
        <v>3200</v>
      </c>
      <c r="L192">
        <v>2240</v>
      </c>
      <c r="M192" s="9" t="str">
        <f>IF(ISERROR(VLOOKUP(B192,[1]작가별정산률!$R:$S,2,0)),"스토리위즈",VLOOKUP(B192,[1]작가별정산률!$R:$S,2,0))</f>
        <v>스토리위즈</v>
      </c>
      <c r="N192" s="9" t="str">
        <f>IF(M192="스토리위즈",VLOOKUP(B192,[1]작가별정산률!$A:$B,2,0),M192)</f>
        <v>무장</v>
      </c>
    </row>
    <row r="193" spans="1:14">
      <c r="A193" t="s">
        <v>183</v>
      </c>
      <c r="B193" t="s">
        <v>20</v>
      </c>
      <c r="C193" t="s">
        <v>21</v>
      </c>
      <c r="D193" t="s">
        <v>13</v>
      </c>
      <c r="E193" t="s">
        <v>18</v>
      </c>
      <c r="F193">
        <v>1</v>
      </c>
      <c r="G193">
        <v>3200</v>
      </c>
      <c r="H193">
        <v>3200</v>
      </c>
      <c r="I193">
        <v>0</v>
      </c>
      <c r="J193">
        <v>0</v>
      </c>
      <c r="K193">
        <v>3200</v>
      </c>
      <c r="L193">
        <v>2240</v>
      </c>
      <c r="M193" s="9" t="str">
        <f>IF(ISERROR(VLOOKUP(B193,[1]작가별정산률!$R:$S,2,0)),"스토리위즈",VLOOKUP(B193,[1]작가별정산률!$R:$S,2,0))</f>
        <v>스토리위즈</v>
      </c>
      <c r="N193" s="9" t="str">
        <f>IF(M193="스토리위즈",VLOOKUP(B193,[1]작가별정산률!$A:$B,2,0),M193)</f>
        <v>무장</v>
      </c>
    </row>
    <row r="194" spans="1:14">
      <c r="A194" t="s">
        <v>184</v>
      </c>
      <c r="B194" t="s">
        <v>20</v>
      </c>
      <c r="C194" t="s">
        <v>21</v>
      </c>
      <c r="D194" t="s">
        <v>13</v>
      </c>
      <c r="E194" t="s">
        <v>18</v>
      </c>
      <c r="F194">
        <v>1</v>
      </c>
      <c r="G194">
        <v>3200</v>
      </c>
      <c r="H194">
        <v>3200</v>
      </c>
      <c r="I194">
        <v>0</v>
      </c>
      <c r="J194">
        <v>0</v>
      </c>
      <c r="K194">
        <v>3200</v>
      </c>
      <c r="L194">
        <v>2240</v>
      </c>
      <c r="M194" s="9" t="str">
        <f>IF(ISERROR(VLOOKUP(B194,[1]작가별정산률!$R:$S,2,0)),"스토리위즈",VLOOKUP(B194,[1]작가별정산률!$R:$S,2,0))</f>
        <v>스토리위즈</v>
      </c>
      <c r="N194" s="9" t="str">
        <f>IF(M194="스토리위즈",VLOOKUP(B194,[1]작가별정산률!$A:$B,2,0),M194)</f>
        <v>무장</v>
      </c>
    </row>
    <row r="195" spans="1:14">
      <c r="A195" t="s">
        <v>185</v>
      </c>
      <c r="B195" t="s">
        <v>20</v>
      </c>
      <c r="C195" t="s">
        <v>21</v>
      </c>
      <c r="D195" t="s">
        <v>13</v>
      </c>
      <c r="E195" t="s">
        <v>18</v>
      </c>
      <c r="F195">
        <v>1</v>
      </c>
      <c r="G195">
        <v>3200</v>
      </c>
      <c r="H195">
        <v>3200</v>
      </c>
      <c r="I195">
        <v>0</v>
      </c>
      <c r="J195">
        <v>0</v>
      </c>
      <c r="K195">
        <v>3200</v>
      </c>
      <c r="L195">
        <v>2240</v>
      </c>
      <c r="M195" s="9" t="str">
        <f>IF(ISERROR(VLOOKUP(B195,[1]작가별정산률!$R:$S,2,0)),"스토리위즈",VLOOKUP(B195,[1]작가별정산률!$R:$S,2,0))</f>
        <v>스토리위즈</v>
      </c>
      <c r="N195" s="9" t="str">
        <f>IF(M195="스토리위즈",VLOOKUP(B195,[1]작가별정산률!$A:$B,2,0),M195)</f>
        <v>무장</v>
      </c>
    </row>
    <row r="196" spans="1:14">
      <c r="A196" t="s">
        <v>186</v>
      </c>
      <c r="B196" t="s">
        <v>20</v>
      </c>
      <c r="C196" t="s">
        <v>21</v>
      </c>
      <c r="D196" t="s">
        <v>13</v>
      </c>
      <c r="E196" t="s">
        <v>18</v>
      </c>
      <c r="F196">
        <v>1</v>
      </c>
      <c r="G196">
        <v>3200</v>
      </c>
      <c r="H196">
        <v>3200</v>
      </c>
      <c r="I196">
        <v>0</v>
      </c>
      <c r="J196">
        <v>0</v>
      </c>
      <c r="K196">
        <v>3200</v>
      </c>
      <c r="L196">
        <v>2240</v>
      </c>
      <c r="M196" s="9" t="str">
        <f>IF(ISERROR(VLOOKUP(B196,[1]작가별정산률!$R:$S,2,0)),"스토리위즈",VLOOKUP(B196,[1]작가별정산률!$R:$S,2,0))</f>
        <v>스토리위즈</v>
      </c>
      <c r="N196" s="9" t="str">
        <f>IF(M196="스토리위즈",VLOOKUP(B196,[1]작가별정산률!$A:$B,2,0),M196)</f>
        <v>무장</v>
      </c>
    </row>
    <row r="197" spans="1:14">
      <c r="A197" t="s">
        <v>187</v>
      </c>
      <c r="B197" t="s">
        <v>20</v>
      </c>
      <c r="C197" t="s">
        <v>21</v>
      </c>
      <c r="D197" t="s">
        <v>13</v>
      </c>
      <c r="E197" t="s">
        <v>18</v>
      </c>
      <c r="F197">
        <v>2</v>
      </c>
      <c r="G197">
        <v>3200</v>
      </c>
      <c r="H197">
        <v>6400</v>
      </c>
      <c r="I197">
        <v>0</v>
      </c>
      <c r="J197">
        <v>0</v>
      </c>
      <c r="K197">
        <v>6400</v>
      </c>
      <c r="L197">
        <v>4480</v>
      </c>
      <c r="M197" s="9" t="str">
        <f>IF(ISERROR(VLOOKUP(B197,[1]작가별정산률!$R:$S,2,0)),"스토리위즈",VLOOKUP(B197,[1]작가별정산률!$R:$S,2,0))</f>
        <v>스토리위즈</v>
      </c>
      <c r="N197" s="9" t="str">
        <f>IF(M197="스토리위즈",VLOOKUP(B197,[1]작가별정산률!$A:$B,2,0),M197)</f>
        <v>무장</v>
      </c>
    </row>
    <row r="198" spans="1:14">
      <c r="A198" t="s">
        <v>188</v>
      </c>
      <c r="B198" t="s">
        <v>20</v>
      </c>
      <c r="C198" t="s">
        <v>21</v>
      </c>
      <c r="D198" t="s">
        <v>13</v>
      </c>
      <c r="E198" t="s">
        <v>18</v>
      </c>
      <c r="F198">
        <v>2</v>
      </c>
      <c r="G198">
        <v>3200</v>
      </c>
      <c r="H198">
        <v>6400</v>
      </c>
      <c r="I198">
        <v>0</v>
      </c>
      <c r="J198">
        <v>0</v>
      </c>
      <c r="K198">
        <v>6400</v>
      </c>
      <c r="L198">
        <v>4480</v>
      </c>
      <c r="M198" s="9" t="str">
        <f>IF(ISERROR(VLOOKUP(B198,[1]작가별정산률!$R:$S,2,0)),"스토리위즈",VLOOKUP(B198,[1]작가별정산률!$R:$S,2,0))</f>
        <v>스토리위즈</v>
      </c>
      <c r="N198" s="9" t="str">
        <f>IF(M198="스토리위즈",VLOOKUP(B198,[1]작가별정산률!$A:$B,2,0),M198)</f>
        <v>무장</v>
      </c>
    </row>
    <row r="199" spans="1:14">
      <c r="A199" t="s">
        <v>189</v>
      </c>
      <c r="B199" t="s">
        <v>20</v>
      </c>
      <c r="C199" t="s">
        <v>21</v>
      </c>
      <c r="D199" t="s">
        <v>13</v>
      </c>
      <c r="E199" t="s">
        <v>18</v>
      </c>
      <c r="F199">
        <v>1</v>
      </c>
      <c r="G199">
        <v>3200</v>
      </c>
      <c r="H199">
        <v>3200</v>
      </c>
      <c r="I199">
        <v>0</v>
      </c>
      <c r="J199">
        <v>0</v>
      </c>
      <c r="K199">
        <v>3200</v>
      </c>
      <c r="L199">
        <v>2240</v>
      </c>
      <c r="M199" s="9" t="str">
        <f>IF(ISERROR(VLOOKUP(B199,[1]작가별정산률!$R:$S,2,0)),"스토리위즈",VLOOKUP(B199,[1]작가별정산률!$R:$S,2,0))</f>
        <v>스토리위즈</v>
      </c>
      <c r="N199" s="9" t="str">
        <f>IF(M199="스토리위즈",VLOOKUP(B199,[1]작가별정산률!$A:$B,2,0),M199)</f>
        <v>무장</v>
      </c>
    </row>
    <row r="200" spans="1:14">
      <c r="A200" t="s">
        <v>190</v>
      </c>
      <c r="B200" t="s">
        <v>20</v>
      </c>
      <c r="C200" t="s">
        <v>21</v>
      </c>
      <c r="D200" t="s">
        <v>13</v>
      </c>
      <c r="E200" t="s">
        <v>18</v>
      </c>
      <c r="F200">
        <v>1</v>
      </c>
      <c r="G200">
        <v>3200</v>
      </c>
      <c r="H200">
        <v>3200</v>
      </c>
      <c r="I200">
        <v>0</v>
      </c>
      <c r="J200">
        <v>0</v>
      </c>
      <c r="K200">
        <v>3200</v>
      </c>
      <c r="L200">
        <v>2240</v>
      </c>
      <c r="M200" s="9" t="str">
        <f>IF(ISERROR(VLOOKUP(B200,[1]작가별정산률!$R:$S,2,0)),"스토리위즈",VLOOKUP(B200,[1]작가별정산률!$R:$S,2,0))</f>
        <v>스토리위즈</v>
      </c>
      <c r="N200" s="9" t="str">
        <f>IF(M200="스토리위즈",VLOOKUP(B200,[1]작가별정산률!$A:$B,2,0),M200)</f>
        <v>무장</v>
      </c>
    </row>
    <row r="201" spans="1:14">
      <c r="A201" t="s">
        <v>191</v>
      </c>
      <c r="B201" t="s">
        <v>20</v>
      </c>
      <c r="C201" t="s">
        <v>21</v>
      </c>
      <c r="D201" t="s">
        <v>13</v>
      </c>
      <c r="E201" t="s">
        <v>18</v>
      </c>
      <c r="F201">
        <v>1</v>
      </c>
      <c r="G201">
        <v>3200</v>
      </c>
      <c r="H201">
        <v>3200</v>
      </c>
      <c r="I201">
        <v>0</v>
      </c>
      <c r="J201">
        <v>0</v>
      </c>
      <c r="K201">
        <v>3200</v>
      </c>
      <c r="L201">
        <v>2240</v>
      </c>
      <c r="M201" s="9" t="str">
        <f>IF(ISERROR(VLOOKUP(B201,[1]작가별정산률!$R:$S,2,0)),"스토리위즈",VLOOKUP(B201,[1]작가별정산률!$R:$S,2,0))</f>
        <v>스토리위즈</v>
      </c>
      <c r="N201" s="9" t="str">
        <f>IF(M201="스토리위즈",VLOOKUP(B201,[1]작가별정산률!$A:$B,2,0),M201)</f>
        <v>무장</v>
      </c>
    </row>
    <row r="202" spans="1:14">
      <c r="A202" t="s">
        <v>289</v>
      </c>
      <c r="B202" t="s">
        <v>17</v>
      </c>
      <c r="C202" t="s">
        <v>21</v>
      </c>
      <c r="D202" t="s">
        <v>13</v>
      </c>
      <c r="E202" t="s">
        <v>14</v>
      </c>
      <c r="F202"/>
      <c r="G202"/>
      <c r="H202">
        <v>900</v>
      </c>
      <c r="I202"/>
      <c r="J202">
        <v>0</v>
      </c>
      <c r="K202">
        <v>900</v>
      </c>
      <c r="L202">
        <v>630</v>
      </c>
      <c r="M202" s="9" t="str">
        <f>IF(ISERROR(VLOOKUP(B202,[1]작가별정산률!$R:$S,2,0)),"스토리위즈",VLOOKUP(B202,[1]작가별정산률!$R:$S,2,0))</f>
        <v>스토리위즈</v>
      </c>
      <c r="N202" s="9" t="str">
        <f>IF(M202="스토리위즈",VLOOKUP(B202,[1]작가별정산률!$A:$B,2,0),M202)</f>
        <v>전혁</v>
      </c>
    </row>
    <row r="203" spans="1:14">
      <c r="A203" t="s">
        <v>290</v>
      </c>
      <c r="B203" t="s">
        <v>17</v>
      </c>
      <c r="C203" t="s">
        <v>21</v>
      </c>
      <c r="D203" t="s">
        <v>13</v>
      </c>
      <c r="E203" t="s">
        <v>14</v>
      </c>
      <c r="F203"/>
      <c r="G203"/>
      <c r="H203">
        <v>900</v>
      </c>
      <c r="I203"/>
      <c r="J203">
        <v>0</v>
      </c>
      <c r="K203">
        <v>900</v>
      </c>
      <c r="L203">
        <v>630</v>
      </c>
      <c r="M203" s="9" t="str">
        <f>IF(ISERROR(VLOOKUP(B203,[1]작가별정산률!$R:$S,2,0)),"스토리위즈",VLOOKUP(B203,[1]작가별정산률!$R:$S,2,0))</f>
        <v>스토리위즈</v>
      </c>
      <c r="N203" s="9" t="str">
        <f>IF(M203="스토리위즈",VLOOKUP(B203,[1]작가별정산률!$A:$B,2,0),M203)</f>
        <v>전혁</v>
      </c>
    </row>
    <row r="204" spans="1:14">
      <c r="A204" t="s">
        <v>291</v>
      </c>
      <c r="B204" t="s">
        <v>17</v>
      </c>
      <c r="C204" t="s">
        <v>21</v>
      </c>
      <c r="D204" t="s">
        <v>13</v>
      </c>
      <c r="E204" t="s">
        <v>14</v>
      </c>
      <c r="F204"/>
      <c r="G204"/>
      <c r="H204">
        <v>900</v>
      </c>
      <c r="I204"/>
      <c r="J204">
        <v>0</v>
      </c>
      <c r="K204">
        <v>900</v>
      </c>
      <c r="L204">
        <v>630</v>
      </c>
      <c r="M204" s="9" t="str">
        <f>IF(ISERROR(VLOOKUP(B204,[1]작가별정산률!$R:$S,2,0)),"스토리위즈",VLOOKUP(B204,[1]작가별정산률!$R:$S,2,0))</f>
        <v>스토리위즈</v>
      </c>
      <c r="N204" s="9" t="str">
        <f>IF(M204="스토리위즈",VLOOKUP(B204,[1]작가별정산률!$A:$B,2,0),M204)</f>
        <v>전혁</v>
      </c>
    </row>
    <row r="205" spans="1:14">
      <c r="A205" t="s">
        <v>292</v>
      </c>
      <c r="B205" t="s">
        <v>17</v>
      </c>
      <c r="C205" t="s">
        <v>21</v>
      </c>
      <c r="D205" t="s">
        <v>13</v>
      </c>
      <c r="E205" t="s">
        <v>14</v>
      </c>
      <c r="F205"/>
      <c r="G205"/>
      <c r="H205">
        <v>900</v>
      </c>
      <c r="I205"/>
      <c r="J205">
        <v>0</v>
      </c>
      <c r="K205">
        <v>900</v>
      </c>
      <c r="L205">
        <v>630</v>
      </c>
      <c r="M205" s="9" t="str">
        <f>IF(ISERROR(VLOOKUP(B205,[1]작가별정산률!$R:$S,2,0)),"스토리위즈",VLOOKUP(B205,[1]작가별정산률!$R:$S,2,0))</f>
        <v>스토리위즈</v>
      </c>
      <c r="N205" s="9" t="str">
        <f>IF(M205="스토리위즈",VLOOKUP(B205,[1]작가별정산률!$A:$B,2,0),M205)</f>
        <v>전혁</v>
      </c>
    </row>
    <row r="206" spans="1:14">
      <c r="A206" t="s">
        <v>293</v>
      </c>
      <c r="B206" t="s">
        <v>17</v>
      </c>
      <c r="C206" t="s">
        <v>21</v>
      </c>
      <c r="D206" t="s">
        <v>13</v>
      </c>
      <c r="E206" t="s">
        <v>14</v>
      </c>
      <c r="F206"/>
      <c r="G206"/>
      <c r="H206">
        <v>900</v>
      </c>
      <c r="I206"/>
      <c r="J206">
        <v>0</v>
      </c>
      <c r="K206">
        <v>900</v>
      </c>
      <c r="L206">
        <v>630</v>
      </c>
      <c r="M206" s="9" t="str">
        <f>IF(ISERROR(VLOOKUP(B206,[1]작가별정산률!$R:$S,2,0)),"스토리위즈",VLOOKUP(B206,[1]작가별정산률!$R:$S,2,0))</f>
        <v>스토리위즈</v>
      </c>
      <c r="N206" s="9" t="str">
        <f>IF(M206="스토리위즈",VLOOKUP(B206,[1]작가별정산률!$A:$B,2,0),M206)</f>
        <v>전혁</v>
      </c>
    </row>
    <row r="207" spans="1:14">
      <c r="A207" t="s">
        <v>294</v>
      </c>
      <c r="B207" t="s">
        <v>17</v>
      </c>
      <c r="C207" t="s">
        <v>21</v>
      </c>
      <c r="D207" t="s">
        <v>13</v>
      </c>
      <c r="E207" t="s">
        <v>14</v>
      </c>
      <c r="F207"/>
      <c r="G207"/>
      <c r="H207">
        <v>900</v>
      </c>
      <c r="I207"/>
      <c r="J207">
        <v>0</v>
      </c>
      <c r="K207">
        <v>900</v>
      </c>
      <c r="L207">
        <v>630</v>
      </c>
      <c r="M207" s="9" t="str">
        <f>IF(ISERROR(VLOOKUP(B207,[1]작가별정산률!$R:$S,2,0)),"스토리위즈",VLOOKUP(B207,[1]작가별정산률!$R:$S,2,0))</f>
        <v>스토리위즈</v>
      </c>
      <c r="N207" s="9" t="str">
        <f>IF(M207="스토리위즈",VLOOKUP(B207,[1]작가별정산률!$A:$B,2,0),M207)</f>
        <v>전혁</v>
      </c>
    </row>
    <row r="208" spans="1:14">
      <c r="A208" t="s">
        <v>295</v>
      </c>
      <c r="B208" t="s">
        <v>17</v>
      </c>
      <c r="C208" t="s">
        <v>21</v>
      </c>
      <c r="D208" t="s">
        <v>13</v>
      </c>
      <c r="E208" t="s">
        <v>14</v>
      </c>
      <c r="F208"/>
      <c r="G208"/>
      <c r="H208">
        <v>900</v>
      </c>
      <c r="I208"/>
      <c r="J208">
        <v>0</v>
      </c>
      <c r="K208">
        <v>900</v>
      </c>
      <c r="L208">
        <v>630</v>
      </c>
      <c r="M208" s="9" t="str">
        <f>IF(ISERROR(VLOOKUP(B208,[1]작가별정산률!$R:$S,2,0)),"스토리위즈",VLOOKUP(B208,[1]작가별정산률!$R:$S,2,0))</f>
        <v>스토리위즈</v>
      </c>
      <c r="N208" s="9" t="str">
        <f>IF(M208="스토리위즈",VLOOKUP(B208,[1]작가별정산률!$A:$B,2,0),M208)</f>
        <v>전혁</v>
      </c>
    </row>
    <row r="209" spans="1:14">
      <c r="A209" t="s">
        <v>296</v>
      </c>
      <c r="B209" t="s">
        <v>17</v>
      </c>
      <c r="C209" t="s">
        <v>21</v>
      </c>
      <c r="D209" t="s">
        <v>13</v>
      </c>
      <c r="E209" t="s">
        <v>14</v>
      </c>
      <c r="F209"/>
      <c r="G209"/>
      <c r="H209">
        <v>900</v>
      </c>
      <c r="I209"/>
      <c r="J209">
        <v>0</v>
      </c>
      <c r="K209">
        <v>900</v>
      </c>
      <c r="L209">
        <v>630</v>
      </c>
      <c r="M209" s="9" t="str">
        <f>IF(ISERROR(VLOOKUP(B209,[1]작가별정산률!$R:$S,2,0)),"스토리위즈",VLOOKUP(B209,[1]작가별정산률!$R:$S,2,0))</f>
        <v>스토리위즈</v>
      </c>
      <c r="N209" s="9" t="str">
        <f>IF(M209="스토리위즈",VLOOKUP(B209,[1]작가별정산률!$A:$B,2,0),M209)</f>
        <v>전혁</v>
      </c>
    </row>
    <row r="210" spans="1:14">
      <c r="A210" t="s">
        <v>297</v>
      </c>
      <c r="B210" t="s">
        <v>17</v>
      </c>
      <c r="C210" t="s">
        <v>21</v>
      </c>
      <c r="D210" t="s">
        <v>13</v>
      </c>
      <c r="E210" t="s">
        <v>14</v>
      </c>
      <c r="F210"/>
      <c r="G210"/>
      <c r="H210">
        <v>1800</v>
      </c>
      <c r="I210"/>
      <c r="J210">
        <v>0</v>
      </c>
      <c r="K210">
        <v>1800</v>
      </c>
      <c r="L210">
        <v>1260</v>
      </c>
      <c r="M210" s="9" t="str">
        <f>IF(ISERROR(VLOOKUP(B210,[1]작가별정산률!$R:$S,2,0)),"스토리위즈",VLOOKUP(B210,[1]작가별정산률!$R:$S,2,0))</f>
        <v>스토리위즈</v>
      </c>
      <c r="N210" s="9" t="str">
        <f>IF(M210="스토리위즈",VLOOKUP(B210,[1]작가별정산률!$A:$B,2,0),M210)</f>
        <v>전혁</v>
      </c>
    </row>
    <row r="211" spans="1:14">
      <c r="A211" t="s">
        <v>298</v>
      </c>
      <c r="B211" t="s">
        <v>17</v>
      </c>
      <c r="C211" t="s">
        <v>21</v>
      </c>
      <c r="D211" t="s">
        <v>13</v>
      </c>
      <c r="E211" t="s">
        <v>14</v>
      </c>
      <c r="F211"/>
      <c r="G211"/>
      <c r="H211">
        <v>1800</v>
      </c>
      <c r="I211"/>
      <c r="J211">
        <v>0</v>
      </c>
      <c r="K211">
        <v>1800</v>
      </c>
      <c r="L211">
        <v>1260</v>
      </c>
      <c r="M211" s="9" t="str">
        <f>IF(ISERROR(VLOOKUP(B211,[1]작가별정산률!$R:$S,2,0)),"스토리위즈",VLOOKUP(B211,[1]작가별정산률!$R:$S,2,0))</f>
        <v>스토리위즈</v>
      </c>
      <c r="N211" s="9" t="str">
        <f>IF(M211="스토리위즈",VLOOKUP(B211,[1]작가별정산률!$A:$B,2,0),M211)</f>
        <v>전혁</v>
      </c>
    </row>
    <row r="212" spans="1:14">
      <c r="A212" t="s">
        <v>299</v>
      </c>
      <c r="B212" t="s">
        <v>17</v>
      </c>
      <c r="C212" t="s">
        <v>21</v>
      </c>
      <c r="D212" t="s">
        <v>13</v>
      </c>
      <c r="E212" t="s">
        <v>14</v>
      </c>
      <c r="F212"/>
      <c r="G212"/>
      <c r="H212">
        <v>1800</v>
      </c>
      <c r="I212"/>
      <c r="J212">
        <v>0</v>
      </c>
      <c r="K212">
        <v>1800</v>
      </c>
      <c r="L212">
        <v>1260</v>
      </c>
      <c r="M212" s="9" t="str">
        <f>IF(ISERROR(VLOOKUP(B212,[1]작가별정산률!$R:$S,2,0)),"스토리위즈",VLOOKUP(B212,[1]작가별정산률!$R:$S,2,0))</f>
        <v>스토리위즈</v>
      </c>
      <c r="N212" s="9" t="str">
        <f>IF(M212="스토리위즈",VLOOKUP(B212,[1]작가별정산률!$A:$B,2,0),M212)</f>
        <v>전혁</v>
      </c>
    </row>
    <row r="213" spans="1:14">
      <c r="A213" t="s">
        <v>300</v>
      </c>
      <c r="B213" t="s">
        <v>17</v>
      </c>
      <c r="C213" t="s">
        <v>21</v>
      </c>
      <c r="D213" t="s">
        <v>13</v>
      </c>
      <c r="E213" t="s">
        <v>14</v>
      </c>
      <c r="F213"/>
      <c r="G213"/>
      <c r="H213">
        <v>1800</v>
      </c>
      <c r="I213"/>
      <c r="J213">
        <v>0</v>
      </c>
      <c r="K213">
        <v>1800</v>
      </c>
      <c r="L213">
        <v>1260</v>
      </c>
      <c r="M213" s="9" t="str">
        <f>IF(ISERROR(VLOOKUP(B213,[1]작가별정산률!$R:$S,2,0)),"스토리위즈",VLOOKUP(B213,[1]작가별정산률!$R:$S,2,0))</f>
        <v>스토리위즈</v>
      </c>
      <c r="N213" s="9" t="str">
        <f>IF(M213="스토리위즈",VLOOKUP(B213,[1]작가별정산률!$A:$B,2,0),M213)</f>
        <v>전혁</v>
      </c>
    </row>
    <row r="214" spans="1:14">
      <c r="A214" t="s">
        <v>301</v>
      </c>
      <c r="B214" t="s">
        <v>17</v>
      </c>
      <c r="C214" t="s">
        <v>21</v>
      </c>
      <c r="D214" t="s">
        <v>13</v>
      </c>
      <c r="E214" t="s">
        <v>14</v>
      </c>
      <c r="F214"/>
      <c r="G214"/>
      <c r="H214">
        <v>1800</v>
      </c>
      <c r="I214"/>
      <c r="J214">
        <v>0</v>
      </c>
      <c r="K214">
        <v>1800</v>
      </c>
      <c r="L214">
        <v>1260</v>
      </c>
      <c r="M214" s="9" t="str">
        <f>IF(ISERROR(VLOOKUP(B214,[1]작가별정산률!$R:$S,2,0)),"스토리위즈",VLOOKUP(B214,[1]작가별정산률!$R:$S,2,0))</f>
        <v>스토리위즈</v>
      </c>
      <c r="N214" s="9" t="str">
        <f>IF(M214="스토리위즈",VLOOKUP(B214,[1]작가별정산률!$A:$B,2,0),M214)</f>
        <v>전혁</v>
      </c>
    </row>
    <row r="215" spans="1:14">
      <c r="A215" t="s">
        <v>302</v>
      </c>
      <c r="B215" t="s">
        <v>17</v>
      </c>
      <c r="C215" t="s">
        <v>21</v>
      </c>
      <c r="D215" t="s">
        <v>13</v>
      </c>
      <c r="E215" t="s">
        <v>14</v>
      </c>
      <c r="F215"/>
      <c r="G215"/>
      <c r="H215">
        <v>900</v>
      </c>
      <c r="I215"/>
      <c r="J215">
        <v>0</v>
      </c>
      <c r="K215">
        <v>900</v>
      </c>
      <c r="L215">
        <v>630</v>
      </c>
      <c r="M215" s="9" t="str">
        <f>IF(ISERROR(VLOOKUP(B215,[1]작가별정산률!$R:$S,2,0)),"스토리위즈",VLOOKUP(B215,[1]작가별정산률!$R:$S,2,0))</f>
        <v>스토리위즈</v>
      </c>
      <c r="N215" s="9" t="str">
        <f>IF(M215="스토리위즈",VLOOKUP(B215,[1]작가별정산률!$A:$B,2,0),M215)</f>
        <v>전혁</v>
      </c>
    </row>
    <row r="216" spans="1:14">
      <c r="A216" t="s">
        <v>303</v>
      </c>
      <c r="B216" t="s">
        <v>17</v>
      </c>
      <c r="C216" t="s">
        <v>21</v>
      </c>
      <c r="D216" t="s">
        <v>13</v>
      </c>
      <c r="E216" t="s">
        <v>14</v>
      </c>
      <c r="F216"/>
      <c r="G216"/>
      <c r="H216">
        <v>900</v>
      </c>
      <c r="I216"/>
      <c r="J216">
        <v>0</v>
      </c>
      <c r="K216">
        <v>900</v>
      </c>
      <c r="L216">
        <v>630</v>
      </c>
      <c r="M216" s="9" t="str">
        <f>IF(ISERROR(VLOOKUP(B216,[1]작가별정산률!$R:$S,2,0)),"스토리위즈",VLOOKUP(B216,[1]작가별정산률!$R:$S,2,0))</f>
        <v>스토리위즈</v>
      </c>
      <c r="N216" s="9" t="str">
        <f>IF(M216="스토리위즈",VLOOKUP(B216,[1]작가별정산률!$A:$B,2,0),M216)</f>
        <v>전혁</v>
      </c>
    </row>
    <row r="217" spans="1:14">
      <c r="A217" t="s">
        <v>304</v>
      </c>
      <c r="B217" t="s">
        <v>17</v>
      </c>
      <c r="C217" t="s">
        <v>21</v>
      </c>
      <c r="D217" t="s">
        <v>13</v>
      </c>
      <c r="E217" t="s">
        <v>14</v>
      </c>
      <c r="F217"/>
      <c r="G217"/>
      <c r="H217">
        <v>900</v>
      </c>
      <c r="I217"/>
      <c r="J217">
        <v>0</v>
      </c>
      <c r="K217">
        <v>900</v>
      </c>
      <c r="L217">
        <v>630</v>
      </c>
      <c r="M217" s="9" t="str">
        <f>IF(ISERROR(VLOOKUP(B217,[1]작가별정산률!$R:$S,2,0)),"스토리위즈",VLOOKUP(B217,[1]작가별정산률!$R:$S,2,0))</f>
        <v>스토리위즈</v>
      </c>
      <c r="N217" s="9" t="str">
        <f>IF(M217="스토리위즈",VLOOKUP(B217,[1]작가별정산률!$A:$B,2,0),M217)</f>
        <v>전혁</v>
      </c>
    </row>
    <row r="218" spans="1:14">
      <c r="A218" t="s">
        <v>22</v>
      </c>
      <c r="B218" t="s">
        <v>20</v>
      </c>
      <c r="C218" t="s">
        <v>21</v>
      </c>
      <c r="D218" t="s">
        <v>13</v>
      </c>
      <c r="E218" t="s">
        <v>16</v>
      </c>
      <c r="F218">
        <v>15</v>
      </c>
      <c r="G218">
        <v>100</v>
      </c>
      <c r="H218">
        <v>1500</v>
      </c>
      <c r="I218">
        <v>0</v>
      </c>
      <c r="J218">
        <v>0</v>
      </c>
      <c r="K218">
        <v>1500</v>
      </c>
      <c r="L218">
        <v>1050</v>
      </c>
      <c r="M218" s="9" t="str">
        <f>IF(ISERROR(VLOOKUP(B218,[1]작가별정산률!$R:$S,2,0)),"스토리위즈",VLOOKUP(B218,[1]작가별정산률!$R:$S,2,0))</f>
        <v>스토리위즈</v>
      </c>
      <c r="N218" s="9" t="str">
        <f>IF(M218="스토리위즈",VLOOKUP(B218,[1]작가별정산률!$A:$B,2,0),M218)</f>
        <v>무장</v>
      </c>
    </row>
    <row r="219" spans="1:14">
      <c r="A219" t="s">
        <v>39</v>
      </c>
      <c r="B219" t="s">
        <v>20</v>
      </c>
      <c r="C219" t="s">
        <v>21</v>
      </c>
      <c r="D219" t="s">
        <v>13</v>
      </c>
      <c r="E219" t="s">
        <v>18</v>
      </c>
      <c r="F219">
        <v>1</v>
      </c>
      <c r="G219">
        <v>3200</v>
      </c>
      <c r="H219">
        <v>3200</v>
      </c>
      <c r="I219">
        <v>0</v>
      </c>
      <c r="J219">
        <v>0</v>
      </c>
      <c r="K219">
        <v>3200</v>
      </c>
      <c r="L219">
        <v>2240</v>
      </c>
      <c r="M219" s="9" t="str">
        <f>IF(ISERROR(VLOOKUP(B219,[1]작가별정산률!$R:$S,2,0)),"스토리위즈",VLOOKUP(B219,[1]작가별정산률!$R:$S,2,0))</f>
        <v>스토리위즈</v>
      </c>
      <c r="N219" s="9" t="str">
        <f>IF(M219="스토리위즈",VLOOKUP(B219,[1]작가별정산률!$A:$B,2,0),M219)</f>
        <v>무장</v>
      </c>
    </row>
    <row r="220" spans="1:14">
      <c r="A220" t="s">
        <v>37</v>
      </c>
      <c r="B220" t="s">
        <v>20</v>
      </c>
      <c r="C220" t="s">
        <v>21</v>
      </c>
      <c r="D220" t="s">
        <v>13</v>
      </c>
      <c r="E220" t="s">
        <v>18</v>
      </c>
      <c r="F220">
        <v>1</v>
      </c>
      <c r="G220">
        <v>3200</v>
      </c>
      <c r="H220">
        <v>3200</v>
      </c>
      <c r="I220">
        <v>0</v>
      </c>
      <c r="J220">
        <v>0</v>
      </c>
      <c r="K220">
        <v>3200</v>
      </c>
      <c r="L220">
        <v>2240</v>
      </c>
      <c r="M220" s="9" t="str">
        <f>IF(ISERROR(VLOOKUP(B220,[1]작가별정산률!$R:$S,2,0)),"스토리위즈",VLOOKUP(B220,[1]작가별정산률!$R:$S,2,0))</f>
        <v>스토리위즈</v>
      </c>
      <c r="N220" s="9" t="str">
        <f>IF(M220="스토리위즈",VLOOKUP(B220,[1]작가별정산률!$A:$B,2,0),M220)</f>
        <v>무장</v>
      </c>
    </row>
    <row r="221" spans="1:14">
      <c r="A221" t="s">
        <v>38</v>
      </c>
      <c r="B221" t="s">
        <v>20</v>
      </c>
      <c r="C221" t="s">
        <v>21</v>
      </c>
      <c r="D221" t="s">
        <v>13</v>
      </c>
      <c r="E221" t="s">
        <v>18</v>
      </c>
      <c r="F221">
        <v>1</v>
      </c>
      <c r="G221">
        <v>3200</v>
      </c>
      <c r="H221">
        <v>3200</v>
      </c>
      <c r="I221">
        <v>0</v>
      </c>
      <c r="J221">
        <v>0</v>
      </c>
      <c r="K221">
        <v>3200</v>
      </c>
      <c r="L221">
        <v>2240</v>
      </c>
      <c r="M221" s="9" t="str">
        <f>IF(ISERROR(VLOOKUP(B221,[1]작가별정산률!$R:$S,2,0)),"스토리위즈",VLOOKUP(B221,[1]작가별정산률!$R:$S,2,0))</f>
        <v>스토리위즈</v>
      </c>
      <c r="N221" s="9" t="str">
        <f>IF(M221="스토리위즈",VLOOKUP(B221,[1]작가별정산률!$A:$B,2,0),M221)</f>
        <v>무장</v>
      </c>
    </row>
    <row r="222" spans="1:14">
      <c r="A222" t="s">
        <v>40</v>
      </c>
      <c r="B222" t="s">
        <v>20</v>
      </c>
      <c r="C222" t="s">
        <v>21</v>
      </c>
      <c r="D222" t="s">
        <v>13</v>
      </c>
      <c r="E222" t="s">
        <v>18</v>
      </c>
      <c r="F222">
        <v>1</v>
      </c>
      <c r="G222">
        <v>3200</v>
      </c>
      <c r="H222">
        <v>3200</v>
      </c>
      <c r="I222">
        <v>0</v>
      </c>
      <c r="J222">
        <v>0</v>
      </c>
      <c r="K222">
        <v>3200</v>
      </c>
      <c r="L222">
        <v>2240</v>
      </c>
      <c r="M222" s="9" t="str">
        <f>IF(ISERROR(VLOOKUP(B222,[1]작가별정산률!$R:$S,2,0)),"스토리위즈",VLOOKUP(B222,[1]작가별정산률!$R:$S,2,0))</f>
        <v>스토리위즈</v>
      </c>
      <c r="N222" s="9" t="str">
        <f>IF(M222="스토리위즈",VLOOKUP(B222,[1]작가별정산률!$A:$B,2,0),M222)</f>
        <v>무장</v>
      </c>
    </row>
    <row r="223" spans="1:14">
      <c r="A223" t="s">
        <v>43</v>
      </c>
      <c r="B223" t="s">
        <v>20</v>
      </c>
      <c r="C223" t="s">
        <v>21</v>
      </c>
      <c r="D223" t="s">
        <v>13</v>
      </c>
      <c r="E223" t="s">
        <v>18</v>
      </c>
      <c r="F223">
        <v>1</v>
      </c>
      <c r="G223">
        <v>3200</v>
      </c>
      <c r="H223">
        <v>3200</v>
      </c>
      <c r="I223">
        <v>0</v>
      </c>
      <c r="J223">
        <v>0</v>
      </c>
      <c r="K223">
        <v>3200</v>
      </c>
      <c r="L223">
        <v>2240</v>
      </c>
      <c r="M223" s="9" t="str">
        <f>IF(ISERROR(VLOOKUP(B223,[1]작가별정산률!$R:$S,2,0)),"스토리위즈",VLOOKUP(B223,[1]작가별정산률!$R:$S,2,0))</f>
        <v>스토리위즈</v>
      </c>
      <c r="N223" s="9" t="str">
        <f>IF(M223="스토리위즈",VLOOKUP(B223,[1]작가별정산률!$A:$B,2,0),M223)</f>
        <v>무장</v>
      </c>
    </row>
    <row r="224" spans="1:14">
      <c r="A224" t="s">
        <v>41</v>
      </c>
      <c r="B224" t="s">
        <v>20</v>
      </c>
      <c r="C224" t="s">
        <v>21</v>
      </c>
      <c r="D224" t="s">
        <v>13</v>
      </c>
      <c r="E224" t="s">
        <v>18</v>
      </c>
      <c r="F224">
        <v>1</v>
      </c>
      <c r="G224">
        <v>3200</v>
      </c>
      <c r="H224">
        <v>3200</v>
      </c>
      <c r="I224">
        <v>0</v>
      </c>
      <c r="J224">
        <v>0</v>
      </c>
      <c r="K224">
        <v>3200</v>
      </c>
      <c r="L224">
        <v>2240</v>
      </c>
      <c r="M224" s="9" t="str">
        <f>IF(ISERROR(VLOOKUP(B224,[1]작가별정산률!$R:$S,2,0)),"스토리위즈",VLOOKUP(B224,[1]작가별정산률!$R:$S,2,0))</f>
        <v>스토리위즈</v>
      </c>
      <c r="N224" s="9" t="str">
        <f>IF(M224="스토리위즈",VLOOKUP(B224,[1]작가별정산률!$A:$B,2,0),M224)</f>
        <v>무장</v>
      </c>
    </row>
    <row r="225" spans="1:14">
      <c r="A225" t="s">
        <v>42</v>
      </c>
      <c r="B225" t="s">
        <v>20</v>
      </c>
      <c r="C225" t="s">
        <v>21</v>
      </c>
      <c r="D225" t="s">
        <v>13</v>
      </c>
      <c r="E225" t="s">
        <v>18</v>
      </c>
      <c r="F225">
        <v>1</v>
      </c>
      <c r="G225">
        <v>3200</v>
      </c>
      <c r="H225">
        <v>3200</v>
      </c>
      <c r="I225">
        <v>0</v>
      </c>
      <c r="J225">
        <v>0</v>
      </c>
      <c r="K225">
        <v>3200</v>
      </c>
      <c r="L225">
        <v>2240</v>
      </c>
      <c r="M225" s="9" t="str">
        <f>IF(ISERROR(VLOOKUP(B225,[1]작가별정산률!$R:$S,2,0)),"스토리위즈",VLOOKUP(B225,[1]작가별정산률!$R:$S,2,0))</f>
        <v>스토리위즈</v>
      </c>
      <c r="N225" s="9" t="str">
        <f>IF(M225="스토리위즈",VLOOKUP(B225,[1]작가별정산률!$A:$B,2,0),M225)</f>
        <v>무장</v>
      </c>
    </row>
    <row r="226" spans="1:14">
      <c r="A226" t="s">
        <v>36</v>
      </c>
      <c r="B226" t="s">
        <v>20</v>
      </c>
      <c r="C226" t="s">
        <v>21</v>
      </c>
      <c r="D226" t="s">
        <v>13</v>
      </c>
      <c r="E226" t="s">
        <v>18</v>
      </c>
      <c r="F226">
        <v>2</v>
      </c>
      <c r="G226">
        <v>3200</v>
      </c>
      <c r="H226">
        <v>6400</v>
      </c>
      <c r="I226">
        <v>0</v>
      </c>
      <c r="J226">
        <v>0</v>
      </c>
      <c r="K226">
        <v>6400</v>
      </c>
      <c r="L226">
        <v>4480</v>
      </c>
      <c r="M226" s="9" t="str">
        <f>IF(ISERROR(VLOOKUP(B226,[1]작가별정산률!$R:$S,2,0)),"스토리위즈",VLOOKUP(B226,[1]작가별정산률!$R:$S,2,0))</f>
        <v>스토리위즈</v>
      </c>
      <c r="N226" s="9" t="str">
        <f>IF(M226="스토리위즈",VLOOKUP(B226,[1]작가별정산률!$A:$B,2,0),M226)</f>
        <v>무장</v>
      </c>
    </row>
    <row r="227" spans="1:14">
      <c r="A227" t="s">
        <v>44</v>
      </c>
      <c r="B227" t="s">
        <v>20</v>
      </c>
      <c r="C227" t="s">
        <v>21</v>
      </c>
      <c r="D227" t="s">
        <v>13</v>
      </c>
      <c r="E227" t="s">
        <v>18</v>
      </c>
      <c r="F227">
        <v>1</v>
      </c>
      <c r="G227">
        <v>3200</v>
      </c>
      <c r="H227">
        <v>3200</v>
      </c>
      <c r="I227">
        <v>0</v>
      </c>
      <c r="J227">
        <v>0</v>
      </c>
      <c r="K227">
        <v>3200</v>
      </c>
      <c r="L227">
        <v>2240</v>
      </c>
      <c r="M227" s="9" t="str">
        <f>IF(ISERROR(VLOOKUP(B227,[1]작가별정산률!$R:$S,2,0)),"스토리위즈",VLOOKUP(B227,[1]작가별정산률!$R:$S,2,0))</f>
        <v>스토리위즈</v>
      </c>
      <c r="N227" s="9" t="str">
        <f>IF(M227="스토리위즈",VLOOKUP(B227,[1]작가별정산률!$A:$B,2,0),M227)</f>
        <v>무장</v>
      </c>
    </row>
    <row r="228" spans="1:14">
      <c r="A228" t="s">
        <v>192</v>
      </c>
      <c r="B228" t="s">
        <v>20</v>
      </c>
      <c r="C228" t="s">
        <v>21</v>
      </c>
      <c r="D228" t="s">
        <v>13</v>
      </c>
      <c r="E228" t="s">
        <v>18</v>
      </c>
      <c r="F228">
        <v>1</v>
      </c>
      <c r="G228">
        <v>3200</v>
      </c>
      <c r="H228">
        <v>3200</v>
      </c>
      <c r="I228">
        <v>0</v>
      </c>
      <c r="J228">
        <v>0</v>
      </c>
      <c r="K228">
        <v>3200</v>
      </c>
      <c r="L228">
        <v>2240</v>
      </c>
      <c r="M228" s="9" t="str">
        <f>IF(ISERROR(VLOOKUP(B228,[1]작가별정산률!$R:$S,2,0)),"스토리위즈",VLOOKUP(B228,[1]작가별정산률!$R:$S,2,0))</f>
        <v>스토리위즈</v>
      </c>
      <c r="N228" s="9" t="str">
        <f>IF(M228="스토리위즈",VLOOKUP(B228,[1]작가별정산률!$A:$B,2,0),M228)</f>
        <v>무장</v>
      </c>
    </row>
    <row r="229" spans="1:14">
      <c r="A229" t="s">
        <v>193</v>
      </c>
      <c r="B229" t="s">
        <v>20</v>
      </c>
      <c r="C229" t="s">
        <v>21</v>
      </c>
      <c r="D229" t="s">
        <v>13</v>
      </c>
      <c r="E229" t="s">
        <v>18</v>
      </c>
      <c r="F229">
        <v>2</v>
      </c>
      <c r="G229">
        <v>3200</v>
      </c>
      <c r="H229">
        <v>6400</v>
      </c>
      <c r="I229">
        <v>0</v>
      </c>
      <c r="J229">
        <v>0</v>
      </c>
      <c r="K229">
        <v>6400</v>
      </c>
      <c r="L229">
        <v>4480</v>
      </c>
      <c r="M229" s="9" t="str">
        <f>IF(ISERROR(VLOOKUP(B229,[1]작가별정산률!$R:$S,2,0)),"스토리위즈",VLOOKUP(B229,[1]작가별정산률!$R:$S,2,0))</f>
        <v>스토리위즈</v>
      </c>
      <c r="N229" s="9" t="str">
        <f>IF(M229="스토리위즈",VLOOKUP(B229,[1]작가별정산률!$A:$B,2,0),M229)</f>
        <v>무장</v>
      </c>
    </row>
    <row r="230" spans="1:14">
      <c r="A230" t="s">
        <v>194</v>
      </c>
      <c r="B230" t="s">
        <v>20</v>
      </c>
      <c r="C230" t="s">
        <v>21</v>
      </c>
      <c r="D230" t="s">
        <v>13</v>
      </c>
      <c r="E230" t="s">
        <v>18</v>
      </c>
      <c r="F230">
        <v>2</v>
      </c>
      <c r="G230">
        <v>3200</v>
      </c>
      <c r="H230">
        <v>6400</v>
      </c>
      <c r="I230">
        <v>0</v>
      </c>
      <c r="J230">
        <v>0</v>
      </c>
      <c r="K230">
        <v>6400</v>
      </c>
      <c r="L230">
        <v>4480</v>
      </c>
      <c r="M230" s="9" t="str">
        <f>IF(ISERROR(VLOOKUP(B230,[1]작가별정산률!$R:$S,2,0)),"스토리위즈",VLOOKUP(B230,[1]작가별정산률!$R:$S,2,0))</f>
        <v>스토리위즈</v>
      </c>
      <c r="N230" s="9" t="str">
        <f>IF(M230="스토리위즈",VLOOKUP(B230,[1]작가별정산률!$A:$B,2,0),M230)</f>
        <v>무장</v>
      </c>
    </row>
    <row r="231" spans="1:14">
      <c r="A231" t="s">
        <v>195</v>
      </c>
      <c r="B231" t="s">
        <v>20</v>
      </c>
      <c r="C231" t="s">
        <v>21</v>
      </c>
      <c r="D231" t="s">
        <v>13</v>
      </c>
      <c r="E231" t="s">
        <v>18</v>
      </c>
      <c r="F231">
        <v>2</v>
      </c>
      <c r="G231">
        <v>3200</v>
      </c>
      <c r="H231">
        <v>6400</v>
      </c>
      <c r="I231">
        <v>0</v>
      </c>
      <c r="J231">
        <v>0</v>
      </c>
      <c r="K231">
        <v>6400</v>
      </c>
      <c r="L231">
        <v>4480</v>
      </c>
      <c r="M231" s="9" t="str">
        <f>IF(ISERROR(VLOOKUP(B231,[1]작가별정산률!$R:$S,2,0)),"스토리위즈",VLOOKUP(B231,[1]작가별정산률!$R:$S,2,0))</f>
        <v>스토리위즈</v>
      </c>
      <c r="N231" s="9" t="str">
        <f>IF(M231="스토리위즈",VLOOKUP(B231,[1]작가별정산률!$A:$B,2,0),M231)</f>
        <v>무장</v>
      </c>
    </row>
    <row r="232" spans="1:14">
      <c r="A232" t="s">
        <v>196</v>
      </c>
      <c r="B232" t="s">
        <v>20</v>
      </c>
      <c r="C232" t="s">
        <v>21</v>
      </c>
      <c r="D232" t="s">
        <v>13</v>
      </c>
      <c r="E232" t="s">
        <v>18</v>
      </c>
      <c r="F232">
        <v>2</v>
      </c>
      <c r="G232">
        <v>3200</v>
      </c>
      <c r="H232">
        <v>6400</v>
      </c>
      <c r="I232">
        <v>0</v>
      </c>
      <c r="J232">
        <v>0</v>
      </c>
      <c r="K232">
        <v>6400</v>
      </c>
      <c r="L232">
        <v>4480</v>
      </c>
      <c r="M232" s="9" t="str">
        <f>IF(ISERROR(VLOOKUP(B232,[1]작가별정산률!$R:$S,2,0)),"스토리위즈",VLOOKUP(B232,[1]작가별정산률!$R:$S,2,0))</f>
        <v>스토리위즈</v>
      </c>
      <c r="N232" s="9" t="str">
        <f>IF(M232="스토리위즈",VLOOKUP(B232,[1]작가별정산률!$A:$B,2,0),M232)</f>
        <v>무장</v>
      </c>
    </row>
    <row r="233" spans="1:14">
      <c r="A233" t="s">
        <v>197</v>
      </c>
      <c r="B233" t="s">
        <v>20</v>
      </c>
      <c r="C233" t="s">
        <v>21</v>
      </c>
      <c r="D233" t="s">
        <v>13</v>
      </c>
      <c r="E233" t="s">
        <v>18</v>
      </c>
      <c r="F233">
        <v>2</v>
      </c>
      <c r="G233">
        <v>3200</v>
      </c>
      <c r="H233">
        <v>6400</v>
      </c>
      <c r="I233">
        <v>0</v>
      </c>
      <c r="J233">
        <v>0</v>
      </c>
      <c r="K233">
        <v>6400</v>
      </c>
      <c r="L233">
        <v>4480</v>
      </c>
      <c r="M233" s="9" t="str">
        <f>IF(ISERROR(VLOOKUP(B233,[1]작가별정산률!$R:$S,2,0)),"스토리위즈",VLOOKUP(B233,[1]작가별정산률!$R:$S,2,0))</f>
        <v>스토리위즈</v>
      </c>
      <c r="N233" s="9" t="str">
        <f>IF(M233="스토리위즈",VLOOKUP(B233,[1]작가별정산률!$A:$B,2,0),M233)</f>
        <v>무장</v>
      </c>
    </row>
    <row r="234" spans="1:14">
      <c r="A234" t="s">
        <v>198</v>
      </c>
      <c r="B234" t="s">
        <v>20</v>
      </c>
      <c r="C234" t="s">
        <v>21</v>
      </c>
      <c r="D234" t="s">
        <v>13</v>
      </c>
      <c r="E234" t="s">
        <v>18</v>
      </c>
      <c r="F234">
        <v>2</v>
      </c>
      <c r="G234">
        <v>3200</v>
      </c>
      <c r="H234">
        <v>6400</v>
      </c>
      <c r="I234">
        <v>0</v>
      </c>
      <c r="J234">
        <v>0</v>
      </c>
      <c r="K234">
        <v>6400</v>
      </c>
      <c r="L234">
        <v>4480</v>
      </c>
      <c r="M234" s="9" t="str">
        <f>IF(ISERROR(VLOOKUP(B234,[1]작가별정산률!$R:$S,2,0)),"스토리위즈",VLOOKUP(B234,[1]작가별정산률!$R:$S,2,0))</f>
        <v>스토리위즈</v>
      </c>
      <c r="N234" s="9" t="str">
        <f>IF(M234="스토리위즈",VLOOKUP(B234,[1]작가별정산률!$A:$B,2,0),M234)</f>
        <v>무장</v>
      </c>
    </row>
    <row r="235" spans="1:14">
      <c r="A235" t="s">
        <v>199</v>
      </c>
      <c r="B235" t="s">
        <v>20</v>
      </c>
      <c r="C235" t="s">
        <v>21</v>
      </c>
      <c r="D235" t="s">
        <v>13</v>
      </c>
      <c r="E235" t="s">
        <v>18</v>
      </c>
      <c r="F235">
        <v>2</v>
      </c>
      <c r="G235">
        <v>3200</v>
      </c>
      <c r="H235">
        <v>6400</v>
      </c>
      <c r="I235">
        <v>0</v>
      </c>
      <c r="J235">
        <v>0</v>
      </c>
      <c r="K235">
        <v>6400</v>
      </c>
      <c r="L235">
        <v>4480</v>
      </c>
      <c r="M235" s="9" t="str">
        <f>IF(ISERROR(VLOOKUP(B235,[1]작가별정산률!$R:$S,2,0)),"스토리위즈",VLOOKUP(B235,[1]작가별정산률!$R:$S,2,0))</f>
        <v>스토리위즈</v>
      </c>
      <c r="N235" s="9" t="str">
        <f>IF(M235="스토리위즈",VLOOKUP(B235,[1]작가별정산률!$A:$B,2,0),M235)</f>
        <v>무장</v>
      </c>
    </row>
    <row r="236" spans="1:14">
      <c r="A236" t="s">
        <v>305</v>
      </c>
      <c r="B236" t="s">
        <v>306</v>
      </c>
      <c r="C236" t="s">
        <v>21</v>
      </c>
      <c r="D236" t="s">
        <v>13</v>
      </c>
      <c r="E236" t="s">
        <v>14</v>
      </c>
      <c r="F236"/>
      <c r="G236"/>
      <c r="H236">
        <v>3600</v>
      </c>
      <c r="I236"/>
      <c r="J236">
        <v>0</v>
      </c>
      <c r="K236">
        <v>3600</v>
      </c>
      <c r="L236">
        <v>2520</v>
      </c>
      <c r="M236" s="9" t="str">
        <f>IF(ISERROR(VLOOKUP(B236,[1]작가별정산률!$R:$S,2,0)),"스토리위즈",VLOOKUP(B236,[1]작가별정산률!$R:$S,2,0))</f>
        <v>스토리위즈</v>
      </c>
      <c r="N236" s="9" t="str">
        <f>IF(M236="스토리위즈",VLOOKUP(B236,[1]작가별정산률!$A:$B,2,0),M236)</f>
        <v>서강후</v>
      </c>
    </row>
    <row r="237" spans="1:14">
      <c r="A237" t="s">
        <v>307</v>
      </c>
      <c r="B237" t="s">
        <v>306</v>
      </c>
      <c r="C237" t="s">
        <v>21</v>
      </c>
      <c r="D237" t="s">
        <v>13</v>
      </c>
      <c r="E237" t="s">
        <v>14</v>
      </c>
      <c r="F237"/>
      <c r="G237"/>
      <c r="H237">
        <v>900</v>
      </c>
      <c r="I237"/>
      <c r="J237">
        <v>0</v>
      </c>
      <c r="K237">
        <v>900</v>
      </c>
      <c r="L237">
        <v>630</v>
      </c>
      <c r="M237" s="9" t="str">
        <f>IF(ISERROR(VLOOKUP(B237,[1]작가별정산률!$R:$S,2,0)),"스토리위즈",VLOOKUP(B237,[1]작가별정산률!$R:$S,2,0))</f>
        <v>스토리위즈</v>
      </c>
      <c r="N237" s="9" t="str">
        <f>IF(M237="스토리위즈",VLOOKUP(B237,[1]작가별정산률!$A:$B,2,0),M237)</f>
        <v>서강후</v>
      </c>
    </row>
    <row r="238" spans="1:14">
      <c r="A238" t="s">
        <v>308</v>
      </c>
      <c r="B238" t="s">
        <v>306</v>
      </c>
      <c r="C238" t="s">
        <v>21</v>
      </c>
      <c r="D238" t="s">
        <v>13</v>
      </c>
      <c r="E238" t="s">
        <v>14</v>
      </c>
      <c r="F238"/>
      <c r="G238"/>
      <c r="H238">
        <v>900</v>
      </c>
      <c r="I238"/>
      <c r="J238">
        <v>0</v>
      </c>
      <c r="K238">
        <v>900</v>
      </c>
      <c r="L238">
        <v>630</v>
      </c>
      <c r="M238" s="9" t="str">
        <f>IF(ISERROR(VLOOKUP(B238,[1]작가별정산률!$R:$S,2,0)),"스토리위즈",VLOOKUP(B238,[1]작가별정산률!$R:$S,2,0))</f>
        <v>스토리위즈</v>
      </c>
      <c r="N238" s="9" t="str">
        <f>IF(M238="스토리위즈",VLOOKUP(B238,[1]작가별정산률!$A:$B,2,0),M238)</f>
        <v>서강후</v>
      </c>
    </row>
    <row r="239" spans="1:14">
      <c r="A239" t="s">
        <v>114</v>
      </c>
      <c r="B239" t="s">
        <v>15</v>
      </c>
      <c r="C239" t="s">
        <v>21</v>
      </c>
      <c r="D239" t="s">
        <v>13</v>
      </c>
      <c r="E239" t="s">
        <v>14</v>
      </c>
      <c r="F239"/>
      <c r="G239"/>
      <c r="H239">
        <v>900</v>
      </c>
      <c r="I239"/>
      <c r="J239">
        <v>0</v>
      </c>
      <c r="K239">
        <v>900</v>
      </c>
      <c r="L239">
        <v>630</v>
      </c>
      <c r="M239" s="9" t="str">
        <f>IF(ISERROR(VLOOKUP(B239,[1]작가별정산률!$R:$S,2,0)),"스토리위즈",VLOOKUP(B239,[1]작가별정산률!$R:$S,2,0))</f>
        <v>스토리위즈</v>
      </c>
      <c r="N239" s="9" t="str">
        <f>IF(M239="스토리위즈",VLOOKUP(B239,[1]작가별정산률!$A:$B,2,0),M239)</f>
        <v>김정률</v>
      </c>
    </row>
    <row r="240" spans="1:14">
      <c r="A240" t="s">
        <v>115</v>
      </c>
      <c r="B240" t="s">
        <v>15</v>
      </c>
      <c r="C240" t="s">
        <v>21</v>
      </c>
      <c r="D240" t="s">
        <v>13</v>
      </c>
      <c r="E240" t="s">
        <v>14</v>
      </c>
      <c r="F240"/>
      <c r="G240"/>
      <c r="H240">
        <v>900</v>
      </c>
      <c r="I240"/>
      <c r="J240">
        <v>0</v>
      </c>
      <c r="K240">
        <v>900</v>
      </c>
      <c r="L240">
        <v>630</v>
      </c>
      <c r="M240" s="9" t="str">
        <f>IF(ISERROR(VLOOKUP(B240,[1]작가별정산률!$R:$S,2,0)),"스토리위즈",VLOOKUP(B240,[1]작가별정산률!$R:$S,2,0))</f>
        <v>스토리위즈</v>
      </c>
      <c r="N240" s="9" t="str">
        <f>IF(M240="스토리위즈",VLOOKUP(B240,[1]작가별정산률!$A:$B,2,0),M240)</f>
        <v>김정률</v>
      </c>
    </row>
    <row r="241" spans="1:14">
      <c r="A241" t="s">
        <v>116</v>
      </c>
      <c r="B241" t="s">
        <v>15</v>
      </c>
      <c r="C241" t="s">
        <v>21</v>
      </c>
      <c r="D241" t="s">
        <v>13</v>
      </c>
      <c r="E241" t="s">
        <v>14</v>
      </c>
      <c r="F241"/>
      <c r="G241"/>
      <c r="H241">
        <v>1800</v>
      </c>
      <c r="I241"/>
      <c r="J241">
        <v>0</v>
      </c>
      <c r="K241">
        <v>1800</v>
      </c>
      <c r="L241">
        <v>1260</v>
      </c>
      <c r="M241" s="9" t="str">
        <f>IF(ISERROR(VLOOKUP(B241,[1]작가별정산률!$R:$S,2,0)),"스토리위즈",VLOOKUP(B241,[1]작가별정산률!$R:$S,2,0))</f>
        <v>스토리위즈</v>
      </c>
      <c r="N241" s="9" t="str">
        <f>IF(M241="스토리위즈",VLOOKUP(B241,[1]작가별정산률!$A:$B,2,0),M241)</f>
        <v>김정률</v>
      </c>
    </row>
    <row r="242" spans="1:14">
      <c r="A242" t="s">
        <v>117</v>
      </c>
      <c r="B242" t="s">
        <v>15</v>
      </c>
      <c r="C242" t="s">
        <v>21</v>
      </c>
      <c r="D242" t="s">
        <v>13</v>
      </c>
      <c r="E242" t="s">
        <v>14</v>
      </c>
      <c r="F242"/>
      <c r="G242"/>
      <c r="H242">
        <v>900</v>
      </c>
      <c r="I242"/>
      <c r="J242">
        <v>0</v>
      </c>
      <c r="K242">
        <v>900</v>
      </c>
      <c r="L242">
        <v>630</v>
      </c>
      <c r="M242" s="9" t="str">
        <f>IF(ISERROR(VLOOKUP(B242,[1]작가별정산률!$R:$S,2,0)),"스토리위즈",VLOOKUP(B242,[1]작가별정산률!$R:$S,2,0))</f>
        <v>스토리위즈</v>
      </c>
      <c r="N242" s="9" t="str">
        <f>IF(M242="스토리위즈",VLOOKUP(B242,[1]작가별정산률!$A:$B,2,0),M242)</f>
        <v>김정률</v>
      </c>
    </row>
    <row r="243" spans="1:14">
      <c r="A243" t="s">
        <v>118</v>
      </c>
      <c r="B243" t="s">
        <v>15</v>
      </c>
      <c r="C243" t="s">
        <v>21</v>
      </c>
      <c r="D243" t="s">
        <v>13</v>
      </c>
      <c r="E243" t="s">
        <v>14</v>
      </c>
      <c r="F243"/>
      <c r="G243"/>
      <c r="H243">
        <v>900</v>
      </c>
      <c r="I243"/>
      <c r="J243">
        <v>0</v>
      </c>
      <c r="K243">
        <v>900</v>
      </c>
      <c r="L243">
        <v>630</v>
      </c>
      <c r="M243" s="9" t="str">
        <f>IF(ISERROR(VLOOKUP(B243,[1]작가별정산률!$R:$S,2,0)),"스토리위즈",VLOOKUP(B243,[1]작가별정산률!$R:$S,2,0))</f>
        <v>스토리위즈</v>
      </c>
      <c r="N243" s="9" t="str">
        <f>IF(M243="스토리위즈",VLOOKUP(B243,[1]작가별정산률!$A:$B,2,0),M243)</f>
        <v>김정률</v>
      </c>
    </row>
    <row r="244" spans="1:14">
      <c r="A244" t="s">
        <v>119</v>
      </c>
      <c r="B244" t="s">
        <v>15</v>
      </c>
      <c r="C244" t="s">
        <v>21</v>
      </c>
      <c r="D244" t="s">
        <v>13</v>
      </c>
      <c r="E244" t="s">
        <v>14</v>
      </c>
      <c r="F244"/>
      <c r="G244"/>
      <c r="H244">
        <v>900</v>
      </c>
      <c r="I244"/>
      <c r="J244">
        <v>0</v>
      </c>
      <c r="K244">
        <v>900</v>
      </c>
      <c r="L244">
        <v>630</v>
      </c>
      <c r="M244" s="9" t="str">
        <f>IF(ISERROR(VLOOKUP(B244,[1]작가별정산률!$R:$S,2,0)),"스토리위즈",VLOOKUP(B244,[1]작가별정산률!$R:$S,2,0))</f>
        <v>스토리위즈</v>
      </c>
      <c r="N244" s="9" t="str">
        <f>IF(M244="스토리위즈",VLOOKUP(B244,[1]작가별정산률!$A:$B,2,0),M244)</f>
        <v>김정률</v>
      </c>
    </row>
    <row r="245" spans="1:14">
      <c r="A245" t="s">
        <v>120</v>
      </c>
      <c r="B245" t="s">
        <v>15</v>
      </c>
      <c r="C245" t="s">
        <v>21</v>
      </c>
      <c r="D245" t="s">
        <v>13</v>
      </c>
      <c r="E245" t="s">
        <v>14</v>
      </c>
      <c r="F245"/>
      <c r="G245"/>
      <c r="H245">
        <v>900</v>
      </c>
      <c r="I245"/>
      <c r="J245">
        <v>0</v>
      </c>
      <c r="K245">
        <v>900</v>
      </c>
      <c r="L245">
        <v>630</v>
      </c>
      <c r="M245" s="9" t="str">
        <f>IF(ISERROR(VLOOKUP(B245,[1]작가별정산률!$R:$S,2,0)),"스토리위즈",VLOOKUP(B245,[1]작가별정산률!$R:$S,2,0))</f>
        <v>스토리위즈</v>
      </c>
      <c r="N245" s="9" t="str">
        <f>IF(M245="스토리위즈",VLOOKUP(B245,[1]작가별정산률!$A:$B,2,0),M245)</f>
        <v>김정률</v>
      </c>
    </row>
    <row r="246" spans="1:14">
      <c r="A246" t="s">
        <v>121</v>
      </c>
      <c r="B246" t="s">
        <v>15</v>
      </c>
      <c r="C246" t="s">
        <v>21</v>
      </c>
      <c r="D246" t="s">
        <v>13</v>
      </c>
      <c r="E246" t="s">
        <v>14</v>
      </c>
      <c r="F246"/>
      <c r="G246"/>
      <c r="H246">
        <v>900</v>
      </c>
      <c r="I246"/>
      <c r="J246">
        <v>0</v>
      </c>
      <c r="K246">
        <v>900</v>
      </c>
      <c r="L246">
        <v>630</v>
      </c>
      <c r="M246" s="9" t="str">
        <f>IF(ISERROR(VLOOKUP(B246,[1]작가별정산률!$R:$S,2,0)),"스토리위즈",VLOOKUP(B246,[1]작가별정산률!$R:$S,2,0))</f>
        <v>스토리위즈</v>
      </c>
      <c r="N246" s="9" t="str">
        <f>IF(M246="스토리위즈",VLOOKUP(B246,[1]작가별정산률!$A:$B,2,0),M246)</f>
        <v>김정률</v>
      </c>
    </row>
    <row r="247" spans="1:14">
      <c r="A247" t="s">
        <v>309</v>
      </c>
      <c r="B247" t="s">
        <v>12</v>
      </c>
      <c r="C247" t="s">
        <v>21</v>
      </c>
      <c r="D247" t="s">
        <v>13</v>
      </c>
      <c r="E247" t="s">
        <v>14</v>
      </c>
      <c r="F247"/>
      <c r="G247"/>
      <c r="H247">
        <v>900</v>
      </c>
      <c r="I247"/>
      <c r="J247">
        <v>0</v>
      </c>
      <c r="K247">
        <v>900</v>
      </c>
      <c r="L247">
        <v>630</v>
      </c>
      <c r="M247" s="9" t="str">
        <f>IF(ISERROR(VLOOKUP(B247,[1]작가별정산률!$R:$S,2,0)),"스토리위즈",VLOOKUP(B247,[1]작가별정산률!$R:$S,2,0))</f>
        <v>스토리위즈</v>
      </c>
      <c r="N247" s="9" t="str">
        <f>IF(M247="스토리위즈",VLOOKUP(B247,[1]작가별정산률!$A:$B,2,0),M247)</f>
        <v>김광수</v>
      </c>
    </row>
    <row r="248" spans="1:14">
      <c r="A248" t="s">
        <v>310</v>
      </c>
      <c r="B248" t="s">
        <v>12</v>
      </c>
      <c r="C248" t="s">
        <v>21</v>
      </c>
      <c r="D248" t="s">
        <v>13</v>
      </c>
      <c r="E248" t="s">
        <v>14</v>
      </c>
      <c r="F248"/>
      <c r="G248"/>
      <c r="H248">
        <v>900</v>
      </c>
      <c r="I248"/>
      <c r="J248">
        <v>0</v>
      </c>
      <c r="K248">
        <v>900</v>
      </c>
      <c r="L248">
        <v>630</v>
      </c>
      <c r="M248" s="9" t="str">
        <f>IF(ISERROR(VLOOKUP(B248,[1]작가별정산률!$R:$S,2,0)),"스토리위즈",VLOOKUP(B248,[1]작가별정산률!$R:$S,2,0))</f>
        <v>스토리위즈</v>
      </c>
      <c r="N248" s="9" t="str">
        <f>IF(M248="스토리위즈",VLOOKUP(B248,[1]작가별정산률!$A:$B,2,0),M248)</f>
        <v>김광수</v>
      </c>
    </row>
    <row r="249" spans="1:14">
      <c r="A249" t="s">
        <v>311</v>
      </c>
      <c r="B249" t="s">
        <v>12</v>
      </c>
      <c r="C249" t="s">
        <v>21</v>
      </c>
      <c r="D249" t="s">
        <v>13</v>
      </c>
      <c r="E249" t="s">
        <v>14</v>
      </c>
      <c r="F249"/>
      <c r="G249"/>
      <c r="H249">
        <v>900</v>
      </c>
      <c r="I249"/>
      <c r="J249">
        <v>0</v>
      </c>
      <c r="K249">
        <v>900</v>
      </c>
      <c r="L249">
        <v>630</v>
      </c>
      <c r="M249" s="9" t="str">
        <f>IF(ISERROR(VLOOKUP(B249,[1]작가별정산률!$R:$S,2,0)),"스토리위즈",VLOOKUP(B249,[1]작가별정산률!$R:$S,2,0))</f>
        <v>스토리위즈</v>
      </c>
      <c r="N249" s="9" t="str">
        <f>IF(M249="스토리위즈",VLOOKUP(B249,[1]작가별정산률!$A:$B,2,0),M249)</f>
        <v>김광수</v>
      </c>
    </row>
    <row r="250" spans="1:14">
      <c r="A250" t="s">
        <v>312</v>
      </c>
      <c r="B250" t="s">
        <v>12</v>
      </c>
      <c r="C250" t="s">
        <v>21</v>
      </c>
      <c r="D250" t="s">
        <v>13</v>
      </c>
      <c r="E250" t="s">
        <v>14</v>
      </c>
      <c r="F250"/>
      <c r="G250"/>
      <c r="H250">
        <v>900</v>
      </c>
      <c r="I250"/>
      <c r="J250">
        <v>0</v>
      </c>
      <c r="K250">
        <v>900</v>
      </c>
      <c r="L250">
        <v>630</v>
      </c>
      <c r="M250" s="9" t="str">
        <f>IF(ISERROR(VLOOKUP(B250,[1]작가별정산률!$R:$S,2,0)),"스토리위즈",VLOOKUP(B250,[1]작가별정산률!$R:$S,2,0))</f>
        <v>스토리위즈</v>
      </c>
      <c r="N250" s="9" t="str">
        <f>IF(M250="스토리위즈",VLOOKUP(B250,[1]작가별정산률!$A:$B,2,0),M250)</f>
        <v>김광수</v>
      </c>
    </row>
    <row r="251" spans="1:14">
      <c r="A251" t="s">
        <v>313</v>
      </c>
      <c r="B251" t="s">
        <v>12</v>
      </c>
      <c r="C251" t="s">
        <v>21</v>
      </c>
      <c r="D251" t="s">
        <v>13</v>
      </c>
      <c r="E251" t="s">
        <v>14</v>
      </c>
      <c r="F251"/>
      <c r="G251"/>
      <c r="H251">
        <v>900</v>
      </c>
      <c r="I251"/>
      <c r="J251">
        <v>0</v>
      </c>
      <c r="K251">
        <v>900</v>
      </c>
      <c r="L251">
        <v>630</v>
      </c>
      <c r="M251" s="9" t="str">
        <f>IF(ISERROR(VLOOKUP(B251,[1]작가별정산률!$R:$S,2,0)),"스토리위즈",VLOOKUP(B251,[1]작가별정산률!$R:$S,2,0))</f>
        <v>스토리위즈</v>
      </c>
      <c r="N251" s="9" t="str">
        <f>IF(M251="스토리위즈",VLOOKUP(B251,[1]작가별정산률!$A:$B,2,0),M251)</f>
        <v>김광수</v>
      </c>
    </row>
    <row r="252" spans="1:14">
      <c r="A252" t="s">
        <v>314</v>
      </c>
      <c r="B252" t="s">
        <v>12</v>
      </c>
      <c r="C252" t="s">
        <v>21</v>
      </c>
      <c r="D252" t="s">
        <v>13</v>
      </c>
      <c r="E252" t="s">
        <v>14</v>
      </c>
      <c r="F252"/>
      <c r="G252"/>
      <c r="H252">
        <v>900</v>
      </c>
      <c r="I252"/>
      <c r="J252">
        <v>0</v>
      </c>
      <c r="K252">
        <v>900</v>
      </c>
      <c r="L252">
        <v>630</v>
      </c>
      <c r="M252" s="9" t="str">
        <f>IF(ISERROR(VLOOKUP(B252,[1]작가별정산률!$R:$S,2,0)),"스토리위즈",VLOOKUP(B252,[1]작가별정산률!$R:$S,2,0))</f>
        <v>스토리위즈</v>
      </c>
      <c r="N252" s="9" t="str">
        <f>IF(M252="스토리위즈",VLOOKUP(B252,[1]작가별정산률!$A:$B,2,0),M252)</f>
        <v>김광수</v>
      </c>
    </row>
    <row r="253" spans="1:14">
      <c r="A253" t="s">
        <v>315</v>
      </c>
      <c r="B253" t="s">
        <v>12</v>
      </c>
      <c r="C253" t="s">
        <v>21</v>
      </c>
      <c r="D253" t="s">
        <v>13</v>
      </c>
      <c r="E253" t="s">
        <v>14</v>
      </c>
      <c r="F253"/>
      <c r="G253"/>
      <c r="H253">
        <v>900</v>
      </c>
      <c r="I253"/>
      <c r="J253">
        <v>0</v>
      </c>
      <c r="K253">
        <v>900</v>
      </c>
      <c r="L253">
        <v>630</v>
      </c>
      <c r="M253" s="9" t="str">
        <f>IF(ISERROR(VLOOKUP(B253,[1]작가별정산률!$R:$S,2,0)),"스토리위즈",VLOOKUP(B253,[1]작가별정산률!$R:$S,2,0))</f>
        <v>스토리위즈</v>
      </c>
      <c r="N253" s="9" t="str">
        <f>IF(M253="스토리위즈",VLOOKUP(B253,[1]작가별정산률!$A:$B,2,0),M253)</f>
        <v>김광수</v>
      </c>
    </row>
    <row r="254" spans="1:14">
      <c r="A254" t="s">
        <v>316</v>
      </c>
      <c r="B254" t="s">
        <v>12</v>
      </c>
      <c r="C254" t="s">
        <v>21</v>
      </c>
      <c r="D254" t="s">
        <v>13</v>
      </c>
      <c r="E254" t="s">
        <v>14</v>
      </c>
      <c r="F254"/>
      <c r="G254"/>
      <c r="H254">
        <v>900</v>
      </c>
      <c r="I254"/>
      <c r="J254">
        <v>0</v>
      </c>
      <c r="K254">
        <v>900</v>
      </c>
      <c r="L254">
        <v>630</v>
      </c>
      <c r="M254" s="9" t="str">
        <f>IF(ISERROR(VLOOKUP(B254,[1]작가별정산률!$R:$S,2,0)),"스토리위즈",VLOOKUP(B254,[1]작가별정산률!$R:$S,2,0))</f>
        <v>스토리위즈</v>
      </c>
      <c r="N254" s="9" t="str">
        <f>IF(M254="스토리위즈",VLOOKUP(B254,[1]작가별정산률!$A:$B,2,0),M254)</f>
        <v>김광수</v>
      </c>
    </row>
    <row r="255" spans="1:14">
      <c r="A255" t="s">
        <v>200</v>
      </c>
      <c r="B255" t="s">
        <v>20</v>
      </c>
      <c r="C255" t="s">
        <v>21</v>
      </c>
      <c r="D255" t="s">
        <v>13</v>
      </c>
      <c r="E255" t="s">
        <v>16</v>
      </c>
      <c r="F255">
        <v>490</v>
      </c>
      <c r="G255">
        <v>100</v>
      </c>
      <c r="H255">
        <v>49000</v>
      </c>
      <c r="I255">
        <v>0</v>
      </c>
      <c r="J255">
        <v>0</v>
      </c>
      <c r="K255">
        <v>49000</v>
      </c>
      <c r="L255">
        <v>34300</v>
      </c>
      <c r="M255" s="9" t="str">
        <f>IF(ISERROR(VLOOKUP(B255,[1]작가별정산률!$R:$S,2,0)),"스토리위즈",VLOOKUP(B255,[1]작가별정산률!$R:$S,2,0))</f>
        <v>스토리위즈</v>
      </c>
      <c r="N255" s="9" t="str">
        <f>IF(M255="스토리위즈",VLOOKUP(B255,[1]작가별정산률!$A:$B,2,0),M255)</f>
        <v>무장</v>
      </c>
    </row>
    <row r="256" spans="1:14">
      <c r="A256" t="s">
        <v>27</v>
      </c>
      <c r="B256" t="s">
        <v>20</v>
      </c>
      <c r="C256" t="s">
        <v>21</v>
      </c>
      <c r="D256" t="s">
        <v>13</v>
      </c>
      <c r="E256" t="s">
        <v>14</v>
      </c>
      <c r="F256"/>
      <c r="G256"/>
      <c r="H256">
        <v>1800</v>
      </c>
      <c r="I256"/>
      <c r="J256">
        <v>0</v>
      </c>
      <c r="K256">
        <v>1800</v>
      </c>
      <c r="L256">
        <v>1260</v>
      </c>
      <c r="M256" s="9" t="str">
        <f>IF(ISERROR(VLOOKUP(B256,[1]작가별정산률!$R:$S,2,0)),"스토리위즈",VLOOKUP(B256,[1]작가별정산률!$R:$S,2,0))</f>
        <v>스토리위즈</v>
      </c>
      <c r="N256" s="9" t="str">
        <f>IF(M256="스토리위즈",VLOOKUP(B256,[1]작가별정산률!$A:$B,2,0),M256)</f>
        <v>무장</v>
      </c>
    </row>
    <row r="257" spans="1:14">
      <c r="A257" t="s">
        <v>26</v>
      </c>
      <c r="B257" t="s">
        <v>20</v>
      </c>
      <c r="C257" t="s">
        <v>21</v>
      </c>
      <c r="D257" t="s">
        <v>13</v>
      </c>
      <c r="E257" t="s">
        <v>14</v>
      </c>
      <c r="F257"/>
      <c r="G257"/>
      <c r="H257">
        <v>1800</v>
      </c>
      <c r="I257"/>
      <c r="J257">
        <v>0</v>
      </c>
      <c r="K257">
        <v>1800</v>
      </c>
      <c r="L257">
        <v>1260</v>
      </c>
      <c r="M257" s="9" t="str">
        <f>IF(ISERROR(VLOOKUP(B257,[1]작가별정산률!$R:$S,2,0)),"스토리위즈",VLOOKUP(B257,[1]작가별정산률!$R:$S,2,0))</f>
        <v>스토리위즈</v>
      </c>
      <c r="N257" s="9" t="str">
        <f>IF(M257="스토리위즈",VLOOKUP(B257,[1]작가별정산률!$A:$B,2,0),M257)</f>
        <v>무장</v>
      </c>
    </row>
    <row r="258" spans="1:14">
      <c r="A258" t="s">
        <v>25</v>
      </c>
      <c r="B258" t="s">
        <v>20</v>
      </c>
      <c r="C258" t="s">
        <v>21</v>
      </c>
      <c r="D258" t="s">
        <v>13</v>
      </c>
      <c r="E258" t="s">
        <v>14</v>
      </c>
      <c r="F258"/>
      <c r="G258"/>
      <c r="H258">
        <v>1800</v>
      </c>
      <c r="I258"/>
      <c r="J258">
        <v>0</v>
      </c>
      <c r="K258">
        <v>1800</v>
      </c>
      <c r="L258">
        <v>1260</v>
      </c>
      <c r="M258" s="9" t="str">
        <f>IF(ISERROR(VLOOKUP(B258,[1]작가별정산률!$R:$S,2,0)),"스토리위즈",VLOOKUP(B258,[1]작가별정산률!$R:$S,2,0))</f>
        <v>스토리위즈</v>
      </c>
      <c r="N258" s="9" t="str">
        <f>IF(M258="스토리위즈",VLOOKUP(B258,[1]작가별정산률!$A:$B,2,0),M258)</f>
        <v>무장</v>
      </c>
    </row>
    <row r="259" spans="1:14">
      <c r="A259" t="s">
        <v>29</v>
      </c>
      <c r="B259" t="s">
        <v>20</v>
      </c>
      <c r="C259" t="s">
        <v>21</v>
      </c>
      <c r="D259" t="s">
        <v>13</v>
      </c>
      <c r="E259" t="s">
        <v>14</v>
      </c>
      <c r="F259"/>
      <c r="G259"/>
      <c r="H259">
        <v>1800</v>
      </c>
      <c r="I259"/>
      <c r="J259">
        <v>0</v>
      </c>
      <c r="K259">
        <v>1800</v>
      </c>
      <c r="L259">
        <v>1260</v>
      </c>
      <c r="M259" s="9" t="str">
        <f>IF(ISERROR(VLOOKUP(B259,[1]작가별정산률!$R:$S,2,0)),"스토리위즈",VLOOKUP(B259,[1]작가별정산률!$R:$S,2,0))</f>
        <v>스토리위즈</v>
      </c>
      <c r="N259" s="9" t="str">
        <f>IF(M259="스토리위즈",VLOOKUP(B259,[1]작가별정산률!$A:$B,2,0),M259)</f>
        <v>무장</v>
      </c>
    </row>
    <row r="260" spans="1:14">
      <c r="A260" t="s">
        <v>28</v>
      </c>
      <c r="B260" t="s">
        <v>20</v>
      </c>
      <c r="C260" t="s">
        <v>21</v>
      </c>
      <c r="D260" t="s">
        <v>13</v>
      </c>
      <c r="E260" t="s">
        <v>14</v>
      </c>
      <c r="F260"/>
      <c r="G260"/>
      <c r="H260">
        <v>1800</v>
      </c>
      <c r="I260"/>
      <c r="J260">
        <v>0</v>
      </c>
      <c r="K260">
        <v>1800</v>
      </c>
      <c r="L260">
        <v>1260</v>
      </c>
      <c r="M260" s="9" t="str">
        <f>IF(ISERROR(VLOOKUP(B260,[1]작가별정산률!$R:$S,2,0)),"스토리위즈",VLOOKUP(B260,[1]작가별정산률!$R:$S,2,0))</f>
        <v>스토리위즈</v>
      </c>
      <c r="N260" s="9" t="str">
        <f>IF(M260="스토리위즈",VLOOKUP(B260,[1]작가별정산률!$A:$B,2,0),M260)</f>
        <v>무장</v>
      </c>
    </row>
    <row r="261" spans="1:14">
      <c r="A261" t="s">
        <v>31</v>
      </c>
      <c r="B261" t="s">
        <v>20</v>
      </c>
      <c r="C261" t="s">
        <v>21</v>
      </c>
      <c r="D261" t="s">
        <v>13</v>
      </c>
      <c r="E261" t="s">
        <v>14</v>
      </c>
      <c r="F261"/>
      <c r="G261"/>
      <c r="H261">
        <v>1800</v>
      </c>
      <c r="I261"/>
      <c r="J261">
        <v>0</v>
      </c>
      <c r="K261">
        <v>1800</v>
      </c>
      <c r="L261">
        <v>1260</v>
      </c>
      <c r="M261" s="9" t="str">
        <f>IF(ISERROR(VLOOKUP(B261,[1]작가별정산률!$R:$S,2,0)),"스토리위즈",VLOOKUP(B261,[1]작가별정산률!$R:$S,2,0))</f>
        <v>스토리위즈</v>
      </c>
      <c r="N261" s="9" t="str">
        <f>IF(M261="스토리위즈",VLOOKUP(B261,[1]작가별정산률!$A:$B,2,0),M261)</f>
        <v>무장</v>
      </c>
    </row>
    <row r="262" spans="1:14">
      <c r="A262" t="s">
        <v>32</v>
      </c>
      <c r="B262" t="s">
        <v>20</v>
      </c>
      <c r="C262" t="s">
        <v>21</v>
      </c>
      <c r="D262" t="s">
        <v>13</v>
      </c>
      <c r="E262" t="s">
        <v>14</v>
      </c>
      <c r="F262"/>
      <c r="G262"/>
      <c r="H262">
        <v>1800</v>
      </c>
      <c r="I262"/>
      <c r="J262">
        <v>0</v>
      </c>
      <c r="K262">
        <v>1800</v>
      </c>
      <c r="L262">
        <v>1260</v>
      </c>
      <c r="M262" s="9" t="str">
        <f>IF(ISERROR(VLOOKUP(B262,[1]작가별정산률!$R:$S,2,0)),"스토리위즈",VLOOKUP(B262,[1]작가별정산률!$R:$S,2,0))</f>
        <v>스토리위즈</v>
      </c>
      <c r="N262" s="9" t="str">
        <f>IF(M262="스토리위즈",VLOOKUP(B262,[1]작가별정산률!$A:$B,2,0),M262)</f>
        <v>무장</v>
      </c>
    </row>
    <row r="263" spans="1:14">
      <c r="A263" t="s">
        <v>30</v>
      </c>
      <c r="B263" t="s">
        <v>20</v>
      </c>
      <c r="C263" t="s">
        <v>21</v>
      </c>
      <c r="D263" t="s">
        <v>13</v>
      </c>
      <c r="E263" t="s">
        <v>14</v>
      </c>
      <c r="F263"/>
      <c r="G263"/>
      <c r="H263">
        <v>1800</v>
      </c>
      <c r="I263"/>
      <c r="J263">
        <v>0</v>
      </c>
      <c r="K263">
        <v>1800</v>
      </c>
      <c r="L263">
        <v>1260</v>
      </c>
      <c r="M263" s="9" t="str">
        <f>IF(ISERROR(VLOOKUP(B263,[1]작가별정산률!$R:$S,2,0)),"스토리위즈",VLOOKUP(B263,[1]작가별정산률!$R:$S,2,0))</f>
        <v>스토리위즈</v>
      </c>
      <c r="N263" s="9" t="str">
        <f>IF(M263="스토리위즈",VLOOKUP(B263,[1]작가별정산률!$A:$B,2,0),M263)</f>
        <v>무장</v>
      </c>
    </row>
    <row r="264" spans="1:14">
      <c r="A264" t="s">
        <v>35</v>
      </c>
      <c r="B264" t="s">
        <v>20</v>
      </c>
      <c r="C264" t="s">
        <v>21</v>
      </c>
      <c r="D264" t="s">
        <v>13</v>
      </c>
      <c r="E264" t="s">
        <v>14</v>
      </c>
      <c r="F264"/>
      <c r="G264"/>
      <c r="H264">
        <v>1800</v>
      </c>
      <c r="I264"/>
      <c r="J264">
        <v>0</v>
      </c>
      <c r="K264">
        <v>1800</v>
      </c>
      <c r="L264">
        <v>1260</v>
      </c>
      <c r="M264" s="9" t="str">
        <f>IF(ISERROR(VLOOKUP(B264,[1]작가별정산률!$R:$S,2,0)),"스토리위즈",VLOOKUP(B264,[1]작가별정산률!$R:$S,2,0))</f>
        <v>스토리위즈</v>
      </c>
      <c r="N264" s="9" t="str">
        <f>IF(M264="스토리위즈",VLOOKUP(B264,[1]작가별정산률!$A:$B,2,0),M264)</f>
        <v>무장</v>
      </c>
    </row>
    <row r="265" spans="1:14">
      <c r="A265" t="s">
        <v>33</v>
      </c>
      <c r="B265" t="s">
        <v>20</v>
      </c>
      <c r="C265" t="s">
        <v>21</v>
      </c>
      <c r="D265" t="s">
        <v>13</v>
      </c>
      <c r="E265" t="s">
        <v>14</v>
      </c>
      <c r="F265"/>
      <c r="G265"/>
      <c r="H265">
        <v>900</v>
      </c>
      <c r="I265"/>
      <c r="J265">
        <v>0</v>
      </c>
      <c r="K265">
        <v>900</v>
      </c>
      <c r="L265">
        <v>630</v>
      </c>
      <c r="M265" s="9" t="str">
        <f>IF(ISERROR(VLOOKUP(B265,[1]작가별정산률!$R:$S,2,0)),"스토리위즈",VLOOKUP(B265,[1]작가별정산률!$R:$S,2,0))</f>
        <v>스토리위즈</v>
      </c>
      <c r="N265" s="9" t="str">
        <f>IF(M265="스토리위즈",VLOOKUP(B265,[1]작가별정산률!$A:$B,2,0),M265)</f>
        <v>무장</v>
      </c>
    </row>
    <row r="266" spans="1:14">
      <c r="A266" t="s">
        <v>34</v>
      </c>
      <c r="B266" t="s">
        <v>20</v>
      </c>
      <c r="C266" t="s">
        <v>21</v>
      </c>
      <c r="D266" t="s">
        <v>13</v>
      </c>
      <c r="E266" t="s">
        <v>14</v>
      </c>
      <c r="F266"/>
      <c r="G266"/>
      <c r="H266">
        <v>1800</v>
      </c>
      <c r="I266"/>
      <c r="J266">
        <v>0</v>
      </c>
      <c r="K266">
        <v>1800</v>
      </c>
      <c r="L266">
        <v>1260</v>
      </c>
      <c r="M266" s="9" t="str">
        <f>IF(ISERROR(VLOOKUP(B266,[1]작가별정산률!$R:$S,2,0)),"스토리위즈",VLOOKUP(B266,[1]작가별정산률!$R:$S,2,0))</f>
        <v>스토리위즈</v>
      </c>
      <c r="N266" s="9" t="str">
        <f>IF(M266="스토리위즈",VLOOKUP(B266,[1]작가별정산률!$A:$B,2,0),M266)</f>
        <v>무장</v>
      </c>
    </row>
    <row r="267" spans="1:14">
      <c r="A267" t="s">
        <v>122</v>
      </c>
      <c r="B267" t="s">
        <v>20</v>
      </c>
      <c r="C267" t="s">
        <v>21</v>
      </c>
      <c r="D267" t="s">
        <v>13</v>
      </c>
      <c r="E267" t="s">
        <v>18</v>
      </c>
      <c r="F267">
        <v>1</v>
      </c>
      <c r="G267">
        <v>3200</v>
      </c>
      <c r="H267">
        <v>3200</v>
      </c>
      <c r="I267">
        <v>0</v>
      </c>
      <c r="J267">
        <v>0</v>
      </c>
      <c r="K267">
        <v>3200</v>
      </c>
      <c r="L267">
        <v>2240</v>
      </c>
      <c r="M267" s="9" t="str">
        <f>IF(ISERROR(VLOOKUP(B267,[1]작가별정산률!$R:$S,2,0)),"스토리위즈",VLOOKUP(B267,[1]작가별정산률!$R:$S,2,0))</f>
        <v>스토리위즈</v>
      </c>
      <c r="N267" s="9" t="str">
        <f>IF(M267="스토리위즈",VLOOKUP(B267,[1]작가별정산률!$A:$B,2,0),M267)</f>
        <v>무장</v>
      </c>
    </row>
    <row r="268" spans="1:14">
      <c r="A268" t="s">
        <v>123</v>
      </c>
      <c r="B268" t="s">
        <v>20</v>
      </c>
      <c r="C268" t="s">
        <v>21</v>
      </c>
      <c r="D268" t="s">
        <v>13</v>
      </c>
      <c r="E268" t="s">
        <v>18</v>
      </c>
      <c r="F268">
        <v>1</v>
      </c>
      <c r="G268">
        <v>3200</v>
      </c>
      <c r="H268">
        <v>3200</v>
      </c>
      <c r="I268">
        <v>0</v>
      </c>
      <c r="J268">
        <v>0</v>
      </c>
      <c r="K268">
        <v>3200</v>
      </c>
      <c r="L268">
        <v>2240</v>
      </c>
      <c r="M268" s="9" t="str">
        <f>IF(ISERROR(VLOOKUP(B268,[1]작가별정산률!$R:$S,2,0)),"스토리위즈",VLOOKUP(B268,[1]작가별정산률!$R:$S,2,0))</f>
        <v>스토리위즈</v>
      </c>
      <c r="N268" s="9" t="str">
        <f>IF(M268="스토리위즈",VLOOKUP(B268,[1]작가별정산률!$A:$B,2,0),M268)</f>
        <v>무장</v>
      </c>
    </row>
    <row r="269" spans="1:14">
      <c r="A269" t="s">
        <v>124</v>
      </c>
      <c r="B269" t="s">
        <v>20</v>
      </c>
      <c r="C269" t="s">
        <v>21</v>
      </c>
      <c r="D269" t="s">
        <v>13</v>
      </c>
      <c r="E269" t="s">
        <v>18</v>
      </c>
      <c r="F269">
        <v>1</v>
      </c>
      <c r="G269">
        <v>3200</v>
      </c>
      <c r="H269">
        <v>3200</v>
      </c>
      <c r="I269">
        <v>0</v>
      </c>
      <c r="J269">
        <v>0</v>
      </c>
      <c r="K269">
        <v>3200</v>
      </c>
      <c r="L269">
        <v>2240</v>
      </c>
      <c r="M269" s="9" t="str">
        <f>IF(ISERROR(VLOOKUP(B269,[1]작가별정산률!$R:$S,2,0)),"스토리위즈",VLOOKUP(B269,[1]작가별정산률!$R:$S,2,0))</f>
        <v>스토리위즈</v>
      </c>
      <c r="N269" s="9" t="str">
        <f>IF(M269="스토리위즈",VLOOKUP(B269,[1]작가별정산률!$A:$B,2,0),M269)</f>
        <v>무장</v>
      </c>
    </row>
    <row r="270" spans="1:14">
      <c r="A270" t="s">
        <v>125</v>
      </c>
      <c r="B270" t="s">
        <v>20</v>
      </c>
      <c r="C270" t="s">
        <v>21</v>
      </c>
      <c r="D270" t="s">
        <v>13</v>
      </c>
      <c r="E270" t="s">
        <v>18</v>
      </c>
      <c r="F270">
        <v>1</v>
      </c>
      <c r="G270">
        <v>3200</v>
      </c>
      <c r="H270">
        <v>3200</v>
      </c>
      <c r="I270">
        <v>0</v>
      </c>
      <c r="J270">
        <v>0</v>
      </c>
      <c r="K270">
        <v>3200</v>
      </c>
      <c r="L270">
        <v>2240</v>
      </c>
      <c r="M270" s="9" t="str">
        <f>IF(ISERROR(VLOOKUP(B270,[1]작가별정산률!$R:$S,2,0)),"스토리위즈",VLOOKUP(B270,[1]작가별정산률!$R:$S,2,0))</f>
        <v>스토리위즈</v>
      </c>
      <c r="N270" s="9" t="str">
        <f>IF(M270="스토리위즈",VLOOKUP(B270,[1]작가별정산률!$A:$B,2,0),M270)</f>
        <v>무장</v>
      </c>
    </row>
    <row r="271" spans="1:14">
      <c r="A271" t="s">
        <v>126</v>
      </c>
      <c r="B271" t="s">
        <v>20</v>
      </c>
      <c r="C271" t="s">
        <v>21</v>
      </c>
      <c r="D271" t="s">
        <v>13</v>
      </c>
      <c r="E271" t="s">
        <v>18</v>
      </c>
      <c r="F271">
        <v>1</v>
      </c>
      <c r="G271">
        <v>3200</v>
      </c>
      <c r="H271">
        <v>3200</v>
      </c>
      <c r="I271">
        <v>0</v>
      </c>
      <c r="J271">
        <v>0</v>
      </c>
      <c r="K271">
        <v>3200</v>
      </c>
      <c r="L271">
        <v>2240</v>
      </c>
      <c r="M271" s="9" t="str">
        <f>IF(ISERROR(VLOOKUP(B271,[1]작가별정산률!$R:$S,2,0)),"스토리위즈",VLOOKUP(B271,[1]작가별정산률!$R:$S,2,0))</f>
        <v>스토리위즈</v>
      </c>
      <c r="N271" s="9" t="str">
        <f>IF(M271="스토리위즈",VLOOKUP(B271,[1]작가별정산률!$A:$B,2,0),M271)</f>
        <v>무장</v>
      </c>
    </row>
    <row r="272" spans="1:14">
      <c r="A272" t="s">
        <v>23</v>
      </c>
      <c r="B272" t="s">
        <v>12</v>
      </c>
      <c r="C272" t="s">
        <v>21</v>
      </c>
      <c r="D272" t="s">
        <v>13</v>
      </c>
      <c r="E272" t="s">
        <v>16</v>
      </c>
      <c r="F272">
        <v>1696</v>
      </c>
      <c r="G272">
        <v>100</v>
      </c>
      <c r="H272">
        <v>169600</v>
      </c>
      <c r="I272">
        <v>0</v>
      </c>
      <c r="J272">
        <v>0</v>
      </c>
      <c r="K272">
        <v>169600</v>
      </c>
      <c r="L272">
        <v>118720</v>
      </c>
      <c r="M272" s="9" t="str">
        <f>IF(ISERROR(VLOOKUP(B272,[1]작가별정산률!$R:$S,2,0)),"스토리위즈",VLOOKUP(B272,[1]작가별정산률!$R:$S,2,0))</f>
        <v>스토리위즈</v>
      </c>
      <c r="N272" s="9" t="str">
        <f>IF(M272="스토리위즈",VLOOKUP(B272,[1]작가별정산률!$A:$B,2,0),M272)</f>
        <v>김광수</v>
      </c>
    </row>
    <row r="273" spans="1:14">
      <c r="A273" t="s">
        <v>56</v>
      </c>
      <c r="B273" t="s">
        <v>12</v>
      </c>
      <c r="C273" t="s">
        <v>21</v>
      </c>
      <c r="D273" t="s">
        <v>92</v>
      </c>
      <c r="E273" t="s">
        <v>317</v>
      </c>
      <c r="F273">
        <v>2</v>
      </c>
      <c r="G273">
        <v>3200</v>
      </c>
      <c r="H273">
        <v>6400</v>
      </c>
      <c r="I273">
        <v>0</v>
      </c>
      <c r="J273">
        <v>0</v>
      </c>
      <c r="K273">
        <v>6400</v>
      </c>
      <c r="L273">
        <v>3200</v>
      </c>
      <c r="M273" s="9" t="str">
        <f>IF(ISERROR(VLOOKUP(B273,[1]작가별정산률!$R:$S,2,0)),"스토리위즈",VLOOKUP(B273,[1]작가별정산률!$R:$S,2,0))</f>
        <v>스토리위즈</v>
      </c>
      <c r="N273" s="9" t="str">
        <f>IF(M273="스토리위즈",VLOOKUP(B273,[1]작가별정산률!$A:$B,2,0),M273)</f>
        <v>김광수</v>
      </c>
    </row>
    <row r="274" spans="1:14">
      <c r="A274" t="s">
        <v>55</v>
      </c>
      <c r="B274" t="s">
        <v>12</v>
      </c>
      <c r="C274" t="s">
        <v>21</v>
      </c>
      <c r="D274" t="s">
        <v>92</v>
      </c>
      <c r="E274" t="s">
        <v>317</v>
      </c>
      <c r="F274">
        <v>2</v>
      </c>
      <c r="G274">
        <v>3200</v>
      </c>
      <c r="H274">
        <v>6400</v>
      </c>
      <c r="I274">
        <v>0</v>
      </c>
      <c r="J274">
        <v>0</v>
      </c>
      <c r="K274">
        <v>6400</v>
      </c>
      <c r="L274">
        <v>3200</v>
      </c>
      <c r="M274" s="9" t="str">
        <f>IF(ISERROR(VLOOKUP(B274,[1]작가별정산률!$R:$S,2,0)),"스토리위즈",VLOOKUP(B274,[1]작가별정산률!$R:$S,2,0))</f>
        <v>스토리위즈</v>
      </c>
      <c r="N274" s="9" t="str">
        <f>IF(M274="스토리위즈",VLOOKUP(B274,[1]작가별정산률!$A:$B,2,0),M274)</f>
        <v>김광수</v>
      </c>
    </row>
    <row r="275" spans="1:14">
      <c r="A275" t="s">
        <v>53</v>
      </c>
      <c r="B275" t="s">
        <v>12</v>
      </c>
      <c r="C275" t="s">
        <v>21</v>
      </c>
      <c r="D275" t="s">
        <v>92</v>
      </c>
      <c r="E275" t="s">
        <v>317</v>
      </c>
      <c r="F275">
        <v>2</v>
      </c>
      <c r="G275">
        <v>3200</v>
      </c>
      <c r="H275">
        <v>6400</v>
      </c>
      <c r="I275">
        <v>0</v>
      </c>
      <c r="J275">
        <v>0</v>
      </c>
      <c r="K275">
        <v>6400</v>
      </c>
      <c r="L275">
        <v>3200</v>
      </c>
      <c r="M275" s="9" t="str">
        <f>IF(ISERROR(VLOOKUP(B275,[1]작가별정산률!$R:$S,2,0)),"스토리위즈",VLOOKUP(B275,[1]작가별정산률!$R:$S,2,0))</f>
        <v>스토리위즈</v>
      </c>
      <c r="N275" s="9" t="str">
        <f>IF(M275="스토리위즈",VLOOKUP(B275,[1]작가별정산률!$A:$B,2,0),M275)</f>
        <v>김광수</v>
      </c>
    </row>
    <row r="276" spans="1:14">
      <c r="A276" t="s">
        <v>54</v>
      </c>
      <c r="B276" t="s">
        <v>12</v>
      </c>
      <c r="C276" t="s">
        <v>21</v>
      </c>
      <c r="D276" t="s">
        <v>92</v>
      </c>
      <c r="E276" t="s">
        <v>317</v>
      </c>
      <c r="F276">
        <v>2</v>
      </c>
      <c r="G276">
        <v>3200</v>
      </c>
      <c r="H276">
        <v>6400</v>
      </c>
      <c r="I276">
        <v>0</v>
      </c>
      <c r="J276">
        <v>0</v>
      </c>
      <c r="K276">
        <v>6400</v>
      </c>
      <c r="L276">
        <v>3200</v>
      </c>
      <c r="M276" s="9" t="str">
        <f>IF(ISERROR(VLOOKUP(B276,[1]작가별정산률!$R:$S,2,0)),"스토리위즈",VLOOKUP(B276,[1]작가별정산률!$R:$S,2,0))</f>
        <v>스토리위즈</v>
      </c>
      <c r="N276" s="9" t="str">
        <f>IF(M276="스토리위즈",VLOOKUP(B276,[1]작가별정산률!$A:$B,2,0),M276)</f>
        <v>김광수</v>
      </c>
    </row>
    <row r="277" spans="1:14">
      <c r="A277" t="s">
        <v>58</v>
      </c>
      <c r="B277" t="s">
        <v>12</v>
      </c>
      <c r="C277" t="s">
        <v>21</v>
      </c>
      <c r="D277" t="s">
        <v>92</v>
      </c>
      <c r="E277" t="s">
        <v>317</v>
      </c>
      <c r="F277">
        <v>2</v>
      </c>
      <c r="G277">
        <v>3200</v>
      </c>
      <c r="H277">
        <v>6400</v>
      </c>
      <c r="I277">
        <v>0</v>
      </c>
      <c r="J277">
        <v>0</v>
      </c>
      <c r="K277">
        <v>6400</v>
      </c>
      <c r="L277">
        <v>3200</v>
      </c>
      <c r="M277" s="9" t="str">
        <f>IF(ISERROR(VLOOKUP(B277,[1]작가별정산률!$R:$S,2,0)),"스토리위즈",VLOOKUP(B277,[1]작가별정산률!$R:$S,2,0))</f>
        <v>스토리위즈</v>
      </c>
      <c r="N277" s="9" t="str">
        <f>IF(M277="스토리위즈",VLOOKUP(B277,[1]작가별정산률!$A:$B,2,0),M277)</f>
        <v>김광수</v>
      </c>
    </row>
    <row r="278" spans="1:14">
      <c r="A278" t="s">
        <v>62</v>
      </c>
      <c r="B278" t="s">
        <v>12</v>
      </c>
      <c r="C278" t="s">
        <v>21</v>
      </c>
      <c r="D278" t="s">
        <v>92</v>
      </c>
      <c r="E278" t="s">
        <v>317</v>
      </c>
      <c r="F278">
        <v>2</v>
      </c>
      <c r="G278">
        <v>3200</v>
      </c>
      <c r="H278">
        <v>6400</v>
      </c>
      <c r="I278">
        <v>0</v>
      </c>
      <c r="J278">
        <v>0</v>
      </c>
      <c r="K278">
        <v>6400</v>
      </c>
      <c r="L278">
        <v>3200</v>
      </c>
      <c r="M278" s="9" t="str">
        <f>IF(ISERROR(VLOOKUP(B278,[1]작가별정산률!$R:$S,2,0)),"스토리위즈",VLOOKUP(B278,[1]작가별정산률!$R:$S,2,0))</f>
        <v>스토리위즈</v>
      </c>
      <c r="N278" s="9" t="str">
        <f>IF(M278="스토리위즈",VLOOKUP(B278,[1]작가별정산률!$A:$B,2,0),M278)</f>
        <v>김광수</v>
      </c>
    </row>
    <row r="279" spans="1:14">
      <c r="A279" t="s">
        <v>61</v>
      </c>
      <c r="B279" t="s">
        <v>12</v>
      </c>
      <c r="C279" t="s">
        <v>21</v>
      </c>
      <c r="D279" t="s">
        <v>92</v>
      </c>
      <c r="E279" t="s">
        <v>317</v>
      </c>
      <c r="F279">
        <v>2</v>
      </c>
      <c r="G279">
        <v>3200</v>
      </c>
      <c r="H279">
        <v>6400</v>
      </c>
      <c r="I279">
        <v>0</v>
      </c>
      <c r="J279">
        <v>0</v>
      </c>
      <c r="K279">
        <v>6400</v>
      </c>
      <c r="L279">
        <v>3200</v>
      </c>
      <c r="M279" s="9" t="str">
        <f>IF(ISERROR(VLOOKUP(B279,[1]작가별정산률!$R:$S,2,0)),"스토리위즈",VLOOKUP(B279,[1]작가별정산률!$R:$S,2,0))</f>
        <v>스토리위즈</v>
      </c>
      <c r="N279" s="9" t="str">
        <f>IF(M279="스토리위즈",VLOOKUP(B279,[1]작가별정산률!$A:$B,2,0),M279)</f>
        <v>김광수</v>
      </c>
    </row>
    <row r="280" spans="1:14">
      <c r="A280" t="s">
        <v>60</v>
      </c>
      <c r="B280" t="s">
        <v>12</v>
      </c>
      <c r="C280" t="s">
        <v>21</v>
      </c>
      <c r="D280" t="s">
        <v>92</v>
      </c>
      <c r="E280" t="s">
        <v>317</v>
      </c>
      <c r="F280">
        <v>2</v>
      </c>
      <c r="G280">
        <v>3200</v>
      </c>
      <c r="H280">
        <v>6400</v>
      </c>
      <c r="I280">
        <v>0</v>
      </c>
      <c r="J280">
        <v>0</v>
      </c>
      <c r="K280">
        <v>6400</v>
      </c>
      <c r="L280">
        <v>3200</v>
      </c>
      <c r="M280" s="9" t="str">
        <f>IF(ISERROR(VLOOKUP(B280,[1]작가별정산률!$R:$S,2,0)),"스토리위즈",VLOOKUP(B280,[1]작가별정산률!$R:$S,2,0))</f>
        <v>스토리위즈</v>
      </c>
      <c r="N280" s="9" t="str">
        <f>IF(M280="스토리위즈",VLOOKUP(B280,[1]작가별정산률!$A:$B,2,0),M280)</f>
        <v>김광수</v>
      </c>
    </row>
    <row r="281" spans="1:14">
      <c r="A281" t="s">
        <v>65</v>
      </c>
      <c r="B281" t="s">
        <v>12</v>
      </c>
      <c r="C281" t="s">
        <v>21</v>
      </c>
      <c r="D281" t="s">
        <v>92</v>
      </c>
      <c r="E281" t="s">
        <v>317</v>
      </c>
      <c r="F281">
        <v>2</v>
      </c>
      <c r="G281">
        <v>3200</v>
      </c>
      <c r="H281">
        <v>6400</v>
      </c>
      <c r="I281">
        <v>0</v>
      </c>
      <c r="J281">
        <v>0</v>
      </c>
      <c r="K281">
        <v>6400</v>
      </c>
      <c r="L281">
        <v>3200</v>
      </c>
      <c r="M281" s="9" t="str">
        <f>IF(ISERROR(VLOOKUP(B281,[1]작가별정산률!$R:$S,2,0)),"스토리위즈",VLOOKUP(B281,[1]작가별정산률!$R:$S,2,0))</f>
        <v>스토리위즈</v>
      </c>
      <c r="N281" s="9" t="str">
        <f>IF(M281="스토리위즈",VLOOKUP(B281,[1]작가별정산률!$A:$B,2,0),M281)</f>
        <v>김광수</v>
      </c>
    </row>
    <row r="282" spans="1:14">
      <c r="A282" t="s">
        <v>59</v>
      </c>
      <c r="B282" t="s">
        <v>12</v>
      </c>
      <c r="C282" t="s">
        <v>21</v>
      </c>
      <c r="D282" t="s">
        <v>92</v>
      </c>
      <c r="E282" t="s">
        <v>317</v>
      </c>
      <c r="F282">
        <v>2</v>
      </c>
      <c r="G282">
        <v>3200</v>
      </c>
      <c r="H282">
        <v>6400</v>
      </c>
      <c r="I282">
        <v>0</v>
      </c>
      <c r="J282">
        <v>0</v>
      </c>
      <c r="K282">
        <v>6400</v>
      </c>
      <c r="L282">
        <v>3200</v>
      </c>
      <c r="M282" s="9" t="str">
        <f>IF(ISERROR(VLOOKUP(B282,[1]작가별정산률!$R:$S,2,0)),"스토리위즈",VLOOKUP(B282,[1]작가별정산률!$R:$S,2,0))</f>
        <v>스토리위즈</v>
      </c>
      <c r="N282" s="9" t="str">
        <f>IF(M282="스토리위즈",VLOOKUP(B282,[1]작가별정산률!$A:$B,2,0),M282)</f>
        <v>김광수</v>
      </c>
    </row>
    <row r="283" spans="1:14">
      <c r="A283" t="s">
        <v>63</v>
      </c>
      <c r="B283" t="s">
        <v>12</v>
      </c>
      <c r="C283" t="s">
        <v>21</v>
      </c>
      <c r="D283" t="s">
        <v>92</v>
      </c>
      <c r="E283" t="s">
        <v>317</v>
      </c>
      <c r="F283">
        <v>2</v>
      </c>
      <c r="G283">
        <v>3200</v>
      </c>
      <c r="H283">
        <v>6400</v>
      </c>
      <c r="I283">
        <v>0</v>
      </c>
      <c r="J283">
        <v>0</v>
      </c>
      <c r="K283">
        <v>6400</v>
      </c>
      <c r="L283">
        <v>3200</v>
      </c>
      <c r="M283" s="9" t="str">
        <f>IF(ISERROR(VLOOKUP(B283,[1]작가별정산률!$R:$S,2,0)),"스토리위즈",VLOOKUP(B283,[1]작가별정산률!$R:$S,2,0))</f>
        <v>스토리위즈</v>
      </c>
      <c r="N283" s="9" t="str">
        <f>IF(M283="스토리위즈",VLOOKUP(B283,[1]작가별정산률!$A:$B,2,0),M283)</f>
        <v>김광수</v>
      </c>
    </row>
    <row r="284" spans="1:14">
      <c r="A284" t="s">
        <v>64</v>
      </c>
      <c r="B284" t="s">
        <v>12</v>
      </c>
      <c r="C284" t="s">
        <v>21</v>
      </c>
      <c r="D284" t="s">
        <v>92</v>
      </c>
      <c r="E284" t="s">
        <v>317</v>
      </c>
      <c r="F284">
        <v>2</v>
      </c>
      <c r="G284">
        <v>3200</v>
      </c>
      <c r="H284">
        <v>6400</v>
      </c>
      <c r="I284">
        <v>0</v>
      </c>
      <c r="J284">
        <v>0</v>
      </c>
      <c r="K284">
        <v>6400</v>
      </c>
      <c r="L284">
        <v>3200</v>
      </c>
      <c r="M284" s="9" t="str">
        <f>IF(ISERROR(VLOOKUP(B284,[1]작가별정산률!$R:$S,2,0)),"스토리위즈",VLOOKUP(B284,[1]작가별정산률!$R:$S,2,0))</f>
        <v>스토리위즈</v>
      </c>
      <c r="N284" s="9" t="str">
        <f>IF(M284="스토리위즈",VLOOKUP(B284,[1]작가별정산률!$A:$B,2,0),M284)</f>
        <v>김광수</v>
      </c>
    </row>
    <row r="285" spans="1:14">
      <c r="A285" t="s">
        <v>69</v>
      </c>
      <c r="B285" t="s">
        <v>12</v>
      </c>
      <c r="C285" t="s">
        <v>21</v>
      </c>
      <c r="D285" t="s">
        <v>92</v>
      </c>
      <c r="E285" t="s">
        <v>317</v>
      </c>
      <c r="F285">
        <v>2</v>
      </c>
      <c r="G285">
        <v>3200</v>
      </c>
      <c r="H285">
        <v>6400</v>
      </c>
      <c r="I285">
        <v>0</v>
      </c>
      <c r="J285">
        <v>0</v>
      </c>
      <c r="K285">
        <v>6400</v>
      </c>
      <c r="L285">
        <v>3200</v>
      </c>
      <c r="M285" s="9" t="str">
        <f>IF(ISERROR(VLOOKUP(B285,[1]작가별정산률!$R:$S,2,0)),"스토리위즈",VLOOKUP(B285,[1]작가별정산률!$R:$S,2,0))</f>
        <v>스토리위즈</v>
      </c>
      <c r="N285" s="9" t="str">
        <f>IF(M285="스토리위즈",VLOOKUP(B285,[1]작가별정산률!$A:$B,2,0),M285)</f>
        <v>김광수</v>
      </c>
    </row>
    <row r="286" spans="1:14">
      <c r="A286" t="s">
        <v>68</v>
      </c>
      <c r="B286" t="s">
        <v>12</v>
      </c>
      <c r="C286" t="s">
        <v>21</v>
      </c>
      <c r="D286" t="s">
        <v>92</v>
      </c>
      <c r="E286" t="s">
        <v>317</v>
      </c>
      <c r="F286">
        <v>2</v>
      </c>
      <c r="G286">
        <v>3200</v>
      </c>
      <c r="H286">
        <v>6400</v>
      </c>
      <c r="I286">
        <v>0</v>
      </c>
      <c r="J286">
        <v>0</v>
      </c>
      <c r="K286">
        <v>6400</v>
      </c>
      <c r="L286">
        <v>3200</v>
      </c>
      <c r="M286" s="9" t="str">
        <f>IF(ISERROR(VLOOKUP(B286,[1]작가별정산률!$R:$S,2,0)),"스토리위즈",VLOOKUP(B286,[1]작가별정산률!$R:$S,2,0))</f>
        <v>스토리위즈</v>
      </c>
      <c r="N286" s="9" t="str">
        <f>IF(M286="스토리위즈",VLOOKUP(B286,[1]작가별정산률!$A:$B,2,0),M286)</f>
        <v>김광수</v>
      </c>
    </row>
    <row r="287" spans="1:14">
      <c r="A287" t="s">
        <v>70</v>
      </c>
      <c r="B287" t="s">
        <v>12</v>
      </c>
      <c r="C287" t="s">
        <v>21</v>
      </c>
      <c r="D287" t="s">
        <v>92</v>
      </c>
      <c r="E287" t="s">
        <v>317</v>
      </c>
      <c r="F287">
        <v>2</v>
      </c>
      <c r="G287">
        <v>3200</v>
      </c>
      <c r="H287">
        <v>6400</v>
      </c>
      <c r="I287">
        <v>0</v>
      </c>
      <c r="J287">
        <v>0</v>
      </c>
      <c r="K287">
        <v>6400</v>
      </c>
      <c r="L287">
        <v>3200</v>
      </c>
      <c r="M287" s="9" t="str">
        <f>IF(ISERROR(VLOOKUP(B287,[1]작가별정산률!$R:$S,2,0)),"스토리위즈",VLOOKUP(B287,[1]작가별정산률!$R:$S,2,0))</f>
        <v>스토리위즈</v>
      </c>
      <c r="N287" s="9" t="str">
        <f>IF(M287="스토리위즈",VLOOKUP(B287,[1]작가별정산률!$A:$B,2,0),M287)</f>
        <v>김광수</v>
      </c>
    </row>
    <row r="288" spans="1:14">
      <c r="A288" t="s">
        <v>71</v>
      </c>
      <c r="B288" t="s">
        <v>12</v>
      </c>
      <c r="C288" t="s">
        <v>21</v>
      </c>
      <c r="D288" t="s">
        <v>92</v>
      </c>
      <c r="E288" t="s">
        <v>317</v>
      </c>
      <c r="F288">
        <v>2</v>
      </c>
      <c r="G288">
        <v>3200</v>
      </c>
      <c r="H288">
        <v>6400</v>
      </c>
      <c r="I288">
        <v>0</v>
      </c>
      <c r="J288">
        <v>0</v>
      </c>
      <c r="K288">
        <v>6400</v>
      </c>
      <c r="L288">
        <v>3200</v>
      </c>
      <c r="M288" s="9" t="str">
        <f>IF(ISERROR(VLOOKUP(B288,[1]작가별정산률!$R:$S,2,0)),"스토리위즈",VLOOKUP(B288,[1]작가별정산률!$R:$S,2,0))</f>
        <v>스토리위즈</v>
      </c>
      <c r="N288" s="9" t="str">
        <f>IF(M288="스토리위즈",VLOOKUP(B288,[1]작가별정산률!$A:$B,2,0),M288)</f>
        <v>김광수</v>
      </c>
    </row>
    <row r="289" spans="1:14">
      <c r="A289" t="s">
        <v>66</v>
      </c>
      <c r="B289" t="s">
        <v>12</v>
      </c>
      <c r="C289" t="s">
        <v>21</v>
      </c>
      <c r="D289" t="s">
        <v>92</v>
      </c>
      <c r="E289" t="s">
        <v>317</v>
      </c>
      <c r="F289">
        <v>2</v>
      </c>
      <c r="G289">
        <v>3200</v>
      </c>
      <c r="H289">
        <v>6400</v>
      </c>
      <c r="I289">
        <v>0</v>
      </c>
      <c r="J289">
        <v>0</v>
      </c>
      <c r="K289">
        <v>6400</v>
      </c>
      <c r="L289">
        <v>3200</v>
      </c>
      <c r="M289" s="9" t="str">
        <f>IF(ISERROR(VLOOKUP(B289,[1]작가별정산률!$R:$S,2,0)),"스토리위즈",VLOOKUP(B289,[1]작가별정산률!$R:$S,2,0))</f>
        <v>스토리위즈</v>
      </c>
      <c r="N289" s="9" t="str">
        <f>IF(M289="스토리위즈",VLOOKUP(B289,[1]작가별정산률!$A:$B,2,0),M289)</f>
        <v>김광수</v>
      </c>
    </row>
    <row r="290" spans="1:14">
      <c r="A290" t="s">
        <v>67</v>
      </c>
      <c r="B290" t="s">
        <v>12</v>
      </c>
      <c r="C290" t="s">
        <v>21</v>
      </c>
      <c r="D290" t="s">
        <v>92</v>
      </c>
      <c r="E290" t="s">
        <v>317</v>
      </c>
      <c r="F290">
        <v>2</v>
      </c>
      <c r="G290">
        <v>3200</v>
      </c>
      <c r="H290">
        <v>6400</v>
      </c>
      <c r="I290">
        <v>0</v>
      </c>
      <c r="J290">
        <v>0</v>
      </c>
      <c r="K290">
        <v>6400</v>
      </c>
      <c r="L290">
        <v>3200</v>
      </c>
      <c r="M290" s="9" t="str">
        <f>IF(ISERROR(VLOOKUP(B290,[1]작가별정산률!$R:$S,2,0)),"스토리위즈",VLOOKUP(B290,[1]작가별정산률!$R:$S,2,0))</f>
        <v>스토리위즈</v>
      </c>
      <c r="N290" s="9" t="str">
        <f>IF(M290="스토리위즈",VLOOKUP(B290,[1]작가별정산률!$A:$B,2,0),M290)</f>
        <v>김광수</v>
      </c>
    </row>
    <row r="291" spans="1:14">
      <c r="A291" t="s">
        <v>74</v>
      </c>
      <c r="B291" t="s">
        <v>12</v>
      </c>
      <c r="C291" t="s">
        <v>21</v>
      </c>
      <c r="D291" t="s">
        <v>92</v>
      </c>
      <c r="E291" t="s">
        <v>317</v>
      </c>
      <c r="F291">
        <v>2</v>
      </c>
      <c r="G291">
        <v>3200</v>
      </c>
      <c r="H291">
        <v>6400</v>
      </c>
      <c r="I291">
        <v>0</v>
      </c>
      <c r="J291">
        <v>0</v>
      </c>
      <c r="K291">
        <v>6400</v>
      </c>
      <c r="L291">
        <v>3200</v>
      </c>
      <c r="M291" s="9" t="str">
        <f>IF(ISERROR(VLOOKUP(B291,[1]작가별정산률!$R:$S,2,0)),"스토리위즈",VLOOKUP(B291,[1]작가별정산률!$R:$S,2,0))</f>
        <v>스토리위즈</v>
      </c>
      <c r="N291" s="9" t="str">
        <f>IF(M291="스토리위즈",VLOOKUP(B291,[1]작가별정산률!$A:$B,2,0),M291)</f>
        <v>김광수</v>
      </c>
    </row>
    <row r="292" spans="1:14">
      <c r="A292" t="s">
        <v>73</v>
      </c>
      <c r="B292" t="s">
        <v>12</v>
      </c>
      <c r="C292" t="s">
        <v>21</v>
      </c>
      <c r="D292" t="s">
        <v>92</v>
      </c>
      <c r="E292" t="s">
        <v>317</v>
      </c>
      <c r="F292">
        <v>2</v>
      </c>
      <c r="G292">
        <v>3200</v>
      </c>
      <c r="H292">
        <v>6400</v>
      </c>
      <c r="I292">
        <v>0</v>
      </c>
      <c r="J292">
        <v>0</v>
      </c>
      <c r="K292">
        <v>6400</v>
      </c>
      <c r="L292">
        <v>3200</v>
      </c>
      <c r="M292" s="9" t="str">
        <f>IF(ISERROR(VLOOKUP(B292,[1]작가별정산률!$R:$S,2,0)),"스토리위즈",VLOOKUP(B292,[1]작가별정산률!$R:$S,2,0))</f>
        <v>스토리위즈</v>
      </c>
      <c r="N292" s="9" t="str">
        <f>IF(M292="스토리위즈",VLOOKUP(B292,[1]작가별정산률!$A:$B,2,0),M292)</f>
        <v>김광수</v>
      </c>
    </row>
    <row r="293" spans="1:14">
      <c r="A293" t="s">
        <v>72</v>
      </c>
      <c r="B293" t="s">
        <v>12</v>
      </c>
      <c r="C293" t="s">
        <v>21</v>
      </c>
      <c r="D293" t="s">
        <v>92</v>
      </c>
      <c r="E293" t="s">
        <v>317</v>
      </c>
      <c r="F293">
        <v>2</v>
      </c>
      <c r="G293">
        <v>3200</v>
      </c>
      <c r="H293">
        <v>6400</v>
      </c>
      <c r="I293">
        <v>0</v>
      </c>
      <c r="J293">
        <v>0</v>
      </c>
      <c r="K293">
        <v>6400</v>
      </c>
      <c r="L293">
        <v>3200</v>
      </c>
      <c r="M293" s="9" t="str">
        <f>IF(ISERROR(VLOOKUP(B293,[1]작가별정산률!$R:$S,2,0)),"스토리위즈",VLOOKUP(B293,[1]작가별정산률!$R:$S,2,0))</f>
        <v>스토리위즈</v>
      </c>
      <c r="N293" s="9" t="str">
        <f>IF(M293="스토리위즈",VLOOKUP(B293,[1]작가별정산률!$A:$B,2,0),M293)</f>
        <v>김광수</v>
      </c>
    </row>
    <row r="294" spans="1:14">
      <c r="A294" t="s">
        <v>57</v>
      </c>
      <c r="B294" t="s">
        <v>12</v>
      </c>
      <c r="C294" t="s">
        <v>21</v>
      </c>
      <c r="D294" t="s">
        <v>92</v>
      </c>
      <c r="E294" t="s">
        <v>317</v>
      </c>
      <c r="F294">
        <v>2</v>
      </c>
      <c r="G294">
        <v>3200</v>
      </c>
      <c r="H294">
        <v>6400</v>
      </c>
      <c r="I294">
        <v>0</v>
      </c>
      <c r="J294">
        <v>0</v>
      </c>
      <c r="K294">
        <v>6400</v>
      </c>
      <c r="L294">
        <v>3200</v>
      </c>
      <c r="M294" s="9" t="str">
        <f>IF(ISERROR(VLOOKUP(B294,[1]작가별정산률!$R:$S,2,0)),"스토리위즈",VLOOKUP(B294,[1]작가별정산률!$R:$S,2,0))</f>
        <v>스토리위즈</v>
      </c>
      <c r="N294" s="9" t="str">
        <f>IF(M294="스토리위즈",VLOOKUP(B294,[1]작가별정산률!$A:$B,2,0),M294)</f>
        <v>김광수</v>
      </c>
    </row>
    <row r="295" spans="1:14">
      <c r="A295" t="s">
        <v>318</v>
      </c>
      <c r="B295" t="s">
        <v>319</v>
      </c>
      <c r="C295" t="s">
        <v>21</v>
      </c>
      <c r="D295" t="s">
        <v>13</v>
      </c>
      <c r="E295" t="s">
        <v>16</v>
      </c>
      <c r="F295">
        <v>573</v>
      </c>
      <c r="G295">
        <v>100</v>
      </c>
      <c r="H295">
        <v>57300</v>
      </c>
      <c r="I295">
        <v>0</v>
      </c>
      <c r="J295">
        <v>0</v>
      </c>
      <c r="K295">
        <v>57300</v>
      </c>
      <c r="L295">
        <v>40110</v>
      </c>
      <c r="M295" s="9" t="str">
        <f>IF(ISERROR(VLOOKUP(B295,[1]작가별정산률!$R:$S,2,0)),"스토리위즈",VLOOKUP(B295,[1]작가별정산률!$R:$S,2,0))</f>
        <v>스토리위즈</v>
      </c>
      <c r="N295" s="9" t="str">
        <f>IF(M295="스토리위즈",VLOOKUP(B295,[1]작가별정산률!$A:$B,2,0),M295)</f>
        <v>구공</v>
      </c>
    </row>
    <row r="296" spans="1:14">
      <c r="A296" t="s">
        <v>201</v>
      </c>
      <c r="B296" t="s">
        <v>202</v>
      </c>
      <c r="C296" t="s">
        <v>21</v>
      </c>
      <c r="D296" t="s">
        <v>13</v>
      </c>
      <c r="E296" t="s">
        <v>18</v>
      </c>
      <c r="F296">
        <v>1</v>
      </c>
      <c r="G296">
        <v>3200</v>
      </c>
      <c r="H296">
        <v>3200</v>
      </c>
      <c r="I296">
        <v>0</v>
      </c>
      <c r="J296">
        <v>0</v>
      </c>
      <c r="K296">
        <v>3200</v>
      </c>
      <c r="L296">
        <v>2240</v>
      </c>
      <c r="M296" s="9" t="str">
        <f>IF(ISERROR(VLOOKUP(B296,[1]작가별정산률!$R:$S,2,0)),"스토리위즈",VLOOKUP(B296,[1]작가별정산률!$R:$S,2,0))</f>
        <v>스토리위즈</v>
      </c>
      <c r="N296" s="9" t="str">
        <f>IF(M296="스토리위즈",VLOOKUP(B296,[1]작가별정산률!$A:$B,2,0),M296)</f>
        <v>구유</v>
      </c>
    </row>
    <row r="297" spans="1:14">
      <c r="A297" t="s">
        <v>320</v>
      </c>
      <c r="B297" t="s">
        <v>321</v>
      </c>
      <c r="C297" t="s">
        <v>322</v>
      </c>
      <c r="D297" t="s">
        <v>13</v>
      </c>
      <c r="E297" t="s">
        <v>18</v>
      </c>
      <c r="F297">
        <v>13</v>
      </c>
      <c r="G297">
        <v>3200</v>
      </c>
      <c r="H297">
        <v>37440</v>
      </c>
      <c r="I297">
        <v>4160</v>
      </c>
      <c r="J297">
        <v>0</v>
      </c>
      <c r="K297">
        <v>37440</v>
      </c>
      <c r="L297">
        <v>26208</v>
      </c>
      <c r="M297" s="9" t="str">
        <f>IF(ISERROR(VLOOKUP(B297,[1]작가별정산률!$R:$S,2,0)),"스토리위즈",VLOOKUP(B297,[1]작가별정산률!$R:$S,2,0))</f>
        <v>스토리위즈</v>
      </c>
      <c r="N297" s="9" t="str">
        <f>IF(M297="스토리위즈",VLOOKUP(B297,[1]작가별정산률!$A:$B,2,0),M297)</f>
        <v>제외</v>
      </c>
    </row>
    <row r="298" spans="1:14">
      <c r="A298" t="s">
        <v>323</v>
      </c>
      <c r="B298" t="s">
        <v>324</v>
      </c>
      <c r="C298" t="s">
        <v>322</v>
      </c>
      <c r="D298" t="s">
        <v>13</v>
      </c>
      <c r="E298" t="s">
        <v>18</v>
      </c>
      <c r="F298">
        <v>1</v>
      </c>
      <c r="G298">
        <v>500</v>
      </c>
      <c r="H298">
        <v>500</v>
      </c>
      <c r="I298">
        <v>0</v>
      </c>
      <c r="J298">
        <v>0</v>
      </c>
      <c r="K298">
        <v>500</v>
      </c>
      <c r="L298">
        <v>350</v>
      </c>
      <c r="M298" s="9" t="str">
        <f>IF(ISERROR(VLOOKUP(B298,[1]작가별정산률!$R:$S,2,0)),"스토리위즈",VLOOKUP(B298,[1]작가별정산률!$R:$S,2,0))</f>
        <v>스토리위즈</v>
      </c>
      <c r="N298" s="9" t="str">
        <f>IF(M298="스토리위즈",VLOOKUP(B298,[1]작가별정산률!$A:$B,2,0),M298)</f>
        <v>모리미</v>
      </c>
    </row>
    <row r="299" spans="1:14">
      <c r="A299" t="s">
        <v>325</v>
      </c>
      <c r="B299" t="s">
        <v>324</v>
      </c>
      <c r="C299" t="s">
        <v>322</v>
      </c>
      <c r="D299" t="s">
        <v>13</v>
      </c>
      <c r="E299" t="s">
        <v>18</v>
      </c>
      <c r="F299">
        <v>1</v>
      </c>
      <c r="G299">
        <v>2800</v>
      </c>
      <c r="H299">
        <v>2800</v>
      </c>
      <c r="I299">
        <v>0</v>
      </c>
      <c r="J299">
        <v>0</v>
      </c>
      <c r="K299">
        <v>2800</v>
      </c>
      <c r="L299">
        <v>1960</v>
      </c>
      <c r="M299" s="9" t="str">
        <f>IF(ISERROR(VLOOKUP(B299,[1]작가별정산률!$R:$S,2,0)),"스토리위즈",VLOOKUP(B299,[1]작가별정산률!$R:$S,2,0))</f>
        <v>스토리위즈</v>
      </c>
      <c r="N299" s="9" t="str">
        <f>IF(M299="스토리위즈",VLOOKUP(B299,[1]작가별정산률!$A:$B,2,0),M299)</f>
        <v>모리미</v>
      </c>
    </row>
    <row r="300" spans="1:14">
      <c r="A300" t="s">
        <v>326</v>
      </c>
      <c r="B300" t="s">
        <v>324</v>
      </c>
      <c r="C300" t="s">
        <v>322</v>
      </c>
      <c r="D300" t="s">
        <v>13</v>
      </c>
      <c r="E300" t="s">
        <v>18</v>
      </c>
      <c r="F300">
        <v>1</v>
      </c>
      <c r="G300">
        <v>2800</v>
      </c>
      <c r="H300">
        <v>2800</v>
      </c>
      <c r="I300">
        <v>0</v>
      </c>
      <c r="J300">
        <v>0</v>
      </c>
      <c r="K300">
        <v>2800</v>
      </c>
      <c r="L300">
        <v>1960</v>
      </c>
      <c r="M300" s="9" t="str">
        <f>IF(ISERROR(VLOOKUP(B300,[1]작가별정산률!$R:$S,2,0)),"스토리위즈",VLOOKUP(B300,[1]작가별정산률!$R:$S,2,0))</f>
        <v>스토리위즈</v>
      </c>
      <c r="N300" s="9" t="str">
        <f>IF(M300="스토리위즈",VLOOKUP(B300,[1]작가별정산률!$A:$B,2,0),M300)</f>
        <v>모리미</v>
      </c>
    </row>
    <row r="301" spans="1:14">
      <c r="A301" t="s">
        <v>327</v>
      </c>
      <c r="B301" t="s">
        <v>324</v>
      </c>
      <c r="C301" t="s">
        <v>322</v>
      </c>
      <c r="D301" t="s">
        <v>13</v>
      </c>
      <c r="E301" t="s">
        <v>18</v>
      </c>
      <c r="F301">
        <v>1</v>
      </c>
      <c r="G301">
        <v>2800</v>
      </c>
      <c r="H301">
        <v>2800</v>
      </c>
      <c r="I301">
        <v>0</v>
      </c>
      <c r="J301">
        <v>0</v>
      </c>
      <c r="K301">
        <v>2800</v>
      </c>
      <c r="L301">
        <v>1960</v>
      </c>
      <c r="M301" s="9" t="str">
        <f>IF(ISERROR(VLOOKUP(B301,[1]작가별정산률!$R:$S,2,0)),"스토리위즈",VLOOKUP(B301,[1]작가별정산률!$R:$S,2,0))</f>
        <v>스토리위즈</v>
      </c>
      <c r="N301" s="9" t="str">
        <f>IF(M301="스토리위즈",VLOOKUP(B301,[1]작가별정산률!$A:$B,2,0),M301)</f>
        <v>모리미</v>
      </c>
    </row>
    <row r="302" spans="1:14">
      <c r="A302" t="s">
        <v>328</v>
      </c>
      <c r="B302" t="s">
        <v>329</v>
      </c>
      <c r="C302" t="s">
        <v>322</v>
      </c>
      <c r="D302" t="s">
        <v>13</v>
      </c>
      <c r="E302" t="s">
        <v>18</v>
      </c>
      <c r="F302">
        <v>1</v>
      </c>
      <c r="G302">
        <v>4400</v>
      </c>
      <c r="H302">
        <v>4400</v>
      </c>
      <c r="I302">
        <v>0</v>
      </c>
      <c r="J302">
        <v>0</v>
      </c>
      <c r="K302">
        <v>4400</v>
      </c>
      <c r="L302">
        <v>3080</v>
      </c>
      <c r="M302" s="9" t="str">
        <f>IF(ISERROR(VLOOKUP(B302,[1]작가별정산률!$R:$S,2,0)),"스토리위즈",VLOOKUP(B302,[1]작가별정산률!$R:$S,2,0))</f>
        <v>스토리위즈</v>
      </c>
      <c r="N302" s="9" t="str">
        <f>IF(M302="스토리위즈",VLOOKUP(B302,[1]작가별정산률!$A:$B,2,0),M302)</f>
        <v>주이서</v>
      </c>
    </row>
    <row r="303" spans="1:14">
      <c r="A303" t="s">
        <v>330</v>
      </c>
      <c r="B303" t="s">
        <v>329</v>
      </c>
      <c r="C303" t="s">
        <v>322</v>
      </c>
      <c r="D303" t="s">
        <v>13</v>
      </c>
      <c r="E303" t="s">
        <v>18</v>
      </c>
      <c r="F303">
        <v>1</v>
      </c>
      <c r="G303">
        <v>500</v>
      </c>
      <c r="H303">
        <v>500</v>
      </c>
      <c r="I303">
        <v>0</v>
      </c>
      <c r="J303">
        <v>0</v>
      </c>
      <c r="K303">
        <v>500</v>
      </c>
      <c r="L303">
        <v>350</v>
      </c>
      <c r="M303" s="9" t="str">
        <f>IF(ISERROR(VLOOKUP(B303,[1]작가별정산률!$R:$S,2,0)),"스토리위즈",VLOOKUP(B303,[1]작가별정산률!$R:$S,2,0))</f>
        <v>스토리위즈</v>
      </c>
      <c r="N303" s="9" t="str">
        <f>IF(M303="스토리위즈",VLOOKUP(B303,[1]작가별정산률!$A:$B,2,0),M303)</f>
        <v>주이서</v>
      </c>
    </row>
    <row r="304" spans="1:14">
      <c r="A304" t="s">
        <v>331</v>
      </c>
      <c r="B304" t="s">
        <v>332</v>
      </c>
      <c r="C304" t="s">
        <v>322</v>
      </c>
      <c r="D304" t="s">
        <v>13</v>
      </c>
      <c r="E304" t="s">
        <v>18</v>
      </c>
      <c r="F304">
        <v>1</v>
      </c>
      <c r="G304">
        <v>300</v>
      </c>
      <c r="H304">
        <v>300</v>
      </c>
      <c r="I304">
        <v>0</v>
      </c>
      <c r="J304">
        <v>0</v>
      </c>
      <c r="K304">
        <v>300</v>
      </c>
      <c r="L304">
        <v>210</v>
      </c>
      <c r="M304" s="9" t="str">
        <f>IF(ISERROR(VLOOKUP(B304,[1]작가별정산률!$R:$S,2,0)),"스토리위즈",VLOOKUP(B304,[1]작가별정산률!$R:$S,2,0))</f>
        <v>스토리위즈</v>
      </c>
      <c r="N304" s="9" t="str">
        <f>IF(M304="스토리위즈",VLOOKUP(B304,[1]작가별정산률!$A:$B,2,0),M304)</f>
        <v>차홍주</v>
      </c>
    </row>
    <row r="305" spans="1:14">
      <c r="A305" t="s">
        <v>333</v>
      </c>
      <c r="B305" t="s">
        <v>332</v>
      </c>
      <c r="C305" t="s">
        <v>322</v>
      </c>
      <c r="D305" t="s">
        <v>13</v>
      </c>
      <c r="E305" t="s">
        <v>18</v>
      </c>
      <c r="F305">
        <v>1</v>
      </c>
      <c r="G305">
        <v>3200</v>
      </c>
      <c r="H305">
        <v>3200</v>
      </c>
      <c r="I305">
        <v>0</v>
      </c>
      <c r="J305">
        <v>0</v>
      </c>
      <c r="K305">
        <v>3200</v>
      </c>
      <c r="L305">
        <v>2240</v>
      </c>
      <c r="M305" s="9" t="str">
        <f>IF(ISERROR(VLOOKUP(B305,[1]작가별정산률!$R:$S,2,0)),"스토리위즈",VLOOKUP(B305,[1]작가별정산률!$R:$S,2,0))</f>
        <v>스토리위즈</v>
      </c>
      <c r="N305" s="9" t="str">
        <f>IF(M305="스토리위즈",VLOOKUP(B305,[1]작가별정산률!$A:$B,2,0),M305)</f>
        <v>차홍주</v>
      </c>
    </row>
    <row r="306" spans="1:14">
      <c r="A306" t="s">
        <v>334</v>
      </c>
      <c r="B306" t="s">
        <v>332</v>
      </c>
      <c r="C306" t="s">
        <v>322</v>
      </c>
      <c r="D306" t="s">
        <v>13</v>
      </c>
      <c r="E306" t="s">
        <v>18</v>
      </c>
      <c r="F306">
        <v>1</v>
      </c>
      <c r="G306">
        <v>3200</v>
      </c>
      <c r="H306">
        <v>3200</v>
      </c>
      <c r="I306">
        <v>0</v>
      </c>
      <c r="J306">
        <v>0</v>
      </c>
      <c r="K306">
        <v>3200</v>
      </c>
      <c r="L306">
        <v>2240</v>
      </c>
      <c r="M306" s="9" t="str">
        <f>IF(ISERROR(VLOOKUP(B306,[1]작가별정산률!$R:$S,2,0)),"스토리위즈",VLOOKUP(B306,[1]작가별정산률!$R:$S,2,0))</f>
        <v>스토리위즈</v>
      </c>
      <c r="N306" s="9" t="str">
        <f>IF(M306="스토리위즈",VLOOKUP(B306,[1]작가별정산률!$A:$B,2,0),M306)</f>
        <v>차홍주</v>
      </c>
    </row>
    <row r="307" spans="1:14">
      <c r="A307" t="s">
        <v>335</v>
      </c>
      <c r="B307" t="s">
        <v>336</v>
      </c>
      <c r="C307" t="s">
        <v>322</v>
      </c>
      <c r="D307" t="s">
        <v>13</v>
      </c>
      <c r="E307" t="s">
        <v>18</v>
      </c>
      <c r="F307">
        <v>1</v>
      </c>
      <c r="G307">
        <v>1100</v>
      </c>
      <c r="H307">
        <v>1100</v>
      </c>
      <c r="I307">
        <v>0</v>
      </c>
      <c r="J307">
        <v>0</v>
      </c>
      <c r="K307">
        <v>1100</v>
      </c>
      <c r="L307">
        <v>770</v>
      </c>
      <c r="M307" s="9" t="str">
        <f>IF(ISERROR(VLOOKUP(B307,[1]작가별정산률!$R:$S,2,0)),"스토리위즈",VLOOKUP(B307,[1]작가별정산률!$R:$S,2,0))</f>
        <v>스토리위즈</v>
      </c>
      <c r="N307" s="9" t="str">
        <f>IF(M307="스토리위즈",VLOOKUP(B307,[1]작가별정산률!$A:$B,2,0),M307)</f>
        <v>진숙</v>
      </c>
    </row>
    <row r="308" spans="1:14">
      <c r="A308" t="s">
        <v>337</v>
      </c>
      <c r="B308" t="s">
        <v>338</v>
      </c>
      <c r="C308" t="s">
        <v>322</v>
      </c>
      <c r="D308" t="s">
        <v>13</v>
      </c>
      <c r="E308" t="s">
        <v>18</v>
      </c>
      <c r="F308">
        <v>1</v>
      </c>
      <c r="G308">
        <v>1000</v>
      </c>
      <c r="H308">
        <v>1000</v>
      </c>
      <c r="I308">
        <v>0</v>
      </c>
      <c r="J308">
        <v>0</v>
      </c>
      <c r="K308">
        <v>1000</v>
      </c>
      <c r="L308">
        <v>700</v>
      </c>
      <c r="M308" s="9" t="str">
        <f>IF(ISERROR(VLOOKUP(B308,[1]작가별정산률!$R:$S,2,0)),"스토리위즈",VLOOKUP(B308,[1]작가별정산률!$R:$S,2,0))</f>
        <v>스토리위즈</v>
      </c>
      <c r="N308" s="9" t="str">
        <f>IF(M308="스토리위즈",VLOOKUP(B308,[1]작가별정산률!$A:$B,2,0),M308)</f>
        <v>밈스</v>
      </c>
    </row>
    <row r="309" spans="1:14">
      <c r="A309" t="s">
        <v>339</v>
      </c>
      <c r="B309" t="s">
        <v>338</v>
      </c>
      <c r="C309" t="s">
        <v>322</v>
      </c>
      <c r="D309" t="s">
        <v>13</v>
      </c>
      <c r="E309" t="s">
        <v>18</v>
      </c>
      <c r="F309">
        <v>1</v>
      </c>
      <c r="G309">
        <v>1000</v>
      </c>
      <c r="H309">
        <v>1000</v>
      </c>
      <c r="I309">
        <v>0</v>
      </c>
      <c r="J309">
        <v>0</v>
      </c>
      <c r="K309">
        <v>1000</v>
      </c>
      <c r="L309">
        <v>700</v>
      </c>
      <c r="M309" s="9" t="str">
        <f>IF(ISERROR(VLOOKUP(B309,[1]작가별정산률!$R:$S,2,0)),"스토리위즈",VLOOKUP(B309,[1]작가별정산률!$R:$S,2,0))</f>
        <v>스토리위즈</v>
      </c>
      <c r="N309" s="9" t="str">
        <f>IF(M309="스토리위즈",VLOOKUP(B309,[1]작가별정산률!$A:$B,2,0),M309)</f>
        <v>밈스</v>
      </c>
    </row>
    <row r="310" spans="1:14">
      <c r="A310" t="s">
        <v>340</v>
      </c>
      <c r="B310" t="s">
        <v>338</v>
      </c>
      <c r="C310" t="s">
        <v>322</v>
      </c>
      <c r="D310" t="s">
        <v>13</v>
      </c>
      <c r="E310" t="s">
        <v>18</v>
      </c>
      <c r="F310">
        <v>1</v>
      </c>
      <c r="G310">
        <v>3800</v>
      </c>
      <c r="H310">
        <v>3800</v>
      </c>
      <c r="I310">
        <v>0</v>
      </c>
      <c r="J310">
        <v>0</v>
      </c>
      <c r="K310">
        <v>3800</v>
      </c>
      <c r="L310">
        <v>2660</v>
      </c>
      <c r="M310" s="9" t="str">
        <f>IF(ISERROR(VLOOKUP(B310,[1]작가별정산률!$R:$S,2,0)),"스토리위즈",VLOOKUP(B310,[1]작가별정산률!$R:$S,2,0))</f>
        <v>스토리위즈</v>
      </c>
      <c r="N310" s="9" t="str">
        <f>IF(M310="스토리위즈",VLOOKUP(B310,[1]작가별정산률!$A:$B,2,0),M310)</f>
        <v>밈스</v>
      </c>
    </row>
    <row r="311" spans="1:14">
      <c r="A311" t="s">
        <v>341</v>
      </c>
      <c r="B311" t="s">
        <v>338</v>
      </c>
      <c r="C311" t="s">
        <v>322</v>
      </c>
      <c r="D311" t="s">
        <v>13</v>
      </c>
      <c r="E311" t="s">
        <v>18</v>
      </c>
      <c r="F311">
        <v>1</v>
      </c>
      <c r="G311">
        <v>3800</v>
      </c>
      <c r="H311">
        <v>3800</v>
      </c>
      <c r="I311">
        <v>0</v>
      </c>
      <c r="J311">
        <v>0</v>
      </c>
      <c r="K311">
        <v>3800</v>
      </c>
      <c r="L311">
        <v>2660</v>
      </c>
      <c r="M311" s="9" t="str">
        <f>IF(ISERROR(VLOOKUP(B311,[1]작가별정산률!$R:$S,2,0)),"스토리위즈",VLOOKUP(B311,[1]작가별정산률!$R:$S,2,0))</f>
        <v>스토리위즈</v>
      </c>
      <c r="N311" s="9" t="str">
        <f>IF(M311="스토리위즈",VLOOKUP(B311,[1]작가별정산률!$A:$B,2,0),M311)</f>
        <v>밈스</v>
      </c>
    </row>
    <row r="312" spans="1:14">
      <c r="A312" t="s">
        <v>342</v>
      </c>
      <c r="B312" t="s">
        <v>338</v>
      </c>
      <c r="C312" t="s">
        <v>322</v>
      </c>
      <c r="D312" t="s">
        <v>13</v>
      </c>
      <c r="E312" t="s">
        <v>18</v>
      </c>
      <c r="F312">
        <v>1</v>
      </c>
      <c r="G312">
        <v>3800</v>
      </c>
      <c r="H312">
        <v>3800</v>
      </c>
      <c r="I312">
        <v>0</v>
      </c>
      <c r="J312">
        <v>0</v>
      </c>
      <c r="K312">
        <v>3800</v>
      </c>
      <c r="L312">
        <v>2660</v>
      </c>
      <c r="M312" s="9" t="str">
        <f>IF(ISERROR(VLOOKUP(B312,[1]작가별정산률!$R:$S,2,0)),"스토리위즈",VLOOKUP(B312,[1]작가별정산률!$R:$S,2,0))</f>
        <v>스토리위즈</v>
      </c>
      <c r="N312" s="9" t="str">
        <f>IF(M312="스토리위즈",VLOOKUP(B312,[1]작가별정산률!$A:$B,2,0),M312)</f>
        <v>밈스</v>
      </c>
    </row>
    <row r="313" spans="1:14">
      <c r="A313" t="s">
        <v>343</v>
      </c>
      <c r="B313" t="s">
        <v>338</v>
      </c>
      <c r="C313" t="s">
        <v>322</v>
      </c>
      <c r="D313" t="s">
        <v>13</v>
      </c>
      <c r="E313" t="s">
        <v>18</v>
      </c>
      <c r="F313">
        <v>1</v>
      </c>
      <c r="G313">
        <v>3800</v>
      </c>
      <c r="H313">
        <v>3800</v>
      </c>
      <c r="I313">
        <v>0</v>
      </c>
      <c r="J313">
        <v>0</v>
      </c>
      <c r="K313">
        <v>3800</v>
      </c>
      <c r="L313">
        <v>2660</v>
      </c>
      <c r="M313" s="9" t="str">
        <f>IF(ISERROR(VLOOKUP(B313,[1]작가별정산률!$R:$S,2,0)),"스토리위즈",VLOOKUP(B313,[1]작가별정산률!$R:$S,2,0))</f>
        <v>스토리위즈</v>
      </c>
      <c r="N313" s="9" t="str">
        <f>IF(M313="스토리위즈",VLOOKUP(B313,[1]작가별정산률!$A:$B,2,0),M313)</f>
        <v>밈스</v>
      </c>
    </row>
    <row r="314" spans="1:14">
      <c r="A314" t="s">
        <v>344</v>
      </c>
      <c r="B314" t="s">
        <v>345</v>
      </c>
      <c r="C314" t="s">
        <v>21</v>
      </c>
      <c r="D314" t="s">
        <v>13</v>
      </c>
      <c r="E314" t="s">
        <v>18</v>
      </c>
      <c r="F314">
        <v>1</v>
      </c>
      <c r="G314">
        <v>1500</v>
      </c>
      <c r="H314">
        <v>1500</v>
      </c>
      <c r="I314">
        <v>0</v>
      </c>
      <c r="J314">
        <v>0</v>
      </c>
      <c r="K314">
        <v>1500</v>
      </c>
      <c r="L314">
        <v>1050</v>
      </c>
      <c r="M314" s="9" t="str">
        <f>IF(ISERROR(VLOOKUP(B314,[1]작가별정산률!$R:$S,2,0)),"스토리위즈",VLOOKUP(B314,[1]작가별정산률!$R:$S,2,0))</f>
        <v>스토리위즈</v>
      </c>
      <c r="N314" s="9" t="str">
        <f>IF(M314="스토리위즈",VLOOKUP(B314,[1]작가별정산률!$A:$B,2,0),M314)</f>
        <v>윈델</v>
      </c>
    </row>
    <row r="315" spans="1:14">
      <c r="A315" t="s">
        <v>346</v>
      </c>
      <c r="B315" t="s">
        <v>345</v>
      </c>
      <c r="C315" t="s">
        <v>21</v>
      </c>
      <c r="D315" t="s">
        <v>13</v>
      </c>
      <c r="E315" t="s">
        <v>18</v>
      </c>
      <c r="F315">
        <v>1</v>
      </c>
      <c r="G315">
        <v>1500</v>
      </c>
      <c r="H315">
        <v>1500</v>
      </c>
      <c r="I315">
        <v>0</v>
      </c>
      <c r="J315">
        <v>0</v>
      </c>
      <c r="K315">
        <v>1500</v>
      </c>
      <c r="L315">
        <v>1050</v>
      </c>
      <c r="M315" s="9" t="str">
        <f>IF(ISERROR(VLOOKUP(B315,[1]작가별정산률!$R:$S,2,0)),"스토리위즈",VLOOKUP(B315,[1]작가별정산률!$R:$S,2,0))</f>
        <v>스토리위즈</v>
      </c>
      <c r="N315" s="9" t="str">
        <f>IF(M315="스토리위즈",VLOOKUP(B315,[1]작가별정산률!$A:$B,2,0),M315)</f>
        <v>윈델</v>
      </c>
    </row>
    <row r="316" spans="1:14">
      <c r="A316" t="s">
        <v>347</v>
      </c>
      <c r="B316" t="s">
        <v>345</v>
      </c>
      <c r="C316" t="s">
        <v>21</v>
      </c>
      <c r="D316" t="s">
        <v>13</v>
      </c>
      <c r="E316" t="s">
        <v>18</v>
      </c>
      <c r="F316">
        <v>1</v>
      </c>
      <c r="G316">
        <v>3500</v>
      </c>
      <c r="H316">
        <v>3500</v>
      </c>
      <c r="I316">
        <v>0</v>
      </c>
      <c r="J316">
        <v>0</v>
      </c>
      <c r="K316">
        <v>3500</v>
      </c>
      <c r="L316">
        <v>2450</v>
      </c>
      <c r="M316" s="9" t="str">
        <f>IF(ISERROR(VLOOKUP(B316,[1]작가별정산률!$R:$S,2,0)),"스토리위즈",VLOOKUP(B316,[1]작가별정산률!$R:$S,2,0))</f>
        <v>스토리위즈</v>
      </c>
      <c r="N316" s="9" t="str">
        <f>IF(M316="스토리위즈",VLOOKUP(B316,[1]작가별정산률!$A:$B,2,0),M316)</f>
        <v>윈델</v>
      </c>
    </row>
    <row r="317" spans="1:14">
      <c r="A317" t="s">
        <v>348</v>
      </c>
      <c r="B317" t="s">
        <v>345</v>
      </c>
      <c r="C317" t="s">
        <v>21</v>
      </c>
      <c r="D317" t="s">
        <v>13</v>
      </c>
      <c r="E317" t="s">
        <v>18</v>
      </c>
      <c r="F317">
        <v>1</v>
      </c>
      <c r="G317">
        <v>3500</v>
      </c>
      <c r="H317">
        <v>3500</v>
      </c>
      <c r="I317">
        <v>0</v>
      </c>
      <c r="J317">
        <v>0</v>
      </c>
      <c r="K317">
        <v>3500</v>
      </c>
      <c r="L317">
        <v>2450</v>
      </c>
      <c r="M317" s="9" t="str">
        <f>IF(ISERROR(VLOOKUP(B317,[1]작가별정산률!$R:$S,2,0)),"스토리위즈",VLOOKUP(B317,[1]작가별정산률!$R:$S,2,0))</f>
        <v>스토리위즈</v>
      </c>
      <c r="N317" s="9" t="str">
        <f>IF(M317="스토리위즈",VLOOKUP(B317,[1]작가별정산률!$A:$B,2,0),M317)</f>
        <v>윈델</v>
      </c>
    </row>
    <row r="318" spans="1:14">
      <c r="A318" t="s">
        <v>349</v>
      </c>
      <c r="B318" t="s">
        <v>345</v>
      </c>
      <c r="C318" t="s">
        <v>21</v>
      </c>
      <c r="D318" t="s">
        <v>13</v>
      </c>
      <c r="E318" t="s">
        <v>18</v>
      </c>
      <c r="F318">
        <v>1</v>
      </c>
      <c r="G318">
        <v>3500</v>
      </c>
      <c r="H318">
        <v>3500</v>
      </c>
      <c r="I318">
        <v>0</v>
      </c>
      <c r="J318">
        <v>0</v>
      </c>
      <c r="K318">
        <v>3500</v>
      </c>
      <c r="L318">
        <v>2450</v>
      </c>
      <c r="M318" s="9" t="str">
        <f>IF(ISERROR(VLOOKUP(B318,[1]작가별정산률!$R:$S,2,0)),"스토리위즈",VLOOKUP(B318,[1]작가별정산률!$R:$S,2,0))</f>
        <v>스토리위즈</v>
      </c>
      <c r="N318" s="9" t="str">
        <f>IF(M318="스토리위즈",VLOOKUP(B318,[1]작가별정산률!$A:$B,2,0),M318)</f>
        <v>윈델</v>
      </c>
    </row>
    <row r="319" spans="1:14">
      <c r="A319" t="s">
        <v>350</v>
      </c>
      <c r="B319" t="s">
        <v>345</v>
      </c>
      <c r="C319" t="s">
        <v>21</v>
      </c>
      <c r="D319" t="s">
        <v>13</v>
      </c>
      <c r="E319" t="s">
        <v>18</v>
      </c>
      <c r="F319">
        <v>1</v>
      </c>
      <c r="G319">
        <v>3500</v>
      </c>
      <c r="H319">
        <v>3500</v>
      </c>
      <c r="I319">
        <v>0</v>
      </c>
      <c r="J319">
        <v>0</v>
      </c>
      <c r="K319">
        <v>3500</v>
      </c>
      <c r="L319">
        <v>2450</v>
      </c>
      <c r="M319" s="9" t="str">
        <f>IF(ISERROR(VLOOKUP(B319,[1]작가별정산률!$R:$S,2,0)),"스토리위즈",VLOOKUP(B319,[1]작가별정산률!$R:$S,2,0))</f>
        <v>스토리위즈</v>
      </c>
      <c r="N319" s="9" t="str">
        <f>IF(M319="스토리위즈",VLOOKUP(B319,[1]작가별정산률!$A:$B,2,0),M319)</f>
        <v>윈델</v>
      </c>
    </row>
    <row r="320" spans="1:14">
      <c r="A320" t="s">
        <v>351</v>
      </c>
      <c r="B320" t="s">
        <v>345</v>
      </c>
      <c r="C320" t="s">
        <v>21</v>
      </c>
      <c r="D320" t="s">
        <v>13</v>
      </c>
      <c r="E320" t="s">
        <v>18</v>
      </c>
      <c r="F320">
        <v>1</v>
      </c>
      <c r="G320">
        <v>3500</v>
      </c>
      <c r="H320">
        <v>3500</v>
      </c>
      <c r="I320">
        <v>0</v>
      </c>
      <c r="J320">
        <v>0</v>
      </c>
      <c r="K320">
        <v>3500</v>
      </c>
      <c r="L320">
        <v>2450</v>
      </c>
      <c r="M320" s="9" t="str">
        <f>IF(ISERROR(VLOOKUP(B320,[1]작가별정산률!$R:$S,2,0)),"스토리위즈",VLOOKUP(B320,[1]작가별정산률!$R:$S,2,0))</f>
        <v>스토리위즈</v>
      </c>
      <c r="N320" s="9" t="str">
        <f>IF(M320="스토리위즈",VLOOKUP(B320,[1]작가별정산률!$A:$B,2,0),M320)</f>
        <v>윈델</v>
      </c>
    </row>
    <row r="321" spans="1:14">
      <c r="A321" t="s">
        <v>352</v>
      </c>
      <c r="B321" t="s">
        <v>345</v>
      </c>
      <c r="C321" t="s">
        <v>21</v>
      </c>
      <c r="D321" t="s">
        <v>13</v>
      </c>
      <c r="E321" t="s">
        <v>18</v>
      </c>
      <c r="F321">
        <v>1</v>
      </c>
      <c r="G321">
        <v>3500</v>
      </c>
      <c r="H321">
        <v>3500</v>
      </c>
      <c r="I321">
        <v>0</v>
      </c>
      <c r="J321">
        <v>0</v>
      </c>
      <c r="K321">
        <v>3500</v>
      </c>
      <c r="L321">
        <v>2450</v>
      </c>
      <c r="M321" s="9" t="str">
        <f>IF(ISERROR(VLOOKUP(B321,[1]작가별정산률!$R:$S,2,0)),"스토리위즈",VLOOKUP(B321,[1]작가별정산률!$R:$S,2,0))</f>
        <v>스토리위즈</v>
      </c>
      <c r="N321" s="9" t="str">
        <f>IF(M321="스토리위즈",VLOOKUP(B321,[1]작가별정산률!$A:$B,2,0),M321)</f>
        <v>윈델</v>
      </c>
    </row>
    <row r="322" spans="1:14">
      <c r="A322" t="s">
        <v>353</v>
      </c>
      <c r="B322" t="s">
        <v>345</v>
      </c>
      <c r="C322" t="s">
        <v>21</v>
      </c>
      <c r="D322" t="s">
        <v>13</v>
      </c>
      <c r="E322" t="s">
        <v>18</v>
      </c>
      <c r="F322">
        <v>1</v>
      </c>
      <c r="G322">
        <v>3500</v>
      </c>
      <c r="H322">
        <v>3500</v>
      </c>
      <c r="I322">
        <v>0</v>
      </c>
      <c r="J322">
        <v>0</v>
      </c>
      <c r="K322">
        <v>3500</v>
      </c>
      <c r="L322">
        <v>2450</v>
      </c>
      <c r="M322" s="9" t="str">
        <f>IF(ISERROR(VLOOKUP(B322,[1]작가별정산률!$R:$S,2,0)),"스토리위즈",VLOOKUP(B322,[1]작가별정산률!$R:$S,2,0))</f>
        <v>스토리위즈</v>
      </c>
      <c r="N322" s="9" t="str">
        <f>IF(M322="스토리위즈",VLOOKUP(B322,[1]작가별정산률!$A:$B,2,0),M322)</f>
        <v>윈델</v>
      </c>
    </row>
    <row r="323" spans="1:14">
      <c r="A323" t="s">
        <v>354</v>
      </c>
      <c r="B323" t="s">
        <v>345</v>
      </c>
      <c r="C323" t="s">
        <v>21</v>
      </c>
      <c r="D323" t="s">
        <v>13</v>
      </c>
      <c r="E323" t="s">
        <v>18</v>
      </c>
      <c r="F323">
        <v>1</v>
      </c>
      <c r="G323">
        <v>3500</v>
      </c>
      <c r="H323">
        <v>3500</v>
      </c>
      <c r="I323">
        <v>0</v>
      </c>
      <c r="J323">
        <v>0</v>
      </c>
      <c r="K323">
        <v>3500</v>
      </c>
      <c r="L323">
        <v>2450</v>
      </c>
      <c r="M323" s="9" t="str">
        <f>IF(ISERROR(VLOOKUP(B323,[1]작가별정산률!$R:$S,2,0)),"스토리위즈",VLOOKUP(B323,[1]작가별정산률!$R:$S,2,0))</f>
        <v>스토리위즈</v>
      </c>
      <c r="N323" s="9" t="str">
        <f>IF(M323="스토리위즈",VLOOKUP(B323,[1]작가별정산률!$A:$B,2,0),M323)</f>
        <v>윈델</v>
      </c>
    </row>
    <row r="324" spans="1:14">
      <c r="A324" t="s">
        <v>355</v>
      </c>
      <c r="B324" t="s">
        <v>345</v>
      </c>
      <c r="C324" t="s">
        <v>21</v>
      </c>
      <c r="D324" t="s">
        <v>13</v>
      </c>
      <c r="E324" t="s">
        <v>18</v>
      </c>
      <c r="F324">
        <v>1</v>
      </c>
      <c r="G324">
        <v>3500</v>
      </c>
      <c r="H324">
        <v>3500</v>
      </c>
      <c r="I324">
        <v>0</v>
      </c>
      <c r="J324">
        <v>0</v>
      </c>
      <c r="K324">
        <v>3500</v>
      </c>
      <c r="L324">
        <v>2450</v>
      </c>
      <c r="M324" s="9" t="str">
        <f>IF(ISERROR(VLOOKUP(B324,[1]작가별정산률!$R:$S,2,0)),"스토리위즈",VLOOKUP(B324,[1]작가별정산률!$R:$S,2,0))</f>
        <v>스토리위즈</v>
      </c>
      <c r="N324" s="9" t="str">
        <f>IF(M324="스토리위즈",VLOOKUP(B324,[1]작가별정산률!$A:$B,2,0),M324)</f>
        <v>윈델</v>
      </c>
    </row>
    <row r="325" spans="1:14">
      <c r="A325" t="s">
        <v>356</v>
      </c>
      <c r="B325" t="s">
        <v>345</v>
      </c>
      <c r="C325" t="s">
        <v>21</v>
      </c>
      <c r="D325" t="s">
        <v>13</v>
      </c>
      <c r="E325" t="s">
        <v>18</v>
      </c>
      <c r="F325">
        <v>1</v>
      </c>
      <c r="G325">
        <v>3500</v>
      </c>
      <c r="H325">
        <v>3500</v>
      </c>
      <c r="I325">
        <v>0</v>
      </c>
      <c r="J325">
        <v>0</v>
      </c>
      <c r="K325">
        <v>3500</v>
      </c>
      <c r="L325">
        <v>2450</v>
      </c>
      <c r="M325" s="9" t="str">
        <f>IF(ISERROR(VLOOKUP(B325,[1]작가별정산률!$R:$S,2,0)),"스토리위즈",VLOOKUP(B325,[1]작가별정산률!$R:$S,2,0))</f>
        <v>스토리위즈</v>
      </c>
      <c r="N325" s="9" t="str">
        <f>IF(M325="스토리위즈",VLOOKUP(B325,[1]작가별정산률!$A:$B,2,0),M325)</f>
        <v>윈델</v>
      </c>
    </row>
    <row r="326" spans="1:14">
      <c r="A326" t="s">
        <v>357</v>
      </c>
      <c r="B326" t="s">
        <v>345</v>
      </c>
      <c r="C326" t="s">
        <v>21</v>
      </c>
      <c r="D326" t="s">
        <v>13</v>
      </c>
      <c r="E326" t="s">
        <v>18</v>
      </c>
      <c r="F326">
        <v>1</v>
      </c>
      <c r="G326">
        <v>3500</v>
      </c>
      <c r="H326">
        <v>3500</v>
      </c>
      <c r="I326">
        <v>0</v>
      </c>
      <c r="J326">
        <v>0</v>
      </c>
      <c r="K326">
        <v>3500</v>
      </c>
      <c r="L326">
        <v>2450</v>
      </c>
      <c r="M326" s="9" t="str">
        <f>IF(ISERROR(VLOOKUP(B326,[1]작가별정산률!$R:$S,2,0)),"스토리위즈",VLOOKUP(B326,[1]작가별정산률!$R:$S,2,0))</f>
        <v>스토리위즈</v>
      </c>
      <c r="N326" s="9" t="str">
        <f>IF(M326="스토리위즈",VLOOKUP(B326,[1]작가별정산률!$A:$B,2,0),M326)</f>
        <v>윈델</v>
      </c>
    </row>
    <row r="327" spans="1:14">
      <c r="A327" t="s">
        <v>358</v>
      </c>
      <c r="B327" t="s">
        <v>345</v>
      </c>
      <c r="C327" t="s">
        <v>21</v>
      </c>
      <c r="D327" t="s">
        <v>13</v>
      </c>
      <c r="E327" t="s">
        <v>18</v>
      </c>
      <c r="F327">
        <v>1</v>
      </c>
      <c r="G327">
        <v>3500</v>
      </c>
      <c r="H327">
        <v>3500</v>
      </c>
      <c r="I327">
        <v>0</v>
      </c>
      <c r="J327">
        <v>0</v>
      </c>
      <c r="K327">
        <v>3500</v>
      </c>
      <c r="L327">
        <v>2450</v>
      </c>
      <c r="M327" s="9" t="str">
        <f>IF(ISERROR(VLOOKUP(B327,[1]작가별정산률!$R:$S,2,0)),"스토리위즈",VLOOKUP(B327,[1]작가별정산률!$R:$S,2,0))</f>
        <v>스토리위즈</v>
      </c>
      <c r="N327" s="9" t="str">
        <f>IF(M327="스토리위즈",VLOOKUP(B327,[1]작가별정산률!$A:$B,2,0),M327)</f>
        <v>윈델</v>
      </c>
    </row>
    <row r="328" spans="1:14">
      <c r="A328" t="s">
        <v>359</v>
      </c>
      <c r="B328" t="s">
        <v>360</v>
      </c>
      <c r="C328" t="s">
        <v>322</v>
      </c>
      <c r="D328" t="s">
        <v>13</v>
      </c>
      <c r="E328" t="s">
        <v>18</v>
      </c>
      <c r="F328">
        <v>1</v>
      </c>
      <c r="G328">
        <v>1000</v>
      </c>
      <c r="H328">
        <v>1000</v>
      </c>
      <c r="I328">
        <v>0</v>
      </c>
      <c r="J328">
        <v>0</v>
      </c>
      <c r="K328">
        <v>1000</v>
      </c>
      <c r="L328">
        <v>700</v>
      </c>
      <c r="M328" s="9" t="str">
        <f>IF(ISERROR(VLOOKUP(B328,[1]작가별정산률!$R:$S,2,0)),"스토리위즈",VLOOKUP(B328,[1]작가별정산률!$R:$S,2,0))</f>
        <v>스토리위즈</v>
      </c>
      <c r="N328" s="9" t="str">
        <f>IF(M328="스토리위즈",VLOOKUP(B328,[1]작가별정산률!$A:$B,2,0),M328)</f>
        <v>스내치</v>
      </c>
    </row>
    <row r="329" spans="1:14">
      <c r="A329" t="s">
        <v>361</v>
      </c>
      <c r="B329" t="s">
        <v>360</v>
      </c>
      <c r="C329" t="s">
        <v>322</v>
      </c>
      <c r="D329" t="s">
        <v>13</v>
      </c>
      <c r="E329" t="s">
        <v>18</v>
      </c>
      <c r="F329">
        <v>1</v>
      </c>
      <c r="G329">
        <v>3800</v>
      </c>
      <c r="H329">
        <v>3800</v>
      </c>
      <c r="I329">
        <v>0</v>
      </c>
      <c r="J329">
        <v>0</v>
      </c>
      <c r="K329">
        <v>3800</v>
      </c>
      <c r="L329">
        <v>2660</v>
      </c>
      <c r="M329" s="9" t="str">
        <f>IF(ISERROR(VLOOKUP(B329,[1]작가별정산률!$R:$S,2,0)),"스토리위즈",VLOOKUP(B329,[1]작가별정산률!$R:$S,2,0))</f>
        <v>스토리위즈</v>
      </c>
      <c r="N329" s="9" t="str">
        <f>IF(M329="스토리위즈",VLOOKUP(B329,[1]작가별정산률!$A:$B,2,0),M329)</f>
        <v>스내치</v>
      </c>
    </row>
    <row r="330" spans="1:14">
      <c r="A330" t="s">
        <v>362</v>
      </c>
      <c r="B330" t="s">
        <v>360</v>
      </c>
      <c r="C330" t="s">
        <v>322</v>
      </c>
      <c r="D330" t="s">
        <v>13</v>
      </c>
      <c r="E330" t="s">
        <v>18</v>
      </c>
      <c r="F330">
        <v>1</v>
      </c>
      <c r="G330">
        <v>3800</v>
      </c>
      <c r="H330">
        <v>3800</v>
      </c>
      <c r="I330">
        <v>0</v>
      </c>
      <c r="J330">
        <v>0</v>
      </c>
      <c r="K330">
        <v>3800</v>
      </c>
      <c r="L330">
        <v>2660</v>
      </c>
      <c r="M330" s="9" t="str">
        <f>IF(ISERROR(VLOOKUP(B330,[1]작가별정산률!$R:$S,2,0)),"스토리위즈",VLOOKUP(B330,[1]작가별정산률!$R:$S,2,0))</f>
        <v>스토리위즈</v>
      </c>
      <c r="N330" s="9" t="str">
        <f>IF(M330="스토리위즈",VLOOKUP(B330,[1]작가별정산률!$A:$B,2,0),M330)</f>
        <v>스내치</v>
      </c>
    </row>
    <row r="331" spans="1:14">
      <c r="A331" t="s">
        <v>363</v>
      </c>
      <c r="B331" t="s">
        <v>364</v>
      </c>
      <c r="C331" t="s">
        <v>322</v>
      </c>
      <c r="D331" t="s">
        <v>13</v>
      </c>
      <c r="E331" t="s">
        <v>18</v>
      </c>
      <c r="F331">
        <v>5</v>
      </c>
      <c r="G331">
        <v>3800</v>
      </c>
      <c r="H331">
        <v>19000</v>
      </c>
      <c r="I331">
        <v>0</v>
      </c>
      <c r="J331">
        <v>0</v>
      </c>
      <c r="K331">
        <v>19000</v>
      </c>
      <c r="L331">
        <v>13300</v>
      </c>
      <c r="M331" s="9" t="str">
        <f>IF(ISERROR(VLOOKUP(B331,[1]작가별정산률!$R:$S,2,0)),"스토리위즈",VLOOKUP(B331,[1]작가별정산률!$R:$S,2,0))</f>
        <v>스토리위즈</v>
      </c>
      <c r="N331" s="9" t="str">
        <f>IF(M331="스토리위즈",VLOOKUP(B331,[1]작가별정산률!$A:$B,2,0),M331)</f>
        <v>블랙커피</v>
      </c>
    </row>
    <row r="332" spans="1:14">
      <c r="A332" t="s">
        <v>365</v>
      </c>
      <c r="B332" t="s">
        <v>364</v>
      </c>
      <c r="C332" t="s">
        <v>322</v>
      </c>
      <c r="D332" t="s">
        <v>13</v>
      </c>
      <c r="E332" t="s">
        <v>18</v>
      </c>
      <c r="F332">
        <v>5</v>
      </c>
      <c r="G332">
        <v>300</v>
      </c>
      <c r="H332">
        <v>1500</v>
      </c>
      <c r="I332">
        <v>0</v>
      </c>
      <c r="J332">
        <v>0</v>
      </c>
      <c r="K332">
        <v>1500</v>
      </c>
      <c r="L332">
        <v>1050</v>
      </c>
      <c r="M332" s="9" t="str">
        <f>IF(ISERROR(VLOOKUP(B332,[1]작가별정산률!$R:$S,2,0)),"스토리위즈",VLOOKUP(B332,[1]작가별정산률!$R:$S,2,0))</f>
        <v>스토리위즈</v>
      </c>
      <c r="N332" s="9" t="str">
        <f>IF(M332="스토리위즈",VLOOKUP(B332,[1]작가별정산률!$A:$B,2,0),M332)</f>
        <v>블랙커피</v>
      </c>
    </row>
    <row r="333" spans="1:14">
      <c r="A333" t="s">
        <v>366</v>
      </c>
      <c r="B333" t="s">
        <v>364</v>
      </c>
      <c r="C333" t="s">
        <v>322</v>
      </c>
      <c r="D333" t="s">
        <v>13</v>
      </c>
      <c r="E333" t="s">
        <v>18</v>
      </c>
      <c r="F333">
        <v>5</v>
      </c>
      <c r="G333">
        <v>2500</v>
      </c>
      <c r="H333">
        <v>12500</v>
      </c>
      <c r="I333">
        <v>0</v>
      </c>
      <c r="J333">
        <v>0</v>
      </c>
      <c r="K333">
        <v>12500</v>
      </c>
      <c r="L333">
        <v>8750</v>
      </c>
      <c r="M333" s="9" t="str">
        <f>IF(ISERROR(VLOOKUP(B333,[1]작가별정산률!$R:$S,2,0)),"스토리위즈",VLOOKUP(B333,[1]작가별정산률!$R:$S,2,0))</f>
        <v>스토리위즈</v>
      </c>
      <c r="N333" s="9" t="str">
        <f>IF(M333="스토리위즈",VLOOKUP(B333,[1]작가별정산률!$A:$B,2,0),M333)</f>
        <v>블랙커피</v>
      </c>
    </row>
    <row r="334" spans="1:14">
      <c r="A334" t="s">
        <v>367</v>
      </c>
      <c r="B334" t="s">
        <v>364</v>
      </c>
      <c r="C334" t="s">
        <v>322</v>
      </c>
      <c r="D334" t="s">
        <v>13</v>
      </c>
      <c r="E334" t="s">
        <v>18</v>
      </c>
      <c r="F334">
        <v>1</v>
      </c>
      <c r="G334">
        <v>2500</v>
      </c>
      <c r="H334">
        <v>2500</v>
      </c>
      <c r="I334">
        <v>0</v>
      </c>
      <c r="J334">
        <v>0</v>
      </c>
      <c r="K334">
        <v>2500</v>
      </c>
      <c r="L334">
        <v>1750</v>
      </c>
      <c r="M334" s="9" t="str">
        <f>IF(ISERROR(VLOOKUP(B334,[1]작가별정산률!$R:$S,2,0)),"스토리위즈",VLOOKUP(B334,[1]작가별정산률!$R:$S,2,0))</f>
        <v>스토리위즈</v>
      </c>
      <c r="N334" s="9" t="str">
        <f>IF(M334="스토리위즈",VLOOKUP(B334,[1]작가별정산률!$A:$B,2,0),M334)</f>
        <v>블랙커피</v>
      </c>
    </row>
    <row r="335" spans="1:14">
      <c r="A335" t="s">
        <v>368</v>
      </c>
      <c r="B335" t="s">
        <v>364</v>
      </c>
      <c r="C335" t="s">
        <v>322</v>
      </c>
      <c r="D335" t="s">
        <v>13</v>
      </c>
      <c r="E335" t="s">
        <v>18</v>
      </c>
      <c r="F335">
        <v>5</v>
      </c>
      <c r="G335">
        <v>2500</v>
      </c>
      <c r="H335">
        <v>12500</v>
      </c>
      <c r="I335">
        <v>0</v>
      </c>
      <c r="J335">
        <v>0</v>
      </c>
      <c r="K335">
        <v>12500</v>
      </c>
      <c r="L335">
        <v>8750</v>
      </c>
      <c r="M335" s="9" t="str">
        <f>IF(ISERROR(VLOOKUP(B335,[1]작가별정산률!$R:$S,2,0)),"스토리위즈",VLOOKUP(B335,[1]작가별정산률!$R:$S,2,0))</f>
        <v>스토리위즈</v>
      </c>
      <c r="N335" s="9" t="str">
        <f>IF(M335="스토리위즈",VLOOKUP(B335,[1]작가별정산률!$A:$B,2,0),M335)</f>
        <v>블랙커피</v>
      </c>
    </row>
    <row r="336" spans="1:14">
      <c r="A336" t="s">
        <v>369</v>
      </c>
      <c r="B336" t="s">
        <v>332</v>
      </c>
      <c r="C336" t="s">
        <v>322</v>
      </c>
      <c r="D336" t="s">
        <v>13</v>
      </c>
      <c r="E336" t="s">
        <v>18</v>
      </c>
      <c r="F336">
        <v>1</v>
      </c>
      <c r="G336">
        <v>1000</v>
      </c>
      <c r="H336">
        <v>1000</v>
      </c>
      <c r="I336">
        <v>0</v>
      </c>
      <c r="J336">
        <v>0</v>
      </c>
      <c r="K336">
        <v>1000</v>
      </c>
      <c r="L336">
        <v>700</v>
      </c>
      <c r="M336" s="9" t="str">
        <f>IF(ISERROR(VLOOKUP(B336,[1]작가별정산률!$R:$S,2,0)),"스토리위즈",VLOOKUP(B336,[1]작가별정산률!$R:$S,2,0))</f>
        <v>스토리위즈</v>
      </c>
      <c r="N336" s="9" t="str">
        <f>IF(M336="스토리위즈",VLOOKUP(B336,[1]작가별정산률!$A:$B,2,0),M336)</f>
        <v>차홍주</v>
      </c>
    </row>
    <row r="337" spans="1:14">
      <c r="A337" t="s">
        <v>370</v>
      </c>
      <c r="B337" t="s">
        <v>332</v>
      </c>
      <c r="C337" t="s">
        <v>322</v>
      </c>
      <c r="D337" t="s">
        <v>13</v>
      </c>
      <c r="E337" t="s">
        <v>18</v>
      </c>
      <c r="F337">
        <v>1</v>
      </c>
      <c r="G337">
        <v>3500</v>
      </c>
      <c r="H337">
        <v>3500</v>
      </c>
      <c r="I337">
        <v>0</v>
      </c>
      <c r="J337">
        <v>0</v>
      </c>
      <c r="K337">
        <v>3500</v>
      </c>
      <c r="L337">
        <v>2450</v>
      </c>
      <c r="M337" s="9" t="str">
        <f>IF(ISERROR(VLOOKUP(B337,[1]작가별정산률!$R:$S,2,0)),"스토리위즈",VLOOKUP(B337,[1]작가별정산률!$R:$S,2,0))</f>
        <v>스토리위즈</v>
      </c>
      <c r="N337" s="9" t="str">
        <f>IF(M337="스토리위즈",VLOOKUP(B337,[1]작가별정산률!$A:$B,2,0),M337)</f>
        <v>차홍주</v>
      </c>
    </row>
    <row r="338" spans="1:14">
      <c r="A338" t="s">
        <v>371</v>
      </c>
      <c r="B338" t="s">
        <v>332</v>
      </c>
      <c r="C338" t="s">
        <v>322</v>
      </c>
      <c r="D338" t="s">
        <v>13</v>
      </c>
      <c r="E338" t="s">
        <v>18</v>
      </c>
      <c r="F338">
        <v>1</v>
      </c>
      <c r="G338">
        <v>3500</v>
      </c>
      <c r="H338">
        <v>3500</v>
      </c>
      <c r="I338">
        <v>0</v>
      </c>
      <c r="J338">
        <v>0</v>
      </c>
      <c r="K338">
        <v>3500</v>
      </c>
      <c r="L338">
        <v>2450</v>
      </c>
      <c r="M338" s="9" t="str">
        <f>IF(ISERROR(VLOOKUP(B338,[1]작가별정산률!$R:$S,2,0)),"스토리위즈",VLOOKUP(B338,[1]작가별정산률!$R:$S,2,0))</f>
        <v>스토리위즈</v>
      </c>
      <c r="N338" s="9" t="str">
        <f>IF(M338="스토리위즈",VLOOKUP(B338,[1]작가별정산률!$A:$B,2,0),M338)</f>
        <v>차홍주</v>
      </c>
    </row>
    <row r="339" spans="1:14">
      <c r="A339" t="s">
        <v>372</v>
      </c>
      <c r="B339" t="s">
        <v>324</v>
      </c>
      <c r="C339" t="s">
        <v>322</v>
      </c>
      <c r="D339" t="s">
        <v>13</v>
      </c>
      <c r="E339" t="s">
        <v>18</v>
      </c>
      <c r="F339">
        <v>2</v>
      </c>
      <c r="G339">
        <v>300</v>
      </c>
      <c r="H339">
        <v>600</v>
      </c>
      <c r="I339">
        <v>0</v>
      </c>
      <c r="J339">
        <v>0</v>
      </c>
      <c r="K339">
        <v>600</v>
      </c>
      <c r="L339">
        <v>420</v>
      </c>
      <c r="M339" s="9" t="str">
        <f>IF(ISERROR(VLOOKUP(B339,[1]작가별정산률!$R:$S,2,0)),"스토리위즈",VLOOKUP(B339,[1]작가별정산률!$R:$S,2,0))</f>
        <v>스토리위즈</v>
      </c>
      <c r="N339" s="9" t="str">
        <f>IF(M339="스토리위즈",VLOOKUP(B339,[1]작가별정산률!$A:$B,2,0),M339)</f>
        <v>모리미</v>
      </c>
    </row>
    <row r="340" spans="1:14">
      <c r="A340" t="s">
        <v>373</v>
      </c>
      <c r="B340" t="s">
        <v>324</v>
      </c>
      <c r="C340" t="s">
        <v>322</v>
      </c>
      <c r="D340" t="s">
        <v>13</v>
      </c>
      <c r="E340" t="s">
        <v>18</v>
      </c>
      <c r="F340">
        <v>2</v>
      </c>
      <c r="G340">
        <v>2400</v>
      </c>
      <c r="H340">
        <v>4800</v>
      </c>
      <c r="I340">
        <v>0</v>
      </c>
      <c r="J340">
        <v>0</v>
      </c>
      <c r="K340">
        <v>4800</v>
      </c>
      <c r="L340">
        <v>3360</v>
      </c>
      <c r="M340" s="9" t="str">
        <f>IF(ISERROR(VLOOKUP(B340,[1]작가별정산률!$R:$S,2,0)),"스토리위즈",VLOOKUP(B340,[1]작가별정산률!$R:$S,2,0))</f>
        <v>스토리위즈</v>
      </c>
      <c r="N340" s="9" t="str">
        <f>IF(M340="스토리위즈",VLOOKUP(B340,[1]작가별정산률!$A:$B,2,0),M340)</f>
        <v>모리미</v>
      </c>
    </row>
    <row r="341" spans="1:14">
      <c r="A341" t="s">
        <v>374</v>
      </c>
      <c r="B341" t="s">
        <v>324</v>
      </c>
      <c r="C341" t="s">
        <v>322</v>
      </c>
      <c r="D341" t="s">
        <v>13</v>
      </c>
      <c r="E341" t="s">
        <v>18</v>
      </c>
      <c r="F341">
        <v>2</v>
      </c>
      <c r="G341">
        <v>2400</v>
      </c>
      <c r="H341">
        <v>4800</v>
      </c>
      <c r="I341">
        <v>0</v>
      </c>
      <c r="J341">
        <v>0</v>
      </c>
      <c r="K341">
        <v>4800</v>
      </c>
      <c r="L341">
        <v>3360</v>
      </c>
      <c r="M341" s="9" t="str">
        <f>IF(ISERROR(VLOOKUP(B341,[1]작가별정산률!$R:$S,2,0)),"스토리위즈",VLOOKUP(B341,[1]작가별정산률!$R:$S,2,0))</f>
        <v>스토리위즈</v>
      </c>
      <c r="N341" s="9" t="str">
        <f>IF(M341="스토리위즈",VLOOKUP(B341,[1]작가별정산률!$A:$B,2,0),M341)</f>
        <v>모리미</v>
      </c>
    </row>
    <row r="342" spans="1:14">
      <c r="A342" t="s">
        <v>375</v>
      </c>
      <c r="B342" t="s">
        <v>364</v>
      </c>
      <c r="C342" t="s">
        <v>322</v>
      </c>
      <c r="D342" t="s">
        <v>13</v>
      </c>
      <c r="E342" t="s">
        <v>18</v>
      </c>
      <c r="F342">
        <v>1</v>
      </c>
      <c r="G342">
        <v>4000</v>
      </c>
      <c r="H342">
        <v>4000</v>
      </c>
      <c r="I342">
        <v>0</v>
      </c>
      <c r="J342">
        <v>0</v>
      </c>
      <c r="K342">
        <v>4000</v>
      </c>
      <c r="L342">
        <v>2800</v>
      </c>
      <c r="M342" s="9" t="str">
        <f>IF(ISERROR(VLOOKUP(B342,[1]작가별정산률!$R:$S,2,0)),"스토리위즈",VLOOKUP(B342,[1]작가별정산률!$R:$S,2,0))</f>
        <v>스토리위즈</v>
      </c>
      <c r="N342" s="9" t="str">
        <f>IF(M342="스토리위즈",VLOOKUP(B342,[1]작가별정산률!$A:$B,2,0),M342)</f>
        <v>블랙커피</v>
      </c>
    </row>
    <row r="343" spans="1:14">
      <c r="A343" t="s">
        <v>376</v>
      </c>
      <c r="B343" t="s">
        <v>364</v>
      </c>
      <c r="C343" t="s">
        <v>322</v>
      </c>
      <c r="D343" t="s">
        <v>13</v>
      </c>
      <c r="E343" t="s">
        <v>18</v>
      </c>
      <c r="F343">
        <v>1</v>
      </c>
      <c r="G343">
        <v>4000</v>
      </c>
      <c r="H343">
        <v>4000</v>
      </c>
      <c r="I343">
        <v>0</v>
      </c>
      <c r="J343">
        <v>0</v>
      </c>
      <c r="K343">
        <v>4000</v>
      </c>
      <c r="L343">
        <v>2800</v>
      </c>
      <c r="M343" s="9" t="str">
        <f>IF(ISERROR(VLOOKUP(B343,[1]작가별정산률!$R:$S,2,0)),"스토리위즈",VLOOKUP(B343,[1]작가별정산률!$R:$S,2,0))</f>
        <v>스토리위즈</v>
      </c>
      <c r="N343" s="9" t="str">
        <f>IF(M343="스토리위즈",VLOOKUP(B343,[1]작가별정산률!$A:$B,2,0),M343)</f>
        <v>블랙커피</v>
      </c>
    </row>
    <row r="344" spans="1:14">
      <c r="A344" t="s">
        <v>377</v>
      </c>
      <c r="B344" t="s">
        <v>364</v>
      </c>
      <c r="C344" t="s">
        <v>322</v>
      </c>
      <c r="D344" t="s">
        <v>13</v>
      </c>
      <c r="E344" t="s">
        <v>18</v>
      </c>
      <c r="F344">
        <v>1</v>
      </c>
      <c r="G344">
        <v>4000</v>
      </c>
      <c r="H344">
        <v>4000</v>
      </c>
      <c r="I344">
        <v>0</v>
      </c>
      <c r="J344">
        <v>0</v>
      </c>
      <c r="K344">
        <v>4000</v>
      </c>
      <c r="L344">
        <v>2800</v>
      </c>
      <c r="M344" s="9" t="str">
        <f>IF(ISERROR(VLOOKUP(B344,[1]작가별정산률!$R:$S,2,0)),"스토리위즈",VLOOKUP(B344,[1]작가별정산률!$R:$S,2,0))</f>
        <v>스토리위즈</v>
      </c>
      <c r="N344" s="9" t="str">
        <f>IF(M344="스토리위즈",VLOOKUP(B344,[1]작가별정산률!$A:$B,2,0),M344)</f>
        <v>블랙커피</v>
      </c>
    </row>
    <row r="345" spans="1:14">
      <c r="A345" t="s">
        <v>378</v>
      </c>
      <c r="B345" t="s">
        <v>364</v>
      </c>
      <c r="C345" t="s">
        <v>322</v>
      </c>
      <c r="D345" t="s">
        <v>13</v>
      </c>
      <c r="E345" t="s">
        <v>18</v>
      </c>
      <c r="F345">
        <v>1</v>
      </c>
      <c r="G345">
        <v>4000</v>
      </c>
      <c r="H345">
        <v>4000</v>
      </c>
      <c r="I345">
        <v>0</v>
      </c>
      <c r="J345">
        <v>0</v>
      </c>
      <c r="K345">
        <v>4000</v>
      </c>
      <c r="L345">
        <v>2800</v>
      </c>
      <c r="M345" s="9" t="str">
        <f>IF(ISERROR(VLOOKUP(B345,[1]작가별정산률!$R:$S,2,0)),"스토리위즈",VLOOKUP(B345,[1]작가별정산률!$R:$S,2,0))</f>
        <v>스토리위즈</v>
      </c>
      <c r="N345" s="9" t="str">
        <f>IF(M345="스토리위즈",VLOOKUP(B345,[1]작가별정산률!$A:$B,2,0),M345)</f>
        <v>블랙커피</v>
      </c>
    </row>
    <row r="346" spans="1:14">
      <c r="A346" t="s">
        <v>379</v>
      </c>
      <c r="B346" t="s">
        <v>324</v>
      </c>
      <c r="C346" t="s">
        <v>322</v>
      </c>
      <c r="D346" t="s">
        <v>13</v>
      </c>
      <c r="E346" t="s">
        <v>18</v>
      </c>
      <c r="F346">
        <v>1</v>
      </c>
      <c r="G346">
        <v>400</v>
      </c>
      <c r="H346">
        <v>400</v>
      </c>
      <c r="I346">
        <v>0</v>
      </c>
      <c r="J346">
        <v>0</v>
      </c>
      <c r="K346">
        <v>400</v>
      </c>
      <c r="L346">
        <v>280</v>
      </c>
      <c r="M346" s="9" t="str">
        <f>IF(ISERROR(VLOOKUP(B346,[1]작가별정산률!$R:$S,2,0)),"스토리위즈",VLOOKUP(B346,[1]작가별정산률!$R:$S,2,0))</f>
        <v>스토리위즈</v>
      </c>
      <c r="N346" s="9" t="str">
        <f>IF(M346="스토리위즈",VLOOKUP(B346,[1]작가별정산률!$A:$B,2,0),M346)</f>
        <v>모리미</v>
      </c>
    </row>
    <row r="347" spans="1:14">
      <c r="A347" t="s">
        <v>380</v>
      </c>
      <c r="B347" t="s">
        <v>324</v>
      </c>
      <c r="C347" t="s">
        <v>322</v>
      </c>
      <c r="D347" t="s">
        <v>13</v>
      </c>
      <c r="E347" t="s">
        <v>18</v>
      </c>
      <c r="F347">
        <v>1</v>
      </c>
      <c r="G347">
        <v>400</v>
      </c>
      <c r="H347">
        <v>400</v>
      </c>
      <c r="I347">
        <v>0</v>
      </c>
      <c r="J347">
        <v>0</v>
      </c>
      <c r="K347">
        <v>400</v>
      </c>
      <c r="L347">
        <v>280</v>
      </c>
      <c r="M347" s="9" t="str">
        <f>IF(ISERROR(VLOOKUP(B347,[1]작가별정산률!$R:$S,2,0)),"스토리위즈",VLOOKUP(B347,[1]작가별정산률!$R:$S,2,0))</f>
        <v>스토리위즈</v>
      </c>
      <c r="N347" s="9" t="str">
        <f>IF(M347="스토리위즈",VLOOKUP(B347,[1]작가별정산률!$A:$B,2,0),M347)</f>
        <v>모리미</v>
      </c>
    </row>
    <row r="348" spans="1:14">
      <c r="A348" t="s">
        <v>381</v>
      </c>
      <c r="B348" t="s">
        <v>324</v>
      </c>
      <c r="C348" t="s">
        <v>322</v>
      </c>
      <c r="D348" t="s">
        <v>13</v>
      </c>
      <c r="E348" t="s">
        <v>18</v>
      </c>
      <c r="F348">
        <v>1</v>
      </c>
      <c r="G348">
        <v>3200</v>
      </c>
      <c r="H348">
        <v>3200</v>
      </c>
      <c r="I348">
        <v>0</v>
      </c>
      <c r="J348">
        <v>0</v>
      </c>
      <c r="K348">
        <v>3200</v>
      </c>
      <c r="L348">
        <v>2240</v>
      </c>
      <c r="M348" s="9" t="str">
        <f>IF(ISERROR(VLOOKUP(B348,[1]작가별정산률!$R:$S,2,0)),"스토리위즈",VLOOKUP(B348,[1]작가별정산률!$R:$S,2,0))</f>
        <v>스토리위즈</v>
      </c>
      <c r="N348" s="9" t="str">
        <f>IF(M348="스토리위즈",VLOOKUP(B348,[1]작가별정산률!$A:$B,2,0),M348)</f>
        <v>모리미</v>
      </c>
    </row>
    <row r="349" spans="1:14">
      <c r="A349" t="s">
        <v>382</v>
      </c>
      <c r="B349" t="s">
        <v>324</v>
      </c>
      <c r="C349" t="s">
        <v>322</v>
      </c>
      <c r="D349" t="s">
        <v>13</v>
      </c>
      <c r="E349" t="s">
        <v>18</v>
      </c>
      <c r="F349">
        <v>1</v>
      </c>
      <c r="G349">
        <v>3200</v>
      </c>
      <c r="H349">
        <v>3200</v>
      </c>
      <c r="I349">
        <v>0</v>
      </c>
      <c r="J349">
        <v>0</v>
      </c>
      <c r="K349">
        <v>3200</v>
      </c>
      <c r="L349">
        <v>2240</v>
      </c>
      <c r="M349" s="9" t="str">
        <f>IF(ISERROR(VLOOKUP(B349,[1]작가별정산률!$R:$S,2,0)),"스토리위즈",VLOOKUP(B349,[1]작가별정산률!$R:$S,2,0))</f>
        <v>스토리위즈</v>
      </c>
      <c r="N349" s="9" t="str">
        <f>IF(M349="스토리위즈",VLOOKUP(B349,[1]작가별정산률!$A:$B,2,0),M349)</f>
        <v>모리미</v>
      </c>
    </row>
    <row r="350" spans="1:14">
      <c r="A350" t="s">
        <v>383</v>
      </c>
      <c r="B350" t="s">
        <v>324</v>
      </c>
      <c r="C350" t="s">
        <v>322</v>
      </c>
      <c r="D350" t="s">
        <v>13</v>
      </c>
      <c r="E350" t="s">
        <v>18</v>
      </c>
      <c r="F350">
        <v>1</v>
      </c>
      <c r="G350">
        <v>3200</v>
      </c>
      <c r="H350">
        <v>3200</v>
      </c>
      <c r="I350">
        <v>0</v>
      </c>
      <c r="J350">
        <v>0</v>
      </c>
      <c r="K350">
        <v>3200</v>
      </c>
      <c r="L350">
        <v>2240</v>
      </c>
      <c r="M350" s="9" t="str">
        <f>IF(ISERROR(VLOOKUP(B350,[1]작가별정산률!$R:$S,2,0)),"스토리위즈",VLOOKUP(B350,[1]작가별정산률!$R:$S,2,0))</f>
        <v>스토리위즈</v>
      </c>
      <c r="N350" s="9" t="str">
        <f>IF(M350="스토리위즈",VLOOKUP(B350,[1]작가별정산률!$A:$B,2,0),M350)</f>
        <v>모리미</v>
      </c>
    </row>
    <row r="351" spans="1:14">
      <c r="A351" t="s">
        <v>384</v>
      </c>
      <c r="B351" t="s">
        <v>324</v>
      </c>
      <c r="C351" t="s">
        <v>322</v>
      </c>
      <c r="D351" t="s">
        <v>13</v>
      </c>
      <c r="E351" t="s">
        <v>18</v>
      </c>
      <c r="F351">
        <v>2</v>
      </c>
      <c r="G351">
        <v>3000</v>
      </c>
      <c r="H351">
        <v>6000</v>
      </c>
      <c r="I351">
        <v>0</v>
      </c>
      <c r="J351">
        <v>0</v>
      </c>
      <c r="K351">
        <v>6000</v>
      </c>
      <c r="L351">
        <v>4200</v>
      </c>
      <c r="M351" s="9" t="str">
        <f>IF(ISERROR(VLOOKUP(B351,[1]작가별정산률!$R:$S,2,0)),"스토리위즈",VLOOKUP(B351,[1]작가별정산률!$R:$S,2,0))</f>
        <v>스토리위즈</v>
      </c>
      <c r="N351" s="9" t="str">
        <f>IF(M351="스토리위즈",VLOOKUP(B351,[1]작가별정산률!$A:$B,2,0),M351)</f>
        <v>모리미</v>
      </c>
    </row>
    <row r="352" spans="1:14">
      <c r="A352" t="s">
        <v>385</v>
      </c>
      <c r="B352" t="s">
        <v>324</v>
      </c>
      <c r="C352" t="s">
        <v>322</v>
      </c>
      <c r="D352" t="s">
        <v>13</v>
      </c>
      <c r="E352" t="s">
        <v>18</v>
      </c>
      <c r="F352">
        <v>1</v>
      </c>
      <c r="G352">
        <v>3000</v>
      </c>
      <c r="H352">
        <v>3000</v>
      </c>
      <c r="I352">
        <v>0</v>
      </c>
      <c r="J352">
        <v>0</v>
      </c>
      <c r="K352">
        <v>3000</v>
      </c>
      <c r="L352">
        <v>2100</v>
      </c>
      <c r="M352" s="9" t="str">
        <f>IF(ISERROR(VLOOKUP(B352,[1]작가별정산률!$R:$S,2,0)),"스토리위즈",VLOOKUP(B352,[1]작가별정산률!$R:$S,2,0))</f>
        <v>스토리위즈</v>
      </c>
      <c r="N352" s="9" t="str">
        <f>IF(M352="스토리위즈",VLOOKUP(B352,[1]작가별정산률!$A:$B,2,0),M352)</f>
        <v>모리미</v>
      </c>
    </row>
    <row r="353" spans="1:14">
      <c r="A353" t="s">
        <v>386</v>
      </c>
      <c r="B353" t="s">
        <v>324</v>
      </c>
      <c r="C353" t="s">
        <v>322</v>
      </c>
      <c r="D353" t="s">
        <v>13</v>
      </c>
      <c r="E353" t="s">
        <v>18</v>
      </c>
      <c r="F353">
        <v>1</v>
      </c>
      <c r="G353">
        <v>3000</v>
      </c>
      <c r="H353">
        <v>3000</v>
      </c>
      <c r="I353">
        <v>0</v>
      </c>
      <c r="J353">
        <v>0</v>
      </c>
      <c r="K353">
        <v>3000</v>
      </c>
      <c r="L353">
        <v>2100</v>
      </c>
      <c r="M353" s="9" t="str">
        <f>IF(ISERROR(VLOOKUP(B353,[1]작가별정산률!$R:$S,2,0)),"스토리위즈",VLOOKUP(B353,[1]작가별정산률!$R:$S,2,0))</f>
        <v>스토리위즈</v>
      </c>
      <c r="N353" s="9" t="str">
        <f>IF(M353="스토리위즈",VLOOKUP(B353,[1]작가별정산률!$A:$B,2,0),M353)</f>
        <v>모리미</v>
      </c>
    </row>
    <row r="354" spans="1:14">
      <c r="A354" t="s">
        <v>387</v>
      </c>
      <c r="B354" t="s">
        <v>324</v>
      </c>
      <c r="C354" t="s">
        <v>322</v>
      </c>
      <c r="D354" t="s">
        <v>13</v>
      </c>
      <c r="E354" t="s">
        <v>18</v>
      </c>
      <c r="F354">
        <v>1</v>
      </c>
      <c r="G354">
        <v>3000</v>
      </c>
      <c r="H354">
        <v>3000</v>
      </c>
      <c r="I354">
        <v>0</v>
      </c>
      <c r="J354">
        <v>0</v>
      </c>
      <c r="K354">
        <v>3000</v>
      </c>
      <c r="L354">
        <v>2100</v>
      </c>
      <c r="M354" s="9" t="str">
        <f>IF(ISERROR(VLOOKUP(B354,[1]작가별정산률!$R:$S,2,0)),"스토리위즈",VLOOKUP(B354,[1]작가별정산률!$R:$S,2,0))</f>
        <v>스토리위즈</v>
      </c>
      <c r="N354" s="9" t="str">
        <f>IF(M354="스토리위즈",VLOOKUP(B354,[1]작가별정산률!$A:$B,2,0),M354)</f>
        <v>모리미</v>
      </c>
    </row>
    <row r="355" spans="1:14">
      <c r="A355" t="s">
        <v>388</v>
      </c>
      <c r="B355" t="s">
        <v>389</v>
      </c>
      <c r="C355" t="s">
        <v>322</v>
      </c>
      <c r="D355" t="s">
        <v>13</v>
      </c>
      <c r="E355" t="s">
        <v>18</v>
      </c>
      <c r="F355">
        <v>10</v>
      </c>
      <c r="G355">
        <v>2200</v>
      </c>
      <c r="H355">
        <v>22000</v>
      </c>
      <c r="I355">
        <v>0</v>
      </c>
      <c r="J355">
        <v>0</v>
      </c>
      <c r="K355">
        <v>22000</v>
      </c>
      <c r="L355">
        <v>15400</v>
      </c>
      <c r="M355" s="9" t="str">
        <f>IF(ISERROR(VLOOKUP(B355,[1]작가별정산률!$R:$S,2,0)),"스토리위즈",VLOOKUP(B355,[1]작가별정산률!$R:$S,2,0))</f>
        <v>스토리위즈</v>
      </c>
      <c r="N355" s="9" t="str">
        <f>IF(M355="스토리위즈",VLOOKUP(B355,[1]작가별정산률!$A:$B,2,0),M355)</f>
        <v>아슈크림</v>
      </c>
    </row>
    <row r="356" spans="1:14">
      <c r="A356" t="s">
        <v>390</v>
      </c>
      <c r="B356" t="s">
        <v>389</v>
      </c>
      <c r="C356" t="s">
        <v>322</v>
      </c>
      <c r="D356" t="s">
        <v>13</v>
      </c>
      <c r="E356" t="s">
        <v>18</v>
      </c>
      <c r="F356">
        <v>22</v>
      </c>
      <c r="G356">
        <v>2200</v>
      </c>
      <c r="H356">
        <v>48400</v>
      </c>
      <c r="I356">
        <v>0</v>
      </c>
      <c r="J356">
        <v>0</v>
      </c>
      <c r="K356">
        <v>48400</v>
      </c>
      <c r="L356">
        <v>33880</v>
      </c>
      <c r="M356" s="9" t="str">
        <f>IF(ISERROR(VLOOKUP(B356,[1]작가별정산률!$R:$S,2,0)),"스토리위즈",VLOOKUP(B356,[1]작가별정산률!$R:$S,2,0))</f>
        <v>스토리위즈</v>
      </c>
      <c r="N356" s="9" t="str">
        <f>IF(M356="스토리위즈",VLOOKUP(B356,[1]작가별정산률!$A:$B,2,0),M356)</f>
        <v>아슈크림</v>
      </c>
    </row>
    <row r="357" spans="1:14">
      <c r="A357" t="s">
        <v>391</v>
      </c>
      <c r="B357" t="s">
        <v>389</v>
      </c>
      <c r="C357" t="s">
        <v>322</v>
      </c>
      <c r="D357" t="s">
        <v>13</v>
      </c>
      <c r="E357" t="s">
        <v>18</v>
      </c>
      <c r="F357">
        <v>18</v>
      </c>
      <c r="G357">
        <v>2800</v>
      </c>
      <c r="H357">
        <v>50400</v>
      </c>
      <c r="I357">
        <v>0</v>
      </c>
      <c r="J357">
        <v>0</v>
      </c>
      <c r="K357">
        <v>50400</v>
      </c>
      <c r="L357">
        <v>35280</v>
      </c>
      <c r="M357" s="9" t="str">
        <f>IF(ISERROR(VLOOKUP(B357,[1]작가별정산률!$R:$S,2,0)),"스토리위즈",VLOOKUP(B357,[1]작가별정산률!$R:$S,2,0))</f>
        <v>스토리위즈</v>
      </c>
      <c r="N357" s="9" t="str">
        <f>IF(M357="스토리위즈",VLOOKUP(B357,[1]작가별정산률!$A:$B,2,0),M357)</f>
        <v>아슈크림</v>
      </c>
    </row>
    <row r="358" spans="1:14">
      <c r="A358" t="s">
        <v>392</v>
      </c>
      <c r="B358" t="s">
        <v>389</v>
      </c>
      <c r="C358" t="s">
        <v>322</v>
      </c>
      <c r="D358" t="s">
        <v>13</v>
      </c>
      <c r="E358" t="s">
        <v>18</v>
      </c>
      <c r="F358">
        <v>22</v>
      </c>
      <c r="G358">
        <v>2800</v>
      </c>
      <c r="H358">
        <v>61600</v>
      </c>
      <c r="I358">
        <v>0</v>
      </c>
      <c r="J358">
        <v>0</v>
      </c>
      <c r="K358">
        <v>61600</v>
      </c>
      <c r="L358">
        <v>43120</v>
      </c>
      <c r="M358" s="9" t="str">
        <f>IF(ISERROR(VLOOKUP(B358,[1]작가별정산률!$R:$S,2,0)),"스토리위즈",VLOOKUP(B358,[1]작가별정산률!$R:$S,2,0))</f>
        <v>스토리위즈</v>
      </c>
      <c r="N358" s="9" t="str">
        <f>IF(M358="스토리위즈",VLOOKUP(B358,[1]작가별정산률!$A:$B,2,0),M358)</f>
        <v>아슈크림</v>
      </c>
    </row>
    <row r="359" spans="1:14">
      <c r="A359" t="s">
        <v>393</v>
      </c>
      <c r="B359" t="s">
        <v>389</v>
      </c>
      <c r="C359" t="s">
        <v>322</v>
      </c>
      <c r="D359" t="s">
        <v>13</v>
      </c>
      <c r="E359" t="s">
        <v>18</v>
      </c>
      <c r="F359">
        <v>12</v>
      </c>
      <c r="G359">
        <v>2800</v>
      </c>
      <c r="H359">
        <v>33600</v>
      </c>
      <c r="I359">
        <v>0</v>
      </c>
      <c r="J359">
        <v>0</v>
      </c>
      <c r="K359">
        <v>33600</v>
      </c>
      <c r="L359">
        <v>23520</v>
      </c>
      <c r="M359" s="9" t="str">
        <f>IF(ISERROR(VLOOKUP(B359,[1]작가별정산률!$R:$S,2,0)),"스토리위즈",VLOOKUP(B359,[1]작가별정산률!$R:$S,2,0))</f>
        <v>스토리위즈</v>
      </c>
      <c r="N359" s="9" t="str">
        <f>IF(M359="스토리위즈",VLOOKUP(B359,[1]작가별정산률!$A:$B,2,0),M359)</f>
        <v>아슈크림</v>
      </c>
    </row>
    <row r="360" spans="1:14">
      <c r="A360" t="s">
        <v>394</v>
      </c>
      <c r="B360" t="s">
        <v>389</v>
      </c>
      <c r="C360" t="s">
        <v>322</v>
      </c>
      <c r="D360" t="s">
        <v>13</v>
      </c>
      <c r="E360" t="s">
        <v>18</v>
      </c>
      <c r="F360">
        <v>22</v>
      </c>
      <c r="G360">
        <v>2800</v>
      </c>
      <c r="H360">
        <v>61600</v>
      </c>
      <c r="I360">
        <v>0</v>
      </c>
      <c r="J360">
        <v>0</v>
      </c>
      <c r="K360">
        <v>61600</v>
      </c>
      <c r="L360">
        <v>43120</v>
      </c>
      <c r="M360" s="9" t="str">
        <f>IF(ISERROR(VLOOKUP(B360,[1]작가별정산률!$R:$S,2,0)),"스토리위즈",VLOOKUP(B360,[1]작가별정산률!$R:$S,2,0))</f>
        <v>스토리위즈</v>
      </c>
      <c r="N360" s="9" t="str">
        <f>IF(M360="스토리위즈",VLOOKUP(B360,[1]작가별정산률!$A:$B,2,0),M360)</f>
        <v>아슈크림</v>
      </c>
    </row>
    <row r="361" spans="1:14">
      <c r="A361" t="s">
        <v>395</v>
      </c>
      <c r="B361" t="s">
        <v>389</v>
      </c>
      <c r="C361" t="s">
        <v>322</v>
      </c>
      <c r="D361" t="s">
        <v>13</v>
      </c>
      <c r="E361" t="s">
        <v>18</v>
      </c>
      <c r="F361">
        <v>9</v>
      </c>
      <c r="G361">
        <v>2800</v>
      </c>
      <c r="H361">
        <v>25200</v>
      </c>
      <c r="I361">
        <v>0</v>
      </c>
      <c r="J361">
        <v>0</v>
      </c>
      <c r="K361">
        <v>25200</v>
      </c>
      <c r="L361">
        <v>17640</v>
      </c>
      <c r="M361" s="9" t="str">
        <f>IF(ISERROR(VLOOKUP(B361,[1]작가별정산률!$R:$S,2,0)),"스토리위즈",VLOOKUP(B361,[1]작가별정산률!$R:$S,2,0))</f>
        <v>스토리위즈</v>
      </c>
      <c r="N361" s="9" t="str">
        <f>IF(M361="스토리위즈",VLOOKUP(B361,[1]작가별정산률!$A:$B,2,0),M361)</f>
        <v>아슈크림</v>
      </c>
    </row>
    <row r="362" spans="1:14">
      <c r="A362" t="s">
        <v>396</v>
      </c>
      <c r="B362" t="s">
        <v>389</v>
      </c>
      <c r="C362" t="s">
        <v>322</v>
      </c>
      <c r="D362" t="s">
        <v>13</v>
      </c>
      <c r="E362" t="s">
        <v>18</v>
      </c>
      <c r="F362">
        <v>22</v>
      </c>
      <c r="G362">
        <v>2800</v>
      </c>
      <c r="H362">
        <v>61600</v>
      </c>
      <c r="I362">
        <v>0</v>
      </c>
      <c r="J362">
        <v>0</v>
      </c>
      <c r="K362">
        <v>61600</v>
      </c>
      <c r="L362">
        <v>43120</v>
      </c>
      <c r="M362" s="9" t="str">
        <f>IF(ISERROR(VLOOKUP(B362,[1]작가별정산률!$R:$S,2,0)),"스토리위즈",VLOOKUP(B362,[1]작가별정산률!$R:$S,2,0))</f>
        <v>스토리위즈</v>
      </c>
      <c r="N362" s="9" t="str">
        <f>IF(M362="스토리위즈",VLOOKUP(B362,[1]작가별정산률!$A:$B,2,0),M362)</f>
        <v>아슈크림</v>
      </c>
    </row>
    <row r="363" spans="1:14">
      <c r="A363" t="s">
        <v>397</v>
      </c>
      <c r="B363" t="s">
        <v>321</v>
      </c>
      <c r="C363" t="s">
        <v>322</v>
      </c>
      <c r="D363" t="s">
        <v>13</v>
      </c>
      <c r="E363" t="s">
        <v>18</v>
      </c>
      <c r="F363">
        <v>8</v>
      </c>
      <c r="G363">
        <v>3000</v>
      </c>
      <c r="H363">
        <v>22200</v>
      </c>
      <c r="I363">
        <v>1800</v>
      </c>
      <c r="J363">
        <v>0</v>
      </c>
      <c r="K363">
        <v>22200</v>
      </c>
      <c r="L363">
        <v>15540</v>
      </c>
      <c r="M363" s="9" t="str">
        <f>IF(ISERROR(VLOOKUP(B363,[1]작가별정산률!$R:$S,2,0)),"스토리위즈",VLOOKUP(B363,[1]작가별정산률!$R:$S,2,0))</f>
        <v>스토리위즈</v>
      </c>
      <c r="N363" s="9" t="str">
        <f>IF(M363="스토리위즈",VLOOKUP(B363,[1]작가별정산률!$A:$B,2,0),M363)</f>
        <v>제외</v>
      </c>
    </row>
    <row r="364" spans="1:14">
      <c r="A364" t="s">
        <v>398</v>
      </c>
      <c r="B364" t="s">
        <v>399</v>
      </c>
      <c r="C364" t="s">
        <v>322</v>
      </c>
      <c r="D364" t="s">
        <v>13</v>
      </c>
      <c r="E364" t="s">
        <v>18</v>
      </c>
      <c r="F364">
        <v>1</v>
      </c>
      <c r="G364">
        <v>4600</v>
      </c>
      <c r="H364">
        <v>4600</v>
      </c>
      <c r="I364">
        <v>0</v>
      </c>
      <c r="J364">
        <v>0</v>
      </c>
      <c r="K364">
        <v>4600</v>
      </c>
      <c r="L364">
        <v>3220</v>
      </c>
      <c r="M364" s="9" t="str">
        <f>IF(ISERROR(VLOOKUP(B364,[1]작가별정산률!$R:$S,2,0)),"스토리위즈",VLOOKUP(B364,[1]작가별정산률!$R:$S,2,0))</f>
        <v>스토리위즈</v>
      </c>
      <c r="N364" s="9" t="str">
        <f>IF(M364="스토리위즈",VLOOKUP(B364,[1]작가별정산률!$A:$B,2,0),M364)</f>
        <v>꽃잠</v>
      </c>
    </row>
    <row r="365" spans="1:14">
      <c r="A365" t="s">
        <v>400</v>
      </c>
      <c r="B365" t="s">
        <v>401</v>
      </c>
      <c r="C365" t="s">
        <v>322</v>
      </c>
      <c r="D365" t="s">
        <v>13</v>
      </c>
      <c r="E365" t="s">
        <v>18</v>
      </c>
      <c r="F365">
        <v>1</v>
      </c>
      <c r="G365">
        <v>4300</v>
      </c>
      <c r="H365">
        <v>4300</v>
      </c>
      <c r="I365">
        <v>0</v>
      </c>
      <c r="J365">
        <v>0</v>
      </c>
      <c r="K365">
        <v>4300</v>
      </c>
      <c r="L365">
        <v>3010</v>
      </c>
      <c r="M365" s="9" t="str">
        <f>IF(ISERROR(VLOOKUP(B365,[1]작가별정산률!$R:$S,2,0)),"스토리위즈",VLOOKUP(B365,[1]작가별정산률!$R:$S,2,0))</f>
        <v>스토리위즈</v>
      </c>
      <c r="N365" s="9" t="str">
        <f>IF(M365="스토리위즈",VLOOKUP(B365,[1]작가별정산률!$A:$B,2,0),M365)</f>
        <v>문스톤</v>
      </c>
    </row>
    <row r="366" spans="1:14">
      <c r="A366" t="s">
        <v>402</v>
      </c>
      <c r="B366" t="s">
        <v>332</v>
      </c>
      <c r="C366" t="s">
        <v>322</v>
      </c>
      <c r="D366" t="s">
        <v>13</v>
      </c>
      <c r="E366" t="s">
        <v>18</v>
      </c>
      <c r="F366">
        <v>1</v>
      </c>
      <c r="G366">
        <v>3900</v>
      </c>
      <c r="H366">
        <v>3900</v>
      </c>
      <c r="I366">
        <v>0</v>
      </c>
      <c r="J366">
        <v>0</v>
      </c>
      <c r="K366">
        <v>3900</v>
      </c>
      <c r="L366">
        <v>2730</v>
      </c>
      <c r="M366" s="9" t="str">
        <f>IF(ISERROR(VLOOKUP(B366,[1]작가별정산률!$R:$S,2,0)),"스토리위즈",VLOOKUP(B366,[1]작가별정산률!$R:$S,2,0))</f>
        <v>스토리위즈</v>
      </c>
      <c r="N366" s="9" t="str">
        <f>IF(M366="스토리위즈",VLOOKUP(B366,[1]작가별정산률!$A:$B,2,0),M366)</f>
        <v>차홍주</v>
      </c>
    </row>
    <row r="367" spans="1:14">
      <c r="A367" t="s">
        <v>403</v>
      </c>
      <c r="B367" t="s">
        <v>404</v>
      </c>
      <c r="C367" t="s">
        <v>21</v>
      </c>
      <c r="D367" t="s">
        <v>13</v>
      </c>
      <c r="E367" t="s">
        <v>18</v>
      </c>
      <c r="F367">
        <v>1</v>
      </c>
      <c r="G367">
        <v>2800</v>
      </c>
      <c r="H367">
        <v>2800</v>
      </c>
      <c r="I367">
        <v>0</v>
      </c>
      <c r="J367">
        <v>0</v>
      </c>
      <c r="K367">
        <v>2800</v>
      </c>
      <c r="L367">
        <v>1960</v>
      </c>
      <c r="M367" s="9" t="str">
        <f>IF(ISERROR(VLOOKUP(B367,[1]작가별정산률!$R:$S,2,0)),"스토리위즈",VLOOKUP(B367,[1]작가별정산률!$R:$S,2,0))</f>
        <v>스토리위즈</v>
      </c>
      <c r="N367" s="9" t="str">
        <f>IF(M367="스토리위즈",VLOOKUP(B367,[1]작가별정산률!$A:$B,2,0),M367)</f>
        <v>세상</v>
      </c>
    </row>
    <row r="368" spans="1:14">
      <c r="A368" t="s">
        <v>405</v>
      </c>
      <c r="B368" t="s">
        <v>364</v>
      </c>
      <c r="C368" t="s">
        <v>322</v>
      </c>
      <c r="D368" t="s">
        <v>13</v>
      </c>
      <c r="E368" t="s">
        <v>18</v>
      </c>
      <c r="F368">
        <v>4</v>
      </c>
      <c r="G368">
        <v>4000</v>
      </c>
      <c r="H368">
        <v>16000</v>
      </c>
      <c r="I368">
        <v>0</v>
      </c>
      <c r="J368">
        <v>0</v>
      </c>
      <c r="K368">
        <v>16000</v>
      </c>
      <c r="L368">
        <v>11200</v>
      </c>
      <c r="M368" s="9" t="str">
        <f>IF(ISERROR(VLOOKUP(B368,[1]작가별정산률!$R:$S,2,0)),"스토리위즈",VLOOKUP(B368,[1]작가별정산률!$R:$S,2,0))</f>
        <v>스토리위즈</v>
      </c>
      <c r="N368" s="9" t="str">
        <f>IF(M368="스토리위즈",VLOOKUP(B368,[1]작가별정산률!$A:$B,2,0),M368)</f>
        <v>블랙커피</v>
      </c>
    </row>
    <row r="369" spans="1:14">
      <c r="A369" t="s">
        <v>406</v>
      </c>
      <c r="B369" t="s">
        <v>364</v>
      </c>
      <c r="C369" t="s">
        <v>322</v>
      </c>
      <c r="D369" t="s">
        <v>13</v>
      </c>
      <c r="E369" t="s">
        <v>18</v>
      </c>
      <c r="F369">
        <v>1</v>
      </c>
      <c r="G369">
        <v>600</v>
      </c>
      <c r="H369">
        <v>600</v>
      </c>
      <c r="I369">
        <v>0</v>
      </c>
      <c r="J369">
        <v>0</v>
      </c>
      <c r="K369">
        <v>600</v>
      </c>
      <c r="L369">
        <v>420</v>
      </c>
      <c r="M369" s="9" t="str">
        <f>IF(ISERROR(VLOOKUP(B369,[1]작가별정산률!$R:$S,2,0)),"스토리위즈",VLOOKUP(B369,[1]작가별정산률!$R:$S,2,0))</f>
        <v>스토리위즈</v>
      </c>
      <c r="N369" s="9" t="str">
        <f>IF(M369="스토리위즈",VLOOKUP(B369,[1]작가별정산률!$A:$B,2,0),M369)</f>
        <v>블랙커피</v>
      </c>
    </row>
    <row r="370" spans="1:14">
      <c r="A370" t="s">
        <v>407</v>
      </c>
      <c r="B370" t="s">
        <v>364</v>
      </c>
      <c r="C370" t="s">
        <v>322</v>
      </c>
      <c r="D370" t="s">
        <v>13</v>
      </c>
      <c r="E370" t="s">
        <v>18</v>
      </c>
      <c r="F370">
        <v>4</v>
      </c>
      <c r="G370">
        <v>600</v>
      </c>
      <c r="H370">
        <v>2400</v>
      </c>
      <c r="I370">
        <v>0</v>
      </c>
      <c r="J370">
        <v>0</v>
      </c>
      <c r="K370">
        <v>2400</v>
      </c>
      <c r="L370">
        <v>1680</v>
      </c>
      <c r="M370" s="9" t="str">
        <f>IF(ISERROR(VLOOKUP(B370,[1]작가별정산률!$R:$S,2,0)),"스토리위즈",VLOOKUP(B370,[1]작가별정산률!$R:$S,2,0))</f>
        <v>스토리위즈</v>
      </c>
      <c r="N370" s="9" t="str">
        <f>IF(M370="스토리위즈",VLOOKUP(B370,[1]작가별정산률!$A:$B,2,0),M370)</f>
        <v>블랙커피</v>
      </c>
    </row>
    <row r="371" spans="1:14">
      <c r="A371" t="s">
        <v>408</v>
      </c>
      <c r="B371" t="s">
        <v>399</v>
      </c>
      <c r="C371" t="s">
        <v>322</v>
      </c>
      <c r="D371" t="s">
        <v>13</v>
      </c>
      <c r="E371" t="s">
        <v>18</v>
      </c>
      <c r="F371">
        <v>1</v>
      </c>
      <c r="G371">
        <v>600</v>
      </c>
      <c r="H371">
        <v>600</v>
      </c>
      <c r="I371">
        <v>0</v>
      </c>
      <c r="J371">
        <v>0</v>
      </c>
      <c r="K371">
        <v>600</v>
      </c>
      <c r="L371">
        <v>420</v>
      </c>
      <c r="M371" s="9" t="str">
        <f>IF(ISERROR(VLOOKUP(B371,[1]작가별정산률!$R:$S,2,0)),"스토리위즈",VLOOKUP(B371,[1]작가별정산률!$R:$S,2,0))</f>
        <v>스토리위즈</v>
      </c>
      <c r="N371" s="9" t="str">
        <f>IF(M371="스토리위즈",VLOOKUP(B371,[1]작가별정산률!$A:$B,2,0),M371)</f>
        <v>꽃잠</v>
      </c>
    </row>
    <row r="372" spans="1:14">
      <c r="A372" t="s">
        <v>409</v>
      </c>
      <c r="B372" t="s">
        <v>399</v>
      </c>
      <c r="C372" t="s">
        <v>322</v>
      </c>
      <c r="D372" t="s">
        <v>13</v>
      </c>
      <c r="E372" t="s">
        <v>18</v>
      </c>
      <c r="F372">
        <v>1</v>
      </c>
      <c r="G372">
        <v>3300</v>
      </c>
      <c r="H372">
        <v>3300</v>
      </c>
      <c r="I372">
        <v>0</v>
      </c>
      <c r="J372">
        <v>0</v>
      </c>
      <c r="K372">
        <v>3300</v>
      </c>
      <c r="L372">
        <v>2310</v>
      </c>
      <c r="M372" s="9" t="str">
        <f>IF(ISERROR(VLOOKUP(B372,[1]작가별정산률!$R:$S,2,0)),"스토리위즈",VLOOKUP(B372,[1]작가별정산률!$R:$S,2,0))</f>
        <v>스토리위즈</v>
      </c>
      <c r="N372" s="9" t="str">
        <f>IF(M372="스토리위즈",VLOOKUP(B372,[1]작가별정산률!$A:$B,2,0),M372)</f>
        <v>꽃잠</v>
      </c>
    </row>
    <row r="373" spans="1:14">
      <c r="A373" t="s">
        <v>410</v>
      </c>
      <c r="B373" t="s">
        <v>399</v>
      </c>
      <c r="C373" t="s">
        <v>322</v>
      </c>
      <c r="D373" t="s">
        <v>13</v>
      </c>
      <c r="E373" t="s">
        <v>18</v>
      </c>
      <c r="F373">
        <v>1</v>
      </c>
      <c r="G373">
        <v>3300</v>
      </c>
      <c r="H373">
        <v>3300</v>
      </c>
      <c r="I373">
        <v>0</v>
      </c>
      <c r="J373">
        <v>0</v>
      </c>
      <c r="K373">
        <v>3300</v>
      </c>
      <c r="L373">
        <v>2310</v>
      </c>
      <c r="M373" s="9" t="str">
        <f>IF(ISERROR(VLOOKUP(B373,[1]작가별정산률!$R:$S,2,0)),"스토리위즈",VLOOKUP(B373,[1]작가별정산률!$R:$S,2,0))</f>
        <v>스토리위즈</v>
      </c>
      <c r="N373" s="9" t="str">
        <f>IF(M373="스토리위즈",VLOOKUP(B373,[1]작가별정산률!$A:$B,2,0),M373)</f>
        <v>꽃잠</v>
      </c>
    </row>
    <row r="374" spans="1:14">
      <c r="A374" t="s">
        <v>411</v>
      </c>
      <c r="B374" t="s">
        <v>412</v>
      </c>
      <c r="C374" t="s">
        <v>413</v>
      </c>
      <c r="D374" t="s">
        <v>13</v>
      </c>
      <c r="E374" t="s">
        <v>18</v>
      </c>
      <c r="F374">
        <v>3</v>
      </c>
      <c r="G374">
        <v>700</v>
      </c>
      <c r="H374">
        <v>2100</v>
      </c>
      <c r="I374">
        <v>0</v>
      </c>
      <c r="J374">
        <v>0</v>
      </c>
      <c r="K374">
        <v>2100</v>
      </c>
      <c r="L374">
        <v>1470</v>
      </c>
      <c r="M374" s="9" t="str">
        <f>IF(ISERROR(VLOOKUP(B374,[1]작가별정산률!$R:$S,2,0)),"스토리위즈",VLOOKUP(B374,[1]작가별정산률!$R:$S,2,0))</f>
        <v>더컴퍼니</v>
      </c>
      <c r="N374" s="9" t="str">
        <f>IF(M374="스토리위즈",VLOOKUP(B374,[1]작가별정산률!$A:$B,2,0),M374)</f>
        <v>더컴퍼니</v>
      </c>
    </row>
    <row r="375" spans="1:14">
      <c r="A375" t="s">
        <v>414</v>
      </c>
      <c r="B375" t="s">
        <v>412</v>
      </c>
      <c r="C375" t="s">
        <v>413</v>
      </c>
      <c r="D375" t="s">
        <v>13</v>
      </c>
      <c r="E375" t="s">
        <v>18</v>
      </c>
      <c r="F375">
        <v>1</v>
      </c>
      <c r="G375">
        <v>3500</v>
      </c>
      <c r="H375">
        <v>3500</v>
      </c>
      <c r="I375">
        <v>0</v>
      </c>
      <c r="J375">
        <v>0</v>
      </c>
      <c r="K375">
        <v>3500</v>
      </c>
      <c r="L375">
        <v>2450</v>
      </c>
      <c r="M375" s="9" t="str">
        <f>IF(ISERROR(VLOOKUP(B375,[1]작가별정산률!$R:$S,2,0)),"스토리위즈",VLOOKUP(B375,[1]작가별정산률!$R:$S,2,0))</f>
        <v>더컴퍼니</v>
      </c>
      <c r="N375" s="9" t="str">
        <f>IF(M375="스토리위즈",VLOOKUP(B375,[1]작가별정산률!$A:$B,2,0),M375)</f>
        <v>더컴퍼니</v>
      </c>
    </row>
    <row r="376" spans="1:14">
      <c r="A376" t="s">
        <v>415</v>
      </c>
      <c r="B376" t="s">
        <v>412</v>
      </c>
      <c r="C376" t="s">
        <v>413</v>
      </c>
      <c r="D376" t="s">
        <v>13</v>
      </c>
      <c r="E376" t="s">
        <v>18</v>
      </c>
      <c r="F376">
        <v>1</v>
      </c>
      <c r="G376">
        <v>3500</v>
      </c>
      <c r="H376">
        <v>3500</v>
      </c>
      <c r="I376">
        <v>0</v>
      </c>
      <c r="J376">
        <v>0</v>
      </c>
      <c r="K376">
        <v>3500</v>
      </c>
      <c r="L376">
        <v>2450</v>
      </c>
      <c r="M376" s="9" t="str">
        <f>IF(ISERROR(VLOOKUP(B376,[1]작가별정산률!$R:$S,2,0)),"스토리위즈",VLOOKUP(B376,[1]작가별정산률!$R:$S,2,0))</f>
        <v>더컴퍼니</v>
      </c>
      <c r="N376" s="9" t="str">
        <f>IF(M376="스토리위즈",VLOOKUP(B376,[1]작가별정산률!$A:$B,2,0),M376)</f>
        <v>더컴퍼니</v>
      </c>
    </row>
    <row r="377" spans="1:14">
      <c r="A377" t="s">
        <v>416</v>
      </c>
      <c r="B377" t="s">
        <v>412</v>
      </c>
      <c r="C377" t="s">
        <v>413</v>
      </c>
      <c r="D377" t="s">
        <v>13</v>
      </c>
      <c r="E377" t="s">
        <v>18</v>
      </c>
      <c r="F377">
        <v>2</v>
      </c>
      <c r="G377">
        <v>3500</v>
      </c>
      <c r="H377">
        <v>7000</v>
      </c>
      <c r="I377">
        <v>0</v>
      </c>
      <c r="J377">
        <v>0</v>
      </c>
      <c r="K377">
        <v>7000</v>
      </c>
      <c r="L377">
        <v>4900</v>
      </c>
      <c r="M377" s="9" t="str">
        <f>IF(ISERROR(VLOOKUP(B377,[1]작가별정산률!$R:$S,2,0)),"스토리위즈",VLOOKUP(B377,[1]작가별정산률!$R:$S,2,0))</f>
        <v>더컴퍼니</v>
      </c>
      <c r="N377" s="9" t="str">
        <f>IF(M377="스토리위즈",VLOOKUP(B377,[1]작가별정산률!$A:$B,2,0),M377)</f>
        <v>더컴퍼니</v>
      </c>
    </row>
    <row r="378" spans="1:14">
      <c r="A378" t="s">
        <v>417</v>
      </c>
      <c r="B378" t="s">
        <v>418</v>
      </c>
      <c r="C378" t="s">
        <v>413</v>
      </c>
      <c r="D378" t="s">
        <v>13</v>
      </c>
      <c r="E378" t="s">
        <v>18</v>
      </c>
      <c r="F378">
        <v>1</v>
      </c>
      <c r="G378">
        <v>3300</v>
      </c>
      <c r="H378">
        <v>3300</v>
      </c>
      <c r="I378">
        <v>0</v>
      </c>
      <c r="J378">
        <v>0</v>
      </c>
      <c r="K378">
        <v>3300</v>
      </c>
      <c r="L378">
        <v>2310</v>
      </c>
      <c r="M378" s="9" t="str">
        <f>IF(ISERROR(VLOOKUP(B378,[1]작가별정산률!$R:$S,2,0)),"스토리위즈",VLOOKUP(B378,[1]작가별정산률!$R:$S,2,0))</f>
        <v>더컴퍼니</v>
      </c>
      <c r="N378" s="9" t="str">
        <f>IF(M378="스토리위즈",VLOOKUP(B378,[1]작가별정산률!$A:$B,2,0),M378)</f>
        <v>더컴퍼니</v>
      </c>
    </row>
    <row r="379" spans="1:14">
      <c r="A379" t="s">
        <v>419</v>
      </c>
      <c r="B379" t="s">
        <v>420</v>
      </c>
      <c r="C379" t="s">
        <v>413</v>
      </c>
      <c r="D379" t="s">
        <v>13</v>
      </c>
      <c r="E379" t="s">
        <v>18</v>
      </c>
      <c r="F379">
        <v>1</v>
      </c>
      <c r="G379">
        <v>3500</v>
      </c>
      <c r="H379">
        <v>3500</v>
      </c>
      <c r="I379">
        <v>0</v>
      </c>
      <c r="J379">
        <v>0</v>
      </c>
      <c r="K379">
        <v>3500</v>
      </c>
      <c r="L379">
        <v>2450</v>
      </c>
      <c r="M379" s="9" t="str">
        <f>IF(ISERROR(VLOOKUP(B379,[1]작가별정산률!$R:$S,2,0)),"스토리위즈",VLOOKUP(B379,[1]작가별정산률!$R:$S,2,0))</f>
        <v>더컴퍼니</v>
      </c>
      <c r="N379" s="9" t="str">
        <f>IF(M379="스토리위즈",VLOOKUP(B379,[1]작가별정산률!$A:$B,2,0),M379)</f>
        <v>더컴퍼니</v>
      </c>
    </row>
    <row r="380" spans="1:14">
      <c r="A380" t="s">
        <v>421</v>
      </c>
      <c r="B380" t="s">
        <v>422</v>
      </c>
      <c r="C380" t="s">
        <v>413</v>
      </c>
      <c r="D380" t="s">
        <v>13</v>
      </c>
      <c r="E380" t="s">
        <v>16</v>
      </c>
      <c r="F380">
        <v>137</v>
      </c>
      <c r="G380">
        <v>100</v>
      </c>
      <c r="H380">
        <v>13700</v>
      </c>
      <c r="I380">
        <v>0</v>
      </c>
      <c r="J380">
        <v>0</v>
      </c>
      <c r="K380">
        <v>13700</v>
      </c>
      <c r="L380">
        <v>9590</v>
      </c>
      <c r="M380" s="9" t="str">
        <f>IF(ISERROR(VLOOKUP(B380,[1]작가별정산률!$R:$S,2,0)),"스토리위즈",VLOOKUP(B380,[1]작가별정산률!$R:$S,2,0))</f>
        <v>더컴퍼니</v>
      </c>
      <c r="N380" s="9" t="str">
        <f>IF(M380="스토리위즈",VLOOKUP(B380,[1]작가별정산률!$A:$B,2,0),M380)</f>
        <v>더컴퍼니</v>
      </c>
    </row>
    <row r="381" spans="1:14">
      <c r="A381" t="s">
        <v>423</v>
      </c>
      <c r="B381" t="s">
        <v>424</v>
      </c>
      <c r="C381" t="s">
        <v>425</v>
      </c>
      <c r="D381" t="s">
        <v>13</v>
      </c>
      <c r="E381" t="s">
        <v>18</v>
      </c>
      <c r="F381">
        <v>18</v>
      </c>
      <c r="G381">
        <v>2000</v>
      </c>
      <c r="H381">
        <v>36000</v>
      </c>
      <c r="I381">
        <v>0</v>
      </c>
      <c r="J381">
        <v>0</v>
      </c>
      <c r="K381">
        <v>36000</v>
      </c>
      <c r="L381">
        <v>25200</v>
      </c>
      <c r="M381" s="9" t="str">
        <f>IF(ISERROR(VLOOKUP(B381,[1]작가별정산률!$R:$S,2,0)),"스토리위즈",VLOOKUP(B381,[1]작가별정산률!$R:$S,2,0))</f>
        <v>밀리의 서재</v>
      </c>
      <c r="N381" s="9" t="str">
        <f>IF(M381="스토리위즈",VLOOKUP(B381,[1]작가별정산률!$A:$B,2,0),M381)</f>
        <v>밀리의 서재</v>
      </c>
    </row>
    <row r="382" spans="1:14">
      <c r="A382" t="s">
        <v>426</v>
      </c>
      <c r="B382" t="s">
        <v>427</v>
      </c>
      <c r="C382" t="s">
        <v>413</v>
      </c>
      <c r="D382" t="s">
        <v>13</v>
      </c>
      <c r="E382" t="s">
        <v>18</v>
      </c>
      <c r="F382">
        <v>1</v>
      </c>
      <c r="G382">
        <v>3200</v>
      </c>
      <c r="H382">
        <v>3200</v>
      </c>
      <c r="I382">
        <v>0</v>
      </c>
      <c r="J382">
        <v>0</v>
      </c>
      <c r="K382">
        <v>3200</v>
      </c>
      <c r="L382">
        <v>2240</v>
      </c>
      <c r="M382" s="9" t="str">
        <f>IF(ISERROR(VLOOKUP(B382,[1]작가별정산률!$R:$S,2,0)),"스토리위즈",VLOOKUP(B382,[1]작가별정산률!$R:$S,2,0))</f>
        <v>더컴퍼니</v>
      </c>
      <c r="N382" s="9" t="str">
        <f>IF(M382="스토리위즈",VLOOKUP(B382,[1]작가별정산률!$A:$B,2,0),M382)</f>
        <v>더컴퍼니</v>
      </c>
    </row>
    <row r="383" spans="1:14">
      <c r="A383" t="s">
        <v>428</v>
      </c>
      <c r="B383" t="s">
        <v>429</v>
      </c>
      <c r="C383" t="s">
        <v>425</v>
      </c>
      <c r="D383" t="s">
        <v>13</v>
      </c>
      <c r="E383" t="s">
        <v>18</v>
      </c>
      <c r="F383">
        <v>8</v>
      </c>
      <c r="G383">
        <v>2000</v>
      </c>
      <c r="H383">
        <v>16000</v>
      </c>
      <c r="I383">
        <v>0</v>
      </c>
      <c r="J383">
        <v>0</v>
      </c>
      <c r="K383">
        <v>16000</v>
      </c>
      <c r="L383">
        <v>11200</v>
      </c>
      <c r="M383" s="9" t="str">
        <f>IF(ISERROR(VLOOKUP(B383,[1]작가별정산률!$R:$S,2,0)),"스토리위즈",VLOOKUP(B383,[1]작가별정산률!$R:$S,2,0))</f>
        <v>밀리의 서재</v>
      </c>
      <c r="N383" s="9" t="str">
        <f>IF(M383="스토리위즈",VLOOKUP(B383,[1]작가별정산률!$A:$B,2,0),M383)</f>
        <v>밀리의 서재</v>
      </c>
    </row>
    <row r="384" spans="1:14">
      <c r="A384" t="s">
        <v>430</v>
      </c>
      <c r="B384" t="s">
        <v>431</v>
      </c>
      <c r="C384" t="s">
        <v>425</v>
      </c>
      <c r="D384" t="s">
        <v>13</v>
      </c>
      <c r="E384" t="s">
        <v>18</v>
      </c>
      <c r="F384">
        <v>1</v>
      </c>
      <c r="G384">
        <v>2000</v>
      </c>
      <c r="H384">
        <v>2000</v>
      </c>
      <c r="I384">
        <v>0</v>
      </c>
      <c r="J384">
        <v>0</v>
      </c>
      <c r="K384">
        <v>2000</v>
      </c>
      <c r="L384">
        <v>1400</v>
      </c>
      <c r="M384" s="9" t="str">
        <f>IF(ISERROR(VLOOKUP(B384,[1]작가별정산률!$R:$S,2,0)),"스토리위즈",VLOOKUP(B384,[1]작가별정산률!$R:$S,2,0))</f>
        <v>밀리의 서재</v>
      </c>
      <c r="N384" s="9" t="str">
        <f>IF(M384="스토리위즈",VLOOKUP(B384,[1]작가별정산률!$A:$B,2,0),M384)</f>
        <v>밀리의 서재</v>
      </c>
    </row>
    <row r="385" spans="1:14">
      <c r="A385" t="s">
        <v>432</v>
      </c>
      <c r="B385" t="s">
        <v>433</v>
      </c>
      <c r="C385" t="s">
        <v>413</v>
      </c>
      <c r="D385" t="s">
        <v>13</v>
      </c>
      <c r="E385" t="s">
        <v>16</v>
      </c>
      <c r="F385">
        <v>98</v>
      </c>
      <c r="G385">
        <v>100</v>
      </c>
      <c r="H385">
        <v>9800</v>
      </c>
      <c r="I385">
        <v>0</v>
      </c>
      <c r="J385">
        <v>0</v>
      </c>
      <c r="K385">
        <v>9800</v>
      </c>
      <c r="L385">
        <v>6860</v>
      </c>
      <c r="M385" s="9" t="str">
        <f>IF(ISERROR(VLOOKUP(B385,[1]작가별정산률!$R:$S,2,0)),"스토리위즈",VLOOKUP(B385,[1]작가별정산률!$R:$S,2,0))</f>
        <v>더컴퍼니</v>
      </c>
      <c r="N385" s="9" t="str">
        <f>IF(M385="스토리위즈",VLOOKUP(B385,[1]작가별정산률!$A:$B,2,0),M385)</f>
        <v>더컴퍼니</v>
      </c>
    </row>
    <row r="386" spans="1:14">
      <c r="A386" t="s">
        <v>434</v>
      </c>
      <c r="B386" t="s">
        <v>433</v>
      </c>
      <c r="C386" t="s">
        <v>413</v>
      </c>
      <c r="D386" t="s">
        <v>13</v>
      </c>
      <c r="E386" t="s">
        <v>18</v>
      </c>
      <c r="F386">
        <v>2</v>
      </c>
      <c r="G386">
        <v>3200</v>
      </c>
      <c r="H386">
        <v>6400</v>
      </c>
      <c r="I386">
        <v>0</v>
      </c>
      <c r="J386">
        <v>0</v>
      </c>
      <c r="K386">
        <v>6400</v>
      </c>
      <c r="L386">
        <v>4480</v>
      </c>
      <c r="M386" s="9" t="str">
        <f>IF(ISERROR(VLOOKUP(B386,[1]작가별정산률!$R:$S,2,0)),"스토리위즈",VLOOKUP(B386,[1]작가별정산률!$R:$S,2,0))</f>
        <v>더컴퍼니</v>
      </c>
      <c r="N386" s="9" t="str">
        <f>IF(M386="스토리위즈",VLOOKUP(B386,[1]작가별정산률!$A:$B,2,0),M386)</f>
        <v>더컴퍼니</v>
      </c>
    </row>
    <row r="387" spans="1:14">
      <c r="A387" t="s">
        <v>435</v>
      </c>
      <c r="B387" t="s">
        <v>433</v>
      </c>
      <c r="C387" t="s">
        <v>413</v>
      </c>
      <c r="D387" t="s">
        <v>13</v>
      </c>
      <c r="E387" t="s">
        <v>18</v>
      </c>
      <c r="F387">
        <v>2</v>
      </c>
      <c r="G387">
        <v>3200</v>
      </c>
      <c r="H387">
        <v>6400</v>
      </c>
      <c r="I387">
        <v>0</v>
      </c>
      <c r="J387">
        <v>0</v>
      </c>
      <c r="K387">
        <v>6400</v>
      </c>
      <c r="L387">
        <v>4480</v>
      </c>
      <c r="M387" s="9" t="str">
        <f>IF(ISERROR(VLOOKUP(B387,[1]작가별정산률!$R:$S,2,0)),"스토리위즈",VLOOKUP(B387,[1]작가별정산률!$R:$S,2,0))</f>
        <v>더컴퍼니</v>
      </c>
      <c r="N387" s="9" t="str">
        <f>IF(M387="스토리위즈",VLOOKUP(B387,[1]작가별정산률!$A:$B,2,0),M387)</f>
        <v>더컴퍼니</v>
      </c>
    </row>
    <row r="388" spans="1:14">
      <c r="A388" t="s">
        <v>436</v>
      </c>
      <c r="B388" t="s">
        <v>433</v>
      </c>
      <c r="C388" t="s">
        <v>413</v>
      </c>
      <c r="D388" t="s">
        <v>13</v>
      </c>
      <c r="E388" t="s">
        <v>18</v>
      </c>
      <c r="F388">
        <v>2</v>
      </c>
      <c r="G388">
        <v>3200</v>
      </c>
      <c r="H388">
        <v>6400</v>
      </c>
      <c r="I388">
        <v>0</v>
      </c>
      <c r="J388">
        <v>0</v>
      </c>
      <c r="K388">
        <v>6400</v>
      </c>
      <c r="L388">
        <v>4480</v>
      </c>
      <c r="M388" s="9" t="str">
        <f>IF(ISERROR(VLOOKUP(B388,[1]작가별정산률!$R:$S,2,0)),"스토리위즈",VLOOKUP(B388,[1]작가별정산률!$R:$S,2,0))</f>
        <v>더컴퍼니</v>
      </c>
      <c r="N388" s="9" t="str">
        <f>IF(M388="스토리위즈",VLOOKUP(B388,[1]작가별정산률!$A:$B,2,0),M388)</f>
        <v>더컴퍼니</v>
      </c>
    </row>
    <row r="389" spans="1:14">
      <c r="A389" t="s">
        <v>437</v>
      </c>
      <c r="B389" t="s">
        <v>438</v>
      </c>
      <c r="C389" t="s">
        <v>425</v>
      </c>
      <c r="D389" t="s">
        <v>13</v>
      </c>
      <c r="E389" t="s">
        <v>18</v>
      </c>
      <c r="F389">
        <v>7</v>
      </c>
      <c r="G389">
        <v>2500</v>
      </c>
      <c r="H389">
        <v>17500</v>
      </c>
      <c r="I389">
        <v>0</v>
      </c>
      <c r="J389">
        <v>0</v>
      </c>
      <c r="K389">
        <v>17500</v>
      </c>
      <c r="L389">
        <v>12250</v>
      </c>
      <c r="M389" s="9" t="str">
        <f>IF(ISERROR(VLOOKUP(B389,[1]작가별정산률!$R:$S,2,0)),"스토리위즈",VLOOKUP(B389,[1]작가별정산률!$R:$S,2,0))</f>
        <v>밀리의 서재</v>
      </c>
      <c r="N389" s="9" t="str">
        <f>IF(M389="스토리위즈",VLOOKUP(B389,[1]작가별정산률!$A:$B,2,0),M389)</f>
        <v>밀리의 서재</v>
      </c>
    </row>
    <row r="390" spans="1:14">
      <c r="A390" t="s">
        <v>439</v>
      </c>
      <c r="B390" t="s">
        <v>440</v>
      </c>
      <c r="C390" t="s">
        <v>425</v>
      </c>
      <c r="D390" t="s">
        <v>13</v>
      </c>
      <c r="E390" t="s">
        <v>18</v>
      </c>
      <c r="F390">
        <v>4</v>
      </c>
      <c r="G390">
        <v>2500</v>
      </c>
      <c r="H390">
        <v>10000</v>
      </c>
      <c r="I390">
        <v>0</v>
      </c>
      <c r="J390">
        <v>0</v>
      </c>
      <c r="K390">
        <v>10000</v>
      </c>
      <c r="L390">
        <v>7000</v>
      </c>
      <c r="M390" s="9" t="str">
        <f>IF(ISERROR(VLOOKUP(B390,[1]작가별정산률!$R:$S,2,0)),"스토리위즈",VLOOKUP(B390,[1]작가별정산률!$R:$S,2,0))</f>
        <v>밀리의 서재</v>
      </c>
      <c r="N390" s="9" t="str">
        <f>IF(M390="스토리위즈",VLOOKUP(B390,[1]작가별정산률!$A:$B,2,0),M390)</f>
        <v>밀리의 서재</v>
      </c>
    </row>
    <row r="391" spans="1:14">
      <c r="A391" t="s">
        <v>441</v>
      </c>
      <c r="B391" t="s">
        <v>442</v>
      </c>
      <c r="C391" t="s">
        <v>413</v>
      </c>
      <c r="D391" t="s">
        <v>13</v>
      </c>
      <c r="E391" t="s">
        <v>16</v>
      </c>
      <c r="F391">
        <v>11</v>
      </c>
      <c r="G391">
        <v>100</v>
      </c>
      <c r="H391">
        <v>1100</v>
      </c>
      <c r="I391">
        <v>0</v>
      </c>
      <c r="J391">
        <v>0</v>
      </c>
      <c r="K391">
        <v>1100</v>
      </c>
      <c r="L391">
        <v>770</v>
      </c>
      <c r="M391" s="9" t="str">
        <f>IF(ISERROR(VLOOKUP(B391,[1]작가별정산률!$R:$S,2,0)),"스토리위즈",VLOOKUP(B391,[1]작가별정산률!$R:$S,2,0))</f>
        <v>더컴퍼니</v>
      </c>
      <c r="N391" s="9" t="str">
        <f>IF(M391="스토리위즈",VLOOKUP(B391,[1]작가별정산률!$A:$B,2,0),M391)</f>
        <v>더컴퍼니</v>
      </c>
    </row>
    <row r="392" spans="1:14">
      <c r="A392" t="s">
        <v>443</v>
      </c>
      <c r="B392" t="s">
        <v>444</v>
      </c>
      <c r="C392" t="s">
        <v>413</v>
      </c>
      <c r="D392" t="s">
        <v>13</v>
      </c>
      <c r="E392" t="s">
        <v>18</v>
      </c>
      <c r="F392">
        <v>1</v>
      </c>
      <c r="G392">
        <v>3500</v>
      </c>
      <c r="H392">
        <v>3500</v>
      </c>
      <c r="I392">
        <v>0</v>
      </c>
      <c r="J392">
        <v>0</v>
      </c>
      <c r="K392">
        <v>3500</v>
      </c>
      <c r="L392">
        <v>2450</v>
      </c>
      <c r="M392" s="9" t="str">
        <f>IF(ISERROR(VLOOKUP(B392,[1]작가별정산률!$R:$S,2,0)),"스토리위즈",VLOOKUP(B392,[1]작가별정산률!$R:$S,2,0))</f>
        <v>더컴퍼니</v>
      </c>
      <c r="N392" s="9" t="str">
        <f>IF(M392="스토리위즈",VLOOKUP(B392,[1]작가별정산률!$A:$B,2,0),M392)</f>
        <v>더컴퍼니</v>
      </c>
    </row>
    <row r="393" spans="1:14">
      <c r="A393" t="s">
        <v>445</v>
      </c>
      <c r="B393" t="s">
        <v>446</v>
      </c>
      <c r="C393" t="s">
        <v>425</v>
      </c>
      <c r="D393" t="s">
        <v>13</v>
      </c>
      <c r="E393" t="s">
        <v>18</v>
      </c>
      <c r="F393">
        <v>1</v>
      </c>
      <c r="G393">
        <v>2500</v>
      </c>
      <c r="H393">
        <v>2500</v>
      </c>
      <c r="I393">
        <v>0</v>
      </c>
      <c r="J393">
        <v>0</v>
      </c>
      <c r="K393">
        <v>2500</v>
      </c>
      <c r="L393">
        <v>1750</v>
      </c>
      <c r="M393" s="9" t="str">
        <f>IF(ISERROR(VLOOKUP(B393,[1]작가별정산률!$R:$S,2,0)),"스토리위즈",VLOOKUP(B393,[1]작가별정산률!$R:$S,2,0))</f>
        <v>밀리의 서재</v>
      </c>
      <c r="N393" s="9" t="str">
        <f>IF(M393="스토리위즈",VLOOKUP(B393,[1]작가별정산률!$A:$B,2,0),M393)</f>
        <v>밀리의 서재</v>
      </c>
    </row>
    <row r="394" spans="1:14">
      <c r="A394" t="s">
        <v>447</v>
      </c>
      <c r="B394" t="s">
        <v>448</v>
      </c>
      <c r="C394" t="s">
        <v>425</v>
      </c>
      <c r="D394" t="s">
        <v>13</v>
      </c>
      <c r="E394" t="s">
        <v>18</v>
      </c>
      <c r="F394">
        <v>2</v>
      </c>
      <c r="G394">
        <v>2000</v>
      </c>
      <c r="H394">
        <v>4000</v>
      </c>
      <c r="I394">
        <v>0</v>
      </c>
      <c r="J394">
        <v>0</v>
      </c>
      <c r="K394">
        <v>4000</v>
      </c>
      <c r="L394">
        <v>2800</v>
      </c>
      <c r="M394" s="9" t="str">
        <f>IF(ISERROR(VLOOKUP(B394,[1]작가별정산률!$R:$S,2,0)),"스토리위즈",VLOOKUP(B394,[1]작가별정산률!$R:$S,2,0))</f>
        <v>밀리의 서재</v>
      </c>
      <c r="N394" s="9" t="str">
        <f>IF(M394="스토리위즈",VLOOKUP(B394,[1]작가별정산률!$A:$B,2,0),M394)</f>
        <v>밀리의 서재</v>
      </c>
    </row>
    <row r="395" spans="1:14">
      <c r="A395" t="s">
        <v>449</v>
      </c>
      <c r="B395" t="s">
        <v>450</v>
      </c>
      <c r="C395" t="s">
        <v>425</v>
      </c>
      <c r="D395" t="s">
        <v>13</v>
      </c>
      <c r="E395" t="s">
        <v>18</v>
      </c>
      <c r="F395">
        <v>2</v>
      </c>
      <c r="G395">
        <v>2500</v>
      </c>
      <c r="H395">
        <v>5000</v>
      </c>
      <c r="I395">
        <v>0</v>
      </c>
      <c r="J395">
        <v>0</v>
      </c>
      <c r="K395">
        <v>5000</v>
      </c>
      <c r="L395">
        <v>3500</v>
      </c>
      <c r="M395" s="9" t="str">
        <f>IF(ISERROR(VLOOKUP(B395,[1]작가별정산률!$R:$S,2,0)),"스토리위즈",VLOOKUP(B395,[1]작가별정산률!$R:$S,2,0))</f>
        <v>밀리의 서재</v>
      </c>
      <c r="N395" s="9" t="str">
        <f>IF(M395="스토리위즈",VLOOKUP(B395,[1]작가별정산률!$A:$B,2,0),M395)</f>
        <v>밀리의 서재</v>
      </c>
    </row>
    <row r="396" spans="1:14">
      <c r="A396" t="s">
        <v>451</v>
      </c>
      <c r="B396" t="s">
        <v>452</v>
      </c>
      <c r="C396" t="s">
        <v>425</v>
      </c>
      <c r="D396" t="s">
        <v>13</v>
      </c>
      <c r="E396" t="s">
        <v>18</v>
      </c>
      <c r="F396">
        <v>4</v>
      </c>
      <c r="G396">
        <v>3000</v>
      </c>
      <c r="H396">
        <v>12000</v>
      </c>
      <c r="I396">
        <v>0</v>
      </c>
      <c r="J396">
        <v>0</v>
      </c>
      <c r="K396">
        <v>12000</v>
      </c>
      <c r="L396">
        <v>8400</v>
      </c>
      <c r="M396" s="9" t="str">
        <f>IF(ISERROR(VLOOKUP(B396,[1]작가별정산률!$R:$S,2,0)),"스토리위즈",VLOOKUP(B396,[1]작가별정산률!$R:$S,2,0))</f>
        <v>밀리의 서재</v>
      </c>
      <c r="N396" s="9" t="str">
        <f>IF(M396="스토리위즈",VLOOKUP(B396,[1]작가별정산률!$A:$B,2,0),M396)</f>
        <v>밀리의 서재</v>
      </c>
    </row>
    <row r="397" spans="1:14">
      <c r="A397" t="s">
        <v>453</v>
      </c>
      <c r="B397" t="s">
        <v>454</v>
      </c>
      <c r="C397" t="s">
        <v>425</v>
      </c>
      <c r="D397" t="s">
        <v>13</v>
      </c>
      <c r="E397" t="s">
        <v>18</v>
      </c>
      <c r="F397">
        <v>3</v>
      </c>
      <c r="G397">
        <v>2500</v>
      </c>
      <c r="H397">
        <v>7500</v>
      </c>
      <c r="I397">
        <v>0</v>
      </c>
      <c r="J397">
        <v>0</v>
      </c>
      <c r="K397">
        <v>7500</v>
      </c>
      <c r="L397">
        <v>5250</v>
      </c>
      <c r="M397" s="9" t="str">
        <f>IF(ISERROR(VLOOKUP(B397,[1]작가별정산률!$R:$S,2,0)),"스토리위즈",VLOOKUP(B397,[1]작가별정산률!$R:$S,2,0))</f>
        <v>밀리의 서재</v>
      </c>
      <c r="N397" s="9" t="str">
        <f>IF(M397="스토리위즈",VLOOKUP(B397,[1]작가별정산률!$A:$B,2,0),M397)</f>
        <v>밀리의 서재</v>
      </c>
    </row>
    <row r="398" spans="1:14">
      <c r="A398" t="s">
        <v>455</v>
      </c>
      <c r="B398" t="s">
        <v>456</v>
      </c>
      <c r="C398" t="s">
        <v>425</v>
      </c>
      <c r="D398" t="s">
        <v>13</v>
      </c>
      <c r="E398" t="s">
        <v>18</v>
      </c>
      <c r="F398">
        <v>14</v>
      </c>
      <c r="G398">
        <v>2500</v>
      </c>
      <c r="H398">
        <v>35000</v>
      </c>
      <c r="I398">
        <v>0</v>
      </c>
      <c r="J398">
        <v>0</v>
      </c>
      <c r="K398">
        <v>35000</v>
      </c>
      <c r="L398">
        <v>24500</v>
      </c>
      <c r="M398" s="9" t="str">
        <f>IF(ISERROR(VLOOKUP(B398,[1]작가별정산률!$R:$S,2,0)),"스토리위즈",VLOOKUP(B398,[1]작가별정산률!$R:$S,2,0))</f>
        <v>밀리의 서재</v>
      </c>
      <c r="N398" s="9" t="str">
        <f>IF(M398="스토리위즈",VLOOKUP(B398,[1]작가별정산률!$A:$B,2,0),M398)</f>
        <v>밀리의 서재</v>
      </c>
    </row>
    <row r="399" spans="1:14">
      <c r="A399" t="s">
        <v>457</v>
      </c>
      <c r="B399" t="s">
        <v>454</v>
      </c>
      <c r="C399" t="s">
        <v>425</v>
      </c>
      <c r="D399" t="s">
        <v>13</v>
      </c>
      <c r="E399" t="s">
        <v>18</v>
      </c>
      <c r="F399">
        <v>31</v>
      </c>
      <c r="G399">
        <v>2500</v>
      </c>
      <c r="H399">
        <v>77500</v>
      </c>
      <c r="I399">
        <v>0</v>
      </c>
      <c r="J399">
        <v>0</v>
      </c>
      <c r="K399">
        <v>77500</v>
      </c>
      <c r="L399">
        <v>54250</v>
      </c>
      <c r="M399" s="9" t="str">
        <f>IF(ISERROR(VLOOKUP(B399,[1]작가별정산률!$R:$S,2,0)),"스토리위즈",VLOOKUP(B399,[1]작가별정산률!$R:$S,2,0))</f>
        <v>밀리의 서재</v>
      </c>
      <c r="N399" s="9" t="str">
        <f>IF(M399="스토리위즈",VLOOKUP(B399,[1]작가별정산률!$A:$B,2,0),M399)</f>
        <v>밀리의 서재</v>
      </c>
    </row>
    <row r="400" spans="1:14">
      <c r="A400" t="s">
        <v>458</v>
      </c>
      <c r="B400" t="s">
        <v>459</v>
      </c>
      <c r="C400" t="s">
        <v>425</v>
      </c>
      <c r="D400" t="s">
        <v>13</v>
      </c>
      <c r="E400" t="s">
        <v>18</v>
      </c>
      <c r="F400">
        <v>16</v>
      </c>
      <c r="G400">
        <v>2000</v>
      </c>
      <c r="H400">
        <v>32000</v>
      </c>
      <c r="I400">
        <v>0</v>
      </c>
      <c r="J400">
        <v>0</v>
      </c>
      <c r="K400">
        <v>32000</v>
      </c>
      <c r="L400">
        <v>22400</v>
      </c>
      <c r="M400" s="9" t="str">
        <f>IF(ISERROR(VLOOKUP(B400,[1]작가별정산률!$R:$S,2,0)),"스토리위즈",VLOOKUP(B400,[1]작가별정산률!$R:$S,2,0))</f>
        <v>밀리의 서재</v>
      </c>
      <c r="N400" s="9" t="str">
        <f>IF(M400="스토리위즈",VLOOKUP(B400,[1]작가별정산률!$A:$B,2,0),M400)</f>
        <v>밀리의 서재</v>
      </c>
    </row>
    <row r="401" spans="1:14">
      <c r="A401" t="s">
        <v>460</v>
      </c>
      <c r="B401" t="s">
        <v>461</v>
      </c>
      <c r="C401" t="s">
        <v>413</v>
      </c>
      <c r="D401" t="s">
        <v>13</v>
      </c>
      <c r="E401" t="s">
        <v>18</v>
      </c>
      <c r="F401">
        <v>4</v>
      </c>
      <c r="G401">
        <v>3000</v>
      </c>
      <c r="H401">
        <v>12000</v>
      </c>
      <c r="I401">
        <v>0</v>
      </c>
      <c r="J401">
        <v>0</v>
      </c>
      <c r="K401">
        <v>12000</v>
      </c>
      <c r="L401">
        <v>8400</v>
      </c>
      <c r="M401" s="9" t="str">
        <f>IF(ISERROR(VLOOKUP(B401,[1]작가별정산률!$R:$S,2,0)),"스토리위즈",VLOOKUP(B401,[1]작가별정산률!$R:$S,2,0))</f>
        <v>더컴퍼니</v>
      </c>
      <c r="N401" s="9" t="str">
        <f>IF(M401="스토리위즈",VLOOKUP(B401,[1]작가별정산률!$A:$B,2,0),M401)</f>
        <v>더컴퍼니</v>
      </c>
    </row>
    <row r="402" spans="1:14">
      <c r="A402" t="s">
        <v>462</v>
      </c>
      <c r="B402" t="s">
        <v>461</v>
      </c>
      <c r="C402" t="s">
        <v>413</v>
      </c>
      <c r="D402" t="s">
        <v>13</v>
      </c>
      <c r="E402" t="s">
        <v>18</v>
      </c>
      <c r="F402">
        <v>5</v>
      </c>
      <c r="G402">
        <v>3000</v>
      </c>
      <c r="H402">
        <v>15000</v>
      </c>
      <c r="I402">
        <v>0</v>
      </c>
      <c r="J402">
        <v>0</v>
      </c>
      <c r="K402">
        <v>15000</v>
      </c>
      <c r="L402">
        <v>10500</v>
      </c>
      <c r="M402" s="9" t="str">
        <f>IF(ISERROR(VLOOKUP(B402,[1]작가별정산률!$R:$S,2,0)),"스토리위즈",VLOOKUP(B402,[1]작가별정산률!$R:$S,2,0))</f>
        <v>더컴퍼니</v>
      </c>
      <c r="N402" s="9" t="str">
        <f>IF(M402="스토리위즈",VLOOKUP(B402,[1]작가별정산률!$A:$B,2,0),M402)</f>
        <v>더컴퍼니</v>
      </c>
    </row>
    <row r="403" spans="1:14">
      <c r="A403" t="s">
        <v>463</v>
      </c>
      <c r="B403" t="s">
        <v>461</v>
      </c>
      <c r="C403" t="s">
        <v>413</v>
      </c>
      <c r="D403" t="s">
        <v>13</v>
      </c>
      <c r="E403" t="s">
        <v>18</v>
      </c>
      <c r="F403">
        <v>5</v>
      </c>
      <c r="G403">
        <v>3000</v>
      </c>
      <c r="H403">
        <v>15000</v>
      </c>
      <c r="I403">
        <v>0</v>
      </c>
      <c r="J403">
        <v>0</v>
      </c>
      <c r="K403">
        <v>15000</v>
      </c>
      <c r="L403">
        <v>10500</v>
      </c>
      <c r="M403" s="9" t="str">
        <f>IF(ISERROR(VLOOKUP(B403,[1]작가별정산률!$R:$S,2,0)),"스토리위즈",VLOOKUP(B403,[1]작가별정산률!$R:$S,2,0))</f>
        <v>더컴퍼니</v>
      </c>
      <c r="N403" s="9" t="str">
        <f>IF(M403="스토리위즈",VLOOKUP(B403,[1]작가별정산률!$A:$B,2,0),M403)</f>
        <v>더컴퍼니</v>
      </c>
    </row>
    <row r="404" spans="1:14">
      <c r="A404" t="s">
        <v>464</v>
      </c>
      <c r="B404" t="s">
        <v>461</v>
      </c>
      <c r="C404" t="s">
        <v>413</v>
      </c>
      <c r="D404" t="s">
        <v>13</v>
      </c>
      <c r="E404" t="s">
        <v>18</v>
      </c>
      <c r="F404">
        <v>4</v>
      </c>
      <c r="G404">
        <v>3000</v>
      </c>
      <c r="H404">
        <v>12000</v>
      </c>
      <c r="I404">
        <v>0</v>
      </c>
      <c r="J404">
        <v>0</v>
      </c>
      <c r="K404">
        <v>12000</v>
      </c>
      <c r="L404">
        <v>8400</v>
      </c>
      <c r="M404" s="9" t="str">
        <f>IF(ISERROR(VLOOKUP(B404,[1]작가별정산률!$R:$S,2,0)),"스토리위즈",VLOOKUP(B404,[1]작가별정산률!$R:$S,2,0))</f>
        <v>더컴퍼니</v>
      </c>
      <c r="N404" s="9" t="str">
        <f>IF(M404="스토리위즈",VLOOKUP(B404,[1]작가별정산률!$A:$B,2,0),M404)</f>
        <v>더컴퍼니</v>
      </c>
    </row>
    <row r="405" spans="1:14">
      <c r="A405" t="s">
        <v>465</v>
      </c>
      <c r="B405" t="s">
        <v>461</v>
      </c>
      <c r="C405" t="s">
        <v>413</v>
      </c>
      <c r="D405" t="s">
        <v>13</v>
      </c>
      <c r="E405" t="s">
        <v>18</v>
      </c>
      <c r="F405">
        <v>5</v>
      </c>
      <c r="G405">
        <v>3000</v>
      </c>
      <c r="H405">
        <v>15000</v>
      </c>
      <c r="I405">
        <v>0</v>
      </c>
      <c r="J405">
        <v>0</v>
      </c>
      <c r="K405">
        <v>15000</v>
      </c>
      <c r="L405">
        <v>10500</v>
      </c>
      <c r="M405" s="9" t="str">
        <f>IF(ISERROR(VLOOKUP(B405,[1]작가별정산률!$R:$S,2,0)),"스토리위즈",VLOOKUP(B405,[1]작가별정산률!$R:$S,2,0))</f>
        <v>더컴퍼니</v>
      </c>
      <c r="N405" s="9" t="str">
        <f>IF(M405="스토리위즈",VLOOKUP(B405,[1]작가별정산률!$A:$B,2,0),M405)</f>
        <v>더컴퍼니</v>
      </c>
    </row>
    <row r="406" spans="1:14">
      <c r="A406" t="s">
        <v>466</v>
      </c>
      <c r="B406" t="s">
        <v>467</v>
      </c>
      <c r="C406" t="s">
        <v>425</v>
      </c>
      <c r="D406" t="s">
        <v>13</v>
      </c>
      <c r="E406" t="s">
        <v>18</v>
      </c>
      <c r="F406">
        <v>1</v>
      </c>
      <c r="G406">
        <v>2000</v>
      </c>
      <c r="H406">
        <v>2000</v>
      </c>
      <c r="I406">
        <v>0</v>
      </c>
      <c r="J406">
        <v>0</v>
      </c>
      <c r="K406">
        <v>2000</v>
      </c>
      <c r="L406">
        <v>1400</v>
      </c>
      <c r="M406" s="9" t="str">
        <f>IF(ISERROR(VLOOKUP(B406,[1]작가별정산률!$R:$S,2,0)),"스토리위즈",VLOOKUP(B406,[1]작가별정산률!$R:$S,2,0))</f>
        <v>밀리의 서재</v>
      </c>
      <c r="N406" s="9" t="str">
        <f>IF(M406="스토리위즈",VLOOKUP(B406,[1]작가별정산률!$A:$B,2,0),M406)</f>
        <v>밀리의 서재</v>
      </c>
    </row>
    <row r="407" spans="1:14">
      <c r="A407" t="s">
        <v>468</v>
      </c>
      <c r="B407" t="s">
        <v>469</v>
      </c>
      <c r="C407" t="s">
        <v>425</v>
      </c>
      <c r="D407" t="s">
        <v>13</v>
      </c>
      <c r="E407" t="s">
        <v>18</v>
      </c>
      <c r="F407">
        <v>1</v>
      </c>
      <c r="G407">
        <v>2000</v>
      </c>
      <c r="H407">
        <v>2000</v>
      </c>
      <c r="I407">
        <v>0</v>
      </c>
      <c r="J407">
        <v>0</v>
      </c>
      <c r="K407">
        <v>2000</v>
      </c>
      <c r="L407">
        <v>1400</v>
      </c>
      <c r="M407" s="9" t="str">
        <f>IF(ISERROR(VLOOKUP(B407,[1]작가별정산률!$R:$S,2,0)),"스토리위즈",VLOOKUP(B407,[1]작가별정산률!$R:$S,2,0))</f>
        <v>밀리의 서재</v>
      </c>
      <c r="N407" s="9" t="str">
        <f>IF(M407="스토리위즈",VLOOKUP(B407,[1]작가별정산률!$A:$B,2,0),M407)</f>
        <v>밀리의 서재</v>
      </c>
    </row>
    <row r="408" spans="1:14">
      <c r="A408" t="s">
        <v>470</v>
      </c>
      <c r="B408" t="s">
        <v>471</v>
      </c>
      <c r="C408" t="s">
        <v>425</v>
      </c>
      <c r="D408" t="s">
        <v>13</v>
      </c>
      <c r="E408" t="s">
        <v>18</v>
      </c>
      <c r="F408">
        <v>8</v>
      </c>
      <c r="G408">
        <v>2000</v>
      </c>
      <c r="H408">
        <v>16000</v>
      </c>
      <c r="I408">
        <v>0</v>
      </c>
      <c r="J408">
        <v>0</v>
      </c>
      <c r="K408">
        <v>16000</v>
      </c>
      <c r="L408">
        <v>11200</v>
      </c>
      <c r="M408" s="9" t="str">
        <f>IF(ISERROR(VLOOKUP(B408,[1]작가별정산률!$R:$S,2,0)),"스토리위즈",VLOOKUP(B408,[1]작가별정산률!$R:$S,2,0))</f>
        <v>밀리의 서재</v>
      </c>
      <c r="N408" s="9" t="str">
        <f>IF(M408="스토리위즈",VLOOKUP(B408,[1]작가별정산률!$A:$B,2,0),M408)</f>
        <v>밀리의 서재</v>
      </c>
    </row>
    <row r="409" spans="1:14">
      <c r="A409" t="s">
        <v>472</v>
      </c>
      <c r="B409" t="s">
        <v>473</v>
      </c>
      <c r="C409" t="s">
        <v>413</v>
      </c>
      <c r="D409" t="s">
        <v>13</v>
      </c>
      <c r="E409" t="s">
        <v>18</v>
      </c>
      <c r="F409">
        <v>1</v>
      </c>
      <c r="G409">
        <v>2500</v>
      </c>
      <c r="H409">
        <v>2500</v>
      </c>
      <c r="I409">
        <v>0</v>
      </c>
      <c r="J409">
        <v>0</v>
      </c>
      <c r="K409">
        <v>2500</v>
      </c>
      <c r="L409">
        <v>1750</v>
      </c>
      <c r="M409" s="9" t="str">
        <f>IF(ISERROR(VLOOKUP(B409,[1]작가별정산률!$R:$S,2,0)),"스토리위즈",VLOOKUP(B409,[1]작가별정산률!$R:$S,2,0))</f>
        <v>더컴퍼니</v>
      </c>
      <c r="N409" s="9" t="str">
        <f>IF(M409="스토리위즈",VLOOKUP(B409,[1]작가별정산률!$A:$B,2,0),M409)</f>
        <v>더컴퍼니</v>
      </c>
    </row>
    <row r="410" spans="1:14">
      <c r="A410" t="s">
        <v>474</v>
      </c>
      <c r="B410" t="s">
        <v>473</v>
      </c>
      <c r="C410" t="s">
        <v>413</v>
      </c>
      <c r="D410" t="s">
        <v>13</v>
      </c>
      <c r="E410" t="s">
        <v>18</v>
      </c>
      <c r="F410">
        <v>1</v>
      </c>
      <c r="G410">
        <v>3500</v>
      </c>
      <c r="H410">
        <v>3500</v>
      </c>
      <c r="I410">
        <v>0</v>
      </c>
      <c r="J410">
        <v>0</v>
      </c>
      <c r="K410">
        <v>3500</v>
      </c>
      <c r="L410">
        <v>2450</v>
      </c>
      <c r="M410" s="9" t="str">
        <f>IF(ISERROR(VLOOKUP(B410,[1]작가별정산률!$R:$S,2,0)),"스토리위즈",VLOOKUP(B410,[1]작가별정산률!$R:$S,2,0))</f>
        <v>더컴퍼니</v>
      </c>
      <c r="N410" s="9" t="str">
        <f>IF(M410="스토리위즈",VLOOKUP(B410,[1]작가별정산률!$A:$B,2,0),M410)</f>
        <v>더컴퍼니</v>
      </c>
    </row>
    <row r="411" spans="1:14">
      <c r="A411" t="s">
        <v>475</v>
      </c>
      <c r="B411" t="s">
        <v>473</v>
      </c>
      <c r="C411" t="s">
        <v>413</v>
      </c>
      <c r="D411" t="s">
        <v>13</v>
      </c>
      <c r="E411" t="s">
        <v>18</v>
      </c>
      <c r="F411">
        <v>1</v>
      </c>
      <c r="G411">
        <v>3500</v>
      </c>
      <c r="H411">
        <v>3500</v>
      </c>
      <c r="I411">
        <v>0</v>
      </c>
      <c r="J411">
        <v>0</v>
      </c>
      <c r="K411">
        <v>3500</v>
      </c>
      <c r="L411">
        <v>2450</v>
      </c>
      <c r="M411" s="9" t="str">
        <f>IF(ISERROR(VLOOKUP(B411,[1]작가별정산률!$R:$S,2,0)),"스토리위즈",VLOOKUP(B411,[1]작가별정산률!$R:$S,2,0))</f>
        <v>더컴퍼니</v>
      </c>
      <c r="N411" s="9" t="str">
        <f>IF(M411="스토리위즈",VLOOKUP(B411,[1]작가별정산률!$A:$B,2,0),M411)</f>
        <v>더컴퍼니</v>
      </c>
    </row>
    <row r="412" spans="1:14">
      <c r="A412" t="s">
        <v>476</v>
      </c>
      <c r="B412" t="s">
        <v>473</v>
      </c>
      <c r="C412" t="s">
        <v>413</v>
      </c>
      <c r="D412" t="s">
        <v>13</v>
      </c>
      <c r="E412" t="s">
        <v>18</v>
      </c>
      <c r="F412">
        <v>1</v>
      </c>
      <c r="G412">
        <v>3500</v>
      </c>
      <c r="H412">
        <v>3500</v>
      </c>
      <c r="I412">
        <v>0</v>
      </c>
      <c r="J412">
        <v>0</v>
      </c>
      <c r="K412">
        <v>3500</v>
      </c>
      <c r="L412">
        <v>2450</v>
      </c>
      <c r="M412" s="9" t="str">
        <f>IF(ISERROR(VLOOKUP(B412,[1]작가별정산률!$R:$S,2,0)),"스토리위즈",VLOOKUP(B412,[1]작가별정산률!$R:$S,2,0))</f>
        <v>더컴퍼니</v>
      </c>
      <c r="N412" s="9" t="str">
        <f>IF(M412="스토리위즈",VLOOKUP(B412,[1]작가별정산률!$A:$B,2,0),M412)</f>
        <v>더컴퍼니</v>
      </c>
    </row>
    <row r="413" spans="1:14">
      <c r="A413" t="s">
        <v>477</v>
      </c>
      <c r="B413" t="s">
        <v>473</v>
      </c>
      <c r="C413" t="s">
        <v>413</v>
      </c>
      <c r="D413" t="s">
        <v>13</v>
      </c>
      <c r="E413" t="s">
        <v>18</v>
      </c>
      <c r="F413">
        <v>1</v>
      </c>
      <c r="G413">
        <v>3500</v>
      </c>
      <c r="H413">
        <v>3500</v>
      </c>
      <c r="I413">
        <v>0</v>
      </c>
      <c r="J413">
        <v>0</v>
      </c>
      <c r="K413">
        <v>3500</v>
      </c>
      <c r="L413">
        <v>2450</v>
      </c>
      <c r="M413" s="9" t="str">
        <f>IF(ISERROR(VLOOKUP(B413,[1]작가별정산률!$R:$S,2,0)),"스토리위즈",VLOOKUP(B413,[1]작가별정산률!$R:$S,2,0))</f>
        <v>더컴퍼니</v>
      </c>
      <c r="N413" s="9" t="str">
        <f>IF(M413="스토리위즈",VLOOKUP(B413,[1]작가별정산률!$A:$B,2,0),M413)</f>
        <v>더컴퍼니</v>
      </c>
    </row>
    <row r="414" spans="1:14">
      <c r="A414" t="s">
        <v>478</v>
      </c>
      <c r="B414" t="s">
        <v>479</v>
      </c>
      <c r="C414" t="s">
        <v>425</v>
      </c>
      <c r="D414" t="s">
        <v>13</v>
      </c>
      <c r="E414" t="s">
        <v>18</v>
      </c>
      <c r="F414">
        <v>1</v>
      </c>
      <c r="G414">
        <v>2500</v>
      </c>
      <c r="H414">
        <v>2500</v>
      </c>
      <c r="I414">
        <v>0</v>
      </c>
      <c r="J414">
        <v>0</v>
      </c>
      <c r="K414">
        <v>2500</v>
      </c>
      <c r="L414">
        <v>1750</v>
      </c>
      <c r="M414" s="9" t="str">
        <f>IF(ISERROR(VLOOKUP(B414,[1]작가별정산률!$R:$S,2,0)),"스토리위즈",VLOOKUP(B414,[1]작가별정산률!$R:$S,2,0))</f>
        <v>밀리의 서재</v>
      </c>
      <c r="N414" s="9" t="str">
        <f>IF(M414="스토리위즈",VLOOKUP(B414,[1]작가별정산률!$A:$B,2,0),M414)</f>
        <v>밀리의 서재</v>
      </c>
    </row>
    <row r="415" spans="1:14">
      <c r="A415" t="s">
        <v>480</v>
      </c>
      <c r="B415" t="s">
        <v>481</v>
      </c>
      <c r="C415" t="s">
        <v>425</v>
      </c>
      <c r="D415" t="s">
        <v>13</v>
      </c>
      <c r="E415" t="s">
        <v>18</v>
      </c>
      <c r="F415">
        <v>9</v>
      </c>
      <c r="G415">
        <v>2500</v>
      </c>
      <c r="H415">
        <v>22500</v>
      </c>
      <c r="I415">
        <v>0</v>
      </c>
      <c r="J415">
        <v>0</v>
      </c>
      <c r="K415">
        <v>22500</v>
      </c>
      <c r="L415">
        <v>15750</v>
      </c>
      <c r="M415" s="9" t="str">
        <f>IF(ISERROR(VLOOKUP(B415,[1]작가별정산률!$R:$S,2,0)),"스토리위즈",VLOOKUP(B415,[1]작가별정산률!$R:$S,2,0))</f>
        <v>밀리의 서재</v>
      </c>
      <c r="N415" s="9" t="str">
        <f>IF(M415="스토리위즈",VLOOKUP(B415,[1]작가별정산률!$A:$B,2,0),M415)</f>
        <v>밀리의 서재</v>
      </c>
    </row>
    <row r="416" spans="1:14">
      <c r="A416" t="s">
        <v>482</v>
      </c>
      <c r="B416" t="s">
        <v>483</v>
      </c>
      <c r="C416" t="s">
        <v>413</v>
      </c>
      <c r="D416" t="s">
        <v>13</v>
      </c>
      <c r="E416" t="s">
        <v>18</v>
      </c>
      <c r="F416">
        <v>1</v>
      </c>
      <c r="G416">
        <v>3800</v>
      </c>
      <c r="H416">
        <v>3800</v>
      </c>
      <c r="I416">
        <v>0</v>
      </c>
      <c r="J416">
        <v>0</v>
      </c>
      <c r="K416">
        <v>3800</v>
      </c>
      <c r="L416">
        <v>2660</v>
      </c>
      <c r="M416" s="9" t="str">
        <f>IF(ISERROR(VLOOKUP(B416,[1]작가별정산률!$R:$S,2,0)),"스토리위즈",VLOOKUP(B416,[1]작가별정산률!$R:$S,2,0))</f>
        <v>더컴퍼니</v>
      </c>
      <c r="N416" s="9" t="str">
        <f>IF(M416="스토리위즈",VLOOKUP(B416,[1]작가별정산률!$A:$B,2,0),M416)</f>
        <v>더컴퍼니</v>
      </c>
    </row>
    <row r="417" spans="1:14">
      <c r="A417" t="s">
        <v>484</v>
      </c>
      <c r="B417" t="s">
        <v>483</v>
      </c>
      <c r="C417" t="s">
        <v>413</v>
      </c>
      <c r="D417" t="s">
        <v>13</v>
      </c>
      <c r="E417" t="s">
        <v>18</v>
      </c>
      <c r="F417">
        <v>1</v>
      </c>
      <c r="G417">
        <v>3800</v>
      </c>
      <c r="H417">
        <v>3800</v>
      </c>
      <c r="I417">
        <v>0</v>
      </c>
      <c r="J417">
        <v>0</v>
      </c>
      <c r="K417">
        <v>3800</v>
      </c>
      <c r="L417">
        <v>2660</v>
      </c>
      <c r="M417" s="9" t="str">
        <f>IF(ISERROR(VLOOKUP(B417,[1]작가별정산률!$R:$S,2,0)),"스토리위즈",VLOOKUP(B417,[1]작가별정산률!$R:$S,2,0))</f>
        <v>더컴퍼니</v>
      </c>
      <c r="N417" s="9" t="str">
        <f>IF(M417="스토리위즈",VLOOKUP(B417,[1]작가별정산률!$A:$B,2,0),M417)</f>
        <v>더컴퍼니</v>
      </c>
    </row>
    <row r="418" spans="1:14">
      <c r="A418" t="s">
        <v>485</v>
      </c>
      <c r="B418" t="s">
        <v>486</v>
      </c>
      <c r="C418" t="s">
        <v>413</v>
      </c>
      <c r="D418" t="s">
        <v>13</v>
      </c>
      <c r="E418" t="s">
        <v>18</v>
      </c>
      <c r="F418">
        <v>1</v>
      </c>
      <c r="G418">
        <v>1000</v>
      </c>
      <c r="H418">
        <v>1000</v>
      </c>
      <c r="I418">
        <v>0</v>
      </c>
      <c r="J418">
        <v>0</v>
      </c>
      <c r="K418">
        <v>1000</v>
      </c>
      <c r="L418">
        <v>700</v>
      </c>
      <c r="M418" s="9" t="str">
        <f>IF(ISERROR(VLOOKUP(B418,[1]작가별정산률!$R:$S,2,0)),"스토리위즈",VLOOKUP(B418,[1]작가별정산률!$R:$S,2,0))</f>
        <v>더컴퍼니</v>
      </c>
      <c r="N418" s="9" t="str">
        <f>IF(M418="스토리위즈",VLOOKUP(B418,[1]작가별정산률!$A:$B,2,0),M418)</f>
        <v>더컴퍼니</v>
      </c>
    </row>
    <row r="419" spans="1:14">
      <c r="A419" t="s">
        <v>487</v>
      </c>
      <c r="B419" t="s">
        <v>486</v>
      </c>
      <c r="C419" t="s">
        <v>413</v>
      </c>
      <c r="D419" t="s">
        <v>13</v>
      </c>
      <c r="E419" t="s">
        <v>18</v>
      </c>
      <c r="F419">
        <v>1</v>
      </c>
      <c r="G419">
        <v>2800</v>
      </c>
      <c r="H419">
        <v>2800</v>
      </c>
      <c r="I419">
        <v>0</v>
      </c>
      <c r="J419">
        <v>0</v>
      </c>
      <c r="K419">
        <v>2800</v>
      </c>
      <c r="L419">
        <v>1960</v>
      </c>
      <c r="M419" s="9" t="str">
        <f>IF(ISERROR(VLOOKUP(B419,[1]작가별정산률!$R:$S,2,0)),"스토리위즈",VLOOKUP(B419,[1]작가별정산률!$R:$S,2,0))</f>
        <v>더컴퍼니</v>
      </c>
      <c r="N419" s="9" t="str">
        <f>IF(M419="스토리위즈",VLOOKUP(B419,[1]작가별정산률!$A:$B,2,0),M419)</f>
        <v>더컴퍼니</v>
      </c>
    </row>
    <row r="420" spans="1:14">
      <c r="A420" t="s">
        <v>488</v>
      </c>
      <c r="B420" t="s">
        <v>486</v>
      </c>
      <c r="C420" t="s">
        <v>413</v>
      </c>
      <c r="D420" t="s">
        <v>13</v>
      </c>
      <c r="E420" t="s">
        <v>18</v>
      </c>
      <c r="F420">
        <v>1</v>
      </c>
      <c r="G420">
        <v>2800</v>
      </c>
      <c r="H420">
        <v>2800</v>
      </c>
      <c r="I420">
        <v>0</v>
      </c>
      <c r="J420">
        <v>0</v>
      </c>
      <c r="K420">
        <v>2800</v>
      </c>
      <c r="L420">
        <v>1960</v>
      </c>
      <c r="M420" s="9" t="str">
        <f>IF(ISERROR(VLOOKUP(B420,[1]작가별정산률!$R:$S,2,0)),"스토리위즈",VLOOKUP(B420,[1]작가별정산률!$R:$S,2,0))</f>
        <v>더컴퍼니</v>
      </c>
      <c r="N420" s="9" t="str">
        <f>IF(M420="스토리위즈",VLOOKUP(B420,[1]작가별정산률!$A:$B,2,0),M420)</f>
        <v>더컴퍼니</v>
      </c>
    </row>
    <row r="421" spans="1:14">
      <c r="A421" t="s">
        <v>489</v>
      </c>
      <c r="B421" t="s">
        <v>490</v>
      </c>
      <c r="C421" t="s">
        <v>491</v>
      </c>
      <c r="D421" t="s">
        <v>13</v>
      </c>
      <c r="E421" t="s">
        <v>18</v>
      </c>
      <c r="F421">
        <v>1</v>
      </c>
      <c r="G421">
        <v>3600</v>
      </c>
      <c r="H421">
        <v>3600</v>
      </c>
      <c r="I421">
        <v>0</v>
      </c>
      <c r="J421">
        <v>0</v>
      </c>
      <c r="K421">
        <v>3600</v>
      </c>
      <c r="L421">
        <v>2520</v>
      </c>
      <c r="M421" s="9" t="str">
        <f>IF(ISERROR(VLOOKUP(B421,[1]작가별정산률!$R:$S,2,0)),"스토리위즈",VLOOKUP(B421,[1]작가별정산률!$R:$S,2,0))</f>
        <v>더컴퍼니</v>
      </c>
      <c r="N421" s="9" t="str">
        <f>IF(M421="스토리위즈",VLOOKUP(B421,[1]작가별정산률!$A:$B,2,0),M421)</f>
        <v>더컴퍼니</v>
      </c>
    </row>
    <row r="422" spans="1:14">
      <c r="A422" t="s">
        <v>492</v>
      </c>
      <c r="B422" t="s">
        <v>493</v>
      </c>
      <c r="C422" t="s">
        <v>425</v>
      </c>
      <c r="D422" t="s">
        <v>13</v>
      </c>
      <c r="E422" t="s">
        <v>18</v>
      </c>
      <c r="F422">
        <v>3</v>
      </c>
      <c r="G422">
        <v>3500</v>
      </c>
      <c r="H422">
        <v>10500</v>
      </c>
      <c r="I422">
        <v>0</v>
      </c>
      <c r="J422">
        <v>0</v>
      </c>
      <c r="K422">
        <v>10500</v>
      </c>
      <c r="L422">
        <v>7350</v>
      </c>
      <c r="M422" s="9" t="str">
        <f>IF(ISERROR(VLOOKUP(B422,[1]작가별정산률!$R:$S,2,0)),"스토리위즈",VLOOKUP(B422,[1]작가별정산률!$R:$S,2,0))</f>
        <v>밀리의 서재</v>
      </c>
      <c r="N422" s="9" t="str">
        <f>IF(M422="스토리위즈",VLOOKUP(B422,[1]작가별정산률!$A:$B,2,0),M422)</f>
        <v>밀리의 서재</v>
      </c>
    </row>
    <row r="423" spans="1:14">
      <c r="A423" t="s">
        <v>494</v>
      </c>
      <c r="B423" t="s">
        <v>429</v>
      </c>
      <c r="C423" t="s">
        <v>425</v>
      </c>
      <c r="D423" t="s">
        <v>13</v>
      </c>
      <c r="E423" t="s">
        <v>18</v>
      </c>
      <c r="F423">
        <v>38</v>
      </c>
      <c r="G423">
        <v>2000</v>
      </c>
      <c r="H423">
        <v>76000</v>
      </c>
      <c r="I423">
        <v>0</v>
      </c>
      <c r="J423">
        <v>0</v>
      </c>
      <c r="K423">
        <v>76000</v>
      </c>
      <c r="L423">
        <v>53200</v>
      </c>
      <c r="M423" s="9" t="str">
        <f>IF(ISERROR(VLOOKUP(B423,[1]작가별정산률!$R:$S,2,0)),"스토리위즈",VLOOKUP(B423,[1]작가별정산률!$R:$S,2,0))</f>
        <v>밀리의 서재</v>
      </c>
      <c r="N423" s="9" t="str">
        <f>IF(M423="스토리위즈",VLOOKUP(B423,[1]작가별정산률!$A:$B,2,0),M423)</f>
        <v>밀리의 서재</v>
      </c>
    </row>
    <row r="424" spans="1:14">
      <c r="A424" t="s">
        <v>495</v>
      </c>
      <c r="B424" t="s">
        <v>496</v>
      </c>
      <c r="C424" t="s">
        <v>425</v>
      </c>
      <c r="D424" t="s">
        <v>13</v>
      </c>
      <c r="E424" t="s">
        <v>18</v>
      </c>
      <c r="F424">
        <v>2</v>
      </c>
      <c r="G424">
        <v>3000</v>
      </c>
      <c r="H424">
        <v>6000</v>
      </c>
      <c r="I424">
        <v>0</v>
      </c>
      <c r="J424">
        <v>0</v>
      </c>
      <c r="K424">
        <v>6000</v>
      </c>
      <c r="L424">
        <v>4200</v>
      </c>
      <c r="M424" s="9" t="str">
        <f>IF(ISERROR(VLOOKUP(B424,[1]작가별정산률!$R:$S,2,0)),"스토리위즈",VLOOKUP(B424,[1]작가별정산률!$R:$S,2,0))</f>
        <v>밀리의 서재</v>
      </c>
      <c r="N424" s="9" t="str">
        <f>IF(M424="스토리위즈",VLOOKUP(B424,[1]작가별정산률!$A:$B,2,0),M424)</f>
        <v>밀리의 서재</v>
      </c>
    </row>
    <row r="425" spans="1:14">
      <c r="A425" t="s">
        <v>497</v>
      </c>
      <c r="B425" t="s">
        <v>498</v>
      </c>
      <c r="C425" t="s">
        <v>425</v>
      </c>
      <c r="D425" t="s">
        <v>13</v>
      </c>
      <c r="E425" t="s">
        <v>18</v>
      </c>
      <c r="F425">
        <v>5</v>
      </c>
      <c r="G425">
        <v>2000</v>
      </c>
      <c r="H425">
        <v>10000</v>
      </c>
      <c r="I425">
        <v>0</v>
      </c>
      <c r="J425">
        <v>0</v>
      </c>
      <c r="K425">
        <v>10000</v>
      </c>
      <c r="L425">
        <v>7000</v>
      </c>
      <c r="M425" s="9" t="str">
        <f>IF(ISERROR(VLOOKUP(B425,[1]작가별정산률!$R:$S,2,0)),"스토리위즈",VLOOKUP(B425,[1]작가별정산률!$R:$S,2,0))</f>
        <v>밀리의 서재</v>
      </c>
      <c r="N425" s="9" t="str">
        <f>IF(M425="스토리위즈",VLOOKUP(B425,[1]작가별정산률!$A:$B,2,0),M425)</f>
        <v>밀리의 서재</v>
      </c>
    </row>
    <row r="426" spans="1:14">
      <c r="A426" t="s">
        <v>499</v>
      </c>
      <c r="B426" t="s">
        <v>461</v>
      </c>
      <c r="C426" t="s">
        <v>413</v>
      </c>
      <c r="D426" t="s">
        <v>13</v>
      </c>
      <c r="E426" t="s">
        <v>16</v>
      </c>
      <c r="F426">
        <v>31</v>
      </c>
      <c r="G426">
        <v>100</v>
      </c>
      <c r="H426">
        <v>3100</v>
      </c>
      <c r="I426">
        <v>0</v>
      </c>
      <c r="J426">
        <v>0</v>
      </c>
      <c r="K426">
        <v>3100</v>
      </c>
      <c r="L426">
        <v>2170</v>
      </c>
      <c r="M426" s="9" t="str">
        <f>IF(ISERROR(VLOOKUP(B426,[1]작가별정산률!$R:$S,2,0)),"스토리위즈",VLOOKUP(B426,[1]작가별정산률!$R:$S,2,0))</f>
        <v>더컴퍼니</v>
      </c>
      <c r="N426" s="9" t="str">
        <f>IF(M426="스토리위즈",VLOOKUP(B426,[1]작가별정산률!$A:$B,2,0),M426)</f>
        <v>더컴퍼니</v>
      </c>
    </row>
    <row r="427" spans="1:14">
      <c r="A427" t="s">
        <v>500</v>
      </c>
      <c r="B427" t="s">
        <v>501</v>
      </c>
      <c r="C427" t="s">
        <v>491</v>
      </c>
      <c r="D427" t="s">
        <v>13</v>
      </c>
      <c r="E427" t="s">
        <v>16</v>
      </c>
      <c r="F427">
        <v>86</v>
      </c>
      <c r="G427">
        <v>100</v>
      </c>
      <c r="H427">
        <v>8600</v>
      </c>
      <c r="I427">
        <v>0</v>
      </c>
      <c r="J427">
        <v>0</v>
      </c>
      <c r="K427">
        <v>8600</v>
      </c>
      <c r="L427">
        <v>6020</v>
      </c>
      <c r="M427" s="9" t="str">
        <f>IF(ISERROR(VLOOKUP(B427,[1]작가별정산률!$R:$S,2,0)),"스토리위즈",VLOOKUP(B427,[1]작가별정산률!$R:$S,2,0))</f>
        <v>더컴퍼니</v>
      </c>
      <c r="N427" s="9" t="str">
        <f>IF(M427="스토리위즈",VLOOKUP(B427,[1]작가별정산률!$A:$B,2,0),M427)</f>
        <v>더컴퍼니</v>
      </c>
    </row>
    <row r="428" spans="1:14">
      <c r="A428" t="s">
        <v>502</v>
      </c>
      <c r="B428" t="s">
        <v>503</v>
      </c>
      <c r="C428" t="s">
        <v>425</v>
      </c>
      <c r="D428" t="s">
        <v>13</v>
      </c>
      <c r="E428" t="s">
        <v>18</v>
      </c>
      <c r="F428">
        <v>4</v>
      </c>
      <c r="G428">
        <v>2000</v>
      </c>
      <c r="H428">
        <v>8000</v>
      </c>
      <c r="I428">
        <v>0</v>
      </c>
      <c r="J428">
        <v>0</v>
      </c>
      <c r="K428">
        <v>8000</v>
      </c>
      <c r="L428">
        <v>5600</v>
      </c>
      <c r="M428" s="9" t="str">
        <f>IF(ISERROR(VLOOKUP(B428,[1]작가별정산률!$R:$S,2,0)),"스토리위즈",VLOOKUP(B428,[1]작가별정산률!$R:$S,2,0))</f>
        <v>밀리의 서재</v>
      </c>
      <c r="N428" s="9" t="str">
        <f>IF(M428="스토리위즈",VLOOKUP(B428,[1]작가별정산률!$A:$B,2,0),M428)</f>
        <v>밀리의 서재</v>
      </c>
    </row>
    <row r="429" spans="1:14">
      <c r="A429" t="s">
        <v>504</v>
      </c>
      <c r="B429" t="s">
        <v>505</v>
      </c>
      <c r="C429" t="s">
        <v>425</v>
      </c>
      <c r="D429" t="s">
        <v>13</v>
      </c>
      <c r="E429" t="s">
        <v>18</v>
      </c>
      <c r="F429">
        <v>4</v>
      </c>
      <c r="G429">
        <v>2500</v>
      </c>
      <c r="H429">
        <v>10000</v>
      </c>
      <c r="I429">
        <v>0</v>
      </c>
      <c r="J429">
        <v>0</v>
      </c>
      <c r="K429">
        <v>10000</v>
      </c>
      <c r="L429">
        <v>7000</v>
      </c>
      <c r="M429" s="9" t="str">
        <f>IF(ISERROR(VLOOKUP(B429,[1]작가별정산률!$R:$S,2,0)),"스토리위즈",VLOOKUP(B429,[1]작가별정산률!$R:$S,2,0))</f>
        <v>밀리의 서재</v>
      </c>
      <c r="N429" s="9" t="str">
        <f>IF(M429="스토리위즈",VLOOKUP(B429,[1]작가별정산률!$A:$B,2,0),M429)</f>
        <v>밀리의 서재</v>
      </c>
    </row>
    <row r="430" spans="1:14">
      <c r="A430" t="s">
        <v>506</v>
      </c>
      <c r="B430" t="s">
        <v>459</v>
      </c>
      <c r="C430" t="s">
        <v>425</v>
      </c>
      <c r="D430" t="s">
        <v>13</v>
      </c>
      <c r="E430" t="s">
        <v>18</v>
      </c>
      <c r="F430">
        <v>68</v>
      </c>
      <c r="G430">
        <v>2000</v>
      </c>
      <c r="H430">
        <v>136000</v>
      </c>
      <c r="I430">
        <v>0</v>
      </c>
      <c r="J430">
        <v>0</v>
      </c>
      <c r="K430">
        <v>136000</v>
      </c>
      <c r="L430">
        <v>95200</v>
      </c>
      <c r="M430" s="9" t="str">
        <f>IF(ISERROR(VLOOKUP(B430,[1]작가별정산률!$R:$S,2,0)),"스토리위즈",VLOOKUP(B430,[1]작가별정산률!$R:$S,2,0))</f>
        <v>밀리의 서재</v>
      </c>
      <c r="N430" s="9" t="str">
        <f>IF(M430="스토리위즈",VLOOKUP(B430,[1]작가별정산률!$A:$B,2,0),M430)</f>
        <v>밀리의 서재</v>
      </c>
    </row>
    <row r="431" spans="1:14">
      <c r="A431" t="s">
        <v>507</v>
      </c>
      <c r="B431" t="s">
        <v>503</v>
      </c>
      <c r="C431" t="s">
        <v>425</v>
      </c>
      <c r="D431" t="s">
        <v>13</v>
      </c>
      <c r="E431" t="s">
        <v>18</v>
      </c>
      <c r="F431">
        <v>2</v>
      </c>
      <c r="G431">
        <v>2000</v>
      </c>
      <c r="H431">
        <v>4000</v>
      </c>
      <c r="I431">
        <v>0</v>
      </c>
      <c r="J431">
        <v>0</v>
      </c>
      <c r="K431">
        <v>4000</v>
      </c>
      <c r="L431">
        <v>2800</v>
      </c>
      <c r="M431" s="9" t="str">
        <f>IF(ISERROR(VLOOKUP(B431,[1]작가별정산률!$R:$S,2,0)),"스토리위즈",VLOOKUP(B431,[1]작가별정산률!$R:$S,2,0))</f>
        <v>밀리의 서재</v>
      </c>
      <c r="N431" s="9" t="str">
        <f>IF(M431="스토리위즈",VLOOKUP(B431,[1]작가별정산률!$A:$B,2,0),M431)</f>
        <v>밀리의 서재</v>
      </c>
    </row>
    <row r="432" spans="1:14">
      <c r="A432" t="s">
        <v>508</v>
      </c>
      <c r="B432" t="s">
        <v>509</v>
      </c>
      <c r="C432" t="s">
        <v>425</v>
      </c>
      <c r="D432" t="s">
        <v>13</v>
      </c>
      <c r="E432" t="s">
        <v>18</v>
      </c>
      <c r="F432">
        <v>5</v>
      </c>
      <c r="G432">
        <v>3200</v>
      </c>
      <c r="H432">
        <v>16000</v>
      </c>
      <c r="I432">
        <v>0</v>
      </c>
      <c r="J432">
        <v>0</v>
      </c>
      <c r="K432">
        <v>16000</v>
      </c>
      <c r="L432">
        <v>11200</v>
      </c>
      <c r="M432" s="9" t="str">
        <f>IF(ISERROR(VLOOKUP(B432,[1]작가별정산률!$R:$S,2,0)),"스토리위즈",VLOOKUP(B432,[1]작가별정산률!$R:$S,2,0))</f>
        <v>밀리의 서재</v>
      </c>
      <c r="N432" s="9" t="str">
        <f>IF(M432="스토리위즈",VLOOKUP(B432,[1]작가별정산률!$A:$B,2,0),M432)</f>
        <v>밀리의 서재</v>
      </c>
    </row>
    <row r="433" spans="1:14">
      <c r="A433" t="s">
        <v>510</v>
      </c>
      <c r="B433" t="s">
        <v>511</v>
      </c>
      <c r="C433" t="s">
        <v>425</v>
      </c>
      <c r="D433" t="s">
        <v>13</v>
      </c>
      <c r="E433" t="s">
        <v>18</v>
      </c>
      <c r="F433">
        <v>6</v>
      </c>
      <c r="G433">
        <v>2500</v>
      </c>
      <c r="H433">
        <v>15000</v>
      </c>
      <c r="I433">
        <v>0</v>
      </c>
      <c r="J433">
        <v>0</v>
      </c>
      <c r="K433">
        <v>15000</v>
      </c>
      <c r="L433">
        <v>10500</v>
      </c>
      <c r="M433" s="9" t="str">
        <f>IF(ISERROR(VLOOKUP(B433,[1]작가별정산률!$R:$S,2,0)),"스토리위즈",VLOOKUP(B433,[1]작가별정산률!$R:$S,2,0))</f>
        <v>밀리의 서재</v>
      </c>
      <c r="N433" s="9" t="str">
        <f>IF(M433="스토리위즈",VLOOKUP(B433,[1]작가별정산률!$A:$B,2,0),M433)</f>
        <v>밀리의 서재</v>
      </c>
    </row>
    <row r="434" spans="1:14">
      <c r="A434" t="s">
        <v>512</v>
      </c>
      <c r="B434" t="s">
        <v>513</v>
      </c>
      <c r="C434" t="s">
        <v>425</v>
      </c>
      <c r="D434" t="s">
        <v>13</v>
      </c>
      <c r="E434" t="s">
        <v>18</v>
      </c>
      <c r="F434">
        <v>5</v>
      </c>
      <c r="G434">
        <v>2000</v>
      </c>
      <c r="H434">
        <v>10000</v>
      </c>
      <c r="I434">
        <v>0</v>
      </c>
      <c r="J434">
        <v>0</v>
      </c>
      <c r="K434">
        <v>10000</v>
      </c>
      <c r="L434">
        <v>7000</v>
      </c>
      <c r="M434" s="9" t="str">
        <f>IF(ISERROR(VLOOKUP(B434,[1]작가별정산률!$R:$S,2,0)),"스토리위즈",VLOOKUP(B434,[1]작가별정산률!$R:$S,2,0))</f>
        <v>밀리의 서재</v>
      </c>
      <c r="N434" s="9" t="str">
        <f>IF(M434="스토리위즈",VLOOKUP(B434,[1]작가별정산률!$A:$B,2,0),M434)</f>
        <v>밀리의 서재</v>
      </c>
    </row>
    <row r="435" spans="1:14">
      <c r="A435" t="s">
        <v>514</v>
      </c>
      <c r="B435" t="s">
        <v>501</v>
      </c>
      <c r="C435" t="s">
        <v>491</v>
      </c>
      <c r="D435" t="s">
        <v>13</v>
      </c>
      <c r="E435" t="s">
        <v>18</v>
      </c>
      <c r="F435">
        <v>1</v>
      </c>
      <c r="G435">
        <v>300</v>
      </c>
      <c r="H435">
        <v>300</v>
      </c>
      <c r="I435">
        <v>0</v>
      </c>
      <c r="J435">
        <v>0</v>
      </c>
      <c r="K435">
        <v>300</v>
      </c>
      <c r="L435">
        <v>210</v>
      </c>
      <c r="M435" s="9" t="str">
        <f>IF(ISERROR(VLOOKUP(B435,[1]작가별정산률!$R:$S,2,0)),"스토리위즈",VLOOKUP(B435,[1]작가별정산률!$R:$S,2,0))</f>
        <v>더컴퍼니</v>
      </c>
      <c r="N435" s="9" t="str">
        <f>IF(M435="스토리위즈",VLOOKUP(B435,[1]작가별정산률!$A:$B,2,0),M435)</f>
        <v>더컴퍼니</v>
      </c>
    </row>
    <row r="436" spans="1:14">
      <c r="A436" t="s">
        <v>515</v>
      </c>
      <c r="B436" t="s">
        <v>501</v>
      </c>
      <c r="C436" t="s">
        <v>491</v>
      </c>
      <c r="D436" t="s">
        <v>13</v>
      </c>
      <c r="E436" t="s">
        <v>18</v>
      </c>
      <c r="F436">
        <v>4</v>
      </c>
      <c r="G436">
        <v>300</v>
      </c>
      <c r="H436">
        <v>1200</v>
      </c>
      <c r="I436">
        <v>0</v>
      </c>
      <c r="J436">
        <v>0</v>
      </c>
      <c r="K436">
        <v>1200</v>
      </c>
      <c r="L436">
        <v>840</v>
      </c>
      <c r="M436" s="9" t="str">
        <f>IF(ISERROR(VLOOKUP(B436,[1]작가별정산률!$R:$S,2,0)),"스토리위즈",VLOOKUP(B436,[1]작가별정산률!$R:$S,2,0))</f>
        <v>더컴퍼니</v>
      </c>
      <c r="N436" s="9" t="str">
        <f>IF(M436="스토리위즈",VLOOKUP(B436,[1]작가별정산률!$A:$B,2,0),M436)</f>
        <v>더컴퍼니</v>
      </c>
    </row>
    <row r="437" spans="1:14">
      <c r="A437" t="s">
        <v>516</v>
      </c>
      <c r="B437" t="s">
        <v>501</v>
      </c>
      <c r="C437" t="s">
        <v>491</v>
      </c>
      <c r="D437" t="s">
        <v>13</v>
      </c>
      <c r="E437" t="s">
        <v>18</v>
      </c>
      <c r="F437">
        <v>4</v>
      </c>
      <c r="G437">
        <v>3000</v>
      </c>
      <c r="H437">
        <v>12000</v>
      </c>
      <c r="I437">
        <v>0</v>
      </c>
      <c r="J437">
        <v>0</v>
      </c>
      <c r="K437">
        <v>12000</v>
      </c>
      <c r="L437">
        <v>8400</v>
      </c>
      <c r="M437" s="9" t="str">
        <f>IF(ISERROR(VLOOKUP(B437,[1]작가별정산률!$R:$S,2,0)),"스토리위즈",VLOOKUP(B437,[1]작가별정산률!$R:$S,2,0))</f>
        <v>더컴퍼니</v>
      </c>
      <c r="N437" s="9" t="str">
        <f>IF(M437="스토리위즈",VLOOKUP(B437,[1]작가별정산률!$A:$B,2,0),M437)</f>
        <v>더컴퍼니</v>
      </c>
    </row>
    <row r="438" spans="1:14">
      <c r="A438" t="s">
        <v>517</v>
      </c>
      <c r="B438" t="s">
        <v>501</v>
      </c>
      <c r="C438" t="s">
        <v>491</v>
      </c>
      <c r="D438" t="s">
        <v>13</v>
      </c>
      <c r="E438" t="s">
        <v>18</v>
      </c>
      <c r="F438">
        <v>4</v>
      </c>
      <c r="G438">
        <v>3000</v>
      </c>
      <c r="H438">
        <v>12000</v>
      </c>
      <c r="I438">
        <v>0</v>
      </c>
      <c r="J438">
        <v>0</v>
      </c>
      <c r="K438">
        <v>12000</v>
      </c>
      <c r="L438">
        <v>8400</v>
      </c>
      <c r="M438" s="9" t="str">
        <f>IF(ISERROR(VLOOKUP(B438,[1]작가별정산률!$R:$S,2,0)),"스토리위즈",VLOOKUP(B438,[1]작가별정산률!$R:$S,2,0))</f>
        <v>더컴퍼니</v>
      </c>
      <c r="N438" s="9" t="str">
        <f>IF(M438="스토리위즈",VLOOKUP(B438,[1]작가별정산률!$A:$B,2,0),M438)</f>
        <v>더컴퍼니</v>
      </c>
    </row>
    <row r="439" spans="1:14">
      <c r="A439" t="s">
        <v>518</v>
      </c>
      <c r="B439" t="s">
        <v>519</v>
      </c>
      <c r="C439" t="s">
        <v>425</v>
      </c>
      <c r="D439" t="s">
        <v>13</v>
      </c>
      <c r="E439" t="s">
        <v>18</v>
      </c>
      <c r="F439">
        <v>18</v>
      </c>
      <c r="G439">
        <v>2000</v>
      </c>
      <c r="H439">
        <v>36000</v>
      </c>
      <c r="I439">
        <v>0</v>
      </c>
      <c r="J439">
        <v>0</v>
      </c>
      <c r="K439">
        <v>36000</v>
      </c>
      <c r="L439">
        <v>25200</v>
      </c>
      <c r="M439" s="9" t="str">
        <f>IF(ISERROR(VLOOKUP(B439,[1]작가별정산률!$R:$S,2,0)),"스토리위즈",VLOOKUP(B439,[1]작가별정산률!$R:$S,2,0))</f>
        <v>밀리의 서재</v>
      </c>
      <c r="N439" s="9" t="str">
        <f>IF(M439="스토리위즈",VLOOKUP(B439,[1]작가별정산률!$A:$B,2,0),M439)</f>
        <v>밀리의 서재</v>
      </c>
    </row>
    <row r="440" spans="1:14">
      <c r="A440" t="s">
        <v>520</v>
      </c>
      <c r="B440" t="s">
        <v>521</v>
      </c>
      <c r="C440" t="s">
        <v>413</v>
      </c>
      <c r="D440" t="s">
        <v>13</v>
      </c>
      <c r="E440" t="s">
        <v>18</v>
      </c>
      <c r="F440">
        <v>1</v>
      </c>
      <c r="G440">
        <v>1000</v>
      </c>
      <c r="H440">
        <v>1000</v>
      </c>
      <c r="I440">
        <v>0</v>
      </c>
      <c r="J440">
        <v>0</v>
      </c>
      <c r="K440">
        <v>1000</v>
      </c>
      <c r="L440">
        <v>700</v>
      </c>
      <c r="M440" s="9" t="str">
        <f>IF(ISERROR(VLOOKUP(B440,[1]작가별정산률!$R:$S,2,0)),"스토리위즈",VLOOKUP(B440,[1]작가별정산률!$R:$S,2,0))</f>
        <v>더컴퍼니</v>
      </c>
      <c r="N440" s="9" t="str">
        <f>IF(M440="스토리위즈",VLOOKUP(B440,[1]작가별정산률!$A:$B,2,0),M440)</f>
        <v>더컴퍼니</v>
      </c>
    </row>
    <row r="441" spans="1:14">
      <c r="A441" t="s">
        <v>522</v>
      </c>
      <c r="B441" t="s">
        <v>521</v>
      </c>
      <c r="C441" t="s">
        <v>413</v>
      </c>
      <c r="D441" t="s">
        <v>13</v>
      </c>
      <c r="E441" t="s">
        <v>18</v>
      </c>
      <c r="F441">
        <v>1</v>
      </c>
      <c r="G441">
        <v>3400</v>
      </c>
      <c r="H441">
        <v>3400</v>
      </c>
      <c r="I441">
        <v>0</v>
      </c>
      <c r="J441">
        <v>0</v>
      </c>
      <c r="K441">
        <v>3400</v>
      </c>
      <c r="L441">
        <v>2380</v>
      </c>
      <c r="M441" s="9" t="str">
        <f>IF(ISERROR(VLOOKUP(B441,[1]작가별정산률!$R:$S,2,0)),"스토리위즈",VLOOKUP(B441,[1]작가별정산률!$R:$S,2,0))</f>
        <v>더컴퍼니</v>
      </c>
      <c r="N441" s="9" t="str">
        <f>IF(M441="스토리위즈",VLOOKUP(B441,[1]작가별정산률!$A:$B,2,0),M441)</f>
        <v>더컴퍼니</v>
      </c>
    </row>
    <row r="442" spans="1:14">
      <c r="A442" t="s">
        <v>523</v>
      </c>
      <c r="B442" t="s">
        <v>521</v>
      </c>
      <c r="C442" t="s">
        <v>413</v>
      </c>
      <c r="D442" t="s">
        <v>13</v>
      </c>
      <c r="E442" t="s">
        <v>18</v>
      </c>
      <c r="F442">
        <v>1</v>
      </c>
      <c r="G442">
        <v>3400</v>
      </c>
      <c r="H442">
        <v>3400</v>
      </c>
      <c r="I442">
        <v>0</v>
      </c>
      <c r="J442">
        <v>0</v>
      </c>
      <c r="K442">
        <v>3400</v>
      </c>
      <c r="L442">
        <v>2380</v>
      </c>
      <c r="M442" s="9" t="str">
        <f>IF(ISERROR(VLOOKUP(B442,[1]작가별정산률!$R:$S,2,0)),"스토리위즈",VLOOKUP(B442,[1]작가별정산률!$R:$S,2,0))</f>
        <v>더컴퍼니</v>
      </c>
      <c r="N442" s="9" t="str">
        <f>IF(M442="스토리위즈",VLOOKUP(B442,[1]작가별정산률!$A:$B,2,0),M442)</f>
        <v>더컴퍼니</v>
      </c>
    </row>
    <row r="443" spans="1:14">
      <c r="A443" t="s">
        <v>524</v>
      </c>
      <c r="B443" t="s">
        <v>521</v>
      </c>
      <c r="C443" t="s">
        <v>413</v>
      </c>
      <c r="D443" t="s">
        <v>13</v>
      </c>
      <c r="E443" t="s">
        <v>18</v>
      </c>
      <c r="F443">
        <v>1</v>
      </c>
      <c r="G443">
        <v>3400</v>
      </c>
      <c r="H443">
        <v>3400</v>
      </c>
      <c r="I443">
        <v>0</v>
      </c>
      <c r="J443">
        <v>0</v>
      </c>
      <c r="K443">
        <v>3400</v>
      </c>
      <c r="L443">
        <v>2380</v>
      </c>
      <c r="M443" s="9" t="str">
        <f>IF(ISERROR(VLOOKUP(B443,[1]작가별정산률!$R:$S,2,0)),"스토리위즈",VLOOKUP(B443,[1]작가별정산률!$R:$S,2,0))</f>
        <v>더컴퍼니</v>
      </c>
      <c r="N443" s="9" t="str">
        <f>IF(M443="스토리위즈",VLOOKUP(B443,[1]작가별정산률!$A:$B,2,0),M443)</f>
        <v>더컴퍼니</v>
      </c>
    </row>
    <row r="444" spans="1:14">
      <c r="A444" t="s">
        <v>525</v>
      </c>
      <c r="B444" t="s">
        <v>526</v>
      </c>
      <c r="C444" t="s">
        <v>413</v>
      </c>
      <c r="D444" t="s">
        <v>13</v>
      </c>
      <c r="E444" t="s">
        <v>16</v>
      </c>
      <c r="F444">
        <v>14</v>
      </c>
      <c r="G444">
        <v>100</v>
      </c>
      <c r="H444">
        <v>1400</v>
      </c>
      <c r="I444">
        <v>0</v>
      </c>
      <c r="J444">
        <v>0</v>
      </c>
      <c r="K444">
        <v>1400</v>
      </c>
      <c r="L444">
        <v>980</v>
      </c>
      <c r="M444" s="9" t="str">
        <f>IF(ISERROR(VLOOKUP(B444,[1]작가별정산률!$R:$S,2,0)),"스토리위즈",VLOOKUP(B444,[1]작가별정산률!$R:$S,2,0))</f>
        <v>더컴퍼니</v>
      </c>
      <c r="N444" s="9" t="str">
        <f>IF(M444="스토리위즈",VLOOKUP(B444,[1]작가별정산률!$A:$B,2,0),M444)</f>
        <v>더컴퍼니</v>
      </c>
    </row>
    <row r="445" spans="1:14">
      <c r="A445" t="s">
        <v>527</v>
      </c>
      <c r="B445" t="s">
        <v>528</v>
      </c>
      <c r="C445" t="s">
        <v>425</v>
      </c>
      <c r="D445" t="s">
        <v>13</v>
      </c>
      <c r="E445" t="s">
        <v>18</v>
      </c>
      <c r="F445">
        <v>1</v>
      </c>
      <c r="G445">
        <v>3000</v>
      </c>
      <c r="H445">
        <v>3000</v>
      </c>
      <c r="I445">
        <v>0</v>
      </c>
      <c r="J445">
        <v>0</v>
      </c>
      <c r="K445">
        <v>3000</v>
      </c>
      <c r="L445">
        <v>2100</v>
      </c>
      <c r="M445" s="9" t="str">
        <f>IF(ISERROR(VLOOKUP(B445,[1]작가별정산률!$R:$S,2,0)),"스토리위즈",VLOOKUP(B445,[1]작가별정산률!$R:$S,2,0))</f>
        <v>밀리의 서재</v>
      </c>
      <c r="N445" s="9" t="str">
        <f>IF(M445="스토리위즈",VLOOKUP(B445,[1]작가별정산률!$A:$B,2,0),M445)</f>
        <v>밀리의 서재</v>
      </c>
    </row>
    <row r="446" spans="1:14">
      <c r="A446" t="s">
        <v>529</v>
      </c>
      <c r="B446" t="s">
        <v>461</v>
      </c>
      <c r="C446" t="s">
        <v>413</v>
      </c>
      <c r="D446" t="s">
        <v>13</v>
      </c>
      <c r="E446" t="s">
        <v>18</v>
      </c>
      <c r="F446">
        <v>1</v>
      </c>
      <c r="G446">
        <v>3300</v>
      </c>
      <c r="H446">
        <v>3300</v>
      </c>
      <c r="I446">
        <v>0</v>
      </c>
      <c r="J446">
        <v>0</v>
      </c>
      <c r="K446">
        <v>3300</v>
      </c>
      <c r="L446">
        <v>2310</v>
      </c>
      <c r="M446" s="9" t="str">
        <f>IF(ISERROR(VLOOKUP(B446,[1]작가별정산률!$R:$S,2,0)),"스토리위즈",VLOOKUP(B446,[1]작가별정산률!$R:$S,2,0))</f>
        <v>더컴퍼니</v>
      </c>
      <c r="N446" s="9" t="str">
        <f>IF(M446="스토리위즈",VLOOKUP(B446,[1]작가별정산률!$A:$B,2,0),M446)</f>
        <v>더컴퍼니</v>
      </c>
    </row>
    <row r="447" spans="1:14">
      <c r="A447" t="s">
        <v>530</v>
      </c>
      <c r="B447" t="s">
        <v>461</v>
      </c>
      <c r="C447" t="s">
        <v>413</v>
      </c>
      <c r="D447" t="s">
        <v>13</v>
      </c>
      <c r="E447" t="s">
        <v>18</v>
      </c>
      <c r="F447">
        <v>1</v>
      </c>
      <c r="G447">
        <v>3300</v>
      </c>
      <c r="H447">
        <v>3300</v>
      </c>
      <c r="I447">
        <v>0</v>
      </c>
      <c r="J447">
        <v>0</v>
      </c>
      <c r="K447">
        <v>3300</v>
      </c>
      <c r="L447">
        <v>2310</v>
      </c>
      <c r="M447" s="9" t="str">
        <f>IF(ISERROR(VLOOKUP(B447,[1]작가별정산률!$R:$S,2,0)),"스토리위즈",VLOOKUP(B447,[1]작가별정산률!$R:$S,2,0))</f>
        <v>더컴퍼니</v>
      </c>
      <c r="N447" s="9" t="str">
        <f>IF(M447="스토리위즈",VLOOKUP(B447,[1]작가별정산률!$A:$B,2,0),M447)</f>
        <v>더컴퍼니</v>
      </c>
    </row>
    <row r="448" spans="1:14">
      <c r="A448" t="s">
        <v>531</v>
      </c>
      <c r="B448" t="s">
        <v>461</v>
      </c>
      <c r="C448" t="s">
        <v>413</v>
      </c>
      <c r="D448" t="s">
        <v>13</v>
      </c>
      <c r="E448" t="s">
        <v>18</v>
      </c>
      <c r="F448">
        <v>1</v>
      </c>
      <c r="G448">
        <v>3300</v>
      </c>
      <c r="H448">
        <v>3300</v>
      </c>
      <c r="I448">
        <v>0</v>
      </c>
      <c r="J448">
        <v>0</v>
      </c>
      <c r="K448">
        <v>3300</v>
      </c>
      <c r="L448">
        <v>2310</v>
      </c>
      <c r="M448" s="9" t="str">
        <f>IF(ISERROR(VLOOKUP(B448,[1]작가별정산률!$R:$S,2,0)),"스토리위즈",VLOOKUP(B448,[1]작가별정산률!$R:$S,2,0))</f>
        <v>더컴퍼니</v>
      </c>
      <c r="N448" s="9" t="str">
        <f>IF(M448="스토리위즈",VLOOKUP(B448,[1]작가별정산률!$A:$B,2,0),M448)</f>
        <v>더컴퍼니</v>
      </c>
    </row>
    <row r="449" spans="1:14">
      <c r="A449" t="s">
        <v>532</v>
      </c>
      <c r="B449" t="s">
        <v>461</v>
      </c>
      <c r="C449" t="s">
        <v>413</v>
      </c>
      <c r="D449" t="s">
        <v>13</v>
      </c>
      <c r="E449" t="s">
        <v>18</v>
      </c>
      <c r="F449">
        <v>1</v>
      </c>
      <c r="G449">
        <v>3300</v>
      </c>
      <c r="H449">
        <v>3300</v>
      </c>
      <c r="I449">
        <v>0</v>
      </c>
      <c r="J449">
        <v>0</v>
      </c>
      <c r="K449">
        <v>3300</v>
      </c>
      <c r="L449">
        <v>2310</v>
      </c>
      <c r="M449" s="9" t="str">
        <f>IF(ISERROR(VLOOKUP(B449,[1]작가별정산률!$R:$S,2,0)),"스토리위즈",VLOOKUP(B449,[1]작가별정산률!$R:$S,2,0))</f>
        <v>더컴퍼니</v>
      </c>
      <c r="N449" s="9" t="str">
        <f>IF(M449="스토리위즈",VLOOKUP(B449,[1]작가별정산률!$A:$B,2,0),M449)</f>
        <v>더컴퍼니</v>
      </c>
    </row>
    <row r="450" spans="1:14">
      <c r="A450" t="s">
        <v>533</v>
      </c>
      <c r="B450" t="s">
        <v>461</v>
      </c>
      <c r="C450" t="s">
        <v>413</v>
      </c>
      <c r="D450" t="s">
        <v>13</v>
      </c>
      <c r="E450" t="s">
        <v>18</v>
      </c>
      <c r="F450">
        <v>1</v>
      </c>
      <c r="G450">
        <v>3300</v>
      </c>
      <c r="H450">
        <v>3300</v>
      </c>
      <c r="I450">
        <v>0</v>
      </c>
      <c r="J450">
        <v>0</v>
      </c>
      <c r="K450">
        <v>3300</v>
      </c>
      <c r="L450">
        <v>2310</v>
      </c>
      <c r="M450" s="9" t="str">
        <f>IF(ISERROR(VLOOKUP(B450,[1]작가별정산률!$R:$S,2,0)),"스토리위즈",VLOOKUP(B450,[1]작가별정산률!$R:$S,2,0))</f>
        <v>더컴퍼니</v>
      </c>
      <c r="N450" s="9" t="str">
        <f>IF(M450="스토리위즈",VLOOKUP(B450,[1]작가별정산률!$A:$B,2,0),M450)</f>
        <v>더컴퍼니</v>
      </c>
    </row>
    <row r="451" spans="1:14">
      <c r="A451" t="s">
        <v>534</v>
      </c>
      <c r="B451" t="s">
        <v>461</v>
      </c>
      <c r="C451" t="s">
        <v>413</v>
      </c>
      <c r="D451" t="s">
        <v>13</v>
      </c>
      <c r="E451" t="s">
        <v>18</v>
      </c>
      <c r="F451">
        <v>1</v>
      </c>
      <c r="G451">
        <v>3300</v>
      </c>
      <c r="H451">
        <v>3300</v>
      </c>
      <c r="I451">
        <v>0</v>
      </c>
      <c r="J451">
        <v>0</v>
      </c>
      <c r="K451">
        <v>3300</v>
      </c>
      <c r="L451">
        <v>2310</v>
      </c>
      <c r="M451" s="9" t="str">
        <f>IF(ISERROR(VLOOKUP(B451,[1]작가별정산률!$R:$S,2,0)),"스토리위즈",VLOOKUP(B451,[1]작가별정산률!$R:$S,2,0))</f>
        <v>더컴퍼니</v>
      </c>
      <c r="N451" s="9" t="str">
        <f>IF(M451="스토리위즈",VLOOKUP(B451,[1]작가별정산률!$A:$B,2,0),M451)</f>
        <v>더컴퍼니</v>
      </c>
    </row>
    <row r="452" spans="1:14">
      <c r="A452" t="s">
        <v>535</v>
      </c>
      <c r="B452" t="s">
        <v>536</v>
      </c>
      <c r="C452" t="s">
        <v>425</v>
      </c>
      <c r="D452" t="s">
        <v>13</v>
      </c>
      <c r="E452" t="s">
        <v>18</v>
      </c>
      <c r="F452">
        <v>1</v>
      </c>
      <c r="G452">
        <v>3500</v>
      </c>
      <c r="H452">
        <v>3500</v>
      </c>
      <c r="I452">
        <v>0</v>
      </c>
      <c r="J452">
        <v>0</v>
      </c>
      <c r="K452">
        <v>3500</v>
      </c>
      <c r="L452">
        <v>2450</v>
      </c>
      <c r="M452" s="9" t="str">
        <f>IF(ISERROR(VLOOKUP(B452,[1]작가별정산률!$R:$S,2,0)),"스토리위즈",VLOOKUP(B452,[1]작가별정산률!$R:$S,2,0))</f>
        <v>밀리의 서재</v>
      </c>
      <c r="N452" s="9" t="str">
        <f>IF(M452="스토리위즈",VLOOKUP(B452,[1]작가별정산률!$A:$B,2,0),M452)</f>
        <v>밀리의 서재</v>
      </c>
    </row>
    <row r="453" spans="1:14">
      <c r="F453"/>
      <c r="G453"/>
      <c r="H453"/>
      <c r="I453"/>
      <c r="J453"/>
      <c r="K453"/>
      <c r="L453"/>
      <c r="M453" s="4"/>
    </row>
    <row r="454" spans="1:14">
      <c r="F454"/>
      <c r="G454"/>
      <c r="H454"/>
      <c r="I454"/>
      <c r="J454"/>
      <c r="K454"/>
      <c r="L454"/>
      <c r="M454" s="4"/>
    </row>
    <row r="455" spans="1:14">
      <c r="F455"/>
      <c r="G455"/>
      <c r="H455"/>
      <c r="I455"/>
      <c r="J455"/>
      <c r="K455"/>
      <c r="L455"/>
      <c r="M455" s="4"/>
    </row>
    <row r="456" spans="1:14">
      <c r="F456"/>
      <c r="G456"/>
      <c r="H456"/>
      <c r="I456"/>
      <c r="J456"/>
      <c r="K456"/>
      <c r="L456"/>
      <c r="M456" s="4"/>
    </row>
    <row r="457" spans="1:14">
      <c r="F457"/>
      <c r="G457"/>
      <c r="H457"/>
      <c r="I457"/>
      <c r="J457"/>
      <c r="K457"/>
      <c r="L457"/>
      <c r="M457" s="4"/>
    </row>
    <row r="458" spans="1:14">
      <c r="F458"/>
      <c r="G458"/>
      <c r="H458"/>
      <c r="I458"/>
      <c r="J458"/>
      <c r="K458"/>
      <c r="L458"/>
      <c r="M458" s="4"/>
    </row>
    <row r="459" spans="1:14">
      <c r="F459"/>
      <c r="G459"/>
      <c r="H459"/>
      <c r="I459"/>
      <c r="J459"/>
      <c r="K459"/>
      <c r="L459"/>
      <c r="M459" s="4"/>
    </row>
    <row r="460" spans="1:14">
      <c r="F460"/>
      <c r="G460"/>
      <c r="H460"/>
      <c r="I460"/>
      <c r="J460"/>
      <c r="K460"/>
      <c r="L460"/>
      <c r="M460" s="4"/>
    </row>
    <row r="461" spans="1:14">
      <c r="F461"/>
      <c r="G461"/>
      <c r="H461"/>
      <c r="I461"/>
      <c r="J461"/>
      <c r="K461"/>
      <c r="L461"/>
      <c r="M461" s="4"/>
    </row>
    <row r="462" spans="1:14">
      <c r="F462"/>
      <c r="G462"/>
      <c r="H462"/>
      <c r="I462"/>
      <c r="J462"/>
      <c r="K462"/>
      <c r="L462"/>
      <c r="M462" s="4"/>
    </row>
    <row r="463" spans="1:14">
      <c r="F463"/>
      <c r="G463"/>
      <c r="H463"/>
      <c r="I463"/>
      <c r="J463"/>
      <c r="K463"/>
      <c r="L463"/>
      <c r="M463" s="4"/>
    </row>
    <row r="464" spans="1:14">
      <c r="F464"/>
      <c r="G464"/>
      <c r="H464"/>
      <c r="I464"/>
      <c r="J464"/>
      <c r="K464"/>
      <c r="L464"/>
      <c r="M464" s="4"/>
    </row>
    <row r="465" spans="6:13">
      <c r="F465"/>
      <c r="G465"/>
      <c r="H465"/>
      <c r="I465"/>
      <c r="J465"/>
      <c r="K465"/>
      <c r="L465"/>
      <c r="M465" s="4"/>
    </row>
    <row r="466" spans="6:13">
      <c r="F466"/>
      <c r="G466"/>
      <c r="H466"/>
      <c r="I466"/>
      <c r="J466"/>
      <c r="K466"/>
      <c r="L466"/>
      <c r="M466" s="4"/>
    </row>
    <row r="467" spans="6:13">
      <c r="F467"/>
      <c r="G467"/>
      <c r="H467"/>
      <c r="I467"/>
      <c r="J467"/>
      <c r="K467"/>
      <c r="L467"/>
      <c r="M467" s="4"/>
    </row>
    <row r="468" spans="6:13">
      <c r="F468"/>
      <c r="G468"/>
      <c r="H468"/>
      <c r="I468"/>
      <c r="J468"/>
      <c r="K468"/>
      <c r="L468"/>
      <c r="M468" s="4"/>
    </row>
    <row r="469" spans="6:13">
      <c r="F469"/>
      <c r="G469"/>
      <c r="H469"/>
      <c r="I469"/>
      <c r="J469"/>
      <c r="K469"/>
      <c r="L469"/>
      <c r="M469" s="4"/>
    </row>
    <row r="470" spans="6:13">
      <c r="F470"/>
      <c r="G470"/>
      <c r="H470"/>
      <c r="I470"/>
      <c r="J470"/>
      <c r="K470"/>
      <c r="L470"/>
      <c r="M470" s="4"/>
    </row>
    <row r="471" spans="6:13">
      <c r="F471"/>
      <c r="G471"/>
      <c r="H471"/>
      <c r="I471"/>
      <c r="J471"/>
      <c r="K471"/>
      <c r="L471"/>
      <c r="M471" s="4"/>
    </row>
    <row r="472" spans="6:13">
      <c r="F472"/>
      <c r="G472"/>
      <c r="H472"/>
      <c r="I472"/>
      <c r="J472"/>
      <c r="K472"/>
      <c r="L472"/>
      <c r="M472" s="4"/>
    </row>
    <row r="473" spans="6:13">
      <c r="F473"/>
      <c r="G473"/>
      <c r="H473"/>
      <c r="I473"/>
      <c r="J473"/>
      <c r="K473"/>
      <c r="L473"/>
      <c r="M473" s="4"/>
    </row>
    <row r="474" spans="6:13">
      <c r="F474"/>
      <c r="G474"/>
      <c r="H474"/>
      <c r="I474"/>
      <c r="J474"/>
      <c r="K474"/>
      <c r="L474"/>
      <c r="M474" s="4"/>
    </row>
    <row r="475" spans="6:13">
      <c r="F475"/>
      <c r="G475"/>
      <c r="H475"/>
      <c r="I475"/>
      <c r="J475"/>
      <c r="K475"/>
      <c r="L475"/>
      <c r="M475" s="4"/>
    </row>
    <row r="476" spans="6:13">
      <c r="F476"/>
      <c r="G476"/>
      <c r="H476"/>
      <c r="I476"/>
      <c r="J476"/>
      <c r="K476"/>
      <c r="L476"/>
      <c r="M476" s="4"/>
    </row>
    <row r="477" spans="6:13">
      <c r="F477"/>
      <c r="G477"/>
      <c r="H477"/>
      <c r="I477"/>
      <c r="J477"/>
      <c r="K477"/>
      <c r="L477"/>
    </row>
    <row r="478" spans="6:13">
      <c r="F478"/>
      <c r="G478"/>
      <c r="H478"/>
      <c r="I478"/>
      <c r="J478"/>
      <c r="K478"/>
      <c r="L478"/>
    </row>
    <row r="479" spans="6:13">
      <c r="F479"/>
      <c r="G479"/>
      <c r="H479"/>
      <c r="I479"/>
      <c r="J479"/>
      <c r="K479"/>
      <c r="L479"/>
    </row>
    <row r="480" spans="6:13">
      <c r="F480"/>
      <c r="G480"/>
      <c r="H480"/>
      <c r="I480"/>
      <c r="J480"/>
      <c r="K480"/>
      <c r="L480"/>
    </row>
    <row r="481" spans="6:12">
      <c r="F481"/>
      <c r="G481"/>
      <c r="H481"/>
      <c r="I481"/>
      <c r="J481"/>
      <c r="K481"/>
      <c r="L481"/>
    </row>
    <row r="482" spans="6:12">
      <c r="F482"/>
      <c r="G482"/>
      <c r="H482"/>
      <c r="I482"/>
      <c r="J482"/>
      <c r="K482"/>
      <c r="L482"/>
    </row>
    <row r="483" spans="6:12">
      <c r="F483"/>
      <c r="G483"/>
      <c r="H483"/>
      <c r="I483"/>
      <c r="J483"/>
      <c r="K483"/>
      <c r="L483"/>
    </row>
    <row r="484" spans="6:12">
      <c r="F484"/>
      <c r="G484"/>
      <c r="H484"/>
      <c r="I484"/>
      <c r="J484"/>
      <c r="K484"/>
      <c r="L484"/>
    </row>
    <row r="485" spans="6:12">
      <c r="F485"/>
      <c r="G485"/>
      <c r="H485"/>
      <c r="I485"/>
      <c r="J485"/>
      <c r="K485"/>
      <c r="L485"/>
    </row>
    <row r="486" spans="6:12">
      <c r="F486"/>
      <c r="G486"/>
      <c r="H486"/>
      <c r="I486"/>
      <c r="J486"/>
      <c r="K486"/>
      <c r="L486"/>
    </row>
    <row r="487" spans="6:12">
      <c r="F487"/>
      <c r="G487"/>
      <c r="H487"/>
      <c r="I487"/>
      <c r="J487"/>
      <c r="K487"/>
      <c r="L487"/>
    </row>
    <row r="488" spans="6:12">
      <c r="F488"/>
      <c r="G488"/>
      <c r="H488"/>
      <c r="I488"/>
      <c r="J488"/>
      <c r="K488"/>
      <c r="L488"/>
    </row>
    <row r="489" spans="6:12">
      <c r="F489"/>
      <c r="G489"/>
      <c r="H489"/>
      <c r="I489"/>
      <c r="J489"/>
      <c r="K489"/>
      <c r="L489"/>
    </row>
    <row r="490" spans="6:12">
      <c r="F490"/>
      <c r="G490"/>
      <c r="H490"/>
      <c r="I490"/>
      <c r="J490"/>
      <c r="K490"/>
      <c r="L490"/>
    </row>
    <row r="491" spans="6:12">
      <c r="F491"/>
      <c r="G491"/>
      <c r="H491"/>
      <c r="I491"/>
      <c r="J491"/>
      <c r="K491"/>
      <c r="L491"/>
    </row>
    <row r="492" spans="6:12">
      <c r="F492"/>
      <c r="G492"/>
      <c r="H492"/>
      <c r="I492"/>
      <c r="J492"/>
      <c r="K492"/>
      <c r="L492"/>
    </row>
    <row r="493" spans="6:12">
      <c r="F493"/>
      <c r="G493"/>
      <c r="H493"/>
      <c r="I493"/>
      <c r="J493"/>
      <c r="K493"/>
      <c r="L493"/>
    </row>
    <row r="494" spans="6:12">
      <c r="F494"/>
      <c r="G494"/>
      <c r="H494"/>
      <c r="I494"/>
      <c r="J494"/>
      <c r="K494"/>
      <c r="L494"/>
    </row>
    <row r="495" spans="6:12">
      <c r="F495"/>
      <c r="G495"/>
      <c r="H495"/>
      <c r="I495"/>
      <c r="J495"/>
      <c r="K495"/>
      <c r="L495"/>
    </row>
    <row r="496" spans="6:12">
      <c r="F496"/>
      <c r="G496"/>
      <c r="H496"/>
      <c r="I496"/>
      <c r="J496"/>
      <c r="K496"/>
      <c r="L496"/>
    </row>
    <row r="497" spans="6:12">
      <c r="F497"/>
      <c r="G497"/>
      <c r="H497"/>
      <c r="I497"/>
      <c r="J497"/>
      <c r="K497"/>
      <c r="L497"/>
    </row>
    <row r="498" spans="6:12">
      <c r="F498"/>
      <c r="G498"/>
      <c r="H498"/>
      <c r="I498"/>
      <c r="J498"/>
      <c r="K498"/>
      <c r="L498"/>
    </row>
    <row r="499" spans="6:12">
      <c r="F499"/>
      <c r="G499"/>
      <c r="H499"/>
      <c r="I499"/>
      <c r="J499"/>
      <c r="K499"/>
      <c r="L499"/>
    </row>
    <row r="500" spans="6:12">
      <c r="F500"/>
      <c r="G500"/>
      <c r="H500"/>
      <c r="I500"/>
      <c r="J500"/>
      <c r="K500"/>
      <c r="L500"/>
    </row>
    <row r="501" spans="6:12">
      <c r="F501"/>
      <c r="G501"/>
      <c r="H501"/>
      <c r="I501"/>
      <c r="J501"/>
      <c r="K501"/>
      <c r="L501"/>
    </row>
    <row r="502" spans="6:12">
      <c r="F502"/>
      <c r="G502"/>
      <c r="H502"/>
      <c r="I502"/>
      <c r="J502"/>
      <c r="K502"/>
      <c r="L502"/>
    </row>
    <row r="503" spans="6:12">
      <c r="F503"/>
      <c r="G503"/>
      <c r="H503"/>
      <c r="I503"/>
      <c r="J503"/>
      <c r="K503"/>
      <c r="L503"/>
    </row>
    <row r="504" spans="6:12">
      <c r="F504"/>
      <c r="G504"/>
      <c r="H504"/>
      <c r="I504"/>
      <c r="J504"/>
      <c r="K504"/>
      <c r="L504"/>
    </row>
    <row r="505" spans="6:12">
      <c r="F505"/>
      <c r="G505"/>
      <c r="H505"/>
      <c r="I505"/>
      <c r="J505"/>
      <c r="K505"/>
      <c r="L505"/>
    </row>
    <row r="506" spans="6:12">
      <c r="F506"/>
      <c r="G506"/>
      <c r="H506"/>
      <c r="I506"/>
      <c r="J506"/>
      <c r="K506"/>
      <c r="L506"/>
    </row>
    <row r="507" spans="6:12">
      <c r="F507"/>
      <c r="G507"/>
      <c r="H507"/>
      <c r="I507"/>
      <c r="J507"/>
      <c r="K507"/>
      <c r="L507"/>
    </row>
    <row r="508" spans="6:12">
      <c r="F508"/>
      <c r="G508"/>
      <c r="H508"/>
      <c r="I508"/>
      <c r="J508"/>
      <c r="K508"/>
      <c r="L508"/>
    </row>
    <row r="509" spans="6:12">
      <c r="F509"/>
      <c r="G509"/>
      <c r="H509"/>
      <c r="I509"/>
      <c r="J509"/>
      <c r="K509"/>
      <c r="L509"/>
    </row>
    <row r="510" spans="6:12">
      <c r="F510"/>
      <c r="G510"/>
      <c r="H510"/>
      <c r="I510"/>
      <c r="J510"/>
      <c r="K510"/>
      <c r="L510"/>
    </row>
    <row r="511" spans="6:12">
      <c r="F511"/>
      <c r="G511"/>
      <c r="H511"/>
      <c r="I511"/>
      <c r="J511"/>
      <c r="K511"/>
      <c r="L511"/>
    </row>
    <row r="512" spans="6:12">
      <c r="F512"/>
      <c r="G512"/>
      <c r="H512"/>
      <c r="I512"/>
      <c r="J512"/>
      <c r="K512"/>
      <c r="L512"/>
    </row>
    <row r="513" spans="6:12">
      <c r="F513"/>
      <c r="G513"/>
      <c r="H513"/>
      <c r="I513"/>
      <c r="J513"/>
      <c r="K513"/>
      <c r="L513"/>
    </row>
    <row r="514" spans="6:12">
      <c r="F514"/>
      <c r="G514"/>
      <c r="H514"/>
      <c r="I514"/>
      <c r="J514"/>
      <c r="K514"/>
      <c r="L514"/>
    </row>
    <row r="515" spans="6:12">
      <c r="F515"/>
      <c r="G515"/>
      <c r="H515"/>
      <c r="I515"/>
      <c r="J515"/>
      <c r="K515"/>
      <c r="L515"/>
    </row>
    <row r="516" spans="6:12">
      <c r="F516"/>
      <c r="G516"/>
      <c r="H516"/>
      <c r="I516"/>
      <c r="J516"/>
      <c r="K516"/>
      <c r="L516"/>
    </row>
    <row r="517" spans="6:12">
      <c r="F517"/>
      <c r="G517"/>
      <c r="H517"/>
      <c r="I517"/>
      <c r="J517"/>
      <c r="K517"/>
      <c r="L517"/>
    </row>
    <row r="518" spans="6:12">
      <c r="F518"/>
      <c r="G518"/>
      <c r="H518"/>
      <c r="I518"/>
      <c r="J518"/>
      <c r="K518"/>
      <c r="L518"/>
    </row>
    <row r="519" spans="6:12">
      <c r="F519"/>
      <c r="G519"/>
      <c r="H519"/>
      <c r="I519"/>
      <c r="J519"/>
      <c r="K519"/>
      <c r="L519"/>
    </row>
    <row r="520" spans="6:12">
      <c r="F520"/>
      <c r="G520"/>
      <c r="H520"/>
      <c r="I520"/>
      <c r="J520"/>
      <c r="K520"/>
      <c r="L520"/>
    </row>
    <row r="521" spans="6:12">
      <c r="F521"/>
      <c r="G521"/>
      <c r="H521"/>
      <c r="I521"/>
      <c r="J521"/>
      <c r="K521"/>
      <c r="L521"/>
    </row>
    <row r="522" spans="6:12">
      <c r="F522"/>
      <c r="G522"/>
      <c r="H522"/>
      <c r="I522"/>
      <c r="J522"/>
      <c r="K522"/>
      <c r="L522"/>
    </row>
    <row r="523" spans="6:12">
      <c r="F523"/>
      <c r="G523"/>
      <c r="H523"/>
      <c r="I523"/>
      <c r="J523"/>
      <c r="K523"/>
      <c r="L523"/>
    </row>
    <row r="524" spans="6:12">
      <c r="F524"/>
      <c r="G524"/>
      <c r="H524"/>
      <c r="I524"/>
      <c r="J524"/>
      <c r="K524"/>
      <c r="L524"/>
    </row>
    <row r="525" spans="6:12">
      <c r="F525"/>
      <c r="G525"/>
      <c r="H525"/>
      <c r="I525"/>
      <c r="J525"/>
      <c r="K525"/>
      <c r="L525"/>
    </row>
    <row r="526" spans="6:12">
      <c r="F526"/>
      <c r="G526"/>
      <c r="H526"/>
      <c r="I526"/>
      <c r="J526"/>
      <c r="K526"/>
      <c r="L526"/>
    </row>
    <row r="527" spans="6:12">
      <c r="F527"/>
      <c r="G527"/>
      <c r="H527"/>
      <c r="I527"/>
      <c r="J527"/>
      <c r="K527"/>
      <c r="L527"/>
    </row>
    <row r="528" spans="6:12">
      <c r="F528"/>
      <c r="G528"/>
      <c r="H528"/>
      <c r="I528"/>
      <c r="J528"/>
      <c r="K528"/>
      <c r="L528"/>
    </row>
    <row r="529" spans="6:12">
      <c r="F529"/>
      <c r="G529"/>
      <c r="H529"/>
      <c r="I529"/>
      <c r="J529"/>
      <c r="K529"/>
      <c r="L529"/>
    </row>
    <row r="530" spans="6:12">
      <c r="F530"/>
      <c r="G530"/>
      <c r="H530"/>
      <c r="I530"/>
      <c r="J530"/>
      <c r="K530"/>
      <c r="L530"/>
    </row>
    <row r="531" spans="6:12">
      <c r="F531"/>
      <c r="G531"/>
      <c r="H531"/>
      <c r="I531"/>
      <c r="J531"/>
      <c r="K531"/>
      <c r="L531"/>
    </row>
    <row r="532" spans="6:12">
      <c r="F532"/>
      <c r="G532"/>
      <c r="H532"/>
      <c r="I532"/>
      <c r="J532"/>
      <c r="K532"/>
      <c r="L532"/>
    </row>
    <row r="533" spans="6:12">
      <c r="F533"/>
      <c r="G533"/>
      <c r="H533"/>
      <c r="I533"/>
      <c r="J533"/>
      <c r="K533"/>
      <c r="L533"/>
    </row>
    <row r="534" spans="6:12">
      <c r="F534"/>
      <c r="G534"/>
      <c r="H534"/>
      <c r="I534"/>
      <c r="J534"/>
      <c r="K534"/>
      <c r="L534"/>
    </row>
    <row r="535" spans="6:12">
      <c r="F535"/>
      <c r="G535"/>
      <c r="H535"/>
      <c r="I535"/>
      <c r="J535"/>
      <c r="K535"/>
      <c r="L535"/>
    </row>
    <row r="536" spans="6:12">
      <c r="F536"/>
      <c r="G536"/>
      <c r="H536"/>
      <c r="I536"/>
      <c r="J536"/>
      <c r="K536"/>
      <c r="L536"/>
    </row>
    <row r="537" spans="6:12">
      <c r="F537"/>
      <c r="G537"/>
      <c r="H537"/>
      <c r="I537"/>
      <c r="J537"/>
      <c r="K537"/>
      <c r="L537"/>
    </row>
    <row r="538" spans="6:12">
      <c r="F538"/>
      <c r="G538"/>
      <c r="H538"/>
      <c r="I538"/>
      <c r="J538"/>
      <c r="K538"/>
      <c r="L538"/>
    </row>
    <row r="539" spans="6:12">
      <c r="F539"/>
      <c r="G539"/>
      <c r="H539"/>
      <c r="I539"/>
      <c r="J539"/>
      <c r="K539"/>
      <c r="L539"/>
    </row>
    <row r="540" spans="6:12">
      <c r="F540"/>
      <c r="G540"/>
      <c r="H540"/>
      <c r="I540"/>
      <c r="J540"/>
      <c r="K540"/>
      <c r="L540"/>
    </row>
    <row r="541" spans="6:12">
      <c r="F541"/>
      <c r="G541"/>
      <c r="H541"/>
      <c r="I541"/>
      <c r="J541"/>
      <c r="K541"/>
      <c r="L541"/>
    </row>
    <row r="542" spans="6:12">
      <c r="F542"/>
      <c r="G542"/>
      <c r="H542"/>
      <c r="I542"/>
      <c r="J542"/>
      <c r="K542"/>
      <c r="L542"/>
    </row>
    <row r="543" spans="6:12">
      <c r="F543"/>
      <c r="G543"/>
      <c r="H543"/>
      <c r="I543"/>
      <c r="J543"/>
      <c r="K543"/>
      <c r="L543"/>
    </row>
    <row r="544" spans="6:12">
      <c r="F544"/>
      <c r="G544"/>
      <c r="H544"/>
      <c r="I544"/>
      <c r="J544"/>
      <c r="K544"/>
      <c r="L544"/>
    </row>
    <row r="545" spans="6:12">
      <c r="F545"/>
      <c r="G545"/>
      <c r="H545"/>
      <c r="I545"/>
      <c r="J545"/>
      <c r="K545"/>
      <c r="L545"/>
    </row>
    <row r="546" spans="6:12">
      <c r="F546"/>
      <c r="G546"/>
      <c r="H546"/>
      <c r="I546"/>
      <c r="J546"/>
      <c r="K546"/>
      <c r="L546"/>
    </row>
    <row r="547" spans="6:12">
      <c r="F547"/>
      <c r="G547"/>
      <c r="H547"/>
      <c r="I547"/>
      <c r="J547"/>
      <c r="K547"/>
      <c r="L547"/>
    </row>
    <row r="548" spans="6:12">
      <c r="F548"/>
      <c r="G548"/>
      <c r="H548"/>
      <c r="I548"/>
      <c r="J548"/>
      <c r="K548"/>
      <c r="L548"/>
    </row>
    <row r="549" spans="6:12">
      <c r="F549"/>
      <c r="G549"/>
      <c r="H549"/>
      <c r="I549"/>
      <c r="J549"/>
      <c r="K549"/>
      <c r="L549"/>
    </row>
    <row r="550" spans="6:12">
      <c r="F550"/>
      <c r="G550"/>
      <c r="H550"/>
      <c r="I550"/>
      <c r="J550"/>
      <c r="K550"/>
      <c r="L550"/>
    </row>
    <row r="551" spans="6:12">
      <c r="F551"/>
      <c r="G551"/>
      <c r="H551"/>
      <c r="I551"/>
      <c r="J551"/>
      <c r="K551"/>
      <c r="L551"/>
    </row>
    <row r="552" spans="6:12">
      <c r="F552"/>
      <c r="G552"/>
      <c r="H552"/>
      <c r="I552"/>
      <c r="J552"/>
      <c r="K552"/>
      <c r="L552"/>
    </row>
    <row r="553" spans="6:12">
      <c r="F553"/>
      <c r="G553"/>
      <c r="H553"/>
      <c r="I553"/>
      <c r="J553"/>
      <c r="K553"/>
      <c r="L553"/>
    </row>
    <row r="554" spans="6:12">
      <c r="F554"/>
      <c r="G554"/>
      <c r="H554"/>
      <c r="I554"/>
      <c r="J554"/>
      <c r="K554"/>
      <c r="L554"/>
    </row>
    <row r="555" spans="6:12">
      <c r="F555"/>
      <c r="G555"/>
      <c r="H555"/>
      <c r="I555"/>
      <c r="J555"/>
      <c r="K555"/>
      <c r="L555"/>
    </row>
    <row r="556" spans="6:12">
      <c r="F556"/>
      <c r="G556"/>
      <c r="H556"/>
      <c r="I556"/>
      <c r="J556"/>
      <c r="K556"/>
      <c r="L556"/>
    </row>
    <row r="557" spans="6:12">
      <c r="F557"/>
      <c r="G557"/>
      <c r="H557"/>
      <c r="I557"/>
      <c r="J557"/>
      <c r="K557"/>
      <c r="L557"/>
    </row>
    <row r="558" spans="6:12">
      <c r="F558"/>
      <c r="G558"/>
      <c r="H558"/>
      <c r="I558"/>
      <c r="J558"/>
      <c r="K558"/>
      <c r="L558"/>
    </row>
    <row r="559" spans="6:12">
      <c r="F559"/>
      <c r="G559"/>
      <c r="H559"/>
      <c r="I559"/>
      <c r="J559"/>
      <c r="K559"/>
      <c r="L559"/>
    </row>
    <row r="560" spans="6:12">
      <c r="F560"/>
      <c r="G560"/>
      <c r="H560"/>
      <c r="I560"/>
      <c r="J560"/>
      <c r="K560"/>
      <c r="L560"/>
    </row>
    <row r="561" spans="6:12">
      <c r="F561"/>
      <c r="G561"/>
      <c r="H561"/>
      <c r="I561"/>
      <c r="J561"/>
      <c r="K561"/>
      <c r="L561"/>
    </row>
    <row r="562" spans="6:12">
      <c r="F562"/>
      <c r="G562"/>
      <c r="H562"/>
      <c r="I562"/>
      <c r="J562"/>
      <c r="K562"/>
      <c r="L562"/>
    </row>
    <row r="563" spans="6:12">
      <c r="F563"/>
      <c r="G563"/>
      <c r="H563"/>
      <c r="I563"/>
      <c r="J563"/>
      <c r="K563"/>
      <c r="L563"/>
    </row>
    <row r="564" spans="6:12">
      <c r="F564"/>
      <c r="G564"/>
      <c r="H564"/>
      <c r="I564"/>
      <c r="J564"/>
      <c r="K564"/>
      <c r="L564"/>
    </row>
    <row r="565" spans="6:12">
      <c r="F565"/>
      <c r="G565"/>
      <c r="H565"/>
      <c r="I565"/>
      <c r="J565"/>
      <c r="K565"/>
      <c r="L565"/>
    </row>
    <row r="566" spans="6:12">
      <c r="F566"/>
      <c r="G566"/>
      <c r="H566"/>
      <c r="I566"/>
      <c r="J566"/>
      <c r="K566"/>
      <c r="L566"/>
    </row>
    <row r="567" spans="6:12">
      <c r="F567"/>
      <c r="G567"/>
      <c r="H567"/>
      <c r="I567"/>
      <c r="J567"/>
      <c r="K567"/>
      <c r="L567"/>
    </row>
    <row r="568" spans="6:12">
      <c r="F568"/>
      <c r="G568"/>
      <c r="H568"/>
      <c r="I568"/>
      <c r="J568"/>
      <c r="K568"/>
      <c r="L568"/>
    </row>
    <row r="569" spans="6:12">
      <c r="F569"/>
      <c r="G569"/>
      <c r="H569"/>
      <c r="I569"/>
      <c r="J569"/>
      <c r="K569"/>
      <c r="L569"/>
    </row>
    <row r="570" spans="6:12">
      <c r="F570"/>
      <c r="G570"/>
      <c r="H570"/>
      <c r="I570"/>
      <c r="J570"/>
      <c r="K570"/>
      <c r="L570"/>
    </row>
    <row r="571" spans="6:12">
      <c r="F571"/>
      <c r="G571"/>
      <c r="H571"/>
      <c r="I571"/>
      <c r="J571"/>
      <c r="K571"/>
      <c r="L571"/>
    </row>
    <row r="572" spans="6:12">
      <c r="F572"/>
      <c r="G572"/>
      <c r="H572"/>
      <c r="I572"/>
      <c r="J572"/>
      <c r="K572"/>
      <c r="L572"/>
    </row>
    <row r="573" spans="6:12">
      <c r="F573"/>
      <c r="G573"/>
      <c r="H573"/>
      <c r="I573"/>
      <c r="J573"/>
      <c r="K573"/>
      <c r="L573"/>
    </row>
    <row r="574" spans="6:12">
      <c r="F574"/>
      <c r="G574"/>
      <c r="H574"/>
      <c r="I574"/>
      <c r="J574"/>
      <c r="K574"/>
      <c r="L574"/>
    </row>
    <row r="575" spans="6:12">
      <c r="F575"/>
      <c r="G575"/>
      <c r="H575"/>
      <c r="I575"/>
      <c r="J575"/>
      <c r="K575"/>
      <c r="L575"/>
    </row>
    <row r="576" spans="6:12">
      <c r="F576"/>
      <c r="G576"/>
      <c r="H576"/>
      <c r="I576"/>
      <c r="J576"/>
      <c r="K576"/>
      <c r="L576"/>
    </row>
    <row r="577" spans="6:12">
      <c r="F577"/>
      <c r="G577"/>
      <c r="H577"/>
      <c r="I577"/>
      <c r="J577"/>
      <c r="K577"/>
      <c r="L577"/>
    </row>
    <row r="578" spans="6:12">
      <c r="F578"/>
      <c r="G578"/>
      <c r="H578"/>
      <c r="I578"/>
      <c r="J578"/>
      <c r="K578"/>
      <c r="L578"/>
    </row>
    <row r="579" spans="6:12">
      <c r="F579"/>
      <c r="G579"/>
      <c r="H579"/>
      <c r="I579"/>
      <c r="J579"/>
      <c r="K579"/>
      <c r="L579"/>
    </row>
    <row r="580" spans="6:12">
      <c r="F580"/>
      <c r="G580"/>
      <c r="H580"/>
      <c r="I580"/>
      <c r="J580"/>
      <c r="K580"/>
      <c r="L580"/>
    </row>
    <row r="581" spans="6:12">
      <c r="F581"/>
      <c r="G581"/>
      <c r="H581"/>
      <c r="I581"/>
      <c r="J581"/>
      <c r="K581"/>
      <c r="L581"/>
    </row>
    <row r="582" spans="6:12">
      <c r="F582"/>
      <c r="G582"/>
      <c r="H582"/>
      <c r="I582"/>
      <c r="J582"/>
      <c r="K582"/>
      <c r="L582"/>
    </row>
    <row r="583" spans="6:12">
      <c r="F583"/>
      <c r="G583"/>
      <c r="H583"/>
      <c r="I583"/>
      <c r="J583"/>
      <c r="K583"/>
      <c r="L583"/>
    </row>
    <row r="584" spans="6:12">
      <c r="F584"/>
      <c r="G584"/>
      <c r="H584"/>
      <c r="I584"/>
      <c r="J584"/>
      <c r="K584"/>
      <c r="L584"/>
    </row>
    <row r="585" spans="6:12">
      <c r="F585"/>
      <c r="G585"/>
      <c r="H585"/>
      <c r="I585"/>
      <c r="J585"/>
      <c r="K585"/>
      <c r="L585"/>
    </row>
    <row r="586" spans="6:12">
      <c r="F586"/>
      <c r="G586"/>
      <c r="H586"/>
      <c r="I586"/>
      <c r="J586"/>
      <c r="K586"/>
      <c r="L586"/>
    </row>
    <row r="587" spans="6:12">
      <c r="F587"/>
      <c r="G587"/>
      <c r="H587"/>
      <c r="I587"/>
      <c r="J587"/>
      <c r="K587"/>
      <c r="L587"/>
    </row>
    <row r="588" spans="6:12">
      <c r="F588"/>
      <c r="G588"/>
      <c r="H588"/>
      <c r="I588"/>
      <c r="J588"/>
      <c r="K588"/>
      <c r="L588"/>
    </row>
    <row r="589" spans="6:12">
      <c r="F589"/>
      <c r="G589"/>
      <c r="H589"/>
      <c r="I589"/>
      <c r="J589"/>
      <c r="K589"/>
      <c r="L589"/>
    </row>
    <row r="590" spans="6:12">
      <c r="F590"/>
      <c r="G590"/>
      <c r="H590"/>
      <c r="I590"/>
      <c r="J590"/>
      <c r="K590"/>
      <c r="L590"/>
    </row>
    <row r="591" spans="6:12">
      <c r="F591"/>
      <c r="G591"/>
      <c r="H591"/>
      <c r="I591"/>
      <c r="J591"/>
      <c r="K591"/>
      <c r="L591"/>
    </row>
    <row r="592" spans="6:12">
      <c r="F592"/>
      <c r="G592"/>
      <c r="H592"/>
      <c r="I592"/>
      <c r="J592"/>
      <c r="K592"/>
      <c r="L592"/>
    </row>
    <row r="593" spans="6:12">
      <c r="F593"/>
      <c r="G593"/>
      <c r="H593"/>
      <c r="I593"/>
      <c r="J593"/>
      <c r="K593"/>
      <c r="L593"/>
    </row>
    <row r="594" spans="6:12">
      <c r="F594"/>
      <c r="G594"/>
      <c r="H594"/>
      <c r="I594"/>
      <c r="J594"/>
      <c r="K594"/>
      <c r="L594"/>
    </row>
    <row r="595" spans="6:12">
      <c r="F595"/>
      <c r="G595"/>
      <c r="H595"/>
      <c r="I595"/>
      <c r="J595"/>
      <c r="K595"/>
      <c r="L595"/>
    </row>
    <row r="596" spans="6:12">
      <c r="F596"/>
      <c r="G596"/>
      <c r="H596"/>
      <c r="I596"/>
      <c r="J596"/>
      <c r="K596"/>
      <c r="L596"/>
    </row>
    <row r="597" spans="6:12">
      <c r="F597"/>
      <c r="G597"/>
      <c r="H597"/>
      <c r="I597"/>
      <c r="J597"/>
      <c r="K597"/>
      <c r="L597"/>
    </row>
    <row r="598" spans="6:12">
      <c r="F598"/>
      <c r="G598"/>
      <c r="H598"/>
      <c r="I598"/>
      <c r="J598"/>
      <c r="K598"/>
      <c r="L598"/>
    </row>
    <row r="599" spans="6:12">
      <c r="F599"/>
      <c r="G599"/>
      <c r="H599"/>
      <c r="I599"/>
      <c r="J599"/>
      <c r="K599"/>
      <c r="L599"/>
    </row>
    <row r="600" spans="6:12">
      <c r="F600"/>
      <c r="G600"/>
      <c r="H600"/>
      <c r="I600"/>
      <c r="J600"/>
      <c r="K600"/>
      <c r="L600"/>
    </row>
    <row r="601" spans="6:12">
      <c r="F601"/>
      <c r="G601"/>
      <c r="H601"/>
      <c r="I601"/>
      <c r="J601"/>
      <c r="K601"/>
      <c r="L601"/>
    </row>
    <row r="602" spans="6:12">
      <c r="F602"/>
      <c r="G602"/>
      <c r="H602"/>
      <c r="I602"/>
      <c r="J602"/>
      <c r="K602"/>
      <c r="L602"/>
    </row>
    <row r="603" spans="6:12">
      <c r="F603"/>
      <c r="G603"/>
      <c r="H603"/>
      <c r="I603"/>
      <c r="J603"/>
      <c r="K603"/>
      <c r="L603"/>
    </row>
    <row r="604" spans="6:12">
      <c r="F604"/>
      <c r="G604"/>
      <c r="H604"/>
      <c r="I604"/>
      <c r="J604"/>
      <c r="K604"/>
      <c r="L604"/>
    </row>
    <row r="605" spans="6:12">
      <c r="F605"/>
      <c r="G605"/>
      <c r="H605"/>
      <c r="I605"/>
      <c r="J605"/>
      <c r="K605"/>
      <c r="L605"/>
    </row>
    <row r="606" spans="6:12">
      <c r="F606"/>
      <c r="G606"/>
      <c r="H606"/>
      <c r="I606"/>
      <c r="J606"/>
      <c r="K606"/>
      <c r="L606"/>
    </row>
    <row r="607" spans="6:12">
      <c r="F607"/>
      <c r="G607"/>
      <c r="H607"/>
      <c r="I607"/>
      <c r="J607"/>
      <c r="K607"/>
      <c r="L607"/>
    </row>
    <row r="608" spans="6:12">
      <c r="F608"/>
      <c r="G608"/>
      <c r="H608"/>
      <c r="I608"/>
      <c r="J608"/>
      <c r="K608"/>
      <c r="L608"/>
    </row>
    <row r="609" spans="6:12">
      <c r="F609"/>
      <c r="G609"/>
      <c r="H609"/>
      <c r="I609"/>
      <c r="J609"/>
      <c r="K609"/>
      <c r="L609"/>
    </row>
    <row r="610" spans="6:12">
      <c r="F610"/>
      <c r="G610"/>
      <c r="H610"/>
      <c r="I610"/>
      <c r="J610"/>
      <c r="K610"/>
      <c r="L610"/>
    </row>
    <row r="611" spans="6:12">
      <c r="F611"/>
      <c r="G611"/>
      <c r="H611"/>
      <c r="I611"/>
      <c r="J611"/>
      <c r="K611"/>
      <c r="L611"/>
    </row>
    <row r="612" spans="6:12">
      <c r="F612"/>
      <c r="G612"/>
      <c r="H612"/>
      <c r="I612"/>
      <c r="J612"/>
      <c r="K612"/>
      <c r="L612"/>
    </row>
    <row r="613" spans="6:12">
      <c r="F613"/>
      <c r="G613"/>
      <c r="H613"/>
      <c r="I613"/>
      <c r="J613"/>
      <c r="K613"/>
      <c r="L613"/>
    </row>
    <row r="614" spans="6:12">
      <c r="F614"/>
      <c r="G614"/>
      <c r="H614"/>
      <c r="I614"/>
      <c r="J614"/>
      <c r="K614"/>
      <c r="L614"/>
    </row>
    <row r="615" spans="6:12">
      <c r="F615"/>
      <c r="G615"/>
      <c r="H615"/>
      <c r="I615"/>
      <c r="J615"/>
      <c r="K615"/>
      <c r="L615"/>
    </row>
    <row r="616" spans="6:12">
      <c r="F616"/>
      <c r="G616"/>
      <c r="H616"/>
      <c r="I616"/>
      <c r="J616"/>
      <c r="K616"/>
      <c r="L616"/>
    </row>
    <row r="617" spans="6:12">
      <c r="F617"/>
      <c r="G617"/>
      <c r="H617"/>
      <c r="I617"/>
      <c r="J617"/>
      <c r="K617"/>
      <c r="L617"/>
    </row>
    <row r="618" spans="6:12">
      <c r="F618"/>
      <c r="G618"/>
      <c r="H618"/>
      <c r="I618"/>
      <c r="J618"/>
      <c r="K618"/>
      <c r="L618"/>
    </row>
    <row r="619" spans="6:12">
      <c r="F619"/>
      <c r="G619"/>
      <c r="H619"/>
      <c r="I619"/>
      <c r="J619"/>
      <c r="K619"/>
      <c r="L619"/>
    </row>
    <row r="620" spans="6:12">
      <c r="F620"/>
      <c r="G620"/>
      <c r="H620"/>
      <c r="I620"/>
      <c r="J620"/>
      <c r="K620"/>
      <c r="L620"/>
    </row>
    <row r="621" spans="6:12">
      <c r="F621"/>
      <c r="G621"/>
      <c r="H621"/>
      <c r="I621"/>
      <c r="J621"/>
      <c r="K621"/>
      <c r="L621"/>
    </row>
    <row r="622" spans="6:12">
      <c r="F622"/>
      <c r="G622"/>
      <c r="H622"/>
      <c r="I622"/>
      <c r="J622"/>
      <c r="K622"/>
      <c r="L622"/>
    </row>
    <row r="623" spans="6:12">
      <c r="F623"/>
      <c r="G623"/>
      <c r="H623"/>
      <c r="I623"/>
      <c r="J623"/>
      <c r="K623"/>
      <c r="L623"/>
    </row>
    <row r="624" spans="6:12">
      <c r="F624"/>
      <c r="G624"/>
      <c r="H624"/>
      <c r="I624"/>
      <c r="J624"/>
      <c r="K624"/>
      <c r="L624"/>
    </row>
    <row r="625" spans="6:12">
      <c r="F625"/>
      <c r="G625"/>
      <c r="H625"/>
      <c r="I625"/>
      <c r="J625"/>
      <c r="K625"/>
      <c r="L625"/>
    </row>
    <row r="626" spans="6:12">
      <c r="F626"/>
      <c r="G626"/>
      <c r="H626"/>
      <c r="I626"/>
      <c r="J626"/>
      <c r="K626"/>
      <c r="L626"/>
    </row>
    <row r="627" spans="6:12">
      <c r="F627"/>
      <c r="G627"/>
      <c r="H627"/>
      <c r="I627"/>
      <c r="J627"/>
      <c r="K627"/>
      <c r="L627"/>
    </row>
    <row r="628" spans="6:12">
      <c r="F628"/>
      <c r="G628"/>
      <c r="H628"/>
      <c r="I628"/>
      <c r="J628"/>
      <c r="K628"/>
      <c r="L628"/>
    </row>
    <row r="629" spans="6:12">
      <c r="F629"/>
      <c r="G629"/>
      <c r="H629"/>
      <c r="I629"/>
      <c r="J629"/>
      <c r="K629"/>
      <c r="L629"/>
    </row>
    <row r="630" spans="6:12">
      <c r="F630"/>
      <c r="G630"/>
      <c r="H630"/>
      <c r="I630"/>
      <c r="J630"/>
      <c r="K630"/>
      <c r="L630"/>
    </row>
    <row r="631" spans="6:12">
      <c r="F631"/>
      <c r="G631"/>
      <c r="H631"/>
      <c r="I631"/>
      <c r="J631"/>
      <c r="K631"/>
      <c r="L631"/>
    </row>
    <row r="632" spans="6:12">
      <c r="F632"/>
      <c r="G632"/>
      <c r="H632"/>
      <c r="I632"/>
      <c r="J632"/>
      <c r="K632"/>
      <c r="L632"/>
    </row>
    <row r="633" spans="6:12">
      <c r="F633"/>
      <c r="G633"/>
      <c r="H633"/>
      <c r="I633"/>
      <c r="J633"/>
      <c r="K633"/>
      <c r="L633"/>
    </row>
    <row r="634" spans="6:12">
      <c r="F634"/>
      <c r="G634"/>
      <c r="H634"/>
      <c r="I634"/>
      <c r="J634"/>
      <c r="K634"/>
      <c r="L634"/>
    </row>
    <row r="635" spans="6:12">
      <c r="F635"/>
      <c r="G635"/>
      <c r="H635"/>
      <c r="I635"/>
      <c r="J635"/>
      <c r="K635"/>
      <c r="L635"/>
    </row>
    <row r="636" spans="6:12">
      <c r="F636"/>
      <c r="G636"/>
      <c r="H636"/>
      <c r="I636"/>
      <c r="J636"/>
      <c r="K636"/>
      <c r="L636"/>
    </row>
    <row r="637" spans="6:12">
      <c r="F637"/>
      <c r="G637"/>
      <c r="H637"/>
      <c r="I637"/>
      <c r="J637"/>
      <c r="K637"/>
      <c r="L637"/>
    </row>
    <row r="638" spans="6:12">
      <c r="F638"/>
      <c r="G638"/>
      <c r="H638"/>
      <c r="I638"/>
      <c r="J638"/>
      <c r="K638"/>
      <c r="L638"/>
    </row>
    <row r="639" spans="6:12">
      <c r="F639"/>
      <c r="G639"/>
      <c r="H639"/>
      <c r="I639"/>
      <c r="J639"/>
      <c r="K639"/>
      <c r="L639"/>
    </row>
    <row r="640" spans="6:12">
      <c r="F640"/>
      <c r="G640"/>
      <c r="H640"/>
      <c r="I640"/>
      <c r="J640"/>
      <c r="K640"/>
      <c r="L640"/>
    </row>
    <row r="641" spans="6:12">
      <c r="F641"/>
      <c r="G641"/>
      <c r="H641"/>
      <c r="I641"/>
      <c r="J641"/>
      <c r="K641"/>
      <c r="L641"/>
    </row>
    <row r="642" spans="6:12">
      <c r="F642"/>
      <c r="G642"/>
      <c r="H642"/>
      <c r="I642"/>
      <c r="J642"/>
      <c r="K642"/>
      <c r="L642"/>
    </row>
    <row r="643" spans="6:12">
      <c r="F643"/>
      <c r="G643"/>
      <c r="H643"/>
      <c r="I643"/>
      <c r="J643"/>
      <c r="K643"/>
      <c r="L643"/>
    </row>
    <row r="644" spans="6:12">
      <c r="F644"/>
      <c r="G644"/>
      <c r="H644"/>
      <c r="I644"/>
      <c r="J644"/>
      <c r="K644"/>
      <c r="L644"/>
    </row>
    <row r="645" spans="6:12">
      <c r="F645"/>
      <c r="G645"/>
      <c r="H645"/>
      <c r="I645"/>
      <c r="J645"/>
      <c r="K645"/>
      <c r="L645"/>
    </row>
    <row r="646" spans="6:12">
      <c r="F646"/>
      <c r="G646"/>
      <c r="H646"/>
      <c r="I646"/>
      <c r="J646"/>
      <c r="K646"/>
      <c r="L646"/>
    </row>
    <row r="647" spans="6:12">
      <c r="F647"/>
      <c r="G647"/>
      <c r="H647"/>
      <c r="I647"/>
      <c r="J647"/>
      <c r="K647"/>
      <c r="L647"/>
    </row>
    <row r="648" spans="6:12">
      <c r="F648"/>
      <c r="G648"/>
      <c r="H648"/>
      <c r="I648"/>
      <c r="J648"/>
      <c r="K648"/>
      <c r="L648"/>
    </row>
    <row r="649" spans="6:12">
      <c r="F649"/>
      <c r="G649"/>
      <c r="H649"/>
      <c r="I649"/>
      <c r="J649"/>
      <c r="K649"/>
      <c r="L649"/>
    </row>
    <row r="650" spans="6:12">
      <c r="F650"/>
      <c r="G650"/>
      <c r="H650"/>
      <c r="I650"/>
      <c r="J650"/>
      <c r="K650"/>
      <c r="L650"/>
    </row>
    <row r="651" spans="6:12">
      <c r="F651"/>
      <c r="G651"/>
      <c r="H651"/>
      <c r="I651"/>
      <c r="J651"/>
      <c r="K651"/>
      <c r="L651"/>
    </row>
    <row r="652" spans="6:12">
      <c r="F652"/>
      <c r="G652"/>
      <c r="H652"/>
      <c r="I652"/>
      <c r="J652"/>
      <c r="K652"/>
      <c r="L652"/>
    </row>
    <row r="653" spans="6:12">
      <c r="F653"/>
      <c r="G653"/>
      <c r="H653"/>
      <c r="I653"/>
      <c r="J653"/>
      <c r="K653"/>
      <c r="L653"/>
    </row>
    <row r="654" spans="6:12">
      <c r="F654"/>
      <c r="G654"/>
      <c r="H654"/>
      <c r="I654"/>
      <c r="J654"/>
      <c r="K654"/>
      <c r="L654"/>
    </row>
    <row r="655" spans="6:12">
      <c r="F655"/>
      <c r="G655"/>
      <c r="H655"/>
      <c r="I655"/>
      <c r="J655"/>
      <c r="K655"/>
      <c r="L655"/>
    </row>
    <row r="656" spans="6:12">
      <c r="F656"/>
      <c r="G656"/>
      <c r="H656"/>
      <c r="I656"/>
      <c r="J656"/>
      <c r="K656"/>
      <c r="L656"/>
    </row>
    <row r="657" spans="6:12">
      <c r="F657"/>
      <c r="G657"/>
      <c r="H657"/>
      <c r="I657"/>
      <c r="J657"/>
      <c r="K657"/>
      <c r="L657"/>
    </row>
    <row r="658" spans="6:12">
      <c r="F658"/>
      <c r="G658"/>
      <c r="H658"/>
      <c r="I658"/>
      <c r="J658"/>
      <c r="K658"/>
      <c r="L658"/>
    </row>
    <row r="659" spans="6:12">
      <c r="F659"/>
      <c r="G659"/>
      <c r="H659"/>
      <c r="I659"/>
      <c r="J659"/>
      <c r="K659"/>
      <c r="L659"/>
    </row>
    <row r="660" spans="6:12">
      <c r="F660"/>
      <c r="G660"/>
      <c r="H660"/>
      <c r="I660"/>
      <c r="J660"/>
      <c r="K660"/>
      <c r="L660"/>
    </row>
    <row r="661" spans="6:12">
      <c r="F661"/>
      <c r="G661"/>
      <c r="H661"/>
      <c r="I661"/>
      <c r="J661"/>
      <c r="K661"/>
      <c r="L661"/>
    </row>
    <row r="662" spans="6:12">
      <c r="F662"/>
      <c r="G662"/>
      <c r="H662"/>
      <c r="I662"/>
      <c r="J662"/>
      <c r="K662"/>
      <c r="L662"/>
    </row>
    <row r="663" spans="6:12">
      <c r="F663"/>
      <c r="G663"/>
      <c r="H663"/>
      <c r="I663"/>
      <c r="J663"/>
      <c r="K663"/>
      <c r="L663"/>
    </row>
    <row r="664" spans="6:12">
      <c r="F664"/>
      <c r="G664"/>
      <c r="H664"/>
      <c r="I664"/>
      <c r="J664"/>
      <c r="K664"/>
      <c r="L664"/>
    </row>
    <row r="665" spans="6:12">
      <c r="F665"/>
      <c r="G665"/>
      <c r="H665"/>
      <c r="I665"/>
      <c r="J665"/>
      <c r="K665"/>
      <c r="L665"/>
    </row>
    <row r="666" spans="6:12">
      <c r="F666"/>
      <c r="G666"/>
      <c r="H666"/>
      <c r="I666"/>
      <c r="J666"/>
      <c r="K666"/>
      <c r="L666"/>
    </row>
    <row r="667" spans="6:12">
      <c r="F667"/>
      <c r="G667"/>
      <c r="H667"/>
      <c r="I667"/>
      <c r="J667"/>
      <c r="K667"/>
      <c r="L667"/>
    </row>
    <row r="668" spans="6:12">
      <c r="F668"/>
      <c r="G668"/>
      <c r="H668"/>
      <c r="I668"/>
      <c r="J668"/>
      <c r="K668"/>
      <c r="L668"/>
    </row>
    <row r="669" spans="6:12">
      <c r="F669"/>
      <c r="G669"/>
      <c r="H669"/>
      <c r="I669"/>
      <c r="J669"/>
      <c r="K669"/>
      <c r="L669"/>
    </row>
    <row r="670" spans="6:12">
      <c r="F670"/>
      <c r="G670"/>
      <c r="H670"/>
      <c r="I670"/>
      <c r="J670"/>
      <c r="K670"/>
      <c r="L670"/>
    </row>
    <row r="671" spans="6:12">
      <c r="F671"/>
      <c r="G671"/>
      <c r="H671"/>
      <c r="I671"/>
      <c r="J671"/>
      <c r="K671"/>
      <c r="L671"/>
    </row>
    <row r="672" spans="6:12">
      <c r="F672"/>
      <c r="G672"/>
      <c r="H672"/>
      <c r="I672"/>
      <c r="J672"/>
      <c r="K672"/>
      <c r="L672"/>
    </row>
    <row r="673" spans="6:12">
      <c r="F673"/>
      <c r="G673"/>
      <c r="H673"/>
      <c r="I673"/>
      <c r="J673"/>
      <c r="K673"/>
      <c r="L673"/>
    </row>
    <row r="674" spans="6:12">
      <c r="F674"/>
      <c r="G674"/>
      <c r="H674"/>
      <c r="I674"/>
      <c r="J674"/>
      <c r="K674"/>
      <c r="L674"/>
    </row>
    <row r="675" spans="6:12">
      <c r="F675"/>
      <c r="G675"/>
      <c r="H675"/>
      <c r="I675"/>
      <c r="J675"/>
      <c r="K675"/>
      <c r="L675"/>
    </row>
    <row r="676" spans="6:12">
      <c r="F676"/>
      <c r="G676"/>
      <c r="H676"/>
      <c r="I676"/>
      <c r="J676"/>
      <c r="K676"/>
      <c r="L676"/>
    </row>
    <row r="677" spans="6:12">
      <c r="F677"/>
      <c r="G677"/>
      <c r="H677"/>
      <c r="I677"/>
      <c r="J677"/>
      <c r="K677"/>
      <c r="L677"/>
    </row>
    <row r="678" spans="6:12">
      <c r="F678"/>
      <c r="G678"/>
      <c r="H678"/>
      <c r="I678"/>
      <c r="J678"/>
      <c r="K678"/>
      <c r="L678"/>
    </row>
    <row r="679" spans="6:12">
      <c r="F679"/>
      <c r="G679"/>
      <c r="H679"/>
      <c r="I679"/>
      <c r="J679"/>
      <c r="K679"/>
      <c r="L679"/>
    </row>
    <row r="680" spans="6:12">
      <c r="F680"/>
      <c r="G680"/>
      <c r="H680"/>
      <c r="I680"/>
      <c r="J680"/>
      <c r="K680"/>
      <c r="L680"/>
    </row>
    <row r="681" spans="6:12">
      <c r="F681"/>
      <c r="G681"/>
      <c r="H681"/>
      <c r="I681"/>
      <c r="J681"/>
      <c r="K681"/>
      <c r="L681"/>
    </row>
    <row r="682" spans="6:12">
      <c r="F682"/>
      <c r="G682"/>
      <c r="H682"/>
      <c r="I682"/>
      <c r="J682"/>
      <c r="K682"/>
      <c r="L682"/>
    </row>
    <row r="683" spans="6:12">
      <c r="F683"/>
      <c r="G683"/>
      <c r="H683"/>
      <c r="I683"/>
      <c r="J683"/>
      <c r="K683"/>
      <c r="L683"/>
    </row>
    <row r="684" spans="6:12">
      <c r="F684"/>
      <c r="G684"/>
      <c r="H684"/>
      <c r="I684"/>
      <c r="J684"/>
      <c r="K684"/>
      <c r="L684"/>
    </row>
    <row r="685" spans="6:12">
      <c r="F685"/>
      <c r="G685"/>
      <c r="H685"/>
      <c r="I685"/>
      <c r="J685"/>
      <c r="K685"/>
      <c r="L685" s="6">
        <f>SUM(L2:L684)</f>
        <v>1794186</v>
      </c>
    </row>
    <row r="686" spans="6:12">
      <c r="F686"/>
      <c r="G686"/>
      <c r="H686"/>
      <c r="I686"/>
      <c r="J686"/>
      <c r="K686"/>
      <c r="L686"/>
    </row>
    <row r="687" spans="6:12">
      <c r="F687"/>
      <c r="G687"/>
      <c r="H687"/>
      <c r="I687"/>
      <c r="J687"/>
      <c r="K687"/>
      <c r="L687"/>
    </row>
    <row r="688" spans="6:12">
      <c r="F688"/>
      <c r="G688"/>
      <c r="H688"/>
      <c r="I688"/>
      <c r="J688"/>
      <c r="K688"/>
      <c r="L688"/>
    </row>
    <row r="689" spans="6:12">
      <c r="F689"/>
      <c r="G689"/>
      <c r="H689"/>
      <c r="I689"/>
      <c r="J689"/>
      <c r="K689"/>
      <c r="L689"/>
    </row>
    <row r="690" spans="6:12">
      <c r="F690"/>
      <c r="G690"/>
      <c r="H690"/>
      <c r="I690"/>
      <c r="J690"/>
      <c r="K690"/>
      <c r="L690"/>
    </row>
    <row r="691" spans="6:12">
      <c r="F691"/>
      <c r="G691"/>
      <c r="H691"/>
      <c r="I691"/>
      <c r="J691"/>
      <c r="K691"/>
      <c r="L691"/>
    </row>
    <row r="692" spans="6:12">
      <c r="F692"/>
      <c r="G692"/>
      <c r="H692"/>
      <c r="I692"/>
      <c r="J692"/>
      <c r="K692"/>
      <c r="L692"/>
    </row>
    <row r="693" spans="6:12">
      <c r="F693"/>
      <c r="G693"/>
      <c r="H693"/>
      <c r="I693"/>
      <c r="J693"/>
      <c r="K693"/>
      <c r="L693"/>
    </row>
    <row r="694" spans="6:12">
      <c r="F694"/>
      <c r="G694"/>
      <c r="H694"/>
      <c r="I694"/>
      <c r="J694"/>
      <c r="K694"/>
      <c r="L694"/>
    </row>
    <row r="695" spans="6:12">
      <c r="F695"/>
      <c r="G695"/>
      <c r="H695"/>
      <c r="I695"/>
      <c r="J695"/>
      <c r="K695"/>
      <c r="L695"/>
    </row>
    <row r="696" spans="6:12">
      <c r="F696"/>
      <c r="G696"/>
      <c r="H696"/>
      <c r="I696"/>
      <c r="J696"/>
      <c r="K696"/>
      <c r="L696"/>
    </row>
    <row r="697" spans="6:12">
      <c r="F697"/>
      <c r="G697"/>
      <c r="H697"/>
      <c r="I697"/>
      <c r="J697"/>
      <c r="K697"/>
      <c r="L697"/>
    </row>
    <row r="698" spans="6:12">
      <c r="F698"/>
      <c r="G698"/>
      <c r="H698"/>
      <c r="I698"/>
      <c r="J698"/>
      <c r="K698"/>
      <c r="L698"/>
    </row>
    <row r="699" spans="6:12">
      <c r="F699"/>
      <c r="G699"/>
      <c r="H699"/>
      <c r="I699"/>
      <c r="J699"/>
      <c r="K699"/>
      <c r="L699"/>
    </row>
    <row r="700" spans="6:12">
      <c r="F700"/>
      <c r="G700"/>
      <c r="H700"/>
      <c r="I700"/>
      <c r="J700"/>
      <c r="K700"/>
      <c r="L700"/>
    </row>
    <row r="701" spans="6:12">
      <c r="F701"/>
      <c r="G701"/>
      <c r="H701"/>
      <c r="I701"/>
      <c r="J701"/>
      <c r="K701"/>
      <c r="L701"/>
    </row>
    <row r="702" spans="6:12">
      <c r="F702"/>
      <c r="G702"/>
      <c r="H702"/>
      <c r="I702"/>
      <c r="J702"/>
      <c r="K702"/>
      <c r="L702"/>
    </row>
    <row r="703" spans="6:12">
      <c r="F703"/>
      <c r="G703"/>
      <c r="H703"/>
      <c r="I703"/>
      <c r="J703"/>
      <c r="K703"/>
      <c r="L703"/>
    </row>
    <row r="704" spans="6:12">
      <c r="F704"/>
      <c r="G704"/>
      <c r="H704"/>
      <c r="I704"/>
      <c r="J704"/>
      <c r="K704"/>
      <c r="L704"/>
    </row>
    <row r="705" spans="6:12">
      <c r="F705"/>
      <c r="G705"/>
      <c r="H705"/>
      <c r="I705"/>
      <c r="J705"/>
      <c r="K705"/>
      <c r="L705"/>
    </row>
    <row r="706" spans="6:12">
      <c r="F706"/>
      <c r="G706"/>
      <c r="H706"/>
      <c r="I706"/>
      <c r="J706"/>
      <c r="K706"/>
      <c r="L706"/>
    </row>
    <row r="707" spans="6:12">
      <c r="F707"/>
      <c r="G707"/>
      <c r="H707"/>
      <c r="I707"/>
      <c r="J707"/>
      <c r="K707"/>
      <c r="L707"/>
    </row>
    <row r="708" spans="6:12">
      <c r="F708"/>
      <c r="G708"/>
      <c r="H708"/>
      <c r="I708"/>
      <c r="J708"/>
      <c r="K708"/>
      <c r="L708"/>
    </row>
    <row r="709" spans="6:12">
      <c r="F709"/>
      <c r="G709"/>
      <c r="H709"/>
      <c r="I709"/>
      <c r="J709"/>
      <c r="K709"/>
      <c r="L709"/>
    </row>
    <row r="710" spans="6:12">
      <c r="F710"/>
      <c r="G710"/>
      <c r="H710"/>
      <c r="I710"/>
      <c r="J710"/>
      <c r="K710"/>
      <c r="L710"/>
    </row>
    <row r="711" spans="6:12">
      <c r="F711"/>
      <c r="G711"/>
      <c r="H711"/>
      <c r="I711"/>
      <c r="J711"/>
      <c r="K711"/>
      <c r="L711"/>
    </row>
    <row r="712" spans="6:12">
      <c r="F712"/>
      <c r="G712"/>
      <c r="H712"/>
      <c r="I712"/>
      <c r="J712"/>
      <c r="K712"/>
      <c r="L712"/>
    </row>
    <row r="713" spans="6:12">
      <c r="F713"/>
      <c r="G713"/>
      <c r="H713"/>
      <c r="I713"/>
      <c r="J713"/>
      <c r="K713"/>
      <c r="L713"/>
    </row>
    <row r="714" spans="6:12">
      <c r="F714"/>
      <c r="G714"/>
      <c r="H714"/>
      <c r="I714"/>
      <c r="J714"/>
      <c r="K714"/>
      <c r="L714"/>
    </row>
    <row r="715" spans="6:12">
      <c r="F715"/>
      <c r="G715"/>
      <c r="H715"/>
      <c r="I715"/>
      <c r="J715"/>
      <c r="K715"/>
      <c r="L715"/>
    </row>
    <row r="716" spans="6:12">
      <c r="F716"/>
      <c r="G716"/>
      <c r="H716"/>
      <c r="I716"/>
      <c r="J716"/>
      <c r="K716"/>
      <c r="L716"/>
    </row>
    <row r="717" spans="6:12">
      <c r="F717"/>
      <c r="G717"/>
      <c r="H717"/>
      <c r="I717"/>
      <c r="J717"/>
      <c r="K717"/>
      <c r="L717"/>
    </row>
    <row r="718" spans="6:12">
      <c r="F718"/>
      <c r="G718"/>
      <c r="H718"/>
      <c r="I718"/>
      <c r="J718"/>
      <c r="K718"/>
      <c r="L718"/>
    </row>
    <row r="719" spans="6:12">
      <c r="F719"/>
      <c r="G719"/>
      <c r="H719"/>
      <c r="I719"/>
      <c r="J719"/>
      <c r="K719"/>
      <c r="L719"/>
    </row>
    <row r="720" spans="6:12">
      <c r="F720"/>
      <c r="G720"/>
      <c r="H720"/>
      <c r="I720"/>
      <c r="J720"/>
      <c r="K720"/>
      <c r="L720"/>
    </row>
    <row r="721" spans="6:12">
      <c r="F721"/>
      <c r="G721"/>
      <c r="H721"/>
      <c r="I721"/>
      <c r="J721"/>
      <c r="K721"/>
      <c r="L721"/>
    </row>
    <row r="722" spans="6:12">
      <c r="F722"/>
      <c r="G722"/>
      <c r="H722"/>
      <c r="I722"/>
      <c r="J722"/>
      <c r="K722"/>
      <c r="L722"/>
    </row>
    <row r="723" spans="6:12">
      <c r="F723"/>
      <c r="G723"/>
      <c r="H723"/>
      <c r="I723"/>
      <c r="J723"/>
      <c r="K723"/>
      <c r="L723"/>
    </row>
    <row r="724" spans="6:12">
      <c r="F724"/>
      <c r="G724"/>
      <c r="H724"/>
      <c r="I724"/>
      <c r="J724"/>
      <c r="K724"/>
      <c r="L724"/>
    </row>
    <row r="725" spans="6:12">
      <c r="F725"/>
      <c r="G725"/>
      <c r="H725"/>
      <c r="I725"/>
      <c r="J725"/>
      <c r="K725"/>
      <c r="L725"/>
    </row>
    <row r="726" spans="6:12">
      <c r="F726"/>
      <c r="G726"/>
      <c r="H726"/>
      <c r="I726"/>
      <c r="J726"/>
      <c r="K726"/>
      <c r="L726"/>
    </row>
    <row r="727" spans="6:12">
      <c r="F727"/>
      <c r="G727"/>
      <c r="H727"/>
      <c r="I727"/>
      <c r="J727"/>
      <c r="K727"/>
      <c r="L727"/>
    </row>
    <row r="728" spans="6:12">
      <c r="F728"/>
      <c r="G728"/>
      <c r="H728"/>
      <c r="I728"/>
      <c r="J728"/>
      <c r="K728"/>
      <c r="L728"/>
    </row>
    <row r="729" spans="6:12">
      <c r="F729"/>
      <c r="G729"/>
      <c r="H729"/>
      <c r="I729"/>
      <c r="J729"/>
      <c r="K729"/>
      <c r="L729"/>
    </row>
    <row r="730" spans="6:12">
      <c r="F730"/>
      <c r="G730"/>
      <c r="H730"/>
      <c r="I730"/>
      <c r="J730"/>
      <c r="K730"/>
      <c r="L730"/>
    </row>
    <row r="731" spans="6:12">
      <c r="F731"/>
      <c r="G731"/>
      <c r="H731"/>
      <c r="I731"/>
      <c r="J731"/>
      <c r="K731"/>
      <c r="L731"/>
    </row>
    <row r="732" spans="6:12">
      <c r="F732"/>
      <c r="G732"/>
      <c r="H732"/>
      <c r="I732"/>
      <c r="J732"/>
      <c r="K732"/>
      <c r="L732"/>
    </row>
    <row r="733" spans="6:12">
      <c r="F733"/>
      <c r="G733"/>
      <c r="H733"/>
      <c r="I733"/>
      <c r="J733"/>
      <c r="K733"/>
      <c r="L733"/>
    </row>
    <row r="734" spans="6:12">
      <c r="F734"/>
      <c r="G734"/>
      <c r="H734"/>
      <c r="I734"/>
      <c r="J734"/>
      <c r="K734"/>
      <c r="L734"/>
    </row>
    <row r="735" spans="6:12">
      <c r="F735"/>
      <c r="G735"/>
      <c r="H735"/>
      <c r="I735"/>
      <c r="J735"/>
      <c r="K735"/>
      <c r="L735"/>
    </row>
    <row r="736" spans="6:12">
      <c r="F736"/>
      <c r="G736"/>
      <c r="H736"/>
      <c r="I736"/>
      <c r="J736"/>
      <c r="K736"/>
      <c r="L736"/>
    </row>
    <row r="737" spans="6:12">
      <c r="F737"/>
      <c r="G737"/>
      <c r="H737"/>
      <c r="I737"/>
      <c r="J737"/>
      <c r="K737"/>
      <c r="L737"/>
    </row>
    <row r="738" spans="6:12">
      <c r="F738"/>
      <c r="G738"/>
      <c r="H738"/>
      <c r="I738"/>
      <c r="J738"/>
      <c r="K738"/>
      <c r="L738"/>
    </row>
    <row r="739" spans="6:12">
      <c r="F739"/>
      <c r="G739"/>
      <c r="H739"/>
      <c r="I739"/>
      <c r="J739"/>
      <c r="K739"/>
      <c r="L739"/>
    </row>
    <row r="740" spans="6:12">
      <c r="F740"/>
      <c r="G740"/>
      <c r="H740"/>
      <c r="I740"/>
      <c r="J740"/>
      <c r="K740"/>
      <c r="L740"/>
    </row>
    <row r="741" spans="6:12">
      <c r="F741"/>
      <c r="G741"/>
      <c r="H741"/>
      <c r="I741"/>
      <c r="J741"/>
      <c r="K741"/>
      <c r="L741"/>
    </row>
    <row r="742" spans="6:12">
      <c r="F742"/>
      <c r="G742"/>
      <c r="H742"/>
      <c r="I742"/>
      <c r="J742"/>
      <c r="K742"/>
      <c r="L742"/>
    </row>
    <row r="743" spans="6:12">
      <c r="F743"/>
      <c r="G743"/>
      <c r="H743"/>
      <c r="I743"/>
      <c r="J743"/>
      <c r="K743"/>
      <c r="L743"/>
    </row>
    <row r="744" spans="6:12">
      <c r="L744" s="5">
        <f>SUM(L2:L743)</f>
        <v>3588372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50"/>
  <sheetViews>
    <sheetView workbookViewId="0"/>
  </sheetViews>
  <sheetFormatPr defaultRowHeight="17.399999999999999"/>
  <cols>
    <col min="1" max="1" width="27" bestFit="1" customWidth="1"/>
    <col min="2" max="2" width="6.796875" bestFit="1" customWidth="1"/>
    <col min="3" max="3" width="10.3984375" bestFit="1" customWidth="1"/>
    <col min="4" max="4" width="6.796875" bestFit="1" customWidth="1"/>
    <col min="5" max="5" width="14.398437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75</v>
      </c>
      <c r="B2" t="s">
        <v>12</v>
      </c>
      <c r="C2" t="s">
        <v>21</v>
      </c>
      <c r="D2" t="s">
        <v>13</v>
      </c>
      <c r="E2" t="s">
        <v>14</v>
      </c>
      <c r="H2">
        <v>900</v>
      </c>
      <c r="J2">
        <v>0</v>
      </c>
      <c r="K2">
        <v>900</v>
      </c>
      <c r="L2">
        <v>630</v>
      </c>
      <c r="M2" s="9" t="s">
        <v>21</v>
      </c>
      <c r="N2" s="9" t="s">
        <v>12</v>
      </c>
    </row>
    <row r="3" spans="1:14">
      <c r="A3" t="s">
        <v>76</v>
      </c>
      <c r="B3" t="s">
        <v>12</v>
      </c>
      <c r="C3" t="s">
        <v>21</v>
      </c>
      <c r="D3" t="s">
        <v>13</v>
      </c>
      <c r="E3" t="s">
        <v>14</v>
      </c>
      <c r="H3">
        <v>900</v>
      </c>
      <c r="J3">
        <v>0</v>
      </c>
      <c r="K3">
        <v>900</v>
      </c>
      <c r="L3">
        <v>630</v>
      </c>
      <c r="M3" s="9" t="s">
        <v>21</v>
      </c>
      <c r="N3" s="9" t="s">
        <v>12</v>
      </c>
    </row>
    <row r="4" spans="1:14">
      <c r="A4" t="s">
        <v>77</v>
      </c>
      <c r="B4" t="s">
        <v>12</v>
      </c>
      <c r="C4" t="s">
        <v>21</v>
      </c>
      <c r="D4" t="s">
        <v>13</v>
      </c>
      <c r="E4" t="s">
        <v>14</v>
      </c>
      <c r="H4">
        <v>900</v>
      </c>
      <c r="J4">
        <v>0</v>
      </c>
      <c r="K4">
        <v>900</v>
      </c>
      <c r="L4">
        <v>630</v>
      </c>
      <c r="M4" s="9" t="s">
        <v>21</v>
      </c>
      <c r="N4" s="9" t="s">
        <v>12</v>
      </c>
    </row>
    <row r="5" spans="1:14">
      <c r="A5" t="s">
        <v>78</v>
      </c>
      <c r="B5" t="s">
        <v>12</v>
      </c>
      <c r="C5" t="s">
        <v>21</v>
      </c>
      <c r="D5" t="s">
        <v>13</v>
      </c>
      <c r="E5" t="s">
        <v>14</v>
      </c>
      <c r="H5">
        <v>900</v>
      </c>
      <c r="J5">
        <v>0</v>
      </c>
      <c r="K5">
        <v>900</v>
      </c>
      <c r="L5">
        <v>630</v>
      </c>
      <c r="M5" s="9" t="s">
        <v>21</v>
      </c>
      <c r="N5" s="9" t="s">
        <v>12</v>
      </c>
    </row>
    <row r="6" spans="1:14">
      <c r="A6" t="s">
        <v>79</v>
      </c>
      <c r="B6" t="s">
        <v>12</v>
      </c>
      <c r="C6" t="s">
        <v>21</v>
      </c>
      <c r="D6" t="s">
        <v>13</v>
      </c>
      <c r="E6" t="s">
        <v>14</v>
      </c>
      <c r="H6">
        <v>900</v>
      </c>
      <c r="J6">
        <v>0</v>
      </c>
      <c r="K6">
        <v>900</v>
      </c>
      <c r="L6">
        <v>630</v>
      </c>
      <c r="M6" s="9" t="s">
        <v>21</v>
      </c>
      <c r="N6" s="9" t="s">
        <v>12</v>
      </c>
    </row>
    <row r="7" spans="1:14">
      <c r="A7" t="s">
        <v>80</v>
      </c>
      <c r="B7" t="s">
        <v>12</v>
      </c>
      <c r="C7" t="s">
        <v>21</v>
      </c>
      <c r="D7" t="s">
        <v>13</v>
      </c>
      <c r="E7" t="s">
        <v>14</v>
      </c>
      <c r="H7">
        <v>900</v>
      </c>
      <c r="J7">
        <v>0</v>
      </c>
      <c r="K7">
        <v>900</v>
      </c>
      <c r="L7">
        <v>630</v>
      </c>
      <c r="M7" s="9" t="s">
        <v>21</v>
      </c>
      <c r="N7" s="9" t="s">
        <v>12</v>
      </c>
    </row>
    <row r="8" spans="1:14">
      <c r="A8" t="s">
        <v>81</v>
      </c>
      <c r="B8" t="s">
        <v>12</v>
      </c>
      <c r="C8" t="s">
        <v>21</v>
      </c>
      <c r="D8" t="s">
        <v>13</v>
      </c>
      <c r="E8" t="s">
        <v>14</v>
      </c>
      <c r="H8">
        <v>900</v>
      </c>
      <c r="J8">
        <v>0</v>
      </c>
      <c r="K8">
        <v>900</v>
      </c>
      <c r="L8">
        <v>630</v>
      </c>
      <c r="M8" s="9" t="s">
        <v>21</v>
      </c>
      <c r="N8" s="9" t="s">
        <v>12</v>
      </c>
    </row>
    <row r="9" spans="1:14">
      <c r="A9" t="s">
        <v>82</v>
      </c>
      <c r="B9" t="s">
        <v>12</v>
      </c>
      <c r="C9" t="s">
        <v>21</v>
      </c>
      <c r="D9" t="s">
        <v>13</v>
      </c>
      <c r="E9" t="s">
        <v>14</v>
      </c>
      <c r="H9">
        <v>900</v>
      </c>
      <c r="J9">
        <v>0</v>
      </c>
      <c r="K9">
        <v>900</v>
      </c>
      <c r="L9">
        <v>630</v>
      </c>
      <c r="M9" s="9" t="s">
        <v>21</v>
      </c>
      <c r="N9" s="9" t="s">
        <v>12</v>
      </c>
    </row>
    <row r="10" spans="1:14">
      <c r="A10" t="s">
        <v>83</v>
      </c>
      <c r="B10" t="s">
        <v>12</v>
      </c>
      <c r="C10" t="s">
        <v>21</v>
      </c>
      <c r="D10" t="s">
        <v>13</v>
      </c>
      <c r="E10" t="s">
        <v>14</v>
      </c>
      <c r="H10">
        <v>900</v>
      </c>
      <c r="J10">
        <v>0</v>
      </c>
      <c r="K10">
        <v>900</v>
      </c>
      <c r="L10">
        <v>630</v>
      </c>
      <c r="M10" s="9" t="s">
        <v>21</v>
      </c>
      <c r="N10" s="9" t="s">
        <v>12</v>
      </c>
    </row>
    <row r="11" spans="1:14">
      <c r="A11" t="s">
        <v>84</v>
      </c>
      <c r="B11" t="s">
        <v>12</v>
      </c>
      <c r="C11" t="s">
        <v>21</v>
      </c>
      <c r="D11" t="s">
        <v>13</v>
      </c>
      <c r="E11" t="s">
        <v>14</v>
      </c>
      <c r="H11">
        <v>900</v>
      </c>
      <c r="J11">
        <v>0</v>
      </c>
      <c r="K11">
        <v>900</v>
      </c>
      <c r="L11">
        <v>630</v>
      </c>
      <c r="M11" s="9" t="s">
        <v>21</v>
      </c>
      <c r="N11" s="9" t="s">
        <v>12</v>
      </c>
    </row>
    <row r="12" spans="1:14">
      <c r="A12" t="s">
        <v>85</v>
      </c>
      <c r="B12" t="s">
        <v>12</v>
      </c>
      <c r="C12" t="s">
        <v>21</v>
      </c>
      <c r="D12" t="s">
        <v>13</v>
      </c>
      <c r="E12" t="s">
        <v>14</v>
      </c>
      <c r="H12">
        <v>900</v>
      </c>
      <c r="J12">
        <v>0</v>
      </c>
      <c r="K12">
        <v>900</v>
      </c>
      <c r="L12">
        <v>630</v>
      </c>
      <c r="M12" s="9" t="s">
        <v>21</v>
      </c>
      <c r="N12" s="9" t="s">
        <v>12</v>
      </c>
    </row>
    <row r="13" spans="1:14">
      <c r="A13" t="s">
        <v>86</v>
      </c>
      <c r="B13" t="s">
        <v>12</v>
      </c>
      <c r="C13" t="s">
        <v>21</v>
      </c>
      <c r="D13" t="s">
        <v>13</v>
      </c>
      <c r="E13" t="s">
        <v>14</v>
      </c>
      <c r="H13">
        <v>900</v>
      </c>
      <c r="J13">
        <v>0</v>
      </c>
      <c r="K13">
        <v>900</v>
      </c>
      <c r="L13">
        <v>630</v>
      </c>
      <c r="M13" s="9" t="s">
        <v>21</v>
      </c>
      <c r="N13" s="9" t="s">
        <v>12</v>
      </c>
    </row>
    <row r="14" spans="1:14">
      <c r="A14" t="s">
        <v>87</v>
      </c>
      <c r="B14" t="s">
        <v>12</v>
      </c>
      <c r="C14" t="s">
        <v>21</v>
      </c>
      <c r="D14" t="s">
        <v>13</v>
      </c>
      <c r="E14" t="s">
        <v>14</v>
      </c>
      <c r="H14">
        <v>900</v>
      </c>
      <c r="J14">
        <v>0</v>
      </c>
      <c r="K14">
        <v>900</v>
      </c>
      <c r="L14">
        <v>630</v>
      </c>
      <c r="M14" s="9" t="s">
        <v>21</v>
      </c>
      <c r="N14" s="9" t="s">
        <v>12</v>
      </c>
    </row>
    <row r="15" spans="1:14">
      <c r="A15" t="s">
        <v>88</v>
      </c>
      <c r="B15" t="s">
        <v>12</v>
      </c>
      <c r="C15" t="s">
        <v>21</v>
      </c>
      <c r="D15" t="s">
        <v>13</v>
      </c>
      <c r="E15" t="s">
        <v>14</v>
      </c>
      <c r="H15">
        <v>900</v>
      </c>
      <c r="J15">
        <v>0</v>
      </c>
      <c r="K15">
        <v>900</v>
      </c>
      <c r="L15">
        <v>630</v>
      </c>
      <c r="M15" s="9" t="s">
        <v>21</v>
      </c>
      <c r="N15" s="9" t="s">
        <v>12</v>
      </c>
    </row>
    <row r="16" spans="1:14">
      <c r="A16" t="s">
        <v>89</v>
      </c>
      <c r="B16" t="s">
        <v>12</v>
      </c>
      <c r="C16" t="s">
        <v>21</v>
      </c>
      <c r="D16" t="s">
        <v>13</v>
      </c>
      <c r="E16" t="s">
        <v>14</v>
      </c>
      <c r="H16">
        <v>900</v>
      </c>
      <c r="J16">
        <v>0</v>
      </c>
      <c r="K16">
        <v>900</v>
      </c>
      <c r="L16">
        <v>630</v>
      </c>
      <c r="M16" s="9" t="s">
        <v>21</v>
      </c>
      <c r="N16" s="9" t="s">
        <v>12</v>
      </c>
    </row>
    <row r="17" spans="1:14">
      <c r="A17" t="s">
        <v>90</v>
      </c>
      <c r="B17" t="s">
        <v>12</v>
      </c>
      <c r="C17" t="s">
        <v>21</v>
      </c>
      <c r="D17" t="s">
        <v>13</v>
      </c>
      <c r="E17" t="s">
        <v>14</v>
      </c>
      <c r="H17">
        <v>900</v>
      </c>
      <c r="J17">
        <v>0</v>
      </c>
      <c r="K17">
        <v>900</v>
      </c>
      <c r="L17">
        <v>630</v>
      </c>
      <c r="M17" s="9" t="s">
        <v>21</v>
      </c>
      <c r="N17" s="9" t="s">
        <v>12</v>
      </c>
    </row>
    <row r="18" spans="1:14">
      <c r="A18" t="s">
        <v>91</v>
      </c>
      <c r="B18" t="s">
        <v>12</v>
      </c>
      <c r="C18" t="s">
        <v>21</v>
      </c>
      <c r="D18" t="s">
        <v>13</v>
      </c>
      <c r="E18" t="s">
        <v>14</v>
      </c>
      <c r="H18">
        <v>900</v>
      </c>
      <c r="J18">
        <v>0</v>
      </c>
      <c r="K18">
        <v>900</v>
      </c>
      <c r="L18">
        <v>630</v>
      </c>
      <c r="M18" s="9" t="s">
        <v>21</v>
      </c>
      <c r="N18" s="9" t="s">
        <v>12</v>
      </c>
    </row>
    <row r="19" spans="1:14">
      <c r="A19" t="s">
        <v>215</v>
      </c>
      <c r="B19" t="s">
        <v>12</v>
      </c>
      <c r="C19" t="s">
        <v>21</v>
      </c>
      <c r="D19" t="s">
        <v>13</v>
      </c>
      <c r="E19" t="s">
        <v>14</v>
      </c>
      <c r="H19">
        <v>900</v>
      </c>
      <c r="J19">
        <v>0</v>
      </c>
      <c r="K19">
        <v>900</v>
      </c>
      <c r="L19">
        <v>630</v>
      </c>
      <c r="M19" s="9" t="s">
        <v>21</v>
      </c>
      <c r="N19" s="9" t="s">
        <v>12</v>
      </c>
    </row>
    <row r="20" spans="1:14">
      <c r="A20" t="s">
        <v>309</v>
      </c>
      <c r="B20" t="s">
        <v>12</v>
      </c>
      <c r="C20" t="s">
        <v>21</v>
      </c>
      <c r="D20" t="s">
        <v>13</v>
      </c>
      <c r="E20" t="s">
        <v>14</v>
      </c>
      <c r="H20">
        <v>900</v>
      </c>
      <c r="J20">
        <v>0</v>
      </c>
      <c r="K20">
        <v>900</v>
      </c>
      <c r="L20">
        <v>630</v>
      </c>
      <c r="M20" s="9" t="s">
        <v>21</v>
      </c>
      <c r="N20" s="9" t="s">
        <v>12</v>
      </c>
    </row>
    <row r="21" spans="1:14">
      <c r="A21" t="s">
        <v>310</v>
      </c>
      <c r="B21" t="s">
        <v>12</v>
      </c>
      <c r="C21" t="s">
        <v>21</v>
      </c>
      <c r="D21" t="s">
        <v>13</v>
      </c>
      <c r="E21" t="s">
        <v>14</v>
      </c>
      <c r="H21">
        <v>900</v>
      </c>
      <c r="J21">
        <v>0</v>
      </c>
      <c r="K21">
        <v>900</v>
      </c>
      <c r="L21">
        <v>630</v>
      </c>
      <c r="M21" s="9" t="s">
        <v>21</v>
      </c>
      <c r="N21" s="9" t="s">
        <v>12</v>
      </c>
    </row>
    <row r="22" spans="1:14">
      <c r="A22" t="s">
        <v>311</v>
      </c>
      <c r="B22" t="s">
        <v>12</v>
      </c>
      <c r="C22" t="s">
        <v>21</v>
      </c>
      <c r="D22" t="s">
        <v>13</v>
      </c>
      <c r="E22" t="s">
        <v>14</v>
      </c>
      <c r="H22">
        <v>900</v>
      </c>
      <c r="J22">
        <v>0</v>
      </c>
      <c r="K22">
        <v>900</v>
      </c>
      <c r="L22">
        <v>630</v>
      </c>
      <c r="M22" s="9" t="s">
        <v>21</v>
      </c>
      <c r="N22" s="9" t="s">
        <v>12</v>
      </c>
    </row>
    <row r="23" spans="1:14">
      <c r="A23" t="s">
        <v>312</v>
      </c>
      <c r="B23" t="s">
        <v>12</v>
      </c>
      <c r="C23" t="s">
        <v>21</v>
      </c>
      <c r="D23" t="s">
        <v>13</v>
      </c>
      <c r="E23" t="s">
        <v>14</v>
      </c>
      <c r="H23">
        <v>900</v>
      </c>
      <c r="J23">
        <v>0</v>
      </c>
      <c r="K23">
        <v>900</v>
      </c>
      <c r="L23">
        <v>630</v>
      </c>
      <c r="M23" s="9" t="s">
        <v>21</v>
      </c>
      <c r="N23" s="9" t="s">
        <v>12</v>
      </c>
    </row>
    <row r="24" spans="1:14">
      <c r="A24" t="s">
        <v>313</v>
      </c>
      <c r="B24" t="s">
        <v>12</v>
      </c>
      <c r="C24" t="s">
        <v>21</v>
      </c>
      <c r="D24" t="s">
        <v>13</v>
      </c>
      <c r="E24" t="s">
        <v>14</v>
      </c>
      <c r="H24">
        <v>900</v>
      </c>
      <c r="J24">
        <v>0</v>
      </c>
      <c r="K24">
        <v>900</v>
      </c>
      <c r="L24">
        <v>630</v>
      </c>
      <c r="M24" s="9" t="s">
        <v>21</v>
      </c>
      <c r="N24" s="9" t="s">
        <v>12</v>
      </c>
    </row>
    <row r="25" spans="1:14">
      <c r="A25" t="s">
        <v>314</v>
      </c>
      <c r="B25" t="s">
        <v>12</v>
      </c>
      <c r="C25" t="s">
        <v>21</v>
      </c>
      <c r="D25" t="s">
        <v>13</v>
      </c>
      <c r="E25" t="s">
        <v>14</v>
      </c>
      <c r="H25">
        <v>900</v>
      </c>
      <c r="J25">
        <v>0</v>
      </c>
      <c r="K25">
        <v>900</v>
      </c>
      <c r="L25">
        <v>630</v>
      </c>
      <c r="M25" s="9" t="s">
        <v>21</v>
      </c>
      <c r="N25" s="9" t="s">
        <v>12</v>
      </c>
    </row>
    <row r="26" spans="1:14">
      <c r="A26" t="s">
        <v>315</v>
      </c>
      <c r="B26" t="s">
        <v>12</v>
      </c>
      <c r="C26" t="s">
        <v>21</v>
      </c>
      <c r="D26" t="s">
        <v>13</v>
      </c>
      <c r="E26" t="s">
        <v>14</v>
      </c>
      <c r="H26">
        <v>900</v>
      </c>
      <c r="J26">
        <v>0</v>
      </c>
      <c r="K26">
        <v>900</v>
      </c>
      <c r="L26">
        <v>630</v>
      </c>
      <c r="M26" s="9" t="s">
        <v>21</v>
      </c>
      <c r="N26" s="9" t="s">
        <v>12</v>
      </c>
    </row>
    <row r="27" spans="1:14">
      <c r="A27" t="s">
        <v>316</v>
      </c>
      <c r="B27" t="s">
        <v>12</v>
      </c>
      <c r="C27" t="s">
        <v>21</v>
      </c>
      <c r="D27" t="s">
        <v>13</v>
      </c>
      <c r="E27" t="s">
        <v>14</v>
      </c>
      <c r="H27">
        <v>900</v>
      </c>
      <c r="J27">
        <v>0</v>
      </c>
      <c r="K27">
        <v>900</v>
      </c>
      <c r="L27">
        <v>630</v>
      </c>
      <c r="M27" s="9" t="s">
        <v>21</v>
      </c>
      <c r="N27" s="9" t="s">
        <v>12</v>
      </c>
    </row>
    <row r="28" spans="1:14">
      <c r="A28" t="s">
        <v>23</v>
      </c>
      <c r="B28" t="s">
        <v>12</v>
      </c>
      <c r="C28" t="s">
        <v>21</v>
      </c>
      <c r="D28" t="s">
        <v>13</v>
      </c>
      <c r="E28" t="s">
        <v>16</v>
      </c>
      <c r="F28">
        <v>1696</v>
      </c>
      <c r="G28">
        <v>100</v>
      </c>
      <c r="H28">
        <v>169600</v>
      </c>
      <c r="I28">
        <v>0</v>
      </c>
      <c r="J28">
        <v>0</v>
      </c>
      <c r="K28">
        <v>169600</v>
      </c>
      <c r="L28">
        <v>118720</v>
      </c>
      <c r="M28" s="9" t="s">
        <v>21</v>
      </c>
      <c r="N28" s="9" t="s">
        <v>12</v>
      </c>
    </row>
    <row r="29" spans="1:14">
      <c r="A29" t="s">
        <v>56</v>
      </c>
      <c r="B29" t="s">
        <v>12</v>
      </c>
      <c r="C29" t="s">
        <v>21</v>
      </c>
      <c r="D29" t="s">
        <v>92</v>
      </c>
      <c r="E29" t="s">
        <v>317</v>
      </c>
      <c r="F29">
        <v>2</v>
      </c>
      <c r="G29">
        <v>3200</v>
      </c>
      <c r="H29">
        <v>6400</v>
      </c>
      <c r="I29">
        <v>0</v>
      </c>
      <c r="J29">
        <v>0</v>
      </c>
      <c r="K29">
        <v>6400</v>
      </c>
      <c r="L29">
        <v>3200</v>
      </c>
      <c r="M29" s="9" t="s">
        <v>21</v>
      </c>
      <c r="N29" s="9" t="s">
        <v>12</v>
      </c>
    </row>
    <row r="30" spans="1:14">
      <c r="A30" t="s">
        <v>55</v>
      </c>
      <c r="B30" t="s">
        <v>12</v>
      </c>
      <c r="C30" t="s">
        <v>21</v>
      </c>
      <c r="D30" t="s">
        <v>92</v>
      </c>
      <c r="E30" t="s">
        <v>317</v>
      </c>
      <c r="F30">
        <v>2</v>
      </c>
      <c r="G30">
        <v>3200</v>
      </c>
      <c r="H30">
        <v>6400</v>
      </c>
      <c r="I30">
        <v>0</v>
      </c>
      <c r="J30">
        <v>0</v>
      </c>
      <c r="K30">
        <v>6400</v>
      </c>
      <c r="L30">
        <v>3200</v>
      </c>
      <c r="M30" s="9" t="s">
        <v>21</v>
      </c>
      <c r="N30" s="9" t="s">
        <v>12</v>
      </c>
    </row>
    <row r="31" spans="1:14">
      <c r="A31" t="s">
        <v>53</v>
      </c>
      <c r="B31" t="s">
        <v>12</v>
      </c>
      <c r="C31" t="s">
        <v>21</v>
      </c>
      <c r="D31" t="s">
        <v>92</v>
      </c>
      <c r="E31" t="s">
        <v>317</v>
      </c>
      <c r="F31">
        <v>2</v>
      </c>
      <c r="G31">
        <v>3200</v>
      </c>
      <c r="H31">
        <v>6400</v>
      </c>
      <c r="I31">
        <v>0</v>
      </c>
      <c r="J31">
        <v>0</v>
      </c>
      <c r="K31">
        <v>6400</v>
      </c>
      <c r="L31">
        <v>3200</v>
      </c>
      <c r="M31" s="9" t="s">
        <v>21</v>
      </c>
      <c r="N31" s="9" t="s">
        <v>12</v>
      </c>
    </row>
    <row r="32" spans="1:14">
      <c r="A32" t="s">
        <v>54</v>
      </c>
      <c r="B32" t="s">
        <v>12</v>
      </c>
      <c r="C32" t="s">
        <v>21</v>
      </c>
      <c r="D32" t="s">
        <v>92</v>
      </c>
      <c r="E32" t="s">
        <v>317</v>
      </c>
      <c r="F32">
        <v>2</v>
      </c>
      <c r="G32">
        <v>3200</v>
      </c>
      <c r="H32">
        <v>6400</v>
      </c>
      <c r="I32">
        <v>0</v>
      </c>
      <c r="J32">
        <v>0</v>
      </c>
      <c r="K32">
        <v>6400</v>
      </c>
      <c r="L32">
        <v>3200</v>
      </c>
      <c r="M32" s="9" t="s">
        <v>21</v>
      </c>
      <c r="N32" s="9" t="s">
        <v>12</v>
      </c>
    </row>
    <row r="33" spans="1:14">
      <c r="A33" t="s">
        <v>58</v>
      </c>
      <c r="B33" t="s">
        <v>12</v>
      </c>
      <c r="C33" t="s">
        <v>21</v>
      </c>
      <c r="D33" t="s">
        <v>92</v>
      </c>
      <c r="E33" t="s">
        <v>317</v>
      </c>
      <c r="F33">
        <v>2</v>
      </c>
      <c r="G33">
        <v>3200</v>
      </c>
      <c r="H33">
        <v>6400</v>
      </c>
      <c r="I33">
        <v>0</v>
      </c>
      <c r="J33">
        <v>0</v>
      </c>
      <c r="K33">
        <v>6400</v>
      </c>
      <c r="L33">
        <v>3200</v>
      </c>
      <c r="M33" s="9" t="s">
        <v>21</v>
      </c>
      <c r="N33" s="9" t="s">
        <v>12</v>
      </c>
    </row>
    <row r="34" spans="1:14">
      <c r="A34" t="s">
        <v>62</v>
      </c>
      <c r="B34" t="s">
        <v>12</v>
      </c>
      <c r="C34" t="s">
        <v>21</v>
      </c>
      <c r="D34" t="s">
        <v>92</v>
      </c>
      <c r="E34" t="s">
        <v>317</v>
      </c>
      <c r="F34">
        <v>2</v>
      </c>
      <c r="G34">
        <v>3200</v>
      </c>
      <c r="H34">
        <v>6400</v>
      </c>
      <c r="I34">
        <v>0</v>
      </c>
      <c r="J34">
        <v>0</v>
      </c>
      <c r="K34">
        <v>6400</v>
      </c>
      <c r="L34">
        <v>3200</v>
      </c>
      <c r="M34" s="9" t="s">
        <v>21</v>
      </c>
      <c r="N34" s="9" t="s">
        <v>12</v>
      </c>
    </row>
    <row r="35" spans="1:14">
      <c r="A35" t="s">
        <v>61</v>
      </c>
      <c r="B35" t="s">
        <v>12</v>
      </c>
      <c r="C35" t="s">
        <v>21</v>
      </c>
      <c r="D35" t="s">
        <v>92</v>
      </c>
      <c r="E35" t="s">
        <v>317</v>
      </c>
      <c r="F35">
        <v>2</v>
      </c>
      <c r="G35">
        <v>3200</v>
      </c>
      <c r="H35">
        <v>6400</v>
      </c>
      <c r="I35">
        <v>0</v>
      </c>
      <c r="J35">
        <v>0</v>
      </c>
      <c r="K35">
        <v>6400</v>
      </c>
      <c r="L35">
        <v>3200</v>
      </c>
      <c r="M35" s="9" t="s">
        <v>21</v>
      </c>
      <c r="N35" s="9" t="s">
        <v>12</v>
      </c>
    </row>
    <row r="36" spans="1:14">
      <c r="A36" t="s">
        <v>60</v>
      </c>
      <c r="B36" t="s">
        <v>12</v>
      </c>
      <c r="C36" t="s">
        <v>21</v>
      </c>
      <c r="D36" t="s">
        <v>92</v>
      </c>
      <c r="E36" t="s">
        <v>317</v>
      </c>
      <c r="F36">
        <v>2</v>
      </c>
      <c r="G36">
        <v>3200</v>
      </c>
      <c r="H36">
        <v>6400</v>
      </c>
      <c r="I36">
        <v>0</v>
      </c>
      <c r="J36">
        <v>0</v>
      </c>
      <c r="K36">
        <v>6400</v>
      </c>
      <c r="L36">
        <v>3200</v>
      </c>
      <c r="M36" s="9" t="s">
        <v>21</v>
      </c>
      <c r="N36" s="9" t="s">
        <v>12</v>
      </c>
    </row>
    <row r="37" spans="1:14">
      <c r="A37" t="s">
        <v>65</v>
      </c>
      <c r="B37" t="s">
        <v>12</v>
      </c>
      <c r="C37" t="s">
        <v>21</v>
      </c>
      <c r="D37" t="s">
        <v>92</v>
      </c>
      <c r="E37" t="s">
        <v>317</v>
      </c>
      <c r="F37">
        <v>2</v>
      </c>
      <c r="G37">
        <v>3200</v>
      </c>
      <c r="H37">
        <v>6400</v>
      </c>
      <c r="I37">
        <v>0</v>
      </c>
      <c r="J37">
        <v>0</v>
      </c>
      <c r="K37">
        <v>6400</v>
      </c>
      <c r="L37">
        <v>3200</v>
      </c>
      <c r="M37" s="9" t="s">
        <v>21</v>
      </c>
      <c r="N37" s="9" t="s">
        <v>12</v>
      </c>
    </row>
    <row r="38" spans="1:14">
      <c r="A38" t="s">
        <v>59</v>
      </c>
      <c r="B38" t="s">
        <v>12</v>
      </c>
      <c r="C38" t="s">
        <v>21</v>
      </c>
      <c r="D38" t="s">
        <v>92</v>
      </c>
      <c r="E38" t="s">
        <v>317</v>
      </c>
      <c r="F38">
        <v>2</v>
      </c>
      <c r="G38">
        <v>3200</v>
      </c>
      <c r="H38">
        <v>6400</v>
      </c>
      <c r="I38">
        <v>0</v>
      </c>
      <c r="J38">
        <v>0</v>
      </c>
      <c r="K38">
        <v>6400</v>
      </c>
      <c r="L38">
        <v>3200</v>
      </c>
      <c r="M38" s="9" t="s">
        <v>21</v>
      </c>
      <c r="N38" s="9" t="s">
        <v>12</v>
      </c>
    </row>
    <row r="39" spans="1:14">
      <c r="A39" t="s">
        <v>63</v>
      </c>
      <c r="B39" t="s">
        <v>12</v>
      </c>
      <c r="C39" t="s">
        <v>21</v>
      </c>
      <c r="D39" t="s">
        <v>92</v>
      </c>
      <c r="E39" t="s">
        <v>317</v>
      </c>
      <c r="F39">
        <v>2</v>
      </c>
      <c r="G39">
        <v>3200</v>
      </c>
      <c r="H39">
        <v>6400</v>
      </c>
      <c r="I39">
        <v>0</v>
      </c>
      <c r="J39">
        <v>0</v>
      </c>
      <c r="K39">
        <v>6400</v>
      </c>
      <c r="L39">
        <v>3200</v>
      </c>
      <c r="M39" s="9" t="s">
        <v>21</v>
      </c>
      <c r="N39" s="9" t="s">
        <v>12</v>
      </c>
    </row>
    <row r="40" spans="1:14">
      <c r="A40" t="s">
        <v>64</v>
      </c>
      <c r="B40" t="s">
        <v>12</v>
      </c>
      <c r="C40" t="s">
        <v>21</v>
      </c>
      <c r="D40" t="s">
        <v>92</v>
      </c>
      <c r="E40" t="s">
        <v>317</v>
      </c>
      <c r="F40">
        <v>2</v>
      </c>
      <c r="G40">
        <v>3200</v>
      </c>
      <c r="H40">
        <v>6400</v>
      </c>
      <c r="I40">
        <v>0</v>
      </c>
      <c r="J40">
        <v>0</v>
      </c>
      <c r="K40">
        <v>6400</v>
      </c>
      <c r="L40">
        <v>3200</v>
      </c>
      <c r="M40" s="9" t="s">
        <v>21</v>
      </c>
      <c r="N40" s="9" t="s">
        <v>12</v>
      </c>
    </row>
    <row r="41" spans="1:14">
      <c r="A41" t="s">
        <v>69</v>
      </c>
      <c r="B41" t="s">
        <v>12</v>
      </c>
      <c r="C41" t="s">
        <v>21</v>
      </c>
      <c r="D41" t="s">
        <v>92</v>
      </c>
      <c r="E41" t="s">
        <v>317</v>
      </c>
      <c r="F41">
        <v>2</v>
      </c>
      <c r="G41">
        <v>3200</v>
      </c>
      <c r="H41">
        <v>6400</v>
      </c>
      <c r="I41">
        <v>0</v>
      </c>
      <c r="J41">
        <v>0</v>
      </c>
      <c r="K41">
        <v>6400</v>
      </c>
      <c r="L41">
        <v>3200</v>
      </c>
      <c r="M41" s="9" t="s">
        <v>21</v>
      </c>
      <c r="N41" s="9" t="s">
        <v>12</v>
      </c>
    </row>
    <row r="42" spans="1:14">
      <c r="A42" t="s">
        <v>68</v>
      </c>
      <c r="B42" t="s">
        <v>12</v>
      </c>
      <c r="C42" t="s">
        <v>21</v>
      </c>
      <c r="D42" t="s">
        <v>92</v>
      </c>
      <c r="E42" t="s">
        <v>317</v>
      </c>
      <c r="F42">
        <v>2</v>
      </c>
      <c r="G42">
        <v>3200</v>
      </c>
      <c r="H42">
        <v>6400</v>
      </c>
      <c r="I42">
        <v>0</v>
      </c>
      <c r="J42">
        <v>0</v>
      </c>
      <c r="K42">
        <v>6400</v>
      </c>
      <c r="L42">
        <v>3200</v>
      </c>
      <c r="M42" s="9" t="s">
        <v>21</v>
      </c>
      <c r="N42" s="9" t="s">
        <v>12</v>
      </c>
    </row>
    <row r="43" spans="1:14">
      <c r="A43" t="s">
        <v>70</v>
      </c>
      <c r="B43" t="s">
        <v>12</v>
      </c>
      <c r="C43" t="s">
        <v>21</v>
      </c>
      <c r="D43" t="s">
        <v>92</v>
      </c>
      <c r="E43" t="s">
        <v>317</v>
      </c>
      <c r="F43">
        <v>2</v>
      </c>
      <c r="G43">
        <v>3200</v>
      </c>
      <c r="H43">
        <v>6400</v>
      </c>
      <c r="I43">
        <v>0</v>
      </c>
      <c r="J43">
        <v>0</v>
      </c>
      <c r="K43">
        <v>6400</v>
      </c>
      <c r="L43">
        <v>3200</v>
      </c>
      <c r="M43" s="9" t="s">
        <v>21</v>
      </c>
      <c r="N43" s="9" t="s">
        <v>12</v>
      </c>
    </row>
    <row r="44" spans="1:14">
      <c r="A44" t="s">
        <v>71</v>
      </c>
      <c r="B44" t="s">
        <v>12</v>
      </c>
      <c r="C44" t="s">
        <v>21</v>
      </c>
      <c r="D44" t="s">
        <v>92</v>
      </c>
      <c r="E44" t="s">
        <v>317</v>
      </c>
      <c r="F44">
        <v>2</v>
      </c>
      <c r="G44">
        <v>3200</v>
      </c>
      <c r="H44">
        <v>6400</v>
      </c>
      <c r="I44">
        <v>0</v>
      </c>
      <c r="J44">
        <v>0</v>
      </c>
      <c r="K44">
        <v>6400</v>
      </c>
      <c r="L44">
        <v>3200</v>
      </c>
      <c r="M44" s="9" t="s">
        <v>21</v>
      </c>
      <c r="N44" s="9" t="s">
        <v>12</v>
      </c>
    </row>
    <row r="45" spans="1:14">
      <c r="A45" t="s">
        <v>66</v>
      </c>
      <c r="B45" t="s">
        <v>12</v>
      </c>
      <c r="C45" t="s">
        <v>21</v>
      </c>
      <c r="D45" t="s">
        <v>92</v>
      </c>
      <c r="E45" t="s">
        <v>317</v>
      </c>
      <c r="F45">
        <v>2</v>
      </c>
      <c r="G45">
        <v>3200</v>
      </c>
      <c r="H45">
        <v>6400</v>
      </c>
      <c r="I45">
        <v>0</v>
      </c>
      <c r="J45">
        <v>0</v>
      </c>
      <c r="K45">
        <v>6400</v>
      </c>
      <c r="L45">
        <v>3200</v>
      </c>
      <c r="M45" s="9" t="s">
        <v>21</v>
      </c>
      <c r="N45" s="9" t="s">
        <v>12</v>
      </c>
    </row>
    <row r="46" spans="1:14">
      <c r="A46" t="s">
        <v>67</v>
      </c>
      <c r="B46" t="s">
        <v>12</v>
      </c>
      <c r="C46" t="s">
        <v>21</v>
      </c>
      <c r="D46" t="s">
        <v>92</v>
      </c>
      <c r="E46" t="s">
        <v>317</v>
      </c>
      <c r="F46">
        <v>2</v>
      </c>
      <c r="G46">
        <v>3200</v>
      </c>
      <c r="H46">
        <v>6400</v>
      </c>
      <c r="I46">
        <v>0</v>
      </c>
      <c r="J46">
        <v>0</v>
      </c>
      <c r="K46">
        <v>6400</v>
      </c>
      <c r="L46">
        <v>3200</v>
      </c>
      <c r="M46" s="9" t="s">
        <v>21</v>
      </c>
      <c r="N46" s="9" t="s">
        <v>12</v>
      </c>
    </row>
    <row r="47" spans="1:14">
      <c r="A47" t="s">
        <v>74</v>
      </c>
      <c r="B47" t="s">
        <v>12</v>
      </c>
      <c r="C47" t="s">
        <v>21</v>
      </c>
      <c r="D47" t="s">
        <v>92</v>
      </c>
      <c r="E47" t="s">
        <v>317</v>
      </c>
      <c r="F47">
        <v>2</v>
      </c>
      <c r="G47">
        <v>3200</v>
      </c>
      <c r="H47">
        <v>6400</v>
      </c>
      <c r="I47">
        <v>0</v>
      </c>
      <c r="J47">
        <v>0</v>
      </c>
      <c r="K47">
        <v>6400</v>
      </c>
      <c r="L47">
        <v>3200</v>
      </c>
      <c r="M47" s="9" t="s">
        <v>21</v>
      </c>
      <c r="N47" s="9" t="s">
        <v>12</v>
      </c>
    </row>
    <row r="48" spans="1:14">
      <c r="A48" t="s">
        <v>73</v>
      </c>
      <c r="B48" t="s">
        <v>12</v>
      </c>
      <c r="C48" t="s">
        <v>21</v>
      </c>
      <c r="D48" t="s">
        <v>92</v>
      </c>
      <c r="E48" t="s">
        <v>317</v>
      </c>
      <c r="F48">
        <v>2</v>
      </c>
      <c r="G48">
        <v>3200</v>
      </c>
      <c r="H48">
        <v>6400</v>
      </c>
      <c r="I48">
        <v>0</v>
      </c>
      <c r="J48">
        <v>0</v>
      </c>
      <c r="K48">
        <v>6400</v>
      </c>
      <c r="L48">
        <v>3200</v>
      </c>
      <c r="M48" s="9" t="s">
        <v>21</v>
      </c>
      <c r="N48" s="9" t="s">
        <v>12</v>
      </c>
    </row>
    <row r="49" spans="1:14">
      <c r="A49" t="s">
        <v>72</v>
      </c>
      <c r="B49" t="s">
        <v>12</v>
      </c>
      <c r="C49" t="s">
        <v>21</v>
      </c>
      <c r="D49" t="s">
        <v>92</v>
      </c>
      <c r="E49" t="s">
        <v>317</v>
      </c>
      <c r="F49">
        <v>2</v>
      </c>
      <c r="G49">
        <v>3200</v>
      </c>
      <c r="H49">
        <v>6400</v>
      </c>
      <c r="I49">
        <v>0</v>
      </c>
      <c r="J49">
        <v>0</v>
      </c>
      <c r="K49">
        <v>6400</v>
      </c>
      <c r="L49">
        <v>3200</v>
      </c>
      <c r="M49" s="9" t="s">
        <v>21</v>
      </c>
      <c r="N49" s="9" t="s">
        <v>12</v>
      </c>
    </row>
    <row r="50" spans="1:14">
      <c r="A50" t="s">
        <v>57</v>
      </c>
      <c r="B50" t="s">
        <v>12</v>
      </c>
      <c r="C50" t="s">
        <v>21</v>
      </c>
      <c r="D50" t="s">
        <v>92</v>
      </c>
      <c r="E50" t="s">
        <v>317</v>
      </c>
      <c r="F50">
        <v>2</v>
      </c>
      <c r="G50">
        <v>3200</v>
      </c>
      <c r="H50">
        <v>6400</v>
      </c>
      <c r="I50">
        <v>0</v>
      </c>
      <c r="J50">
        <v>0</v>
      </c>
      <c r="K50">
        <v>6400</v>
      </c>
      <c r="L50">
        <v>3200</v>
      </c>
      <c r="M50" s="9" t="s">
        <v>21</v>
      </c>
      <c r="N50" s="9" t="s">
        <v>12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82"/>
  <sheetViews>
    <sheetView workbookViewId="0"/>
  </sheetViews>
  <sheetFormatPr defaultRowHeight="17.399999999999999"/>
  <cols>
    <col min="1" max="1" width="44.59765625" bestFit="1" customWidth="1"/>
    <col min="2" max="2" width="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93</v>
      </c>
      <c r="B2" t="s">
        <v>20</v>
      </c>
      <c r="C2" t="s">
        <v>21</v>
      </c>
      <c r="D2" t="s">
        <v>13</v>
      </c>
      <c r="E2" t="s">
        <v>18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2240</v>
      </c>
      <c r="M2" s="9" t="s">
        <v>21</v>
      </c>
      <c r="N2" s="9" t="s">
        <v>20</v>
      </c>
    </row>
    <row r="3" spans="1:14">
      <c r="A3" t="s">
        <v>45</v>
      </c>
      <c r="B3" t="s">
        <v>20</v>
      </c>
      <c r="C3" t="s">
        <v>21</v>
      </c>
      <c r="D3" t="s">
        <v>13</v>
      </c>
      <c r="E3" t="s">
        <v>18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2240</v>
      </c>
      <c r="M3" s="9" t="s">
        <v>21</v>
      </c>
      <c r="N3" s="9" t="s">
        <v>20</v>
      </c>
    </row>
    <row r="4" spans="1:14">
      <c r="A4" t="s">
        <v>127</v>
      </c>
      <c r="B4" t="s">
        <v>20</v>
      </c>
      <c r="C4" t="s">
        <v>21</v>
      </c>
      <c r="D4" t="s">
        <v>13</v>
      </c>
      <c r="E4" t="s">
        <v>18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2240</v>
      </c>
      <c r="M4" s="9" t="s">
        <v>21</v>
      </c>
      <c r="N4" s="9" t="s">
        <v>20</v>
      </c>
    </row>
    <row r="5" spans="1:14">
      <c r="A5" t="s">
        <v>128</v>
      </c>
      <c r="B5" t="s">
        <v>20</v>
      </c>
      <c r="C5" t="s">
        <v>21</v>
      </c>
      <c r="D5" t="s">
        <v>13</v>
      </c>
      <c r="E5" t="s">
        <v>18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2240</v>
      </c>
      <c r="M5" s="9" t="s">
        <v>21</v>
      </c>
      <c r="N5" s="9" t="s">
        <v>20</v>
      </c>
    </row>
    <row r="6" spans="1:14">
      <c r="A6" t="s">
        <v>129</v>
      </c>
      <c r="B6" t="s">
        <v>20</v>
      </c>
      <c r="C6" t="s">
        <v>21</v>
      </c>
      <c r="D6" t="s">
        <v>13</v>
      </c>
      <c r="E6" t="s">
        <v>18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2240</v>
      </c>
      <c r="M6" s="9" t="s">
        <v>21</v>
      </c>
      <c r="N6" s="9" t="s">
        <v>20</v>
      </c>
    </row>
    <row r="7" spans="1:14">
      <c r="A7" t="s">
        <v>130</v>
      </c>
      <c r="B7" t="s">
        <v>20</v>
      </c>
      <c r="C7" t="s">
        <v>21</v>
      </c>
      <c r="D7" t="s">
        <v>13</v>
      </c>
      <c r="E7" t="s">
        <v>18</v>
      </c>
      <c r="F7">
        <v>1</v>
      </c>
      <c r="G7">
        <v>3200</v>
      </c>
      <c r="H7">
        <v>3200</v>
      </c>
      <c r="I7">
        <v>0</v>
      </c>
      <c r="J7">
        <v>0</v>
      </c>
      <c r="K7">
        <v>3200</v>
      </c>
      <c r="L7">
        <v>2240</v>
      </c>
      <c r="M7" s="9" t="s">
        <v>21</v>
      </c>
      <c r="N7" s="9" t="s">
        <v>20</v>
      </c>
    </row>
    <row r="8" spans="1:14">
      <c r="A8" t="s">
        <v>131</v>
      </c>
      <c r="B8" t="s">
        <v>20</v>
      </c>
      <c r="C8" t="s">
        <v>21</v>
      </c>
      <c r="D8" t="s">
        <v>13</v>
      </c>
      <c r="E8" t="s">
        <v>18</v>
      </c>
      <c r="F8">
        <v>1</v>
      </c>
      <c r="G8">
        <v>3200</v>
      </c>
      <c r="H8">
        <v>3200</v>
      </c>
      <c r="I8">
        <v>0</v>
      </c>
      <c r="J8">
        <v>0</v>
      </c>
      <c r="K8">
        <v>3200</v>
      </c>
      <c r="L8">
        <v>2240</v>
      </c>
      <c r="M8" s="9" t="s">
        <v>21</v>
      </c>
      <c r="N8" s="9" t="s">
        <v>20</v>
      </c>
    </row>
    <row r="9" spans="1:14">
      <c r="A9" t="s">
        <v>46</v>
      </c>
      <c r="B9" t="s">
        <v>20</v>
      </c>
      <c r="C9" t="s">
        <v>21</v>
      </c>
      <c r="D9" t="s">
        <v>13</v>
      </c>
      <c r="E9" t="s">
        <v>18</v>
      </c>
      <c r="F9">
        <v>2</v>
      </c>
      <c r="G9">
        <v>3200</v>
      </c>
      <c r="H9">
        <v>6400</v>
      </c>
      <c r="I9">
        <v>0</v>
      </c>
      <c r="J9">
        <v>0</v>
      </c>
      <c r="K9">
        <v>6400</v>
      </c>
      <c r="L9">
        <v>4480</v>
      </c>
      <c r="M9" s="9" t="s">
        <v>21</v>
      </c>
      <c r="N9" s="9" t="s">
        <v>20</v>
      </c>
    </row>
    <row r="10" spans="1:14">
      <c r="A10" t="s">
        <v>47</v>
      </c>
      <c r="B10" t="s">
        <v>20</v>
      </c>
      <c r="C10" t="s">
        <v>21</v>
      </c>
      <c r="D10" t="s">
        <v>13</v>
      </c>
      <c r="E10" t="s">
        <v>18</v>
      </c>
      <c r="F10">
        <v>2</v>
      </c>
      <c r="G10">
        <v>3200</v>
      </c>
      <c r="H10">
        <v>6400</v>
      </c>
      <c r="I10">
        <v>0</v>
      </c>
      <c r="J10">
        <v>0</v>
      </c>
      <c r="K10">
        <v>6400</v>
      </c>
      <c r="L10">
        <v>4480</v>
      </c>
      <c r="M10" s="9" t="s">
        <v>21</v>
      </c>
      <c r="N10" s="9" t="s">
        <v>20</v>
      </c>
    </row>
    <row r="11" spans="1:14">
      <c r="A11" t="s">
        <v>48</v>
      </c>
      <c r="B11" t="s">
        <v>20</v>
      </c>
      <c r="C11" t="s">
        <v>21</v>
      </c>
      <c r="D11" t="s">
        <v>13</v>
      </c>
      <c r="E11" t="s">
        <v>18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  <c r="M11" s="9" t="s">
        <v>21</v>
      </c>
      <c r="N11" s="9" t="s">
        <v>20</v>
      </c>
    </row>
    <row r="12" spans="1:14">
      <c r="A12" t="s">
        <v>49</v>
      </c>
      <c r="B12" t="s">
        <v>20</v>
      </c>
      <c r="C12" t="s">
        <v>21</v>
      </c>
      <c r="D12" t="s">
        <v>13</v>
      </c>
      <c r="E12" t="s">
        <v>18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>
        <v>2240</v>
      </c>
      <c r="M12" s="9" t="s">
        <v>21</v>
      </c>
      <c r="N12" s="9" t="s">
        <v>20</v>
      </c>
    </row>
    <row r="13" spans="1:14">
      <c r="A13" t="s">
        <v>50</v>
      </c>
      <c r="B13" t="s">
        <v>20</v>
      </c>
      <c r="C13" t="s">
        <v>21</v>
      </c>
      <c r="D13" t="s">
        <v>13</v>
      </c>
      <c r="E13" t="s">
        <v>18</v>
      </c>
      <c r="F13">
        <v>1</v>
      </c>
      <c r="G13">
        <v>3200</v>
      </c>
      <c r="H13">
        <v>3200</v>
      </c>
      <c r="I13">
        <v>0</v>
      </c>
      <c r="J13">
        <v>0</v>
      </c>
      <c r="K13">
        <v>3200</v>
      </c>
      <c r="L13">
        <v>2240</v>
      </c>
      <c r="M13" s="9" t="s">
        <v>21</v>
      </c>
      <c r="N13" s="9" t="s">
        <v>20</v>
      </c>
    </row>
    <row r="14" spans="1:14">
      <c r="A14" t="s">
        <v>132</v>
      </c>
      <c r="B14" t="s">
        <v>20</v>
      </c>
      <c r="C14" t="s">
        <v>21</v>
      </c>
      <c r="D14" t="s">
        <v>13</v>
      </c>
      <c r="E14" t="s">
        <v>18</v>
      </c>
      <c r="F14">
        <v>1</v>
      </c>
      <c r="G14">
        <v>3200</v>
      </c>
      <c r="H14">
        <v>3200</v>
      </c>
      <c r="I14">
        <v>0</v>
      </c>
      <c r="J14">
        <v>0</v>
      </c>
      <c r="K14">
        <v>3200</v>
      </c>
      <c r="L14">
        <v>2240</v>
      </c>
      <c r="M14" s="9" t="s">
        <v>21</v>
      </c>
      <c r="N14" s="9" t="s">
        <v>20</v>
      </c>
    </row>
    <row r="15" spans="1:14">
      <c r="A15" t="s">
        <v>203</v>
      </c>
      <c r="B15" t="s">
        <v>20</v>
      </c>
      <c r="C15" t="s">
        <v>21</v>
      </c>
      <c r="D15" t="s">
        <v>13</v>
      </c>
      <c r="E15" t="s">
        <v>16</v>
      </c>
      <c r="F15">
        <v>81</v>
      </c>
      <c r="G15">
        <v>100</v>
      </c>
      <c r="H15">
        <v>8100</v>
      </c>
      <c r="I15">
        <v>0</v>
      </c>
      <c r="J15">
        <v>0</v>
      </c>
      <c r="K15">
        <v>8100</v>
      </c>
      <c r="L15">
        <v>5670</v>
      </c>
      <c r="M15" s="9" t="s">
        <v>21</v>
      </c>
      <c r="N15" s="9" t="s">
        <v>20</v>
      </c>
    </row>
    <row r="16" spans="1:14">
      <c r="A16" t="s">
        <v>134</v>
      </c>
      <c r="B16" t="s">
        <v>20</v>
      </c>
      <c r="C16" t="s">
        <v>21</v>
      </c>
      <c r="D16" t="s">
        <v>13</v>
      </c>
      <c r="E16" t="s">
        <v>18</v>
      </c>
      <c r="F16">
        <v>1</v>
      </c>
      <c r="G16">
        <v>3200</v>
      </c>
      <c r="H16">
        <v>3200</v>
      </c>
      <c r="I16">
        <v>0</v>
      </c>
      <c r="J16">
        <v>0</v>
      </c>
      <c r="K16">
        <v>3200</v>
      </c>
      <c r="L16">
        <v>2240</v>
      </c>
      <c r="M16" s="9" t="s">
        <v>21</v>
      </c>
      <c r="N16" s="9" t="s">
        <v>20</v>
      </c>
    </row>
    <row r="17" spans="1:14">
      <c r="A17" t="s">
        <v>135</v>
      </c>
      <c r="B17" t="s">
        <v>20</v>
      </c>
      <c r="C17" t="s">
        <v>21</v>
      </c>
      <c r="D17" t="s">
        <v>13</v>
      </c>
      <c r="E17" t="s">
        <v>18</v>
      </c>
      <c r="F17">
        <v>1</v>
      </c>
      <c r="G17">
        <v>3200</v>
      </c>
      <c r="H17">
        <v>3200</v>
      </c>
      <c r="I17">
        <v>0</v>
      </c>
      <c r="J17">
        <v>0</v>
      </c>
      <c r="K17">
        <v>3200</v>
      </c>
      <c r="L17">
        <v>2240</v>
      </c>
      <c r="M17" s="9" t="s">
        <v>21</v>
      </c>
      <c r="N17" s="9" t="s">
        <v>20</v>
      </c>
    </row>
    <row r="18" spans="1:14">
      <c r="A18" t="s">
        <v>136</v>
      </c>
      <c r="B18" t="s">
        <v>20</v>
      </c>
      <c r="C18" t="s">
        <v>21</v>
      </c>
      <c r="D18" t="s">
        <v>13</v>
      </c>
      <c r="E18" t="s">
        <v>18</v>
      </c>
      <c r="F18">
        <v>1</v>
      </c>
      <c r="G18">
        <v>3200</v>
      </c>
      <c r="H18">
        <v>3200</v>
      </c>
      <c r="I18">
        <v>0</v>
      </c>
      <c r="J18">
        <v>0</v>
      </c>
      <c r="K18">
        <v>3200</v>
      </c>
      <c r="L18">
        <v>2240</v>
      </c>
      <c r="M18" s="9" t="s">
        <v>21</v>
      </c>
      <c r="N18" s="9" t="s">
        <v>20</v>
      </c>
    </row>
    <row r="19" spans="1:14">
      <c r="A19" t="s">
        <v>137</v>
      </c>
      <c r="B19" t="s">
        <v>20</v>
      </c>
      <c r="C19" t="s">
        <v>21</v>
      </c>
      <c r="D19" t="s">
        <v>13</v>
      </c>
      <c r="E19" t="s">
        <v>16</v>
      </c>
      <c r="F19">
        <v>27</v>
      </c>
      <c r="G19">
        <v>100</v>
      </c>
      <c r="H19">
        <v>2700</v>
      </c>
      <c r="I19">
        <v>0</v>
      </c>
      <c r="J19">
        <v>0</v>
      </c>
      <c r="K19">
        <v>2700</v>
      </c>
      <c r="L19">
        <v>1890</v>
      </c>
      <c r="M19" s="9" t="s">
        <v>21</v>
      </c>
      <c r="N19" s="9" t="s">
        <v>20</v>
      </c>
    </row>
    <row r="20" spans="1:14">
      <c r="A20" t="s">
        <v>138</v>
      </c>
      <c r="B20" t="s">
        <v>20</v>
      </c>
      <c r="C20" t="s">
        <v>21</v>
      </c>
      <c r="D20" t="s">
        <v>13</v>
      </c>
      <c r="E20" t="s">
        <v>18</v>
      </c>
      <c r="F20">
        <v>1</v>
      </c>
      <c r="G20">
        <v>3200</v>
      </c>
      <c r="H20">
        <v>3200</v>
      </c>
      <c r="I20">
        <v>0</v>
      </c>
      <c r="J20">
        <v>0</v>
      </c>
      <c r="K20">
        <v>3200</v>
      </c>
      <c r="L20">
        <v>2240</v>
      </c>
      <c r="M20" s="9" t="s">
        <v>21</v>
      </c>
      <c r="N20" s="9" t="s">
        <v>20</v>
      </c>
    </row>
    <row r="21" spans="1:14">
      <c r="A21" t="s">
        <v>139</v>
      </c>
      <c r="B21" t="s">
        <v>20</v>
      </c>
      <c r="C21" t="s">
        <v>21</v>
      </c>
      <c r="D21" t="s">
        <v>13</v>
      </c>
      <c r="E21" t="s">
        <v>18</v>
      </c>
      <c r="F21">
        <v>1</v>
      </c>
      <c r="G21">
        <v>3200</v>
      </c>
      <c r="H21">
        <v>3200</v>
      </c>
      <c r="I21">
        <v>0</v>
      </c>
      <c r="J21">
        <v>0</v>
      </c>
      <c r="K21">
        <v>3200</v>
      </c>
      <c r="L21">
        <v>2240</v>
      </c>
      <c r="M21" s="9" t="s">
        <v>21</v>
      </c>
      <c r="N21" s="9" t="s">
        <v>20</v>
      </c>
    </row>
    <row r="22" spans="1:14">
      <c r="A22" t="s">
        <v>140</v>
      </c>
      <c r="B22" t="s">
        <v>20</v>
      </c>
      <c r="C22" t="s">
        <v>21</v>
      </c>
      <c r="D22" t="s">
        <v>13</v>
      </c>
      <c r="E22" t="s">
        <v>18</v>
      </c>
      <c r="F22">
        <v>1</v>
      </c>
      <c r="G22">
        <v>3200</v>
      </c>
      <c r="H22">
        <v>3200</v>
      </c>
      <c r="I22">
        <v>0</v>
      </c>
      <c r="J22">
        <v>0</v>
      </c>
      <c r="K22">
        <v>3200</v>
      </c>
      <c r="L22">
        <v>2240</v>
      </c>
      <c r="M22" s="9" t="s">
        <v>21</v>
      </c>
      <c r="N22" s="9" t="s">
        <v>20</v>
      </c>
    </row>
    <row r="23" spans="1:14">
      <c r="A23" t="s">
        <v>141</v>
      </c>
      <c r="B23" t="s">
        <v>20</v>
      </c>
      <c r="C23" t="s">
        <v>21</v>
      </c>
      <c r="D23" t="s">
        <v>13</v>
      </c>
      <c r="E23" t="s">
        <v>18</v>
      </c>
      <c r="F23">
        <v>1</v>
      </c>
      <c r="G23">
        <v>3200</v>
      </c>
      <c r="H23">
        <v>3200</v>
      </c>
      <c r="I23">
        <v>0</v>
      </c>
      <c r="J23">
        <v>0</v>
      </c>
      <c r="K23">
        <v>3200</v>
      </c>
      <c r="L23">
        <v>2240</v>
      </c>
      <c r="M23" s="9" t="s">
        <v>21</v>
      </c>
      <c r="N23" s="9" t="s">
        <v>20</v>
      </c>
    </row>
    <row r="24" spans="1:14">
      <c r="A24" t="s">
        <v>142</v>
      </c>
      <c r="B24" t="s">
        <v>20</v>
      </c>
      <c r="C24" t="s">
        <v>21</v>
      </c>
      <c r="D24" t="s">
        <v>13</v>
      </c>
      <c r="E24" t="s">
        <v>18</v>
      </c>
      <c r="F24">
        <v>1</v>
      </c>
      <c r="G24">
        <v>3200</v>
      </c>
      <c r="H24">
        <v>3200</v>
      </c>
      <c r="I24">
        <v>0</v>
      </c>
      <c r="J24">
        <v>0</v>
      </c>
      <c r="K24">
        <v>3200</v>
      </c>
      <c r="L24">
        <v>2240</v>
      </c>
      <c r="M24" s="9" t="s">
        <v>21</v>
      </c>
      <c r="N24" s="9" t="s">
        <v>20</v>
      </c>
    </row>
    <row r="25" spans="1:14">
      <c r="A25" t="s">
        <v>143</v>
      </c>
      <c r="B25" t="s">
        <v>20</v>
      </c>
      <c r="C25" t="s">
        <v>21</v>
      </c>
      <c r="D25" t="s">
        <v>13</v>
      </c>
      <c r="E25" t="s">
        <v>18</v>
      </c>
      <c r="F25">
        <v>1</v>
      </c>
      <c r="G25">
        <v>3200</v>
      </c>
      <c r="H25">
        <v>3200</v>
      </c>
      <c r="I25">
        <v>0</v>
      </c>
      <c r="J25">
        <v>0</v>
      </c>
      <c r="K25">
        <v>3200</v>
      </c>
      <c r="L25">
        <v>2240</v>
      </c>
      <c r="M25" s="9" t="s">
        <v>21</v>
      </c>
      <c r="N25" s="9" t="s">
        <v>20</v>
      </c>
    </row>
    <row r="26" spans="1:14">
      <c r="A26" t="s">
        <v>94</v>
      </c>
      <c r="B26" t="s">
        <v>20</v>
      </c>
      <c r="C26" t="s">
        <v>21</v>
      </c>
      <c r="D26" t="s">
        <v>13</v>
      </c>
      <c r="E26" t="s">
        <v>18</v>
      </c>
      <c r="F26">
        <v>1</v>
      </c>
      <c r="G26">
        <v>3200</v>
      </c>
      <c r="H26">
        <v>3200</v>
      </c>
      <c r="I26">
        <v>0</v>
      </c>
      <c r="J26">
        <v>0</v>
      </c>
      <c r="K26">
        <v>3200</v>
      </c>
      <c r="L26">
        <v>2240</v>
      </c>
      <c r="M26" s="9" t="s">
        <v>21</v>
      </c>
      <c r="N26" s="9" t="s">
        <v>20</v>
      </c>
    </row>
    <row r="27" spans="1:14">
      <c r="A27" t="s">
        <v>144</v>
      </c>
      <c r="B27" t="s">
        <v>20</v>
      </c>
      <c r="C27" t="s">
        <v>21</v>
      </c>
      <c r="D27" t="s">
        <v>13</v>
      </c>
      <c r="E27" t="s">
        <v>18</v>
      </c>
      <c r="F27">
        <v>1</v>
      </c>
      <c r="G27">
        <v>3200</v>
      </c>
      <c r="H27">
        <v>3200</v>
      </c>
      <c r="I27">
        <v>0</v>
      </c>
      <c r="J27">
        <v>0</v>
      </c>
      <c r="K27">
        <v>3200</v>
      </c>
      <c r="L27">
        <v>2240</v>
      </c>
      <c r="M27" s="9" t="s">
        <v>21</v>
      </c>
      <c r="N27" s="9" t="s">
        <v>20</v>
      </c>
    </row>
    <row r="28" spans="1:14">
      <c r="A28" t="s">
        <v>95</v>
      </c>
      <c r="B28" t="s">
        <v>20</v>
      </c>
      <c r="C28" t="s">
        <v>21</v>
      </c>
      <c r="D28" t="s">
        <v>13</v>
      </c>
      <c r="E28" t="s">
        <v>18</v>
      </c>
      <c r="F28">
        <v>1</v>
      </c>
      <c r="G28">
        <v>3200</v>
      </c>
      <c r="H28">
        <v>3200</v>
      </c>
      <c r="I28">
        <v>0</v>
      </c>
      <c r="J28">
        <v>0</v>
      </c>
      <c r="K28">
        <v>3200</v>
      </c>
      <c r="L28">
        <v>2240</v>
      </c>
      <c r="M28" s="9" t="s">
        <v>21</v>
      </c>
      <c r="N28" s="9" t="s">
        <v>20</v>
      </c>
    </row>
    <row r="29" spans="1:14">
      <c r="A29" t="s">
        <v>145</v>
      </c>
      <c r="B29" t="s">
        <v>20</v>
      </c>
      <c r="C29" t="s">
        <v>21</v>
      </c>
      <c r="D29" t="s">
        <v>13</v>
      </c>
      <c r="E29" t="s">
        <v>18</v>
      </c>
      <c r="F29">
        <v>1</v>
      </c>
      <c r="G29">
        <v>3200</v>
      </c>
      <c r="H29">
        <v>3200</v>
      </c>
      <c r="I29">
        <v>0</v>
      </c>
      <c r="J29">
        <v>0</v>
      </c>
      <c r="K29">
        <v>3200</v>
      </c>
      <c r="L29">
        <v>2240</v>
      </c>
      <c r="M29" s="9" t="s">
        <v>21</v>
      </c>
      <c r="N29" s="9" t="s">
        <v>20</v>
      </c>
    </row>
    <row r="30" spans="1:14">
      <c r="A30" t="s">
        <v>96</v>
      </c>
      <c r="B30" t="s">
        <v>20</v>
      </c>
      <c r="C30" t="s">
        <v>21</v>
      </c>
      <c r="D30" t="s">
        <v>13</v>
      </c>
      <c r="E30" t="s">
        <v>18</v>
      </c>
      <c r="F30">
        <v>1</v>
      </c>
      <c r="G30">
        <v>3200</v>
      </c>
      <c r="H30">
        <v>3200</v>
      </c>
      <c r="I30">
        <v>0</v>
      </c>
      <c r="J30">
        <v>0</v>
      </c>
      <c r="K30">
        <v>3200</v>
      </c>
      <c r="L30">
        <v>2240</v>
      </c>
      <c r="M30" s="9" t="s">
        <v>21</v>
      </c>
      <c r="N30" s="9" t="s">
        <v>20</v>
      </c>
    </row>
    <row r="31" spans="1:14">
      <c r="A31" t="s">
        <v>146</v>
      </c>
      <c r="B31" t="s">
        <v>20</v>
      </c>
      <c r="C31" t="s">
        <v>21</v>
      </c>
      <c r="D31" t="s">
        <v>13</v>
      </c>
      <c r="E31" t="s">
        <v>18</v>
      </c>
      <c r="F31">
        <v>1</v>
      </c>
      <c r="G31">
        <v>3200</v>
      </c>
      <c r="H31">
        <v>3200</v>
      </c>
      <c r="I31">
        <v>0</v>
      </c>
      <c r="J31">
        <v>0</v>
      </c>
      <c r="K31">
        <v>3200</v>
      </c>
      <c r="L31">
        <v>2240</v>
      </c>
      <c r="M31" s="9" t="s">
        <v>21</v>
      </c>
      <c r="N31" s="9" t="s">
        <v>20</v>
      </c>
    </row>
    <row r="32" spans="1:14">
      <c r="A32" t="s">
        <v>24</v>
      </c>
      <c r="B32" t="s">
        <v>20</v>
      </c>
      <c r="C32" t="s">
        <v>21</v>
      </c>
      <c r="D32" t="s">
        <v>13</v>
      </c>
      <c r="E32" t="s">
        <v>18</v>
      </c>
      <c r="F32">
        <v>1</v>
      </c>
      <c r="G32">
        <v>3200</v>
      </c>
      <c r="H32">
        <v>3200</v>
      </c>
      <c r="I32">
        <v>0</v>
      </c>
      <c r="J32">
        <v>0</v>
      </c>
      <c r="K32">
        <v>3200</v>
      </c>
      <c r="L32">
        <v>2240</v>
      </c>
      <c r="M32" s="9" t="s">
        <v>21</v>
      </c>
      <c r="N32" s="9" t="s">
        <v>20</v>
      </c>
    </row>
    <row r="33" spans="1:14">
      <c r="A33" t="s">
        <v>147</v>
      </c>
      <c r="B33" t="s">
        <v>20</v>
      </c>
      <c r="C33" t="s">
        <v>21</v>
      </c>
      <c r="D33" t="s">
        <v>13</v>
      </c>
      <c r="E33" t="s">
        <v>18</v>
      </c>
      <c r="F33">
        <v>1</v>
      </c>
      <c r="G33">
        <v>3200</v>
      </c>
      <c r="H33">
        <v>3200</v>
      </c>
      <c r="I33">
        <v>0</v>
      </c>
      <c r="J33">
        <v>0</v>
      </c>
      <c r="K33">
        <v>3200</v>
      </c>
      <c r="L33">
        <v>2240</v>
      </c>
      <c r="M33" s="9" t="s">
        <v>21</v>
      </c>
      <c r="N33" s="9" t="s">
        <v>20</v>
      </c>
    </row>
    <row r="34" spans="1:14">
      <c r="A34" t="s">
        <v>148</v>
      </c>
      <c r="B34" t="s">
        <v>20</v>
      </c>
      <c r="C34" t="s">
        <v>21</v>
      </c>
      <c r="D34" t="s">
        <v>13</v>
      </c>
      <c r="E34" t="s">
        <v>18</v>
      </c>
      <c r="F34">
        <v>1</v>
      </c>
      <c r="G34">
        <v>3200</v>
      </c>
      <c r="H34">
        <v>3200</v>
      </c>
      <c r="I34">
        <v>0</v>
      </c>
      <c r="J34">
        <v>0</v>
      </c>
      <c r="K34">
        <v>3200</v>
      </c>
      <c r="L34">
        <v>2240</v>
      </c>
      <c r="M34" s="9" t="s">
        <v>21</v>
      </c>
      <c r="N34" s="9" t="s">
        <v>20</v>
      </c>
    </row>
    <row r="35" spans="1:14">
      <c r="A35" t="s">
        <v>149</v>
      </c>
      <c r="B35" t="s">
        <v>20</v>
      </c>
      <c r="C35" t="s">
        <v>21</v>
      </c>
      <c r="D35" t="s">
        <v>13</v>
      </c>
      <c r="E35" t="s">
        <v>18</v>
      </c>
      <c r="F35">
        <v>1</v>
      </c>
      <c r="G35">
        <v>3200</v>
      </c>
      <c r="H35">
        <v>3200</v>
      </c>
      <c r="I35">
        <v>0</v>
      </c>
      <c r="J35">
        <v>0</v>
      </c>
      <c r="K35">
        <v>3200</v>
      </c>
      <c r="L35">
        <v>2240</v>
      </c>
      <c r="M35" s="9" t="s">
        <v>21</v>
      </c>
      <c r="N35" s="9" t="s">
        <v>20</v>
      </c>
    </row>
    <row r="36" spans="1:14">
      <c r="A36" t="s">
        <v>150</v>
      </c>
      <c r="B36" t="s">
        <v>20</v>
      </c>
      <c r="C36" t="s">
        <v>21</v>
      </c>
      <c r="D36" t="s">
        <v>13</v>
      </c>
      <c r="E36" t="s">
        <v>18</v>
      </c>
      <c r="F36">
        <v>1</v>
      </c>
      <c r="G36">
        <v>3200</v>
      </c>
      <c r="H36">
        <v>3200</v>
      </c>
      <c r="I36">
        <v>0</v>
      </c>
      <c r="J36">
        <v>0</v>
      </c>
      <c r="K36">
        <v>3200</v>
      </c>
      <c r="L36">
        <v>2240</v>
      </c>
      <c r="M36" s="9" t="s">
        <v>21</v>
      </c>
      <c r="N36" s="9" t="s">
        <v>20</v>
      </c>
    </row>
    <row r="37" spans="1:14">
      <c r="A37" t="s">
        <v>151</v>
      </c>
      <c r="B37" t="s">
        <v>20</v>
      </c>
      <c r="C37" t="s">
        <v>21</v>
      </c>
      <c r="D37" t="s">
        <v>13</v>
      </c>
      <c r="E37" t="s">
        <v>18</v>
      </c>
      <c r="F37">
        <v>1</v>
      </c>
      <c r="G37">
        <v>3200</v>
      </c>
      <c r="H37">
        <v>3200</v>
      </c>
      <c r="I37">
        <v>0</v>
      </c>
      <c r="J37">
        <v>0</v>
      </c>
      <c r="K37">
        <v>3200</v>
      </c>
      <c r="L37">
        <v>2240</v>
      </c>
      <c r="M37" s="9" t="s">
        <v>21</v>
      </c>
      <c r="N37" s="9" t="s">
        <v>20</v>
      </c>
    </row>
    <row r="38" spans="1:14">
      <c r="A38" t="s">
        <v>113</v>
      </c>
      <c r="B38" t="s">
        <v>20</v>
      </c>
      <c r="C38" t="s">
        <v>21</v>
      </c>
      <c r="D38" t="s">
        <v>13</v>
      </c>
      <c r="E38" t="s">
        <v>18</v>
      </c>
      <c r="F38">
        <v>1</v>
      </c>
      <c r="G38">
        <v>3200</v>
      </c>
      <c r="H38">
        <v>3200</v>
      </c>
      <c r="I38">
        <v>0</v>
      </c>
      <c r="J38">
        <v>0</v>
      </c>
      <c r="K38">
        <v>3200</v>
      </c>
      <c r="L38">
        <v>2240</v>
      </c>
      <c r="M38" s="9" t="s">
        <v>21</v>
      </c>
      <c r="N38" s="9" t="s">
        <v>20</v>
      </c>
    </row>
    <row r="39" spans="1:14">
      <c r="A39" t="s">
        <v>183</v>
      </c>
      <c r="B39" t="s">
        <v>20</v>
      </c>
      <c r="C39" t="s">
        <v>21</v>
      </c>
      <c r="D39" t="s">
        <v>13</v>
      </c>
      <c r="E39" t="s">
        <v>18</v>
      </c>
      <c r="F39">
        <v>1</v>
      </c>
      <c r="G39">
        <v>3200</v>
      </c>
      <c r="H39">
        <v>3200</v>
      </c>
      <c r="I39">
        <v>0</v>
      </c>
      <c r="J39">
        <v>0</v>
      </c>
      <c r="K39">
        <v>3200</v>
      </c>
      <c r="L39">
        <v>2240</v>
      </c>
      <c r="M39" s="9" t="s">
        <v>21</v>
      </c>
      <c r="N39" s="9" t="s">
        <v>20</v>
      </c>
    </row>
    <row r="40" spans="1:14">
      <c r="A40" t="s">
        <v>184</v>
      </c>
      <c r="B40" t="s">
        <v>20</v>
      </c>
      <c r="C40" t="s">
        <v>21</v>
      </c>
      <c r="D40" t="s">
        <v>13</v>
      </c>
      <c r="E40" t="s">
        <v>18</v>
      </c>
      <c r="F40">
        <v>1</v>
      </c>
      <c r="G40">
        <v>3200</v>
      </c>
      <c r="H40">
        <v>3200</v>
      </c>
      <c r="I40">
        <v>0</v>
      </c>
      <c r="J40">
        <v>0</v>
      </c>
      <c r="K40">
        <v>3200</v>
      </c>
      <c r="L40">
        <v>2240</v>
      </c>
      <c r="M40" s="9" t="s">
        <v>21</v>
      </c>
      <c r="N40" s="9" t="s">
        <v>20</v>
      </c>
    </row>
    <row r="41" spans="1:14">
      <c r="A41" t="s">
        <v>185</v>
      </c>
      <c r="B41" t="s">
        <v>20</v>
      </c>
      <c r="C41" t="s">
        <v>21</v>
      </c>
      <c r="D41" t="s">
        <v>13</v>
      </c>
      <c r="E41" t="s">
        <v>18</v>
      </c>
      <c r="F41">
        <v>1</v>
      </c>
      <c r="G41">
        <v>3200</v>
      </c>
      <c r="H41">
        <v>3200</v>
      </c>
      <c r="I41">
        <v>0</v>
      </c>
      <c r="J41">
        <v>0</v>
      </c>
      <c r="K41">
        <v>3200</v>
      </c>
      <c r="L41">
        <v>2240</v>
      </c>
      <c r="M41" s="9" t="s">
        <v>21</v>
      </c>
      <c r="N41" s="9" t="s">
        <v>20</v>
      </c>
    </row>
    <row r="42" spans="1:14">
      <c r="A42" t="s">
        <v>186</v>
      </c>
      <c r="B42" t="s">
        <v>20</v>
      </c>
      <c r="C42" t="s">
        <v>21</v>
      </c>
      <c r="D42" t="s">
        <v>13</v>
      </c>
      <c r="E42" t="s">
        <v>18</v>
      </c>
      <c r="F42">
        <v>1</v>
      </c>
      <c r="G42">
        <v>3200</v>
      </c>
      <c r="H42">
        <v>3200</v>
      </c>
      <c r="I42">
        <v>0</v>
      </c>
      <c r="J42">
        <v>0</v>
      </c>
      <c r="K42">
        <v>3200</v>
      </c>
      <c r="L42">
        <v>2240</v>
      </c>
      <c r="M42" s="9" t="s">
        <v>21</v>
      </c>
      <c r="N42" s="9" t="s">
        <v>20</v>
      </c>
    </row>
    <row r="43" spans="1:14">
      <c r="A43" t="s">
        <v>187</v>
      </c>
      <c r="B43" t="s">
        <v>20</v>
      </c>
      <c r="C43" t="s">
        <v>21</v>
      </c>
      <c r="D43" t="s">
        <v>13</v>
      </c>
      <c r="E43" t="s">
        <v>18</v>
      </c>
      <c r="F43">
        <v>2</v>
      </c>
      <c r="G43">
        <v>3200</v>
      </c>
      <c r="H43">
        <v>6400</v>
      </c>
      <c r="I43">
        <v>0</v>
      </c>
      <c r="J43">
        <v>0</v>
      </c>
      <c r="K43">
        <v>6400</v>
      </c>
      <c r="L43">
        <v>4480</v>
      </c>
      <c r="M43" s="9" t="s">
        <v>21</v>
      </c>
      <c r="N43" s="9" t="s">
        <v>20</v>
      </c>
    </row>
    <row r="44" spans="1:14">
      <c r="A44" t="s">
        <v>188</v>
      </c>
      <c r="B44" t="s">
        <v>20</v>
      </c>
      <c r="C44" t="s">
        <v>21</v>
      </c>
      <c r="D44" t="s">
        <v>13</v>
      </c>
      <c r="E44" t="s">
        <v>18</v>
      </c>
      <c r="F44">
        <v>2</v>
      </c>
      <c r="G44">
        <v>3200</v>
      </c>
      <c r="H44">
        <v>6400</v>
      </c>
      <c r="I44">
        <v>0</v>
      </c>
      <c r="J44">
        <v>0</v>
      </c>
      <c r="K44">
        <v>6400</v>
      </c>
      <c r="L44">
        <v>4480</v>
      </c>
      <c r="M44" s="9" t="s">
        <v>21</v>
      </c>
      <c r="N44" s="9" t="s">
        <v>20</v>
      </c>
    </row>
    <row r="45" spans="1:14">
      <c r="A45" t="s">
        <v>189</v>
      </c>
      <c r="B45" t="s">
        <v>20</v>
      </c>
      <c r="C45" t="s">
        <v>21</v>
      </c>
      <c r="D45" t="s">
        <v>13</v>
      </c>
      <c r="E45" t="s">
        <v>18</v>
      </c>
      <c r="F45">
        <v>1</v>
      </c>
      <c r="G45">
        <v>3200</v>
      </c>
      <c r="H45">
        <v>3200</v>
      </c>
      <c r="I45">
        <v>0</v>
      </c>
      <c r="J45">
        <v>0</v>
      </c>
      <c r="K45">
        <v>3200</v>
      </c>
      <c r="L45">
        <v>2240</v>
      </c>
      <c r="M45" s="9" t="s">
        <v>21</v>
      </c>
      <c r="N45" s="9" t="s">
        <v>20</v>
      </c>
    </row>
    <row r="46" spans="1:14">
      <c r="A46" t="s">
        <v>190</v>
      </c>
      <c r="B46" t="s">
        <v>20</v>
      </c>
      <c r="C46" t="s">
        <v>21</v>
      </c>
      <c r="D46" t="s">
        <v>13</v>
      </c>
      <c r="E46" t="s">
        <v>18</v>
      </c>
      <c r="F46">
        <v>1</v>
      </c>
      <c r="G46">
        <v>3200</v>
      </c>
      <c r="H46">
        <v>3200</v>
      </c>
      <c r="I46">
        <v>0</v>
      </c>
      <c r="J46">
        <v>0</v>
      </c>
      <c r="K46">
        <v>3200</v>
      </c>
      <c r="L46">
        <v>2240</v>
      </c>
      <c r="M46" s="9" t="s">
        <v>21</v>
      </c>
      <c r="N46" s="9" t="s">
        <v>20</v>
      </c>
    </row>
    <row r="47" spans="1:14">
      <c r="A47" t="s">
        <v>191</v>
      </c>
      <c r="B47" t="s">
        <v>20</v>
      </c>
      <c r="C47" t="s">
        <v>21</v>
      </c>
      <c r="D47" t="s">
        <v>13</v>
      </c>
      <c r="E47" t="s">
        <v>18</v>
      </c>
      <c r="F47">
        <v>1</v>
      </c>
      <c r="G47">
        <v>3200</v>
      </c>
      <c r="H47">
        <v>3200</v>
      </c>
      <c r="I47">
        <v>0</v>
      </c>
      <c r="J47">
        <v>0</v>
      </c>
      <c r="K47">
        <v>3200</v>
      </c>
      <c r="L47">
        <v>2240</v>
      </c>
      <c r="M47" s="9" t="s">
        <v>21</v>
      </c>
      <c r="N47" s="9" t="s">
        <v>20</v>
      </c>
    </row>
    <row r="48" spans="1:14">
      <c r="A48" t="s">
        <v>22</v>
      </c>
      <c r="B48" t="s">
        <v>20</v>
      </c>
      <c r="C48" t="s">
        <v>21</v>
      </c>
      <c r="D48" t="s">
        <v>13</v>
      </c>
      <c r="E48" t="s">
        <v>16</v>
      </c>
      <c r="F48">
        <v>15</v>
      </c>
      <c r="G48">
        <v>100</v>
      </c>
      <c r="H48">
        <v>1500</v>
      </c>
      <c r="I48">
        <v>0</v>
      </c>
      <c r="J48">
        <v>0</v>
      </c>
      <c r="K48">
        <v>1500</v>
      </c>
      <c r="L48">
        <v>1050</v>
      </c>
      <c r="M48" s="9" t="s">
        <v>21</v>
      </c>
      <c r="N48" s="9" t="s">
        <v>20</v>
      </c>
    </row>
    <row r="49" spans="1:14">
      <c r="A49" t="s">
        <v>39</v>
      </c>
      <c r="B49" t="s">
        <v>20</v>
      </c>
      <c r="C49" t="s">
        <v>21</v>
      </c>
      <c r="D49" t="s">
        <v>13</v>
      </c>
      <c r="E49" t="s">
        <v>18</v>
      </c>
      <c r="F49">
        <v>1</v>
      </c>
      <c r="G49">
        <v>3200</v>
      </c>
      <c r="H49">
        <v>3200</v>
      </c>
      <c r="I49">
        <v>0</v>
      </c>
      <c r="J49">
        <v>0</v>
      </c>
      <c r="K49">
        <v>3200</v>
      </c>
      <c r="L49">
        <v>2240</v>
      </c>
      <c r="M49" s="9" t="s">
        <v>21</v>
      </c>
      <c r="N49" s="9" t="s">
        <v>20</v>
      </c>
    </row>
    <row r="50" spans="1:14">
      <c r="A50" t="s">
        <v>37</v>
      </c>
      <c r="B50" t="s">
        <v>20</v>
      </c>
      <c r="C50" t="s">
        <v>21</v>
      </c>
      <c r="D50" t="s">
        <v>13</v>
      </c>
      <c r="E50" t="s">
        <v>18</v>
      </c>
      <c r="F50">
        <v>1</v>
      </c>
      <c r="G50">
        <v>3200</v>
      </c>
      <c r="H50">
        <v>3200</v>
      </c>
      <c r="I50">
        <v>0</v>
      </c>
      <c r="J50">
        <v>0</v>
      </c>
      <c r="K50">
        <v>3200</v>
      </c>
      <c r="L50">
        <v>2240</v>
      </c>
      <c r="M50" s="9" t="s">
        <v>21</v>
      </c>
      <c r="N50" s="9" t="s">
        <v>20</v>
      </c>
    </row>
    <row r="51" spans="1:14">
      <c r="A51" t="s">
        <v>38</v>
      </c>
      <c r="B51" t="s">
        <v>20</v>
      </c>
      <c r="C51" t="s">
        <v>21</v>
      </c>
      <c r="D51" t="s">
        <v>13</v>
      </c>
      <c r="E51" t="s">
        <v>18</v>
      </c>
      <c r="F51">
        <v>1</v>
      </c>
      <c r="G51">
        <v>3200</v>
      </c>
      <c r="H51">
        <v>3200</v>
      </c>
      <c r="I51">
        <v>0</v>
      </c>
      <c r="J51">
        <v>0</v>
      </c>
      <c r="K51">
        <v>3200</v>
      </c>
      <c r="L51">
        <v>2240</v>
      </c>
      <c r="M51" s="9" t="s">
        <v>21</v>
      </c>
      <c r="N51" s="9" t="s">
        <v>20</v>
      </c>
    </row>
    <row r="52" spans="1:14">
      <c r="A52" t="s">
        <v>40</v>
      </c>
      <c r="B52" t="s">
        <v>20</v>
      </c>
      <c r="C52" t="s">
        <v>21</v>
      </c>
      <c r="D52" t="s">
        <v>13</v>
      </c>
      <c r="E52" t="s">
        <v>18</v>
      </c>
      <c r="F52">
        <v>1</v>
      </c>
      <c r="G52">
        <v>3200</v>
      </c>
      <c r="H52">
        <v>3200</v>
      </c>
      <c r="I52">
        <v>0</v>
      </c>
      <c r="J52">
        <v>0</v>
      </c>
      <c r="K52">
        <v>3200</v>
      </c>
      <c r="L52">
        <v>2240</v>
      </c>
      <c r="M52" s="9" t="s">
        <v>21</v>
      </c>
      <c r="N52" s="9" t="s">
        <v>20</v>
      </c>
    </row>
    <row r="53" spans="1:14">
      <c r="A53" t="s">
        <v>43</v>
      </c>
      <c r="B53" t="s">
        <v>20</v>
      </c>
      <c r="C53" t="s">
        <v>21</v>
      </c>
      <c r="D53" t="s">
        <v>13</v>
      </c>
      <c r="E53" t="s">
        <v>18</v>
      </c>
      <c r="F53">
        <v>1</v>
      </c>
      <c r="G53">
        <v>3200</v>
      </c>
      <c r="H53">
        <v>3200</v>
      </c>
      <c r="I53">
        <v>0</v>
      </c>
      <c r="J53">
        <v>0</v>
      </c>
      <c r="K53">
        <v>3200</v>
      </c>
      <c r="L53">
        <v>2240</v>
      </c>
      <c r="M53" s="9" t="s">
        <v>21</v>
      </c>
      <c r="N53" s="9" t="s">
        <v>20</v>
      </c>
    </row>
    <row r="54" spans="1:14">
      <c r="A54" t="s">
        <v>41</v>
      </c>
      <c r="B54" t="s">
        <v>20</v>
      </c>
      <c r="C54" t="s">
        <v>21</v>
      </c>
      <c r="D54" t="s">
        <v>13</v>
      </c>
      <c r="E54" t="s">
        <v>18</v>
      </c>
      <c r="F54">
        <v>1</v>
      </c>
      <c r="G54">
        <v>3200</v>
      </c>
      <c r="H54">
        <v>3200</v>
      </c>
      <c r="I54">
        <v>0</v>
      </c>
      <c r="J54">
        <v>0</v>
      </c>
      <c r="K54">
        <v>3200</v>
      </c>
      <c r="L54">
        <v>2240</v>
      </c>
      <c r="M54" s="9" t="s">
        <v>21</v>
      </c>
      <c r="N54" s="9" t="s">
        <v>20</v>
      </c>
    </row>
    <row r="55" spans="1:14">
      <c r="A55" t="s">
        <v>42</v>
      </c>
      <c r="B55" t="s">
        <v>20</v>
      </c>
      <c r="C55" t="s">
        <v>21</v>
      </c>
      <c r="D55" t="s">
        <v>13</v>
      </c>
      <c r="E55" t="s">
        <v>18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  <c r="M55" s="9" t="s">
        <v>21</v>
      </c>
      <c r="N55" s="9" t="s">
        <v>20</v>
      </c>
    </row>
    <row r="56" spans="1:14">
      <c r="A56" t="s">
        <v>36</v>
      </c>
      <c r="B56" t="s">
        <v>20</v>
      </c>
      <c r="C56" t="s">
        <v>21</v>
      </c>
      <c r="D56" t="s">
        <v>13</v>
      </c>
      <c r="E56" t="s">
        <v>18</v>
      </c>
      <c r="F56">
        <v>2</v>
      </c>
      <c r="G56">
        <v>3200</v>
      </c>
      <c r="H56">
        <v>6400</v>
      </c>
      <c r="I56">
        <v>0</v>
      </c>
      <c r="J56">
        <v>0</v>
      </c>
      <c r="K56">
        <v>6400</v>
      </c>
      <c r="L56">
        <v>4480</v>
      </c>
      <c r="M56" s="9" t="s">
        <v>21</v>
      </c>
      <c r="N56" s="9" t="s">
        <v>20</v>
      </c>
    </row>
    <row r="57" spans="1:14">
      <c r="A57" t="s">
        <v>44</v>
      </c>
      <c r="B57" t="s">
        <v>20</v>
      </c>
      <c r="C57" t="s">
        <v>21</v>
      </c>
      <c r="D57" t="s">
        <v>13</v>
      </c>
      <c r="E57" t="s">
        <v>18</v>
      </c>
      <c r="F57">
        <v>1</v>
      </c>
      <c r="G57">
        <v>3200</v>
      </c>
      <c r="H57">
        <v>3200</v>
      </c>
      <c r="I57">
        <v>0</v>
      </c>
      <c r="J57">
        <v>0</v>
      </c>
      <c r="K57">
        <v>3200</v>
      </c>
      <c r="L57">
        <v>2240</v>
      </c>
      <c r="M57" s="9" t="s">
        <v>21</v>
      </c>
      <c r="N57" s="9" t="s">
        <v>20</v>
      </c>
    </row>
    <row r="58" spans="1:14">
      <c r="A58" t="s">
        <v>192</v>
      </c>
      <c r="B58" t="s">
        <v>20</v>
      </c>
      <c r="C58" t="s">
        <v>21</v>
      </c>
      <c r="D58" t="s">
        <v>13</v>
      </c>
      <c r="E58" t="s">
        <v>18</v>
      </c>
      <c r="F58">
        <v>1</v>
      </c>
      <c r="G58">
        <v>3200</v>
      </c>
      <c r="H58">
        <v>3200</v>
      </c>
      <c r="I58">
        <v>0</v>
      </c>
      <c r="J58">
        <v>0</v>
      </c>
      <c r="K58">
        <v>3200</v>
      </c>
      <c r="L58">
        <v>2240</v>
      </c>
      <c r="M58" s="9" t="s">
        <v>21</v>
      </c>
      <c r="N58" s="9" t="s">
        <v>20</v>
      </c>
    </row>
    <row r="59" spans="1:14">
      <c r="A59" t="s">
        <v>193</v>
      </c>
      <c r="B59" t="s">
        <v>20</v>
      </c>
      <c r="C59" t="s">
        <v>21</v>
      </c>
      <c r="D59" t="s">
        <v>13</v>
      </c>
      <c r="E59" t="s">
        <v>18</v>
      </c>
      <c r="F59">
        <v>2</v>
      </c>
      <c r="G59">
        <v>3200</v>
      </c>
      <c r="H59">
        <v>6400</v>
      </c>
      <c r="I59">
        <v>0</v>
      </c>
      <c r="J59">
        <v>0</v>
      </c>
      <c r="K59">
        <v>6400</v>
      </c>
      <c r="L59">
        <v>4480</v>
      </c>
      <c r="M59" s="9" t="s">
        <v>21</v>
      </c>
      <c r="N59" s="9" t="s">
        <v>20</v>
      </c>
    </row>
    <row r="60" spans="1:14">
      <c r="A60" t="s">
        <v>194</v>
      </c>
      <c r="B60" t="s">
        <v>20</v>
      </c>
      <c r="C60" t="s">
        <v>21</v>
      </c>
      <c r="D60" t="s">
        <v>13</v>
      </c>
      <c r="E60" t="s">
        <v>18</v>
      </c>
      <c r="F60">
        <v>2</v>
      </c>
      <c r="G60">
        <v>3200</v>
      </c>
      <c r="H60">
        <v>6400</v>
      </c>
      <c r="I60">
        <v>0</v>
      </c>
      <c r="J60">
        <v>0</v>
      </c>
      <c r="K60">
        <v>6400</v>
      </c>
      <c r="L60">
        <v>4480</v>
      </c>
      <c r="M60" s="9" t="s">
        <v>21</v>
      </c>
      <c r="N60" s="9" t="s">
        <v>20</v>
      </c>
    </row>
    <row r="61" spans="1:14">
      <c r="A61" t="s">
        <v>195</v>
      </c>
      <c r="B61" t="s">
        <v>20</v>
      </c>
      <c r="C61" t="s">
        <v>21</v>
      </c>
      <c r="D61" t="s">
        <v>13</v>
      </c>
      <c r="E61" t="s">
        <v>18</v>
      </c>
      <c r="F61">
        <v>2</v>
      </c>
      <c r="G61">
        <v>3200</v>
      </c>
      <c r="H61">
        <v>6400</v>
      </c>
      <c r="I61">
        <v>0</v>
      </c>
      <c r="J61">
        <v>0</v>
      </c>
      <c r="K61">
        <v>6400</v>
      </c>
      <c r="L61">
        <v>4480</v>
      </c>
      <c r="M61" s="9" t="s">
        <v>21</v>
      </c>
      <c r="N61" s="9" t="s">
        <v>20</v>
      </c>
    </row>
    <row r="62" spans="1:14">
      <c r="A62" t="s">
        <v>196</v>
      </c>
      <c r="B62" t="s">
        <v>20</v>
      </c>
      <c r="C62" t="s">
        <v>21</v>
      </c>
      <c r="D62" t="s">
        <v>13</v>
      </c>
      <c r="E62" t="s">
        <v>18</v>
      </c>
      <c r="F62">
        <v>2</v>
      </c>
      <c r="G62">
        <v>3200</v>
      </c>
      <c r="H62">
        <v>6400</v>
      </c>
      <c r="I62">
        <v>0</v>
      </c>
      <c r="J62">
        <v>0</v>
      </c>
      <c r="K62">
        <v>6400</v>
      </c>
      <c r="L62">
        <v>4480</v>
      </c>
      <c r="M62" s="9" t="s">
        <v>21</v>
      </c>
      <c r="N62" s="9" t="s">
        <v>20</v>
      </c>
    </row>
    <row r="63" spans="1:14">
      <c r="A63" t="s">
        <v>197</v>
      </c>
      <c r="B63" t="s">
        <v>20</v>
      </c>
      <c r="C63" t="s">
        <v>21</v>
      </c>
      <c r="D63" t="s">
        <v>13</v>
      </c>
      <c r="E63" t="s">
        <v>18</v>
      </c>
      <c r="F63">
        <v>2</v>
      </c>
      <c r="G63">
        <v>3200</v>
      </c>
      <c r="H63">
        <v>6400</v>
      </c>
      <c r="I63">
        <v>0</v>
      </c>
      <c r="J63">
        <v>0</v>
      </c>
      <c r="K63">
        <v>6400</v>
      </c>
      <c r="L63">
        <v>4480</v>
      </c>
      <c r="M63" s="9" t="s">
        <v>21</v>
      </c>
      <c r="N63" s="9" t="s">
        <v>20</v>
      </c>
    </row>
    <row r="64" spans="1:14">
      <c r="A64" t="s">
        <v>198</v>
      </c>
      <c r="B64" t="s">
        <v>20</v>
      </c>
      <c r="C64" t="s">
        <v>21</v>
      </c>
      <c r="D64" t="s">
        <v>13</v>
      </c>
      <c r="E64" t="s">
        <v>18</v>
      </c>
      <c r="F64">
        <v>2</v>
      </c>
      <c r="G64">
        <v>3200</v>
      </c>
      <c r="H64">
        <v>6400</v>
      </c>
      <c r="I64">
        <v>0</v>
      </c>
      <c r="J64">
        <v>0</v>
      </c>
      <c r="K64">
        <v>6400</v>
      </c>
      <c r="L64">
        <v>4480</v>
      </c>
      <c r="M64" s="9" t="s">
        <v>21</v>
      </c>
      <c r="N64" s="9" t="s">
        <v>20</v>
      </c>
    </row>
    <row r="65" spans="1:14">
      <c r="A65" t="s">
        <v>199</v>
      </c>
      <c r="B65" t="s">
        <v>20</v>
      </c>
      <c r="C65" t="s">
        <v>21</v>
      </c>
      <c r="D65" t="s">
        <v>13</v>
      </c>
      <c r="E65" t="s">
        <v>18</v>
      </c>
      <c r="F65">
        <v>2</v>
      </c>
      <c r="G65">
        <v>3200</v>
      </c>
      <c r="H65">
        <v>6400</v>
      </c>
      <c r="I65">
        <v>0</v>
      </c>
      <c r="J65">
        <v>0</v>
      </c>
      <c r="K65">
        <v>6400</v>
      </c>
      <c r="L65">
        <v>4480</v>
      </c>
      <c r="M65" s="9" t="s">
        <v>21</v>
      </c>
      <c r="N65" s="9" t="s">
        <v>20</v>
      </c>
    </row>
    <row r="66" spans="1:14">
      <c r="A66" t="s">
        <v>200</v>
      </c>
      <c r="B66" t="s">
        <v>20</v>
      </c>
      <c r="C66" t="s">
        <v>21</v>
      </c>
      <c r="D66" t="s">
        <v>13</v>
      </c>
      <c r="E66" t="s">
        <v>16</v>
      </c>
      <c r="F66">
        <v>490</v>
      </c>
      <c r="G66">
        <v>100</v>
      </c>
      <c r="H66">
        <v>49000</v>
      </c>
      <c r="I66">
        <v>0</v>
      </c>
      <c r="J66">
        <v>0</v>
      </c>
      <c r="K66">
        <v>49000</v>
      </c>
      <c r="L66">
        <v>34300</v>
      </c>
      <c r="M66" s="9" t="s">
        <v>21</v>
      </c>
      <c r="N66" s="9" t="s">
        <v>20</v>
      </c>
    </row>
    <row r="67" spans="1:14">
      <c r="A67" t="s">
        <v>27</v>
      </c>
      <c r="B67" t="s">
        <v>20</v>
      </c>
      <c r="C67" t="s">
        <v>21</v>
      </c>
      <c r="D67" t="s">
        <v>13</v>
      </c>
      <c r="E67" t="s">
        <v>14</v>
      </c>
      <c r="H67">
        <v>1800</v>
      </c>
      <c r="J67">
        <v>0</v>
      </c>
      <c r="K67">
        <v>1800</v>
      </c>
      <c r="L67">
        <v>1260</v>
      </c>
      <c r="M67" s="9" t="s">
        <v>21</v>
      </c>
      <c r="N67" s="9" t="s">
        <v>20</v>
      </c>
    </row>
    <row r="68" spans="1:14">
      <c r="A68" t="s">
        <v>26</v>
      </c>
      <c r="B68" t="s">
        <v>20</v>
      </c>
      <c r="C68" t="s">
        <v>21</v>
      </c>
      <c r="D68" t="s">
        <v>13</v>
      </c>
      <c r="E68" t="s">
        <v>14</v>
      </c>
      <c r="H68">
        <v>1800</v>
      </c>
      <c r="J68">
        <v>0</v>
      </c>
      <c r="K68">
        <v>1800</v>
      </c>
      <c r="L68">
        <v>1260</v>
      </c>
      <c r="M68" s="9" t="s">
        <v>21</v>
      </c>
      <c r="N68" s="9" t="s">
        <v>20</v>
      </c>
    </row>
    <row r="69" spans="1:14">
      <c r="A69" t="s">
        <v>25</v>
      </c>
      <c r="B69" t="s">
        <v>20</v>
      </c>
      <c r="C69" t="s">
        <v>21</v>
      </c>
      <c r="D69" t="s">
        <v>13</v>
      </c>
      <c r="E69" t="s">
        <v>14</v>
      </c>
      <c r="H69">
        <v>1800</v>
      </c>
      <c r="J69">
        <v>0</v>
      </c>
      <c r="K69">
        <v>1800</v>
      </c>
      <c r="L69">
        <v>1260</v>
      </c>
      <c r="M69" s="9" t="s">
        <v>21</v>
      </c>
      <c r="N69" s="9" t="s">
        <v>20</v>
      </c>
    </row>
    <row r="70" spans="1:14">
      <c r="A70" t="s">
        <v>29</v>
      </c>
      <c r="B70" t="s">
        <v>20</v>
      </c>
      <c r="C70" t="s">
        <v>21</v>
      </c>
      <c r="D70" t="s">
        <v>13</v>
      </c>
      <c r="E70" t="s">
        <v>14</v>
      </c>
      <c r="H70">
        <v>1800</v>
      </c>
      <c r="J70">
        <v>0</v>
      </c>
      <c r="K70">
        <v>1800</v>
      </c>
      <c r="L70">
        <v>1260</v>
      </c>
      <c r="M70" s="9" t="s">
        <v>21</v>
      </c>
      <c r="N70" s="9" t="s">
        <v>20</v>
      </c>
    </row>
    <row r="71" spans="1:14">
      <c r="A71" t="s">
        <v>28</v>
      </c>
      <c r="B71" t="s">
        <v>20</v>
      </c>
      <c r="C71" t="s">
        <v>21</v>
      </c>
      <c r="D71" t="s">
        <v>13</v>
      </c>
      <c r="E71" t="s">
        <v>14</v>
      </c>
      <c r="H71">
        <v>1800</v>
      </c>
      <c r="J71">
        <v>0</v>
      </c>
      <c r="K71">
        <v>1800</v>
      </c>
      <c r="L71">
        <v>1260</v>
      </c>
      <c r="M71" s="9" t="s">
        <v>21</v>
      </c>
      <c r="N71" s="9" t="s">
        <v>20</v>
      </c>
    </row>
    <row r="72" spans="1:14">
      <c r="A72" t="s">
        <v>31</v>
      </c>
      <c r="B72" t="s">
        <v>20</v>
      </c>
      <c r="C72" t="s">
        <v>21</v>
      </c>
      <c r="D72" t="s">
        <v>13</v>
      </c>
      <c r="E72" t="s">
        <v>14</v>
      </c>
      <c r="H72">
        <v>1800</v>
      </c>
      <c r="J72">
        <v>0</v>
      </c>
      <c r="K72">
        <v>1800</v>
      </c>
      <c r="L72">
        <v>1260</v>
      </c>
      <c r="M72" s="9" t="s">
        <v>21</v>
      </c>
      <c r="N72" s="9" t="s">
        <v>20</v>
      </c>
    </row>
    <row r="73" spans="1:14">
      <c r="A73" t="s">
        <v>32</v>
      </c>
      <c r="B73" t="s">
        <v>20</v>
      </c>
      <c r="C73" t="s">
        <v>21</v>
      </c>
      <c r="D73" t="s">
        <v>13</v>
      </c>
      <c r="E73" t="s">
        <v>14</v>
      </c>
      <c r="H73">
        <v>1800</v>
      </c>
      <c r="J73">
        <v>0</v>
      </c>
      <c r="K73">
        <v>1800</v>
      </c>
      <c r="L73">
        <v>1260</v>
      </c>
      <c r="M73" s="9" t="s">
        <v>21</v>
      </c>
      <c r="N73" s="9" t="s">
        <v>20</v>
      </c>
    </row>
    <row r="74" spans="1:14">
      <c r="A74" t="s">
        <v>30</v>
      </c>
      <c r="B74" t="s">
        <v>20</v>
      </c>
      <c r="C74" t="s">
        <v>21</v>
      </c>
      <c r="D74" t="s">
        <v>13</v>
      </c>
      <c r="E74" t="s">
        <v>14</v>
      </c>
      <c r="H74">
        <v>1800</v>
      </c>
      <c r="J74">
        <v>0</v>
      </c>
      <c r="K74">
        <v>1800</v>
      </c>
      <c r="L74">
        <v>1260</v>
      </c>
      <c r="M74" s="9" t="s">
        <v>21</v>
      </c>
      <c r="N74" s="9" t="s">
        <v>20</v>
      </c>
    </row>
    <row r="75" spans="1:14">
      <c r="A75" t="s">
        <v>35</v>
      </c>
      <c r="B75" t="s">
        <v>20</v>
      </c>
      <c r="C75" t="s">
        <v>21</v>
      </c>
      <c r="D75" t="s">
        <v>13</v>
      </c>
      <c r="E75" t="s">
        <v>14</v>
      </c>
      <c r="H75">
        <v>1800</v>
      </c>
      <c r="J75">
        <v>0</v>
      </c>
      <c r="K75">
        <v>1800</v>
      </c>
      <c r="L75">
        <v>1260</v>
      </c>
      <c r="M75" s="9" t="s">
        <v>21</v>
      </c>
      <c r="N75" s="9" t="s">
        <v>20</v>
      </c>
    </row>
    <row r="76" spans="1:14">
      <c r="A76" t="s">
        <v>33</v>
      </c>
      <c r="B76" t="s">
        <v>20</v>
      </c>
      <c r="C76" t="s">
        <v>21</v>
      </c>
      <c r="D76" t="s">
        <v>13</v>
      </c>
      <c r="E76" t="s">
        <v>14</v>
      </c>
      <c r="H76">
        <v>900</v>
      </c>
      <c r="J76">
        <v>0</v>
      </c>
      <c r="K76">
        <v>900</v>
      </c>
      <c r="L76">
        <v>630</v>
      </c>
      <c r="M76" s="9" t="s">
        <v>21</v>
      </c>
      <c r="N76" s="9" t="s">
        <v>20</v>
      </c>
    </row>
    <row r="77" spans="1:14">
      <c r="A77" t="s">
        <v>34</v>
      </c>
      <c r="B77" t="s">
        <v>20</v>
      </c>
      <c r="C77" t="s">
        <v>21</v>
      </c>
      <c r="D77" t="s">
        <v>13</v>
      </c>
      <c r="E77" t="s">
        <v>14</v>
      </c>
      <c r="H77">
        <v>1800</v>
      </c>
      <c r="J77">
        <v>0</v>
      </c>
      <c r="K77">
        <v>1800</v>
      </c>
      <c r="L77">
        <v>1260</v>
      </c>
      <c r="M77" s="9" t="s">
        <v>21</v>
      </c>
      <c r="N77" s="9" t="s">
        <v>20</v>
      </c>
    </row>
    <row r="78" spans="1:14">
      <c r="A78" t="s">
        <v>122</v>
      </c>
      <c r="B78" t="s">
        <v>20</v>
      </c>
      <c r="C78" t="s">
        <v>21</v>
      </c>
      <c r="D78" t="s">
        <v>13</v>
      </c>
      <c r="E78" t="s">
        <v>18</v>
      </c>
      <c r="F78">
        <v>1</v>
      </c>
      <c r="G78">
        <v>3200</v>
      </c>
      <c r="H78">
        <v>3200</v>
      </c>
      <c r="I78">
        <v>0</v>
      </c>
      <c r="J78">
        <v>0</v>
      </c>
      <c r="K78">
        <v>3200</v>
      </c>
      <c r="L78">
        <v>2240</v>
      </c>
      <c r="M78" s="9" t="s">
        <v>21</v>
      </c>
      <c r="N78" s="9" t="s">
        <v>20</v>
      </c>
    </row>
    <row r="79" spans="1:14">
      <c r="A79" t="s">
        <v>123</v>
      </c>
      <c r="B79" t="s">
        <v>20</v>
      </c>
      <c r="C79" t="s">
        <v>21</v>
      </c>
      <c r="D79" t="s">
        <v>13</v>
      </c>
      <c r="E79" t="s">
        <v>18</v>
      </c>
      <c r="F79">
        <v>1</v>
      </c>
      <c r="G79">
        <v>3200</v>
      </c>
      <c r="H79">
        <v>3200</v>
      </c>
      <c r="I79">
        <v>0</v>
      </c>
      <c r="J79">
        <v>0</v>
      </c>
      <c r="K79">
        <v>3200</v>
      </c>
      <c r="L79">
        <v>2240</v>
      </c>
      <c r="M79" s="9" t="s">
        <v>21</v>
      </c>
      <c r="N79" s="9" t="s">
        <v>20</v>
      </c>
    </row>
    <row r="80" spans="1:14">
      <c r="A80" t="s">
        <v>124</v>
      </c>
      <c r="B80" t="s">
        <v>20</v>
      </c>
      <c r="C80" t="s">
        <v>21</v>
      </c>
      <c r="D80" t="s">
        <v>13</v>
      </c>
      <c r="E80" t="s">
        <v>18</v>
      </c>
      <c r="F80">
        <v>1</v>
      </c>
      <c r="G80">
        <v>3200</v>
      </c>
      <c r="H80">
        <v>3200</v>
      </c>
      <c r="I80">
        <v>0</v>
      </c>
      <c r="J80">
        <v>0</v>
      </c>
      <c r="K80">
        <v>3200</v>
      </c>
      <c r="L80">
        <v>2240</v>
      </c>
      <c r="M80" s="9" t="s">
        <v>21</v>
      </c>
      <c r="N80" s="9" t="s">
        <v>20</v>
      </c>
    </row>
    <row r="81" spans="1:14">
      <c r="A81" t="s">
        <v>125</v>
      </c>
      <c r="B81" t="s">
        <v>20</v>
      </c>
      <c r="C81" t="s">
        <v>21</v>
      </c>
      <c r="D81" t="s">
        <v>13</v>
      </c>
      <c r="E81" t="s">
        <v>18</v>
      </c>
      <c r="F81">
        <v>1</v>
      </c>
      <c r="G81">
        <v>3200</v>
      </c>
      <c r="H81">
        <v>3200</v>
      </c>
      <c r="I81">
        <v>0</v>
      </c>
      <c r="J81">
        <v>0</v>
      </c>
      <c r="K81">
        <v>3200</v>
      </c>
      <c r="L81">
        <v>2240</v>
      </c>
      <c r="M81" s="9" t="s">
        <v>21</v>
      </c>
      <c r="N81" s="9" t="s">
        <v>20</v>
      </c>
    </row>
    <row r="82" spans="1:14">
      <c r="A82" t="s">
        <v>126</v>
      </c>
      <c r="B82" t="s">
        <v>20</v>
      </c>
      <c r="C82" t="s">
        <v>21</v>
      </c>
      <c r="D82" t="s">
        <v>13</v>
      </c>
      <c r="E82" t="s">
        <v>18</v>
      </c>
      <c r="F82">
        <v>1</v>
      </c>
      <c r="G82">
        <v>3200</v>
      </c>
      <c r="H82">
        <v>3200</v>
      </c>
      <c r="I82">
        <v>0</v>
      </c>
      <c r="J82">
        <v>0</v>
      </c>
      <c r="K82">
        <v>3200</v>
      </c>
      <c r="L82">
        <v>2240</v>
      </c>
      <c r="M82" s="9" t="s">
        <v>21</v>
      </c>
      <c r="N82" s="9" t="s">
        <v>20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23"/>
  <sheetViews>
    <sheetView workbookViewId="0"/>
  </sheetViews>
  <sheetFormatPr defaultRowHeight="17.399999999999999"/>
  <cols>
    <col min="1" max="1" width="17" bestFit="1" customWidth="1"/>
    <col min="2" max="2" width="6.79687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51</v>
      </c>
      <c r="B2" t="s">
        <v>19</v>
      </c>
      <c r="C2" t="s">
        <v>21</v>
      </c>
      <c r="D2" t="s">
        <v>13</v>
      </c>
      <c r="E2" t="s">
        <v>18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2240</v>
      </c>
      <c r="M2" s="9" t="s">
        <v>21</v>
      </c>
      <c r="N2" s="9" t="s">
        <v>19</v>
      </c>
    </row>
    <row r="3" spans="1:14">
      <c r="A3" t="s">
        <v>273</v>
      </c>
      <c r="B3" t="s">
        <v>19</v>
      </c>
      <c r="C3" t="s">
        <v>21</v>
      </c>
      <c r="D3" t="s">
        <v>13</v>
      </c>
      <c r="E3" t="s">
        <v>14</v>
      </c>
      <c r="H3">
        <v>900</v>
      </c>
      <c r="J3">
        <v>0</v>
      </c>
      <c r="K3">
        <v>900</v>
      </c>
      <c r="L3">
        <v>630</v>
      </c>
      <c r="M3" s="9" t="s">
        <v>21</v>
      </c>
      <c r="N3" s="9" t="s">
        <v>19</v>
      </c>
    </row>
    <row r="4" spans="1:14">
      <c r="A4" t="s">
        <v>274</v>
      </c>
      <c r="B4" t="s">
        <v>19</v>
      </c>
      <c r="C4" t="s">
        <v>21</v>
      </c>
      <c r="D4" t="s">
        <v>13</v>
      </c>
      <c r="E4" t="s">
        <v>14</v>
      </c>
      <c r="H4">
        <v>900</v>
      </c>
      <c r="J4">
        <v>0</v>
      </c>
      <c r="K4">
        <v>900</v>
      </c>
      <c r="L4">
        <v>630</v>
      </c>
      <c r="M4" s="9" t="s">
        <v>21</v>
      </c>
      <c r="N4" s="9" t="s">
        <v>19</v>
      </c>
    </row>
    <row r="5" spans="1:14">
      <c r="A5" t="s">
        <v>275</v>
      </c>
      <c r="B5" t="s">
        <v>19</v>
      </c>
      <c r="C5" t="s">
        <v>21</v>
      </c>
      <c r="D5" t="s">
        <v>13</v>
      </c>
      <c r="E5" t="s">
        <v>14</v>
      </c>
      <c r="H5">
        <v>900</v>
      </c>
      <c r="J5">
        <v>0</v>
      </c>
      <c r="K5">
        <v>900</v>
      </c>
      <c r="L5">
        <v>630</v>
      </c>
      <c r="M5" s="9" t="s">
        <v>21</v>
      </c>
      <c r="N5" s="9" t="s">
        <v>19</v>
      </c>
    </row>
    <row r="6" spans="1:14">
      <c r="A6" t="s">
        <v>276</v>
      </c>
      <c r="B6" t="s">
        <v>19</v>
      </c>
      <c r="C6" t="s">
        <v>21</v>
      </c>
      <c r="D6" t="s">
        <v>13</v>
      </c>
      <c r="E6" t="s">
        <v>14</v>
      </c>
      <c r="H6">
        <v>2700</v>
      </c>
      <c r="J6">
        <v>0</v>
      </c>
      <c r="K6">
        <v>2700</v>
      </c>
      <c r="L6">
        <v>1890</v>
      </c>
      <c r="M6" s="9" t="s">
        <v>21</v>
      </c>
      <c r="N6" s="9" t="s">
        <v>19</v>
      </c>
    </row>
    <row r="7" spans="1:14">
      <c r="A7" t="s">
        <v>277</v>
      </c>
      <c r="B7" t="s">
        <v>19</v>
      </c>
      <c r="C7" t="s">
        <v>21</v>
      </c>
      <c r="D7" t="s">
        <v>13</v>
      </c>
      <c r="E7" t="s">
        <v>14</v>
      </c>
      <c r="H7">
        <v>1800</v>
      </c>
      <c r="J7">
        <v>0</v>
      </c>
      <c r="K7">
        <v>1800</v>
      </c>
      <c r="L7">
        <v>1260</v>
      </c>
      <c r="M7" s="9" t="s">
        <v>21</v>
      </c>
      <c r="N7" s="9" t="s">
        <v>19</v>
      </c>
    </row>
    <row r="8" spans="1:14">
      <c r="A8" t="s">
        <v>278</v>
      </c>
      <c r="B8" t="s">
        <v>19</v>
      </c>
      <c r="C8" t="s">
        <v>21</v>
      </c>
      <c r="D8" t="s">
        <v>13</v>
      </c>
      <c r="E8" t="s">
        <v>14</v>
      </c>
      <c r="H8">
        <v>1800</v>
      </c>
      <c r="J8">
        <v>0</v>
      </c>
      <c r="K8">
        <v>1800</v>
      </c>
      <c r="L8">
        <v>1260</v>
      </c>
      <c r="M8" s="9" t="s">
        <v>21</v>
      </c>
      <c r="N8" s="9" t="s">
        <v>19</v>
      </c>
    </row>
    <row r="9" spans="1:14">
      <c r="A9" t="s">
        <v>279</v>
      </c>
      <c r="B9" t="s">
        <v>19</v>
      </c>
      <c r="C9" t="s">
        <v>21</v>
      </c>
      <c r="D9" t="s">
        <v>13</v>
      </c>
      <c r="E9" t="s">
        <v>14</v>
      </c>
      <c r="H9">
        <v>1800</v>
      </c>
      <c r="J9">
        <v>0</v>
      </c>
      <c r="K9">
        <v>1800</v>
      </c>
      <c r="L9">
        <v>1260</v>
      </c>
      <c r="M9" s="9" t="s">
        <v>21</v>
      </c>
      <c r="N9" s="9" t="s">
        <v>19</v>
      </c>
    </row>
    <row r="10" spans="1:14">
      <c r="A10" t="s">
        <v>280</v>
      </c>
      <c r="B10" t="s">
        <v>19</v>
      </c>
      <c r="C10" t="s">
        <v>21</v>
      </c>
      <c r="D10" t="s">
        <v>13</v>
      </c>
      <c r="E10" t="s">
        <v>14</v>
      </c>
      <c r="H10">
        <v>900</v>
      </c>
      <c r="J10">
        <v>0</v>
      </c>
      <c r="K10">
        <v>900</v>
      </c>
      <c r="L10">
        <v>630</v>
      </c>
      <c r="M10" s="9" t="s">
        <v>21</v>
      </c>
      <c r="N10" s="9" t="s">
        <v>19</v>
      </c>
    </row>
    <row r="11" spans="1:14">
      <c r="A11" t="s">
        <v>281</v>
      </c>
      <c r="B11" t="s">
        <v>19</v>
      </c>
      <c r="C11" t="s">
        <v>21</v>
      </c>
      <c r="D11" t="s">
        <v>13</v>
      </c>
      <c r="E11" t="s">
        <v>14</v>
      </c>
      <c r="H11">
        <v>900</v>
      </c>
      <c r="J11">
        <v>0</v>
      </c>
      <c r="K11">
        <v>900</v>
      </c>
      <c r="L11">
        <v>630</v>
      </c>
      <c r="M11" s="9" t="s">
        <v>21</v>
      </c>
      <c r="N11" s="9" t="s">
        <v>19</v>
      </c>
    </row>
    <row r="12" spans="1:14">
      <c r="A12" t="s">
        <v>282</v>
      </c>
      <c r="B12" t="s">
        <v>19</v>
      </c>
      <c r="C12" t="s">
        <v>21</v>
      </c>
      <c r="D12" t="s">
        <v>13</v>
      </c>
      <c r="E12" t="s">
        <v>14</v>
      </c>
      <c r="H12">
        <v>900</v>
      </c>
      <c r="J12">
        <v>0</v>
      </c>
      <c r="K12">
        <v>900</v>
      </c>
      <c r="L12">
        <v>630</v>
      </c>
      <c r="M12" s="9" t="s">
        <v>21</v>
      </c>
      <c r="N12" s="9" t="s">
        <v>19</v>
      </c>
    </row>
    <row r="13" spans="1:14">
      <c r="A13" t="s">
        <v>283</v>
      </c>
      <c r="B13" t="s">
        <v>19</v>
      </c>
      <c r="C13" t="s">
        <v>21</v>
      </c>
      <c r="D13" t="s">
        <v>13</v>
      </c>
      <c r="E13" t="s">
        <v>14</v>
      </c>
      <c r="H13">
        <v>900</v>
      </c>
      <c r="J13">
        <v>0</v>
      </c>
      <c r="K13">
        <v>900</v>
      </c>
      <c r="L13">
        <v>630</v>
      </c>
      <c r="M13" s="9" t="s">
        <v>21</v>
      </c>
      <c r="N13" s="9" t="s">
        <v>19</v>
      </c>
    </row>
    <row r="14" spans="1:14">
      <c r="A14" t="s">
        <v>105</v>
      </c>
      <c r="B14" t="s">
        <v>19</v>
      </c>
      <c r="C14" t="s">
        <v>21</v>
      </c>
      <c r="D14" t="s">
        <v>13</v>
      </c>
      <c r="E14" t="s">
        <v>14</v>
      </c>
      <c r="H14">
        <v>2700</v>
      </c>
      <c r="J14">
        <v>0</v>
      </c>
      <c r="K14">
        <v>2700</v>
      </c>
      <c r="L14">
        <v>1890</v>
      </c>
      <c r="M14" s="9" t="s">
        <v>21</v>
      </c>
      <c r="N14" s="9" t="s">
        <v>19</v>
      </c>
    </row>
    <row r="15" spans="1:14">
      <c r="A15" t="s">
        <v>106</v>
      </c>
      <c r="B15" t="s">
        <v>19</v>
      </c>
      <c r="C15" t="s">
        <v>21</v>
      </c>
      <c r="D15" t="s">
        <v>13</v>
      </c>
      <c r="E15" t="s">
        <v>14</v>
      </c>
      <c r="H15">
        <v>900</v>
      </c>
      <c r="J15">
        <v>0</v>
      </c>
      <c r="K15">
        <v>900</v>
      </c>
      <c r="L15">
        <v>630</v>
      </c>
      <c r="M15" s="9" t="s">
        <v>21</v>
      </c>
      <c r="N15" s="9" t="s">
        <v>19</v>
      </c>
    </row>
    <row r="16" spans="1:14">
      <c r="A16" t="s">
        <v>181</v>
      </c>
      <c r="B16" t="s">
        <v>19</v>
      </c>
      <c r="C16" t="s">
        <v>21</v>
      </c>
      <c r="D16" t="s">
        <v>13</v>
      </c>
      <c r="E16" t="s">
        <v>14</v>
      </c>
      <c r="H16">
        <v>900</v>
      </c>
      <c r="J16">
        <v>0</v>
      </c>
      <c r="K16">
        <v>900</v>
      </c>
      <c r="L16">
        <v>630</v>
      </c>
      <c r="M16" s="9" t="s">
        <v>21</v>
      </c>
      <c r="N16" s="9" t="s">
        <v>19</v>
      </c>
    </row>
    <row r="17" spans="1:14">
      <c r="A17" t="s">
        <v>182</v>
      </c>
      <c r="B17" t="s">
        <v>19</v>
      </c>
      <c r="C17" t="s">
        <v>21</v>
      </c>
      <c r="D17" t="s">
        <v>13</v>
      </c>
      <c r="E17" t="s">
        <v>14</v>
      </c>
      <c r="H17">
        <v>900</v>
      </c>
      <c r="J17">
        <v>0</v>
      </c>
      <c r="K17">
        <v>900</v>
      </c>
      <c r="L17">
        <v>630</v>
      </c>
      <c r="M17" s="9" t="s">
        <v>21</v>
      </c>
      <c r="N17" s="9" t="s">
        <v>19</v>
      </c>
    </row>
    <row r="18" spans="1:14">
      <c r="A18" t="s">
        <v>107</v>
      </c>
      <c r="B18" t="s">
        <v>19</v>
      </c>
      <c r="C18" t="s">
        <v>21</v>
      </c>
      <c r="D18" t="s">
        <v>13</v>
      </c>
      <c r="E18" t="s">
        <v>14</v>
      </c>
      <c r="H18">
        <v>1800</v>
      </c>
      <c r="J18">
        <v>0</v>
      </c>
      <c r="K18">
        <v>1800</v>
      </c>
      <c r="L18">
        <v>1260</v>
      </c>
      <c r="M18" s="9" t="s">
        <v>21</v>
      </c>
      <c r="N18" s="9" t="s">
        <v>19</v>
      </c>
    </row>
    <row r="19" spans="1:14">
      <c r="A19" t="s">
        <v>108</v>
      </c>
      <c r="B19" t="s">
        <v>19</v>
      </c>
      <c r="C19" t="s">
        <v>21</v>
      </c>
      <c r="D19" t="s">
        <v>13</v>
      </c>
      <c r="E19" t="s">
        <v>14</v>
      </c>
      <c r="H19">
        <v>2700</v>
      </c>
      <c r="J19">
        <v>0</v>
      </c>
      <c r="K19">
        <v>2700</v>
      </c>
      <c r="L19">
        <v>1890</v>
      </c>
      <c r="M19" s="9" t="s">
        <v>21</v>
      </c>
      <c r="N19" s="9" t="s">
        <v>19</v>
      </c>
    </row>
    <row r="20" spans="1:14">
      <c r="A20" t="s">
        <v>109</v>
      </c>
      <c r="B20" t="s">
        <v>19</v>
      </c>
      <c r="C20" t="s">
        <v>21</v>
      </c>
      <c r="D20" t="s">
        <v>13</v>
      </c>
      <c r="E20" t="s">
        <v>14</v>
      </c>
      <c r="H20">
        <v>900</v>
      </c>
      <c r="J20">
        <v>0</v>
      </c>
      <c r="K20">
        <v>900</v>
      </c>
      <c r="L20">
        <v>630</v>
      </c>
      <c r="M20" s="9" t="s">
        <v>21</v>
      </c>
      <c r="N20" s="9" t="s">
        <v>19</v>
      </c>
    </row>
    <row r="21" spans="1:14">
      <c r="A21" t="s">
        <v>110</v>
      </c>
      <c r="B21" t="s">
        <v>19</v>
      </c>
      <c r="C21" t="s">
        <v>21</v>
      </c>
      <c r="D21" t="s">
        <v>13</v>
      </c>
      <c r="E21" t="s">
        <v>14</v>
      </c>
      <c r="H21">
        <v>900</v>
      </c>
      <c r="J21">
        <v>0</v>
      </c>
      <c r="K21">
        <v>900</v>
      </c>
      <c r="L21">
        <v>630</v>
      </c>
      <c r="M21" s="9" t="s">
        <v>21</v>
      </c>
      <c r="N21" s="9" t="s">
        <v>19</v>
      </c>
    </row>
    <row r="22" spans="1:14">
      <c r="A22" t="s">
        <v>111</v>
      </c>
      <c r="B22" t="s">
        <v>19</v>
      </c>
      <c r="C22" t="s">
        <v>21</v>
      </c>
      <c r="D22" t="s">
        <v>13</v>
      </c>
      <c r="E22" t="s">
        <v>14</v>
      </c>
      <c r="H22">
        <v>900</v>
      </c>
      <c r="J22">
        <v>0</v>
      </c>
      <c r="K22">
        <v>900</v>
      </c>
      <c r="L22">
        <v>630</v>
      </c>
      <c r="M22" s="9" t="s">
        <v>21</v>
      </c>
      <c r="N22" s="9" t="s">
        <v>19</v>
      </c>
    </row>
    <row r="23" spans="1:14">
      <c r="A23" t="s">
        <v>112</v>
      </c>
      <c r="B23" t="s">
        <v>19</v>
      </c>
      <c r="C23" t="s">
        <v>21</v>
      </c>
      <c r="D23" t="s">
        <v>13</v>
      </c>
      <c r="E23" t="s">
        <v>14</v>
      </c>
      <c r="H23">
        <v>900</v>
      </c>
      <c r="J23">
        <v>0</v>
      </c>
      <c r="K23">
        <v>900</v>
      </c>
      <c r="L23">
        <v>630</v>
      </c>
      <c r="M23" s="9" t="s">
        <v>21</v>
      </c>
      <c r="N23" s="9" t="s">
        <v>19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2"/>
  <sheetViews>
    <sheetView workbookViewId="0"/>
  </sheetViews>
  <sheetFormatPr defaultRowHeight="17.399999999999999"/>
  <cols>
    <col min="1" max="1" width="25.69921875" bestFit="1" customWidth="1"/>
    <col min="2" max="2" width="6.79687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204</v>
      </c>
      <c r="B2" t="s">
        <v>205</v>
      </c>
      <c r="C2" t="s">
        <v>21</v>
      </c>
      <c r="D2" t="s">
        <v>13</v>
      </c>
      <c r="E2" t="s">
        <v>16</v>
      </c>
      <c r="F2">
        <v>7</v>
      </c>
      <c r="G2">
        <v>100</v>
      </c>
      <c r="H2">
        <v>700</v>
      </c>
      <c r="I2">
        <v>0</v>
      </c>
      <c r="J2">
        <v>0</v>
      </c>
      <c r="K2">
        <v>700</v>
      </c>
      <c r="L2">
        <v>490</v>
      </c>
      <c r="M2" s="9" t="s">
        <v>21</v>
      </c>
      <c r="N2" s="9" t="s">
        <v>205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11"/>
  <sheetViews>
    <sheetView workbookViewId="0"/>
  </sheetViews>
  <sheetFormatPr defaultRowHeight="17.399999999999999"/>
  <cols>
    <col min="1" max="1" width="28.8984375" bestFit="1" customWidth="1"/>
    <col min="2" max="2" width="11.5" bestFit="1" customWidth="1"/>
    <col min="3" max="3" width="10.3984375" bestFit="1" customWidth="1"/>
    <col min="4" max="4" width="6.796875" bestFit="1" customWidth="1"/>
    <col min="5" max="5" width="14.398437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11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206</v>
      </c>
      <c r="B2" t="s">
        <v>207</v>
      </c>
      <c r="C2" t="s">
        <v>21</v>
      </c>
      <c r="D2" t="s">
        <v>92</v>
      </c>
      <c r="E2" t="s">
        <v>208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1600</v>
      </c>
      <c r="M2" s="9" t="s">
        <v>21</v>
      </c>
      <c r="N2" s="9" t="s">
        <v>207</v>
      </c>
    </row>
    <row r="3" spans="1:14">
      <c r="A3" t="s">
        <v>206</v>
      </c>
      <c r="B3" t="s">
        <v>207</v>
      </c>
      <c r="C3" t="s">
        <v>21</v>
      </c>
      <c r="D3" t="s">
        <v>92</v>
      </c>
      <c r="E3" t="s">
        <v>209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1600</v>
      </c>
      <c r="M3" s="9" t="s">
        <v>21</v>
      </c>
      <c r="N3" s="9" t="s">
        <v>207</v>
      </c>
    </row>
    <row r="4" spans="1:14">
      <c r="A4" t="s">
        <v>210</v>
      </c>
      <c r="B4" t="s">
        <v>207</v>
      </c>
      <c r="C4" t="s">
        <v>21</v>
      </c>
      <c r="D4" t="s">
        <v>92</v>
      </c>
      <c r="E4" t="s">
        <v>208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1600</v>
      </c>
      <c r="M4" s="9" t="s">
        <v>21</v>
      </c>
      <c r="N4" s="9" t="s">
        <v>207</v>
      </c>
    </row>
    <row r="5" spans="1:14">
      <c r="A5" t="s">
        <v>210</v>
      </c>
      <c r="B5" t="s">
        <v>207</v>
      </c>
      <c r="C5" t="s">
        <v>21</v>
      </c>
      <c r="D5" t="s">
        <v>92</v>
      </c>
      <c r="E5" t="s">
        <v>209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1600</v>
      </c>
      <c r="M5" s="9" t="s">
        <v>21</v>
      </c>
      <c r="N5" s="9" t="s">
        <v>207</v>
      </c>
    </row>
    <row r="6" spans="1:14">
      <c r="A6" t="s">
        <v>211</v>
      </c>
      <c r="B6" t="s">
        <v>207</v>
      </c>
      <c r="C6" t="s">
        <v>21</v>
      </c>
      <c r="D6" t="s">
        <v>92</v>
      </c>
      <c r="E6" t="s">
        <v>209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1600</v>
      </c>
      <c r="M6" s="9" t="s">
        <v>21</v>
      </c>
      <c r="N6" s="9" t="s">
        <v>207</v>
      </c>
    </row>
    <row r="7" spans="1:14">
      <c r="A7" t="s">
        <v>211</v>
      </c>
      <c r="B7" t="s">
        <v>207</v>
      </c>
      <c r="C7" t="s">
        <v>21</v>
      </c>
      <c r="D7" t="s">
        <v>92</v>
      </c>
      <c r="E7" t="s">
        <v>208</v>
      </c>
      <c r="F7">
        <v>1</v>
      </c>
      <c r="G7">
        <v>3200</v>
      </c>
      <c r="H7">
        <v>3200</v>
      </c>
      <c r="I7">
        <v>0</v>
      </c>
      <c r="J7">
        <v>0</v>
      </c>
      <c r="K7">
        <v>3200</v>
      </c>
      <c r="L7">
        <v>1600</v>
      </c>
      <c r="M7" s="9" t="s">
        <v>21</v>
      </c>
      <c r="N7" s="9" t="s">
        <v>207</v>
      </c>
    </row>
    <row r="8" spans="1:14">
      <c r="A8" t="s">
        <v>212</v>
      </c>
      <c r="B8" t="s">
        <v>207</v>
      </c>
      <c r="C8" t="s">
        <v>21</v>
      </c>
      <c r="D8" t="s">
        <v>92</v>
      </c>
      <c r="E8" t="s">
        <v>208</v>
      </c>
      <c r="F8">
        <v>1</v>
      </c>
      <c r="G8">
        <v>3200</v>
      </c>
      <c r="H8">
        <v>3200</v>
      </c>
      <c r="I8">
        <v>0</v>
      </c>
      <c r="J8">
        <v>0</v>
      </c>
      <c r="K8">
        <v>3200</v>
      </c>
      <c r="L8">
        <v>1600</v>
      </c>
      <c r="M8" s="9" t="s">
        <v>21</v>
      </c>
      <c r="N8" s="9" t="s">
        <v>207</v>
      </c>
    </row>
    <row r="9" spans="1:14">
      <c r="A9" t="s">
        <v>212</v>
      </c>
      <c r="B9" t="s">
        <v>207</v>
      </c>
      <c r="C9" t="s">
        <v>21</v>
      </c>
      <c r="D9" t="s">
        <v>92</v>
      </c>
      <c r="E9" t="s">
        <v>209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1600</v>
      </c>
      <c r="M9" s="9" t="s">
        <v>21</v>
      </c>
      <c r="N9" s="9" t="s">
        <v>207</v>
      </c>
    </row>
    <row r="10" spans="1:14">
      <c r="A10" t="s">
        <v>213</v>
      </c>
      <c r="B10" t="s">
        <v>207</v>
      </c>
      <c r="C10" t="s">
        <v>21</v>
      </c>
      <c r="D10" t="s">
        <v>92</v>
      </c>
      <c r="E10" t="s">
        <v>209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1600</v>
      </c>
      <c r="M10" s="9" t="s">
        <v>21</v>
      </c>
      <c r="N10" s="9" t="s">
        <v>207</v>
      </c>
    </row>
    <row r="11" spans="1:14">
      <c r="A11" t="s">
        <v>213</v>
      </c>
      <c r="B11" t="s">
        <v>207</v>
      </c>
      <c r="C11" t="s">
        <v>21</v>
      </c>
      <c r="D11" t="s">
        <v>92</v>
      </c>
      <c r="E11" t="s">
        <v>208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1600</v>
      </c>
      <c r="M11" s="9" t="s">
        <v>21</v>
      </c>
      <c r="N11" s="9" t="s">
        <v>207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77"/>
  <sheetViews>
    <sheetView workbookViewId="0"/>
  </sheetViews>
  <sheetFormatPr defaultRowHeight="17.399999999999999"/>
  <cols>
    <col min="1" max="1" width="26.59765625" bestFit="1" customWidth="1"/>
    <col min="2" max="2" width="6.79687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133</v>
      </c>
      <c r="B2" t="s">
        <v>15</v>
      </c>
      <c r="C2" t="s">
        <v>21</v>
      </c>
      <c r="D2" t="s">
        <v>13</v>
      </c>
      <c r="E2" t="s">
        <v>16</v>
      </c>
      <c r="F2">
        <v>14</v>
      </c>
      <c r="G2">
        <v>100</v>
      </c>
      <c r="H2">
        <v>1400</v>
      </c>
      <c r="I2">
        <v>0</v>
      </c>
      <c r="J2">
        <v>0</v>
      </c>
      <c r="K2">
        <v>1400</v>
      </c>
      <c r="L2">
        <v>980</v>
      </c>
      <c r="M2" s="9" t="s">
        <v>21</v>
      </c>
      <c r="N2" s="9" t="s">
        <v>15</v>
      </c>
    </row>
    <row r="3" spans="1:14">
      <c r="A3" t="s">
        <v>216</v>
      </c>
      <c r="B3" t="s">
        <v>15</v>
      </c>
      <c r="C3" t="s">
        <v>21</v>
      </c>
      <c r="D3" t="s">
        <v>13</v>
      </c>
      <c r="E3" t="s">
        <v>18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2240</v>
      </c>
      <c r="M3" s="9" t="s">
        <v>21</v>
      </c>
      <c r="N3" s="9" t="s">
        <v>15</v>
      </c>
    </row>
    <row r="4" spans="1:14">
      <c r="A4" t="s">
        <v>217</v>
      </c>
      <c r="B4" t="s">
        <v>15</v>
      </c>
      <c r="C4" t="s">
        <v>21</v>
      </c>
      <c r="D4" t="s">
        <v>13</v>
      </c>
      <c r="E4" t="s">
        <v>18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2240</v>
      </c>
      <c r="M4" s="9" t="s">
        <v>21</v>
      </c>
      <c r="N4" s="9" t="s">
        <v>15</v>
      </c>
    </row>
    <row r="5" spans="1:14">
      <c r="A5" t="s">
        <v>218</v>
      </c>
      <c r="B5" t="s">
        <v>15</v>
      </c>
      <c r="C5" t="s">
        <v>21</v>
      </c>
      <c r="D5" t="s">
        <v>13</v>
      </c>
      <c r="E5" t="s">
        <v>18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2240</v>
      </c>
      <c r="M5" s="9" t="s">
        <v>21</v>
      </c>
      <c r="N5" s="9" t="s">
        <v>15</v>
      </c>
    </row>
    <row r="6" spans="1:14">
      <c r="A6" t="s">
        <v>219</v>
      </c>
      <c r="B6" t="s">
        <v>15</v>
      </c>
      <c r="C6" t="s">
        <v>21</v>
      </c>
      <c r="D6" t="s">
        <v>13</v>
      </c>
      <c r="E6" t="s">
        <v>18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2240</v>
      </c>
      <c r="M6" s="9" t="s">
        <v>21</v>
      </c>
      <c r="N6" s="9" t="s">
        <v>15</v>
      </c>
    </row>
    <row r="7" spans="1:14">
      <c r="A7" t="s">
        <v>220</v>
      </c>
      <c r="B7" t="s">
        <v>15</v>
      </c>
      <c r="C7" t="s">
        <v>21</v>
      </c>
      <c r="D7" t="s">
        <v>13</v>
      </c>
      <c r="E7" t="s">
        <v>18</v>
      </c>
      <c r="F7">
        <v>1</v>
      </c>
      <c r="G7">
        <v>3200</v>
      </c>
      <c r="H7">
        <v>3200</v>
      </c>
      <c r="I7">
        <v>0</v>
      </c>
      <c r="J7">
        <v>0</v>
      </c>
      <c r="K7">
        <v>3200</v>
      </c>
      <c r="L7">
        <v>2240</v>
      </c>
      <c r="M7" s="9" t="s">
        <v>21</v>
      </c>
      <c r="N7" s="9" t="s">
        <v>15</v>
      </c>
    </row>
    <row r="8" spans="1:14">
      <c r="A8" t="s">
        <v>221</v>
      </c>
      <c r="B8" t="s">
        <v>15</v>
      </c>
      <c r="C8" t="s">
        <v>21</v>
      </c>
      <c r="D8" t="s">
        <v>13</v>
      </c>
      <c r="E8" t="s">
        <v>18</v>
      </c>
      <c r="F8">
        <v>1</v>
      </c>
      <c r="G8">
        <v>3200</v>
      </c>
      <c r="H8">
        <v>3200</v>
      </c>
      <c r="I8">
        <v>0</v>
      </c>
      <c r="J8">
        <v>0</v>
      </c>
      <c r="K8">
        <v>3200</v>
      </c>
      <c r="L8">
        <v>2240</v>
      </c>
      <c r="M8" s="9" t="s">
        <v>21</v>
      </c>
      <c r="N8" s="9" t="s">
        <v>15</v>
      </c>
    </row>
    <row r="9" spans="1:14">
      <c r="A9" t="s">
        <v>222</v>
      </c>
      <c r="B9" t="s">
        <v>15</v>
      </c>
      <c r="C9" t="s">
        <v>21</v>
      </c>
      <c r="D9" t="s">
        <v>13</v>
      </c>
      <c r="E9" t="s">
        <v>18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2240</v>
      </c>
      <c r="M9" s="9" t="s">
        <v>21</v>
      </c>
      <c r="N9" s="9" t="s">
        <v>15</v>
      </c>
    </row>
    <row r="10" spans="1:14">
      <c r="A10" t="s">
        <v>223</v>
      </c>
      <c r="B10" t="s">
        <v>15</v>
      </c>
      <c r="C10" t="s">
        <v>21</v>
      </c>
      <c r="D10" t="s">
        <v>13</v>
      </c>
      <c r="E10" t="s">
        <v>18</v>
      </c>
      <c r="F10">
        <v>1</v>
      </c>
      <c r="G10">
        <v>3200</v>
      </c>
      <c r="H10">
        <v>3200</v>
      </c>
      <c r="I10">
        <v>0</v>
      </c>
      <c r="J10">
        <v>0</v>
      </c>
      <c r="K10">
        <v>3200</v>
      </c>
      <c r="L10">
        <v>2240</v>
      </c>
      <c r="M10" s="9" t="s">
        <v>21</v>
      </c>
      <c r="N10" s="9" t="s">
        <v>15</v>
      </c>
    </row>
    <row r="11" spans="1:14">
      <c r="A11" t="s">
        <v>224</v>
      </c>
      <c r="B11" t="s">
        <v>15</v>
      </c>
      <c r="C11" t="s">
        <v>21</v>
      </c>
      <c r="D11" t="s">
        <v>13</v>
      </c>
      <c r="E11" t="s">
        <v>18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  <c r="M11" s="9" t="s">
        <v>21</v>
      </c>
      <c r="N11" s="9" t="s">
        <v>15</v>
      </c>
    </row>
    <row r="12" spans="1:14">
      <c r="A12" t="s">
        <v>225</v>
      </c>
      <c r="B12" t="s">
        <v>15</v>
      </c>
      <c r="C12" t="s">
        <v>21</v>
      </c>
      <c r="D12" t="s">
        <v>13</v>
      </c>
      <c r="E12" t="s">
        <v>18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>
        <v>2240</v>
      </c>
      <c r="M12" s="9" t="s">
        <v>21</v>
      </c>
      <c r="N12" s="9" t="s">
        <v>15</v>
      </c>
    </row>
    <row r="13" spans="1:14">
      <c r="A13" t="s">
        <v>226</v>
      </c>
      <c r="B13" t="s">
        <v>15</v>
      </c>
      <c r="C13" t="s">
        <v>21</v>
      </c>
      <c r="D13" t="s">
        <v>13</v>
      </c>
      <c r="E13" t="s">
        <v>18</v>
      </c>
      <c r="F13">
        <v>1</v>
      </c>
      <c r="G13">
        <v>3200</v>
      </c>
      <c r="H13">
        <v>3200</v>
      </c>
      <c r="I13">
        <v>0</v>
      </c>
      <c r="J13">
        <v>0</v>
      </c>
      <c r="K13">
        <v>3200</v>
      </c>
      <c r="L13">
        <v>2240</v>
      </c>
      <c r="M13" s="9" t="s">
        <v>21</v>
      </c>
      <c r="N13" s="9" t="s">
        <v>15</v>
      </c>
    </row>
    <row r="14" spans="1:14">
      <c r="A14" t="s">
        <v>229</v>
      </c>
      <c r="B14" t="s">
        <v>15</v>
      </c>
      <c r="C14" t="s">
        <v>21</v>
      </c>
      <c r="D14" t="s">
        <v>13</v>
      </c>
      <c r="E14" t="s">
        <v>18</v>
      </c>
      <c r="F14">
        <v>1</v>
      </c>
      <c r="G14">
        <v>3200</v>
      </c>
      <c r="H14">
        <v>3200</v>
      </c>
      <c r="I14">
        <v>0</v>
      </c>
      <c r="J14">
        <v>0</v>
      </c>
      <c r="K14">
        <v>3200</v>
      </c>
      <c r="L14">
        <v>2240</v>
      </c>
      <c r="M14" s="9" t="s">
        <v>21</v>
      </c>
      <c r="N14" s="9" t="s">
        <v>15</v>
      </c>
    </row>
    <row r="15" spans="1:14">
      <c r="A15" t="s">
        <v>229</v>
      </c>
      <c r="B15" t="s">
        <v>15</v>
      </c>
      <c r="C15" t="s">
        <v>21</v>
      </c>
      <c r="D15" t="s">
        <v>13</v>
      </c>
      <c r="E15" t="s">
        <v>14</v>
      </c>
      <c r="H15">
        <v>3600</v>
      </c>
      <c r="J15">
        <v>0</v>
      </c>
      <c r="K15">
        <v>3600</v>
      </c>
      <c r="L15">
        <v>2520</v>
      </c>
      <c r="M15" s="9" t="s">
        <v>21</v>
      </c>
      <c r="N15" s="9" t="s">
        <v>15</v>
      </c>
    </row>
    <row r="16" spans="1:14">
      <c r="A16" t="s">
        <v>230</v>
      </c>
      <c r="B16" t="s">
        <v>15</v>
      </c>
      <c r="C16" t="s">
        <v>21</v>
      </c>
      <c r="D16" t="s">
        <v>13</v>
      </c>
      <c r="E16" t="s">
        <v>14</v>
      </c>
      <c r="H16">
        <v>3690</v>
      </c>
      <c r="J16">
        <v>0</v>
      </c>
      <c r="K16">
        <v>3690</v>
      </c>
      <c r="L16">
        <v>2583</v>
      </c>
      <c r="M16" s="9" t="s">
        <v>21</v>
      </c>
      <c r="N16" s="9" t="s">
        <v>15</v>
      </c>
    </row>
    <row r="17" spans="1:14">
      <c r="A17" t="s">
        <v>231</v>
      </c>
      <c r="B17" t="s">
        <v>15</v>
      </c>
      <c r="C17" t="s">
        <v>21</v>
      </c>
      <c r="D17" t="s">
        <v>13</v>
      </c>
      <c r="E17" t="s">
        <v>14</v>
      </c>
      <c r="H17">
        <v>1800</v>
      </c>
      <c r="J17">
        <v>0</v>
      </c>
      <c r="K17">
        <v>1800</v>
      </c>
      <c r="L17">
        <v>1260</v>
      </c>
      <c r="M17" s="9" t="s">
        <v>21</v>
      </c>
      <c r="N17" s="9" t="s">
        <v>15</v>
      </c>
    </row>
    <row r="18" spans="1:14">
      <c r="A18" t="s">
        <v>232</v>
      </c>
      <c r="B18" t="s">
        <v>15</v>
      </c>
      <c r="C18" t="s">
        <v>21</v>
      </c>
      <c r="D18" t="s">
        <v>13</v>
      </c>
      <c r="E18" t="s">
        <v>14</v>
      </c>
      <c r="H18">
        <v>3690</v>
      </c>
      <c r="J18">
        <v>0</v>
      </c>
      <c r="K18">
        <v>3690</v>
      </c>
      <c r="L18">
        <v>2583</v>
      </c>
      <c r="M18" s="9" t="s">
        <v>21</v>
      </c>
      <c r="N18" s="9" t="s">
        <v>15</v>
      </c>
    </row>
    <row r="19" spans="1:14">
      <c r="A19" t="s">
        <v>233</v>
      </c>
      <c r="B19" t="s">
        <v>15</v>
      </c>
      <c r="C19" t="s">
        <v>21</v>
      </c>
      <c r="D19" t="s">
        <v>13</v>
      </c>
      <c r="E19" t="s">
        <v>14</v>
      </c>
      <c r="H19">
        <v>3690</v>
      </c>
      <c r="J19">
        <v>0</v>
      </c>
      <c r="K19">
        <v>3690</v>
      </c>
      <c r="L19">
        <v>2583</v>
      </c>
      <c r="M19" s="9" t="s">
        <v>21</v>
      </c>
      <c r="N19" s="9" t="s">
        <v>15</v>
      </c>
    </row>
    <row r="20" spans="1:14">
      <c r="A20" t="s">
        <v>234</v>
      </c>
      <c r="B20" t="s">
        <v>15</v>
      </c>
      <c r="C20" t="s">
        <v>21</v>
      </c>
      <c r="D20" t="s">
        <v>13</v>
      </c>
      <c r="E20" t="s">
        <v>14</v>
      </c>
      <c r="H20">
        <v>3690</v>
      </c>
      <c r="J20">
        <v>0</v>
      </c>
      <c r="K20">
        <v>3690</v>
      </c>
      <c r="L20">
        <v>2583</v>
      </c>
      <c r="M20" s="9" t="s">
        <v>21</v>
      </c>
      <c r="N20" s="9" t="s">
        <v>15</v>
      </c>
    </row>
    <row r="21" spans="1:14">
      <c r="A21" t="s">
        <v>235</v>
      </c>
      <c r="B21" t="s">
        <v>15</v>
      </c>
      <c r="C21" t="s">
        <v>21</v>
      </c>
      <c r="D21" t="s">
        <v>13</v>
      </c>
      <c r="E21" t="s">
        <v>14</v>
      </c>
      <c r="H21">
        <v>3690</v>
      </c>
      <c r="J21">
        <v>0</v>
      </c>
      <c r="K21">
        <v>3690</v>
      </c>
      <c r="L21">
        <v>2583</v>
      </c>
      <c r="M21" s="9" t="s">
        <v>21</v>
      </c>
      <c r="N21" s="9" t="s">
        <v>15</v>
      </c>
    </row>
    <row r="22" spans="1:14">
      <c r="A22" t="s">
        <v>236</v>
      </c>
      <c r="B22" t="s">
        <v>15</v>
      </c>
      <c r="C22" t="s">
        <v>21</v>
      </c>
      <c r="D22" t="s">
        <v>13</v>
      </c>
      <c r="E22" t="s">
        <v>14</v>
      </c>
      <c r="H22">
        <v>3690</v>
      </c>
      <c r="J22">
        <v>0</v>
      </c>
      <c r="K22">
        <v>3690</v>
      </c>
      <c r="L22">
        <v>2583</v>
      </c>
      <c r="M22" s="9" t="s">
        <v>21</v>
      </c>
      <c r="N22" s="9" t="s">
        <v>15</v>
      </c>
    </row>
    <row r="23" spans="1:14">
      <c r="A23" t="s">
        <v>237</v>
      </c>
      <c r="B23" t="s">
        <v>15</v>
      </c>
      <c r="C23" t="s">
        <v>21</v>
      </c>
      <c r="D23" t="s">
        <v>13</v>
      </c>
      <c r="E23" t="s">
        <v>14</v>
      </c>
      <c r="H23">
        <v>3690</v>
      </c>
      <c r="J23">
        <v>0</v>
      </c>
      <c r="K23">
        <v>3690</v>
      </c>
      <c r="L23">
        <v>2583</v>
      </c>
      <c r="M23" s="9" t="s">
        <v>21</v>
      </c>
      <c r="N23" s="9" t="s">
        <v>15</v>
      </c>
    </row>
    <row r="24" spans="1:14">
      <c r="A24" t="s">
        <v>238</v>
      </c>
      <c r="B24" t="s">
        <v>15</v>
      </c>
      <c r="C24" t="s">
        <v>21</v>
      </c>
      <c r="D24" t="s">
        <v>13</v>
      </c>
      <c r="E24" t="s">
        <v>14</v>
      </c>
      <c r="H24">
        <v>3690</v>
      </c>
      <c r="J24">
        <v>0</v>
      </c>
      <c r="K24">
        <v>3690</v>
      </c>
      <c r="L24">
        <v>2583</v>
      </c>
      <c r="M24" s="9" t="s">
        <v>21</v>
      </c>
      <c r="N24" s="9" t="s">
        <v>15</v>
      </c>
    </row>
    <row r="25" spans="1:14">
      <c r="A25" t="s">
        <v>239</v>
      </c>
      <c r="B25" t="s">
        <v>15</v>
      </c>
      <c r="C25" t="s">
        <v>21</v>
      </c>
      <c r="D25" t="s">
        <v>13</v>
      </c>
      <c r="E25" t="s">
        <v>14</v>
      </c>
      <c r="H25">
        <v>3690</v>
      </c>
      <c r="J25">
        <v>0</v>
      </c>
      <c r="K25">
        <v>3690</v>
      </c>
      <c r="L25">
        <v>2583</v>
      </c>
      <c r="M25" s="9" t="s">
        <v>21</v>
      </c>
      <c r="N25" s="9" t="s">
        <v>15</v>
      </c>
    </row>
    <row r="26" spans="1:14">
      <c r="A26" t="s">
        <v>240</v>
      </c>
      <c r="B26" t="s">
        <v>15</v>
      </c>
      <c r="C26" t="s">
        <v>21</v>
      </c>
      <c r="D26" t="s">
        <v>13</v>
      </c>
      <c r="E26" t="s">
        <v>14</v>
      </c>
      <c r="H26">
        <v>3690</v>
      </c>
      <c r="J26">
        <v>0</v>
      </c>
      <c r="K26">
        <v>3690</v>
      </c>
      <c r="L26">
        <v>2583</v>
      </c>
      <c r="M26" s="9" t="s">
        <v>21</v>
      </c>
      <c r="N26" s="9" t="s">
        <v>15</v>
      </c>
    </row>
    <row r="27" spans="1:14">
      <c r="A27" t="s">
        <v>241</v>
      </c>
      <c r="B27" t="s">
        <v>15</v>
      </c>
      <c r="C27" t="s">
        <v>21</v>
      </c>
      <c r="D27" t="s">
        <v>13</v>
      </c>
      <c r="E27" t="s">
        <v>14</v>
      </c>
      <c r="H27">
        <v>3690</v>
      </c>
      <c r="J27">
        <v>0</v>
      </c>
      <c r="K27">
        <v>3690</v>
      </c>
      <c r="L27">
        <v>2583</v>
      </c>
      <c r="M27" s="9" t="s">
        <v>21</v>
      </c>
      <c r="N27" s="9" t="s">
        <v>15</v>
      </c>
    </row>
    <row r="28" spans="1:14">
      <c r="A28" t="s">
        <v>242</v>
      </c>
      <c r="B28" t="s">
        <v>15</v>
      </c>
      <c r="C28" t="s">
        <v>21</v>
      </c>
      <c r="D28" t="s">
        <v>13</v>
      </c>
      <c r="E28" t="s">
        <v>14</v>
      </c>
      <c r="H28">
        <v>3690</v>
      </c>
      <c r="J28">
        <v>0</v>
      </c>
      <c r="K28">
        <v>3690</v>
      </c>
      <c r="L28">
        <v>2583</v>
      </c>
      <c r="M28" s="9" t="s">
        <v>21</v>
      </c>
      <c r="N28" s="9" t="s">
        <v>15</v>
      </c>
    </row>
    <row r="29" spans="1:14">
      <c r="A29" t="s">
        <v>243</v>
      </c>
      <c r="B29" t="s">
        <v>15</v>
      </c>
      <c r="C29" t="s">
        <v>21</v>
      </c>
      <c r="D29" t="s">
        <v>13</v>
      </c>
      <c r="E29" t="s">
        <v>14</v>
      </c>
      <c r="H29">
        <v>900</v>
      </c>
      <c r="J29">
        <v>0</v>
      </c>
      <c r="K29">
        <v>900</v>
      </c>
      <c r="L29">
        <v>630</v>
      </c>
      <c r="M29" s="9" t="s">
        <v>21</v>
      </c>
      <c r="N29" s="9" t="s">
        <v>15</v>
      </c>
    </row>
    <row r="30" spans="1:14">
      <c r="A30" t="s">
        <v>244</v>
      </c>
      <c r="B30" t="s">
        <v>15</v>
      </c>
      <c r="C30" t="s">
        <v>21</v>
      </c>
      <c r="D30" t="s">
        <v>13</v>
      </c>
      <c r="E30" t="s">
        <v>14</v>
      </c>
      <c r="H30">
        <v>3690</v>
      </c>
      <c r="J30">
        <v>0</v>
      </c>
      <c r="K30">
        <v>3690</v>
      </c>
      <c r="L30">
        <v>2583</v>
      </c>
      <c r="M30" s="9" t="s">
        <v>21</v>
      </c>
      <c r="N30" s="9" t="s">
        <v>15</v>
      </c>
    </row>
    <row r="31" spans="1:14">
      <c r="A31" t="s">
        <v>245</v>
      </c>
      <c r="B31" t="s">
        <v>15</v>
      </c>
      <c r="C31" t="s">
        <v>21</v>
      </c>
      <c r="D31" t="s">
        <v>13</v>
      </c>
      <c r="E31" t="s">
        <v>14</v>
      </c>
      <c r="H31">
        <v>3690</v>
      </c>
      <c r="J31">
        <v>0</v>
      </c>
      <c r="K31">
        <v>3690</v>
      </c>
      <c r="L31">
        <v>2583</v>
      </c>
      <c r="M31" s="9" t="s">
        <v>21</v>
      </c>
      <c r="N31" s="9" t="s">
        <v>15</v>
      </c>
    </row>
    <row r="32" spans="1:14">
      <c r="A32" t="s">
        <v>246</v>
      </c>
      <c r="B32" t="s">
        <v>15</v>
      </c>
      <c r="C32" t="s">
        <v>21</v>
      </c>
      <c r="D32" t="s">
        <v>13</v>
      </c>
      <c r="E32" t="s">
        <v>14</v>
      </c>
      <c r="H32">
        <v>3690</v>
      </c>
      <c r="J32">
        <v>0</v>
      </c>
      <c r="K32">
        <v>3690</v>
      </c>
      <c r="L32">
        <v>2583</v>
      </c>
      <c r="M32" s="9" t="s">
        <v>21</v>
      </c>
      <c r="N32" s="9" t="s">
        <v>15</v>
      </c>
    </row>
    <row r="33" spans="1:14">
      <c r="A33" t="s">
        <v>247</v>
      </c>
      <c r="B33" t="s">
        <v>15</v>
      </c>
      <c r="C33" t="s">
        <v>21</v>
      </c>
      <c r="D33" t="s">
        <v>13</v>
      </c>
      <c r="E33" t="s">
        <v>14</v>
      </c>
      <c r="H33">
        <v>3690</v>
      </c>
      <c r="J33">
        <v>0</v>
      </c>
      <c r="K33">
        <v>3690</v>
      </c>
      <c r="L33">
        <v>2583</v>
      </c>
      <c r="M33" s="9" t="s">
        <v>21</v>
      </c>
      <c r="N33" s="9" t="s">
        <v>15</v>
      </c>
    </row>
    <row r="34" spans="1:14">
      <c r="A34" t="s">
        <v>265</v>
      </c>
      <c r="B34" t="s">
        <v>15</v>
      </c>
      <c r="C34" t="s">
        <v>21</v>
      </c>
      <c r="D34" t="s">
        <v>13</v>
      </c>
      <c r="E34" t="s">
        <v>14</v>
      </c>
      <c r="H34">
        <v>1800</v>
      </c>
      <c r="J34">
        <v>0</v>
      </c>
      <c r="K34">
        <v>1800</v>
      </c>
      <c r="L34">
        <v>1260</v>
      </c>
      <c r="M34" s="9" t="s">
        <v>21</v>
      </c>
      <c r="N34" s="9" t="s">
        <v>15</v>
      </c>
    </row>
    <row r="35" spans="1:14">
      <c r="A35" t="s">
        <v>266</v>
      </c>
      <c r="B35" t="s">
        <v>15</v>
      </c>
      <c r="C35" t="s">
        <v>21</v>
      </c>
      <c r="D35" t="s">
        <v>13</v>
      </c>
      <c r="E35" t="s">
        <v>14</v>
      </c>
      <c r="H35">
        <v>900</v>
      </c>
      <c r="J35">
        <v>0</v>
      </c>
      <c r="K35">
        <v>900</v>
      </c>
      <c r="L35">
        <v>630</v>
      </c>
      <c r="M35" s="9" t="s">
        <v>21</v>
      </c>
      <c r="N35" s="9" t="s">
        <v>15</v>
      </c>
    </row>
    <row r="36" spans="1:14">
      <c r="A36" t="s">
        <v>267</v>
      </c>
      <c r="B36" t="s">
        <v>15</v>
      </c>
      <c r="C36" t="s">
        <v>21</v>
      </c>
      <c r="D36" t="s">
        <v>13</v>
      </c>
      <c r="E36" t="s">
        <v>14</v>
      </c>
      <c r="H36">
        <v>900</v>
      </c>
      <c r="J36">
        <v>0</v>
      </c>
      <c r="K36">
        <v>900</v>
      </c>
      <c r="L36">
        <v>630</v>
      </c>
      <c r="M36" s="9" t="s">
        <v>21</v>
      </c>
      <c r="N36" s="9" t="s">
        <v>15</v>
      </c>
    </row>
    <row r="37" spans="1:14">
      <c r="A37" t="s">
        <v>268</v>
      </c>
      <c r="B37" t="s">
        <v>15</v>
      </c>
      <c r="C37" t="s">
        <v>21</v>
      </c>
      <c r="D37" t="s">
        <v>13</v>
      </c>
      <c r="E37" t="s">
        <v>14</v>
      </c>
      <c r="H37">
        <v>900</v>
      </c>
      <c r="J37">
        <v>0</v>
      </c>
      <c r="K37">
        <v>900</v>
      </c>
      <c r="L37">
        <v>630</v>
      </c>
      <c r="M37" s="9" t="s">
        <v>21</v>
      </c>
      <c r="N37" s="9" t="s">
        <v>15</v>
      </c>
    </row>
    <row r="38" spans="1:14">
      <c r="A38" t="s">
        <v>269</v>
      </c>
      <c r="B38" t="s">
        <v>15</v>
      </c>
      <c r="C38" t="s">
        <v>21</v>
      </c>
      <c r="D38" t="s">
        <v>13</v>
      </c>
      <c r="E38" t="s">
        <v>14</v>
      </c>
      <c r="H38">
        <v>900</v>
      </c>
      <c r="J38">
        <v>0</v>
      </c>
      <c r="K38">
        <v>900</v>
      </c>
      <c r="L38">
        <v>630</v>
      </c>
      <c r="M38" s="9" t="s">
        <v>21</v>
      </c>
      <c r="N38" s="9" t="s">
        <v>15</v>
      </c>
    </row>
    <row r="39" spans="1:14">
      <c r="A39" t="s">
        <v>270</v>
      </c>
      <c r="B39" t="s">
        <v>15</v>
      </c>
      <c r="C39" t="s">
        <v>21</v>
      </c>
      <c r="D39" t="s">
        <v>13</v>
      </c>
      <c r="E39" t="s">
        <v>14</v>
      </c>
      <c r="H39">
        <v>900</v>
      </c>
      <c r="J39">
        <v>0</v>
      </c>
      <c r="K39">
        <v>900</v>
      </c>
      <c r="L39">
        <v>630</v>
      </c>
      <c r="M39" s="9" t="s">
        <v>21</v>
      </c>
      <c r="N39" s="9" t="s">
        <v>15</v>
      </c>
    </row>
    <row r="40" spans="1:14">
      <c r="A40" t="s">
        <v>271</v>
      </c>
      <c r="B40" t="s">
        <v>15</v>
      </c>
      <c r="C40" t="s">
        <v>21</v>
      </c>
      <c r="D40" t="s">
        <v>13</v>
      </c>
      <c r="E40" t="s">
        <v>14</v>
      </c>
      <c r="H40">
        <v>700</v>
      </c>
      <c r="J40">
        <v>0</v>
      </c>
      <c r="K40">
        <v>700</v>
      </c>
      <c r="L40">
        <v>490</v>
      </c>
      <c r="M40" s="9" t="s">
        <v>21</v>
      </c>
      <c r="N40" s="9" t="s">
        <v>15</v>
      </c>
    </row>
    <row r="41" spans="1:14">
      <c r="A41" t="s">
        <v>272</v>
      </c>
      <c r="B41" t="s">
        <v>15</v>
      </c>
      <c r="C41" t="s">
        <v>21</v>
      </c>
      <c r="D41" t="s">
        <v>13</v>
      </c>
      <c r="E41" t="s">
        <v>16</v>
      </c>
      <c r="F41">
        <v>5</v>
      </c>
      <c r="G41">
        <v>100</v>
      </c>
      <c r="H41">
        <v>500</v>
      </c>
      <c r="I41">
        <v>0</v>
      </c>
      <c r="J41">
        <v>0</v>
      </c>
      <c r="K41">
        <v>500</v>
      </c>
      <c r="L41">
        <v>350</v>
      </c>
      <c r="M41" s="9" t="s">
        <v>21</v>
      </c>
      <c r="N41" s="9" t="s">
        <v>15</v>
      </c>
    </row>
    <row r="42" spans="1:14">
      <c r="A42" t="s">
        <v>157</v>
      </c>
      <c r="B42" t="s">
        <v>15</v>
      </c>
      <c r="C42" t="s">
        <v>21</v>
      </c>
      <c r="D42" t="s">
        <v>13</v>
      </c>
      <c r="E42" t="s">
        <v>14</v>
      </c>
      <c r="H42">
        <v>900</v>
      </c>
      <c r="J42">
        <v>0</v>
      </c>
      <c r="K42">
        <v>900</v>
      </c>
      <c r="L42">
        <v>630</v>
      </c>
      <c r="M42" s="9" t="s">
        <v>21</v>
      </c>
      <c r="N42" s="9" t="s">
        <v>15</v>
      </c>
    </row>
    <row r="43" spans="1:14">
      <c r="A43" t="s">
        <v>156</v>
      </c>
      <c r="B43" t="s">
        <v>15</v>
      </c>
      <c r="C43" t="s">
        <v>21</v>
      </c>
      <c r="D43" t="s">
        <v>13</v>
      </c>
      <c r="E43" t="s">
        <v>14</v>
      </c>
      <c r="H43">
        <v>900</v>
      </c>
      <c r="J43">
        <v>0</v>
      </c>
      <c r="K43">
        <v>900</v>
      </c>
      <c r="L43">
        <v>630</v>
      </c>
      <c r="M43" s="9" t="s">
        <v>21</v>
      </c>
      <c r="N43" s="9" t="s">
        <v>15</v>
      </c>
    </row>
    <row r="44" spans="1:14">
      <c r="A44" t="s">
        <v>158</v>
      </c>
      <c r="B44" t="s">
        <v>15</v>
      </c>
      <c r="C44" t="s">
        <v>21</v>
      </c>
      <c r="D44" t="s">
        <v>13</v>
      </c>
      <c r="E44" t="s">
        <v>14</v>
      </c>
      <c r="H44">
        <v>900</v>
      </c>
      <c r="J44">
        <v>0</v>
      </c>
      <c r="K44">
        <v>900</v>
      </c>
      <c r="L44">
        <v>630</v>
      </c>
      <c r="M44" s="9" t="s">
        <v>21</v>
      </c>
      <c r="N44" s="9" t="s">
        <v>15</v>
      </c>
    </row>
    <row r="45" spans="1:14">
      <c r="A45" t="s">
        <v>159</v>
      </c>
      <c r="B45" t="s">
        <v>15</v>
      </c>
      <c r="C45" t="s">
        <v>21</v>
      </c>
      <c r="D45" t="s">
        <v>13</v>
      </c>
      <c r="E45" t="s">
        <v>14</v>
      </c>
      <c r="H45">
        <v>900</v>
      </c>
      <c r="J45">
        <v>0</v>
      </c>
      <c r="K45">
        <v>900</v>
      </c>
      <c r="L45">
        <v>630</v>
      </c>
      <c r="M45" s="9" t="s">
        <v>21</v>
      </c>
      <c r="N45" s="9" t="s">
        <v>15</v>
      </c>
    </row>
    <row r="46" spans="1:14">
      <c r="A46" t="s">
        <v>161</v>
      </c>
      <c r="B46" t="s">
        <v>15</v>
      </c>
      <c r="C46" t="s">
        <v>21</v>
      </c>
      <c r="D46" t="s">
        <v>13</v>
      </c>
      <c r="E46" t="s">
        <v>14</v>
      </c>
      <c r="H46">
        <v>900</v>
      </c>
      <c r="J46">
        <v>0</v>
      </c>
      <c r="K46">
        <v>900</v>
      </c>
      <c r="L46">
        <v>630</v>
      </c>
      <c r="M46" s="9" t="s">
        <v>21</v>
      </c>
      <c r="N46" s="9" t="s">
        <v>15</v>
      </c>
    </row>
    <row r="47" spans="1:14">
      <c r="A47" t="s">
        <v>160</v>
      </c>
      <c r="B47" t="s">
        <v>15</v>
      </c>
      <c r="C47" t="s">
        <v>21</v>
      </c>
      <c r="D47" t="s">
        <v>13</v>
      </c>
      <c r="E47" t="s">
        <v>14</v>
      </c>
      <c r="H47">
        <v>900</v>
      </c>
      <c r="J47">
        <v>0</v>
      </c>
      <c r="K47">
        <v>900</v>
      </c>
      <c r="L47">
        <v>630</v>
      </c>
      <c r="M47" s="9" t="s">
        <v>21</v>
      </c>
      <c r="N47" s="9" t="s">
        <v>15</v>
      </c>
    </row>
    <row r="48" spans="1:14">
      <c r="A48" t="s">
        <v>162</v>
      </c>
      <c r="B48" t="s">
        <v>15</v>
      </c>
      <c r="C48" t="s">
        <v>21</v>
      </c>
      <c r="D48" t="s">
        <v>13</v>
      </c>
      <c r="E48" t="s">
        <v>14</v>
      </c>
      <c r="H48">
        <v>900</v>
      </c>
      <c r="J48">
        <v>0</v>
      </c>
      <c r="K48">
        <v>900</v>
      </c>
      <c r="L48">
        <v>630</v>
      </c>
      <c r="M48" s="9" t="s">
        <v>21</v>
      </c>
      <c r="N48" s="9" t="s">
        <v>15</v>
      </c>
    </row>
    <row r="49" spans="1:14">
      <c r="A49" t="s">
        <v>163</v>
      </c>
      <c r="B49" t="s">
        <v>15</v>
      </c>
      <c r="C49" t="s">
        <v>21</v>
      </c>
      <c r="D49" t="s">
        <v>13</v>
      </c>
      <c r="E49" t="s">
        <v>14</v>
      </c>
      <c r="H49">
        <v>900</v>
      </c>
      <c r="J49">
        <v>0</v>
      </c>
      <c r="K49">
        <v>900</v>
      </c>
      <c r="L49">
        <v>630</v>
      </c>
      <c r="M49" s="9" t="s">
        <v>21</v>
      </c>
      <c r="N49" s="9" t="s">
        <v>15</v>
      </c>
    </row>
    <row r="50" spans="1:14">
      <c r="A50" t="s">
        <v>284</v>
      </c>
      <c r="B50" t="s">
        <v>15</v>
      </c>
      <c r="C50" t="s">
        <v>21</v>
      </c>
      <c r="D50" t="s">
        <v>13</v>
      </c>
      <c r="E50" t="s">
        <v>14</v>
      </c>
      <c r="H50">
        <v>900</v>
      </c>
      <c r="J50">
        <v>0</v>
      </c>
      <c r="K50">
        <v>900</v>
      </c>
      <c r="L50">
        <v>630</v>
      </c>
      <c r="M50" s="9" t="s">
        <v>21</v>
      </c>
      <c r="N50" s="9" t="s">
        <v>15</v>
      </c>
    </row>
    <row r="51" spans="1:14">
      <c r="A51" t="s">
        <v>164</v>
      </c>
      <c r="B51" t="s">
        <v>15</v>
      </c>
      <c r="C51" t="s">
        <v>21</v>
      </c>
      <c r="D51" t="s">
        <v>13</v>
      </c>
      <c r="E51" t="s">
        <v>14</v>
      </c>
      <c r="H51">
        <v>900</v>
      </c>
      <c r="J51">
        <v>0</v>
      </c>
      <c r="K51">
        <v>900</v>
      </c>
      <c r="L51">
        <v>630</v>
      </c>
      <c r="M51" s="9" t="s">
        <v>21</v>
      </c>
      <c r="N51" s="9" t="s">
        <v>15</v>
      </c>
    </row>
    <row r="52" spans="1:14">
      <c r="A52" t="s">
        <v>285</v>
      </c>
      <c r="B52" t="s">
        <v>15</v>
      </c>
      <c r="C52" t="s">
        <v>21</v>
      </c>
      <c r="D52" t="s">
        <v>13</v>
      </c>
      <c r="E52" t="s">
        <v>14</v>
      </c>
      <c r="H52">
        <v>900</v>
      </c>
      <c r="J52">
        <v>0</v>
      </c>
      <c r="K52">
        <v>900</v>
      </c>
      <c r="L52">
        <v>630</v>
      </c>
      <c r="M52" s="9" t="s">
        <v>21</v>
      </c>
      <c r="N52" s="9" t="s">
        <v>15</v>
      </c>
    </row>
    <row r="53" spans="1:14">
      <c r="A53" t="s">
        <v>165</v>
      </c>
      <c r="B53" t="s">
        <v>15</v>
      </c>
      <c r="C53" t="s">
        <v>21</v>
      </c>
      <c r="D53" t="s">
        <v>13</v>
      </c>
      <c r="E53" t="s">
        <v>14</v>
      </c>
      <c r="H53">
        <v>900</v>
      </c>
      <c r="J53">
        <v>0</v>
      </c>
      <c r="K53">
        <v>900</v>
      </c>
      <c r="L53">
        <v>630</v>
      </c>
      <c r="M53" s="9" t="s">
        <v>21</v>
      </c>
      <c r="N53" s="9" t="s">
        <v>15</v>
      </c>
    </row>
    <row r="54" spans="1:14">
      <c r="A54" t="s">
        <v>286</v>
      </c>
      <c r="B54" t="s">
        <v>15</v>
      </c>
      <c r="C54" t="s">
        <v>21</v>
      </c>
      <c r="D54" t="s">
        <v>13</v>
      </c>
      <c r="E54" t="s">
        <v>14</v>
      </c>
      <c r="H54">
        <v>900</v>
      </c>
      <c r="J54">
        <v>0</v>
      </c>
      <c r="K54">
        <v>900</v>
      </c>
      <c r="L54">
        <v>630</v>
      </c>
      <c r="M54" s="9" t="s">
        <v>21</v>
      </c>
      <c r="N54" s="9" t="s">
        <v>15</v>
      </c>
    </row>
    <row r="55" spans="1:14">
      <c r="A55" t="s">
        <v>166</v>
      </c>
      <c r="B55" t="s">
        <v>15</v>
      </c>
      <c r="C55" t="s">
        <v>21</v>
      </c>
      <c r="D55" t="s">
        <v>13</v>
      </c>
      <c r="E55" t="s">
        <v>14</v>
      </c>
      <c r="H55">
        <v>900</v>
      </c>
      <c r="J55">
        <v>0</v>
      </c>
      <c r="K55">
        <v>900</v>
      </c>
      <c r="L55">
        <v>630</v>
      </c>
      <c r="M55" s="9" t="s">
        <v>21</v>
      </c>
      <c r="N55" s="9" t="s">
        <v>15</v>
      </c>
    </row>
    <row r="56" spans="1:14">
      <c r="A56" t="s">
        <v>167</v>
      </c>
      <c r="B56" t="s">
        <v>15</v>
      </c>
      <c r="C56" t="s">
        <v>21</v>
      </c>
      <c r="D56" t="s">
        <v>13</v>
      </c>
      <c r="E56" t="s">
        <v>14</v>
      </c>
      <c r="H56">
        <v>900</v>
      </c>
      <c r="J56">
        <v>0</v>
      </c>
      <c r="K56">
        <v>900</v>
      </c>
      <c r="L56">
        <v>630</v>
      </c>
      <c r="M56" s="9" t="s">
        <v>21</v>
      </c>
      <c r="N56" s="9" t="s">
        <v>15</v>
      </c>
    </row>
    <row r="57" spans="1:14">
      <c r="A57" t="s">
        <v>168</v>
      </c>
      <c r="B57" t="s">
        <v>15</v>
      </c>
      <c r="C57" t="s">
        <v>21</v>
      </c>
      <c r="D57" t="s">
        <v>13</v>
      </c>
      <c r="E57" t="s">
        <v>14</v>
      </c>
      <c r="H57">
        <v>900</v>
      </c>
      <c r="J57">
        <v>0</v>
      </c>
      <c r="K57">
        <v>900</v>
      </c>
      <c r="L57">
        <v>630</v>
      </c>
      <c r="M57" s="9" t="s">
        <v>21</v>
      </c>
      <c r="N57" s="9" t="s">
        <v>15</v>
      </c>
    </row>
    <row r="58" spans="1:14">
      <c r="A58" t="s">
        <v>170</v>
      </c>
      <c r="B58" t="s">
        <v>15</v>
      </c>
      <c r="C58" t="s">
        <v>21</v>
      </c>
      <c r="D58" t="s">
        <v>13</v>
      </c>
      <c r="E58" t="s">
        <v>14</v>
      </c>
      <c r="H58">
        <v>900</v>
      </c>
      <c r="J58">
        <v>0</v>
      </c>
      <c r="K58">
        <v>900</v>
      </c>
      <c r="L58">
        <v>630</v>
      </c>
      <c r="M58" s="9" t="s">
        <v>21</v>
      </c>
      <c r="N58" s="9" t="s">
        <v>15</v>
      </c>
    </row>
    <row r="59" spans="1:14">
      <c r="A59" t="s">
        <v>169</v>
      </c>
      <c r="B59" t="s">
        <v>15</v>
      </c>
      <c r="C59" t="s">
        <v>21</v>
      </c>
      <c r="D59" t="s">
        <v>13</v>
      </c>
      <c r="E59" t="s">
        <v>14</v>
      </c>
      <c r="H59">
        <v>900</v>
      </c>
      <c r="J59">
        <v>0</v>
      </c>
      <c r="K59">
        <v>900</v>
      </c>
      <c r="L59">
        <v>630</v>
      </c>
      <c r="M59" s="9" t="s">
        <v>21</v>
      </c>
      <c r="N59" s="9" t="s">
        <v>15</v>
      </c>
    </row>
    <row r="60" spans="1:14">
      <c r="A60" t="s">
        <v>171</v>
      </c>
      <c r="B60" t="s">
        <v>15</v>
      </c>
      <c r="C60" t="s">
        <v>21</v>
      </c>
      <c r="D60" t="s">
        <v>13</v>
      </c>
      <c r="E60" t="s">
        <v>14</v>
      </c>
      <c r="H60">
        <v>900</v>
      </c>
      <c r="J60">
        <v>0</v>
      </c>
      <c r="K60">
        <v>900</v>
      </c>
      <c r="L60">
        <v>630</v>
      </c>
      <c r="M60" s="9" t="s">
        <v>21</v>
      </c>
      <c r="N60" s="9" t="s">
        <v>15</v>
      </c>
    </row>
    <row r="61" spans="1:14">
      <c r="A61" t="s">
        <v>172</v>
      </c>
      <c r="B61" t="s">
        <v>15</v>
      </c>
      <c r="C61" t="s">
        <v>21</v>
      </c>
      <c r="D61" t="s">
        <v>13</v>
      </c>
      <c r="E61" t="s">
        <v>14</v>
      </c>
      <c r="H61">
        <v>900</v>
      </c>
      <c r="J61">
        <v>0</v>
      </c>
      <c r="K61">
        <v>900</v>
      </c>
      <c r="L61">
        <v>630</v>
      </c>
      <c r="M61" s="9" t="s">
        <v>21</v>
      </c>
      <c r="N61" s="9" t="s">
        <v>15</v>
      </c>
    </row>
    <row r="62" spans="1:14">
      <c r="A62" t="s">
        <v>174</v>
      </c>
      <c r="B62" t="s">
        <v>15</v>
      </c>
      <c r="C62" t="s">
        <v>21</v>
      </c>
      <c r="D62" t="s">
        <v>13</v>
      </c>
      <c r="E62" t="s">
        <v>14</v>
      </c>
      <c r="H62">
        <v>900</v>
      </c>
      <c r="J62">
        <v>0</v>
      </c>
      <c r="K62">
        <v>900</v>
      </c>
      <c r="L62">
        <v>630</v>
      </c>
      <c r="M62" s="9" t="s">
        <v>21</v>
      </c>
      <c r="N62" s="9" t="s">
        <v>15</v>
      </c>
    </row>
    <row r="63" spans="1:14">
      <c r="A63" t="s">
        <v>173</v>
      </c>
      <c r="B63" t="s">
        <v>15</v>
      </c>
      <c r="C63" t="s">
        <v>21</v>
      </c>
      <c r="D63" t="s">
        <v>13</v>
      </c>
      <c r="E63" t="s">
        <v>14</v>
      </c>
      <c r="H63">
        <v>900</v>
      </c>
      <c r="J63">
        <v>0</v>
      </c>
      <c r="K63">
        <v>900</v>
      </c>
      <c r="L63">
        <v>630</v>
      </c>
      <c r="M63" s="9" t="s">
        <v>21</v>
      </c>
      <c r="N63" s="9" t="s">
        <v>15</v>
      </c>
    </row>
    <row r="64" spans="1:14">
      <c r="A64" t="s">
        <v>175</v>
      </c>
      <c r="B64" t="s">
        <v>15</v>
      </c>
      <c r="C64" t="s">
        <v>21</v>
      </c>
      <c r="D64" t="s">
        <v>13</v>
      </c>
      <c r="E64" t="s">
        <v>14</v>
      </c>
      <c r="H64">
        <v>900</v>
      </c>
      <c r="J64">
        <v>0</v>
      </c>
      <c r="K64">
        <v>900</v>
      </c>
      <c r="L64">
        <v>630</v>
      </c>
      <c r="M64" s="9" t="s">
        <v>21</v>
      </c>
      <c r="N64" s="9" t="s">
        <v>15</v>
      </c>
    </row>
    <row r="65" spans="1:14">
      <c r="A65" t="s">
        <v>176</v>
      </c>
      <c r="B65" t="s">
        <v>15</v>
      </c>
      <c r="C65" t="s">
        <v>21</v>
      </c>
      <c r="D65" t="s">
        <v>13</v>
      </c>
      <c r="E65" t="s">
        <v>14</v>
      </c>
      <c r="H65">
        <v>900</v>
      </c>
      <c r="J65">
        <v>0</v>
      </c>
      <c r="K65">
        <v>900</v>
      </c>
      <c r="L65">
        <v>630</v>
      </c>
      <c r="M65" s="9" t="s">
        <v>21</v>
      </c>
      <c r="N65" s="9" t="s">
        <v>15</v>
      </c>
    </row>
    <row r="66" spans="1:14">
      <c r="A66" t="s">
        <v>178</v>
      </c>
      <c r="B66" t="s">
        <v>15</v>
      </c>
      <c r="C66" t="s">
        <v>21</v>
      </c>
      <c r="D66" t="s">
        <v>13</v>
      </c>
      <c r="E66" t="s">
        <v>14</v>
      </c>
      <c r="H66">
        <v>900</v>
      </c>
      <c r="J66">
        <v>0</v>
      </c>
      <c r="K66">
        <v>900</v>
      </c>
      <c r="L66">
        <v>630</v>
      </c>
      <c r="M66" s="9" t="s">
        <v>21</v>
      </c>
      <c r="N66" s="9" t="s">
        <v>15</v>
      </c>
    </row>
    <row r="67" spans="1:14">
      <c r="A67" t="s">
        <v>177</v>
      </c>
      <c r="B67" t="s">
        <v>15</v>
      </c>
      <c r="C67" t="s">
        <v>21</v>
      </c>
      <c r="D67" t="s">
        <v>13</v>
      </c>
      <c r="E67" t="s">
        <v>14</v>
      </c>
      <c r="H67">
        <v>900</v>
      </c>
      <c r="J67">
        <v>0</v>
      </c>
      <c r="K67">
        <v>900</v>
      </c>
      <c r="L67">
        <v>630</v>
      </c>
      <c r="M67" s="9" t="s">
        <v>21</v>
      </c>
      <c r="N67" s="9" t="s">
        <v>15</v>
      </c>
    </row>
    <row r="68" spans="1:14">
      <c r="A68" t="s">
        <v>179</v>
      </c>
      <c r="B68" t="s">
        <v>15</v>
      </c>
      <c r="C68" t="s">
        <v>21</v>
      </c>
      <c r="D68" t="s">
        <v>13</v>
      </c>
      <c r="E68" t="s">
        <v>14</v>
      </c>
      <c r="H68">
        <v>900</v>
      </c>
      <c r="J68">
        <v>0</v>
      </c>
      <c r="K68">
        <v>900</v>
      </c>
      <c r="L68">
        <v>630</v>
      </c>
      <c r="M68" s="9" t="s">
        <v>21</v>
      </c>
      <c r="N68" s="9" t="s">
        <v>15</v>
      </c>
    </row>
    <row r="69" spans="1:14">
      <c r="A69" t="s">
        <v>180</v>
      </c>
      <c r="B69" t="s">
        <v>15</v>
      </c>
      <c r="C69" t="s">
        <v>21</v>
      </c>
      <c r="D69" t="s">
        <v>13</v>
      </c>
      <c r="E69" t="s">
        <v>14</v>
      </c>
      <c r="H69">
        <v>900</v>
      </c>
      <c r="J69">
        <v>0</v>
      </c>
      <c r="K69">
        <v>900</v>
      </c>
      <c r="L69">
        <v>630</v>
      </c>
      <c r="M69" s="9" t="s">
        <v>21</v>
      </c>
      <c r="N69" s="9" t="s">
        <v>15</v>
      </c>
    </row>
    <row r="70" spans="1:14">
      <c r="A70" t="s">
        <v>114</v>
      </c>
      <c r="B70" t="s">
        <v>15</v>
      </c>
      <c r="C70" t="s">
        <v>21</v>
      </c>
      <c r="D70" t="s">
        <v>13</v>
      </c>
      <c r="E70" t="s">
        <v>14</v>
      </c>
      <c r="H70">
        <v>900</v>
      </c>
      <c r="J70">
        <v>0</v>
      </c>
      <c r="K70">
        <v>900</v>
      </c>
      <c r="L70">
        <v>630</v>
      </c>
      <c r="M70" s="9" t="s">
        <v>21</v>
      </c>
      <c r="N70" s="9" t="s">
        <v>15</v>
      </c>
    </row>
    <row r="71" spans="1:14">
      <c r="A71" t="s">
        <v>115</v>
      </c>
      <c r="B71" t="s">
        <v>15</v>
      </c>
      <c r="C71" t="s">
        <v>21</v>
      </c>
      <c r="D71" t="s">
        <v>13</v>
      </c>
      <c r="E71" t="s">
        <v>14</v>
      </c>
      <c r="H71">
        <v>900</v>
      </c>
      <c r="J71">
        <v>0</v>
      </c>
      <c r="K71">
        <v>900</v>
      </c>
      <c r="L71">
        <v>630</v>
      </c>
      <c r="M71" s="9" t="s">
        <v>21</v>
      </c>
      <c r="N71" s="9" t="s">
        <v>15</v>
      </c>
    </row>
    <row r="72" spans="1:14">
      <c r="A72" t="s">
        <v>116</v>
      </c>
      <c r="B72" t="s">
        <v>15</v>
      </c>
      <c r="C72" t="s">
        <v>21</v>
      </c>
      <c r="D72" t="s">
        <v>13</v>
      </c>
      <c r="E72" t="s">
        <v>14</v>
      </c>
      <c r="H72">
        <v>1800</v>
      </c>
      <c r="J72">
        <v>0</v>
      </c>
      <c r="K72">
        <v>1800</v>
      </c>
      <c r="L72">
        <v>1260</v>
      </c>
      <c r="M72" s="9" t="s">
        <v>21</v>
      </c>
      <c r="N72" s="9" t="s">
        <v>15</v>
      </c>
    </row>
    <row r="73" spans="1:14">
      <c r="A73" t="s">
        <v>117</v>
      </c>
      <c r="B73" t="s">
        <v>15</v>
      </c>
      <c r="C73" t="s">
        <v>21</v>
      </c>
      <c r="D73" t="s">
        <v>13</v>
      </c>
      <c r="E73" t="s">
        <v>14</v>
      </c>
      <c r="H73">
        <v>900</v>
      </c>
      <c r="J73">
        <v>0</v>
      </c>
      <c r="K73">
        <v>900</v>
      </c>
      <c r="L73">
        <v>630</v>
      </c>
      <c r="M73" s="9" t="s">
        <v>21</v>
      </c>
      <c r="N73" s="9" t="s">
        <v>15</v>
      </c>
    </row>
    <row r="74" spans="1:14">
      <c r="A74" t="s">
        <v>118</v>
      </c>
      <c r="B74" t="s">
        <v>15</v>
      </c>
      <c r="C74" t="s">
        <v>21</v>
      </c>
      <c r="D74" t="s">
        <v>13</v>
      </c>
      <c r="E74" t="s">
        <v>14</v>
      </c>
      <c r="H74">
        <v>900</v>
      </c>
      <c r="J74">
        <v>0</v>
      </c>
      <c r="K74">
        <v>900</v>
      </c>
      <c r="L74">
        <v>630</v>
      </c>
      <c r="M74" s="9" t="s">
        <v>21</v>
      </c>
      <c r="N74" s="9" t="s">
        <v>15</v>
      </c>
    </row>
    <row r="75" spans="1:14">
      <c r="A75" t="s">
        <v>119</v>
      </c>
      <c r="B75" t="s">
        <v>15</v>
      </c>
      <c r="C75" t="s">
        <v>21</v>
      </c>
      <c r="D75" t="s">
        <v>13</v>
      </c>
      <c r="E75" t="s">
        <v>14</v>
      </c>
      <c r="H75">
        <v>900</v>
      </c>
      <c r="J75">
        <v>0</v>
      </c>
      <c r="K75">
        <v>900</v>
      </c>
      <c r="L75">
        <v>630</v>
      </c>
      <c r="M75" s="9" t="s">
        <v>21</v>
      </c>
      <c r="N75" s="9" t="s">
        <v>15</v>
      </c>
    </row>
    <row r="76" spans="1:14">
      <c r="A76" t="s">
        <v>120</v>
      </c>
      <c r="B76" t="s">
        <v>15</v>
      </c>
      <c r="C76" t="s">
        <v>21</v>
      </c>
      <c r="D76" t="s">
        <v>13</v>
      </c>
      <c r="E76" t="s">
        <v>14</v>
      </c>
      <c r="H76">
        <v>900</v>
      </c>
      <c r="J76">
        <v>0</v>
      </c>
      <c r="K76">
        <v>900</v>
      </c>
      <c r="L76">
        <v>630</v>
      </c>
      <c r="M76" s="9" t="s">
        <v>21</v>
      </c>
      <c r="N76" s="9" t="s">
        <v>15</v>
      </c>
    </row>
    <row r="77" spans="1:14">
      <c r="A77" t="s">
        <v>121</v>
      </c>
      <c r="B77" t="s">
        <v>15</v>
      </c>
      <c r="C77" t="s">
        <v>21</v>
      </c>
      <c r="D77" t="s">
        <v>13</v>
      </c>
      <c r="E77" t="s">
        <v>14</v>
      </c>
      <c r="H77">
        <v>900</v>
      </c>
      <c r="J77">
        <v>0</v>
      </c>
      <c r="K77">
        <v>900</v>
      </c>
      <c r="L77">
        <v>630</v>
      </c>
      <c r="M77" s="9" t="s">
        <v>21</v>
      </c>
      <c r="N77" s="9" t="s">
        <v>15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N18"/>
  <sheetViews>
    <sheetView workbookViewId="0"/>
  </sheetViews>
  <sheetFormatPr defaultRowHeight="17.399999999999999"/>
  <cols>
    <col min="1" max="1" width="22.796875" bestFit="1" customWidth="1"/>
    <col min="2" max="2" width="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214</v>
      </c>
      <c r="B2" t="s">
        <v>17</v>
      </c>
      <c r="C2" t="s">
        <v>21</v>
      </c>
      <c r="D2" t="s">
        <v>13</v>
      </c>
      <c r="E2" t="s">
        <v>16</v>
      </c>
      <c r="F2">
        <v>3</v>
      </c>
      <c r="G2">
        <v>100</v>
      </c>
      <c r="H2">
        <v>300</v>
      </c>
      <c r="I2">
        <v>0</v>
      </c>
      <c r="J2">
        <v>0</v>
      </c>
      <c r="K2">
        <v>300</v>
      </c>
      <c r="L2">
        <v>210</v>
      </c>
      <c r="M2" s="9" t="s">
        <v>21</v>
      </c>
      <c r="N2" s="9" t="s">
        <v>17</v>
      </c>
    </row>
    <row r="3" spans="1:14">
      <c r="A3" t="s">
        <v>289</v>
      </c>
      <c r="B3" t="s">
        <v>17</v>
      </c>
      <c r="C3" t="s">
        <v>21</v>
      </c>
      <c r="D3" t="s">
        <v>13</v>
      </c>
      <c r="E3" t="s">
        <v>14</v>
      </c>
      <c r="H3">
        <v>900</v>
      </c>
      <c r="J3">
        <v>0</v>
      </c>
      <c r="K3">
        <v>900</v>
      </c>
      <c r="L3">
        <v>630</v>
      </c>
      <c r="M3" s="9" t="s">
        <v>21</v>
      </c>
      <c r="N3" s="9" t="s">
        <v>17</v>
      </c>
    </row>
    <row r="4" spans="1:14">
      <c r="A4" t="s">
        <v>290</v>
      </c>
      <c r="B4" t="s">
        <v>17</v>
      </c>
      <c r="C4" t="s">
        <v>21</v>
      </c>
      <c r="D4" t="s">
        <v>13</v>
      </c>
      <c r="E4" t="s">
        <v>14</v>
      </c>
      <c r="H4">
        <v>900</v>
      </c>
      <c r="J4">
        <v>0</v>
      </c>
      <c r="K4">
        <v>900</v>
      </c>
      <c r="L4">
        <v>630</v>
      </c>
      <c r="M4" s="9" t="s">
        <v>21</v>
      </c>
      <c r="N4" s="9" t="s">
        <v>17</v>
      </c>
    </row>
    <row r="5" spans="1:14">
      <c r="A5" t="s">
        <v>291</v>
      </c>
      <c r="B5" t="s">
        <v>17</v>
      </c>
      <c r="C5" t="s">
        <v>21</v>
      </c>
      <c r="D5" t="s">
        <v>13</v>
      </c>
      <c r="E5" t="s">
        <v>14</v>
      </c>
      <c r="H5">
        <v>900</v>
      </c>
      <c r="J5">
        <v>0</v>
      </c>
      <c r="K5">
        <v>900</v>
      </c>
      <c r="L5">
        <v>630</v>
      </c>
      <c r="M5" s="9" t="s">
        <v>21</v>
      </c>
      <c r="N5" s="9" t="s">
        <v>17</v>
      </c>
    </row>
    <row r="6" spans="1:14">
      <c r="A6" t="s">
        <v>292</v>
      </c>
      <c r="B6" t="s">
        <v>17</v>
      </c>
      <c r="C6" t="s">
        <v>21</v>
      </c>
      <c r="D6" t="s">
        <v>13</v>
      </c>
      <c r="E6" t="s">
        <v>14</v>
      </c>
      <c r="H6">
        <v>900</v>
      </c>
      <c r="J6">
        <v>0</v>
      </c>
      <c r="K6">
        <v>900</v>
      </c>
      <c r="L6">
        <v>630</v>
      </c>
      <c r="M6" s="9" t="s">
        <v>21</v>
      </c>
      <c r="N6" s="9" t="s">
        <v>17</v>
      </c>
    </row>
    <row r="7" spans="1:14">
      <c r="A7" t="s">
        <v>293</v>
      </c>
      <c r="B7" t="s">
        <v>17</v>
      </c>
      <c r="C7" t="s">
        <v>21</v>
      </c>
      <c r="D7" t="s">
        <v>13</v>
      </c>
      <c r="E7" t="s">
        <v>14</v>
      </c>
      <c r="H7">
        <v>900</v>
      </c>
      <c r="J7">
        <v>0</v>
      </c>
      <c r="K7">
        <v>900</v>
      </c>
      <c r="L7">
        <v>630</v>
      </c>
      <c r="M7" s="9" t="s">
        <v>21</v>
      </c>
      <c r="N7" s="9" t="s">
        <v>17</v>
      </c>
    </row>
    <row r="8" spans="1:14">
      <c r="A8" t="s">
        <v>294</v>
      </c>
      <c r="B8" t="s">
        <v>17</v>
      </c>
      <c r="C8" t="s">
        <v>21</v>
      </c>
      <c r="D8" t="s">
        <v>13</v>
      </c>
      <c r="E8" t="s">
        <v>14</v>
      </c>
      <c r="H8">
        <v>900</v>
      </c>
      <c r="J8">
        <v>0</v>
      </c>
      <c r="K8">
        <v>900</v>
      </c>
      <c r="L8">
        <v>630</v>
      </c>
      <c r="M8" s="9" t="s">
        <v>21</v>
      </c>
      <c r="N8" s="9" t="s">
        <v>17</v>
      </c>
    </row>
    <row r="9" spans="1:14">
      <c r="A9" t="s">
        <v>295</v>
      </c>
      <c r="B9" t="s">
        <v>17</v>
      </c>
      <c r="C9" t="s">
        <v>21</v>
      </c>
      <c r="D9" t="s">
        <v>13</v>
      </c>
      <c r="E9" t="s">
        <v>14</v>
      </c>
      <c r="H9">
        <v>900</v>
      </c>
      <c r="J9">
        <v>0</v>
      </c>
      <c r="K9">
        <v>900</v>
      </c>
      <c r="L9">
        <v>630</v>
      </c>
      <c r="M9" s="9" t="s">
        <v>21</v>
      </c>
      <c r="N9" s="9" t="s">
        <v>17</v>
      </c>
    </row>
    <row r="10" spans="1:14">
      <c r="A10" t="s">
        <v>296</v>
      </c>
      <c r="B10" t="s">
        <v>17</v>
      </c>
      <c r="C10" t="s">
        <v>21</v>
      </c>
      <c r="D10" t="s">
        <v>13</v>
      </c>
      <c r="E10" t="s">
        <v>14</v>
      </c>
      <c r="H10">
        <v>900</v>
      </c>
      <c r="J10">
        <v>0</v>
      </c>
      <c r="K10">
        <v>900</v>
      </c>
      <c r="L10">
        <v>630</v>
      </c>
      <c r="M10" s="9" t="s">
        <v>21</v>
      </c>
      <c r="N10" s="9" t="s">
        <v>17</v>
      </c>
    </row>
    <row r="11" spans="1:14">
      <c r="A11" t="s">
        <v>297</v>
      </c>
      <c r="B11" t="s">
        <v>17</v>
      </c>
      <c r="C11" t="s">
        <v>21</v>
      </c>
      <c r="D11" t="s">
        <v>13</v>
      </c>
      <c r="E11" t="s">
        <v>14</v>
      </c>
      <c r="H11">
        <v>1800</v>
      </c>
      <c r="J11">
        <v>0</v>
      </c>
      <c r="K11">
        <v>1800</v>
      </c>
      <c r="L11">
        <v>1260</v>
      </c>
      <c r="M11" s="9" t="s">
        <v>21</v>
      </c>
      <c r="N11" s="9" t="s">
        <v>17</v>
      </c>
    </row>
    <row r="12" spans="1:14">
      <c r="A12" t="s">
        <v>298</v>
      </c>
      <c r="B12" t="s">
        <v>17</v>
      </c>
      <c r="C12" t="s">
        <v>21</v>
      </c>
      <c r="D12" t="s">
        <v>13</v>
      </c>
      <c r="E12" t="s">
        <v>14</v>
      </c>
      <c r="H12">
        <v>1800</v>
      </c>
      <c r="J12">
        <v>0</v>
      </c>
      <c r="K12">
        <v>1800</v>
      </c>
      <c r="L12">
        <v>1260</v>
      </c>
      <c r="M12" s="9" t="s">
        <v>21</v>
      </c>
      <c r="N12" s="9" t="s">
        <v>17</v>
      </c>
    </row>
    <row r="13" spans="1:14">
      <c r="A13" t="s">
        <v>299</v>
      </c>
      <c r="B13" t="s">
        <v>17</v>
      </c>
      <c r="C13" t="s">
        <v>21</v>
      </c>
      <c r="D13" t="s">
        <v>13</v>
      </c>
      <c r="E13" t="s">
        <v>14</v>
      </c>
      <c r="H13">
        <v>1800</v>
      </c>
      <c r="J13">
        <v>0</v>
      </c>
      <c r="K13">
        <v>1800</v>
      </c>
      <c r="L13">
        <v>1260</v>
      </c>
      <c r="M13" s="9" t="s">
        <v>21</v>
      </c>
      <c r="N13" s="9" t="s">
        <v>17</v>
      </c>
    </row>
    <row r="14" spans="1:14">
      <c r="A14" t="s">
        <v>300</v>
      </c>
      <c r="B14" t="s">
        <v>17</v>
      </c>
      <c r="C14" t="s">
        <v>21</v>
      </c>
      <c r="D14" t="s">
        <v>13</v>
      </c>
      <c r="E14" t="s">
        <v>14</v>
      </c>
      <c r="H14">
        <v>1800</v>
      </c>
      <c r="J14">
        <v>0</v>
      </c>
      <c r="K14">
        <v>1800</v>
      </c>
      <c r="L14">
        <v>1260</v>
      </c>
      <c r="M14" s="9" t="s">
        <v>21</v>
      </c>
      <c r="N14" s="9" t="s">
        <v>17</v>
      </c>
    </row>
    <row r="15" spans="1:14">
      <c r="A15" t="s">
        <v>301</v>
      </c>
      <c r="B15" t="s">
        <v>17</v>
      </c>
      <c r="C15" t="s">
        <v>21</v>
      </c>
      <c r="D15" t="s">
        <v>13</v>
      </c>
      <c r="E15" t="s">
        <v>14</v>
      </c>
      <c r="H15">
        <v>1800</v>
      </c>
      <c r="J15">
        <v>0</v>
      </c>
      <c r="K15">
        <v>1800</v>
      </c>
      <c r="L15">
        <v>1260</v>
      </c>
      <c r="M15" s="9" t="s">
        <v>21</v>
      </c>
      <c r="N15" s="9" t="s">
        <v>17</v>
      </c>
    </row>
    <row r="16" spans="1:14">
      <c r="A16" t="s">
        <v>302</v>
      </c>
      <c r="B16" t="s">
        <v>17</v>
      </c>
      <c r="C16" t="s">
        <v>21</v>
      </c>
      <c r="D16" t="s">
        <v>13</v>
      </c>
      <c r="E16" t="s">
        <v>14</v>
      </c>
      <c r="H16">
        <v>900</v>
      </c>
      <c r="J16">
        <v>0</v>
      </c>
      <c r="K16">
        <v>900</v>
      </c>
      <c r="L16">
        <v>630</v>
      </c>
      <c r="M16" s="9" t="s">
        <v>21</v>
      </c>
      <c r="N16" s="9" t="s">
        <v>17</v>
      </c>
    </row>
    <row r="17" spans="1:14">
      <c r="A17" t="s">
        <v>303</v>
      </c>
      <c r="B17" t="s">
        <v>17</v>
      </c>
      <c r="C17" t="s">
        <v>21</v>
      </c>
      <c r="D17" t="s">
        <v>13</v>
      </c>
      <c r="E17" t="s">
        <v>14</v>
      </c>
      <c r="H17">
        <v>900</v>
      </c>
      <c r="J17">
        <v>0</v>
      </c>
      <c r="K17">
        <v>900</v>
      </c>
      <c r="L17">
        <v>630</v>
      </c>
      <c r="M17" s="9" t="s">
        <v>21</v>
      </c>
      <c r="N17" s="9" t="s">
        <v>17</v>
      </c>
    </row>
    <row r="18" spans="1:14">
      <c r="A18" t="s">
        <v>304</v>
      </c>
      <c r="B18" t="s">
        <v>17</v>
      </c>
      <c r="C18" t="s">
        <v>21</v>
      </c>
      <c r="D18" t="s">
        <v>13</v>
      </c>
      <c r="E18" t="s">
        <v>14</v>
      </c>
      <c r="H18">
        <v>900</v>
      </c>
      <c r="J18">
        <v>0</v>
      </c>
      <c r="K18">
        <v>900</v>
      </c>
      <c r="L18">
        <v>630</v>
      </c>
      <c r="M18" s="9" t="s">
        <v>21</v>
      </c>
      <c r="N18" s="9" t="s">
        <v>17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9"/>
  <sheetViews>
    <sheetView workbookViewId="0"/>
  </sheetViews>
  <sheetFormatPr defaultRowHeight="17.399999999999999"/>
  <cols>
    <col min="1" max="1" width="20.3984375" bestFit="1" customWidth="1"/>
    <col min="2" max="2" width="5" bestFit="1" customWidth="1"/>
    <col min="3" max="3" width="10.3984375" bestFit="1" customWidth="1"/>
    <col min="4" max="4" width="6.796875" bestFit="1" customWidth="1"/>
    <col min="5" max="5" width="10.398437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97</v>
      </c>
      <c r="B2" t="s">
        <v>98</v>
      </c>
      <c r="C2" t="s">
        <v>21</v>
      </c>
      <c r="D2" t="s">
        <v>92</v>
      </c>
      <c r="E2" t="s">
        <v>227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1600</v>
      </c>
      <c r="M2" s="9" t="s">
        <v>21</v>
      </c>
      <c r="N2" s="9" t="s">
        <v>98</v>
      </c>
    </row>
    <row r="3" spans="1:14">
      <c r="A3" t="s">
        <v>99</v>
      </c>
      <c r="B3" t="s">
        <v>98</v>
      </c>
      <c r="C3" t="s">
        <v>21</v>
      </c>
      <c r="D3" t="s">
        <v>92</v>
      </c>
      <c r="E3" t="s">
        <v>227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1600</v>
      </c>
      <c r="M3" s="9" t="s">
        <v>21</v>
      </c>
      <c r="N3" s="9" t="s">
        <v>98</v>
      </c>
    </row>
    <row r="4" spans="1:14">
      <c r="A4" t="s">
        <v>100</v>
      </c>
      <c r="B4" t="s">
        <v>98</v>
      </c>
      <c r="C4" t="s">
        <v>21</v>
      </c>
      <c r="D4" t="s">
        <v>92</v>
      </c>
      <c r="E4" t="s">
        <v>227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1600</v>
      </c>
      <c r="M4" s="9" t="s">
        <v>21</v>
      </c>
      <c r="N4" s="9" t="s">
        <v>98</v>
      </c>
    </row>
    <row r="5" spans="1:14">
      <c r="A5" t="s">
        <v>101</v>
      </c>
      <c r="B5" t="s">
        <v>98</v>
      </c>
      <c r="C5" t="s">
        <v>21</v>
      </c>
      <c r="D5" t="s">
        <v>92</v>
      </c>
      <c r="E5" t="s">
        <v>227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1600</v>
      </c>
      <c r="M5" s="9" t="s">
        <v>21</v>
      </c>
      <c r="N5" s="9" t="s">
        <v>98</v>
      </c>
    </row>
    <row r="6" spans="1:14">
      <c r="A6" t="s">
        <v>102</v>
      </c>
      <c r="B6" t="s">
        <v>98</v>
      </c>
      <c r="C6" t="s">
        <v>21</v>
      </c>
      <c r="D6" t="s">
        <v>92</v>
      </c>
      <c r="E6" t="s">
        <v>227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1600</v>
      </c>
      <c r="M6" s="9" t="s">
        <v>21</v>
      </c>
      <c r="N6" s="9" t="s">
        <v>98</v>
      </c>
    </row>
    <row r="7" spans="1:14">
      <c r="A7" t="s">
        <v>103</v>
      </c>
      <c r="B7" t="s">
        <v>98</v>
      </c>
      <c r="C7" t="s">
        <v>21</v>
      </c>
      <c r="D7" t="s">
        <v>92</v>
      </c>
      <c r="E7" t="s">
        <v>227</v>
      </c>
      <c r="F7">
        <v>1</v>
      </c>
      <c r="G7">
        <v>3200</v>
      </c>
      <c r="H7">
        <v>3200</v>
      </c>
      <c r="I7">
        <v>0</v>
      </c>
      <c r="J7">
        <v>0</v>
      </c>
      <c r="K7">
        <v>3200</v>
      </c>
      <c r="L7">
        <v>1600</v>
      </c>
      <c r="M7" s="9" t="s">
        <v>21</v>
      </c>
      <c r="N7" s="9" t="s">
        <v>98</v>
      </c>
    </row>
    <row r="8" spans="1:14">
      <c r="A8" t="s">
        <v>104</v>
      </c>
      <c r="B8" t="s">
        <v>98</v>
      </c>
      <c r="C8" t="s">
        <v>21</v>
      </c>
      <c r="D8" t="s">
        <v>92</v>
      </c>
      <c r="E8" t="s">
        <v>227</v>
      </c>
      <c r="F8">
        <v>1</v>
      </c>
      <c r="G8">
        <v>3200</v>
      </c>
      <c r="H8">
        <v>3200</v>
      </c>
      <c r="I8">
        <v>0</v>
      </c>
      <c r="J8">
        <v>0</v>
      </c>
      <c r="K8">
        <v>3200</v>
      </c>
      <c r="L8">
        <v>1600</v>
      </c>
      <c r="M8" s="9" t="s">
        <v>21</v>
      </c>
      <c r="N8" s="9" t="s">
        <v>98</v>
      </c>
    </row>
    <row r="9" spans="1:14">
      <c r="A9" t="s">
        <v>228</v>
      </c>
      <c r="B9" t="s">
        <v>98</v>
      </c>
      <c r="C9" t="s">
        <v>21</v>
      </c>
      <c r="D9" t="s">
        <v>92</v>
      </c>
      <c r="E9" t="s">
        <v>227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1600</v>
      </c>
      <c r="M9" s="9" t="s">
        <v>21</v>
      </c>
      <c r="N9" s="9" t="s">
        <v>98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20"/>
  <sheetViews>
    <sheetView workbookViewId="0"/>
  </sheetViews>
  <sheetFormatPr defaultRowHeight="17.399999999999999"/>
  <cols>
    <col min="1" max="1" width="17" bestFit="1" customWidth="1"/>
    <col min="2" max="2" width="6.79687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248</v>
      </c>
      <c r="B2" t="s">
        <v>52</v>
      </c>
      <c r="C2" t="s">
        <v>21</v>
      </c>
      <c r="D2" t="s">
        <v>13</v>
      </c>
      <c r="E2" t="s">
        <v>14</v>
      </c>
      <c r="H2">
        <v>1800</v>
      </c>
      <c r="J2">
        <v>0</v>
      </c>
      <c r="K2">
        <v>1800</v>
      </c>
      <c r="L2">
        <v>1260</v>
      </c>
      <c r="M2" s="9" t="s">
        <v>21</v>
      </c>
      <c r="N2" s="9" t="s">
        <v>153</v>
      </c>
    </row>
    <row r="3" spans="1:14">
      <c r="A3" t="s">
        <v>249</v>
      </c>
      <c r="B3" t="s">
        <v>52</v>
      </c>
      <c r="C3" t="s">
        <v>21</v>
      </c>
      <c r="D3" t="s">
        <v>13</v>
      </c>
      <c r="E3" t="s">
        <v>14</v>
      </c>
      <c r="H3">
        <v>1800</v>
      </c>
      <c r="J3">
        <v>0</v>
      </c>
      <c r="K3">
        <v>1800</v>
      </c>
      <c r="L3">
        <v>1260</v>
      </c>
      <c r="M3" s="9" t="s">
        <v>21</v>
      </c>
      <c r="N3" s="9" t="s">
        <v>153</v>
      </c>
    </row>
    <row r="4" spans="1:14">
      <c r="A4" t="s">
        <v>250</v>
      </c>
      <c r="B4" t="s">
        <v>52</v>
      </c>
      <c r="C4" t="s">
        <v>21</v>
      </c>
      <c r="D4" t="s">
        <v>13</v>
      </c>
      <c r="E4" t="s">
        <v>14</v>
      </c>
      <c r="H4">
        <v>1800</v>
      </c>
      <c r="J4">
        <v>0</v>
      </c>
      <c r="K4">
        <v>1800</v>
      </c>
      <c r="L4">
        <v>1260</v>
      </c>
      <c r="M4" s="9" t="s">
        <v>21</v>
      </c>
      <c r="N4" s="9" t="s">
        <v>153</v>
      </c>
    </row>
    <row r="5" spans="1:14">
      <c r="A5" t="s">
        <v>251</v>
      </c>
      <c r="B5" t="s">
        <v>52</v>
      </c>
      <c r="C5" t="s">
        <v>21</v>
      </c>
      <c r="D5" t="s">
        <v>13</v>
      </c>
      <c r="E5" t="s">
        <v>14</v>
      </c>
      <c r="H5">
        <v>500</v>
      </c>
      <c r="J5">
        <v>0</v>
      </c>
      <c r="K5">
        <v>500</v>
      </c>
      <c r="L5">
        <v>350</v>
      </c>
      <c r="M5" s="9" t="s">
        <v>21</v>
      </c>
      <c r="N5" s="9" t="s">
        <v>153</v>
      </c>
    </row>
    <row r="6" spans="1:14">
      <c r="A6" t="s">
        <v>251</v>
      </c>
      <c r="B6" t="s">
        <v>52</v>
      </c>
      <c r="C6" t="s">
        <v>21</v>
      </c>
      <c r="D6" t="s">
        <v>13</v>
      </c>
      <c r="E6" t="s">
        <v>14</v>
      </c>
      <c r="H6">
        <v>1800</v>
      </c>
      <c r="J6">
        <v>0</v>
      </c>
      <c r="K6">
        <v>1800</v>
      </c>
      <c r="L6">
        <v>1260</v>
      </c>
      <c r="M6" s="9" t="s">
        <v>21</v>
      </c>
      <c r="N6" s="9" t="s">
        <v>153</v>
      </c>
    </row>
    <row r="7" spans="1:14">
      <c r="A7" t="s">
        <v>252</v>
      </c>
      <c r="B7" t="s">
        <v>52</v>
      </c>
      <c r="C7" t="s">
        <v>21</v>
      </c>
      <c r="D7" t="s">
        <v>13</v>
      </c>
      <c r="E7" t="s">
        <v>14</v>
      </c>
      <c r="H7">
        <v>500</v>
      </c>
      <c r="J7">
        <v>0</v>
      </c>
      <c r="K7">
        <v>500</v>
      </c>
      <c r="L7">
        <v>350</v>
      </c>
      <c r="M7" s="9" t="s">
        <v>21</v>
      </c>
      <c r="N7" s="9" t="s">
        <v>153</v>
      </c>
    </row>
    <row r="8" spans="1:14">
      <c r="A8" t="s">
        <v>252</v>
      </c>
      <c r="B8" t="s">
        <v>52</v>
      </c>
      <c r="C8" t="s">
        <v>21</v>
      </c>
      <c r="D8" t="s">
        <v>13</v>
      </c>
      <c r="E8" t="s">
        <v>14</v>
      </c>
      <c r="H8">
        <v>1800</v>
      </c>
      <c r="J8">
        <v>0</v>
      </c>
      <c r="K8">
        <v>1800</v>
      </c>
      <c r="L8">
        <v>1260</v>
      </c>
      <c r="M8" s="9" t="s">
        <v>21</v>
      </c>
      <c r="N8" s="9" t="s">
        <v>153</v>
      </c>
    </row>
    <row r="9" spans="1:14">
      <c r="A9" t="s">
        <v>253</v>
      </c>
      <c r="B9" t="s">
        <v>52</v>
      </c>
      <c r="C9" t="s">
        <v>21</v>
      </c>
      <c r="D9" t="s">
        <v>13</v>
      </c>
      <c r="E9" t="s">
        <v>14</v>
      </c>
      <c r="H9">
        <v>500</v>
      </c>
      <c r="J9">
        <v>0</v>
      </c>
      <c r="K9">
        <v>500</v>
      </c>
      <c r="L9">
        <v>350</v>
      </c>
      <c r="M9" s="9" t="s">
        <v>21</v>
      </c>
      <c r="N9" s="9" t="s">
        <v>153</v>
      </c>
    </row>
    <row r="10" spans="1:14">
      <c r="A10" t="s">
        <v>253</v>
      </c>
      <c r="B10" t="s">
        <v>52</v>
      </c>
      <c r="C10" t="s">
        <v>21</v>
      </c>
      <c r="D10" t="s">
        <v>13</v>
      </c>
      <c r="E10" t="s">
        <v>14</v>
      </c>
      <c r="H10">
        <v>1800</v>
      </c>
      <c r="J10">
        <v>0</v>
      </c>
      <c r="K10">
        <v>1800</v>
      </c>
      <c r="L10">
        <v>1260</v>
      </c>
      <c r="M10" s="9" t="s">
        <v>21</v>
      </c>
      <c r="N10" s="9" t="s">
        <v>153</v>
      </c>
    </row>
    <row r="11" spans="1:14">
      <c r="A11" t="s">
        <v>254</v>
      </c>
      <c r="B11" t="s">
        <v>52</v>
      </c>
      <c r="C11" t="s">
        <v>21</v>
      </c>
      <c r="D11" t="s">
        <v>13</v>
      </c>
      <c r="E11" t="s">
        <v>14</v>
      </c>
      <c r="H11">
        <v>500</v>
      </c>
      <c r="J11">
        <v>0</v>
      </c>
      <c r="K11">
        <v>500</v>
      </c>
      <c r="L11">
        <v>350</v>
      </c>
      <c r="M11" s="9" t="s">
        <v>21</v>
      </c>
      <c r="N11" s="9" t="s">
        <v>153</v>
      </c>
    </row>
    <row r="12" spans="1:14">
      <c r="A12" t="s">
        <v>254</v>
      </c>
      <c r="B12" t="s">
        <v>52</v>
      </c>
      <c r="C12" t="s">
        <v>21</v>
      </c>
      <c r="D12" t="s">
        <v>13</v>
      </c>
      <c r="E12" t="s">
        <v>14</v>
      </c>
      <c r="H12">
        <v>900</v>
      </c>
      <c r="J12">
        <v>0</v>
      </c>
      <c r="K12">
        <v>900</v>
      </c>
      <c r="L12">
        <v>630</v>
      </c>
      <c r="M12" s="9" t="s">
        <v>21</v>
      </c>
      <c r="N12" s="9" t="s">
        <v>153</v>
      </c>
    </row>
    <row r="13" spans="1:14">
      <c r="A13" t="s">
        <v>255</v>
      </c>
      <c r="B13" t="s">
        <v>52</v>
      </c>
      <c r="C13" t="s">
        <v>21</v>
      </c>
      <c r="D13" t="s">
        <v>13</v>
      </c>
      <c r="E13" t="s">
        <v>14</v>
      </c>
      <c r="H13">
        <v>500</v>
      </c>
      <c r="J13">
        <v>0</v>
      </c>
      <c r="K13">
        <v>500</v>
      </c>
      <c r="L13">
        <v>350</v>
      </c>
      <c r="M13" s="9" t="s">
        <v>21</v>
      </c>
      <c r="N13" s="9" t="s">
        <v>153</v>
      </c>
    </row>
    <row r="14" spans="1:14">
      <c r="A14" t="s">
        <v>255</v>
      </c>
      <c r="B14" t="s">
        <v>52</v>
      </c>
      <c r="C14" t="s">
        <v>21</v>
      </c>
      <c r="D14" t="s">
        <v>13</v>
      </c>
      <c r="E14" t="s">
        <v>14</v>
      </c>
      <c r="H14">
        <v>900</v>
      </c>
      <c r="J14">
        <v>0</v>
      </c>
      <c r="K14">
        <v>900</v>
      </c>
      <c r="L14">
        <v>630</v>
      </c>
      <c r="M14" s="9" t="s">
        <v>21</v>
      </c>
      <c r="N14" s="9" t="s">
        <v>153</v>
      </c>
    </row>
    <row r="15" spans="1:14">
      <c r="A15" t="s">
        <v>256</v>
      </c>
      <c r="B15" t="s">
        <v>52</v>
      </c>
      <c r="C15" t="s">
        <v>21</v>
      </c>
      <c r="D15" t="s">
        <v>13</v>
      </c>
      <c r="E15" t="s">
        <v>14</v>
      </c>
      <c r="H15">
        <v>500</v>
      </c>
      <c r="J15">
        <v>0</v>
      </c>
      <c r="K15">
        <v>500</v>
      </c>
      <c r="L15">
        <v>350</v>
      </c>
      <c r="M15" s="9" t="s">
        <v>21</v>
      </c>
      <c r="N15" s="9" t="s">
        <v>153</v>
      </c>
    </row>
    <row r="16" spans="1:14">
      <c r="A16" t="s">
        <v>256</v>
      </c>
      <c r="B16" t="s">
        <v>52</v>
      </c>
      <c r="C16" t="s">
        <v>21</v>
      </c>
      <c r="D16" t="s">
        <v>13</v>
      </c>
      <c r="E16" t="s">
        <v>14</v>
      </c>
      <c r="H16">
        <v>900</v>
      </c>
      <c r="J16">
        <v>0</v>
      </c>
      <c r="K16">
        <v>900</v>
      </c>
      <c r="L16">
        <v>630</v>
      </c>
      <c r="M16" s="9" t="s">
        <v>21</v>
      </c>
      <c r="N16" s="9" t="s">
        <v>153</v>
      </c>
    </row>
    <row r="17" spans="1:14">
      <c r="A17" t="s">
        <v>257</v>
      </c>
      <c r="B17" t="s">
        <v>52</v>
      </c>
      <c r="C17" t="s">
        <v>21</v>
      </c>
      <c r="D17" t="s">
        <v>13</v>
      </c>
      <c r="E17" t="s">
        <v>14</v>
      </c>
      <c r="H17">
        <v>500</v>
      </c>
      <c r="J17">
        <v>0</v>
      </c>
      <c r="K17">
        <v>500</v>
      </c>
      <c r="L17">
        <v>350</v>
      </c>
      <c r="M17" s="9" t="s">
        <v>21</v>
      </c>
      <c r="N17" s="9" t="s">
        <v>153</v>
      </c>
    </row>
    <row r="18" spans="1:14">
      <c r="A18" t="s">
        <v>257</v>
      </c>
      <c r="B18" t="s">
        <v>52</v>
      </c>
      <c r="C18" t="s">
        <v>21</v>
      </c>
      <c r="D18" t="s">
        <v>13</v>
      </c>
      <c r="E18" t="s">
        <v>14</v>
      </c>
      <c r="H18">
        <v>900</v>
      </c>
      <c r="J18">
        <v>0</v>
      </c>
      <c r="K18">
        <v>900</v>
      </c>
      <c r="L18">
        <v>630</v>
      </c>
      <c r="M18" s="9" t="s">
        <v>21</v>
      </c>
      <c r="N18" s="9" t="s">
        <v>153</v>
      </c>
    </row>
    <row r="19" spans="1:14">
      <c r="A19" t="s">
        <v>258</v>
      </c>
      <c r="B19" t="s">
        <v>52</v>
      </c>
      <c r="C19" t="s">
        <v>21</v>
      </c>
      <c r="D19" t="s">
        <v>13</v>
      </c>
      <c r="E19" t="s">
        <v>14</v>
      </c>
      <c r="H19">
        <v>1800</v>
      </c>
      <c r="J19">
        <v>0</v>
      </c>
      <c r="K19">
        <v>1800</v>
      </c>
      <c r="L19">
        <v>1260</v>
      </c>
      <c r="M19" s="9" t="s">
        <v>21</v>
      </c>
      <c r="N19" s="9" t="s">
        <v>153</v>
      </c>
    </row>
    <row r="20" spans="1:14">
      <c r="A20" t="s">
        <v>152</v>
      </c>
      <c r="B20" t="s">
        <v>153</v>
      </c>
      <c r="C20" t="s">
        <v>21</v>
      </c>
      <c r="D20" t="s">
        <v>13</v>
      </c>
      <c r="E20" t="s">
        <v>16</v>
      </c>
      <c r="F20">
        <v>22</v>
      </c>
      <c r="G20">
        <v>100</v>
      </c>
      <c r="H20">
        <v>2200</v>
      </c>
      <c r="I20">
        <v>0</v>
      </c>
      <c r="J20">
        <v>0</v>
      </c>
      <c r="K20">
        <v>2200</v>
      </c>
      <c r="L20">
        <v>1540</v>
      </c>
      <c r="M20" s="9" t="s">
        <v>21</v>
      </c>
      <c r="N20" s="9" t="s">
        <v>153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6"/>
  <sheetViews>
    <sheetView workbookViewId="0"/>
  </sheetViews>
  <sheetFormatPr defaultRowHeight="17.399999999999999"/>
  <cols>
    <col min="1" max="1" width="26.296875" bestFit="1" customWidth="1"/>
    <col min="2" max="2" width="12.3984375" bestFit="1" customWidth="1"/>
    <col min="3" max="3" width="10.3984375" bestFit="1" customWidth="1"/>
    <col min="4" max="4" width="6.796875" bestFit="1" customWidth="1"/>
    <col min="5" max="5" width="14.398437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12.3984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259</v>
      </c>
      <c r="B2" t="s">
        <v>260</v>
      </c>
      <c r="C2" t="s">
        <v>21</v>
      </c>
      <c r="D2" t="s">
        <v>92</v>
      </c>
      <c r="E2" t="s">
        <v>209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1600</v>
      </c>
      <c r="M2" s="9" t="s">
        <v>21</v>
      </c>
      <c r="N2" s="9" t="s">
        <v>260</v>
      </c>
    </row>
    <row r="3" spans="1:14">
      <c r="A3" t="s">
        <v>261</v>
      </c>
      <c r="B3" t="s">
        <v>260</v>
      </c>
      <c r="C3" t="s">
        <v>21</v>
      </c>
      <c r="D3" t="s">
        <v>92</v>
      </c>
      <c r="E3" t="s">
        <v>209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1600</v>
      </c>
      <c r="M3" s="9" t="s">
        <v>21</v>
      </c>
      <c r="N3" s="9" t="s">
        <v>260</v>
      </c>
    </row>
    <row r="4" spans="1:14">
      <c r="A4" t="s">
        <v>262</v>
      </c>
      <c r="B4" t="s">
        <v>260</v>
      </c>
      <c r="C4" t="s">
        <v>21</v>
      </c>
      <c r="D4" t="s">
        <v>92</v>
      </c>
      <c r="E4" t="s">
        <v>209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1600</v>
      </c>
      <c r="M4" s="9" t="s">
        <v>21</v>
      </c>
      <c r="N4" s="9" t="s">
        <v>260</v>
      </c>
    </row>
    <row r="5" spans="1:14">
      <c r="A5" t="s">
        <v>263</v>
      </c>
      <c r="B5" t="s">
        <v>260</v>
      </c>
      <c r="C5" t="s">
        <v>21</v>
      </c>
      <c r="D5" t="s">
        <v>92</v>
      </c>
      <c r="E5" t="s">
        <v>209</v>
      </c>
      <c r="F5">
        <v>1</v>
      </c>
      <c r="G5">
        <v>3200</v>
      </c>
      <c r="H5">
        <v>3200</v>
      </c>
      <c r="I5">
        <v>0</v>
      </c>
      <c r="J5">
        <v>0</v>
      </c>
      <c r="K5">
        <v>3200</v>
      </c>
      <c r="L5">
        <v>1600</v>
      </c>
      <c r="M5" s="9" t="s">
        <v>21</v>
      </c>
      <c r="N5" s="9" t="s">
        <v>260</v>
      </c>
    </row>
    <row r="6" spans="1:14">
      <c r="A6" t="s">
        <v>264</v>
      </c>
      <c r="B6" t="s">
        <v>260</v>
      </c>
      <c r="C6" t="s">
        <v>21</v>
      </c>
      <c r="D6" t="s">
        <v>92</v>
      </c>
      <c r="E6" t="s">
        <v>209</v>
      </c>
      <c r="F6">
        <v>1</v>
      </c>
      <c r="G6">
        <v>3200</v>
      </c>
      <c r="H6">
        <v>3200</v>
      </c>
      <c r="I6">
        <v>0</v>
      </c>
      <c r="J6">
        <v>0</v>
      </c>
      <c r="K6">
        <v>3200</v>
      </c>
      <c r="L6">
        <v>1600</v>
      </c>
      <c r="M6" s="9" t="s">
        <v>21</v>
      </c>
      <c r="N6" s="9" t="s">
        <v>260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2"/>
  <sheetViews>
    <sheetView workbookViewId="0"/>
  </sheetViews>
  <sheetFormatPr defaultRowHeight="17.399999999999999"/>
  <cols>
    <col min="1" max="1" width="15" bestFit="1" customWidth="1"/>
    <col min="2" max="2" width="6.79687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154</v>
      </c>
      <c r="B2" t="s">
        <v>155</v>
      </c>
      <c r="C2" t="s">
        <v>21</v>
      </c>
      <c r="D2" t="s">
        <v>13</v>
      </c>
      <c r="E2" t="s">
        <v>16</v>
      </c>
      <c r="F2">
        <v>176</v>
      </c>
      <c r="G2">
        <v>100</v>
      </c>
      <c r="H2">
        <v>17600</v>
      </c>
      <c r="I2">
        <v>0</v>
      </c>
      <c r="J2">
        <v>0</v>
      </c>
      <c r="K2">
        <v>17600</v>
      </c>
      <c r="L2">
        <v>12320</v>
      </c>
      <c r="M2" s="9" t="s">
        <v>21</v>
      </c>
      <c r="N2" s="9" t="s">
        <v>155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N2"/>
  <sheetViews>
    <sheetView workbookViewId="0"/>
  </sheetViews>
  <sheetFormatPr defaultRowHeight="17.399999999999999"/>
  <cols>
    <col min="1" max="1" width="26.09765625" bestFit="1" customWidth="1"/>
    <col min="2" max="2" width="8.5976562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8.5976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287</v>
      </c>
      <c r="B2" t="s">
        <v>288</v>
      </c>
      <c r="C2" t="s">
        <v>21</v>
      </c>
      <c r="D2" t="s">
        <v>13</v>
      </c>
      <c r="E2" t="s">
        <v>16</v>
      </c>
      <c r="F2">
        <v>267</v>
      </c>
      <c r="G2">
        <v>100</v>
      </c>
      <c r="H2">
        <v>26700</v>
      </c>
      <c r="I2">
        <v>0</v>
      </c>
      <c r="J2">
        <v>0</v>
      </c>
      <c r="K2">
        <v>26700</v>
      </c>
      <c r="L2">
        <v>18690</v>
      </c>
      <c r="M2" s="9" t="s">
        <v>21</v>
      </c>
      <c r="N2" s="9" t="s">
        <v>288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N4"/>
  <sheetViews>
    <sheetView workbookViewId="0"/>
  </sheetViews>
  <sheetFormatPr defaultRowHeight="17.399999999999999"/>
  <cols>
    <col min="1" max="1" width="16.69921875" bestFit="1" customWidth="1"/>
    <col min="2" max="2" width="6.79687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305</v>
      </c>
      <c r="B2" t="s">
        <v>306</v>
      </c>
      <c r="C2" t="s">
        <v>21</v>
      </c>
      <c r="D2" t="s">
        <v>13</v>
      </c>
      <c r="E2" t="s">
        <v>14</v>
      </c>
      <c r="H2">
        <v>3600</v>
      </c>
      <c r="J2">
        <v>0</v>
      </c>
      <c r="K2">
        <v>3600</v>
      </c>
      <c r="L2">
        <v>2520</v>
      </c>
      <c r="M2" s="9" t="s">
        <v>21</v>
      </c>
      <c r="N2" s="9" t="s">
        <v>306</v>
      </c>
    </row>
    <row r="3" spans="1:14">
      <c r="A3" t="s">
        <v>307</v>
      </c>
      <c r="B3" t="s">
        <v>306</v>
      </c>
      <c r="C3" t="s">
        <v>21</v>
      </c>
      <c r="D3" t="s">
        <v>13</v>
      </c>
      <c r="E3" t="s">
        <v>14</v>
      </c>
      <c r="H3">
        <v>900</v>
      </c>
      <c r="J3">
        <v>0</v>
      </c>
      <c r="K3">
        <v>900</v>
      </c>
      <c r="L3">
        <v>630</v>
      </c>
      <c r="M3" s="9" t="s">
        <v>21</v>
      </c>
      <c r="N3" s="9" t="s">
        <v>306</v>
      </c>
    </row>
    <row r="4" spans="1:14">
      <c r="A4" t="s">
        <v>308</v>
      </c>
      <c r="B4" t="s">
        <v>306</v>
      </c>
      <c r="C4" t="s">
        <v>21</v>
      </c>
      <c r="D4" t="s">
        <v>13</v>
      </c>
      <c r="E4" t="s">
        <v>14</v>
      </c>
      <c r="H4">
        <v>900</v>
      </c>
      <c r="J4">
        <v>0</v>
      </c>
      <c r="K4">
        <v>900</v>
      </c>
      <c r="L4">
        <v>630</v>
      </c>
      <c r="M4" s="9" t="s">
        <v>21</v>
      </c>
      <c r="N4" s="9" t="s">
        <v>306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N2"/>
  <sheetViews>
    <sheetView workbookViewId="0"/>
  </sheetViews>
  <sheetFormatPr defaultRowHeight="17.399999999999999"/>
  <cols>
    <col min="1" max="1" width="25.3984375" bestFit="1" customWidth="1"/>
    <col min="2" max="2" width="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318</v>
      </c>
      <c r="B2" t="s">
        <v>319</v>
      </c>
      <c r="C2" t="s">
        <v>21</v>
      </c>
      <c r="D2" t="s">
        <v>13</v>
      </c>
      <c r="E2" t="s">
        <v>16</v>
      </c>
      <c r="F2">
        <v>573</v>
      </c>
      <c r="G2">
        <v>100</v>
      </c>
      <c r="H2">
        <v>57300</v>
      </c>
      <c r="I2">
        <v>0</v>
      </c>
      <c r="J2">
        <v>0</v>
      </c>
      <c r="K2">
        <v>57300</v>
      </c>
      <c r="L2">
        <v>40110</v>
      </c>
      <c r="M2" s="9" t="s">
        <v>21</v>
      </c>
      <c r="N2" s="9" t="s">
        <v>319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2"/>
  <sheetViews>
    <sheetView workbookViewId="0"/>
  </sheetViews>
  <sheetFormatPr defaultRowHeight="17.399999999999999"/>
  <cols>
    <col min="1" max="1" width="18.69921875" bestFit="1" customWidth="1"/>
    <col min="2" max="2" width="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201</v>
      </c>
      <c r="B2" t="s">
        <v>202</v>
      </c>
      <c r="C2" t="s">
        <v>21</v>
      </c>
      <c r="D2" t="s">
        <v>13</v>
      </c>
      <c r="E2" t="s">
        <v>18</v>
      </c>
      <c r="F2">
        <v>1</v>
      </c>
      <c r="G2">
        <v>3200</v>
      </c>
      <c r="H2">
        <v>3200</v>
      </c>
      <c r="I2">
        <v>0</v>
      </c>
      <c r="J2">
        <v>0</v>
      </c>
      <c r="K2">
        <v>3200</v>
      </c>
      <c r="L2">
        <v>2240</v>
      </c>
      <c r="M2" s="9" t="s">
        <v>21</v>
      </c>
      <c r="N2" s="9" t="s">
        <v>202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N3"/>
  <sheetViews>
    <sheetView workbookViewId="0"/>
  </sheetViews>
  <sheetFormatPr defaultRowHeight="17.399999999999999"/>
  <cols>
    <col min="1" max="1" width="17.19921875" bestFit="1" customWidth="1"/>
    <col min="2" max="2" width="29.0976562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320</v>
      </c>
      <c r="B2" t="s">
        <v>321</v>
      </c>
      <c r="C2" t="s">
        <v>322</v>
      </c>
      <c r="D2" t="s">
        <v>13</v>
      </c>
      <c r="E2" t="s">
        <v>18</v>
      </c>
      <c r="F2">
        <v>13</v>
      </c>
      <c r="G2">
        <v>3200</v>
      </c>
      <c r="H2">
        <v>37440</v>
      </c>
      <c r="I2">
        <v>4160</v>
      </c>
      <c r="J2">
        <v>0</v>
      </c>
      <c r="K2">
        <v>37440</v>
      </c>
      <c r="L2">
        <v>26208</v>
      </c>
      <c r="M2" s="9" t="s">
        <v>21</v>
      </c>
      <c r="N2" s="9" t="s">
        <v>539</v>
      </c>
    </row>
    <row r="3" spans="1:14">
      <c r="A3" t="s">
        <v>397</v>
      </c>
      <c r="B3" t="s">
        <v>321</v>
      </c>
      <c r="C3" t="s">
        <v>322</v>
      </c>
      <c r="D3" t="s">
        <v>13</v>
      </c>
      <c r="E3" t="s">
        <v>18</v>
      </c>
      <c r="F3">
        <v>8</v>
      </c>
      <c r="G3">
        <v>3000</v>
      </c>
      <c r="H3">
        <v>22200</v>
      </c>
      <c r="I3">
        <v>1800</v>
      </c>
      <c r="J3">
        <v>0</v>
      </c>
      <c r="K3">
        <v>22200</v>
      </c>
      <c r="L3">
        <v>15540</v>
      </c>
      <c r="M3" s="9" t="s">
        <v>21</v>
      </c>
      <c r="N3" s="9" t="s">
        <v>539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N17"/>
  <sheetViews>
    <sheetView workbookViewId="0"/>
  </sheetViews>
  <sheetFormatPr defaultRowHeight="17.399999999999999"/>
  <cols>
    <col min="1" max="1" width="45.19921875" bestFit="1" customWidth="1"/>
    <col min="2" max="2" width="6.79687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323</v>
      </c>
      <c r="B2" t="s">
        <v>324</v>
      </c>
      <c r="C2" t="s">
        <v>322</v>
      </c>
      <c r="D2" t="s">
        <v>13</v>
      </c>
      <c r="E2" t="s">
        <v>18</v>
      </c>
      <c r="F2">
        <v>1</v>
      </c>
      <c r="G2">
        <v>500</v>
      </c>
      <c r="H2">
        <v>500</v>
      </c>
      <c r="I2">
        <v>0</v>
      </c>
      <c r="J2">
        <v>0</v>
      </c>
      <c r="K2">
        <v>500</v>
      </c>
      <c r="L2">
        <v>350</v>
      </c>
      <c r="M2" s="9" t="s">
        <v>21</v>
      </c>
      <c r="N2" s="9" t="s">
        <v>324</v>
      </c>
    </row>
    <row r="3" spans="1:14">
      <c r="A3" t="s">
        <v>325</v>
      </c>
      <c r="B3" t="s">
        <v>324</v>
      </c>
      <c r="C3" t="s">
        <v>322</v>
      </c>
      <c r="D3" t="s">
        <v>13</v>
      </c>
      <c r="E3" t="s">
        <v>18</v>
      </c>
      <c r="F3">
        <v>1</v>
      </c>
      <c r="G3">
        <v>2800</v>
      </c>
      <c r="H3">
        <v>2800</v>
      </c>
      <c r="I3">
        <v>0</v>
      </c>
      <c r="J3">
        <v>0</v>
      </c>
      <c r="K3">
        <v>2800</v>
      </c>
      <c r="L3">
        <v>1960</v>
      </c>
      <c r="M3" s="9" t="s">
        <v>21</v>
      </c>
      <c r="N3" s="9" t="s">
        <v>324</v>
      </c>
    </row>
    <row r="4" spans="1:14">
      <c r="A4" t="s">
        <v>326</v>
      </c>
      <c r="B4" t="s">
        <v>324</v>
      </c>
      <c r="C4" t="s">
        <v>322</v>
      </c>
      <c r="D4" t="s">
        <v>13</v>
      </c>
      <c r="E4" t="s">
        <v>18</v>
      </c>
      <c r="F4">
        <v>1</v>
      </c>
      <c r="G4">
        <v>2800</v>
      </c>
      <c r="H4">
        <v>2800</v>
      </c>
      <c r="I4">
        <v>0</v>
      </c>
      <c r="J4">
        <v>0</v>
      </c>
      <c r="K4">
        <v>2800</v>
      </c>
      <c r="L4">
        <v>1960</v>
      </c>
      <c r="M4" s="9" t="s">
        <v>21</v>
      </c>
      <c r="N4" s="9" t="s">
        <v>324</v>
      </c>
    </row>
    <row r="5" spans="1:14">
      <c r="A5" t="s">
        <v>327</v>
      </c>
      <c r="B5" t="s">
        <v>324</v>
      </c>
      <c r="C5" t="s">
        <v>322</v>
      </c>
      <c r="D5" t="s">
        <v>13</v>
      </c>
      <c r="E5" t="s">
        <v>18</v>
      </c>
      <c r="F5">
        <v>1</v>
      </c>
      <c r="G5">
        <v>2800</v>
      </c>
      <c r="H5">
        <v>2800</v>
      </c>
      <c r="I5">
        <v>0</v>
      </c>
      <c r="J5">
        <v>0</v>
      </c>
      <c r="K5">
        <v>2800</v>
      </c>
      <c r="L5">
        <v>1960</v>
      </c>
      <c r="M5" s="9" t="s">
        <v>21</v>
      </c>
      <c r="N5" s="9" t="s">
        <v>324</v>
      </c>
    </row>
    <row r="6" spans="1:14">
      <c r="A6" t="s">
        <v>372</v>
      </c>
      <c r="B6" t="s">
        <v>324</v>
      </c>
      <c r="C6" t="s">
        <v>322</v>
      </c>
      <c r="D6" t="s">
        <v>13</v>
      </c>
      <c r="E6" t="s">
        <v>18</v>
      </c>
      <c r="F6">
        <v>2</v>
      </c>
      <c r="G6">
        <v>300</v>
      </c>
      <c r="H6">
        <v>600</v>
      </c>
      <c r="I6">
        <v>0</v>
      </c>
      <c r="J6">
        <v>0</v>
      </c>
      <c r="K6">
        <v>600</v>
      </c>
      <c r="L6">
        <v>420</v>
      </c>
      <c r="M6" s="9" t="s">
        <v>21</v>
      </c>
      <c r="N6" s="9" t="s">
        <v>324</v>
      </c>
    </row>
    <row r="7" spans="1:14">
      <c r="A7" t="s">
        <v>373</v>
      </c>
      <c r="B7" t="s">
        <v>324</v>
      </c>
      <c r="C7" t="s">
        <v>322</v>
      </c>
      <c r="D7" t="s">
        <v>13</v>
      </c>
      <c r="E7" t="s">
        <v>18</v>
      </c>
      <c r="F7">
        <v>2</v>
      </c>
      <c r="G7">
        <v>2400</v>
      </c>
      <c r="H7">
        <v>4800</v>
      </c>
      <c r="I7">
        <v>0</v>
      </c>
      <c r="J7">
        <v>0</v>
      </c>
      <c r="K7">
        <v>4800</v>
      </c>
      <c r="L7">
        <v>3360</v>
      </c>
      <c r="M7" s="9" t="s">
        <v>21</v>
      </c>
      <c r="N7" s="9" t="s">
        <v>324</v>
      </c>
    </row>
    <row r="8" spans="1:14">
      <c r="A8" t="s">
        <v>374</v>
      </c>
      <c r="B8" t="s">
        <v>324</v>
      </c>
      <c r="C8" t="s">
        <v>322</v>
      </c>
      <c r="D8" t="s">
        <v>13</v>
      </c>
      <c r="E8" t="s">
        <v>18</v>
      </c>
      <c r="F8">
        <v>2</v>
      </c>
      <c r="G8">
        <v>2400</v>
      </c>
      <c r="H8">
        <v>4800</v>
      </c>
      <c r="I8">
        <v>0</v>
      </c>
      <c r="J8">
        <v>0</v>
      </c>
      <c r="K8">
        <v>4800</v>
      </c>
      <c r="L8">
        <v>3360</v>
      </c>
      <c r="M8" s="9" t="s">
        <v>21</v>
      </c>
      <c r="N8" s="9" t="s">
        <v>324</v>
      </c>
    </row>
    <row r="9" spans="1:14">
      <c r="A9" t="s">
        <v>379</v>
      </c>
      <c r="B9" t="s">
        <v>324</v>
      </c>
      <c r="C9" t="s">
        <v>322</v>
      </c>
      <c r="D9" t="s">
        <v>13</v>
      </c>
      <c r="E9" t="s">
        <v>18</v>
      </c>
      <c r="F9">
        <v>1</v>
      </c>
      <c r="G9">
        <v>400</v>
      </c>
      <c r="H9">
        <v>400</v>
      </c>
      <c r="I9">
        <v>0</v>
      </c>
      <c r="J9">
        <v>0</v>
      </c>
      <c r="K9">
        <v>400</v>
      </c>
      <c r="L9">
        <v>280</v>
      </c>
      <c r="M9" s="9" t="s">
        <v>21</v>
      </c>
      <c r="N9" s="9" t="s">
        <v>324</v>
      </c>
    </row>
    <row r="10" spans="1:14">
      <c r="A10" t="s">
        <v>380</v>
      </c>
      <c r="B10" t="s">
        <v>324</v>
      </c>
      <c r="C10" t="s">
        <v>322</v>
      </c>
      <c r="D10" t="s">
        <v>13</v>
      </c>
      <c r="E10" t="s">
        <v>18</v>
      </c>
      <c r="F10">
        <v>1</v>
      </c>
      <c r="G10">
        <v>400</v>
      </c>
      <c r="H10">
        <v>400</v>
      </c>
      <c r="I10">
        <v>0</v>
      </c>
      <c r="J10">
        <v>0</v>
      </c>
      <c r="K10">
        <v>400</v>
      </c>
      <c r="L10">
        <v>280</v>
      </c>
      <c r="M10" s="9" t="s">
        <v>21</v>
      </c>
      <c r="N10" s="9" t="s">
        <v>324</v>
      </c>
    </row>
    <row r="11" spans="1:14">
      <c r="A11" t="s">
        <v>381</v>
      </c>
      <c r="B11" t="s">
        <v>324</v>
      </c>
      <c r="C11" t="s">
        <v>322</v>
      </c>
      <c r="D11" t="s">
        <v>13</v>
      </c>
      <c r="E11" t="s">
        <v>18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  <c r="M11" s="9" t="s">
        <v>21</v>
      </c>
      <c r="N11" s="9" t="s">
        <v>324</v>
      </c>
    </row>
    <row r="12" spans="1:14">
      <c r="A12" t="s">
        <v>382</v>
      </c>
      <c r="B12" t="s">
        <v>324</v>
      </c>
      <c r="C12" t="s">
        <v>322</v>
      </c>
      <c r="D12" t="s">
        <v>13</v>
      </c>
      <c r="E12" t="s">
        <v>18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>
        <v>2240</v>
      </c>
      <c r="M12" s="9" t="s">
        <v>21</v>
      </c>
      <c r="N12" s="9" t="s">
        <v>324</v>
      </c>
    </row>
    <row r="13" spans="1:14">
      <c r="A13" t="s">
        <v>383</v>
      </c>
      <c r="B13" t="s">
        <v>324</v>
      </c>
      <c r="C13" t="s">
        <v>322</v>
      </c>
      <c r="D13" t="s">
        <v>13</v>
      </c>
      <c r="E13" t="s">
        <v>18</v>
      </c>
      <c r="F13">
        <v>1</v>
      </c>
      <c r="G13">
        <v>3200</v>
      </c>
      <c r="H13">
        <v>3200</v>
      </c>
      <c r="I13">
        <v>0</v>
      </c>
      <c r="J13">
        <v>0</v>
      </c>
      <c r="K13">
        <v>3200</v>
      </c>
      <c r="L13">
        <v>2240</v>
      </c>
      <c r="M13" s="9" t="s">
        <v>21</v>
      </c>
      <c r="N13" s="9" t="s">
        <v>324</v>
      </c>
    </row>
    <row r="14" spans="1:14">
      <c r="A14" t="s">
        <v>384</v>
      </c>
      <c r="B14" t="s">
        <v>324</v>
      </c>
      <c r="C14" t="s">
        <v>322</v>
      </c>
      <c r="D14" t="s">
        <v>13</v>
      </c>
      <c r="E14" t="s">
        <v>18</v>
      </c>
      <c r="F14">
        <v>2</v>
      </c>
      <c r="G14">
        <v>3000</v>
      </c>
      <c r="H14">
        <v>6000</v>
      </c>
      <c r="I14">
        <v>0</v>
      </c>
      <c r="J14">
        <v>0</v>
      </c>
      <c r="K14">
        <v>6000</v>
      </c>
      <c r="L14">
        <v>4200</v>
      </c>
      <c r="M14" s="9" t="s">
        <v>21</v>
      </c>
      <c r="N14" s="9" t="s">
        <v>324</v>
      </c>
    </row>
    <row r="15" spans="1:14">
      <c r="A15" t="s">
        <v>385</v>
      </c>
      <c r="B15" t="s">
        <v>324</v>
      </c>
      <c r="C15" t="s">
        <v>322</v>
      </c>
      <c r="D15" t="s">
        <v>13</v>
      </c>
      <c r="E15" t="s">
        <v>18</v>
      </c>
      <c r="F15">
        <v>1</v>
      </c>
      <c r="G15">
        <v>3000</v>
      </c>
      <c r="H15">
        <v>3000</v>
      </c>
      <c r="I15">
        <v>0</v>
      </c>
      <c r="J15">
        <v>0</v>
      </c>
      <c r="K15">
        <v>3000</v>
      </c>
      <c r="L15">
        <v>2100</v>
      </c>
      <c r="M15" s="9" t="s">
        <v>21</v>
      </c>
      <c r="N15" s="9" t="s">
        <v>324</v>
      </c>
    </row>
    <row r="16" spans="1:14">
      <c r="A16" t="s">
        <v>386</v>
      </c>
      <c r="B16" t="s">
        <v>324</v>
      </c>
      <c r="C16" t="s">
        <v>322</v>
      </c>
      <c r="D16" t="s">
        <v>13</v>
      </c>
      <c r="E16" t="s">
        <v>18</v>
      </c>
      <c r="F16">
        <v>1</v>
      </c>
      <c r="G16">
        <v>3000</v>
      </c>
      <c r="H16">
        <v>3000</v>
      </c>
      <c r="I16">
        <v>0</v>
      </c>
      <c r="J16">
        <v>0</v>
      </c>
      <c r="K16">
        <v>3000</v>
      </c>
      <c r="L16">
        <v>2100</v>
      </c>
      <c r="M16" s="9" t="s">
        <v>21</v>
      </c>
      <c r="N16" s="9" t="s">
        <v>324</v>
      </c>
    </row>
    <row r="17" spans="1:14">
      <c r="A17" t="s">
        <v>387</v>
      </c>
      <c r="B17" t="s">
        <v>324</v>
      </c>
      <c r="C17" t="s">
        <v>322</v>
      </c>
      <c r="D17" t="s">
        <v>13</v>
      </c>
      <c r="E17" t="s">
        <v>18</v>
      </c>
      <c r="F17">
        <v>1</v>
      </c>
      <c r="G17">
        <v>3000</v>
      </c>
      <c r="H17">
        <v>3000</v>
      </c>
      <c r="I17">
        <v>0</v>
      </c>
      <c r="J17">
        <v>0</v>
      </c>
      <c r="K17">
        <v>3000</v>
      </c>
      <c r="L17">
        <v>2100</v>
      </c>
      <c r="M17" s="9" t="s">
        <v>21</v>
      </c>
      <c r="N17" s="9" t="s">
        <v>324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N3"/>
  <sheetViews>
    <sheetView workbookViewId="0"/>
  </sheetViews>
  <sheetFormatPr defaultRowHeight="17.399999999999999"/>
  <cols>
    <col min="1" max="1" width="28.5" bestFit="1" customWidth="1"/>
    <col min="2" max="2" width="6.79687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328</v>
      </c>
      <c r="B2" t="s">
        <v>329</v>
      </c>
      <c r="C2" t="s">
        <v>322</v>
      </c>
      <c r="D2" t="s">
        <v>13</v>
      </c>
      <c r="E2" t="s">
        <v>18</v>
      </c>
      <c r="F2">
        <v>1</v>
      </c>
      <c r="G2">
        <v>4400</v>
      </c>
      <c r="H2">
        <v>4400</v>
      </c>
      <c r="I2">
        <v>0</v>
      </c>
      <c r="J2">
        <v>0</v>
      </c>
      <c r="K2">
        <v>4400</v>
      </c>
      <c r="L2">
        <v>3080</v>
      </c>
      <c r="M2" s="9" t="s">
        <v>21</v>
      </c>
      <c r="N2" s="9" t="s">
        <v>329</v>
      </c>
    </row>
    <row r="3" spans="1:14">
      <c r="A3" t="s">
        <v>330</v>
      </c>
      <c r="B3" t="s">
        <v>329</v>
      </c>
      <c r="C3" t="s">
        <v>322</v>
      </c>
      <c r="D3" t="s">
        <v>13</v>
      </c>
      <c r="E3" t="s">
        <v>18</v>
      </c>
      <c r="F3">
        <v>1</v>
      </c>
      <c r="G3">
        <v>500</v>
      </c>
      <c r="H3">
        <v>500</v>
      </c>
      <c r="I3">
        <v>0</v>
      </c>
      <c r="J3">
        <v>0</v>
      </c>
      <c r="K3">
        <v>500</v>
      </c>
      <c r="L3">
        <v>350</v>
      </c>
      <c r="M3" s="9" t="s">
        <v>21</v>
      </c>
      <c r="N3" s="9" t="s">
        <v>329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N8"/>
  <sheetViews>
    <sheetView workbookViewId="0"/>
  </sheetViews>
  <sheetFormatPr defaultRowHeight="17.399999999999999"/>
  <cols>
    <col min="1" max="1" width="31.5" bestFit="1" customWidth="1"/>
    <col min="2" max="2" width="6.79687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331</v>
      </c>
      <c r="B2" t="s">
        <v>332</v>
      </c>
      <c r="C2" t="s">
        <v>322</v>
      </c>
      <c r="D2" t="s">
        <v>13</v>
      </c>
      <c r="E2" t="s">
        <v>18</v>
      </c>
      <c r="F2">
        <v>1</v>
      </c>
      <c r="G2">
        <v>300</v>
      </c>
      <c r="H2">
        <v>300</v>
      </c>
      <c r="I2">
        <v>0</v>
      </c>
      <c r="J2">
        <v>0</v>
      </c>
      <c r="K2">
        <v>300</v>
      </c>
      <c r="L2">
        <v>210</v>
      </c>
      <c r="M2" s="9" t="s">
        <v>21</v>
      </c>
      <c r="N2" s="9" t="s">
        <v>332</v>
      </c>
    </row>
    <row r="3" spans="1:14">
      <c r="A3" t="s">
        <v>333</v>
      </c>
      <c r="B3" t="s">
        <v>332</v>
      </c>
      <c r="C3" t="s">
        <v>322</v>
      </c>
      <c r="D3" t="s">
        <v>13</v>
      </c>
      <c r="E3" t="s">
        <v>18</v>
      </c>
      <c r="F3">
        <v>1</v>
      </c>
      <c r="G3">
        <v>3200</v>
      </c>
      <c r="H3">
        <v>3200</v>
      </c>
      <c r="I3">
        <v>0</v>
      </c>
      <c r="J3">
        <v>0</v>
      </c>
      <c r="K3">
        <v>3200</v>
      </c>
      <c r="L3">
        <v>2240</v>
      </c>
      <c r="M3" s="9" t="s">
        <v>21</v>
      </c>
      <c r="N3" s="9" t="s">
        <v>332</v>
      </c>
    </row>
    <row r="4" spans="1:14">
      <c r="A4" t="s">
        <v>334</v>
      </c>
      <c r="B4" t="s">
        <v>332</v>
      </c>
      <c r="C4" t="s">
        <v>322</v>
      </c>
      <c r="D4" t="s">
        <v>13</v>
      </c>
      <c r="E4" t="s">
        <v>18</v>
      </c>
      <c r="F4">
        <v>1</v>
      </c>
      <c r="G4">
        <v>3200</v>
      </c>
      <c r="H4">
        <v>3200</v>
      </c>
      <c r="I4">
        <v>0</v>
      </c>
      <c r="J4">
        <v>0</v>
      </c>
      <c r="K4">
        <v>3200</v>
      </c>
      <c r="L4">
        <v>2240</v>
      </c>
      <c r="M4" s="9" t="s">
        <v>21</v>
      </c>
      <c r="N4" s="9" t="s">
        <v>332</v>
      </c>
    </row>
    <row r="5" spans="1:14">
      <c r="A5" t="s">
        <v>369</v>
      </c>
      <c r="B5" t="s">
        <v>332</v>
      </c>
      <c r="C5" t="s">
        <v>322</v>
      </c>
      <c r="D5" t="s">
        <v>13</v>
      </c>
      <c r="E5" t="s">
        <v>18</v>
      </c>
      <c r="F5">
        <v>1</v>
      </c>
      <c r="G5">
        <v>1000</v>
      </c>
      <c r="H5">
        <v>1000</v>
      </c>
      <c r="I5">
        <v>0</v>
      </c>
      <c r="J5">
        <v>0</v>
      </c>
      <c r="K5">
        <v>1000</v>
      </c>
      <c r="L5">
        <v>700</v>
      </c>
      <c r="M5" s="9" t="s">
        <v>21</v>
      </c>
      <c r="N5" s="9" t="s">
        <v>332</v>
      </c>
    </row>
    <row r="6" spans="1:14">
      <c r="A6" t="s">
        <v>370</v>
      </c>
      <c r="B6" t="s">
        <v>332</v>
      </c>
      <c r="C6" t="s">
        <v>322</v>
      </c>
      <c r="D6" t="s">
        <v>13</v>
      </c>
      <c r="E6" t="s">
        <v>18</v>
      </c>
      <c r="F6">
        <v>1</v>
      </c>
      <c r="G6">
        <v>3500</v>
      </c>
      <c r="H6">
        <v>3500</v>
      </c>
      <c r="I6">
        <v>0</v>
      </c>
      <c r="J6">
        <v>0</v>
      </c>
      <c r="K6">
        <v>3500</v>
      </c>
      <c r="L6">
        <v>2450</v>
      </c>
      <c r="M6" s="9" t="s">
        <v>21</v>
      </c>
      <c r="N6" s="9" t="s">
        <v>332</v>
      </c>
    </row>
    <row r="7" spans="1:14">
      <c r="A7" t="s">
        <v>371</v>
      </c>
      <c r="B7" t="s">
        <v>332</v>
      </c>
      <c r="C7" t="s">
        <v>322</v>
      </c>
      <c r="D7" t="s">
        <v>13</v>
      </c>
      <c r="E7" t="s">
        <v>18</v>
      </c>
      <c r="F7">
        <v>1</v>
      </c>
      <c r="G7">
        <v>3500</v>
      </c>
      <c r="H7">
        <v>3500</v>
      </c>
      <c r="I7">
        <v>0</v>
      </c>
      <c r="J7">
        <v>0</v>
      </c>
      <c r="K7">
        <v>3500</v>
      </c>
      <c r="L7">
        <v>2450</v>
      </c>
      <c r="M7" s="9" t="s">
        <v>21</v>
      </c>
      <c r="N7" s="9" t="s">
        <v>332</v>
      </c>
    </row>
    <row r="8" spans="1:14">
      <c r="A8" t="s">
        <v>402</v>
      </c>
      <c r="B8" t="s">
        <v>332</v>
      </c>
      <c r="C8" t="s">
        <v>322</v>
      </c>
      <c r="D8" t="s">
        <v>13</v>
      </c>
      <c r="E8" t="s">
        <v>18</v>
      </c>
      <c r="F8">
        <v>1</v>
      </c>
      <c r="G8">
        <v>3900</v>
      </c>
      <c r="H8">
        <v>3900</v>
      </c>
      <c r="I8">
        <v>0</v>
      </c>
      <c r="J8">
        <v>0</v>
      </c>
      <c r="K8">
        <v>3900</v>
      </c>
      <c r="L8">
        <v>2730</v>
      </c>
      <c r="M8" s="9" t="s">
        <v>21</v>
      </c>
      <c r="N8" s="9" t="s">
        <v>332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N2"/>
  <sheetViews>
    <sheetView workbookViewId="0"/>
  </sheetViews>
  <sheetFormatPr defaultRowHeight="17.399999999999999"/>
  <cols>
    <col min="1" max="1" width="14.796875" bestFit="1" customWidth="1"/>
    <col min="2" max="2" width="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335</v>
      </c>
      <c r="B2" t="s">
        <v>336</v>
      </c>
      <c r="C2" t="s">
        <v>322</v>
      </c>
      <c r="D2" t="s">
        <v>13</v>
      </c>
      <c r="E2" t="s">
        <v>18</v>
      </c>
      <c r="F2">
        <v>1</v>
      </c>
      <c r="G2">
        <v>1100</v>
      </c>
      <c r="H2">
        <v>1100</v>
      </c>
      <c r="I2">
        <v>0</v>
      </c>
      <c r="J2">
        <v>0</v>
      </c>
      <c r="K2">
        <v>1100</v>
      </c>
      <c r="L2">
        <v>770</v>
      </c>
      <c r="M2" s="9" t="s">
        <v>21</v>
      </c>
      <c r="N2" s="9" t="s">
        <v>336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N7"/>
  <sheetViews>
    <sheetView workbookViewId="0"/>
  </sheetViews>
  <sheetFormatPr defaultRowHeight="17.399999999999999"/>
  <cols>
    <col min="1" max="1" width="30" bestFit="1" customWidth="1"/>
    <col min="2" max="2" width="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337</v>
      </c>
      <c r="B2" t="s">
        <v>338</v>
      </c>
      <c r="C2" t="s">
        <v>322</v>
      </c>
      <c r="D2" t="s">
        <v>13</v>
      </c>
      <c r="E2" t="s">
        <v>18</v>
      </c>
      <c r="F2">
        <v>1</v>
      </c>
      <c r="G2">
        <v>1000</v>
      </c>
      <c r="H2">
        <v>1000</v>
      </c>
      <c r="I2">
        <v>0</v>
      </c>
      <c r="J2">
        <v>0</v>
      </c>
      <c r="K2">
        <v>1000</v>
      </c>
      <c r="L2">
        <v>700</v>
      </c>
      <c r="M2" s="9" t="s">
        <v>21</v>
      </c>
      <c r="N2" s="9" t="s">
        <v>338</v>
      </c>
    </row>
    <row r="3" spans="1:14">
      <c r="A3" t="s">
        <v>339</v>
      </c>
      <c r="B3" t="s">
        <v>338</v>
      </c>
      <c r="C3" t="s">
        <v>322</v>
      </c>
      <c r="D3" t="s">
        <v>13</v>
      </c>
      <c r="E3" t="s">
        <v>18</v>
      </c>
      <c r="F3">
        <v>1</v>
      </c>
      <c r="G3">
        <v>1000</v>
      </c>
      <c r="H3">
        <v>1000</v>
      </c>
      <c r="I3">
        <v>0</v>
      </c>
      <c r="J3">
        <v>0</v>
      </c>
      <c r="K3">
        <v>1000</v>
      </c>
      <c r="L3">
        <v>700</v>
      </c>
      <c r="M3" s="9" t="s">
        <v>21</v>
      </c>
      <c r="N3" s="9" t="s">
        <v>338</v>
      </c>
    </row>
    <row r="4" spans="1:14">
      <c r="A4" t="s">
        <v>340</v>
      </c>
      <c r="B4" t="s">
        <v>338</v>
      </c>
      <c r="C4" t="s">
        <v>322</v>
      </c>
      <c r="D4" t="s">
        <v>13</v>
      </c>
      <c r="E4" t="s">
        <v>18</v>
      </c>
      <c r="F4">
        <v>1</v>
      </c>
      <c r="G4">
        <v>3800</v>
      </c>
      <c r="H4">
        <v>3800</v>
      </c>
      <c r="I4">
        <v>0</v>
      </c>
      <c r="J4">
        <v>0</v>
      </c>
      <c r="K4">
        <v>3800</v>
      </c>
      <c r="L4">
        <v>2660</v>
      </c>
      <c r="M4" s="9" t="s">
        <v>21</v>
      </c>
      <c r="N4" s="9" t="s">
        <v>338</v>
      </c>
    </row>
    <row r="5" spans="1:14">
      <c r="A5" t="s">
        <v>341</v>
      </c>
      <c r="B5" t="s">
        <v>338</v>
      </c>
      <c r="C5" t="s">
        <v>322</v>
      </c>
      <c r="D5" t="s">
        <v>13</v>
      </c>
      <c r="E5" t="s">
        <v>18</v>
      </c>
      <c r="F5">
        <v>1</v>
      </c>
      <c r="G5">
        <v>3800</v>
      </c>
      <c r="H5">
        <v>3800</v>
      </c>
      <c r="I5">
        <v>0</v>
      </c>
      <c r="J5">
        <v>0</v>
      </c>
      <c r="K5">
        <v>3800</v>
      </c>
      <c r="L5">
        <v>2660</v>
      </c>
      <c r="M5" s="9" t="s">
        <v>21</v>
      </c>
      <c r="N5" s="9" t="s">
        <v>338</v>
      </c>
    </row>
    <row r="6" spans="1:14">
      <c r="A6" t="s">
        <v>342</v>
      </c>
      <c r="B6" t="s">
        <v>338</v>
      </c>
      <c r="C6" t="s">
        <v>322</v>
      </c>
      <c r="D6" t="s">
        <v>13</v>
      </c>
      <c r="E6" t="s">
        <v>18</v>
      </c>
      <c r="F6">
        <v>1</v>
      </c>
      <c r="G6">
        <v>3800</v>
      </c>
      <c r="H6">
        <v>3800</v>
      </c>
      <c r="I6">
        <v>0</v>
      </c>
      <c r="J6">
        <v>0</v>
      </c>
      <c r="K6">
        <v>3800</v>
      </c>
      <c r="L6">
        <v>2660</v>
      </c>
      <c r="M6" s="9" t="s">
        <v>21</v>
      </c>
      <c r="N6" s="9" t="s">
        <v>338</v>
      </c>
    </row>
    <row r="7" spans="1:14">
      <c r="A7" t="s">
        <v>343</v>
      </c>
      <c r="B7" t="s">
        <v>338</v>
      </c>
      <c r="C7" t="s">
        <v>322</v>
      </c>
      <c r="D7" t="s">
        <v>13</v>
      </c>
      <c r="E7" t="s">
        <v>18</v>
      </c>
      <c r="F7">
        <v>1</v>
      </c>
      <c r="G7">
        <v>3800</v>
      </c>
      <c r="H7">
        <v>3800</v>
      </c>
      <c r="I7">
        <v>0</v>
      </c>
      <c r="J7">
        <v>0</v>
      </c>
      <c r="K7">
        <v>3800</v>
      </c>
      <c r="L7">
        <v>2660</v>
      </c>
      <c r="M7" s="9" t="s">
        <v>21</v>
      </c>
      <c r="N7" s="9" t="s">
        <v>338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N15"/>
  <sheetViews>
    <sheetView workbookViewId="0"/>
  </sheetViews>
  <sheetFormatPr defaultRowHeight="17.399999999999999"/>
  <cols>
    <col min="1" max="1" width="44.3984375" bestFit="1" customWidth="1"/>
    <col min="2" max="2" width="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344</v>
      </c>
      <c r="B2" t="s">
        <v>345</v>
      </c>
      <c r="C2" t="s">
        <v>21</v>
      </c>
      <c r="D2" t="s">
        <v>13</v>
      </c>
      <c r="E2" t="s">
        <v>18</v>
      </c>
      <c r="F2">
        <v>1</v>
      </c>
      <c r="G2">
        <v>1500</v>
      </c>
      <c r="H2">
        <v>1500</v>
      </c>
      <c r="I2">
        <v>0</v>
      </c>
      <c r="J2">
        <v>0</v>
      </c>
      <c r="K2">
        <v>1500</v>
      </c>
      <c r="L2">
        <v>1050</v>
      </c>
      <c r="M2" s="9" t="s">
        <v>21</v>
      </c>
      <c r="N2" s="9" t="s">
        <v>345</v>
      </c>
    </row>
    <row r="3" spans="1:14">
      <c r="A3" t="s">
        <v>346</v>
      </c>
      <c r="B3" t="s">
        <v>345</v>
      </c>
      <c r="C3" t="s">
        <v>21</v>
      </c>
      <c r="D3" t="s">
        <v>13</v>
      </c>
      <c r="E3" t="s">
        <v>18</v>
      </c>
      <c r="F3">
        <v>1</v>
      </c>
      <c r="G3">
        <v>1500</v>
      </c>
      <c r="H3">
        <v>1500</v>
      </c>
      <c r="I3">
        <v>0</v>
      </c>
      <c r="J3">
        <v>0</v>
      </c>
      <c r="K3">
        <v>1500</v>
      </c>
      <c r="L3">
        <v>1050</v>
      </c>
      <c r="M3" s="9" t="s">
        <v>21</v>
      </c>
      <c r="N3" s="9" t="s">
        <v>345</v>
      </c>
    </row>
    <row r="4" spans="1:14">
      <c r="A4" t="s">
        <v>347</v>
      </c>
      <c r="B4" t="s">
        <v>345</v>
      </c>
      <c r="C4" t="s">
        <v>21</v>
      </c>
      <c r="D4" t="s">
        <v>13</v>
      </c>
      <c r="E4" t="s">
        <v>18</v>
      </c>
      <c r="F4">
        <v>1</v>
      </c>
      <c r="G4">
        <v>3500</v>
      </c>
      <c r="H4">
        <v>3500</v>
      </c>
      <c r="I4">
        <v>0</v>
      </c>
      <c r="J4">
        <v>0</v>
      </c>
      <c r="K4">
        <v>3500</v>
      </c>
      <c r="L4">
        <v>2450</v>
      </c>
      <c r="M4" s="9" t="s">
        <v>21</v>
      </c>
      <c r="N4" s="9" t="s">
        <v>345</v>
      </c>
    </row>
    <row r="5" spans="1:14">
      <c r="A5" t="s">
        <v>348</v>
      </c>
      <c r="B5" t="s">
        <v>345</v>
      </c>
      <c r="C5" t="s">
        <v>21</v>
      </c>
      <c r="D5" t="s">
        <v>13</v>
      </c>
      <c r="E5" t="s">
        <v>18</v>
      </c>
      <c r="F5">
        <v>1</v>
      </c>
      <c r="G5">
        <v>3500</v>
      </c>
      <c r="H5">
        <v>3500</v>
      </c>
      <c r="I5">
        <v>0</v>
      </c>
      <c r="J5">
        <v>0</v>
      </c>
      <c r="K5">
        <v>3500</v>
      </c>
      <c r="L5">
        <v>2450</v>
      </c>
      <c r="M5" s="9" t="s">
        <v>21</v>
      </c>
      <c r="N5" s="9" t="s">
        <v>345</v>
      </c>
    </row>
    <row r="6" spans="1:14">
      <c r="A6" t="s">
        <v>349</v>
      </c>
      <c r="B6" t="s">
        <v>345</v>
      </c>
      <c r="C6" t="s">
        <v>21</v>
      </c>
      <c r="D6" t="s">
        <v>13</v>
      </c>
      <c r="E6" t="s">
        <v>18</v>
      </c>
      <c r="F6">
        <v>1</v>
      </c>
      <c r="G6">
        <v>3500</v>
      </c>
      <c r="H6">
        <v>3500</v>
      </c>
      <c r="I6">
        <v>0</v>
      </c>
      <c r="J6">
        <v>0</v>
      </c>
      <c r="K6">
        <v>3500</v>
      </c>
      <c r="L6">
        <v>2450</v>
      </c>
      <c r="M6" s="9" t="s">
        <v>21</v>
      </c>
      <c r="N6" s="9" t="s">
        <v>345</v>
      </c>
    </row>
    <row r="7" spans="1:14">
      <c r="A7" t="s">
        <v>350</v>
      </c>
      <c r="B7" t="s">
        <v>345</v>
      </c>
      <c r="C7" t="s">
        <v>21</v>
      </c>
      <c r="D7" t="s">
        <v>13</v>
      </c>
      <c r="E7" t="s">
        <v>18</v>
      </c>
      <c r="F7">
        <v>1</v>
      </c>
      <c r="G7">
        <v>3500</v>
      </c>
      <c r="H7">
        <v>3500</v>
      </c>
      <c r="I7">
        <v>0</v>
      </c>
      <c r="J7">
        <v>0</v>
      </c>
      <c r="K7">
        <v>3500</v>
      </c>
      <c r="L7">
        <v>2450</v>
      </c>
      <c r="M7" s="9" t="s">
        <v>21</v>
      </c>
      <c r="N7" s="9" t="s">
        <v>345</v>
      </c>
    </row>
    <row r="8" spans="1:14">
      <c r="A8" t="s">
        <v>351</v>
      </c>
      <c r="B8" t="s">
        <v>345</v>
      </c>
      <c r="C8" t="s">
        <v>21</v>
      </c>
      <c r="D8" t="s">
        <v>13</v>
      </c>
      <c r="E8" t="s">
        <v>18</v>
      </c>
      <c r="F8">
        <v>1</v>
      </c>
      <c r="G8">
        <v>3500</v>
      </c>
      <c r="H8">
        <v>3500</v>
      </c>
      <c r="I8">
        <v>0</v>
      </c>
      <c r="J8">
        <v>0</v>
      </c>
      <c r="K8">
        <v>3500</v>
      </c>
      <c r="L8">
        <v>2450</v>
      </c>
      <c r="M8" s="9" t="s">
        <v>21</v>
      </c>
      <c r="N8" s="9" t="s">
        <v>345</v>
      </c>
    </row>
    <row r="9" spans="1:14">
      <c r="A9" t="s">
        <v>352</v>
      </c>
      <c r="B9" t="s">
        <v>345</v>
      </c>
      <c r="C9" t="s">
        <v>21</v>
      </c>
      <c r="D9" t="s">
        <v>13</v>
      </c>
      <c r="E9" t="s">
        <v>18</v>
      </c>
      <c r="F9">
        <v>1</v>
      </c>
      <c r="G9">
        <v>3500</v>
      </c>
      <c r="H9">
        <v>3500</v>
      </c>
      <c r="I9">
        <v>0</v>
      </c>
      <c r="J9">
        <v>0</v>
      </c>
      <c r="K9">
        <v>3500</v>
      </c>
      <c r="L9">
        <v>2450</v>
      </c>
      <c r="M9" s="9" t="s">
        <v>21</v>
      </c>
      <c r="N9" s="9" t="s">
        <v>345</v>
      </c>
    </row>
    <row r="10" spans="1:14">
      <c r="A10" t="s">
        <v>353</v>
      </c>
      <c r="B10" t="s">
        <v>345</v>
      </c>
      <c r="C10" t="s">
        <v>21</v>
      </c>
      <c r="D10" t="s">
        <v>13</v>
      </c>
      <c r="E10" t="s">
        <v>18</v>
      </c>
      <c r="F10">
        <v>1</v>
      </c>
      <c r="G10">
        <v>3500</v>
      </c>
      <c r="H10">
        <v>3500</v>
      </c>
      <c r="I10">
        <v>0</v>
      </c>
      <c r="J10">
        <v>0</v>
      </c>
      <c r="K10">
        <v>3500</v>
      </c>
      <c r="L10">
        <v>2450</v>
      </c>
      <c r="M10" s="9" t="s">
        <v>21</v>
      </c>
      <c r="N10" s="9" t="s">
        <v>345</v>
      </c>
    </row>
    <row r="11" spans="1:14">
      <c r="A11" t="s">
        <v>354</v>
      </c>
      <c r="B11" t="s">
        <v>345</v>
      </c>
      <c r="C11" t="s">
        <v>21</v>
      </c>
      <c r="D11" t="s">
        <v>13</v>
      </c>
      <c r="E11" t="s">
        <v>18</v>
      </c>
      <c r="F11">
        <v>1</v>
      </c>
      <c r="G11">
        <v>3500</v>
      </c>
      <c r="H11">
        <v>3500</v>
      </c>
      <c r="I11">
        <v>0</v>
      </c>
      <c r="J11">
        <v>0</v>
      </c>
      <c r="K11">
        <v>3500</v>
      </c>
      <c r="L11">
        <v>2450</v>
      </c>
      <c r="M11" s="9" t="s">
        <v>21</v>
      </c>
      <c r="N11" s="9" t="s">
        <v>345</v>
      </c>
    </row>
    <row r="12" spans="1:14">
      <c r="A12" t="s">
        <v>355</v>
      </c>
      <c r="B12" t="s">
        <v>345</v>
      </c>
      <c r="C12" t="s">
        <v>21</v>
      </c>
      <c r="D12" t="s">
        <v>13</v>
      </c>
      <c r="E12" t="s">
        <v>18</v>
      </c>
      <c r="F12">
        <v>1</v>
      </c>
      <c r="G12">
        <v>3500</v>
      </c>
      <c r="H12">
        <v>3500</v>
      </c>
      <c r="I12">
        <v>0</v>
      </c>
      <c r="J12">
        <v>0</v>
      </c>
      <c r="K12">
        <v>3500</v>
      </c>
      <c r="L12">
        <v>2450</v>
      </c>
      <c r="M12" s="9" t="s">
        <v>21</v>
      </c>
      <c r="N12" s="9" t="s">
        <v>345</v>
      </c>
    </row>
    <row r="13" spans="1:14">
      <c r="A13" t="s">
        <v>356</v>
      </c>
      <c r="B13" t="s">
        <v>345</v>
      </c>
      <c r="C13" t="s">
        <v>21</v>
      </c>
      <c r="D13" t="s">
        <v>13</v>
      </c>
      <c r="E13" t="s">
        <v>18</v>
      </c>
      <c r="F13">
        <v>1</v>
      </c>
      <c r="G13">
        <v>3500</v>
      </c>
      <c r="H13">
        <v>3500</v>
      </c>
      <c r="I13">
        <v>0</v>
      </c>
      <c r="J13">
        <v>0</v>
      </c>
      <c r="K13">
        <v>3500</v>
      </c>
      <c r="L13">
        <v>2450</v>
      </c>
      <c r="M13" s="9" t="s">
        <v>21</v>
      </c>
      <c r="N13" s="9" t="s">
        <v>345</v>
      </c>
    </row>
    <row r="14" spans="1:14">
      <c r="A14" t="s">
        <v>357</v>
      </c>
      <c r="B14" t="s">
        <v>345</v>
      </c>
      <c r="C14" t="s">
        <v>21</v>
      </c>
      <c r="D14" t="s">
        <v>13</v>
      </c>
      <c r="E14" t="s">
        <v>18</v>
      </c>
      <c r="F14">
        <v>1</v>
      </c>
      <c r="G14">
        <v>3500</v>
      </c>
      <c r="H14">
        <v>3500</v>
      </c>
      <c r="I14">
        <v>0</v>
      </c>
      <c r="J14">
        <v>0</v>
      </c>
      <c r="K14">
        <v>3500</v>
      </c>
      <c r="L14">
        <v>2450</v>
      </c>
      <c r="M14" s="9" t="s">
        <v>21</v>
      </c>
      <c r="N14" s="9" t="s">
        <v>345</v>
      </c>
    </row>
    <row r="15" spans="1:14">
      <c r="A15" t="s">
        <v>358</v>
      </c>
      <c r="B15" t="s">
        <v>345</v>
      </c>
      <c r="C15" t="s">
        <v>21</v>
      </c>
      <c r="D15" t="s">
        <v>13</v>
      </c>
      <c r="E15" t="s">
        <v>18</v>
      </c>
      <c r="F15">
        <v>1</v>
      </c>
      <c r="G15">
        <v>3500</v>
      </c>
      <c r="H15">
        <v>3500</v>
      </c>
      <c r="I15">
        <v>0</v>
      </c>
      <c r="J15">
        <v>0</v>
      </c>
      <c r="K15">
        <v>3500</v>
      </c>
      <c r="L15">
        <v>2450</v>
      </c>
      <c r="M15" s="9" t="s">
        <v>21</v>
      </c>
      <c r="N15" s="9" t="s">
        <v>345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N4"/>
  <sheetViews>
    <sheetView workbookViewId="0"/>
  </sheetViews>
  <sheetFormatPr defaultRowHeight="17.399999999999999"/>
  <cols>
    <col min="1" max="1" width="27.3984375" bestFit="1" customWidth="1"/>
    <col min="2" max="2" width="6.79687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359</v>
      </c>
      <c r="B2" t="s">
        <v>360</v>
      </c>
      <c r="C2" t="s">
        <v>322</v>
      </c>
      <c r="D2" t="s">
        <v>13</v>
      </c>
      <c r="E2" t="s">
        <v>18</v>
      </c>
      <c r="F2">
        <v>1</v>
      </c>
      <c r="G2">
        <v>1000</v>
      </c>
      <c r="H2">
        <v>1000</v>
      </c>
      <c r="I2">
        <v>0</v>
      </c>
      <c r="J2">
        <v>0</v>
      </c>
      <c r="K2">
        <v>1000</v>
      </c>
      <c r="L2">
        <v>700</v>
      </c>
      <c r="M2" s="9" t="s">
        <v>21</v>
      </c>
      <c r="N2" s="9" t="s">
        <v>360</v>
      </c>
    </row>
    <row r="3" spans="1:14">
      <c r="A3" t="s">
        <v>361</v>
      </c>
      <c r="B3" t="s">
        <v>360</v>
      </c>
      <c r="C3" t="s">
        <v>322</v>
      </c>
      <c r="D3" t="s">
        <v>13</v>
      </c>
      <c r="E3" t="s">
        <v>18</v>
      </c>
      <c r="F3">
        <v>1</v>
      </c>
      <c r="G3">
        <v>3800</v>
      </c>
      <c r="H3">
        <v>3800</v>
      </c>
      <c r="I3">
        <v>0</v>
      </c>
      <c r="J3">
        <v>0</v>
      </c>
      <c r="K3">
        <v>3800</v>
      </c>
      <c r="L3">
        <v>2660</v>
      </c>
      <c r="M3" s="9" t="s">
        <v>21</v>
      </c>
      <c r="N3" s="9" t="s">
        <v>360</v>
      </c>
    </row>
    <row r="4" spans="1:14">
      <c r="A4" t="s">
        <v>362</v>
      </c>
      <c r="B4" t="s">
        <v>360</v>
      </c>
      <c r="C4" t="s">
        <v>322</v>
      </c>
      <c r="D4" t="s">
        <v>13</v>
      </c>
      <c r="E4" t="s">
        <v>18</v>
      </c>
      <c r="F4">
        <v>1</v>
      </c>
      <c r="G4">
        <v>3800</v>
      </c>
      <c r="H4">
        <v>3800</v>
      </c>
      <c r="I4">
        <v>0</v>
      </c>
      <c r="J4">
        <v>0</v>
      </c>
      <c r="K4">
        <v>3800</v>
      </c>
      <c r="L4">
        <v>2660</v>
      </c>
      <c r="M4" s="9" t="s">
        <v>21</v>
      </c>
      <c r="N4" s="9" t="s">
        <v>360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13"/>
  <sheetViews>
    <sheetView workbookViewId="0"/>
  </sheetViews>
  <sheetFormatPr defaultRowHeight="17.399999999999999"/>
  <cols>
    <col min="1" max="1" width="41.5" bestFit="1" customWidth="1"/>
    <col min="2" max="2" width="8.5976562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8.5976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363</v>
      </c>
      <c r="B2" t="s">
        <v>364</v>
      </c>
      <c r="C2" t="s">
        <v>322</v>
      </c>
      <c r="D2" t="s">
        <v>13</v>
      </c>
      <c r="E2" t="s">
        <v>18</v>
      </c>
      <c r="F2">
        <v>5</v>
      </c>
      <c r="G2">
        <v>3800</v>
      </c>
      <c r="H2">
        <v>19000</v>
      </c>
      <c r="I2">
        <v>0</v>
      </c>
      <c r="J2">
        <v>0</v>
      </c>
      <c r="K2">
        <v>19000</v>
      </c>
      <c r="L2">
        <v>13300</v>
      </c>
      <c r="M2" s="9" t="s">
        <v>21</v>
      </c>
      <c r="N2" s="9" t="s">
        <v>364</v>
      </c>
    </row>
    <row r="3" spans="1:14">
      <c r="A3" t="s">
        <v>365</v>
      </c>
      <c r="B3" t="s">
        <v>364</v>
      </c>
      <c r="C3" t="s">
        <v>322</v>
      </c>
      <c r="D3" t="s">
        <v>13</v>
      </c>
      <c r="E3" t="s">
        <v>18</v>
      </c>
      <c r="F3">
        <v>5</v>
      </c>
      <c r="G3">
        <v>300</v>
      </c>
      <c r="H3">
        <v>1500</v>
      </c>
      <c r="I3">
        <v>0</v>
      </c>
      <c r="J3">
        <v>0</v>
      </c>
      <c r="K3">
        <v>1500</v>
      </c>
      <c r="L3">
        <v>1050</v>
      </c>
      <c r="M3" s="9" t="s">
        <v>21</v>
      </c>
      <c r="N3" s="9" t="s">
        <v>364</v>
      </c>
    </row>
    <row r="4" spans="1:14">
      <c r="A4" t="s">
        <v>366</v>
      </c>
      <c r="B4" t="s">
        <v>364</v>
      </c>
      <c r="C4" t="s">
        <v>322</v>
      </c>
      <c r="D4" t="s">
        <v>13</v>
      </c>
      <c r="E4" t="s">
        <v>18</v>
      </c>
      <c r="F4">
        <v>5</v>
      </c>
      <c r="G4">
        <v>2500</v>
      </c>
      <c r="H4">
        <v>12500</v>
      </c>
      <c r="I4">
        <v>0</v>
      </c>
      <c r="J4">
        <v>0</v>
      </c>
      <c r="K4">
        <v>12500</v>
      </c>
      <c r="L4">
        <v>8750</v>
      </c>
      <c r="M4" s="9" t="s">
        <v>21</v>
      </c>
      <c r="N4" s="9" t="s">
        <v>364</v>
      </c>
    </row>
    <row r="5" spans="1:14">
      <c r="A5" t="s">
        <v>367</v>
      </c>
      <c r="B5" t="s">
        <v>364</v>
      </c>
      <c r="C5" t="s">
        <v>322</v>
      </c>
      <c r="D5" t="s">
        <v>13</v>
      </c>
      <c r="E5" t="s">
        <v>18</v>
      </c>
      <c r="F5">
        <v>1</v>
      </c>
      <c r="G5">
        <v>2500</v>
      </c>
      <c r="H5">
        <v>2500</v>
      </c>
      <c r="I5">
        <v>0</v>
      </c>
      <c r="J5">
        <v>0</v>
      </c>
      <c r="K5">
        <v>2500</v>
      </c>
      <c r="L5">
        <v>1750</v>
      </c>
      <c r="M5" s="9" t="s">
        <v>21</v>
      </c>
      <c r="N5" s="9" t="s">
        <v>364</v>
      </c>
    </row>
    <row r="6" spans="1:14">
      <c r="A6" t="s">
        <v>368</v>
      </c>
      <c r="B6" t="s">
        <v>364</v>
      </c>
      <c r="C6" t="s">
        <v>322</v>
      </c>
      <c r="D6" t="s">
        <v>13</v>
      </c>
      <c r="E6" t="s">
        <v>18</v>
      </c>
      <c r="F6">
        <v>5</v>
      </c>
      <c r="G6">
        <v>2500</v>
      </c>
      <c r="H6">
        <v>12500</v>
      </c>
      <c r="I6">
        <v>0</v>
      </c>
      <c r="J6">
        <v>0</v>
      </c>
      <c r="K6">
        <v>12500</v>
      </c>
      <c r="L6">
        <v>8750</v>
      </c>
      <c r="M6" s="9" t="s">
        <v>21</v>
      </c>
      <c r="N6" s="9" t="s">
        <v>364</v>
      </c>
    </row>
    <row r="7" spans="1:14">
      <c r="A7" t="s">
        <v>375</v>
      </c>
      <c r="B7" t="s">
        <v>364</v>
      </c>
      <c r="C7" t="s">
        <v>322</v>
      </c>
      <c r="D7" t="s">
        <v>13</v>
      </c>
      <c r="E7" t="s">
        <v>18</v>
      </c>
      <c r="F7">
        <v>1</v>
      </c>
      <c r="G7">
        <v>4000</v>
      </c>
      <c r="H7">
        <v>4000</v>
      </c>
      <c r="I7">
        <v>0</v>
      </c>
      <c r="J7">
        <v>0</v>
      </c>
      <c r="K7">
        <v>4000</v>
      </c>
      <c r="L7">
        <v>2800</v>
      </c>
      <c r="M7" s="9" t="s">
        <v>21</v>
      </c>
      <c r="N7" s="9" t="s">
        <v>364</v>
      </c>
    </row>
    <row r="8" spans="1:14">
      <c r="A8" t="s">
        <v>376</v>
      </c>
      <c r="B8" t="s">
        <v>364</v>
      </c>
      <c r="C8" t="s">
        <v>322</v>
      </c>
      <c r="D8" t="s">
        <v>13</v>
      </c>
      <c r="E8" t="s">
        <v>18</v>
      </c>
      <c r="F8">
        <v>1</v>
      </c>
      <c r="G8">
        <v>4000</v>
      </c>
      <c r="H8">
        <v>4000</v>
      </c>
      <c r="I8">
        <v>0</v>
      </c>
      <c r="J8">
        <v>0</v>
      </c>
      <c r="K8">
        <v>4000</v>
      </c>
      <c r="L8">
        <v>2800</v>
      </c>
      <c r="M8" s="9" t="s">
        <v>21</v>
      </c>
      <c r="N8" s="9" t="s">
        <v>364</v>
      </c>
    </row>
    <row r="9" spans="1:14">
      <c r="A9" t="s">
        <v>377</v>
      </c>
      <c r="B9" t="s">
        <v>364</v>
      </c>
      <c r="C9" t="s">
        <v>322</v>
      </c>
      <c r="D9" t="s">
        <v>13</v>
      </c>
      <c r="E9" t="s">
        <v>18</v>
      </c>
      <c r="F9">
        <v>1</v>
      </c>
      <c r="G9">
        <v>4000</v>
      </c>
      <c r="H9">
        <v>4000</v>
      </c>
      <c r="I9">
        <v>0</v>
      </c>
      <c r="J9">
        <v>0</v>
      </c>
      <c r="K9">
        <v>4000</v>
      </c>
      <c r="L9">
        <v>2800</v>
      </c>
      <c r="M9" s="9" t="s">
        <v>21</v>
      </c>
      <c r="N9" s="9" t="s">
        <v>364</v>
      </c>
    </row>
    <row r="10" spans="1:14">
      <c r="A10" t="s">
        <v>378</v>
      </c>
      <c r="B10" t="s">
        <v>364</v>
      </c>
      <c r="C10" t="s">
        <v>322</v>
      </c>
      <c r="D10" t="s">
        <v>13</v>
      </c>
      <c r="E10" t="s">
        <v>18</v>
      </c>
      <c r="F10">
        <v>1</v>
      </c>
      <c r="G10">
        <v>4000</v>
      </c>
      <c r="H10">
        <v>4000</v>
      </c>
      <c r="I10">
        <v>0</v>
      </c>
      <c r="J10">
        <v>0</v>
      </c>
      <c r="K10">
        <v>4000</v>
      </c>
      <c r="L10">
        <v>2800</v>
      </c>
      <c r="M10" s="9" t="s">
        <v>21</v>
      </c>
      <c r="N10" s="9" t="s">
        <v>364</v>
      </c>
    </row>
    <row r="11" spans="1:14">
      <c r="A11" t="s">
        <v>405</v>
      </c>
      <c r="B11" t="s">
        <v>364</v>
      </c>
      <c r="C11" t="s">
        <v>322</v>
      </c>
      <c r="D11" t="s">
        <v>13</v>
      </c>
      <c r="E11" t="s">
        <v>18</v>
      </c>
      <c r="F11">
        <v>4</v>
      </c>
      <c r="G11">
        <v>4000</v>
      </c>
      <c r="H11">
        <v>16000</v>
      </c>
      <c r="I11">
        <v>0</v>
      </c>
      <c r="J11">
        <v>0</v>
      </c>
      <c r="K11">
        <v>16000</v>
      </c>
      <c r="L11">
        <v>11200</v>
      </c>
      <c r="M11" s="9" t="s">
        <v>21</v>
      </c>
      <c r="N11" s="9" t="s">
        <v>364</v>
      </c>
    </row>
    <row r="12" spans="1:14">
      <c r="A12" t="s">
        <v>406</v>
      </c>
      <c r="B12" t="s">
        <v>364</v>
      </c>
      <c r="C12" t="s">
        <v>322</v>
      </c>
      <c r="D12" t="s">
        <v>13</v>
      </c>
      <c r="E12" t="s">
        <v>18</v>
      </c>
      <c r="F12">
        <v>1</v>
      </c>
      <c r="G12">
        <v>600</v>
      </c>
      <c r="H12">
        <v>600</v>
      </c>
      <c r="I12">
        <v>0</v>
      </c>
      <c r="J12">
        <v>0</v>
      </c>
      <c r="K12">
        <v>600</v>
      </c>
      <c r="L12">
        <v>420</v>
      </c>
      <c r="M12" s="9" t="s">
        <v>21</v>
      </c>
      <c r="N12" s="9" t="s">
        <v>364</v>
      </c>
    </row>
    <row r="13" spans="1:14">
      <c r="A13" t="s">
        <v>407</v>
      </c>
      <c r="B13" t="s">
        <v>364</v>
      </c>
      <c r="C13" t="s">
        <v>322</v>
      </c>
      <c r="D13" t="s">
        <v>13</v>
      </c>
      <c r="E13" t="s">
        <v>18</v>
      </c>
      <c r="F13">
        <v>4</v>
      </c>
      <c r="G13">
        <v>600</v>
      </c>
      <c r="H13">
        <v>2400</v>
      </c>
      <c r="I13">
        <v>0</v>
      </c>
      <c r="J13">
        <v>0</v>
      </c>
      <c r="K13">
        <v>2400</v>
      </c>
      <c r="L13">
        <v>1680</v>
      </c>
      <c r="M13" s="9" t="s">
        <v>21</v>
      </c>
      <c r="N13" s="9" t="s">
        <v>364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N9"/>
  <sheetViews>
    <sheetView workbookViewId="0"/>
  </sheetViews>
  <sheetFormatPr defaultRowHeight="17.399999999999999"/>
  <cols>
    <col min="1" max="1" width="30" bestFit="1" customWidth="1"/>
    <col min="2" max="2" width="8.5976562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8.5976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388</v>
      </c>
      <c r="B2" t="s">
        <v>389</v>
      </c>
      <c r="C2" t="s">
        <v>322</v>
      </c>
      <c r="D2" t="s">
        <v>13</v>
      </c>
      <c r="E2" t="s">
        <v>18</v>
      </c>
      <c r="F2">
        <v>10</v>
      </c>
      <c r="G2">
        <v>2200</v>
      </c>
      <c r="H2">
        <v>22000</v>
      </c>
      <c r="I2">
        <v>0</v>
      </c>
      <c r="J2">
        <v>0</v>
      </c>
      <c r="K2">
        <v>22000</v>
      </c>
      <c r="L2">
        <v>15400</v>
      </c>
      <c r="M2" s="9" t="s">
        <v>21</v>
      </c>
      <c r="N2" s="9" t="s">
        <v>389</v>
      </c>
    </row>
    <row r="3" spans="1:14">
      <c r="A3" t="s">
        <v>390</v>
      </c>
      <c r="B3" t="s">
        <v>389</v>
      </c>
      <c r="C3" t="s">
        <v>322</v>
      </c>
      <c r="D3" t="s">
        <v>13</v>
      </c>
      <c r="E3" t="s">
        <v>18</v>
      </c>
      <c r="F3">
        <v>22</v>
      </c>
      <c r="G3">
        <v>2200</v>
      </c>
      <c r="H3">
        <v>48400</v>
      </c>
      <c r="I3">
        <v>0</v>
      </c>
      <c r="J3">
        <v>0</v>
      </c>
      <c r="K3">
        <v>48400</v>
      </c>
      <c r="L3">
        <v>33880</v>
      </c>
      <c r="M3" s="9" t="s">
        <v>21</v>
      </c>
      <c r="N3" s="9" t="s">
        <v>389</v>
      </c>
    </row>
    <row r="4" spans="1:14">
      <c r="A4" t="s">
        <v>391</v>
      </c>
      <c r="B4" t="s">
        <v>389</v>
      </c>
      <c r="C4" t="s">
        <v>322</v>
      </c>
      <c r="D4" t="s">
        <v>13</v>
      </c>
      <c r="E4" t="s">
        <v>18</v>
      </c>
      <c r="F4">
        <v>18</v>
      </c>
      <c r="G4">
        <v>2800</v>
      </c>
      <c r="H4">
        <v>50400</v>
      </c>
      <c r="I4">
        <v>0</v>
      </c>
      <c r="J4">
        <v>0</v>
      </c>
      <c r="K4">
        <v>50400</v>
      </c>
      <c r="L4">
        <v>35280</v>
      </c>
      <c r="M4" s="9" t="s">
        <v>21</v>
      </c>
      <c r="N4" s="9" t="s">
        <v>389</v>
      </c>
    </row>
    <row r="5" spans="1:14">
      <c r="A5" t="s">
        <v>392</v>
      </c>
      <c r="B5" t="s">
        <v>389</v>
      </c>
      <c r="C5" t="s">
        <v>322</v>
      </c>
      <c r="D5" t="s">
        <v>13</v>
      </c>
      <c r="E5" t="s">
        <v>18</v>
      </c>
      <c r="F5">
        <v>22</v>
      </c>
      <c r="G5">
        <v>2800</v>
      </c>
      <c r="H5">
        <v>61600</v>
      </c>
      <c r="I5">
        <v>0</v>
      </c>
      <c r="J5">
        <v>0</v>
      </c>
      <c r="K5">
        <v>61600</v>
      </c>
      <c r="L5">
        <v>43120</v>
      </c>
      <c r="M5" s="9" t="s">
        <v>21</v>
      </c>
      <c r="N5" s="9" t="s">
        <v>389</v>
      </c>
    </row>
    <row r="6" spans="1:14">
      <c r="A6" t="s">
        <v>393</v>
      </c>
      <c r="B6" t="s">
        <v>389</v>
      </c>
      <c r="C6" t="s">
        <v>322</v>
      </c>
      <c r="D6" t="s">
        <v>13</v>
      </c>
      <c r="E6" t="s">
        <v>18</v>
      </c>
      <c r="F6">
        <v>12</v>
      </c>
      <c r="G6">
        <v>2800</v>
      </c>
      <c r="H6">
        <v>33600</v>
      </c>
      <c r="I6">
        <v>0</v>
      </c>
      <c r="J6">
        <v>0</v>
      </c>
      <c r="K6">
        <v>33600</v>
      </c>
      <c r="L6">
        <v>23520</v>
      </c>
      <c r="M6" s="9" t="s">
        <v>21</v>
      </c>
      <c r="N6" s="9" t="s">
        <v>389</v>
      </c>
    </row>
    <row r="7" spans="1:14">
      <c r="A7" t="s">
        <v>394</v>
      </c>
      <c r="B7" t="s">
        <v>389</v>
      </c>
      <c r="C7" t="s">
        <v>322</v>
      </c>
      <c r="D7" t="s">
        <v>13</v>
      </c>
      <c r="E7" t="s">
        <v>18</v>
      </c>
      <c r="F7">
        <v>22</v>
      </c>
      <c r="G7">
        <v>2800</v>
      </c>
      <c r="H7">
        <v>61600</v>
      </c>
      <c r="I7">
        <v>0</v>
      </c>
      <c r="J7">
        <v>0</v>
      </c>
      <c r="K7">
        <v>61600</v>
      </c>
      <c r="L7">
        <v>43120</v>
      </c>
      <c r="M7" s="9" t="s">
        <v>21</v>
      </c>
      <c r="N7" s="9" t="s">
        <v>389</v>
      </c>
    </row>
    <row r="8" spans="1:14">
      <c r="A8" t="s">
        <v>395</v>
      </c>
      <c r="B8" t="s">
        <v>389</v>
      </c>
      <c r="C8" t="s">
        <v>322</v>
      </c>
      <c r="D8" t="s">
        <v>13</v>
      </c>
      <c r="E8" t="s">
        <v>18</v>
      </c>
      <c r="F8">
        <v>9</v>
      </c>
      <c r="G8">
        <v>2800</v>
      </c>
      <c r="H8">
        <v>25200</v>
      </c>
      <c r="I8">
        <v>0</v>
      </c>
      <c r="J8">
        <v>0</v>
      </c>
      <c r="K8">
        <v>25200</v>
      </c>
      <c r="L8">
        <v>17640</v>
      </c>
      <c r="M8" s="9" t="s">
        <v>21</v>
      </c>
      <c r="N8" s="9" t="s">
        <v>389</v>
      </c>
    </row>
    <row r="9" spans="1:14">
      <c r="A9" t="s">
        <v>396</v>
      </c>
      <c r="B9" t="s">
        <v>389</v>
      </c>
      <c r="C9" t="s">
        <v>322</v>
      </c>
      <c r="D9" t="s">
        <v>13</v>
      </c>
      <c r="E9" t="s">
        <v>18</v>
      </c>
      <c r="F9">
        <v>22</v>
      </c>
      <c r="G9">
        <v>2800</v>
      </c>
      <c r="H9">
        <v>61600</v>
      </c>
      <c r="I9">
        <v>0</v>
      </c>
      <c r="J9">
        <v>0</v>
      </c>
      <c r="K9">
        <v>61600</v>
      </c>
      <c r="L9">
        <v>43120</v>
      </c>
      <c r="M9" s="9" t="s">
        <v>21</v>
      </c>
      <c r="N9" s="9" t="s">
        <v>389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N5"/>
  <sheetViews>
    <sheetView workbookViewId="0"/>
  </sheetViews>
  <sheetFormatPr defaultRowHeight="17.399999999999999"/>
  <cols>
    <col min="1" max="1" width="31.5" bestFit="1" customWidth="1"/>
    <col min="2" max="2" width="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398</v>
      </c>
      <c r="B2" t="s">
        <v>399</v>
      </c>
      <c r="C2" t="s">
        <v>322</v>
      </c>
      <c r="D2" t="s">
        <v>13</v>
      </c>
      <c r="E2" t="s">
        <v>18</v>
      </c>
      <c r="F2">
        <v>1</v>
      </c>
      <c r="G2">
        <v>4600</v>
      </c>
      <c r="H2">
        <v>4600</v>
      </c>
      <c r="I2">
        <v>0</v>
      </c>
      <c r="J2">
        <v>0</v>
      </c>
      <c r="K2">
        <v>4600</v>
      </c>
      <c r="L2">
        <v>3220</v>
      </c>
      <c r="M2" s="9" t="s">
        <v>21</v>
      </c>
      <c r="N2" s="9" t="s">
        <v>399</v>
      </c>
    </row>
    <row r="3" spans="1:14">
      <c r="A3" t="s">
        <v>408</v>
      </c>
      <c r="B3" t="s">
        <v>399</v>
      </c>
      <c r="C3" t="s">
        <v>322</v>
      </c>
      <c r="D3" t="s">
        <v>13</v>
      </c>
      <c r="E3" t="s">
        <v>18</v>
      </c>
      <c r="F3">
        <v>1</v>
      </c>
      <c r="G3">
        <v>600</v>
      </c>
      <c r="H3">
        <v>600</v>
      </c>
      <c r="I3">
        <v>0</v>
      </c>
      <c r="J3">
        <v>0</v>
      </c>
      <c r="K3">
        <v>600</v>
      </c>
      <c r="L3">
        <v>420</v>
      </c>
      <c r="M3" s="9" t="s">
        <v>21</v>
      </c>
      <c r="N3" s="9" t="s">
        <v>399</v>
      </c>
    </row>
    <row r="4" spans="1:14">
      <c r="A4" t="s">
        <v>409</v>
      </c>
      <c r="B4" t="s">
        <v>399</v>
      </c>
      <c r="C4" t="s">
        <v>322</v>
      </c>
      <c r="D4" t="s">
        <v>13</v>
      </c>
      <c r="E4" t="s">
        <v>18</v>
      </c>
      <c r="F4">
        <v>1</v>
      </c>
      <c r="G4">
        <v>3300</v>
      </c>
      <c r="H4">
        <v>3300</v>
      </c>
      <c r="I4">
        <v>0</v>
      </c>
      <c r="J4">
        <v>0</v>
      </c>
      <c r="K4">
        <v>3300</v>
      </c>
      <c r="L4">
        <v>2310</v>
      </c>
      <c r="M4" s="9" t="s">
        <v>21</v>
      </c>
      <c r="N4" s="9" t="s">
        <v>399</v>
      </c>
    </row>
    <row r="5" spans="1:14">
      <c r="A5" t="s">
        <v>410</v>
      </c>
      <c r="B5" t="s">
        <v>399</v>
      </c>
      <c r="C5" t="s">
        <v>322</v>
      </c>
      <c r="D5" t="s">
        <v>13</v>
      </c>
      <c r="E5" t="s">
        <v>18</v>
      </c>
      <c r="F5">
        <v>1</v>
      </c>
      <c r="G5">
        <v>3300</v>
      </c>
      <c r="H5">
        <v>3300</v>
      </c>
      <c r="I5">
        <v>0</v>
      </c>
      <c r="J5">
        <v>0</v>
      </c>
      <c r="K5">
        <v>3300</v>
      </c>
      <c r="L5">
        <v>2310</v>
      </c>
      <c r="M5" s="9" t="s">
        <v>21</v>
      </c>
      <c r="N5" s="9" t="s">
        <v>399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N2"/>
  <sheetViews>
    <sheetView workbookViewId="0"/>
  </sheetViews>
  <sheetFormatPr defaultRowHeight="17.399999999999999"/>
  <cols>
    <col min="1" max="1" width="23.09765625" bestFit="1" customWidth="1"/>
    <col min="2" max="2" width="6.796875" bestFit="1" customWidth="1"/>
    <col min="3" max="3" width="13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400</v>
      </c>
      <c r="B2" t="s">
        <v>401</v>
      </c>
      <c r="C2" t="s">
        <v>322</v>
      </c>
      <c r="D2" t="s">
        <v>13</v>
      </c>
      <c r="E2" t="s">
        <v>18</v>
      </c>
      <c r="F2">
        <v>1</v>
      </c>
      <c r="G2">
        <v>4300</v>
      </c>
      <c r="H2">
        <v>4300</v>
      </c>
      <c r="I2">
        <v>0</v>
      </c>
      <c r="J2">
        <v>0</v>
      </c>
      <c r="K2">
        <v>4300</v>
      </c>
      <c r="L2">
        <v>3010</v>
      </c>
      <c r="M2" s="9" t="s">
        <v>21</v>
      </c>
      <c r="N2" s="9" t="s">
        <v>401</v>
      </c>
    </row>
  </sheetData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N2"/>
  <sheetViews>
    <sheetView workbookViewId="0"/>
  </sheetViews>
  <sheetFormatPr defaultRowHeight="17.399999999999999"/>
  <cols>
    <col min="1" max="1" width="22.3984375" bestFit="1" customWidth="1"/>
    <col min="2" max="2" width="5" bestFit="1" customWidth="1"/>
    <col min="3" max="3" width="10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3" width="10.3984375" bestFit="1" customWidth="1"/>
    <col min="14" max="14" width="7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403</v>
      </c>
      <c r="B2" t="s">
        <v>404</v>
      </c>
      <c r="C2" t="s">
        <v>21</v>
      </c>
      <c r="D2" t="s">
        <v>13</v>
      </c>
      <c r="E2" t="s">
        <v>18</v>
      </c>
      <c r="F2">
        <v>1</v>
      </c>
      <c r="G2">
        <v>2800</v>
      </c>
      <c r="H2">
        <v>2800</v>
      </c>
      <c r="I2">
        <v>0</v>
      </c>
      <c r="J2">
        <v>0</v>
      </c>
      <c r="K2">
        <v>2800</v>
      </c>
      <c r="L2">
        <v>1960</v>
      </c>
      <c r="M2" s="9" t="s">
        <v>21</v>
      </c>
      <c r="N2" s="9" t="s">
        <v>404</v>
      </c>
    </row>
  </sheetData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N48"/>
  <sheetViews>
    <sheetView workbookViewId="0"/>
  </sheetViews>
  <sheetFormatPr defaultRowHeight="17.399999999999999"/>
  <cols>
    <col min="1" max="1" width="52" bestFit="1" customWidth="1"/>
    <col min="2" max="2" width="14.3984375" bestFit="1" customWidth="1"/>
    <col min="3" max="3" width="8.5976562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4" width="8.5976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411</v>
      </c>
      <c r="B2" t="s">
        <v>412</v>
      </c>
      <c r="C2" t="s">
        <v>413</v>
      </c>
      <c r="D2" t="s">
        <v>13</v>
      </c>
      <c r="E2" t="s">
        <v>18</v>
      </c>
      <c r="F2">
        <v>3</v>
      </c>
      <c r="G2">
        <v>700</v>
      </c>
      <c r="H2">
        <v>2100</v>
      </c>
      <c r="I2">
        <v>0</v>
      </c>
      <c r="J2">
        <v>0</v>
      </c>
      <c r="K2">
        <v>2100</v>
      </c>
      <c r="L2">
        <v>1470</v>
      </c>
      <c r="M2" s="9" t="s">
        <v>540</v>
      </c>
      <c r="N2" s="9" t="s">
        <v>540</v>
      </c>
    </row>
    <row r="3" spans="1:14">
      <c r="A3" t="s">
        <v>414</v>
      </c>
      <c r="B3" t="s">
        <v>412</v>
      </c>
      <c r="C3" t="s">
        <v>413</v>
      </c>
      <c r="D3" t="s">
        <v>13</v>
      </c>
      <c r="E3" t="s">
        <v>18</v>
      </c>
      <c r="F3">
        <v>1</v>
      </c>
      <c r="G3">
        <v>3500</v>
      </c>
      <c r="H3">
        <v>3500</v>
      </c>
      <c r="I3">
        <v>0</v>
      </c>
      <c r="J3">
        <v>0</v>
      </c>
      <c r="K3">
        <v>3500</v>
      </c>
      <c r="L3">
        <v>2450</v>
      </c>
      <c r="M3" s="9" t="s">
        <v>540</v>
      </c>
      <c r="N3" s="9" t="s">
        <v>540</v>
      </c>
    </row>
    <row r="4" spans="1:14">
      <c r="A4" t="s">
        <v>415</v>
      </c>
      <c r="B4" t="s">
        <v>412</v>
      </c>
      <c r="C4" t="s">
        <v>413</v>
      </c>
      <c r="D4" t="s">
        <v>13</v>
      </c>
      <c r="E4" t="s">
        <v>18</v>
      </c>
      <c r="F4">
        <v>1</v>
      </c>
      <c r="G4">
        <v>3500</v>
      </c>
      <c r="H4">
        <v>3500</v>
      </c>
      <c r="I4">
        <v>0</v>
      </c>
      <c r="J4">
        <v>0</v>
      </c>
      <c r="K4">
        <v>3500</v>
      </c>
      <c r="L4">
        <v>2450</v>
      </c>
      <c r="M4" s="9" t="s">
        <v>540</v>
      </c>
      <c r="N4" s="9" t="s">
        <v>540</v>
      </c>
    </row>
    <row r="5" spans="1:14">
      <c r="A5" t="s">
        <v>416</v>
      </c>
      <c r="B5" t="s">
        <v>412</v>
      </c>
      <c r="C5" t="s">
        <v>413</v>
      </c>
      <c r="D5" t="s">
        <v>13</v>
      </c>
      <c r="E5" t="s">
        <v>18</v>
      </c>
      <c r="F5">
        <v>2</v>
      </c>
      <c r="G5">
        <v>3500</v>
      </c>
      <c r="H5">
        <v>7000</v>
      </c>
      <c r="I5">
        <v>0</v>
      </c>
      <c r="J5">
        <v>0</v>
      </c>
      <c r="K5">
        <v>7000</v>
      </c>
      <c r="L5">
        <v>4900</v>
      </c>
      <c r="M5" s="9" t="s">
        <v>540</v>
      </c>
      <c r="N5" s="9" t="s">
        <v>540</v>
      </c>
    </row>
    <row r="6" spans="1:14">
      <c r="A6" t="s">
        <v>417</v>
      </c>
      <c r="B6" t="s">
        <v>418</v>
      </c>
      <c r="C6" t="s">
        <v>413</v>
      </c>
      <c r="D6" t="s">
        <v>13</v>
      </c>
      <c r="E6" t="s">
        <v>18</v>
      </c>
      <c r="F6">
        <v>1</v>
      </c>
      <c r="G6">
        <v>3300</v>
      </c>
      <c r="H6">
        <v>3300</v>
      </c>
      <c r="I6">
        <v>0</v>
      </c>
      <c r="J6">
        <v>0</v>
      </c>
      <c r="K6">
        <v>3300</v>
      </c>
      <c r="L6">
        <v>2310</v>
      </c>
      <c r="M6" s="9" t="s">
        <v>540</v>
      </c>
      <c r="N6" s="9" t="s">
        <v>540</v>
      </c>
    </row>
    <row r="7" spans="1:14">
      <c r="A7" t="s">
        <v>419</v>
      </c>
      <c r="B7" t="s">
        <v>420</v>
      </c>
      <c r="C7" t="s">
        <v>413</v>
      </c>
      <c r="D7" t="s">
        <v>13</v>
      </c>
      <c r="E7" t="s">
        <v>18</v>
      </c>
      <c r="F7">
        <v>1</v>
      </c>
      <c r="G7">
        <v>3500</v>
      </c>
      <c r="H7">
        <v>3500</v>
      </c>
      <c r="I7">
        <v>0</v>
      </c>
      <c r="J7">
        <v>0</v>
      </c>
      <c r="K7">
        <v>3500</v>
      </c>
      <c r="L7">
        <v>2450</v>
      </c>
      <c r="M7" s="9" t="s">
        <v>540</v>
      </c>
      <c r="N7" s="9" t="s">
        <v>540</v>
      </c>
    </row>
    <row r="8" spans="1:14">
      <c r="A8" t="s">
        <v>421</v>
      </c>
      <c r="B8" t="s">
        <v>422</v>
      </c>
      <c r="C8" t="s">
        <v>413</v>
      </c>
      <c r="D8" t="s">
        <v>13</v>
      </c>
      <c r="E8" t="s">
        <v>16</v>
      </c>
      <c r="F8">
        <v>137</v>
      </c>
      <c r="G8">
        <v>100</v>
      </c>
      <c r="H8">
        <v>13700</v>
      </c>
      <c r="I8">
        <v>0</v>
      </c>
      <c r="J8">
        <v>0</v>
      </c>
      <c r="K8">
        <v>13700</v>
      </c>
      <c r="L8">
        <v>9590</v>
      </c>
      <c r="M8" s="9" t="s">
        <v>540</v>
      </c>
      <c r="N8" s="9" t="s">
        <v>540</v>
      </c>
    </row>
    <row r="9" spans="1:14">
      <c r="A9" t="s">
        <v>426</v>
      </c>
      <c r="B9" t="s">
        <v>427</v>
      </c>
      <c r="C9" t="s">
        <v>413</v>
      </c>
      <c r="D9" t="s">
        <v>13</v>
      </c>
      <c r="E9" t="s">
        <v>18</v>
      </c>
      <c r="F9">
        <v>1</v>
      </c>
      <c r="G9">
        <v>3200</v>
      </c>
      <c r="H9">
        <v>3200</v>
      </c>
      <c r="I9">
        <v>0</v>
      </c>
      <c r="J9">
        <v>0</v>
      </c>
      <c r="K9">
        <v>3200</v>
      </c>
      <c r="L9">
        <v>2240</v>
      </c>
      <c r="M9" s="9" t="s">
        <v>540</v>
      </c>
      <c r="N9" s="9" t="s">
        <v>540</v>
      </c>
    </row>
    <row r="10" spans="1:14">
      <c r="A10" t="s">
        <v>432</v>
      </c>
      <c r="B10" t="s">
        <v>433</v>
      </c>
      <c r="C10" t="s">
        <v>413</v>
      </c>
      <c r="D10" t="s">
        <v>13</v>
      </c>
      <c r="E10" t="s">
        <v>16</v>
      </c>
      <c r="F10">
        <v>98</v>
      </c>
      <c r="G10">
        <v>100</v>
      </c>
      <c r="H10">
        <v>9800</v>
      </c>
      <c r="I10">
        <v>0</v>
      </c>
      <c r="J10">
        <v>0</v>
      </c>
      <c r="K10">
        <v>9800</v>
      </c>
      <c r="L10">
        <v>6860</v>
      </c>
      <c r="M10" s="9" t="s">
        <v>540</v>
      </c>
      <c r="N10" s="9" t="s">
        <v>540</v>
      </c>
    </row>
    <row r="11" spans="1:14">
      <c r="A11" t="s">
        <v>434</v>
      </c>
      <c r="B11" t="s">
        <v>433</v>
      </c>
      <c r="C11" t="s">
        <v>413</v>
      </c>
      <c r="D11" t="s">
        <v>13</v>
      </c>
      <c r="E11" t="s">
        <v>18</v>
      </c>
      <c r="F11">
        <v>2</v>
      </c>
      <c r="G11">
        <v>3200</v>
      </c>
      <c r="H11">
        <v>6400</v>
      </c>
      <c r="I11">
        <v>0</v>
      </c>
      <c r="J11">
        <v>0</v>
      </c>
      <c r="K11">
        <v>6400</v>
      </c>
      <c r="L11">
        <v>4480</v>
      </c>
      <c r="M11" s="9" t="s">
        <v>540</v>
      </c>
      <c r="N11" s="9" t="s">
        <v>540</v>
      </c>
    </row>
    <row r="12" spans="1:14">
      <c r="A12" t="s">
        <v>435</v>
      </c>
      <c r="B12" t="s">
        <v>433</v>
      </c>
      <c r="C12" t="s">
        <v>413</v>
      </c>
      <c r="D12" t="s">
        <v>13</v>
      </c>
      <c r="E12" t="s">
        <v>18</v>
      </c>
      <c r="F12">
        <v>2</v>
      </c>
      <c r="G12">
        <v>3200</v>
      </c>
      <c r="H12">
        <v>6400</v>
      </c>
      <c r="I12">
        <v>0</v>
      </c>
      <c r="J12">
        <v>0</v>
      </c>
      <c r="K12">
        <v>6400</v>
      </c>
      <c r="L12">
        <v>4480</v>
      </c>
      <c r="M12" s="9" t="s">
        <v>540</v>
      </c>
      <c r="N12" s="9" t="s">
        <v>540</v>
      </c>
    </row>
    <row r="13" spans="1:14">
      <c r="A13" t="s">
        <v>436</v>
      </c>
      <c r="B13" t="s">
        <v>433</v>
      </c>
      <c r="C13" t="s">
        <v>413</v>
      </c>
      <c r="D13" t="s">
        <v>13</v>
      </c>
      <c r="E13" t="s">
        <v>18</v>
      </c>
      <c r="F13">
        <v>2</v>
      </c>
      <c r="G13">
        <v>3200</v>
      </c>
      <c r="H13">
        <v>6400</v>
      </c>
      <c r="I13">
        <v>0</v>
      </c>
      <c r="J13">
        <v>0</v>
      </c>
      <c r="K13">
        <v>6400</v>
      </c>
      <c r="L13">
        <v>4480</v>
      </c>
      <c r="M13" s="9" t="s">
        <v>540</v>
      </c>
      <c r="N13" s="9" t="s">
        <v>540</v>
      </c>
    </row>
    <row r="14" spans="1:14">
      <c r="A14" t="s">
        <v>441</v>
      </c>
      <c r="B14" t="s">
        <v>442</v>
      </c>
      <c r="C14" t="s">
        <v>413</v>
      </c>
      <c r="D14" t="s">
        <v>13</v>
      </c>
      <c r="E14" t="s">
        <v>16</v>
      </c>
      <c r="F14">
        <v>11</v>
      </c>
      <c r="G14">
        <v>100</v>
      </c>
      <c r="H14">
        <v>1100</v>
      </c>
      <c r="I14">
        <v>0</v>
      </c>
      <c r="J14">
        <v>0</v>
      </c>
      <c r="K14">
        <v>1100</v>
      </c>
      <c r="L14">
        <v>770</v>
      </c>
      <c r="M14" s="9" t="s">
        <v>540</v>
      </c>
      <c r="N14" s="9" t="s">
        <v>540</v>
      </c>
    </row>
    <row r="15" spans="1:14">
      <c r="A15" t="s">
        <v>443</v>
      </c>
      <c r="B15" t="s">
        <v>444</v>
      </c>
      <c r="C15" t="s">
        <v>413</v>
      </c>
      <c r="D15" t="s">
        <v>13</v>
      </c>
      <c r="E15" t="s">
        <v>18</v>
      </c>
      <c r="F15">
        <v>1</v>
      </c>
      <c r="G15">
        <v>3500</v>
      </c>
      <c r="H15">
        <v>3500</v>
      </c>
      <c r="I15">
        <v>0</v>
      </c>
      <c r="J15">
        <v>0</v>
      </c>
      <c r="K15">
        <v>3500</v>
      </c>
      <c r="L15">
        <v>2450</v>
      </c>
      <c r="M15" s="9" t="s">
        <v>540</v>
      </c>
      <c r="N15" s="9" t="s">
        <v>540</v>
      </c>
    </row>
    <row r="16" spans="1:14">
      <c r="A16" t="s">
        <v>460</v>
      </c>
      <c r="B16" t="s">
        <v>461</v>
      </c>
      <c r="C16" t="s">
        <v>413</v>
      </c>
      <c r="D16" t="s">
        <v>13</v>
      </c>
      <c r="E16" t="s">
        <v>18</v>
      </c>
      <c r="F16">
        <v>4</v>
      </c>
      <c r="G16">
        <v>3000</v>
      </c>
      <c r="H16">
        <v>12000</v>
      </c>
      <c r="I16">
        <v>0</v>
      </c>
      <c r="J16">
        <v>0</v>
      </c>
      <c r="K16">
        <v>12000</v>
      </c>
      <c r="L16">
        <v>8400</v>
      </c>
      <c r="M16" s="9" t="s">
        <v>540</v>
      </c>
      <c r="N16" s="9" t="s">
        <v>540</v>
      </c>
    </row>
    <row r="17" spans="1:14">
      <c r="A17" t="s">
        <v>462</v>
      </c>
      <c r="B17" t="s">
        <v>461</v>
      </c>
      <c r="C17" t="s">
        <v>413</v>
      </c>
      <c r="D17" t="s">
        <v>13</v>
      </c>
      <c r="E17" t="s">
        <v>18</v>
      </c>
      <c r="F17">
        <v>5</v>
      </c>
      <c r="G17">
        <v>3000</v>
      </c>
      <c r="H17">
        <v>15000</v>
      </c>
      <c r="I17">
        <v>0</v>
      </c>
      <c r="J17">
        <v>0</v>
      </c>
      <c r="K17">
        <v>15000</v>
      </c>
      <c r="L17">
        <v>10500</v>
      </c>
      <c r="M17" s="9" t="s">
        <v>540</v>
      </c>
      <c r="N17" s="9" t="s">
        <v>540</v>
      </c>
    </row>
    <row r="18" spans="1:14">
      <c r="A18" t="s">
        <v>463</v>
      </c>
      <c r="B18" t="s">
        <v>461</v>
      </c>
      <c r="C18" t="s">
        <v>413</v>
      </c>
      <c r="D18" t="s">
        <v>13</v>
      </c>
      <c r="E18" t="s">
        <v>18</v>
      </c>
      <c r="F18">
        <v>5</v>
      </c>
      <c r="G18">
        <v>3000</v>
      </c>
      <c r="H18">
        <v>15000</v>
      </c>
      <c r="I18">
        <v>0</v>
      </c>
      <c r="J18">
        <v>0</v>
      </c>
      <c r="K18">
        <v>15000</v>
      </c>
      <c r="L18">
        <v>10500</v>
      </c>
      <c r="M18" s="9" t="s">
        <v>540</v>
      </c>
      <c r="N18" s="9" t="s">
        <v>540</v>
      </c>
    </row>
    <row r="19" spans="1:14">
      <c r="A19" t="s">
        <v>464</v>
      </c>
      <c r="B19" t="s">
        <v>461</v>
      </c>
      <c r="C19" t="s">
        <v>413</v>
      </c>
      <c r="D19" t="s">
        <v>13</v>
      </c>
      <c r="E19" t="s">
        <v>18</v>
      </c>
      <c r="F19">
        <v>4</v>
      </c>
      <c r="G19">
        <v>3000</v>
      </c>
      <c r="H19">
        <v>12000</v>
      </c>
      <c r="I19">
        <v>0</v>
      </c>
      <c r="J19">
        <v>0</v>
      </c>
      <c r="K19">
        <v>12000</v>
      </c>
      <c r="L19">
        <v>8400</v>
      </c>
      <c r="M19" s="9" t="s">
        <v>540</v>
      </c>
      <c r="N19" s="9" t="s">
        <v>540</v>
      </c>
    </row>
    <row r="20" spans="1:14">
      <c r="A20" t="s">
        <v>465</v>
      </c>
      <c r="B20" t="s">
        <v>461</v>
      </c>
      <c r="C20" t="s">
        <v>413</v>
      </c>
      <c r="D20" t="s">
        <v>13</v>
      </c>
      <c r="E20" t="s">
        <v>18</v>
      </c>
      <c r="F20">
        <v>5</v>
      </c>
      <c r="G20">
        <v>3000</v>
      </c>
      <c r="H20">
        <v>15000</v>
      </c>
      <c r="I20">
        <v>0</v>
      </c>
      <c r="J20">
        <v>0</v>
      </c>
      <c r="K20">
        <v>15000</v>
      </c>
      <c r="L20">
        <v>10500</v>
      </c>
      <c r="M20" s="9" t="s">
        <v>540</v>
      </c>
      <c r="N20" s="9" t="s">
        <v>540</v>
      </c>
    </row>
    <row r="21" spans="1:14">
      <c r="A21" t="s">
        <v>472</v>
      </c>
      <c r="B21" t="s">
        <v>473</v>
      </c>
      <c r="C21" t="s">
        <v>413</v>
      </c>
      <c r="D21" t="s">
        <v>13</v>
      </c>
      <c r="E21" t="s">
        <v>18</v>
      </c>
      <c r="F21">
        <v>1</v>
      </c>
      <c r="G21">
        <v>2500</v>
      </c>
      <c r="H21">
        <v>2500</v>
      </c>
      <c r="I21">
        <v>0</v>
      </c>
      <c r="J21">
        <v>0</v>
      </c>
      <c r="K21">
        <v>2500</v>
      </c>
      <c r="L21">
        <v>1750</v>
      </c>
      <c r="M21" s="9" t="s">
        <v>540</v>
      </c>
      <c r="N21" s="9" t="s">
        <v>540</v>
      </c>
    </row>
    <row r="22" spans="1:14">
      <c r="A22" t="s">
        <v>474</v>
      </c>
      <c r="B22" t="s">
        <v>473</v>
      </c>
      <c r="C22" t="s">
        <v>413</v>
      </c>
      <c r="D22" t="s">
        <v>13</v>
      </c>
      <c r="E22" t="s">
        <v>18</v>
      </c>
      <c r="F22">
        <v>1</v>
      </c>
      <c r="G22">
        <v>3500</v>
      </c>
      <c r="H22">
        <v>3500</v>
      </c>
      <c r="I22">
        <v>0</v>
      </c>
      <c r="J22">
        <v>0</v>
      </c>
      <c r="K22">
        <v>3500</v>
      </c>
      <c r="L22">
        <v>2450</v>
      </c>
      <c r="M22" s="9" t="s">
        <v>540</v>
      </c>
      <c r="N22" s="9" t="s">
        <v>540</v>
      </c>
    </row>
    <row r="23" spans="1:14">
      <c r="A23" t="s">
        <v>475</v>
      </c>
      <c r="B23" t="s">
        <v>473</v>
      </c>
      <c r="C23" t="s">
        <v>413</v>
      </c>
      <c r="D23" t="s">
        <v>13</v>
      </c>
      <c r="E23" t="s">
        <v>18</v>
      </c>
      <c r="F23">
        <v>1</v>
      </c>
      <c r="G23">
        <v>3500</v>
      </c>
      <c r="H23">
        <v>3500</v>
      </c>
      <c r="I23">
        <v>0</v>
      </c>
      <c r="J23">
        <v>0</v>
      </c>
      <c r="K23">
        <v>3500</v>
      </c>
      <c r="L23">
        <v>2450</v>
      </c>
      <c r="M23" s="9" t="s">
        <v>540</v>
      </c>
      <c r="N23" s="9" t="s">
        <v>540</v>
      </c>
    </row>
    <row r="24" spans="1:14">
      <c r="A24" t="s">
        <v>476</v>
      </c>
      <c r="B24" t="s">
        <v>473</v>
      </c>
      <c r="C24" t="s">
        <v>413</v>
      </c>
      <c r="D24" t="s">
        <v>13</v>
      </c>
      <c r="E24" t="s">
        <v>18</v>
      </c>
      <c r="F24">
        <v>1</v>
      </c>
      <c r="G24">
        <v>3500</v>
      </c>
      <c r="H24">
        <v>3500</v>
      </c>
      <c r="I24">
        <v>0</v>
      </c>
      <c r="J24">
        <v>0</v>
      </c>
      <c r="K24">
        <v>3500</v>
      </c>
      <c r="L24">
        <v>2450</v>
      </c>
      <c r="M24" s="9" t="s">
        <v>540</v>
      </c>
      <c r="N24" s="9" t="s">
        <v>540</v>
      </c>
    </row>
    <row r="25" spans="1:14">
      <c r="A25" t="s">
        <v>477</v>
      </c>
      <c r="B25" t="s">
        <v>473</v>
      </c>
      <c r="C25" t="s">
        <v>413</v>
      </c>
      <c r="D25" t="s">
        <v>13</v>
      </c>
      <c r="E25" t="s">
        <v>18</v>
      </c>
      <c r="F25">
        <v>1</v>
      </c>
      <c r="G25">
        <v>3500</v>
      </c>
      <c r="H25">
        <v>3500</v>
      </c>
      <c r="I25">
        <v>0</v>
      </c>
      <c r="J25">
        <v>0</v>
      </c>
      <c r="K25">
        <v>3500</v>
      </c>
      <c r="L25">
        <v>2450</v>
      </c>
      <c r="M25" s="9" t="s">
        <v>540</v>
      </c>
      <c r="N25" s="9" t="s">
        <v>540</v>
      </c>
    </row>
    <row r="26" spans="1:14">
      <c r="A26" t="s">
        <v>482</v>
      </c>
      <c r="B26" t="s">
        <v>483</v>
      </c>
      <c r="C26" t="s">
        <v>413</v>
      </c>
      <c r="D26" t="s">
        <v>13</v>
      </c>
      <c r="E26" t="s">
        <v>18</v>
      </c>
      <c r="F26">
        <v>1</v>
      </c>
      <c r="G26">
        <v>3800</v>
      </c>
      <c r="H26">
        <v>3800</v>
      </c>
      <c r="I26">
        <v>0</v>
      </c>
      <c r="J26">
        <v>0</v>
      </c>
      <c r="K26">
        <v>3800</v>
      </c>
      <c r="L26">
        <v>2660</v>
      </c>
      <c r="M26" s="9" t="s">
        <v>540</v>
      </c>
      <c r="N26" s="9" t="s">
        <v>540</v>
      </c>
    </row>
    <row r="27" spans="1:14">
      <c r="A27" t="s">
        <v>484</v>
      </c>
      <c r="B27" t="s">
        <v>483</v>
      </c>
      <c r="C27" t="s">
        <v>413</v>
      </c>
      <c r="D27" t="s">
        <v>13</v>
      </c>
      <c r="E27" t="s">
        <v>18</v>
      </c>
      <c r="F27">
        <v>1</v>
      </c>
      <c r="G27">
        <v>3800</v>
      </c>
      <c r="H27">
        <v>3800</v>
      </c>
      <c r="I27">
        <v>0</v>
      </c>
      <c r="J27">
        <v>0</v>
      </c>
      <c r="K27">
        <v>3800</v>
      </c>
      <c r="L27">
        <v>2660</v>
      </c>
      <c r="M27" s="9" t="s">
        <v>540</v>
      </c>
      <c r="N27" s="9" t="s">
        <v>540</v>
      </c>
    </row>
    <row r="28" spans="1:14">
      <c r="A28" t="s">
        <v>485</v>
      </c>
      <c r="B28" t="s">
        <v>486</v>
      </c>
      <c r="C28" t="s">
        <v>413</v>
      </c>
      <c r="D28" t="s">
        <v>13</v>
      </c>
      <c r="E28" t="s">
        <v>18</v>
      </c>
      <c r="F28">
        <v>1</v>
      </c>
      <c r="G28">
        <v>1000</v>
      </c>
      <c r="H28">
        <v>1000</v>
      </c>
      <c r="I28">
        <v>0</v>
      </c>
      <c r="J28">
        <v>0</v>
      </c>
      <c r="K28">
        <v>1000</v>
      </c>
      <c r="L28">
        <v>700</v>
      </c>
      <c r="M28" s="9" t="s">
        <v>540</v>
      </c>
      <c r="N28" s="9" t="s">
        <v>540</v>
      </c>
    </row>
    <row r="29" spans="1:14">
      <c r="A29" t="s">
        <v>487</v>
      </c>
      <c r="B29" t="s">
        <v>486</v>
      </c>
      <c r="C29" t="s">
        <v>413</v>
      </c>
      <c r="D29" t="s">
        <v>13</v>
      </c>
      <c r="E29" t="s">
        <v>18</v>
      </c>
      <c r="F29">
        <v>1</v>
      </c>
      <c r="G29">
        <v>2800</v>
      </c>
      <c r="H29">
        <v>2800</v>
      </c>
      <c r="I29">
        <v>0</v>
      </c>
      <c r="J29">
        <v>0</v>
      </c>
      <c r="K29">
        <v>2800</v>
      </c>
      <c r="L29">
        <v>1960</v>
      </c>
      <c r="M29" s="9" t="s">
        <v>540</v>
      </c>
      <c r="N29" s="9" t="s">
        <v>540</v>
      </c>
    </row>
    <row r="30" spans="1:14">
      <c r="A30" t="s">
        <v>488</v>
      </c>
      <c r="B30" t="s">
        <v>486</v>
      </c>
      <c r="C30" t="s">
        <v>413</v>
      </c>
      <c r="D30" t="s">
        <v>13</v>
      </c>
      <c r="E30" t="s">
        <v>18</v>
      </c>
      <c r="F30">
        <v>1</v>
      </c>
      <c r="G30">
        <v>2800</v>
      </c>
      <c r="H30">
        <v>2800</v>
      </c>
      <c r="I30">
        <v>0</v>
      </c>
      <c r="J30">
        <v>0</v>
      </c>
      <c r="K30">
        <v>2800</v>
      </c>
      <c r="L30">
        <v>1960</v>
      </c>
      <c r="M30" s="9" t="s">
        <v>540</v>
      </c>
      <c r="N30" s="9" t="s">
        <v>540</v>
      </c>
    </row>
    <row r="31" spans="1:14">
      <c r="A31" t="s">
        <v>489</v>
      </c>
      <c r="B31" t="s">
        <v>490</v>
      </c>
      <c r="C31" t="s">
        <v>491</v>
      </c>
      <c r="D31" t="s">
        <v>13</v>
      </c>
      <c r="E31" t="s">
        <v>18</v>
      </c>
      <c r="F31">
        <v>1</v>
      </c>
      <c r="G31">
        <v>3600</v>
      </c>
      <c r="H31">
        <v>3600</v>
      </c>
      <c r="I31">
        <v>0</v>
      </c>
      <c r="J31">
        <v>0</v>
      </c>
      <c r="K31">
        <v>3600</v>
      </c>
      <c r="L31">
        <v>2520</v>
      </c>
      <c r="M31" s="9" t="s">
        <v>540</v>
      </c>
      <c r="N31" s="9" t="s">
        <v>540</v>
      </c>
    </row>
    <row r="32" spans="1:14">
      <c r="A32" t="s">
        <v>499</v>
      </c>
      <c r="B32" t="s">
        <v>461</v>
      </c>
      <c r="C32" t="s">
        <v>413</v>
      </c>
      <c r="D32" t="s">
        <v>13</v>
      </c>
      <c r="E32" t="s">
        <v>16</v>
      </c>
      <c r="F32">
        <v>31</v>
      </c>
      <c r="G32">
        <v>100</v>
      </c>
      <c r="H32">
        <v>3100</v>
      </c>
      <c r="I32">
        <v>0</v>
      </c>
      <c r="J32">
        <v>0</v>
      </c>
      <c r="K32">
        <v>3100</v>
      </c>
      <c r="L32">
        <v>2170</v>
      </c>
      <c r="M32" s="9" t="s">
        <v>540</v>
      </c>
      <c r="N32" s="9" t="s">
        <v>540</v>
      </c>
    </row>
    <row r="33" spans="1:14">
      <c r="A33" t="s">
        <v>500</v>
      </c>
      <c r="B33" t="s">
        <v>501</v>
      </c>
      <c r="C33" t="s">
        <v>491</v>
      </c>
      <c r="D33" t="s">
        <v>13</v>
      </c>
      <c r="E33" t="s">
        <v>16</v>
      </c>
      <c r="F33">
        <v>86</v>
      </c>
      <c r="G33">
        <v>100</v>
      </c>
      <c r="H33">
        <v>8600</v>
      </c>
      <c r="I33">
        <v>0</v>
      </c>
      <c r="J33">
        <v>0</v>
      </c>
      <c r="K33">
        <v>8600</v>
      </c>
      <c r="L33">
        <v>6020</v>
      </c>
      <c r="M33" s="9" t="s">
        <v>540</v>
      </c>
      <c r="N33" s="9" t="s">
        <v>540</v>
      </c>
    </row>
    <row r="34" spans="1:14">
      <c r="A34" t="s">
        <v>514</v>
      </c>
      <c r="B34" t="s">
        <v>501</v>
      </c>
      <c r="C34" t="s">
        <v>491</v>
      </c>
      <c r="D34" t="s">
        <v>13</v>
      </c>
      <c r="E34" t="s">
        <v>18</v>
      </c>
      <c r="F34">
        <v>1</v>
      </c>
      <c r="G34">
        <v>300</v>
      </c>
      <c r="H34">
        <v>300</v>
      </c>
      <c r="I34">
        <v>0</v>
      </c>
      <c r="J34">
        <v>0</v>
      </c>
      <c r="K34">
        <v>300</v>
      </c>
      <c r="L34">
        <v>210</v>
      </c>
      <c r="M34" s="9" t="s">
        <v>540</v>
      </c>
      <c r="N34" s="9" t="s">
        <v>540</v>
      </c>
    </row>
    <row r="35" spans="1:14">
      <c r="A35" t="s">
        <v>515</v>
      </c>
      <c r="B35" t="s">
        <v>501</v>
      </c>
      <c r="C35" t="s">
        <v>491</v>
      </c>
      <c r="D35" t="s">
        <v>13</v>
      </c>
      <c r="E35" t="s">
        <v>18</v>
      </c>
      <c r="F35">
        <v>4</v>
      </c>
      <c r="G35">
        <v>300</v>
      </c>
      <c r="H35">
        <v>1200</v>
      </c>
      <c r="I35">
        <v>0</v>
      </c>
      <c r="J35">
        <v>0</v>
      </c>
      <c r="K35">
        <v>1200</v>
      </c>
      <c r="L35">
        <v>840</v>
      </c>
      <c r="M35" s="9" t="s">
        <v>540</v>
      </c>
      <c r="N35" s="9" t="s">
        <v>540</v>
      </c>
    </row>
    <row r="36" spans="1:14">
      <c r="A36" t="s">
        <v>516</v>
      </c>
      <c r="B36" t="s">
        <v>501</v>
      </c>
      <c r="C36" t="s">
        <v>491</v>
      </c>
      <c r="D36" t="s">
        <v>13</v>
      </c>
      <c r="E36" t="s">
        <v>18</v>
      </c>
      <c r="F36">
        <v>4</v>
      </c>
      <c r="G36">
        <v>3000</v>
      </c>
      <c r="H36">
        <v>12000</v>
      </c>
      <c r="I36">
        <v>0</v>
      </c>
      <c r="J36">
        <v>0</v>
      </c>
      <c r="K36">
        <v>12000</v>
      </c>
      <c r="L36">
        <v>8400</v>
      </c>
      <c r="M36" s="9" t="s">
        <v>540</v>
      </c>
      <c r="N36" s="9" t="s">
        <v>540</v>
      </c>
    </row>
    <row r="37" spans="1:14">
      <c r="A37" t="s">
        <v>517</v>
      </c>
      <c r="B37" t="s">
        <v>501</v>
      </c>
      <c r="C37" t="s">
        <v>491</v>
      </c>
      <c r="D37" t="s">
        <v>13</v>
      </c>
      <c r="E37" t="s">
        <v>18</v>
      </c>
      <c r="F37">
        <v>4</v>
      </c>
      <c r="G37">
        <v>3000</v>
      </c>
      <c r="H37">
        <v>12000</v>
      </c>
      <c r="I37">
        <v>0</v>
      </c>
      <c r="J37">
        <v>0</v>
      </c>
      <c r="K37">
        <v>12000</v>
      </c>
      <c r="L37">
        <v>8400</v>
      </c>
      <c r="M37" s="9" t="s">
        <v>540</v>
      </c>
      <c r="N37" s="9" t="s">
        <v>540</v>
      </c>
    </row>
    <row r="38" spans="1:14">
      <c r="A38" t="s">
        <v>520</v>
      </c>
      <c r="B38" t="s">
        <v>521</v>
      </c>
      <c r="C38" t="s">
        <v>413</v>
      </c>
      <c r="D38" t="s">
        <v>13</v>
      </c>
      <c r="E38" t="s">
        <v>18</v>
      </c>
      <c r="F38">
        <v>1</v>
      </c>
      <c r="G38">
        <v>1000</v>
      </c>
      <c r="H38">
        <v>1000</v>
      </c>
      <c r="I38">
        <v>0</v>
      </c>
      <c r="J38">
        <v>0</v>
      </c>
      <c r="K38">
        <v>1000</v>
      </c>
      <c r="L38">
        <v>700</v>
      </c>
      <c r="M38" s="9" t="s">
        <v>540</v>
      </c>
      <c r="N38" s="9" t="s">
        <v>540</v>
      </c>
    </row>
    <row r="39" spans="1:14">
      <c r="A39" t="s">
        <v>522</v>
      </c>
      <c r="B39" t="s">
        <v>521</v>
      </c>
      <c r="C39" t="s">
        <v>413</v>
      </c>
      <c r="D39" t="s">
        <v>13</v>
      </c>
      <c r="E39" t="s">
        <v>18</v>
      </c>
      <c r="F39">
        <v>1</v>
      </c>
      <c r="G39">
        <v>3400</v>
      </c>
      <c r="H39">
        <v>3400</v>
      </c>
      <c r="I39">
        <v>0</v>
      </c>
      <c r="J39">
        <v>0</v>
      </c>
      <c r="K39">
        <v>3400</v>
      </c>
      <c r="L39">
        <v>2380</v>
      </c>
      <c r="M39" s="9" t="s">
        <v>540</v>
      </c>
      <c r="N39" s="9" t="s">
        <v>540</v>
      </c>
    </row>
    <row r="40" spans="1:14">
      <c r="A40" t="s">
        <v>523</v>
      </c>
      <c r="B40" t="s">
        <v>521</v>
      </c>
      <c r="C40" t="s">
        <v>413</v>
      </c>
      <c r="D40" t="s">
        <v>13</v>
      </c>
      <c r="E40" t="s">
        <v>18</v>
      </c>
      <c r="F40">
        <v>1</v>
      </c>
      <c r="G40">
        <v>3400</v>
      </c>
      <c r="H40">
        <v>3400</v>
      </c>
      <c r="I40">
        <v>0</v>
      </c>
      <c r="J40">
        <v>0</v>
      </c>
      <c r="K40">
        <v>3400</v>
      </c>
      <c r="L40">
        <v>2380</v>
      </c>
      <c r="M40" s="9" t="s">
        <v>540</v>
      </c>
      <c r="N40" s="9" t="s">
        <v>540</v>
      </c>
    </row>
    <row r="41" spans="1:14">
      <c r="A41" t="s">
        <v>524</v>
      </c>
      <c r="B41" t="s">
        <v>521</v>
      </c>
      <c r="C41" t="s">
        <v>413</v>
      </c>
      <c r="D41" t="s">
        <v>13</v>
      </c>
      <c r="E41" t="s">
        <v>18</v>
      </c>
      <c r="F41">
        <v>1</v>
      </c>
      <c r="G41">
        <v>3400</v>
      </c>
      <c r="H41">
        <v>3400</v>
      </c>
      <c r="I41">
        <v>0</v>
      </c>
      <c r="J41">
        <v>0</v>
      </c>
      <c r="K41">
        <v>3400</v>
      </c>
      <c r="L41">
        <v>2380</v>
      </c>
      <c r="M41" s="9" t="s">
        <v>540</v>
      </c>
      <c r="N41" s="9" t="s">
        <v>540</v>
      </c>
    </row>
    <row r="42" spans="1:14">
      <c r="A42" t="s">
        <v>525</v>
      </c>
      <c r="B42" t="s">
        <v>526</v>
      </c>
      <c r="C42" t="s">
        <v>413</v>
      </c>
      <c r="D42" t="s">
        <v>13</v>
      </c>
      <c r="E42" t="s">
        <v>16</v>
      </c>
      <c r="F42">
        <v>14</v>
      </c>
      <c r="G42">
        <v>100</v>
      </c>
      <c r="H42">
        <v>1400</v>
      </c>
      <c r="I42">
        <v>0</v>
      </c>
      <c r="J42">
        <v>0</v>
      </c>
      <c r="K42">
        <v>1400</v>
      </c>
      <c r="L42">
        <v>980</v>
      </c>
      <c r="M42" s="9" t="s">
        <v>540</v>
      </c>
      <c r="N42" s="9" t="s">
        <v>540</v>
      </c>
    </row>
    <row r="43" spans="1:14">
      <c r="A43" t="s">
        <v>529</v>
      </c>
      <c r="B43" t="s">
        <v>461</v>
      </c>
      <c r="C43" t="s">
        <v>413</v>
      </c>
      <c r="D43" t="s">
        <v>13</v>
      </c>
      <c r="E43" t="s">
        <v>18</v>
      </c>
      <c r="F43">
        <v>1</v>
      </c>
      <c r="G43">
        <v>3300</v>
      </c>
      <c r="H43">
        <v>3300</v>
      </c>
      <c r="I43">
        <v>0</v>
      </c>
      <c r="J43">
        <v>0</v>
      </c>
      <c r="K43">
        <v>3300</v>
      </c>
      <c r="L43">
        <v>2310</v>
      </c>
      <c r="M43" s="9" t="s">
        <v>540</v>
      </c>
      <c r="N43" s="9" t="s">
        <v>540</v>
      </c>
    </row>
    <row r="44" spans="1:14">
      <c r="A44" t="s">
        <v>530</v>
      </c>
      <c r="B44" t="s">
        <v>461</v>
      </c>
      <c r="C44" t="s">
        <v>413</v>
      </c>
      <c r="D44" t="s">
        <v>13</v>
      </c>
      <c r="E44" t="s">
        <v>18</v>
      </c>
      <c r="F44">
        <v>1</v>
      </c>
      <c r="G44">
        <v>3300</v>
      </c>
      <c r="H44">
        <v>3300</v>
      </c>
      <c r="I44">
        <v>0</v>
      </c>
      <c r="J44">
        <v>0</v>
      </c>
      <c r="K44">
        <v>3300</v>
      </c>
      <c r="L44">
        <v>2310</v>
      </c>
      <c r="M44" s="9" t="s">
        <v>540</v>
      </c>
      <c r="N44" s="9" t="s">
        <v>540</v>
      </c>
    </row>
    <row r="45" spans="1:14">
      <c r="A45" t="s">
        <v>531</v>
      </c>
      <c r="B45" t="s">
        <v>461</v>
      </c>
      <c r="C45" t="s">
        <v>413</v>
      </c>
      <c r="D45" t="s">
        <v>13</v>
      </c>
      <c r="E45" t="s">
        <v>18</v>
      </c>
      <c r="F45">
        <v>1</v>
      </c>
      <c r="G45">
        <v>3300</v>
      </c>
      <c r="H45">
        <v>3300</v>
      </c>
      <c r="I45">
        <v>0</v>
      </c>
      <c r="J45">
        <v>0</v>
      </c>
      <c r="K45">
        <v>3300</v>
      </c>
      <c r="L45">
        <v>2310</v>
      </c>
      <c r="M45" s="9" t="s">
        <v>540</v>
      </c>
      <c r="N45" s="9" t="s">
        <v>540</v>
      </c>
    </row>
    <row r="46" spans="1:14">
      <c r="A46" t="s">
        <v>532</v>
      </c>
      <c r="B46" t="s">
        <v>461</v>
      </c>
      <c r="C46" t="s">
        <v>413</v>
      </c>
      <c r="D46" t="s">
        <v>13</v>
      </c>
      <c r="E46" t="s">
        <v>18</v>
      </c>
      <c r="F46">
        <v>1</v>
      </c>
      <c r="G46">
        <v>3300</v>
      </c>
      <c r="H46">
        <v>3300</v>
      </c>
      <c r="I46">
        <v>0</v>
      </c>
      <c r="J46">
        <v>0</v>
      </c>
      <c r="K46">
        <v>3300</v>
      </c>
      <c r="L46">
        <v>2310</v>
      </c>
      <c r="M46" s="9" t="s">
        <v>540</v>
      </c>
      <c r="N46" s="9" t="s">
        <v>540</v>
      </c>
    </row>
    <row r="47" spans="1:14">
      <c r="A47" t="s">
        <v>533</v>
      </c>
      <c r="B47" t="s">
        <v>461</v>
      </c>
      <c r="C47" t="s">
        <v>413</v>
      </c>
      <c r="D47" t="s">
        <v>13</v>
      </c>
      <c r="E47" t="s">
        <v>18</v>
      </c>
      <c r="F47">
        <v>1</v>
      </c>
      <c r="G47">
        <v>3300</v>
      </c>
      <c r="H47">
        <v>3300</v>
      </c>
      <c r="I47">
        <v>0</v>
      </c>
      <c r="J47">
        <v>0</v>
      </c>
      <c r="K47">
        <v>3300</v>
      </c>
      <c r="L47">
        <v>2310</v>
      </c>
      <c r="M47" s="9" t="s">
        <v>540</v>
      </c>
      <c r="N47" s="9" t="s">
        <v>540</v>
      </c>
    </row>
    <row r="48" spans="1:14">
      <c r="A48" t="s">
        <v>534</v>
      </c>
      <c r="B48" t="s">
        <v>461</v>
      </c>
      <c r="C48" t="s">
        <v>413</v>
      </c>
      <c r="D48" t="s">
        <v>13</v>
      </c>
      <c r="E48" t="s">
        <v>18</v>
      </c>
      <c r="F48">
        <v>1</v>
      </c>
      <c r="G48">
        <v>3300</v>
      </c>
      <c r="H48">
        <v>3300</v>
      </c>
      <c r="I48">
        <v>0</v>
      </c>
      <c r="J48">
        <v>0</v>
      </c>
      <c r="K48">
        <v>3300</v>
      </c>
      <c r="L48">
        <v>2310</v>
      </c>
      <c r="M48" s="9" t="s">
        <v>540</v>
      </c>
      <c r="N48" s="9" t="s">
        <v>540</v>
      </c>
    </row>
  </sheetData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N33"/>
  <sheetViews>
    <sheetView workbookViewId="0"/>
  </sheetViews>
  <sheetFormatPr defaultRowHeight="17.399999999999999"/>
  <cols>
    <col min="1" max="1" width="37.69921875" bestFit="1" customWidth="1"/>
    <col min="2" max="2" width="13.5" bestFit="1" customWidth="1"/>
    <col min="3" max="3" width="12.3984375" bestFit="1" customWidth="1"/>
    <col min="4" max="4" width="6.796875" bestFit="1" customWidth="1"/>
    <col min="5" max="5" width="8.59765625" bestFit="1" customWidth="1"/>
    <col min="6" max="7" width="6.3984375" bestFit="1" customWidth="1"/>
    <col min="8" max="8" width="8.19921875" bestFit="1" customWidth="1"/>
    <col min="9" max="9" width="6.3984375" bestFit="1" customWidth="1"/>
    <col min="10" max="10" width="8.19921875" bestFit="1" customWidth="1"/>
    <col min="11" max="11" width="13.8984375" bestFit="1" customWidth="1"/>
    <col min="12" max="12" width="8.19921875" bestFit="1" customWidth="1"/>
    <col min="13" max="14" width="11.0976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537</v>
      </c>
      <c r="N1" s="8" t="s">
        <v>538</v>
      </c>
    </row>
    <row r="2" spans="1:14">
      <c r="A2" t="s">
        <v>423</v>
      </c>
      <c r="B2" t="s">
        <v>424</v>
      </c>
      <c r="C2" t="s">
        <v>425</v>
      </c>
      <c r="D2" t="s">
        <v>13</v>
      </c>
      <c r="E2" t="s">
        <v>18</v>
      </c>
      <c r="F2">
        <v>18</v>
      </c>
      <c r="G2">
        <v>2000</v>
      </c>
      <c r="H2">
        <v>36000</v>
      </c>
      <c r="I2">
        <v>0</v>
      </c>
      <c r="J2">
        <v>0</v>
      </c>
      <c r="K2">
        <v>36000</v>
      </c>
      <c r="L2">
        <v>25200</v>
      </c>
      <c r="M2" s="9" t="s">
        <v>541</v>
      </c>
      <c r="N2" s="9" t="s">
        <v>541</v>
      </c>
    </row>
    <row r="3" spans="1:14">
      <c r="A3" t="s">
        <v>428</v>
      </c>
      <c r="B3" t="s">
        <v>429</v>
      </c>
      <c r="C3" t="s">
        <v>425</v>
      </c>
      <c r="D3" t="s">
        <v>13</v>
      </c>
      <c r="E3" t="s">
        <v>18</v>
      </c>
      <c r="F3">
        <v>8</v>
      </c>
      <c r="G3">
        <v>2000</v>
      </c>
      <c r="H3">
        <v>16000</v>
      </c>
      <c r="I3">
        <v>0</v>
      </c>
      <c r="J3">
        <v>0</v>
      </c>
      <c r="K3">
        <v>16000</v>
      </c>
      <c r="L3">
        <v>11200</v>
      </c>
      <c r="M3" s="9" t="s">
        <v>541</v>
      </c>
      <c r="N3" s="9" t="s">
        <v>541</v>
      </c>
    </row>
    <row r="4" spans="1:14">
      <c r="A4" t="s">
        <v>430</v>
      </c>
      <c r="B4" t="s">
        <v>431</v>
      </c>
      <c r="C4" t="s">
        <v>425</v>
      </c>
      <c r="D4" t="s">
        <v>13</v>
      </c>
      <c r="E4" t="s">
        <v>18</v>
      </c>
      <c r="F4">
        <v>1</v>
      </c>
      <c r="G4">
        <v>2000</v>
      </c>
      <c r="H4">
        <v>2000</v>
      </c>
      <c r="I4">
        <v>0</v>
      </c>
      <c r="J4">
        <v>0</v>
      </c>
      <c r="K4">
        <v>2000</v>
      </c>
      <c r="L4">
        <v>1400</v>
      </c>
      <c r="M4" s="9" t="s">
        <v>541</v>
      </c>
      <c r="N4" s="9" t="s">
        <v>541</v>
      </c>
    </row>
    <row r="5" spans="1:14">
      <c r="A5" t="s">
        <v>437</v>
      </c>
      <c r="B5" t="s">
        <v>438</v>
      </c>
      <c r="C5" t="s">
        <v>425</v>
      </c>
      <c r="D5" t="s">
        <v>13</v>
      </c>
      <c r="E5" t="s">
        <v>18</v>
      </c>
      <c r="F5">
        <v>7</v>
      </c>
      <c r="G5">
        <v>2500</v>
      </c>
      <c r="H5">
        <v>17500</v>
      </c>
      <c r="I5">
        <v>0</v>
      </c>
      <c r="J5">
        <v>0</v>
      </c>
      <c r="K5">
        <v>17500</v>
      </c>
      <c r="L5">
        <v>12250</v>
      </c>
      <c r="M5" s="9" t="s">
        <v>541</v>
      </c>
      <c r="N5" s="9" t="s">
        <v>541</v>
      </c>
    </row>
    <row r="6" spans="1:14">
      <c r="A6" t="s">
        <v>439</v>
      </c>
      <c r="B6" t="s">
        <v>440</v>
      </c>
      <c r="C6" t="s">
        <v>425</v>
      </c>
      <c r="D6" t="s">
        <v>13</v>
      </c>
      <c r="E6" t="s">
        <v>18</v>
      </c>
      <c r="F6">
        <v>4</v>
      </c>
      <c r="G6">
        <v>2500</v>
      </c>
      <c r="H6">
        <v>10000</v>
      </c>
      <c r="I6">
        <v>0</v>
      </c>
      <c r="J6">
        <v>0</v>
      </c>
      <c r="K6">
        <v>10000</v>
      </c>
      <c r="L6">
        <v>7000</v>
      </c>
      <c r="M6" s="9" t="s">
        <v>541</v>
      </c>
      <c r="N6" s="9" t="s">
        <v>541</v>
      </c>
    </row>
    <row r="7" spans="1:14">
      <c r="A7" t="s">
        <v>445</v>
      </c>
      <c r="B7" t="s">
        <v>446</v>
      </c>
      <c r="C7" t="s">
        <v>425</v>
      </c>
      <c r="D7" t="s">
        <v>13</v>
      </c>
      <c r="E7" t="s">
        <v>18</v>
      </c>
      <c r="F7">
        <v>1</v>
      </c>
      <c r="G7">
        <v>2500</v>
      </c>
      <c r="H7">
        <v>2500</v>
      </c>
      <c r="I7">
        <v>0</v>
      </c>
      <c r="J7">
        <v>0</v>
      </c>
      <c r="K7">
        <v>2500</v>
      </c>
      <c r="L7">
        <v>1750</v>
      </c>
      <c r="M7" s="9" t="s">
        <v>541</v>
      </c>
      <c r="N7" s="9" t="s">
        <v>541</v>
      </c>
    </row>
    <row r="8" spans="1:14">
      <c r="A8" t="s">
        <v>447</v>
      </c>
      <c r="B8" t="s">
        <v>448</v>
      </c>
      <c r="C8" t="s">
        <v>425</v>
      </c>
      <c r="D8" t="s">
        <v>13</v>
      </c>
      <c r="E8" t="s">
        <v>18</v>
      </c>
      <c r="F8">
        <v>2</v>
      </c>
      <c r="G8">
        <v>2000</v>
      </c>
      <c r="H8">
        <v>4000</v>
      </c>
      <c r="I8">
        <v>0</v>
      </c>
      <c r="J8">
        <v>0</v>
      </c>
      <c r="K8">
        <v>4000</v>
      </c>
      <c r="L8">
        <v>2800</v>
      </c>
      <c r="M8" s="9" t="s">
        <v>541</v>
      </c>
      <c r="N8" s="9" t="s">
        <v>541</v>
      </c>
    </row>
    <row r="9" spans="1:14">
      <c r="A9" t="s">
        <v>449</v>
      </c>
      <c r="B9" t="s">
        <v>450</v>
      </c>
      <c r="C9" t="s">
        <v>425</v>
      </c>
      <c r="D9" t="s">
        <v>13</v>
      </c>
      <c r="E9" t="s">
        <v>18</v>
      </c>
      <c r="F9">
        <v>2</v>
      </c>
      <c r="G9">
        <v>2500</v>
      </c>
      <c r="H9">
        <v>5000</v>
      </c>
      <c r="I9">
        <v>0</v>
      </c>
      <c r="J9">
        <v>0</v>
      </c>
      <c r="K9">
        <v>5000</v>
      </c>
      <c r="L9">
        <v>3500</v>
      </c>
      <c r="M9" s="9" t="s">
        <v>541</v>
      </c>
      <c r="N9" s="9" t="s">
        <v>541</v>
      </c>
    </row>
    <row r="10" spans="1:14">
      <c r="A10" t="s">
        <v>451</v>
      </c>
      <c r="B10" t="s">
        <v>452</v>
      </c>
      <c r="C10" t="s">
        <v>425</v>
      </c>
      <c r="D10" t="s">
        <v>13</v>
      </c>
      <c r="E10" t="s">
        <v>18</v>
      </c>
      <c r="F10">
        <v>4</v>
      </c>
      <c r="G10">
        <v>3000</v>
      </c>
      <c r="H10">
        <v>12000</v>
      </c>
      <c r="I10">
        <v>0</v>
      </c>
      <c r="J10">
        <v>0</v>
      </c>
      <c r="K10">
        <v>12000</v>
      </c>
      <c r="L10">
        <v>8400</v>
      </c>
      <c r="M10" s="9" t="s">
        <v>541</v>
      </c>
      <c r="N10" s="9" t="s">
        <v>541</v>
      </c>
    </row>
    <row r="11" spans="1:14">
      <c r="A11" t="s">
        <v>453</v>
      </c>
      <c r="B11" t="s">
        <v>454</v>
      </c>
      <c r="C11" t="s">
        <v>425</v>
      </c>
      <c r="D11" t="s">
        <v>13</v>
      </c>
      <c r="E11" t="s">
        <v>18</v>
      </c>
      <c r="F11">
        <v>3</v>
      </c>
      <c r="G11">
        <v>2500</v>
      </c>
      <c r="H11">
        <v>7500</v>
      </c>
      <c r="I11">
        <v>0</v>
      </c>
      <c r="J11">
        <v>0</v>
      </c>
      <c r="K11">
        <v>7500</v>
      </c>
      <c r="L11">
        <v>5250</v>
      </c>
      <c r="M11" s="9" t="s">
        <v>541</v>
      </c>
      <c r="N11" s="9" t="s">
        <v>541</v>
      </c>
    </row>
    <row r="12" spans="1:14">
      <c r="A12" t="s">
        <v>455</v>
      </c>
      <c r="B12" t="s">
        <v>456</v>
      </c>
      <c r="C12" t="s">
        <v>425</v>
      </c>
      <c r="D12" t="s">
        <v>13</v>
      </c>
      <c r="E12" t="s">
        <v>18</v>
      </c>
      <c r="F12">
        <v>14</v>
      </c>
      <c r="G12">
        <v>2500</v>
      </c>
      <c r="H12">
        <v>35000</v>
      </c>
      <c r="I12">
        <v>0</v>
      </c>
      <c r="J12">
        <v>0</v>
      </c>
      <c r="K12">
        <v>35000</v>
      </c>
      <c r="L12">
        <v>24500</v>
      </c>
      <c r="M12" s="9" t="s">
        <v>541</v>
      </c>
      <c r="N12" s="9" t="s">
        <v>541</v>
      </c>
    </row>
    <row r="13" spans="1:14">
      <c r="A13" t="s">
        <v>457</v>
      </c>
      <c r="B13" t="s">
        <v>454</v>
      </c>
      <c r="C13" t="s">
        <v>425</v>
      </c>
      <c r="D13" t="s">
        <v>13</v>
      </c>
      <c r="E13" t="s">
        <v>18</v>
      </c>
      <c r="F13">
        <v>31</v>
      </c>
      <c r="G13">
        <v>2500</v>
      </c>
      <c r="H13">
        <v>77500</v>
      </c>
      <c r="I13">
        <v>0</v>
      </c>
      <c r="J13">
        <v>0</v>
      </c>
      <c r="K13">
        <v>77500</v>
      </c>
      <c r="L13">
        <v>54250</v>
      </c>
      <c r="M13" s="9" t="s">
        <v>541</v>
      </c>
      <c r="N13" s="9" t="s">
        <v>541</v>
      </c>
    </row>
    <row r="14" spans="1:14">
      <c r="A14" t="s">
        <v>458</v>
      </c>
      <c r="B14" t="s">
        <v>459</v>
      </c>
      <c r="C14" t="s">
        <v>425</v>
      </c>
      <c r="D14" t="s">
        <v>13</v>
      </c>
      <c r="E14" t="s">
        <v>18</v>
      </c>
      <c r="F14">
        <v>16</v>
      </c>
      <c r="G14">
        <v>2000</v>
      </c>
      <c r="H14">
        <v>32000</v>
      </c>
      <c r="I14">
        <v>0</v>
      </c>
      <c r="J14">
        <v>0</v>
      </c>
      <c r="K14">
        <v>32000</v>
      </c>
      <c r="L14">
        <v>22400</v>
      </c>
      <c r="M14" s="9" t="s">
        <v>541</v>
      </c>
      <c r="N14" s="9" t="s">
        <v>541</v>
      </c>
    </row>
    <row r="15" spans="1:14">
      <c r="A15" t="s">
        <v>466</v>
      </c>
      <c r="B15" t="s">
        <v>467</v>
      </c>
      <c r="C15" t="s">
        <v>425</v>
      </c>
      <c r="D15" t="s">
        <v>13</v>
      </c>
      <c r="E15" t="s">
        <v>18</v>
      </c>
      <c r="F15">
        <v>1</v>
      </c>
      <c r="G15">
        <v>2000</v>
      </c>
      <c r="H15">
        <v>2000</v>
      </c>
      <c r="I15">
        <v>0</v>
      </c>
      <c r="J15">
        <v>0</v>
      </c>
      <c r="K15">
        <v>2000</v>
      </c>
      <c r="L15">
        <v>1400</v>
      </c>
      <c r="M15" s="9" t="s">
        <v>541</v>
      </c>
      <c r="N15" s="9" t="s">
        <v>541</v>
      </c>
    </row>
    <row r="16" spans="1:14">
      <c r="A16" t="s">
        <v>468</v>
      </c>
      <c r="B16" t="s">
        <v>469</v>
      </c>
      <c r="C16" t="s">
        <v>425</v>
      </c>
      <c r="D16" t="s">
        <v>13</v>
      </c>
      <c r="E16" t="s">
        <v>18</v>
      </c>
      <c r="F16">
        <v>1</v>
      </c>
      <c r="G16">
        <v>2000</v>
      </c>
      <c r="H16">
        <v>2000</v>
      </c>
      <c r="I16">
        <v>0</v>
      </c>
      <c r="J16">
        <v>0</v>
      </c>
      <c r="K16">
        <v>2000</v>
      </c>
      <c r="L16">
        <v>1400</v>
      </c>
      <c r="M16" s="9" t="s">
        <v>541</v>
      </c>
      <c r="N16" s="9" t="s">
        <v>541</v>
      </c>
    </row>
    <row r="17" spans="1:14">
      <c r="A17" t="s">
        <v>470</v>
      </c>
      <c r="B17" t="s">
        <v>471</v>
      </c>
      <c r="C17" t="s">
        <v>425</v>
      </c>
      <c r="D17" t="s">
        <v>13</v>
      </c>
      <c r="E17" t="s">
        <v>18</v>
      </c>
      <c r="F17">
        <v>8</v>
      </c>
      <c r="G17">
        <v>2000</v>
      </c>
      <c r="H17">
        <v>16000</v>
      </c>
      <c r="I17">
        <v>0</v>
      </c>
      <c r="J17">
        <v>0</v>
      </c>
      <c r="K17">
        <v>16000</v>
      </c>
      <c r="L17">
        <v>11200</v>
      </c>
      <c r="M17" s="9" t="s">
        <v>541</v>
      </c>
      <c r="N17" s="9" t="s">
        <v>541</v>
      </c>
    </row>
    <row r="18" spans="1:14">
      <c r="A18" t="s">
        <v>478</v>
      </c>
      <c r="B18" t="s">
        <v>479</v>
      </c>
      <c r="C18" t="s">
        <v>425</v>
      </c>
      <c r="D18" t="s">
        <v>13</v>
      </c>
      <c r="E18" t="s">
        <v>18</v>
      </c>
      <c r="F18">
        <v>1</v>
      </c>
      <c r="G18">
        <v>2500</v>
      </c>
      <c r="H18">
        <v>2500</v>
      </c>
      <c r="I18">
        <v>0</v>
      </c>
      <c r="J18">
        <v>0</v>
      </c>
      <c r="K18">
        <v>2500</v>
      </c>
      <c r="L18">
        <v>1750</v>
      </c>
      <c r="M18" s="9" t="s">
        <v>541</v>
      </c>
      <c r="N18" s="9" t="s">
        <v>541</v>
      </c>
    </row>
    <row r="19" spans="1:14">
      <c r="A19" t="s">
        <v>480</v>
      </c>
      <c r="B19" t="s">
        <v>481</v>
      </c>
      <c r="C19" t="s">
        <v>425</v>
      </c>
      <c r="D19" t="s">
        <v>13</v>
      </c>
      <c r="E19" t="s">
        <v>18</v>
      </c>
      <c r="F19">
        <v>9</v>
      </c>
      <c r="G19">
        <v>2500</v>
      </c>
      <c r="H19">
        <v>22500</v>
      </c>
      <c r="I19">
        <v>0</v>
      </c>
      <c r="J19">
        <v>0</v>
      </c>
      <c r="K19">
        <v>22500</v>
      </c>
      <c r="L19">
        <v>15750</v>
      </c>
      <c r="M19" s="9" t="s">
        <v>541</v>
      </c>
      <c r="N19" s="9" t="s">
        <v>541</v>
      </c>
    </row>
    <row r="20" spans="1:14">
      <c r="A20" t="s">
        <v>492</v>
      </c>
      <c r="B20" t="s">
        <v>493</v>
      </c>
      <c r="C20" t="s">
        <v>425</v>
      </c>
      <c r="D20" t="s">
        <v>13</v>
      </c>
      <c r="E20" t="s">
        <v>18</v>
      </c>
      <c r="F20">
        <v>3</v>
      </c>
      <c r="G20">
        <v>3500</v>
      </c>
      <c r="H20">
        <v>10500</v>
      </c>
      <c r="I20">
        <v>0</v>
      </c>
      <c r="J20">
        <v>0</v>
      </c>
      <c r="K20">
        <v>10500</v>
      </c>
      <c r="L20">
        <v>7350</v>
      </c>
      <c r="M20" s="9" t="s">
        <v>541</v>
      </c>
      <c r="N20" s="9" t="s">
        <v>541</v>
      </c>
    </row>
    <row r="21" spans="1:14">
      <c r="A21" t="s">
        <v>494</v>
      </c>
      <c r="B21" t="s">
        <v>429</v>
      </c>
      <c r="C21" t="s">
        <v>425</v>
      </c>
      <c r="D21" t="s">
        <v>13</v>
      </c>
      <c r="E21" t="s">
        <v>18</v>
      </c>
      <c r="F21">
        <v>38</v>
      </c>
      <c r="G21">
        <v>2000</v>
      </c>
      <c r="H21">
        <v>76000</v>
      </c>
      <c r="I21">
        <v>0</v>
      </c>
      <c r="J21">
        <v>0</v>
      </c>
      <c r="K21">
        <v>76000</v>
      </c>
      <c r="L21">
        <v>53200</v>
      </c>
      <c r="M21" s="9" t="s">
        <v>541</v>
      </c>
      <c r="N21" s="9" t="s">
        <v>541</v>
      </c>
    </row>
    <row r="22" spans="1:14">
      <c r="A22" t="s">
        <v>495</v>
      </c>
      <c r="B22" t="s">
        <v>496</v>
      </c>
      <c r="C22" t="s">
        <v>425</v>
      </c>
      <c r="D22" t="s">
        <v>13</v>
      </c>
      <c r="E22" t="s">
        <v>18</v>
      </c>
      <c r="F22">
        <v>2</v>
      </c>
      <c r="G22">
        <v>3000</v>
      </c>
      <c r="H22">
        <v>6000</v>
      </c>
      <c r="I22">
        <v>0</v>
      </c>
      <c r="J22">
        <v>0</v>
      </c>
      <c r="K22">
        <v>6000</v>
      </c>
      <c r="L22">
        <v>4200</v>
      </c>
      <c r="M22" s="9" t="s">
        <v>541</v>
      </c>
      <c r="N22" s="9" t="s">
        <v>541</v>
      </c>
    </row>
    <row r="23" spans="1:14">
      <c r="A23" t="s">
        <v>497</v>
      </c>
      <c r="B23" t="s">
        <v>498</v>
      </c>
      <c r="C23" t="s">
        <v>425</v>
      </c>
      <c r="D23" t="s">
        <v>13</v>
      </c>
      <c r="E23" t="s">
        <v>18</v>
      </c>
      <c r="F23">
        <v>5</v>
      </c>
      <c r="G23">
        <v>2000</v>
      </c>
      <c r="H23">
        <v>10000</v>
      </c>
      <c r="I23">
        <v>0</v>
      </c>
      <c r="J23">
        <v>0</v>
      </c>
      <c r="K23">
        <v>10000</v>
      </c>
      <c r="L23">
        <v>7000</v>
      </c>
      <c r="M23" s="9" t="s">
        <v>541</v>
      </c>
      <c r="N23" s="9" t="s">
        <v>541</v>
      </c>
    </row>
    <row r="24" spans="1:14">
      <c r="A24" t="s">
        <v>502</v>
      </c>
      <c r="B24" t="s">
        <v>503</v>
      </c>
      <c r="C24" t="s">
        <v>425</v>
      </c>
      <c r="D24" t="s">
        <v>13</v>
      </c>
      <c r="E24" t="s">
        <v>18</v>
      </c>
      <c r="F24">
        <v>4</v>
      </c>
      <c r="G24">
        <v>2000</v>
      </c>
      <c r="H24">
        <v>8000</v>
      </c>
      <c r="I24">
        <v>0</v>
      </c>
      <c r="J24">
        <v>0</v>
      </c>
      <c r="K24">
        <v>8000</v>
      </c>
      <c r="L24">
        <v>5600</v>
      </c>
      <c r="M24" s="9" t="s">
        <v>541</v>
      </c>
      <c r="N24" s="9" t="s">
        <v>541</v>
      </c>
    </row>
    <row r="25" spans="1:14">
      <c r="A25" t="s">
        <v>504</v>
      </c>
      <c r="B25" t="s">
        <v>505</v>
      </c>
      <c r="C25" t="s">
        <v>425</v>
      </c>
      <c r="D25" t="s">
        <v>13</v>
      </c>
      <c r="E25" t="s">
        <v>18</v>
      </c>
      <c r="F25">
        <v>4</v>
      </c>
      <c r="G25">
        <v>2500</v>
      </c>
      <c r="H25">
        <v>10000</v>
      </c>
      <c r="I25">
        <v>0</v>
      </c>
      <c r="J25">
        <v>0</v>
      </c>
      <c r="K25">
        <v>10000</v>
      </c>
      <c r="L25">
        <v>7000</v>
      </c>
      <c r="M25" s="9" t="s">
        <v>541</v>
      </c>
      <c r="N25" s="9" t="s">
        <v>541</v>
      </c>
    </row>
    <row r="26" spans="1:14">
      <c r="A26" t="s">
        <v>506</v>
      </c>
      <c r="B26" t="s">
        <v>459</v>
      </c>
      <c r="C26" t="s">
        <v>425</v>
      </c>
      <c r="D26" t="s">
        <v>13</v>
      </c>
      <c r="E26" t="s">
        <v>18</v>
      </c>
      <c r="F26">
        <v>68</v>
      </c>
      <c r="G26">
        <v>2000</v>
      </c>
      <c r="H26">
        <v>136000</v>
      </c>
      <c r="I26">
        <v>0</v>
      </c>
      <c r="J26">
        <v>0</v>
      </c>
      <c r="K26">
        <v>136000</v>
      </c>
      <c r="L26">
        <v>95200</v>
      </c>
      <c r="M26" s="9" t="s">
        <v>541</v>
      </c>
      <c r="N26" s="9" t="s">
        <v>541</v>
      </c>
    </row>
    <row r="27" spans="1:14">
      <c r="A27" t="s">
        <v>507</v>
      </c>
      <c r="B27" t="s">
        <v>503</v>
      </c>
      <c r="C27" t="s">
        <v>425</v>
      </c>
      <c r="D27" t="s">
        <v>13</v>
      </c>
      <c r="E27" t="s">
        <v>18</v>
      </c>
      <c r="F27">
        <v>2</v>
      </c>
      <c r="G27">
        <v>2000</v>
      </c>
      <c r="H27">
        <v>4000</v>
      </c>
      <c r="I27">
        <v>0</v>
      </c>
      <c r="J27">
        <v>0</v>
      </c>
      <c r="K27">
        <v>4000</v>
      </c>
      <c r="L27">
        <v>2800</v>
      </c>
      <c r="M27" s="9" t="s">
        <v>541</v>
      </c>
      <c r="N27" s="9" t="s">
        <v>541</v>
      </c>
    </row>
    <row r="28" spans="1:14">
      <c r="A28" t="s">
        <v>508</v>
      </c>
      <c r="B28" t="s">
        <v>509</v>
      </c>
      <c r="C28" t="s">
        <v>425</v>
      </c>
      <c r="D28" t="s">
        <v>13</v>
      </c>
      <c r="E28" t="s">
        <v>18</v>
      </c>
      <c r="F28">
        <v>5</v>
      </c>
      <c r="G28">
        <v>3200</v>
      </c>
      <c r="H28">
        <v>16000</v>
      </c>
      <c r="I28">
        <v>0</v>
      </c>
      <c r="J28">
        <v>0</v>
      </c>
      <c r="K28">
        <v>16000</v>
      </c>
      <c r="L28">
        <v>11200</v>
      </c>
      <c r="M28" s="9" t="s">
        <v>541</v>
      </c>
      <c r="N28" s="9" t="s">
        <v>541</v>
      </c>
    </row>
    <row r="29" spans="1:14">
      <c r="A29" t="s">
        <v>510</v>
      </c>
      <c r="B29" t="s">
        <v>511</v>
      </c>
      <c r="C29" t="s">
        <v>425</v>
      </c>
      <c r="D29" t="s">
        <v>13</v>
      </c>
      <c r="E29" t="s">
        <v>18</v>
      </c>
      <c r="F29">
        <v>6</v>
      </c>
      <c r="G29">
        <v>2500</v>
      </c>
      <c r="H29">
        <v>15000</v>
      </c>
      <c r="I29">
        <v>0</v>
      </c>
      <c r="J29">
        <v>0</v>
      </c>
      <c r="K29">
        <v>15000</v>
      </c>
      <c r="L29">
        <v>10500</v>
      </c>
      <c r="M29" s="9" t="s">
        <v>541</v>
      </c>
      <c r="N29" s="9" t="s">
        <v>541</v>
      </c>
    </row>
    <row r="30" spans="1:14">
      <c r="A30" t="s">
        <v>512</v>
      </c>
      <c r="B30" t="s">
        <v>513</v>
      </c>
      <c r="C30" t="s">
        <v>425</v>
      </c>
      <c r="D30" t="s">
        <v>13</v>
      </c>
      <c r="E30" t="s">
        <v>18</v>
      </c>
      <c r="F30">
        <v>5</v>
      </c>
      <c r="G30">
        <v>2000</v>
      </c>
      <c r="H30">
        <v>10000</v>
      </c>
      <c r="I30">
        <v>0</v>
      </c>
      <c r="J30">
        <v>0</v>
      </c>
      <c r="K30">
        <v>10000</v>
      </c>
      <c r="L30">
        <v>7000</v>
      </c>
      <c r="M30" s="9" t="s">
        <v>541</v>
      </c>
      <c r="N30" s="9" t="s">
        <v>541</v>
      </c>
    </row>
    <row r="31" spans="1:14">
      <c r="A31" t="s">
        <v>518</v>
      </c>
      <c r="B31" t="s">
        <v>519</v>
      </c>
      <c r="C31" t="s">
        <v>425</v>
      </c>
      <c r="D31" t="s">
        <v>13</v>
      </c>
      <c r="E31" t="s">
        <v>18</v>
      </c>
      <c r="F31">
        <v>18</v>
      </c>
      <c r="G31">
        <v>2000</v>
      </c>
      <c r="H31">
        <v>36000</v>
      </c>
      <c r="I31">
        <v>0</v>
      </c>
      <c r="J31">
        <v>0</v>
      </c>
      <c r="K31">
        <v>36000</v>
      </c>
      <c r="L31">
        <v>25200</v>
      </c>
      <c r="M31" s="9" t="s">
        <v>541</v>
      </c>
      <c r="N31" s="9" t="s">
        <v>541</v>
      </c>
    </row>
    <row r="32" spans="1:14">
      <c r="A32" t="s">
        <v>527</v>
      </c>
      <c r="B32" t="s">
        <v>528</v>
      </c>
      <c r="C32" t="s">
        <v>425</v>
      </c>
      <c r="D32" t="s">
        <v>13</v>
      </c>
      <c r="E32" t="s">
        <v>18</v>
      </c>
      <c r="F32">
        <v>1</v>
      </c>
      <c r="G32">
        <v>3000</v>
      </c>
      <c r="H32">
        <v>3000</v>
      </c>
      <c r="I32">
        <v>0</v>
      </c>
      <c r="J32">
        <v>0</v>
      </c>
      <c r="K32">
        <v>3000</v>
      </c>
      <c r="L32">
        <v>2100</v>
      </c>
      <c r="M32" s="9" t="s">
        <v>541</v>
      </c>
      <c r="N32" s="9" t="s">
        <v>541</v>
      </c>
    </row>
    <row r="33" spans="1:14">
      <c r="A33" t="s">
        <v>535</v>
      </c>
      <c r="B33" t="s">
        <v>536</v>
      </c>
      <c r="C33" t="s">
        <v>425</v>
      </c>
      <c r="D33" t="s">
        <v>13</v>
      </c>
      <c r="E33" t="s">
        <v>18</v>
      </c>
      <c r="F33">
        <v>1</v>
      </c>
      <c r="G33">
        <v>3500</v>
      </c>
      <c r="H33">
        <v>3500</v>
      </c>
      <c r="I33">
        <v>0</v>
      </c>
      <c r="J33">
        <v>0</v>
      </c>
      <c r="K33">
        <v>3500</v>
      </c>
      <c r="L33">
        <v>2450</v>
      </c>
      <c r="M33" s="9" t="s">
        <v>541</v>
      </c>
      <c r="N33" s="9" t="s">
        <v>541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이름이 지정된 범위</vt:lpstr>
      </vt:variant>
      <vt:variant>
        <vt:i4>30</vt:i4>
      </vt:variant>
    </vt:vector>
  </HeadingPairs>
  <TitlesOfParts>
    <vt:vector size="61" baseType="lpstr">
      <vt:lpstr>합계 (5)</vt:lpstr>
      <vt:lpstr>김광수</vt:lpstr>
      <vt:lpstr>무장</vt:lpstr>
      <vt:lpstr>권용찬</vt:lpstr>
      <vt:lpstr>예로나</vt:lpstr>
      <vt:lpstr>단팥크림빵7</vt:lpstr>
      <vt:lpstr>김정률</vt:lpstr>
      <vt:lpstr>전혁</vt:lpstr>
      <vt:lpstr>덕킹</vt:lpstr>
      <vt:lpstr>독고진</vt:lpstr>
      <vt:lpstr>왕십리글쟁이</vt:lpstr>
      <vt:lpstr>갓띵작</vt:lpstr>
      <vt:lpstr>바나바다</vt:lpstr>
      <vt:lpstr>서강후</vt:lpstr>
      <vt:lpstr>구공</vt:lpstr>
      <vt:lpstr>구유</vt:lpstr>
      <vt:lpstr>제외</vt:lpstr>
      <vt:lpstr>모리미</vt:lpstr>
      <vt:lpstr>주이서</vt:lpstr>
      <vt:lpstr>차홍주</vt:lpstr>
      <vt:lpstr>진숙</vt:lpstr>
      <vt:lpstr>밈스</vt:lpstr>
      <vt:lpstr>윈델</vt:lpstr>
      <vt:lpstr>스내치</vt:lpstr>
      <vt:lpstr>블랙커피</vt:lpstr>
      <vt:lpstr>아슈크림</vt:lpstr>
      <vt:lpstr>꽃잠</vt:lpstr>
      <vt:lpstr>문스톤</vt:lpstr>
      <vt:lpstr>세상</vt:lpstr>
      <vt:lpstr>더컴퍼니</vt:lpstr>
      <vt:lpstr>밀리의 서재</vt:lpstr>
      <vt:lpstr>갓띵작!Extract</vt:lpstr>
      <vt:lpstr>구공!Extract</vt:lpstr>
      <vt:lpstr>구유!Extract</vt:lpstr>
      <vt:lpstr>권용찬!Extract</vt:lpstr>
      <vt:lpstr>김광수!Extract</vt:lpstr>
      <vt:lpstr>김정률!Extract</vt:lpstr>
      <vt:lpstr>꽃잠!Extract</vt:lpstr>
      <vt:lpstr>단팥크림빵7!Extract</vt:lpstr>
      <vt:lpstr>더컴퍼니!Extract</vt:lpstr>
      <vt:lpstr>덕킹!Extract</vt:lpstr>
      <vt:lpstr>독고진!Extract</vt:lpstr>
      <vt:lpstr>모리미!Extract</vt:lpstr>
      <vt:lpstr>무장!Extract</vt:lpstr>
      <vt:lpstr>문스톤!Extract</vt:lpstr>
      <vt:lpstr>'밀리의 서재'!Extract</vt:lpstr>
      <vt:lpstr>밈스!Extract</vt:lpstr>
      <vt:lpstr>바나바다!Extract</vt:lpstr>
      <vt:lpstr>블랙커피!Extract</vt:lpstr>
      <vt:lpstr>서강후!Extract</vt:lpstr>
      <vt:lpstr>세상!Extract</vt:lpstr>
      <vt:lpstr>스내치!Extract</vt:lpstr>
      <vt:lpstr>아슈크림!Extract</vt:lpstr>
      <vt:lpstr>예로나!Extract</vt:lpstr>
      <vt:lpstr>왕십리글쟁이!Extract</vt:lpstr>
      <vt:lpstr>윈델!Extract</vt:lpstr>
      <vt:lpstr>전혁!Extract</vt:lpstr>
      <vt:lpstr>제외!Extract</vt:lpstr>
      <vt:lpstr>주이서!Extract</vt:lpstr>
      <vt:lpstr>진숙!Extract</vt:lpstr>
      <vt:lpstr>차홍주!Extract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2022-06-08T15:55:54Z</dcterms:modified>
</cp:coreProperties>
</file>