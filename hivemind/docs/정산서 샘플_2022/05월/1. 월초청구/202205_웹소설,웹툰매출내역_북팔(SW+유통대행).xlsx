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"/>
    </mc:Choice>
  </mc:AlternateContent>
  <bookViews>
    <workbookView xWindow="0" yWindow="0" windowWidth="20976" windowHeight="8952"/>
  </bookViews>
  <sheets>
    <sheet name="합계(5)" sheetId="1" r:id="rId1"/>
    <sheet name="제외" sheetId="2" r:id="rId2"/>
    <sheet name="올콘텐츠앤브이알" sheetId="3" r:id="rId3"/>
    <sheet name="구디" sheetId="4" r:id="rId4"/>
    <sheet name="컨텐츠헤라" sheetId="5" r:id="rId5"/>
    <sheet name="더컴퍼니" sheetId="6" r:id="rId6"/>
    <sheet name="온서" sheetId="7" r:id="rId7"/>
    <sheet name="에필로그" sheetId="8" r:id="rId8"/>
    <sheet name="세상" sheetId="9" r:id="rId9"/>
    <sheet name="한례" sheetId="10" r:id="rId10"/>
    <sheet name="무성매직" sheetId="11" r:id="rId11"/>
    <sheet name="불고기자리" sheetId="12" r:id="rId12"/>
    <sheet name="Livingston" sheetId="13" r:id="rId13"/>
    <sheet name="이린비" sheetId="14" r:id="rId14"/>
    <sheet name="윤비밀" sheetId="15" r:id="rId15"/>
    <sheet name="윈델" sheetId="16" r:id="rId16"/>
    <sheet name="스내치" sheetId="17" r:id="rId17"/>
    <sheet name="진숙" sheetId="18" r:id="rId18"/>
    <sheet name="차홍주" sheetId="19" r:id="rId19"/>
    <sheet name="DION(디온)" sheetId="20" r:id="rId20"/>
    <sheet name="김광수" sheetId="21" r:id="rId21"/>
    <sheet name="독고진" sheetId="22" r:id="rId22"/>
    <sheet name="이동열" sheetId="23" r:id="rId23"/>
  </sheets>
  <externalReferences>
    <externalReference r:id="rId24"/>
  </externalReferences>
  <definedNames>
    <definedName name="_xlnm._FilterDatabase" localSheetId="0" hidden="1">'합계(5)'!$A$1:$L$66</definedName>
    <definedName name="_xlnm.Extract" localSheetId="19">'DION(디온)'!$A$1:$L$1</definedName>
    <definedName name="_xlnm.Extract" localSheetId="12">Livingston!$A$1:$L$1</definedName>
    <definedName name="_xlnm.Extract" localSheetId="3">구디!$A$1:$L$1</definedName>
    <definedName name="_xlnm.Extract" localSheetId="20">김광수!$A$1:$L$1</definedName>
    <definedName name="_xlnm.Extract" localSheetId="5">더컴퍼니!$A$1:$L$1</definedName>
    <definedName name="_xlnm.Extract" localSheetId="21">독고진!$A$1:$L$1</definedName>
    <definedName name="_xlnm.Extract" localSheetId="10">무성매직!$A$1:$L$1</definedName>
    <definedName name="_xlnm.Extract" localSheetId="11">불고기자리!$A$1:$L$1</definedName>
    <definedName name="_xlnm.Extract" localSheetId="8">세상!$A$1:$L$1</definedName>
    <definedName name="_xlnm.Extract" localSheetId="16">스내치!$A$1:$L$1</definedName>
    <definedName name="_xlnm.Extract" localSheetId="7">에필로그!$A$1:$L$1</definedName>
    <definedName name="_xlnm.Extract" localSheetId="6">온서!$A$1:$L$1</definedName>
    <definedName name="_xlnm.Extract" localSheetId="2">올콘텐츠앤브이알!$A$1:$L$1</definedName>
    <definedName name="_xlnm.Extract" localSheetId="15">윈델!$A$1:$L$1</definedName>
    <definedName name="_xlnm.Extract" localSheetId="14">윤비밀!$A$1:$L$1</definedName>
    <definedName name="_xlnm.Extract" localSheetId="22">이동열!$A$1:$L$1</definedName>
    <definedName name="_xlnm.Extract" localSheetId="13">이린비!$A$1:$L$1</definedName>
    <definedName name="_xlnm.Extract" localSheetId="1">제외!$A$1:$L$1</definedName>
    <definedName name="_xlnm.Extract" localSheetId="17">진숙!$A$1:$L$1</definedName>
    <definedName name="_xlnm.Extract" localSheetId="18">차홍주!$A$1:$L$1</definedName>
    <definedName name="_xlnm.Extract" localSheetId="4">컨텐츠헤라!$A$1:$L$1</definedName>
    <definedName name="_xlnm.Extract" localSheetId="9">한례!$A$1:$L$1</definedName>
    <definedName name="_xlnm.Extract" localSheetId="0">'합계(5)'!#REF!</definedName>
  </definedNames>
  <calcPr calcId="152511" calcMode="manual"/>
</workbook>
</file>

<file path=xl/calcChain.xml><?xml version="1.0" encoding="utf-8"?>
<calcChain xmlns="http://schemas.openxmlformats.org/spreadsheetml/2006/main">
  <c r="K3" i="1" l="1"/>
  <c r="L3" i="1" s="1"/>
  <c r="K4" i="1"/>
  <c r="L4" i="1" s="1"/>
  <c r="K5" i="1"/>
  <c r="K6" i="1"/>
  <c r="K7" i="1"/>
  <c r="K8" i="1"/>
  <c r="L8" i="1" s="1"/>
  <c r="K9" i="1"/>
  <c r="L9" i="1" s="1"/>
  <c r="K10" i="1"/>
  <c r="L10" i="1" s="1"/>
  <c r="K11" i="1"/>
  <c r="L11" i="1" s="1"/>
  <c r="K12" i="1"/>
  <c r="L12" i="1" s="1"/>
  <c r="K13" i="1"/>
  <c r="K14" i="1"/>
  <c r="L14" i="1" s="1"/>
  <c r="K15" i="1"/>
  <c r="L15" i="1" s="1"/>
  <c r="K16" i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K28" i="1"/>
  <c r="K29" i="1"/>
  <c r="L29" i="1" s="1"/>
  <c r="K30" i="1"/>
  <c r="K31" i="1"/>
  <c r="K32" i="1"/>
  <c r="K33" i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K43" i="1"/>
  <c r="K44" i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K52" i="1"/>
  <c r="K53" i="1"/>
  <c r="K54" i="1"/>
  <c r="L54" i="1" s="1"/>
  <c r="K55" i="1"/>
  <c r="L55" i="1" s="1"/>
  <c r="K56" i="1"/>
  <c r="L56" i="1" s="1"/>
  <c r="K57" i="1"/>
  <c r="L57" i="1" s="1"/>
  <c r="K58" i="1"/>
  <c r="K59" i="1"/>
  <c r="K60" i="1"/>
  <c r="K61" i="1"/>
  <c r="K62" i="1"/>
  <c r="L62" i="1" s="1"/>
  <c r="K63" i="1"/>
  <c r="K64" i="1"/>
  <c r="K65" i="1"/>
  <c r="L65" i="1" s="1"/>
  <c r="K2" i="1"/>
  <c r="I65" i="1" l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I66" i="1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L30" i="1" l="1"/>
  <c r="L53" i="1"/>
  <c r="L52" i="1"/>
  <c r="L42" i="1"/>
  <c r="L61" i="1"/>
  <c r="L44" i="1"/>
  <c r="L6" i="1"/>
  <c r="L16" i="1"/>
  <c r="L51" i="1"/>
  <c r="L32" i="1"/>
  <c r="L60" i="1"/>
  <c r="L7" i="1"/>
  <c r="L5" i="1"/>
  <c r="L33" i="1"/>
  <c r="L13" i="1"/>
  <c r="L2" i="1"/>
  <c r="L27" i="1" l="1"/>
  <c r="L28" i="1"/>
  <c r="L43" i="1"/>
  <c r="L63" i="1"/>
  <c r="L58" i="1"/>
  <c r="L59" i="1"/>
  <c r="L64" i="1"/>
  <c r="L31" i="1"/>
</calcChain>
</file>

<file path=xl/sharedStrings.xml><?xml version="1.0" encoding="utf-8"?>
<sst xmlns="http://schemas.openxmlformats.org/spreadsheetml/2006/main" count="924" uniqueCount="139">
  <si>
    <t>아이디</t>
  </si>
  <si>
    <t>작품명</t>
  </si>
  <si>
    <t>storywiz</t>
  </si>
  <si>
    <t>온서</t>
  </si>
  <si>
    <t>임신부터 할까요?</t>
  </si>
  <si>
    <t>순번</t>
  </si>
  <si>
    <t>구분</t>
    <phoneticPr fontId="2" type="noConversion"/>
  </si>
  <si>
    <t>필명</t>
  </si>
  <si>
    <t>판매수</t>
    <phoneticPr fontId="2" type="noConversion"/>
  </si>
  <si>
    <t>판매액</t>
  </si>
  <si>
    <t>정산율</t>
  </si>
  <si>
    <t>수익금</t>
  </si>
  <si>
    <t>비고</t>
  </si>
  <si>
    <t>웹소설</t>
    <phoneticPr fontId="2" type="noConversion"/>
  </si>
  <si>
    <t>백범(白帆)</t>
  </si>
  <si>
    <t>악당의 리턴</t>
  </si>
  <si>
    <t>진짜 사나이!</t>
  </si>
  <si>
    <t>헌터 킹</t>
  </si>
  <si>
    <t>직하인</t>
  </si>
  <si>
    <t>감또개</t>
  </si>
  <si>
    <t>세상</t>
  </si>
  <si>
    <t>협행마</t>
  </si>
  <si>
    <t>흑막의 신</t>
  </si>
  <si>
    <t>티끌 모아 대박</t>
  </si>
  <si>
    <t>자모검</t>
  </si>
  <si>
    <t>고검환정록</t>
  </si>
  <si>
    <t>꼭꼭 숨어라</t>
  </si>
  <si>
    <t>와그작</t>
  </si>
  <si>
    <t>컬러 러쉬</t>
  </si>
  <si>
    <t>남궁세가 건달공자</t>
  </si>
  <si>
    <t>동대륙의 낭인무사</t>
  </si>
  <si>
    <t>계약연애, 오늘부터 1일</t>
  </si>
  <si>
    <t>최재봉</t>
  </si>
  <si>
    <t>강호, 미치다</t>
  </si>
  <si>
    <t>한례</t>
  </si>
  <si>
    <t>순백의 아가씨</t>
  </si>
  <si>
    <t>무성매직</t>
  </si>
  <si>
    <t>공작가의 남루한 신부</t>
  </si>
  <si>
    <t>불고기자리</t>
  </si>
  <si>
    <t>레이디 스칼렛</t>
  </si>
  <si>
    <t>Livingston</t>
  </si>
  <si>
    <t>아저씨, 내 기분 왜 이래요?</t>
  </si>
  <si>
    <t>sJessi</t>
  </si>
  <si>
    <t>위험한 선배</t>
  </si>
  <si>
    <t>등나무밑소공자</t>
  </si>
  <si>
    <t>금의 해, 새의 눈</t>
  </si>
  <si>
    <t>김매콤</t>
  </si>
  <si>
    <t>선배님, 흔들어 주세요</t>
  </si>
  <si>
    <t>전장의 금기</t>
  </si>
  <si>
    <t>전설이 돼라(개정판)</t>
  </si>
  <si>
    <t>법보다 주먹</t>
  </si>
  <si>
    <t>이린비</t>
  </si>
  <si>
    <t>여왕 아델</t>
  </si>
  <si>
    <t>윤비밀</t>
  </si>
  <si>
    <t>내일은 이혼해요</t>
  </si>
  <si>
    <t>무슈슈</t>
  </si>
  <si>
    <t>홍염의 덫</t>
  </si>
  <si>
    <t>라돌체</t>
  </si>
  <si>
    <t>엠프티(Empty)</t>
  </si>
  <si>
    <t>SISSI</t>
  </si>
  <si>
    <t>택스 프리(TAX FREE)</t>
  </si>
  <si>
    <t>기특혜 수익내역</t>
    <phoneticPr fontId="2" type="noConversion"/>
  </si>
  <si>
    <t>웹툰</t>
    <phoneticPr fontId="2" type="noConversion"/>
  </si>
  <si>
    <t>Ice×FANFAN COMIC</t>
  </si>
  <si>
    <t>폭군의 눈물</t>
  </si>
  <si>
    <t>Hujing, Luojie</t>
  </si>
  <si>
    <t>공주전쟁</t>
  </si>
  <si>
    <t>Zhupi, Yangxuetu</t>
  </si>
  <si>
    <t>연애 2분의 1</t>
  </si>
  <si>
    <t>웹툰</t>
    <phoneticPr fontId="2" type="noConversion"/>
  </si>
  <si>
    <t>Lv</t>
  </si>
  <si>
    <t>최애에게 들켜버렸다</t>
  </si>
  <si>
    <t>원기공장</t>
  </si>
  <si>
    <t>건일</t>
  </si>
  <si>
    <t>별빛 아래 우리</t>
  </si>
  <si>
    <t>웹티, 올코</t>
  </si>
  <si>
    <t>황제의 사랑방식</t>
  </si>
  <si>
    <t>글 Bae.C, IIAKI 그림 Bae.C, 조우, 원작 박제후</t>
  </si>
  <si>
    <t>가출천사 육성계약</t>
  </si>
  <si>
    <t>보스 오빠, 살살</t>
  </si>
  <si>
    <t>혜원</t>
  </si>
  <si>
    <t>내 남편의 스토커</t>
  </si>
  <si>
    <t>Nisansui, Ziquan</t>
  </si>
  <si>
    <t>너랑 나랑 하면</t>
  </si>
  <si>
    <t>Ivyeqianhe, Youzhijiaozi</t>
  </si>
  <si>
    <t>폐하, 옥체 보존하세요!</t>
  </si>
  <si>
    <t>사틴</t>
  </si>
  <si>
    <t>하루하루</t>
  </si>
  <si>
    <t>라에르</t>
  </si>
  <si>
    <t>비터, 비터(Bitter, Bitter)</t>
  </si>
  <si>
    <t>군주, 다시 귀환하다</t>
  </si>
  <si>
    <t>웹소설</t>
    <phoneticPr fontId="2" type="noConversion"/>
  </si>
  <si>
    <t>마연</t>
  </si>
  <si>
    <t>주먹 구십구</t>
  </si>
  <si>
    <t>웹소설</t>
    <phoneticPr fontId="2" type="noConversion"/>
  </si>
  <si>
    <t>윈델</t>
  </si>
  <si>
    <t>돌아온 막내 영애님을 조심하세요</t>
  </si>
  <si>
    <t>두럭</t>
  </si>
  <si>
    <t>밤의 제물</t>
  </si>
  <si>
    <t>익스클루시브(Exclusive)</t>
  </si>
  <si>
    <t>월하연인</t>
  </si>
  <si>
    <t>스내치</t>
  </si>
  <si>
    <t>아래층에 전남편이 산다</t>
  </si>
  <si>
    <t>진숙</t>
  </si>
  <si>
    <t>나쁜 이혼</t>
  </si>
  <si>
    <t>차홍주</t>
  </si>
  <si>
    <t>사랑도 없이 결혼</t>
  </si>
  <si>
    <t>DION</t>
  </si>
  <si>
    <t>On the air</t>
  </si>
  <si>
    <t>집착의 맛</t>
  </si>
  <si>
    <t>정감</t>
  </si>
  <si>
    <t>바람피우지 마세요</t>
  </si>
  <si>
    <t>이다겸</t>
  </si>
  <si>
    <t>너드 공략집</t>
  </si>
  <si>
    <t>김광수</t>
  </si>
  <si>
    <t>21세기 대마법사</t>
  </si>
  <si>
    <t>회귀의 전설</t>
  </si>
  <si>
    <t>독고진</t>
  </si>
  <si>
    <t>신을 죽이러 갑니다</t>
  </si>
  <si>
    <t>이동열</t>
  </si>
  <si>
    <t>던전 공략 LIVE</t>
  </si>
  <si>
    <t>협행마</t>
    <phoneticPr fontId="2" type="noConversion"/>
  </si>
  <si>
    <t>남궁세가 건달공자</t>
    <phoneticPr fontId="2" type="noConversion"/>
  </si>
  <si>
    <t>윤비밀</t>
    <phoneticPr fontId="2" type="noConversion"/>
  </si>
  <si>
    <t>내일은 이혼해요</t>
    <phoneticPr fontId="2" type="noConversion"/>
  </si>
  <si>
    <t>무성매직</t>
    <phoneticPr fontId="2" type="noConversion"/>
  </si>
  <si>
    <t>공작가의 남루한 신부</t>
    <phoneticPr fontId="2" type="noConversion"/>
  </si>
  <si>
    <t>두럭</t>
    <phoneticPr fontId="2" type="noConversion"/>
  </si>
  <si>
    <t>밤의 제물</t>
    <phoneticPr fontId="2" type="noConversion"/>
  </si>
  <si>
    <t>출판사</t>
    <phoneticPr fontId="5" type="noConversion"/>
  </si>
  <si>
    <r>
      <rPr>
        <sz val="10"/>
        <rFont val="돋움"/>
        <family val="3"/>
        <charset val="129"/>
      </rPr>
      <t>작가</t>
    </r>
    <r>
      <rPr>
        <sz val="11"/>
        <color theme="1"/>
        <rFont val="맑은 고딕"/>
        <family val="2"/>
        <scheme val="minor"/>
      </rPr>
      <t xml:space="preserve"> CP</t>
    </r>
    <phoneticPr fontId="5" type="noConversion"/>
  </si>
  <si>
    <t>제외</t>
  </si>
  <si>
    <t>올콘텐츠앤브이알</t>
  </si>
  <si>
    <t>구디</t>
  </si>
  <si>
    <t>컨텐츠헤라</t>
  </si>
  <si>
    <t>더컴퍼니</t>
  </si>
  <si>
    <t>에필로그</t>
  </si>
  <si>
    <t>DION(디온)</t>
  </si>
  <si>
    <t>스토리위즈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</si>
</sst>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#,##0_);[Red]\(#,##0\)"/>
    <numFmt numFmtId="177" formatCode="#,##0_ "/>
  </numFmts>
  <fonts count="6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1D1D1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3">
    <xf numFmtId="0" fontId="0" fillId="0" borderId="0"/>
    <xf numFmtId="0" fontId="1" fillId="2" borderId="1">
      <alignment horizontal="center" vertical="center"/>
    </xf>
    <xf numFmtId="41" fontId="3" fillId="0" borderId="0" applyFont="0" applyFill="0" applyBorder="0" applyAlignment="0" applyProtection="0">
      <alignment vertical="center"/>
    </xf>
  </cellStyleXfs>
  <cellXfs count="20">
    <xf numFmtId="0" fontId="0" fillId="0" borderId="0" xfId="0"/>
    <xf numFmtId="176" fontId="0" fillId="0" borderId="0" xfId="0" applyNumberFormat="1" applyAlignment="1">
      <alignment wrapText="1"/>
    </xf>
    <xf numFmtId="9" fontId="0" fillId="0" borderId="0" xfId="0" applyNumberFormat="1"/>
    <xf numFmtId="0" fontId="0" fillId="0" borderId="0" xfId="0"/>
    <xf numFmtId="0" fontId="1" fillId="2" borderId="1" xfId="1" applyBorder="1" applyAlignment="1">
      <alignment horizontal="center" vertical="center"/>
    </xf>
    <xf numFmtId="9" fontId="1" fillId="2" borderId="1" xfId="1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77" fontId="0" fillId="0" borderId="1" xfId="0" applyNumberFormat="1" applyBorder="1" applyAlignment="1">
      <alignment vertical="center"/>
    </xf>
    <xf numFmtId="9" fontId="0" fillId="0" borderId="1" xfId="0" applyNumberFormat="1" applyBorder="1"/>
    <xf numFmtId="176" fontId="0" fillId="0" borderId="1" xfId="0" applyNumberFormat="1" applyBorder="1" applyAlignment="1">
      <alignment wrapText="1"/>
    </xf>
    <xf numFmtId="0" fontId="0" fillId="0" borderId="1" xfId="0" applyBorder="1"/>
    <xf numFmtId="0" fontId="0" fillId="0" borderId="1" xfId="0" applyFill="1" applyBorder="1" applyAlignment="1">
      <alignment vertical="center"/>
    </xf>
    <xf numFmtId="177" fontId="0" fillId="0" borderId="1" xfId="0" applyNumberFormat="1" applyBorder="1" applyAlignment="1"/>
    <xf numFmtId="0" fontId="0" fillId="0" borderId="2" xfId="0" applyBorder="1"/>
    <xf numFmtId="177" fontId="0" fillId="0" borderId="1" xfId="0" applyNumberFormat="1" applyBorder="1"/>
    <xf numFmtId="177" fontId="0" fillId="0" borderId="1" xfId="0" applyNumberFormat="1" applyBorder="1" applyAlignment="1">
      <alignment wrapText="1"/>
    </xf>
    <xf numFmtId="176" fontId="0" fillId="3" borderId="0" xfId="0" applyNumberFormat="1" applyFill="1"/>
    <xf numFmtId="41" fontId="0" fillId="0" borderId="1" xfId="2" applyFont="1" applyBorder="1" applyAlignment="1"/>
    <xf numFmtId="0" fontId="4" fillId="4" borderId="3" xfId="0" applyFont="1" applyFill="1" applyBorder="1"/>
    <xf numFmtId="0" fontId="0" fillId="4" borderId="4" xfId="0" applyFill="1" applyBorder="1"/>
  </cellXfs>
  <cellStyles count="3">
    <cellStyle name="tabletitle" xfId="1"/>
    <cellStyle name="쉼표 [0]" xfId="2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2103/Desktop/zjsxpscmwjdtks/&#52968;&#53584;&#52768;&#51221;&#49328;_&#51652;&#51676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플랫폼별_작가"/>
      <sheetName val="작가별_플랫폼내_쉬트번호"/>
      <sheetName val="작가별정산률"/>
      <sheetName val="정산필드위치"/>
      <sheetName val="sample"/>
    </sheetNames>
    <sheetDataSet>
      <sheetData sheetId="0"/>
      <sheetData sheetId="1"/>
      <sheetData sheetId="2">
        <row r="1">
          <cell r="A1" t="str">
            <v xml:space="preserve">플랫폼 작가명 </v>
          </cell>
          <cell r="B1" t="str">
            <v xml:space="preserve">통합작가명 </v>
          </cell>
          <cell r="R1" t="str">
            <v>저자</v>
          </cell>
          <cell r="S1" t="str">
            <v>출판사(정산)</v>
          </cell>
        </row>
        <row r="2">
          <cell r="A2" t="str">
            <v>AliceW</v>
          </cell>
          <cell r="B2" t="str">
            <v>AliceW</v>
          </cell>
          <cell r="R2" t="str">
            <v>Ashes</v>
          </cell>
          <cell r="S2" t="str">
            <v>더컴퍼니</v>
          </cell>
        </row>
        <row r="3">
          <cell r="A3" t="str">
            <v>Arashiyama</v>
          </cell>
          <cell r="B3" t="str">
            <v>제외</v>
          </cell>
          <cell r="R3" t="str">
            <v>Ashes</v>
          </cell>
          <cell r="S3" t="str">
            <v>더컴퍼니</v>
          </cell>
        </row>
        <row r="4">
          <cell r="A4" t="str">
            <v>Bae.C, 조우</v>
          </cell>
          <cell r="B4" t="str">
            <v>구디</v>
          </cell>
          <cell r="R4" t="str">
            <v>Ashes</v>
          </cell>
          <cell r="S4" t="str">
            <v>더컴퍼니</v>
          </cell>
        </row>
        <row r="5">
          <cell r="A5" t="str">
            <v>글 Bae.C, IIAKI 그림 Bae.C, 조우, 원작 박제후</v>
          </cell>
          <cell r="B5" t="str">
            <v>구디</v>
          </cell>
          <cell r="R5" t="str">
            <v>Ashes</v>
          </cell>
          <cell r="S5" t="str">
            <v>더컴퍼니</v>
          </cell>
        </row>
        <row r="6">
          <cell r="A6" t="str">
            <v>BitterSweet</v>
          </cell>
          <cell r="B6" t="str">
            <v>제외</v>
          </cell>
          <cell r="R6" t="str">
            <v>cainLu</v>
          </cell>
          <cell r="S6" t="str">
            <v>더컴퍼니</v>
          </cell>
        </row>
        <row r="7">
          <cell r="A7" t="str">
            <v>Bless_cangshukou</v>
          </cell>
          <cell r="B7" t="str">
            <v>제외</v>
          </cell>
          <cell r="R7" t="str">
            <v>jooki</v>
          </cell>
          <cell r="S7" t="str">
            <v>더컴퍼니</v>
          </cell>
        </row>
        <row r="8">
          <cell r="A8" t="str">
            <v>DION(디온)</v>
          </cell>
          <cell r="B8" t="str">
            <v>DION(디온)</v>
          </cell>
          <cell r="R8" t="str">
            <v>jooki</v>
          </cell>
          <cell r="S8" t="str">
            <v>더컴퍼니</v>
          </cell>
        </row>
        <row r="9">
          <cell r="A9" t="str">
            <v>DION</v>
          </cell>
          <cell r="B9" t="str">
            <v>DION(디온)</v>
          </cell>
          <cell r="R9" t="str">
            <v>jooki</v>
          </cell>
          <cell r="S9" t="str">
            <v>더컴퍼니</v>
          </cell>
        </row>
        <row r="10">
          <cell r="A10" t="str">
            <v>HOON</v>
          </cell>
          <cell r="B10" t="str">
            <v>컨텐츠헤라</v>
          </cell>
          <cell r="R10" t="str">
            <v>jooki</v>
          </cell>
          <cell r="S10" t="str">
            <v>더컴퍼니</v>
          </cell>
        </row>
        <row r="11">
          <cell r="A11" t="str">
            <v>Hujing</v>
          </cell>
          <cell r="B11" t="str">
            <v>제외</v>
          </cell>
          <cell r="R11" t="str">
            <v>jooki</v>
          </cell>
          <cell r="S11" t="str">
            <v>더컴퍼니</v>
          </cell>
        </row>
        <row r="12">
          <cell r="A12" t="str">
            <v>Hujing&amp;Luojie</v>
          </cell>
          <cell r="B12" t="str">
            <v>제외</v>
          </cell>
          <cell r="R12" t="str">
            <v>jooki</v>
          </cell>
          <cell r="S12" t="str">
            <v>더컴퍼니</v>
          </cell>
        </row>
        <row r="13">
          <cell r="A13" t="str">
            <v>Hujing,Luojie</v>
          </cell>
          <cell r="B13" t="str">
            <v>제외</v>
          </cell>
          <cell r="R13" t="str">
            <v>jooki</v>
          </cell>
          <cell r="S13" t="str">
            <v>더컴퍼니</v>
          </cell>
        </row>
        <row r="14">
          <cell r="A14" t="str">
            <v>Hujing×Luojie</v>
          </cell>
          <cell r="B14" t="str">
            <v>제외</v>
          </cell>
          <cell r="R14" t="str">
            <v>jooki</v>
          </cell>
          <cell r="S14" t="str">
            <v>더컴퍼니</v>
          </cell>
        </row>
        <row r="15">
          <cell r="A15" t="str">
            <v>Hujing, Luojie</v>
          </cell>
          <cell r="B15" t="str">
            <v>제외</v>
          </cell>
          <cell r="R15" t="str">
            <v>jooki</v>
          </cell>
          <cell r="S15" t="str">
            <v>더컴퍼니</v>
          </cell>
        </row>
        <row r="16">
          <cell r="A16" t="str">
            <v>Ice×FANFAN COMIC</v>
          </cell>
          <cell r="B16" t="str">
            <v>제외</v>
          </cell>
          <cell r="R16" t="str">
            <v>jooki</v>
          </cell>
          <cell r="S16" t="str">
            <v>더컴퍼니</v>
          </cell>
        </row>
        <row r="17">
          <cell r="A17" t="str">
            <v>Ivyeqianhe, Youzhijiaozi</v>
          </cell>
          <cell r="B17" t="str">
            <v>제외</v>
          </cell>
          <cell r="R17" t="str">
            <v>jooki</v>
          </cell>
          <cell r="S17" t="str">
            <v>더컴퍼니</v>
          </cell>
        </row>
        <row r="18">
          <cell r="A18" t="str">
            <v>IvyeqianheXyouzhijiaozi</v>
          </cell>
          <cell r="B18" t="str">
            <v>제외</v>
          </cell>
          <cell r="R18" t="str">
            <v>jooki</v>
          </cell>
          <cell r="S18" t="str">
            <v>더컴퍼니</v>
          </cell>
        </row>
        <row r="19">
          <cell r="A19" t="str">
            <v>Kantetsu</v>
          </cell>
          <cell r="B19" t="str">
            <v>제외</v>
          </cell>
          <cell r="R19" t="str">
            <v>jooki</v>
          </cell>
          <cell r="S19" t="str">
            <v>더컴퍼니</v>
          </cell>
        </row>
        <row r="20">
          <cell r="A20" t="str">
            <v>Kantetsu&amp;Minase chiho</v>
          </cell>
          <cell r="B20" t="str">
            <v>제외</v>
          </cell>
          <cell r="R20" t="str">
            <v>jooki</v>
          </cell>
          <cell r="S20" t="str">
            <v>더컴퍼니</v>
          </cell>
        </row>
        <row r="21">
          <cell r="A21" t="str">
            <v>KEY</v>
          </cell>
          <cell r="B21" t="str">
            <v>KEY</v>
          </cell>
          <cell r="R21" t="str">
            <v>jooki</v>
          </cell>
          <cell r="S21" t="str">
            <v>더컴퍼니</v>
          </cell>
        </row>
        <row r="22">
          <cell r="A22" t="str">
            <v>kuri</v>
          </cell>
          <cell r="B22" t="str">
            <v>제외</v>
          </cell>
          <cell r="R22" t="str">
            <v>jooki</v>
          </cell>
          <cell r="S22" t="str">
            <v>더컴퍼니</v>
          </cell>
        </row>
        <row r="23">
          <cell r="A23" t="str">
            <v>Linksrue</v>
          </cell>
          <cell r="B23" t="str">
            <v>제외</v>
          </cell>
          <cell r="R23" t="str">
            <v>jooki</v>
          </cell>
          <cell r="S23" t="str">
            <v>더컴퍼니</v>
          </cell>
        </row>
        <row r="24">
          <cell r="A24" t="str">
            <v>Linksure</v>
          </cell>
          <cell r="B24" t="str">
            <v>제외</v>
          </cell>
          <cell r="R24" t="str">
            <v>jooki</v>
          </cell>
          <cell r="S24" t="str">
            <v>더컴퍼니</v>
          </cell>
        </row>
        <row r="25">
          <cell r="A25" t="str">
            <v>Livingston</v>
          </cell>
          <cell r="B25" t="str">
            <v>Livingston</v>
          </cell>
          <cell r="R25" t="str">
            <v>jooki</v>
          </cell>
          <cell r="S25" t="str">
            <v>더컴퍼니</v>
          </cell>
        </row>
        <row r="26">
          <cell r="A26" t="str">
            <v>Luojie</v>
          </cell>
          <cell r="B26" t="str">
            <v>제외</v>
          </cell>
          <cell r="R26" t="str">
            <v>jooki</v>
          </cell>
          <cell r="S26" t="str">
            <v>더컴퍼니</v>
          </cell>
        </row>
        <row r="27">
          <cell r="A27" t="str">
            <v>Lv</v>
          </cell>
          <cell r="B27" t="str">
            <v>제외</v>
          </cell>
          <cell r="R27" t="str">
            <v>jooki</v>
          </cell>
          <cell r="S27" t="str">
            <v>더컴퍼니</v>
          </cell>
        </row>
        <row r="28">
          <cell r="A28" t="str">
            <v>lvyeqianhe x youzhijiaozi</v>
          </cell>
          <cell r="B28" t="str">
            <v>제외</v>
          </cell>
          <cell r="R28" t="str">
            <v>jooki</v>
          </cell>
          <cell r="S28" t="str">
            <v>더컴퍼니</v>
          </cell>
        </row>
        <row r="29">
          <cell r="A29" t="str">
            <v>mollen</v>
          </cell>
          <cell r="B29" t="str">
            <v>mollen</v>
          </cell>
          <cell r="R29" t="str">
            <v>jooki</v>
          </cell>
          <cell r="S29" t="str">
            <v>더컴퍼니</v>
          </cell>
        </row>
        <row r="30">
          <cell r="A30" t="str">
            <v>muscleup</v>
          </cell>
          <cell r="B30" t="str">
            <v>muscleup</v>
          </cell>
          <cell r="R30" t="str">
            <v>jooki</v>
          </cell>
          <cell r="S30" t="str">
            <v>더컴퍼니</v>
          </cell>
        </row>
        <row r="31">
          <cell r="A31" t="str">
            <v>Nisansui</v>
          </cell>
          <cell r="B31" t="str">
            <v>제외</v>
          </cell>
          <cell r="R31" t="str">
            <v>jooki</v>
          </cell>
          <cell r="S31" t="str">
            <v>더컴퍼니</v>
          </cell>
        </row>
        <row r="32">
          <cell r="A32" t="str">
            <v>NISANSUI,ZIQUAN</v>
          </cell>
          <cell r="B32" t="str">
            <v>제외</v>
          </cell>
          <cell r="R32" t="str">
            <v>jooki</v>
          </cell>
          <cell r="S32" t="str">
            <v>더컴퍼니</v>
          </cell>
        </row>
        <row r="33">
          <cell r="A33" t="str">
            <v>Nisansui, Ziquan</v>
          </cell>
          <cell r="B33" t="str">
            <v>제외</v>
          </cell>
          <cell r="R33" t="str">
            <v>SISSI(시씨)</v>
          </cell>
          <cell r="S33" t="str">
            <v>더컴퍼니</v>
          </cell>
        </row>
        <row r="34">
          <cell r="A34" t="str">
            <v>SISSI</v>
          </cell>
          <cell r="B34" t="str">
            <v>더컴퍼니</v>
          </cell>
          <cell r="R34" t="str">
            <v>SISSI(시씨)</v>
          </cell>
          <cell r="S34" t="str">
            <v>더컴퍼니</v>
          </cell>
        </row>
        <row r="35">
          <cell r="A35" t="str">
            <v xml:space="preserve">Tencent </v>
          </cell>
          <cell r="B35" t="str">
            <v>제외</v>
          </cell>
          <cell r="R35" t="str">
            <v>SISSI</v>
          </cell>
          <cell r="S35" t="str">
            <v>더컴퍼니</v>
          </cell>
        </row>
        <row r="36">
          <cell r="A36" t="str">
            <v>Uchenhu, Lin Peiyu</v>
          </cell>
          <cell r="B36" t="str">
            <v>제외</v>
          </cell>
          <cell r="R36" t="str">
            <v>SISSI</v>
          </cell>
          <cell r="S36" t="str">
            <v>더컴퍼니</v>
          </cell>
        </row>
        <row r="37">
          <cell r="A37" t="str">
            <v>Uchenhu,Lin Peiyu</v>
          </cell>
          <cell r="B37" t="str">
            <v>제외</v>
          </cell>
          <cell r="R37" t="str">
            <v>SISSI</v>
          </cell>
          <cell r="S37" t="str">
            <v>더컴퍼니</v>
          </cell>
        </row>
        <row r="38">
          <cell r="A38" t="str">
            <v>vvk</v>
          </cell>
          <cell r="B38" t="str">
            <v>vvk</v>
          </cell>
          <cell r="R38" t="str">
            <v>SISSI</v>
          </cell>
          <cell r="S38" t="str">
            <v>더컴퍼니</v>
          </cell>
        </row>
        <row r="39">
          <cell r="A39" t="str">
            <v>Yulia</v>
          </cell>
          <cell r="B39" t="str">
            <v>Yulia</v>
          </cell>
          <cell r="R39" t="str">
            <v>SISSI</v>
          </cell>
          <cell r="S39" t="str">
            <v>더컴퍼니</v>
          </cell>
        </row>
        <row r="40">
          <cell r="A40" t="str">
            <v>ZHUPI&amp;YANGXUETU</v>
          </cell>
          <cell r="B40" t="str">
            <v>제외</v>
          </cell>
          <cell r="R40" t="str">
            <v>SISSI</v>
          </cell>
          <cell r="S40" t="str">
            <v>더컴퍼니</v>
          </cell>
        </row>
        <row r="41">
          <cell r="A41" t="str">
            <v>ZHUPI,YANGXUETU</v>
          </cell>
          <cell r="B41" t="str">
            <v>제외</v>
          </cell>
          <cell r="R41" t="str">
            <v>SISSI</v>
          </cell>
          <cell r="S41" t="str">
            <v>더컴퍼니</v>
          </cell>
        </row>
        <row r="42">
          <cell r="A42" t="str">
            <v>ZHUPI.YANGXUETU</v>
          </cell>
          <cell r="B42" t="str">
            <v>제외</v>
          </cell>
          <cell r="R42" t="str">
            <v>SISSI</v>
          </cell>
          <cell r="S42" t="str">
            <v>더컴퍼니</v>
          </cell>
        </row>
        <row r="43">
          <cell r="A43" t="str">
            <v>Zhupi, Yangxuetu</v>
          </cell>
          <cell r="B43" t="str">
            <v>제외</v>
          </cell>
          <cell r="R43" t="str">
            <v>SISSI</v>
          </cell>
          <cell r="S43" t="str">
            <v>더컴퍼니</v>
          </cell>
        </row>
        <row r="44">
          <cell r="A44" t="str">
            <v>가람검</v>
          </cell>
          <cell r="B44" t="str">
            <v>독고진</v>
          </cell>
          <cell r="R44" t="str">
            <v>SISSI</v>
          </cell>
          <cell r="S44" t="str">
            <v>더컴퍼니</v>
          </cell>
        </row>
        <row r="45">
          <cell r="A45" t="str">
            <v>갓띵작</v>
          </cell>
          <cell r="B45" t="str">
            <v>갓띵작</v>
          </cell>
          <cell r="R45" t="str">
            <v>SISSI</v>
          </cell>
          <cell r="S45" t="str">
            <v>더컴퍼니</v>
          </cell>
        </row>
        <row r="46">
          <cell r="A46" t="str">
            <v>강준현</v>
          </cell>
          <cell r="B46" t="str">
            <v>제외</v>
          </cell>
          <cell r="R46" t="str">
            <v>SISSI</v>
          </cell>
          <cell r="S46" t="str">
            <v>더컴퍼니</v>
          </cell>
        </row>
        <row r="47">
          <cell r="A47" t="str">
            <v>건일</v>
          </cell>
          <cell r="B47" t="str">
            <v>제외</v>
          </cell>
          <cell r="R47" t="str">
            <v>SISSI</v>
          </cell>
          <cell r="S47" t="str">
            <v>더컴퍼니</v>
          </cell>
        </row>
        <row r="48">
          <cell r="A48" t="str">
            <v>공든탑</v>
          </cell>
          <cell r="B48" t="str">
            <v>공든탑</v>
          </cell>
          <cell r="R48" t="str">
            <v>SISSI</v>
          </cell>
          <cell r="S48" t="str">
            <v>더컴퍼니</v>
          </cell>
        </row>
        <row r="49">
          <cell r="A49" t="str">
            <v>곽도우</v>
          </cell>
          <cell r="B49" t="str">
            <v>스토리아크</v>
          </cell>
          <cell r="R49" t="str">
            <v>SISSI</v>
          </cell>
          <cell r="S49" t="str">
            <v>더컴퍼니</v>
          </cell>
        </row>
        <row r="50">
          <cell r="A50" t="str">
            <v>구공</v>
          </cell>
          <cell r="B50" t="str">
            <v>구공</v>
          </cell>
          <cell r="R50" t="str">
            <v>SISSI</v>
          </cell>
          <cell r="S50" t="str">
            <v>더컴퍼니</v>
          </cell>
        </row>
        <row r="51">
          <cell r="A51" t="str">
            <v>구디스튜디오</v>
          </cell>
          <cell r="B51" t="str">
            <v>구디</v>
          </cell>
          <cell r="R51" t="str">
            <v>SISSI</v>
          </cell>
          <cell r="S51" t="str">
            <v>더컴퍼니</v>
          </cell>
        </row>
        <row r="52">
          <cell r="A52" t="str">
            <v>구땡</v>
          </cell>
          <cell r="B52" t="str">
            <v>구땡</v>
          </cell>
          <cell r="R52" t="str">
            <v>SISSI</v>
          </cell>
          <cell r="S52" t="str">
            <v>더컴퍼니</v>
          </cell>
        </row>
        <row r="53">
          <cell r="A53" t="str">
            <v>구유</v>
          </cell>
          <cell r="B53" t="str">
            <v>구유</v>
          </cell>
          <cell r="R53" t="str">
            <v>SISSI</v>
          </cell>
          <cell r="S53" t="str">
            <v>더컴퍼니</v>
          </cell>
        </row>
        <row r="54">
          <cell r="A54" t="str">
            <v>구이</v>
          </cell>
          <cell r="B54" t="str">
            <v>구이</v>
          </cell>
          <cell r="R54" t="str">
            <v>SISSI</v>
          </cell>
          <cell r="S54" t="str">
            <v>더컴퍼니</v>
          </cell>
        </row>
        <row r="55">
          <cell r="A55" t="str">
            <v>군주</v>
          </cell>
          <cell r="B55" t="str">
            <v>군주</v>
          </cell>
          <cell r="R55" t="str">
            <v>SISSI</v>
          </cell>
          <cell r="S55" t="str">
            <v>더컴퍼니</v>
          </cell>
        </row>
        <row r="56">
          <cell r="A56" t="str">
            <v>권용찬</v>
          </cell>
          <cell r="B56" t="str">
            <v>권용찬</v>
          </cell>
          <cell r="R56" t="str">
            <v>SISSI</v>
          </cell>
          <cell r="S56" t="str">
            <v>더컴퍼니</v>
          </cell>
        </row>
        <row r="57">
          <cell r="A57" t="str">
            <v>권용찬 (2)</v>
          </cell>
          <cell r="B57" t="str">
            <v>권용찬</v>
          </cell>
          <cell r="R57" t="str">
            <v>SISSI</v>
          </cell>
          <cell r="S57" t="str">
            <v>더컴퍼니</v>
          </cell>
        </row>
        <row r="58">
          <cell r="A58" t="str">
            <v>글면증</v>
          </cell>
          <cell r="B58" t="str">
            <v>글면증</v>
          </cell>
          <cell r="R58" t="str">
            <v>SISSI</v>
          </cell>
          <cell r="S58" t="str">
            <v>더컴퍼니</v>
          </cell>
        </row>
        <row r="59">
          <cell r="A59" t="str">
            <v>금시조</v>
          </cell>
          <cell r="B59" t="str">
            <v>금시조</v>
          </cell>
          <cell r="R59" t="str">
            <v>SISSI</v>
          </cell>
          <cell r="S59" t="str">
            <v>더컴퍼니</v>
          </cell>
        </row>
        <row r="60">
          <cell r="A60" t="str">
            <v>김광수</v>
          </cell>
          <cell r="B60" t="str">
            <v>김광수</v>
          </cell>
          <cell r="R60" t="str">
            <v>SISSI</v>
          </cell>
          <cell r="S60" t="str">
            <v>더컴퍼니</v>
          </cell>
        </row>
        <row r="61">
          <cell r="A61" t="str">
            <v>김광수 (2)</v>
          </cell>
          <cell r="B61" t="str">
            <v>김광수</v>
          </cell>
          <cell r="R61" t="str">
            <v>SISSI</v>
          </cell>
          <cell r="S61" t="str">
            <v>더컴퍼니</v>
          </cell>
        </row>
        <row r="62">
          <cell r="A62" t="str">
            <v>김너울</v>
          </cell>
          <cell r="B62" t="str">
            <v>김너울</v>
          </cell>
          <cell r="R62" t="str">
            <v>SISSI</v>
          </cell>
          <cell r="S62" t="str">
            <v>더컴퍼니</v>
          </cell>
        </row>
        <row r="63">
          <cell r="A63" t="str">
            <v>김사라</v>
          </cell>
          <cell r="B63" t="str">
            <v>김사라</v>
          </cell>
          <cell r="R63" t="str">
            <v>SISSI</v>
          </cell>
          <cell r="S63" t="str">
            <v>더컴퍼니</v>
          </cell>
        </row>
        <row r="64">
          <cell r="A64" t="str">
            <v>김수연</v>
          </cell>
          <cell r="B64" t="str">
            <v>김수연</v>
          </cell>
          <cell r="R64" t="str">
            <v>SISSI</v>
          </cell>
          <cell r="S64" t="str">
            <v>더컴퍼니</v>
          </cell>
        </row>
        <row r="65">
          <cell r="A65" t="str">
            <v>김온별</v>
          </cell>
          <cell r="B65" t="str">
            <v>김온별</v>
          </cell>
          <cell r="R65" t="str">
            <v>SISSI</v>
          </cell>
          <cell r="S65" t="str">
            <v>더컴퍼니</v>
          </cell>
        </row>
        <row r="66">
          <cell r="A66" t="str">
            <v>김온별(러브 마인)</v>
          </cell>
          <cell r="B66" t="str">
            <v>김온별</v>
          </cell>
          <cell r="R66" t="str">
            <v>SISSI</v>
          </cell>
          <cell r="S66" t="str">
            <v>더컴퍼니</v>
          </cell>
        </row>
        <row r="67">
          <cell r="A67" t="str">
            <v>김온별(러브마인)</v>
          </cell>
          <cell r="B67" t="str">
            <v>김온별</v>
          </cell>
          <cell r="R67" t="str">
            <v>SISSI</v>
          </cell>
          <cell r="S67" t="str">
            <v>더컴퍼니</v>
          </cell>
        </row>
        <row r="68">
          <cell r="A68" t="str">
            <v>김온별러브마인</v>
          </cell>
          <cell r="B68" t="str">
            <v>김온별러브마인</v>
          </cell>
          <cell r="R68" t="str">
            <v>SISSI</v>
          </cell>
          <cell r="S68" t="str">
            <v>더컴퍼니</v>
          </cell>
        </row>
        <row r="69">
          <cell r="A69" t="str">
            <v>김운담</v>
          </cell>
          <cell r="B69" t="str">
            <v>김운담</v>
          </cell>
          <cell r="R69" t="str">
            <v>SISSI</v>
          </cell>
          <cell r="S69" t="str">
            <v>더컴퍼니</v>
          </cell>
        </row>
        <row r="70">
          <cell r="A70" t="str">
            <v>김정률</v>
          </cell>
          <cell r="B70" t="str">
            <v>김정률</v>
          </cell>
          <cell r="R70" t="str">
            <v>SISSI</v>
          </cell>
          <cell r="S70" t="str">
            <v>더컴퍼니</v>
          </cell>
        </row>
        <row r="71">
          <cell r="A71" t="str">
            <v>김정연</v>
          </cell>
          <cell r="B71" t="str">
            <v>김정연</v>
          </cell>
          <cell r="R71" t="str">
            <v>SISSI</v>
          </cell>
          <cell r="S71" t="str">
            <v>더컴퍼니</v>
          </cell>
        </row>
        <row r="72">
          <cell r="A72" t="str">
            <v>깡펀치</v>
          </cell>
          <cell r="B72" t="str">
            <v>깡펀치</v>
          </cell>
          <cell r="R72" t="str">
            <v>SISSI</v>
          </cell>
          <cell r="S72" t="str">
            <v>더컴퍼니</v>
          </cell>
        </row>
        <row r="73">
          <cell r="A73" t="str">
            <v>꽃잠</v>
          </cell>
          <cell r="B73" t="str">
            <v>꽃잠</v>
          </cell>
          <cell r="R73" t="str">
            <v>SISSI</v>
          </cell>
          <cell r="S73" t="str">
            <v>더컴퍼니</v>
          </cell>
        </row>
        <row r="74">
          <cell r="A74" t="str">
            <v>남정훈</v>
          </cell>
          <cell r="B74" t="str">
            <v>컨텐츠헤라</v>
          </cell>
          <cell r="R74" t="str">
            <v>SISSI</v>
          </cell>
          <cell r="S74" t="str">
            <v>더컴퍼니</v>
          </cell>
        </row>
        <row r="75">
          <cell r="A75" t="str">
            <v>녹야천학&amp;유지교자</v>
          </cell>
          <cell r="B75" t="str">
            <v>제외</v>
          </cell>
          <cell r="R75" t="str">
            <v>SISSI</v>
          </cell>
          <cell r="S75" t="str">
            <v>더컴퍼니</v>
          </cell>
        </row>
        <row r="76">
          <cell r="A76" t="str">
            <v>다물</v>
          </cell>
          <cell r="B76" t="str">
            <v>컨텐츠헤라</v>
          </cell>
          <cell r="R76" t="str">
            <v>SISSI</v>
          </cell>
          <cell r="S76" t="str">
            <v>더컴퍼니</v>
          </cell>
        </row>
        <row r="77">
          <cell r="A77" t="str">
            <v>단연필</v>
          </cell>
          <cell r="B77" t="str">
            <v>단연필</v>
          </cell>
          <cell r="R77" t="str">
            <v>SISSI</v>
          </cell>
          <cell r="S77" t="str">
            <v>더컴퍼니</v>
          </cell>
        </row>
        <row r="78">
          <cell r="A78" t="str">
            <v>단팥크림빵</v>
          </cell>
          <cell r="B78" t="str">
            <v>단팥크림빵7</v>
          </cell>
          <cell r="R78" t="str">
            <v>SISSI</v>
          </cell>
          <cell r="S78" t="str">
            <v>더컴퍼니</v>
          </cell>
        </row>
        <row r="79">
          <cell r="A79" t="str">
            <v>단팥크림빵7</v>
          </cell>
          <cell r="B79" t="str">
            <v>단팥크림빵7</v>
          </cell>
          <cell r="R79" t="str">
            <v>SISSI</v>
          </cell>
          <cell r="S79" t="str">
            <v>더컴퍼니</v>
          </cell>
        </row>
        <row r="80">
          <cell r="A80" t="str">
            <v>담화공</v>
          </cell>
          <cell r="B80" t="str">
            <v>담화공</v>
          </cell>
          <cell r="R80" t="str">
            <v>SISSI</v>
          </cell>
          <cell r="S80" t="str">
            <v>더컴퍼니</v>
          </cell>
        </row>
        <row r="81">
          <cell r="A81" t="str">
            <v>담화공.</v>
          </cell>
          <cell r="B81" t="str">
            <v>담화공</v>
          </cell>
          <cell r="R81" t="str">
            <v>SISSI</v>
          </cell>
          <cell r="S81" t="str">
            <v>더컴퍼니</v>
          </cell>
        </row>
        <row r="82">
          <cell r="A82" t="str">
            <v>닽팥크림빵7</v>
          </cell>
          <cell r="B82" t="str">
            <v>단팥크림빵7</v>
          </cell>
          <cell r="R82" t="str">
            <v>SISSI</v>
          </cell>
          <cell r="S82" t="str">
            <v>더컴퍼니</v>
          </cell>
        </row>
        <row r="83">
          <cell r="A83" t="str">
            <v>더컴퍼니</v>
          </cell>
          <cell r="B83" t="str">
            <v>더컴퍼니</v>
          </cell>
          <cell r="R83" t="str">
            <v>SISSI</v>
          </cell>
          <cell r="S83" t="str">
            <v>더컴퍼니</v>
          </cell>
        </row>
        <row r="84">
          <cell r="A84" t="str">
            <v>덕킹</v>
          </cell>
          <cell r="B84" t="str">
            <v>덕킹</v>
          </cell>
          <cell r="R84" t="str">
            <v>SISSI</v>
          </cell>
          <cell r="S84" t="str">
            <v>더컴퍼니</v>
          </cell>
        </row>
        <row r="85">
          <cell r="A85" t="str">
            <v>도얀</v>
          </cell>
          <cell r="B85" t="str">
            <v>도얀</v>
          </cell>
          <cell r="R85" t="str">
            <v>SISSI</v>
          </cell>
          <cell r="S85" t="str">
            <v>더컴퍼니</v>
          </cell>
        </row>
        <row r="86">
          <cell r="A86" t="str">
            <v>독고진</v>
          </cell>
          <cell r="B86" t="str">
            <v>독고진</v>
          </cell>
          <cell r="R86" t="str">
            <v>SISSI</v>
          </cell>
          <cell r="S86" t="str">
            <v>더컴퍼니</v>
          </cell>
        </row>
        <row r="87">
          <cell r="A87" t="str">
            <v>돈문어</v>
          </cell>
          <cell r="B87" t="str">
            <v>돈문어</v>
          </cell>
          <cell r="R87" t="str">
            <v>SISSI</v>
          </cell>
          <cell r="S87" t="str">
            <v>더컴퍼니</v>
          </cell>
        </row>
        <row r="88">
          <cell r="A88" t="str">
            <v>두경</v>
          </cell>
          <cell r="B88" t="str">
            <v>컨텐츠헤라</v>
          </cell>
          <cell r="R88" t="str">
            <v>SISSI</v>
          </cell>
          <cell r="S88" t="str">
            <v>더컴퍼니</v>
          </cell>
        </row>
        <row r="89">
          <cell r="A89" t="str">
            <v>두나래</v>
          </cell>
          <cell r="B89" t="str">
            <v>두나래</v>
          </cell>
          <cell r="R89" t="str">
            <v>SISSI</v>
          </cell>
          <cell r="S89" t="str">
            <v>더컴퍼니</v>
          </cell>
        </row>
        <row r="90">
          <cell r="A90" t="str">
            <v>두럭</v>
          </cell>
          <cell r="B90" t="str">
            <v>더컴퍼니</v>
          </cell>
          <cell r="R90" t="str">
            <v>SISSI</v>
          </cell>
          <cell r="S90" t="str">
            <v>더컴퍼니</v>
          </cell>
        </row>
        <row r="91">
          <cell r="A91" t="str">
            <v>디버스 대도서관</v>
          </cell>
          <cell r="B91" t="str">
            <v>디버스 대도서관</v>
          </cell>
          <cell r="R91" t="str">
            <v>SISSI</v>
          </cell>
          <cell r="S91" t="str">
            <v>더컴퍼니</v>
          </cell>
        </row>
        <row r="92">
          <cell r="A92" t="str">
            <v>라비니안느</v>
          </cell>
          <cell r="B92" t="str">
            <v>라비니안느</v>
          </cell>
          <cell r="R92" t="str">
            <v>SISSI</v>
          </cell>
          <cell r="S92" t="str">
            <v>더컴퍼니</v>
          </cell>
        </row>
        <row r="93">
          <cell r="A93" t="str">
            <v>란토파즈</v>
          </cell>
          <cell r="B93" t="str">
            <v>란토파즈</v>
          </cell>
          <cell r="R93" t="str">
            <v>SISSI</v>
          </cell>
          <cell r="S93" t="str">
            <v>더컴퍼니</v>
          </cell>
        </row>
        <row r="94">
          <cell r="A94" t="str">
            <v>랑새</v>
          </cell>
          <cell r="B94" t="str">
            <v>랑새</v>
          </cell>
          <cell r="R94" t="str">
            <v>SISSI</v>
          </cell>
          <cell r="S94" t="str">
            <v>더컴퍼니</v>
          </cell>
        </row>
        <row r="95">
          <cell r="A95" t="str">
            <v>레드트러블</v>
          </cell>
          <cell r="B95" t="str">
            <v>레드트러블</v>
          </cell>
          <cell r="R95" t="str">
            <v>SISSI</v>
          </cell>
          <cell r="S95" t="str">
            <v>더컴퍼니</v>
          </cell>
        </row>
        <row r="96">
          <cell r="A96" t="str">
            <v>레미세라</v>
          </cell>
          <cell r="B96" t="str">
            <v>리세마라</v>
          </cell>
          <cell r="R96" t="str">
            <v>SISSI</v>
          </cell>
          <cell r="S96" t="str">
            <v>더컴퍼니</v>
          </cell>
        </row>
        <row r="97">
          <cell r="A97" t="str">
            <v>루이세</v>
          </cell>
          <cell r="B97" t="str">
            <v>루이세</v>
          </cell>
          <cell r="R97" t="str">
            <v>sJessi</v>
          </cell>
          <cell r="S97" t="str">
            <v>더컴퍼니</v>
          </cell>
        </row>
        <row r="98">
          <cell r="A98" t="str">
            <v>리세마라</v>
          </cell>
          <cell r="B98" t="str">
            <v>리세마라</v>
          </cell>
          <cell r="R98" t="str">
            <v>sJessi</v>
          </cell>
          <cell r="S98" t="str">
            <v>더컴퍼니</v>
          </cell>
        </row>
        <row r="99">
          <cell r="A99" t="str">
            <v>마뇽</v>
          </cell>
          <cell r="B99" t="str">
            <v>마뇽</v>
          </cell>
          <cell r="R99" t="str">
            <v>sJessi</v>
          </cell>
          <cell r="S99" t="str">
            <v>더컴퍼니</v>
          </cell>
        </row>
        <row r="100">
          <cell r="A100" t="str">
            <v>마북명</v>
          </cell>
          <cell r="B100" t="str">
            <v>제외</v>
          </cell>
          <cell r="R100" t="str">
            <v>sJessi</v>
          </cell>
          <cell r="S100" t="str">
            <v>더컴퍼니</v>
          </cell>
        </row>
        <row r="101">
          <cell r="A101" t="str">
            <v>마용출</v>
          </cell>
          <cell r="B101" t="str">
            <v>마용출</v>
          </cell>
          <cell r="R101" t="str">
            <v>sJessi</v>
          </cell>
          <cell r="S101" t="str">
            <v>더컴퍼니</v>
          </cell>
        </row>
        <row r="102">
          <cell r="A102" t="str">
            <v>마지막 도전</v>
          </cell>
          <cell r="B102" t="str">
            <v>프레인</v>
          </cell>
          <cell r="R102" t="str">
            <v>sJessi</v>
          </cell>
          <cell r="S102" t="str">
            <v>더컴퍼니</v>
          </cell>
        </row>
        <row r="103">
          <cell r="A103" t="str">
            <v>만렙도끼</v>
          </cell>
          <cell r="B103" t="str">
            <v>만렙도끼</v>
          </cell>
          <cell r="R103" t="str">
            <v>sJessi</v>
          </cell>
          <cell r="S103" t="str">
            <v>더컴퍼니</v>
          </cell>
        </row>
        <row r="104">
          <cell r="A104" t="str">
            <v>맑은물</v>
          </cell>
          <cell r="B104" t="str">
            <v>맑은물로</v>
          </cell>
          <cell r="R104" t="str">
            <v>sJessi</v>
          </cell>
          <cell r="S104" t="str">
            <v>더컴퍼니</v>
          </cell>
        </row>
        <row r="105">
          <cell r="A105" t="str">
            <v>맑은물로</v>
          </cell>
          <cell r="B105" t="str">
            <v>맑은물로</v>
          </cell>
          <cell r="R105" t="str">
            <v>sJessi</v>
          </cell>
          <cell r="S105" t="str">
            <v>더컴퍼니</v>
          </cell>
        </row>
        <row r="106">
          <cell r="A106" t="str">
            <v>망나니개</v>
          </cell>
          <cell r="B106" t="str">
            <v>망나니개</v>
          </cell>
          <cell r="R106" t="str">
            <v>sJessi</v>
          </cell>
          <cell r="S106" t="str">
            <v>더컴퍼니</v>
          </cell>
        </row>
        <row r="107">
          <cell r="A107" t="str">
            <v>망북</v>
          </cell>
          <cell r="B107" t="str">
            <v>제외</v>
          </cell>
          <cell r="R107" t="str">
            <v>sJessi</v>
          </cell>
          <cell r="S107" t="str">
            <v>더컴퍼니</v>
          </cell>
        </row>
        <row r="108">
          <cell r="A108" t="str">
            <v>먼나무</v>
          </cell>
          <cell r="B108" t="str">
            <v>먼나무</v>
          </cell>
          <cell r="R108" t="str">
            <v>sJessi</v>
          </cell>
          <cell r="S108" t="str">
            <v>더컴퍼니</v>
          </cell>
        </row>
        <row r="109">
          <cell r="A109" t="str">
            <v>모리미</v>
          </cell>
          <cell r="B109" t="str">
            <v>모리미</v>
          </cell>
          <cell r="R109" t="str">
            <v>sJessi</v>
          </cell>
          <cell r="S109" t="str">
            <v>더컴퍼니</v>
          </cell>
        </row>
        <row r="110">
          <cell r="A110" t="str">
            <v>모리미J</v>
          </cell>
          <cell r="B110" t="str">
            <v>모리미J</v>
          </cell>
          <cell r="R110" t="str">
            <v>sJessi</v>
          </cell>
          <cell r="S110" t="str">
            <v>더컴퍼니</v>
          </cell>
        </row>
        <row r="111">
          <cell r="A111" t="str">
            <v>모험왕선우</v>
          </cell>
          <cell r="B111" t="str">
            <v>모험왕선우</v>
          </cell>
          <cell r="R111" t="str">
            <v>강명운</v>
          </cell>
          <cell r="S111" t="str">
            <v>아크스튜디오</v>
          </cell>
        </row>
        <row r="112">
          <cell r="A112" t="str">
            <v>목화커피</v>
          </cell>
          <cell r="B112" t="str">
            <v>목화커피</v>
          </cell>
          <cell r="R112" t="str">
            <v>강명운</v>
          </cell>
          <cell r="S112" t="str">
            <v>아크스튜디오</v>
          </cell>
        </row>
        <row r="113">
          <cell r="A113" t="str">
            <v>목화커피</v>
          </cell>
          <cell r="B113" t="str">
            <v>목화커피</v>
          </cell>
          <cell r="R113" t="str">
            <v>강산</v>
          </cell>
          <cell r="S113" t="str">
            <v>에필로그</v>
          </cell>
        </row>
        <row r="114">
          <cell r="A114" t="str">
            <v>몸서리</v>
          </cell>
          <cell r="B114" t="str">
            <v>몸서리</v>
          </cell>
          <cell r="R114" t="str">
            <v>강산</v>
          </cell>
          <cell r="S114" t="str">
            <v>에필로그</v>
          </cell>
        </row>
        <row r="115">
          <cell r="A115" t="str">
            <v>무성매직</v>
          </cell>
          <cell r="B115" t="str">
            <v>무성매직</v>
          </cell>
          <cell r="R115" t="str">
            <v>강산</v>
          </cell>
          <cell r="S115" t="str">
            <v>에필로그</v>
          </cell>
        </row>
        <row r="116">
          <cell r="A116" t="str">
            <v>무장</v>
          </cell>
          <cell r="B116" t="str">
            <v>무장</v>
          </cell>
          <cell r="R116" t="str">
            <v>강산</v>
          </cell>
          <cell r="S116" t="str">
            <v>에필로그</v>
          </cell>
        </row>
        <row r="117">
          <cell r="A117" t="str">
            <v>무장 (2)</v>
          </cell>
          <cell r="B117" t="str">
            <v>무장</v>
          </cell>
          <cell r="R117" t="str">
            <v>강산</v>
          </cell>
          <cell r="S117" t="str">
            <v>에필로그</v>
          </cell>
        </row>
        <row r="118">
          <cell r="A118" t="str">
            <v>문스톤</v>
          </cell>
          <cell r="B118" t="str">
            <v>문스톤</v>
          </cell>
          <cell r="R118" t="str">
            <v>강산</v>
          </cell>
          <cell r="S118" t="str">
            <v>에필로그</v>
          </cell>
        </row>
        <row r="119">
          <cell r="A119" t="str">
            <v>미나세 치호</v>
          </cell>
          <cell r="B119" t="str">
            <v>제외</v>
          </cell>
          <cell r="R119" t="str">
            <v>강산</v>
          </cell>
          <cell r="S119" t="str">
            <v>에필로그</v>
          </cell>
        </row>
        <row r="120">
          <cell r="A120" t="str">
            <v>밀리오리지널</v>
          </cell>
          <cell r="B120" t="str">
            <v>밀리</v>
          </cell>
          <cell r="R120" t="str">
            <v>강산</v>
          </cell>
          <cell r="S120" t="str">
            <v>에필로그</v>
          </cell>
        </row>
        <row r="121">
          <cell r="A121" t="str">
            <v>밀리의 서재</v>
          </cell>
          <cell r="B121" t="str">
            <v>밀리</v>
          </cell>
          <cell r="R121" t="str">
            <v>강산</v>
          </cell>
          <cell r="S121" t="str">
            <v>에필로그</v>
          </cell>
        </row>
        <row r="122">
          <cell r="A122" t="str">
            <v>밀리의서재</v>
          </cell>
          <cell r="B122" t="str">
            <v>밀리</v>
          </cell>
          <cell r="R122" t="str">
            <v>강산</v>
          </cell>
          <cell r="S122" t="str">
            <v>에필로그</v>
          </cell>
        </row>
        <row r="123">
          <cell r="A123" t="str">
            <v>밈스</v>
          </cell>
          <cell r="B123" t="str">
            <v>밈스</v>
          </cell>
          <cell r="R123" t="str">
            <v>강산(江山)</v>
          </cell>
          <cell r="S123" t="str">
            <v>에필로그</v>
          </cell>
        </row>
        <row r="124">
          <cell r="A124" t="str">
            <v>바나바다</v>
          </cell>
          <cell r="B124" t="str">
            <v>바나바다</v>
          </cell>
          <cell r="R124" t="str">
            <v>강산(江山)</v>
          </cell>
          <cell r="S124" t="str">
            <v>에필로그</v>
          </cell>
        </row>
        <row r="125">
          <cell r="A125" t="str">
            <v>박도아</v>
          </cell>
          <cell r="B125" t="str">
            <v>박도아</v>
          </cell>
          <cell r="R125" t="str">
            <v>강산(江山)</v>
          </cell>
          <cell r="S125" t="str">
            <v>에필로그</v>
          </cell>
        </row>
        <row r="126">
          <cell r="A126" t="str">
            <v>박도아</v>
          </cell>
          <cell r="B126" t="str">
            <v>박도아</v>
          </cell>
          <cell r="R126" t="str">
            <v>강산(江山)</v>
          </cell>
          <cell r="S126" t="str">
            <v>에필로그</v>
          </cell>
        </row>
        <row r="127">
          <cell r="A127" t="str">
            <v>발상</v>
          </cell>
          <cell r="B127" t="str">
            <v>발상</v>
          </cell>
          <cell r="R127" t="str">
            <v>백범</v>
          </cell>
          <cell r="S127" t="str">
            <v>에필로그</v>
          </cell>
        </row>
        <row r="128">
          <cell r="A128" t="str">
            <v>방울마마</v>
          </cell>
          <cell r="B128" t="str">
            <v>방울마마</v>
          </cell>
          <cell r="R128" t="str">
            <v>강산(江山)</v>
          </cell>
          <cell r="S128" t="str">
            <v>에필로그</v>
          </cell>
        </row>
        <row r="129">
          <cell r="A129" t="str">
            <v>배운만덕</v>
          </cell>
          <cell r="B129" t="str">
            <v>배운만덕</v>
          </cell>
          <cell r="R129" t="str">
            <v>강산(江山)</v>
          </cell>
          <cell r="S129" t="str">
            <v>에필로그</v>
          </cell>
        </row>
        <row r="130">
          <cell r="A130" t="str">
            <v>백열음</v>
          </cell>
          <cell r="B130" t="str">
            <v>백열음</v>
          </cell>
          <cell r="R130" t="str">
            <v>강산(江山)</v>
          </cell>
          <cell r="S130" t="str">
            <v>에필로그</v>
          </cell>
        </row>
        <row r="131">
          <cell r="A131" t="str">
            <v>백일하</v>
          </cell>
          <cell r="B131" t="str">
            <v>백일하</v>
          </cell>
          <cell r="R131" t="str">
            <v>강산(江山)</v>
          </cell>
          <cell r="S131" t="str">
            <v>에필로그</v>
          </cell>
        </row>
        <row r="132">
          <cell r="A132" t="str">
            <v>벗우</v>
          </cell>
          <cell r="B132" t="str">
            <v>벗우</v>
          </cell>
          <cell r="R132" t="str">
            <v>강산(江山)</v>
          </cell>
          <cell r="S132" t="str">
            <v>에필로그</v>
          </cell>
        </row>
        <row r="133">
          <cell r="A133" t="str">
            <v>봄별해</v>
          </cell>
          <cell r="B133" t="str">
            <v>봄별해</v>
          </cell>
          <cell r="R133" t="str">
            <v>강산(江山)</v>
          </cell>
          <cell r="S133" t="str">
            <v>에필로그</v>
          </cell>
        </row>
        <row r="134">
          <cell r="A134" t="str">
            <v>부엉이콩</v>
          </cell>
          <cell r="B134" t="str">
            <v>부엉이콩</v>
          </cell>
          <cell r="R134" t="str">
            <v>강산(江山)</v>
          </cell>
          <cell r="S134" t="str">
            <v>에필로그</v>
          </cell>
        </row>
        <row r="135">
          <cell r="A135" t="str">
            <v>불고기자리</v>
          </cell>
          <cell r="B135" t="str">
            <v>불고기자리</v>
          </cell>
          <cell r="R135" t="str">
            <v>백범(白帆)</v>
          </cell>
          <cell r="S135" t="str">
            <v>에필로그</v>
          </cell>
        </row>
        <row r="136">
          <cell r="A136" t="str">
            <v>붕어빵</v>
          </cell>
          <cell r="B136" t="str">
            <v>붕어빵</v>
          </cell>
          <cell r="R136" t="str">
            <v>강산(江山)</v>
          </cell>
          <cell r="S136" t="str">
            <v>에필로그</v>
          </cell>
        </row>
        <row r="137">
          <cell r="A137" t="str">
            <v>블 루 스 카 이</v>
          </cell>
          <cell r="B137" t="str">
            <v>블 루 스 카 이</v>
          </cell>
          <cell r="R137" t="str">
            <v>강산(江山)</v>
          </cell>
          <cell r="S137" t="str">
            <v>에필로그</v>
          </cell>
        </row>
        <row r="138">
          <cell r="A138" t="str">
            <v>블라이스</v>
          </cell>
          <cell r="B138" t="str">
            <v>블라이스</v>
          </cell>
          <cell r="R138" t="str">
            <v>강산 (江山)</v>
          </cell>
          <cell r="S138" t="str">
            <v>에필로그</v>
          </cell>
        </row>
        <row r="139">
          <cell r="A139" t="str">
            <v>블랙커피</v>
          </cell>
          <cell r="B139" t="str">
            <v>블랙커피</v>
          </cell>
          <cell r="R139" t="str">
            <v>강산(江山)</v>
          </cell>
          <cell r="S139" t="str">
            <v>에필로그</v>
          </cell>
        </row>
        <row r="140">
          <cell r="A140" t="str">
            <v>블루스카이</v>
          </cell>
          <cell r="B140" t="str">
            <v>블 루 스 카 이</v>
          </cell>
          <cell r="R140" t="str">
            <v>강산(江山)</v>
          </cell>
          <cell r="S140" t="str">
            <v>에필로그</v>
          </cell>
        </row>
        <row r="141">
          <cell r="A141" t="str">
            <v>비고</v>
          </cell>
          <cell r="B141" t="str">
            <v>비고</v>
          </cell>
          <cell r="R141" t="str">
            <v>강산(江山)</v>
          </cell>
          <cell r="S141" t="str">
            <v>에필로그</v>
          </cell>
        </row>
        <row r="142">
          <cell r="A142" t="str">
            <v>빡선생</v>
          </cell>
          <cell r="B142" t="str">
            <v>빡선생</v>
          </cell>
          <cell r="R142" t="str">
            <v>강산(江山)</v>
          </cell>
          <cell r="S142" t="str">
            <v>에필로그</v>
          </cell>
        </row>
        <row r="143">
          <cell r="A143" t="str">
            <v>빨강뽀뽀</v>
          </cell>
          <cell r="B143" t="str">
            <v>빨강뽀뽀</v>
          </cell>
          <cell r="R143" t="str">
            <v>강산(江山)</v>
          </cell>
          <cell r="S143" t="str">
            <v>에필로그</v>
          </cell>
        </row>
        <row r="144">
          <cell r="A144" t="str">
            <v>빵양이</v>
          </cell>
          <cell r="B144" t="str">
            <v>빵양이</v>
          </cell>
          <cell r="R144" t="str">
            <v>강산(江山)</v>
          </cell>
          <cell r="S144" t="str">
            <v>에필로그</v>
          </cell>
        </row>
        <row r="145">
          <cell r="A145" t="str">
            <v>사지현</v>
          </cell>
          <cell r="B145" t="str">
            <v>사지현</v>
          </cell>
          <cell r="R145" t="str">
            <v>강산(江山)</v>
          </cell>
          <cell r="S145" t="str">
            <v>에필로그</v>
          </cell>
        </row>
        <row r="146">
          <cell r="A146" t="str">
            <v>사틴</v>
          </cell>
          <cell r="B146" t="str">
            <v>더컴퍼니</v>
          </cell>
          <cell r="R146" t="str">
            <v>강산(江山)</v>
          </cell>
          <cell r="S146" t="str">
            <v>에필로그</v>
          </cell>
        </row>
        <row r="147">
          <cell r="A147" t="str">
            <v>새우깡조아</v>
          </cell>
          <cell r="B147" t="str">
            <v>새우깡조아</v>
          </cell>
          <cell r="R147" t="str">
            <v>강산(江山)</v>
          </cell>
          <cell r="S147" t="str">
            <v>에필로그</v>
          </cell>
        </row>
        <row r="148">
          <cell r="A148" t="str">
            <v>서강후</v>
          </cell>
          <cell r="B148" t="str">
            <v>서강후</v>
          </cell>
          <cell r="R148" t="str">
            <v>강산(江山)</v>
          </cell>
          <cell r="S148" t="str">
            <v>에필로그</v>
          </cell>
        </row>
        <row r="149">
          <cell r="A149" t="str">
            <v>서도연</v>
          </cell>
          <cell r="B149" t="str">
            <v>서도연</v>
          </cell>
          <cell r="R149" t="str">
            <v>강산(江山)</v>
          </cell>
          <cell r="S149" t="str">
            <v>에필로그</v>
          </cell>
        </row>
        <row r="150">
          <cell r="A150" t="str">
            <v>설화객잔 무장</v>
          </cell>
          <cell r="B150" t="str">
            <v>무장</v>
          </cell>
          <cell r="R150" t="str">
            <v>강산(江山)</v>
          </cell>
          <cell r="S150" t="str">
            <v>에필로그</v>
          </cell>
        </row>
        <row r="151">
          <cell r="A151" t="str">
            <v>설화객잔-무장</v>
          </cell>
          <cell r="B151" t="str">
            <v>무장</v>
          </cell>
          <cell r="R151" t="str">
            <v>강산(江山)</v>
          </cell>
          <cell r="S151" t="str">
            <v>에필로그</v>
          </cell>
        </row>
        <row r="152">
          <cell r="A152" t="str">
            <v>세상</v>
          </cell>
          <cell r="B152" t="str">
            <v>세상</v>
          </cell>
          <cell r="R152" t="str">
            <v>강산(江山)</v>
          </cell>
          <cell r="S152" t="str">
            <v>에필로그</v>
          </cell>
        </row>
        <row r="153">
          <cell r="A153" t="str">
            <v>세상1</v>
          </cell>
          <cell r="B153" t="str">
            <v>세상</v>
          </cell>
          <cell r="R153" t="str">
            <v>강산(江山)</v>
          </cell>
          <cell r="S153" t="str">
            <v>에필로그</v>
          </cell>
        </row>
        <row r="154">
          <cell r="A154" t="str">
            <v>세어</v>
          </cell>
          <cell r="B154" t="str">
            <v>세어</v>
          </cell>
          <cell r="R154" t="str">
            <v>강산(江山)</v>
          </cell>
          <cell r="S154" t="str">
            <v>에필로그</v>
          </cell>
        </row>
        <row r="155">
          <cell r="A155" t="str">
            <v>세움</v>
          </cell>
          <cell r="B155" t="str">
            <v>세움</v>
          </cell>
          <cell r="R155" t="str">
            <v>강산(江山)</v>
          </cell>
          <cell r="S155" t="str">
            <v>에필로그</v>
          </cell>
        </row>
        <row r="156">
          <cell r="A156" t="str">
            <v>세히</v>
          </cell>
          <cell r="B156" t="str">
            <v>세히</v>
          </cell>
          <cell r="R156" t="str">
            <v>강산(江山)</v>
          </cell>
          <cell r="S156" t="str">
            <v>에필로그</v>
          </cell>
        </row>
        <row r="157">
          <cell r="A157" t="str">
            <v>셔틀</v>
          </cell>
          <cell r="B157" t="str">
            <v>셔틀</v>
          </cell>
          <cell r="R157" t="str">
            <v>강산(江山)</v>
          </cell>
          <cell r="S157" t="str">
            <v>에필로그</v>
          </cell>
        </row>
        <row r="158">
          <cell r="A158" t="str">
            <v>손영목</v>
          </cell>
          <cell r="B158" t="str">
            <v>손영목</v>
          </cell>
          <cell r="R158" t="str">
            <v>강산(江山)</v>
          </cell>
          <cell r="S158" t="str">
            <v>에필로그</v>
          </cell>
        </row>
        <row r="159">
          <cell r="A159" t="str">
            <v>솜목화</v>
          </cell>
          <cell r="B159" t="str">
            <v>솜목화</v>
          </cell>
          <cell r="R159" t="str">
            <v>강산(江山)</v>
          </cell>
          <cell r="S159" t="str">
            <v>에필로그</v>
          </cell>
        </row>
        <row r="160">
          <cell r="A160" t="str">
            <v>쇠렌센</v>
          </cell>
          <cell r="B160" t="str">
            <v>쇠렌센</v>
          </cell>
          <cell r="R160" t="str">
            <v>강산(江山)</v>
          </cell>
          <cell r="S160" t="str">
            <v>에필로그</v>
          </cell>
        </row>
        <row r="161">
          <cell r="A161" t="str">
            <v>수레국화꽃말</v>
          </cell>
          <cell r="B161" t="str">
            <v>수레국화꽃말</v>
          </cell>
          <cell r="R161" t="str">
            <v>강산(江山)</v>
          </cell>
          <cell r="S161" t="str">
            <v>에필로그</v>
          </cell>
        </row>
        <row r="162">
          <cell r="A162" t="str">
            <v>수정과</v>
          </cell>
          <cell r="B162" t="str">
            <v>컨텐츠헤라</v>
          </cell>
          <cell r="R162" t="str">
            <v>강산(江山)</v>
          </cell>
          <cell r="S162" t="str">
            <v>에필로그</v>
          </cell>
        </row>
        <row r="163">
          <cell r="A163" t="str">
            <v>쉬즈노블</v>
          </cell>
          <cell r="B163" t="str">
            <v>더컴퍼니</v>
          </cell>
          <cell r="R163" t="str">
            <v>강산(江山)</v>
          </cell>
          <cell r="S163" t="str">
            <v>에필로그</v>
          </cell>
        </row>
        <row r="164">
          <cell r="A164" t="str">
            <v>스내치</v>
          </cell>
          <cell r="B164" t="str">
            <v>스내치</v>
          </cell>
          <cell r="R164" t="str">
            <v>강산(江山)</v>
          </cell>
          <cell r="S164" t="str">
            <v>에필로그</v>
          </cell>
        </row>
        <row r="165">
          <cell r="A165" t="str">
            <v>스토리숲</v>
          </cell>
          <cell r="B165" t="str">
            <v>스토리숲</v>
          </cell>
          <cell r="R165" t="str">
            <v>강산(江山)</v>
          </cell>
          <cell r="S165" t="str">
            <v>에필로그</v>
          </cell>
        </row>
        <row r="166">
          <cell r="A166" t="str">
            <v>스토리아크</v>
          </cell>
          <cell r="B166" t="str">
            <v>스토리아크</v>
          </cell>
          <cell r="R166" t="str">
            <v>강산(江山)</v>
          </cell>
          <cell r="S166" t="str">
            <v>에필로그</v>
          </cell>
        </row>
        <row r="167">
          <cell r="A167" t="str">
            <v>스토리위드</v>
          </cell>
          <cell r="B167" t="str">
            <v>스토리위드</v>
          </cell>
          <cell r="R167" t="str">
            <v>강산(江山)</v>
          </cell>
          <cell r="S167" t="str">
            <v>에필로그</v>
          </cell>
        </row>
        <row r="168">
          <cell r="A168" t="str">
            <v>스토리위즈</v>
          </cell>
          <cell r="B168" t="str">
            <v>스토리위즈</v>
          </cell>
          <cell r="R168" t="str">
            <v>강산(江山)</v>
          </cell>
          <cell r="S168" t="str">
            <v>에필로그</v>
          </cell>
        </row>
        <row r="169">
          <cell r="A169" t="str">
            <v>시계태엽오란씨</v>
          </cell>
          <cell r="B169" t="str">
            <v>시계태엽오란씨</v>
          </cell>
          <cell r="R169" t="str">
            <v>강산(江山)</v>
          </cell>
          <cell r="S169" t="str">
            <v>에필로그</v>
          </cell>
        </row>
        <row r="170">
          <cell r="A170" t="str">
            <v>시무</v>
          </cell>
          <cell r="B170" t="str">
            <v>제외</v>
          </cell>
          <cell r="R170" t="str">
            <v>강산(江山)</v>
          </cell>
          <cell r="S170" t="str">
            <v>에필로그</v>
          </cell>
        </row>
        <row r="171">
          <cell r="A171" t="str">
            <v>시무(蒔舞)</v>
          </cell>
          <cell r="B171" t="str">
            <v>제외</v>
          </cell>
          <cell r="R171" t="str">
            <v>강산(江山)</v>
          </cell>
          <cell r="S171" t="str">
            <v>에필로그</v>
          </cell>
        </row>
        <row r="172">
          <cell r="A172" t="str">
            <v>쏘삭쏘삭</v>
          </cell>
          <cell r="B172" t="str">
            <v>쏘삭쏘삭</v>
          </cell>
          <cell r="R172" t="str">
            <v>강산(江山)</v>
          </cell>
          <cell r="S172" t="str">
            <v>에필로그</v>
          </cell>
        </row>
        <row r="173">
          <cell r="A173" t="str">
            <v>아라시야마</v>
          </cell>
          <cell r="B173" t="str">
            <v>제외</v>
          </cell>
          <cell r="R173" t="str">
            <v>강산(江山)</v>
          </cell>
          <cell r="S173" t="str">
            <v>에필로그</v>
          </cell>
        </row>
        <row r="174">
          <cell r="A174" t="str">
            <v>아슈크림</v>
          </cell>
          <cell r="B174" t="str">
            <v>아슈크림</v>
          </cell>
          <cell r="R174" t="str">
            <v>강산(江山)</v>
          </cell>
          <cell r="S174" t="str">
            <v>에필로그</v>
          </cell>
        </row>
        <row r="175">
          <cell r="A175" t="str">
            <v>아이리스</v>
          </cell>
          <cell r="B175" t="str">
            <v>아이리스</v>
          </cell>
          <cell r="R175" t="str">
            <v>강산(江山)</v>
          </cell>
          <cell r="S175" t="str">
            <v>에필로그</v>
          </cell>
        </row>
        <row r="176">
          <cell r="A176" t="str">
            <v>아크스튜디오</v>
          </cell>
          <cell r="B176" t="str">
            <v>스토리아크</v>
          </cell>
          <cell r="R176" t="str">
            <v>강산(江山)</v>
          </cell>
          <cell r="S176" t="str">
            <v>에필로그</v>
          </cell>
        </row>
        <row r="177">
          <cell r="A177" t="str">
            <v>아타락시아</v>
          </cell>
          <cell r="B177" t="str">
            <v>아타락시아</v>
          </cell>
          <cell r="R177" t="str">
            <v>강산(江山)</v>
          </cell>
          <cell r="S177" t="str">
            <v>에필로그</v>
          </cell>
        </row>
        <row r="178">
          <cell r="A178" t="str">
            <v>알랙스</v>
          </cell>
          <cell r="B178" t="str">
            <v>알랙스</v>
          </cell>
          <cell r="R178" t="str">
            <v>강산(江山)</v>
          </cell>
          <cell r="S178" t="str">
            <v>에필로그</v>
          </cell>
        </row>
        <row r="179">
          <cell r="A179" t="str">
            <v>양이율</v>
          </cell>
          <cell r="B179" t="str">
            <v>양이율</v>
          </cell>
          <cell r="R179" t="str">
            <v>강산(江山)</v>
          </cell>
          <cell r="S179" t="str">
            <v>에필로그</v>
          </cell>
        </row>
        <row r="180">
          <cell r="A180" t="str">
            <v>에피</v>
          </cell>
          <cell r="B180" t="str">
            <v>에피</v>
          </cell>
          <cell r="R180" t="str">
            <v>강산(江山)</v>
          </cell>
          <cell r="S180" t="str">
            <v>에필로그</v>
          </cell>
        </row>
        <row r="181">
          <cell r="A181" t="str">
            <v>에필로그</v>
          </cell>
          <cell r="B181" t="str">
            <v>에필로그</v>
          </cell>
          <cell r="R181" t="str">
            <v>강산(江山)</v>
          </cell>
          <cell r="S181" t="str">
            <v>에필로그</v>
          </cell>
        </row>
        <row r="182">
          <cell r="A182" t="str">
            <v>엘리신</v>
          </cell>
          <cell r="B182" t="str">
            <v>엘리신</v>
          </cell>
          <cell r="R182" t="str">
            <v>강산(江山)</v>
          </cell>
          <cell r="S182" t="str">
            <v>에필로그</v>
          </cell>
        </row>
        <row r="183">
          <cell r="A183" t="str">
            <v>예로나</v>
          </cell>
          <cell r="B183" t="str">
            <v>예로나</v>
          </cell>
          <cell r="R183" t="str">
            <v>강산(江山)</v>
          </cell>
          <cell r="S183" t="str">
            <v>에필로그</v>
          </cell>
        </row>
        <row r="184">
          <cell r="A184" t="str">
            <v>온서</v>
          </cell>
          <cell r="B184" t="str">
            <v>온서</v>
          </cell>
          <cell r="R184" t="str">
            <v>강산(江山)</v>
          </cell>
          <cell r="S184" t="str">
            <v>에필로그</v>
          </cell>
        </row>
        <row r="185">
          <cell r="A185" t="str">
            <v>온서1</v>
          </cell>
          <cell r="B185" t="str">
            <v>온서</v>
          </cell>
          <cell r="R185" t="str">
            <v>강산(江山)</v>
          </cell>
          <cell r="S185" t="str">
            <v>에필로그</v>
          </cell>
        </row>
        <row r="186">
          <cell r="A186" t="str">
            <v>왕십리글쟁이</v>
          </cell>
          <cell r="B186" t="str">
            <v>왕십리글쟁이</v>
          </cell>
          <cell r="R186" t="str">
            <v>강산(江山)</v>
          </cell>
          <cell r="S186" t="str">
            <v>에필로그</v>
          </cell>
        </row>
        <row r="187">
          <cell r="A187" t="str">
            <v>羽宸寰(Uchenhu),林珮瑜(Lin Peiyu)</v>
          </cell>
          <cell r="B187" t="str">
            <v>제외</v>
          </cell>
          <cell r="R187" t="str">
            <v>강산(江山)</v>
          </cell>
          <cell r="S187" t="str">
            <v>에필로그</v>
          </cell>
        </row>
        <row r="188">
          <cell r="A188" t="str">
            <v>울트라미디어</v>
          </cell>
          <cell r="B188" t="str">
            <v>울트라미디어</v>
          </cell>
          <cell r="R188" t="str">
            <v>강산(江山)</v>
          </cell>
          <cell r="S188" t="str">
            <v>에필로그</v>
          </cell>
        </row>
        <row r="189">
          <cell r="A189" t="str">
            <v>원기공장</v>
          </cell>
          <cell r="B189" t="str">
            <v>제외</v>
          </cell>
          <cell r="R189" t="str">
            <v>강산(江山)</v>
          </cell>
          <cell r="S189" t="str">
            <v>에필로그</v>
          </cell>
        </row>
        <row r="190">
          <cell r="A190" t="str">
            <v>윈델</v>
          </cell>
          <cell r="B190" t="str">
            <v>윈델</v>
          </cell>
          <cell r="R190" t="str">
            <v>강산(江山)</v>
          </cell>
          <cell r="S190" t="str">
            <v>에필로그</v>
          </cell>
        </row>
        <row r="191">
          <cell r="A191" t="str">
            <v>유하영</v>
          </cell>
          <cell r="B191" t="str">
            <v>유하영</v>
          </cell>
          <cell r="R191" t="str">
            <v>강산(江山)</v>
          </cell>
          <cell r="S191" t="str">
            <v>에필로그</v>
          </cell>
        </row>
        <row r="192">
          <cell r="A192" t="str">
            <v>윤비밀</v>
          </cell>
          <cell r="B192" t="str">
            <v>윤비밀</v>
          </cell>
          <cell r="R192" t="str">
            <v>강산(江山)</v>
          </cell>
          <cell r="S192" t="str">
            <v>에필로그</v>
          </cell>
        </row>
        <row r="193">
          <cell r="A193" t="str">
            <v>은목서</v>
          </cell>
          <cell r="B193" t="str">
            <v>꽃잠</v>
          </cell>
          <cell r="R193" t="str">
            <v>강산(江山)</v>
          </cell>
          <cell r="S193" t="str">
            <v>에필로그</v>
          </cell>
        </row>
        <row r="194">
          <cell r="A194" t="str">
            <v>은지유</v>
          </cell>
          <cell r="B194" t="str">
            <v>은지유</v>
          </cell>
          <cell r="R194" t="str">
            <v>강산(江山)</v>
          </cell>
          <cell r="S194" t="str">
            <v>에필로그</v>
          </cell>
        </row>
        <row r="195">
          <cell r="A195" t="str">
            <v>이다겸</v>
          </cell>
          <cell r="B195" t="str">
            <v>더컴퍼니</v>
          </cell>
          <cell r="R195" t="str">
            <v>강산(江山)</v>
          </cell>
          <cell r="S195" t="str">
            <v>에필로그</v>
          </cell>
        </row>
        <row r="196">
          <cell r="A196" t="str">
            <v>이동열</v>
          </cell>
          <cell r="B196" t="str">
            <v>이동열</v>
          </cell>
          <cell r="R196" t="str">
            <v>강산(江山)</v>
          </cell>
          <cell r="S196" t="str">
            <v>에필로그</v>
          </cell>
        </row>
        <row r="197">
          <cell r="A197" t="str">
            <v>이로세</v>
          </cell>
          <cell r="B197" t="str">
            <v>이로세</v>
          </cell>
          <cell r="R197" t="str">
            <v>강산(江山)</v>
          </cell>
          <cell r="S197" t="str">
            <v>에필로그</v>
          </cell>
        </row>
        <row r="198">
          <cell r="A198" t="str">
            <v>이리안</v>
          </cell>
          <cell r="B198" t="str">
            <v>이리안</v>
          </cell>
          <cell r="R198" t="str">
            <v>강산(江山)</v>
          </cell>
          <cell r="S198" t="str">
            <v>에필로그</v>
          </cell>
        </row>
        <row r="199">
          <cell r="A199" t="str">
            <v>이린비</v>
          </cell>
          <cell r="B199" t="str">
            <v>이린비</v>
          </cell>
          <cell r="R199" t="str">
            <v>강산(江山)</v>
          </cell>
          <cell r="S199" t="str">
            <v>에필로그</v>
          </cell>
        </row>
        <row r="200">
          <cell r="A200" t="str">
            <v>이삼세&amp;자견</v>
          </cell>
          <cell r="B200" t="str">
            <v>제외</v>
          </cell>
          <cell r="R200" t="str">
            <v>강산(江山)</v>
          </cell>
          <cell r="S200" t="str">
            <v>에필로그</v>
          </cell>
        </row>
        <row r="201">
          <cell r="A201" t="str">
            <v>이상윤</v>
          </cell>
          <cell r="B201" t="str">
            <v>이상윤</v>
          </cell>
          <cell r="R201" t="str">
            <v>강산(江山)</v>
          </cell>
          <cell r="S201" t="str">
            <v>에필로그</v>
          </cell>
        </row>
        <row r="202">
          <cell r="A202" t="str">
            <v>이준영</v>
          </cell>
          <cell r="B202" t="str">
            <v>이준영</v>
          </cell>
          <cell r="R202" t="str">
            <v>강산(江山)</v>
          </cell>
          <cell r="S202" t="str">
            <v>에필로그</v>
          </cell>
        </row>
        <row r="203">
          <cell r="A203" t="str">
            <v>이한애비</v>
          </cell>
          <cell r="B203" t="str">
            <v>이한애비</v>
          </cell>
          <cell r="R203" t="str">
            <v>강산(江山)</v>
          </cell>
          <cell r="S203" t="str">
            <v>에필로그</v>
          </cell>
        </row>
        <row r="204">
          <cell r="A204" t="str">
            <v>일본IB</v>
          </cell>
          <cell r="B204" t="str">
            <v>제외</v>
          </cell>
          <cell r="R204" t="str">
            <v>강산(江山)</v>
          </cell>
          <cell r="S204" t="str">
            <v>에필로그</v>
          </cell>
        </row>
        <row r="205">
          <cell r="A205" t="str">
            <v>임영기</v>
          </cell>
          <cell r="B205" t="str">
            <v>제외</v>
          </cell>
          <cell r="R205" t="str">
            <v>강산(江山)</v>
          </cell>
          <cell r="S205" t="str">
            <v>에필로그</v>
          </cell>
        </row>
        <row r="206">
          <cell r="A206" t="str">
            <v>자이오</v>
          </cell>
          <cell r="B206" t="str">
            <v>스토리아크</v>
          </cell>
          <cell r="R206" t="str">
            <v>강산(江山)</v>
          </cell>
          <cell r="S206" t="str">
            <v>에필로그</v>
          </cell>
        </row>
        <row r="207">
          <cell r="A207" t="str">
            <v>장유진</v>
          </cell>
          <cell r="B207" t="str">
            <v>청빙</v>
          </cell>
          <cell r="R207" t="str">
            <v>강산(江山)</v>
          </cell>
          <cell r="S207" t="str">
            <v>에필로그</v>
          </cell>
        </row>
        <row r="208">
          <cell r="A208" t="str">
            <v>전여린</v>
          </cell>
          <cell r="B208" t="str">
            <v>전여린</v>
          </cell>
          <cell r="R208" t="str">
            <v>강산(江山)</v>
          </cell>
          <cell r="S208" t="str">
            <v>에필로그</v>
          </cell>
        </row>
        <row r="209">
          <cell r="A209" t="str">
            <v>전혁</v>
          </cell>
          <cell r="B209" t="str">
            <v>전혁</v>
          </cell>
          <cell r="R209" t="str">
            <v>강산(江山)</v>
          </cell>
          <cell r="S209" t="str">
            <v>에필로그</v>
          </cell>
        </row>
        <row r="210">
          <cell r="A210" t="str">
            <v>전혁1</v>
          </cell>
          <cell r="B210" t="str">
            <v>전혁</v>
          </cell>
          <cell r="R210" t="str">
            <v>강산(江山)</v>
          </cell>
          <cell r="S210" t="str">
            <v>에필로그</v>
          </cell>
        </row>
        <row r="211">
          <cell r="A211" t="str">
            <v>주이서</v>
          </cell>
          <cell r="B211" t="str">
            <v>주이서</v>
          </cell>
          <cell r="R211" t="str">
            <v>강산(江山)</v>
          </cell>
          <cell r="S211" t="str">
            <v>에필로그</v>
          </cell>
        </row>
        <row r="212">
          <cell r="A212" t="str">
            <v>중국IB</v>
          </cell>
          <cell r="B212" t="str">
            <v>제외</v>
          </cell>
          <cell r="R212" t="str">
            <v>강산(江山)</v>
          </cell>
          <cell r="S212" t="str">
            <v>에필로그</v>
          </cell>
        </row>
        <row r="213">
          <cell r="A213" t="str">
            <v>지미신</v>
          </cell>
          <cell r="B213" t="str">
            <v>지미신</v>
          </cell>
          <cell r="R213" t="str">
            <v>강산(江山)</v>
          </cell>
          <cell r="S213" t="str">
            <v>에필로그</v>
          </cell>
        </row>
        <row r="214">
          <cell r="A214" t="str">
            <v>지아진</v>
          </cell>
          <cell r="B214" t="str">
            <v>지아진</v>
          </cell>
          <cell r="R214" t="str">
            <v>강산(江山)</v>
          </cell>
          <cell r="S214" t="str">
            <v>에필로그</v>
          </cell>
        </row>
        <row r="215">
          <cell r="A215" t="str">
            <v>진문</v>
          </cell>
          <cell r="B215" t="str">
            <v>진문</v>
          </cell>
          <cell r="R215" t="str">
            <v>강산(江山)</v>
          </cell>
          <cell r="S215" t="str">
            <v>에필로그</v>
          </cell>
        </row>
        <row r="216">
          <cell r="A216" t="str">
            <v>진새벽</v>
          </cell>
          <cell r="B216" t="str">
            <v>진새벽</v>
          </cell>
          <cell r="R216" t="str">
            <v>강산(江山)</v>
          </cell>
          <cell r="S216" t="str">
            <v>에필로그</v>
          </cell>
        </row>
        <row r="217">
          <cell r="A217" t="str">
            <v>진숙</v>
          </cell>
          <cell r="B217" t="str">
            <v>진숙</v>
          </cell>
          <cell r="R217" t="str">
            <v>강산(江山)</v>
          </cell>
          <cell r="S217" t="str">
            <v>에필로그</v>
          </cell>
        </row>
        <row r="218">
          <cell r="A218" t="str">
            <v>진엔터</v>
          </cell>
          <cell r="B218" t="str">
            <v>진엔터</v>
          </cell>
          <cell r="R218" t="str">
            <v>강산(江山)</v>
          </cell>
          <cell r="S218" t="str">
            <v>에필로그</v>
          </cell>
        </row>
        <row r="219">
          <cell r="A219" t="str">
            <v>징구빙구</v>
          </cell>
          <cell r="B219" t="str">
            <v>징구빙구</v>
          </cell>
          <cell r="R219" t="str">
            <v>강산(江山)</v>
          </cell>
          <cell r="S219" t="str">
            <v>에필로그</v>
          </cell>
        </row>
        <row r="220">
          <cell r="A220" t="str">
            <v>차홍주</v>
          </cell>
          <cell r="B220" t="str">
            <v>차홍주</v>
          </cell>
          <cell r="R220" t="str">
            <v>강산(江山)</v>
          </cell>
          <cell r="S220" t="str">
            <v>에필로그</v>
          </cell>
        </row>
        <row r="221">
          <cell r="A221" t="str">
            <v>찬동</v>
          </cell>
          <cell r="B221" t="str">
            <v>찬동</v>
          </cell>
          <cell r="R221" t="str">
            <v>강산(江山)</v>
          </cell>
          <cell r="S221" t="str">
            <v>에필로그</v>
          </cell>
        </row>
        <row r="222">
          <cell r="A222" t="str">
            <v>채주아</v>
          </cell>
          <cell r="B222" t="str">
            <v>채주아</v>
          </cell>
          <cell r="R222" t="str">
            <v>강산(江山)</v>
          </cell>
          <cell r="S222" t="str">
            <v>에필로그</v>
          </cell>
        </row>
        <row r="223">
          <cell r="A223" t="str">
            <v>청빙</v>
          </cell>
          <cell r="B223" t="str">
            <v>청빙</v>
          </cell>
          <cell r="R223" t="str">
            <v>강산(江山)</v>
          </cell>
          <cell r="S223" t="str">
            <v>에필로그</v>
          </cell>
        </row>
        <row r="224">
          <cell r="A224" t="str">
            <v>최도비</v>
          </cell>
          <cell r="B224" t="str">
            <v>컨텐츠헤라</v>
          </cell>
          <cell r="R224" t="str">
            <v>강산(江山)</v>
          </cell>
          <cell r="S224" t="str">
            <v>에필로그</v>
          </cell>
        </row>
        <row r="225">
          <cell r="A225" t="str">
            <v>최도비 수정과</v>
          </cell>
          <cell r="B225" t="str">
            <v>컨텐츠헤라</v>
          </cell>
          <cell r="R225" t="str">
            <v>강산(江山)</v>
          </cell>
          <cell r="S225" t="str">
            <v>에필로그</v>
          </cell>
        </row>
        <row r="226">
          <cell r="A226" t="str">
            <v>최도비,수정과</v>
          </cell>
          <cell r="B226" t="str">
            <v>컨텐츠헤라</v>
          </cell>
          <cell r="R226" t="str">
            <v>강산(江山)</v>
          </cell>
          <cell r="S226" t="str">
            <v>에필로그</v>
          </cell>
        </row>
        <row r="227">
          <cell r="A227" t="str">
            <v>최영진(청빙)</v>
          </cell>
          <cell r="B227" t="str">
            <v>청빙</v>
          </cell>
          <cell r="R227" t="str">
            <v>강산(江山)</v>
          </cell>
          <cell r="S227" t="str">
            <v>에필로그</v>
          </cell>
        </row>
        <row r="228">
          <cell r="A228" t="str">
            <v>칸테츠,미나세 치호</v>
          </cell>
          <cell r="B228" t="str">
            <v>제외</v>
          </cell>
          <cell r="R228" t="str">
            <v>강산(江山)</v>
          </cell>
          <cell r="S228" t="str">
            <v>에필로그</v>
          </cell>
        </row>
        <row r="229">
          <cell r="A229" t="str">
            <v>캐로티</v>
          </cell>
          <cell r="B229" t="str">
            <v>캐로티</v>
          </cell>
          <cell r="R229" t="str">
            <v>강산(江山)</v>
          </cell>
          <cell r="S229" t="str">
            <v>에필로그</v>
          </cell>
        </row>
        <row r="230">
          <cell r="A230" t="str">
            <v>컨헤라</v>
          </cell>
          <cell r="B230" t="str">
            <v>컨텐츠헤라</v>
          </cell>
          <cell r="R230" t="str">
            <v>강산(江山)</v>
          </cell>
          <cell r="S230" t="str">
            <v>에필로그</v>
          </cell>
        </row>
        <row r="231">
          <cell r="A231" t="str">
            <v>키시모토 카즈하,아라시야마,시마하라</v>
          </cell>
          <cell r="B231" t="str">
            <v>제외</v>
          </cell>
          <cell r="R231" t="str">
            <v>강산(江山)</v>
          </cell>
          <cell r="S231" t="str">
            <v>에필로그</v>
          </cell>
        </row>
        <row r="232">
          <cell r="A232" t="str">
            <v>탁윤</v>
          </cell>
          <cell r="B232" t="str">
            <v>탁윤</v>
          </cell>
          <cell r="R232" t="str">
            <v>강산(江山)</v>
          </cell>
          <cell r="S232" t="str">
            <v>에필로그</v>
          </cell>
        </row>
        <row r="233">
          <cell r="A233" t="str">
            <v>태랑</v>
          </cell>
          <cell r="B233" t="str">
            <v>태랑</v>
          </cell>
          <cell r="R233" t="str">
            <v>강산(江山)</v>
          </cell>
          <cell r="S233" t="str">
            <v>에필로그</v>
          </cell>
        </row>
        <row r="234">
          <cell r="A234" t="str">
            <v>태룡(泰龍)</v>
          </cell>
          <cell r="B234" t="str">
            <v>더컴퍼니</v>
          </cell>
          <cell r="R234" t="str">
            <v>강산(江山)</v>
          </cell>
          <cell r="S234" t="str">
            <v>에필로그</v>
          </cell>
        </row>
        <row r="235">
          <cell r="A235" t="str">
            <v>테레자</v>
          </cell>
          <cell r="B235" t="str">
            <v>테레자</v>
          </cell>
          <cell r="R235" t="str">
            <v>강산(江山)</v>
          </cell>
          <cell r="S235" t="str">
            <v>에필로그</v>
          </cell>
        </row>
        <row r="236">
          <cell r="A236" t="str">
            <v>투니드엔터테인먼트</v>
          </cell>
          <cell r="B236" t="str">
            <v>투니드엔터테인먼트</v>
          </cell>
          <cell r="R236" t="str">
            <v>강산(江山)</v>
          </cell>
          <cell r="S236" t="str">
            <v>에필로그</v>
          </cell>
        </row>
        <row r="237">
          <cell r="A237" t="str">
            <v>틴타</v>
          </cell>
          <cell r="B237" t="str">
            <v>틴타</v>
          </cell>
          <cell r="R237" t="str">
            <v>강산(江山)</v>
          </cell>
          <cell r="S237" t="str">
            <v>에필로그</v>
          </cell>
        </row>
        <row r="238">
          <cell r="A238" t="str">
            <v>파란영</v>
          </cell>
          <cell r="B238" t="str">
            <v>파란영</v>
          </cell>
          <cell r="R238" t="str">
            <v>강산(江山)</v>
          </cell>
          <cell r="S238" t="str">
            <v>에필로그</v>
          </cell>
        </row>
        <row r="239">
          <cell r="A239" t="str">
            <v>파란코끼리</v>
          </cell>
          <cell r="B239" t="str">
            <v>파란코끼리</v>
          </cell>
          <cell r="R239" t="str">
            <v>강산(江山)</v>
          </cell>
          <cell r="S239" t="str">
            <v>에필로그</v>
          </cell>
        </row>
        <row r="240">
          <cell r="A240" t="str">
            <v>파란코끼리</v>
          </cell>
          <cell r="B240" t="str">
            <v>파란코끼리</v>
          </cell>
          <cell r="R240" t="str">
            <v>강산(江山)</v>
          </cell>
          <cell r="S240" t="str">
            <v>에필로그</v>
          </cell>
        </row>
        <row r="241">
          <cell r="A241" t="str">
            <v>파란코끼리</v>
          </cell>
          <cell r="B241" t="str">
            <v>파란코끼리</v>
          </cell>
          <cell r="R241" t="str">
            <v>강산(江山)</v>
          </cell>
          <cell r="S241" t="str">
            <v>에필로그</v>
          </cell>
        </row>
        <row r="242">
          <cell r="A242" t="str">
            <v>파인트리</v>
          </cell>
          <cell r="B242" t="str">
            <v>파인트리</v>
          </cell>
          <cell r="R242" t="str">
            <v>강산(江山)</v>
          </cell>
          <cell r="S242" t="str">
            <v>에필로그</v>
          </cell>
        </row>
        <row r="243">
          <cell r="A243" t="str">
            <v>파인트리 &amp; 페일핑크 &amp; 랑새 &amp; 지미신 &amp; 채주아</v>
          </cell>
          <cell r="B243" t="str">
            <v>파인트리 &amp; 페일핑크 &amp; 랑새 &amp; 지미신 &amp; 채주아</v>
          </cell>
          <cell r="R243" t="str">
            <v>강산(江山)</v>
          </cell>
          <cell r="S243" t="str">
            <v>에필로그</v>
          </cell>
        </row>
        <row r="244">
          <cell r="A244" t="str">
            <v>판무림3(로드오브머니)</v>
          </cell>
          <cell r="B244" t="str">
            <v>무장</v>
          </cell>
          <cell r="R244" t="str">
            <v>강산(江山)</v>
          </cell>
          <cell r="S244" t="str">
            <v>에필로그</v>
          </cell>
        </row>
        <row r="245">
          <cell r="A245" t="str">
            <v>퍼리딩딩</v>
          </cell>
          <cell r="B245" t="str">
            <v>퍼리딩딩</v>
          </cell>
          <cell r="R245" t="str">
            <v>강산(江山)</v>
          </cell>
          <cell r="S245" t="str">
            <v>에필로그</v>
          </cell>
        </row>
        <row r="246">
          <cell r="A246" t="str">
            <v>퍼플캐롯</v>
          </cell>
          <cell r="B246" t="str">
            <v>퍼플캐롯</v>
          </cell>
          <cell r="R246" t="str">
            <v>강산(江山)</v>
          </cell>
          <cell r="S246" t="str">
            <v>에필로그</v>
          </cell>
        </row>
        <row r="247">
          <cell r="A247" t="str">
            <v>펌킨몬</v>
          </cell>
          <cell r="B247" t="str">
            <v>펌킨몬</v>
          </cell>
          <cell r="R247" t="str">
            <v>강산(江山)</v>
          </cell>
          <cell r="S247" t="str">
            <v>에필로그</v>
          </cell>
        </row>
        <row r="248">
          <cell r="A248" t="str">
            <v>페일핑크</v>
          </cell>
          <cell r="B248" t="str">
            <v>페일핑크</v>
          </cell>
          <cell r="R248" t="str">
            <v>강산(江山)</v>
          </cell>
          <cell r="S248" t="str">
            <v>에필로그</v>
          </cell>
        </row>
        <row r="249">
          <cell r="A249" t="str">
            <v>폴딩</v>
          </cell>
          <cell r="B249" t="str">
            <v>폴딩</v>
          </cell>
          <cell r="R249" t="str">
            <v>강산(江山)</v>
          </cell>
          <cell r="S249" t="str">
            <v>에필로그</v>
          </cell>
        </row>
        <row r="250">
          <cell r="A250" t="str">
            <v>프레인</v>
          </cell>
          <cell r="B250" t="str">
            <v>프레인</v>
          </cell>
          <cell r="R250" t="str">
            <v>강산(江山)</v>
          </cell>
          <cell r="S250" t="str">
            <v>에필로그</v>
          </cell>
        </row>
        <row r="251">
          <cell r="A251" t="str">
            <v>피모</v>
          </cell>
          <cell r="B251" t="str">
            <v>더컴퍼니</v>
          </cell>
          <cell r="R251" t="str">
            <v>강산(江山)</v>
          </cell>
          <cell r="S251" t="str">
            <v>에필로그</v>
          </cell>
        </row>
        <row r="252">
          <cell r="A252" t="str">
            <v>하이후</v>
          </cell>
          <cell r="B252" t="str">
            <v>하이후</v>
          </cell>
          <cell r="R252" t="str">
            <v>강산(江山)</v>
          </cell>
          <cell r="S252" t="str">
            <v>에필로그</v>
          </cell>
        </row>
        <row r="253">
          <cell r="A253" t="str">
            <v>한례</v>
          </cell>
          <cell r="B253" t="str">
            <v>한례</v>
          </cell>
          <cell r="R253" t="str">
            <v>강산(江山)</v>
          </cell>
          <cell r="S253" t="str">
            <v>에필로그</v>
          </cell>
        </row>
        <row r="254">
          <cell r="A254" t="str">
            <v>한보연</v>
          </cell>
          <cell r="B254" t="str">
            <v>한보연</v>
          </cell>
          <cell r="R254" t="str">
            <v>강산(江山)</v>
          </cell>
          <cell r="S254" t="str">
            <v>에필로그</v>
          </cell>
        </row>
        <row r="255">
          <cell r="A255" t="str">
            <v>한서나</v>
          </cell>
          <cell r="B255" t="str">
            <v>한서나</v>
          </cell>
          <cell r="R255" t="str">
            <v>강산(江山)</v>
          </cell>
          <cell r="S255" t="str">
            <v>에필로그</v>
          </cell>
        </row>
        <row r="256">
          <cell r="A256" t="str">
            <v>한서아</v>
          </cell>
          <cell r="B256" t="str">
            <v>한서아</v>
          </cell>
          <cell r="R256" t="str">
            <v>강산(江山)</v>
          </cell>
          <cell r="S256" t="str">
            <v>에필로그</v>
          </cell>
        </row>
        <row r="257">
          <cell r="A257" t="str">
            <v>해달화영</v>
          </cell>
          <cell r="B257" t="str">
            <v>해달화영</v>
          </cell>
          <cell r="R257" t="str">
            <v>강산(江山)</v>
          </cell>
          <cell r="S257" t="str">
            <v>에필로그</v>
          </cell>
        </row>
        <row r="258">
          <cell r="A258" t="str">
            <v>해은빛</v>
          </cell>
          <cell r="B258" t="str">
            <v>해은빛</v>
          </cell>
          <cell r="R258" t="str">
            <v>강산(江山)</v>
          </cell>
          <cell r="S258" t="str">
            <v>에필로그</v>
          </cell>
        </row>
        <row r="259">
          <cell r="A259" t="str">
            <v>허니레몬</v>
          </cell>
          <cell r="B259" t="str">
            <v>아이리스</v>
          </cell>
          <cell r="R259" t="str">
            <v>강산(江山)</v>
          </cell>
          <cell r="S259" t="str">
            <v>에필로그</v>
          </cell>
        </row>
        <row r="260">
          <cell r="A260" t="str">
            <v>헬로미니</v>
          </cell>
          <cell r="B260" t="str">
            <v>헬로미니</v>
          </cell>
          <cell r="R260" t="str">
            <v>강산(江山)</v>
          </cell>
          <cell r="S260" t="str">
            <v>에필로그</v>
          </cell>
        </row>
        <row r="261">
          <cell r="A261" t="str">
            <v>혜원</v>
          </cell>
          <cell r="B261" t="str">
            <v>컨텐츠헤라</v>
          </cell>
          <cell r="R261" t="str">
            <v>강산(江山)</v>
          </cell>
          <cell r="S261" t="str">
            <v>에필로그</v>
          </cell>
        </row>
        <row r="262">
          <cell r="A262" t="str">
            <v>홍연유</v>
          </cell>
          <cell r="B262" t="str">
            <v>홍연유</v>
          </cell>
          <cell r="R262" t="str">
            <v>강산(江山)</v>
          </cell>
          <cell r="S262" t="str">
            <v>에필로그</v>
          </cell>
        </row>
        <row r="263">
          <cell r="A263" t="str">
            <v>화방,망북</v>
          </cell>
          <cell r="B263" t="str">
            <v>제외</v>
          </cell>
          <cell r="R263" t="str">
            <v>강산(江山)</v>
          </cell>
          <cell r="S263" t="str">
            <v>에필로그</v>
          </cell>
        </row>
        <row r="264">
          <cell r="A264" t="str">
            <v>히즈노블</v>
          </cell>
          <cell r="B264" t="str">
            <v>더컴퍼니</v>
          </cell>
          <cell r="R264" t="str">
            <v>강산(江山)</v>
          </cell>
          <cell r="S264" t="str">
            <v>에필로그</v>
          </cell>
        </row>
        <row r="265">
          <cell r="A265" t="str">
            <v>웹티, 올코</v>
          </cell>
          <cell r="B265" t="str">
            <v>올콘텐츠앤브이알</v>
          </cell>
          <cell r="R265" t="str">
            <v>강산(江山)</v>
          </cell>
          <cell r="S265" t="str">
            <v>에필로그</v>
          </cell>
        </row>
        <row r="266">
          <cell r="R266" t="str">
            <v>강산(江山)</v>
          </cell>
          <cell r="S266" t="str">
            <v>에필로그</v>
          </cell>
        </row>
        <row r="267">
          <cell r="R267" t="str">
            <v>강산(江山)</v>
          </cell>
          <cell r="S267" t="str">
            <v>에필로그</v>
          </cell>
        </row>
        <row r="268">
          <cell r="R268" t="str">
            <v>강산(江山)</v>
          </cell>
          <cell r="S268" t="str">
            <v>에필로그</v>
          </cell>
        </row>
        <row r="269">
          <cell r="R269" t="str">
            <v>강산(江山)</v>
          </cell>
          <cell r="S269" t="str">
            <v>에필로그</v>
          </cell>
        </row>
        <row r="270">
          <cell r="R270" t="str">
            <v>강산(江山)</v>
          </cell>
          <cell r="S270" t="str">
            <v>에필로그</v>
          </cell>
        </row>
        <row r="271">
          <cell r="R271" t="str">
            <v>강산(江山)</v>
          </cell>
          <cell r="S271" t="str">
            <v>에필로그</v>
          </cell>
        </row>
        <row r="272">
          <cell r="R272" t="str">
            <v>강산(江山)</v>
          </cell>
          <cell r="S272" t="str">
            <v>에필로그</v>
          </cell>
        </row>
        <row r="273">
          <cell r="R273" t="str">
            <v>강산(江山)</v>
          </cell>
          <cell r="S273" t="str">
            <v>에필로그</v>
          </cell>
        </row>
        <row r="274">
          <cell r="R274" t="str">
            <v>강산(江山)</v>
          </cell>
          <cell r="S274" t="str">
            <v>에필로그</v>
          </cell>
        </row>
        <row r="275">
          <cell r="R275" t="str">
            <v>강소아</v>
          </cell>
          <cell r="S275" t="str">
            <v>더컴퍼니</v>
          </cell>
        </row>
        <row r="276">
          <cell r="R276" t="str">
            <v>강소아</v>
          </cell>
          <cell r="S276" t="str">
            <v>더컴퍼니</v>
          </cell>
        </row>
        <row r="277">
          <cell r="R277" t="str">
            <v>강소아</v>
          </cell>
          <cell r="S277" t="str">
            <v>더컴퍼니</v>
          </cell>
        </row>
        <row r="278">
          <cell r="R278" t="str">
            <v>강소아</v>
          </cell>
          <cell r="S278" t="str">
            <v>더컴퍼니</v>
          </cell>
        </row>
        <row r="279">
          <cell r="R279" t="str">
            <v>강소아</v>
          </cell>
          <cell r="S279" t="str">
            <v>더컴퍼니</v>
          </cell>
        </row>
        <row r="280">
          <cell r="R280" t="str">
            <v>검은밤</v>
          </cell>
          <cell r="S280" t="str">
            <v>더컴퍼니</v>
          </cell>
        </row>
        <row r="281">
          <cell r="R281" t="str">
            <v>검은밤</v>
          </cell>
          <cell r="S281" t="str">
            <v>더컴퍼니</v>
          </cell>
        </row>
        <row r="282">
          <cell r="R282" t="str">
            <v>검은밤</v>
          </cell>
          <cell r="S282" t="str">
            <v>더컴퍼니</v>
          </cell>
        </row>
        <row r="283">
          <cell r="R283" t="str">
            <v>검은밤</v>
          </cell>
          <cell r="S283" t="str">
            <v>더컴퍼니</v>
          </cell>
        </row>
        <row r="284">
          <cell r="R284" t="str">
            <v>검은밤</v>
          </cell>
          <cell r="S284" t="str">
            <v>더컴퍼니</v>
          </cell>
        </row>
        <row r="285">
          <cell r="R285" t="str">
            <v>검은밤</v>
          </cell>
          <cell r="S285" t="str">
            <v>더컴퍼니</v>
          </cell>
        </row>
        <row r="286">
          <cell r="R286" t="str">
            <v>검은밤</v>
          </cell>
          <cell r="S286" t="str">
            <v>더컴퍼니</v>
          </cell>
        </row>
        <row r="287">
          <cell r="R287" t="str">
            <v>구하늬</v>
          </cell>
          <cell r="S287" t="str">
            <v>더컴퍼니</v>
          </cell>
        </row>
        <row r="288">
          <cell r="R288" t="str">
            <v>구하늬</v>
          </cell>
          <cell r="S288" t="str">
            <v>더컴퍼니</v>
          </cell>
        </row>
        <row r="289">
          <cell r="R289" t="str">
            <v>구하늬</v>
          </cell>
          <cell r="S289" t="str">
            <v>더컴퍼니</v>
          </cell>
        </row>
        <row r="290">
          <cell r="R290" t="str">
            <v>구하늬</v>
          </cell>
          <cell r="S290" t="str">
            <v>더컴퍼니</v>
          </cell>
        </row>
        <row r="291">
          <cell r="R291" t="str">
            <v>구하늬</v>
          </cell>
          <cell r="S291" t="str">
            <v>더컴퍼니</v>
          </cell>
        </row>
        <row r="292">
          <cell r="R292" t="str">
            <v>김귤</v>
          </cell>
          <cell r="S292" t="str">
            <v>더컴퍼니</v>
          </cell>
        </row>
        <row r="293">
          <cell r="R293" t="str">
            <v>김귤</v>
          </cell>
          <cell r="S293" t="str">
            <v>더컴퍼니</v>
          </cell>
        </row>
        <row r="294">
          <cell r="R294" t="str">
            <v>김귤</v>
          </cell>
          <cell r="S294" t="str">
            <v>더컴퍼니</v>
          </cell>
        </row>
        <row r="295">
          <cell r="R295" t="str">
            <v>김귤</v>
          </cell>
          <cell r="S295" t="str">
            <v>더컴퍼니</v>
          </cell>
        </row>
        <row r="296">
          <cell r="R296" t="str">
            <v>김귤</v>
          </cell>
          <cell r="S296" t="str">
            <v>더컴퍼니</v>
          </cell>
        </row>
        <row r="297">
          <cell r="R297" t="str">
            <v>김귤</v>
          </cell>
          <cell r="S297" t="str">
            <v>더컴퍼니</v>
          </cell>
        </row>
        <row r="298">
          <cell r="R298" t="str">
            <v>김귤</v>
          </cell>
          <cell r="S298" t="str">
            <v>더컴퍼니</v>
          </cell>
        </row>
        <row r="299">
          <cell r="R299" t="str">
            <v>김귤</v>
          </cell>
          <cell r="S299" t="str">
            <v>더컴퍼니</v>
          </cell>
        </row>
        <row r="300">
          <cell r="R300" t="str">
            <v>김매콤</v>
          </cell>
          <cell r="S300" t="str">
            <v>더컴퍼니</v>
          </cell>
        </row>
        <row r="301">
          <cell r="R301" t="str">
            <v>김매콤</v>
          </cell>
          <cell r="S301" t="str">
            <v>더컴퍼니</v>
          </cell>
        </row>
        <row r="302">
          <cell r="R302" t="str">
            <v>김매콤</v>
          </cell>
          <cell r="S302" t="str">
            <v>더컴퍼니</v>
          </cell>
        </row>
        <row r="303">
          <cell r="R303" t="str">
            <v>김소희</v>
          </cell>
          <cell r="S303" t="str">
            <v>더컴퍼니</v>
          </cell>
        </row>
        <row r="304">
          <cell r="R304" t="str">
            <v>김지언</v>
          </cell>
          <cell r="S304" t="str">
            <v>더컴퍼니</v>
          </cell>
        </row>
        <row r="305">
          <cell r="R305" t="str">
            <v>김지언</v>
          </cell>
          <cell r="S305" t="str">
            <v>더컴퍼니</v>
          </cell>
        </row>
        <row r="306">
          <cell r="R306" t="str">
            <v>나나코</v>
          </cell>
          <cell r="S306" t="str">
            <v>더컴퍼니</v>
          </cell>
        </row>
        <row r="307">
          <cell r="R307" t="str">
            <v>나나코</v>
          </cell>
          <cell r="S307" t="str">
            <v>더컴퍼니</v>
          </cell>
        </row>
        <row r="308">
          <cell r="R308" t="str">
            <v>나나코</v>
          </cell>
          <cell r="S308" t="str">
            <v>더컴퍼니</v>
          </cell>
        </row>
        <row r="309">
          <cell r="R309" t="str">
            <v>나나코</v>
          </cell>
          <cell r="S309" t="str">
            <v>더컴퍼니</v>
          </cell>
        </row>
        <row r="310">
          <cell r="R310" t="str">
            <v>나나코</v>
          </cell>
          <cell r="S310" t="str">
            <v>더컴퍼니</v>
          </cell>
        </row>
        <row r="311">
          <cell r="R311" t="str">
            <v>나나코</v>
          </cell>
          <cell r="S311" t="str">
            <v>더컴퍼니</v>
          </cell>
        </row>
        <row r="312">
          <cell r="R312" t="str">
            <v>나나코</v>
          </cell>
          <cell r="S312" t="str">
            <v>더컴퍼니</v>
          </cell>
        </row>
        <row r="313">
          <cell r="R313" t="str">
            <v>나나코</v>
          </cell>
          <cell r="S313" t="str">
            <v>더컴퍼니</v>
          </cell>
        </row>
        <row r="314">
          <cell r="R314" t="str">
            <v>나나코</v>
          </cell>
          <cell r="S314" t="str">
            <v>더컴퍼니</v>
          </cell>
        </row>
        <row r="315">
          <cell r="R315" t="str">
            <v>나나코</v>
          </cell>
          <cell r="S315" t="str">
            <v>더컴퍼니</v>
          </cell>
        </row>
        <row r="316">
          <cell r="R316" t="str">
            <v>나나코</v>
          </cell>
          <cell r="S316" t="str">
            <v>더컴퍼니</v>
          </cell>
        </row>
        <row r="317">
          <cell r="R317" t="str">
            <v>나나코</v>
          </cell>
          <cell r="S317" t="str">
            <v>더컴퍼니</v>
          </cell>
        </row>
        <row r="318">
          <cell r="R318" t="str">
            <v>나나코</v>
          </cell>
          <cell r="S318" t="str">
            <v>더컴퍼니</v>
          </cell>
        </row>
        <row r="319">
          <cell r="R319" t="str">
            <v>나나코</v>
          </cell>
          <cell r="S319" t="str">
            <v>더컴퍼니</v>
          </cell>
        </row>
        <row r="320">
          <cell r="R320" t="str">
            <v>나나코</v>
          </cell>
          <cell r="S320" t="str">
            <v>더컴퍼니</v>
          </cell>
        </row>
        <row r="321">
          <cell r="R321" t="str">
            <v>나나코</v>
          </cell>
          <cell r="S321" t="str">
            <v>더컴퍼니</v>
          </cell>
        </row>
        <row r="322">
          <cell r="R322" t="str">
            <v>나나코</v>
          </cell>
          <cell r="S322" t="str">
            <v>더컴퍼니</v>
          </cell>
        </row>
        <row r="323">
          <cell r="R323" t="str">
            <v>나나코</v>
          </cell>
          <cell r="S323" t="str">
            <v>더컴퍼니</v>
          </cell>
        </row>
        <row r="324">
          <cell r="R324" t="str">
            <v>나나코</v>
          </cell>
          <cell r="S324" t="str">
            <v>더컴퍼니</v>
          </cell>
        </row>
        <row r="325">
          <cell r="R325" t="str">
            <v>나나코</v>
          </cell>
          <cell r="S325" t="str">
            <v>더컴퍼니</v>
          </cell>
        </row>
        <row r="326">
          <cell r="R326" t="str">
            <v>나나코</v>
          </cell>
          <cell r="S326" t="str">
            <v>더컴퍼니</v>
          </cell>
        </row>
        <row r="327">
          <cell r="R327" t="str">
            <v>나나코</v>
          </cell>
          <cell r="S327" t="str">
            <v>더컴퍼니</v>
          </cell>
        </row>
        <row r="328">
          <cell r="R328" t="str">
            <v>나나코</v>
          </cell>
          <cell r="S328" t="str">
            <v>더컴퍼니</v>
          </cell>
        </row>
        <row r="329">
          <cell r="R329" t="str">
            <v>나나코</v>
          </cell>
          <cell r="S329" t="str">
            <v>더컴퍼니</v>
          </cell>
        </row>
        <row r="330">
          <cell r="R330" t="str">
            <v>나나코</v>
          </cell>
          <cell r="S330" t="str">
            <v>더컴퍼니</v>
          </cell>
        </row>
        <row r="331">
          <cell r="R331" t="str">
            <v>나나코</v>
          </cell>
          <cell r="S331" t="str">
            <v>더컴퍼니</v>
          </cell>
        </row>
        <row r="332">
          <cell r="R332" t="str">
            <v>나나코</v>
          </cell>
          <cell r="S332" t="str">
            <v>더컴퍼니</v>
          </cell>
        </row>
        <row r="333">
          <cell r="R333" t="str">
            <v>나나코</v>
          </cell>
          <cell r="S333" t="str">
            <v>더컴퍼니</v>
          </cell>
        </row>
        <row r="334">
          <cell r="R334" t="str">
            <v>나나코</v>
          </cell>
          <cell r="S334" t="str">
            <v>더컴퍼니</v>
          </cell>
        </row>
        <row r="335">
          <cell r="R335" t="str">
            <v>나나코</v>
          </cell>
          <cell r="S335" t="str">
            <v>더컴퍼니</v>
          </cell>
        </row>
        <row r="336">
          <cell r="R336" t="str">
            <v>나나코</v>
          </cell>
          <cell r="S336" t="str">
            <v>더컴퍼니</v>
          </cell>
        </row>
        <row r="337">
          <cell r="R337" t="str">
            <v>나나코</v>
          </cell>
          <cell r="S337" t="str">
            <v>더컴퍼니</v>
          </cell>
        </row>
        <row r="338">
          <cell r="R338" t="str">
            <v>나나코</v>
          </cell>
          <cell r="S338" t="str">
            <v>더컴퍼니</v>
          </cell>
        </row>
        <row r="339">
          <cell r="R339" t="str">
            <v>나나코</v>
          </cell>
          <cell r="S339" t="str">
            <v>더컴퍼니</v>
          </cell>
        </row>
        <row r="340">
          <cell r="R340" t="str">
            <v>나나코</v>
          </cell>
          <cell r="S340" t="str">
            <v>더컴퍼니</v>
          </cell>
        </row>
        <row r="341">
          <cell r="R341" t="str">
            <v>나나코</v>
          </cell>
          <cell r="S341" t="str">
            <v>더컴퍼니</v>
          </cell>
        </row>
        <row r="342">
          <cell r="R342" t="str">
            <v>나나코</v>
          </cell>
          <cell r="S342" t="str">
            <v>더컴퍼니</v>
          </cell>
        </row>
        <row r="343">
          <cell r="R343" t="str">
            <v>나나코</v>
          </cell>
          <cell r="S343" t="str">
            <v>더컴퍼니</v>
          </cell>
        </row>
        <row r="344">
          <cell r="R344" t="str">
            <v>나나코</v>
          </cell>
          <cell r="S344" t="str">
            <v>더컴퍼니</v>
          </cell>
        </row>
        <row r="345">
          <cell r="R345" t="str">
            <v>나나코</v>
          </cell>
          <cell r="S345" t="str">
            <v>더컴퍼니</v>
          </cell>
        </row>
        <row r="346">
          <cell r="R346" t="str">
            <v>나나코</v>
          </cell>
          <cell r="S346" t="str">
            <v>더컴퍼니</v>
          </cell>
        </row>
        <row r="347">
          <cell r="R347" t="str">
            <v>나나코</v>
          </cell>
          <cell r="S347" t="str">
            <v>더컴퍼니</v>
          </cell>
        </row>
        <row r="348">
          <cell r="R348" t="str">
            <v>나나코</v>
          </cell>
          <cell r="S348" t="str">
            <v>더컴퍼니</v>
          </cell>
        </row>
        <row r="349">
          <cell r="R349" t="str">
            <v>나나코</v>
          </cell>
          <cell r="S349" t="str">
            <v>더컴퍼니</v>
          </cell>
        </row>
        <row r="350">
          <cell r="R350" t="str">
            <v>나나코</v>
          </cell>
          <cell r="S350" t="str">
            <v>더컴퍼니</v>
          </cell>
        </row>
        <row r="351">
          <cell r="R351" t="str">
            <v>나나코</v>
          </cell>
          <cell r="S351" t="str">
            <v>더컴퍼니</v>
          </cell>
        </row>
        <row r="352">
          <cell r="R352" t="str">
            <v>나나코</v>
          </cell>
          <cell r="S352" t="str">
            <v>더컴퍼니</v>
          </cell>
        </row>
        <row r="353">
          <cell r="R353" t="str">
            <v>나나코</v>
          </cell>
          <cell r="S353" t="str">
            <v>더컴퍼니</v>
          </cell>
        </row>
        <row r="354">
          <cell r="R354" t="str">
            <v>나나코</v>
          </cell>
          <cell r="S354" t="str">
            <v>더컴퍼니</v>
          </cell>
        </row>
        <row r="355">
          <cell r="R355" t="str">
            <v>나나코</v>
          </cell>
          <cell r="S355" t="str">
            <v>더컴퍼니</v>
          </cell>
        </row>
        <row r="356">
          <cell r="R356" t="str">
            <v>나나코</v>
          </cell>
          <cell r="S356" t="str">
            <v>더컴퍼니</v>
          </cell>
        </row>
        <row r="357">
          <cell r="R357" t="str">
            <v>나나코</v>
          </cell>
          <cell r="S357" t="str">
            <v>더컴퍼니</v>
          </cell>
        </row>
        <row r="358">
          <cell r="R358" t="str">
            <v>나나코</v>
          </cell>
          <cell r="S358" t="str">
            <v>더컴퍼니</v>
          </cell>
        </row>
        <row r="359">
          <cell r="R359" t="str">
            <v>나나코</v>
          </cell>
          <cell r="S359" t="str">
            <v>더컴퍼니</v>
          </cell>
        </row>
        <row r="360">
          <cell r="R360" t="str">
            <v>나나코</v>
          </cell>
          <cell r="S360" t="str">
            <v>더컴퍼니</v>
          </cell>
        </row>
        <row r="361">
          <cell r="R361" t="str">
            <v>나나코</v>
          </cell>
          <cell r="S361" t="str">
            <v>더컴퍼니</v>
          </cell>
        </row>
        <row r="362">
          <cell r="R362" t="str">
            <v>나나코</v>
          </cell>
          <cell r="S362" t="str">
            <v>더컴퍼니</v>
          </cell>
        </row>
        <row r="363">
          <cell r="R363" t="str">
            <v>나나코</v>
          </cell>
          <cell r="S363" t="str">
            <v>더컴퍼니</v>
          </cell>
        </row>
        <row r="364">
          <cell r="R364" t="str">
            <v>나나코</v>
          </cell>
          <cell r="S364" t="str">
            <v>더컴퍼니</v>
          </cell>
        </row>
        <row r="365">
          <cell r="R365" t="str">
            <v>나나코</v>
          </cell>
          <cell r="S365" t="str">
            <v>더컴퍼니</v>
          </cell>
        </row>
        <row r="366">
          <cell r="R366" t="str">
            <v>나나코</v>
          </cell>
          <cell r="S366" t="str">
            <v>더컴퍼니</v>
          </cell>
        </row>
        <row r="367">
          <cell r="R367" t="str">
            <v>나밍</v>
          </cell>
          <cell r="S367" t="str">
            <v>더컴퍼니</v>
          </cell>
        </row>
        <row r="368">
          <cell r="R368" t="str">
            <v>나밍</v>
          </cell>
          <cell r="S368" t="str">
            <v>더컴퍼니</v>
          </cell>
        </row>
        <row r="369">
          <cell r="R369" t="str">
            <v>나인, 투</v>
          </cell>
          <cell r="S369" t="str">
            <v>더컴퍼니</v>
          </cell>
        </row>
        <row r="370">
          <cell r="R370" t="str">
            <v>녹지</v>
          </cell>
          <cell r="S370" t="str">
            <v>더컴퍼니</v>
          </cell>
        </row>
        <row r="371">
          <cell r="R371" t="str">
            <v>녹치</v>
          </cell>
          <cell r="S371" t="str">
            <v>더컴퍼니</v>
          </cell>
        </row>
        <row r="372">
          <cell r="R372" t="str">
            <v>녹치</v>
          </cell>
          <cell r="S372" t="str">
            <v>더컴퍼니</v>
          </cell>
        </row>
        <row r="373">
          <cell r="R373" t="str">
            <v>녹치</v>
          </cell>
          <cell r="S373" t="str">
            <v>더컴퍼니</v>
          </cell>
        </row>
        <row r="374">
          <cell r="R374" t="str">
            <v>녹치</v>
          </cell>
          <cell r="S374" t="str">
            <v>더컴퍼니</v>
          </cell>
        </row>
        <row r="375">
          <cell r="R375" t="str">
            <v>녹치</v>
          </cell>
          <cell r="S375" t="str">
            <v>더컴퍼니</v>
          </cell>
        </row>
        <row r="376">
          <cell r="R376" t="str">
            <v>녹치</v>
          </cell>
          <cell r="S376" t="str">
            <v>더컴퍼니</v>
          </cell>
        </row>
        <row r="377">
          <cell r="R377" t="str">
            <v>녹치</v>
          </cell>
          <cell r="S377" t="str">
            <v>더컴퍼니</v>
          </cell>
        </row>
        <row r="378">
          <cell r="R378" t="str">
            <v>달과자</v>
          </cell>
          <cell r="S378" t="str">
            <v>더컴퍼니</v>
          </cell>
        </row>
        <row r="379">
          <cell r="R379" t="str">
            <v>달과자</v>
          </cell>
          <cell r="S379" t="str">
            <v>더컴퍼니</v>
          </cell>
        </row>
        <row r="380">
          <cell r="R380" t="str">
            <v>달과자</v>
          </cell>
          <cell r="S380" t="str">
            <v>더컴퍼니</v>
          </cell>
        </row>
        <row r="381">
          <cell r="R381" t="str">
            <v>달과자</v>
          </cell>
          <cell r="S381" t="str">
            <v>더컴퍼니</v>
          </cell>
        </row>
        <row r="382">
          <cell r="R382" t="str">
            <v>더블유</v>
          </cell>
          <cell r="S382" t="str">
            <v>더컴퍼니</v>
          </cell>
        </row>
        <row r="383">
          <cell r="R383" t="str">
            <v>더블유</v>
          </cell>
          <cell r="S383" t="str">
            <v>더컴퍼니</v>
          </cell>
        </row>
        <row r="384">
          <cell r="R384" t="str">
            <v>덕리</v>
          </cell>
          <cell r="S384" t="str">
            <v>더컴퍼니</v>
          </cell>
        </row>
        <row r="385">
          <cell r="R385" t="str">
            <v>덕리</v>
          </cell>
          <cell r="S385" t="str">
            <v>더컴퍼니</v>
          </cell>
        </row>
        <row r="386">
          <cell r="R386" t="str">
            <v>도로시</v>
          </cell>
          <cell r="S386" t="str">
            <v>더컴퍼니</v>
          </cell>
        </row>
        <row r="387">
          <cell r="R387" t="str">
            <v>도로시</v>
          </cell>
          <cell r="S387" t="str">
            <v>더컴퍼니</v>
          </cell>
        </row>
        <row r="388">
          <cell r="R388" t="str">
            <v>도로시</v>
          </cell>
          <cell r="S388" t="str">
            <v>더컴퍼니</v>
          </cell>
        </row>
        <row r="389">
          <cell r="R389" t="str">
            <v>도로시</v>
          </cell>
          <cell r="S389" t="str">
            <v>더컴퍼니</v>
          </cell>
        </row>
        <row r="390">
          <cell r="R390" t="str">
            <v>도로시</v>
          </cell>
          <cell r="S390" t="str">
            <v>더컴퍼니</v>
          </cell>
        </row>
        <row r="391">
          <cell r="R391" t="str">
            <v>도로시</v>
          </cell>
          <cell r="S391" t="str">
            <v>더컴퍼니</v>
          </cell>
        </row>
        <row r="392">
          <cell r="R392" t="str">
            <v>도로시</v>
          </cell>
          <cell r="S392" t="str">
            <v>더컴퍼니</v>
          </cell>
        </row>
        <row r="393">
          <cell r="R393" t="str">
            <v>도로시</v>
          </cell>
          <cell r="S393" t="str">
            <v>더컴퍼니</v>
          </cell>
        </row>
        <row r="394">
          <cell r="R394" t="str">
            <v>라돌체</v>
          </cell>
          <cell r="S394" t="str">
            <v>더컴퍼니</v>
          </cell>
        </row>
        <row r="395">
          <cell r="R395" t="str">
            <v>라돌체</v>
          </cell>
          <cell r="S395" t="str">
            <v>더컴퍼니</v>
          </cell>
        </row>
        <row r="396">
          <cell r="R396" t="str">
            <v>라돌체</v>
          </cell>
          <cell r="S396" t="str">
            <v>더컴퍼니</v>
          </cell>
        </row>
        <row r="397">
          <cell r="R397" t="str">
            <v>라돌체</v>
          </cell>
          <cell r="S397" t="str">
            <v>더컴퍼니</v>
          </cell>
        </row>
        <row r="398">
          <cell r="R398" t="str">
            <v>라돌체</v>
          </cell>
          <cell r="S398" t="str">
            <v>더컴퍼니</v>
          </cell>
        </row>
        <row r="399">
          <cell r="R399" t="str">
            <v>라돌체</v>
          </cell>
          <cell r="S399" t="str">
            <v>더컴퍼니</v>
          </cell>
        </row>
        <row r="400">
          <cell r="R400" t="str">
            <v>라돌체</v>
          </cell>
          <cell r="S400" t="str">
            <v>더컴퍼니</v>
          </cell>
        </row>
        <row r="401">
          <cell r="R401" t="str">
            <v>라돌체</v>
          </cell>
          <cell r="S401" t="str">
            <v>더컴퍼니</v>
          </cell>
        </row>
        <row r="402">
          <cell r="R402" t="str">
            <v>라돌체</v>
          </cell>
          <cell r="S402" t="str">
            <v>더컴퍼니</v>
          </cell>
        </row>
        <row r="403">
          <cell r="R403" t="str">
            <v>라돌체</v>
          </cell>
          <cell r="S403" t="str">
            <v>더컴퍼니</v>
          </cell>
        </row>
        <row r="404">
          <cell r="R404" t="str">
            <v>라돌체</v>
          </cell>
          <cell r="S404" t="str">
            <v>더컴퍼니</v>
          </cell>
        </row>
        <row r="405">
          <cell r="R405" t="str">
            <v>라돌체</v>
          </cell>
          <cell r="S405" t="str">
            <v>더컴퍼니</v>
          </cell>
        </row>
        <row r="406">
          <cell r="R406" t="str">
            <v>라에르</v>
          </cell>
          <cell r="S406" t="str">
            <v>더컴퍼니</v>
          </cell>
        </row>
        <row r="407">
          <cell r="R407" t="str">
            <v>라에르</v>
          </cell>
          <cell r="S407" t="str">
            <v>더컴퍼니</v>
          </cell>
        </row>
        <row r="408">
          <cell r="R408" t="str">
            <v>라에르</v>
          </cell>
          <cell r="S408" t="str">
            <v>더컴퍼니</v>
          </cell>
        </row>
        <row r="409">
          <cell r="R409" t="str">
            <v>라에르</v>
          </cell>
          <cell r="S409" t="str">
            <v>더컴퍼니</v>
          </cell>
        </row>
        <row r="410">
          <cell r="R410" t="str">
            <v>라에르</v>
          </cell>
          <cell r="S410" t="str">
            <v>더컴퍼니</v>
          </cell>
        </row>
        <row r="411">
          <cell r="R411" t="str">
            <v>라이큐</v>
          </cell>
          <cell r="S411" t="str">
            <v>아크스튜디오</v>
          </cell>
        </row>
        <row r="412">
          <cell r="R412" t="str">
            <v>라이큐</v>
          </cell>
          <cell r="S412" t="str">
            <v>아크스튜디오</v>
          </cell>
        </row>
        <row r="413">
          <cell r="R413" t="str">
            <v>라이큐</v>
          </cell>
          <cell r="S413" t="str">
            <v>아크스튜디오</v>
          </cell>
        </row>
        <row r="414">
          <cell r="R414" t="str">
            <v>라이큐</v>
          </cell>
          <cell r="S414" t="str">
            <v>아크스튜디오</v>
          </cell>
        </row>
        <row r="415">
          <cell r="R415" t="str">
            <v>라이큐</v>
          </cell>
          <cell r="S415" t="str">
            <v>아크스튜디오</v>
          </cell>
        </row>
        <row r="416">
          <cell r="R416" t="str">
            <v>라이큐</v>
          </cell>
          <cell r="S416" t="str">
            <v>아크스튜디오</v>
          </cell>
        </row>
        <row r="417">
          <cell r="R417" t="str">
            <v>라이큐</v>
          </cell>
          <cell r="S417" t="str">
            <v>아크스튜디오</v>
          </cell>
        </row>
        <row r="418">
          <cell r="R418" t="str">
            <v>이다겸</v>
          </cell>
          <cell r="S418" t="str">
            <v>더컴퍼니</v>
          </cell>
        </row>
        <row r="419">
          <cell r="R419" t="str">
            <v>감또개</v>
          </cell>
          <cell r="S419" t="str">
            <v>더컴퍼니</v>
          </cell>
        </row>
        <row r="420">
          <cell r="R420" t="str">
            <v>류마티</v>
          </cell>
          <cell r="S420" t="str">
            <v>더컴퍼니</v>
          </cell>
        </row>
        <row r="421">
          <cell r="R421" t="str">
            <v>류마티</v>
          </cell>
          <cell r="S421" t="str">
            <v>더컴퍼니</v>
          </cell>
        </row>
        <row r="422">
          <cell r="R422" t="str">
            <v>류마티</v>
          </cell>
          <cell r="S422" t="str">
            <v>더컴퍼니</v>
          </cell>
        </row>
        <row r="423">
          <cell r="R423" t="str">
            <v>류마티</v>
          </cell>
          <cell r="S423" t="str">
            <v>더컴퍼니</v>
          </cell>
        </row>
        <row r="424">
          <cell r="R424" t="str">
            <v>류마티</v>
          </cell>
          <cell r="S424" t="str">
            <v>더컴퍼니</v>
          </cell>
        </row>
        <row r="425">
          <cell r="R425" t="str">
            <v>류마티</v>
          </cell>
          <cell r="S425" t="str">
            <v>더컴퍼니</v>
          </cell>
        </row>
        <row r="426">
          <cell r="R426" t="str">
            <v>류마티</v>
          </cell>
          <cell r="S426" t="str">
            <v>더컴퍼니</v>
          </cell>
        </row>
        <row r="427">
          <cell r="R427" t="str">
            <v>리로디다디</v>
          </cell>
          <cell r="S427" t="str">
            <v>더컴퍼니</v>
          </cell>
        </row>
        <row r="428">
          <cell r="R428" t="str">
            <v>리로디다디</v>
          </cell>
          <cell r="S428" t="str">
            <v>더컴퍼니</v>
          </cell>
        </row>
        <row r="429">
          <cell r="R429" t="str">
            <v>마리봄</v>
          </cell>
          <cell r="S429" t="str">
            <v>더컴퍼니</v>
          </cell>
        </row>
        <row r="430">
          <cell r="R430" t="str">
            <v>마리봄</v>
          </cell>
          <cell r="S430" t="str">
            <v>더컴퍼니</v>
          </cell>
        </row>
        <row r="431">
          <cell r="R431" t="str">
            <v>마리봄</v>
          </cell>
          <cell r="S431" t="str">
            <v>더컴퍼니</v>
          </cell>
        </row>
        <row r="432">
          <cell r="R432" t="str">
            <v>마리봄</v>
          </cell>
          <cell r="S432" t="str">
            <v>더컴퍼니</v>
          </cell>
        </row>
        <row r="433">
          <cell r="R433" t="str">
            <v>마연</v>
          </cell>
          <cell r="S433" t="str">
            <v>더컴퍼니</v>
          </cell>
        </row>
        <row r="434">
          <cell r="R434" t="str">
            <v>마연</v>
          </cell>
          <cell r="S434" t="str">
            <v>더컴퍼니</v>
          </cell>
        </row>
        <row r="435">
          <cell r="R435" t="str">
            <v>마연</v>
          </cell>
          <cell r="S435" t="str">
            <v>더컴퍼니</v>
          </cell>
        </row>
        <row r="436">
          <cell r="R436" t="str">
            <v>마연</v>
          </cell>
          <cell r="S436" t="str">
            <v>더컴퍼니</v>
          </cell>
        </row>
        <row r="437">
          <cell r="R437" t="str">
            <v>마연</v>
          </cell>
          <cell r="S437" t="str">
            <v>더컴퍼니</v>
          </cell>
        </row>
        <row r="438">
          <cell r="R438" t="str">
            <v>마연</v>
          </cell>
          <cell r="S438" t="str">
            <v>더컴퍼니</v>
          </cell>
        </row>
        <row r="439">
          <cell r="R439" t="str">
            <v>마연</v>
          </cell>
          <cell r="S439" t="str">
            <v>더컴퍼니</v>
          </cell>
        </row>
        <row r="440">
          <cell r="R440" t="str">
            <v>마연</v>
          </cell>
          <cell r="S440" t="str">
            <v>더컴퍼니</v>
          </cell>
        </row>
        <row r="441">
          <cell r="R441" t="str">
            <v>마연</v>
          </cell>
          <cell r="S441" t="str">
            <v>더컴퍼니</v>
          </cell>
        </row>
        <row r="442">
          <cell r="R442" t="str">
            <v>마연</v>
          </cell>
          <cell r="S442" t="str">
            <v>더컴퍼니</v>
          </cell>
        </row>
        <row r="443">
          <cell r="R443" t="str">
            <v>마연</v>
          </cell>
          <cell r="S443" t="str">
            <v>더컴퍼니</v>
          </cell>
        </row>
        <row r="444">
          <cell r="R444" t="str">
            <v>마연</v>
          </cell>
          <cell r="S444" t="str">
            <v>더컴퍼니</v>
          </cell>
        </row>
        <row r="445">
          <cell r="R445" t="str">
            <v>마연</v>
          </cell>
          <cell r="S445" t="str">
            <v>더컴퍼니</v>
          </cell>
        </row>
        <row r="446">
          <cell r="R446" t="str">
            <v>마연</v>
          </cell>
          <cell r="S446" t="str">
            <v>더컴퍼니</v>
          </cell>
        </row>
        <row r="447">
          <cell r="R447" t="str">
            <v>마연(연필깎이)</v>
          </cell>
          <cell r="S447" t="str">
            <v>더컴퍼니</v>
          </cell>
        </row>
        <row r="448">
          <cell r="R448" t="str">
            <v>묜수</v>
          </cell>
          <cell r="S448" t="str">
            <v>더컴퍼니</v>
          </cell>
        </row>
        <row r="449">
          <cell r="R449" t="str">
            <v>묜수</v>
          </cell>
          <cell r="S449" t="str">
            <v>더컴퍼니</v>
          </cell>
        </row>
        <row r="450">
          <cell r="R450" t="str">
            <v>묜수</v>
          </cell>
          <cell r="S450" t="str">
            <v>더컴퍼니</v>
          </cell>
        </row>
        <row r="451">
          <cell r="R451" t="str">
            <v>묜수</v>
          </cell>
          <cell r="S451" t="str">
            <v>더컴퍼니</v>
          </cell>
        </row>
        <row r="452">
          <cell r="R452" t="str">
            <v>무슈슈</v>
          </cell>
          <cell r="S452" t="str">
            <v>더컴퍼니</v>
          </cell>
        </row>
        <row r="453">
          <cell r="R453" t="str">
            <v>무슈슈</v>
          </cell>
          <cell r="S453" t="str">
            <v>더컴퍼니</v>
          </cell>
        </row>
        <row r="454">
          <cell r="R454" t="str">
            <v>무슈슈</v>
          </cell>
          <cell r="S454" t="str">
            <v>더컴퍼니</v>
          </cell>
        </row>
        <row r="455">
          <cell r="R455" t="str">
            <v>무슈슈</v>
          </cell>
          <cell r="S455" t="str">
            <v>더컴퍼니</v>
          </cell>
        </row>
        <row r="456">
          <cell r="R456" t="str">
            <v>무슈슈</v>
          </cell>
          <cell r="S456" t="str">
            <v>더컴퍼니</v>
          </cell>
        </row>
        <row r="457">
          <cell r="R457" t="str">
            <v>무슈슈</v>
          </cell>
          <cell r="S457" t="str">
            <v>더컴퍼니</v>
          </cell>
        </row>
        <row r="458">
          <cell r="R458" t="str">
            <v>문시티</v>
          </cell>
          <cell r="S458" t="str">
            <v>더컴퍼니</v>
          </cell>
        </row>
        <row r="459">
          <cell r="R459" t="str">
            <v>문시티</v>
          </cell>
          <cell r="S459" t="str">
            <v>더컴퍼니</v>
          </cell>
        </row>
        <row r="460">
          <cell r="R460" t="str">
            <v>문시티</v>
          </cell>
          <cell r="S460" t="str">
            <v>더컴퍼니</v>
          </cell>
        </row>
        <row r="461">
          <cell r="R461" t="str">
            <v>문시티</v>
          </cell>
          <cell r="S461" t="str">
            <v>더컴퍼니</v>
          </cell>
        </row>
        <row r="462">
          <cell r="R462" t="str">
            <v>문시티</v>
          </cell>
          <cell r="S462" t="str">
            <v>더컴퍼니</v>
          </cell>
        </row>
        <row r="463">
          <cell r="R463" t="str">
            <v>문시티</v>
          </cell>
          <cell r="S463" t="str">
            <v>더컴퍼니</v>
          </cell>
        </row>
        <row r="464">
          <cell r="R464" t="str">
            <v>문시티</v>
          </cell>
          <cell r="S464" t="str">
            <v>더컴퍼니</v>
          </cell>
        </row>
        <row r="465">
          <cell r="R465" t="str">
            <v>문시티</v>
          </cell>
          <cell r="S465" t="str">
            <v>더컴퍼니</v>
          </cell>
        </row>
        <row r="466">
          <cell r="R466" t="str">
            <v>문시티</v>
          </cell>
          <cell r="S466" t="str">
            <v>더컴퍼니</v>
          </cell>
        </row>
        <row r="467">
          <cell r="R467" t="str">
            <v>문시티</v>
          </cell>
          <cell r="S467" t="str">
            <v>더컴퍼니</v>
          </cell>
        </row>
        <row r="468">
          <cell r="R468" t="str">
            <v>문시티</v>
          </cell>
          <cell r="S468" t="str">
            <v>더컴퍼니</v>
          </cell>
        </row>
        <row r="469">
          <cell r="R469" t="str">
            <v>민화</v>
          </cell>
          <cell r="S469" t="str">
            <v>더컴퍼니</v>
          </cell>
        </row>
        <row r="470">
          <cell r="R470" t="str">
            <v>민화</v>
          </cell>
          <cell r="S470" t="str">
            <v>더컴퍼니</v>
          </cell>
        </row>
        <row r="471">
          <cell r="R471" t="str">
            <v>민화</v>
          </cell>
          <cell r="S471" t="str">
            <v>더컴퍼니</v>
          </cell>
        </row>
        <row r="472">
          <cell r="R472" t="str">
            <v>박시앙</v>
          </cell>
          <cell r="S472" t="str">
            <v>더컴퍼니</v>
          </cell>
        </row>
        <row r="473">
          <cell r="R473" t="str">
            <v>배추적</v>
          </cell>
          <cell r="S473" t="str">
            <v>더컴퍼니</v>
          </cell>
        </row>
        <row r="474">
          <cell r="R474" t="str">
            <v>배추적</v>
          </cell>
          <cell r="S474" t="str">
            <v>더컴퍼니</v>
          </cell>
        </row>
        <row r="475">
          <cell r="R475" t="str">
            <v>배추적</v>
          </cell>
          <cell r="S475" t="str">
            <v>더컴퍼니</v>
          </cell>
        </row>
        <row r="476">
          <cell r="R476" t="str">
            <v>배추적</v>
          </cell>
          <cell r="S476" t="str">
            <v>더컴퍼니</v>
          </cell>
        </row>
        <row r="477">
          <cell r="R477" t="str">
            <v>배추적</v>
          </cell>
          <cell r="S477" t="str">
            <v>더컴퍼니</v>
          </cell>
        </row>
        <row r="478">
          <cell r="R478" t="str">
            <v>배추적</v>
          </cell>
          <cell r="S478" t="str">
            <v>더컴퍼니</v>
          </cell>
        </row>
        <row r="479">
          <cell r="R479" t="str">
            <v>배추적</v>
          </cell>
          <cell r="S479" t="str">
            <v>더컴퍼니</v>
          </cell>
        </row>
        <row r="480">
          <cell r="R480" t="str">
            <v>벨</v>
          </cell>
          <cell r="S480" t="str">
            <v>더컴퍼니</v>
          </cell>
        </row>
        <row r="481">
          <cell r="R481" t="str">
            <v>벨</v>
          </cell>
          <cell r="S481" t="str">
            <v>더컴퍼니</v>
          </cell>
        </row>
        <row r="482">
          <cell r="R482" t="str">
            <v>벨</v>
          </cell>
          <cell r="S482" t="str">
            <v>더컴퍼니</v>
          </cell>
        </row>
        <row r="483">
          <cell r="R483" t="str">
            <v>벨</v>
          </cell>
          <cell r="S483" t="str">
            <v>더컴퍼니</v>
          </cell>
        </row>
        <row r="484">
          <cell r="R484" t="str">
            <v>벨</v>
          </cell>
          <cell r="S484" t="str">
            <v>더컴퍼니</v>
          </cell>
        </row>
        <row r="485">
          <cell r="R485" t="str">
            <v>벨</v>
          </cell>
          <cell r="S485" t="str">
            <v>더컴퍼니</v>
          </cell>
        </row>
        <row r="486">
          <cell r="R486" t="str">
            <v>벨</v>
          </cell>
          <cell r="S486" t="str">
            <v>더컴퍼니</v>
          </cell>
        </row>
        <row r="487">
          <cell r="R487" t="str">
            <v>벨</v>
          </cell>
          <cell r="S487" t="str">
            <v>더컴퍼니</v>
          </cell>
        </row>
        <row r="488">
          <cell r="R488" t="str">
            <v>벨</v>
          </cell>
          <cell r="S488" t="str">
            <v>더컴퍼니</v>
          </cell>
        </row>
        <row r="489">
          <cell r="R489" t="str">
            <v>벨</v>
          </cell>
          <cell r="S489" t="str">
            <v>더컴퍼니</v>
          </cell>
        </row>
        <row r="490">
          <cell r="R490" t="str">
            <v>벨</v>
          </cell>
          <cell r="S490" t="str">
            <v>더컴퍼니</v>
          </cell>
        </row>
        <row r="491">
          <cell r="R491" t="str">
            <v>벨</v>
          </cell>
          <cell r="S491" t="str">
            <v>더컴퍼니</v>
          </cell>
        </row>
        <row r="492">
          <cell r="R492" t="str">
            <v>벨</v>
          </cell>
          <cell r="S492" t="str">
            <v>더컴퍼니</v>
          </cell>
        </row>
        <row r="493">
          <cell r="R493" t="str">
            <v>벨</v>
          </cell>
          <cell r="S493" t="str">
            <v>더컴퍼니</v>
          </cell>
        </row>
        <row r="494">
          <cell r="R494" t="str">
            <v>벨</v>
          </cell>
          <cell r="S494" t="str">
            <v>더컴퍼니</v>
          </cell>
        </row>
        <row r="495">
          <cell r="R495" t="str">
            <v>벨</v>
          </cell>
          <cell r="S495" t="str">
            <v>더컴퍼니</v>
          </cell>
        </row>
        <row r="496">
          <cell r="R496" t="str">
            <v>벨</v>
          </cell>
          <cell r="S496" t="str">
            <v>더컴퍼니</v>
          </cell>
        </row>
        <row r="497">
          <cell r="R497" t="str">
            <v>벨</v>
          </cell>
          <cell r="S497" t="str">
            <v>더컴퍼니</v>
          </cell>
        </row>
        <row r="498">
          <cell r="R498" t="str">
            <v>벨</v>
          </cell>
          <cell r="S498" t="str">
            <v>더컴퍼니</v>
          </cell>
        </row>
        <row r="499">
          <cell r="R499" t="str">
            <v>벨</v>
          </cell>
          <cell r="S499" t="str">
            <v>더컴퍼니</v>
          </cell>
        </row>
        <row r="500">
          <cell r="R500" t="str">
            <v>벨</v>
          </cell>
          <cell r="S500" t="str">
            <v>더컴퍼니</v>
          </cell>
        </row>
        <row r="501">
          <cell r="R501" t="str">
            <v>벨벳해머</v>
          </cell>
          <cell r="S501" t="str">
            <v>더컴퍼니</v>
          </cell>
        </row>
        <row r="502">
          <cell r="R502" t="str">
            <v>벨벳해머(AreYOUok)</v>
          </cell>
          <cell r="S502" t="str">
            <v>더컴퍼니</v>
          </cell>
        </row>
        <row r="503">
          <cell r="R503" t="str">
            <v>사공설류</v>
          </cell>
          <cell r="S503" t="str">
            <v>더컴퍼니</v>
          </cell>
        </row>
        <row r="504">
          <cell r="R504" t="str">
            <v>사공설류</v>
          </cell>
          <cell r="S504" t="str">
            <v>더컴퍼니</v>
          </cell>
        </row>
        <row r="505">
          <cell r="R505" t="str">
            <v>사공설류</v>
          </cell>
          <cell r="S505" t="str">
            <v>더컴퍼니</v>
          </cell>
        </row>
        <row r="506">
          <cell r="R506" t="str">
            <v>사공설류</v>
          </cell>
          <cell r="S506" t="str">
            <v>더컴퍼니</v>
          </cell>
        </row>
        <row r="507">
          <cell r="R507" t="str">
            <v>사공설류</v>
          </cell>
          <cell r="S507" t="str">
            <v>더컴퍼니</v>
          </cell>
        </row>
        <row r="508">
          <cell r="R508" t="str">
            <v>사공설류</v>
          </cell>
          <cell r="S508" t="str">
            <v>더컴퍼니</v>
          </cell>
        </row>
        <row r="509">
          <cell r="R509" t="str">
            <v>사나림</v>
          </cell>
          <cell r="S509" t="str">
            <v>더컴퍼니</v>
          </cell>
        </row>
        <row r="510">
          <cell r="R510" t="str">
            <v>사나림</v>
          </cell>
          <cell r="S510" t="str">
            <v>더컴퍼니</v>
          </cell>
        </row>
        <row r="511">
          <cell r="R511" t="str">
            <v>사보</v>
          </cell>
          <cell r="S511" t="str">
            <v>더컴퍼니</v>
          </cell>
        </row>
        <row r="512">
          <cell r="R512" t="str">
            <v>사보</v>
          </cell>
          <cell r="S512" t="str">
            <v>더컴퍼니</v>
          </cell>
        </row>
        <row r="513">
          <cell r="R513" t="str">
            <v>사틴</v>
          </cell>
          <cell r="S513" t="str">
            <v>더컴퍼니</v>
          </cell>
        </row>
        <row r="514">
          <cell r="R514" t="str">
            <v>사틴</v>
          </cell>
          <cell r="S514" t="str">
            <v>더컴퍼니</v>
          </cell>
        </row>
        <row r="515">
          <cell r="R515" t="str">
            <v>사틴</v>
          </cell>
          <cell r="S515" t="str">
            <v>더컴퍼니</v>
          </cell>
        </row>
        <row r="516">
          <cell r="R516" t="str">
            <v>사틴</v>
          </cell>
          <cell r="S516" t="str">
            <v>더컴퍼니</v>
          </cell>
        </row>
        <row r="517">
          <cell r="R517" t="str">
            <v>서향</v>
          </cell>
          <cell r="S517" t="str">
            <v>더컴퍼니</v>
          </cell>
        </row>
        <row r="518">
          <cell r="R518" t="str">
            <v>서향</v>
          </cell>
          <cell r="S518" t="str">
            <v>더컴퍼니</v>
          </cell>
        </row>
        <row r="519">
          <cell r="R519" t="str">
            <v>서향</v>
          </cell>
          <cell r="S519" t="str">
            <v>더컴퍼니</v>
          </cell>
        </row>
        <row r="520">
          <cell r="R520" t="str">
            <v>서향</v>
          </cell>
          <cell r="S520" t="str">
            <v>더컴퍼니</v>
          </cell>
        </row>
        <row r="521">
          <cell r="R521" t="str">
            <v>서향</v>
          </cell>
          <cell r="S521" t="str">
            <v>더컴퍼니</v>
          </cell>
        </row>
        <row r="522">
          <cell r="R522" t="str">
            <v>서향</v>
          </cell>
          <cell r="S522" t="str">
            <v>더컴퍼니</v>
          </cell>
        </row>
        <row r="523">
          <cell r="R523" t="str">
            <v>서향</v>
          </cell>
          <cell r="S523" t="str">
            <v>더컴퍼니</v>
          </cell>
        </row>
        <row r="524">
          <cell r="R524" t="str">
            <v>서향</v>
          </cell>
          <cell r="S524" t="str">
            <v>더컴퍼니</v>
          </cell>
        </row>
        <row r="525">
          <cell r="R525" t="str">
            <v>설연</v>
          </cell>
          <cell r="S525" t="str">
            <v>더컴퍼니</v>
          </cell>
        </row>
        <row r="526">
          <cell r="R526" t="str">
            <v>설연</v>
          </cell>
          <cell r="S526" t="str">
            <v>더컴퍼니</v>
          </cell>
        </row>
        <row r="527">
          <cell r="R527" t="str">
            <v>성실</v>
          </cell>
          <cell r="S527" t="str">
            <v>더컴퍼니</v>
          </cell>
        </row>
        <row r="528">
          <cell r="R528" t="str">
            <v>성실</v>
          </cell>
          <cell r="S528" t="str">
            <v>더컴퍼니</v>
          </cell>
        </row>
        <row r="529">
          <cell r="R529" t="str">
            <v>성실</v>
          </cell>
          <cell r="S529" t="str">
            <v>더컴퍼니</v>
          </cell>
        </row>
        <row r="530">
          <cell r="R530" t="str">
            <v>성실</v>
          </cell>
          <cell r="S530" t="str">
            <v>더컴퍼니</v>
          </cell>
        </row>
        <row r="531">
          <cell r="R531" t="str">
            <v>시아</v>
          </cell>
          <cell r="S531" t="str">
            <v>더컴퍼니</v>
          </cell>
        </row>
        <row r="532">
          <cell r="R532" t="str">
            <v>시아</v>
          </cell>
          <cell r="S532" t="str">
            <v>더컴퍼니</v>
          </cell>
        </row>
        <row r="533">
          <cell r="R533" t="str">
            <v>시아</v>
          </cell>
          <cell r="S533" t="str">
            <v>더컴퍼니</v>
          </cell>
        </row>
        <row r="534">
          <cell r="R534" t="str">
            <v>시아</v>
          </cell>
          <cell r="S534" t="str">
            <v>더컴퍼니</v>
          </cell>
        </row>
        <row r="535">
          <cell r="R535" t="str">
            <v>시아</v>
          </cell>
          <cell r="S535" t="str">
            <v>더컴퍼니</v>
          </cell>
        </row>
        <row r="536">
          <cell r="R536" t="str">
            <v>시아</v>
          </cell>
          <cell r="S536" t="str">
            <v>더컴퍼니</v>
          </cell>
        </row>
        <row r="537">
          <cell r="R537" t="str">
            <v>시아</v>
          </cell>
          <cell r="S537" t="str">
            <v>더컴퍼니</v>
          </cell>
        </row>
        <row r="538">
          <cell r="R538" t="str">
            <v>시아</v>
          </cell>
          <cell r="S538" t="str">
            <v>더컴퍼니</v>
          </cell>
        </row>
        <row r="539">
          <cell r="R539" t="str">
            <v>시아</v>
          </cell>
          <cell r="S539" t="str">
            <v>더컴퍼니</v>
          </cell>
        </row>
        <row r="540">
          <cell r="R540" t="str">
            <v>시아</v>
          </cell>
          <cell r="S540" t="str">
            <v>더컴퍼니</v>
          </cell>
        </row>
        <row r="541">
          <cell r="R541" t="str">
            <v>신또&amp;곰</v>
          </cell>
          <cell r="S541" t="str">
            <v>더컴퍼니</v>
          </cell>
        </row>
        <row r="542">
          <cell r="R542" t="str">
            <v>신또&amp;곰</v>
          </cell>
          <cell r="S542" t="str">
            <v>더컴퍼니</v>
          </cell>
        </row>
        <row r="543">
          <cell r="R543" t="str">
            <v>알트파인</v>
          </cell>
          <cell r="S543" t="str">
            <v>더컴퍼니</v>
          </cell>
        </row>
        <row r="544">
          <cell r="R544" t="str">
            <v>알트파인</v>
          </cell>
          <cell r="S544" t="str">
            <v>더컴퍼니</v>
          </cell>
        </row>
        <row r="545">
          <cell r="R545" t="str">
            <v>알트파인</v>
          </cell>
          <cell r="S545" t="str">
            <v>더컴퍼니</v>
          </cell>
        </row>
        <row r="546">
          <cell r="R546" t="str">
            <v>알트파인</v>
          </cell>
          <cell r="S546" t="str">
            <v>더컴퍼니</v>
          </cell>
        </row>
        <row r="547">
          <cell r="R547" t="str">
            <v>어색어색열매</v>
          </cell>
          <cell r="S547" t="str">
            <v>더컴퍼니</v>
          </cell>
        </row>
        <row r="548">
          <cell r="R548" t="str">
            <v>어색어색열매</v>
          </cell>
          <cell r="S548" t="str">
            <v>더컴퍼니</v>
          </cell>
        </row>
        <row r="549">
          <cell r="R549" t="str">
            <v>어색어색열매</v>
          </cell>
          <cell r="S549" t="str">
            <v>더컴퍼니</v>
          </cell>
        </row>
        <row r="550">
          <cell r="R550" t="str">
            <v>어색어색열매</v>
          </cell>
          <cell r="S550" t="str">
            <v>더컴퍼니</v>
          </cell>
        </row>
        <row r="551">
          <cell r="R551" t="str">
            <v>여러해살이풀</v>
          </cell>
          <cell r="S551" t="str">
            <v>더컴퍼니</v>
          </cell>
        </row>
        <row r="552">
          <cell r="R552" t="str">
            <v>여러해살이풀</v>
          </cell>
          <cell r="S552" t="str">
            <v>더컴퍼니</v>
          </cell>
        </row>
        <row r="553">
          <cell r="R553" t="str">
            <v>여러해살이풀</v>
          </cell>
          <cell r="S553" t="str">
            <v>더컴퍼니</v>
          </cell>
        </row>
        <row r="554">
          <cell r="R554" t="str">
            <v>여러해살이풀</v>
          </cell>
          <cell r="S554" t="str">
            <v>더컴퍼니</v>
          </cell>
        </row>
        <row r="555">
          <cell r="R555" t="str">
            <v>여러해살이풀</v>
          </cell>
          <cell r="S555" t="str">
            <v>더컴퍼니</v>
          </cell>
        </row>
        <row r="556">
          <cell r="R556" t="str">
            <v>여러해살이풀</v>
          </cell>
          <cell r="S556" t="str">
            <v>더컴퍼니</v>
          </cell>
        </row>
        <row r="557">
          <cell r="R557" t="str">
            <v>연유</v>
          </cell>
          <cell r="S557" t="str">
            <v>더컴퍼니</v>
          </cell>
        </row>
        <row r="558">
          <cell r="R558" t="str">
            <v>연유</v>
          </cell>
          <cell r="S558" t="str">
            <v>더컴퍼니</v>
          </cell>
        </row>
        <row r="559">
          <cell r="R559" t="str">
            <v>연유</v>
          </cell>
          <cell r="S559" t="str">
            <v>더컴퍼니</v>
          </cell>
        </row>
        <row r="560">
          <cell r="R560" t="str">
            <v>연유</v>
          </cell>
          <cell r="S560" t="str">
            <v>더컴퍼니</v>
          </cell>
        </row>
        <row r="561">
          <cell r="R561" t="str">
            <v>연유</v>
          </cell>
          <cell r="S561" t="str">
            <v>더컴퍼니</v>
          </cell>
        </row>
        <row r="562">
          <cell r="R562" t="str">
            <v>연유</v>
          </cell>
          <cell r="S562" t="str">
            <v>더컴퍼니</v>
          </cell>
        </row>
        <row r="563">
          <cell r="R563" t="str">
            <v>연유</v>
          </cell>
          <cell r="S563" t="str">
            <v>더컴퍼니</v>
          </cell>
        </row>
        <row r="564">
          <cell r="R564" t="str">
            <v>연유</v>
          </cell>
          <cell r="S564" t="str">
            <v>더컴퍼니</v>
          </cell>
        </row>
        <row r="565">
          <cell r="R565" t="str">
            <v>연유</v>
          </cell>
          <cell r="S565" t="str">
            <v>더컴퍼니</v>
          </cell>
        </row>
        <row r="566">
          <cell r="R566" t="str">
            <v>연유</v>
          </cell>
          <cell r="S566" t="str">
            <v>더컴퍼니</v>
          </cell>
        </row>
        <row r="567">
          <cell r="R567" t="str">
            <v>연유</v>
          </cell>
          <cell r="S567" t="str">
            <v>더컴퍼니</v>
          </cell>
        </row>
        <row r="568">
          <cell r="R568" t="str">
            <v>연유</v>
          </cell>
          <cell r="S568" t="str">
            <v>더컴퍼니</v>
          </cell>
        </row>
        <row r="569">
          <cell r="R569" t="str">
            <v>연유</v>
          </cell>
          <cell r="S569" t="str">
            <v>더컴퍼니</v>
          </cell>
        </row>
        <row r="570">
          <cell r="R570" t="str">
            <v>연유</v>
          </cell>
          <cell r="S570" t="str">
            <v>더컴퍼니</v>
          </cell>
        </row>
        <row r="571">
          <cell r="R571" t="str">
            <v>연유</v>
          </cell>
          <cell r="S571" t="str">
            <v>더컴퍼니</v>
          </cell>
        </row>
        <row r="572">
          <cell r="R572" t="str">
            <v>연유</v>
          </cell>
          <cell r="S572" t="str">
            <v>더컴퍼니</v>
          </cell>
        </row>
        <row r="573">
          <cell r="R573" t="str">
            <v>연유</v>
          </cell>
          <cell r="S573" t="str">
            <v>더컴퍼니</v>
          </cell>
        </row>
        <row r="574">
          <cell r="R574" t="str">
            <v>연유</v>
          </cell>
          <cell r="S574" t="str">
            <v>더컴퍼니</v>
          </cell>
        </row>
        <row r="575">
          <cell r="R575" t="str">
            <v>연유</v>
          </cell>
          <cell r="S575" t="str">
            <v>더컴퍼니</v>
          </cell>
        </row>
        <row r="576">
          <cell r="R576" t="str">
            <v>연유</v>
          </cell>
          <cell r="S576" t="str">
            <v>더컴퍼니</v>
          </cell>
        </row>
        <row r="577">
          <cell r="R577" t="str">
            <v>연유</v>
          </cell>
          <cell r="S577" t="str">
            <v>더컴퍼니</v>
          </cell>
        </row>
        <row r="578">
          <cell r="R578" t="str">
            <v>연유</v>
          </cell>
          <cell r="S578" t="str">
            <v>더컴퍼니</v>
          </cell>
        </row>
        <row r="579">
          <cell r="R579" t="str">
            <v>연유</v>
          </cell>
          <cell r="S579" t="str">
            <v>더컴퍼니</v>
          </cell>
        </row>
        <row r="580">
          <cell r="R580" t="str">
            <v>연유</v>
          </cell>
          <cell r="S580" t="str">
            <v>더컴퍼니</v>
          </cell>
        </row>
        <row r="581">
          <cell r="R581" t="str">
            <v>연진서</v>
          </cell>
          <cell r="S581" t="str">
            <v>더컴퍼니</v>
          </cell>
        </row>
        <row r="582">
          <cell r="R582" t="str">
            <v>예파란</v>
          </cell>
          <cell r="S582" t="str">
            <v>더컴퍼니</v>
          </cell>
        </row>
        <row r="583">
          <cell r="R583" t="str">
            <v>예파란</v>
          </cell>
          <cell r="S583" t="str">
            <v>더컴퍼니</v>
          </cell>
        </row>
        <row r="584">
          <cell r="R584" t="str">
            <v>오산타</v>
          </cell>
          <cell r="S584" t="str">
            <v>더컴퍼니</v>
          </cell>
        </row>
        <row r="585">
          <cell r="R585" t="str">
            <v>오산타</v>
          </cell>
          <cell r="S585" t="str">
            <v>더컴퍼니</v>
          </cell>
        </row>
        <row r="586">
          <cell r="R586" t="str">
            <v>오산타</v>
          </cell>
          <cell r="S586" t="str">
            <v>더컴퍼니</v>
          </cell>
        </row>
        <row r="587">
          <cell r="R587" t="str">
            <v>오산타</v>
          </cell>
          <cell r="S587" t="str">
            <v>더컴퍼니</v>
          </cell>
        </row>
        <row r="588">
          <cell r="R588" t="str">
            <v>오산타</v>
          </cell>
          <cell r="S588" t="str">
            <v>더컴퍼니</v>
          </cell>
        </row>
        <row r="589">
          <cell r="R589" t="str">
            <v>오산타</v>
          </cell>
          <cell r="S589" t="str">
            <v>더컴퍼니</v>
          </cell>
        </row>
        <row r="590">
          <cell r="R590" t="str">
            <v>오산타</v>
          </cell>
          <cell r="S590" t="str">
            <v>더컴퍼니</v>
          </cell>
        </row>
        <row r="591">
          <cell r="R591" t="str">
            <v>오산타</v>
          </cell>
          <cell r="S591" t="str">
            <v>더컴퍼니</v>
          </cell>
        </row>
        <row r="592">
          <cell r="R592" t="str">
            <v>오산타</v>
          </cell>
          <cell r="S592" t="str">
            <v>더컴퍼니</v>
          </cell>
        </row>
        <row r="593">
          <cell r="R593" t="str">
            <v>오산타</v>
          </cell>
          <cell r="S593" t="str">
            <v>더컴퍼니</v>
          </cell>
        </row>
        <row r="594">
          <cell r="R594" t="str">
            <v>오산타</v>
          </cell>
          <cell r="S594" t="str">
            <v>더컴퍼니</v>
          </cell>
        </row>
        <row r="595">
          <cell r="R595" t="str">
            <v>용가리맛쿠키</v>
          </cell>
          <cell r="S595" t="str">
            <v>더컴퍼니</v>
          </cell>
        </row>
        <row r="596">
          <cell r="R596" t="str">
            <v>용가리맛쿠키</v>
          </cell>
          <cell r="S596" t="str">
            <v>더컴퍼니</v>
          </cell>
        </row>
        <row r="597">
          <cell r="R597" t="str">
            <v>용가리맛쿠키</v>
          </cell>
          <cell r="S597" t="str">
            <v>더컴퍼니</v>
          </cell>
        </row>
        <row r="598">
          <cell r="R598" t="str">
            <v>용가리맛쿠키</v>
          </cell>
          <cell r="S598" t="str">
            <v>더컴퍼니</v>
          </cell>
        </row>
        <row r="599">
          <cell r="R599" t="str">
            <v>용가리맛쿠키</v>
          </cell>
          <cell r="S599" t="str">
            <v>더컴퍼니</v>
          </cell>
        </row>
        <row r="600">
          <cell r="R600" t="str">
            <v>용가리맛쿠키</v>
          </cell>
          <cell r="S600" t="str">
            <v>더컴퍼니</v>
          </cell>
        </row>
        <row r="601">
          <cell r="R601" t="str">
            <v>용가리맛쿠키</v>
          </cell>
          <cell r="S601" t="str">
            <v>더컴퍼니</v>
          </cell>
        </row>
        <row r="602">
          <cell r="R602" t="str">
            <v>용가리맛쿠키</v>
          </cell>
          <cell r="S602" t="str">
            <v>더컴퍼니</v>
          </cell>
        </row>
        <row r="603">
          <cell r="R603" t="str">
            <v>용가리맛쿠키</v>
          </cell>
          <cell r="S603" t="str">
            <v>더컴퍼니</v>
          </cell>
        </row>
        <row r="604">
          <cell r="R604" t="str">
            <v>용가리맛쿠키</v>
          </cell>
          <cell r="S604" t="str">
            <v>더컴퍼니</v>
          </cell>
        </row>
        <row r="605">
          <cell r="R605" t="str">
            <v>용가리맛쿠키</v>
          </cell>
          <cell r="S605" t="str">
            <v>더컴퍼니</v>
          </cell>
        </row>
        <row r="606">
          <cell r="R606" t="str">
            <v>용가리맛쿠키</v>
          </cell>
          <cell r="S606" t="str">
            <v>더컴퍼니</v>
          </cell>
        </row>
        <row r="607">
          <cell r="R607" t="str">
            <v>용가리맛쿠키</v>
          </cell>
          <cell r="S607" t="str">
            <v>더컴퍼니</v>
          </cell>
        </row>
        <row r="608">
          <cell r="R608" t="str">
            <v>용가리맛쿠키</v>
          </cell>
          <cell r="S608" t="str">
            <v>더컴퍼니</v>
          </cell>
        </row>
        <row r="609">
          <cell r="R609" t="str">
            <v>용가리맛쿠키</v>
          </cell>
          <cell r="S609" t="str">
            <v>더컴퍼니</v>
          </cell>
        </row>
        <row r="610">
          <cell r="R610" t="str">
            <v>용가리맛쿠키</v>
          </cell>
          <cell r="S610" t="str">
            <v>더컴퍼니</v>
          </cell>
        </row>
        <row r="611">
          <cell r="R611" t="str">
            <v>용가리맛쿠키</v>
          </cell>
          <cell r="S611" t="str">
            <v>더컴퍼니</v>
          </cell>
        </row>
        <row r="612">
          <cell r="R612" t="str">
            <v>용가리맛쿠키</v>
          </cell>
          <cell r="S612" t="str">
            <v>더컴퍼니</v>
          </cell>
        </row>
        <row r="613">
          <cell r="R613" t="str">
            <v>용가리맛쿠키</v>
          </cell>
          <cell r="S613" t="str">
            <v>더컴퍼니</v>
          </cell>
        </row>
        <row r="614">
          <cell r="R614" t="str">
            <v>용가리맛쿠키</v>
          </cell>
          <cell r="S614" t="str">
            <v>더컴퍼니</v>
          </cell>
        </row>
        <row r="615">
          <cell r="R615" t="str">
            <v>용가리맛쿠키</v>
          </cell>
          <cell r="S615" t="str">
            <v>더컴퍼니</v>
          </cell>
        </row>
        <row r="616">
          <cell r="R616" t="str">
            <v>용가리맛쿠키</v>
          </cell>
          <cell r="S616" t="str">
            <v>더컴퍼니</v>
          </cell>
        </row>
        <row r="617">
          <cell r="R617" t="str">
            <v>용가리맛쿠키</v>
          </cell>
          <cell r="S617" t="str">
            <v>더컴퍼니</v>
          </cell>
        </row>
        <row r="618">
          <cell r="R618" t="str">
            <v>용가리맛쿠키</v>
          </cell>
          <cell r="S618" t="str">
            <v>더컴퍼니</v>
          </cell>
        </row>
        <row r="619">
          <cell r="R619" t="str">
            <v>용가리맛쿠키</v>
          </cell>
          <cell r="S619" t="str">
            <v>더컴퍼니</v>
          </cell>
        </row>
        <row r="620">
          <cell r="R620" t="str">
            <v>용가리맛쿠키</v>
          </cell>
          <cell r="S620" t="str">
            <v>더컴퍼니</v>
          </cell>
        </row>
        <row r="621">
          <cell r="R621" t="str">
            <v>용가리맛쿠키</v>
          </cell>
          <cell r="S621" t="str">
            <v>더컴퍼니</v>
          </cell>
        </row>
        <row r="622">
          <cell r="R622" t="str">
            <v>용가리맛쿠키</v>
          </cell>
          <cell r="S622" t="str">
            <v>더컴퍼니</v>
          </cell>
        </row>
        <row r="623">
          <cell r="R623" t="str">
            <v>용가리맛쿠키</v>
          </cell>
          <cell r="S623" t="str">
            <v>더컴퍼니</v>
          </cell>
        </row>
        <row r="624">
          <cell r="R624" t="str">
            <v>용가리맛쿠키</v>
          </cell>
          <cell r="S624" t="str">
            <v>더컴퍼니</v>
          </cell>
        </row>
        <row r="625">
          <cell r="R625" t="str">
            <v>용가리맛쿠키</v>
          </cell>
          <cell r="S625" t="str">
            <v>더컴퍼니</v>
          </cell>
        </row>
        <row r="626">
          <cell r="R626" t="str">
            <v>웨인</v>
          </cell>
          <cell r="S626" t="str">
            <v>더컴퍼니</v>
          </cell>
        </row>
        <row r="627">
          <cell r="R627" t="str">
            <v>웨인</v>
          </cell>
          <cell r="S627" t="str">
            <v>더컴퍼니</v>
          </cell>
        </row>
        <row r="628">
          <cell r="R628" t="str">
            <v>웨인</v>
          </cell>
          <cell r="S628" t="str">
            <v>더컴퍼니</v>
          </cell>
        </row>
        <row r="629">
          <cell r="R629" t="str">
            <v>유능</v>
          </cell>
          <cell r="S629" t="str">
            <v>더컴퍼니</v>
          </cell>
        </row>
        <row r="630">
          <cell r="R630" t="str">
            <v>유능</v>
          </cell>
          <cell r="S630" t="str">
            <v>더컴퍼니</v>
          </cell>
        </row>
        <row r="631">
          <cell r="R631" t="str">
            <v>유능</v>
          </cell>
          <cell r="S631" t="str">
            <v>더컴퍼니</v>
          </cell>
        </row>
        <row r="632">
          <cell r="R632" t="str">
            <v>유능</v>
          </cell>
          <cell r="S632" t="str">
            <v>더컴퍼니</v>
          </cell>
        </row>
        <row r="633">
          <cell r="R633" t="str">
            <v>유능</v>
          </cell>
          <cell r="S633" t="str">
            <v>더컴퍼니</v>
          </cell>
        </row>
        <row r="634">
          <cell r="R634" t="str">
            <v>유능</v>
          </cell>
          <cell r="S634" t="str">
            <v>더컴퍼니</v>
          </cell>
        </row>
        <row r="635">
          <cell r="R635" t="str">
            <v>윤연주 영어샘</v>
          </cell>
          <cell r="S635" t="str">
            <v>더컴퍼니</v>
          </cell>
        </row>
        <row r="636">
          <cell r="R636" t="str">
            <v>윤연주 영어샘</v>
          </cell>
          <cell r="S636" t="str">
            <v>더컴퍼니</v>
          </cell>
        </row>
        <row r="637">
          <cell r="R637" t="str">
            <v>이도경</v>
          </cell>
          <cell r="S637" t="str">
            <v>아크스튜디오</v>
          </cell>
        </row>
        <row r="638">
          <cell r="R638" t="str">
            <v>이도경</v>
          </cell>
          <cell r="S638" t="str">
            <v>아크스튜디오</v>
          </cell>
        </row>
        <row r="639">
          <cell r="R639" t="str">
            <v>이락</v>
          </cell>
          <cell r="S639" t="str">
            <v>더컴퍼니</v>
          </cell>
        </row>
        <row r="640">
          <cell r="R640" t="str">
            <v>이락</v>
          </cell>
          <cell r="S640" t="str">
            <v>더컴퍼니</v>
          </cell>
        </row>
        <row r="641">
          <cell r="R641" t="str">
            <v>이락</v>
          </cell>
          <cell r="S641" t="str">
            <v>더컴퍼니</v>
          </cell>
        </row>
        <row r="642">
          <cell r="R642" t="str">
            <v>이서윤</v>
          </cell>
          <cell r="S642" t="str">
            <v>더컴퍼니</v>
          </cell>
        </row>
        <row r="643">
          <cell r="R643" t="str">
            <v>이서윤</v>
          </cell>
          <cell r="S643" t="str">
            <v>더컴퍼니</v>
          </cell>
        </row>
        <row r="644">
          <cell r="R644" t="str">
            <v>이서윤</v>
          </cell>
          <cell r="S644" t="str">
            <v>더컴퍼니</v>
          </cell>
        </row>
        <row r="645">
          <cell r="R645" t="str">
            <v>이염</v>
          </cell>
          <cell r="S645" t="str">
            <v>더컴퍼니</v>
          </cell>
        </row>
        <row r="646">
          <cell r="R646" t="str">
            <v>이염</v>
          </cell>
          <cell r="S646" t="str">
            <v>더컴퍼니</v>
          </cell>
        </row>
        <row r="647">
          <cell r="R647" t="str">
            <v>이염</v>
          </cell>
          <cell r="S647" t="str">
            <v>더컴퍼니</v>
          </cell>
        </row>
        <row r="648">
          <cell r="R648" t="str">
            <v>이염</v>
          </cell>
          <cell r="S648" t="str">
            <v>더컴퍼니</v>
          </cell>
        </row>
        <row r="649">
          <cell r="R649" t="str">
            <v>이염</v>
          </cell>
          <cell r="S649" t="str">
            <v>더컴퍼니</v>
          </cell>
        </row>
        <row r="650">
          <cell r="R650" t="str">
            <v>이염</v>
          </cell>
          <cell r="S650" t="str">
            <v>더컴퍼니</v>
          </cell>
        </row>
        <row r="651">
          <cell r="R651" t="str">
            <v>이염</v>
          </cell>
          <cell r="S651" t="str">
            <v>더컴퍼니</v>
          </cell>
        </row>
        <row r="652">
          <cell r="R652" t="str">
            <v>이예즈</v>
          </cell>
          <cell r="S652" t="str">
            <v>더컴퍼니</v>
          </cell>
        </row>
        <row r="653">
          <cell r="R653" t="str">
            <v>이예즈</v>
          </cell>
          <cell r="S653" t="str">
            <v>더컴퍼니</v>
          </cell>
        </row>
        <row r="654">
          <cell r="R654" t="str">
            <v>이예즈</v>
          </cell>
          <cell r="S654" t="str">
            <v>더컴퍼니</v>
          </cell>
        </row>
        <row r="655">
          <cell r="R655" t="str">
            <v>이예즈</v>
          </cell>
          <cell r="S655" t="str">
            <v>더컴퍼니</v>
          </cell>
        </row>
        <row r="656">
          <cell r="R656" t="str">
            <v>이예즈</v>
          </cell>
          <cell r="S656" t="str">
            <v>더컴퍼니</v>
          </cell>
        </row>
        <row r="657">
          <cell r="R657" t="str">
            <v>이예즈</v>
          </cell>
          <cell r="S657" t="str">
            <v>더컴퍼니</v>
          </cell>
        </row>
        <row r="658">
          <cell r="R658" t="str">
            <v>이예즈</v>
          </cell>
          <cell r="S658" t="str">
            <v>더컴퍼니</v>
          </cell>
        </row>
        <row r="659">
          <cell r="R659" t="str">
            <v>이예즈</v>
          </cell>
          <cell r="S659" t="str">
            <v>더컴퍼니</v>
          </cell>
        </row>
        <row r="660">
          <cell r="R660" t="str">
            <v>이예즈</v>
          </cell>
          <cell r="S660" t="str">
            <v>더컴퍼니</v>
          </cell>
        </row>
        <row r="661">
          <cell r="R661" t="str">
            <v>이예즈</v>
          </cell>
          <cell r="S661" t="str">
            <v>더컴퍼니</v>
          </cell>
        </row>
        <row r="662">
          <cell r="R662" t="str">
            <v>이예즈</v>
          </cell>
          <cell r="S662" t="str">
            <v>더컴퍼니</v>
          </cell>
        </row>
        <row r="663">
          <cell r="R663" t="str">
            <v>이예즈</v>
          </cell>
          <cell r="S663" t="str">
            <v>더컴퍼니</v>
          </cell>
        </row>
        <row r="664">
          <cell r="R664" t="str">
            <v>이예즈</v>
          </cell>
          <cell r="S664" t="str">
            <v>더컴퍼니</v>
          </cell>
        </row>
        <row r="665">
          <cell r="R665" t="str">
            <v>이예즈</v>
          </cell>
          <cell r="S665" t="str">
            <v>더컴퍼니</v>
          </cell>
        </row>
        <row r="666">
          <cell r="R666" t="str">
            <v>이일화</v>
          </cell>
          <cell r="S666" t="str">
            <v>더컴퍼니</v>
          </cell>
        </row>
        <row r="667">
          <cell r="R667" t="str">
            <v>이일화</v>
          </cell>
          <cell r="S667" t="str">
            <v>더컴퍼니</v>
          </cell>
        </row>
        <row r="668">
          <cell r="R668" t="str">
            <v>임경배</v>
          </cell>
          <cell r="S668" t="str">
            <v>아크스튜디오</v>
          </cell>
        </row>
        <row r="669">
          <cell r="R669" t="str">
            <v>정(情)</v>
          </cell>
          <cell r="S669" t="str">
            <v>더컴퍼니</v>
          </cell>
        </row>
        <row r="670">
          <cell r="R670" t="str">
            <v>정(情)</v>
          </cell>
          <cell r="S670" t="str">
            <v>더컴퍼니</v>
          </cell>
        </row>
        <row r="671">
          <cell r="R671" t="str">
            <v>정(情)</v>
          </cell>
          <cell r="S671" t="str">
            <v>더컴퍼니</v>
          </cell>
        </row>
        <row r="672">
          <cell r="R672" t="str">
            <v>정(情)</v>
          </cell>
          <cell r="S672" t="str">
            <v>더컴퍼니</v>
          </cell>
        </row>
        <row r="673">
          <cell r="R673" t="str">
            <v>정감</v>
          </cell>
          <cell r="S673" t="str">
            <v>더컴퍼니</v>
          </cell>
        </row>
        <row r="674">
          <cell r="R674" t="str">
            <v>정감</v>
          </cell>
          <cell r="S674" t="str">
            <v>더컴퍼니</v>
          </cell>
        </row>
        <row r="675">
          <cell r="R675" t="str">
            <v>정감</v>
          </cell>
          <cell r="S675" t="str">
            <v>더컴퍼니</v>
          </cell>
        </row>
        <row r="676">
          <cell r="R676" t="str">
            <v>정감</v>
          </cell>
          <cell r="S676" t="str">
            <v>더컴퍼니</v>
          </cell>
        </row>
        <row r="677">
          <cell r="R677" t="str">
            <v>정감</v>
          </cell>
          <cell r="S677" t="str">
            <v>더컴퍼니</v>
          </cell>
        </row>
        <row r="678">
          <cell r="R678" t="str">
            <v>정감</v>
          </cell>
          <cell r="S678" t="str">
            <v>더컴퍼니</v>
          </cell>
        </row>
        <row r="679">
          <cell r="R679" t="str">
            <v>정감</v>
          </cell>
          <cell r="S679" t="str">
            <v>더컴퍼니</v>
          </cell>
        </row>
        <row r="680">
          <cell r="R680" t="str">
            <v>정감</v>
          </cell>
          <cell r="S680" t="str">
            <v>더컴퍼니</v>
          </cell>
        </row>
        <row r="681">
          <cell r="R681" t="str">
            <v>정민이</v>
          </cell>
          <cell r="S681" t="str">
            <v>더컴퍼니</v>
          </cell>
        </row>
        <row r="682">
          <cell r="R682" t="str">
            <v>정민이</v>
          </cell>
          <cell r="S682" t="str">
            <v>더컴퍼니</v>
          </cell>
        </row>
        <row r="683">
          <cell r="R683" t="str">
            <v>정시온</v>
          </cell>
          <cell r="S683" t="str">
            <v>더컴퍼니</v>
          </cell>
        </row>
        <row r="684">
          <cell r="R684" t="str">
            <v>정연서</v>
          </cell>
          <cell r="S684" t="str">
            <v>더컴퍼니</v>
          </cell>
        </row>
        <row r="685">
          <cell r="R685" t="str">
            <v>정연서</v>
          </cell>
          <cell r="S685" t="str">
            <v>더컴퍼니</v>
          </cell>
        </row>
        <row r="686">
          <cell r="R686" t="str">
            <v>정연서</v>
          </cell>
          <cell r="S686" t="str">
            <v>더컴퍼니</v>
          </cell>
        </row>
        <row r="687">
          <cell r="R687" t="str">
            <v>정연서</v>
          </cell>
          <cell r="S687" t="str">
            <v>더컴퍼니</v>
          </cell>
        </row>
        <row r="688">
          <cell r="R688" t="str">
            <v>정연서</v>
          </cell>
          <cell r="S688" t="str">
            <v>더컴퍼니</v>
          </cell>
        </row>
        <row r="689">
          <cell r="R689" t="str">
            <v>주해나</v>
          </cell>
          <cell r="S689" t="str">
            <v>더컴퍼니</v>
          </cell>
        </row>
        <row r="690">
          <cell r="R690" t="str">
            <v>주해나</v>
          </cell>
          <cell r="S690" t="str">
            <v>더컴퍼니</v>
          </cell>
        </row>
        <row r="691">
          <cell r="R691" t="str">
            <v>주해나</v>
          </cell>
          <cell r="S691" t="str">
            <v>더컴퍼니</v>
          </cell>
        </row>
        <row r="692">
          <cell r="R692" t="str">
            <v>주해나</v>
          </cell>
          <cell r="S692" t="str">
            <v>더컴퍼니</v>
          </cell>
        </row>
        <row r="693">
          <cell r="R693" t="str">
            <v>주해나</v>
          </cell>
          <cell r="S693" t="str">
            <v>더컴퍼니</v>
          </cell>
        </row>
        <row r="694">
          <cell r="R694" t="str">
            <v>주해나</v>
          </cell>
          <cell r="S694" t="str">
            <v>더컴퍼니</v>
          </cell>
        </row>
        <row r="695">
          <cell r="R695" t="str">
            <v>주해나</v>
          </cell>
          <cell r="S695" t="str">
            <v>더컴퍼니</v>
          </cell>
        </row>
        <row r="696">
          <cell r="R696" t="str">
            <v>주해나</v>
          </cell>
          <cell r="S696" t="str">
            <v>더컴퍼니</v>
          </cell>
        </row>
        <row r="697">
          <cell r="R697" t="str">
            <v>주해나</v>
          </cell>
          <cell r="S697" t="str">
            <v>더컴퍼니</v>
          </cell>
        </row>
        <row r="698">
          <cell r="R698" t="str">
            <v>주해나</v>
          </cell>
          <cell r="S698" t="str">
            <v>더컴퍼니</v>
          </cell>
        </row>
        <row r="699">
          <cell r="R699" t="str">
            <v>주해나</v>
          </cell>
          <cell r="S699" t="str">
            <v>더컴퍼니</v>
          </cell>
        </row>
        <row r="700">
          <cell r="R700" t="str">
            <v>주해나</v>
          </cell>
          <cell r="S700" t="str">
            <v>더컴퍼니</v>
          </cell>
        </row>
        <row r="701">
          <cell r="R701" t="str">
            <v>주해나</v>
          </cell>
          <cell r="S701" t="str">
            <v>더컴퍼니</v>
          </cell>
        </row>
        <row r="702">
          <cell r="R702" t="str">
            <v>주해나</v>
          </cell>
          <cell r="S702" t="str">
            <v>더컴퍼니</v>
          </cell>
        </row>
        <row r="703">
          <cell r="R703" t="str">
            <v>주해나</v>
          </cell>
          <cell r="S703" t="str">
            <v>더컴퍼니</v>
          </cell>
        </row>
        <row r="704">
          <cell r="R704" t="str">
            <v>주해나</v>
          </cell>
          <cell r="S704" t="str">
            <v>더컴퍼니</v>
          </cell>
        </row>
        <row r="705">
          <cell r="R705" t="str">
            <v>주해나</v>
          </cell>
          <cell r="S705" t="str">
            <v>더컴퍼니</v>
          </cell>
        </row>
        <row r="706">
          <cell r="R706" t="str">
            <v>중년바나나</v>
          </cell>
          <cell r="S706" t="str">
            <v>더컴퍼니</v>
          </cell>
        </row>
        <row r="707">
          <cell r="R707" t="str">
            <v>중년바나나</v>
          </cell>
          <cell r="S707" t="str">
            <v>더컴퍼니</v>
          </cell>
        </row>
        <row r="708">
          <cell r="R708" t="str">
            <v>중년바나나</v>
          </cell>
          <cell r="S708" t="str">
            <v>더컴퍼니</v>
          </cell>
        </row>
        <row r="709">
          <cell r="R709" t="str">
            <v>중년바나나</v>
          </cell>
          <cell r="S709" t="str">
            <v>더컴퍼니</v>
          </cell>
        </row>
        <row r="710">
          <cell r="R710" t="str">
            <v>중년바나나</v>
          </cell>
          <cell r="S710" t="str">
            <v>더컴퍼니</v>
          </cell>
        </row>
        <row r="711">
          <cell r="R711" t="str">
            <v>중년바나나</v>
          </cell>
          <cell r="S711" t="str">
            <v>더컴퍼니</v>
          </cell>
        </row>
        <row r="712">
          <cell r="R712" t="str">
            <v>중년바나나</v>
          </cell>
          <cell r="S712" t="str">
            <v>더컴퍼니</v>
          </cell>
        </row>
        <row r="713">
          <cell r="R713" t="str">
            <v>지니</v>
          </cell>
          <cell r="S713" t="str">
            <v>더컴퍼니</v>
          </cell>
        </row>
        <row r="714">
          <cell r="R714" t="str">
            <v>지니</v>
          </cell>
          <cell r="S714" t="str">
            <v>더컴퍼니</v>
          </cell>
        </row>
        <row r="715">
          <cell r="R715" t="str">
            <v>지니</v>
          </cell>
          <cell r="S715" t="str">
            <v>더컴퍼니</v>
          </cell>
        </row>
        <row r="716">
          <cell r="R716" t="str">
            <v>지니</v>
          </cell>
          <cell r="S716" t="str">
            <v>더컴퍼니</v>
          </cell>
        </row>
        <row r="717">
          <cell r="R717" t="str">
            <v>지니</v>
          </cell>
          <cell r="S717" t="str">
            <v>더컴퍼니</v>
          </cell>
        </row>
        <row r="718">
          <cell r="R718" t="str">
            <v>지니</v>
          </cell>
          <cell r="S718" t="str">
            <v>더컴퍼니</v>
          </cell>
        </row>
        <row r="719">
          <cell r="R719" t="str">
            <v>지니</v>
          </cell>
          <cell r="S719" t="str">
            <v>더컴퍼니</v>
          </cell>
        </row>
        <row r="720">
          <cell r="R720" t="str">
            <v>지니</v>
          </cell>
          <cell r="S720" t="str">
            <v>더컴퍼니</v>
          </cell>
        </row>
        <row r="721">
          <cell r="R721" t="str">
            <v>지니</v>
          </cell>
          <cell r="S721" t="str">
            <v>더컴퍼니</v>
          </cell>
        </row>
        <row r="722">
          <cell r="R722" t="str">
            <v>지니</v>
          </cell>
          <cell r="S722" t="str">
            <v>더컴퍼니</v>
          </cell>
        </row>
        <row r="723">
          <cell r="R723" t="str">
            <v>지니</v>
          </cell>
          <cell r="S723" t="str">
            <v>더컴퍼니</v>
          </cell>
        </row>
        <row r="724">
          <cell r="R724" t="str">
            <v>지니</v>
          </cell>
          <cell r="S724" t="str">
            <v>더컴퍼니</v>
          </cell>
        </row>
        <row r="725">
          <cell r="R725" t="str">
            <v>지니</v>
          </cell>
          <cell r="S725" t="str">
            <v>더컴퍼니</v>
          </cell>
        </row>
        <row r="726">
          <cell r="R726" t="str">
            <v>지니</v>
          </cell>
          <cell r="S726" t="str">
            <v>더컴퍼니</v>
          </cell>
        </row>
        <row r="727">
          <cell r="R727" t="str">
            <v>지니</v>
          </cell>
          <cell r="S727" t="str">
            <v>더컴퍼니</v>
          </cell>
        </row>
        <row r="728">
          <cell r="R728" t="str">
            <v>지니</v>
          </cell>
          <cell r="S728" t="str">
            <v>더컴퍼니</v>
          </cell>
        </row>
        <row r="729">
          <cell r="R729" t="str">
            <v>지니</v>
          </cell>
          <cell r="S729" t="str">
            <v>더컴퍼니</v>
          </cell>
        </row>
        <row r="730">
          <cell r="R730" t="str">
            <v>지니</v>
          </cell>
          <cell r="S730" t="str">
            <v>더컴퍼니</v>
          </cell>
        </row>
        <row r="731">
          <cell r="R731" t="str">
            <v>지니</v>
          </cell>
          <cell r="S731" t="str">
            <v>더컴퍼니</v>
          </cell>
        </row>
        <row r="732">
          <cell r="R732" t="str">
            <v>지니</v>
          </cell>
          <cell r="S732" t="str">
            <v>더컴퍼니</v>
          </cell>
        </row>
        <row r="733">
          <cell r="R733" t="str">
            <v>지니</v>
          </cell>
          <cell r="S733" t="str">
            <v>더컴퍼니</v>
          </cell>
        </row>
        <row r="734">
          <cell r="R734" t="str">
            <v>지니</v>
          </cell>
          <cell r="S734" t="str">
            <v>더컴퍼니</v>
          </cell>
        </row>
        <row r="735">
          <cell r="R735" t="str">
            <v>지니</v>
          </cell>
          <cell r="S735" t="str">
            <v>더컴퍼니</v>
          </cell>
        </row>
        <row r="736">
          <cell r="R736" t="str">
            <v>지니</v>
          </cell>
          <cell r="S736" t="str">
            <v>더컴퍼니</v>
          </cell>
        </row>
        <row r="737">
          <cell r="R737" t="str">
            <v>지니</v>
          </cell>
          <cell r="S737" t="str">
            <v>더컴퍼니</v>
          </cell>
        </row>
        <row r="738">
          <cell r="R738" t="str">
            <v>지니</v>
          </cell>
          <cell r="S738" t="str">
            <v>더컴퍼니</v>
          </cell>
        </row>
        <row r="739">
          <cell r="R739" t="str">
            <v>진도넛</v>
          </cell>
          <cell r="S739" t="str">
            <v>더컴퍼니</v>
          </cell>
        </row>
        <row r="740">
          <cell r="R740" t="str">
            <v>진도넛</v>
          </cell>
          <cell r="S740" t="str">
            <v>더컴퍼니</v>
          </cell>
        </row>
        <row r="741">
          <cell r="R741" t="str">
            <v>진유이</v>
          </cell>
          <cell r="S741" t="str">
            <v>더컴퍼니</v>
          </cell>
        </row>
        <row r="742">
          <cell r="R742" t="str">
            <v>진유이</v>
          </cell>
          <cell r="S742" t="str">
            <v>더컴퍼니</v>
          </cell>
        </row>
        <row r="743">
          <cell r="R743" t="str">
            <v>진태이</v>
          </cell>
          <cell r="S743" t="str">
            <v>더컴퍼니</v>
          </cell>
        </row>
        <row r="744">
          <cell r="R744" t="str">
            <v>진태이</v>
          </cell>
          <cell r="S744" t="str">
            <v>더컴퍼니</v>
          </cell>
        </row>
        <row r="745">
          <cell r="R745" t="str">
            <v>진태이</v>
          </cell>
          <cell r="S745" t="str">
            <v>더컴퍼니</v>
          </cell>
        </row>
        <row r="746">
          <cell r="R746" t="str">
            <v>진태이</v>
          </cell>
          <cell r="S746" t="str">
            <v>더컴퍼니</v>
          </cell>
        </row>
        <row r="747">
          <cell r="R747" t="str">
            <v>진태이</v>
          </cell>
          <cell r="S747" t="str">
            <v>더컴퍼니</v>
          </cell>
        </row>
        <row r="748">
          <cell r="R748" t="str">
            <v>채플린</v>
          </cell>
          <cell r="S748" t="str">
            <v>더컴퍼니</v>
          </cell>
        </row>
        <row r="749">
          <cell r="R749" t="str">
            <v>채플린</v>
          </cell>
          <cell r="S749" t="str">
            <v>더컴퍼니</v>
          </cell>
        </row>
        <row r="750">
          <cell r="R750" t="str">
            <v>채플린</v>
          </cell>
          <cell r="S750" t="str">
            <v>더컴퍼니</v>
          </cell>
        </row>
        <row r="751">
          <cell r="R751" t="str">
            <v>채플린</v>
          </cell>
          <cell r="S751" t="str">
            <v>더컴퍼니</v>
          </cell>
        </row>
        <row r="752">
          <cell r="R752" t="str">
            <v>채플린</v>
          </cell>
          <cell r="S752" t="str">
            <v>더컴퍼니</v>
          </cell>
        </row>
        <row r="753">
          <cell r="R753" t="str">
            <v>채플린</v>
          </cell>
          <cell r="S753" t="str">
            <v>더컴퍼니</v>
          </cell>
        </row>
        <row r="754">
          <cell r="R754" t="str">
            <v>채플린</v>
          </cell>
          <cell r="S754" t="str">
            <v>더컴퍼니</v>
          </cell>
        </row>
        <row r="755">
          <cell r="R755" t="str">
            <v>채플린</v>
          </cell>
          <cell r="S755" t="str">
            <v>더컴퍼니</v>
          </cell>
        </row>
        <row r="756">
          <cell r="R756" t="str">
            <v>채플린</v>
          </cell>
          <cell r="S756" t="str">
            <v>더컴퍼니</v>
          </cell>
        </row>
        <row r="757">
          <cell r="R757" t="str">
            <v>채플린</v>
          </cell>
          <cell r="S757" t="str">
            <v>더컴퍼니</v>
          </cell>
        </row>
        <row r="758">
          <cell r="R758" t="str">
            <v>채플린</v>
          </cell>
          <cell r="S758" t="str">
            <v>더컴퍼니</v>
          </cell>
        </row>
        <row r="759">
          <cell r="R759" t="str">
            <v>채플린</v>
          </cell>
          <cell r="S759" t="str">
            <v>더컴퍼니</v>
          </cell>
        </row>
        <row r="760">
          <cell r="R760" t="str">
            <v>최강주</v>
          </cell>
          <cell r="S760" t="str">
            <v>더컴퍼니</v>
          </cell>
        </row>
        <row r="761">
          <cell r="R761" t="str">
            <v>최강주</v>
          </cell>
          <cell r="S761" t="str">
            <v>더컴퍼니</v>
          </cell>
        </row>
        <row r="762">
          <cell r="R762" t="str">
            <v>최강주</v>
          </cell>
          <cell r="S762" t="str">
            <v>더컴퍼니</v>
          </cell>
        </row>
        <row r="763">
          <cell r="R763" t="str">
            <v>최강주</v>
          </cell>
          <cell r="S763" t="str">
            <v>더컴퍼니</v>
          </cell>
        </row>
        <row r="764">
          <cell r="R764" t="str">
            <v>최소영</v>
          </cell>
          <cell r="S764" t="str">
            <v>더컴퍼니</v>
          </cell>
        </row>
        <row r="765">
          <cell r="R765" t="str">
            <v>최소영</v>
          </cell>
          <cell r="S765" t="str">
            <v>더컴퍼니</v>
          </cell>
        </row>
        <row r="766">
          <cell r="R766" t="str">
            <v>최재봉</v>
          </cell>
          <cell r="S766" t="str">
            <v>에필로그</v>
          </cell>
        </row>
        <row r="767">
          <cell r="R767" t="str">
            <v>최재봉</v>
          </cell>
          <cell r="S767" t="str">
            <v>에필로그</v>
          </cell>
        </row>
        <row r="768">
          <cell r="R768" t="str">
            <v>최재봉</v>
          </cell>
          <cell r="S768" t="str">
            <v>에필로그</v>
          </cell>
        </row>
        <row r="769">
          <cell r="R769" t="str">
            <v>최재봉</v>
          </cell>
          <cell r="S769" t="str">
            <v>에필로그</v>
          </cell>
        </row>
        <row r="770">
          <cell r="R770" t="str">
            <v>최재봉</v>
          </cell>
          <cell r="S770" t="str">
            <v>에필로그</v>
          </cell>
        </row>
        <row r="771">
          <cell r="R771" t="str">
            <v>최재봉</v>
          </cell>
          <cell r="S771" t="str">
            <v>에필로그</v>
          </cell>
        </row>
        <row r="772">
          <cell r="R772" t="str">
            <v>최재봉</v>
          </cell>
          <cell r="S772" t="str">
            <v>에필로그</v>
          </cell>
        </row>
        <row r="773">
          <cell r="R773" t="str">
            <v>최재봉</v>
          </cell>
          <cell r="S773" t="str">
            <v>에필로그</v>
          </cell>
        </row>
        <row r="774">
          <cell r="R774" t="str">
            <v>최재봉</v>
          </cell>
          <cell r="S774" t="str">
            <v>에필로그</v>
          </cell>
        </row>
        <row r="775">
          <cell r="R775" t="str">
            <v>최재봉</v>
          </cell>
          <cell r="S775" t="str">
            <v>에필로그</v>
          </cell>
        </row>
        <row r="776">
          <cell r="R776" t="str">
            <v>최재봉</v>
          </cell>
          <cell r="S776" t="str">
            <v>에필로그</v>
          </cell>
        </row>
        <row r="777">
          <cell r="R777" t="str">
            <v>최재봉</v>
          </cell>
          <cell r="S777" t="str">
            <v>에필로그</v>
          </cell>
        </row>
        <row r="778">
          <cell r="R778" t="str">
            <v>최재봉</v>
          </cell>
          <cell r="S778" t="str">
            <v>에필로그</v>
          </cell>
        </row>
        <row r="779">
          <cell r="R779" t="str">
            <v>최재봉</v>
          </cell>
          <cell r="S779" t="str">
            <v>에필로그</v>
          </cell>
        </row>
        <row r="780">
          <cell r="R780" t="str">
            <v>최재봉</v>
          </cell>
          <cell r="S780" t="str">
            <v>에필로그</v>
          </cell>
        </row>
        <row r="781">
          <cell r="R781" t="str">
            <v>최재봉</v>
          </cell>
          <cell r="S781" t="str">
            <v>에필로그</v>
          </cell>
        </row>
        <row r="782">
          <cell r="R782" t="str">
            <v>최재봉</v>
          </cell>
          <cell r="S782" t="str">
            <v>에필로그</v>
          </cell>
        </row>
        <row r="783">
          <cell r="R783" t="str">
            <v>최재봉</v>
          </cell>
          <cell r="S783" t="str">
            <v>에필로그</v>
          </cell>
        </row>
        <row r="784">
          <cell r="R784" t="str">
            <v>최재봉</v>
          </cell>
          <cell r="S784" t="str">
            <v>에필로그</v>
          </cell>
        </row>
        <row r="785">
          <cell r="R785" t="str">
            <v>최재봉</v>
          </cell>
          <cell r="S785" t="str">
            <v>에필로그</v>
          </cell>
        </row>
        <row r="786">
          <cell r="R786" t="str">
            <v>최재봉</v>
          </cell>
          <cell r="S786" t="str">
            <v>에필로그</v>
          </cell>
        </row>
        <row r="787">
          <cell r="R787" t="str">
            <v>최재봉</v>
          </cell>
          <cell r="S787" t="str">
            <v>에필로그</v>
          </cell>
        </row>
        <row r="788">
          <cell r="R788" t="str">
            <v>최재봉</v>
          </cell>
          <cell r="S788" t="str">
            <v>에필로그</v>
          </cell>
        </row>
        <row r="789">
          <cell r="R789" t="str">
            <v>최재봉</v>
          </cell>
          <cell r="S789" t="str">
            <v>에필로그</v>
          </cell>
        </row>
        <row r="790">
          <cell r="R790" t="str">
            <v>최재봉</v>
          </cell>
          <cell r="S790" t="str">
            <v>에필로그</v>
          </cell>
        </row>
        <row r="791">
          <cell r="R791" t="str">
            <v>최재봉</v>
          </cell>
          <cell r="S791" t="str">
            <v>에필로그</v>
          </cell>
        </row>
        <row r="792">
          <cell r="R792" t="str">
            <v>최재봉</v>
          </cell>
          <cell r="S792" t="str">
            <v>에필로그</v>
          </cell>
        </row>
        <row r="793">
          <cell r="R793" t="str">
            <v>최재봉</v>
          </cell>
          <cell r="S793" t="str">
            <v>에필로그</v>
          </cell>
        </row>
        <row r="794">
          <cell r="R794" t="str">
            <v>최재봉</v>
          </cell>
          <cell r="S794" t="str">
            <v>에필로그</v>
          </cell>
        </row>
        <row r="795">
          <cell r="R795" t="str">
            <v>최재봉</v>
          </cell>
          <cell r="S795" t="str">
            <v>에필로그</v>
          </cell>
        </row>
        <row r="796">
          <cell r="R796" t="str">
            <v>최재봉</v>
          </cell>
          <cell r="S796" t="str">
            <v>에필로그</v>
          </cell>
        </row>
        <row r="797">
          <cell r="R797" t="str">
            <v>최재봉</v>
          </cell>
          <cell r="S797" t="str">
            <v>에필로그</v>
          </cell>
        </row>
        <row r="798">
          <cell r="R798" t="str">
            <v>최재봉</v>
          </cell>
          <cell r="S798" t="str">
            <v>에필로그</v>
          </cell>
        </row>
        <row r="799">
          <cell r="R799" t="str">
            <v>최재봉</v>
          </cell>
          <cell r="S799" t="str">
            <v>에필로그</v>
          </cell>
        </row>
        <row r="800">
          <cell r="R800" t="str">
            <v>최재봉</v>
          </cell>
          <cell r="S800" t="str">
            <v>에필로그</v>
          </cell>
        </row>
        <row r="801">
          <cell r="R801" t="str">
            <v>최재봉</v>
          </cell>
          <cell r="S801" t="str">
            <v>에필로그</v>
          </cell>
        </row>
        <row r="802">
          <cell r="R802" t="str">
            <v>최재봉</v>
          </cell>
          <cell r="S802" t="str">
            <v>에필로그</v>
          </cell>
        </row>
        <row r="803">
          <cell r="R803" t="str">
            <v>최재봉</v>
          </cell>
          <cell r="S803" t="str">
            <v>에필로그</v>
          </cell>
        </row>
        <row r="804">
          <cell r="R804" t="str">
            <v>최재봉</v>
          </cell>
          <cell r="S804" t="str">
            <v>에필로그</v>
          </cell>
        </row>
        <row r="805">
          <cell r="R805" t="str">
            <v>최재봉</v>
          </cell>
          <cell r="S805" t="str">
            <v>에필로그</v>
          </cell>
        </row>
        <row r="806">
          <cell r="R806" t="str">
            <v>최재봉</v>
          </cell>
          <cell r="S806" t="str">
            <v>에필로그</v>
          </cell>
        </row>
        <row r="807">
          <cell r="R807" t="str">
            <v>최재봉</v>
          </cell>
          <cell r="S807" t="str">
            <v>에필로그</v>
          </cell>
        </row>
        <row r="808">
          <cell r="R808" t="str">
            <v>최재봉</v>
          </cell>
          <cell r="S808" t="str">
            <v>에필로그</v>
          </cell>
        </row>
        <row r="809">
          <cell r="R809" t="str">
            <v>최재봉</v>
          </cell>
          <cell r="S809" t="str">
            <v>에필로그</v>
          </cell>
        </row>
        <row r="810">
          <cell r="R810" t="str">
            <v>최재봉</v>
          </cell>
          <cell r="S810" t="str">
            <v>에필로그</v>
          </cell>
        </row>
        <row r="811">
          <cell r="R811" t="str">
            <v>최재봉</v>
          </cell>
          <cell r="S811" t="str">
            <v>에필로그</v>
          </cell>
        </row>
        <row r="812">
          <cell r="R812" t="str">
            <v>최재봉</v>
          </cell>
          <cell r="S812" t="str">
            <v>에필로그</v>
          </cell>
        </row>
        <row r="813">
          <cell r="R813" t="str">
            <v>최재봉</v>
          </cell>
          <cell r="S813" t="str">
            <v>에필로그</v>
          </cell>
        </row>
        <row r="814">
          <cell r="R814" t="str">
            <v>최재봉</v>
          </cell>
          <cell r="S814" t="str">
            <v>에필로그</v>
          </cell>
        </row>
        <row r="815">
          <cell r="R815" t="str">
            <v>최재봉</v>
          </cell>
          <cell r="S815" t="str">
            <v>에필로그</v>
          </cell>
        </row>
        <row r="816">
          <cell r="R816" t="str">
            <v>최재봉</v>
          </cell>
          <cell r="S816" t="str">
            <v>에필로그</v>
          </cell>
        </row>
        <row r="817">
          <cell r="R817" t="str">
            <v>최재봉</v>
          </cell>
          <cell r="S817" t="str">
            <v>에필로그</v>
          </cell>
        </row>
        <row r="818">
          <cell r="R818" t="str">
            <v>카나슈</v>
          </cell>
          <cell r="S818" t="str">
            <v>더컴퍼니</v>
          </cell>
        </row>
        <row r="819">
          <cell r="R819" t="str">
            <v>카나슈</v>
          </cell>
          <cell r="S819" t="str">
            <v>더컴퍼니</v>
          </cell>
        </row>
        <row r="820">
          <cell r="R820" t="str">
            <v>카나슈</v>
          </cell>
          <cell r="S820" t="str">
            <v>더컴퍼니</v>
          </cell>
        </row>
        <row r="821">
          <cell r="R821" t="str">
            <v>카나슈</v>
          </cell>
          <cell r="S821" t="str">
            <v>더컴퍼니</v>
          </cell>
        </row>
        <row r="822">
          <cell r="R822" t="str">
            <v>카에트</v>
          </cell>
          <cell r="S822" t="str">
            <v>더컴퍼니</v>
          </cell>
        </row>
        <row r="823">
          <cell r="R823" t="str">
            <v>카에트</v>
          </cell>
          <cell r="S823" t="str">
            <v>더컴퍼니</v>
          </cell>
        </row>
        <row r="824">
          <cell r="R824" t="str">
            <v>쿠노Kuno</v>
          </cell>
          <cell r="S824" t="str">
            <v>더컴퍼니</v>
          </cell>
        </row>
        <row r="825">
          <cell r="R825" t="str">
            <v>쿠노Kuno</v>
          </cell>
          <cell r="S825" t="str">
            <v>더컴퍼니</v>
          </cell>
        </row>
        <row r="826">
          <cell r="R826" t="str">
            <v>키도</v>
          </cell>
          <cell r="S826" t="str">
            <v>더컴퍼니</v>
          </cell>
        </row>
        <row r="827">
          <cell r="R827" t="str">
            <v>키도</v>
          </cell>
          <cell r="S827" t="str">
            <v>더컴퍼니</v>
          </cell>
        </row>
        <row r="828">
          <cell r="R828" t="str">
            <v>키도</v>
          </cell>
          <cell r="S828" t="str">
            <v>더컴퍼니</v>
          </cell>
        </row>
        <row r="829">
          <cell r="R829" t="str">
            <v>키도</v>
          </cell>
          <cell r="S829" t="str">
            <v>더컴퍼니</v>
          </cell>
        </row>
        <row r="830">
          <cell r="R830" t="str">
            <v>키도</v>
          </cell>
          <cell r="S830" t="str">
            <v>더컴퍼니</v>
          </cell>
        </row>
        <row r="831">
          <cell r="R831" t="str">
            <v>키도</v>
          </cell>
          <cell r="S831" t="str">
            <v>더컴퍼니</v>
          </cell>
        </row>
        <row r="832">
          <cell r="R832" t="str">
            <v>키도</v>
          </cell>
          <cell r="S832" t="str">
            <v>더컴퍼니</v>
          </cell>
        </row>
        <row r="833">
          <cell r="R833" t="str">
            <v>키도</v>
          </cell>
          <cell r="S833" t="str">
            <v>더컴퍼니</v>
          </cell>
        </row>
        <row r="834">
          <cell r="R834" t="str">
            <v>키도</v>
          </cell>
          <cell r="S834" t="str">
            <v>더컴퍼니</v>
          </cell>
        </row>
        <row r="835">
          <cell r="R835" t="str">
            <v>키도</v>
          </cell>
          <cell r="S835" t="str">
            <v>더컴퍼니</v>
          </cell>
        </row>
        <row r="836">
          <cell r="R836" t="str">
            <v>키도</v>
          </cell>
          <cell r="S836" t="str">
            <v>더컴퍼니</v>
          </cell>
        </row>
        <row r="837">
          <cell r="R837" t="str">
            <v>키도</v>
          </cell>
          <cell r="S837" t="str">
            <v>더컴퍼니</v>
          </cell>
        </row>
        <row r="838">
          <cell r="R838" t="str">
            <v>키도</v>
          </cell>
          <cell r="S838" t="str">
            <v>더컴퍼니</v>
          </cell>
        </row>
        <row r="839">
          <cell r="R839" t="str">
            <v>키도</v>
          </cell>
          <cell r="S839" t="str">
            <v>더컴퍼니</v>
          </cell>
        </row>
        <row r="840">
          <cell r="R840" t="str">
            <v>키도</v>
          </cell>
          <cell r="S840" t="str">
            <v>더컴퍼니</v>
          </cell>
        </row>
        <row r="841">
          <cell r="R841" t="str">
            <v>키도</v>
          </cell>
          <cell r="S841" t="str">
            <v>더컴퍼니</v>
          </cell>
        </row>
        <row r="842">
          <cell r="R842" t="str">
            <v>키도</v>
          </cell>
          <cell r="S842" t="str">
            <v>더컴퍼니</v>
          </cell>
        </row>
        <row r="843">
          <cell r="R843" t="str">
            <v>키도</v>
          </cell>
          <cell r="S843" t="str">
            <v>더컴퍼니</v>
          </cell>
        </row>
        <row r="844">
          <cell r="R844" t="str">
            <v>키도</v>
          </cell>
          <cell r="S844" t="str">
            <v>더컴퍼니</v>
          </cell>
        </row>
        <row r="845">
          <cell r="R845" t="str">
            <v>키도</v>
          </cell>
          <cell r="S845" t="str">
            <v>더컴퍼니</v>
          </cell>
        </row>
        <row r="846">
          <cell r="R846" t="str">
            <v>키도</v>
          </cell>
          <cell r="S846" t="str">
            <v>더컴퍼니</v>
          </cell>
        </row>
        <row r="847">
          <cell r="R847" t="str">
            <v>키도</v>
          </cell>
          <cell r="S847" t="str">
            <v>더컴퍼니</v>
          </cell>
        </row>
        <row r="848">
          <cell r="R848" t="str">
            <v>키도</v>
          </cell>
          <cell r="S848" t="str">
            <v>더컴퍼니</v>
          </cell>
        </row>
        <row r="849">
          <cell r="R849" t="str">
            <v>키도</v>
          </cell>
          <cell r="S849" t="str">
            <v>더컴퍼니</v>
          </cell>
        </row>
        <row r="850">
          <cell r="R850" t="str">
            <v>키도</v>
          </cell>
          <cell r="S850" t="str">
            <v>더컴퍼니</v>
          </cell>
        </row>
        <row r="851">
          <cell r="R851" t="str">
            <v>키도</v>
          </cell>
          <cell r="S851" t="str">
            <v>더컴퍼니</v>
          </cell>
        </row>
        <row r="852">
          <cell r="R852" t="str">
            <v>키도</v>
          </cell>
          <cell r="S852" t="str">
            <v>더컴퍼니</v>
          </cell>
        </row>
        <row r="853">
          <cell r="R853" t="str">
            <v>키도</v>
          </cell>
          <cell r="S853" t="str">
            <v>더컴퍼니</v>
          </cell>
        </row>
        <row r="854">
          <cell r="R854" t="str">
            <v>키도</v>
          </cell>
          <cell r="S854" t="str">
            <v>더컴퍼니</v>
          </cell>
        </row>
        <row r="855">
          <cell r="R855" t="str">
            <v>키도</v>
          </cell>
          <cell r="S855" t="str">
            <v>더컴퍼니</v>
          </cell>
        </row>
        <row r="856">
          <cell r="R856" t="str">
            <v>키도</v>
          </cell>
          <cell r="S856" t="str">
            <v>더컴퍼니</v>
          </cell>
        </row>
        <row r="857">
          <cell r="R857" t="str">
            <v>키도</v>
          </cell>
          <cell r="S857" t="str">
            <v>더컴퍼니</v>
          </cell>
        </row>
        <row r="858">
          <cell r="R858" t="str">
            <v>키도</v>
          </cell>
          <cell r="S858" t="str">
            <v>더컴퍼니</v>
          </cell>
        </row>
        <row r="859">
          <cell r="R859" t="str">
            <v>키도</v>
          </cell>
          <cell r="S859" t="str">
            <v>더컴퍼니</v>
          </cell>
        </row>
        <row r="860">
          <cell r="R860" t="str">
            <v>키도</v>
          </cell>
          <cell r="S860" t="str">
            <v>더컴퍼니</v>
          </cell>
        </row>
        <row r="861">
          <cell r="R861" t="str">
            <v>키도</v>
          </cell>
          <cell r="S861" t="str">
            <v>더컴퍼니</v>
          </cell>
        </row>
        <row r="862">
          <cell r="R862" t="str">
            <v>키도</v>
          </cell>
          <cell r="S862" t="str">
            <v>더컴퍼니</v>
          </cell>
        </row>
        <row r="863">
          <cell r="R863" t="str">
            <v>키도</v>
          </cell>
          <cell r="S863" t="str">
            <v>더컴퍼니</v>
          </cell>
        </row>
        <row r="864">
          <cell r="R864" t="str">
            <v>키도</v>
          </cell>
          <cell r="S864" t="str">
            <v>더컴퍼니</v>
          </cell>
        </row>
        <row r="865">
          <cell r="R865" t="str">
            <v>키도</v>
          </cell>
          <cell r="S865" t="str">
            <v>더컴퍼니</v>
          </cell>
        </row>
        <row r="866">
          <cell r="R866" t="str">
            <v>키도</v>
          </cell>
          <cell r="S866" t="str">
            <v>더컴퍼니</v>
          </cell>
        </row>
        <row r="867">
          <cell r="R867" t="str">
            <v>키도</v>
          </cell>
          <cell r="S867" t="str">
            <v>더컴퍼니</v>
          </cell>
        </row>
        <row r="868">
          <cell r="R868" t="str">
            <v>키도</v>
          </cell>
          <cell r="S868" t="str">
            <v>더컴퍼니</v>
          </cell>
        </row>
        <row r="869">
          <cell r="R869" t="str">
            <v>키도</v>
          </cell>
          <cell r="S869" t="str">
            <v>더컴퍼니</v>
          </cell>
        </row>
        <row r="870">
          <cell r="R870" t="str">
            <v>키도</v>
          </cell>
          <cell r="S870" t="str">
            <v>더컴퍼니</v>
          </cell>
        </row>
        <row r="871">
          <cell r="R871" t="str">
            <v>키도</v>
          </cell>
          <cell r="S871" t="str">
            <v>더컴퍼니</v>
          </cell>
        </row>
        <row r="872">
          <cell r="R872" t="str">
            <v>키도</v>
          </cell>
          <cell r="S872" t="str">
            <v>더컴퍼니</v>
          </cell>
        </row>
        <row r="873">
          <cell r="R873" t="str">
            <v>泰龍</v>
          </cell>
          <cell r="S873" t="str">
            <v>더컴퍼니</v>
          </cell>
        </row>
        <row r="874">
          <cell r="R874" t="str">
            <v>토돌</v>
          </cell>
          <cell r="S874" t="str">
            <v>아크스튜디오</v>
          </cell>
        </row>
        <row r="875">
          <cell r="R875" t="str">
            <v>토돌</v>
          </cell>
          <cell r="S875" t="str">
            <v>아크스튜디오</v>
          </cell>
        </row>
        <row r="876">
          <cell r="R876" t="str">
            <v>토돌</v>
          </cell>
          <cell r="S876" t="str">
            <v>아크스튜디오</v>
          </cell>
        </row>
        <row r="877">
          <cell r="R877" t="str">
            <v>투즈</v>
          </cell>
          <cell r="S877" t="str">
            <v>더컴퍼니</v>
          </cell>
        </row>
        <row r="878">
          <cell r="R878" t="str">
            <v>투즈</v>
          </cell>
          <cell r="S878" t="str">
            <v>더컴퍼니</v>
          </cell>
        </row>
        <row r="879">
          <cell r="R879" t="str">
            <v>투즈</v>
          </cell>
          <cell r="S879" t="str">
            <v>더컴퍼니</v>
          </cell>
        </row>
        <row r="880">
          <cell r="R880" t="str">
            <v>투즈</v>
          </cell>
          <cell r="S880" t="str">
            <v>더컴퍼니</v>
          </cell>
        </row>
        <row r="881">
          <cell r="R881" t="str">
            <v>파르소</v>
          </cell>
          <cell r="S881" t="str">
            <v>더컴퍼니</v>
          </cell>
        </row>
        <row r="882">
          <cell r="R882" t="str">
            <v>파르소</v>
          </cell>
          <cell r="S882" t="str">
            <v>더컴퍼니</v>
          </cell>
        </row>
        <row r="883">
          <cell r="R883" t="str">
            <v>파르소</v>
          </cell>
          <cell r="S883" t="str">
            <v>더컴퍼니</v>
          </cell>
        </row>
        <row r="884">
          <cell r="R884" t="str">
            <v>파르소</v>
          </cell>
          <cell r="S884" t="str">
            <v>더컴퍼니</v>
          </cell>
        </row>
        <row r="885">
          <cell r="R885" t="str">
            <v>파씨</v>
          </cell>
          <cell r="S885" t="str">
            <v>더컴퍼니</v>
          </cell>
        </row>
        <row r="886">
          <cell r="R886" t="str">
            <v>파씨</v>
          </cell>
          <cell r="S886" t="str">
            <v>더컴퍼니</v>
          </cell>
        </row>
        <row r="887">
          <cell r="R887" t="str">
            <v>파씨</v>
          </cell>
          <cell r="S887" t="str">
            <v>더컴퍼니</v>
          </cell>
        </row>
        <row r="888">
          <cell r="R888" t="str">
            <v>파씨</v>
          </cell>
          <cell r="S888" t="str">
            <v>더컴퍼니</v>
          </cell>
        </row>
        <row r="889">
          <cell r="R889" t="str">
            <v>파씨</v>
          </cell>
          <cell r="S889" t="str">
            <v>더컴퍼니</v>
          </cell>
        </row>
        <row r="890">
          <cell r="R890" t="str">
            <v>파씨</v>
          </cell>
          <cell r="S890" t="str">
            <v>더컴퍼니</v>
          </cell>
        </row>
        <row r="891">
          <cell r="R891" t="str">
            <v>플이</v>
          </cell>
          <cell r="S891" t="str">
            <v>더컴퍼니</v>
          </cell>
        </row>
        <row r="892">
          <cell r="R892" t="str">
            <v>플이</v>
          </cell>
          <cell r="S892" t="str">
            <v>더컴퍼니</v>
          </cell>
        </row>
        <row r="893">
          <cell r="R893" t="str">
            <v>피모</v>
          </cell>
          <cell r="S893" t="str">
            <v>더컴퍼니</v>
          </cell>
        </row>
        <row r="894">
          <cell r="R894" t="str">
            <v>피모</v>
          </cell>
          <cell r="S894" t="str">
            <v>더컴퍼니</v>
          </cell>
        </row>
        <row r="895">
          <cell r="R895" t="str">
            <v>피모</v>
          </cell>
          <cell r="S895" t="str">
            <v>더컴퍼니</v>
          </cell>
        </row>
        <row r="896">
          <cell r="R896" t="str">
            <v>피모</v>
          </cell>
          <cell r="S896" t="str">
            <v>더컴퍼니</v>
          </cell>
        </row>
        <row r="897">
          <cell r="R897" t="str">
            <v>피모</v>
          </cell>
          <cell r="S897" t="str">
            <v>더컴퍼니</v>
          </cell>
        </row>
        <row r="898">
          <cell r="R898" t="str">
            <v>피모</v>
          </cell>
          <cell r="S898" t="str">
            <v>더컴퍼니</v>
          </cell>
        </row>
        <row r="899">
          <cell r="R899" t="str">
            <v>피모</v>
          </cell>
          <cell r="S899" t="str">
            <v>더컴퍼니</v>
          </cell>
        </row>
        <row r="900">
          <cell r="R900" t="str">
            <v>피모</v>
          </cell>
          <cell r="S900" t="str">
            <v>더컴퍼니</v>
          </cell>
        </row>
        <row r="901">
          <cell r="R901" t="str">
            <v>피모</v>
          </cell>
          <cell r="S901" t="str">
            <v>더컴퍼니</v>
          </cell>
        </row>
        <row r="902">
          <cell r="R902" t="str">
            <v>피모</v>
          </cell>
          <cell r="S902" t="str">
            <v>더컴퍼니</v>
          </cell>
        </row>
        <row r="903">
          <cell r="R903" t="str">
            <v>피모</v>
          </cell>
          <cell r="S903" t="str">
            <v>더컴퍼니</v>
          </cell>
        </row>
        <row r="904">
          <cell r="R904" t="str">
            <v>피모</v>
          </cell>
          <cell r="S904" t="str">
            <v>더컴퍼니</v>
          </cell>
        </row>
        <row r="905">
          <cell r="R905" t="str">
            <v>피모</v>
          </cell>
          <cell r="S905" t="str">
            <v>더컴퍼니</v>
          </cell>
        </row>
        <row r="906">
          <cell r="R906" t="str">
            <v>피모</v>
          </cell>
          <cell r="S906" t="str">
            <v>더컴퍼니</v>
          </cell>
        </row>
        <row r="907">
          <cell r="R907" t="str">
            <v>피모</v>
          </cell>
          <cell r="S907" t="str">
            <v>더컴퍼니</v>
          </cell>
        </row>
        <row r="908">
          <cell r="R908" t="str">
            <v>피모</v>
          </cell>
          <cell r="S908" t="str">
            <v>더컴퍼니</v>
          </cell>
        </row>
        <row r="909">
          <cell r="R909" t="str">
            <v>피모</v>
          </cell>
          <cell r="S909" t="str">
            <v>더컴퍼니</v>
          </cell>
        </row>
        <row r="910">
          <cell r="R910" t="str">
            <v>피모</v>
          </cell>
          <cell r="S910" t="str">
            <v>더컴퍼니</v>
          </cell>
        </row>
        <row r="911">
          <cell r="R911" t="str">
            <v>피모</v>
          </cell>
          <cell r="S911" t="str">
            <v>더컴퍼니</v>
          </cell>
        </row>
        <row r="912">
          <cell r="R912" t="str">
            <v>피모</v>
          </cell>
          <cell r="S912" t="str">
            <v>더컴퍼니</v>
          </cell>
        </row>
        <row r="913">
          <cell r="R913" t="str">
            <v>하나린</v>
          </cell>
          <cell r="S913" t="str">
            <v>더컴퍼니</v>
          </cell>
        </row>
        <row r="914">
          <cell r="R914" t="str">
            <v>하나린</v>
          </cell>
          <cell r="S914" t="str">
            <v>더컴퍼니</v>
          </cell>
        </row>
        <row r="915">
          <cell r="R915" t="str">
            <v>하나린</v>
          </cell>
          <cell r="S915" t="str">
            <v>더컴퍼니</v>
          </cell>
        </row>
        <row r="916">
          <cell r="R916" t="str">
            <v>하나린</v>
          </cell>
          <cell r="S916" t="str">
            <v>더컴퍼니</v>
          </cell>
        </row>
        <row r="917">
          <cell r="R917" t="str">
            <v>하나린</v>
          </cell>
          <cell r="S917" t="str">
            <v>더컴퍼니</v>
          </cell>
        </row>
        <row r="918">
          <cell r="R918" t="str">
            <v>하바수</v>
          </cell>
          <cell r="S918" t="str">
            <v>더컴퍼니</v>
          </cell>
        </row>
        <row r="919">
          <cell r="R919" t="str">
            <v>하바수</v>
          </cell>
          <cell r="S919" t="str">
            <v>더컴퍼니</v>
          </cell>
        </row>
        <row r="920">
          <cell r="R920" t="str">
            <v>하바수</v>
          </cell>
          <cell r="S920" t="str">
            <v>더컴퍼니</v>
          </cell>
        </row>
        <row r="921">
          <cell r="R921" t="str">
            <v>하바수</v>
          </cell>
          <cell r="S921" t="str">
            <v>더컴퍼니</v>
          </cell>
        </row>
        <row r="922">
          <cell r="R922" t="str">
            <v>하바수</v>
          </cell>
          <cell r="S922" t="str">
            <v>더컴퍼니</v>
          </cell>
        </row>
        <row r="923">
          <cell r="R923" t="str">
            <v>하바수</v>
          </cell>
          <cell r="S923" t="str">
            <v>더컴퍼니</v>
          </cell>
        </row>
        <row r="924">
          <cell r="R924" t="str">
            <v>하지</v>
          </cell>
          <cell r="S924" t="str">
            <v>더컴퍼니</v>
          </cell>
        </row>
        <row r="925">
          <cell r="R925" t="str">
            <v>하지</v>
          </cell>
          <cell r="S925" t="str">
            <v>더컴퍼니</v>
          </cell>
        </row>
        <row r="926">
          <cell r="R926" t="str">
            <v>하지</v>
          </cell>
          <cell r="S926" t="str">
            <v>더컴퍼니</v>
          </cell>
        </row>
        <row r="927">
          <cell r="R927" t="str">
            <v>하지</v>
          </cell>
          <cell r="S927" t="str">
            <v>더컴퍼니</v>
          </cell>
        </row>
        <row r="928">
          <cell r="R928" t="str">
            <v>하지</v>
          </cell>
          <cell r="S928" t="str">
            <v>더컴퍼니</v>
          </cell>
        </row>
        <row r="929">
          <cell r="R929" t="str">
            <v>하지</v>
          </cell>
          <cell r="S929" t="str">
            <v>더컴퍼니</v>
          </cell>
        </row>
        <row r="930">
          <cell r="R930" t="str">
            <v>하지</v>
          </cell>
          <cell r="S930" t="str">
            <v>더컴퍼니</v>
          </cell>
        </row>
        <row r="931">
          <cell r="R931" t="str">
            <v>하지</v>
          </cell>
          <cell r="S931" t="str">
            <v>더컴퍼니</v>
          </cell>
        </row>
        <row r="932">
          <cell r="R932" t="str">
            <v>한슬</v>
          </cell>
          <cell r="S932" t="str">
            <v>더컴퍼니</v>
          </cell>
        </row>
        <row r="933">
          <cell r="R933" t="str">
            <v>한슬</v>
          </cell>
          <cell r="S933" t="str">
            <v>더컴퍼니</v>
          </cell>
        </row>
        <row r="934">
          <cell r="R934" t="str">
            <v>한슬</v>
          </cell>
          <cell r="S934" t="str">
            <v>더컴퍼니</v>
          </cell>
        </row>
        <row r="935">
          <cell r="R935" t="str">
            <v>한슬</v>
          </cell>
          <cell r="S935" t="str">
            <v>더컴퍼니</v>
          </cell>
        </row>
        <row r="936">
          <cell r="R936" t="str">
            <v>한슬</v>
          </cell>
          <cell r="S936" t="str">
            <v>더컴퍼니</v>
          </cell>
        </row>
        <row r="937">
          <cell r="R937" t="str">
            <v>한슬</v>
          </cell>
          <cell r="S937" t="str">
            <v>더컴퍼니</v>
          </cell>
        </row>
        <row r="938">
          <cell r="R938" t="str">
            <v>한슬</v>
          </cell>
          <cell r="S938" t="str">
            <v>더컴퍼니</v>
          </cell>
        </row>
        <row r="939">
          <cell r="R939" t="str">
            <v>한슬</v>
          </cell>
          <cell r="S939" t="str">
            <v>더컴퍼니</v>
          </cell>
        </row>
        <row r="940">
          <cell r="R940" t="str">
            <v>한슬</v>
          </cell>
          <cell r="S940" t="str">
            <v>더컴퍼니</v>
          </cell>
        </row>
        <row r="941">
          <cell r="R941" t="str">
            <v>한슬</v>
          </cell>
          <cell r="S941" t="str">
            <v>더컴퍼니</v>
          </cell>
        </row>
        <row r="942">
          <cell r="R942" t="str">
            <v>한슬</v>
          </cell>
          <cell r="S942" t="str">
            <v>더컴퍼니</v>
          </cell>
        </row>
        <row r="943">
          <cell r="R943" t="str">
            <v>한슬</v>
          </cell>
          <cell r="S943" t="str">
            <v>더컴퍼니</v>
          </cell>
        </row>
        <row r="944">
          <cell r="R944" t="str">
            <v>한슬</v>
          </cell>
          <cell r="S944" t="str">
            <v>더컴퍼니</v>
          </cell>
        </row>
        <row r="945">
          <cell r="R945" t="str">
            <v>한슬</v>
          </cell>
          <cell r="S945" t="str">
            <v>더컴퍼니</v>
          </cell>
        </row>
        <row r="946">
          <cell r="R946" t="str">
            <v>한슬</v>
          </cell>
          <cell r="S946" t="str">
            <v>더컴퍼니</v>
          </cell>
        </row>
        <row r="947">
          <cell r="R947" t="str">
            <v>한슬</v>
          </cell>
          <cell r="S947" t="str">
            <v>더컴퍼니</v>
          </cell>
        </row>
        <row r="948">
          <cell r="R948" t="str">
            <v>한슬</v>
          </cell>
          <cell r="S948" t="str">
            <v>더컴퍼니</v>
          </cell>
        </row>
        <row r="949">
          <cell r="R949" t="str">
            <v>한슬</v>
          </cell>
          <cell r="S949" t="str">
            <v>더컴퍼니</v>
          </cell>
        </row>
        <row r="950">
          <cell r="R950" t="str">
            <v>한슬</v>
          </cell>
          <cell r="S950" t="str">
            <v>더컴퍼니</v>
          </cell>
        </row>
        <row r="951">
          <cell r="R951" t="str">
            <v>한슬</v>
          </cell>
          <cell r="S951" t="str">
            <v>더컴퍼니</v>
          </cell>
        </row>
        <row r="952">
          <cell r="R952" t="str">
            <v>해양정원</v>
          </cell>
          <cell r="S952" t="str">
            <v>더컴퍼니</v>
          </cell>
        </row>
        <row r="953">
          <cell r="R953" t="str">
            <v>해양정원</v>
          </cell>
          <cell r="S953" t="str">
            <v>더컴퍼니</v>
          </cell>
        </row>
        <row r="954">
          <cell r="R954" t="str">
            <v>해양정원</v>
          </cell>
          <cell r="S954" t="str">
            <v>더컴퍼니</v>
          </cell>
        </row>
        <row r="955">
          <cell r="R955" t="str">
            <v>해양정원</v>
          </cell>
          <cell r="S955" t="str">
            <v>더컴퍼니</v>
          </cell>
        </row>
        <row r="956">
          <cell r="R956" t="str">
            <v>해양정원</v>
          </cell>
          <cell r="S956" t="str">
            <v>더컴퍼니</v>
          </cell>
        </row>
        <row r="957">
          <cell r="R957" t="str">
            <v>협행마</v>
          </cell>
          <cell r="S957" t="str">
            <v>에필로그</v>
          </cell>
        </row>
        <row r="958">
          <cell r="R958" t="str">
            <v>협행마</v>
          </cell>
          <cell r="S958" t="str">
            <v>에필로그</v>
          </cell>
        </row>
        <row r="959">
          <cell r="R959" t="str">
            <v>협행마</v>
          </cell>
          <cell r="S959" t="str">
            <v>에필로그</v>
          </cell>
        </row>
        <row r="960">
          <cell r="R960" t="str">
            <v>협행마</v>
          </cell>
          <cell r="S960" t="str">
            <v>에필로그</v>
          </cell>
        </row>
        <row r="961">
          <cell r="R961" t="str">
            <v>협행마</v>
          </cell>
          <cell r="S961" t="str">
            <v>에필로그</v>
          </cell>
        </row>
        <row r="962">
          <cell r="R962" t="str">
            <v>협행마</v>
          </cell>
          <cell r="S962" t="str">
            <v>에필로그</v>
          </cell>
        </row>
        <row r="963">
          <cell r="R963" t="str">
            <v>협행마</v>
          </cell>
          <cell r="S963" t="str">
            <v>에필로그</v>
          </cell>
        </row>
        <row r="964">
          <cell r="R964" t="str">
            <v>협행마</v>
          </cell>
          <cell r="S964" t="str">
            <v>에필로그</v>
          </cell>
        </row>
        <row r="965">
          <cell r="R965" t="str">
            <v>협행마</v>
          </cell>
          <cell r="S965" t="str">
            <v>에필로그</v>
          </cell>
        </row>
        <row r="966">
          <cell r="R966" t="str">
            <v>협행마</v>
          </cell>
          <cell r="S966" t="str">
            <v>에필로그</v>
          </cell>
        </row>
        <row r="967">
          <cell r="R967" t="str">
            <v>협행마</v>
          </cell>
          <cell r="S967" t="str">
            <v>에필로그</v>
          </cell>
        </row>
        <row r="968">
          <cell r="R968" t="str">
            <v>협행마</v>
          </cell>
          <cell r="S968" t="str">
            <v>에필로그</v>
          </cell>
        </row>
        <row r="969">
          <cell r="R969" t="str">
            <v>협행마</v>
          </cell>
          <cell r="S969" t="str">
            <v>에필로그</v>
          </cell>
        </row>
        <row r="970">
          <cell r="R970" t="str">
            <v>협행마</v>
          </cell>
          <cell r="S970" t="str">
            <v>에필로그</v>
          </cell>
        </row>
        <row r="971">
          <cell r="R971" t="str">
            <v>협행마</v>
          </cell>
          <cell r="S971" t="str">
            <v>에필로그</v>
          </cell>
        </row>
        <row r="972">
          <cell r="R972" t="str">
            <v>협행마</v>
          </cell>
          <cell r="S972" t="str">
            <v>에필로그</v>
          </cell>
        </row>
        <row r="973">
          <cell r="R973" t="str">
            <v>협행마</v>
          </cell>
          <cell r="S973" t="str">
            <v>에필로그</v>
          </cell>
        </row>
        <row r="974">
          <cell r="R974" t="str">
            <v>협행마</v>
          </cell>
          <cell r="S974" t="str">
            <v>에필로그</v>
          </cell>
        </row>
        <row r="975">
          <cell r="R975" t="str">
            <v>협행마</v>
          </cell>
          <cell r="S975" t="str">
            <v>에필로그</v>
          </cell>
        </row>
        <row r="976">
          <cell r="R976" t="str">
            <v>협행마</v>
          </cell>
          <cell r="S976" t="str">
            <v>에필로그</v>
          </cell>
        </row>
        <row r="977">
          <cell r="R977" t="str">
            <v>협행마</v>
          </cell>
          <cell r="S977" t="str">
            <v>에필로그</v>
          </cell>
        </row>
        <row r="978">
          <cell r="R978" t="str">
            <v>협행마</v>
          </cell>
          <cell r="S978" t="str">
            <v>에필로그</v>
          </cell>
        </row>
        <row r="979">
          <cell r="R979" t="str">
            <v>협행마</v>
          </cell>
          <cell r="S979" t="str">
            <v>에필로그</v>
          </cell>
        </row>
        <row r="980">
          <cell r="R980" t="str">
            <v>협행마</v>
          </cell>
          <cell r="S980" t="str">
            <v>에필로그</v>
          </cell>
        </row>
        <row r="981">
          <cell r="R981" t="str">
            <v>협행마</v>
          </cell>
          <cell r="S981" t="str">
            <v>에필로그</v>
          </cell>
        </row>
        <row r="982">
          <cell r="R982" t="str">
            <v>협행마</v>
          </cell>
          <cell r="S982" t="str">
            <v>에필로그</v>
          </cell>
        </row>
        <row r="983">
          <cell r="R983" t="str">
            <v>협행마</v>
          </cell>
          <cell r="S983" t="str">
            <v>에필로그</v>
          </cell>
        </row>
        <row r="984">
          <cell r="R984" t="str">
            <v>협행마</v>
          </cell>
          <cell r="S984" t="str">
            <v>에필로그</v>
          </cell>
        </row>
        <row r="985">
          <cell r="R985" t="str">
            <v>협행마</v>
          </cell>
          <cell r="S985" t="str">
            <v>에필로그</v>
          </cell>
        </row>
        <row r="986">
          <cell r="R986" t="str">
            <v>협행마</v>
          </cell>
          <cell r="S986" t="str">
            <v>에필로그</v>
          </cell>
        </row>
        <row r="987">
          <cell r="R987" t="str">
            <v>협행마</v>
          </cell>
          <cell r="S987" t="str">
            <v>에필로그</v>
          </cell>
        </row>
        <row r="988">
          <cell r="R988" t="str">
            <v>협행마</v>
          </cell>
          <cell r="S988" t="str">
            <v>에필로그</v>
          </cell>
        </row>
        <row r="989">
          <cell r="R989" t="str">
            <v>협행마</v>
          </cell>
          <cell r="S989" t="str">
            <v>에필로그</v>
          </cell>
        </row>
        <row r="990">
          <cell r="R990" t="str">
            <v>협행마</v>
          </cell>
          <cell r="S990" t="str">
            <v>에필로그</v>
          </cell>
        </row>
        <row r="991">
          <cell r="R991" t="str">
            <v>협행마</v>
          </cell>
          <cell r="S991" t="str">
            <v>에필로그</v>
          </cell>
        </row>
        <row r="992">
          <cell r="R992" t="str">
            <v>협행마</v>
          </cell>
          <cell r="S992" t="str">
            <v>에필로그</v>
          </cell>
        </row>
        <row r="993">
          <cell r="R993" t="str">
            <v>협행마</v>
          </cell>
          <cell r="S993" t="str">
            <v>에필로그</v>
          </cell>
        </row>
        <row r="994">
          <cell r="R994" t="str">
            <v>협행마</v>
          </cell>
          <cell r="S994" t="str">
            <v>에필로그</v>
          </cell>
        </row>
        <row r="995">
          <cell r="R995" t="str">
            <v>협행마</v>
          </cell>
          <cell r="S995" t="str">
            <v>에필로그</v>
          </cell>
        </row>
        <row r="996">
          <cell r="R996" t="str">
            <v>협행마</v>
          </cell>
          <cell r="S996" t="str">
            <v>에필로그</v>
          </cell>
        </row>
        <row r="997">
          <cell r="R997" t="str">
            <v>협행마</v>
          </cell>
          <cell r="S997" t="str">
            <v>에필로그</v>
          </cell>
        </row>
        <row r="998">
          <cell r="R998" t="str">
            <v>협행마</v>
          </cell>
          <cell r="S998" t="str">
            <v>에필로그</v>
          </cell>
        </row>
        <row r="999">
          <cell r="R999" t="str">
            <v>협행마</v>
          </cell>
          <cell r="S999" t="str">
            <v>에필로그</v>
          </cell>
        </row>
        <row r="1000">
          <cell r="R1000" t="str">
            <v>협행마</v>
          </cell>
          <cell r="S1000" t="str">
            <v>에필로그</v>
          </cell>
        </row>
        <row r="1001">
          <cell r="R1001" t="str">
            <v>협행마</v>
          </cell>
          <cell r="S1001" t="str">
            <v>에필로그</v>
          </cell>
        </row>
        <row r="1002">
          <cell r="R1002" t="str">
            <v>협행마</v>
          </cell>
          <cell r="S1002" t="str">
            <v>에필로그</v>
          </cell>
        </row>
        <row r="1003">
          <cell r="R1003" t="str">
            <v>협행마</v>
          </cell>
          <cell r="S1003" t="str">
            <v>에필로그</v>
          </cell>
        </row>
        <row r="1004">
          <cell r="R1004" t="str">
            <v>협행마</v>
          </cell>
          <cell r="S1004" t="str">
            <v>에필로그</v>
          </cell>
        </row>
        <row r="1005">
          <cell r="R1005" t="str">
            <v>협행마</v>
          </cell>
          <cell r="S1005" t="str">
            <v>에필로그</v>
          </cell>
        </row>
        <row r="1006">
          <cell r="R1006" t="str">
            <v>협행마</v>
          </cell>
          <cell r="S1006" t="str">
            <v>에필로그</v>
          </cell>
        </row>
        <row r="1007">
          <cell r="R1007" t="str">
            <v>협행마</v>
          </cell>
          <cell r="S1007" t="str">
            <v>에필로그</v>
          </cell>
        </row>
        <row r="1008">
          <cell r="R1008" t="str">
            <v>협행마</v>
          </cell>
          <cell r="S1008" t="str">
            <v>에필로그</v>
          </cell>
        </row>
        <row r="1009">
          <cell r="R1009" t="str">
            <v>협행마</v>
          </cell>
          <cell r="S1009" t="str">
            <v>에필로그</v>
          </cell>
        </row>
        <row r="1010">
          <cell r="R1010" t="str">
            <v>협행마</v>
          </cell>
          <cell r="S1010" t="str">
            <v>에필로그</v>
          </cell>
        </row>
        <row r="1011">
          <cell r="R1011" t="str">
            <v>협행마</v>
          </cell>
          <cell r="S1011" t="str">
            <v>에필로그</v>
          </cell>
        </row>
        <row r="1012">
          <cell r="R1012" t="str">
            <v>협행마</v>
          </cell>
          <cell r="S1012" t="str">
            <v>에필로그</v>
          </cell>
        </row>
        <row r="1013">
          <cell r="R1013" t="str">
            <v>협행마</v>
          </cell>
          <cell r="S1013" t="str">
            <v>에필로그</v>
          </cell>
        </row>
        <row r="1014">
          <cell r="R1014" t="str">
            <v>협행마</v>
          </cell>
          <cell r="S1014" t="str">
            <v>에필로그</v>
          </cell>
        </row>
        <row r="1015">
          <cell r="R1015" t="str">
            <v>협행마</v>
          </cell>
          <cell r="S1015" t="str">
            <v>에필로그</v>
          </cell>
        </row>
        <row r="1016">
          <cell r="R1016" t="str">
            <v>협행마</v>
          </cell>
          <cell r="S1016" t="str">
            <v>에필로그</v>
          </cell>
        </row>
        <row r="1017">
          <cell r="R1017" t="str">
            <v>협행마</v>
          </cell>
          <cell r="S1017" t="str">
            <v>에필로그</v>
          </cell>
        </row>
        <row r="1018">
          <cell r="R1018" t="str">
            <v>협행마</v>
          </cell>
          <cell r="S1018" t="str">
            <v>에필로그</v>
          </cell>
        </row>
        <row r="1019">
          <cell r="R1019" t="str">
            <v>협행마</v>
          </cell>
          <cell r="S1019" t="str">
            <v>에필로그</v>
          </cell>
        </row>
        <row r="1020">
          <cell r="R1020" t="str">
            <v>협행마</v>
          </cell>
          <cell r="S1020" t="str">
            <v>에필로그</v>
          </cell>
        </row>
        <row r="1021">
          <cell r="R1021" t="str">
            <v>협행마</v>
          </cell>
          <cell r="S1021" t="str">
            <v>에필로그</v>
          </cell>
        </row>
        <row r="1022">
          <cell r="R1022" t="str">
            <v>협행마</v>
          </cell>
          <cell r="S1022" t="str">
            <v>에필로그</v>
          </cell>
        </row>
        <row r="1023">
          <cell r="R1023" t="str">
            <v>협행마</v>
          </cell>
          <cell r="S1023" t="str">
            <v>에필로그</v>
          </cell>
        </row>
        <row r="1024">
          <cell r="R1024" t="str">
            <v>협행마</v>
          </cell>
          <cell r="S1024" t="str">
            <v>에필로그</v>
          </cell>
        </row>
        <row r="1025">
          <cell r="R1025" t="str">
            <v>협행마</v>
          </cell>
          <cell r="S1025" t="str">
            <v>에필로그</v>
          </cell>
        </row>
        <row r="1026">
          <cell r="R1026" t="str">
            <v>협행마</v>
          </cell>
          <cell r="S1026" t="str">
            <v>에필로그</v>
          </cell>
        </row>
        <row r="1027">
          <cell r="R1027" t="str">
            <v>협행마</v>
          </cell>
          <cell r="S1027" t="str">
            <v>에필로그</v>
          </cell>
        </row>
        <row r="1028">
          <cell r="R1028" t="str">
            <v>협행마</v>
          </cell>
          <cell r="S1028" t="str">
            <v>에필로그</v>
          </cell>
        </row>
        <row r="1029">
          <cell r="R1029" t="str">
            <v>협행마</v>
          </cell>
          <cell r="S1029" t="str">
            <v>에필로그</v>
          </cell>
        </row>
        <row r="1030">
          <cell r="R1030" t="str">
            <v>협행마</v>
          </cell>
          <cell r="S1030" t="str">
            <v>에필로그</v>
          </cell>
        </row>
        <row r="1031">
          <cell r="R1031" t="str">
            <v>협행마</v>
          </cell>
          <cell r="S1031" t="str">
            <v>에필로그</v>
          </cell>
        </row>
        <row r="1032">
          <cell r="R1032" t="str">
            <v>협행마</v>
          </cell>
          <cell r="S1032" t="str">
            <v>에필로그</v>
          </cell>
        </row>
        <row r="1033">
          <cell r="R1033" t="str">
            <v>협행마</v>
          </cell>
          <cell r="S1033" t="str">
            <v>에필로그</v>
          </cell>
        </row>
        <row r="1034">
          <cell r="R1034" t="str">
            <v>협행마</v>
          </cell>
          <cell r="S1034" t="str">
            <v>에필로그</v>
          </cell>
        </row>
        <row r="1035">
          <cell r="R1035" t="str">
            <v>협행마</v>
          </cell>
          <cell r="S1035" t="str">
            <v>에필로그</v>
          </cell>
        </row>
        <row r="1036">
          <cell r="R1036" t="str">
            <v>협행마</v>
          </cell>
          <cell r="S1036" t="str">
            <v>에필로그</v>
          </cell>
        </row>
        <row r="1037">
          <cell r="R1037" t="str">
            <v>협행마</v>
          </cell>
          <cell r="S1037" t="str">
            <v>에필로그</v>
          </cell>
        </row>
        <row r="1038">
          <cell r="R1038" t="str">
            <v>협행마</v>
          </cell>
          <cell r="S1038" t="str">
            <v>에필로그</v>
          </cell>
        </row>
        <row r="1039">
          <cell r="R1039" t="str">
            <v>협행마</v>
          </cell>
          <cell r="S1039" t="str">
            <v>에필로그</v>
          </cell>
        </row>
        <row r="1040">
          <cell r="R1040" t="str">
            <v>협행마</v>
          </cell>
          <cell r="S1040" t="str">
            <v>에필로그</v>
          </cell>
        </row>
        <row r="1041">
          <cell r="R1041" t="str">
            <v>협행마</v>
          </cell>
          <cell r="S1041" t="str">
            <v>에필로그</v>
          </cell>
        </row>
        <row r="1042">
          <cell r="R1042" t="str">
            <v>협행마</v>
          </cell>
          <cell r="S1042" t="str">
            <v>에필로그</v>
          </cell>
        </row>
        <row r="1043">
          <cell r="R1043" t="str">
            <v>협행마</v>
          </cell>
          <cell r="S1043" t="str">
            <v>에필로그</v>
          </cell>
        </row>
        <row r="1044">
          <cell r="R1044" t="str">
            <v>협행마</v>
          </cell>
          <cell r="S1044" t="str">
            <v>에필로그</v>
          </cell>
        </row>
        <row r="1045">
          <cell r="R1045" t="str">
            <v>협행마</v>
          </cell>
          <cell r="S1045" t="str">
            <v>에필로그</v>
          </cell>
        </row>
        <row r="1046">
          <cell r="R1046" t="str">
            <v>협행마</v>
          </cell>
          <cell r="S1046" t="str">
            <v>에필로그</v>
          </cell>
        </row>
        <row r="1047">
          <cell r="R1047" t="str">
            <v>협행마</v>
          </cell>
          <cell r="S1047" t="str">
            <v>에필로그</v>
          </cell>
        </row>
        <row r="1048">
          <cell r="R1048" t="str">
            <v>협행마</v>
          </cell>
          <cell r="S1048" t="str">
            <v>에필로그</v>
          </cell>
        </row>
        <row r="1049">
          <cell r="R1049" t="str">
            <v>협행마</v>
          </cell>
          <cell r="S1049" t="str">
            <v>에필로그</v>
          </cell>
        </row>
        <row r="1050">
          <cell r="R1050" t="str">
            <v>협행마</v>
          </cell>
          <cell r="S1050" t="str">
            <v>에필로그</v>
          </cell>
        </row>
        <row r="1051">
          <cell r="R1051" t="str">
            <v>협행마</v>
          </cell>
          <cell r="S1051" t="str">
            <v>에필로그</v>
          </cell>
        </row>
        <row r="1052">
          <cell r="R1052" t="str">
            <v>협행마</v>
          </cell>
          <cell r="S1052" t="str">
            <v>에필로그</v>
          </cell>
        </row>
        <row r="1053">
          <cell r="R1053" t="str">
            <v>협행마</v>
          </cell>
          <cell r="S1053" t="str">
            <v>에필로그</v>
          </cell>
        </row>
        <row r="1054">
          <cell r="R1054" t="str">
            <v>협행마</v>
          </cell>
          <cell r="S1054" t="str">
            <v>에필로그</v>
          </cell>
        </row>
        <row r="1055">
          <cell r="R1055" t="str">
            <v>협행마</v>
          </cell>
          <cell r="S1055" t="str">
            <v>에필로그</v>
          </cell>
        </row>
        <row r="1056">
          <cell r="R1056" t="str">
            <v>협행마</v>
          </cell>
          <cell r="S1056" t="str">
            <v>에필로그</v>
          </cell>
        </row>
        <row r="1057">
          <cell r="R1057" t="str">
            <v>협행마</v>
          </cell>
          <cell r="S1057" t="str">
            <v>에필로그</v>
          </cell>
        </row>
        <row r="1058">
          <cell r="R1058" t="str">
            <v>협행마</v>
          </cell>
          <cell r="S1058" t="str">
            <v>에필로그</v>
          </cell>
        </row>
        <row r="1059">
          <cell r="R1059" t="str">
            <v>협행마</v>
          </cell>
          <cell r="S1059" t="str">
            <v>에필로그</v>
          </cell>
        </row>
        <row r="1060">
          <cell r="R1060" t="str">
            <v>협행마</v>
          </cell>
          <cell r="S1060" t="str">
            <v>에필로그</v>
          </cell>
        </row>
        <row r="1061">
          <cell r="R1061" t="str">
            <v>협행마</v>
          </cell>
          <cell r="S1061" t="str">
            <v>에필로그</v>
          </cell>
        </row>
        <row r="1062">
          <cell r="R1062" t="str">
            <v>협행마</v>
          </cell>
          <cell r="S1062" t="str">
            <v>에필로그</v>
          </cell>
        </row>
        <row r="1063">
          <cell r="R1063" t="str">
            <v>협행마</v>
          </cell>
          <cell r="S1063" t="str">
            <v>에필로그</v>
          </cell>
        </row>
        <row r="1064">
          <cell r="R1064" t="str">
            <v>협행마</v>
          </cell>
          <cell r="S1064" t="str">
            <v>에필로그</v>
          </cell>
        </row>
        <row r="1065">
          <cell r="R1065" t="str">
            <v>협행마</v>
          </cell>
          <cell r="S1065" t="str">
            <v>에필로그</v>
          </cell>
        </row>
        <row r="1066">
          <cell r="R1066" t="str">
            <v>협행마</v>
          </cell>
          <cell r="S1066" t="str">
            <v>에필로그</v>
          </cell>
        </row>
        <row r="1067">
          <cell r="R1067" t="str">
            <v>협행마</v>
          </cell>
          <cell r="S1067" t="str">
            <v>에필로그</v>
          </cell>
        </row>
        <row r="1068">
          <cell r="R1068" t="str">
            <v>협행마</v>
          </cell>
          <cell r="S1068" t="str">
            <v>에필로그</v>
          </cell>
        </row>
        <row r="1069">
          <cell r="R1069" t="str">
            <v>협행마</v>
          </cell>
          <cell r="S1069" t="str">
            <v>에필로그</v>
          </cell>
        </row>
        <row r="1070">
          <cell r="R1070" t="str">
            <v>협행마</v>
          </cell>
          <cell r="S1070" t="str">
            <v>에필로그</v>
          </cell>
        </row>
        <row r="1071">
          <cell r="R1071" t="str">
            <v>협행마</v>
          </cell>
          <cell r="S1071" t="str">
            <v>에필로그</v>
          </cell>
        </row>
        <row r="1072">
          <cell r="R1072" t="str">
            <v>협행마</v>
          </cell>
          <cell r="S1072" t="str">
            <v>에필로그</v>
          </cell>
        </row>
        <row r="1073">
          <cell r="R1073" t="str">
            <v>협행마</v>
          </cell>
          <cell r="S1073" t="str">
            <v>에필로그</v>
          </cell>
        </row>
        <row r="1074">
          <cell r="R1074" t="str">
            <v>협행마</v>
          </cell>
          <cell r="S1074" t="str">
            <v>에필로그</v>
          </cell>
        </row>
        <row r="1075">
          <cell r="R1075" t="str">
            <v>협행마</v>
          </cell>
          <cell r="S1075" t="str">
            <v>에필로그</v>
          </cell>
        </row>
        <row r="1076">
          <cell r="R1076" t="str">
            <v>협행마</v>
          </cell>
          <cell r="S1076" t="str">
            <v>에필로그</v>
          </cell>
        </row>
        <row r="1077">
          <cell r="R1077" t="str">
            <v>협행마</v>
          </cell>
          <cell r="S1077" t="str">
            <v>에필로그</v>
          </cell>
        </row>
        <row r="1078">
          <cell r="R1078" t="str">
            <v>협행마</v>
          </cell>
          <cell r="S1078" t="str">
            <v>에필로그</v>
          </cell>
        </row>
        <row r="1079">
          <cell r="R1079" t="str">
            <v>협행마</v>
          </cell>
          <cell r="S1079" t="str">
            <v>에필로그</v>
          </cell>
        </row>
        <row r="1080">
          <cell r="R1080" t="str">
            <v>협행마</v>
          </cell>
          <cell r="S1080" t="str">
            <v>에필로그</v>
          </cell>
        </row>
        <row r="1081">
          <cell r="R1081" t="str">
            <v>협행마</v>
          </cell>
          <cell r="S1081" t="str">
            <v>에필로그</v>
          </cell>
        </row>
        <row r="1082">
          <cell r="R1082" t="str">
            <v>협행마</v>
          </cell>
          <cell r="S1082" t="str">
            <v>에필로그</v>
          </cell>
        </row>
        <row r="1083">
          <cell r="R1083" t="str">
            <v>홍영</v>
          </cell>
          <cell r="S1083" t="str">
            <v>더컴퍼니</v>
          </cell>
        </row>
        <row r="1084">
          <cell r="R1084" t="str">
            <v>정희웅</v>
          </cell>
          <cell r="S1084" t="str">
            <v>에필로그</v>
          </cell>
        </row>
        <row r="1085">
          <cell r="R1085" t="str">
            <v>직하인</v>
          </cell>
          <cell r="S1085" t="str">
            <v>에필로그</v>
          </cell>
        </row>
        <row r="1086">
          <cell r="R1086" t="str">
            <v>직하인</v>
          </cell>
          <cell r="S1086" t="str">
            <v>에필로그</v>
          </cell>
        </row>
        <row r="1087">
          <cell r="R1087" t="str">
            <v>라벤더블루</v>
          </cell>
          <cell r="S1087" t="str">
            <v>밀리의 서재</v>
          </cell>
        </row>
        <row r="1088">
          <cell r="R1088" t="str">
            <v>송여희</v>
          </cell>
          <cell r="S1088" t="str">
            <v>밀리의 서재</v>
          </cell>
        </row>
        <row r="1089">
          <cell r="R1089" t="str">
            <v>정경하</v>
          </cell>
          <cell r="S1089" t="str">
            <v>밀리의 서재</v>
          </cell>
        </row>
        <row r="1090">
          <cell r="R1090" t="str">
            <v>마뇽</v>
          </cell>
          <cell r="S1090" t="str">
            <v>밀리의 서재</v>
          </cell>
        </row>
        <row r="1091">
          <cell r="R1091" t="str">
            <v>여도흔</v>
          </cell>
          <cell r="S1091" t="str">
            <v>밀리의 서재</v>
          </cell>
        </row>
        <row r="1092">
          <cell r="R1092" t="str">
            <v>하이지</v>
          </cell>
          <cell r="S1092" t="str">
            <v>밀리의 서재</v>
          </cell>
        </row>
        <row r="1093">
          <cell r="R1093" t="str">
            <v>하이지</v>
          </cell>
          <cell r="S1093" t="str">
            <v>밀리의 서재</v>
          </cell>
        </row>
        <row r="1094">
          <cell r="R1094" t="str">
            <v>박지영</v>
          </cell>
          <cell r="S1094" t="str">
            <v>밀리의 서재</v>
          </cell>
        </row>
        <row r="1095">
          <cell r="R1095" t="str">
            <v>우유양</v>
          </cell>
          <cell r="S1095" t="str">
            <v>밀리의 서재</v>
          </cell>
        </row>
        <row r="1096">
          <cell r="R1096" t="str">
            <v>우유양</v>
          </cell>
          <cell r="S1096" t="str">
            <v>밀리의 서재</v>
          </cell>
        </row>
        <row r="1097">
          <cell r="R1097" t="str">
            <v>춈춈</v>
          </cell>
          <cell r="S1097" t="str">
            <v>밀리의 서재</v>
          </cell>
        </row>
        <row r="1098">
          <cell r="R1098" t="str">
            <v>다혜람</v>
          </cell>
          <cell r="S1098" t="str">
            <v>더컴퍼니</v>
          </cell>
        </row>
        <row r="1099">
          <cell r="R1099" t="str">
            <v>뚜여사</v>
          </cell>
          <cell r="S1099" t="str">
            <v>더컴퍼니</v>
          </cell>
        </row>
        <row r="1100">
          <cell r="R1100" t="str">
            <v>차크</v>
          </cell>
          <cell r="S1100" t="str">
            <v>밀리의 서재</v>
          </cell>
        </row>
        <row r="1101">
          <cell r="R1101" t="str">
            <v>김혜연</v>
          </cell>
          <cell r="S1101" t="str">
            <v>밀리의 서재</v>
          </cell>
        </row>
        <row r="1102">
          <cell r="R1102" t="str">
            <v>등나무밑소공자</v>
          </cell>
          <cell r="S1102" t="str">
            <v>더컴퍼니</v>
          </cell>
        </row>
        <row r="1103">
          <cell r="R1103" t="str">
            <v>서풍</v>
          </cell>
          <cell r="S1103" t="str">
            <v>밀리의 서재</v>
          </cell>
        </row>
        <row r="1104">
          <cell r="R1104" t="str">
            <v>박샛별</v>
          </cell>
          <cell r="S1104" t="str">
            <v>밀리의 서재</v>
          </cell>
        </row>
        <row r="1105">
          <cell r="R1105" t="str">
            <v>하루가</v>
          </cell>
          <cell r="S1105" t="str">
            <v>밀리의 서재</v>
          </cell>
        </row>
        <row r="1106">
          <cell r="R1106" t="str">
            <v>꿀레</v>
          </cell>
          <cell r="S1106" t="str">
            <v>더컴퍼니</v>
          </cell>
        </row>
        <row r="1107">
          <cell r="R1107" t="str">
            <v>이정숙</v>
          </cell>
          <cell r="S1107" t="str">
            <v>밀리의 서재</v>
          </cell>
        </row>
        <row r="1108">
          <cell r="R1108" t="str">
            <v>이진희</v>
          </cell>
          <cell r="S1108" t="str">
            <v>밀리의 서재</v>
          </cell>
        </row>
        <row r="1109">
          <cell r="R1109" t="str">
            <v>원성혜</v>
          </cell>
          <cell r="S1109" t="str">
            <v>밀리의 서재</v>
          </cell>
        </row>
        <row r="1110">
          <cell r="R1110" t="str">
            <v>전혜진</v>
          </cell>
          <cell r="S1110" t="str">
            <v>밀리의 서재</v>
          </cell>
        </row>
        <row r="1111">
          <cell r="R1111" t="str">
            <v>정은숙</v>
          </cell>
          <cell r="S1111" t="str">
            <v>밀리의 서재</v>
          </cell>
        </row>
        <row r="1112">
          <cell r="R1112" t="str">
            <v>도큐진</v>
          </cell>
          <cell r="S1112" t="str">
            <v>스토리위드</v>
          </cell>
        </row>
        <row r="1113">
          <cell r="R1113" t="str">
            <v>해화</v>
          </cell>
          <cell r="S1113" t="str">
            <v>밀리의 서재</v>
          </cell>
        </row>
        <row r="1114">
          <cell r="R1114" t="str">
            <v>김원경</v>
          </cell>
          <cell r="S1114" t="str">
            <v>밀리의 서재</v>
          </cell>
        </row>
        <row r="1115">
          <cell r="R1115" t="str">
            <v>반지영</v>
          </cell>
          <cell r="S1115" t="str">
            <v>밀리의 서재</v>
          </cell>
        </row>
        <row r="1116">
          <cell r="R1116" t="str">
            <v>공호</v>
          </cell>
          <cell r="S1116" t="str">
            <v>밀리의 서재</v>
          </cell>
        </row>
        <row r="1117">
          <cell r="R1117" t="str">
            <v>적랑</v>
          </cell>
          <cell r="S1117" t="str">
            <v>밀리의 서재</v>
          </cell>
        </row>
        <row r="1118">
          <cell r="R1118" t="str">
            <v>백화(百花)</v>
          </cell>
          <cell r="S1118" t="str">
            <v>밀리의 서재</v>
          </cell>
        </row>
        <row r="1119">
          <cell r="R1119" t="str">
            <v>달로</v>
          </cell>
          <cell r="S1119" t="str">
            <v>밀리의 서재</v>
          </cell>
        </row>
        <row r="1120">
          <cell r="R1120" t="str">
            <v>두럭</v>
          </cell>
          <cell r="S1120" t="str">
            <v>더컴퍼니</v>
          </cell>
        </row>
        <row r="1121">
          <cell r="R1121" t="str">
            <v>신윤희(에드가)</v>
          </cell>
          <cell r="S1121" t="str">
            <v>밀리의 서재</v>
          </cell>
        </row>
        <row r="1122">
          <cell r="R1122" t="str">
            <v>최현자</v>
          </cell>
          <cell r="S1122" t="str">
            <v>밀리의 서재</v>
          </cell>
        </row>
        <row r="1123">
          <cell r="R1123" t="str">
            <v>이승희</v>
          </cell>
          <cell r="S1123" t="str">
            <v>밀리의 서재</v>
          </cell>
        </row>
        <row r="1124">
          <cell r="R1124" t="str">
            <v>송민선</v>
          </cell>
          <cell r="S1124" t="str">
            <v>밀리의 서재</v>
          </cell>
        </row>
        <row r="1125">
          <cell r="R1125" t="str">
            <v>최준서</v>
          </cell>
          <cell r="S1125" t="str">
            <v>밀리의 서재</v>
          </cell>
        </row>
        <row r="1126">
          <cell r="R1126" t="str">
            <v>비향</v>
          </cell>
          <cell r="S1126" t="str">
            <v>밀리의 서재</v>
          </cell>
        </row>
        <row r="1127">
          <cell r="R1127" t="str">
            <v>서혜은</v>
          </cell>
          <cell r="S1127" t="str">
            <v>밀리의 서재</v>
          </cell>
        </row>
        <row r="1128">
          <cell r="R1128" t="str">
            <v>수련</v>
          </cell>
          <cell r="S1128" t="str">
            <v>밀리의 서재</v>
          </cell>
        </row>
        <row r="1129">
          <cell r="R1129" t="str">
            <v>장현미</v>
          </cell>
          <cell r="S1129" t="str">
            <v>밀리의 서재</v>
          </cell>
        </row>
        <row r="1130">
          <cell r="R1130" t="str">
            <v>현진서</v>
          </cell>
          <cell r="S1130" t="str">
            <v>밀리의 서재</v>
          </cell>
        </row>
        <row r="1131">
          <cell r="R1131" t="str">
            <v>Bae.C, 조우</v>
          </cell>
          <cell r="S1131" t="str">
            <v>구디</v>
          </cell>
        </row>
        <row r="1132">
          <cell r="R1132" t="str">
            <v>HOON</v>
          </cell>
          <cell r="S1132" t="str">
            <v>컨텐츠헤라</v>
          </cell>
        </row>
        <row r="1133">
          <cell r="R1133" t="str">
            <v>SISSI</v>
          </cell>
          <cell r="S1133" t="str">
            <v>더컴퍼니</v>
          </cell>
        </row>
        <row r="1134">
          <cell r="R1134" t="str">
            <v>곽도우</v>
          </cell>
          <cell r="S1134" t="str">
            <v>아크스튜디오</v>
          </cell>
        </row>
        <row r="1135">
          <cell r="R1135" t="str">
            <v>구디스튜디오</v>
          </cell>
          <cell r="S1135" t="str">
            <v>구디</v>
          </cell>
        </row>
        <row r="1136">
          <cell r="R1136" t="str">
            <v>남정훈</v>
          </cell>
          <cell r="S1136" t="str">
            <v>컨텐츠헤라</v>
          </cell>
        </row>
        <row r="1137">
          <cell r="R1137" t="str">
            <v>다물</v>
          </cell>
          <cell r="S1137" t="str">
            <v>컨텐츠헤라</v>
          </cell>
        </row>
        <row r="1138">
          <cell r="R1138" t="str">
            <v>더컴퍼니</v>
          </cell>
          <cell r="S1138" t="str">
            <v>더컴퍼니</v>
          </cell>
        </row>
        <row r="1139">
          <cell r="R1139" t="str">
            <v>두경</v>
          </cell>
          <cell r="S1139" t="str">
            <v>컨텐츠헤라</v>
          </cell>
        </row>
        <row r="1140">
          <cell r="R1140" t="str">
            <v>두럭</v>
          </cell>
          <cell r="S1140" t="str">
            <v>더컴퍼니</v>
          </cell>
        </row>
        <row r="1141">
          <cell r="R1141" t="str">
            <v>밀리오리지널</v>
          </cell>
          <cell r="S1141" t="str">
            <v>밀리</v>
          </cell>
        </row>
        <row r="1142">
          <cell r="R1142" t="str">
            <v>밀리의 서재</v>
          </cell>
          <cell r="S1142" t="str">
            <v>밀리</v>
          </cell>
        </row>
        <row r="1143">
          <cell r="R1143" t="str">
            <v>밀리의서재</v>
          </cell>
          <cell r="S1143" t="str">
            <v>밀리</v>
          </cell>
        </row>
        <row r="1144">
          <cell r="R1144" t="str">
            <v>블라이스</v>
          </cell>
          <cell r="S1144" t="str">
            <v>블라이스</v>
          </cell>
        </row>
        <row r="1145">
          <cell r="R1145" t="str">
            <v>사틴</v>
          </cell>
          <cell r="S1145" t="str">
            <v>더컴퍼니</v>
          </cell>
        </row>
        <row r="1146">
          <cell r="R1146" t="str">
            <v>수정과</v>
          </cell>
          <cell r="S1146" t="str">
            <v>컨텐츠헤라</v>
          </cell>
        </row>
        <row r="1147">
          <cell r="R1147" t="str">
            <v>쉬즈노블</v>
          </cell>
          <cell r="S1147" t="str">
            <v>더컴퍼니</v>
          </cell>
        </row>
        <row r="1148">
          <cell r="R1148" t="str">
            <v>스토리숲</v>
          </cell>
          <cell r="S1148" t="str">
            <v>스토리숲</v>
          </cell>
        </row>
        <row r="1149">
          <cell r="R1149" t="str">
            <v>스토리아크</v>
          </cell>
          <cell r="S1149" t="str">
            <v>스토리아크</v>
          </cell>
        </row>
        <row r="1150">
          <cell r="R1150" t="str">
            <v>스토리위드</v>
          </cell>
          <cell r="S1150" t="str">
            <v>스토리위드</v>
          </cell>
        </row>
        <row r="1151">
          <cell r="R1151" t="str">
            <v>스토리위즈</v>
          </cell>
          <cell r="S1151" t="str">
            <v>스토리위즈</v>
          </cell>
        </row>
        <row r="1152">
          <cell r="R1152" t="str">
            <v>아크스튜디오</v>
          </cell>
          <cell r="S1152" t="str">
            <v>아크스튜디오</v>
          </cell>
        </row>
        <row r="1153">
          <cell r="R1153" t="str">
            <v>에필로그</v>
          </cell>
          <cell r="S1153" t="str">
            <v>에필로그</v>
          </cell>
        </row>
        <row r="1154">
          <cell r="R1154" t="str">
            <v>울트라미디어</v>
          </cell>
          <cell r="S1154" t="str">
            <v>울트라미디어</v>
          </cell>
        </row>
        <row r="1155">
          <cell r="R1155" t="str">
            <v>이다겸</v>
          </cell>
          <cell r="S1155" t="str">
            <v>더컴퍼니</v>
          </cell>
        </row>
        <row r="1156">
          <cell r="R1156" t="str">
            <v>진엔터</v>
          </cell>
          <cell r="S1156" t="str">
            <v>진엔터</v>
          </cell>
        </row>
        <row r="1157">
          <cell r="R1157" t="str">
            <v>최도비</v>
          </cell>
          <cell r="S1157" t="str">
            <v>컨텐츠헤라</v>
          </cell>
        </row>
        <row r="1158">
          <cell r="R1158" t="str">
            <v>최도비 수정과</v>
          </cell>
          <cell r="S1158" t="str">
            <v>컨텐츠헤라</v>
          </cell>
        </row>
        <row r="1159">
          <cell r="R1159" t="str">
            <v>최도비,수정과</v>
          </cell>
          <cell r="S1159" t="str">
            <v>컨텐츠헤라</v>
          </cell>
        </row>
        <row r="1160">
          <cell r="R1160" t="str">
            <v>컨헤라</v>
          </cell>
          <cell r="S1160" t="str">
            <v>컨텐츠헤라</v>
          </cell>
        </row>
        <row r="1161">
          <cell r="R1161" t="str">
            <v>태랑</v>
          </cell>
          <cell r="S1161" t="str">
            <v>태랑</v>
          </cell>
        </row>
        <row r="1162">
          <cell r="R1162" t="str">
            <v>태룡(泰龍)</v>
          </cell>
          <cell r="S1162" t="str">
            <v>더컴퍼니</v>
          </cell>
        </row>
        <row r="1163">
          <cell r="R1163" t="str">
            <v>투니드엔터테인먼트</v>
          </cell>
          <cell r="S1163" t="str">
            <v>투니드엔터테인먼트</v>
          </cell>
        </row>
        <row r="1164">
          <cell r="R1164" t="str">
            <v>피모</v>
          </cell>
          <cell r="S1164" t="str">
            <v>더컴퍼니</v>
          </cell>
        </row>
        <row r="1165">
          <cell r="R1165" t="str">
            <v>혜원</v>
          </cell>
          <cell r="S1165" t="str">
            <v>컨텐츠헤라</v>
          </cell>
        </row>
        <row r="1166">
          <cell r="R1166" t="str">
            <v>히즈노블</v>
          </cell>
          <cell r="S1166" t="str">
            <v>더컴퍼니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66"/>
  <sheetViews>
    <sheetView tabSelected="1" workbookViewId="0">
      <selection activeCell="E11" sqref="E11"/>
    </sheetView>
  </sheetViews>
  <sheetFormatPr defaultRowHeight="17.399999999999999" x14ac:dyDescent="0.4"/>
  <cols>
    <col min="1" max="1" width="5.59765625" customWidth="1"/>
    <col min="2" max="2" width="9.5" customWidth="1"/>
    <col min="3" max="3" width="12.3984375" customWidth="1"/>
    <col min="4" max="4" width="9.59765625" customWidth="1"/>
    <col min="5" max="5" width="28.3984375" style="3" customWidth="1"/>
    <col min="6" max="6" width="22.19921875" style="1" customWidth="1"/>
    <col min="7" max="7" width="9.19921875" style="2" bestFit="1" customWidth="1"/>
    <col min="9" max="9" width="10.8984375" customWidth="1"/>
    <col min="10" max="10" width="15.5" customWidth="1"/>
    <col min="11" max="11" width="12.5" customWidth="1"/>
  </cols>
  <sheetData>
    <row r="1" spans="1:12" x14ac:dyDescent="0.4">
      <c r="A1" s="4" t="s">
        <v>5</v>
      </c>
      <c r="B1" s="4" t="s">
        <v>6</v>
      </c>
      <c r="C1" s="4" t="s">
        <v>7</v>
      </c>
      <c r="D1" s="4" t="s">
        <v>0</v>
      </c>
      <c r="E1" s="4" t="s">
        <v>1</v>
      </c>
      <c r="F1" s="4" t="s">
        <v>8</v>
      </c>
      <c r="G1" s="4" t="s">
        <v>9</v>
      </c>
      <c r="H1" s="5" t="s">
        <v>10</v>
      </c>
      <c r="I1" s="4" t="s">
        <v>11</v>
      </c>
      <c r="J1" s="4" t="s">
        <v>12</v>
      </c>
      <c r="K1" s="18" t="s">
        <v>129</v>
      </c>
      <c r="L1" s="19" t="s">
        <v>130</v>
      </c>
    </row>
    <row r="2" spans="1:12" x14ac:dyDescent="0.4">
      <c r="A2" s="6">
        <v>1</v>
      </c>
      <c r="B2" s="6" t="s">
        <v>62</v>
      </c>
      <c r="C2" s="6" t="s">
        <v>63</v>
      </c>
      <c r="D2" s="10" t="s">
        <v>2</v>
      </c>
      <c r="E2" s="6" t="s">
        <v>64</v>
      </c>
      <c r="F2" s="7">
        <v>82</v>
      </c>
      <c r="G2" s="7">
        <v>8200</v>
      </c>
      <c r="H2" s="8">
        <v>0.7</v>
      </c>
      <c r="I2" s="9">
        <f>G2*H2</f>
        <v>5740</v>
      </c>
      <c r="J2" s="10"/>
      <c r="K2" s="3" t="str">
        <f>IF(ISERROR(VLOOKUP(C2,[1]작가별정산률!$R:$S,2,0)),"스토리위즈",VLOOKUP(C2,[1]작가별정산률!$R:$S,2,0))</f>
        <v>스토리위즈</v>
      </c>
      <c r="L2" s="3" t="str">
        <f>IF(K2="스토리위즈",VLOOKUP(C2,[1]작가별정산률!$A:$B,2,0),K2)</f>
        <v>제외</v>
      </c>
    </row>
    <row r="3" spans="1:12" x14ac:dyDescent="0.4">
      <c r="A3" s="10">
        <f>A2+1</f>
        <v>2</v>
      </c>
      <c r="B3" s="6" t="s">
        <v>62</v>
      </c>
      <c r="C3" s="10" t="s">
        <v>65</v>
      </c>
      <c r="D3" s="10" t="s">
        <v>2</v>
      </c>
      <c r="E3" s="10" t="s">
        <v>66</v>
      </c>
      <c r="F3" s="12">
        <v>70</v>
      </c>
      <c r="G3" s="12">
        <v>7000</v>
      </c>
      <c r="H3" s="8">
        <v>0.7</v>
      </c>
      <c r="I3" s="9">
        <f t="shared" ref="I3:I65" si="0">G3*H3</f>
        <v>4900</v>
      </c>
      <c r="J3" s="10"/>
      <c r="K3" s="3" t="str">
        <f>IF(ISERROR(VLOOKUP(C3,[1]작가별정산률!$R:$S,2,0)),"스토리위즈",VLOOKUP(C3,[1]작가별정산률!$R:$S,2,0))</f>
        <v>스토리위즈</v>
      </c>
      <c r="L3" s="3" t="str">
        <f>IF(K3="스토리위즈",VLOOKUP(C3,[1]작가별정산률!$A:$B,2,0),K3)</f>
        <v>제외</v>
      </c>
    </row>
    <row r="4" spans="1:12" x14ac:dyDescent="0.4">
      <c r="A4" s="10">
        <f t="shared" ref="A4:A65" si="1">A3+1</f>
        <v>3</v>
      </c>
      <c r="B4" s="6" t="s">
        <v>62</v>
      </c>
      <c r="C4" s="10" t="s">
        <v>67</v>
      </c>
      <c r="D4" s="10" t="s">
        <v>2</v>
      </c>
      <c r="E4" s="10" t="s">
        <v>68</v>
      </c>
      <c r="F4" s="12">
        <v>65</v>
      </c>
      <c r="G4" s="12">
        <v>6500</v>
      </c>
      <c r="H4" s="8">
        <v>0.7</v>
      </c>
      <c r="I4" s="9">
        <f t="shared" si="0"/>
        <v>4550</v>
      </c>
      <c r="J4" s="10"/>
      <c r="K4" s="3" t="str">
        <f>IF(ISERROR(VLOOKUP(C4,[1]작가별정산률!$R:$S,2,0)),"스토리위즈",VLOOKUP(C4,[1]작가별정산률!$R:$S,2,0))</f>
        <v>스토리위즈</v>
      </c>
      <c r="L4" s="3" t="str">
        <f>IF(K4="스토리위즈",VLOOKUP(C4,[1]작가별정산률!$A:$B,2,0),K4)</f>
        <v>제외</v>
      </c>
    </row>
    <row r="5" spans="1:12" x14ac:dyDescent="0.4">
      <c r="A5" s="10">
        <f t="shared" si="1"/>
        <v>4</v>
      </c>
      <c r="B5" s="6" t="s">
        <v>69</v>
      </c>
      <c r="C5" s="10" t="s">
        <v>70</v>
      </c>
      <c r="D5" s="10" t="s">
        <v>2</v>
      </c>
      <c r="E5" s="10" t="s">
        <v>71</v>
      </c>
      <c r="F5" s="12">
        <v>58</v>
      </c>
      <c r="G5" s="12">
        <v>5800</v>
      </c>
      <c r="H5" s="8">
        <v>0.7</v>
      </c>
      <c r="I5" s="9">
        <f t="shared" si="0"/>
        <v>4059.9999999999995</v>
      </c>
      <c r="J5" s="10"/>
      <c r="K5" s="3" t="str">
        <f>IF(ISERROR(VLOOKUP(C5,[1]작가별정산률!$R:$S,2,0)),"스토리위즈",VLOOKUP(C5,[1]작가별정산률!$R:$S,2,0))</f>
        <v>스토리위즈</v>
      </c>
      <c r="L5" s="3" t="str">
        <f>IF(K5="스토리위즈",VLOOKUP(C5,[1]작가별정산률!$A:$B,2,0),K5)</f>
        <v>제외</v>
      </c>
    </row>
    <row r="6" spans="1:12" s="3" customFormat="1" x14ac:dyDescent="0.4">
      <c r="A6" s="10">
        <f t="shared" si="1"/>
        <v>5</v>
      </c>
      <c r="B6" s="6" t="s">
        <v>62</v>
      </c>
      <c r="C6" s="10" t="s">
        <v>72</v>
      </c>
      <c r="D6" s="10" t="s">
        <v>2</v>
      </c>
      <c r="E6" s="10" t="s">
        <v>31</v>
      </c>
      <c r="F6" s="12">
        <v>26</v>
      </c>
      <c r="G6" s="12">
        <v>2600</v>
      </c>
      <c r="H6" s="8">
        <v>0.7</v>
      </c>
      <c r="I6" s="9">
        <f t="shared" si="0"/>
        <v>1819.9999999999998</v>
      </c>
      <c r="J6" s="10"/>
      <c r="K6" s="3" t="str">
        <f>IF(ISERROR(VLOOKUP(C6,[1]작가별정산률!$R:$S,2,0)),"스토리위즈",VLOOKUP(C6,[1]작가별정산률!$R:$S,2,0))</f>
        <v>스토리위즈</v>
      </c>
      <c r="L6" s="3" t="str">
        <f>IF(K6="스토리위즈",VLOOKUP(C6,[1]작가별정산률!$A:$B,2,0),K6)</f>
        <v>제외</v>
      </c>
    </row>
    <row r="7" spans="1:12" x14ac:dyDescent="0.4">
      <c r="A7" s="10">
        <f t="shared" si="1"/>
        <v>6</v>
      </c>
      <c r="B7" s="6" t="s">
        <v>62</v>
      </c>
      <c r="C7" s="10" t="s">
        <v>73</v>
      </c>
      <c r="D7" s="10" t="s">
        <v>2</v>
      </c>
      <c r="E7" s="10" t="s">
        <v>74</v>
      </c>
      <c r="F7" s="12">
        <v>12</v>
      </c>
      <c r="G7" s="12">
        <v>1200</v>
      </c>
      <c r="H7" s="8">
        <v>0.7</v>
      </c>
      <c r="I7" s="9">
        <f t="shared" si="0"/>
        <v>840</v>
      </c>
      <c r="J7" s="10"/>
      <c r="K7" s="3" t="str">
        <f>IF(ISERROR(VLOOKUP(C7,[1]작가별정산률!$R:$S,2,0)),"스토리위즈",VLOOKUP(C7,[1]작가별정산률!$R:$S,2,0))</f>
        <v>스토리위즈</v>
      </c>
      <c r="L7" s="3" t="str">
        <f>IF(K7="스토리위즈",VLOOKUP(C7,[1]작가별정산률!$A:$B,2,0),K7)</f>
        <v>제외</v>
      </c>
    </row>
    <row r="8" spans="1:12" x14ac:dyDescent="0.4">
      <c r="A8" s="10">
        <f t="shared" si="1"/>
        <v>7</v>
      </c>
      <c r="B8" s="6" t="s">
        <v>62</v>
      </c>
      <c r="C8" s="10" t="s">
        <v>75</v>
      </c>
      <c r="D8" s="10" t="s">
        <v>2</v>
      </c>
      <c r="E8" s="10" t="s">
        <v>76</v>
      </c>
      <c r="F8" s="12">
        <v>6</v>
      </c>
      <c r="G8" s="12">
        <v>600</v>
      </c>
      <c r="H8" s="8">
        <v>0.7</v>
      </c>
      <c r="I8" s="9">
        <f t="shared" si="0"/>
        <v>420</v>
      </c>
      <c r="J8" s="10"/>
      <c r="K8" s="3" t="str">
        <f>IF(ISERROR(VLOOKUP(C8,[1]작가별정산률!$R:$S,2,0)),"스토리위즈",VLOOKUP(C8,[1]작가별정산률!$R:$S,2,0))</f>
        <v>스토리위즈</v>
      </c>
      <c r="L8" s="3" t="str">
        <f>IF(K8="스토리위즈",VLOOKUP(C8,[1]작가별정산률!$A:$B,2,0),K8)</f>
        <v>올콘텐츠앤브이알</v>
      </c>
    </row>
    <row r="9" spans="1:12" x14ac:dyDescent="0.4">
      <c r="A9" s="10">
        <f t="shared" si="1"/>
        <v>8</v>
      </c>
      <c r="B9" s="6" t="s">
        <v>62</v>
      </c>
      <c r="C9" s="10" t="s">
        <v>77</v>
      </c>
      <c r="D9" s="10" t="s">
        <v>2</v>
      </c>
      <c r="E9" s="10" t="s">
        <v>78</v>
      </c>
      <c r="F9" s="12">
        <v>2</v>
      </c>
      <c r="G9" s="12">
        <v>200</v>
      </c>
      <c r="H9" s="8">
        <v>0.7</v>
      </c>
      <c r="I9" s="9">
        <f t="shared" si="0"/>
        <v>140</v>
      </c>
      <c r="J9" s="10"/>
      <c r="K9" s="3" t="str">
        <f>IF(ISERROR(VLOOKUP(C9,[1]작가별정산률!$R:$S,2,0)),"스토리위즈",VLOOKUP(C9,[1]작가별정산률!$R:$S,2,0))</f>
        <v>스토리위즈</v>
      </c>
      <c r="L9" s="3" t="str">
        <f>IF(K9="스토리위즈",VLOOKUP(C9,[1]작가별정산률!$A:$B,2,0),K9)</f>
        <v>구디</v>
      </c>
    </row>
    <row r="10" spans="1:12" x14ac:dyDescent="0.4">
      <c r="A10" s="10">
        <f t="shared" si="1"/>
        <v>9</v>
      </c>
      <c r="B10" s="6" t="s">
        <v>69</v>
      </c>
      <c r="C10" s="10" t="s">
        <v>75</v>
      </c>
      <c r="D10" s="10" t="s">
        <v>2</v>
      </c>
      <c r="E10" s="10" t="s">
        <v>79</v>
      </c>
      <c r="F10" s="12">
        <v>2</v>
      </c>
      <c r="G10" s="12">
        <v>200</v>
      </c>
      <c r="H10" s="8">
        <v>0.7</v>
      </c>
      <c r="I10" s="9">
        <f t="shared" si="0"/>
        <v>140</v>
      </c>
      <c r="J10" s="10"/>
      <c r="K10" s="3" t="str">
        <f>IF(ISERROR(VLOOKUP(C10,[1]작가별정산률!$R:$S,2,0)),"스토리위즈",VLOOKUP(C10,[1]작가별정산률!$R:$S,2,0))</f>
        <v>스토리위즈</v>
      </c>
      <c r="L10" s="3" t="str">
        <f>IF(K10="스토리위즈",VLOOKUP(C10,[1]작가별정산률!$A:$B,2,0),K10)</f>
        <v>올콘텐츠앤브이알</v>
      </c>
    </row>
    <row r="11" spans="1:12" x14ac:dyDescent="0.4">
      <c r="A11" s="10">
        <f t="shared" si="1"/>
        <v>10</v>
      </c>
      <c r="B11" s="6" t="s">
        <v>62</v>
      </c>
      <c r="C11" s="10" t="s">
        <v>80</v>
      </c>
      <c r="D11" s="10" t="s">
        <v>2</v>
      </c>
      <c r="E11" s="10" t="s">
        <v>81</v>
      </c>
      <c r="F11" s="12">
        <v>2</v>
      </c>
      <c r="G11" s="12">
        <v>200</v>
      </c>
      <c r="H11" s="8">
        <v>0.7</v>
      </c>
      <c r="I11" s="9">
        <f t="shared" si="0"/>
        <v>140</v>
      </c>
      <c r="J11" s="10"/>
      <c r="K11" s="3" t="str">
        <f>IF(ISERROR(VLOOKUP(C11,[1]작가별정산률!$R:$S,2,0)),"스토리위즈",VLOOKUP(C11,[1]작가별정산률!$R:$S,2,0))</f>
        <v>컨텐츠헤라</v>
      </c>
      <c r="L11" s="3" t="str">
        <f>IF(K11="스토리위즈",VLOOKUP(C11,[1]작가별정산률!$A:$B,2,0),K11)</f>
        <v>컨텐츠헤라</v>
      </c>
    </row>
    <row r="12" spans="1:12" x14ac:dyDescent="0.4">
      <c r="A12" s="10">
        <f t="shared" si="1"/>
        <v>11</v>
      </c>
      <c r="B12" s="6" t="s">
        <v>62</v>
      </c>
      <c r="C12" s="10" t="s">
        <v>82</v>
      </c>
      <c r="D12" s="10" t="s">
        <v>2</v>
      </c>
      <c r="E12" s="10" t="s">
        <v>83</v>
      </c>
      <c r="F12" s="12">
        <v>2</v>
      </c>
      <c r="G12" s="12">
        <v>200</v>
      </c>
      <c r="H12" s="8">
        <v>0.7</v>
      </c>
      <c r="I12" s="9">
        <f t="shared" si="0"/>
        <v>140</v>
      </c>
      <c r="J12" s="10"/>
      <c r="K12" s="3" t="str">
        <f>IF(ISERROR(VLOOKUP(C12,[1]작가별정산률!$R:$S,2,0)),"스토리위즈",VLOOKUP(C12,[1]작가별정산률!$R:$S,2,0))</f>
        <v>스토리위즈</v>
      </c>
      <c r="L12" s="3" t="str">
        <f>IF(K12="스토리위즈",VLOOKUP(C12,[1]작가별정산률!$A:$B,2,0),K12)</f>
        <v>제외</v>
      </c>
    </row>
    <row r="13" spans="1:12" x14ac:dyDescent="0.4">
      <c r="A13" s="10">
        <f t="shared" si="1"/>
        <v>12</v>
      </c>
      <c r="B13" s="6" t="s">
        <v>69</v>
      </c>
      <c r="C13" s="10" t="s">
        <v>84</v>
      </c>
      <c r="D13" s="10" t="s">
        <v>2</v>
      </c>
      <c r="E13" s="10" t="s">
        <v>85</v>
      </c>
      <c r="F13" s="12">
        <v>1</v>
      </c>
      <c r="G13" s="12">
        <v>100</v>
      </c>
      <c r="H13" s="8">
        <v>0.7</v>
      </c>
      <c r="I13" s="9">
        <f t="shared" si="0"/>
        <v>70</v>
      </c>
      <c r="J13" s="10"/>
      <c r="K13" s="3" t="str">
        <f>IF(ISERROR(VLOOKUP(C13,[1]작가별정산률!$R:$S,2,0)),"스토리위즈",VLOOKUP(C13,[1]작가별정산률!$R:$S,2,0))</f>
        <v>스토리위즈</v>
      </c>
      <c r="L13" s="3" t="str">
        <f>IF(K13="스토리위즈",VLOOKUP(C13,[1]작가별정산률!$A:$B,2,0),K13)</f>
        <v>제외</v>
      </c>
    </row>
    <row r="14" spans="1:12" x14ac:dyDescent="0.4">
      <c r="A14" s="10">
        <f t="shared" si="1"/>
        <v>13</v>
      </c>
      <c r="B14" s="11" t="s">
        <v>13</v>
      </c>
      <c r="C14" s="10" t="s">
        <v>86</v>
      </c>
      <c r="D14" s="10" t="s">
        <v>2</v>
      </c>
      <c r="E14" s="10" t="s">
        <v>87</v>
      </c>
      <c r="F14" s="9">
        <v>170</v>
      </c>
      <c r="G14" s="14">
        <v>17000</v>
      </c>
      <c r="H14" s="8">
        <v>0.7</v>
      </c>
      <c r="I14" s="9">
        <f t="shared" si="0"/>
        <v>11900</v>
      </c>
      <c r="J14" s="10"/>
      <c r="K14" s="3" t="str">
        <f>IF(ISERROR(VLOOKUP(C14,[1]작가별정산률!$R:$S,2,0)),"스토리위즈",VLOOKUP(C14,[1]작가별정산률!$R:$S,2,0))</f>
        <v>더컴퍼니</v>
      </c>
      <c r="L14" s="3" t="str">
        <f>IF(K14="스토리위즈",VLOOKUP(C14,[1]작가별정산률!$A:$B,2,0),K14)</f>
        <v>더컴퍼니</v>
      </c>
    </row>
    <row r="15" spans="1:12" x14ac:dyDescent="0.4">
      <c r="A15" s="10">
        <f t="shared" si="1"/>
        <v>14</v>
      </c>
      <c r="B15" s="11" t="s">
        <v>13</v>
      </c>
      <c r="C15" s="10" t="s">
        <v>88</v>
      </c>
      <c r="D15" s="10" t="s">
        <v>2</v>
      </c>
      <c r="E15" s="10" t="s">
        <v>89</v>
      </c>
      <c r="F15" s="9">
        <v>23</v>
      </c>
      <c r="G15" s="14">
        <v>2300</v>
      </c>
      <c r="H15" s="8">
        <v>0.7</v>
      </c>
      <c r="I15" s="9">
        <f t="shared" si="0"/>
        <v>1610</v>
      </c>
      <c r="J15" s="10"/>
      <c r="K15" s="3" t="str">
        <f>IF(ISERROR(VLOOKUP(C15,[1]작가별정산률!$R:$S,2,0)),"스토리위즈",VLOOKUP(C15,[1]작가별정산률!$R:$S,2,0))</f>
        <v>더컴퍼니</v>
      </c>
      <c r="L15" s="3" t="str">
        <f>IF(K15="스토리위즈",VLOOKUP(C15,[1]작가별정산률!$A:$B,2,0),K15)</f>
        <v>더컴퍼니</v>
      </c>
    </row>
    <row r="16" spans="1:12" x14ac:dyDescent="0.4">
      <c r="A16" s="10">
        <f t="shared" si="1"/>
        <v>15</v>
      </c>
      <c r="B16" s="11" t="s">
        <v>13</v>
      </c>
      <c r="C16" s="10" t="s">
        <v>3</v>
      </c>
      <c r="D16" s="10" t="s">
        <v>2</v>
      </c>
      <c r="E16" s="10" t="s">
        <v>4</v>
      </c>
      <c r="F16" s="9">
        <v>82</v>
      </c>
      <c r="G16" s="15">
        <v>8200</v>
      </c>
      <c r="H16" s="8">
        <v>0.7</v>
      </c>
      <c r="I16" s="9">
        <f t="shared" si="0"/>
        <v>5740</v>
      </c>
      <c r="J16" s="10"/>
      <c r="K16" s="3" t="str">
        <f>IF(ISERROR(VLOOKUP(C16,[1]작가별정산률!$R:$S,2,0)),"스토리위즈",VLOOKUP(C16,[1]작가별정산률!$R:$S,2,0))</f>
        <v>스토리위즈</v>
      </c>
      <c r="L16" s="3" t="str">
        <f>IF(K16="스토리위즈",VLOOKUP(C16,[1]작가별정산률!$A:$B,2,0),K16)</f>
        <v>온서</v>
      </c>
    </row>
    <row r="17" spans="1:12" x14ac:dyDescent="0.4">
      <c r="A17" s="10">
        <f t="shared" si="1"/>
        <v>16</v>
      </c>
      <c r="B17" s="11" t="s">
        <v>13</v>
      </c>
      <c r="C17" s="10" t="s">
        <v>14</v>
      </c>
      <c r="D17" s="10" t="s">
        <v>2</v>
      </c>
      <c r="E17" s="10" t="s">
        <v>15</v>
      </c>
      <c r="F17" s="9">
        <v>203</v>
      </c>
      <c r="G17" s="15">
        <v>20300</v>
      </c>
      <c r="H17" s="8">
        <v>0.7</v>
      </c>
      <c r="I17" s="9">
        <f t="shared" si="0"/>
        <v>14210</v>
      </c>
      <c r="J17" s="10"/>
      <c r="K17" s="3" t="str">
        <f>IF(ISERROR(VLOOKUP(C17,[1]작가별정산률!$R:$S,2,0)),"스토리위즈",VLOOKUP(C17,[1]작가별정산률!$R:$S,2,0))</f>
        <v>에필로그</v>
      </c>
      <c r="L17" s="3" t="str">
        <f>IF(K17="스토리위즈",VLOOKUP(C17,[1]작가별정산률!$A:$B,2,0),K17)</f>
        <v>에필로그</v>
      </c>
    </row>
    <row r="18" spans="1:12" x14ac:dyDescent="0.4">
      <c r="A18" s="10">
        <f t="shared" si="1"/>
        <v>17</v>
      </c>
      <c r="B18" s="11" t="s">
        <v>13</v>
      </c>
      <c r="C18" s="10" t="s">
        <v>14</v>
      </c>
      <c r="D18" s="10" t="s">
        <v>2</v>
      </c>
      <c r="E18" s="10" t="s">
        <v>16</v>
      </c>
      <c r="F18" s="9">
        <v>60</v>
      </c>
      <c r="G18" s="15">
        <v>6000</v>
      </c>
      <c r="H18" s="8">
        <v>0.7</v>
      </c>
      <c r="I18" s="9">
        <f t="shared" si="0"/>
        <v>4200</v>
      </c>
      <c r="J18" s="10"/>
      <c r="K18" s="3" t="str">
        <f>IF(ISERROR(VLOOKUP(C18,[1]작가별정산률!$R:$S,2,0)),"스토리위즈",VLOOKUP(C18,[1]작가별정산률!$R:$S,2,0))</f>
        <v>에필로그</v>
      </c>
      <c r="L18" s="3" t="str">
        <f>IF(K18="스토리위즈",VLOOKUP(C18,[1]작가별정산률!$A:$B,2,0),K18)</f>
        <v>에필로그</v>
      </c>
    </row>
    <row r="19" spans="1:12" x14ac:dyDescent="0.4">
      <c r="A19" s="10">
        <f t="shared" si="1"/>
        <v>18</v>
      </c>
      <c r="B19" s="11" t="s">
        <v>13</v>
      </c>
      <c r="C19" s="10" t="s">
        <v>14</v>
      </c>
      <c r="D19" s="10" t="s">
        <v>2</v>
      </c>
      <c r="E19" s="10" t="s">
        <v>17</v>
      </c>
      <c r="F19" s="9">
        <v>50</v>
      </c>
      <c r="G19" s="15">
        <v>5000</v>
      </c>
      <c r="H19" s="8">
        <v>0.7</v>
      </c>
      <c r="I19" s="9">
        <f t="shared" si="0"/>
        <v>3500</v>
      </c>
      <c r="J19" s="10"/>
      <c r="K19" s="3" t="str">
        <f>IF(ISERROR(VLOOKUP(C19,[1]작가별정산률!$R:$S,2,0)),"스토리위즈",VLOOKUP(C19,[1]작가별정산률!$R:$S,2,0))</f>
        <v>에필로그</v>
      </c>
      <c r="L19" s="3" t="str">
        <f>IF(K19="스토리위즈",VLOOKUP(C19,[1]작가별정산률!$A:$B,2,0),K19)</f>
        <v>에필로그</v>
      </c>
    </row>
    <row r="20" spans="1:12" x14ac:dyDescent="0.4">
      <c r="A20" s="10">
        <f t="shared" si="1"/>
        <v>19</v>
      </c>
      <c r="B20" s="11" t="s">
        <v>13</v>
      </c>
      <c r="C20" s="10" t="s">
        <v>14</v>
      </c>
      <c r="D20" s="10" t="s">
        <v>2</v>
      </c>
      <c r="E20" s="10" t="s">
        <v>90</v>
      </c>
      <c r="F20" s="9">
        <v>98</v>
      </c>
      <c r="G20" s="15">
        <v>9800</v>
      </c>
      <c r="H20" s="8">
        <v>0.7</v>
      </c>
      <c r="I20" s="9">
        <f t="shared" si="0"/>
        <v>6860</v>
      </c>
      <c r="J20" s="10"/>
      <c r="K20" s="3" t="str">
        <f>IF(ISERROR(VLOOKUP(C20,[1]작가별정산률!$R:$S,2,0)),"스토리위즈",VLOOKUP(C20,[1]작가별정산률!$R:$S,2,0))</f>
        <v>에필로그</v>
      </c>
      <c r="L20" s="3" t="str">
        <f>IF(K20="스토리위즈",VLOOKUP(C20,[1]작가별정산률!$A:$B,2,0),K20)</f>
        <v>에필로그</v>
      </c>
    </row>
    <row r="21" spans="1:12" x14ac:dyDescent="0.4">
      <c r="A21" s="10">
        <f t="shared" si="1"/>
        <v>20</v>
      </c>
      <c r="B21" s="11" t="s">
        <v>91</v>
      </c>
      <c r="C21" s="10" t="s">
        <v>14</v>
      </c>
      <c r="D21" s="10" t="s">
        <v>2</v>
      </c>
      <c r="E21" s="10" t="s">
        <v>22</v>
      </c>
      <c r="F21" s="9">
        <v>5</v>
      </c>
      <c r="G21" s="15">
        <v>500</v>
      </c>
      <c r="H21" s="8">
        <v>0.7</v>
      </c>
      <c r="I21" s="9">
        <f t="shared" si="0"/>
        <v>350</v>
      </c>
      <c r="J21" s="10"/>
      <c r="K21" s="3" t="str">
        <f>IF(ISERROR(VLOOKUP(C21,[1]작가별정산률!$R:$S,2,0)),"스토리위즈",VLOOKUP(C21,[1]작가별정산률!$R:$S,2,0))</f>
        <v>에필로그</v>
      </c>
      <c r="L21" s="3" t="str">
        <f>IF(K21="스토리위즈",VLOOKUP(C21,[1]작가별정산률!$A:$B,2,0),K21)</f>
        <v>에필로그</v>
      </c>
    </row>
    <row r="22" spans="1:12" x14ac:dyDescent="0.4">
      <c r="A22" s="10">
        <f t="shared" si="1"/>
        <v>21</v>
      </c>
      <c r="B22" s="11" t="s">
        <v>91</v>
      </c>
      <c r="C22" s="10" t="s">
        <v>14</v>
      </c>
      <c r="D22" s="10" t="s">
        <v>2</v>
      </c>
      <c r="E22" s="10" t="s">
        <v>23</v>
      </c>
      <c r="F22" s="9">
        <v>35</v>
      </c>
      <c r="G22" s="15">
        <v>3500</v>
      </c>
      <c r="H22" s="8">
        <v>0.7</v>
      </c>
      <c r="I22" s="9">
        <f t="shared" si="0"/>
        <v>2450</v>
      </c>
      <c r="J22" s="10"/>
      <c r="K22" s="3" t="str">
        <f>IF(ISERROR(VLOOKUP(C22,[1]작가별정산률!$R:$S,2,0)),"스토리위즈",VLOOKUP(C22,[1]작가별정산률!$R:$S,2,0))</f>
        <v>에필로그</v>
      </c>
      <c r="L22" s="3" t="str">
        <f>IF(K22="스토리위즈",VLOOKUP(C22,[1]작가별정산률!$A:$B,2,0),K22)</f>
        <v>에필로그</v>
      </c>
    </row>
    <row r="23" spans="1:12" x14ac:dyDescent="0.4">
      <c r="A23" s="10">
        <f t="shared" si="1"/>
        <v>22</v>
      </c>
      <c r="B23" s="11" t="s">
        <v>13</v>
      </c>
      <c r="C23" s="10" t="s">
        <v>18</v>
      </c>
      <c r="D23" s="10" t="s">
        <v>2</v>
      </c>
      <c r="E23" s="10" t="s">
        <v>24</v>
      </c>
      <c r="F23" s="9">
        <v>36</v>
      </c>
      <c r="G23" s="15">
        <v>3600</v>
      </c>
      <c r="H23" s="8">
        <v>0.7</v>
      </c>
      <c r="I23" s="9">
        <f t="shared" si="0"/>
        <v>2520</v>
      </c>
      <c r="J23" s="10"/>
      <c r="K23" s="3" t="str">
        <f>IF(ISERROR(VLOOKUP(C23,[1]작가별정산률!$R:$S,2,0)),"스토리위즈",VLOOKUP(C23,[1]작가별정산률!$R:$S,2,0))</f>
        <v>에필로그</v>
      </c>
      <c r="L23" s="3" t="str">
        <f>IF(K23="스토리위즈",VLOOKUP(C23,[1]작가별정산률!$A:$B,2,0),K23)</f>
        <v>에필로그</v>
      </c>
    </row>
    <row r="24" spans="1:12" x14ac:dyDescent="0.4">
      <c r="A24" s="10">
        <f t="shared" si="1"/>
        <v>23</v>
      </c>
      <c r="B24" s="11" t="s">
        <v>91</v>
      </c>
      <c r="C24" s="10" t="s">
        <v>18</v>
      </c>
      <c r="D24" s="10" t="s">
        <v>2</v>
      </c>
      <c r="E24" s="10" t="s">
        <v>25</v>
      </c>
      <c r="F24" s="9">
        <v>221</v>
      </c>
      <c r="G24" s="15">
        <v>22100</v>
      </c>
      <c r="H24" s="8">
        <v>0.7</v>
      </c>
      <c r="I24" s="9">
        <f t="shared" si="0"/>
        <v>15469.999999999998</v>
      </c>
      <c r="J24" s="10"/>
      <c r="K24" s="3" t="str">
        <f>IF(ISERROR(VLOOKUP(C24,[1]작가별정산률!$R:$S,2,0)),"스토리위즈",VLOOKUP(C24,[1]작가별정산률!$R:$S,2,0))</f>
        <v>에필로그</v>
      </c>
      <c r="L24" s="3" t="str">
        <f>IF(K24="스토리위즈",VLOOKUP(C24,[1]작가별정산률!$A:$B,2,0),K24)</f>
        <v>에필로그</v>
      </c>
    </row>
    <row r="25" spans="1:12" x14ac:dyDescent="0.4">
      <c r="A25" s="10">
        <f t="shared" si="1"/>
        <v>24</v>
      </c>
      <c r="B25" s="11" t="s">
        <v>13</v>
      </c>
      <c r="C25" s="10" t="s">
        <v>92</v>
      </c>
      <c r="D25" s="10" t="s">
        <v>2</v>
      </c>
      <c r="E25" s="10" t="s">
        <v>93</v>
      </c>
      <c r="F25" s="9">
        <v>4</v>
      </c>
      <c r="G25" s="15">
        <v>400</v>
      </c>
      <c r="H25" s="8">
        <v>0.7</v>
      </c>
      <c r="I25" s="9">
        <f t="shared" si="0"/>
        <v>280</v>
      </c>
      <c r="J25" s="10"/>
      <c r="K25" s="3" t="str">
        <f>IF(ISERROR(VLOOKUP(C25,[1]작가별정산률!$R:$S,2,0)),"스토리위즈",VLOOKUP(C25,[1]작가별정산률!$R:$S,2,0))</f>
        <v>더컴퍼니</v>
      </c>
      <c r="L25" s="3" t="str">
        <f>IF(K25="스토리위즈",VLOOKUP(C25,[1]작가별정산률!$A:$B,2,0),K25)</f>
        <v>더컴퍼니</v>
      </c>
    </row>
    <row r="26" spans="1:12" x14ac:dyDescent="0.4">
      <c r="A26" s="13">
        <f t="shared" si="1"/>
        <v>25</v>
      </c>
      <c r="B26" s="11" t="s">
        <v>13</v>
      </c>
      <c r="C26" s="10" t="s">
        <v>19</v>
      </c>
      <c r="D26" s="10" t="s">
        <v>2</v>
      </c>
      <c r="E26" s="10" t="s">
        <v>26</v>
      </c>
      <c r="F26" s="9">
        <v>17</v>
      </c>
      <c r="G26" s="15">
        <v>1700</v>
      </c>
      <c r="H26" s="8">
        <v>0.7</v>
      </c>
      <c r="I26" s="9">
        <f t="shared" si="0"/>
        <v>1190</v>
      </c>
      <c r="J26" s="10"/>
      <c r="K26" s="3" t="str">
        <f>IF(ISERROR(VLOOKUP(C26,[1]작가별정산률!$R:$S,2,0)),"스토리위즈",VLOOKUP(C26,[1]작가별정산률!$R:$S,2,0))</f>
        <v>더컴퍼니</v>
      </c>
      <c r="L26" s="3" t="str">
        <f>IF(K26="스토리위즈",VLOOKUP(C26,[1]작가별정산률!$A:$B,2,0),K26)</f>
        <v>더컴퍼니</v>
      </c>
    </row>
    <row r="27" spans="1:12" x14ac:dyDescent="0.4">
      <c r="A27" s="10">
        <f t="shared" si="1"/>
        <v>26</v>
      </c>
      <c r="B27" s="11" t="s">
        <v>13</v>
      </c>
      <c r="C27" s="10" t="s">
        <v>20</v>
      </c>
      <c r="D27" s="10" t="s">
        <v>2</v>
      </c>
      <c r="E27" s="10" t="s">
        <v>27</v>
      </c>
      <c r="F27" s="9">
        <v>1</v>
      </c>
      <c r="G27" s="15">
        <v>100</v>
      </c>
      <c r="H27" s="8">
        <v>0.7</v>
      </c>
      <c r="I27" s="9">
        <f t="shared" si="0"/>
        <v>70</v>
      </c>
      <c r="J27" s="10"/>
      <c r="K27" s="3" t="str">
        <f>IF(ISERROR(VLOOKUP(C27,[1]작가별정산률!$R:$S,2,0)),"스토리위즈",VLOOKUP(C27,[1]작가별정산률!$R:$S,2,0))</f>
        <v>스토리위즈</v>
      </c>
      <c r="L27" s="3" t="str">
        <f>IF(K27="스토리위즈",VLOOKUP(C27,[1]작가별정산률!$A:$B,2,0),K27)</f>
        <v>세상</v>
      </c>
    </row>
    <row r="28" spans="1:12" x14ac:dyDescent="0.4">
      <c r="A28" s="10">
        <f t="shared" si="1"/>
        <v>27</v>
      </c>
      <c r="B28" s="11" t="s">
        <v>13</v>
      </c>
      <c r="C28" s="10" t="s">
        <v>20</v>
      </c>
      <c r="D28" s="10" t="s">
        <v>2</v>
      </c>
      <c r="E28" s="10" t="s">
        <v>28</v>
      </c>
      <c r="F28" s="9">
        <v>205</v>
      </c>
      <c r="G28" s="15">
        <v>20500</v>
      </c>
      <c r="H28" s="8">
        <v>0.7</v>
      </c>
      <c r="I28" s="9">
        <f t="shared" si="0"/>
        <v>14349.999999999998</v>
      </c>
      <c r="J28" s="10"/>
      <c r="K28" s="3" t="str">
        <f>IF(ISERROR(VLOOKUP(C28,[1]작가별정산률!$R:$S,2,0)),"스토리위즈",VLOOKUP(C28,[1]작가별정산률!$R:$S,2,0))</f>
        <v>스토리위즈</v>
      </c>
      <c r="L28" s="3" t="str">
        <f>IF(K28="스토리위즈",VLOOKUP(C28,[1]작가별정산률!$A:$B,2,0),K28)</f>
        <v>세상</v>
      </c>
    </row>
    <row r="29" spans="1:12" x14ac:dyDescent="0.4">
      <c r="A29" s="10">
        <f t="shared" si="1"/>
        <v>28</v>
      </c>
      <c r="B29" s="11" t="s">
        <v>13</v>
      </c>
      <c r="C29" s="10" t="s">
        <v>32</v>
      </c>
      <c r="D29" s="10" t="s">
        <v>2</v>
      </c>
      <c r="E29" s="10" t="s">
        <v>33</v>
      </c>
      <c r="F29" s="9">
        <v>504</v>
      </c>
      <c r="G29" s="15">
        <v>50400</v>
      </c>
      <c r="H29" s="8">
        <v>0.7</v>
      </c>
      <c r="I29" s="9">
        <f t="shared" si="0"/>
        <v>35280</v>
      </c>
      <c r="J29" s="10"/>
      <c r="K29" s="3" t="str">
        <f>IF(ISERROR(VLOOKUP(C29,[1]작가별정산률!$R:$S,2,0)),"스토리위즈",VLOOKUP(C29,[1]작가별정산률!$R:$S,2,0))</f>
        <v>에필로그</v>
      </c>
      <c r="L29" s="3" t="str">
        <f>IF(K29="스토리위즈",VLOOKUP(C29,[1]작가별정산률!$A:$B,2,0),K29)</f>
        <v>에필로그</v>
      </c>
    </row>
    <row r="30" spans="1:12" x14ac:dyDescent="0.4">
      <c r="A30" s="10">
        <f t="shared" si="1"/>
        <v>29</v>
      </c>
      <c r="B30" s="11" t="s">
        <v>91</v>
      </c>
      <c r="C30" s="10" t="s">
        <v>34</v>
      </c>
      <c r="D30" s="10" t="s">
        <v>2</v>
      </c>
      <c r="E30" s="10" t="s">
        <v>35</v>
      </c>
      <c r="F30" s="9">
        <v>30</v>
      </c>
      <c r="G30" s="15">
        <v>3000</v>
      </c>
      <c r="H30" s="8">
        <v>0.7</v>
      </c>
      <c r="I30" s="9">
        <f t="shared" si="0"/>
        <v>2100</v>
      </c>
      <c r="J30" s="10"/>
      <c r="K30" s="3" t="str">
        <f>IF(ISERROR(VLOOKUP(C30,[1]작가별정산률!$R:$S,2,0)),"스토리위즈",VLOOKUP(C30,[1]작가별정산률!$R:$S,2,0))</f>
        <v>스토리위즈</v>
      </c>
      <c r="L30" s="3" t="str">
        <f>IF(K30="스토리위즈",VLOOKUP(C30,[1]작가별정산률!$A:$B,2,0),K30)</f>
        <v>한례</v>
      </c>
    </row>
    <row r="31" spans="1:12" x14ac:dyDescent="0.4">
      <c r="A31" s="10">
        <f t="shared" si="1"/>
        <v>30</v>
      </c>
      <c r="B31" s="11" t="s">
        <v>13</v>
      </c>
      <c r="C31" s="10" t="s">
        <v>36</v>
      </c>
      <c r="D31" s="10" t="s">
        <v>2</v>
      </c>
      <c r="E31" s="10" t="s">
        <v>37</v>
      </c>
      <c r="F31" s="9">
        <v>1043</v>
      </c>
      <c r="G31" s="15">
        <v>104300</v>
      </c>
      <c r="H31" s="8">
        <v>0.7</v>
      </c>
      <c r="I31" s="9">
        <f t="shared" si="0"/>
        <v>73010</v>
      </c>
      <c r="J31" s="10"/>
      <c r="K31" s="3" t="str">
        <f>IF(ISERROR(VLOOKUP(C31,[1]작가별정산률!$R:$S,2,0)),"스토리위즈",VLOOKUP(C31,[1]작가별정산률!$R:$S,2,0))</f>
        <v>스토리위즈</v>
      </c>
      <c r="L31" s="3" t="str">
        <f>IF(K31="스토리위즈",VLOOKUP(C31,[1]작가별정산률!$A:$B,2,0),K31)</f>
        <v>무성매직</v>
      </c>
    </row>
    <row r="32" spans="1:12" x14ac:dyDescent="0.4">
      <c r="A32" s="10">
        <f t="shared" si="1"/>
        <v>31</v>
      </c>
      <c r="B32" s="11" t="s">
        <v>13</v>
      </c>
      <c r="C32" s="10" t="s">
        <v>38</v>
      </c>
      <c r="D32" s="10" t="s">
        <v>2</v>
      </c>
      <c r="E32" s="10" t="s">
        <v>39</v>
      </c>
      <c r="F32" s="9">
        <v>25</v>
      </c>
      <c r="G32" s="15">
        <v>2500</v>
      </c>
      <c r="H32" s="8">
        <v>0.7</v>
      </c>
      <c r="I32" s="9">
        <f t="shared" si="0"/>
        <v>1750</v>
      </c>
      <c r="J32" s="10"/>
      <c r="K32" s="3" t="str">
        <f>IF(ISERROR(VLOOKUP(C32,[1]작가별정산률!$R:$S,2,0)),"스토리위즈",VLOOKUP(C32,[1]작가별정산률!$R:$S,2,0))</f>
        <v>스토리위즈</v>
      </c>
      <c r="L32" s="3" t="str">
        <f>IF(K32="스토리위즈",VLOOKUP(C32,[1]작가별정산률!$A:$B,2,0),K32)</f>
        <v>불고기자리</v>
      </c>
    </row>
    <row r="33" spans="1:12" x14ac:dyDescent="0.4">
      <c r="A33" s="10">
        <f t="shared" si="1"/>
        <v>32</v>
      </c>
      <c r="B33" s="11" t="s">
        <v>13</v>
      </c>
      <c r="C33" s="10" t="s">
        <v>40</v>
      </c>
      <c r="D33" s="10" t="s">
        <v>2</v>
      </c>
      <c r="E33" s="10" t="s">
        <v>41</v>
      </c>
      <c r="F33" s="9">
        <v>8</v>
      </c>
      <c r="G33" s="15">
        <v>800</v>
      </c>
      <c r="H33" s="8">
        <v>0.7</v>
      </c>
      <c r="I33" s="9">
        <f t="shared" si="0"/>
        <v>560</v>
      </c>
      <c r="J33" s="10"/>
      <c r="K33" s="3" t="str">
        <f>IF(ISERROR(VLOOKUP(C33,[1]작가별정산률!$R:$S,2,0)),"스토리위즈",VLOOKUP(C33,[1]작가별정산률!$R:$S,2,0))</f>
        <v>스토리위즈</v>
      </c>
      <c r="L33" s="3" t="str">
        <f>IF(K33="스토리위즈",VLOOKUP(C33,[1]작가별정산률!$A:$B,2,0),K33)</f>
        <v>Livingston</v>
      </c>
    </row>
    <row r="34" spans="1:12" x14ac:dyDescent="0.4">
      <c r="A34" s="10">
        <f t="shared" si="1"/>
        <v>33</v>
      </c>
      <c r="B34" s="11" t="s">
        <v>13</v>
      </c>
      <c r="C34" s="10" t="s">
        <v>42</v>
      </c>
      <c r="D34" s="10" t="s">
        <v>2</v>
      </c>
      <c r="E34" s="10" t="s">
        <v>43</v>
      </c>
      <c r="F34" s="9">
        <v>243</v>
      </c>
      <c r="G34" s="14">
        <v>24300</v>
      </c>
      <c r="H34" s="8">
        <v>0.7</v>
      </c>
      <c r="I34" s="9">
        <f t="shared" si="0"/>
        <v>17010</v>
      </c>
      <c r="J34" s="10"/>
      <c r="K34" s="3" t="str">
        <f>IF(ISERROR(VLOOKUP(C34,[1]작가별정산률!$R:$S,2,0)),"스토리위즈",VLOOKUP(C34,[1]작가별정산률!$R:$S,2,0))</f>
        <v>더컴퍼니</v>
      </c>
      <c r="L34" s="3" t="str">
        <f>IF(K34="스토리위즈",VLOOKUP(C34,[1]작가별정산률!$A:$B,2,0),K34)</f>
        <v>더컴퍼니</v>
      </c>
    </row>
    <row r="35" spans="1:12" x14ac:dyDescent="0.4">
      <c r="A35" s="10">
        <f t="shared" si="1"/>
        <v>34</v>
      </c>
      <c r="B35" s="11" t="s">
        <v>91</v>
      </c>
      <c r="C35" s="10" t="s">
        <v>44</v>
      </c>
      <c r="D35" s="10" t="s">
        <v>2</v>
      </c>
      <c r="E35" s="10" t="s">
        <v>45</v>
      </c>
      <c r="F35" s="9">
        <v>50</v>
      </c>
      <c r="G35" s="14">
        <v>5000</v>
      </c>
      <c r="H35" s="8">
        <v>0.7</v>
      </c>
      <c r="I35" s="9">
        <f t="shared" si="0"/>
        <v>3500</v>
      </c>
      <c r="J35" s="10"/>
      <c r="K35" s="3" t="str">
        <f>IF(ISERROR(VLOOKUP(C35,[1]작가별정산률!$R:$S,2,0)),"스토리위즈",VLOOKUP(C35,[1]작가별정산률!$R:$S,2,0))</f>
        <v>더컴퍼니</v>
      </c>
      <c r="L35" s="3" t="str">
        <f>IF(K35="스토리위즈",VLOOKUP(C35,[1]작가별정산률!$A:$B,2,0),K35)</f>
        <v>더컴퍼니</v>
      </c>
    </row>
    <row r="36" spans="1:12" x14ac:dyDescent="0.4">
      <c r="A36" s="10">
        <f t="shared" si="1"/>
        <v>35</v>
      </c>
      <c r="B36" s="11" t="s">
        <v>13</v>
      </c>
      <c r="C36" s="10" t="s">
        <v>46</v>
      </c>
      <c r="D36" s="10" t="s">
        <v>2</v>
      </c>
      <c r="E36" s="10" t="s">
        <v>47</v>
      </c>
      <c r="F36" s="9">
        <v>19</v>
      </c>
      <c r="G36" s="14">
        <v>1900</v>
      </c>
      <c r="H36" s="8">
        <v>0.7</v>
      </c>
      <c r="I36" s="9">
        <f t="shared" si="0"/>
        <v>1330</v>
      </c>
      <c r="J36" s="10"/>
      <c r="K36" s="3" t="str">
        <f>IF(ISERROR(VLOOKUP(C36,[1]작가별정산률!$R:$S,2,0)),"스토리위즈",VLOOKUP(C36,[1]작가별정산률!$R:$S,2,0))</f>
        <v>더컴퍼니</v>
      </c>
      <c r="L36" s="3" t="str">
        <f>IF(K36="스토리위즈",VLOOKUP(C36,[1]작가별정산률!$A:$B,2,0),K36)</f>
        <v>더컴퍼니</v>
      </c>
    </row>
    <row r="37" spans="1:12" x14ac:dyDescent="0.4">
      <c r="A37" s="10">
        <f t="shared" si="1"/>
        <v>36</v>
      </c>
      <c r="B37" s="11" t="s">
        <v>13</v>
      </c>
      <c r="C37" s="10" t="s">
        <v>21</v>
      </c>
      <c r="D37" s="10" t="s">
        <v>2</v>
      </c>
      <c r="E37" s="10" t="s">
        <v>29</v>
      </c>
      <c r="F37" s="9">
        <v>131</v>
      </c>
      <c r="G37" s="14">
        <v>13100</v>
      </c>
      <c r="H37" s="8">
        <v>0.7</v>
      </c>
      <c r="I37" s="9">
        <f t="shared" si="0"/>
        <v>9170</v>
      </c>
      <c r="J37" s="10"/>
      <c r="K37" s="3" t="str">
        <f>IF(ISERROR(VLOOKUP(C37,[1]작가별정산률!$R:$S,2,0)),"스토리위즈",VLOOKUP(C37,[1]작가별정산률!$R:$S,2,0))</f>
        <v>에필로그</v>
      </c>
      <c r="L37" s="3" t="str">
        <f>IF(K37="스토리위즈",VLOOKUP(C37,[1]작가별정산률!$A:$B,2,0),K37)</f>
        <v>에필로그</v>
      </c>
    </row>
    <row r="38" spans="1:12" x14ac:dyDescent="0.4">
      <c r="A38" s="10">
        <f t="shared" si="1"/>
        <v>37</v>
      </c>
      <c r="B38" s="11" t="s">
        <v>13</v>
      </c>
      <c r="C38" s="10" t="s">
        <v>21</v>
      </c>
      <c r="D38" s="10" t="s">
        <v>2</v>
      </c>
      <c r="E38" s="10" t="s">
        <v>30</v>
      </c>
      <c r="F38" s="9">
        <v>95</v>
      </c>
      <c r="G38" s="14">
        <v>9500</v>
      </c>
      <c r="H38" s="8">
        <v>0.7</v>
      </c>
      <c r="I38" s="9">
        <f t="shared" si="0"/>
        <v>6650</v>
      </c>
      <c r="J38" s="10"/>
      <c r="K38" s="3" t="str">
        <f>IF(ISERROR(VLOOKUP(C38,[1]작가별정산률!$R:$S,2,0)),"스토리위즈",VLOOKUP(C38,[1]작가별정산률!$R:$S,2,0))</f>
        <v>에필로그</v>
      </c>
      <c r="L38" s="3" t="str">
        <f>IF(K38="스토리위즈",VLOOKUP(C38,[1]작가별정산률!$A:$B,2,0),K38)</f>
        <v>에필로그</v>
      </c>
    </row>
    <row r="39" spans="1:12" x14ac:dyDescent="0.4">
      <c r="A39" s="10">
        <f t="shared" si="1"/>
        <v>38</v>
      </c>
      <c r="B39" s="11" t="s">
        <v>94</v>
      </c>
      <c r="C39" s="10" t="s">
        <v>21</v>
      </c>
      <c r="D39" s="10" t="s">
        <v>2</v>
      </c>
      <c r="E39" s="10" t="s">
        <v>48</v>
      </c>
      <c r="F39" s="9">
        <v>286</v>
      </c>
      <c r="G39" s="14">
        <v>28600</v>
      </c>
      <c r="H39" s="8">
        <v>0.7</v>
      </c>
      <c r="I39" s="9">
        <f t="shared" si="0"/>
        <v>20020</v>
      </c>
      <c r="J39" s="10"/>
      <c r="K39" s="3" t="str">
        <f>IF(ISERROR(VLOOKUP(C39,[1]작가별정산률!$R:$S,2,0)),"스토리위즈",VLOOKUP(C39,[1]작가별정산률!$R:$S,2,0))</f>
        <v>에필로그</v>
      </c>
      <c r="L39" s="3" t="str">
        <f>IF(K39="스토리위즈",VLOOKUP(C39,[1]작가별정산률!$A:$B,2,0),K39)</f>
        <v>에필로그</v>
      </c>
    </row>
    <row r="40" spans="1:12" x14ac:dyDescent="0.4">
      <c r="A40" s="10">
        <f t="shared" si="1"/>
        <v>39</v>
      </c>
      <c r="B40" s="11" t="s">
        <v>13</v>
      </c>
      <c r="C40" s="10" t="s">
        <v>14</v>
      </c>
      <c r="D40" s="10" t="s">
        <v>2</v>
      </c>
      <c r="E40" s="10" t="s">
        <v>49</v>
      </c>
      <c r="F40" s="9">
        <v>451</v>
      </c>
      <c r="G40" s="17">
        <v>45100</v>
      </c>
      <c r="H40" s="8">
        <v>0.7</v>
      </c>
      <c r="I40" s="9">
        <f t="shared" si="0"/>
        <v>31569.999999999996</v>
      </c>
      <c r="J40" s="10"/>
      <c r="K40" s="3" t="str">
        <f>IF(ISERROR(VLOOKUP(C40,[1]작가별정산률!$R:$S,2,0)),"스토리위즈",VLOOKUP(C40,[1]작가별정산률!$R:$S,2,0))</f>
        <v>에필로그</v>
      </c>
      <c r="L40" s="3" t="str">
        <f>IF(K40="스토리위즈",VLOOKUP(C40,[1]작가별정산률!$A:$B,2,0),K40)</f>
        <v>에필로그</v>
      </c>
    </row>
    <row r="41" spans="1:12" x14ac:dyDescent="0.4">
      <c r="A41" s="10">
        <f t="shared" si="1"/>
        <v>40</v>
      </c>
      <c r="B41" s="11" t="s">
        <v>13</v>
      </c>
      <c r="C41" s="10" t="s">
        <v>14</v>
      </c>
      <c r="D41" s="10" t="s">
        <v>2</v>
      </c>
      <c r="E41" s="10" t="s">
        <v>50</v>
      </c>
      <c r="F41" s="9">
        <v>350</v>
      </c>
      <c r="G41" s="17">
        <v>35000</v>
      </c>
      <c r="H41" s="8">
        <v>0.7</v>
      </c>
      <c r="I41" s="9">
        <f t="shared" si="0"/>
        <v>24500</v>
      </c>
      <c r="J41" s="10"/>
      <c r="K41" s="3" t="str">
        <f>IF(ISERROR(VLOOKUP(C41,[1]작가별정산률!$R:$S,2,0)),"스토리위즈",VLOOKUP(C41,[1]작가별정산률!$R:$S,2,0))</f>
        <v>에필로그</v>
      </c>
      <c r="L41" s="3" t="str">
        <f>IF(K41="스토리위즈",VLOOKUP(C41,[1]작가별정산률!$A:$B,2,0),K41)</f>
        <v>에필로그</v>
      </c>
    </row>
    <row r="42" spans="1:12" x14ac:dyDescent="0.4">
      <c r="A42" s="10">
        <f t="shared" si="1"/>
        <v>41</v>
      </c>
      <c r="B42" s="11" t="s">
        <v>13</v>
      </c>
      <c r="C42" s="10" t="s">
        <v>51</v>
      </c>
      <c r="D42" s="10" t="s">
        <v>2</v>
      </c>
      <c r="E42" s="10" t="s">
        <v>52</v>
      </c>
      <c r="F42" s="9">
        <v>543</v>
      </c>
      <c r="G42" s="17">
        <v>54300</v>
      </c>
      <c r="H42" s="8">
        <v>0.7</v>
      </c>
      <c r="I42" s="9">
        <f t="shared" si="0"/>
        <v>38010</v>
      </c>
      <c r="J42" s="10"/>
      <c r="K42" s="3" t="str">
        <f>IF(ISERROR(VLOOKUP(C42,[1]작가별정산률!$R:$S,2,0)),"스토리위즈",VLOOKUP(C42,[1]작가별정산률!$R:$S,2,0))</f>
        <v>스토리위즈</v>
      </c>
      <c r="L42" s="3" t="str">
        <f>IF(K42="스토리위즈",VLOOKUP(C42,[1]작가별정산률!$A:$B,2,0),K42)</f>
        <v>이린비</v>
      </c>
    </row>
    <row r="43" spans="1:12" x14ac:dyDescent="0.4">
      <c r="A43" s="10">
        <f t="shared" si="1"/>
        <v>42</v>
      </c>
      <c r="B43" s="11" t="s">
        <v>13</v>
      </c>
      <c r="C43" s="10" t="s">
        <v>53</v>
      </c>
      <c r="D43" s="10" t="s">
        <v>2</v>
      </c>
      <c r="E43" s="10" t="s">
        <v>54</v>
      </c>
      <c r="F43" s="9">
        <v>22</v>
      </c>
      <c r="G43" s="17">
        <v>2200</v>
      </c>
      <c r="H43" s="8">
        <v>0.7</v>
      </c>
      <c r="I43" s="9">
        <f t="shared" si="0"/>
        <v>1540</v>
      </c>
      <c r="J43" s="10"/>
      <c r="K43" s="3" t="str">
        <f>IF(ISERROR(VLOOKUP(C43,[1]작가별정산률!$R:$S,2,0)),"스토리위즈",VLOOKUP(C43,[1]작가별정산률!$R:$S,2,0))</f>
        <v>스토리위즈</v>
      </c>
      <c r="L43" s="3" t="str">
        <f>IF(K43="스토리위즈",VLOOKUP(C43,[1]작가별정산률!$A:$B,2,0),K43)</f>
        <v>윤비밀</v>
      </c>
    </row>
    <row r="44" spans="1:12" x14ac:dyDescent="0.4">
      <c r="A44" s="10">
        <f t="shared" si="1"/>
        <v>43</v>
      </c>
      <c r="B44" s="11" t="s">
        <v>13</v>
      </c>
      <c r="C44" s="10" t="s">
        <v>95</v>
      </c>
      <c r="D44" s="10" t="s">
        <v>2</v>
      </c>
      <c r="E44" s="10" t="s">
        <v>96</v>
      </c>
      <c r="F44" s="9">
        <v>3365</v>
      </c>
      <c r="G44" s="17">
        <v>336500</v>
      </c>
      <c r="H44" s="8">
        <v>0.7</v>
      </c>
      <c r="I44" s="9">
        <f t="shared" si="0"/>
        <v>235549.99999999997</v>
      </c>
      <c r="J44" s="10"/>
      <c r="K44" s="3" t="str">
        <f>IF(ISERROR(VLOOKUP(C44,[1]작가별정산률!$R:$S,2,0)),"스토리위즈",VLOOKUP(C44,[1]작가별정산률!$R:$S,2,0))</f>
        <v>스토리위즈</v>
      </c>
      <c r="L44" s="3" t="str">
        <f>IF(K44="스토리위즈",VLOOKUP(C44,[1]작가별정산률!$A:$B,2,0),K44)</f>
        <v>윈델</v>
      </c>
    </row>
    <row r="45" spans="1:12" x14ac:dyDescent="0.4">
      <c r="A45" s="10">
        <f t="shared" si="1"/>
        <v>44</v>
      </c>
      <c r="B45" s="11" t="s">
        <v>13</v>
      </c>
      <c r="C45" s="10" t="s">
        <v>97</v>
      </c>
      <c r="D45" s="10" t="s">
        <v>2</v>
      </c>
      <c r="E45" s="10" t="s">
        <v>98</v>
      </c>
      <c r="F45" s="9">
        <v>1110</v>
      </c>
      <c r="G45" s="17">
        <v>111000</v>
      </c>
      <c r="H45" s="8">
        <v>0.7</v>
      </c>
      <c r="I45" s="9">
        <f t="shared" si="0"/>
        <v>77700</v>
      </c>
      <c r="J45" s="10"/>
      <c r="K45" s="3" t="str">
        <f>IF(ISERROR(VLOOKUP(C45,[1]작가별정산률!$R:$S,2,0)),"스토리위즈",VLOOKUP(C45,[1]작가별정산률!$R:$S,2,0))</f>
        <v>더컴퍼니</v>
      </c>
      <c r="L45" s="3" t="str">
        <f>IF(K45="스토리위즈",VLOOKUP(C45,[1]작가별정산률!$A:$B,2,0),K45)</f>
        <v>더컴퍼니</v>
      </c>
    </row>
    <row r="46" spans="1:12" x14ac:dyDescent="0.4">
      <c r="A46" s="10">
        <f t="shared" si="1"/>
        <v>45</v>
      </c>
      <c r="B46" s="11" t="s">
        <v>91</v>
      </c>
      <c r="C46" s="10" t="s">
        <v>55</v>
      </c>
      <c r="D46" s="10" t="s">
        <v>2</v>
      </c>
      <c r="E46" s="10" t="s">
        <v>56</v>
      </c>
      <c r="F46" s="9">
        <v>1733</v>
      </c>
      <c r="G46" s="17">
        <v>173300</v>
      </c>
      <c r="H46" s="8">
        <v>0.7</v>
      </c>
      <c r="I46" s="9">
        <f t="shared" si="0"/>
        <v>121309.99999999999</v>
      </c>
      <c r="J46" s="10"/>
      <c r="K46" s="3" t="str">
        <f>IF(ISERROR(VLOOKUP(C46,[1]작가별정산률!$R:$S,2,0)),"스토리위즈",VLOOKUP(C46,[1]작가별정산률!$R:$S,2,0))</f>
        <v>더컴퍼니</v>
      </c>
      <c r="L46" s="3" t="str">
        <f>IF(K46="스토리위즈",VLOOKUP(C46,[1]작가별정산률!$A:$B,2,0),K46)</f>
        <v>더컴퍼니</v>
      </c>
    </row>
    <row r="47" spans="1:12" x14ac:dyDescent="0.4">
      <c r="A47" s="10">
        <f t="shared" si="1"/>
        <v>46</v>
      </c>
      <c r="B47" s="11" t="s">
        <v>13</v>
      </c>
      <c r="C47" s="10" t="s">
        <v>57</v>
      </c>
      <c r="D47" s="10" t="s">
        <v>2</v>
      </c>
      <c r="E47" s="10" t="s">
        <v>58</v>
      </c>
      <c r="F47" s="9">
        <v>35</v>
      </c>
      <c r="G47" s="17">
        <v>3500</v>
      </c>
      <c r="H47" s="8">
        <v>0.7</v>
      </c>
      <c r="I47" s="9">
        <f t="shared" si="0"/>
        <v>2450</v>
      </c>
      <c r="J47" s="10"/>
      <c r="K47" s="3" t="str">
        <f>IF(ISERROR(VLOOKUP(C47,[1]작가별정산률!$R:$S,2,0)),"스토리위즈",VLOOKUP(C47,[1]작가별정산률!$R:$S,2,0))</f>
        <v>더컴퍼니</v>
      </c>
      <c r="L47" s="3" t="str">
        <f>IF(K47="스토리위즈",VLOOKUP(C47,[1]작가별정산률!$A:$B,2,0),K47)</f>
        <v>더컴퍼니</v>
      </c>
    </row>
    <row r="48" spans="1:12" x14ac:dyDescent="0.4">
      <c r="A48" s="10">
        <f t="shared" si="1"/>
        <v>47</v>
      </c>
      <c r="B48" s="11" t="s">
        <v>91</v>
      </c>
      <c r="C48" s="10" t="s">
        <v>59</v>
      </c>
      <c r="D48" s="10" t="s">
        <v>2</v>
      </c>
      <c r="E48" s="10" t="s">
        <v>60</v>
      </c>
      <c r="F48" s="9">
        <v>644</v>
      </c>
      <c r="G48" s="17">
        <v>64400</v>
      </c>
      <c r="H48" s="8">
        <v>0.7</v>
      </c>
      <c r="I48" s="9">
        <f t="shared" si="0"/>
        <v>45080</v>
      </c>
      <c r="J48" s="10"/>
      <c r="K48" s="3" t="str">
        <f>IF(ISERROR(VLOOKUP(C48,[1]작가별정산률!$R:$S,2,0)),"스토리위즈",VLOOKUP(C48,[1]작가별정산률!$R:$S,2,0))</f>
        <v>더컴퍼니</v>
      </c>
      <c r="L48" s="3" t="str">
        <f>IF(K48="스토리위즈",VLOOKUP(C48,[1]작가별정산률!$A:$B,2,0),K48)</f>
        <v>더컴퍼니</v>
      </c>
    </row>
    <row r="49" spans="1:12" x14ac:dyDescent="0.4">
      <c r="A49" s="10">
        <f t="shared" si="1"/>
        <v>48</v>
      </c>
      <c r="B49" s="11" t="s">
        <v>13</v>
      </c>
      <c r="C49" s="10" t="s">
        <v>86</v>
      </c>
      <c r="D49" s="10" t="s">
        <v>2</v>
      </c>
      <c r="E49" s="10" t="s">
        <v>99</v>
      </c>
      <c r="F49" s="9">
        <v>679</v>
      </c>
      <c r="G49" s="17">
        <v>67900</v>
      </c>
      <c r="H49" s="8">
        <v>0.7</v>
      </c>
      <c r="I49" s="9">
        <f t="shared" si="0"/>
        <v>47530</v>
      </c>
      <c r="J49" s="10"/>
      <c r="K49" s="3" t="str">
        <f>IF(ISERROR(VLOOKUP(C49,[1]작가별정산률!$R:$S,2,0)),"스토리위즈",VLOOKUP(C49,[1]작가별정산률!$R:$S,2,0))</f>
        <v>더컴퍼니</v>
      </c>
      <c r="L49" s="3" t="str">
        <f>IF(K49="스토리위즈",VLOOKUP(C49,[1]작가별정산률!$A:$B,2,0),K49)</f>
        <v>더컴퍼니</v>
      </c>
    </row>
    <row r="50" spans="1:12" x14ac:dyDescent="0.4">
      <c r="A50" s="10">
        <f t="shared" si="1"/>
        <v>49</v>
      </c>
      <c r="B50" s="11" t="s">
        <v>91</v>
      </c>
      <c r="C50" s="10" t="s">
        <v>55</v>
      </c>
      <c r="D50" s="10" t="s">
        <v>2</v>
      </c>
      <c r="E50" s="10" t="s">
        <v>100</v>
      </c>
      <c r="F50" s="9">
        <v>99</v>
      </c>
      <c r="G50" s="17">
        <v>9900</v>
      </c>
      <c r="H50" s="8">
        <v>0.7</v>
      </c>
      <c r="I50" s="9">
        <f t="shared" si="0"/>
        <v>6930</v>
      </c>
      <c r="J50" s="10"/>
      <c r="K50" s="3" t="str">
        <f>IF(ISERROR(VLOOKUP(C50,[1]작가별정산률!$R:$S,2,0)),"스토리위즈",VLOOKUP(C50,[1]작가별정산률!$R:$S,2,0))</f>
        <v>더컴퍼니</v>
      </c>
      <c r="L50" s="3" t="str">
        <f>IF(K50="스토리위즈",VLOOKUP(C50,[1]작가별정산률!$A:$B,2,0),K50)</f>
        <v>더컴퍼니</v>
      </c>
    </row>
    <row r="51" spans="1:12" x14ac:dyDescent="0.4">
      <c r="A51" s="10">
        <f t="shared" si="1"/>
        <v>50</v>
      </c>
      <c r="B51" s="11" t="s">
        <v>91</v>
      </c>
      <c r="C51" s="10" t="s">
        <v>101</v>
      </c>
      <c r="D51" s="10" t="s">
        <v>2</v>
      </c>
      <c r="E51" s="10" t="s">
        <v>102</v>
      </c>
      <c r="F51" s="9">
        <v>33</v>
      </c>
      <c r="G51" s="17">
        <v>3300</v>
      </c>
      <c r="H51" s="8">
        <v>0.7</v>
      </c>
      <c r="I51" s="9">
        <f t="shared" si="0"/>
        <v>2310</v>
      </c>
      <c r="J51" s="10"/>
      <c r="K51" s="3" t="str">
        <f>IF(ISERROR(VLOOKUP(C51,[1]작가별정산률!$R:$S,2,0)),"스토리위즈",VLOOKUP(C51,[1]작가별정산률!$R:$S,2,0))</f>
        <v>스토리위즈</v>
      </c>
      <c r="L51" s="3" t="str">
        <f>IF(K51="스토리위즈",VLOOKUP(C51,[1]작가별정산률!$A:$B,2,0),K51)</f>
        <v>스내치</v>
      </c>
    </row>
    <row r="52" spans="1:12" x14ac:dyDescent="0.4">
      <c r="A52" s="10">
        <f t="shared" si="1"/>
        <v>51</v>
      </c>
      <c r="B52" s="11" t="s">
        <v>91</v>
      </c>
      <c r="C52" s="10" t="s">
        <v>103</v>
      </c>
      <c r="D52" s="10" t="s">
        <v>2</v>
      </c>
      <c r="E52" s="10" t="s">
        <v>104</v>
      </c>
      <c r="F52" s="9">
        <v>122</v>
      </c>
      <c r="G52" s="17">
        <v>12200</v>
      </c>
      <c r="H52" s="8">
        <v>0.7</v>
      </c>
      <c r="I52" s="9">
        <f t="shared" si="0"/>
        <v>8540</v>
      </c>
      <c r="J52" s="10"/>
      <c r="K52" s="3" t="str">
        <f>IF(ISERROR(VLOOKUP(C52,[1]작가별정산률!$R:$S,2,0)),"스토리위즈",VLOOKUP(C52,[1]작가별정산률!$R:$S,2,0))</f>
        <v>스토리위즈</v>
      </c>
      <c r="L52" s="3" t="str">
        <f>IF(K52="스토리위즈",VLOOKUP(C52,[1]작가별정산률!$A:$B,2,0),K52)</f>
        <v>진숙</v>
      </c>
    </row>
    <row r="53" spans="1:12" x14ac:dyDescent="0.4">
      <c r="A53" s="10">
        <f t="shared" si="1"/>
        <v>52</v>
      </c>
      <c r="B53" s="11" t="s">
        <v>13</v>
      </c>
      <c r="C53" s="10" t="s">
        <v>105</v>
      </c>
      <c r="D53" s="10" t="s">
        <v>2</v>
      </c>
      <c r="E53" s="10" t="s">
        <v>106</v>
      </c>
      <c r="F53" s="9">
        <v>298</v>
      </c>
      <c r="G53" s="17">
        <v>29800</v>
      </c>
      <c r="H53" s="8">
        <v>0.7</v>
      </c>
      <c r="I53" s="9">
        <f t="shared" si="0"/>
        <v>20860</v>
      </c>
      <c r="J53" s="10"/>
      <c r="K53" s="3" t="str">
        <f>IF(ISERROR(VLOOKUP(C53,[1]작가별정산률!$R:$S,2,0)),"스토리위즈",VLOOKUP(C53,[1]작가별정산률!$R:$S,2,0))</f>
        <v>스토리위즈</v>
      </c>
      <c r="L53" s="3" t="str">
        <f>IF(K53="스토리위즈",VLOOKUP(C53,[1]작가별정산률!$A:$B,2,0),K53)</f>
        <v>차홍주</v>
      </c>
    </row>
    <row r="54" spans="1:12" x14ac:dyDescent="0.4">
      <c r="A54" s="10">
        <f t="shared" si="1"/>
        <v>53</v>
      </c>
      <c r="B54" s="11" t="s">
        <v>13</v>
      </c>
      <c r="C54" s="10" t="s">
        <v>107</v>
      </c>
      <c r="D54" s="10" t="s">
        <v>2</v>
      </c>
      <c r="E54" s="10" t="s">
        <v>108</v>
      </c>
      <c r="F54" s="9">
        <v>573</v>
      </c>
      <c r="G54" s="17">
        <v>57300</v>
      </c>
      <c r="H54" s="8">
        <v>0.7</v>
      </c>
      <c r="I54" s="9">
        <f t="shared" si="0"/>
        <v>40110</v>
      </c>
      <c r="J54" s="10"/>
      <c r="K54" s="3" t="str">
        <f>IF(ISERROR(VLOOKUP(C54,[1]작가별정산률!$R:$S,2,0)),"스토리위즈",VLOOKUP(C54,[1]작가별정산률!$R:$S,2,0))</f>
        <v>스토리위즈</v>
      </c>
      <c r="L54" s="3" t="str">
        <f>IF(K54="스토리위즈",VLOOKUP(C54,[1]작가별정산률!$A:$B,2,0),K54)</f>
        <v>DION(디온)</v>
      </c>
    </row>
    <row r="55" spans="1:12" x14ac:dyDescent="0.4">
      <c r="A55" s="10">
        <f t="shared" si="1"/>
        <v>54</v>
      </c>
      <c r="B55" s="11" t="s">
        <v>13</v>
      </c>
      <c r="C55" s="10" t="s">
        <v>42</v>
      </c>
      <c r="D55" s="10" t="s">
        <v>2</v>
      </c>
      <c r="E55" s="10" t="s">
        <v>109</v>
      </c>
      <c r="F55" s="9">
        <v>44</v>
      </c>
      <c r="G55" s="17">
        <v>4400</v>
      </c>
      <c r="H55" s="8">
        <v>0.7</v>
      </c>
      <c r="I55" s="9">
        <f t="shared" si="0"/>
        <v>3080</v>
      </c>
      <c r="J55" s="10"/>
      <c r="K55" s="3" t="str">
        <f>IF(ISERROR(VLOOKUP(C55,[1]작가별정산률!$R:$S,2,0)),"스토리위즈",VLOOKUP(C55,[1]작가별정산률!$R:$S,2,0))</f>
        <v>더컴퍼니</v>
      </c>
      <c r="L55" s="3" t="str">
        <f>IF(K55="스토리위즈",VLOOKUP(C55,[1]작가별정산률!$A:$B,2,0),K55)</f>
        <v>더컴퍼니</v>
      </c>
    </row>
    <row r="56" spans="1:12" x14ac:dyDescent="0.4">
      <c r="A56" s="10">
        <f t="shared" si="1"/>
        <v>55</v>
      </c>
      <c r="B56" s="11" t="s">
        <v>13</v>
      </c>
      <c r="C56" s="10" t="s">
        <v>110</v>
      </c>
      <c r="D56" s="10" t="s">
        <v>2</v>
      </c>
      <c r="E56" s="10" t="s">
        <v>111</v>
      </c>
      <c r="F56" s="9">
        <v>43</v>
      </c>
      <c r="G56" s="17">
        <v>4300</v>
      </c>
      <c r="H56" s="8">
        <v>0.7</v>
      </c>
      <c r="I56" s="9">
        <f t="shared" si="0"/>
        <v>3010</v>
      </c>
      <c r="J56" s="10"/>
      <c r="K56" s="3" t="str">
        <f>IF(ISERROR(VLOOKUP(C56,[1]작가별정산률!$R:$S,2,0)),"스토리위즈",VLOOKUP(C56,[1]작가별정산률!$R:$S,2,0))</f>
        <v>더컴퍼니</v>
      </c>
      <c r="L56" s="3" t="str">
        <f>IF(K56="스토리위즈",VLOOKUP(C56,[1]작가별정산률!$A:$B,2,0),K56)</f>
        <v>더컴퍼니</v>
      </c>
    </row>
    <row r="57" spans="1:12" x14ac:dyDescent="0.4">
      <c r="A57" s="10">
        <f t="shared" si="1"/>
        <v>56</v>
      </c>
      <c r="B57" s="11" t="s">
        <v>13</v>
      </c>
      <c r="C57" s="10" t="s">
        <v>112</v>
      </c>
      <c r="D57" s="10" t="s">
        <v>2</v>
      </c>
      <c r="E57" s="10" t="s">
        <v>113</v>
      </c>
      <c r="F57" s="9">
        <v>6</v>
      </c>
      <c r="G57" s="17">
        <v>600</v>
      </c>
      <c r="H57" s="8">
        <v>0.7</v>
      </c>
      <c r="I57" s="9">
        <f t="shared" si="0"/>
        <v>420</v>
      </c>
      <c r="J57" s="10"/>
      <c r="K57" s="3" t="str">
        <f>IF(ISERROR(VLOOKUP(C57,[1]작가별정산률!$R:$S,2,0)),"스토리위즈",VLOOKUP(C57,[1]작가별정산률!$R:$S,2,0))</f>
        <v>더컴퍼니</v>
      </c>
      <c r="L57" s="3" t="str">
        <f>IF(K57="스토리위즈",VLOOKUP(C57,[1]작가별정산률!$A:$B,2,0),K57)</f>
        <v>더컴퍼니</v>
      </c>
    </row>
    <row r="58" spans="1:12" x14ac:dyDescent="0.4">
      <c r="A58" s="10">
        <f t="shared" si="1"/>
        <v>57</v>
      </c>
      <c r="B58" s="11" t="s">
        <v>91</v>
      </c>
      <c r="C58" s="10" t="s">
        <v>114</v>
      </c>
      <c r="D58" s="10" t="s">
        <v>2</v>
      </c>
      <c r="E58" s="10" t="s">
        <v>115</v>
      </c>
      <c r="F58" s="9">
        <v>11</v>
      </c>
      <c r="G58" s="17">
        <v>1100</v>
      </c>
      <c r="H58" s="8">
        <v>0.7</v>
      </c>
      <c r="I58" s="9">
        <f t="shared" si="0"/>
        <v>770</v>
      </c>
      <c r="J58" s="10"/>
      <c r="K58" s="3" t="str">
        <f>IF(ISERROR(VLOOKUP(C58,[1]작가별정산률!$R:$S,2,0)),"스토리위즈",VLOOKUP(C58,[1]작가별정산률!$R:$S,2,0))</f>
        <v>스토리위즈</v>
      </c>
      <c r="L58" s="3" t="str">
        <f>IF(K58="스토리위즈",VLOOKUP(C58,[1]작가별정산률!$A:$B,2,0),K58)</f>
        <v>김광수</v>
      </c>
    </row>
    <row r="59" spans="1:12" x14ac:dyDescent="0.4">
      <c r="A59" s="10">
        <f t="shared" si="1"/>
        <v>58</v>
      </c>
      <c r="B59" s="11" t="s">
        <v>13</v>
      </c>
      <c r="C59" s="10" t="s">
        <v>114</v>
      </c>
      <c r="D59" s="10" t="s">
        <v>2</v>
      </c>
      <c r="E59" s="10" t="s">
        <v>116</v>
      </c>
      <c r="F59" s="9">
        <v>3050</v>
      </c>
      <c r="G59" s="17">
        <v>305000</v>
      </c>
      <c r="H59" s="8">
        <v>0.7</v>
      </c>
      <c r="I59" s="9">
        <f t="shared" si="0"/>
        <v>213500</v>
      </c>
      <c r="J59" s="10"/>
      <c r="K59" s="3" t="str">
        <f>IF(ISERROR(VLOOKUP(C59,[1]작가별정산률!$R:$S,2,0)),"스토리위즈",VLOOKUP(C59,[1]작가별정산률!$R:$S,2,0))</f>
        <v>스토리위즈</v>
      </c>
      <c r="L59" s="3" t="str">
        <f>IF(K59="스토리위즈",VLOOKUP(C59,[1]작가별정산률!$A:$B,2,0),K59)</f>
        <v>김광수</v>
      </c>
    </row>
    <row r="60" spans="1:12" x14ac:dyDescent="0.4">
      <c r="A60" s="10">
        <f t="shared" si="1"/>
        <v>59</v>
      </c>
      <c r="B60" s="11" t="s">
        <v>13</v>
      </c>
      <c r="C60" s="10" t="s">
        <v>117</v>
      </c>
      <c r="D60" s="10" t="s">
        <v>2</v>
      </c>
      <c r="E60" s="10" t="s">
        <v>118</v>
      </c>
      <c r="F60" s="9">
        <v>502</v>
      </c>
      <c r="G60" s="17">
        <v>50200</v>
      </c>
      <c r="H60" s="8">
        <v>0.7</v>
      </c>
      <c r="I60" s="9">
        <f t="shared" si="0"/>
        <v>35140</v>
      </c>
      <c r="J60" s="10"/>
      <c r="K60" s="3" t="str">
        <f>IF(ISERROR(VLOOKUP(C60,[1]작가별정산률!$R:$S,2,0)),"스토리위즈",VLOOKUP(C60,[1]작가별정산률!$R:$S,2,0))</f>
        <v>스토리위즈</v>
      </c>
      <c r="L60" s="3" t="str">
        <f>IF(K60="스토리위즈",VLOOKUP(C60,[1]작가별정산률!$A:$B,2,0),K60)</f>
        <v>독고진</v>
      </c>
    </row>
    <row r="61" spans="1:12" x14ac:dyDescent="0.4">
      <c r="A61" s="10">
        <f t="shared" si="1"/>
        <v>60</v>
      </c>
      <c r="B61" s="11" t="s">
        <v>13</v>
      </c>
      <c r="C61" s="10" t="s">
        <v>119</v>
      </c>
      <c r="D61" s="10" t="s">
        <v>2</v>
      </c>
      <c r="E61" s="10" t="s">
        <v>120</v>
      </c>
      <c r="F61" s="9">
        <v>180</v>
      </c>
      <c r="G61" s="17">
        <v>18000</v>
      </c>
      <c r="H61" s="8">
        <v>0.7</v>
      </c>
      <c r="I61" s="9">
        <f t="shared" si="0"/>
        <v>12600</v>
      </c>
      <c r="J61" s="10"/>
      <c r="K61" s="3" t="str">
        <f>IF(ISERROR(VLOOKUP(C61,[1]작가별정산률!$R:$S,2,0)),"스토리위즈",VLOOKUP(C61,[1]작가별정산률!$R:$S,2,0))</f>
        <v>스토리위즈</v>
      </c>
      <c r="L61" s="3" t="str">
        <f>IF(K61="스토리위즈",VLOOKUP(C61,[1]작가별정산률!$A:$B,2,0),K61)</f>
        <v>이동열</v>
      </c>
    </row>
    <row r="62" spans="1:12" x14ac:dyDescent="0.4">
      <c r="A62" s="10">
        <f t="shared" si="1"/>
        <v>61</v>
      </c>
      <c r="B62" s="11" t="s">
        <v>13</v>
      </c>
      <c r="C62" s="10" t="s">
        <v>121</v>
      </c>
      <c r="D62" s="10" t="s">
        <v>2</v>
      </c>
      <c r="E62" s="10" t="s">
        <v>122</v>
      </c>
      <c r="F62" s="9">
        <v>158</v>
      </c>
      <c r="G62" s="17">
        <v>15800</v>
      </c>
      <c r="H62" s="8">
        <v>0.7</v>
      </c>
      <c r="I62" s="9">
        <f t="shared" si="0"/>
        <v>11060</v>
      </c>
      <c r="J62" s="10" t="s">
        <v>61</v>
      </c>
      <c r="K62" s="3" t="str">
        <f>IF(ISERROR(VLOOKUP(C62,[1]작가별정산률!$R:$S,2,0)),"스토리위즈",VLOOKUP(C62,[1]작가별정산률!$R:$S,2,0))</f>
        <v>에필로그</v>
      </c>
      <c r="L62" s="3" t="str">
        <f>IF(K62="스토리위즈",VLOOKUP(C62,[1]작가별정산률!$A:$B,2,0),K62)</f>
        <v>에필로그</v>
      </c>
    </row>
    <row r="63" spans="1:12" x14ac:dyDescent="0.4">
      <c r="A63" s="10">
        <f t="shared" si="1"/>
        <v>62</v>
      </c>
      <c r="B63" s="11" t="s">
        <v>13</v>
      </c>
      <c r="C63" s="10" t="s">
        <v>123</v>
      </c>
      <c r="D63" s="10" t="s">
        <v>2</v>
      </c>
      <c r="E63" s="10" t="s">
        <v>124</v>
      </c>
      <c r="F63" s="9">
        <v>67</v>
      </c>
      <c r="G63" s="17">
        <v>6700</v>
      </c>
      <c r="H63" s="8">
        <v>0.7</v>
      </c>
      <c r="I63" s="9">
        <f t="shared" si="0"/>
        <v>4690</v>
      </c>
      <c r="J63" s="10" t="s">
        <v>61</v>
      </c>
      <c r="K63" s="3" t="str">
        <f>IF(ISERROR(VLOOKUP(C63,[1]작가별정산률!$R:$S,2,0)),"스토리위즈",VLOOKUP(C63,[1]작가별정산률!$R:$S,2,0))</f>
        <v>스토리위즈</v>
      </c>
      <c r="L63" s="3" t="str">
        <f>IF(K63="스토리위즈",VLOOKUP(C63,[1]작가별정산률!$A:$B,2,0),K63)</f>
        <v>윤비밀</v>
      </c>
    </row>
    <row r="64" spans="1:12" x14ac:dyDescent="0.4">
      <c r="A64" s="10">
        <f t="shared" si="1"/>
        <v>63</v>
      </c>
      <c r="B64" s="11" t="s">
        <v>13</v>
      </c>
      <c r="C64" s="10" t="s">
        <v>125</v>
      </c>
      <c r="D64" s="10" t="s">
        <v>2</v>
      </c>
      <c r="E64" s="10" t="s">
        <v>126</v>
      </c>
      <c r="F64" s="9">
        <v>59</v>
      </c>
      <c r="G64" s="17">
        <v>5900</v>
      </c>
      <c r="H64" s="8">
        <v>0.7</v>
      </c>
      <c r="I64" s="9">
        <f t="shared" si="0"/>
        <v>4130</v>
      </c>
      <c r="J64" s="10" t="s">
        <v>61</v>
      </c>
      <c r="K64" s="3" t="str">
        <f>IF(ISERROR(VLOOKUP(C64,[1]작가별정산률!$R:$S,2,0)),"스토리위즈",VLOOKUP(C64,[1]작가별정산률!$R:$S,2,0))</f>
        <v>스토리위즈</v>
      </c>
      <c r="L64" s="3" t="str">
        <f>IF(K64="스토리위즈",VLOOKUP(C64,[1]작가별정산률!$A:$B,2,0),K64)</f>
        <v>무성매직</v>
      </c>
    </row>
    <row r="65" spans="1:12" x14ac:dyDescent="0.4">
      <c r="A65" s="10">
        <f t="shared" si="1"/>
        <v>64</v>
      </c>
      <c r="B65" s="11" t="s">
        <v>13</v>
      </c>
      <c r="C65" s="10" t="s">
        <v>127</v>
      </c>
      <c r="D65" s="10" t="s">
        <v>2</v>
      </c>
      <c r="E65" s="10" t="s">
        <v>128</v>
      </c>
      <c r="F65" s="9">
        <v>88</v>
      </c>
      <c r="G65" s="17">
        <v>8800</v>
      </c>
      <c r="H65" s="8">
        <v>0.7</v>
      </c>
      <c r="I65" s="9">
        <f t="shared" si="0"/>
        <v>6160</v>
      </c>
      <c r="J65" s="10" t="s">
        <v>61</v>
      </c>
      <c r="K65" s="3" t="str">
        <f>IF(ISERROR(VLOOKUP(C65,[1]작가별정산률!$R:$S,2,0)),"스토리위즈",VLOOKUP(C65,[1]작가별정산률!$R:$S,2,0))</f>
        <v>더컴퍼니</v>
      </c>
      <c r="L65" s="3" t="str">
        <f>IF(K65="스토리위즈",VLOOKUP(C65,[1]작가별정산률!$A:$B,2,0),K65)</f>
        <v>더컴퍼니</v>
      </c>
    </row>
    <row r="66" spans="1:12" x14ac:dyDescent="0.4">
      <c r="I66" s="16">
        <f>SUM(I2:I65)</f>
        <v>1276590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9"/>
  <sheetViews>
    <sheetView workbookViewId="0"/>
  </sheetViews>
  <sheetFormatPr defaultRowHeight="17.399999999999999" x14ac:dyDescent="0.4"/>
  <cols>
    <col min="1" max="2" width="5" bestFit="1" customWidth="1"/>
    <col min="3" max="3" width="21.296875" bestFit="1" customWidth="1"/>
    <col min="4" max="4" width="7.8984375" bestFit="1" customWidth="1"/>
    <col min="5" max="5" width="21.09765625" bestFit="1" customWidth="1"/>
    <col min="6" max="9" width="6.796875" bestFit="1" customWidth="1"/>
    <col min="10" max="10" width="5" bestFit="1" customWidth="1"/>
    <col min="11" max="11" width="10.3984375" bestFit="1" customWidth="1"/>
    <col min="12" max="12" width="7.5" bestFit="1" customWidth="1"/>
  </cols>
  <sheetData>
    <row r="1" spans="1:12" x14ac:dyDescent="0.4">
      <c r="A1" s="4" t="s">
        <v>5</v>
      </c>
      <c r="B1" s="4" t="s">
        <v>6</v>
      </c>
      <c r="C1" s="4" t="s">
        <v>7</v>
      </c>
      <c r="D1" s="4" t="s">
        <v>0</v>
      </c>
      <c r="E1" s="4" t="s">
        <v>1</v>
      </c>
      <c r="F1" s="4" t="s">
        <v>8</v>
      </c>
      <c r="G1" s="4" t="s">
        <v>9</v>
      </c>
      <c r="H1" s="5" t="s">
        <v>10</v>
      </c>
      <c r="I1" s="4" t="s">
        <v>11</v>
      </c>
      <c r="J1" s="4" t="s">
        <v>12</v>
      </c>
      <c r="K1" s="18" t="s">
        <v>129</v>
      </c>
      <c r="L1" s="19" t="s">
        <v>130</v>
      </c>
    </row>
    <row r="2" spans="1:12" x14ac:dyDescent="0.4">
      <c r="A2" s="6">
        <v>1</v>
      </c>
      <c r="B2" s="6" t="s">
        <v>62</v>
      </c>
      <c r="C2" s="6" t="s">
        <v>63</v>
      </c>
      <c r="D2" s="10" t="s">
        <v>2</v>
      </c>
      <c r="E2" s="6" t="s">
        <v>64</v>
      </c>
      <c r="F2" s="7">
        <v>82</v>
      </c>
      <c r="G2" s="7">
        <v>8200</v>
      </c>
      <c r="H2" s="8">
        <v>0.7</v>
      </c>
      <c r="I2" s="9">
        <v>5740</v>
      </c>
      <c r="J2" s="10"/>
      <c r="K2" s="3" t="s">
        <v>138</v>
      </c>
      <c r="L2" s="3" t="s">
        <v>131</v>
      </c>
    </row>
    <row r="3" spans="1:12" x14ac:dyDescent="0.4">
      <c r="A3" s="10">
        <v>2</v>
      </c>
      <c r="B3" s="6" t="s">
        <v>62</v>
      </c>
      <c r="C3" s="10" t="s">
        <v>65</v>
      </c>
      <c r="D3" s="10" t="s">
        <v>2</v>
      </c>
      <c r="E3" s="10" t="s">
        <v>66</v>
      </c>
      <c r="F3" s="12">
        <v>70</v>
      </c>
      <c r="G3" s="12">
        <v>7000</v>
      </c>
      <c r="H3" s="8">
        <v>0.7</v>
      </c>
      <c r="I3" s="9">
        <v>4900</v>
      </c>
      <c r="J3" s="10"/>
      <c r="K3" s="3" t="s">
        <v>138</v>
      </c>
      <c r="L3" s="3" t="s">
        <v>131</v>
      </c>
    </row>
    <row r="4" spans="1:12" x14ac:dyDescent="0.4">
      <c r="A4" s="10">
        <v>3</v>
      </c>
      <c r="B4" s="6" t="s">
        <v>62</v>
      </c>
      <c r="C4" s="10" t="s">
        <v>67</v>
      </c>
      <c r="D4" s="10" t="s">
        <v>2</v>
      </c>
      <c r="E4" s="10" t="s">
        <v>68</v>
      </c>
      <c r="F4" s="12">
        <v>65</v>
      </c>
      <c r="G4" s="12">
        <v>6500</v>
      </c>
      <c r="H4" s="8">
        <v>0.7</v>
      </c>
      <c r="I4" s="9">
        <v>4550</v>
      </c>
      <c r="J4" s="10"/>
      <c r="K4" s="3" t="s">
        <v>138</v>
      </c>
      <c r="L4" s="3" t="s">
        <v>131</v>
      </c>
    </row>
    <row r="5" spans="1:12" x14ac:dyDescent="0.4">
      <c r="A5" s="10">
        <v>4</v>
      </c>
      <c r="B5" s="6" t="s">
        <v>62</v>
      </c>
      <c r="C5" s="10" t="s">
        <v>70</v>
      </c>
      <c r="D5" s="10" t="s">
        <v>2</v>
      </c>
      <c r="E5" s="10" t="s">
        <v>71</v>
      </c>
      <c r="F5" s="12">
        <v>58</v>
      </c>
      <c r="G5" s="12">
        <v>5800</v>
      </c>
      <c r="H5" s="8">
        <v>0.7</v>
      </c>
      <c r="I5" s="9">
        <v>4059.9999999999995</v>
      </c>
      <c r="J5" s="10"/>
      <c r="K5" s="3" t="s">
        <v>138</v>
      </c>
      <c r="L5" s="3" t="s">
        <v>131</v>
      </c>
    </row>
    <row r="6" spans="1:12" x14ac:dyDescent="0.4">
      <c r="A6" s="10">
        <v>5</v>
      </c>
      <c r="B6" s="6" t="s">
        <v>62</v>
      </c>
      <c r="C6" s="10" t="s">
        <v>72</v>
      </c>
      <c r="D6" s="10" t="s">
        <v>2</v>
      </c>
      <c r="E6" s="10" t="s">
        <v>31</v>
      </c>
      <c r="F6" s="12">
        <v>26</v>
      </c>
      <c r="G6" s="12">
        <v>2600</v>
      </c>
      <c r="H6" s="8">
        <v>0.7</v>
      </c>
      <c r="I6" s="9">
        <v>1819.9999999999998</v>
      </c>
      <c r="J6" s="10"/>
      <c r="K6" s="3" t="s">
        <v>138</v>
      </c>
      <c r="L6" s="3" t="s">
        <v>131</v>
      </c>
    </row>
    <row r="7" spans="1:12" x14ac:dyDescent="0.4">
      <c r="A7" s="10">
        <v>6</v>
      </c>
      <c r="B7" s="6" t="s">
        <v>62</v>
      </c>
      <c r="C7" s="10" t="s">
        <v>73</v>
      </c>
      <c r="D7" s="10" t="s">
        <v>2</v>
      </c>
      <c r="E7" s="10" t="s">
        <v>74</v>
      </c>
      <c r="F7" s="12">
        <v>12</v>
      </c>
      <c r="G7" s="12">
        <v>1200</v>
      </c>
      <c r="H7" s="8">
        <v>0.7</v>
      </c>
      <c r="I7" s="9">
        <v>840</v>
      </c>
      <c r="J7" s="10"/>
      <c r="K7" s="3" t="s">
        <v>138</v>
      </c>
      <c r="L7" s="3" t="s">
        <v>131</v>
      </c>
    </row>
    <row r="8" spans="1:12" x14ac:dyDescent="0.4">
      <c r="A8" s="10">
        <v>11</v>
      </c>
      <c r="B8" s="6" t="s">
        <v>62</v>
      </c>
      <c r="C8" s="10" t="s">
        <v>82</v>
      </c>
      <c r="D8" s="10" t="s">
        <v>2</v>
      </c>
      <c r="E8" s="10" t="s">
        <v>83</v>
      </c>
      <c r="F8" s="12">
        <v>2</v>
      </c>
      <c r="G8" s="12">
        <v>200</v>
      </c>
      <c r="H8" s="8">
        <v>0.7</v>
      </c>
      <c r="I8" s="9">
        <v>140</v>
      </c>
      <c r="J8" s="10"/>
      <c r="K8" s="3" t="s">
        <v>138</v>
      </c>
      <c r="L8" s="3" t="s">
        <v>131</v>
      </c>
    </row>
    <row r="9" spans="1:12" x14ac:dyDescent="0.4">
      <c r="A9" s="10">
        <v>12</v>
      </c>
      <c r="B9" s="6" t="s">
        <v>62</v>
      </c>
      <c r="C9" s="10" t="s">
        <v>84</v>
      </c>
      <c r="D9" s="10" t="s">
        <v>2</v>
      </c>
      <c r="E9" s="10" t="s">
        <v>85</v>
      </c>
      <c r="F9" s="12">
        <v>1</v>
      </c>
      <c r="G9" s="12">
        <v>100</v>
      </c>
      <c r="H9" s="8">
        <v>0.7</v>
      </c>
      <c r="I9" s="9">
        <v>70</v>
      </c>
      <c r="J9" s="10"/>
      <c r="K9" s="3" t="s">
        <v>138</v>
      </c>
      <c r="L9" s="3" t="s">
        <v>131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3"/>
  <sheetViews>
    <sheetView workbookViewId="0"/>
  </sheetViews>
  <sheetFormatPr defaultRowHeight="17.399999999999999" x14ac:dyDescent="0.4"/>
  <cols>
    <col min="1" max="2" width="5" bestFit="1" customWidth="1"/>
    <col min="3" max="3" width="9.59765625" bestFit="1" customWidth="1"/>
    <col min="4" max="4" width="7.8984375" bestFit="1" customWidth="1"/>
    <col min="5" max="5" width="15" bestFit="1" customWidth="1"/>
    <col min="6" max="9" width="6.796875" bestFit="1" customWidth="1"/>
    <col min="10" max="10" width="5" bestFit="1" customWidth="1"/>
    <col min="11" max="11" width="10.3984375" bestFit="1" customWidth="1"/>
    <col min="12" max="12" width="16.296875" bestFit="1" customWidth="1"/>
  </cols>
  <sheetData>
    <row r="1" spans="1:12" x14ac:dyDescent="0.4">
      <c r="A1" s="4" t="s">
        <v>5</v>
      </c>
      <c r="B1" s="4" t="s">
        <v>6</v>
      </c>
      <c r="C1" s="4" t="s">
        <v>7</v>
      </c>
      <c r="D1" s="4" t="s">
        <v>0</v>
      </c>
      <c r="E1" s="4" t="s">
        <v>1</v>
      </c>
      <c r="F1" s="4" t="s">
        <v>8</v>
      </c>
      <c r="G1" s="4" t="s">
        <v>9</v>
      </c>
      <c r="H1" s="5" t="s">
        <v>10</v>
      </c>
      <c r="I1" s="4" t="s">
        <v>11</v>
      </c>
      <c r="J1" s="4" t="s">
        <v>12</v>
      </c>
      <c r="K1" s="18" t="s">
        <v>129</v>
      </c>
      <c r="L1" s="19" t="s">
        <v>130</v>
      </c>
    </row>
    <row r="2" spans="1:12" x14ac:dyDescent="0.4">
      <c r="A2" s="10">
        <v>7</v>
      </c>
      <c r="B2" s="6" t="s">
        <v>62</v>
      </c>
      <c r="C2" s="10" t="s">
        <v>75</v>
      </c>
      <c r="D2" s="10" t="s">
        <v>2</v>
      </c>
      <c r="E2" s="10" t="s">
        <v>76</v>
      </c>
      <c r="F2" s="12">
        <v>6</v>
      </c>
      <c r="G2" s="12">
        <v>600</v>
      </c>
      <c r="H2" s="8">
        <v>0.7</v>
      </c>
      <c r="I2" s="9">
        <v>420</v>
      </c>
      <c r="J2" s="10"/>
      <c r="K2" s="3" t="s">
        <v>138</v>
      </c>
      <c r="L2" s="3" t="s">
        <v>132</v>
      </c>
    </row>
    <row r="3" spans="1:12" x14ac:dyDescent="0.4">
      <c r="A3" s="10">
        <v>9</v>
      </c>
      <c r="B3" s="6" t="s">
        <v>62</v>
      </c>
      <c r="C3" s="10" t="s">
        <v>75</v>
      </c>
      <c r="D3" s="10" t="s">
        <v>2</v>
      </c>
      <c r="E3" s="10" t="s">
        <v>79</v>
      </c>
      <c r="F3" s="12">
        <v>2</v>
      </c>
      <c r="G3" s="12">
        <v>200</v>
      </c>
      <c r="H3" s="8">
        <v>0.7</v>
      </c>
      <c r="I3" s="9">
        <v>140</v>
      </c>
      <c r="J3" s="10"/>
      <c r="K3" s="3" t="s">
        <v>138</v>
      </c>
      <c r="L3" s="3" t="s">
        <v>132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2"/>
  <sheetViews>
    <sheetView workbookViewId="0"/>
  </sheetViews>
  <sheetFormatPr defaultRowHeight="17.399999999999999" x14ac:dyDescent="0.4"/>
  <cols>
    <col min="1" max="2" width="5" bestFit="1" customWidth="1"/>
    <col min="3" max="3" width="40" bestFit="1" customWidth="1"/>
    <col min="4" max="4" width="7.8984375" bestFit="1" customWidth="1"/>
    <col min="5" max="5" width="17" bestFit="1" customWidth="1"/>
    <col min="6" max="9" width="6.796875" bestFit="1" customWidth="1"/>
    <col min="10" max="10" width="5" bestFit="1" customWidth="1"/>
    <col min="11" max="11" width="10.3984375" bestFit="1" customWidth="1"/>
    <col min="12" max="12" width="7.5" bestFit="1" customWidth="1"/>
  </cols>
  <sheetData>
    <row r="1" spans="1:12" x14ac:dyDescent="0.4">
      <c r="A1" s="4" t="s">
        <v>5</v>
      </c>
      <c r="B1" s="4" t="s">
        <v>6</v>
      </c>
      <c r="C1" s="4" t="s">
        <v>7</v>
      </c>
      <c r="D1" s="4" t="s">
        <v>0</v>
      </c>
      <c r="E1" s="4" t="s">
        <v>1</v>
      </c>
      <c r="F1" s="4" t="s">
        <v>8</v>
      </c>
      <c r="G1" s="4" t="s">
        <v>9</v>
      </c>
      <c r="H1" s="5" t="s">
        <v>10</v>
      </c>
      <c r="I1" s="4" t="s">
        <v>11</v>
      </c>
      <c r="J1" s="4" t="s">
        <v>12</v>
      </c>
      <c r="K1" s="18" t="s">
        <v>129</v>
      </c>
      <c r="L1" s="19" t="s">
        <v>130</v>
      </c>
    </row>
    <row r="2" spans="1:12" x14ac:dyDescent="0.4">
      <c r="A2" s="10">
        <v>8</v>
      </c>
      <c r="B2" s="6" t="s">
        <v>62</v>
      </c>
      <c r="C2" s="10" t="s">
        <v>77</v>
      </c>
      <c r="D2" s="10" t="s">
        <v>2</v>
      </c>
      <c r="E2" s="10" t="s">
        <v>78</v>
      </c>
      <c r="F2" s="12">
        <v>2</v>
      </c>
      <c r="G2" s="12">
        <v>200</v>
      </c>
      <c r="H2" s="8">
        <v>0.7</v>
      </c>
      <c r="I2" s="9">
        <v>140</v>
      </c>
      <c r="J2" s="10"/>
      <c r="K2" s="3" t="s">
        <v>138</v>
      </c>
      <c r="L2" s="3" t="s">
        <v>133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2"/>
  <sheetViews>
    <sheetView workbookViewId="0"/>
  </sheetViews>
  <sheetFormatPr defaultRowHeight="17.399999999999999" x14ac:dyDescent="0.4"/>
  <cols>
    <col min="1" max="3" width="5" bestFit="1" customWidth="1"/>
    <col min="4" max="4" width="7.8984375" bestFit="1" customWidth="1"/>
    <col min="5" max="5" width="15.69921875" bestFit="1" customWidth="1"/>
    <col min="6" max="9" width="6.796875" bestFit="1" customWidth="1"/>
    <col min="10" max="10" width="5" bestFit="1" customWidth="1"/>
    <col min="11" max="12" width="10.3984375" bestFit="1" customWidth="1"/>
  </cols>
  <sheetData>
    <row r="1" spans="1:12" x14ac:dyDescent="0.4">
      <c r="A1" s="4" t="s">
        <v>5</v>
      </c>
      <c r="B1" s="4" t="s">
        <v>6</v>
      </c>
      <c r="C1" s="4" t="s">
        <v>7</v>
      </c>
      <c r="D1" s="4" t="s">
        <v>0</v>
      </c>
      <c r="E1" s="4" t="s">
        <v>1</v>
      </c>
      <c r="F1" s="4" t="s">
        <v>8</v>
      </c>
      <c r="G1" s="4" t="s">
        <v>9</v>
      </c>
      <c r="H1" s="5" t="s">
        <v>10</v>
      </c>
      <c r="I1" s="4" t="s">
        <v>11</v>
      </c>
      <c r="J1" s="4" t="s">
        <v>12</v>
      </c>
      <c r="K1" s="18" t="s">
        <v>129</v>
      </c>
      <c r="L1" s="19" t="s">
        <v>130</v>
      </c>
    </row>
    <row r="2" spans="1:12" x14ac:dyDescent="0.4">
      <c r="A2" s="10">
        <v>10</v>
      </c>
      <c r="B2" s="6" t="s">
        <v>62</v>
      </c>
      <c r="C2" s="10" t="s">
        <v>80</v>
      </c>
      <c r="D2" s="10" t="s">
        <v>2</v>
      </c>
      <c r="E2" s="10" t="s">
        <v>81</v>
      </c>
      <c r="F2" s="12">
        <v>2</v>
      </c>
      <c r="G2" s="12">
        <v>200</v>
      </c>
      <c r="H2" s="8">
        <v>0.7</v>
      </c>
      <c r="I2" s="9">
        <v>140</v>
      </c>
      <c r="J2" s="10"/>
      <c r="K2" s="3" t="s">
        <v>134</v>
      </c>
      <c r="L2" s="3" t="s">
        <v>134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18"/>
  <sheetViews>
    <sheetView workbookViewId="0"/>
  </sheetViews>
  <sheetFormatPr defaultRowHeight="17.399999999999999" x14ac:dyDescent="0.4"/>
  <cols>
    <col min="1" max="1" width="5" bestFit="1" customWidth="1"/>
    <col min="2" max="2" width="6.796875" bestFit="1" customWidth="1"/>
    <col min="3" max="3" width="14.3984375" bestFit="1" customWidth="1"/>
    <col min="4" max="4" width="7.8984375" bestFit="1" customWidth="1"/>
    <col min="5" max="5" width="21.19921875" bestFit="1" customWidth="1"/>
    <col min="6" max="6" width="6.796875" bestFit="1" customWidth="1"/>
    <col min="7" max="7" width="9.19921875" bestFit="1" customWidth="1"/>
    <col min="8" max="8" width="6.796875" bestFit="1" customWidth="1"/>
    <col min="9" max="9" width="8.3984375" bestFit="1" customWidth="1"/>
    <col min="10" max="10" width="15" bestFit="1" customWidth="1"/>
    <col min="11" max="12" width="8.59765625" bestFit="1" customWidth="1"/>
  </cols>
  <sheetData>
    <row r="1" spans="1:12" x14ac:dyDescent="0.4">
      <c r="A1" s="4" t="s">
        <v>5</v>
      </c>
      <c r="B1" s="4" t="s">
        <v>6</v>
      </c>
      <c r="C1" s="4" t="s">
        <v>7</v>
      </c>
      <c r="D1" s="4" t="s">
        <v>0</v>
      </c>
      <c r="E1" s="4" t="s">
        <v>1</v>
      </c>
      <c r="F1" s="4" t="s">
        <v>8</v>
      </c>
      <c r="G1" s="4" t="s">
        <v>9</v>
      </c>
      <c r="H1" s="5" t="s">
        <v>10</v>
      </c>
      <c r="I1" s="4" t="s">
        <v>11</v>
      </c>
      <c r="J1" s="4" t="s">
        <v>12</v>
      </c>
      <c r="K1" s="18" t="s">
        <v>129</v>
      </c>
      <c r="L1" s="19" t="s">
        <v>130</v>
      </c>
    </row>
    <row r="2" spans="1:12" x14ac:dyDescent="0.4">
      <c r="A2" s="10">
        <v>13</v>
      </c>
      <c r="B2" s="11" t="s">
        <v>13</v>
      </c>
      <c r="C2" s="10" t="s">
        <v>86</v>
      </c>
      <c r="D2" s="10" t="s">
        <v>2</v>
      </c>
      <c r="E2" s="10" t="s">
        <v>87</v>
      </c>
      <c r="F2" s="9">
        <v>170</v>
      </c>
      <c r="G2" s="14">
        <v>17000</v>
      </c>
      <c r="H2" s="8">
        <v>0.7</v>
      </c>
      <c r="I2" s="9">
        <v>11900</v>
      </c>
      <c r="J2" s="10"/>
      <c r="K2" s="3" t="s">
        <v>135</v>
      </c>
      <c r="L2" s="3" t="s">
        <v>135</v>
      </c>
    </row>
    <row r="3" spans="1:12" x14ac:dyDescent="0.4">
      <c r="A3" s="10">
        <v>14</v>
      </c>
      <c r="B3" s="11" t="s">
        <v>13</v>
      </c>
      <c r="C3" s="10" t="s">
        <v>88</v>
      </c>
      <c r="D3" s="10" t="s">
        <v>2</v>
      </c>
      <c r="E3" s="10" t="s">
        <v>89</v>
      </c>
      <c r="F3" s="9">
        <v>23</v>
      </c>
      <c r="G3" s="14">
        <v>2300</v>
      </c>
      <c r="H3" s="8">
        <v>0.7</v>
      </c>
      <c r="I3" s="9">
        <v>1610</v>
      </c>
      <c r="J3" s="10"/>
      <c r="K3" s="3" t="s">
        <v>135</v>
      </c>
      <c r="L3" s="3" t="s">
        <v>135</v>
      </c>
    </row>
    <row r="4" spans="1:12" x14ac:dyDescent="0.4">
      <c r="A4" s="10">
        <v>24</v>
      </c>
      <c r="B4" s="11" t="s">
        <v>13</v>
      </c>
      <c r="C4" s="10" t="s">
        <v>92</v>
      </c>
      <c r="D4" s="10" t="s">
        <v>2</v>
      </c>
      <c r="E4" s="10" t="s">
        <v>93</v>
      </c>
      <c r="F4" s="9">
        <v>4</v>
      </c>
      <c r="G4" s="15">
        <v>400</v>
      </c>
      <c r="H4" s="8">
        <v>0.7</v>
      </c>
      <c r="I4" s="9">
        <v>280</v>
      </c>
      <c r="J4" s="10"/>
      <c r="K4" s="3" t="s">
        <v>135</v>
      </c>
      <c r="L4" s="3" t="s">
        <v>135</v>
      </c>
    </row>
    <row r="5" spans="1:12" x14ac:dyDescent="0.4">
      <c r="A5" s="13">
        <v>25</v>
      </c>
      <c r="B5" s="11" t="s">
        <v>13</v>
      </c>
      <c r="C5" s="10" t="s">
        <v>19</v>
      </c>
      <c r="D5" s="10" t="s">
        <v>2</v>
      </c>
      <c r="E5" s="10" t="s">
        <v>26</v>
      </c>
      <c r="F5" s="9">
        <v>17</v>
      </c>
      <c r="G5" s="15">
        <v>1700</v>
      </c>
      <c r="H5" s="8">
        <v>0.7</v>
      </c>
      <c r="I5" s="9">
        <v>1190</v>
      </c>
      <c r="J5" s="10"/>
      <c r="K5" s="3" t="s">
        <v>135</v>
      </c>
      <c r="L5" s="3" t="s">
        <v>135</v>
      </c>
    </row>
    <row r="6" spans="1:12" x14ac:dyDescent="0.4">
      <c r="A6" s="10">
        <v>33</v>
      </c>
      <c r="B6" s="11" t="s">
        <v>13</v>
      </c>
      <c r="C6" s="10" t="s">
        <v>42</v>
      </c>
      <c r="D6" s="10" t="s">
        <v>2</v>
      </c>
      <c r="E6" s="10" t="s">
        <v>43</v>
      </c>
      <c r="F6" s="9">
        <v>243</v>
      </c>
      <c r="G6" s="14">
        <v>24300</v>
      </c>
      <c r="H6" s="8">
        <v>0.7</v>
      </c>
      <c r="I6" s="9">
        <v>17010</v>
      </c>
      <c r="J6" s="10"/>
      <c r="K6" s="3" t="s">
        <v>135</v>
      </c>
      <c r="L6" s="3" t="s">
        <v>135</v>
      </c>
    </row>
    <row r="7" spans="1:12" x14ac:dyDescent="0.4">
      <c r="A7" s="10">
        <v>34</v>
      </c>
      <c r="B7" s="11" t="s">
        <v>13</v>
      </c>
      <c r="C7" s="10" t="s">
        <v>44</v>
      </c>
      <c r="D7" s="10" t="s">
        <v>2</v>
      </c>
      <c r="E7" s="10" t="s">
        <v>45</v>
      </c>
      <c r="F7" s="9">
        <v>50</v>
      </c>
      <c r="G7" s="14">
        <v>5000</v>
      </c>
      <c r="H7" s="8">
        <v>0.7</v>
      </c>
      <c r="I7" s="9">
        <v>3500</v>
      </c>
      <c r="J7" s="10"/>
      <c r="K7" s="3" t="s">
        <v>135</v>
      </c>
      <c r="L7" s="3" t="s">
        <v>135</v>
      </c>
    </row>
    <row r="8" spans="1:12" x14ac:dyDescent="0.4">
      <c r="A8" s="10">
        <v>35</v>
      </c>
      <c r="B8" s="11" t="s">
        <v>13</v>
      </c>
      <c r="C8" s="10" t="s">
        <v>46</v>
      </c>
      <c r="D8" s="10" t="s">
        <v>2</v>
      </c>
      <c r="E8" s="10" t="s">
        <v>47</v>
      </c>
      <c r="F8" s="9">
        <v>19</v>
      </c>
      <c r="G8" s="14">
        <v>1900</v>
      </c>
      <c r="H8" s="8">
        <v>0.7</v>
      </c>
      <c r="I8" s="9">
        <v>1330</v>
      </c>
      <c r="J8" s="10"/>
      <c r="K8" s="3" t="s">
        <v>135</v>
      </c>
      <c r="L8" s="3" t="s">
        <v>135</v>
      </c>
    </row>
    <row r="9" spans="1:12" x14ac:dyDescent="0.4">
      <c r="A9" s="10">
        <v>44</v>
      </c>
      <c r="B9" s="11" t="s">
        <v>13</v>
      </c>
      <c r="C9" s="10" t="s">
        <v>97</v>
      </c>
      <c r="D9" s="10" t="s">
        <v>2</v>
      </c>
      <c r="E9" s="10" t="s">
        <v>98</v>
      </c>
      <c r="F9" s="9">
        <v>1110</v>
      </c>
      <c r="G9" s="17">
        <v>111000</v>
      </c>
      <c r="H9" s="8">
        <v>0.7</v>
      </c>
      <c r="I9" s="9">
        <v>77700</v>
      </c>
      <c r="J9" s="10"/>
      <c r="K9" s="3" t="s">
        <v>135</v>
      </c>
      <c r="L9" s="3" t="s">
        <v>135</v>
      </c>
    </row>
    <row r="10" spans="1:12" x14ac:dyDescent="0.4">
      <c r="A10" s="10">
        <v>45</v>
      </c>
      <c r="B10" s="11" t="s">
        <v>13</v>
      </c>
      <c r="C10" s="10" t="s">
        <v>55</v>
      </c>
      <c r="D10" s="10" t="s">
        <v>2</v>
      </c>
      <c r="E10" s="10" t="s">
        <v>56</v>
      </c>
      <c r="F10" s="9">
        <v>1733</v>
      </c>
      <c r="G10" s="17">
        <v>173300</v>
      </c>
      <c r="H10" s="8">
        <v>0.7</v>
      </c>
      <c r="I10" s="9">
        <v>121309.99999999999</v>
      </c>
      <c r="J10" s="10"/>
      <c r="K10" s="3" t="s">
        <v>135</v>
      </c>
      <c r="L10" s="3" t="s">
        <v>135</v>
      </c>
    </row>
    <row r="11" spans="1:12" x14ac:dyDescent="0.4">
      <c r="A11" s="10">
        <v>46</v>
      </c>
      <c r="B11" s="11" t="s">
        <v>13</v>
      </c>
      <c r="C11" s="10" t="s">
        <v>57</v>
      </c>
      <c r="D11" s="10" t="s">
        <v>2</v>
      </c>
      <c r="E11" s="10" t="s">
        <v>58</v>
      </c>
      <c r="F11" s="9">
        <v>35</v>
      </c>
      <c r="G11" s="17">
        <v>3500</v>
      </c>
      <c r="H11" s="8">
        <v>0.7</v>
      </c>
      <c r="I11" s="9">
        <v>2450</v>
      </c>
      <c r="J11" s="10"/>
      <c r="K11" s="3" t="s">
        <v>135</v>
      </c>
      <c r="L11" s="3" t="s">
        <v>135</v>
      </c>
    </row>
    <row r="12" spans="1:12" x14ac:dyDescent="0.4">
      <c r="A12" s="10">
        <v>47</v>
      </c>
      <c r="B12" s="11" t="s">
        <v>13</v>
      </c>
      <c r="C12" s="10" t="s">
        <v>59</v>
      </c>
      <c r="D12" s="10" t="s">
        <v>2</v>
      </c>
      <c r="E12" s="10" t="s">
        <v>60</v>
      </c>
      <c r="F12" s="9">
        <v>644</v>
      </c>
      <c r="G12" s="17">
        <v>64400</v>
      </c>
      <c r="H12" s="8">
        <v>0.7</v>
      </c>
      <c r="I12" s="9">
        <v>45080</v>
      </c>
      <c r="J12" s="10"/>
      <c r="K12" s="3" t="s">
        <v>135</v>
      </c>
      <c r="L12" s="3" t="s">
        <v>135</v>
      </c>
    </row>
    <row r="13" spans="1:12" x14ac:dyDescent="0.4">
      <c r="A13" s="10">
        <v>48</v>
      </c>
      <c r="B13" s="11" t="s">
        <v>13</v>
      </c>
      <c r="C13" s="10" t="s">
        <v>86</v>
      </c>
      <c r="D13" s="10" t="s">
        <v>2</v>
      </c>
      <c r="E13" s="10" t="s">
        <v>99</v>
      </c>
      <c r="F13" s="9">
        <v>679</v>
      </c>
      <c r="G13" s="17">
        <v>67900</v>
      </c>
      <c r="H13" s="8">
        <v>0.7</v>
      </c>
      <c r="I13" s="9">
        <v>47530</v>
      </c>
      <c r="J13" s="10"/>
      <c r="K13" s="3" t="s">
        <v>135</v>
      </c>
      <c r="L13" s="3" t="s">
        <v>135</v>
      </c>
    </row>
    <row r="14" spans="1:12" x14ac:dyDescent="0.4">
      <c r="A14" s="10">
        <v>49</v>
      </c>
      <c r="B14" s="11" t="s">
        <v>13</v>
      </c>
      <c r="C14" s="10" t="s">
        <v>55</v>
      </c>
      <c r="D14" s="10" t="s">
        <v>2</v>
      </c>
      <c r="E14" s="10" t="s">
        <v>100</v>
      </c>
      <c r="F14" s="9">
        <v>99</v>
      </c>
      <c r="G14" s="17">
        <v>9900</v>
      </c>
      <c r="H14" s="8">
        <v>0.7</v>
      </c>
      <c r="I14" s="9">
        <v>6930</v>
      </c>
      <c r="J14" s="10"/>
      <c r="K14" s="3" t="s">
        <v>135</v>
      </c>
      <c r="L14" s="3" t="s">
        <v>135</v>
      </c>
    </row>
    <row r="15" spans="1:12" x14ac:dyDescent="0.4">
      <c r="A15" s="10">
        <v>54</v>
      </c>
      <c r="B15" s="11" t="s">
        <v>13</v>
      </c>
      <c r="C15" s="10" t="s">
        <v>42</v>
      </c>
      <c r="D15" s="10" t="s">
        <v>2</v>
      </c>
      <c r="E15" s="10" t="s">
        <v>109</v>
      </c>
      <c r="F15" s="9">
        <v>44</v>
      </c>
      <c r="G15" s="17">
        <v>4400</v>
      </c>
      <c r="H15" s="8">
        <v>0.7</v>
      </c>
      <c r="I15" s="9">
        <v>3080</v>
      </c>
      <c r="J15" s="10"/>
      <c r="K15" s="3" t="s">
        <v>135</v>
      </c>
      <c r="L15" s="3" t="s">
        <v>135</v>
      </c>
    </row>
    <row r="16" spans="1:12" x14ac:dyDescent="0.4">
      <c r="A16" s="10">
        <v>55</v>
      </c>
      <c r="B16" s="11" t="s">
        <v>13</v>
      </c>
      <c r="C16" s="10" t="s">
        <v>110</v>
      </c>
      <c r="D16" s="10" t="s">
        <v>2</v>
      </c>
      <c r="E16" s="10" t="s">
        <v>111</v>
      </c>
      <c r="F16" s="9">
        <v>43</v>
      </c>
      <c r="G16" s="17">
        <v>4300</v>
      </c>
      <c r="H16" s="8">
        <v>0.7</v>
      </c>
      <c r="I16" s="9">
        <v>3010</v>
      </c>
      <c r="J16" s="10"/>
      <c r="K16" s="3" t="s">
        <v>135</v>
      </c>
      <c r="L16" s="3" t="s">
        <v>135</v>
      </c>
    </row>
    <row r="17" spans="1:12" x14ac:dyDescent="0.4">
      <c r="A17" s="10">
        <v>56</v>
      </c>
      <c r="B17" s="11" t="s">
        <v>13</v>
      </c>
      <c r="C17" s="10" t="s">
        <v>112</v>
      </c>
      <c r="D17" s="10" t="s">
        <v>2</v>
      </c>
      <c r="E17" s="10" t="s">
        <v>113</v>
      </c>
      <c r="F17" s="9">
        <v>6</v>
      </c>
      <c r="G17" s="17">
        <v>600</v>
      </c>
      <c r="H17" s="8">
        <v>0.7</v>
      </c>
      <c r="I17" s="9">
        <v>420</v>
      </c>
      <c r="J17" s="10"/>
      <c r="K17" s="3" t="s">
        <v>135</v>
      </c>
      <c r="L17" s="3" t="s">
        <v>135</v>
      </c>
    </row>
    <row r="18" spans="1:12" x14ac:dyDescent="0.4">
      <c r="A18" s="10">
        <v>64</v>
      </c>
      <c r="B18" s="11" t="s">
        <v>13</v>
      </c>
      <c r="C18" s="10" t="s">
        <v>127</v>
      </c>
      <c r="D18" s="10" t="s">
        <v>2</v>
      </c>
      <c r="E18" s="10" t="s">
        <v>128</v>
      </c>
      <c r="F18" s="9">
        <v>88</v>
      </c>
      <c r="G18" s="17">
        <v>8800</v>
      </c>
      <c r="H18" s="8">
        <v>0.7</v>
      </c>
      <c r="I18" s="9">
        <v>6160</v>
      </c>
      <c r="J18" s="10" t="s">
        <v>61</v>
      </c>
      <c r="K18" s="3" t="s">
        <v>135</v>
      </c>
      <c r="L18" s="3" t="s">
        <v>135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2"/>
  <sheetViews>
    <sheetView workbookViewId="0"/>
  </sheetViews>
  <sheetFormatPr defaultRowHeight="17.399999999999999" x14ac:dyDescent="0.4"/>
  <cols>
    <col min="1" max="1" width="5" bestFit="1" customWidth="1"/>
    <col min="2" max="2" width="6.796875" bestFit="1" customWidth="1"/>
    <col min="3" max="3" width="5" bestFit="1" customWidth="1"/>
    <col min="4" max="4" width="7.8984375" bestFit="1" customWidth="1"/>
    <col min="5" max="5" width="15.8984375" bestFit="1" customWidth="1"/>
    <col min="6" max="9" width="6.796875" bestFit="1" customWidth="1"/>
    <col min="10" max="10" width="5" bestFit="1" customWidth="1"/>
    <col min="11" max="11" width="10.3984375" bestFit="1" customWidth="1"/>
    <col min="12" max="12" width="7.5" bestFit="1" customWidth="1"/>
  </cols>
  <sheetData>
    <row r="1" spans="1:12" x14ac:dyDescent="0.4">
      <c r="A1" s="4" t="s">
        <v>5</v>
      </c>
      <c r="B1" s="4" t="s">
        <v>6</v>
      </c>
      <c r="C1" s="4" t="s">
        <v>7</v>
      </c>
      <c r="D1" s="4" t="s">
        <v>0</v>
      </c>
      <c r="E1" s="4" t="s">
        <v>1</v>
      </c>
      <c r="F1" s="4" t="s">
        <v>8</v>
      </c>
      <c r="G1" s="4" t="s">
        <v>9</v>
      </c>
      <c r="H1" s="5" t="s">
        <v>10</v>
      </c>
      <c r="I1" s="4" t="s">
        <v>11</v>
      </c>
      <c r="J1" s="4" t="s">
        <v>12</v>
      </c>
      <c r="K1" s="18" t="s">
        <v>129</v>
      </c>
      <c r="L1" s="19" t="s">
        <v>130</v>
      </c>
    </row>
    <row r="2" spans="1:12" x14ac:dyDescent="0.4">
      <c r="A2" s="10">
        <v>15</v>
      </c>
      <c r="B2" s="11" t="s">
        <v>13</v>
      </c>
      <c r="C2" s="10" t="s">
        <v>3</v>
      </c>
      <c r="D2" s="10" t="s">
        <v>2</v>
      </c>
      <c r="E2" s="10" t="s">
        <v>4</v>
      </c>
      <c r="F2" s="9">
        <v>82</v>
      </c>
      <c r="G2" s="15">
        <v>8200</v>
      </c>
      <c r="H2" s="8">
        <v>0.7</v>
      </c>
      <c r="I2" s="9">
        <v>5740</v>
      </c>
      <c r="J2" s="10"/>
      <c r="K2" s="3" t="s">
        <v>138</v>
      </c>
      <c r="L2" s="3" t="s">
        <v>3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6"/>
  <sheetViews>
    <sheetView workbookViewId="0"/>
  </sheetViews>
  <sheetFormatPr defaultRowHeight="17.399999999999999" x14ac:dyDescent="0.4"/>
  <cols>
    <col min="1" max="1" width="5" bestFit="1" customWidth="1"/>
    <col min="2" max="2" width="6.796875" bestFit="1" customWidth="1"/>
    <col min="3" max="3" width="9.59765625" bestFit="1" customWidth="1"/>
    <col min="4" max="4" width="7.8984375" bestFit="1" customWidth="1"/>
    <col min="5" max="5" width="18.09765625" bestFit="1" customWidth="1"/>
    <col min="6" max="6" width="6.796875" bestFit="1" customWidth="1"/>
    <col min="7" max="7" width="8.19921875" bestFit="1" customWidth="1"/>
    <col min="8" max="8" width="6.796875" bestFit="1" customWidth="1"/>
    <col min="9" max="9" width="7.3984375" bestFit="1" customWidth="1"/>
    <col min="10" max="10" width="15" bestFit="1" customWidth="1"/>
    <col min="11" max="12" width="8.59765625" bestFit="1" customWidth="1"/>
  </cols>
  <sheetData>
    <row r="1" spans="1:12" x14ac:dyDescent="0.4">
      <c r="A1" s="4" t="s">
        <v>5</v>
      </c>
      <c r="B1" s="4" t="s">
        <v>6</v>
      </c>
      <c r="C1" s="4" t="s">
        <v>7</v>
      </c>
      <c r="D1" s="4" t="s">
        <v>0</v>
      </c>
      <c r="E1" s="4" t="s">
        <v>1</v>
      </c>
      <c r="F1" s="4" t="s">
        <v>8</v>
      </c>
      <c r="G1" s="4" t="s">
        <v>9</v>
      </c>
      <c r="H1" s="5" t="s">
        <v>10</v>
      </c>
      <c r="I1" s="4" t="s">
        <v>11</v>
      </c>
      <c r="J1" s="4" t="s">
        <v>12</v>
      </c>
      <c r="K1" s="18" t="s">
        <v>129</v>
      </c>
      <c r="L1" s="19" t="s">
        <v>130</v>
      </c>
    </row>
    <row r="2" spans="1:12" x14ac:dyDescent="0.4">
      <c r="A2" s="10">
        <v>16</v>
      </c>
      <c r="B2" s="11" t="s">
        <v>13</v>
      </c>
      <c r="C2" s="10" t="s">
        <v>14</v>
      </c>
      <c r="D2" s="10" t="s">
        <v>2</v>
      </c>
      <c r="E2" s="10" t="s">
        <v>15</v>
      </c>
      <c r="F2" s="9">
        <v>203</v>
      </c>
      <c r="G2" s="15">
        <v>20300</v>
      </c>
      <c r="H2" s="8">
        <v>0.7</v>
      </c>
      <c r="I2" s="9">
        <v>14210</v>
      </c>
      <c r="J2" s="10"/>
      <c r="K2" s="3" t="s">
        <v>136</v>
      </c>
      <c r="L2" s="3" t="s">
        <v>136</v>
      </c>
    </row>
    <row r="3" spans="1:12" x14ac:dyDescent="0.4">
      <c r="A3" s="10">
        <v>17</v>
      </c>
      <c r="B3" s="11" t="s">
        <v>13</v>
      </c>
      <c r="C3" s="10" t="s">
        <v>14</v>
      </c>
      <c r="D3" s="10" t="s">
        <v>2</v>
      </c>
      <c r="E3" s="10" t="s">
        <v>16</v>
      </c>
      <c r="F3" s="9">
        <v>60</v>
      </c>
      <c r="G3" s="15">
        <v>6000</v>
      </c>
      <c r="H3" s="8">
        <v>0.7</v>
      </c>
      <c r="I3" s="9">
        <v>4200</v>
      </c>
      <c r="J3" s="10"/>
      <c r="K3" s="3" t="s">
        <v>136</v>
      </c>
      <c r="L3" s="3" t="s">
        <v>136</v>
      </c>
    </row>
    <row r="4" spans="1:12" x14ac:dyDescent="0.4">
      <c r="A4" s="10">
        <v>18</v>
      </c>
      <c r="B4" s="11" t="s">
        <v>13</v>
      </c>
      <c r="C4" s="10" t="s">
        <v>14</v>
      </c>
      <c r="D4" s="10" t="s">
        <v>2</v>
      </c>
      <c r="E4" s="10" t="s">
        <v>17</v>
      </c>
      <c r="F4" s="9">
        <v>50</v>
      </c>
      <c r="G4" s="15">
        <v>5000</v>
      </c>
      <c r="H4" s="8">
        <v>0.7</v>
      </c>
      <c r="I4" s="9">
        <v>3500</v>
      </c>
      <c r="J4" s="10"/>
      <c r="K4" s="3" t="s">
        <v>136</v>
      </c>
      <c r="L4" s="3" t="s">
        <v>136</v>
      </c>
    </row>
    <row r="5" spans="1:12" x14ac:dyDescent="0.4">
      <c r="A5" s="10">
        <v>19</v>
      </c>
      <c r="B5" s="11" t="s">
        <v>13</v>
      </c>
      <c r="C5" s="10" t="s">
        <v>14</v>
      </c>
      <c r="D5" s="10" t="s">
        <v>2</v>
      </c>
      <c r="E5" s="10" t="s">
        <v>90</v>
      </c>
      <c r="F5" s="9">
        <v>98</v>
      </c>
      <c r="G5" s="15">
        <v>9800</v>
      </c>
      <c r="H5" s="8">
        <v>0.7</v>
      </c>
      <c r="I5" s="9">
        <v>6860</v>
      </c>
      <c r="J5" s="10"/>
      <c r="K5" s="3" t="s">
        <v>136</v>
      </c>
      <c r="L5" s="3" t="s">
        <v>136</v>
      </c>
    </row>
    <row r="6" spans="1:12" x14ac:dyDescent="0.4">
      <c r="A6" s="10">
        <v>20</v>
      </c>
      <c r="B6" s="11" t="s">
        <v>13</v>
      </c>
      <c r="C6" s="10" t="s">
        <v>14</v>
      </c>
      <c r="D6" s="10" t="s">
        <v>2</v>
      </c>
      <c r="E6" s="10" t="s">
        <v>22</v>
      </c>
      <c r="F6" s="9">
        <v>5</v>
      </c>
      <c r="G6" s="15">
        <v>500</v>
      </c>
      <c r="H6" s="8">
        <v>0.7</v>
      </c>
      <c r="I6" s="9">
        <v>350</v>
      </c>
      <c r="J6" s="10"/>
      <c r="K6" s="3" t="s">
        <v>136</v>
      </c>
      <c r="L6" s="3" t="s">
        <v>136</v>
      </c>
    </row>
    <row r="7" spans="1:12" x14ac:dyDescent="0.4">
      <c r="A7" s="10">
        <v>21</v>
      </c>
      <c r="B7" s="11" t="s">
        <v>13</v>
      </c>
      <c r="C7" s="10" t="s">
        <v>14</v>
      </c>
      <c r="D7" s="10" t="s">
        <v>2</v>
      </c>
      <c r="E7" s="10" t="s">
        <v>23</v>
      </c>
      <c r="F7" s="9">
        <v>35</v>
      </c>
      <c r="G7" s="15">
        <v>3500</v>
      </c>
      <c r="H7" s="8">
        <v>0.7</v>
      </c>
      <c r="I7" s="9">
        <v>2450</v>
      </c>
      <c r="J7" s="10"/>
      <c r="K7" s="3" t="s">
        <v>136</v>
      </c>
      <c r="L7" s="3" t="s">
        <v>136</v>
      </c>
    </row>
    <row r="8" spans="1:12" x14ac:dyDescent="0.4">
      <c r="A8" s="10">
        <v>22</v>
      </c>
      <c r="B8" s="11" t="s">
        <v>13</v>
      </c>
      <c r="C8" s="10" t="s">
        <v>18</v>
      </c>
      <c r="D8" s="10" t="s">
        <v>2</v>
      </c>
      <c r="E8" s="10" t="s">
        <v>24</v>
      </c>
      <c r="F8" s="9">
        <v>36</v>
      </c>
      <c r="G8" s="15">
        <v>3600</v>
      </c>
      <c r="H8" s="8">
        <v>0.7</v>
      </c>
      <c r="I8" s="9">
        <v>2520</v>
      </c>
      <c r="J8" s="10"/>
      <c r="K8" s="3" t="s">
        <v>136</v>
      </c>
      <c r="L8" s="3" t="s">
        <v>136</v>
      </c>
    </row>
    <row r="9" spans="1:12" x14ac:dyDescent="0.4">
      <c r="A9" s="10">
        <v>23</v>
      </c>
      <c r="B9" s="11" t="s">
        <v>13</v>
      </c>
      <c r="C9" s="10" t="s">
        <v>18</v>
      </c>
      <c r="D9" s="10" t="s">
        <v>2</v>
      </c>
      <c r="E9" s="10" t="s">
        <v>25</v>
      </c>
      <c r="F9" s="9">
        <v>221</v>
      </c>
      <c r="G9" s="15">
        <v>22100</v>
      </c>
      <c r="H9" s="8">
        <v>0.7</v>
      </c>
      <c r="I9" s="9">
        <v>15469.999999999998</v>
      </c>
      <c r="J9" s="10"/>
      <c r="K9" s="3" t="s">
        <v>136</v>
      </c>
      <c r="L9" s="3" t="s">
        <v>136</v>
      </c>
    </row>
    <row r="10" spans="1:12" x14ac:dyDescent="0.4">
      <c r="A10" s="10">
        <v>28</v>
      </c>
      <c r="B10" s="11" t="s">
        <v>13</v>
      </c>
      <c r="C10" s="10" t="s">
        <v>32</v>
      </c>
      <c r="D10" s="10" t="s">
        <v>2</v>
      </c>
      <c r="E10" s="10" t="s">
        <v>33</v>
      </c>
      <c r="F10" s="9">
        <v>504</v>
      </c>
      <c r="G10" s="15">
        <v>50400</v>
      </c>
      <c r="H10" s="8">
        <v>0.7</v>
      </c>
      <c r="I10" s="9">
        <v>35280</v>
      </c>
      <c r="J10" s="10"/>
      <c r="K10" s="3" t="s">
        <v>136</v>
      </c>
      <c r="L10" s="3" t="s">
        <v>136</v>
      </c>
    </row>
    <row r="11" spans="1:12" x14ac:dyDescent="0.4">
      <c r="A11" s="10">
        <v>36</v>
      </c>
      <c r="B11" s="11" t="s">
        <v>13</v>
      </c>
      <c r="C11" s="10" t="s">
        <v>21</v>
      </c>
      <c r="D11" s="10" t="s">
        <v>2</v>
      </c>
      <c r="E11" s="10" t="s">
        <v>29</v>
      </c>
      <c r="F11" s="9">
        <v>131</v>
      </c>
      <c r="G11" s="14">
        <v>13100</v>
      </c>
      <c r="H11" s="8">
        <v>0.7</v>
      </c>
      <c r="I11" s="9">
        <v>9170</v>
      </c>
      <c r="J11" s="10"/>
      <c r="K11" s="3" t="s">
        <v>136</v>
      </c>
      <c r="L11" s="3" t="s">
        <v>136</v>
      </c>
    </row>
    <row r="12" spans="1:12" x14ac:dyDescent="0.4">
      <c r="A12" s="10">
        <v>37</v>
      </c>
      <c r="B12" s="11" t="s">
        <v>13</v>
      </c>
      <c r="C12" s="10" t="s">
        <v>21</v>
      </c>
      <c r="D12" s="10" t="s">
        <v>2</v>
      </c>
      <c r="E12" s="10" t="s">
        <v>30</v>
      </c>
      <c r="F12" s="9">
        <v>95</v>
      </c>
      <c r="G12" s="14">
        <v>9500</v>
      </c>
      <c r="H12" s="8">
        <v>0.7</v>
      </c>
      <c r="I12" s="9">
        <v>6650</v>
      </c>
      <c r="J12" s="10"/>
      <c r="K12" s="3" t="s">
        <v>136</v>
      </c>
      <c r="L12" s="3" t="s">
        <v>136</v>
      </c>
    </row>
    <row r="13" spans="1:12" x14ac:dyDescent="0.4">
      <c r="A13" s="10">
        <v>38</v>
      </c>
      <c r="B13" s="11" t="s">
        <v>13</v>
      </c>
      <c r="C13" s="10" t="s">
        <v>21</v>
      </c>
      <c r="D13" s="10" t="s">
        <v>2</v>
      </c>
      <c r="E13" s="10" t="s">
        <v>48</v>
      </c>
      <c r="F13" s="9">
        <v>286</v>
      </c>
      <c r="G13" s="14">
        <v>28600</v>
      </c>
      <c r="H13" s="8">
        <v>0.7</v>
      </c>
      <c r="I13" s="9">
        <v>20020</v>
      </c>
      <c r="J13" s="10"/>
      <c r="K13" s="3" t="s">
        <v>136</v>
      </c>
      <c r="L13" s="3" t="s">
        <v>136</v>
      </c>
    </row>
    <row r="14" spans="1:12" x14ac:dyDescent="0.4">
      <c r="A14" s="10">
        <v>39</v>
      </c>
      <c r="B14" s="11" t="s">
        <v>13</v>
      </c>
      <c r="C14" s="10" t="s">
        <v>14</v>
      </c>
      <c r="D14" s="10" t="s">
        <v>2</v>
      </c>
      <c r="E14" s="10" t="s">
        <v>49</v>
      </c>
      <c r="F14" s="9">
        <v>451</v>
      </c>
      <c r="G14" s="17">
        <v>45100</v>
      </c>
      <c r="H14" s="8">
        <v>0.7</v>
      </c>
      <c r="I14" s="9">
        <v>31569.999999999996</v>
      </c>
      <c r="J14" s="10"/>
      <c r="K14" s="3" t="s">
        <v>136</v>
      </c>
      <c r="L14" s="3" t="s">
        <v>136</v>
      </c>
    </row>
    <row r="15" spans="1:12" x14ac:dyDescent="0.4">
      <c r="A15" s="10">
        <v>40</v>
      </c>
      <c r="B15" s="11" t="s">
        <v>13</v>
      </c>
      <c r="C15" s="10" t="s">
        <v>14</v>
      </c>
      <c r="D15" s="10" t="s">
        <v>2</v>
      </c>
      <c r="E15" s="10" t="s">
        <v>50</v>
      </c>
      <c r="F15" s="9">
        <v>350</v>
      </c>
      <c r="G15" s="17">
        <v>35000</v>
      </c>
      <c r="H15" s="8">
        <v>0.7</v>
      </c>
      <c r="I15" s="9">
        <v>24500</v>
      </c>
      <c r="J15" s="10"/>
      <c r="K15" s="3" t="s">
        <v>136</v>
      </c>
      <c r="L15" s="3" t="s">
        <v>136</v>
      </c>
    </row>
    <row r="16" spans="1:12" x14ac:dyDescent="0.4">
      <c r="A16" s="10">
        <v>61</v>
      </c>
      <c r="B16" s="11" t="s">
        <v>13</v>
      </c>
      <c r="C16" s="10" t="s">
        <v>121</v>
      </c>
      <c r="D16" s="10" t="s">
        <v>2</v>
      </c>
      <c r="E16" s="10" t="s">
        <v>122</v>
      </c>
      <c r="F16" s="9">
        <v>158</v>
      </c>
      <c r="G16" s="17">
        <v>15800</v>
      </c>
      <c r="H16" s="8">
        <v>0.7</v>
      </c>
      <c r="I16" s="9">
        <v>11060</v>
      </c>
      <c r="J16" s="10" t="s">
        <v>61</v>
      </c>
      <c r="K16" s="3" t="s">
        <v>136</v>
      </c>
      <c r="L16" s="3" t="s">
        <v>136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3"/>
  <sheetViews>
    <sheetView workbookViewId="0"/>
  </sheetViews>
  <sheetFormatPr defaultRowHeight="17.399999999999999" x14ac:dyDescent="0.4"/>
  <cols>
    <col min="1" max="1" width="5" bestFit="1" customWidth="1"/>
    <col min="2" max="2" width="6.796875" bestFit="1" customWidth="1"/>
    <col min="3" max="3" width="5" bestFit="1" customWidth="1"/>
    <col min="4" max="4" width="7.8984375" bestFit="1" customWidth="1"/>
    <col min="5" max="5" width="9.19921875" bestFit="1" customWidth="1"/>
    <col min="6" max="6" width="6.796875" bestFit="1" customWidth="1"/>
    <col min="7" max="7" width="7.3984375" bestFit="1" customWidth="1"/>
    <col min="8" max="8" width="6.796875" bestFit="1" customWidth="1"/>
    <col min="9" max="9" width="7.3984375" bestFit="1" customWidth="1"/>
    <col min="10" max="10" width="5" bestFit="1" customWidth="1"/>
    <col min="11" max="11" width="10.3984375" bestFit="1" customWidth="1"/>
    <col min="12" max="12" width="7.5" bestFit="1" customWidth="1"/>
  </cols>
  <sheetData>
    <row r="1" spans="1:12" x14ac:dyDescent="0.4">
      <c r="A1" s="4" t="s">
        <v>5</v>
      </c>
      <c r="B1" s="4" t="s">
        <v>6</v>
      </c>
      <c r="C1" s="4" t="s">
        <v>7</v>
      </c>
      <c r="D1" s="4" t="s">
        <v>0</v>
      </c>
      <c r="E1" s="4" t="s">
        <v>1</v>
      </c>
      <c r="F1" s="4" t="s">
        <v>8</v>
      </c>
      <c r="G1" s="4" t="s">
        <v>9</v>
      </c>
      <c r="H1" s="5" t="s">
        <v>10</v>
      </c>
      <c r="I1" s="4" t="s">
        <v>11</v>
      </c>
      <c r="J1" s="4" t="s">
        <v>12</v>
      </c>
      <c r="K1" s="18" t="s">
        <v>129</v>
      </c>
      <c r="L1" s="19" t="s">
        <v>130</v>
      </c>
    </row>
    <row r="2" spans="1:12" x14ac:dyDescent="0.4">
      <c r="A2" s="10">
        <v>26</v>
      </c>
      <c r="B2" s="11" t="s">
        <v>13</v>
      </c>
      <c r="C2" s="10" t="s">
        <v>20</v>
      </c>
      <c r="D2" s="10" t="s">
        <v>2</v>
      </c>
      <c r="E2" s="10" t="s">
        <v>27</v>
      </c>
      <c r="F2" s="9">
        <v>1</v>
      </c>
      <c r="G2" s="15">
        <v>100</v>
      </c>
      <c r="H2" s="8">
        <v>0.7</v>
      </c>
      <c r="I2" s="9">
        <v>70</v>
      </c>
      <c r="J2" s="10"/>
      <c r="K2" s="3" t="s">
        <v>138</v>
      </c>
      <c r="L2" s="3" t="s">
        <v>20</v>
      </c>
    </row>
    <row r="3" spans="1:12" x14ac:dyDescent="0.4">
      <c r="A3" s="10">
        <v>27</v>
      </c>
      <c r="B3" s="11" t="s">
        <v>13</v>
      </c>
      <c r="C3" s="10" t="s">
        <v>20</v>
      </c>
      <c r="D3" s="10" t="s">
        <v>2</v>
      </c>
      <c r="E3" s="10" t="s">
        <v>28</v>
      </c>
      <c r="F3" s="9">
        <v>205</v>
      </c>
      <c r="G3" s="15">
        <v>20500</v>
      </c>
      <c r="H3" s="8">
        <v>0.7</v>
      </c>
      <c r="I3" s="9">
        <v>14349.999999999998</v>
      </c>
      <c r="J3" s="10"/>
      <c r="K3" s="3" t="s">
        <v>138</v>
      </c>
      <c r="L3" s="3" t="s">
        <v>20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2"/>
  <sheetViews>
    <sheetView workbookViewId="0"/>
  </sheetViews>
  <sheetFormatPr defaultRowHeight="17.399999999999999" x14ac:dyDescent="0.4"/>
  <cols>
    <col min="1" max="1" width="5" bestFit="1" customWidth="1"/>
    <col min="2" max="2" width="6.796875" bestFit="1" customWidth="1"/>
    <col min="3" max="3" width="5" bestFit="1" customWidth="1"/>
    <col min="4" max="4" width="7.8984375" bestFit="1" customWidth="1"/>
    <col min="5" max="5" width="13" bestFit="1" customWidth="1"/>
    <col min="6" max="9" width="6.796875" bestFit="1" customWidth="1"/>
    <col min="10" max="10" width="5" bestFit="1" customWidth="1"/>
    <col min="11" max="11" width="10.3984375" bestFit="1" customWidth="1"/>
    <col min="12" max="12" width="7.5" bestFit="1" customWidth="1"/>
  </cols>
  <sheetData>
    <row r="1" spans="1:12" x14ac:dyDescent="0.4">
      <c r="A1" s="4" t="s">
        <v>5</v>
      </c>
      <c r="B1" s="4" t="s">
        <v>6</v>
      </c>
      <c r="C1" s="4" t="s">
        <v>7</v>
      </c>
      <c r="D1" s="4" t="s">
        <v>0</v>
      </c>
      <c r="E1" s="4" t="s">
        <v>1</v>
      </c>
      <c r="F1" s="4" t="s">
        <v>8</v>
      </c>
      <c r="G1" s="4" t="s">
        <v>9</v>
      </c>
      <c r="H1" s="5" t="s">
        <v>10</v>
      </c>
      <c r="I1" s="4" t="s">
        <v>11</v>
      </c>
      <c r="J1" s="4" t="s">
        <v>12</v>
      </c>
      <c r="K1" s="18" t="s">
        <v>129</v>
      </c>
      <c r="L1" s="19" t="s">
        <v>130</v>
      </c>
    </row>
    <row r="2" spans="1:12" x14ac:dyDescent="0.4">
      <c r="A2" s="10">
        <v>29</v>
      </c>
      <c r="B2" s="11" t="s">
        <v>13</v>
      </c>
      <c r="C2" s="10" t="s">
        <v>34</v>
      </c>
      <c r="D2" s="10" t="s">
        <v>2</v>
      </c>
      <c r="E2" s="10" t="s">
        <v>35</v>
      </c>
      <c r="F2" s="9">
        <v>30</v>
      </c>
      <c r="G2" s="15">
        <v>3000</v>
      </c>
      <c r="H2" s="8">
        <v>0.7</v>
      </c>
      <c r="I2" s="9">
        <v>2100</v>
      </c>
      <c r="J2" s="10"/>
      <c r="K2" s="3" t="s">
        <v>138</v>
      </c>
      <c r="L2" s="3" t="s">
        <v>34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3"/>
  <sheetViews>
    <sheetView workbookViewId="0"/>
  </sheetViews>
  <sheetFormatPr defaultRowHeight="17.399999999999999" x14ac:dyDescent="0.4"/>
  <cols>
    <col min="1" max="1" width="5" bestFit="1" customWidth="1"/>
    <col min="2" max="2" width="6.796875" bestFit="1" customWidth="1"/>
    <col min="3" max="3" width="8.59765625" bestFit="1" customWidth="1"/>
    <col min="4" max="4" width="7.8984375" bestFit="1" customWidth="1"/>
    <col min="5" max="5" width="19.59765625" bestFit="1" customWidth="1"/>
    <col min="6" max="6" width="6.796875" bestFit="1" customWidth="1"/>
    <col min="7" max="7" width="8.3984375" bestFit="1" customWidth="1"/>
    <col min="8" max="8" width="6.796875" bestFit="1" customWidth="1"/>
    <col min="9" max="9" width="7.3984375" bestFit="1" customWidth="1"/>
    <col min="10" max="10" width="15" bestFit="1" customWidth="1"/>
    <col min="11" max="11" width="10.3984375" bestFit="1" customWidth="1"/>
    <col min="12" max="12" width="8.59765625" bestFit="1" customWidth="1"/>
  </cols>
  <sheetData>
    <row r="1" spans="1:12" x14ac:dyDescent="0.4">
      <c r="A1" s="4" t="s">
        <v>5</v>
      </c>
      <c r="B1" s="4" t="s">
        <v>6</v>
      </c>
      <c r="C1" s="4" t="s">
        <v>7</v>
      </c>
      <c r="D1" s="4" t="s">
        <v>0</v>
      </c>
      <c r="E1" s="4" t="s">
        <v>1</v>
      </c>
      <c r="F1" s="4" t="s">
        <v>8</v>
      </c>
      <c r="G1" s="4" t="s">
        <v>9</v>
      </c>
      <c r="H1" s="5" t="s">
        <v>10</v>
      </c>
      <c r="I1" s="4" t="s">
        <v>11</v>
      </c>
      <c r="J1" s="4" t="s">
        <v>12</v>
      </c>
      <c r="K1" s="18" t="s">
        <v>129</v>
      </c>
      <c r="L1" s="19" t="s">
        <v>130</v>
      </c>
    </row>
    <row r="2" spans="1:12" x14ac:dyDescent="0.4">
      <c r="A2" s="10">
        <v>30</v>
      </c>
      <c r="B2" s="11" t="s">
        <v>13</v>
      </c>
      <c r="C2" s="10" t="s">
        <v>36</v>
      </c>
      <c r="D2" s="10" t="s">
        <v>2</v>
      </c>
      <c r="E2" s="10" t="s">
        <v>37</v>
      </c>
      <c r="F2" s="9">
        <v>1043</v>
      </c>
      <c r="G2" s="15">
        <v>104300</v>
      </c>
      <c r="H2" s="8">
        <v>0.7</v>
      </c>
      <c r="I2" s="9">
        <v>73010</v>
      </c>
      <c r="J2" s="10"/>
      <c r="K2" s="3" t="s">
        <v>138</v>
      </c>
      <c r="L2" s="3" t="s">
        <v>36</v>
      </c>
    </row>
    <row r="3" spans="1:12" x14ac:dyDescent="0.4">
      <c r="A3" s="10">
        <v>63</v>
      </c>
      <c r="B3" s="11" t="s">
        <v>13</v>
      </c>
      <c r="C3" s="10" t="s">
        <v>125</v>
      </c>
      <c r="D3" s="10" t="s">
        <v>2</v>
      </c>
      <c r="E3" s="10" t="s">
        <v>126</v>
      </c>
      <c r="F3" s="9">
        <v>59</v>
      </c>
      <c r="G3" s="17">
        <v>5900</v>
      </c>
      <c r="H3" s="8">
        <v>0.7</v>
      </c>
      <c r="I3" s="9">
        <v>4130</v>
      </c>
      <c r="J3" s="10" t="s">
        <v>61</v>
      </c>
      <c r="K3" s="3" t="s">
        <v>138</v>
      </c>
      <c r="L3" s="3" t="s">
        <v>36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2"/>
  <sheetViews>
    <sheetView workbookViewId="0"/>
  </sheetViews>
  <sheetFormatPr defaultRowHeight="17.399999999999999" x14ac:dyDescent="0.4"/>
  <cols>
    <col min="1" max="1" width="5" bestFit="1" customWidth="1"/>
    <col min="2" max="2" width="6.796875" bestFit="1" customWidth="1"/>
    <col min="3" max="3" width="10.3984375" bestFit="1" customWidth="1"/>
    <col min="4" max="4" width="7.8984375" bestFit="1" customWidth="1"/>
    <col min="5" max="5" width="13" bestFit="1" customWidth="1"/>
    <col min="6" max="9" width="6.796875" bestFit="1" customWidth="1"/>
    <col min="10" max="10" width="5" bestFit="1" customWidth="1"/>
    <col min="11" max="12" width="10.3984375" bestFit="1" customWidth="1"/>
  </cols>
  <sheetData>
    <row r="1" spans="1:12" x14ac:dyDescent="0.4">
      <c r="A1" s="4" t="s">
        <v>5</v>
      </c>
      <c r="B1" s="4" t="s">
        <v>6</v>
      </c>
      <c r="C1" s="4" t="s">
        <v>7</v>
      </c>
      <c r="D1" s="4" t="s">
        <v>0</v>
      </c>
      <c r="E1" s="4" t="s">
        <v>1</v>
      </c>
      <c r="F1" s="4" t="s">
        <v>8</v>
      </c>
      <c r="G1" s="4" t="s">
        <v>9</v>
      </c>
      <c r="H1" s="5" t="s">
        <v>10</v>
      </c>
      <c r="I1" s="4" t="s">
        <v>11</v>
      </c>
      <c r="J1" s="4" t="s">
        <v>12</v>
      </c>
      <c r="K1" s="18" t="s">
        <v>129</v>
      </c>
      <c r="L1" s="19" t="s">
        <v>130</v>
      </c>
    </row>
    <row r="2" spans="1:12" x14ac:dyDescent="0.4">
      <c r="A2" s="10">
        <v>31</v>
      </c>
      <c r="B2" s="11" t="s">
        <v>13</v>
      </c>
      <c r="C2" s="10" t="s">
        <v>38</v>
      </c>
      <c r="D2" s="10" t="s">
        <v>2</v>
      </c>
      <c r="E2" s="10" t="s">
        <v>39</v>
      </c>
      <c r="F2" s="9">
        <v>25</v>
      </c>
      <c r="G2" s="15">
        <v>2500</v>
      </c>
      <c r="H2" s="8">
        <v>0.7</v>
      </c>
      <c r="I2" s="9">
        <v>1750</v>
      </c>
      <c r="J2" s="10"/>
      <c r="K2" s="3" t="s">
        <v>138</v>
      </c>
      <c r="L2" s="3" t="s">
        <v>38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2"/>
  <sheetViews>
    <sheetView workbookViewId="0"/>
  </sheetViews>
  <sheetFormatPr defaultRowHeight="17.399999999999999" x14ac:dyDescent="0.4"/>
  <cols>
    <col min="1" max="1" width="5" bestFit="1" customWidth="1"/>
    <col min="2" max="2" width="6.796875" bestFit="1" customWidth="1"/>
    <col min="3" max="3" width="9.59765625" bestFit="1" customWidth="1"/>
    <col min="4" max="4" width="7.8984375" bestFit="1" customWidth="1"/>
    <col min="5" max="5" width="24.09765625" bestFit="1" customWidth="1"/>
    <col min="6" max="9" width="6.796875" bestFit="1" customWidth="1"/>
    <col min="10" max="10" width="5" bestFit="1" customWidth="1"/>
    <col min="11" max="11" width="10.3984375" bestFit="1" customWidth="1"/>
    <col min="12" max="12" width="9.59765625" bestFit="1" customWidth="1"/>
  </cols>
  <sheetData>
    <row r="1" spans="1:12" x14ac:dyDescent="0.4">
      <c r="A1" s="4" t="s">
        <v>5</v>
      </c>
      <c r="B1" s="4" t="s">
        <v>6</v>
      </c>
      <c r="C1" s="4" t="s">
        <v>7</v>
      </c>
      <c r="D1" s="4" t="s">
        <v>0</v>
      </c>
      <c r="E1" s="4" t="s">
        <v>1</v>
      </c>
      <c r="F1" s="4" t="s">
        <v>8</v>
      </c>
      <c r="G1" s="4" t="s">
        <v>9</v>
      </c>
      <c r="H1" s="5" t="s">
        <v>10</v>
      </c>
      <c r="I1" s="4" t="s">
        <v>11</v>
      </c>
      <c r="J1" s="4" t="s">
        <v>12</v>
      </c>
      <c r="K1" s="18" t="s">
        <v>129</v>
      </c>
      <c r="L1" s="19" t="s">
        <v>130</v>
      </c>
    </row>
    <row r="2" spans="1:12" x14ac:dyDescent="0.4">
      <c r="A2" s="10">
        <v>32</v>
      </c>
      <c r="B2" s="11" t="s">
        <v>13</v>
      </c>
      <c r="C2" s="10" t="s">
        <v>40</v>
      </c>
      <c r="D2" s="10" t="s">
        <v>2</v>
      </c>
      <c r="E2" s="10" t="s">
        <v>41</v>
      </c>
      <c r="F2" s="9">
        <v>8</v>
      </c>
      <c r="G2" s="15">
        <v>800</v>
      </c>
      <c r="H2" s="8">
        <v>0.7</v>
      </c>
      <c r="I2" s="9">
        <v>560</v>
      </c>
      <c r="J2" s="10"/>
      <c r="K2" s="3" t="s">
        <v>138</v>
      </c>
      <c r="L2" s="3" t="s">
        <v>40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2"/>
  <sheetViews>
    <sheetView workbookViewId="0"/>
  </sheetViews>
  <sheetFormatPr defaultRowHeight="17.399999999999999" x14ac:dyDescent="0.4"/>
  <cols>
    <col min="1" max="1" width="5" bestFit="1" customWidth="1"/>
    <col min="2" max="3" width="6.796875" bestFit="1" customWidth="1"/>
    <col min="4" max="4" width="7.8984375" bestFit="1" customWidth="1"/>
    <col min="5" max="5" width="9.19921875" bestFit="1" customWidth="1"/>
    <col min="6" max="6" width="6.796875" bestFit="1" customWidth="1"/>
    <col min="7" max="7" width="8.19921875" bestFit="1" customWidth="1"/>
    <col min="8" max="8" width="6.796875" bestFit="1" customWidth="1"/>
    <col min="9" max="9" width="7.3984375" bestFit="1" customWidth="1"/>
    <col min="10" max="10" width="5" bestFit="1" customWidth="1"/>
    <col min="11" max="11" width="10.3984375" bestFit="1" customWidth="1"/>
    <col min="12" max="12" width="7.5" bestFit="1" customWidth="1"/>
  </cols>
  <sheetData>
    <row r="1" spans="1:12" x14ac:dyDescent="0.4">
      <c r="A1" s="4" t="s">
        <v>5</v>
      </c>
      <c r="B1" s="4" t="s">
        <v>6</v>
      </c>
      <c r="C1" s="4" t="s">
        <v>7</v>
      </c>
      <c r="D1" s="4" t="s">
        <v>0</v>
      </c>
      <c r="E1" s="4" t="s">
        <v>1</v>
      </c>
      <c r="F1" s="4" t="s">
        <v>8</v>
      </c>
      <c r="G1" s="4" t="s">
        <v>9</v>
      </c>
      <c r="H1" s="5" t="s">
        <v>10</v>
      </c>
      <c r="I1" s="4" t="s">
        <v>11</v>
      </c>
      <c r="J1" s="4" t="s">
        <v>12</v>
      </c>
      <c r="K1" s="18" t="s">
        <v>129</v>
      </c>
      <c r="L1" s="19" t="s">
        <v>130</v>
      </c>
    </row>
    <row r="2" spans="1:12" x14ac:dyDescent="0.4">
      <c r="A2" s="10">
        <v>41</v>
      </c>
      <c r="B2" s="11" t="s">
        <v>13</v>
      </c>
      <c r="C2" s="10" t="s">
        <v>51</v>
      </c>
      <c r="D2" s="10" t="s">
        <v>2</v>
      </c>
      <c r="E2" s="10" t="s">
        <v>52</v>
      </c>
      <c r="F2" s="9">
        <v>543</v>
      </c>
      <c r="G2" s="17">
        <v>54300</v>
      </c>
      <c r="H2" s="8">
        <v>0.7</v>
      </c>
      <c r="I2" s="9">
        <v>38010</v>
      </c>
      <c r="J2" s="10"/>
      <c r="K2" s="3" t="s">
        <v>138</v>
      </c>
      <c r="L2" s="3" t="s">
        <v>51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3"/>
  <sheetViews>
    <sheetView workbookViewId="0"/>
  </sheetViews>
  <sheetFormatPr defaultRowHeight="17.399999999999999" x14ac:dyDescent="0.4"/>
  <cols>
    <col min="1" max="1" width="5" bestFit="1" customWidth="1"/>
    <col min="2" max="3" width="6.796875" bestFit="1" customWidth="1"/>
    <col min="4" max="4" width="7.8984375" bestFit="1" customWidth="1"/>
    <col min="5" max="5" width="15" bestFit="1" customWidth="1"/>
    <col min="6" max="6" width="6.796875" bestFit="1" customWidth="1"/>
    <col min="7" max="7" width="7.19921875" bestFit="1" customWidth="1"/>
    <col min="8" max="9" width="6.796875" bestFit="1" customWidth="1"/>
    <col min="10" max="10" width="15" bestFit="1" customWidth="1"/>
    <col min="11" max="11" width="10.3984375" bestFit="1" customWidth="1"/>
    <col min="12" max="12" width="7.5" bestFit="1" customWidth="1"/>
  </cols>
  <sheetData>
    <row r="1" spans="1:12" x14ac:dyDescent="0.4">
      <c r="A1" s="4" t="s">
        <v>5</v>
      </c>
      <c r="B1" s="4" t="s">
        <v>6</v>
      </c>
      <c r="C1" s="4" t="s">
        <v>7</v>
      </c>
      <c r="D1" s="4" t="s">
        <v>0</v>
      </c>
      <c r="E1" s="4" t="s">
        <v>1</v>
      </c>
      <c r="F1" s="4" t="s">
        <v>8</v>
      </c>
      <c r="G1" s="4" t="s">
        <v>9</v>
      </c>
      <c r="H1" s="5" t="s">
        <v>10</v>
      </c>
      <c r="I1" s="4" t="s">
        <v>11</v>
      </c>
      <c r="J1" s="4" t="s">
        <v>12</v>
      </c>
      <c r="K1" s="18" t="s">
        <v>129</v>
      </c>
      <c r="L1" s="19" t="s">
        <v>130</v>
      </c>
    </row>
    <row r="2" spans="1:12" x14ac:dyDescent="0.4">
      <c r="A2" s="10">
        <v>42</v>
      </c>
      <c r="B2" s="11" t="s">
        <v>13</v>
      </c>
      <c r="C2" s="10" t="s">
        <v>53</v>
      </c>
      <c r="D2" s="10" t="s">
        <v>2</v>
      </c>
      <c r="E2" s="10" t="s">
        <v>54</v>
      </c>
      <c r="F2" s="9">
        <v>22</v>
      </c>
      <c r="G2" s="17">
        <v>2200</v>
      </c>
      <c r="H2" s="8">
        <v>0.7</v>
      </c>
      <c r="I2" s="9">
        <v>1540</v>
      </c>
      <c r="J2" s="10"/>
      <c r="K2" s="3" t="s">
        <v>138</v>
      </c>
      <c r="L2" s="3" t="s">
        <v>53</v>
      </c>
    </row>
    <row r="3" spans="1:12" x14ac:dyDescent="0.4">
      <c r="A3" s="10">
        <v>62</v>
      </c>
      <c r="B3" s="11" t="s">
        <v>13</v>
      </c>
      <c r="C3" s="10" t="s">
        <v>123</v>
      </c>
      <c r="D3" s="10" t="s">
        <v>2</v>
      </c>
      <c r="E3" s="10" t="s">
        <v>124</v>
      </c>
      <c r="F3" s="9">
        <v>67</v>
      </c>
      <c r="G3" s="17">
        <v>6700</v>
      </c>
      <c r="H3" s="8">
        <v>0.7</v>
      </c>
      <c r="I3" s="9">
        <v>4690</v>
      </c>
      <c r="J3" s="10" t="s">
        <v>61</v>
      </c>
      <c r="K3" s="3" t="s">
        <v>138</v>
      </c>
      <c r="L3" s="3" t="s">
        <v>53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2"/>
  <sheetViews>
    <sheetView workbookViewId="0"/>
  </sheetViews>
  <sheetFormatPr defaultRowHeight="17.399999999999999" x14ac:dyDescent="0.4"/>
  <cols>
    <col min="1" max="1" width="5" bestFit="1" customWidth="1"/>
    <col min="2" max="2" width="6.796875" bestFit="1" customWidth="1"/>
    <col min="3" max="3" width="5" bestFit="1" customWidth="1"/>
    <col min="4" max="4" width="7.8984375" bestFit="1" customWidth="1"/>
    <col min="5" max="5" width="30" bestFit="1" customWidth="1"/>
    <col min="6" max="6" width="6.796875" bestFit="1" customWidth="1"/>
    <col min="7" max="7" width="9.19921875" bestFit="1" customWidth="1"/>
    <col min="8" max="8" width="6.796875" bestFit="1" customWidth="1"/>
    <col min="9" max="9" width="8.3984375" bestFit="1" customWidth="1"/>
    <col min="10" max="10" width="5" bestFit="1" customWidth="1"/>
    <col min="11" max="11" width="10.3984375" bestFit="1" customWidth="1"/>
    <col min="12" max="12" width="7.5" bestFit="1" customWidth="1"/>
  </cols>
  <sheetData>
    <row r="1" spans="1:12" x14ac:dyDescent="0.4">
      <c r="A1" s="4" t="s">
        <v>5</v>
      </c>
      <c r="B1" s="4" t="s">
        <v>6</v>
      </c>
      <c r="C1" s="4" t="s">
        <v>7</v>
      </c>
      <c r="D1" s="4" t="s">
        <v>0</v>
      </c>
      <c r="E1" s="4" t="s">
        <v>1</v>
      </c>
      <c r="F1" s="4" t="s">
        <v>8</v>
      </c>
      <c r="G1" s="4" t="s">
        <v>9</v>
      </c>
      <c r="H1" s="5" t="s">
        <v>10</v>
      </c>
      <c r="I1" s="4" t="s">
        <v>11</v>
      </c>
      <c r="J1" s="4" t="s">
        <v>12</v>
      </c>
      <c r="K1" s="18" t="s">
        <v>129</v>
      </c>
      <c r="L1" s="19" t="s">
        <v>130</v>
      </c>
    </row>
    <row r="2" spans="1:12" x14ac:dyDescent="0.4">
      <c r="A2" s="10">
        <v>43</v>
      </c>
      <c r="B2" s="11" t="s">
        <v>13</v>
      </c>
      <c r="C2" s="10" t="s">
        <v>95</v>
      </c>
      <c r="D2" s="10" t="s">
        <v>2</v>
      </c>
      <c r="E2" s="10" t="s">
        <v>96</v>
      </c>
      <c r="F2" s="9">
        <v>3365</v>
      </c>
      <c r="G2" s="17">
        <v>336500</v>
      </c>
      <c r="H2" s="8">
        <v>0.7</v>
      </c>
      <c r="I2" s="9">
        <v>235549.99999999997</v>
      </c>
      <c r="J2" s="10"/>
      <c r="K2" s="3" t="s">
        <v>138</v>
      </c>
      <c r="L2" s="3" t="s">
        <v>95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2"/>
  <sheetViews>
    <sheetView workbookViewId="0"/>
  </sheetViews>
  <sheetFormatPr defaultRowHeight="17.399999999999999" x14ac:dyDescent="0.4"/>
  <cols>
    <col min="1" max="1" width="5" bestFit="1" customWidth="1"/>
    <col min="2" max="3" width="6.796875" bestFit="1" customWidth="1"/>
    <col min="4" max="4" width="7.8984375" bestFit="1" customWidth="1"/>
    <col min="5" max="5" width="21.5" bestFit="1" customWidth="1"/>
    <col min="6" max="6" width="6.796875" bestFit="1" customWidth="1"/>
    <col min="7" max="7" width="7.19921875" bestFit="1" customWidth="1"/>
    <col min="8" max="9" width="6.796875" bestFit="1" customWidth="1"/>
    <col min="10" max="10" width="5" bestFit="1" customWidth="1"/>
    <col min="11" max="11" width="10.3984375" bestFit="1" customWidth="1"/>
    <col min="12" max="12" width="7.5" bestFit="1" customWidth="1"/>
  </cols>
  <sheetData>
    <row r="1" spans="1:12" x14ac:dyDescent="0.4">
      <c r="A1" s="4" t="s">
        <v>5</v>
      </c>
      <c r="B1" s="4" t="s">
        <v>6</v>
      </c>
      <c r="C1" s="4" t="s">
        <v>7</v>
      </c>
      <c r="D1" s="4" t="s">
        <v>0</v>
      </c>
      <c r="E1" s="4" t="s">
        <v>1</v>
      </c>
      <c r="F1" s="4" t="s">
        <v>8</v>
      </c>
      <c r="G1" s="4" t="s">
        <v>9</v>
      </c>
      <c r="H1" s="5" t="s">
        <v>10</v>
      </c>
      <c r="I1" s="4" t="s">
        <v>11</v>
      </c>
      <c r="J1" s="4" t="s">
        <v>12</v>
      </c>
      <c r="K1" s="18" t="s">
        <v>129</v>
      </c>
      <c r="L1" s="19" t="s">
        <v>130</v>
      </c>
    </row>
    <row r="2" spans="1:12" x14ac:dyDescent="0.4">
      <c r="A2" s="10">
        <v>50</v>
      </c>
      <c r="B2" s="11" t="s">
        <v>13</v>
      </c>
      <c r="C2" s="10" t="s">
        <v>101</v>
      </c>
      <c r="D2" s="10" t="s">
        <v>2</v>
      </c>
      <c r="E2" s="10" t="s">
        <v>102</v>
      </c>
      <c r="F2" s="9">
        <v>33</v>
      </c>
      <c r="G2" s="17">
        <v>3300</v>
      </c>
      <c r="H2" s="8">
        <v>0.7</v>
      </c>
      <c r="I2" s="9">
        <v>2310</v>
      </c>
      <c r="J2" s="10"/>
      <c r="K2" s="3" t="s">
        <v>138</v>
      </c>
      <c r="L2" s="3" t="s">
        <v>101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2"/>
  <sheetViews>
    <sheetView workbookViewId="0"/>
  </sheetViews>
  <sheetFormatPr defaultRowHeight="17.399999999999999" x14ac:dyDescent="0.4"/>
  <cols>
    <col min="1" max="1" width="5" bestFit="1" customWidth="1"/>
    <col min="2" max="2" width="6.796875" bestFit="1" customWidth="1"/>
    <col min="3" max="3" width="5" bestFit="1" customWidth="1"/>
    <col min="4" max="4" width="7.8984375" bestFit="1" customWidth="1"/>
    <col min="5" max="5" width="9.19921875" bestFit="1" customWidth="1"/>
    <col min="6" max="6" width="6.796875" bestFit="1" customWidth="1"/>
    <col min="7" max="7" width="8.19921875" bestFit="1" customWidth="1"/>
    <col min="8" max="9" width="6.796875" bestFit="1" customWidth="1"/>
    <col min="10" max="10" width="5" bestFit="1" customWidth="1"/>
    <col min="11" max="11" width="10.3984375" bestFit="1" customWidth="1"/>
    <col min="12" max="12" width="7.5" bestFit="1" customWidth="1"/>
  </cols>
  <sheetData>
    <row r="1" spans="1:12" x14ac:dyDescent="0.4">
      <c r="A1" s="4" t="s">
        <v>5</v>
      </c>
      <c r="B1" s="4" t="s">
        <v>6</v>
      </c>
      <c r="C1" s="4" t="s">
        <v>7</v>
      </c>
      <c r="D1" s="4" t="s">
        <v>0</v>
      </c>
      <c r="E1" s="4" t="s">
        <v>1</v>
      </c>
      <c r="F1" s="4" t="s">
        <v>8</v>
      </c>
      <c r="G1" s="4" t="s">
        <v>9</v>
      </c>
      <c r="H1" s="5" t="s">
        <v>10</v>
      </c>
      <c r="I1" s="4" t="s">
        <v>11</v>
      </c>
      <c r="J1" s="4" t="s">
        <v>12</v>
      </c>
      <c r="K1" s="18" t="s">
        <v>129</v>
      </c>
      <c r="L1" s="19" t="s">
        <v>130</v>
      </c>
    </row>
    <row r="2" spans="1:12" x14ac:dyDescent="0.4">
      <c r="A2" s="10">
        <v>51</v>
      </c>
      <c r="B2" s="11" t="s">
        <v>13</v>
      </c>
      <c r="C2" s="10" t="s">
        <v>103</v>
      </c>
      <c r="D2" s="10" t="s">
        <v>2</v>
      </c>
      <c r="E2" s="10" t="s">
        <v>104</v>
      </c>
      <c r="F2" s="9">
        <v>122</v>
      </c>
      <c r="G2" s="17">
        <v>12200</v>
      </c>
      <c r="H2" s="8">
        <v>0.7</v>
      </c>
      <c r="I2" s="9">
        <v>8540</v>
      </c>
      <c r="J2" s="10"/>
      <c r="K2" s="3" t="s">
        <v>138</v>
      </c>
      <c r="L2" s="3" t="s">
        <v>103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2"/>
  <sheetViews>
    <sheetView workbookViewId="0"/>
  </sheetViews>
  <sheetFormatPr defaultRowHeight="17.399999999999999" x14ac:dyDescent="0.4"/>
  <cols>
    <col min="1" max="1" width="5" bestFit="1" customWidth="1"/>
    <col min="2" max="3" width="6.796875" bestFit="1" customWidth="1"/>
    <col min="4" max="4" width="7.8984375" bestFit="1" customWidth="1"/>
    <col min="5" max="5" width="15.69921875" bestFit="1" customWidth="1"/>
    <col min="6" max="6" width="6.796875" bestFit="1" customWidth="1"/>
    <col min="7" max="7" width="8.19921875" bestFit="1" customWidth="1"/>
    <col min="8" max="8" width="6.796875" bestFit="1" customWidth="1"/>
    <col min="9" max="9" width="7.3984375" bestFit="1" customWidth="1"/>
    <col min="10" max="10" width="5" bestFit="1" customWidth="1"/>
    <col min="11" max="11" width="10.3984375" bestFit="1" customWidth="1"/>
    <col min="12" max="12" width="7.5" bestFit="1" customWidth="1"/>
  </cols>
  <sheetData>
    <row r="1" spans="1:12" x14ac:dyDescent="0.4">
      <c r="A1" s="4" t="s">
        <v>5</v>
      </c>
      <c r="B1" s="4" t="s">
        <v>6</v>
      </c>
      <c r="C1" s="4" t="s">
        <v>7</v>
      </c>
      <c r="D1" s="4" t="s">
        <v>0</v>
      </c>
      <c r="E1" s="4" t="s">
        <v>1</v>
      </c>
      <c r="F1" s="4" t="s">
        <v>8</v>
      </c>
      <c r="G1" s="4" t="s">
        <v>9</v>
      </c>
      <c r="H1" s="5" t="s">
        <v>10</v>
      </c>
      <c r="I1" s="4" t="s">
        <v>11</v>
      </c>
      <c r="J1" s="4" t="s">
        <v>12</v>
      </c>
      <c r="K1" s="18" t="s">
        <v>129</v>
      </c>
      <c r="L1" s="19" t="s">
        <v>130</v>
      </c>
    </row>
    <row r="2" spans="1:12" x14ac:dyDescent="0.4">
      <c r="A2" s="10">
        <v>52</v>
      </c>
      <c r="B2" s="11" t="s">
        <v>13</v>
      </c>
      <c r="C2" s="10" t="s">
        <v>105</v>
      </c>
      <c r="D2" s="10" t="s">
        <v>2</v>
      </c>
      <c r="E2" s="10" t="s">
        <v>106</v>
      </c>
      <c r="F2" s="9">
        <v>298</v>
      </c>
      <c r="G2" s="17">
        <v>29800</v>
      </c>
      <c r="H2" s="8">
        <v>0.7</v>
      </c>
      <c r="I2" s="9">
        <v>20860</v>
      </c>
      <c r="J2" s="10"/>
      <c r="K2" s="3" t="s">
        <v>138</v>
      </c>
      <c r="L2" s="3" t="s">
        <v>105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2"/>
  <sheetViews>
    <sheetView workbookViewId="0"/>
  </sheetViews>
  <sheetFormatPr defaultRowHeight="17.399999999999999" x14ac:dyDescent="0.4"/>
  <cols>
    <col min="1" max="1" width="5" bestFit="1" customWidth="1"/>
    <col min="2" max="2" width="6.796875" bestFit="1" customWidth="1"/>
    <col min="3" max="3" width="6" bestFit="1" customWidth="1"/>
    <col min="4" max="4" width="7.8984375" bestFit="1" customWidth="1"/>
    <col min="5" max="5" width="9.5" bestFit="1" customWidth="1"/>
    <col min="6" max="6" width="6.796875" bestFit="1" customWidth="1"/>
    <col min="7" max="7" width="8.19921875" bestFit="1" customWidth="1"/>
    <col min="8" max="8" width="6.796875" bestFit="1" customWidth="1"/>
    <col min="9" max="9" width="7.3984375" bestFit="1" customWidth="1"/>
    <col min="10" max="10" width="5" bestFit="1" customWidth="1"/>
    <col min="11" max="11" width="10.3984375" bestFit="1" customWidth="1"/>
    <col min="12" max="12" width="10.69921875" bestFit="1" customWidth="1"/>
  </cols>
  <sheetData>
    <row r="1" spans="1:12" x14ac:dyDescent="0.4">
      <c r="A1" s="4" t="s">
        <v>5</v>
      </c>
      <c r="B1" s="4" t="s">
        <v>6</v>
      </c>
      <c r="C1" s="4" t="s">
        <v>7</v>
      </c>
      <c r="D1" s="4" t="s">
        <v>0</v>
      </c>
      <c r="E1" s="4" t="s">
        <v>1</v>
      </c>
      <c r="F1" s="4" t="s">
        <v>8</v>
      </c>
      <c r="G1" s="4" t="s">
        <v>9</v>
      </c>
      <c r="H1" s="5" t="s">
        <v>10</v>
      </c>
      <c r="I1" s="4" t="s">
        <v>11</v>
      </c>
      <c r="J1" s="4" t="s">
        <v>12</v>
      </c>
      <c r="K1" s="18" t="s">
        <v>129</v>
      </c>
      <c r="L1" s="19" t="s">
        <v>130</v>
      </c>
    </row>
    <row r="2" spans="1:12" x14ac:dyDescent="0.4">
      <c r="A2" s="10">
        <v>53</v>
      </c>
      <c r="B2" s="11" t="s">
        <v>13</v>
      </c>
      <c r="C2" s="10" t="s">
        <v>107</v>
      </c>
      <c r="D2" s="10" t="s">
        <v>2</v>
      </c>
      <c r="E2" s="10" t="s">
        <v>108</v>
      </c>
      <c r="F2" s="9">
        <v>573</v>
      </c>
      <c r="G2" s="17">
        <v>57300</v>
      </c>
      <c r="H2" s="8">
        <v>0.7</v>
      </c>
      <c r="I2" s="9">
        <v>40110</v>
      </c>
      <c r="J2" s="10"/>
      <c r="K2" s="3" t="s">
        <v>138</v>
      </c>
      <c r="L2" s="3" t="s">
        <v>137</v>
      </c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3"/>
  <sheetViews>
    <sheetView workbookViewId="0"/>
  </sheetViews>
  <sheetFormatPr defaultRowHeight="17.399999999999999" x14ac:dyDescent="0.4"/>
  <cols>
    <col min="1" max="1" width="5" bestFit="1" customWidth="1"/>
    <col min="2" max="3" width="6.796875" bestFit="1" customWidth="1"/>
    <col min="4" max="4" width="7.8984375" bestFit="1" customWidth="1"/>
    <col min="5" max="5" width="15.19921875" bestFit="1" customWidth="1"/>
    <col min="6" max="6" width="6.796875" bestFit="1" customWidth="1"/>
    <col min="7" max="7" width="9.19921875" bestFit="1" customWidth="1"/>
    <col min="8" max="8" width="6.796875" bestFit="1" customWidth="1"/>
    <col min="9" max="9" width="8.3984375" bestFit="1" customWidth="1"/>
    <col min="10" max="10" width="5" bestFit="1" customWidth="1"/>
    <col min="11" max="11" width="10.3984375" bestFit="1" customWidth="1"/>
    <col min="12" max="12" width="7.5" bestFit="1" customWidth="1"/>
  </cols>
  <sheetData>
    <row r="1" spans="1:12" x14ac:dyDescent="0.4">
      <c r="A1" s="4" t="s">
        <v>5</v>
      </c>
      <c r="B1" s="4" t="s">
        <v>6</v>
      </c>
      <c r="C1" s="4" t="s">
        <v>7</v>
      </c>
      <c r="D1" s="4" t="s">
        <v>0</v>
      </c>
      <c r="E1" s="4" t="s">
        <v>1</v>
      </c>
      <c r="F1" s="4" t="s">
        <v>8</v>
      </c>
      <c r="G1" s="4" t="s">
        <v>9</v>
      </c>
      <c r="H1" s="5" t="s">
        <v>10</v>
      </c>
      <c r="I1" s="4" t="s">
        <v>11</v>
      </c>
      <c r="J1" s="4" t="s">
        <v>12</v>
      </c>
      <c r="K1" s="18" t="s">
        <v>129</v>
      </c>
      <c r="L1" s="19" t="s">
        <v>130</v>
      </c>
    </row>
    <row r="2" spans="1:12" x14ac:dyDescent="0.4">
      <c r="A2" s="10">
        <v>57</v>
      </c>
      <c r="B2" s="11" t="s">
        <v>13</v>
      </c>
      <c r="C2" s="10" t="s">
        <v>114</v>
      </c>
      <c r="D2" s="10" t="s">
        <v>2</v>
      </c>
      <c r="E2" s="10" t="s">
        <v>115</v>
      </c>
      <c r="F2" s="9">
        <v>11</v>
      </c>
      <c r="G2" s="17">
        <v>1100</v>
      </c>
      <c r="H2" s="8">
        <v>0.7</v>
      </c>
      <c r="I2" s="9">
        <v>770</v>
      </c>
      <c r="J2" s="10"/>
      <c r="K2" s="3" t="s">
        <v>138</v>
      </c>
      <c r="L2" s="3" t="s">
        <v>114</v>
      </c>
    </row>
    <row r="3" spans="1:12" x14ac:dyDescent="0.4">
      <c r="A3" s="10">
        <v>58</v>
      </c>
      <c r="B3" s="11" t="s">
        <v>13</v>
      </c>
      <c r="C3" s="10" t="s">
        <v>114</v>
      </c>
      <c r="D3" s="10" t="s">
        <v>2</v>
      </c>
      <c r="E3" s="10" t="s">
        <v>116</v>
      </c>
      <c r="F3" s="9">
        <v>3050</v>
      </c>
      <c r="G3" s="17">
        <v>305000</v>
      </c>
      <c r="H3" s="8">
        <v>0.7</v>
      </c>
      <c r="I3" s="9">
        <v>213500</v>
      </c>
      <c r="J3" s="10"/>
      <c r="K3" s="3" t="s">
        <v>138</v>
      </c>
      <c r="L3" s="3" t="s">
        <v>114</v>
      </c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2"/>
  <sheetViews>
    <sheetView workbookViewId="0"/>
  </sheetViews>
  <sheetFormatPr defaultRowHeight="17.399999999999999" x14ac:dyDescent="0.4"/>
  <cols>
    <col min="1" max="1" width="5" bestFit="1" customWidth="1"/>
    <col min="2" max="3" width="6.796875" bestFit="1" customWidth="1"/>
    <col min="4" max="4" width="7.8984375" bestFit="1" customWidth="1"/>
    <col min="5" max="5" width="17.59765625" bestFit="1" customWidth="1"/>
    <col min="6" max="6" width="6.796875" bestFit="1" customWidth="1"/>
    <col min="7" max="7" width="8.19921875" bestFit="1" customWidth="1"/>
    <col min="8" max="8" width="6.796875" bestFit="1" customWidth="1"/>
    <col min="9" max="9" width="7.3984375" bestFit="1" customWidth="1"/>
    <col min="10" max="10" width="5" bestFit="1" customWidth="1"/>
    <col min="11" max="11" width="10.3984375" bestFit="1" customWidth="1"/>
    <col min="12" max="12" width="7.5" bestFit="1" customWidth="1"/>
  </cols>
  <sheetData>
    <row r="1" spans="1:12" x14ac:dyDescent="0.4">
      <c r="A1" s="4" t="s">
        <v>5</v>
      </c>
      <c r="B1" s="4" t="s">
        <v>6</v>
      </c>
      <c r="C1" s="4" t="s">
        <v>7</v>
      </c>
      <c r="D1" s="4" t="s">
        <v>0</v>
      </c>
      <c r="E1" s="4" t="s">
        <v>1</v>
      </c>
      <c r="F1" s="4" t="s">
        <v>8</v>
      </c>
      <c r="G1" s="4" t="s">
        <v>9</v>
      </c>
      <c r="H1" s="5" t="s">
        <v>10</v>
      </c>
      <c r="I1" s="4" t="s">
        <v>11</v>
      </c>
      <c r="J1" s="4" t="s">
        <v>12</v>
      </c>
      <c r="K1" s="18" t="s">
        <v>129</v>
      </c>
      <c r="L1" s="19" t="s">
        <v>130</v>
      </c>
    </row>
    <row r="2" spans="1:12" x14ac:dyDescent="0.4">
      <c r="A2" s="10">
        <v>59</v>
      </c>
      <c r="B2" s="11" t="s">
        <v>13</v>
      </c>
      <c r="C2" s="10" t="s">
        <v>117</v>
      </c>
      <c r="D2" s="10" t="s">
        <v>2</v>
      </c>
      <c r="E2" s="10" t="s">
        <v>118</v>
      </c>
      <c r="F2" s="9">
        <v>502</v>
      </c>
      <c r="G2" s="17">
        <v>50200</v>
      </c>
      <c r="H2" s="8">
        <v>0.7</v>
      </c>
      <c r="I2" s="9">
        <v>35140</v>
      </c>
      <c r="J2" s="10"/>
      <c r="K2" s="3" t="s">
        <v>138</v>
      </c>
      <c r="L2" s="3" t="s">
        <v>117</v>
      </c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2"/>
  <sheetViews>
    <sheetView workbookViewId="0"/>
  </sheetViews>
  <sheetFormatPr defaultRowHeight="17.399999999999999" x14ac:dyDescent="0.4"/>
  <cols>
    <col min="1" max="1" width="5" bestFit="1" customWidth="1"/>
    <col min="2" max="3" width="6.796875" bestFit="1" customWidth="1"/>
    <col min="4" max="4" width="7.8984375" bestFit="1" customWidth="1"/>
    <col min="5" max="5" width="13.5" bestFit="1" customWidth="1"/>
    <col min="6" max="6" width="6.796875" bestFit="1" customWidth="1"/>
    <col min="7" max="7" width="8.19921875" bestFit="1" customWidth="1"/>
    <col min="8" max="8" width="6.796875" bestFit="1" customWidth="1"/>
    <col min="9" max="9" width="7.3984375" bestFit="1" customWidth="1"/>
    <col min="10" max="10" width="5" bestFit="1" customWidth="1"/>
    <col min="11" max="11" width="10.3984375" bestFit="1" customWidth="1"/>
    <col min="12" max="12" width="7.5" bestFit="1" customWidth="1"/>
  </cols>
  <sheetData>
    <row r="1" spans="1:12" x14ac:dyDescent="0.4">
      <c r="A1" s="4" t="s">
        <v>5</v>
      </c>
      <c r="B1" s="4" t="s">
        <v>6</v>
      </c>
      <c r="C1" s="4" t="s">
        <v>7</v>
      </c>
      <c r="D1" s="4" t="s">
        <v>0</v>
      </c>
      <c r="E1" s="4" t="s">
        <v>1</v>
      </c>
      <c r="F1" s="4" t="s">
        <v>8</v>
      </c>
      <c r="G1" s="4" t="s">
        <v>9</v>
      </c>
      <c r="H1" s="5" t="s">
        <v>10</v>
      </c>
      <c r="I1" s="4" t="s">
        <v>11</v>
      </c>
      <c r="J1" s="4" t="s">
        <v>12</v>
      </c>
      <c r="K1" s="18" t="s">
        <v>129</v>
      </c>
      <c r="L1" s="19" t="s">
        <v>130</v>
      </c>
    </row>
    <row r="2" spans="1:12" x14ac:dyDescent="0.4">
      <c r="A2" s="10">
        <v>60</v>
      </c>
      <c r="B2" s="11" t="s">
        <v>13</v>
      </c>
      <c r="C2" s="10" t="s">
        <v>119</v>
      </c>
      <c r="D2" s="10" t="s">
        <v>2</v>
      </c>
      <c r="E2" s="10" t="s">
        <v>120</v>
      </c>
      <c r="F2" s="9">
        <v>180</v>
      </c>
      <c r="G2" s="17">
        <v>18000</v>
      </c>
      <c r="H2" s="8">
        <v>0.7</v>
      </c>
      <c r="I2" s="9">
        <v>12600</v>
      </c>
      <c r="J2" s="10"/>
      <c r="K2" s="3" t="s">
        <v>138</v>
      </c>
      <c r="L2" s="3" t="s">
        <v>119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23</vt:i4>
      </vt:variant>
      <vt:variant>
        <vt:lpstr>이름이 지정된 범위</vt:lpstr>
      </vt:variant>
      <vt:variant>
        <vt:i4>22</vt:i4>
      </vt:variant>
    </vt:vector>
  </HeadingPairs>
  <TitlesOfParts>
    <vt:vector size="45" baseType="lpstr">
      <vt:lpstr>합계(5)</vt:lpstr>
      <vt:lpstr>제외</vt:lpstr>
      <vt:lpstr>올콘텐츠앤브이알</vt:lpstr>
      <vt:lpstr>구디</vt:lpstr>
      <vt:lpstr>컨텐츠헤라</vt:lpstr>
      <vt:lpstr>더컴퍼니</vt:lpstr>
      <vt:lpstr>온서</vt:lpstr>
      <vt:lpstr>에필로그</vt:lpstr>
      <vt:lpstr>세상</vt:lpstr>
      <vt:lpstr>한례</vt:lpstr>
      <vt:lpstr>무성매직</vt:lpstr>
      <vt:lpstr>불고기자리</vt:lpstr>
      <vt:lpstr>Livingston</vt:lpstr>
      <vt:lpstr>이린비</vt:lpstr>
      <vt:lpstr>윤비밀</vt:lpstr>
      <vt:lpstr>윈델</vt:lpstr>
      <vt:lpstr>스내치</vt:lpstr>
      <vt:lpstr>진숙</vt:lpstr>
      <vt:lpstr>차홍주</vt:lpstr>
      <vt:lpstr>DION(디온)</vt:lpstr>
      <vt:lpstr>김광수</vt:lpstr>
      <vt:lpstr>독고진</vt:lpstr>
      <vt:lpstr>이동열</vt:lpstr>
      <vt:lpstr>'DION(디온)'!Extract</vt:lpstr>
      <vt:lpstr>Livingston!Extract</vt:lpstr>
      <vt:lpstr>구디!Extract</vt:lpstr>
      <vt:lpstr>김광수!Extract</vt:lpstr>
      <vt:lpstr>더컴퍼니!Extract</vt:lpstr>
      <vt:lpstr>독고진!Extract</vt:lpstr>
      <vt:lpstr>무성매직!Extract</vt:lpstr>
      <vt:lpstr>불고기자리!Extract</vt:lpstr>
      <vt:lpstr>세상!Extract</vt:lpstr>
      <vt:lpstr>스내치!Extract</vt:lpstr>
      <vt:lpstr>에필로그!Extract</vt:lpstr>
      <vt:lpstr>온서!Extract</vt:lpstr>
      <vt:lpstr>올콘텐츠앤브이알!Extract</vt:lpstr>
      <vt:lpstr>윈델!Extract</vt:lpstr>
      <vt:lpstr>윤비밀!Extract</vt:lpstr>
      <vt:lpstr>이동열!Extract</vt:lpstr>
      <vt:lpstr>이린비!Extract</vt:lpstr>
      <vt:lpstr>제외!Extract</vt:lpstr>
      <vt:lpstr>진숙!Extract</vt:lpstr>
      <vt:lpstr>차홍주!Extract</vt:lpstr>
      <vt:lpstr>컨텐츠헤라!Extract</vt:lpstr>
      <vt:lpstr>한례!Extract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storywiz</cp:lastModifiedBy>
  <dcterms:created xsi:type="dcterms:W3CDTF">2019-04-01T11:26:31Z</dcterms:created>
  <dcterms:modified xsi:type="dcterms:W3CDTF">2022-06-08T15:39:05Z</dcterms:modified>
</cp:coreProperties>
</file>